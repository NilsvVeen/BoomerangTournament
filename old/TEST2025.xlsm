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l\Desktop\EBC2019\Entwicklung_Auswertung\WM2020\"/>
    </mc:Choice>
  </mc:AlternateContent>
  <xr:revisionPtr revIDLastSave="0" documentId="13_ncr:1_{91CD216A-74C4-444F-AF11-0A1E42411027}" xr6:coauthVersionLast="47" xr6:coauthVersionMax="47" xr10:uidLastSave="{00000000-0000-0000-0000-000000000000}"/>
  <workbookProtection lockStructure="1"/>
  <bookViews>
    <workbookView xWindow="3070" yWindow="530" windowWidth="24340" windowHeight="15320" xr2:uid="{00000000-000D-0000-FFFF-FFFF00000000}"/>
  </bookViews>
  <sheets>
    <sheet name="Input" sheetId="1" r:id="rId1"/>
    <sheet name="Assign_circle" sheetId="2" r:id="rId2"/>
    <sheet name="CircleLogbook" sheetId="3" r:id="rId3"/>
    <sheet name="Notes" sheetId="4" r:id="rId4"/>
    <sheet name="Results_old" sheetId="5" r:id="rId5"/>
    <sheet name="Results_relative" sheetId="6" r:id="rId6"/>
    <sheet name="SpecialScores" sheetId="7" r:id="rId7"/>
    <sheet name="MTA" sheetId="15" r:id="rId8"/>
    <sheet name="ACC100" sheetId="14" r:id="rId9"/>
    <sheet name="AR_sched" sheetId="9" r:id="rId10"/>
    <sheet name="Assign_List_old" sheetId="10" r:id="rId11"/>
    <sheet name="Assign_List_RRS" sheetId="11" r:id="rId12"/>
    <sheet name="aux_sheet" sheetId="13" r:id="rId13"/>
    <sheet name="aux_sheet_RRS" sheetId="12" r:id="rId14"/>
  </sheets>
  <functionGroups builtInGroupCount="19"/>
  <definedNames>
    <definedName name="_xlnm._FilterDatabase" localSheetId="4" hidden="1">Results_old!$A$2:$AM$203</definedName>
    <definedName name="_xlnm._FilterDatabase" localSheetId="5" hidden="1">Results_relative!$A$2:$AP$203</definedName>
    <definedName name="_xlnm.Print_Area" localSheetId="8">'ACC100'!$A$1:$X$18</definedName>
    <definedName name="_xlnm.Print_Area" localSheetId="1">Assign_circle!$A$2:$B$20</definedName>
    <definedName name="_xlnm.Print_Area" localSheetId="7">MTA!$A$1:$G$18</definedName>
    <definedName name="_xlnm.Print_Area" localSheetId="4">Results_old!$A:$Z</definedName>
    <definedName name="_xlnm.Print_Area" localSheetId="5">Results_relative!$A:$Z</definedName>
    <definedName name="Z_A9C4060D_48A6_4A71_A108_B3947866F802_.wvu.FilterData" localSheetId="4" hidden="1">Results_old!$A$2:$AM$203</definedName>
    <definedName name="Z_A9C4060D_48A6_4A71_A108_B3947866F802_.wvu.FilterData" localSheetId="5" hidden="1">Results_relative!$A$2:$AP$203</definedName>
    <definedName name="Z_A9C4060D_48A6_4A71_A108_B3947866F802_.wvu.PrintArea" localSheetId="1" hidden="1">Assign_circle!$A$2:$F$22</definedName>
    <definedName name="Z_A9C4060D_48A6_4A71_A108_B3947866F802_.wvu.PrintArea" localSheetId="4" hidden="1">Results_old!$A:$Z</definedName>
    <definedName name="Z_A9C4060D_48A6_4A71_A108_B3947866F802_.wvu.PrintArea" localSheetId="5" hidden="1">Results_relative!$A:$Z</definedName>
  </definedNames>
  <calcPr calcId="181029"/>
  <customWorkbookViews>
    <customWorkbookView name="Manuel - Persönliche Ansicht" guid="{A9C4060D-48A6-4A71-A108-B3947866F802}" mergeInterval="0" personalView="1" xWindow="1068" yWindow="265" windowWidth="3840" windowHeight="1784" activeSheetId="8"/>
  </customWorkbookViews>
</workbook>
</file>

<file path=xl/calcChain.xml><?xml version="1.0" encoding="utf-8"?>
<calcChain xmlns="http://schemas.openxmlformats.org/spreadsheetml/2006/main">
  <c r="G204" i="6" l="1"/>
  <c r="I204" i="6" s="1"/>
  <c r="H204" i="6"/>
  <c r="J204" i="6"/>
  <c r="L204" i="6" s="1"/>
  <c r="K204" i="6"/>
  <c r="M204" i="6"/>
  <c r="O204" i="6" s="1"/>
  <c r="N204" i="6"/>
  <c r="P204" i="6"/>
  <c r="R204" i="6" s="1"/>
  <c r="Q204" i="6"/>
  <c r="S204" i="6"/>
  <c r="U204" i="6" s="1"/>
  <c r="T204" i="6"/>
  <c r="V204" i="6"/>
  <c r="X204" i="6" s="1"/>
  <c r="W204" i="6"/>
  <c r="Y204" i="6"/>
  <c r="AA204" i="6" s="1"/>
  <c r="Z204" i="6"/>
  <c r="AB204" i="6"/>
  <c r="AD204" i="6" s="1"/>
  <c r="AC204" i="6"/>
  <c r="AE204" i="6"/>
  <c r="AG204" i="6" s="1"/>
  <c r="AF204" i="6"/>
  <c r="G205" i="6"/>
  <c r="I205" i="6" s="1"/>
  <c r="H205" i="6"/>
  <c r="J205" i="6"/>
  <c r="L205" i="6" s="1"/>
  <c r="K205" i="6"/>
  <c r="M205" i="6"/>
  <c r="O205" i="6" s="1"/>
  <c r="N205" i="6"/>
  <c r="P205" i="6"/>
  <c r="R205" i="6" s="1"/>
  <c r="Q205" i="6"/>
  <c r="S205" i="6"/>
  <c r="U205" i="6" s="1"/>
  <c r="T205" i="6"/>
  <c r="V205" i="6"/>
  <c r="X205" i="6" s="1"/>
  <c r="W205" i="6"/>
  <c r="Y205" i="6"/>
  <c r="AA205" i="6" s="1"/>
  <c r="Z205" i="6"/>
  <c r="AB205" i="6"/>
  <c r="AD205" i="6" s="1"/>
  <c r="AC205" i="6"/>
  <c r="AE205" i="6"/>
  <c r="AG205" i="6" s="1"/>
  <c r="AF205" i="6"/>
  <c r="G206" i="6"/>
  <c r="I206" i="6" s="1"/>
  <c r="H206" i="6"/>
  <c r="J206" i="6"/>
  <c r="L206" i="6" s="1"/>
  <c r="K206" i="6"/>
  <c r="M206" i="6"/>
  <c r="O206" i="6" s="1"/>
  <c r="N206" i="6"/>
  <c r="P206" i="6"/>
  <c r="R206" i="6" s="1"/>
  <c r="Q206" i="6"/>
  <c r="S206" i="6"/>
  <c r="U206" i="6" s="1"/>
  <c r="T206" i="6"/>
  <c r="V206" i="6"/>
  <c r="X206" i="6" s="1"/>
  <c r="W206" i="6"/>
  <c r="Y206" i="6"/>
  <c r="AA206" i="6" s="1"/>
  <c r="Z206" i="6"/>
  <c r="AB206" i="6"/>
  <c r="AD206" i="6" s="1"/>
  <c r="AC206" i="6"/>
  <c r="AE206" i="6"/>
  <c r="AG206" i="6" s="1"/>
  <c r="AF206" i="6"/>
  <c r="G207" i="6"/>
  <c r="I207" i="6" s="1"/>
  <c r="H207" i="6"/>
  <c r="J207" i="6"/>
  <c r="L207" i="6" s="1"/>
  <c r="K207" i="6"/>
  <c r="M207" i="6"/>
  <c r="O207" i="6" s="1"/>
  <c r="N207" i="6"/>
  <c r="P207" i="6"/>
  <c r="R207" i="6" s="1"/>
  <c r="Q207" i="6"/>
  <c r="S207" i="6"/>
  <c r="U207" i="6" s="1"/>
  <c r="T207" i="6"/>
  <c r="V207" i="6"/>
  <c r="X207" i="6" s="1"/>
  <c r="W207" i="6"/>
  <c r="Y207" i="6"/>
  <c r="AA207" i="6" s="1"/>
  <c r="Z207" i="6"/>
  <c r="AB207" i="6"/>
  <c r="AD207" i="6" s="1"/>
  <c r="AC207" i="6"/>
  <c r="AE207" i="6"/>
  <c r="AG207" i="6" s="1"/>
  <c r="AF207" i="6"/>
  <c r="G208" i="6"/>
  <c r="I208" i="6" s="1"/>
  <c r="H208" i="6"/>
  <c r="J208" i="6"/>
  <c r="L208" i="6" s="1"/>
  <c r="K208" i="6"/>
  <c r="M208" i="6"/>
  <c r="O208" i="6" s="1"/>
  <c r="N208" i="6"/>
  <c r="P208" i="6"/>
  <c r="R208" i="6" s="1"/>
  <c r="Q208" i="6"/>
  <c r="S208" i="6"/>
  <c r="U208" i="6" s="1"/>
  <c r="T208" i="6"/>
  <c r="V208" i="6"/>
  <c r="X208" i="6" s="1"/>
  <c r="W208" i="6"/>
  <c r="Y208" i="6"/>
  <c r="AA208" i="6" s="1"/>
  <c r="Z208" i="6"/>
  <c r="AB208" i="6"/>
  <c r="AD208" i="6" s="1"/>
  <c r="AC208" i="6"/>
  <c r="AE208" i="6"/>
  <c r="AG208" i="6" s="1"/>
  <c r="AF208" i="6"/>
  <c r="G209" i="6"/>
  <c r="I209" i="6" s="1"/>
  <c r="H209" i="6"/>
  <c r="J209" i="6"/>
  <c r="L209" i="6" s="1"/>
  <c r="K209" i="6"/>
  <c r="M209" i="6"/>
  <c r="O209" i="6" s="1"/>
  <c r="N209" i="6"/>
  <c r="P209" i="6"/>
  <c r="R209" i="6" s="1"/>
  <c r="Q209" i="6"/>
  <c r="S209" i="6"/>
  <c r="U209" i="6" s="1"/>
  <c r="T209" i="6"/>
  <c r="V209" i="6"/>
  <c r="X209" i="6" s="1"/>
  <c r="W209" i="6"/>
  <c r="Y209" i="6"/>
  <c r="AA209" i="6" s="1"/>
  <c r="Z209" i="6"/>
  <c r="AB209" i="6"/>
  <c r="AD209" i="6" s="1"/>
  <c r="AC209" i="6"/>
  <c r="AE209" i="6"/>
  <c r="AG209" i="6" s="1"/>
  <c r="AF209" i="6"/>
  <c r="G210" i="6"/>
  <c r="I210" i="6" s="1"/>
  <c r="H210" i="6"/>
  <c r="J210" i="6"/>
  <c r="L210" i="6" s="1"/>
  <c r="K210" i="6"/>
  <c r="M210" i="6"/>
  <c r="O210" i="6" s="1"/>
  <c r="N210" i="6"/>
  <c r="P210" i="6"/>
  <c r="R210" i="6" s="1"/>
  <c r="Q210" i="6"/>
  <c r="S210" i="6"/>
  <c r="U210" i="6" s="1"/>
  <c r="T210" i="6"/>
  <c r="V210" i="6"/>
  <c r="X210" i="6" s="1"/>
  <c r="W210" i="6"/>
  <c r="Y210" i="6"/>
  <c r="AA210" i="6" s="1"/>
  <c r="Z210" i="6"/>
  <c r="AB210" i="6"/>
  <c r="AD210" i="6" s="1"/>
  <c r="AC210" i="6"/>
  <c r="AE210" i="6"/>
  <c r="AG210" i="6" s="1"/>
  <c r="AF210" i="6"/>
  <c r="G211" i="6"/>
  <c r="I211" i="6" s="1"/>
  <c r="H211" i="6"/>
  <c r="J211" i="6"/>
  <c r="L211" i="6" s="1"/>
  <c r="K211" i="6"/>
  <c r="M211" i="6"/>
  <c r="O211" i="6" s="1"/>
  <c r="N211" i="6"/>
  <c r="P211" i="6"/>
  <c r="R211" i="6" s="1"/>
  <c r="Q211" i="6"/>
  <c r="S211" i="6"/>
  <c r="U211" i="6" s="1"/>
  <c r="T211" i="6"/>
  <c r="V211" i="6"/>
  <c r="X211" i="6" s="1"/>
  <c r="W211" i="6"/>
  <c r="Y211" i="6"/>
  <c r="AA211" i="6" s="1"/>
  <c r="Z211" i="6"/>
  <c r="AB211" i="6"/>
  <c r="AD211" i="6" s="1"/>
  <c r="AC211" i="6"/>
  <c r="AE211" i="6"/>
  <c r="AG211" i="6" s="1"/>
  <c r="AF211" i="6"/>
  <c r="G212" i="6"/>
  <c r="I212" i="6" s="1"/>
  <c r="H212" i="6"/>
  <c r="J212" i="6"/>
  <c r="L212" i="6" s="1"/>
  <c r="K212" i="6"/>
  <c r="M212" i="6"/>
  <c r="O212" i="6" s="1"/>
  <c r="N212" i="6"/>
  <c r="P212" i="6"/>
  <c r="R212" i="6" s="1"/>
  <c r="Q212" i="6"/>
  <c r="S212" i="6"/>
  <c r="U212" i="6" s="1"/>
  <c r="T212" i="6"/>
  <c r="V212" i="6"/>
  <c r="X212" i="6" s="1"/>
  <c r="W212" i="6"/>
  <c r="Y212" i="6"/>
  <c r="AA212" i="6" s="1"/>
  <c r="Z212" i="6"/>
  <c r="AB212" i="6"/>
  <c r="AD212" i="6" s="1"/>
  <c r="AC212" i="6"/>
  <c r="AE212" i="6"/>
  <c r="AG212" i="6" s="1"/>
  <c r="AF212" i="6"/>
  <c r="G213" i="6"/>
  <c r="I213" i="6" s="1"/>
  <c r="H213" i="6"/>
  <c r="J213" i="6"/>
  <c r="L213" i="6" s="1"/>
  <c r="K213" i="6"/>
  <c r="M213" i="6"/>
  <c r="O213" i="6" s="1"/>
  <c r="N213" i="6"/>
  <c r="P213" i="6"/>
  <c r="R213" i="6" s="1"/>
  <c r="Q213" i="6"/>
  <c r="S213" i="6"/>
  <c r="U213" i="6" s="1"/>
  <c r="T213" i="6"/>
  <c r="V213" i="6"/>
  <c r="X213" i="6" s="1"/>
  <c r="W213" i="6"/>
  <c r="Y213" i="6"/>
  <c r="AA213" i="6" s="1"/>
  <c r="Z213" i="6"/>
  <c r="AB213" i="6"/>
  <c r="AD213" i="6" s="1"/>
  <c r="AC213" i="6"/>
  <c r="AE213" i="6"/>
  <c r="AG213" i="6" s="1"/>
  <c r="AF213" i="6"/>
  <c r="G214" i="6"/>
  <c r="I214" i="6" s="1"/>
  <c r="H214" i="6"/>
  <c r="J214" i="6"/>
  <c r="L214" i="6" s="1"/>
  <c r="K214" i="6"/>
  <c r="M214" i="6"/>
  <c r="O214" i="6" s="1"/>
  <c r="N214" i="6"/>
  <c r="P214" i="6"/>
  <c r="R214" i="6" s="1"/>
  <c r="Q214" i="6"/>
  <c r="S214" i="6"/>
  <c r="U214" i="6" s="1"/>
  <c r="T214" i="6"/>
  <c r="V214" i="6"/>
  <c r="X214" i="6" s="1"/>
  <c r="W214" i="6"/>
  <c r="Y214" i="6"/>
  <c r="AA214" i="6" s="1"/>
  <c r="Z214" i="6"/>
  <c r="AB214" i="6"/>
  <c r="AD214" i="6" s="1"/>
  <c r="AC214" i="6"/>
  <c r="AE214" i="6"/>
  <c r="AG214" i="6" s="1"/>
  <c r="AF214" i="6"/>
  <c r="G215" i="6"/>
  <c r="I215" i="6" s="1"/>
  <c r="H215" i="6"/>
  <c r="J215" i="6"/>
  <c r="L215" i="6" s="1"/>
  <c r="K215" i="6"/>
  <c r="M215" i="6"/>
  <c r="O215" i="6" s="1"/>
  <c r="N215" i="6"/>
  <c r="P215" i="6"/>
  <c r="R215" i="6" s="1"/>
  <c r="Q215" i="6"/>
  <c r="S215" i="6"/>
  <c r="U215" i="6" s="1"/>
  <c r="T215" i="6"/>
  <c r="V215" i="6"/>
  <c r="X215" i="6" s="1"/>
  <c r="W215" i="6"/>
  <c r="Y215" i="6"/>
  <c r="AA215" i="6" s="1"/>
  <c r="Z215" i="6"/>
  <c r="AB215" i="6"/>
  <c r="AD215" i="6" s="1"/>
  <c r="AC215" i="6"/>
  <c r="AE215" i="6"/>
  <c r="AG215" i="6" s="1"/>
  <c r="AF215" i="6"/>
  <c r="G216" i="6"/>
  <c r="I216" i="6" s="1"/>
  <c r="H216" i="6"/>
  <c r="J216" i="6"/>
  <c r="L216" i="6" s="1"/>
  <c r="K216" i="6"/>
  <c r="M216" i="6"/>
  <c r="O216" i="6" s="1"/>
  <c r="N216" i="6"/>
  <c r="P216" i="6"/>
  <c r="R216" i="6" s="1"/>
  <c r="Q216" i="6"/>
  <c r="S216" i="6"/>
  <c r="U216" i="6" s="1"/>
  <c r="T216" i="6"/>
  <c r="V216" i="6"/>
  <c r="X216" i="6" s="1"/>
  <c r="W216" i="6"/>
  <c r="Y216" i="6"/>
  <c r="AA216" i="6" s="1"/>
  <c r="Z216" i="6"/>
  <c r="AB216" i="6"/>
  <c r="AD216" i="6" s="1"/>
  <c r="AC216" i="6"/>
  <c r="AE216" i="6"/>
  <c r="AG216" i="6" s="1"/>
  <c r="AF216" i="6"/>
  <c r="G217" i="6"/>
  <c r="I217" i="6" s="1"/>
  <c r="H217" i="6"/>
  <c r="J217" i="6"/>
  <c r="L217" i="6" s="1"/>
  <c r="K217" i="6"/>
  <c r="M217" i="6"/>
  <c r="O217" i="6" s="1"/>
  <c r="N217" i="6"/>
  <c r="P217" i="6"/>
  <c r="R217" i="6" s="1"/>
  <c r="Q217" i="6"/>
  <c r="S217" i="6"/>
  <c r="U217" i="6" s="1"/>
  <c r="T217" i="6"/>
  <c r="V217" i="6"/>
  <c r="X217" i="6" s="1"/>
  <c r="W217" i="6"/>
  <c r="Y217" i="6"/>
  <c r="AA217" i="6" s="1"/>
  <c r="Z217" i="6"/>
  <c r="AB217" i="6"/>
  <c r="AD217" i="6" s="1"/>
  <c r="AC217" i="6"/>
  <c r="AE217" i="6"/>
  <c r="AG217" i="6" s="1"/>
  <c r="AF217" i="6"/>
  <c r="G218" i="6"/>
  <c r="I218" i="6" s="1"/>
  <c r="H218" i="6"/>
  <c r="J218" i="6"/>
  <c r="L218" i="6" s="1"/>
  <c r="K218" i="6"/>
  <c r="M218" i="6"/>
  <c r="O218" i="6" s="1"/>
  <c r="N218" i="6"/>
  <c r="P218" i="6"/>
  <c r="R218" i="6" s="1"/>
  <c r="Q218" i="6"/>
  <c r="S218" i="6"/>
  <c r="U218" i="6" s="1"/>
  <c r="T218" i="6"/>
  <c r="V218" i="6"/>
  <c r="X218" i="6" s="1"/>
  <c r="W218" i="6"/>
  <c r="Y218" i="6"/>
  <c r="AA218" i="6" s="1"/>
  <c r="Z218" i="6"/>
  <c r="AB218" i="6"/>
  <c r="AD218" i="6" s="1"/>
  <c r="AC218" i="6"/>
  <c r="AE218" i="6"/>
  <c r="AG218" i="6" s="1"/>
  <c r="AF218" i="6"/>
  <c r="G219" i="6"/>
  <c r="I219" i="6" s="1"/>
  <c r="H219" i="6"/>
  <c r="J219" i="6"/>
  <c r="L219" i="6" s="1"/>
  <c r="K219" i="6"/>
  <c r="M219" i="6"/>
  <c r="O219" i="6" s="1"/>
  <c r="N219" i="6"/>
  <c r="P219" i="6"/>
  <c r="R219" i="6" s="1"/>
  <c r="Q219" i="6"/>
  <c r="S219" i="6"/>
  <c r="U219" i="6" s="1"/>
  <c r="T219" i="6"/>
  <c r="V219" i="6"/>
  <c r="X219" i="6" s="1"/>
  <c r="W219" i="6"/>
  <c r="Y219" i="6"/>
  <c r="AA219" i="6" s="1"/>
  <c r="Z219" i="6"/>
  <c r="AB219" i="6"/>
  <c r="AD219" i="6" s="1"/>
  <c r="AC219" i="6"/>
  <c r="AE219" i="6"/>
  <c r="AG219" i="6" s="1"/>
  <c r="AF219" i="6"/>
  <c r="G220" i="6"/>
  <c r="I220" i="6" s="1"/>
  <c r="H220" i="6"/>
  <c r="J220" i="6"/>
  <c r="L220" i="6" s="1"/>
  <c r="K220" i="6"/>
  <c r="M220" i="6"/>
  <c r="O220" i="6" s="1"/>
  <c r="N220" i="6"/>
  <c r="P220" i="6"/>
  <c r="R220" i="6" s="1"/>
  <c r="Q220" i="6"/>
  <c r="S220" i="6"/>
  <c r="U220" i="6" s="1"/>
  <c r="T220" i="6"/>
  <c r="V220" i="6"/>
  <c r="X220" i="6" s="1"/>
  <c r="W220" i="6"/>
  <c r="Y220" i="6"/>
  <c r="AA220" i="6" s="1"/>
  <c r="Z220" i="6"/>
  <c r="AB220" i="6"/>
  <c r="AD220" i="6" s="1"/>
  <c r="AC220" i="6"/>
  <c r="AE220" i="6"/>
  <c r="AG220" i="6" s="1"/>
  <c r="AF220" i="6"/>
  <c r="G221" i="6"/>
  <c r="I221" i="6" s="1"/>
  <c r="H221" i="6"/>
  <c r="J221" i="6"/>
  <c r="L221" i="6" s="1"/>
  <c r="K221" i="6"/>
  <c r="M221" i="6"/>
  <c r="O221" i="6" s="1"/>
  <c r="N221" i="6"/>
  <c r="P221" i="6"/>
  <c r="R221" i="6" s="1"/>
  <c r="Q221" i="6"/>
  <c r="S221" i="6"/>
  <c r="U221" i="6" s="1"/>
  <c r="T221" i="6"/>
  <c r="V221" i="6"/>
  <c r="X221" i="6" s="1"/>
  <c r="W221" i="6"/>
  <c r="Y221" i="6"/>
  <c r="AA221" i="6" s="1"/>
  <c r="Z221" i="6"/>
  <c r="AB221" i="6"/>
  <c r="AD221" i="6" s="1"/>
  <c r="AC221" i="6"/>
  <c r="AE221" i="6"/>
  <c r="AG221" i="6" s="1"/>
  <c r="AF221" i="6"/>
  <c r="G222" i="6"/>
  <c r="I222" i="6" s="1"/>
  <c r="H222" i="6"/>
  <c r="J222" i="6"/>
  <c r="L222" i="6" s="1"/>
  <c r="K222" i="6"/>
  <c r="M222" i="6"/>
  <c r="O222" i="6" s="1"/>
  <c r="N222" i="6"/>
  <c r="P222" i="6"/>
  <c r="R222" i="6" s="1"/>
  <c r="Q222" i="6"/>
  <c r="S222" i="6"/>
  <c r="U222" i="6" s="1"/>
  <c r="T222" i="6"/>
  <c r="V222" i="6"/>
  <c r="X222" i="6" s="1"/>
  <c r="W222" i="6"/>
  <c r="Y222" i="6"/>
  <c r="AA222" i="6" s="1"/>
  <c r="Z222" i="6"/>
  <c r="AB222" i="6"/>
  <c r="AD222" i="6" s="1"/>
  <c r="AC222" i="6"/>
  <c r="AE222" i="6"/>
  <c r="AG222" i="6" s="1"/>
  <c r="AF222" i="6"/>
  <c r="G223" i="6"/>
  <c r="I223" i="6" s="1"/>
  <c r="H223" i="6"/>
  <c r="J223" i="6"/>
  <c r="L223" i="6" s="1"/>
  <c r="K223" i="6"/>
  <c r="M223" i="6"/>
  <c r="O223" i="6" s="1"/>
  <c r="N223" i="6"/>
  <c r="P223" i="6"/>
  <c r="R223" i="6" s="1"/>
  <c r="Q223" i="6"/>
  <c r="S223" i="6"/>
  <c r="U223" i="6" s="1"/>
  <c r="T223" i="6"/>
  <c r="V223" i="6"/>
  <c r="X223" i="6" s="1"/>
  <c r="W223" i="6"/>
  <c r="Y223" i="6"/>
  <c r="AA223" i="6" s="1"/>
  <c r="Z223" i="6"/>
  <c r="AB223" i="6"/>
  <c r="AD223" i="6" s="1"/>
  <c r="AC223" i="6"/>
  <c r="AE223" i="6"/>
  <c r="AG223" i="6" s="1"/>
  <c r="AF223" i="6"/>
  <c r="G224" i="6"/>
  <c r="I224" i="6" s="1"/>
  <c r="H224" i="6"/>
  <c r="J224" i="6"/>
  <c r="L224" i="6" s="1"/>
  <c r="K224" i="6"/>
  <c r="M224" i="6"/>
  <c r="O224" i="6" s="1"/>
  <c r="N224" i="6"/>
  <c r="P224" i="6"/>
  <c r="R224" i="6" s="1"/>
  <c r="Q224" i="6"/>
  <c r="S224" i="6"/>
  <c r="U224" i="6" s="1"/>
  <c r="T224" i="6"/>
  <c r="V224" i="6"/>
  <c r="X224" i="6" s="1"/>
  <c r="W224" i="6"/>
  <c r="Y224" i="6"/>
  <c r="AA224" i="6" s="1"/>
  <c r="Z224" i="6"/>
  <c r="AB224" i="6"/>
  <c r="AD224" i="6" s="1"/>
  <c r="AC224" i="6"/>
  <c r="AE224" i="6"/>
  <c r="AG224" i="6" s="1"/>
  <c r="AF224" i="6"/>
  <c r="G225" i="6"/>
  <c r="I225" i="6" s="1"/>
  <c r="H225" i="6"/>
  <c r="J225" i="6"/>
  <c r="L225" i="6" s="1"/>
  <c r="K225" i="6"/>
  <c r="M225" i="6"/>
  <c r="O225" i="6" s="1"/>
  <c r="N225" i="6"/>
  <c r="P225" i="6"/>
  <c r="R225" i="6" s="1"/>
  <c r="Q225" i="6"/>
  <c r="S225" i="6"/>
  <c r="U225" i="6" s="1"/>
  <c r="T225" i="6"/>
  <c r="V225" i="6"/>
  <c r="X225" i="6" s="1"/>
  <c r="W225" i="6"/>
  <c r="Y225" i="6"/>
  <c r="AA225" i="6" s="1"/>
  <c r="Z225" i="6"/>
  <c r="AB225" i="6"/>
  <c r="AD225" i="6" s="1"/>
  <c r="AC225" i="6"/>
  <c r="AE225" i="6"/>
  <c r="AG225" i="6" s="1"/>
  <c r="AF225" i="6"/>
  <c r="G226" i="6"/>
  <c r="I226" i="6" s="1"/>
  <c r="H226" i="6"/>
  <c r="J226" i="6"/>
  <c r="L226" i="6" s="1"/>
  <c r="K226" i="6"/>
  <c r="M226" i="6"/>
  <c r="O226" i="6" s="1"/>
  <c r="N226" i="6"/>
  <c r="P226" i="6"/>
  <c r="R226" i="6" s="1"/>
  <c r="Q226" i="6"/>
  <c r="S226" i="6"/>
  <c r="U226" i="6" s="1"/>
  <c r="T226" i="6"/>
  <c r="V226" i="6"/>
  <c r="X226" i="6" s="1"/>
  <c r="W226" i="6"/>
  <c r="Y226" i="6"/>
  <c r="AA226" i="6" s="1"/>
  <c r="Z226" i="6"/>
  <c r="AB226" i="6"/>
  <c r="AD226" i="6" s="1"/>
  <c r="AC226" i="6"/>
  <c r="AE226" i="6"/>
  <c r="AG226" i="6" s="1"/>
  <c r="AF226" i="6"/>
  <c r="G227" i="6"/>
  <c r="I227" i="6" s="1"/>
  <c r="H227" i="6"/>
  <c r="J227" i="6"/>
  <c r="L227" i="6" s="1"/>
  <c r="K227" i="6"/>
  <c r="M227" i="6"/>
  <c r="O227" i="6" s="1"/>
  <c r="N227" i="6"/>
  <c r="P227" i="6"/>
  <c r="R227" i="6" s="1"/>
  <c r="Q227" i="6"/>
  <c r="S227" i="6"/>
  <c r="U227" i="6" s="1"/>
  <c r="T227" i="6"/>
  <c r="V227" i="6"/>
  <c r="X227" i="6" s="1"/>
  <c r="W227" i="6"/>
  <c r="Y227" i="6"/>
  <c r="AA227" i="6" s="1"/>
  <c r="Z227" i="6"/>
  <c r="AB227" i="6"/>
  <c r="AD227" i="6" s="1"/>
  <c r="AC227" i="6"/>
  <c r="AE227" i="6"/>
  <c r="AG227" i="6" s="1"/>
  <c r="AF227" i="6"/>
  <c r="G228" i="6"/>
  <c r="I228" i="6" s="1"/>
  <c r="H228" i="6"/>
  <c r="J228" i="6"/>
  <c r="L228" i="6" s="1"/>
  <c r="K228" i="6"/>
  <c r="M228" i="6"/>
  <c r="O228" i="6" s="1"/>
  <c r="N228" i="6"/>
  <c r="P228" i="6"/>
  <c r="R228" i="6" s="1"/>
  <c r="Q228" i="6"/>
  <c r="S228" i="6"/>
  <c r="U228" i="6" s="1"/>
  <c r="T228" i="6"/>
  <c r="V228" i="6"/>
  <c r="X228" i="6" s="1"/>
  <c r="W228" i="6"/>
  <c r="Y228" i="6"/>
  <c r="AA228" i="6" s="1"/>
  <c r="Z228" i="6"/>
  <c r="AB228" i="6"/>
  <c r="AD228" i="6" s="1"/>
  <c r="AC228" i="6"/>
  <c r="AE228" i="6"/>
  <c r="AG228" i="6" s="1"/>
  <c r="AF228" i="6"/>
  <c r="G229" i="6"/>
  <c r="I229" i="6" s="1"/>
  <c r="H229" i="6"/>
  <c r="J229" i="6"/>
  <c r="L229" i="6" s="1"/>
  <c r="K229" i="6"/>
  <c r="M229" i="6"/>
  <c r="O229" i="6" s="1"/>
  <c r="N229" i="6"/>
  <c r="P229" i="6"/>
  <c r="R229" i="6" s="1"/>
  <c r="Q229" i="6"/>
  <c r="S229" i="6"/>
  <c r="U229" i="6" s="1"/>
  <c r="T229" i="6"/>
  <c r="V229" i="6"/>
  <c r="X229" i="6" s="1"/>
  <c r="W229" i="6"/>
  <c r="Y229" i="6"/>
  <c r="AA229" i="6" s="1"/>
  <c r="Z229" i="6"/>
  <c r="AB229" i="6"/>
  <c r="AD229" i="6" s="1"/>
  <c r="AC229" i="6"/>
  <c r="AE229" i="6"/>
  <c r="AG229" i="6" s="1"/>
  <c r="AF229" i="6"/>
  <c r="G230" i="6"/>
  <c r="I230" i="6" s="1"/>
  <c r="H230" i="6"/>
  <c r="J230" i="6"/>
  <c r="L230" i="6" s="1"/>
  <c r="K230" i="6"/>
  <c r="M230" i="6"/>
  <c r="O230" i="6" s="1"/>
  <c r="N230" i="6"/>
  <c r="P230" i="6"/>
  <c r="R230" i="6" s="1"/>
  <c r="Q230" i="6"/>
  <c r="S230" i="6"/>
  <c r="U230" i="6" s="1"/>
  <c r="T230" i="6"/>
  <c r="V230" i="6"/>
  <c r="X230" i="6" s="1"/>
  <c r="W230" i="6"/>
  <c r="Y230" i="6"/>
  <c r="AA230" i="6" s="1"/>
  <c r="Z230" i="6"/>
  <c r="AB230" i="6"/>
  <c r="AD230" i="6" s="1"/>
  <c r="AC230" i="6"/>
  <c r="AE230" i="6"/>
  <c r="AG230" i="6" s="1"/>
  <c r="AF230" i="6"/>
  <c r="G231" i="6"/>
  <c r="I231" i="6" s="1"/>
  <c r="H231" i="6"/>
  <c r="J231" i="6"/>
  <c r="L231" i="6" s="1"/>
  <c r="K231" i="6"/>
  <c r="M231" i="6"/>
  <c r="O231" i="6" s="1"/>
  <c r="N231" i="6"/>
  <c r="P231" i="6"/>
  <c r="R231" i="6" s="1"/>
  <c r="Q231" i="6"/>
  <c r="S231" i="6"/>
  <c r="U231" i="6" s="1"/>
  <c r="T231" i="6"/>
  <c r="V231" i="6"/>
  <c r="X231" i="6" s="1"/>
  <c r="W231" i="6"/>
  <c r="Y231" i="6"/>
  <c r="AA231" i="6" s="1"/>
  <c r="Z231" i="6"/>
  <c r="AB231" i="6"/>
  <c r="AD231" i="6" s="1"/>
  <c r="AC231" i="6"/>
  <c r="AE231" i="6"/>
  <c r="AG231" i="6" s="1"/>
  <c r="AF231" i="6"/>
  <c r="G232" i="6"/>
  <c r="I232" i="6" s="1"/>
  <c r="H232" i="6"/>
  <c r="J232" i="6"/>
  <c r="L232" i="6" s="1"/>
  <c r="K232" i="6"/>
  <c r="M232" i="6"/>
  <c r="O232" i="6" s="1"/>
  <c r="N232" i="6"/>
  <c r="P232" i="6"/>
  <c r="R232" i="6" s="1"/>
  <c r="Q232" i="6"/>
  <c r="S232" i="6"/>
  <c r="U232" i="6" s="1"/>
  <c r="T232" i="6"/>
  <c r="V232" i="6"/>
  <c r="X232" i="6" s="1"/>
  <c r="W232" i="6"/>
  <c r="Y232" i="6"/>
  <c r="AA232" i="6" s="1"/>
  <c r="Z232" i="6"/>
  <c r="AB232" i="6"/>
  <c r="AD232" i="6" s="1"/>
  <c r="AC232" i="6"/>
  <c r="AE232" i="6"/>
  <c r="AG232" i="6" s="1"/>
  <c r="AF232" i="6"/>
  <c r="G233" i="6"/>
  <c r="I233" i="6" s="1"/>
  <c r="H233" i="6"/>
  <c r="J233" i="6"/>
  <c r="L233" i="6" s="1"/>
  <c r="K233" i="6"/>
  <c r="M233" i="6"/>
  <c r="O233" i="6" s="1"/>
  <c r="N233" i="6"/>
  <c r="P233" i="6"/>
  <c r="R233" i="6" s="1"/>
  <c r="Q233" i="6"/>
  <c r="S233" i="6"/>
  <c r="U233" i="6" s="1"/>
  <c r="T233" i="6"/>
  <c r="V233" i="6"/>
  <c r="X233" i="6" s="1"/>
  <c r="W233" i="6"/>
  <c r="Y233" i="6"/>
  <c r="AA233" i="6" s="1"/>
  <c r="Z233" i="6"/>
  <c r="AB233" i="6"/>
  <c r="AD233" i="6" s="1"/>
  <c r="AC233" i="6"/>
  <c r="AE233" i="6"/>
  <c r="AG233" i="6" s="1"/>
  <c r="AF233" i="6"/>
  <c r="G234" i="6"/>
  <c r="I234" i="6" s="1"/>
  <c r="H234" i="6"/>
  <c r="J234" i="6"/>
  <c r="L234" i="6" s="1"/>
  <c r="K234" i="6"/>
  <c r="M234" i="6"/>
  <c r="O234" i="6" s="1"/>
  <c r="N234" i="6"/>
  <c r="P234" i="6"/>
  <c r="R234" i="6" s="1"/>
  <c r="Q234" i="6"/>
  <c r="S234" i="6"/>
  <c r="U234" i="6" s="1"/>
  <c r="T234" i="6"/>
  <c r="V234" i="6"/>
  <c r="X234" i="6" s="1"/>
  <c r="W234" i="6"/>
  <c r="Y234" i="6"/>
  <c r="AA234" i="6" s="1"/>
  <c r="Z234" i="6"/>
  <c r="AB234" i="6"/>
  <c r="AD234" i="6" s="1"/>
  <c r="AC234" i="6"/>
  <c r="AE234" i="6"/>
  <c r="AG234" i="6" s="1"/>
  <c r="AF234" i="6"/>
  <c r="S2" i="12"/>
  <c r="AF204" i="5"/>
  <c r="AG204" i="5"/>
  <c r="AC204" i="5"/>
  <c r="AD204" i="5"/>
  <c r="Z204" i="5"/>
  <c r="AA204" i="5"/>
  <c r="Q204" i="5"/>
  <c r="R204" i="5"/>
  <c r="AE2" i="6"/>
  <c r="AO230" i="12"/>
  <c r="AO229" i="12"/>
  <c r="AO228" i="12"/>
  <c r="AO227" i="12"/>
  <c r="AO226" i="12"/>
  <c r="AO225" i="12"/>
  <c r="AO224" i="12"/>
  <c r="AO223" i="12"/>
  <c r="AO222" i="12"/>
  <c r="AO221" i="12"/>
  <c r="AO220" i="12"/>
  <c r="AO219" i="12"/>
  <c r="AO218" i="12"/>
  <c r="AO217" i="12"/>
  <c r="AO216" i="12"/>
  <c r="AO215" i="12"/>
  <c r="AO214" i="12"/>
  <c r="AO213" i="12"/>
  <c r="AO212" i="12"/>
  <c r="AO211" i="12"/>
  <c r="AO210" i="12"/>
  <c r="AO209" i="12"/>
  <c r="AO208" i="12"/>
  <c r="AO207" i="12"/>
  <c r="AO206" i="12"/>
  <c r="AO205" i="12"/>
  <c r="AO204" i="12"/>
  <c r="AN204" i="12"/>
  <c r="AM204" i="12"/>
  <c r="AO203" i="12"/>
  <c r="AN203" i="12"/>
  <c r="AM203" i="12"/>
  <c r="AO202" i="12"/>
  <c r="AN202" i="12"/>
  <c r="AM202" i="12"/>
  <c r="AO201" i="12"/>
  <c r="AN201" i="12" s="1"/>
  <c r="AM201" i="12"/>
  <c r="AO200" i="12"/>
  <c r="AN200" i="12"/>
  <c r="AM200" i="12"/>
  <c r="AO199" i="12"/>
  <c r="AN199" i="12"/>
  <c r="AM199" i="12"/>
  <c r="AO198" i="12"/>
  <c r="AN198" i="12"/>
  <c r="AM198" i="12"/>
  <c r="AO197" i="12"/>
  <c r="AN197" i="12" s="1"/>
  <c r="AM197" i="12"/>
  <c r="AO196" i="12"/>
  <c r="AN196" i="12"/>
  <c r="AM196" i="12"/>
  <c r="AO195" i="12"/>
  <c r="AN195" i="12"/>
  <c r="AM195" i="12"/>
  <c r="AO194" i="12"/>
  <c r="AN194" i="12"/>
  <c r="AM194" i="12"/>
  <c r="AO193" i="12"/>
  <c r="AN193" i="12" s="1"/>
  <c r="AM193" i="12"/>
  <c r="AO192" i="12"/>
  <c r="AN192" i="12"/>
  <c r="AM192" i="12"/>
  <c r="AO191" i="12"/>
  <c r="AN191" i="12"/>
  <c r="AM191" i="12"/>
  <c r="AO190" i="12"/>
  <c r="AN190" i="12"/>
  <c r="AM190" i="12"/>
  <c r="AO189" i="12"/>
  <c r="AN189" i="12" s="1"/>
  <c r="AM189" i="12"/>
  <c r="AO188" i="12"/>
  <c r="AN188" i="12"/>
  <c r="AM188" i="12"/>
  <c r="AO187" i="12"/>
  <c r="AN187" i="12"/>
  <c r="AM187" i="12"/>
  <c r="AO186" i="12"/>
  <c r="AN186" i="12"/>
  <c r="AM186" i="12"/>
  <c r="AO185" i="12"/>
  <c r="AN185" i="12" s="1"/>
  <c r="AM185" i="12"/>
  <c r="AO184" i="12"/>
  <c r="AN184" i="12"/>
  <c r="AM184" i="12"/>
  <c r="AO183" i="12"/>
  <c r="AN183" i="12"/>
  <c r="AM183" i="12"/>
  <c r="AO182" i="12"/>
  <c r="AN182" i="12"/>
  <c r="AM182" i="12"/>
  <c r="AO181" i="12"/>
  <c r="AN181" i="12" s="1"/>
  <c r="AM181" i="12"/>
  <c r="AO180" i="12"/>
  <c r="AN180" i="12"/>
  <c r="AM180" i="12"/>
  <c r="AO179" i="12"/>
  <c r="AN179" i="12"/>
  <c r="AM179" i="12"/>
  <c r="AO178" i="12"/>
  <c r="AN178" i="12"/>
  <c r="AM178" i="12"/>
  <c r="AO177" i="12"/>
  <c r="AN177" i="12" s="1"/>
  <c r="AM177" i="12"/>
  <c r="AO176" i="12"/>
  <c r="AN176" i="12"/>
  <c r="AM176" i="12"/>
  <c r="AO175" i="12"/>
  <c r="AN175" i="12"/>
  <c r="AM175" i="12"/>
  <c r="AO174" i="12"/>
  <c r="AN174" i="12"/>
  <c r="AM174" i="12"/>
  <c r="AO173" i="12"/>
  <c r="AN173" i="12" s="1"/>
  <c r="AM173" i="12"/>
  <c r="AO172" i="12"/>
  <c r="AN172" i="12"/>
  <c r="AM172" i="12"/>
  <c r="AO171" i="12"/>
  <c r="AN171" i="12"/>
  <c r="AM171" i="12"/>
  <c r="AO170" i="12"/>
  <c r="AN170" i="12"/>
  <c r="AM170" i="12"/>
  <c r="AO169" i="12"/>
  <c r="AN169" i="12" s="1"/>
  <c r="AM169" i="12"/>
  <c r="AO168" i="12"/>
  <c r="AN168" i="12"/>
  <c r="AM168" i="12"/>
  <c r="AO167" i="12"/>
  <c r="AN167" i="12"/>
  <c r="AM167" i="12"/>
  <c r="AO166" i="12"/>
  <c r="AN166" i="12"/>
  <c r="AM166" i="12"/>
  <c r="AO165" i="12"/>
  <c r="AN165" i="12" s="1"/>
  <c r="AM165" i="12"/>
  <c r="AO164" i="12"/>
  <c r="AN164" i="12"/>
  <c r="AM164" i="12"/>
  <c r="AO163" i="12"/>
  <c r="AN163" i="12"/>
  <c r="AM163" i="12"/>
  <c r="AO162" i="12"/>
  <c r="AN162" i="12"/>
  <c r="AM162" i="12"/>
  <c r="AO161" i="12"/>
  <c r="AN161" i="12" s="1"/>
  <c r="AM161" i="12"/>
  <c r="AO160" i="12"/>
  <c r="AN160" i="12"/>
  <c r="AM160" i="12"/>
  <c r="AO159" i="12"/>
  <c r="AN159" i="12"/>
  <c r="AM159" i="12"/>
  <c r="AO158" i="12"/>
  <c r="AN158" i="12"/>
  <c r="AM158" i="12"/>
  <c r="AO157" i="12"/>
  <c r="AN157" i="12" s="1"/>
  <c r="AM157" i="12"/>
  <c r="AO156" i="12"/>
  <c r="AN156" i="12"/>
  <c r="AM156" i="12"/>
  <c r="AO155" i="12"/>
  <c r="AN155" i="12"/>
  <c r="AM155" i="12"/>
  <c r="AO154" i="12"/>
  <c r="AN154" i="12"/>
  <c r="AM154" i="12"/>
  <c r="AO153" i="12"/>
  <c r="AN153" i="12" s="1"/>
  <c r="AM153" i="12"/>
  <c r="AO152" i="12"/>
  <c r="AN152" i="12"/>
  <c r="AM152" i="12"/>
  <c r="AO151" i="12"/>
  <c r="AN151" i="12"/>
  <c r="AM151" i="12"/>
  <c r="AO150" i="12"/>
  <c r="AN150" i="12"/>
  <c r="AM150" i="12"/>
  <c r="AO149" i="12"/>
  <c r="AN149" i="12" s="1"/>
  <c r="AM149" i="12"/>
  <c r="AO148" i="12"/>
  <c r="AN148" i="12"/>
  <c r="AM148" i="12"/>
  <c r="AO147" i="12"/>
  <c r="AN147" i="12"/>
  <c r="AM147" i="12"/>
  <c r="AO146" i="12"/>
  <c r="AN146" i="12"/>
  <c r="AM146" i="12"/>
  <c r="AO145" i="12"/>
  <c r="AN145" i="12" s="1"/>
  <c r="AM145" i="12"/>
  <c r="AO144" i="12"/>
  <c r="AN144" i="12"/>
  <c r="AM144" i="12"/>
  <c r="AO143" i="12"/>
  <c r="AN143" i="12"/>
  <c r="AM143" i="12"/>
  <c r="AO142" i="12"/>
  <c r="AN142" i="12"/>
  <c r="AM142" i="12"/>
  <c r="AO141" i="12"/>
  <c r="AN141" i="12" s="1"/>
  <c r="AM141" i="12"/>
  <c r="AO140" i="12"/>
  <c r="AN140" i="12"/>
  <c r="AM140" i="12"/>
  <c r="AO139" i="12"/>
  <c r="AN139" i="12"/>
  <c r="AM139" i="12"/>
  <c r="AO138" i="12"/>
  <c r="AN138" i="12"/>
  <c r="AM138" i="12"/>
  <c r="AO137" i="12"/>
  <c r="AN137" i="12" s="1"/>
  <c r="AM137" i="12"/>
  <c r="AO136" i="12"/>
  <c r="AN136" i="12"/>
  <c r="AM136" i="12"/>
  <c r="AO135" i="12"/>
  <c r="AN135" i="12"/>
  <c r="AM135" i="12"/>
  <c r="AO134" i="12"/>
  <c r="AN134" i="12"/>
  <c r="AM134" i="12"/>
  <c r="AO133" i="12"/>
  <c r="AN133" i="12" s="1"/>
  <c r="AM133" i="12"/>
  <c r="AO132" i="12"/>
  <c r="AN132" i="12"/>
  <c r="AM132" i="12"/>
  <c r="AO131" i="12"/>
  <c r="AN131" i="12"/>
  <c r="AM131" i="12"/>
  <c r="AO130" i="12"/>
  <c r="AN130" i="12"/>
  <c r="AM130" i="12"/>
  <c r="AO129" i="12"/>
  <c r="AN129" i="12" s="1"/>
  <c r="AM129" i="12"/>
  <c r="AO128" i="12"/>
  <c r="AN128" i="12"/>
  <c r="AM128" i="12"/>
  <c r="AO127" i="12"/>
  <c r="AN127" i="12"/>
  <c r="AM127" i="12"/>
  <c r="AO126" i="12"/>
  <c r="AN126" i="12"/>
  <c r="AM126" i="12"/>
  <c r="AO125" i="12"/>
  <c r="AN125" i="12" s="1"/>
  <c r="AM125" i="12"/>
  <c r="AO124" i="12"/>
  <c r="AN124" i="12"/>
  <c r="AM124" i="12"/>
  <c r="AO123" i="12"/>
  <c r="AN123" i="12"/>
  <c r="AM123" i="12"/>
  <c r="AO122" i="12"/>
  <c r="AN122" i="12"/>
  <c r="AM122" i="12"/>
  <c r="AO121" i="12"/>
  <c r="AN121" i="12" s="1"/>
  <c r="AM121" i="12"/>
  <c r="AO120" i="12"/>
  <c r="AN120" i="12"/>
  <c r="AM120" i="12"/>
  <c r="AO119" i="12"/>
  <c r="AN119" i="12"/>
  <c r="AM119" i="12"/>
  <c r="AO118" i="12"/>
  <c r="AN118" i="12"/>
  <c r="AM118" i="12"/>
  <c r="AO117" i="12"/>
  <c r="AN117" i="12" s="1"/>
  <c r="AM117" i="12"/>
  <c r="AO116" i="12"/>
  <c r="AN116" i="12"/>
  <c r="AM116" i="12"/>
  <c r="AO115" i="12"/>
  <c r="AN115" i="12"/>
  <c r="AM115" i="12"/>
  <c r="AO114" i="12"/>
  <c r="AN114" i="12"/>
  <c r="AM114" i="12"/>
  <c r="AO113" i="12"/>
  <c r="AN113" i="12" s="1"/>
  <c r="AM113" i="12"/>
  <c r="AO112" i="12"/>
  <c r="AN112" i="12"/>
  <c r="AM112" i="12"/>
  <c r="AO111" i="12"/>
  <c r="AN111" i="12"/>
  <c r="AM111" i="12"/>
  <c r="AO110" i="12"/>
  <c r="AN110" i="12"/>
  <c r="AM110" i="12"/>
  <c r="AO109" i="12"/>
  <c r="AN109" i="12" s="1"/>
  <c r="AM109" i="12"/>
  <c r="AO108" i="12"/>
  <c r="AN108" i="12"/>
  <c r="AM108" i="12"/>
  <c r="AO107" i="12"/>
  <c r="AN107" i="12"/>
  <c r="AM107" i="12"/>
  <c r="AO106" i="12"/>
  <c r="AN106" i="12"/>
  <c r="AM106" i="12"/>
  <c r="AO105" i="12"/>
  <c r="AN105" i="12" s="1"/>
  <c r="AM105" i="12"/>
  <c r="AO104" i="12"/>
  <c r="AN104" i="12"/>
  <c r="AM104" i="12"/>
  <c r="AO103" i="12"/>
  <c r="AN103" i="12"/>
  <c r="AM103" i="12"/>
  <c r="AO102" i="12"/>
  <c r="AN102" i="12"/>
  <c r="AM102" i="12"/>
  <c r="AO101" i="12"/>
  <c r="AN101" i="12" s="1"/>
  <c r="AM101" i="12"/>
  <c r="AO100" i="12"/>
  <c r="AN100" i="12"/>
  <c r="AM100" i="12"/>
  <c r="AO99" i="12"/>
  <c r="AN99" i="12"/>
  <c r="AM99" i="12"/>
  <c r="AO98" i="12"/>
  <c r="AN98" i="12"/>
  <c r="AM98" i="12"/>
  <c r="AO97" i="12"/>
  <c r="AN97" i="12" s="1"/>
  <c r="AM97" i="12"/>
  <c r="AO96" i="12"/>
  <c r="AN96" i="12"/>
  <c r="AM96" i="12"/>
  <c r="AO95" i="12"/>
  <c r="AN95" i="12"/>
  <c r="AM95" i="12"/>
  <c r="AO94" i="12"/>
  <c r="AN94" i="12"/>
  <c r="AM94" i="12"/>
  <c r="AO93" i="12"/>
  <c r="AN93" i="12" s="1"/>
  <c r="AM93" i="12"/>
  <c r="AO92" i="12"/>
  <c r="AN92" i="12"/>
  <c r="AM92" i="12"/>
  <c r="AO91" i="12"/>
  <c r="AN91" i="12"/>
  <c r="AM91" i="12"/>
  <c r="AO90" i="12"/>
  <c r="AN90" i="12"/>
  <c r="AM90" i="12"/>
  <c r="AO89" i="12"/>
  <c r="AN89" i="12" s="1"/>
  <c r="AM89" i="12"/>
  <c r="AO88" i="12"/>
  <c r="AN88" i="12"/>
  <c r="AM88" i="12"/>
  <c r="AO87" i="12"/>
  <c r="AN87" i="12"/>
  <c r="AM87" i="12"/>
  <c r="AO86" i="12"/>
  <c r="AN86" i="12"/>
  <c r="AM86" i="12"/>
  <c r="AO85" i="12"/>
  <c r="AN85" i="12" s="1"/>
  <c r="AM85" i="12"/>
  <c r="AO84" i="12"/>
  <c r="AN84" i="12"/>
  <c r="AM84" i="12"/>
  <c r="AO83" i="12"/>
  <c r="AN83" i="12"/>
  <c r="AM83" i="12"/>
  <c r="AO82" i="12"/>
  <c r="AN82" i="12" s="1"/>
  <c r="AM82" i="12"/>
  <c r="AO81" i="12"/>
  <c r="AN81" i="12" s="1"/>
  <c r="AM81" i="12"/>
  <c r="AO80" i="12"/>
  <c r="AN80" i="12"/>
  <c r="AM80" i="12"/>
  <c r="AO79" i="12"/>
  <c r="AN79" i="12"/>
  <c r="AM79" i="12"/>
  <c r="AO78" i="12"/>
  <c r="AN78" i="12" s="1"/>
  <c r="AM78" i="12"/>
  <c r="AO77" i="12"/>
  <c r="AN77" i="12" s="1"/>
  <c r="AM77" i="12"/>
  <c r="AO76" i="12"/>
  <c r="AN76" i="12"/>
  <c r="AM76" i="12"/>
  <c r="AO75" i="12"/>
  <c r="AN75" i="12"/>
  <c r="AM75" i="12"/>
  <c r="AO74" i="12"/>
  <c r="AN74" i="12" s="1"/>
  <c r="AM74" i="12"/>
  <c r="AO73" i="12"/>
  <c r="AN73" i="12" s="1"/>
  <c r="AM73" i="12"/>
  <c r="AO72" i="12"/>
  <c r="AN72" i="12"/>
  <c r="AM72" i="12"/>
  <c r="AO71" i="12"/>
  <c r="AN71" i="12"/>
  <c r="AM71" i="12"/>
  <c r="AO70" i="12"/>
  <c r="AN70" i="12" s="1"/>
  <c r="AM70" i="12"/>
  <c r="AO69" i="12"/>
  <c r="AN69" i="12" s="1"/>
  <c r="AM69" i="12"/>
  <c r="AO68" i="12"/>
  <c r="AN68" i="12"/>
  <c r="AM68" i="12"/>
  <c r="AO67" i="12"/>
  <c r="AN67" i="12"/>
  <c r="AM67" i="12"/>
  <c r="AO66" i="12"/>
  <c r="AN66" i="12" s="1"/>
  <c r="AM66" i="12"/>
  <c r="AO65" i="12"/>
  <c r="AN65" i="12" s="1"/>
  <c r="AM65" i="12"/>
  <c r="AO64" i="12"/>
  <c r="AN64" i="12"/>
  <c r="AM64" i="12"/>
  <c r="AO63" i="12"/>
  <c r="AN63" i="12"/>
  <c r="AM63" i="12"/>
  <c r="AO62" i="12"/>
  <c r="AN62" i="12" s="1"/>
  <c r="AM62" i="12"/>
  <c r="AO61" i="12"/>
  <c r="AN61" i="12" s="1"/>
  <c r="AM61" i="12"/>
  <c r="AO60" i="12"/>
  <c r="AN60" i="12"/>
  <c r="AM60" i="12"/>
  <c r="AO59" i="12"/>
  <c r="AN59" i="12"/>
  <c r="AM59" i="12"/>
  <c r="AO58" i="12"/>
  <c r="AN58" i="12" s="1"/>
  <c r="AM58" i="12"/>
  <c r="AO57" i="12"/>
  <c r="AN57" i="12" s="1"/>
  <c r="AM57" i="12"/>
  <c r="AO56" i="12"/>
  <c r="AN56" i="12"/>
  <c r="AM56" i="12"/>
  <c r="AO55" i="12"/>
  <c r="AN55" i="12"/>
  <c r="AM55" i="12"/>
  <c r="AO54" i="12"/>
  <c r="AN54" i="12" s="1"/>
  <c r="AM54" i="12"/>
  <c r="AO53" i="12"/>
  <c r="AN53" i="12" s="1"/>
  <c r="AM53" i="12"/>
  <c r="AO52" i="12"/>
  <c r="AN52" i="12"/>
  <c r="AM52" i="12"/>
  <c r="AO51" i="12"/>
  <c r="AN51" i="12"/>
  <c r="AM51" i="12"/>
  <c r="AO50" i="12"/>
  <c r="AN50" i="12" s="1"/>
  <c r="AM50" i="12"/>
  <c r="AO49" i="12"/>
  <c r="AN49" i="12" s="1"/>
  <c r="AM49" i="12"/>
  <c r="AO48" i="12"/>
  <c r="AN48" i="12"/>
  <c r="AM48" i="12"/>
  <c r="AO47" i="12"/>
  <c r="AN47" i="12"/>
  <c r="AM47" i="12"/>
  <c r="AO46" i="12"/>
  <c r="AN46" i="12" s="1"/>
  <c r="AM46" i="12"/>
  <c r="AO45" i="12"/>
  <c r="AN45" i="12" s="1"/>
  <c r="AM45" i="12"/>
  <c r="AO44" i="12"/>
  <c r="AN44" i="12"/>
  <c r="AM44" i="12"/>
  <c r="AO43" i="12"/>
  <c r="AN43" i="12"/>
  <c r="AM43" i="12"/>
  <c r="AO42" i="12"/>
  <c r="AN42" i="12" s="1"/>
  <c r="AM42" i="12"/>
  <c r="AO41" i="12"/>
  <c r="AN41" i="12" s="1"/>
  <c r="AM41" i="12"/>
  <c r="AO40" i="12"/>
  <c r="AN40" i="12"/>
  <c r="AM40" i="12"/>
  <c r="AO39" i="12"/>
  <c r="AN39" i="12"/>
  <c r="AM39" i="12"/>
  <c r="AO38" i="12"/>
  <c r="AN38" i="12" s="1"/>
  <c r="AM38" i="12"/>
  <c r="AO37" i="12"/>
  <c r="AN37" i="12" s="1"/>
  <c r="AM37" i="12"/>
  <c r="AO36" i="12"/>
  <c r="AN36" i="12"/>
  <c r="AM36" i="12"/>
  <c r="AO35" i="12"/>
  <c r="AN35" i="12"/>
  <c r="AM35" i="12"/>
  <c r="AO34" i="12"/>
  <c r="AN34" i="12" s="1"/>
  <c r="AM34" i="12"/>
  <c r="AO33" i="12"/>
  <c r="AN33" i="12" s="1"/>
  <c r="AM33" i="12"/>
  <c r="AO32" i="12"/>
  <c r="AN32" i="12"/>
  <c r="AM32" i="12"/>
  <c r="AO31" i="12"/>
  <c r="AN31" i="12"/>
  <c r="AM31" i="12"/>
  <c r="AO30" i="12"/>
  <c r="AN30" i="12" s="1"/>
  <c r="AM30" i="12"/>
  <c r="AO29" i="12"/>
  <c r="AN29" i="12" s="1"/>
  <c r="AM29" i="12"/>
  <c r="AO28" i="12"/>
  <c r="AN28" i="12"/>
  <c r="AM28" i="12"/>
  <c r="AO27" i="12"/>
  <c r="AN27" i="12"/>
  <c r="AM27" i="12"/>
  <c r="AO26" i="12"/>
  <c r="AN26" i="12" s="1"/>
  <c r="AM26" i="12"/>
  <c r="AO25" i="12"/>
  <c r="AN25" i="12" s="1"/>
  <c r="AM25" i="12"/>
  <c r="AO24" i="12"/>
  <c r="AN24" i="12"/>
  <c r="AM24" i="12"/>
  <c r="AO23" i="12"/>
  <c r="AN23" i="12"/>
  <c r="AM23" i="12"/>
  <c r="AO22" i="12"/>
  <c r="AN22" i="12" s="1"/>
  <c r="AM22" i="12"/>
  <c r="AO21" i="12"/>
  <c r="AN21" i="12" s="1"/>
  <c r="AM21" i="12"/>
  <c r="AO20" i="12"/>
  <c r="AN20" i="12"/>
  <c r="AM20" i="12"/>
  <c r="AO19" i="12"/>
  <c r="AN19" i="12"/>
  <c r="AM19" i="12"/>
  <c r="AO18" i="12"/>
  <c r="AN18" i="12" s="1"/>
  <c r="AM18" i="12"/>
  <c r="AO17" i="12"/>
  <c r="AN17" i="12" s="1"/>
  <c r="AM17" i="12"/>
  <c r="AO16" i="12"/>
  <c r="AN16" i="12"/>
  <c r="AM16" i="12"/>
  <c r="AO15" i="12"/>
  <c r="AN15" i="12"/>
  <c r="AM15" i="12"/>
  <c r="AO14" i="12"/>
  <c r="AN14" i="12" s="1"/>
  <c r="AM14" i="12"/>
  <c r="AO13" i="12"/>
  <c r="AN13" i="12" s="1"/>
  <c r="AM13" i="12"/>
  <c r="AO12" i="12"/>
  <c r="AM12" i="12"/>
  <c r="AO11" i="12"/>
  <c r="AM11" i="12"/>
  <c r="AO10" i="12"/>
  <c r="AN10" i="12" s="1"/>
  <c r="AM10" i="12"/>
  <c r="AO9" i="12"/>
  <c r="AN9" i="12" s="1"/>
  <c r="AM9" i="12"/>
  <c r="AO8" i="12"/>
  <c r="AN8" i="12" s="1"/>
  <c r="AM8" i="12"/>
  <c r="AO7" i="12"/>
  <c r="AM7" i="12"/>
  <c r="AO6" i="12"/>
  <c r="AN6" i="12" s="1"/>
  <c r="AM6" i="12"/>
  <c r="AO5" i="12"/>
  <c r="AN5" i="12" s="1"/>
  <c r="AM5" i="12"/>
  <c r="AO4" i="12"/>
  <c r="AN4" i="12" s="1"/>
  <c r="AM4" i="12"/>
  <c r="AO3" i="12"/>
  <c r="AM3" i="12"/>
  <c r="AO2" i="12"/>
  <c r="AN2" i="12" s="1"/>
  <c r="AM2" i="12"/>
  <c r="AM1" i="12"/>
  <c r="AG205" i="5"/>
  <c r="AG206" i="5"/>
  <c r="AF205" i="5"/>
  <c r="AE204" i="5"/>
  <c r="AH4" i="1"/>
  <c r="AH5" i="1"/>
  <c r="AH6" i="1"/>
  <c r="AH7" i="1"/>
  <c r="AH8" i="1"/>
  <c r="AH9" i="1"/>
  <c r="AH10" i="1"/>
  <c r="AH12" i="1"/>
  <c r="AH11" i="1"/>
  <c r="AH13" i="1"/>
  <c r="AH14" i="1"/>
  <c r="AH15" i="1"/>
  <c r="AH16" i="1"/>
  <c r="AH17" i="1"/>
  <c r="AH18" i="1"/>
  <c r="AH19" i="1"/>
  <c r="AH2" i="1"/>
  <c r="AL9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50" i="12"/>
  <c r="AL51" i="12"/>
  <c r="AL52" i="12"/>
  <c r="AL53" i="12"/>
  <c r="AL54" i="12"/>
  <c r="AL55" i="12"/>
  <c r="AL56" i="12"/>
  <c r="AL57" i="12"/>
  <c r="AL58" i="12"/>
  <c r="AL59" i="12"/>
  <c r="AL60" i="12"/>
  <c r="AK60" i="12" s="1"/>
  <c r="AL61" i="12"/>
  <c r="AL62" i="12"/>
  <c r="AL63" i="12"/>
  <c r="AL64" i="12"/>
  <c r="AK64" i="12" s="1"/>
  <c r="AL65" i="12"/>
  <c r="AL66" i="12"/>
  <c r="AL67" i="12"/>
  <c r="AL68" i="12"/>
  <c r="AK68" i="12" s="1"/>
  <c r="AL69" i="12"/>
  <c r="AL70" i="12"/>
  <c r="AL71" i="12"/>
  <c r="AL72" i="12"/>
  <c r="AL73" i="12"/>
  <c r="AL74" i="12"/>
  <c r="AL75" i="12"/>
  <c r="AL76" i="12"/>
  <c r="AK76" i="12" s="1"/>
  <c r="AL77" i="12"/>
  <c r="AL78" i="12"/>
  <c r="AL79" i="12"/>
  <c r="AL80" i="12"/>
  <c r="AK80" i="12" s="1"/>
  <c r="AL81" i="12"/>
  <c r="AL82" i="12"/>
  <c r="AL83" i="12"/>
  <c r="AL84" i="12"/>
  <c r="AK84" i="12" s="1"/>
  <c r="AL85" i="12"/>
  <c r="AL86" i="12"/>
  <c r="AL87" i="12"/>
  <c r="AL88" i="12"/>
  <c r="AK88" i="12" s="1"/>
  <c r="AL89" i="12"/>
  <c r="AL90" i="12"/>
  <c r="AL91" i="12"/>
  <c r="AL92" i="12"/>
  <c r="AK92" i="12" s="1"/>
  <c r="AL93" i="12"/>
  <c r="AL94" i="12"/>
  <c r="AL95" i="12"/>
  <c r="AL96" i="12"/>
  <c r="AK96" i="12" s="1"/>
  <c r="AL97" i="12"/>
  <c r="AL98" i="12"/>
  <c r="AL99" i="12"/>
  <c r="AL100" i="12"/>
  <c r="AL101" i="12"/>
  <c r="AL102" i="12"/>
  <c r="AL103" i="12"/>
  <c r="AL104" i="12"/>
  <c r="AK104" i="12" s="1"/>
  <c r="AL105" i="12"/>
  <c r="AL106" i="12"/>
  <c r="AL107" i="12"/>
  <c r="AL108" i="12"/>
  <c r="AK108" i="12" s="1"/>
  <c r="AL109" i="12"/>
  <c r="AL110" i="12"/>
  <c r="AL111" i="12"/>
  <c r="AL112" i="12"/>
  <c r="AL113" i="12"/>
  <c r="AL114" i="12"/>
  <c r="AL115" i="12"/>
  <c r="AL116" i="12"/>
  <c r="AK116" i="12" s="1"/>
  <c r="AL117" i="12"/>
  <c r="AL118" i="12"/>
  <c r="AL119" i="12"/>
  <c r="AL120" i="12"/>
  <c r="AK120" i="12" s="1"/>
  <c r="AL121" i="12"/>
  <c r="AL122" i="12"/>
  <c r="AL123" i="12"/>
  <c r="AL124" i="12"/>
  <c r="AK124" i="12" s="1"/>
  <c r="AL125" i="12"/>
  <c r="AL126" i="12"/>
  <c r="AL127" i="12"/>
  <c r="AL128" i="12"/>
  <c r="AK128" i="12" s="1"/>
  <c r="AL129" i="12"/>
  <c r="AL130" i="12"/>
  <c r="AL131" i="12"/>
  <c r="AL132" i="12"/>
  <c r="AK132" i="12" s="1"/>
  <c r="AL133" i="12"/>
  <c r="AL134" i="12"/>
  <c r="AL135" i="12"/>
  <c r="AL136" i="12"/>
  <c r="AK136" i="12" s="1"/>
  <c r="AL137" i="12"/>
  <c r="AL138" i="12"/>
  <c r="AL139" i="12"/>
  <c r="AL140" i="12"/>
  <c r="AL141" i="12"/>
  <c r="AL142" i="12"/>
  <c r="AL143" i="12"/>
  <c r="AL144" i="12"/>
  <c r="AK144" i="12" s="1"/>
  <c r="AL145" i="12"/>
  <c r="AL146" i="12"/>
  <c r="AL147" i="12"/>
  <c r="AL148" i="12"/>
  <c r="AK148" i="12" s="1"/>
  <c r="AL149" i="12"/>
  <c r="AL150" i="12"/>
  <c r="AL151" i="12"/>
  <c r="AL152" i="12"/>
  <c r="AK152" i="12" s="1"/>
  <c r="AL153" i="12"/>
  <c r="AL154" i="12"/>
  <c r="AL155" i="12"/>
  <c r="AL156" i="12"/>
  <c r="AK156" i="12" s="1"/>
  <c r="AL157" i="12"/>
  <c r="AL158" i="12"/>
  <c r="AL159" i="12"/>
  <c r="AL160" i="12"/>
  <c r="AK160" i="12" s="1"/>
  <c r="AL161" i="12"/>
  <c r="AL162" i="12"/>
  <c r="AL163" i="12"/>
  <c r="AL164" i="12"/>
  <c r="AK164" i="12" s="1"/>
  <c r="AL165" i="12"/>
  <c r="AL166" i="12"/>
  <c r="AL167" i="12"/>
  <c r="AL168" i="12"/>
  <c r="AK168" i="12" s="1"/>
  <c r="AL169" i="12"/>
  <c r="AL170" i="12"/>
  <c r="AL171" i="12"/>
  <c r="AL172" i="12"/>
  <c r="AK172" i="12" s="1"/>
  <c r="AL173" i="12"/>
  <c r="AL174" i="12"/>
  <c r="AL175" i="12"/>
  <c r="AL176" i="12"/>
  <c r="AK176" i="12" s="1"/>
  <c r="AL177" i="12"/>
  <c r="AL178" i="12"/>
  <c r="AL179" i="12"/>
  <c r="AL180" i="12"/>
  <c r="AK180" i="12" s="1"/>
  <c r="AL181" i="12"/>
  <c r="AL182" i="12"/>
  <c r="AL183" i="12"/>
  <c r="AL184" i="12"/>
  <c r="AK184" i="12" s="1"/>
  <c r="AL185" i="12"/>
  <c r="AL186" i="12"/>
  <c r="AL187" i="12"/>
  <c r="AL188" i="12"/>
  <c r="AL189" i="12"/>
  <c r="AL190" i="12"/>
  <c r="AL191" i="12"/>
  <c r="AL192" i="12"/>
  <c r="AL193" i="12"/>
  <c r="AL194" i="12"/>
  <c r="AL195" i="12"/>
  <c r="AL196" i="12"/>
  <c r="AK196" i="12" s="1"/>
  <c r="AL197" i="12"/>
  <c r="AL198" i="12"/>
  <c r="AL199" i="12"/>
  <c r="AL200" i="12"/>
  <c r="AL201" i="12"/>
  <c r="AL202" i="12"/>
  <c r="AL203" i="12"/>
  <c r="AL204" i="12"/>
  <c r="AL205" i="12"/>
  <c r="AL206" i="12"/>
  <c r="AL207" i="12"/>
  <c r="AL208" i="12"/>
  <c r="AL209" i="12"/>
  <c r="AL210" i="12"/>
  <c r="AL211" i="12"/>
  <c r="AL212" i="12"/>
  <c r="AL213" i="12"/>
  <c r="AL214" i="12"/>
  <c r="AL215" i="12"/>
  <c r="AL216" i="12"/>
  <c r="AL217" i="12"/>
  <c r="AL218" i="12"/>
  <c r="AL219" i="12"/>
  <c r="AL220" i="12"/>
  <c r="AL221" i="12"/>
  <c r="AL222" i="12"/>
  <c r="AL223" i="12"/>
  <c r="AL224" i="12"/>
  <c r="AL225" i="12"/>
  <c r="AL226" i="12"/>
  <c r="AL227" i="12"/>
  <c r="AL228" i="12"/>
  <c r="AL229" i="12"/>
  <c r="AL230" i="12"/>
  <c r="AL3" i="12"/>
  <c r="AL4" i="12"/>
  <c r="AL5" i="12"/>
  <c r="AL6" i="12"/>
  <c r="AL7" i="12"/>
  <c r="AL2" i="12"/>
  <c r="AE7" i="1"/>
  <c r="AE8" i="1"/>
  <c r="AE9" i="1"/>
  <c r="AE10" i="1"/>
  <c r="AE12" i="1"/>
  <c r="AE11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" i="1"/>
  <c r="AE4" i="1"/>
  <c r="AE5" i="1"/>
  <c r="AL10" i="12" s="1"/>
  <c r="AE6" i="1"/>
  <c r="AL8" i="12" s="1"/>
  <c r="AE3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4" i="1"/>
  <c r="Y5" i="1"/>
  <c r="Y6" i="1"/>
  <c r="Y7" i="1"/>
  <c r="AF9" i="12" s="1"/>
  <c r="Y8" i="1"/>
  <c r="AF8" i="12" s="1"/>
  <c r="Y9" i="1"/>
  <c r="Y10" i="1"/>
  <c r="Y12" i="1"/>
  <c r="Y11" i="1"/>
  <c r="Y13" i="1"/>
  <c r="Y14" i="1"/>
  <c r="Y15" i="1"/>
  <c r="Y16" i="1"/>
  <c r="Y17" i="1"/>
  <c r="Y2" i="1"/>
  <c r="Y3" i="1"/>
  <c r="AF3" i="12" s="1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E59" i="12" s="1"/>
  <c r="AF60" i="12"/>
  <c r="AE60" i="12" s="1"/>
  <c r="AF61" i="12"/>
  <c r="AF62" i="12"/>
  <c r="AE62" i="12" s="1"/>
  <c r="AF63" i="12"/>
  <c r="AE63" i="12" s="1"/>
  <c r="AF64" i="12"/>
  <c r="AE64" i="12" s="1"/>
  <c r="AF65" i="12"/>
  <c r="AF66" i="12"/>
  <c r="AE66" i="12" s="1"/>
  <c r="AF67" i="12"/>
  <c r="AE67" i="12" s="1"/>
  <c r="AF68" i="12"/>
  <c r="AE68" i="12" s="1"/>
  <c r="AF69" i="12"/>
  <c r="AF70" i="12"/>
  <c r="AE70" i="12" s="1"/>
  <c r="AF71" i="12"/>
  <c r="AF72" i="12"/>
  <c r="AE72" i="12" s="1"/>
  <c r="AF73" i="12"/>
  <c r="AF74" i="12"/>
  <c r="AE74" i="12" s="1"/>
  <c r="AF75" i="12"/>
  <c r="AF76" i="12"/>
  <c r="AE76" i="12" s="1"/>
  <c r="AF77" i="12"/>
  <c r="AF78" i="12"/>
  <c r="AE78" i="12" s="1"/>
  <c r="AF79" i="12"/>
  <c r="AE79" i="12" s="1"/>
  <c r="AF80" i="12"/>
  <c r="AE80" i="12" s="1"/>
  <c r="AF81" i="12"/>
  <c r="AF82" i="12"/>
  <c r="AE82" i="12" s="1"/>
  <c r="AF83" i="12"/>
  <c r="AF84" i="12"/>
  <c r="AE84" i="12" s="1"/>
  <c r="AF85" i="12"/>
  <c r="AF86" i="12"/>
  <c r="AE86" i="12" s="1"/>
  <c r="AF87" i="12"/>
  <c r="AF88" i="12"/>
  <c r="AE88" i="12" s="1"/>
  <c r="AF89" i="12"/>
  <c r="AF90" i="12"/>
  <c r="AE90" i="12" s="1"/>
  <c r="AF91" i="12"/>
  <c r="AE91" i="12" s="1"/>
  <c r="AF92" i="12"/>
  <c r="AF93" i="12"/>
  <c r="AF94" i="12"/>
  <c r="AE94" i="12" s="1"/>
  <c r="AF95" i="12"/>
  <c r="AF96" i="12"/>
  <c r="AF97" i="12"/>
  <c r="AF98" i="12"/>
  <c r="AE98" i="12" s="1"/>
  <c r="AF99" i="12"/>
  <c r="AE99" i="12" s="1"/>
  <c r="AF100" i="12"/>
  <c r="AF101" i="12"/>
  <c r="AF102" i="12"/>
  <c r="AE102" i="12" s="1"/>
  <c r="AF103" i="12"/>
  <c r="AE103" i="12" s="1"/>
  <c r="AF104" i="12"/>
  <c r="AE104" i="12" s="1"/>
  <c r="AF105" i="12"/>
  <c r="AF106" i="12"/>
  <c r="AF107" i="12"/>
  <c r="AE107" i="12" s="1"/>
  <c r="AF108" i="12"/>
  <c r="AE108" i="12" s="1"/>
  <c r="AF109" i="12"/>
  <c r="AF110" i="12"/>
  <c r="AE110" i="12" s="1"/>
  <c r="AF111" i="12"/>
  <c r="AE111" i="12" s="1"/>
  <c r="AF112" i="12"/>
  <c r="AE112" i="12" s="1"/>
  <c r="AF113" i="12"/>
  <c r="AF114" i="12"/>
  <c r="AE114" i="12" s="1"/>
  <c r="AF115" i="12"/>
  <c r="AF116" i="12"/>
  <c r="AE116" i="12" s="1"/>
  <c r="AF117" i="12"/>
  <c r="AF118" i="12"/>
  <c r="AE118" i="12" s="1"/>
  <c r="AF119" i="12"/>
  <c r="AE119" i="12" s="1"/>
  <c r="AF120" i="12"/>
  <c r="AE120" i="12" s="1"/>
  <c r="AF121" i="12"/>
  <c r="AF122" i="12"/>
  <c r="AE122" i="12" s="1"/>
  <c r="AF123" i="12"/>
  <c r="AF124" i="12"/>
  <c r="AF125" i="12"/>
  <c r="AF126" i="12"/>
  <c r="AE126" i="12" s="1"/>
  <c r="AF127" i="12"/>
  <c r="AF128" i="12"/>
  <c r="AE128" i="12" s="1"/>
  <c r="AF129" i="12"/>
  <c r="AF130" i="12"/>
  <c r="AE130" i="12" s="1"/>
  <c r="AF131" i="12"/>
  <c r="AF132" i="12"/>
  <c r="AE132" i="12" s="1"/>
  <c r="AF133" i="12"/>
  <c r="AF134" i="12"/>
  <c r="AE134" i="12" s="1"/>
  <c r="AF135" i="12"/>
  <c r="AE135" i="12" s="1"/>
  <c r="AF136" i="12"/>
  <c r="AE136" i="12" s="1"/>
  <c r="AF137" i="12"/>
  <c r="AF138" i="12"/>
  <c r="AE138" i="12" s="1"/>
  <c r="AF139" i="12"/>
  <c r="AE139" i="12" s="1"/>
  <c r="AF140" i="12"/>
  <c r="AE140" i="12" s="1"/>
  <c r="AF141" i="12"/>
  <c r="AF142" i="12"/>
  <c r="AF143" i="12"/>
  <c r="AE143" i="12" s="1"/>
  <c r="AF144" i="12"/>
  <c r="AE144" i="12" s="1"/>
  <c r="AF145" i="12"/>
  <c r="AF146" i="12"/>
  <c r="AF147" i="12"/>
  <c r="AF148" i="12"/>
  <c r="AE148" i="12" s="1"/>
  <c r="AF149" i="12"/>
  <c r="AF150" i="12"/>
  <c r="AF151" i="12"/>
  <c r="AF152" i="12"/>
  <c r="AF153" i="12"/>
  <c r="AF154" i="12"/>
  <c r="AE154" i="12" s="1"/>
  <c r="AF155" i="12"/>
  <c r="AE155" i="12" s="1"/>
  <c r="AF156" i="12"/>
  <c r="AE156" i="12" s="1"/>
  <c r="AF157" i="12"/>
  <c r="AF158" i="12"/>
  <c r="AE158" i="12" s="1"/>
  <c r="AF159" i="12"/>
  <c r="AE159" i="12" s="1"/>
  <c r="AF160" i="12"/>
  <c r="AE160" i="12" s="1"/>
  <c r="AF161" i="12"/>
  <c r="AF162" i="12"/>
  <c r="AF163" i="12"/>
  <c r="AE163" i="12" s="1"/>
  <c r="AF164" i="12"/>
  <c r="AE164" i="12" s="1"/>
  <c r="AF165" i="12"/>
  <c r="AF166" i="12"/>
  <c r="AE166" i="12" s="1"/>
  <c r="AF167" i="12"/>
  <c r="AF168" i="12"/>
  <c r="AE168" i="12" s="1"/>
  <c r="AF169" i="12"/>
  <c r="AF170" i="12"/>
  <c r="AE170" i="12" s="1"/>
  <c r="AF171" i="12"/>
  <c r="AE171" i="12" s="1"/>
  <c r="AF172" i="12"/>
  <c r="AE172" i="12" s="1"/>
  <c r="AF173" i="12"/>
  <c r="AF174" i="12"/>
  <c r="AE174" i="12" s="1"/>
  <c r="AF175" i="12"/>
  <c r="AE175" i="12" s="1"/>
  <c r="AF176" i="12"/>
  <c r="AF177" i="12"/>
  <c r="AF178" i="12"/>
  <c r="AE178" i="12" s="1"/>
  <c r="AF179" i="12"/>
  <c r="AF180" i="12"/>
  <c r="AE180" i="12" s="1"/>
  <c r="AF181" i="12"/>
  <c r="AF182" i="12"/>
  <c r="AE182" i="12" s="1"/>
  <c r="AF183" i="12"/>
  <c r="AF184" i="12"/>
  <c r="AE184" i="12" s="1"/>
  <c r="AF185" i="12"/>
  <c r="AF186" i="12"/>
  <c r="AF187" i="12"/>
  <c r="AE187" i="12" s="1"/>
  <c r="AF188" i="12"/>
  <c r="AE188" i="12" s="1"/>
  <c r="AF189" i="12"/>
  <c r="AF190" i="12"/>
  <c r="AE190" i="12" s="1"/>
  <c r="AF191" i="12"/>
  <c r="AE191" i="12" s="1"/>
  <c r="AF192" i="12"/>
  <c r="AF193" i="12"/>
  <c r="AF194" i="12"/>
  <c r="AF195" i="12"/>
  <c r="AF196" i="12"/>
  <c r="AE196" i="12" s="1"/>
  <c r="AF197" i="12"/>
  <c r="AF198" i="12"/>
  <c r="AE198" i="12" s="1"/>
  <c r="AF199" i="12"/>
  <c r="AE199" i="12" s="1"/>
  <c r="AF200" i="12"/>
  <c r="AE200" i="12" s="1"/>
  <c r="AF201" i="12"/>
  <c r="AF202" i="12"/>
  <c r="AE202" i="12" s="1"/>
  <c r="AF203" i="12"/>
  <c r="AF204" i="12"/>
  <c r="AF205" i="12"/>
  <c r="AF206" i="12"/>
  <c r="AF207" i="12"/>
  <c r="AF208" i="12"/>
  <c r="AF209" i="12"/>
  <c r="AF210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V59" i="12" s="1"/>
  <c r="W60" i="12"/>
  <c r="W61" i="12"/>
  <c r="W62" i="12"/>
  <c r="V62" i="12" s="1"/>
  <c r="W63" i="12"/>
  <c r="W64" i="12"/>
  <c r="W65" i="12"/>
  <c r="W66" i="12"/>
  <c r="W67" i="12"/>
  <c r="V67" i="12" s="1"/>
  <c r="W68" i="12"/>
  <c r="W69" i="12"/>
  <c r="W70" i="12"/>
  <c r="W71" i="12"/>
  <c r="V71" i="12" s="1"/>
  <c r="W72" i="12"/>
  <c r="W73" i="12"/>
  <c r="W74" i="12"/>
  <c r="W75" i="12"/>
  <c r="W76" i="12"/>
  <c r="W77" i="12"/>
  <c r="W78" i="12"/>
  <c r="V78" i="12" s="1"/>
  <c r="W79" i="12"/>
  <c r="V79" i="12" s="1"/>
  <c r="W80" i="12"/>
  <c r="W81" i="12"/>
  <c r="W82" i="12"/>
  <c r="V82" i="12" s="1"/>
  <c r="W83" i="12"/>
  <c r="V83" i="12" s="1"/>
  <c r="W84" i="12"/>
  <c r="W85" i="12"/>
  <c r="W86" i="12"/>
  <c r="V86" i="12" s="1"/>
  <c r="W87" i="12"/>
  <c r="W88" i="12"/>
  <c r="W89" i="12"/>
  <c r="W90" i="12"/>
  <c r="V90" i="12" s="1"/>
  <c r="W91" i="12"/>
  <c r="V91" i="12" s="1"/>
  <c r="W92" i="12"/>
  <c r="W93" i="12"/>
  <c r="W94" i="12"/>
  <c r="V94" i="12" s="1"/>
  <c r="W95" i="12"/>
  <c r="W96" i="12"/>
  <c r="W97" i="12"/>
  <c r="W98" i="12"/>
  <c r="V98" i="12" s="1"/>
  <c r="W99" i="12"/>
  <c r="W100" i="12"/>
  <c r="W101" i="12"/>
  <c r="W102" i="12"/>
  <c r="V102" i="12" s="1"/>
  <c r="W103" i="12"/>
  <c r="W104" i="12"/>
  <c r="W105" i="12"/>
  <c r="W106" i="12"/>
  <c r="W107" i="12"/>
  <c r="V107" i="12" s="1"/>
  <c r="W108" i="12"/>
  <c r="W109" i="12"/>
  <c r="W110" i="12"/>
  <c r="W111" i="12"/>
  <c r="W112" i="12"/>
  <c r="W113" i="12"/>
  <c r="W114" i="12"/>
  <c r="V114" i="12" s="1"/>
  <c r="W115" i="12"/>
  <c r="V115" i="12" s="1"/>
  <c r="W116" i="12"/>
  <c r="W117" i="12"/>
  <c r="W118" i="12"/>
  <c r="W119" i="12"/>
  <c r="V119" i="12" s="1"/>
  <c r="W120" i="12"/>
  <c r="W121" i="12"/>
  <c r="W122" i="12"/>
  <c r="V122" i="12" s="1"/>
  <c r="W123" i="12"/>
  <c r="W124" i="12"/>
  <c r="W125" i="12"/>
  <c r="W126" i="12"/>
  <c r="V126" i="12" s="1"/>
  <c r="W127" i="12"/>
  <c r="W128" i="12"/>
  <c r="W129" i="12"/>
  <c r="W130" i="12"/>
  <c r="V130" i="12" s="1"/>
  <c r="W131" i="12"/>
  <c r="V131" i="12" s="1"/>
  <c r="W132" i="12"/>
  <c r="W133" i="12"/>
  <c r="W134" i="12"/>
  <c r="W135" i="12"/>
  <c r="V135" i="12" s="1"/>
  <c r="W136" i="12"/>
  <c r="W137" i="12"/>
  <c r="W138" i="12"/>
  <c r="W139" i="12"/>
  <c r="V139" i="12" s="1"/>
  <c r="W140" i="12"/>
  <c r="W141" i="12"/>
  <c r="W142" i="12"/>
  <c r="V142" i="12" s="1"/>
  <c r="W143" i="12"/>
  <c r="V143" i="12" s="1"/>
  <c r="W144" i="12"/>
  <c r="W145" i="12"/>
  <c r="W146" i="12"/>
  <c r="W147" i="12"/>
  <c r="V147" i="12" s="1"/>
  <c r="W148" i="12"/>
  <c r="W149" i="12"/>
  <c r="W150" i="12"/>
  <c r="W151" i="12"/>
  <c r="W152" i="12"/>
  <c r="W153" i="12"/>
  <c r="W154" i="12"/>
  <c r="V154" i="12" s="1"/>
  <c r="W155" i="12"/>
  <c r="V155" i="12" s="1"/>
  <c r="W156" i="12"/>
  <c r="W157" i="12"/>
  <c r="W158" i="12"/>
  <c r="V158" i="12" s="1"/>
  <c r="W159" i="12"/>
  <c r="V159" i="12" s="1"/>
  <c r="W160" i="12"/>
  <c r="W161" i="12"/>
  <c r="W162" i="12"/>
  <c r="W163" i="12"/>
  <c r="V163" i="12" s="1"/>
  <c r="W164" i="12"/>
  <c r="W165" i="12"/>
  <c r="W166" i="12"/>
  <c r="V166" i="12" s="1"/>
  <c r="W167" i="12"/>
  <c r="V167" i="12" s="1"/>
  <c r="W168" i="12"/>
  <c r="W169" i="12"/>
  <c r="W170" i="12"/>
  <c r="V170" i="12" s="1"/>
  <c r="W171" i="12"/>
  <c r="V171" i="12" s="1"/>
  <c r="W172" i="12"/>
  <c r="W173" i="12"/>
  <c r="W174" i="12"/>
  <c r="W175" i="12"/>
  <c r="V175" i="12" s="1"/>
  <c r="W176" i="12"/>
  <c r="W177" i="12"/>
  <c r="W178" i="12"/>
  <c r="W179" i="12"/>
  <c r="V179" i="12" s="1"/>
  <c r="W180" i="12"/>
  <c r="W181" i="12"/>
  <c r="W182" i="12"/>
  <c r="V182" i="12" s="1"/>
  <c r="W183" i="12"/>
  <c r="W184" i="12"/>
  <c r="W185" i="12"/>
  <c r="W186" i="12"/>
  <c r="V186" i="12" s="1"/>
  <c r="W187" i="12"/>
  <c r="V187" i="12" s="1"/>
  <c r="W188" i="12"/>
  <c r="W189" i="12"/>
  <c r="W190" i="12"/>
  <c r="W191" i="12"/>
  <c r="V191" i="12" s="1"/>
  <c r="W192" i="12"/>
  <c r="W193" i="12"/>
  <c r="W194" i="12"/>
  <c r="W195" i="12"/>
  <c r="V195" i="12" s="1"/>
  <c r="W196" i="12"/>
  <c r="W197" i="12"/>
  <c r="W198" i="12"/>
  <c r="V198" i="12" s="1"/>
  <c r="W199" i="12"/>
  <c r="W200" i="12"/>
  <c r="W201" i="12"/>
  <c r="W202" i="12"/>
  <c r="V202" i="12" s="1"/>
  <c r="W203" i="12"/>
  <c r="V203" i="12" s="1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13" i="12"/>
  <c r="W14" i="12"/>
  <c r="W15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S62" i="12" s="1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S78" i="12" s="1"/>
  <c r="T79" i="12"/>
  <c r="T80" i="12"/>
  <c r="T81" i="12"/>
  <c r="T82" i="12"/>
  <c r="S82" i="12" s="1"/>
  <c r="T83" i="12"/>
  <c r="T84" i="12"/>
  <c r="T85" i="12"/>
  <c r="T86" i="12"/>
  <c r="S86" i="12" s="1"/>
  <c r="T87" i="12"/>
  <c r="T88" i="12"/>
  <c r="T89" i="12"/>
  <c r="T90" i="12"/>
  <c r="S90" i="12" s="1"/>
  <c r="T91" i="12"/>
  <c r="T92" i="12"/>
  <c r="T93" i="12"/>
  <c r="T94" i="12"/>
  <c r="S94" i="12" s="1"/>
  <c r="T95" i="12"/>
  <c r="T96" i="12"/>
  <c r="T97" i="12"/>
  <c r="T98" i="12"/>
  <c r="S98" i="12" s="1"/>
  <c r="T99" i="12"/>
  <c r="T100" i="12"/>
  <c r="T101" i="12"/>
  <c r="T102" i="12"/>
  <c r="S102" i="12" s="1"/>
  <c r="T103" i="12"/>
  <c r="T104" i="12"/>
  <c r="T105" i="12"/>
  <c r="T106" i="12"/>
  <c r="T107" i="12"/>
  <c r="T108" i="12"/>
  <c r="T109" i="12"/>
  <c r="T110" i="12"/>
  <c r="S110" i="12" s="1"/>
  <c r="T111" i="12"/>
  <c r="T112" i="12"/>
  <c r="T113" i="12"/>
  <c r="T114" i="12"/>
  <c r="S114" i="12" s="1"/>
  <c r="T115" i="12"/>
  <c r="T116" i="12"/>
  <c r="T117" i="12"/>
  <c r="T118" i="12"/>
  <c r="S118" i="12" s="1"/>
  <c r="T119" i="12"/>
  <c r="T120" i="12"/>
  <c r="T121" i="12"/>
  <c r="T122" i="12"/>
  <c r="S122" i="12" s="1"/>
  <c r="T123" i="12"/>
  <c r="T124" i="12"/>
  <c r="T125" i="12"/>
  <c r="T126" i="12"/>
  <c r="S126" i="12" s="1"/>
  <c r="T127" i="12"/>
  <c r="T128" i="12"/>
  <c r="T129" i="12"/>
  <c r="T130" i="12"/>
  <c r="S130" i="12" s="1"/>
  <c r="T131" i="12"/>
  <c r="T132" i="12"/>
  <c r="T133" i="12"/>
  <c r="T134" i="12"/>
  <c r="T135" i="12"/>
  <c r="T136" i="12"/>
  <c r="T137" i="12"/>
  <c r="T138" i="12"/>
  <c r="S138" i="12" s="1"/>
  <c r="T139" i="12"/>
  <c r="T140" i="12"/>
  <c r="T141" i="12"/>
  <c r="T142" i="12"/>
  <c r="S142" i="12" s="1"/>
  <c r="T143" i="12"/>
  <c r="T144" i="12"/>
  <c r="T145" i="12"/>
  <c r="T146" i="12"/>
  <c r="S146" i="12" s="1"/>
  <c r="T147" i="12"/>
  <c r="T148" i="12"/>
  <c r="T149" i="12"/>
  <c r="T150" i="12"/>
  <c r="S150" i="12" s="1"/>
  <c r="T151" i="12"/>
  <c r="T152" i="12"/>
  <c r="T153" i="12"/>
  <c r="T154" i="12"/>
  <c r="S154" i="12" s="1"/>
  <c r="T155" i="12"/>
  <c r="T156" i="12"/>
  <c r="T157" i="12"/>
  <c r="T158" i="12"/>
  <c r="S158" i="12" s="1"/>
  <c r="T159" i="12"/>
  <c r="T160" i="12"/>
  <c r="T161" i="12"/>
  <c r="T162" i="12"/>
  <c r="S162" i="12" s="1"/>
  <c r="T163" i="12"/>
  <c r="T164" i="12"/>
  <c r="T165" i="12"/>
  <c r="T166" i="12"/>
  <c r="T167" i="12"/>
  <c r="T168" i="12"/>
  <c r="T169" i="12"/>
  <c r="T170" i="12"/>
  <c r="S170" i="12" s="1"/>
  <c r="T171" i="12"/>
  <c r="T172" i="12"/>
  <c r="T173" i="12"/>
  <c r="T174" i="12"/>
  <c r="S174" i="12" s="1"/>
  <c r="T175" i="12"/>
  <c r="T176" i="12"/>
  <c r="T177" i="12"/>
  <c r="T178" i="12"/>
  <c r="S178" i="12" s="1"/>
  <c r="T179" i="12"/>
  <c r="T180" i="12"/>
  <c r="T181" i="12"/>
  <c r="T182" i="12"/>
  <c r="S182" i="12" s="1"/>
  <c r="T183" i="12"/>
  <c r="T184" i="12"/>
  <c r="T185" i="12"/>
  <c r="T186" i="12"/>
  <c r="S186" i="12" s="1"/>
  <c r="T187" i="12"/>
  <c r="T188" i="12"/>
  <c r="T189" i="12"/>
  <c r="T190" i="12"/>
  <c r="S190" i="12" s="1"/>
  <c r="T191" i="12"/>
  <c r="T192" i="12"/>
  <c r="T193" i="12"/>
  <c r="T194" i="12"/>
  <c r="S194" i="12" s="1"/>
  <c r="T195" i="12"/>
  <c r="T196" i="12"/>
  <c r="T197" i="12"/>
  <c r="T198" i="12"/>
  <c r="S198" i="12" s="1"/>
  <c r="T199" i="12"/>
  <c r="T200" i="12"/>
  <c r="T201" i="12"/>
  <c r="T202" i="12"/>
  <c r="S202" i="12" s="1"/>
  <c r="T13" i="12"/>
  <c r="T14" i="12"/>
  <c r="Q13" i="12"/>
  <c r="Q14" i="12"/>
  <c r="P3" i="1"/>
  <c r="P4" i="1"/>
  <c r="P5" i="1"/>
  <c r="P6" i="1"/>
  <c r="P7" i="1"/>
  <c r="P8" i="1"/>
  <c r="P9" i="1"/>
  <c r="P10" i="1"/>
  <c r="P12" i="1"/>
  <c r="P11" i="1"/>
  <c r="P13" i="1"/>
  <c r="P14" i="1"/>
  <c r="P2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3" i="1"/>
  <c r="M4" i="1"/>
  <c r="M5" i="1"/>
  <c r="M6" i="1"/>
  <c r="M7" i="1"/>
  <c r="M8" i="1"/>
  <c r="M9" i="1"/>
  <c r="M10" i="1"/>
  <c r="M12" i="1"/>
  <c r="M11" i="1"/>
  <c r="M13" i="1"/>
  <c r="M14" i="1"/>
  <c r="M15" i="1"/>
  <c r="M16" i="1"/>
  <c r="M2" i="1"/>
  <c r="J3" i="1"/>
  <c r="J4" i="1"/>
  <c r="J5" i="1"/>
  <c r="Q5" i="12" s="1"/>
  <c r="J6" i="1"/>
  <c r="J7" i="1"/>
  <c r="J8" i="1"/>
  <c r="J9" i="1"/>
  <c r="J10" i="1"/>
  <c r="Q10" i="12" s="1"/>
  <c r="J12" i="1"/>
  <c r="J11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" i="1"/>
  <c r="Q6" i="12" s="1"/>
  <c r="E20" i="1"/>
  <c r="F20" i="1"/>
  <c r="G20" i="1"/>
  <c r="H20" i="1"/>
  <c r="E21" i="1"/>
  <c r="F21" i="1"/>
  <c r="G21" i="1"/>
  <c r="H21" i="1"/>
  <c r="E22" i="1"/>
  <c r="F22" i="1"/>
  <c r="G22" i="1"/>
  <c r="H22" i="1"/>
  <c r="E23" i="1"/>
  <c r="F23" i="1"/>
  <c r="G23" i="1"/>
  <c r="H23" i="1"/>
  <c r="E24" i="1"/>
  <c r="F24" i="1"/>
  <c r="G24" i="1"/>
  <c r="H24" i="1"/>
  <c r="E25" i="1"/>
  <c r="F25" i="1"/>
  <c r="G25" i="1"/>
  <c r="H25" i="1"/>
  <c r="E26" i="1"/>
  <c r="F26" i="1"/>
  <c r="G26" i="1"/>
  <c r="H26" i="1"/>
  <c r="E27" i="1"/>
  <c r="F27" i="1"/>
  <c r="G27" i="1"/>
  <c r="H27" i="1"/>
  <c r="E28" i="1"/>
  <c r="F28" i="1"/>
  <c r="G28" i="1"/>
  <c r="H28" i="1"/>
  <c r="E29" i="1"/>
  <c r="F29" i="1"/>
  <c r="G29" i="1"/>
  <c r="H29" i="1"/>
  <c r="E30" i="1"/>
  <c r="F30" i="1"/>
  <c r="G30" i="1"/>
  <c r="H30" i="1"/>
  <c r="E31" i="1"/>
  <c r="F31" i="1"/>
  <c r="G31" i="1"/>
  <c r="H31" i="1"/>
  <c r="E32" i="1"/>
  <c r="F32" i="1"/>
  <c r="G32" i="1"/>
  <c r="H32" i="1"/>
  <c r="E33" i="1"/>
  <c r="F33" i="1"/>
  <c r="G33" i="1"/>
  <c r="H33" i="1"/>
  <c r="E34" i="1"/>
  <c r="F34" i="1"/>
  <c r="G34" i="1"/>
  <c r="H34" i="1"/>
  <c r="E35" i="1"/>
  <c r="F35" i="1"/>
  <c r="G35" i="1"/>
  <c r="H35" i="1"/>
  <c r="E36" i="1"/>
  <c r="F36" i="1"/>
  <c r="G36" i="1"/>
  <c r="H36" i="1"/>
  <c r="E37" i="1"/>
  <c r="F37" i="1"/>
  <c r="G37" i="1"/>
  <c r="H37" i="1"/>
  <c r="E38" i="1"/>
  <c r="F38" i="1"/>
  <c r="G38" i="1"/>
  <c r="H38" i="1"/>
  <c r="E39" i="1"/>
  <c r="F39" i="1"/>
  <c r="G39" i="1"/>
  <c r="H39" i="1"/>
  <c r="E40" i="1"/>
  <c r="F40" i="1"/>
  <c r="G40" i="1"/>
  <c r="H40" i="1"/>
  <c r="E41" i="1"/>
  <c r="F41" i="1"/>
  <c r="G41" i="1"/>
  <c r="H41" i="1"/>
  <c r="E42" i="1"/>
  <c r="F42" i="1"/>
  <c r="G42" i="1"/>
  <c r="H42" i="1"/>
  <c r="E43" i="1"/>
  <c r="F43" i="1"/>
  <c r="G43" i="1"/>
  <c r="H43" i="1"/>
  <c r="E44" i="1"/>
  <c r="F44" i="1"/>
  <c r="G44" i="1"/>
  <c r="H44" i="1"/>
  <c r="E45" i="1"/>
  <c r="F45" i="1"/>
  <c r="G45" i="1"/>
  <c r="H45" i="1"/>
  <c r="E46" i="1"/>
  <c r="F46" i="1"/>
  <c r="G46" i="1"/>
  <c r="H46" i="1"/>
  <c r="E47" i="1"/>
  <c r="F47" i="1"/>
  <c r="G47" i="1"/>
  <c r="H47" i="1"/>
  <c r="E48" i="1"/>
  <c r="F48" i="1"/>
  <c r="G48" i="1"/>
  <c r="H48" i="1"/>
  <c r="E49" i="1"/>
  <c r="F49" i="1"/>
  <c r="G49" i="1"/>
  <c r="H49" i="1"/>
  <c r="E50" i="1"/>
  <c r="F50" i="1"/>
  <c r="G50" i="1"/>
  <c r="H50" i="1"/>
  <c r="E51" i="1"/>
  <c r="F51" i="1"/>
  <c r="G51" i="1"/>
  <c r="H51" i="1"/>
  <c r="E52" i="1"/>
  <c r="F52" i="1"/>
  <c r="G52" i="1"/>
  <c r="H52" i="1"/>
  <c r="E53" i="1"/>
  <c r="F53" i="1"/>
  <c r="G53" i="1"/>
  <c r="H53" i="1"/>
  <c r="E54" i="1"/>
  <c r="F54" i="1"/>
  <c r="G54" i="1"/>
  <c r="H54" i="1"/>
  <c r="E55" i="1"/>
  <c r="F55" i="1"/>
  <c r="G55" i="1"/>
  <c r="H55" i="1"/>
  <c r="E56" i="1"/>
  <c r="F56" i="1"/>
  <c r="G56" i="1"/>
  <c r="H56" i="1"/>
  <c r="E57" i="1"/>
  <c r="F57" i="1"/>
  <c r="G57" i="1"/>
  <c r="H57" i="1"/>
  <c r="E58" i="1"/>
  <c r="F58" i="1"/>
  <c r="G58" i="1"/>
  <c r="H58" i="1"/>
  <c r="E59" i="1"/>
  <c r="F59" i="1"/>
  <c r="G59" i="1"/>
  <c r="H59" i="1"/>
  <c r="E60" i="1"/>
  <c r="F60" i="1"/>
  <c r="G60" i="1"/>
  <c r="H60" i="1"/>
  <c r="E61" i="1"/>
  <c r="F61" i="1"/>
  <c r="G61" i="1"/>
  <c r="H61" i="1"/>
  <c r="E62" i="1"/>
  <c r="F62" i="1"/>
  <c r="G62" i="1"/>
  <c r="H62" i="1"/>
  <c r="E63" i="1"/>
  <c r="F63" i="1"/>
  <c r="G63" i="1"/>
  <c r="H63" i="1"/>
  <c r="E64" i="1"/>
  <c r="F64" i="1"/>
  <c r="G64" i="1"/>
  <c r="H64" i="1"/>
  <c r="E65" i="1"/>
  <c r="F65" i="1"/>
  <c r="G65" i="1"/>
  <c r="H65" i="1"/>
  <c r="E66" i="1"/>
  <c r="F66" i="1"/>
  <c r="G66" i="1"/>
  <c r="H66" i="1"/>
  <c r="E67" i="1"/>
  <c r="F67" i="1"/>
  <c r="G67" i="1"/>
  <c r="H67" i="1"/>
  <c r="E68" i="1"/>
  <c r="F68" i="1"/>
  <c r="G68" i="1"/>
  <c r="H68" i="1"/>
  <c r="E69" i="1"/>
  <c r="F69" i="1"/>
  <c r="G69" i="1"/>
  <c r="H69" i="1"/>
  <c r="E70" i="1"/>
  <c r="F70" i="1"/>
  <c r="G70" i="1"/>
  <c r="H70" i="1"/>
  <c r="E71" i="1"/>
  <c r="F71" i="1"/>
  <c r="G71" i="1"/>
  <c r="H71" i="1"/>
  <c r="E72" i="1"/>
  <c r="F72" i="1"/>
  <c r="G72" i="1"/>
  <c r="H72" i="1"/>
  <c r="E73" i="1"/>
  <c r="F73" i="1"/>
  <c r="G73" i="1"/>
  <c r="H73" i="1"/>
  <c r="E74" i="1"/>
  <c r="F74" i="1"/>
  <c r="G74" i="1"/>
  <c r="H74" i="1"/>
  <c r="E75" i="1"/>
  <c r="F75" i="1"/>
  <c r="G75" i="1"/>
  <c r="H75" i="1"/>
  <c r="E76" i="1"/>
  <c r="F76" i="1"/>
  <c r="G76" i="1"/>
  <c r="H76" i="1"/>
  <c r="E77" i="1"/>
  <c r="F77" i="1"/>
  <c r="G77" i="1"/>
  <c r="H77" i="1"/>
  <c r="E78" i="1"/>
  <c r="F78" i="1"/>
  <c r="G78" i="1"/>
  <c r="H78" i="1"/>
  <c r="E79" i="1"/>
  <c r="F79" i="1"/>
  <c r="G79" i="1"/>
  <c r="H79" i="1"/>
  <c r="E80" i="1"/>
  <c r="F80" i="1"/>
  <c r="G80" i="1"/>
  <c r="H80" i="1"/>
  <c r="E81" i="1"/>
  <c r="F81" i="1"/>
  <c r="G81" i="1"/>
  <c r="H81" i="1"/>
  <c r="E82" i="1"/>
  <c r="F82" i="1"/>
  <c r="G82" i="1"/>
  <c r="H82" i="1"/>
  <c r="E83" i="1"/>
  <c r="F83" i="1"/>
  <c r="G83" i="1"/>
  <c r="H83" i="1"/>
  <c r="E84" i="1"/>
  <c r="F84" i="1"/>
  <c r="G84" i="1"/>
  <c r="H84" i="1"/>
  <c r="E85" i="1"/>
  <c r="F85" i="1"/>
  <c r="G85" i="1"/>
  <c r="H85" i="1"/>
  <c r="E86" i="1"/>
  <c r="F86" i="1"/>
  <c r="G86" i="1"/>
  <c r="H86" i="1"/>
  <c r="E87" i="1"/>
  <c r="F87" i="1"/>
  <c r="G87" i="1"/>
  <c r="H87" i="1"/>
  <c r="E88" i="1"/>
  <c r="F88" i="1"/>
  <c r="G88" i="1"/>
  <c r="H88" i="1"/>
  <c r="E89" i="1"/>
  <c r="F89" i="1"/>
  <c r="G89" i="1"/>
  <c r="H89" i="1"/>
  <c r="E90" i="1"/>
  <c r="F90" i="1"/>
  <c r="G90" i="1"/>
  <c r="H90" i="1"/>
  <c r="E91" i="1"/>
  <c r="F91" i="1"/>
  <c r="G91" i="1"/>
  <c r="H91" i="1"/>
  <c r="E92" i="1"/>
  <c r="F92" i="1"/>
  <c r="G92" i="1"/>
  <c r="H92" i="1"/>
  <c r="E93" i="1"/>
  <c r="F93" i="1"/>
  <c r="G93" i="1"/>
  <c r="H93" i="1"/>
  <c r="E94" i="1"/>
  <c r="F94" i="1"/>
  <c r="G94" i="1"/>
  <c r="H94" i="1"/>
  <c r="E95" i="1"/>
  <c r="F95" i="1"/>
  <c r="G95" i="1"/>
  <c r="H95" i="1"/>
  <c r="E96" i="1"/>
  <c r="F96" i="1"/>
  <c r="G96" i="1"/>
  <c r="H96" i="1"/>
  <c r="E97" i="1"/>
  <c r="F97" i="1"/>
  <c r="G97" i="1"/>
  <c r="H97" i="1"/>
  <c r="E98" i="1"/>
  <c r="F98" i="1"/>
  <c r="G98" i="1"/>
  <c r="H98" i="1"/>
  <c r="E99" i="1"/>
  <c r="F99" i="1"/>
  <c r="G99" i="1"/>
  <c r="H99" i="1"/>
  <c r="E100" i="1"/>
  <c r="F100" i="1"/>
  <c r="G100" i="1"/>
  <c r="H100" i="1"/>
  <c r="E101" i="1"/>
  <c r="F101" i="1"/>
  <c r="G101" i="1"/>
  <c r="H101" i="1"/>
  <c r="E102" i="1"/>
  <c r="F102" i="1"/>
  <c r="G102" i="1"/>
  <c r="H102" i="1"/>
  <c r="E103" i="1"/>
  <c r="F103" i="1"/>
  <c r="G103" i="1"/>
  <c r="H103" i="1"/>
  <c r="E104" i="1"/>
  <c r="F104" i="1"/>
  <c r="G104" i="1"/>
  <c r="H104" i="1"/>
  <c r="E105" i="1"/>
  <c r="F105" i="1"/>
  <c r="G105" i="1"/>
  <c r="H105" i="1"/>
  <c r="E106" i="1"/>
  <c r="F106" i="1"/>
  <c r="G106" i="1"/>
  <c r="H106" i="1"/>
  <c r="E107" i="1"/>
  <c r="F107" i="1"/>
  <c r="G107" i="1"/>
  <c r="H107" i="1"/>
  <c r="E108" i="1"/>
  <c r="F108" i="1"/>
  <c r="G108" i="1"/>
  <c r="H108" i="1"/>
  <c r="E109" i="1"/>
  <c r="F109" i="1"/>
  <c r="G109" i="1"/>
  <c r="H109" i="1"/>
  <c r="E110" i="1"/>
  <c r="F110" i="1"/>
  <c r="G110" i="1"/>
  <c r="H110" i="1"/>
  <c r="E111" i="1"/>
  <c r="F111" i="1"/>
  <c r="G111" i="1"/>
  <c r="H111" i="1"/>
  <c r="E112" i="1"/>
  <c r="F112" i="1"/>
  <c r="G112" i="1"/>
  <c r="H112" i="1"/>
  <c r="E113" i="1"/>
  <c r="F113" i="1"/>
  <c r="G113" i="1"/>
  <c r="H113" i="1"/>
  <c r="E114" i="1"/>
  <c r="F114" i="1"/>
  <c r="G114" i="1"/>
  <c r="H114" i="1"/>
  <c r="E115" i="1"/>
  <c r="F115" i="1"/>
  <c r="G115" i="1"/>
  <c r="H115" i="1"/>
  <c r="E116" i="1"/>
  <c r="F116" i="1"/>
  <c r="G116" i="1"/>
  <c r="H116" i="1"/>
  <c r="E117" i="1"/>
  <c r="F117" i="1"/>
  <c r="G117" i="1"/>
  <c r="H117" i="1"/>
  <c r="E118" i="1"/>
  <c r="F118" i="1"/>
  <c r="G118" i="1"/>
  <c r="H118" i="1"/>
  <c r="E119" i="1"/>
  <c r="F119" i="1"/>
  <c r="G119" i="1"/>
  <c r="H119" i="1"/>
  <c r="E120" i="1"/>
  <c r="F120" i="1"/>
  <c r="G120" i="1"/>
  <c r="H120" i="1"/>
  <c r="E121" i="1"/>
  <c r="F121" i="1"/>
  <c r="G121" i="1"/>
  <c r="H121" i="1"/>
  <c r="E122" i="1"/>
  <c r="F122" i="1"/>
  <c r="G122" i="1"/>
  <c r="H122" i="1"/>
  <c r="E123" i="1"/>
  <c r="F123" i="1"/>
  <c r="G123" i="1"/>
  <c r="H123" i="1"/>
  <c r="E124" i="1"/>
  <c r="F124" i="1"/>
  <c r="G124" i="1"/>
  <c r="H124" i="1"/>
  <c r="E125" i="1"/>
  <c r="F125" i="1"/>
  <c r="G125" i="1"/>
  <c r="H125" i="1"/>
  <c r="E126" i="1"/>
  <c r="F126" i="1"/>
  <c r="G126" i="1"/>
  <c r="H126" i="1"/>
  <c r="E127" i="1"/>
  <c r="F127" i="1"/>
  <c r="G127" i="1"/>
  <c r="H127" i="1"/>
  <c r="E128" i="1"/>
  <c r="F128" i="1"/>
  <c r="G128" i="1"/>
  <c r="H128" i="1"/>
  <c r="E129" i="1"/>
  <c r="F129" i="1"/>
  <c r="G129" i="1"/>
  <c r="H129" i="1"/>
  <c r="E130" i="1"/>
  <c r="F130" i="1"/>
  <c r="G130" i="1"/>
  <c r="H130" i="1"/>
  <c r="E131" i="1"/>
  <c r="F131" i="1"/>
  <c r="G131" i="1"/>
  <c r="H131" i="1"/>
  <c r="E132" i="1"/>
  <c r="F132" i="1"/>
  <c r="G132" i="1"/>
  <c r="H132" i="1"/>
  <c r="E133" i="1"/>
  <c r="F133" i="1"/>
  <c r="G133" i="1"/>
  <c r="H133" i="1"/>
  <c r="E134" i="1"/>
  <c r="F134" i="1"/>
  <c r="G134" i="1"/>
  <c r="H134" i="1"/>
  <c r="E135" i="1"/>
  <c r="F135" i="1"/>
  <c r="G135" i="1"/>
  <c r="H135" i="1"/>
  <c r="E136" i="1"/>
  <c r="F136" i="1"/>
  <c r="G136" i="1"/>
  <c r="H136" i="1"/>
  <c r="E137" i="1"/>
  <c r="F137" i="1"/>
  <c r="G137" i="1"/>
  <c r="H137" i="1"/>
  <c r="E138" i="1"/>
  <c r="F138" i="1"/>
  <c r="G138" i="1"/>
  <c r="H138" i="1"/>
  <c r="E139" i="1"/>
  <c r="F139" i="1"/>
  <c r="G139" i="1"/>
  <c r="H139" i="1"/>
  <c r="E140" i="1"/>
  <c r="F140" i="1"/>
  <c r="G140" i="1"/>
  <c r="H140" i="1"/>
  <c r="E141" i="1"/>
  <c r="F141" i="1"/>
  <c r="G141" i="1"/>
  <c r="H141" i="1"/>
  <c r="E142" i="1"/>
  <c r="F142" i="1"/>
  <c r="G142" i="1"/>
  <c r="H142" i="1"/>
  <c r="E143" i="1"/>
  <c r="F143" i="1"/>
  <c r="G143" i="1"/>
  <c r="H143" i="1"/>
  <c r="E144" i="1"/>
  <c r="F144" i="1"/>
  <c r="G144" i="1"/>
  <c r="H144" i="1"/>
  <c r="E145" i="1"/>
  <c r="F145" i="1"/>
  <c r="G145" i="1"/>
  <c r="H145" i="1"/>
  <c r="E146" i="1"/>
  <c r="F146" i="1"/>
  <c r="G146" i="1"/>
  <c r="H146" i="1"/>
  <c r="E147" i="1"/>
  <c r="F147" i="1"/>
  <c r="G147" i="1"/>
  <c r="H147" i="1"/>
  <c r="E148" i="1"/>
  <c r="F148" i="1"/>
  <c r="G148" i="1"/>
  <c r="H148" i="1"/>
  <c r="E149" i="1"/>
  <c r="F149" i="1"/>
  <c r="G149" i="1"/>
  <c r="H149" i="1"/>
  <c r="E150" i="1"/>
  <c r="F150" i="1"/>
  <c r="G150" i="1"/>
  <c r="H150" i="1"/>
  <c r="E151" i="1"/>
  <c r="F151" i="1"/>
  <c r="G151" i="1"/>
  <c r="H151" i="1"/>
  <c r="E152" i="1"/>
  <c r="F152" i="1"/>
  <c r="G152" i="1"/>
  <c r="H152" i="1"/>
  <c r="E153" i="1"/>
  <c r="F153" i="1"/>
  <c r="G153" i="1"/>
  <c r="H153" i="1"/>
  <c r="E154" i="1"/>
  <c r="F154" i="1"/>
  <c r="G154" i="1"/>
  <c r="H154" i="1"/>
  <c r="E155" i="1"/>
  <c r="F155" i="1"/>
  <c r="G155" i="1"/>
  <c r="H155" i="1"/>
  <c r="E156" i="1"/>
  <c r="F156" i="1"/>
  <c r="G156" i="1"/>
  <c r="H156" i="1"/>
  <c r="E157" i="1"/>
  <c r="F157" i="1"/>
  <c r="G157" i="1"/>
  <c r="H157" i="1"/>
  <c r="E158" i="1"/>
  <c r="F158" i="1"/>
  <c r="G158" i="1"/>
  <c r="H158" i="1"/>
  <c r="E159" i="1"/>
  <c r="F159" i="1"/>
  <c r="G159" i="1"/>
  <c r="H159" i="1"/>
  <c r="E160" i="1"/>
  <c r="F160" i="1"/>
  <c r="G160" i="1"/>
  <c r="H160" i="1"/>
  <c r="E161" i="1"/>
  <c r="F161" i="1"/>
  <c r="G161" i="1"/>
  <c r="H161" i="1"/>
  <c r="E162" i="1"/>
  <c r="F162" i="1"/>
  <c r="G162" i="1"/>
  <c r="H162" i="1"/>
  <c r="E163" i="1"/>
  <c r="F163" i="1"/>
  <c r="G163" i="1"/>
  <c r="H163" i="1"/>
  <c r="E164" i="1"/>
  <c r="F164" i="1"/>
  <c r="G164" i="1"/>
  <c r="H164" i="1"/>
  <c r="E165" i="1"/>
  <c r="F165" i="1"/>
  <c r="G165" i="1"/>
  <c r="H165" i="1"/>
  <c r="E166" i="1"/>
  <c r="F166" i="1"/>
  <c r="G166" i="1"/>
  <c r="H166" i="1"/>
  <c r="E167" i="1"/>
  <c r="F167" i="1"/>
  <c r="G167" i="1"/>
  <c r="H167" i="1"/>
  <c r="E168" i="1"/>
  <c r="F168" i="1"/>
  <c r="G168" i="1"/>
  <c r="H168" i="1"/>
  <c r="E169" i="1"/>
  <c r="F169" i="1"/>
  <c r="G169" i="1"/>
  <c r="H169" i="1"/>
  <c r="E170" i="1"/>
  <c r="F170" i="1"/>
  <c r="G170" i="1"/>
  <c r="H170" i="1"/>
  <c r="E171" i="1"/>
  <c r="F171" i="1"/>
  <c r="G171" i="1"/>
  <c r="H171" i="1"/>
  <c r="E172" i="1"/>
  <c r="F172" i="1"/>
  <c r="G172" i="1"/>
  <c r="H172" i="1"/>
  <c r="E173" i="1"/>
  <c r="F173" i="1"/>
  <c r="G173" i="1"/>
  <c r="H173" i="1"/>
  <c r="E174" i="1"/>
  <c r="F174" i="1"/>
  <c r="G174" i="1"/>
  <c r="H174" i="1"/>
  <c r="E175" i="1"/>
  <c r="F175" i="1"/>
  <c r="G175" i="1"/>
  <c r="H175" i="1"/>
  <c r="E176" i="1"/>
  <c r="F176" i="1"/>
  <c r="G176" i="1"/>
  <c r="H176" i="1"/>
  <c r="E177" i="1"/>
  <c r="F177" i="1"/>
  <c r="G177" i="1"/>
  <c r="H177" i="1"/>
  <c r="E178" i="1"/>
  <c r="F178" i="1"/>
  <c r="G178" i="1"/>
  <c r="H178" i="1"/>
  <c r="E179" i="1"/>
  <c r="F179" i="1"/>
  <c r="G179" i="1"/>
  <c r="H179" i="1"/>
  <c r="E180" i="1"/>
  <c r="F180" i="1"/>
  <c r="G180" i="1"/>
  <c r="H180" i="1"/>
  <c r="E181" i="1"/>
  <c r="F181" i="1"/>
  <c r="G181" i="1"/>
  <c r="H181" i="1"/>
  <c r="E182" i="1"/>
  <c r="F182" i="1"/>
  <c r="G182" i="1"/>
  <c r="H182" i="1"/>
  <c r="E183" i="1"/>
  <c r="F183" i="1"/>
  <c r="G183" i="1"/>
  <c r="H183" i="1"/>
  <c r="E184" i="1"/>
  <c r="F184" i="1"/>
  <c r="G184" i="1"/>
  <c r="H184" i="1"/>
  <c r="E185" i="1"/>
  <c r="F185" i="1"/>
  <c r="G185" i="1"/>
  <c r="H185" i="1"/>
  <c r="E186" i="1"/>
  <c r="F186" i="1"/>
  <c r="G186" i="1"/>
  <c r="H186" i="1"/>
  <c r="E187" i="1"/>
  <c r="F187" i="1"/>
  <c r="G187" i="1"/>
  <c r="H187" i="1"/>
  <c r="E188" i="1"/>
  <c r="F188" i="1"/>
  <c r="G188" i="1"/>
  <c r="H188" i="1"/>
  <c r="E189" i="1"/>
  <c r="F189" i="1"/>
  <c r="G189" i="1"/>
  <c r="H189" i="1"/>
  <c r="E190" i="1"/>
  <c r="F190" i="1"/>
  <c r="G190" i="1"/>
  <c r="H190" i="1"/>
  <c r="E191" i="1"/>
  <c r="F191" i="1"/>
  <c r="G191" i="1"/>
  <c r="H191" i="1"/>
  <c r="E192" i="1"/>
  <c r="F192" i="1"/>
  <c r="G192" i="1"/>
  <c r="H192" i="1"/>
  <c r="E193" i="1"/>
  <c r="F193" i="1"/>
  <c r="G193" i="1"/>
  <c r="H193" i="1"/>
  <c r="E194" i="1"/>
  <c r="F194" i="1"/>
  <c r="G194" i="1"/>
  <c r="H194" i="1"/>
  <c r="E195" i="1"/>
  <c r="F195" i="1"/>
  <c r="G195" i="1"/>
  <c r="H195" i="1"/>
  <c r="E196" i="1"/>
  <c r="F196" i="1"/>
  <c r="G196" i="1"/>
  <c r="H196" i="1"/>
  <c r="E197" i="1"/>
  <c r="F197" i="1"/>
  <c r="G197" i="1"/>
  <c r="H197" i="1"/>
  <c r="E198" i="1"/>
  <c r="F198" i="1"/>
  <c r="G198" i="1"/>
  <c r="H198" i="1"/>
  <c r="E199" i="1"/>
  <c r="F199" i="1"/>
  <c r="G199" i="1"/>
  <c r="H199" i="1"/>
  <c r="E200" i="1"/>
  <c r="F200" i="1"/>
  <c r="G200" i="1"/>
  <c r="H200" i="1"/>
  <c r="E201" i="1"/>
  <c r="F201" i="1"/>
  <c r="G201" i="1"/>
  <c r="H201" i="1"/>
  <c r="E13" i="1"/>
  <c r="F13" i="1"/>
  <c r="H13" i="1"/>
  <c r="E14" i="1"/>
  <c r="F14" i="1"/>
  <c r="H14" i="1"/>
  <c r="E15" i="1"/>
  <c r="F15" i="1"/>
  <c r="H15" i="1"/>
  <c r="G15" i="1" s="1"/>
  <c r="E16" i="1"/>
  <c r="F16" i="1"/>
  <c r="H16" i="1"/>
  <c r="E17" i="1"/>
  <c r="F17" i="1"/>
  <c r="H17" i="1"/>
  <c r="E18" i="1"/>
  <c r="F18" i="1"/>
  <c r="G18" i="1"/>
  <c r="H18" i="1"/>
  <c r="E19" i="1"/>
  <c r="F19" i="1"/>
  <c r="G19" i="1"/>
  <c r="H19" i="1"/>
  <c r="G202" i="10"/>
  <c r="G203" i="10"/>
  <c r="G202" i="11"/>
  <c r="O3" i="12"/>
  <c r="R3" i="12"/>
  <c r="U3" i="12"/>
  <c r="X3" i="12"/>
  <c r="AA3" i="12"/>
  <c r="AD3" i="12"/>
  <c r="AG3" i="12"/>
  <c r="AJ3" i="12"/>
  <c r="O4" i="12"/>
  <c r="R4" i="12"/>
  <c r="U4" i="12"/>
  <c r="X4" i="12"/>
  <c r="AA4" i="12"/>
  <c r="AD4" i="12"/>
  <c r="AG4" i="12"/>
  <c r="AJ4" i="12"/>
  <c r="O5" i="12"/>
  <c r="R5" i="12"/>
  <c r="U5" i="12"/>
  <c r="X5" i="12"/>
  <c r="AA5" i="12"/>
  <c r="AD5" i="12"/>
  <c r="AG5" i="12"/>
  <c r="AJ5" i="12"/>
  <c r="O6" i="12"/>
  <c r="R6" i="12"/>
  <c r="U6" i="12"/>
  <c r="X6" i="12"/>
  <c r="AA6" i="12"/>
  <c r="AD6" i="12"/>
  <c r="AG6" i="12"/>
  <c r="AJ6" i="12"/>
  <c r="O7" i="12"/>
  <c r="R7" i="12"/>
  <c r="U7" i="12"/>
  <c r="X7" i="12"/>
  <c r="AA7" i="12"/>
  <c r="AD7" i="12"/>
  <c r="AG7" i="12"/>
  <c r="AJ7" i="12"/>
  <c r="O8" i="12"/>
  <c r="R8" i="12"/>
  <c r="U8" i="12"/>
  <c r="X8" i="12"/>
  <c r="AA8" i="12"/>
  <c r="AD8" i="12"/>
  <c r="AG8" i="12"/>
  <c r="AJ8" i="12"/>
  <c r="O9" i="12"/>
  <c r="R9" i="12"/>
  <c r="U9" i="12"/>
  <c r="X9" i="12"/>
  <c r="AA9" i="12"/>
  <c r="AD9" i="12"/>
  <c r="AG9" i="12"/>
  <c r="AJ9" i="12"/>
  <c r="O10" i="12"/>
  <c r="R10" i="12"/>
  <c r="U10" i="12"/>
  <c r="X10" i="12"/>
  <c r="AA10" i="12"/>
  <c r="AD10" i="12"/>
  <c r="AG10" i="12"/>
  <c r="AJ10" i="12"/>
  <c r="O11" i="12"/>
  <c r="R11" i="12"/>
  <c r="U11" i="12"/>
  <c r="X11" i="12"/>
  <c r="AA11" i="12"/>
  <c r="AD11" i="12"/>
  <c r="AG11" i="12"/>
  <c r="AJ11" i="12"/>
  <c r="O12" i="12"/>
  <c r="R12" i="12"/>
  <c r="U12" i="12"/>
  <c r="X12" i="12"/>
  <c r="AA12" i="12"/>
  <c r="AD12" i="12"/>
  <c r="AG12" i="12"/>
  <c r="AJ12" i="12"/>
  <c r="O13" i="12"/>
  <c r="R13" i="12"/>
  <c r="U13" i="12"/>
  <c r="X13" i="12"/>
  <c r="AA13" i="12"/>
  <c r="AD13" i="12"/>
  <c r="AG13" i="12"/>
  <c r="AJ13" i="12"/>
  <c r="O14" i="12"/>
  <c r="R14" i="12"/>
  <c r="U14" i="12"/>
  <c r="X14" i="12"/>
  <c r="AA14" i="12"/>
  <c r="AD14" i="12"/>
  <c r="AG14" i="12"/>
  <c r="AJ14" i="12"/>
  <c r="O15" i="12"/>
  <c r="R15" i="12"/>
  <c r="U15" i="12"/>
  <c r="X15" i="12"/>
  <c r="AA15" i="12"/>
  <c r="AD15" i="12"/>
  <c r="AG15" i="12"/>
  <c r="AJ15" i="12"/>
  <c r="O16" i="12"/>
  <c r="R16" i="12"/>
  <c r="U16" i="12"/>
  <c r="X16" i="12"/>
  <c r="AA16" i="12"/>
  <c r="AD16" i="12"/>
  <c r="AG16" i="12"/>
  <c r="AJ16" i="12"/>
  <c r="O17" i="12"/>
  <c r="R17" i="12"/>
  <c r="U17" i="12"/>
  <c r="X17" i="12"/>
  <c r="AA17" i="12"/>
  <c r="AD17" i="12"/>
  <c r="AG17" i="12"/>
  <c r="AJ17" i="12"/>
  <c r="O18" i="12"/>
  <c r="R18" i="12"/>
  <c r="U18" i="12"/>
  <c r="X18" i="12"/>
  <c r="AA18" i="12"/>
  <c r="AD18" i="12"/>
  <c r="AG18" i="12"/>
  <c r="AJ18" i="12"/>
  <c r="O19" i="12"/>
  <c r="R19" i="12"/>
  <c r="U19" i="12"/>
  <c r="X19" i="12"/>
  <c r="AA19" i="12"/>
  <c r="AD19" i="12"/>
  <c r="AG19" i="12"/>
  <c r="AJ19" i="12"/>
  <c r="O20" i="12"/>
  <c r="R20" i="12"/>
  <c r="U20" i="12"/>
  <c r="X20" i="12"/>
  <c r="AA20" i="12"/>
  <c r="AD20" i="12"/>
  <c r="AG20" i="12"/>
  <c r="AJ20" i="12"/>
  <c r="O21" i="12"/>
  <c r="R21" i="12"/>
  <c r="U21" i="12"/>
  <c r="X21" i="12"/>
  <c r="AA21" i="12"/>
  <c r="AD21" i="12"/>
  <c r="AG21" i="12"/>
  <c r="AJ21" i="12"/>
  <c r="O22" i="12"/>
  <c r="R22" i="12"/>
  <c r="U22" i="12"/>
  <c r="X22" i="12"/>
  <c r="AA22" i="12"/>
  <c r="AD22" i="12"/>
  <c r="AG22" i="12"/>
  <c r="AJ22" i="12"/>
  <c r="O23" i="12"/>
  <c r="R23" i="12"/>
  <c r="U23" i="12"/>
  <c r="X23" i="12"/>
  <c r="AA23" i="12"/>
  <c r="AD23" i="12"/>
  <c r="AG23" i="12"/>
  <c r="AJ23" i="12"/>
  <c r="O24" i="12"/>
  <c r="R24" i="12"/>
  <c r="U24" i="12"/>
  <c r="X24" i="12"/>
  <c r="AA24" i="12"/>
  <c r="AD24" i="12"/>
  <c r="AG24" i="12"/>
  <c r="AJ24" i="12"/>
  <c r="O25" i="12"/>
  <c r="R25" i="12"/>
  <c r="U25" i="12"/>
  <c r="X25" i="12"/>
  <c r="AA25" i="12"/>
  <c r="AD25" i="12"/>
  <c r="AG25" i="12"/>
  <c r="AJ25" i="12"/>
  <c r="O26" i="12"/>
  <c r="R26" i="12"/>
  <c r="U26" i="12"/>
  <c r="X26" i="12"/>
  <c r="AA26" i="12"/>
  <c r="AD26" i="12"/>
  <c r="AG26" i="12"/>
  <c r="AJ26" i="12"/>
  <c r="O27" i="12"/>
  <c r="R27" i="12"/>
  <c r="U27" i="12"/>
  <c r="X27" i="12"/>
  <c r="AA27" i="12"/>
  <c r="AD27" i="12"/>
  <c r="AG27" i="12"/>
  <c r="AJ27" i="12"/>
  <c r="O28" i="12"/>
  <c r="R28" i="12"/>
  <c r="U28" i="12"/>
  <c r="X28" i="12"/>
  <c r="AA28" i="12"/>
  <c r="AD28" i="12"/>
  <c r="AG28" i="12"/>
  <c r="AJ28" i="12"/>
  <c r="O29" i="12"/>
  <c r="R29" i="12"/>
  <c r="U29" i="12"/>
  <c r="X29" i="12"/>
  <c r="AA29" i="12"/>
  <c r="AD29" i="12"/>
  <c r="AG29" i="12"/>
  <c r="AJ29" i="12"/>
  <c r="O30" i="12"/>
  <c r="R30" i="12"/>
  <c r="U30" i="12"/>
  <c r="X30" i="12"/>
  <c r="AA30" i="12"/>
  <c r="AD30" i="12"/>
  <c r="AG30" i="12"/>
  <c r="AJ30" i="12"/>
  <c r="O31" i="12"/>
  <c r="R31" i="12"/>
  <c r="U31" i="12"/>
  <c r="X31" i="12"/>
  <c r="AA31" i="12"/>
  <c r="AD31" i="12"/>
  <c r="AG31" i="12"/>
  <c r="AJ31" i="12"/>
  <c r="O32" i="12"/>
  <c r="R32" i="12"/>
  <c r="U32" i="12"/>
  <c r="X32" i="12"/>
  <c r="AA32" i="12"/>
  <c r="AD32" i="12"/>
  <c r="AG32" i="12"/>
  <c r="AJ32" i="12"/>
  <c r="O33" i="12"/>
  <c r="R33" i="12"/>
  <c r="U33" i="12"/>
  <c r="X33" i="12"/>
  <c r="AA33" i="12"/>
  <c r="AD33" i="12"/>
  <c r="AG33" i="12"/>
  <c r="AJ33" i="12"/>
  <c r="O34" i="12"/>
  <c r="R34" i="12"/>
  <c r="U34" i="12"/>
  <c r="X34" i="12"/>
  <c r="AA34" i="12"/>
  <c r="AD34" i="12"/>
  <c r="AG34" i="12"/>
  <c r="AJ34" i="12"/>
  <c r="O35" i="12"/>
  <c r="R35" i="12"/>
  <c r="U35" i="12"/>
  <c r="X35" i="12"/>
  <c r="AA35" i="12"/>
  <c r="AD35" i="12"/>
  <c r="AG35" i="12"/>
  <c r="AJ35" i="12"/>
  <c r="O36" i="12"/>
  <c r="R36" i="12"/>
  <c r="U36" i="12"/>
  <c r="X36" i="12"/>
  <c r="AA36" i="12"/>
  <c r="AD36" i="12"/>
  <c r="AG36" i="12"/>
  <c r="AJ36" i="12"/>
  <c r="O37" i="12"/>
  <c r="R37" i="12"/>
  <c r="U37" i="12"/>
  <c r="X37" i="12"/>
  <c r="AA37" i="12"/>
  <c r="AD37" i="12"/>
  <c r="AG37" i="12"/>
  <c r="AJ37" i="12"/>
  <c r="O38" i="12"/>
  <c r="R38" i="12"/>
  <c r="U38" i="12"/>
  <c r="X38" i="12"/>
  <c r="AA38" i="12"/>
  <c r="AD38" i="12"/>
  <c r="AG38" i="12"/>
  <c r="AJ38" i="12"/>
  <c r="O39" i="12"/>
  <c r="R39" i="12"/>
  <c r="U39" i="12"/>
  <c r="X39" i="12"/>
  <c r="AA39" i="12"/>
  <c r="AD39" i="12"/>
  <c r="AG39" i="12"/>
  <c r="AJ39" i="12"/>
  <c r="O40" i="12"/>
  <c r="R40" i="12"/>
  <c r="U40" i="12"/>
  <c r="X40" i="12"/>
  <c r="AA40" i="12"/>
  <c r="AD40" i="12"/>
  <c r="AG40" i="12"/>
  <c r="AJ40" i="12"/>
  <c r="O41" i="12"/>
  <c r="R41" i="12"/>
  <c r="U41" i="12"/>
  <c r="X41" i="12"/>
  <c r="AA41" i="12"/>
  <c r="AD41" i="12"/>
  <c r="AG41" i="12"/>
  <c r="AJ41" i="12"/>
  <c r="O42" i="12"/>
  <c r="R42" i="12"/>
  <c r="U42" i="12"/>
  <c r="X42" i="12"/>
  <c r="AA42" i="12"/>
  <c r="AD42" i="12"/>
  <c r="AG42" i="12"/>
  <c r="AJ42" i="12"/>
  <c r="O43" i="12"/>
  <c r="R43" i="12"/>
  <c r="U43" i="12"/>
  <c r="X43" i="12"/>
  <c r="AA43" i="12"/>
  <c r="AD43" i="12"/>
  <c r="AG43" i="12"/>
  <c r="AJ43" i="12"/>
  <c r="O44" i="12"/>
  <c r="R44" i="12"/>
  <c r="U44" i="12"/>
  <c r="X44" i="12"/>
  <c r="AA44" i="12"/>
  <c r="AD44" i="12"/>
  <c r="AG44" i="12"/>
  <c r="AJ44" i="12"/>
  <c r="O45" i="12"/>
  <c r="R45" i="12"/>
  <c r="U45" i="12"/>
  <c r="X45" i="12"/>
  <c r="AA45" i="12"/>
  <c r="AD45" i="12"/>
  <c r="AG45" i="12"/>
  <c r="AJ45" i="12"/>
  <c r="O46" i="12"/>
  <c r="R46" i="12"/>
  <c r="U46" i="12"/>
  <c r="X46" i="12"/>
  <c r="AA46" i="12"/>
  <c r="AD46" i="12"/>
  <c r="AG46" i="12"/>
  <c r="AJ46" i="12"/>
  <c r="O47" i="12"/>
  <c r="R47" i="12"/>
  <c r="U47" i="12"/>
  <c r="X47" i="12"/>
  <c r="AA47" i="12"/>
  <c r="AD47" i="12"/>
  <c r="AG47" i="12"/>
  <c r="AJ47" i="12"/>
  <c r="O48" i="12"/>
  <c r="R48" i="12"/>
  <c r="U48" i="12"/>
  <c r="X48" i="12"/>
  <c r="AA48" i="12"/>
  <c r="AD48" i="12"/>
  <c r="AG48" i="12"/>
  <c r="AJ48" i="12"/>
  <c r="O49" i="12"/>
  <c r="R49" i="12"/>
  <c r="U49" i="12"/>
  <c r="X49" i="12"/>
  <c r="AA49" i="12"/>
  <c r="AD49" i="12"/>
  <c r="AG49" i="12"/>
  <c r="AJ49" i="12"/>
  <c r="O50" i="12"/>
  <c r="R50" i="12"/>
  <c r="U50" i="12"/>
  <c r="X50" i="12"/>
  <c r="AA50" i="12"/>
  <c r="AD50" i="12"/>
  <c r="AG50" i="12"/>
  <c r="AJ50" i="12"/>
  <c r="O51" i="12"/>
  <c r="R51" i="12"/>
  <c r="U51" i="12"/>
  <c r="X51" i="12"/>
  <c r="AA51" i="12"/>
  <c r="AD51" i="12"/>
  <c r="AG51" i="12"/>
  <c r="AJ51" i="12"/>
  <c r="O52" i="12"/>
  <c r="R52" i="12"/>
  <c r="U52" i="12"/>
  <c r="X52" i="12"/>
  <c r="AA52" i="12"/>
  <c r="AD52" i="12"/>
  <c r="AG52" i="12"/>
  <c r="AJ52" i="12"/>
  <c r="O53" i="12"/>
  <c r="R53" i="12"/>
  <c r="U53" i="12"/>
  <c r="X53" i="12"/>
  <c r="AA53" i="12"/>
  <c r="AD53" i="12"/>
  <c r="AG53" i="12"/>
  <c r="AJ53" i="12"/>
  <c r="O54" i="12"/>
  <c r="R54" i="12"/>
  <c r="U54" i="12"/>
  <c r="X54" i="12"/>
  <c r="AA54" i="12"/>
  <c r="AD54" i="12"/>
  <c r="AG54" i="12"/>
  <c r="AJ54" i="12"/>
  <c r="O55" i="12"/>
  <c r="R55" i="12"/>
  <c r="U55" i="12"/>
  <c r="X55" i="12"/>
  <c r="AA55" i="12"/>
  <c r="AD55" i="12"/>
  <c r="AG55" i="12"/>
  <c r="AJ55" i="12"/>
  <c r="O56" i="12"/>
  <c r="R56" i="12"/>
  <c r="U56" i="12"/>
  <c r="X56" i="12"/>
  <c r="AA56" i="12"/>
  <c r="AD56" i="12"/>
  <c r="AG56" i="12"/>
  <c r="AJ56" i="12"/>
  <c r="O57" i="12"/>
  <c r="R57" i="12"/>
  <c r="U57" i="12"/>
  <c r="X57" i="12"/>
  <c r="AA57" i="12"/>
  <c r="AD57" i="12"/>
  <c r="AG57" i="12"/>
  <c r="AJ57" i="12"/>
  <c r="O58" i="12"/>
  <c r="R58" i="12"/>
  <c r="U58" i="12"/>
  <c r="X58" i="12"/>
  <c r="AA58" i="12"/>
  <c r="AD58" i="12"/>
  <c r="AG58" i="12"/>
  <c r="AJ58" i="12"/>
  <c r="O59" i="12"/>
  <c r="Q59" i="12"/>
  <c r="P59" i="12" s="1"/>
  <c r="R59" i="12"/>
  <c r="S59" i="12"/>
  <c r="U59" i="12"/>
  <c r="X59" i="12"/>
  <c r="Z59" i="12"/>
  <c r="Y59" i="12" s="1"/>
  <c r="AA59" i="12"/>
  <c r="AC59" i="12"/>
  <c r="AB59" i="12" s="1"/>
  <c r="AD59" i="12"/>
  <c r="AG59" i="12"/>
  <c r="AI59" i="12"/>
  <c r="AH59" i="12" s="1"/>
  <c r="AJ59" i="12"/>
  <c r="AK59" i="12"/>
  <c r="O60" i="12"/>
  <c r="Q60" i="12"/>
  <c r="P60" i="12" s="1"/>
  <c r="R60" i="12"/>
  <c r="S60" i="12"/>
  <c r="U60" i="12"/>
  <c r="V60" i="12"/>
  <c r="X60" i="12"/>
  <c r="Z60" i="12"/>
  <c r="Y60" i="12" s="1"/>
  <c r="AA60" i="12"/>
  <c r="AC60" i="12"/>
  <c r="AB60" i="12" s="1"/>
  <c r="AD60" i="12"/>
  <c r="AG60" i="12"/>
  <c r="AI60" i="12"/>
  <c r="AH60" i="12" s="1"/>
  <c r="AJ60" i="12"/>
  <c r="O61" i="12"/>
  <c r="Q61" i="12"/>
  <c r="P61" i="12" s="1"/>
  <c r="R61" i="12"/>
  <c r="S61" i="12"/>
  <c r="U61" i="12"/>
  <c r="V61" i="12"/>
  <c r="X61" i="12"/>
  <c r="Y61" i="12"/>
  <c r="Z61" i="12"/>
  <c r="AA61" i="12"/>
  <c r="AC61" i="12"/>
  <c r="AB61" i="12" s="1"/>
  <c r="AD61" i="12"/>
  <c r="AE61" i="12"/>
  <c r="AG61" i="12"/>
  <c r="AI61" i="12"/>
  <c r="AH61" i="12" s="1"/>
  <c r="AJ61" i="12"/>
  <c r="AK61" i="12"/>
  <c r="O62" i="12"/>
  <c r="Q62" i="12"/>
  <c r="P62" i="12" s="1"/>
  <c r="R62" i="12"/>
  <c r="U62" i="12"/>
  <c r="X62" i="12"/>
  <c r="Z62" i="12"/>
  <c r="Y62" i="12" s="1"/>
  <c r="AA62" i="12"/>
  <c r="AC62" i="12"/>
  <c r="AB62" i="12" s="1"/>
  <c r="AD62" i="12"/>
  <c r="AG62" i="12"/>
  <c r="AH62" i="12"/>
  <c r="AI62" i="12"/>
  <c r="AJ62" i="12"/>
  <c r="AK62" i="12"/>
  <c r="O63" i="12"/>
  <c r="Q63" i="12"/>
  <c r="P63" i="12" s="1"/>
  <c r="R63" i="12"/>
  <c r="S63" i="12"/>
  <c r="U63" i="12"/>
  <c r="V63" i="12"/>
  <c r="X63" i="12"/>
  <c r="Z63" i="12"/>
  <c r="Y63" i="12" s="1"/>
  <c r="AA63" i="12"/>
  <c r="AC63" i="12"/>
  <c r="AB63" i="12" s="1"/>
  <c r="AD63" i="12"/>
  <c r="AG63" i="12"/>
  <c r="AI63" i="12"/>
  <c r="AH63" i="12" s="1"/>
  <c r="AJ63" i="12"/>
  <c r="AK63" i="12"/>
  <c r="O64" i="12"/>
  <c r="Q64" i="12"/>
  <c r="P64" i="12" s="1"/>
  <c r="R64" i="12"/>
  <c r="S64" i="12"/>
  <c r="U64" i="12"/>
  <c r="V64" i="12"/>
  <c r="X64" i="12"/>
  <c r="Y64" i="12"/>
  <c r="Z64" i="12"/>
  <c r="AA64" i="12"/>
  <c r="AC64" i="12"/>
  <c r="AB64" i="12" s="1"/>
  <c r="AD64" i="12"/>
  <c r="AG64" i="12"/>
  <c r="AI64" i="12"/>
  <c r="AH64" i="12" s="1"/>
  <c r="AJ64" i="12"/>
  <c r="O65" i="12"/>
  <c r="Q65" i="12"/>
  <c r="P65" i="12" s="1"/>
  <c r="R65" i="12"/>
  <c r="S65" i="12"/>
  <c r="U65" i="12"/>
  <c r="V65" i="12"/>
  <c r="X65" i="12"/>
  <c r="Y65" i="12"/>
  <c r="Z65" i="12"/>
  <c r="AA65" i="12"/>
  <c r="AC65" i="12"/>
  <c r="AB65" i="12" s="1"/>
  <c r="AD65" i="12"/>
  <c r="AE65" i="12"/>
  <c r="AG65" i="12"/>
  <c r="AI65" i="12"/>
  <c r="AH65" i="12" s="1"/>
  <c r="AJ65" i="12"/>
  <c r="AK65" i="12"/>
  <c r="O66" i="12"/>
  <c r="Q66" i="12"/>
  <c r="P66" i="12" s="1"/>
  <c r="R66" i="12"/>
  <c r="S66" i="12"/>
  <c r="U66" i="12"/>
  <c r="V66" i="12"/>
  <c r="X66" i="12"/>
  <c r="Y66" i="12"/>
  <c r="Z66" i="12"/>
  <c r="AA66" i="12"/>
  <c r="AC66" i="12"/>
  <c r="AB66" i="12" s="1"/>
  <c r="AD66" i="12"/>
  <c r="AG66" i="12"/>
  <c r="AH66" i="12"/>
  <c r="AI66" i="12"/>
  <c r="AJ66" i="12"/>
  <c r="AK66" i="12"/>
  <c r="O67" i="12"/>
  <c r="Q67" i="12"/>
  <c r="P67" i="12" s="1"/>
  <c r="R67" i="12"/>
  <c r="S67" i="12"/>
  <c r="U67" i="12"/>
  <c r="X67" i="12"/>
  <c r="Z67" i="12"/>
  <c r="Y67" i="12" s="1"/>
  <c r="AA67" i="12"/>
  <c r="AC67" i="12"/>
  <c r="AB67" i="12" s="1"/>
  <c r="AD67" i="12"/>
  <c r="AG67" i="12"/>
  <c r="AI67" i="12"/>
  <c r="AH67" i="12" s="1"/>
  <c r="AJ67" i="12"/>
  <c r="AK67" i="12"/>
  <c r="O68" i="12"/>
  <c r="Q68" i="12"/>
  <c r="P68" i="12" s="1"/>
  <c r="R68" i="12"/>
  <c r="S68" i="12"/>
  <c r="U68" i="12"/>
  <c r="V68" i="12"/>
  <c r="X68" i="12"/>
  <c r="Y68" i="12"/>
  <c r="Z68" i="12"/>
  <c r="AA68" i="12"/>
  <c r="AC68" i="12"/>
  <c r="AB68" i="12" s="1"/>
  <c r="AD68" i="12"/>
  <c r="AG68" i="12"/>
  <c r="AI68" i="12"/>
  <c r="AH68" i="12" s="1"/>
  <c r="AJ68" i="12"/>
  <c r="O69" i="12"/>
  <c r="Q69" i="12"/>
  <c r="P69" i="12" s="1"/>
  <c r="R69" i="12"/>
  <c r="S69" i="12"/>
  <c r="U69" i="12"/>
  <c r="V69" i="12"/>
  <c r="X69" i="12"/>
  <c r="Y69" i="12"/>
  <c r="Z69" i="12"/>
  <c r="AA69" i="12"/>
  <c r="AC69" i="12"/>
  <c r="AB69" i="12" s="1"/>
  <c r="AD69" i="12"/>
  <c r="AE69" i="12"/>
  <c r="AG69" i="12"/>
  <c r="AH69" i="12"/>
  <c r="AI69" i="12"/>
  <c r="AJ69" i="12"/>
  <c r="AK69" i="12"/>
  <c r="O70" i="12"/>
  <c r="Q70" i="12"/>
  <c r="P70" i="12" s="1"/>
  <c r="R70" i="12"/>
  <c r="S70" i="12"/>
  <c r="U70" i="12"/>
  <c r="V70" i="12"/>
  <c r="X70" i="12"/>
  <c r="Y70" i="12"/>
  <c r="Z70" i="12"/>
  <c r="AA70" i="12"/>
  <c r="AC70" i="12"/>
  <c r="AB70" i="12" s="1"/>
  <c r="AD70" i="12"/>
  <c r="AG70" i="12"/>
  <c r="AH70" i="12"/>
  <c r="AI70" i="12"/>
  <c r="AJ70" i="12"/>
  <c r="AK70" i="12"/>
  <c r="O71" i="12"/>
  <c r="Q71" i="12"/>
  <c r="P71" i="12" s="1"/>
  <c r="R71" i="12"/>
  <c r="S71" i="12"/>
  <c r="U71" i="12"/>
  <c r="X71" i="12"/>
  <c r="Y71" i="12"/>
  <c r="Z71" i="12"/>
  <c r="AA71" i="12"/>
  <c r="AC71" i="12"/>
  <c r="AB71" i="12" s="1"/>
  <c r="AD71" i="12"/>
  <c r="AE71" i="12"/>
  <c r="AG71" i="12"/>
  <c r="AH71" i="12"/>
  <c r="AI71" i="12"/>
  <c r="AJ71" i="12"/>
  <c r="AK71" i="12"/>
  <c r="O72" i="12"/>
  <c r="Q72" i="12"/>
  <c r="P72" i="12" s="1"/>
  <c r="R72" i="12"/>
  <c r="S72" i="12"/>
  <c r="U72" i="12"/>
  <c r="V72" i="12"/>
  <c r="X72" i="12"/>
  <c r="Y72" i="12"/>
  <c r="Z72" i="12"/>
  <c r="AA72" i="12"/>
  <c r="AC72" i="12"/>
  <c r="AB72" i="12" s="1"/>
  <c r="AD72" i="12"/>
  <c r="AG72" i="12"/>
  <c r="AH72" i="12"/>
  <c r="AI72" i="12"/>
  <c r="AJ72" i="12"/>
  <c r="AK72" i="12"/>
  <c r="O73" i="12"/>
  <c r="Q73" i="12"/>
  <c r="P73" i="12" s="1"/>
  <c r="R73" i="12"/>
  <c r="S73" i="12"/>
  <c r="U73" i="12"/>
  <c r="V73" i="12"/>
  <c r="X73" i="12"/>
  <c r="Y73" i="12"/>
  <c r="Z73" i="12"/>
  <c r="AA73" i="12"/>
  <c r="AC73" i="12"/>
  <c r="AB73" i="12" s="1"/>
  <c r="AD73" i="12"/>
  <c r="AE73" i="12"/>
  <c r="AG73" i="12"/>
  <c r="AH73" i="12"/>
  <c r="AI73" i="12"/>
  <c r="AJ73" i="12"/>
  <c r="AK73" i="12"/>
  <c r="O74" i="12"/>
  <c r="Q74" i="12"/>
  <c r="P74" i="12" s="1"/>
  <c r="R74" i="12"/>
  <c r="S74" i="12"/>
  <c r="U74" i="12"/>
  <c r="V74" i="12"/>
  <c r="X74" i="12"/>
  <c r="Y74" i="12"/>
  <c r="Z74" i="12"/>
  <c r="AA74" i="12"/>
  <c r="AC74" i="12"/>
  <c r="AB74" i="12" s="1"/>
  <c r="AD74" i="12"/>
  <c r="AG74" i="12"/>
  <c r="AH74" i="12"/>
  <c r="AI74" i="12"/>
  <c r="AJ74" i="12"/>
  <c r="AK74" i="12"/>
  <c r="O75" i="12"/>
  <c r="Q75" i="12"/>
  <c r="P75" i="12" s="1"/>
  <c r="R75" i="12"/>
  <c r="S75" i="12"/>
  <c r="U75" i="12"/>
  <c r="V75" i="12"/>
  <c r="X75" i="12"/>
  <c r="Z75" i="12"/>
  <c r="Y75" i="12" s="1"/>
  <c r="AA75" i="12"/>
  <c r="AC75" i="12"/>
  <c r="AB75" i="12" s="1"/>
  <c r="AD75" i="12"/>
  <c r="AE75" i="12"/>
  <c r="AG75" i="12"/>
  <c r="AI75" i="12"/>
  <c r="AH75" i="12" s="1"/>
  <c r="AJ75" i="12"/>
  <c r="AK75" i="12"/>
  <c r="O76" i="12"/>
  <c r="Q76" i="12"/>
  <c r="P76" i="12" s="1"/>
  <c r="R76" i="12"/>
  <c r="S76" i="12"/>
  <c r="U76" i="12"/>
  <c r="V76" i="12"/>
  <c r="X76" i="12"/>
  <c r="Z76" i="12"/>
  <c r="Y76" i="12" s="1"/>
  <c r="AA76" i="12"/>
  <c r="AC76" i="12"/>
  <c r="AB76" i="12" s="1"/>
  <c r="AD76" i="12"/>
  <c r="AG76" i="12"/>
  <c r="AI76" i="12"/>
  <c r="AH76" i="12" s="1"/>
  <c r="AJ76" i="12"/>
  <c r="O77" i="12"/>
  <c r="Q77" i="12"/>
  <c r="P77" i="12" s="1"/>
  <c r="R77" i="12"/>
  <c r="S77" i="12"/>
  <c r="U77" i="12"/>
  <c r="V77" i="12"/>
  <c r="X77" i="12"/>
  <c r="Y77" i="12"/>
  <c r="Z77" i="12"/>
  <c r="AA77" i="12"/>
  <c r="AC77" i="12"/>
  <c r="AB77" i="12" s="1"/>
  <c r="AD77" i="12"/>
  <c r="AE77" i="12"/>
  <c r="AG77" i="12"/>
  <c r="AH77" i="12"/>
  <c r="AI77" i="12"/>
  <c r="AJ77" i="12"/>
  <c r="AK77" i="12"/>
  <c r="O78" i="12"/>
  <c r="Q78" i="12"/>
  <c r="P78" i="12" s="1"/>
  <c r="R78" i="12"/>
  <c r="U78" i="12"/>
  <c r="X78" i="12"/>
  <c r="Z78" i="12"/>
  <c r="Y78" i="12" s="1"/>
  <c r="AA78" i="12"/>
  <c r="AB78" i="12"/>
  <c r="AC78" i="12"/>
  <c r="AD78" i="12"/>
  <c r="AG78" i="12"/>
  <c r="AH78" i="12"/>
  <c r="AI78" i="12"/>
  <c r="AJ78" i="12"/>
  <c r="AK78" i="12"/>
  <c r="O79" i="12"/>
  <c r="Q79" i="12"/>
  <c r="P79" i="12" s="1"/>
  <c r="R79" i="12"/>
  <c r="S79" i="12"/>
  <c r="U79" i="12"/>
  <c r="X79" i="12"/>
  <c r="Z79" i="12"/>
  <c r="Y79" i="12" s="1"/>
  <c r="AA79" i="12"/>
  <c r="AB79" i="12"/>
  <c r="AC79" i="12"/>
  <c r="AD79" i="12"/>
  <c r="AG79" i="12"/>
  <c r="AI79" i="12"/>
  <c r="AH79" i="12" s="1"/>
  <c r="AJ79" i="12"/>
  <c r="AK79" i="12"/>
  <c r="O80" i="12"/>
  <c r="Q80" i="12"/>
  <c r="P80" i="12" s="1"/>
  <c r="R80" i="12"/>
  <c r="S80" i="12"/>
  <c r="U80" i="12"/>
  <c r="V80" i="12"/>
  <c r="X80" i="12"/>
  <c r="Z80" i="12"/>
  <c r="Y80" i="12" s="1"/>
  <c r="AA80" i="12"/>
  <c r="AC80" i="12"/>
  <c r="AB80" i="12" s="1"/>
  <c r="AD80" i="12"/>
  <c r="AG80" i="12"/>
  <c r="AH80" i="12"/>
  <c r="AI80" i="12"/>
  <c r="AJ80" i="12"/>
  <c r="O81" i="12"/>
  <c r="P81" i="12"/>
  <c r="Q81" i="12"/>
  <c r="R81" i="12"/>
  <c r="S81" i="12"/>
  <c r="U81" i="12"/>
  <c r="V81" i="12"/>
  <c r="X81" i="12"/>
  <c r="Z81" i="12"/>
  <c r="Y81" i="12" s="1"/>
  <c r="AA81" i="12"/>
  <c r="AB81" i="12"/>
  <c r="AC81" i="12"/>
  <c r="AD81" i="12"/>
  <c r="AE81" i="12"/>
  <c r="AG81" i="12"/>
  <c r="AH81" i="12"/>
  <c r="AI81" i="12"/>
  <c r="AJ81" i="12"/>
  <c r="AK81" i="12"/>
  <c r="O82" i="12"/>
  <c r="Q82" i="12"/>
  <c r="P82" i="12" s="1"/>
  <c r="R82" i="12"/>
  <c r="U82" i="12"/>
  <c r="X82" i="12"/>
  <c r="Z82" i="12"/>
  <c r="Y82" i="12" s="1"/>
  <c r="AA82" i="12"/>
  <c r="AB82" i="12"/>
  <c r="AC82" i="12"/>
  <c r="AD82" i="12"/>
  <c r="AG82" i="12"/>
  <c r="AH82" i="12"/>
  <c r="AI82" i="12"/>
  <c r="AJ82" i="12"/>
  <c r="AK82" i="12"/>
  <c r="O83" i="12"/>
  <c r="P83" i="12"/>
  <c r="Q83" i="12"/>
  <c r="R83" i="12"/>
  <c r="S83" i="12"/>
  <c r="U83" i="12"/>
  <c r="X83" i="12"/>
  <c r="Z83" i="12"/>
  <c r="Y83" i="12" s="1"/>
  <c r="AA83" i="12"/>
  <c r="AC83" i="12"/>
  <c r="AB83" i="12" s="1"/>
  <c r="AD83" i="12"/>
  <c r="AE83" i="12"/>
  <c r="AG83" i="12"/>
  <c r="AH83" i="12"/>
  <c r="AI83" i="12"/>
  <c r="AJ83" i="12"/>
  <c r="AK83" i="12"/>
  <c r="O84" i="12"/>
  <c r="P84" i="12"/>
  <c r="Q84" i="12"/>
  <c r="R84" i="12"/>
  <c r="S84" i="12"/>
  <c r="U84" i="12"/>
  <c r="V84" i="12"/>
  <c r="X84" i="12"/>
  <c r="Z84" i="12"/>
  <c r="Y84" i="12" s="1"/>
  <c r="AA84" i="12"/>
  <c r="AB84" i="12"/>
  <c r="AC84" i="12"/>
  <c r="AD84" i="12"/>
  <c r="AG84" i="12"/>
  <c r="AI84" i="12"/>
  <c r="AH84" i="12" s="1"/>
  <c r="AJ84" i="12"/>
  <c r="O85" i="12"/>
  <c r="P85" i="12"/>
  <c r="Q85" i="12"/>
  <c r="R85" i="12"/>
  <c r="S85" i="12"/>
  <c r="U85" i="12"/>
  <c r="V85" i="12"/>
  <c r="X85" i="12"/>
  <c r="Z85" i="12"/>
  <c r="Y85" i="12" s="1"/>
  <c r="AA85" i="12"/>
  <c r="AB85" i="12"/>
  <c r="AC85" i="12"/>
  <c r="AD85" i="12"/>
  <c r="AE85" i="12"/>
  <c r="AG85" i="12"/>
  <c r="AH85" i="12"/>
  <c r="AI85" i="12"/>
  <c r="AJ85" i="12"/>
  <c r="AK85" i="12"/>
  <c r="O86" i="12"/>
  <c r="P86" i="12"/>
  <c r="Q86" i="12"/>
  <c r="R86" i="12"/>
  <c r="U86" i="12"/>
  <c r="X86" i="12"/>
  <c r="Z86" i="12"/>
  <c r="Y86" i="12" s="1"/>
  <c r="AA86" i="12"/>
  <c r="AB86" i="12"/>
  <c r="AC86" i="12"/>
  <c r="AD86" i="12"/>
  <c r="AG86" i="12"/>
  <c r="AH86" i="12"/>
  <c r="AI86" i="12"/>
  <c r="AJ86" i="12"/>
  <c r="AK86" i="12"/>
  <c r="O87" i="12"/>
  <c r="Q87" i="12"/>
  <c r="P87" i="12" s="1"/>
  <c r="R87" i="12"/>
  <c r="S87" i="12"/>
  <c r="U87" i="12"/>
  <c r="V87" i="12"/>
  <c r="X87" i="12"/>
  <c r="Z87" i="12"/>
  <c r="Y87" i="12" s="1"/>
  <c r="AA87" i="12"/>
  <c r="AB87" i="12"/>
  <c r="AC87" i="12"/>
  <c r="AD87" i="12"/>
  <c r="AE87" i="12"/>
  <c r="AG87" i="12"/>
  <c r="AI87" i="12"/>
  <c r="AH87" i="12" s="1"/>
  <c r="AJ87" i="12"/>
  <c r="AK87" i="12"/>
  <c r="O88" i="12"/>
  <c r="Q88" i="12"/>
  <c r="P88" i="12" s="1"/>
  <c r="R88" i="12"/>
  <c r="S88" i="12"/>
  <c r="U88" i="12"/>
  <c r="V88" i="12"/>
  <c r="X88" i="12"/>
  <c r="Z88" i="12"/>
  <c r="Y88" i="12" s="1"/>
  <c r="AA88" i="12"/>
  <c r="AC88" i="12"/>
  <c r="AB88" i="12" s="1"/>
  <c r="AD88" i="12"/>
  <c r="AG88" i="12"/>
  <c r="AH88" i="12"/>
  <c r="AI88" i="12"/>
  <c r="AJ88" i="12"/>
  <c r="O89" i="12"/>
  <c r="Q89" i="12"/>
  <c r="P89" i="12" s="1"/>
  <c r="R89" i="12"/>
  <c r="S89" i="12"/>
  <c r="U89" i="12"/>
  <c r="V89" i="12"/>
  <c r="X89" i="12"/>
  <c r="Z89" i="12"/>
  <c r="Y89" i="12" s="1"/>
  <c r="AA89" i="12"/>
  <c r="AB89" i="12"/>
  <c r="AC89" i="12"/>
  <c r="AD89" i="12"/>
  <c r="AE89" i="12"/>
  <c r="AG89" i="12"/>
  <c r="AH89" i="12"/>
  <c r="AI89" i="12"/>
  <c r="AJ89" i="12"/>
  <c r="AK89" i="12"/>
  <c r="O90" i="12"/>
  <c r="Q90" i="12"/>
  <c r="P90" i="12" s="1"/>
  <c r="R90" i="12"/>
  <c r="U90" i="12"/>
  <c r="X90" i="12"/>
  <c r="Z90" i="12"/>
  <c r="Y90" i="12" s="1"/>
  <c r="AA90" i="12"/>
  <c r="AB90" i="12"/>
  <c r="AC90" i="12"/>
  <c r="AD90" i="12"/>
  <c r="AG90" i="12"/>
  <c r="AH90" i="12"/>
  <c r="AI90" i="12"/>
  <c r="AJ90" i="12"/>
  <c r="AK90" i="12"/>
  <c r="O91" i="12"/>
  <c r="P91" i="12"/>
  <c r="Q91" i="12"/>
  <c r="R91" i="12"/>
  <c r="S91" i="12"/>
  <c r="U91" i="12"/>
  <c r="X91" i="12"/>
  <c r="Z91" i="12"/>
  <c r="Y91" i="12" s="1"/>
  <c r="AA91" i="12"/>
  <c r="AC91" i="12"/>
  <c r="AB91" i="12" s="1"/>
  <c r="AD91" i="12"/>
  <c r="AG91" i="12"/>
  <c r="AH91" i="12"/>
  <c r="AI91" i="12"/>
  <c r="AJ91" i="12"/>
  <c r="AK91" i="12"/>
  <c r="O92" i="12"/>
  <c r="P92" i="12"/>
  <c r="Q92" i="12"/>
  <c r="R92" i="12"/>
  <c r="S92" i="12"/>
  <c r="U92" i="12"/>
  <c r="V92" i="12"/>
  <c r="X92" i="12"/>
  <c r="Z92" i="12"/>
  <c r="Y92" i="12" s="1"/>
  <c r="AA92" i="12"/>
  <c r="AB92" i="12"/>
  <c r="AC92" i="12"/>
  <c r="AD92" i="12"/>
  <c r="AE92" i="12"/>
  <c r="AG92" i="12"/>
  <c r="AI92" i="12"/>
  <c r="AH92" i="12" s="1"/>
  <c r="AJ92" i="12"/>
  <c r="O93" i="12"/>
  <c r="P93" i="12"/>
  <c r="Q93" i="12"/>
  <c r="R93" i="12"/>
  <c r="S93" i="12"/>
  <c r="U93" i="12"/>
  <c r="V93" i="12"/>
  <c r="X93" i="12"/>
  <c r="Z93" i="12"/>
  <c r="Y93" i="12" s="1"/>
  <c r="AA93" i="12"/>
  <c r="AB93" i="12"/>
  <c r="AC93" i="12"/>
  <c r="AD93" i="12"/>
  <c r="AE93" i="12"/>
  <c r="AG93" i="12"/>
  <c r="AH93" i="12"/>
  <c r="AI93" i="12"/>
  <c r="AJ93" i="12"/>
  <c r="AK93" i="12"/>
  <c r="O94" i="12"/>
  <c r="P94" i="12"/>
  <c r="Q94" i="12"/>
  <c r="R94" i="12"/>
  <c r="U94" i="12"/>
  <c r="X94" i="12"/>
  <c r="Z94" i="12"/>
  <c r="Y94" i="12" s="1"/>
  <c r="AA94" i="12"/>
  <c r="AB94" i="12"/>
  <c r="AC94" i="12"/>
  <c r="AD94" i="12"/>
  <c r="AG94" i="12"/>
  <c r="AH94" i="12"/>
  <c r="AI94" i="12"/>
  <c r="AJ94" i="12"/>
  <c r="AK94" i="12"/>
  <c r="O95" i="12"/>
  <c r="Q95" i="12"/>
  <c r="P95" i="12" s="1"/>
  <c r="R95" i="12"/>
  <c r="S95" i="12"/>
  <c r="U95" i="12"/>
  <c r="V95" i="12"/>
  <c r="X95" i="12"/>
  <c r="Z95" i="12"/>
  <c r="Y95" i="12" s="1"/>
  <c r="AA95" i="12"/>
  <c r="AB95" i="12"/>
  <c r="AC95" i="12"/>
  <c r="AD95" i="12"/>
  <c r="AE95" i="12"/>
  <c r="AG95" i="12"/>
  <c r="AI95" i="12"/>
  <c r="AH95" i="12" s="1"/>
  <c r="AJ95" i="12"/>
  <c r="AK95" i="12"/>
  <c r="O96" i="12"/>
  <c r="Q96" i="12"/>
  <c r="P96" i="12" s="1"/>
  <c r="R96" i="12"/>
  <c r="S96" i="12"/>
  <c r="U96" i="12"/>
  <c r="V96" i="12"/>
  <c r="X96" i="12"/>
  <c r="Z96" i="12"/>
  <c r="Y96" i="12" s="1"/>
  <c r="AA96" i="12"/>
  <c r="AC96" i="12"/>
  <c r="AB96" i="12" s="1"/>
  <c r="AD96" i="12"/>
  <c r="AE96" i="12"/>
  <c r="AG96" i="12"/>
  <c r="AH96" i="12"/>
  <c r="AI96" i="12"/>
  <c r="AJ96" i="12"/>
  <c r="O97" i="12"/>
  <c r="Q97" i="12"/>
  <c r="P97" i="12" s="1"/>
  <c r="R97" i="12"/>
  <c r="S97" i="12"/>
  <c r="U97" i="12"/>
  <c r="V97" i="12"/>
  <c r="X97" i="12"/>
  <c r="Z97" i="12"/>
  <c r="Y97" i="12" s="1"/>
  <c r="AA97" i="12"/>
  <c r="AB97" i="12"/>
  <c r="AC97" i="12"/>
  <c r="AD97" i="12"/>
  <c r="AE97" i="12"/>
  <c r="AG97" i="12"/>
  <c r="AH97" i="12"/>
  <c r="AI97" i="12"/>
  <c r="AJ97" i="12"/>
  <c r="AK97" i="12"/>
  <c r="O98" i="12"/>
  <c r="Q98" i="12"/>
  <c r="P98" i="12" s="1"/>
  <c r="R98" i="12"/>
  <c r="U98" i="12"/>
  <c r="X98" i="12"/>
  <c r="Z98" i="12"/>
  <c r="Y98" i="12" s="1"/>
  <c r="AA98" i="12"/>
  <c r="AB98" i="12"/>
  <c r="AC98" i="12"/>
  <c r="AD98" i="12"/>
  <c r="AG98" i="12"/>
  <c r="AH98" i="12"/>
  <c r="AI98" i="12"/>
  <c r="AJ98" i="12"/>
  <c r="AK98" i="12"/>
  <c r="O99" i="12"/>
  <c r="Q99" i="12"/>
  <c r="P99" i="12" s="1"/>
  <c r="R99" i="12"/>
  <c r="S99" i="12"/>
  <c r="U99" i="12"/>
  <c r="V99" i="12"/>
  <c r="X99" i="12"/>
  <c r="Z99" i="12"/>
  <c r="Y99" i="12" s="1"/>
  <c r="AA99" i="12"/>
  <c r="AC99" i="12"/>
  <c r="AB99" i="12" s="1"/>
  <c r="AD99" i="12"/>
  <c r="AG99" i="12"/>
  <c r="AH99" i="12"/>
  <c r="AI99" i="12"/>
  <c r="AJ99" i="12"/>
  <c r="AK99" i="12"/>
  <c r="O100" i="12"/>
  <c r="Q100" i="12"/>
  <c r="P100" i="12" s="1"/>
  <c r="R100" i="12"/>
  <c r="S100" i="12"/>
  <c r="U100" i="12"/>
  <c r="V100" i="12"/>
  <c r="X100" i="12"/>
  <c r="Z100" i="12"/>
  <c r="Y100" i="12" s="1"/>
  <c r="AA100" i="12"/>
  <c r="AB100" i="12"/>
  <c r="AC100" i="12"/>
  <c r="AD100" i="12"/>
  <c r="AE100" i="12"/>
  <c r="AG100" i="12"/>
  <c r="AI100" i="12"/>
  <c r="AH100" i="12" s="1"/>
  <c r="AJ100" i="12"/>
  <c r="AK100" i="12"/>
  <c r="O101" i="12"/>
  <c r="Q101" i="12"/>
  <c r="P101" i="12" s="1"/>
  <c r="R101" i="12"/>
  <c r="S101" i="12"/>
  <c r="U101" i="12"/>
  <c r="V101" i="12"/>
  <c r="X101" i="12"/>
  <c r="Z101" i="12"/>
  <c r="Y101" i="12" s="1"/>
  <c r="AA101" i="12"/>
  <c r="AB101" i="12"/>
  <c r="AC101" i="12"/>
  <c r="AD101" i="12"/>
  <c r="AE101" i="12"/>
  <c r="AG101" i="12"/>
  <c r="AH101" i="12"/>
  <c r="AI101" i="12"/>
  <c r="AJ101" i="12"/>
  <c r="AK101" i="12"/>
  <c r="O102" i="12"/>
  <c r="Q102" i="12"/>
  <c r="P102" i="12" s="1"/>
  <c r="R102" i="12"/>
  <c r="U102" i="12"/>
  <c r="X102" i="12"/>
  <c r="Z102" i="12"/>
  <c r="Y102" i="12" s="1"/>
  <c r="AA102" i="12"/>
  <c r="AB102" i="12"/>
  <c r="AC102" i="12"/>
  <c r="AD102" i="12"/>
  <c r="AG102" i="12"/>
  <c r="AH102" i="12"/>
  <c r="AI102" i="12"/>
  <c r="AJ102" i="12"/>
  <c r="AK102" i="12"/>
  <c r="O103" i="12"/>
  <c r="Q103" i="12"/>
  <c r="P103" i="12" s="1"/>
  <c r="R103" i="12"/>
  <c r="S103" i="12"/>
  <c r="U103" i="12"/>
  <c r="V103" i="12"/>
  <c r="X103" i="12"/>
  <c r="Z103" i="12"/>
  <c r="Y103" i="12" s="1"/>
  <c r="AA103" i="12"/>
  <c r="AB103" i="12"/>
  <c r="AC103" i="12"/>
  <c r="AD103" i="12"/>
  <c r="AG103" i="12"/>
  <c r="AI103" i="12"/>
  <c r="AH103" i="12" s="1"/>
  <c r="AJ103" i="12"/>
  <c r="AK103" i="12"/>
  <c r="O104" i="12"/>
  <c r="Q104" i="12"/>
  <c r="P104" i="12" s="1"/>
  <c r="R104" i="12"/>
  <c r="S104" i="12"/>
  <c r="U104" i="12"/>
  <c r="V104" i="12"/>
  <c r="X104" i="12"/>
  <c r="Z104" i="12"/>
  <c r="Y104" i="12" s="1"/>
  <c r="AA104" i="12"/>
  <c r="AC104" i="12"/>
  <c r="AB104" i="12" s="1"/>
  <c r="AD104" i="12"/>
  <c r="AG104" i="12"/>
  <c r="AH104" i="12"/>
  <c r="AI104" i="12"/>
  <c r="AJ104" i="12"/>
  <c r="O105" i="12"/>
  <c r="P105" i="12"/>
  <c r="Q105" i="12"/>
  <c r="R105" i="12"/>
  <c r="S105" i="12"/>
  <c r="U105" i="12"/>
  <c r="V105" i="12"/>
  <c r="X105" i="12"/>
  <c r="Z105" i="12"/>
  <c r="Y105" i="12" s="1"/>
  <c r="AA105" i="12"/>
  <c r="AB105" i="12"/>
  <c r="AC105" i="12"/>
  <c r="AD105" i="12"/>
  <c r="AE105" i="12"/>
  <c r="AG105" i="12"/>
  <c r="AH105" i="12"/>
  <c r="AI105" i="12"/>
  <c r="AJ105" i="12"/>
  <c r="AK105" i="12"/>
  <c r="O106" i="12"/>
  <c r="Q106" i="12"/>
  <c r="P106" i="12" s="1"/>
  <c r="R106" i="12"/>
  <c r="S106" i="12"/>
  <c r="U106" i="12"/>
  <c r="V106" i="12"/>
  <c r="X106" i="12"/>
  <c r="Z106" i="12"/>
  <c r="Y106" i="12" s="1"/>
  <c r="AA106" i="12"/>
  <c r="AB106" i="12"/>
  <c r="AC106" i="12"/>
  <c r="AD106" i="12"/>
  <c r="AE106" i="12"/>
  <c r="AG106" i="12"/>
  <c r="AI106" i="12"/>
  <c r="AH106" i="12" s="1"/>
  <c r="AJ106" i="12"/>
  <c r="AK106" i="12"/>
  <c r="O107" i="12"/>
  <c r="Q107" i="12"/>
  <c r="P107" i="12" s="1"/>
  <c r="R107" i="12"/>
  <c r="S107" i="12"/>
  <c r="U107" i="12"/>
  <c r="X107" i="12"/>
  <c r="Z107" i="12"/>
  <c r="Y107" i="12" s="1"/>
  <c r="AA107" i="12"/>
  <c r="AC107" i="12"/>
  <c r="AB107" i="12" s="1"/>
  <c r="AD107" i="12"/>
  <c r="AG107" i="12"/>
  <c r="AI107" i="12"/>
  <c r="AH107" i="12" s="1"/>
  <c r="AJ107" i="12"/>
  <c r="AK107" i="12"/>
  <c r="O108" i="12"/>
  <c r="Q108" i="12"/>
  <c r="P108" i="12" s="1"/>
  <c r="R108" i="12"/>
  <c r="S108" i="12"/>
  <c r="U108" i="12"/>
  <c r="V108" i="12"/>
  <c r="X108" i="12"/>
  <c r="Z108" i="12"/>
  <c r="Y108" i="12" s="1"/>
  <c r="AA108" i="12"/>
  <c r="AC108" i="12"/>
  <c r="AB108" i="12" s="1"/>
  <c r="AD108" i="12"/>
  <c r="AG108" i="12"/>
  <c r="AI108" i="12"/>
  <c r="AH108" i="12" s="1"/>
  <c r="AJ108" i="12"/>
  <c r="O109" i="12"/>
  <c r="P109" i="12"/>
  <c r="Q109" i="12"/>
  <c r="R109" i="12"/>
  <c r="S109" i="12"/>
  <c r="U109" i="12"/>
  <c r="V109" i="12"/>
  <c r="X109" i="12"/>
  <c r="Z109" i="12"/>
  <c r="Y109" i="12" s="1"/>
  <c r="AA109" i="12"/>
  <c r="AB109" i="12"/>
  <c r="AC109" i="12"/>
  <c r="AD109" i="12"/>
  <c r="AE109" i="12"/>
  <c r="AG109" i="12"/>
  <c r="AH109" i="12"/>
  <c r="AI109" i="12"/>
  <c r="AJ109" i="12"/>
  <c r="AK109" i="12"/>
  <c r="O110" i="12"/>
  <c r="P110" i="12"/>
  <c r="Q110" i="12"/>
  <c r="R110" i="12"/>
  <c r="U110" i="12"/>
  <c r="V110" i="12"/>
  <c r="X110" i="12"/>
  <c r="Z110" i="12"/>
  <c r="Y110" i="12" s="1"/>
  <c r="AA110" i="12"/>
  <c r="AC110" i="12"/>
  <c r="AB110" i="12" s="1"/>
  <c r="AD110" i="12"/>
  <c r="AG110" i="12"/>
  <c r="AH110" i="12"/>
  <c r="AI110" i="12"/>
  <c r="AJ110" i="12"/>
  <c r="AK110" i="12"/>
  <c r="O111" i="12"/>
  <c r="Q111" i="12"/>
  <c r="P111" i="12" s="1"/>
  <c r="R111" i="12"/>
  <c r="S111" i="12"/>
  <c r="U111" i="12"/>
  <c r="V111" i="12"/>
  <c r="X111" i="12"/>
  <c r="Z111" i="12"/>
  <c r="Y111" i="12" s="1"/>
  <c r="AA111" i="12"/>
  <c r="AB111" i="12"/>
  <c r="AC111" i="12"/>
  <c r="AD111" i="12"/>
  <c r="AG111" i="12"/>
  <c r="AI111" i="12"/>
  <c r="AH111" i="12" s="1"/>
  <c r="AJ111" i="12"/>
  <c r="AK111" i="12"/>
  <c r="O112" i="12"/>
  <c r="Q112" i="12"/>
  <c r="P112" i="12" s="1"/>
  <c r="R112" i="12"/>
  <c r="S112" i="12"/>
  <c r="U112" i="12"/>
  <c r="V112" i="12"/>
  <c r="X112" i="12"/>
  <c r="Z112" i="12"/>
  <c r="Y112" i="12" s="1"/>
  <c r="AA112" i="12"/>
  <c r="AC112" i="12"/>
  <c r="AB112" i="12" s="1"/>
  <c r="AD112" i="12"/>
  <c r="AG112" i="12"/>
  <c r="AI112" i="12"/>
  <c r="AH112" i="12" s="1"/>
  <c r="AJ112" i="12"/>
  <c r="AK112" i="12"/>
  <c r="O113" i="12"/>
  <c r="P113" i="12"/>
  <c r="Q113" i="12"/>
  <c r="R113" i="12"/>
  <c r="S113" i="12"/>
  <c r="U113" i="12"/>
  <c r="V113" i="12"/>
  <c r="X113" i="12"/>
  <c r="Z113" i="12"/>
  <c r="Y113" i="12" s="1"/>
  <c r="AA113" i="12"/>
  <c r="AB113" i="12"/>
  <c r="AC113" i="12"/>
  <c r="AD113" i="12"/>
  <c r="AE113" i="12"/>
  <c r="AG113" i="12"/>
  <c r="AH113" i="12"/>
  <c r="AI113" i="12"/>
  <c r="AJ113" i="12"/>
  <c r="AK113" i="12"/>
  <c r="O114" i="12"/>
  <c r="Q114" i="12"/>
  <c r="P114" i="12" s="1"/>
  <c r="R114" i="12"/>
  <c r="U114" i="12"/>
  <c r="X114" i="12"/>
  <c r="Z114" i="12"/>
  <c r="Y114" i="12" s="1"/>
  <c r="AA114" i="12"/>
  <c r="AB114" i="12"/>
  <c r="AC114" i="12"/>
  <c r="AD114" i="12"/>
  <c r="AG114" i="12"/>
  <c r="AH114" i="12"/>
  <c r="AI114" i="12"/>
  <c r="AJ114" i="12"/>
  <c r="AK114" i="12"/>
  <c r="O115" i="12"/>
  <c r="Q115" i="12"/>
  <c r="P115" i="12" s="1"/>
  <c r="R115" i="12"/>
  <c r="S115" i="12"/>
  <c r="U115" i="12"/>
  <c r="X115" i="12"/>
  <c r="Z115" i="12"/>
  <c r="Y115" i="12" s="1"/>
  <c r="AA115" i="12"/>
  <c r="AC115" i="12"/>
  <c r="AB115" i="12" s="1"/>
  <c r="AD115" i="12"/>
  <c r="AE115" i="12"/>
  <c r="AG115" i="12"/>
  <c r="AH115" i="12"/>
  <c r="AI115" i="12"/>
  <c r="AJ115" i="12"/>
  <c r="AK115" i="12"/>
  <c r="O116" i="12"/>
  <c r="Q116" i="12"/>
  <c r="P116" i="12" s="1"/>
  <c r="R116" i="12"/>
  <c r="S116" i="12"/>
  <c r="U116" i="12"/>
  <c r="V116" i="12"/>
  <c r="X116" i="12"/>
  <c r="Z116" i="12"/>
  <c r="Y116" i="12" s="1"/>
  <c r="AA116" i="12"/>
  <c r="AB116" i="12"/>
  <c r="AC116" i="12"/>
  <c r="AD116" i="12"/>
  <c r="AG116" i="12"/>
  <c r="AI116" i="12"/>
  <c r="AH116" i="12" s="1"/>
  <c r="AJ116" i="12"/>
  <c r="O117" i="12"/>
  <c r="P117" i="12"/>
  <c r="Q117" i="12"/>
  <c r="R117" i="12"/>
  <c r="S117" i="12"/>
  <c r="U117" i="12"/>
  <c r="V117" i="12"/>
  <c r="X117" i="12"/>
  <c r="Z117" i="12"/>
  <c r="Y117" i="12" s="1"/>
  <c r="AA117" i="12"/>
  <c r="AB117" i="12"/>
  <c r="AC117" i="12"/>
  <c r="AD117" i="12"/>
  <c r="AE117" i="12"/>
  <c r="AG117" i="12"/>
  <c r="AI117" i="12"/>
  <c r="AH117" i="12" s="1"/>
  <c r="AJ117" i="12"/>
  <c r="AK117" i="12"/>
  <c r="O118" i="12"/>
  <c r="Q118" i="12"/>
  <c r="P118" i="12" s="1"/>
  <c r="R118" i="12"/>
  <c r="U118" i="12"/>
  <c r="V118" i="12"/>
  <c r="X118" i="12"/>
  <c r="Z118" i="12"/>
  <c r="Y118" i="12" s="1"/>
  <c r="AA118" i="12"/>
  <c r="AB118" i="12"/>
  <c r="AC118" i="12"/>
  <c r="AD118" i="12"/>
  <c r="AG118" i="12"/>
  <c r="AH118" i="12"/>
  <c r="AI118" i="12"/>
  <c r="AJ118" i="12"/>
  <c r="AK118" i="12"/>
  <c r="O119" i="12"/>
  <c r="Q119" i="12"/>
  <c r="P119" i="12" s="1"/>
  <c r="R119" i="12"/>
  <c r="S119" i="12"/>
  <c r="U119" i="12"/>
  <c r="X119" i="12"/>
  <c r="Z119" i="12"/>
  <c r="Y119" i="12" s="1"/>
  <c r="AA119" i="12"/>
  <c r="AC119" i="12"/>
  <c r="AB119" i="12" s="1"/>
  <c r="AD119" i="12"/>
  <c r="AG119" i="12"/>
  <c r="AI119" i="12"/>
  <c r="AH119" i="12" s="1"/>
  <c r="AJ119" i="12"/>
  <c r="AK119" i="12"/>
  <c r="O120" i="12"/>
  <c r="Q120" i="12"/>
  <c r="P120" i="12" s="1"/>
  <c r="R120" i="12"/>
  <c r="S120" i="12"/>
  <c r="U120" i="12"/>
  <c r="V120" i="12"/>
  <c r="X120" i="12"/>
  <c r="Z120" i="12"/>
  <c r="Y120" i="12" s="1"/>
  <c r="AA120" i="12"/>
  <c r="AC120" i="12"/>
  <c r="AB120" i="12" s="1"/>
  <c r="AD120" i="12"/>
  <c r="AG120" i="12"/>
  <c r="AH120" i="12"/>
  <c r="AI120" i="12"/>
  <c r="AJ120" i="12"/>
  <c r="O121" i="12"/>
  <c r="Q121" i="12"/>
  <c r="P121" i="12" s="1"/>
  <c r="R121" i="12"/>
  <c r="S121" i="12"/>
  <c r="U121" i="12"/>
  <c r="V121" i="12"/>
  <c r="X121" i="12"/>
  <c r="Z121" i="12"/>
  <c r="Y121" i="12" s="1"/>
  <c r="AA121" i="12"/>
  <c r="AC121" i="12"/>
  <c r="AB121" i="12" s="1"/>
  <c r="AD121" i="12"/>
  <c r="AE121" i="12"/>
  <c r="AG121" i="12"/>
  <c r="AH121" i="12"/>
  <c r="AI121" i="12"/>
  <c r="AJ121" i="12"/>
  <c r="AK121" i="12"/>
  <c r="O122" i="12"/>
  <c r="Q122" i="12"/>
  <c r="P122" i="12" s="1"/>
  <c r="R122" i="12"/>
  <c r="U122" i="12"/>
  <c r="X122" i="12"/>
  <c r="Z122" i="12"/>
  <c r="Y122" i="12" s="1"/>
  <c r="AA122" i="12"/>
  <c r="AB122" i="12"/>
  <c r="AC122" i="12"/>
  <c r="AD122" i="12"/>
  <c r="AG122" i="12"/>
  <c r="AH122" i="12"/>
  <c r="AI122" i="12"/>
  <c r="AJ122" i="12"/>
  <c r="AK122" i="12"/>
  <c r="O123" i="12"/>
  <c r="Q123" i="12"/>
  <c r="P123" i="12" s="1"/>
  <c r="R123" i="12"/>
  <c r="S123" i="12"/>
  <c r="U123" i="12"/>
  <c r="V123" i="12"/>
  <c r="X123" i="12"/>
  <c r="Z123" i="12"/>
  <c r="Y123" i="12" s="1"/>
  <c r="AA123" i="12"/>
  <c r="AC123" i="12"/>
  <c r="AB123" i="12" s="1"/>
  <c r="AD123" i="12"/>
  <c r="AE123" i="12"/>
  <c r="AG123" i="12"/>
  <c r="AI123" i="12"/>
  <c r="AH123" i="12" s="1"/>
  <c r="AJ123" i="12"/>
  <c r="AK123" i="12"/>
  <c r="O124" i="12"/>
  <c r="P124" i="12"/>
  <c r="Q124" i="12"/>
  <c r="R124" i="12"/>
  <c r="S124" i="12"/>
  <c r="U124" i="12"/>
  <c r="V124" i="12"/>
  <c r="X124" i="12"/>
  <c r="Z124" i="12"/>
  <c r="Y124" i="12" s="1"/>
  <c r="AA124" i="12"/>
  <c r="AC124" i="12"/>
  <c r="AB124" i="12" s="1"/>
  <c r="AD124" i="12"/>
  <c r="AE124" i="12"/>
  <c r="AG124" i="12"/>
  <c r="AI124" i="12"/>
  <c r="AH124" i="12" s="1"/>
  <c r="AJ124" i="12"/>
  <c r="O125" i="12"/>
  <c r="Q125" i="12"/>
  <c r="P125" i="12" s="1"/>
  <c r="R125" i="12"/>
  <c r="S125" i="12"/>
  <c r="U125" i="12"/>
  <c r="V125" i="12"/>
  <c r="X125" i="12"/>
  <c r="Z125" i="12"/>
  <c r="Y125" i="12" s="1"/>
  <c r="AA125" i="12"/>
  <c r="AC125" i="12"/>
  <c r="AB125" i="12" s="1"/>
  <c r="AD125" i="12"/>
  <c r="AE125" i="12"/>
  <c r="AG125" i="12"/>
  <c r="AI125" i="12"/>
  <c r="AH125" i="12" s="1"/>
  <c r="AJ125" i="12"/>
  <c r="AK125" i="12"/>
  <c r="O126" i="12"/>
  <c r="Q126" i="12"/>
  <c r="P126" i="12" s="1"/>
  <c r="R126" i="12"/>
  <c r="U126" i="12"/>
  <c r="X126" i="12"/>
  <c r="Z126" i="12"/>
  <c r="Y126" i="12" s="1"/>
  <c r="AA126" i="12"/>
  <c r="AC126" i="12"/>
  <c r="AB126" i="12" s="1"/>
  <c r="AD126" i="12"/>
  <c r="AG126" i="12"/>
  <c r="AI126" i="12"/>
  <c r="AH126" i="12" s="1"/>
  <c r="AJ126" i="12"/>
  <c r="AK126" i="12"/>
  <c r="O127" i="12"/>
  <c r="P127" i="12"/>
  <c r="Q127" i="12"/>
  <c r="R127" i="12"/>
  <c r="S127" i="12"/>
  <c r="U127" i="12"/>
  <c r="V127" i="12"/>
  <c r="X127" i="12"/>
  <c r="Z127" i="12"/>
  <c r="Y127" i="12" s="1"/>
  <c r="AA127" i="12"/>
  <c r="AB127" i="12"/>
  <c r="AC127" i="12"/>
  <c r="AD127" i="12"/>
  <c r="AE127" i="12"/>
  <c r="AG127" i="12"/>
  <c r="AH127" i="12"/>
  <c r="AI127" i="12"/>
  <c r="AJ127" i="12"/>
  <c r="AK127" i="12"/>
  <c r="O128" i="12"/>
  <c r="Q128" i="12"/>
  <c r="P128" i="12" s="1"/>
  <c r="R128" i="12"/>
  <c r="S128" i="12"/>
  <c r="U128" i="12"/>
  <c r="V128" i="12"/>
  <c r="X128" i="12"/>
  <c r="Z128" i="12"/>
  <c r="Y128" i="12" s="1"/>
  <c r="AA128" i="12"/>
  <c r="AB128" i="12"/>
  <c r="AC128" i="12"/>
  <c r="AD128" i="12"/>
  <c r="AG128" i="12"/>
  <c r="AI128" i="12"/>
  <c r="AH128" i="12" s="1"/>
  <c r="AJ128" i="12"/>
  <c r="O129" i="12"/>
  <c r="Q129" i="12"/>
  <c r="P129" i="12" s="1"/>
  <c r="R129" i="12"/>
  <c r="S129" i="12"/>
  <c r="U129" i="12"/>
  <c r="V129" i="12"/>
  <c r="X129" i="12"/>
  <c r="Z129" i="12"/>
  <c r="Y129" i="12" s="1"/>
  <c r="AA129" i="12"/>
  <c r="AC129" i="12"/>
  <c r="AB129" i="12" s="1"/>
  <c r="AD129" i="12"/>
  <c r="AE129" i="12"/>
  <c r="AG129" i="12"/>
  <c r="AH129" i="12"/>
  <c r="AI129" i="12"/>
  <c r="AJ129" i="12"/>
  <c r="AK129" i="12"/>
  <c r="O130" i="12"/>
  <c r="P130" i="12"/>
  <c r="Q130" i="12"/>
  <c r="R130" i="12"/>
  <c r="U130" i="12"/>
  <c r="X130" i="12"/>
  <c r="Z130" i="12"/>
  <c r="Y130" i="12" s="1"/>
  <c r="AA130" i="12"/>
  <c r="AC130" i="12"/>
  <c r="AB130" i="12" s="1"/>
  <c r="AD130" i="12"/>
  <c r="AG130" i="12"/>
  <c r="AI130" i="12"/>
  <c r="AH130" i="12" s="1"/>
  <c r="AJ130" i="12"/>
  <c r="AK130" i="12"/>
  <c r="O131" i="12"/>
  <c r="Q131" i="12"/>
  <c r="P131" i="12" s="1"/>
  <c r="R131" i="12"/>
  <c r="S131" i="12"/>
  <c r="U131" i="12"/>
  <c r="X131" i="12"/>
  <c r="Z131" i="12"/>
  <c r="Y131" i="12" s="1"/>
  <c r="AA131" i="12"/>
  <c r="AB131" i="12"/>
  <c r="AC131" i="12"/>
  <c r="AD131" i="12"/>
  <c r="AE131" i="12"/>
  <c r="AG131" i="12"/>
  <c r="AH131" i="12"/>
  <c r="AI131" i="12"/>
  <c r="AJ131" i="12"/>
  <c r="AK131" i="12"/>
  <c r="O132" i="12"/>
  <c r="Q132" i="12"/>
  <c r="P132" i="12" s="1"/>
  <c r="R132" i="12"/>
  <c r="S132" i="12"/>
  <c r="U132" i="12"/>
  <c r="V132" i="12"/>
  <c r="X132" i="12"/>
  <c r="Z132" i="12"/>
  <c r="Y132" i="12" s="1"/>
  <c r="AA132" i="12"/>
  <c r="AC132" i="12"/>
  <c r="AB132" i="12" s="1"/>
  <c r="AD132" i="12"/>
  <c r="AG132" i="12"/>
  <c r="AI132" i="12"/>
  <c r="AH132" i="12" s="1"/>
  <c r="AJ132" i="12"/>
  <c r="O133" i="12"/>
  <c r="Q133" i="12"/>
  <c r="P133" i="12" s="1"/>
  <c r="R133" i="12"/>
  <c r="S133" i="12"/>
  <c r="U133" i="12"/>
  <c r="V133" i="12"/>
  <c r="X133" i="12"/>
  <c r="Z133" i="12"/>
  <c r="Y133" i="12" s="1"/>
  <c r="AA133" i="12"/>
  <c r="AB133" i="12"/>
  <c r="AC133" i="12"/>
  <c r="AD133" i="12"/>
  <c r="AE133" i="12"/>
  <c r="AG133" i="12"/>
  <c r="AI133" i="12"/>
  <c r="AH133" i="12" s="1"/>
  <c r="AJ133" i="12"/>
  <c r="AK133" i="12"/>
  <c r="O134" i="12"/>
  <c r="Q134" i="12"/>
  <c r="P134" i="12" s="1"/>
  <c r="R134" i="12"/>
  <c r="S134" i="12"/>
  <c r="U134" i="12"/>
  <c r="V134" i="12"/>
  <c r="X134" i="12"/>
  <c r="Z134" i="12"/>
  <c r="Y134" i="12" s="1"/>
  <c r="AA134" i="12"/>
  <c r="AC134" i="12"/>
  <c r="AB134" i="12" s="1"/>
  <c r="AD134" i="12"/>
  <c r="AG134" i="12"/>
  <c r="AI134" i="12"/>
  <c r="AH134" i="12" s="1"/>
  <c r="AJ134" i="12"/>
  <c r="AK134" i="12"/>
  <c r="O135" i="12"/>
  <c r="P135" i="12"/>
  <c r="Q135" i="12"/>
  <c r="R135" i="12"/>
  <c r="S135" i="12"/>
  <c r="U135" i="12"/>
  <c r="X135" i="12"/>
  <c r="Z135" i="12"/>
  <c r="Y135" i="12" s="1"/>
  <c r="AA135" i="12"/>
  <c r="AC135" i="12"/>
  <c r="AB135" i="12" s="1"/>
  <c r="AD135" i="12"/>
  <c r="AG135" i="12"/>
  <c r="AH135" i="12"/>
  <c r="AI135" i="12"/>
  <c r="AJ135" i="12"/>
  <c r="AK135" i="12"/>
  <c r="O136" i="12"/>
  <c r="Q136" i="12"/>
  <c r="P136" i="12" s="1"/>
  <c r="R136" i="12"/>
  <c r="S136" i="12"/>
  <c r="U136" i="12"/>
  <c r="V136" i="12"/>
  <c r="X136" i="12"/>
  <c r="Z136" i="12"/>
  <c r="Y136" i="12" s="1"/>
  <c r="AA136" i="12"/>
  <c r="AC136" i="12"/>
  <c r="AB136" i="12" s="1"/>
  <c r="AD136" i="12"/>
  <c r="AG136" i="12"/>
  <c r="AI136" i="12"/>
  <c r="AH136" i="12" s="1"/>
  <c r="AJ136" i="12"/>
  <c r="O137" i="12"/>
  <c r="P137" i="12"/>
  <c r="Q137" i="12"/>
  <c r="R137" i="12"/>
  <c r="S137" i="12"/>
  <c r="U137" i="12"/>
  <c r="V137" i="12"/>
  <c r="X137" i="12"/>
  <c r="Z137" i="12"/>
  <c r="Y137" i="12" s="1"/>
  <c r="AA137" i="12"/>
  <c r="AC137" i="12"/>
  <c r="AB137" i="12" s="1"/>
  <c r="AD137" i="12"/>
  <c r="AE137" i="12"/>
  <c r="AG137" i="12"/>
  <c r="AI137" i="12"/>
  <c r="AH137" i="12" s="1"/>
  <c r="AJ137" i="12"/>
  <c r="AK137" i="12"/>
  <c r="O138" i="12"/>
  <c r="Q138" i="12"/>
  <c r="P138" i="12" s="1"/>
  <c r="R138" i="12"/>
  <c r="U138" i="12"/>
  <c r="V138" i="12"/>
  <c r="X138" i="12"/>
  <c r="Z138" i="12"/>
  <c r="Y138" i="12" s="1"/>
  <c r="AA138" i="12"/>
  <c r="AB138" i="12"/>
  <c r="AC138" i="12"/>
  <c r="AD138" i="12"/>
  <c r="AG138" i="12"/>
  <c r="AI138" i="12"/>
  <c r="AH138" i="12" s="1"/>
  <c r="AJ138" i="12"/>
  <c r="AK138" i="12"/>
  <c r="O139" i="12"/>
  <c r="Q139" i="12"/>
  <c r="P139" i="12" s="1"/>
  <c r="R139" i="12"/>
  <c r="S139" i="12"/>
  <c r="U139" i="12"/>
  <c r="X139" i="12"/>
  <c r="Z139" i="12"/>
  <c r="Y139" i="12" s="1"/>
  <c r="AA139" i="12"/>
  <c r="AB139" i="12"/>
  <c r="AC139" i="12"/>
  <c r="AD139" i="12"/>
  <c r="AG139" i="12"/>
  <c r="AH139" i="12"/>
  <c r="AI139" i="12"/>
  <c r="AJ139" i="12"/>
  <c r="AK139" i="12"/>
  <c r="O140" i="12"/>
  <c r="Q140" i="12"/>
  <c r="P140" i="12" s="1"/>
  <c r="R140" i="12"/>
  <c r="S140" i="12"/>
  <c r="U140" i="12"/>
  <c r="V140" i="12"/>
  <c r="X140" i="12"/>
  <c r="Z140" i="12"/>
  <c r="Y140" i="12" s="1"/>
  <c r="AA140" i="12"/>
  <c r="AC140" i="12"/>
  <c r="AB140" i="12" s="1"/>
  <c r="AD140" i="12"/>
  <c r="AG140" i="12"/>
  <c r="AI140" i="12"/>
  <c r="AH140" i="12" s="1"/>
  <c r="AJ140" i="12"/>
  <c r="AK140" i="12"/>
  <c r="O141" i="12"/>
  <c r="Q141" i="12"/>
  <c r="P141" i="12" s="1"/>
  <c r="R141" i="12"/>
  <c r="S141" i="12"/>
  <c r="U141" i="12"/>
  <c r="V141" i="12"/>
  <c r="X141" i="12"/>
  <c r="Z141" i="12"/>
  <c r="Y141" i="12" s="1"/>
  <c r="AA141" i="12"/>
  <c r="AB141" i="12"/>
  <c r="AC141" i="12"/>
  <c r="AD141" i="12"/>
  <c r="AE141" i="12"/>
  <c r="AG141" i="12"/>
  <c r="AH141" i="12"/>
  <c r="AI141" i="12"/>
  <c r="AJ141" i="12"/>
  <c r="AK141" i="12"/>
  <c r="O142" i="12"/>
  <c r="Q142" i="12"/>
  <c r="P142" i="12" s="1"/>
  <c r="R142" i="12"/>
  <c r="U142" i="12"/>
  <c r="X142" i="12"/>
  <c r="Z142" i="12"/>
  <c r="Y142" i="12" s="1"/>
  <c r="AA142" i="12"/>
  <c r="AC142" i="12"/>
  <c r="AB142" i="12" s="1"/>
  <c r="AD142" i="12"/>
  <c r="AE142" i="12"/>
  <c r="AG142" i="12"/>
  <c r="AI142" i="12"/>
  <c r="AH142" i="12" s="1"/>
  <c r="AJ142" i="12"/>
  <c r="AK142" i="12"/>
  <c r="O143" i="12"/>
  <c r="Q143" i="12"/>
  <c r="P143" i="12" s="1"/>
  <c r="R143" i="12"/>
  <c r="S143" i="12"/>
  <c r="U143" i="12"/>
  <c r="X143" i="12"/>
  <c r="Z143" i="12"/>
  <c r="Y143" i="12" s="1"/>
  <c r="AA143" i="12"/>
  <c r="AC143" i="12"/>
  <c r="AB143" i="12" s="1"/>
  <c r="AD143" i="12"/>
  <c r="AG143" i="12"/>
  <c r="AH143" i="12"/>
  <c r="AI143" i="12"/>
  <c r="AJ143" i="12"/>
  <c r="AK143" i="12"/>
  <c r="O144" i="12"/>
  <c r="Q144" i="12"/>
  <c r="P144" i="12" s="1"/>
  <c r="R144" i="12"/>
  <c r="S144" i="12"/>
  <c r="U144" i="12"/>
  <c r="V144" i="12"/>
  <c r="X144" i="12"/>
  <c r="Z144" i="12"/>
  <c r="Y144" i="12" s="1"/>
  <c r="AA144" i="12"/>
  <c r="AC144" i="12"/>
  <c r="AB144" i="12" s="1"/>
  <c r="AD144" i="12"/>
  <c r="AG144" i="12"/>
  <c r="AI144" i="12"/>
  <c r="AH144" i="12" s="1"/>
  <c r="AJ144" i="12"/>
  <c r="O145" i="12"/>
  <c r="Q145" i="12"/>
  <c r="P145" i="12" s="1"/>
  <c r="R145" i="12"/>
  <c r="S145" i="12"/>
  <c r="U145" i="12"/>
  <c r="V145" i="12"/>
  <c r="X145" i="12"/>
  <c r="Z145" i="12"/>
  <c r="Y145" i="12" s="1"/>
  <c r="AA145" i="12"/>
  <c r="AC145" i="12"/>
  <c r="AB145" i="12" s="1"/>
  <c r="AD145" i="12"/>
  <c r="AE145" i="12"/>
  <c r="AG145" i="12"/>
  <c r="AI145" i="12"/>
  <c r="AH145" i="12" s="1"/>
  <c r="AJ145" i="12"/>
  <c r="AK145" i="12"/>
  <c r="O146" i="12"/>
  <c r="P146" i="12"/>
  <c r="Q146" i="12"/>
  <c r="R146" i="12"/>
  <c r="U146" i="12"/>
  <c r="V146" i="12"/>
  <c r="X146" i="12"/>
  <c r="Z146" i="12"/>
  <c r="Y146" i="12" s="1"/>
  <c r="AA146" i="12"/>
  <c r="AC146" i="12"/>
  <c r="AB146" i="12" s="1"/>
  <c r="AD146" i="12"/>
  <c r="AE146" i="12"/>
  <c r="AG146" i="12"/>
  <c r="AI146" i="12"/>
  <c r="AH146" i="12" s="1"/>
  <c r="AJ146" i="12"/>
  <c r="AK146" i="12"/>
  <c r="O147" i="12"/>
  <c r="Q147" i="12"/>
  <c r="P147" i="12" s="1"/>
  <c r="R147" i="12"/>
  <c r="S147" i="12"/>
  <c r="U147" i="12"/>
  <c r="X147" i="12"/>
  <c r="Z147" i="12"/>
  <c r="Y147" i="12" s="1"/>
  <c r="AA147" i="12"/>
  <c r="AB147" i="12"/>
  <c r="AC147" i="12"/>
  <c r="AD147" i="12"/>
  <c r="AE147" i="12"/>
  <c r="AG147" i="12"/>
  <c r="AI147" i="12"/>
  <c r="AH147" i="12" s="1"/>
  <c r="AJ147" i="12"/>
  <c r="AK147" i="12"/>
  <c r="O148" i="12"/>
  <c r="Q148" i="12"/>
  <c r="P148" i="12" s="1"/>
  <c r="R148" i="12"/>
  <c r="S148" i="12"/>
  <c r="U148" i="12"/>
  <c r="V148" i="12"/>
  <c r="X148" i="12"/>
  <c r="Z148" i="12"/>
  <c r="Y148" i="12" s="1"/>
  <c r="AA148" i="12"/>
  <c r="AC148" i="12"/>
  <c r="AB148" i="12" s="1"/>
  <c r="AD148" i="12"/>
  <c r="AG148" i="12"/>
  <c r="AI148" i="12"/>
  <c r="AH148" i="12" s="1"/>
  <c r="AJ148" i="12"/>
  <c r="O149" i="12"/>
  <c r="Q149" i="12"/>
  <c r="P149" i="12" s="1"/>
  <c r="R149" i="12"/>
  <c r="S149" i="12"/>
  <c r="U149" i="12"/>
  <c r="V149" i="12"/>
  <c r="X149" i="12"/>
  <c r="Z149" i="12"/>
  <c r="Y149" i="12" s="1"/>
  <c r="AA149" i="12"/>
  <c r="AC149" i="12"/>
  <c r="AB149" i="12" s="1"/>
  <c r="AD149" i="12"/>
  <c r="AE149" i="12"/>
  <c r="AG149" i="12"/>
  <c r="AI149" i="12"/>
  <c r="AH149" i="12" s="1"/>
  <c r="AJ149" i="12"/>
  <c r="AK149" i="12"/>
  <c r="O150" i="12"/>
  <c r="Q150" i="12"/>
  <c r="P150" i="12" s="1"/>
  <c r="R150" i="12"/>
  <c r="U150" i="12"/>
  <c r="V150" i="12"/>
  <c r="X150" i="12"/>
  <c r="Z150" i="12"/>
  <c r="Y150" i="12" s="1"/>
  <c r="AA150" i="12"/>
  <c r="AB150" i="12"/>
  <c r="AC150" i="12"/>
  <c r="AD150" i="12"/>
  <c r="AE150" i="12"/>
  <c r="AG150" i="12"/>
  <c r="AI150" i="12"/>
  <c r="AH150" i="12" s="1"/>
  <c r="AJ150" i="12"/>
  <c r="AK150" i="12"/>
  <c r="O151" i="12"/>
  <c r="Q151" i="12"/>
  <c r="P151" i="12" s="1"/>
  <c r="R151" i="12"/>
  <c r="S151" i="12"/>
  <c r="U151" i="12"/>
  <c r="V151" i="12"/>
  <c r="X151" i="12"/>
  <c r="Z151" i="12"/>
  <c r="Y151" i="12" s="1"/>
  <c r="AA151" i="12"/>
  <c r="AC151" i="12"/>
  <c r="AB151" i="12" s="1"/>
  <c r="AD151" i="12"/>
  <c r="AE151" i="12"/>
  <c r="AG151" i="12"/>
  <c r="AH151" i="12"/>
  <c r="AI151" i="12"/>
  <c r="AJ151" i="12"/>
  <c r="AK151" i="12"/>
  <c r="O152" i="12"/>
  <c r="Q152" i="12"/>
  <c r="P152" i="12" s="1"/>
  <c r="R152" i="12"/>
  <c r="S152" i="12"/>
  <c r="U152" i="12"/>
  <c r="V152" i="12"/>
  <c r="X152" i="12"/>
  <c r="Z152" i="12"/>
  <c r="Y152" i="12" s="1"/>
  <c r="AA152" i="12"/>
  <c r="AC152" i="12"/>
  <c r="AB152" i="12" s="1"/>
  <c r="AD152" i="12"/>
  <c r="AE152" i="12"/>
  <c r="AG152" i="12"/>
  <c r="AI152" i="12"/>
  <c r="AH152" i="12" s="1"/>
  <c r="AJ152" i="12"/>
  <c r="O153" i="12"/>
  <c r="Q153" i="12"/>
  <c r="P153" i="12" s="1"/>
  <c r="R153" i="12"/>
  <c r="S153" i="12"/>
  <c r="U153" i="12"/>
  <c r="V153" i="12"/>
  <c r="X153" i="12"/>
  <c r="Z153" i="12"/>
  <c r="Y153" i="12" s="1"/>
  <c r="AA153" i="12"/>
  <c r="AC153" i="12"/>
  <c r="AB153" i="12" s="1"/>
  <c r="AD153" i="12"/>
  <c r="AE153" i="12"/>
  <c r="AG153" i="12"/>
  <c r="AI153" i="12"/>
  <c r="AH153" i="12" s="1"/>
  <c r="AJ153" i="12"/>
  <c r="AK153" i="12"/>
  <c r="O154" i="12"/>
  <c r="Q154" i="12"/>
  <c r="P154" i="12" s="1"/>
  <c r="R154" i="12"/>
  <c r="U154" i="12"/>
  <c r="X154" i="12"/>
  <c r="Z154" i="12"/>
  <c r="Y154" i="12" s="1"/>
  <c r="AA154" i="12"/>
  <c r="AC154" i="12"/>
  <c r="AB154" i="12" s="1"/>
  <c r="AD154" i="12"/>
  <c r="AG154" i="12"/>
  <c r="AI154" i="12"/>
  <c r="AH154" i="12" s="1"/>
  <c r="AJ154" i="12"/>
  <c r="AK154" i="12"/>
  <c r="O155" i="12"/>
  <c r="P155" i="12"/>
  <c r="Q155" i="12"/>
  <c r="R155" i="12"/>
  <c r="S155" i="12"/>
  <c r="U155" i="12"/>
  <c r="X155" i="12"/>
  <c r="Z155" i="12"/>
  <c r="Y155" i="12" s="1"/>
  <c r="AA155" i="12"/>
  <c r="AC155" i="12"/>
  <c r="AB155" i="12" s="1"/>
  <c r="AD155" i="12"/>
  <c r="AG155" i="12"/>
  <c r="AI155" i="12"/>
  <c r="AH155" i="12" s="1"/>
  <c r="AJ155" i="12"/>
  <c r="AK155" i="12"/>
  <c r="O156" i="12"/>
  <c r="Q156" i="12"/>
  <c r="P156" i="12" s="1"/>
  <c r="R156" i="12"/>
  <c r="S156" i="12"/>
  <c r="U156" i="12"/>
  <c r="V156" i="12"/>
  <c r="X156" i="12"/>
  <c r="Z156" i="12"/>
  <c r="Y156" i="12" s="1"/>
  <c r="AA156" i="12"/>
  <c r="AC156" i="12"/>
  <c r="AB156" i="12" s="1"/>
  <c r="AD156" i="12"/>
  <c r="AG156" i="12"/>
  <c r="AI156" i="12"/>
  <c r="AH156" i="12" s="1"/>
  <c r="AJ156" i="12"/>
  <c r="O157" i="12"/>
  <c r="Q157" i="12"/>
  <c r="P157" i="12" s="1"/>
  <c r="R157" i="12"/>
  <c r="S157" i="12"/>
  <c r="U157" i="12"/>
  <c r="V157" i="12"/>
  <c r="X157" i="12"/>
  <c r="Z157" i="12"/>
  <c r="Y157" i="12" s="1"/>
  <c r="AA157" i="12"/>
  <c r="AC157" i="12"/>
  <c r="AB157" i="12" s="1"/>
  <c r="AD157" i="12"/>
  <c r="AE157" i="12"/>
  <c r="AG157" i="12"/>
  <c r="AI157" i="12"/>
  <c r="AH157" i="12" s="1"/>
  <c r="AJ157" i="12"/>
  <c r="AK157" i="12"/>
  <c r="O158" i="12"/>
  <c r="Q158" i="12"/>
  <c r="P158" i="12" s="1"/>
  <c r="R158" i="12"/>
  <c r="U158" i="12"/>
  <c r="X158" i="12"/>
  <c r="Z158" i="12"/>
  <c r="Y158" i="12" s="1"/>
  <c r="AA158" i="12"/>
  <c r="AC158" i="12"/>
  <c r="AB158" i="12" s="1"/>
  <c r="AD158" i="12"/>
  <c r="AG158" i="12"/>
  <c r="AI158" i="12"/>
  <c r="AH158" i="12" s="1"/>
  <c r="AJ158" i="12"/>
  <c r="AK158" i="12"/>
  <c r="O159" i="12"/>
  <c r="P159" i="12"/>
  <c r="Q159" i="12"/>
  <c r="R159" i="12"/>
  <c r="S159" i="12"/>
  <c r="U159" i="12"/>
  <c r="X159" i="12"/>
  <c r="Z159" i="12"/>
  <c r="Y159" i="12" s="1"/>
  <c r="AA159" i="12"/>
  <c r="AC159" i="12"/>
  <c r="AB159" i="12" s="1"/>
  <c r="AD159" i="12"/>
  <c r="AG159" i="12"/>
  <c r="AI159" i="12"/>
  <c r="AH159" i="12" s="1"/>
  <c r="AJ159" i="12"/>
  <c r="AK159" i="12"/>
  <c r="O160" i="12"/>
  <c r="Q160" i="12"/>
  <c r="P160" i="12" s="1"/>
  <c r="R160" i="12"/>
  <c r="S160" i="12"/>
  <c r="U160" i="12"/>
  <c r="V160" i="12"/>
  <c r="X160" i="12"/>
  <c r="Y160" i="12"/>
  <c r="Z160" i="12"/>
  <c r="AA160" i="12"/>
  <c r="AC160" i="12"/>
  <c r="AB160" i="12" s="1"/>
  <c r="AD160" i="12"/>
  <c r="AG160" i="12"/>
  <c r="AI160" i="12"/>
  <c r="AH160" i="12" s="1"/>
  <c r="AJ160" i="12"/>
  <c r="O161" i="12"/>
  <c r="Q161" i="12"/>
  <c r="P161" i="12" s="1"/>
  <c r="R161" i="12"/>
  <c r="S161" i="12"/>
  <c r="U161" i="12"/>
  <c r="V161" i="12"/>
  <c r="X161" i="12"/>
  <c r="Y161" i="12"/>
  <c r="Z161" i="12"/>
  <c r="AA161" i="12"/>
  <c r="AC161" i="12"/>
  <c r="AB161" i="12" s="1"/>
  <c r="AD161" i="12"/>
  <c r="AE161" i="12"/>
  <c r="AG161" i="12"/>
  <c r="AI161" i="12"/>
  <c r="AH161" i="12" s="1"/>
  <c r="AJ161" i="12"/>
  <c r="AK161" i="12"/>
  <c r="O162" i="12"/>
  <c r="Q162" i="12"/>
  <c r="P162" i="12" s="1"/>
  <c r="R162" i="12"/>
  <c r="U162" i="12"/>
  <c r="V162" i="12"/>
  <c r="X162" i="12"/>
  <c r="Y162" i="12"/>
  <c r="Z162" i="12"/>
  <c r="AA162" i="12"/>
  <c r="AC162" i="12"/>
  <c r="AB162" i="12" s="1"/>
  <c r="AD162" i="12"/>
  <c r="AE162" i="12"/>
  <c r="AG162" i="12"/>
  <c r="AI162" i="12"/>
  <c r="AH162" i="12" s="1"/>
  <c r="AJ162" i="12"/>
  <c r="AK162" i="12"/>
  <c r="O163" i="12"/>
  <c r="Q163" i="12"/>
  <c r="P163" i="12" s="1"/>
  <c r="R163" i="12"/>
  <c r="S163" i="12"/>
  <c r="U163" i="12"/>
  <c r="X163" i="12"/>
  <c r="Y163" i="12"/>
  <c r="Z163" i="12"/>
  <c r="AA163" i="12"/>
  <c r="AC163" i="12"/>
  <c r="AB163" i="12" s="1"/>
  <c r="AD163" i="12"/>
  <c r="AG163" i="12"/>
  <c r="AI163" i="12"/>
  <c r="AH163" i="12" s="1"/>
  <c r="AJ163" i="12"/>
  <c r="AK163" i="12"/>
  <c r="O164" i="12"/>
  <c r="P164" i="12"/>
  <c r="Q164" i="12"/>
  <c r="R164" i="12"/>
  <c r="S164" i="12"/>
  <c r="U164" i="12"/>
  <c r="V164" i="12"/>
  <c r="X164" i="12"/>
  <c r="Y164" i="12"/>
  <c r="Z164" i="12"/>
  <c r="AA164" i="12"/>
  <c r="AC164" i="12"/>
  <c r="AB164" i="12" s="1"/>
  <c r="AD164" i="12"/>
  <c r="AG164" i="12"/>
  <c r="AI164" i="12"/>
  <c r="AH164" i="12" s="1"/>
  <c r="AJ164" i="12"/>
  <c r="O165" i="12"/>
  <c r="Q165" i="12"/>
  <c r="P165" i="12" s="1"/>
  <c r="R165" i="12"/>
  <c r="S165" i="12"/>
  <c r="U165" i="12"/>
  <c r="V165" i="12"/>
  <c r="X165" i="12"/>
  <c r="Y165" i="12"/>
  <c r="Z165" i="12"/>
  <c r="AA165" i="12"/>
  <c r="AC165" i="12"/>
  <c r="AB165" i="12" s="1"/>
  <c r="AD165" i="12"/>
  <c r="AE165" i="12"/>
  <c r="AG165" i="12"/>
  <c r="AI165" i="12"/>
  <c r="AH165" i="12" s="1"/>
  <c r="AJ165" i="12"/>
  <c r="AK165" i="12"/>
  <c r="O166" i="12"/>
  <c r="Q166" i="12"/>
  <c r="P166" i="12" s="1"/>
  <c r="R166" i="12"/>
  <c r="S166" i="12"/>
  <c r="U166" i="12"/>
  <c r="X166" i="12"/>
  <c r="Y166" i="12"/>
  <c r="Z166" i="12"/>
  <c r="AA166" i="12"/>
  <c r="AC166" i="12"/>
  <c r="AB166" i="12" s="1"/>
  <c r="AD166" i="12"/>
  <c r="AG166" i="12"/>
  <c r="AI166" i="12"/>
  <c r="AH166" i="12" s="1"/>
  <c r="AJ166" i="12"/>
  <c r="AK166" i="12"/>
  <c r="O167" i="12"/>
  <c r="Q167" i="12"/>
  <c r="P167" i="12" s="1"/>
  <c r="R167" i="12"/>
  <c r="S167" i="12"/>
  <c r="U167" i="12"/>
  <c r="X167" i="12"/>
  <c r="Y167" i="12"/>
  <c r="Z167" i="12"/>
  <c r="AA167" i="12"/>
  <c r="AC167" i="12"/>
  <c r="AB167" i="12" s="1"/>
  <c r="AD167" i="12"/>
  <c r="AE167" i="12"/>
  <c r="AG167" i="12"/>
  <c r="AI167" i="12"/>
  <c r="AH167" i="12" s="1"/>
  <c r="AJ167" i="12"/>
  <c r="AK167" i="12"/>
  <c r="O168" i="12"/>
  <c r="P168" i="12"/>
  <c r="Q168" i="12"/>
  <c r="R168" i="12"/>
  <c r="S168" i="12"/>
  <c r="U168" i="12"/>
  <c r="V168" i="12"/>
  <c r="X168" i="12"/>
  <c r="Y168" i="12"/>
  <c r="Z168" i="12"/>
  <c r="AA168" i="12"/>
  <c r="AC168" i="12"/>
  <c r="AB168" i="12" s="1"/>
  <c r="AD168" i="12"/>
  <c r="AG168" i="12"/>
  <c r="AI168" i="12"/>
  <c r="AH168" i="12" s="1"/>
  <c r="AJ168" i="12"/>
  <c r="O169" i="12"/>
  <c r="Q169" i="12"/>
  <c r="P169" i="12" s="1"/>
  <c r="R169" i="12"/>
  <c r="S169" i="12"/>
  <c r="U169" i="12"/>
  <c r="V169" i="12"/>
  <c r="X169" i="12"/>
  <c r="Y169" i="12"/>
  <c r="Z169" i="12"/>
  <c r="AA169" i="12"/>
  <c r="AC169" i="12"/>
  <c r="AB169" i="12" s="1"/>
  <c r="AD169" i="12"/>
  <c r="AE169" i="12"/>
  <c r="AG169" i="12"/>
  <c r="AI169" i="12"/>
  <c r="AH169" i="12" s="1"/>
  <c r="AJ169" i="12"/>
  <c r="AK169" i="12"/>
  <c r="O170" i="12"/>
  <c r="Q170" i="12"/>
  <c r="P170" i="12" s="1"/>
  <c r="R170" i="12"/>
  <c r="U170" i="12"/>
  <c r="X170" i="12"/>
  <c r="Y170" i="12"/>
  <c r="Z170" i="12"/>
  <c r="AA170" i="12"/>
  <c r="AC170" i="12"/>
  <c r="AB170" i="12" s="1"/>
  <c r="AD170" i="12"/>
  <c r="AG170" i="12"/>
  <c r="AI170" i="12"/>
  <c r="AH170" i="12" s="1"/>
  <c r="AJ170" i="12"/>
  <c r="AK170" i="12"/>
  <c r="O171" i="12"/>
  <c r="Q171" i="12"/>
  <c r="P171" i="12" s="1"/>
  <c r="R171" i="12"/>
  <c r="S171" i="12"/>
  <c r="U171" i="12"/>
  <c r="X171" i="12"/>
  <c r="Y171" i="12"/>
  <c r="Z171" i="12"/>
  <c r="AA171" i="12"/>
  <c r="AC171" i="12"/>
  <c r="AB171" i="12" s="1"/>
  <c r="AD171" i="12"/>
  <c r="AG171" i="12"/>
  <c r="AI171" i="12"/>
  <c r="AH171" i="12" s="1"/>
  <c r="AJ171" i="12"/>
  <c r="AK171" i="12"/>
  <c r="O172" i="12"/>
  <c r="Q172" i="12"/>
  <c r="P172" i="12" s="1"/>
  <c r="R172" i="12"/>
  <c r="S172" i="12"/>
  <c r="U172" i="12"/>
  <c r="V172" i="12"/>
  <c r="X172" i="12"/>
  <c r="Y172" i="12"/>
  <c r="Z172" i="12"/>
  <c r="AA172" i="12"/>
  <c r="AC172" i="12"/>
  <c r="AB172" i="12" s="1"/>
  <c r="AD172" i="12"/>
  <c r="AG172" i="12"/>
  <c r="AI172" i="12"/>
  <c r="AH172" i="12" s="1"/>
  <c r="AJ172" i="12"/>
  <c r="O173" i="12"/>
  <c r="Q173" i="12"/>
  <c r="P173" i="12" s="1"/>
  <c r="R173" i="12"/>
  <c r="S173" i="12"/>
  <c r="U173" i="12"/>
  <c r="V173" i="12"/>
  <c r="X173" i="12"/>
  <c r="Y173" i="12"/>
  <c r="Z173" i="12"/>
  <c r="AA173" i="12"/>
  <c r="AC173" i="12"/>
  <c r="AB173" i="12" s="1"/>
  <c r="AD173" i="12"/>
  <c r="AE173" i="12"/>
  <c r="AG173" i="12"/>
  <c r="AI173" i="12"/>
  <c r="AH173" i="12" s="1"/>
  <c r="AJ173" i="12"/>
  <c r="AK173" i="12"/>
  <c r="O174" i="12"/>
  <c r="Q174" i="12"/>
  <c r="P174" i="12" s="1"/>
  <c r="R174" i="12"/>
  <c r="U174" i="12"/>
  <c r="V174" i="12"/>
  <c r="X174" i="12"/>
  <c r="Y174" i="12"/>
  <c r="Z174" i="12"/>
  <c r="AA174" i="12"/>
  <c r="AC174" i="12"/>
  <c r="AB174" i="12" s="1"/>
  <c r="AD174" i="12"/>
  <c r="AG174" i="12"/>
  <c r="AI174" i="12"/>
  <c r="AH174" i="12" s="1"/>
  <c r="AJ174" i="12"/>
  <c r="AK174" i="12"/>
  <c r="O175" i="12"/>
  <c r="Q175" i="12"/>
  <c r="P175" i="12" s="1"/>
  <c r="R175" i="12"/>
  <c r="S175" i="12"/>
  <c r="U175" i="12"/>
  <c r="X175" i="12"/>
  <c r="Y175" i="12"/>
  <c r="Z175" i="12"/>
  <c r="AA175" i="12"/>
  <c r="AC175" i="12"/>
  <c r="AB175" i="12" s="1"/>
  <c r="AD175" i="12"/>
  <c r="AG175" i="12"/>
  <c r="AI175" i="12"/>
  <c r="AH175" i="12" s="1"/>
  <c r="AJ175" i="12"/>
  <c r="AK175" i="12"/>
  <c r="O176" i="12"/>
  <c r="Q176" i="12"/>
  <c r="P176" i="12" s="1"/>
  <c r="R176" i="12"/>
  <c r="S176" i="12"/>
  <c r="U176" i="12"/>
  <c r="V176" i="12"/>
  <c r="X176" i="12"/>
  <c r="Y176" i="12"/>
  <c r="Z176" i="12"/>
  <c r="AA176" i="12"/>
  <c r="AC176" i="12"/>
  <c r="AB176" i="12" s="1"/>
  <c r="AD176" i="12"/>
  <c r="AE176" i="12"/>
  <c r="AG176" i="12"/>
  <c r="AI176" i="12"/>
  <c r="AH176" i="12" s="1"/>
  <c r="AJ176" i="12"/>
  <c r="O177" i="12"/>
  <c r="Q177" i="12"/>
  <c r="P177" i="12" s="1"/>
  <c r="R177" i="12"/>
  <c r="S177" i="12"/>
  <c r="U177" i="12"/>
  <c r="V177" i="12"/>
  <c r="X177" i="12"/>
  <c r="Y177" i="12"/>
  <c r="Z177" i="12"/>
  <c r="AA177" i="12"/>
  <c r="AC177" i="12"/>
  <c r="AB177" i="12" s="1"/>
  <c r="AD177" i="12"/>
  <c r="AE177" i="12"/>
  <c r="AG177" i="12"/>
  <c r="AI177" i="12"/>
  <c r="AH177" i="12" s="1"/>
  <c r="AJ177" i="12"/>
  <c r="AK177" i="12"/>
  <c r="O178" i="12"/>
  <c r="Q178" i="12"/>
  <c r="P178" i="12" s="1"/>
  <c r="R178" i="12"/>
  <c r="U178" i="12"/>
  <c r="V178" i="12"/>
  <c r="X178" i="12"/>
  <c r="Y178" i="12"/>
  <c r="Z178" i="12"/>
  <c r="AA178" i="12"/>
  <c r="AC178" i="12"/>
  <c r="AB178" i="12" s="1"/>
  <c r="AD178" i="12"/>
  <c r="AG178" i="12"/>
  <c r="AI178" i="12"/>
  <c r="AH178" i="12" s="1"/>
  <c r="AJ178" i="12"/>
  <c r="AK178" i="12"/>
  <c r="O179" i="12"/>
  <c r="Q179" i="12"/>
  <c r="P179" i="12" s="1"/>
  <c r="R179" i="12"/>
  <c r="S179" i="12"/>
  <c r="U179" i="12"/>
  <c r="X179" i="12"/>
  <c r="Y179" i="12"/>
  <c r="Z179" i="12"/>
  <c r="AA179" i="12"/>
  <c r="AC179" i="12"/>
  <c r="AB179" i="12" s="1"/>
  <c r="AD179" i="12"/>
  <c r="AE179" i="12"/>
  <c r="AG179" i="12"/>
  <c r="AI179" i="12"/>
  <c r="AH179" i="12" s="1"/>
  <c r="AJ179" i="12"/>
  <c r="AK179" i="12"/>
  <c r="O180" i="12"/>
  <c r="Q180" i="12"/>
  <c r="P180" i="12" s="1"/>
  <c r="R180" i="12"/>
  <c r="S180" i="12"/>
  <c r="U180" i="12"/>
  <c r="V180" i="12"/>
  <c r="X180" i="12"/>
  <c r="Y180" i="12"/>
  <c r="Z180" i="12"/>
  <c r="AA180" i="12"/>
  <c r="AC180" i="12"/>
  <c r="AB180" i="12" s="1"/>
  <c r="AD180" i="12"/>
  <c r="AG180" i="12"/>
  <c r="AI180" i="12"/>
  <c r="AH180" i="12" s="1"/>
  <c r="AJ180" i="12"/>
  <c r="O181" i="12"/>
  <c r="Q181" i="12"/>
  <c r="P181" i="12" s="1"/>
  <c r="R181" i="12"/>
  <c r="S181" i="12"/>
  <c r="U181" i="12"/>
  <c r="V181" i="12"/>
  <c r="X181" i="12"/>
  <c r="Y181" i="12"/>
  <c r="Z181" i="12"/>
  <c r="AA181" i="12"/>
  <c r="AC181" i="12"/>
  <c r="AB181" i="12" s="1"/>
  <c r="AD181" i="12"/>
  <c r="AE181" i="12"/>
  <c r="AG181" i="12"/>
  <c r="AI181" i="12"/>
  <c r="AH181" i="12" s="1"/>
  <c r="AJ181" i="12"/>
  <c r="AK181" i="12"/>
  <c r="O182" i="12"/>
  <c r="Q182" i="12"/>
  <c r="P182" i="12" s="1"/>
  <c r="R182" i="12"/>
  <c r="U182" i="12"/>
  <c r="X182" i="12"/>
  <c r="Y182" i="12"/>
  <c r="Z182" i="12"/>
  <c r="AA182" i="12"/>
  <c r="AC182" i="12"/>
  <c r="AB182" i="12" s="1"/>
  <c r="AD182" i="12"/>
  <c r="AG182" i="12"/>
  <c r="AI182" i="12"/>
  <c r="AH182" i="12" s="1"/>
  <c r="AJ182" i="12"/>
  <c r="AK182" i="12"/>
  <c r="O183" i="12"/>
  <c r="Q183" i="12"/>
  <c r="P183" i="12" s="1"/>
  <c r="R183" i="12"/>
  <c r="S183" i="12"/>
  <c r="U183" i="12"/>
  <c r="V183" i="12"/>
  <c r="X183" i="12"/>
  <c r="Y183" i="12"/>
  <c r="Z183" i="12"/>
  <c r="AA183" i="12"/>
  <c r="AC183" i="12"/>
  <c r="AB183" i="12" s="1"/>
  <c r="AD183" i="12"/>
  <c r="AE183" i="12"/>
  <c r="AG183" i="12"/>
  <c r="AI183" i="12"/>
  <c r="AH183" i="12" s="1"/>
  <c r="AJ183" i="12"/>
  <c r="AK183" i="12"/>
  <c r="O184" i="12"/>
  <c r="Q184" i="12"/>
  <c r="P184" i="12" s="1"/>
  <c r="R184" i="12"/>
  <c r="S184" i="12"/>
  <c r="U184" i="12"/>
  <c r="V184" i="12"/>
  <c r="X184" i="12"/>
  <c r="Y184" i="12"/>
  <c r="Z184" i="12"/>
  <c r="AA184" i="12"/>
  <c r="AC184" i="12"/>
  <c r="AB184" i="12" s="1"/>
  <c r="AD184" i="12"/>
  <c r="AG184" i="12"/>
  <c r="AI184" i="12"/>
  <c r="AH184" i="12" s="1"/>
  <c r="AJ184" i="12"/>
  <c r="O185" i="12"/>
  <c r="Q185" i="12"/>
  <c r="P185" i="12" s="1"/>
  <c r="R185" i="12"/>
  <c r="S185" i="12"/>
  <c r="U185" i="12"/>
  <c r="V185" i="12"/>
  <c r="X185" i="12"/>
  <c r="Y185" i="12"/>
  <c r="Z185" i="12"/>
  <c r="AA185" i="12"/>
  <c r="AC185" i="12"/>
  <c r="AB185" i="12" s="1"/>
  <c r="AD185" i="12"/>
  <c r="AE185" i="12"/>
  <c r="AG185" i="12"/>
  <c r="AI185" i="12"/>
  <c r="AH185" i="12" s="1"/>
  <c r="AJ185" i="12"/>
  <c r="AK185" i="12"/>
  <c r="O186" i="12"/>
  <c r="Q186" i="12"/>
  <c r="P186" i="12" s="1"/>
  <c r="R186" i="12"/>
  <c r="U186" i="12"/>
  <c r="X186" i="12"/>
  <c r="Y186" i="12"/>
  <c r="Z186" i="12"/>
  <c r="AA186" i="12"/>
  <c r="AC186" i="12"/>
  <c r="AB186" i="12" s="1"/>
  <c r="AD186" i="12"/>
  <c r="AE186" i="12"/>
  <c r="AG186" i="12"/>
  <c r="AI186" i="12"/>
  <c r="AH186" i="12" s="1"/>
  <c r="AJ186" i="12"/>
  <c r="AK186" i="12"/>
  <c r="O187" i="12"/>
  <c r="Q187" i="12"/>
  <c r="P187" i="12" s="1"/>
  <c r="R187" i="12"/>
  <c r="S187" i="12"/>
  <c r="U187" i="12"/>
  <c r="X187" i="12"/>
  <c r="Y187" i="12"/>
  <c r="Z187" i="12"/>
  <c r="AA187" i="12"/>
  <c r="AC187" i="12"/>
  <c r="AB187" i="12" s="1"/>
  <c r="AD187" i="12"/>
  <c r="AG187" i="12"/>
  <c r="AI187" i="12"/>
  <c r="AH187" i="12" s="1"/>
  <c r="AJ187" i="12"/>
  <c r="AK187" i="12"/>
  <c r="O188" i="12"/>
  <c r="Q188" i="12"/>
  <c r="P188" i="12" s="1"/>
  <c r="R188" i="12"/>
  <c r="S188" i="12"/>
  <c r="U188" i="12"/>
  <c r="V188" i="12"/>
  <c r="X188" i="12"/>
  <c r="Y188" i="12"/>
  <c r="Z188" i="12"/>
  <c r="AA188" i="12"/>
  <c r="AC188" i="12"/>
  <c r="AB188" i="12" s="1"/>
  <c r="AD188" i="12"/>
  <c r="AG188" i="12"/>
  <c r="AI188" i="12"/>
  <c r="AH188" i="12" s="1"/>
  <c r="AJ188" i="12"/>
  <c r="AK188" i="12"/>
  <c r="O189" i="12"/>
  <c r="Q189" i="12"/>
  <c r="P189" i="12" s="1"/>
  <c r="R189" i="12"/>
  <c r="S189" i="12"/>
  <c r="U189" i="12"/>
  <c r="V189" i="12"/>
  <c r="X189" i="12"/>
  <c r="Y189" i="12"/>
  <c r="Z189" i="12"/>
  <c r="AA189" i="12"/>
  <c r="AC189" i="12"/>
  <c r="AB189" i="12" s="1"/>
  <c r="AD189" i="12"/>
  <c r="AE189" i="12"/>
  <c r="AG189" i="12"/>
  <c r="AI189" i="12"/>
  <c r="AH189" i="12" s="1"/>
  <c r="AJ189" i="12"/>
  <c r="AK189" i="12"/>
  <c r="O190" i="12"/>
  <c r="Q190" i="12"/>
  <c r="P190" i="12" s="1"/>
  <c r="R190" i="12"/>
  <c r="U190" i="12"/>
  <c r="V190" i="12"/>
  <c r="X190" i="12"/>
  <c r="Y190" i="12"/>
  <c r="Z190" i="12"/>
  <c r="AA190" i="12"/>
  <c r="AC190" i="12"/>
  <c r="AB190" i="12" s="1"/>
  <c r="AD190" i="12"/>
  <c r="AG190" i="12"/>
  <c r="AI190" i="12"/>
  <c r="AH190" i="12" s="1"/>
  <c r="AJ190" i="12"/>
  <c r="AK190" i="12"/>
  <c r="O191" i="12"/>
  <c r="Q191" i="12"/>
  <c r="P191" i="12" s="1"/>
  <c r="R191" i="12"/>
  <c r="S191" i="12"/>
  <c r="U191" i="12"/>
  <c r="X191" i="12"/>
  <c r="Y191" i="12"/>
  <c r="Z191" i="12"/>
  <c r="AA191" i="12"/>
  <c r="AC191" i="12"/>
  <c r="AB191" i="12" s="1"/>
  <c r="AD191" i="12"/>
  <c r="AG191" i="12"/>
  <c r="AI191" i="12"/>
  <c r="AH191" i="12" s="1"/>
  <c r="AJ191" i="12"/>
  <c r="AK191" i="12"/>
  <c r="O192" i="12"/>
  <c r="Q192" i="12"/>
  <c r="P192" i="12" s="1"/>
  <c r="R192" i="12"/>
  <c r="S192" i="12"/>
  <c r="U192" i="12"/>
  <c r="V192" i="12"/>
  <c r="X192" i="12"/>
  <c r="Y192" i="12"/>
  <c r="Z192" i="12"/>
  <c r="AA192" i="12"/>
  <c r="AC192" i="12"/>
  <c r="AB192" i="12" s="1"/>
  <c r="AD192" i="12"/>
  <c r="AE192" i="12"/>
  <c r="AG192" i="12"/>
  <c r="AI192" i="12"/>
  <c r="AH192" i="12" s="1"/>
  <c r="AJ192" i="12"/>
  <c r="AK192" i="12"/>
  <c r="O193" i="12"/>
  <c r="Q193" i="12"/>
  <c r="P193" i="12" s="1"/>
  <c r="R193" i="12"/>
  <c r="S193" i="12"/>
  <c r="U193" i="12"/>
  <c r="V193" i="12"/>
  <c r="X193" i="12"/>
  <c r="Y193" i="12"/>
  <c r="Z193" i="12"/>
  <c r="AA193" i="12"/>
  <c r="AC193" i="12"/>
  <c r="AB193" i="12" s="1"/>
  <c r="AD193" i="12"/>
  <c r="AE193" i="12"/>
  <c r="AG193" i="12"/>
  <c r="AI193" i="12"/>
  <c r="AH193" i="12" s="1"/>
  <c r="AJ193" i="12"/>
  <c r="AK193" i="12"/>
  <c r="O194" i="12"/>
  <c r="Q194" i="12"/>
  <c r="P194" i="12" s="1"/>
  <c r="R194" i="12"/>
  <c r="U194" i="12"/>
  <c r="V194" i="12"/>
  <c r="X194" i="12"/>
  <c r="Y194" i="12"/>
  <c r="Z194" i="12"/>
  <c r="AA194" i="12"/>
  <c r="AC194" i="12"/>
  <c r="AB194" i="12" s="1"/>
  <c r="AD194" i="12"/>
  <c r="AE194" i="12"/>
  <c r="AG194" i="12"/>
  <c r="AI194" i="12"/>
  <c r="AH194" i="12" s="1"/>
  <c r="AJ194" i="12"/>
  <c r="AK194" i="12"/>
  <c r="O195" i="12"/>
  <c r="Q195" i="12"/>
  <c r="P195" i="12" s="1"/>
  <c r="R195" i="12"/>
  <c r="S195" i="12"/>
  <c r="U195" i="12"/>
  <c r="X195" i="12"/>
  <c r="Y195" i="12"/>
  <c r="Z195" i="12"/>
  <c r="AA195" i="12"/>
  <c r="AC195" i="12"/>
  <c r="AB195" i="12" s="1"/>
  <c r="AD195" i="12"/>
  <c r="AE195" i="12"/>
  <c r="AG195" i="12"/>
  <c r="AI195" i="12"/>
  <c r="AH195" i="12" s="1"/>
  <c r="AJ195" i="12"/>
  <c r="AK195" i="12"/>
  <c r="O196" i="12"/>
  <c r="Q196" i="12"/>
  <c r="P196" i="12" s="1"/>
  <c r="R196" i="12"/>
  <c r="S196" i="12"/>
  <c r="U196" i="12"/>
  <c r="V196" i="12"/>
  <c r="X196" i="12"/>
  <c r="Y196" i="12"/>
  <c r="Z196" i="12"/>
  <c r="AA196" i="12"/>
  <c r="AC196" i="12"/>
  <c r="AB196" i="12" s="1"/>
  <c r="AD196" i="12"/>
  <c r="AG196" i="12"/>
  <c r="AI196" i="12"/>
  <c r="AH196" i="12" s="1"/>
  <c r="AJ196" i="12"/>
  <c r="O197" i="12"/>
  <c r="Q197" i="12"/>
  <c r="P197" i="12" s="1"/>
  <c r="R197" i="12"/>
  <c r="S197" i="12"/>
  <c r="U197" i="12"/>
  <c r="V197" i="12"/>
  <c r="X197" i="12"/>
  <c r="Y197" i="12"/>
  <c r="Z197" i="12"/>
  <c r="AA197" i="12"/>
  <c r="AC197" i="12"/>
  <c r="AB197" i="12" s="1"/>
  <c r="AD197" i="12"/>
  <c r="AE197" i="12"/>
  <c r="AG197" i="12"/>
  <c r="AI197" i="12"/>
  <c r="AH197" i="12" s="1"/>
  <c r="AJ197" i="12"/>
  <c r="AK197" i="12"/>
  <c r="O198" i="12"/>
  <c r="Q198" i="12"/>
  <c r="P198" i="12" s="1"/>
  <c r="R198" i="12"/>
  <c r="U198" i="12"/>
  <c r="X198" i="12"/>
  <c r="Y198" i="12"/>
  <c r="Z198" i="12"/>
  <c r="AA198" i="12"/>
  <c r="AC198" i="12"/>
  <c r="AB198" i="12" s="1"/>
  <c r="AD198" i="12"/>
  <c r="AG198" i="12"/>
  <c r="AI198" i="12"/>
  <c r="AH198" i="12" s="1"/>
  <c r="AJ198" i="12"/>
  <c r="AK198" i="12"/>
  <c r="O199" i="12"/>
  <c r="Q199" i="12"/>
  <c r="P199" i="12" s="1"/>
  <c r="R199" i="12"/>
  <c r="S199" i="12"/>
  <c r="U199" i="12"/>
  <c r="V199" i="12"/>
  <c r="X199" i="12"/>
  <c r="Y199" i="12"/>
  <c r="Z199" i="12"/>
  <c r="AA199" i="12"/>
  <c r="AC199" i="12"/>
  <c r="AB199" i="12" s="1"/>
  <c r="AD199" i="12"/>
  <c r="AG199" i="12"/>
  <c r="AI199" i="12"/>
  <c r="AH199" i="12" s="1"/>
  <c r="AJ199" i="12"/>
  <c r="AK199" i="12"/>
  <c r="O200" i="12"/>
  <c r="Q200" i="12"/>
  <c r="P200" i="12" s="1"/>
  <c r="R200" i="12"/>
  <c r="S200" i="12"/>
  <c r="U200" i="12"/>
  <c r="V200" i="12"/>
  <c r="X200" i="12"/>
  <c r="Y200" i="12"/>
  <c r="Z200" i="12"/>
  <c r="AA200" i="12"/>
  <c r="AC200" i="12"/>
  <c r="AB200" i="12" s="1"/>
  <c r="AD200" i="12"/>
  <c r="AG200" i="12"/>
  <c r="AI200" i="12"/>
  <c r="AH200" i="12" s="1"/>
  <c r="AJ200" i="12"/>
  <c r="AK200" i="12"/>
  <c r="O201" i="12"/>
  <c r="Q201" i="12"/>
  <c r="P201" i="12" s="1"/>
  <c r="R201" i="12"/>
  <c r="S201" i="12"/>
  <c r="U201" i="12"/>
  <c r="V201" i="12"/>
  <c r="X201" i="12"/>
  <c r="Y201" i="12"/>
  <c r="Z201" i="12"/>
  <c r="AA201" i="12"/>
  <c r="AC201" i="12"/>
  <c r="AB201" i="12" s="1"/>
  <c r="AD201" i="12"/>
  <c r="AE201" i="12"/>
  <c r="AG201" i="12"/>
  <c r="AI201" i="12"/>
  <c r="AH201" i="12" s="1"/>
  <c r="AJ201" i="12"/>
  <c r="AK201" i="12"/>
  <c r="O202" i="12"/>
  <c r="Q202" i="12"/>
  <c r="P202" i="12" s="1"/>
  <c r="R202" i="12"/>
  <c r="U202" i="12"/>
  <c r="X202" i="12"/>
  <c r="Y202" i="12"/>
  <c r="Z202" i="12"/>
  <c r="AA202" i="12"/>
  <c r="AC202" i="12"/>
  <c r="AB202" i="12" s="1"/>
  <c r="AD202" i="12"/>
  <c r="AG202" i="12"/>
  <c r="AI202" i="12"/>
  <c r="AH202" i="12" s="1"/>
  <c r="AJ202" i="12"/>
  <c r="AK202" i="12"/>
  <c r="O203" i="12"/>
  <c r="Q203" i="12"/>
  <c r="P203" i="12" s="1"/>
  <c r="R203" i="12"/>
  <c r="T203" i="12"/>
  <c r="S203" i="12" s="1"/>
  <c r="U203" i="12"/>
  <c r="X203" i="12"/>
  <c r="Y203" i="12"/>
  <c r="Z203" i="12"/>
  <c r="AA203" i="12"/>
  <c r="AC203" i="12"/>
  <c r="AB203" i="12" s="1"/>
  <c r="AD203" i="12"/>
  <c r="AE203" i="12"/>
  <c r="AG203" i="12"/>
  <c r="AI203" i="12"/>
  <c r="AH203" i="12" s="1"/>
  <c r="AJ203" i="12"/>
  <c r="AK203" i="12"/>
  <c r="AJ2" i="12"/>
  <c r="AG2" i="12"/>
  <c r="AD2" i="12"/>
  <c r="AA2" i="12"/>
  <c r="X2" i="12"/>
  <c r="U2" i="12"/>
  <c r="R2" i="12"/>
  <c r="O2" i="12"/>
  <c r="AE6" i="7"/>
  <c r="AE5" i="7"/>
  <c r="AH3" i="1"/>
  <c r="AE4" i="7"/>
  <c r="Y7" i="7"/>
  <c r="AE2" i="5"/>
  <c r="O61" i="13"/>
  <c r="Q61" i="13"/>
  <c r="P61" i="13" s="1"/>
  <c r="R61" i="13"/>
  <c r="T61" i="13" s="1"/>
  <c r="S61" i="13" s="1"/>
  <c r="U61" i="13"/>
  <c r="W61" i="13" s="1"/>
  <c r="V61" i="13" s="1"/>
  <c r="X61" i="13"/>
  <c r="Z61" i="13" s="1"/>
  <c r="Y61" i="13" s="1"/>
  <c r="AA61" i="13"/>
  <c r="AC61" i="13" s="1"/>
  <c r="AB61" i="13" s="1"/>
  <c r="AD61" i="13"/>
  <c r="AF61" i="13" s="1"/>
  <c r="AE61" i="13" s="1"/>
  <c r="AG61" i="13"/>
  <c r="AI61" i="13" s="1"/>
  <c r="AH61" i="13" s="1"/>
  <c r="AJ61" i="13"/>
  <c r="AL61" i="13" s="1"/>
  <c r="AK61" i="13" s="1"/>
  <c r="AM61" i="13"/>
  <c r="AO61" i="13" s="1"/>
  <c r="AN61" i="13" s="1"/>
  <c r="O62" i="13"/>
  <c r="Q62" i="13" s="1"/>
  <c r="P62" i="13" s="1"/>
  <c r="R62" i="13"/>
  <c r="T62" i="13" s="1"/>
  <c r="S62" i="13" s="1"/>
  <c r="U62" i="13"/>
  <c r="W62" i="13" s="1"/>
  <c r="V62" i="13" s="1"/>
  <c r="X62" i="13"/>
  <c r="Z62" i="13" s="1"/>
  <c r="Y62" i="13" s="1"/>
  <c r="AA62" i="13"/>
  <c r="AC62" i="13" s="1"/>
  <c r="AB62" i="13" s="1"/>
  <c r="AD62" i="13"/>
  <c r="AF62" i="13" s="1"/>
  <c r="AE62" i="13" s="1"/>
  <c r="AG62" i="13"/>
  <c r="AI62" i="13" s="1"/>
  <c r="AH62" i="13" s="1"/>
  <c r="AJ62" i="13"/>
  <c r="AL62" i="13"/>
  <c r="AK62" i="13" s="1"/>
  <c r="AM62" i="13"/>
  <c r="AO62" i="13" s="1"/>
  <c r="AN62" i="13" s="1"/>
  <c r="O63" i="13"/>
  <c r="Q63" i="13" s="1"/>
  <c r="P63" i="13" s="1"/>
  <c r="R63" i="13"/>
  <c r="T63" i="13"/>
  <c r="S63" i="13" s="1"/>
  <c r="U63" i="13"/>
  <c r="W63" i="13" s="1"/>
  <c r="V63" i="13" s="1"/>
  <c r="X63" i="13"/>
  <c r="Z63" i="13" s="1"/>
  <c r="Y63" i="13" s="1"/>
  <c r="AA63" i="13"/>
  <c r="AC63" i="13" s="1"/>
  <c r="AB63" i="13" s="1"/>
  <c r="AD63" i="13"/>
  <c r="AF63" i="13" s="1"/>
  <c r="AE63" i="13" s="1"/>
  <c r="AG63" i="13"/>
  <c r="AI63" i="13" s="1"/>
  <c r="AH63" i="13" s="1"/>
  <c r="AJ63" i="13"/>
  <c r="AL63" i="13" s="1"/>
  <c r="AK63" i="13" s="1"/>
  <c r="AM63" i="13"/>
  <c r="AO63" i="13" s="1"/>
  <c r="AN63" i="13" s="1"/>
  <c r="O64" i="13"/>
  <c r="Q64" i="13" s="1"/>
  <c r="P64" i="13" s="1"/>
  <c r="R64" i="13"/>
  <c r="T64" i="13" s="1"/>
  <c r="S64" i="13" s="1"/>
  <c r="U64" i="13"/>
  <c r="W64" i="13" s="1"/>
  <c r="V64" i="13" s="1"/>
  <c r="X64" i="13"/>
  <c r="Z64" i="13" s="1"/>
  <c r="Y64" i="13" s="1"/>
  <c r="AA64" i="13"/>
  <c r="AC64" i="13" s="1"/>
  <c r="AB64" i="13" s="1"/>
  <c r="AD64" i="13"/>
  <c r="AF64" i="13" s="1"/>
  <c r="AE64" i="13" s="1"/>
  <c r="AG64" i="13"/>
  <c r="AI64" i="13" s="1"/>
  <c r="AH64" i="13" s="1"/>
  <c r="AJ64" i="13"/>
  <c r="AL64" i="13" s="1"/>
  <c r="AK64" i="13" s="1"/>
  <c r="AM64" i="13"/>
  <c r="AO64" i="13" s="1"/>
  <c r="AN64" i="13" s="1"/>
  <c r="O65" i="13"/>
  <c r="Q65" i="13"/>
  <c r="P65" i="13" s="1"/>
  <c r="R65" i="13"/>
  <c r="T65" i="13" s="1"/>
  <c r="S65" i="13" s="1"/>
  <c r="U65" i="13"/>
  <c r="W65" i="13" s="1"/>
  <c r="V65" i="13" s="1"/>
  <c r="X65" i="13"/>
  <c r="Z65" i="13"/>
  <c r="Y65" i="13" s="1"/>
  <c r="AA65" i="13"/>
  <c r="AC65" i="13"/>
  <c r="AB65" i="13" s="1"/>
  <c r="AD65" i="13"/>
  <c r="AF65" i="13" s="1"/>
  <c r="AE65" i="13" s="1"/>
  <c r="AG65" i="13"/>
  <c r="AI65" i="13" s="1"/>
  <c r="AH65" i="13" s="1"/>
  <c r="AJ65" i="13"/>
  <c r="AL65" i="13"/>
  <c r="AK65" i="13" s="1"/>
  <c r="AM65" i="13"/>
  <c r="AO65" i="13"/>
  <c r="AN65" i="13" s="1"/>
  <c r="O66" i="13"/>
  <c r="Q66" i="13" s="1"/>
  <c r="P66" i="13" s="1"/>
  <c r="R66" i="13"/>
  <c r="T66" i="13" s="1"/>
  <c r="S66" i="13" s="1"/>
  <c r="U66" i="13"/>
  <c r="W66" i="13"/>
  <c r="V66" i="13" s="1"/>
  <c r="X66" i="13"/>
  <c r="Z66" i="13"/>
  <c r="Y66" i="13" s="1"/>
  <c r="AA66" i="13"/>
  <c r="AC66" i="13" s="1"/>
  <c r="AB66" i="13" s="1"/>
  <c r="AD66" i="13"/>
  <c r="AF66" i="13" s="1"/>
  <c r="AE66" i="13" s="1"/>
  <c r="AG66" i="13"/>
  <c r="AI66" i="13"/>
  <c r="AH66" i="13" s="1"/>
  <c r="AJ66" i="13"/>
  <c r="AL66" i="13"/>
  <c r="AK66" i="13" s="1"/>
  <c r="AM66" i="13"/>
  <c r="AO66" i="13" s="1"/>
  <c r="AN66" i="13" s="1"/>
  <c r="O67" i="13"/>
  <c r="Q67" i="13" s="1"/>
  <c r="P67" i="13" s="1"/>
  <c r="R67" i="13"/>
  <c r="T67" i="13"/>
  <c r="S67" i="13" s="1"/>
  <c r="U67" i="13"/>
  <c r="W67" i="13"/>
  <c r="V67" i="13" s="1"/>
  <c r="X67" i="13"/>
  <c r="Z67" i="13" s="1"/>
  <c r="Y67" i="13" s="1"/>
  <c r="AA67" i="13"/>
  <c r="AC67" i="13" s="1"/>
  <c r="AB67" i="13" s="1"/>
  <c r="AD67" i="13"/>
  <c r="AF67" i="13"/>
  <c r="AE67" i="13" s="1"/>
  <c r="AG67" i="13"/>
  <c r="AI67" i="13"/>
  <c r="AH67" i="13" s="1"/>
  <c r="AJ67" i="13"/>
  <c r="AL67" i="13" s="1"/>
  <c r="AK67" i="13" s="1"/>
  <c r="AM67" i="13"/>
  <c r="AO67" i="13" s="1"/>
  <c r="AN67" i="13" s="1"/>
  <c r="O68" i="13"/>
  <c r="Q68" i="13"/>
  <c r="P68" i="13" s="1"/>
  <c r="R68" i="13"/>
  <c r="T68" i="13"/>
  <c r="S68" i="13" s="1"/>
  <c r="U68" i="13"/>
  <c r="W68" i="13" s="1"/>
  <c r="V68" i="13" s="1"/>
  <c r="X68" i="13"/>
  <c r="Z68" i="13" s="1"/>
  <c r="Y68" i="13" s="1"/>
  <c r="AA68" i="13"/>
  <c r="AC68" i="13"/>
  <c r="AB68" i="13" s="1"/>
  <c r="AD68" i="13"/>
  <c r="AF68" i="13"/>
  <c r="AE68" i="13" s="1"/>
  <c r="AG68" i="13"/>
  <c r="AI68" i="13" s="1"/>
  <c r="AH68" i="13" s="1"/>
  <c r="AJ68" i="13"/>
  <c r="AL68" i="13" s="1"/>
  <c r="AK68" i="13" s="1"/>
  <c r="AM68" i="13"/>
  <c r="AO68" i="13"/>
  <c r="AN68" i="13" s="1"/>
  <c r="O69" i="13"/>
  <c r="Q69" i="13"/>
  <c r="P69" i="13" s="1"/>
  <c r="R69" i="13"/>
  <c r="T69" i="13" s="1"/>
  <c r="S69" i="13" s="1"/>
  <c r="U69" i="13"/>
  <c r="W69" i="13" s="1"/>
  <c r="V69" i="13" s="1"/>
  <c r="X69" i="13"/>
  <c r="Z69" i="13"/>
  <c r="Y69" i="13" s="1"/>
  <c r="AA69" i="13"/>
  <c r="AC69" i="13"/>
  <c r="AB69" i="13" s="1"/>
  <c r="AD69" i="13"/>
  <c r="AF69" i="13" s="1"/>
  <c r="AE69" i="13" s="1"/>
  <c r="AG69" i="13"/>
  <c r="AI69" i="13" s="1"/>
  <c r="AH69" i="13" s="1"/>
  <c r="AJ69" i="13"/>
  <c r="AL69" i="13" s="1"/>
  <c r="AK69" i="13" s="1"/>
  <c r="AM69" i="13"/>
  <c r="AO69" i="13" s="1"/>
  <c r="AN69" i="13" s="1"/>
  <c r="O70" i="13"/>
  <c r="Q70" i="13" s="1"/>
  <c r="P70" i="13" s="1"/>
  <c r="R70" i="13"/>
  <c r="T70" i="13" s="1"/>
  <c r="S70" i="13" s="1"/>
  <c r="U70" i="13"/>
  <c r="W70" i="13" s="1"/>
  <c r="V70" i="13" s="1"/>
  <c r="X70" i="13"/>
  <c r="Z70" i="13" s="1"/>
  <c r="Y70" i="13" s="1"/>
  <c r="AA70" i="13"/>
  <c r="AC70" i="13" s="1"/>
  <c r="AB70" i="13" s="1"/>
  <c r="AD70" i="13"/>
  <c r="AF70" i="13"/>
  <c r="AE70" i="13" s="1"/>
  <c r="AG70" i="13"/>
  <c r="AI70" i="13"/>
  <c r="AH70" i="13" s="1"/>
  <c r="AJ70" i="13"/>
  <c r="AL70" i="13"/>
  <c r="AK70" i="13" s="1"/>
  <c r="AM70" i="13"/>
  <c r="AO70" i="13" s="1"/>
  <c r="AN70" i="13" s="1"/>
  <c r="O71" i="13"/>
  <c r="Q71" i="13" s="1"/>
  <c r="P71" i="13" s="1"/>
  <c r="R71" i="13"/>
  <c r="T71" i="13"/>
  <c r="S71" i="13" s="1"/>
  <c r="U71" i="13"/>
  <c r="W71" i="13"/>
  <c r="V71" i="13" s="1"/>
  <c r="X71" i="13"/>
  <c r="Z71" i="13" s="1"/>
  <c r="Y71" i="13" s="1"/>
  <c r="AA71" i="13"/>
  <c r="AC71" i="13" s="1"/>
  <c r="AB71" i="13" s="1"/>
  <c r="AD71" i="13"/>
  <c r="AF71" i="13" s="1"/>
  <c r="AE71" i="13" s="1"/>
  <c r="AG71" i="13"/>
  <c r="AI71" i="13" s="1"/>
  <c r="AH71" i="13" s="1"/>
  <c r="AJ71" i="13"/>
  <c r="AL71" i="13" s="1"/>
  <c r="AK71" i="13" s="1"/>
  <c r="AM71" i="13"/>
  <c r="AO71" i="13" s="1"/>
  <c r="AN71" i="13" s="1"/>
  <c r="O72" i="13"/>
  <c r="Q72" i="13" s="1"/>
  <c r="P72" i="13" s="1"/>
  <c r="R72" i="13"/>
  <c r="T72" i="13" s="1"/>
  <c r="S72" i="13" s="1"/>
  <c r="U72" i="13"/>
  <c r="W72" i="13" s="1"/>
  <c r="V72" i="13" s="1"/>
  <c r="X72" i="13"/>
  <c r="Z72" i="13"/>
  <c r="Y72" i="13" s="1"/>
  <c r="AA72" i="13"/>
  <c r="AC72" i="13"/>
  <c r="AB72" i="13" s="1"/>
  <c r="AD72" i="13"/>
  <c r="AF72" i="13"/>
  <c r="AE72" i="13" s="1"/>
  <c r="AG72" i="13"/>
  <c r="AI72" i="13" s="1"/>
  <c r="AH72" i="13" s="1"/>
  <c r="AJ72" i="13"/>
  <c r="AL72" i="13" s="1"/>
  <c r="AK72" i="13" s="1"/>
  <c r="AM72" i="13"/>
  <c r="AO72" i="13"/>
  <c r="AN72" i="13" s="1"/>
  <c r="O73" i="13"/>
  <c r="Q73" i="13"/>
  <c r="P73" i="13" s="1"/>
  <c r="R73" i="13"/>
  <c r="T73" i="13" s="1"/>
  <c r="S73" i="13" s="1"/>
  <c r="U73" i="13"/>
  <c r="W73" i="13" s="1"/>
  <c r="V73" i="13" s="1"/>
  <c r="X73" i="13"/>
  <c r="Z73" i="13" s="1"/>
  <c r="Y73" i="13" s="1"/>
  <c r="AA73" i="13"/>
  <c r="AC73" i="13" s="1"/>
  <c r="AB73" i="13" s="1"/>
  <c r="AD73" i="13"/>
  <c r="AF73" i="13" s="1"/>
  <c r="AE73" i="13" s="1"/>
  <c r="AG73" i="13"/>
  <c r="AI73" i="13" s="1"/>
  <c r="AH73" i="13" s="1"/>
  <c r="AJ73" i="13"/>
  <c r="AL73" i="13" s="1"/>
  <c r="AK73" i="13" s="1"/>
  <c r="AM73" i="13"/>
  <c r="AO73" i="13" s="1"/>
  <c r="AN73" i="13" s="1"/>
  <c r="O74" i="13"/>
  <c r="Q74" i="13" s="1"/>
  <c r="P74" i="13" s="1"/>
  <c r="R74" i="13"/>
  <c r="T74" i="13"/>
  <c r="S74" i="13" s="1"/>
  <c r="U74" i="13"/>
  <c r="W74" i="13"/>
  <c r="V74" i="13" s="1"/>
  <c r="X74" i="13"/>
  <c r="Z74" i="13"/>
  <c r="Y74" i="13" s="1"/>
  <c r="AA74" i="13"/>
  <c r="AC74" i="13" s="1"/>
  <c r="AB74" i="13" s="1"/>
  <c r="AD74" i="13"/>
  <c r="AF74" i="13" s="1"/>
  <c r="AE74" i="13" s="1"/>
  <c r="AG74" i="13"/>
  <c r="AI74" i="13"/>
  <c r="AH74" i="13" s="1"/>
  <c r="AJ74" i="13"/>
  <c r="AL74" i="13"/>
  <c r="AK74" i="13" s="1"/>
  <c r="AM74" i="13"/>
  <c r="AO74" i="13" s="1"/>
  <c r="AN74" i="13" s="1"/>
  <c r="O75" i="13"/>
  <c r="Q75" i="13" s="1"/>
  <c r="P75" i="13" s="1"/>
  <c r="R75" i="13"/>
  <c r="T75" i="13" s="1"/>
  <c r="S75" i="13" s="1"/>
  <c r="U75" i="13"/>
  <c r="W75" i="13" s="1"/>
  <c r="V75" i="13" s="1"/>
  <c r="X75" i="13"/>
  <c r="Z75" i="13" s="1"/>
  <c r="Y75" i="13" s="1"/>
  <c r="AA75" i="13"/>
  <c r="AC75" i="13" s="1"/>
  <c r="AB75" i="13" s="1"/>
  <c r="AD75" i="13"/>
  <c r="AF75" i="13" s="1"/>
  <c r="AE75" i="13" s="1"/>
  <c r="AG75" i="13"/>
  <c r="AI75" i="13" s="1"/>
  <c r="AH75" i="13" s="1"/>
  <c r="AJ75" i="13"/>
  <c r="AL75" i="13" s="1"/>
  <c r="AK75" i="13" s="1"/>
  <c r="AM75" i="13"/>
  <c r="AO75" i="13"/>
  <c r="AN75" i="13" s="1"/>
  <c r="O76" i="13"/>
  <c r="Q76" i="13"/>
  <c r="P76" i="13" s="1"/>
  <c r="R76" i="13"/>
  <c r="T76" i="13"/>
  <c r="S76" i="13" s="1"/>
  <c r="U76" i="13"/>
  <c r="W76" i="13" s="1"/>
  <c r="V76" i="13" s="1"/>
  <c r="X76" i="13"/>
  <c r="Z76" i="13" s="1"/>
  <c r="Y76" i="13" s="1"/>
  <c r="AA76" i="13"/>
  <c r="AC76" i="13"/>
  <c r="AB76" i="13" s="1"/>
  <c r="AD76" i="13"/>
  <c r="AF76" i="13"/>
  <c r="AE76" i="13" s="1"/>
  <c r="AG76" i="13"/>
  <c r="AI76" i="13" s="1"/>
  <c r="AH76" i="13" s="1"/>
  <c r="AJ76" i="13"/>
  <c r="AL76" i="13" s="1"/>
  <c r="AK76" i="13" s="1"/>
  <c r="AM76" i="13"/>
  <c r="AO76" i="13" s="1"/>
  <c r="AN76" i="13" s="1"/>
  <c r="O77" i="13"/>
  <c r="Q77" i="13" s="1"/>
  <c r="P77" i="13" s="1"/>
  <c r="R77" i="13"/>
  <c r="T77" i="13" s="1"/>
  <c r="S77" i="13" s="1"/>
  <c r="U77" i="13"/>
  <c r="W77" i="13" s="1"/>
  <c r="V77" i="13" s="1"/>
  <c r="X77" i="13"/>
  <c r="Z77" i="13" s="1"/>
  <c r="Y77" i="13" s="1"/>
  <c r="AA77" i="13"/>
  <c r="AC77" i="13" s="1"/>
  <c r="AB77" i="13" s="1"/>
  <c r="AD77" i="13"/>
  <c r="AF77" i="13" s="1"/>
  <c r="AE77" i="13" s="1"/>
  <c r="AG77" i="13"/>
  <c r="AI77" i="13"/>
  <c r="AH77" i="13" s="1"/>
  <c r="AJ77" i="13"/>
  <c r="AL77" i="13"/>
  <c r="AK77" i="13" s="1"/>
  <c r="AM77" i="13"/>
  <c r="AO77" i="13"/>
  <c r="AN77" i="13" s="1"/>
  <c r="O78" i="13"/>
  <c r="Q78" i="13" s="1"/>
  <c r="P78" i="13" s="1"/>
  <c r="R78" i="13"/>
  <c r="T78" i="13" s="1"/>
  <c r="S78" i="13" s="1"/>
  <c r="U78" i="13"/>
  <c r="W78" i="13"/>
  <c r="V78" i="13" s="1"/>
  <c r="X78" i="13"/>
  <c r="Z78" i="13"/>
  <c r="Y78" i="13" s="1"/>
  <c r="AA78" i="13"/>
  <c r="AC78" i="13" s="1"/>
  <c r="AB78" i="13" s="1"/>
  <c r="AD78" i="13"/>
  <c r="AF78" i="13" s="1"/>
  <c r="AE78" i="13" s="1"/>
  <c r="AG78" i="13"/>
  <c r="AI78" i="13" s="1"/>
  <c r="AH78" i="13" s="1"/>
  <c r="AJ78" i="13"/>
  <c r="AL78" i="13" s="1"/>
  <c r="AK78" i="13" s="1"/>
  <c r="AM78" i="13"/>
  <c r="AO78" i="13" s="1"/>
  <c r="AN78" i="13" s="1"/>
  <c r="O79" i="13"/>
  <c r="Q79" i="13" s="1"/>
  <c r="P79" i="13" s="1"/>
  <c r="R79" i="13"/>
  <c r="T79" i="13" s="1"/>
  <c r="S79" i="13" s="1"/>
  <c r="U79" i="13"/>
  <c r="W79" i="13" s="1"/>
  <c r="V79" i="13" s="1"/>
  <c r="X79" i="13"/>
  <c r="Z79" i="13" s="1"/>
  <c r="Y79" i="13" s="1"/>
  <c r="AA79" i="13"/>
  <c r="AC79" i="13"/>
  <c r="AB79" i="13" s="1"/>
  <c r="AD79" i="13"/>
  <c r="AF79" i="13"/>
  <c r="AE79" i="13" s="1"/>
  <c r="AG79" i="13"/>
  <c r="AI79" i="13"/>
  <c r="AH79" i="13" s="1"/>
  <c r="AJ79" i="13"/>
  <c r="AL79" i="13"/>
  <c r="AK79" i="13" s="1"/>
  <c r="AM79" i="13"/>
  <c r="AO79" i="13"/>
  <c r="AN79" i="13" s="1"/>
  <c r="O80" i="13"/>
  <c r="Q80" i="13" s="1"/>
  <c r="P80" i="13" s="1"/>
  <c r="R80" i="13"/>
  <c r="T80" i="13" s="1"/>
  <c r="S80" i="13" s="1"/>
  <c r="U80" i="13"/>
  <c r="W80" i="13"/>
  <c r="V80" i="13" s="1"/>
  <c r="X80" i="13"/>
  <c r="Z80" i="13"/>
  <c r="Y80" i="13" s="1"/>
  <c r="AA80" i="13"/>
  <c r="AC80" i="13" s="1"/>
  <c r="AB80" i="13" s="1"/>
  <c r="AD80" i="13"/>
  <c r="AF80" i="13" s="1"/>
  <c r="AE80" i="13" s="1"/>
  <c r="AG80" i="13"/>
  <c r="AI80" i="13" s="1"/>
  <c r="AH80" i="13" s="1"/>
  <c r="AJ80" i="13"/>
  <c r="AL80" i="13" s="1"/>
  <c r="AK80" i="13" s="1"/>
  <c r="AM80" i="13"/>
  <c r="AO80" i="13" s="1"/>
  <c r="AN80" i="13" s="1"/>
  <c r="O81" i="13"/>
  <c r="Q81" i="13" s="1"/>
  <c r="P81" i="13" s="1"/>
  <c r="R81" i="13"/>
  <c r="T81" i="13"/>
  <c r="S81" i="13" s="1"/>
  <c r="U81" i="13"/>
  <c r="W81" i="13" s="1"/>
  <c r="V81" i="13" s="1"/>
  <c r="X81" i="13"/>
  <c r="Z81" i="13" s="1"/>
  <c r="Y81" i="13" s="1"/>
  <c r="AA81" i="13"/>
  <c r="AC81" i="13" s="1"/>
  <c r="AB81" i="13" s="1"/>
  <c r="AD81" i="13"/>
  <c r="AF81" i="13" s="1"/>
  <c r="AE81" i="13" s="1"/>
  <c r="AG81" i="13"/>
  <c r="AI81" i="13" s="1"/>
  <c r="AH81" i="13" s="1"/>
  <c r="AJ81" i="13"/>
  <c r="AL81" i="13" s="1"/>
  <c r="AK81" i="13" s="1"/>
  <c r="AM81" i="13"/>
  <c r="AO81" i="13" s="1"/>
  <c r="AN81" i="13" s="1"/>
  <c r="O82" i="13"/>
  <c r="Q82" i="13"/>
  <c r="P82" i="13" s="1"/>
  <c r="R82" i="13"/>
  <c r="T82" i="13"/>
  <c r="S82" i="13" s="1"/>
  <c r="U82" i="13"/>
  <c r="W82" i="13" s="1"/>
  <c r="V82" i="13" s="1"/>
  <c r="X82" i="13"/>
  <c r="Z82" i="13" s="1"/>
  <c r="Y82" i="13" s="1"/>
  <c r="AA82" i="13"/>
  <c r="AC82" i="13" s="1"/>
  <c r="AB82" i="13" s="1"/>
  <c r="AD82" i="13"/>
  <c r="AF82" i="13" s="1"/>
  <c r="AE82" i="13" s="1"/>
  <c r="AG82" i="13"/>
  <c r="AI82" i="13" s="1"/>
  <c r="AH82" i="13" s="1"/>
  <c r="AJ82" i="13"/>
  <c r="AL82" i="13" s="1"/>
  <c r="AK82" i="13" s="1"/>
  <c r="AM82" i="13"/>
  <c r="AO82" i="13"/>
  <c r="AN82" i="13" s="1"/>
  <c r="O83" i="13"/>
  <c r="Q83" i="13" s="1"/>
  <c r="P83" i="13" s="1"/>
  <c r="R83" i="13"/>
  <c r="T83" i="13" s="1"/>
  <c r="S83" i="13" s="1"/>
  <c r="U83" i="13"/>
  <c r="W83" i="13" s="1"/>
  <c r="V83" i="13" s="1"/>
  <c r="X83" i="13"/>
  <c r="Z83" i="13" s="1"/>
  <c r="Y83" i="13" s="1"/>
  <c r="AA83" i="13"/>
  <c r="AC83" i="13" s="1"/>
  <c r="AB83" i="13" s="1"/>
  <c r="AD83" i="13"/>
  <c r="AF83" i="13" s="1"/>
  <c r="AE83" i="13" s="1"/>
  <c r="AG83" i="13"/>
  <c r="AI83" i="13" s="1"/>
  <c r="AH83" i="13" s="1"/>
  <c r="AJ83" i="13"/>
  <c r="AL83" i="13"/>
  <c r="AK83" i="13" s="1"/>
  <c r="AM83" i="13"/>
  <c r="AO83" i="13"/>
  <c r="AN83" i="13" s="1"/>
  <c r="O84" i="13"/>
  <c r="Q84" i="13" s="1"/>
  <c r="P84" i="13" s="1"/>
  <c r="R84" i="13"/>
  <c r="T84" i="13" s="1"/>
  <c r="S84" i="13" s="1"/>
  <c r="U84" i="13"/>
  <c r="W84" i="13" s="1"/>
  <c r="V84" i="13" s="1"/>
  <c r="X84" i="13"/>
  <c r="Z84" i="13" s="1"/>
  <c r="Y84" i="13" s="1"/>
  <c r="AA84" i="13"/>
  <c r="AC84" i="13" s="1"/>
  <c r="AB84" i="13" s="1"/>
  <c r="AD84" i="13"/>
  <c r="AF84" i="13" s="1"/>
  <c r="AE84" i="13" s="1"/>
  <c r="AG84" i="13"/>
  <c r="AI84" i="13"/>
  <c r="AH84" i="13" s="1"/>
  <c r="AJ84" i="13"/>
  <c r="AL84" i="13" s="1"/>
  <c r="AK84" i="13" s="1"/>
  <c r="AM84" i="13"/>
  <c r="AO84" i="13" s="1"/>
  <c r="AN84" i="13" s="1"/>
  <c r="O85" i="13"/>
  <c r="Q85" i="13" s="1"/>
  <c r="P85" i="13" s="1"/>
  <c r="R85" i="13"/>
  <c r="T85" i="13" s="1"/>
  <c r="S85" i="13" s="1"/>
  <c r="U85" i="13"/>
  <c r="W85" i="13" s="1"/>
  <c r="V85" i="13" s="1"/>
  <c r="X85" i="13"/>
  <c r="Z85" i="13" s="1"/>
  <c r="Y85" i="13" s="1"/>
  <c r="AA85" i="13"/>
  <c r="AC85" i="13" s="1"/>
  <c r="AB85" i="13" s="1"/>
  <c r="AD85" i="13"/>
  <c r="AF85" i="13"/>
  <c r="AE85" i="13" s="1"/>
  <c r="AG85" i="13"/>
  <c r="AI85" i="13"/>
  <c r="AH85" i="13" s="1"/>
  <c r="AJ85" i="13"/>
  <c r="AL85" i="13" s="1"/>
  <c r="AK85" i="13" s="1"/>
  <c r="AM85" i="13"/>
  <c r="AO85" i="13" s="1"/>
  <c r="AN85" i="13" s="1"/>
  <c r="O86" i="13"/>
  <c r="Q86" i="13" s="1"/>
  <c r="P86" i="13" s="1"/>
  <c r="R86" i="13"/>
  <c r="T86" i="13" s="1"/>
  <c r="S86" i="13" s="1"/>
  <c r="U86" i="13"/>
  <c r="W86" i="13" s="1"/>
  <c r="V86" i="13" s="1"/>
  <c r="X86" i="13"/>
  <c r="Z86" i="13" s="1"/>
  <c r="Y86" i="13" s="1"/>
  <c r="AA86" i="13"/>
  <c r="AC86" i="13"/>
  <c r="AB86" i="13" s="1"/>
  <c r="AD86" i="13"/>
  <c r="AF86" i="13" s="1"/>
  <c r="AE86" i="13" s="1"/>
  <c r="AG86" i="13"/>
  <c r="AI86" i="13" s="1"/>
  <c r="AH86" i="13" s="1"/>
  <c r="AJ86" i="13"/>
  <c r="AL86" i="13"/>
  <c r="AK86" i="13" s="1"/>
  <c r="AM86" i="13"/>
  <c r="AO86" i="13"/>
  <c r="AN86" i="13" s="1"/>
  <c r="O87" i="13"/>
  <c r="Q87" i="13" s="1"/>
  <c r="P87" i="13" s="1"/>
  <c r="R87" i="13"/>
  <c r="T87" i="13" s="1"/>
  <c r="S87" i="13" s="1"/>
  <c r="U87" i="13"/>
  <c r="W87" i="13" s="1"/>
  <c r="V87" i="13" s="1"/>
  <c r="X87" i="13"/>
  <c r="Z87" i="13" s="1"/>
  <c r="Y87" i="13" s="1"/>
  <c r="AA87" i="13"/>
  <c r="AC87" i="13" s="1"/>
  <c r="AB87" i="13" s="1"/>
  <c r="AD87" i="13"/>
  <c r="AF87" i="13" s="1"/>
  <c r="AE87" i="13" s="1"/>
  <c r="AG87" i="13"/>
  <c r="AI87" i="13" s="1"/>
  <c r="AH87" i="13" s="1"/>
  <c r="AJ87" i="13"/>
  <c r="AL87" i="13" s="1"/>
  <c r="AK87" i="13" s="1"/>
  <c r="AM87" i="13"/>
  <c r="AO87" i="13" s="1"/>
  <c r="AN87" i="13" s="1"/>
  <c r="O88" i="13"/>
  <c r="Q88" i="13" s="1"/>
  <c r="P88" i="13" s="1"/>
  <c r="R88" i="13"/>
  <c r="T88" i="13" s="1"/>
  <c r="S88" i="13" s="1"/>
  <c r="U88" i="13"/>
  <c r="W88" i="13"/>
  <c r="V88" i="13" s="1"/>
  <c r="X88" i="13"/>
  <c r="Z88" i="13" s="1"/>
  <c r="Y88" i="13" s="1"/>
  <c r="AA88" i="13"/>
  <c r="AC88" i="13" s="1"/>
  <c r="AB88" i="13" s="1"/>
  <c r="AD88" i="13"/>
  <c r="AF88" i="13"/>
  <c r="AE88" i="13" s="1"/>
  <c r="AG88" i="13"/>
  <c r="AI88" i="13"/>
  <c r="AH88" i="13" s="1"/>
  <c r="AJ88" i="13"/>
  <c r="AL88" i="13" s="1"/>
  <c r="AK88" i="13" s="1"/>
  <c r="AM88" i="13"/>
  <c r="AO88" i="13" s="1"/>
  <c r="AN88" i="13" s="1"/>
  <c r="O89" i="13"/>
  <c r="Q89" i="13" s="1"/>
  <c r="P89" i="13" s="1"/>
  <c r="R89" i="13"/>
  <c r="T89" i="13" s="1"/>
  <c r="S89" i="13" s="1"/>
  <c r="U89" i="13"/>
  <c r="W89" i="13" s="1"/>
  <c r="V89" i="13" s="1"/>
  <c r="X89" i="13"/>
  <c r="Z89" i="13" s="1"/>
  <c r="Y89" i="13" s="1"/>
  <c r="AA89" i="13"/>
  <c r="AC89" i="13" s="1"/>
  <c r="AB89" i="13" s="1"/>
  <c r="AD89" i="13"/>
  <c r="AF89" i="13" s="1"/>
  <c r="AE89" i="13" s="1"/>
  <c r="AG89" i="13"/>
  <c r="AI89" i="13" s="1"/>
  <c r="AH89" i="13" s="1"/>
  <c r="AJ89" i="13"/>
  <c r="AL89" i="13" s="1"/>
  <c r="AK89" i="13" s="1"/>
  <c r="AM89" i="13"/>
  <c r="AO89" i="13" s="1"/>
  <c r="AN89" i="13" s="1"/>
  <c r="O90" i="13"/>
  <c r="Q90" i="13" s="1"/>
  <c r="P90" i="13" s="1"/>
  <c r="R90" i="13"/>
  <c r="T90" i="13" s="1"/>
  <c r="S90" i="13" s="1"/>
  <c r="U90" i="13"/>
  <c r="W90" i="13" s="1"/>
  <c r="V90" i="13" s="1"/>
  <c r="X90" i="13"/>
  <c r="Z90" i="13" s="1"/>
  <c r="Y90" i="13" s="1"/>
  <c r="AA90" i="13"/>
  <c r="AC90" i="13" s="1"/>
  <c r="AB90" i="13" s="1"/>
  <c r="AD90" i="13"/>
  <c r="AF90" i="13" s="1"/>
  <c r="AE90" i="13" s="1"/>
  <c r="AG90" i="13"/>
  <c r="AI90" i="13" s="1"/>
  <c r="AH90" i="13" s="1"/>
  <c r="AJ90" i="13"/>
  <c r="AL90" i="13" s="1"/>
  <c r="AK90" i="13" s="1"/>
  <c r="AM90" i="13"/>
  <c r="AO90" i="13" s="1"/>
  <c r="AN90" i="13" s="1"/>
  <c r="O91" i="13"/>
  <c r="Q91" i="13" s="1"/>
  <c r="P91" i="13" s="1"/>
  <c r="R91" i="13"/>
  <c r="T91" i="13" s="1"/>
  <c r="S91" i="13" s="1"/>
  <c r="U91" i="13"/>
  <c r="W91" i="13" s="1"/>
  <c r="V91" i="13" s="1"/>
  <c r="X91" i="13"/>
  <c r="Z91" i="13" s="1"/>
  <c r="Y91" i="13" s="1"/>
  <c r="AA91" i="13"/>
  <c r="AC91" i="13" s="1"/>
  <c r="AB91" i="13" s="1"/>
  <c r="AD91" i="13"/>
  <c r="AF91" i="13" s="1"/>
  <c r="AE91" i="13" s="1"/>
  <c r="AG91" i="13"/>
  <c r="AI91" i="13" s="1"/>
  <c r="AH91" i="13" s="1"/>
  <c r="AJ91" i="13"/>
  <c r="AL91" i="13" s="1"/>
  <c r="AK91" i="13" s="1"/>
  <c r="AM91" i="13"/>
  <c r="AO91" i="13" s="1"/>
  <c r="AN91" i="13" s="1"/>
  <c r="O92" i="13"/>
  <c r="Q92" i="13" s="1"/>
  <c r="P92" i="13" s="1"/>
  <c r="R92" i="13"/>
  <c r="T92" i="13" s="1"/>
  <c r="S92" i="13" s="1"/>
  <c r="U92" i="13"/>
  <c r="W92" i="13" s="1"/>
  <c r="V92" i="13" s="1"/>
  <c r="X92" i="13"/>
  <c r="Z92" i="13" s="1"/>
  <c r="Y92" i="13" s="1"/>
  <c r="AA92" i="13"/>
  <c r="AC92" i="13" s="1"/>
  <c r="AB92" i="13" s="1"/>
  <c r="AD92" i="13"/>
  <c r="AF92" i="13" s="1"/>
  <c r="AE92" i="13" s="1"/>
  <c r="AG92" i="13"/>
  <c r="AI92" i="13" s="1"/>
  <c r="AH92" i="13" s="1"/>
  <c r="AJ92" i="13"/>
  <c r="AL92" i="13" s="1"/>
  <c r="AK92" i="13" s="1"/>
  <c r="AM92" i="13"/>
  <c r="AO92" i="13" s="1"/>
  <c r="AN92" i="13" s="1"/>
  <c r="O93" i="13"/>
  <c r="Q93" i="13" s="1"/>
  <c r="P93" i="13" s="1"/>
  <c r="R93" i="13"/>
  <c r="T93" i="13" s="1"/>
  <c r="S93" i="13" s="1"/>
  <c r="U93" i="13"/>
  <c r="W93" i="13" s="1"/>
  <c r="V93" i="13" s="1"/>
  <c r="X93" i="13"/>
  <c r="Z93" i="13"/>
  <c r="Y93" i="13" s="1"/>
  <c r="AA93" i="13"/>
  <c r="AC93" i="13"/>
  <c r="AB93" i="13" s="1"/>
  <c r="AD93" i="13"/>
  <c r="AF93" i="13" s="1"/>
  <c r="AE93" i="13" s="1"/>
  <c r="AG93" i="13"/>
  <c r="AI93" i="13" s="1"/>
  <c r="AH93" i="13" s="1"/>
  <c r="AJ93" i="13"/>
  <c r="AL93" i="13" s="1"/>
  <c r="AK93" i="13" s="1"/>
  <c r="AM93" i="13"/>
  <c r="AO93" i="13" s="1"/>
  <c r="AN93" i="13" s="1"/>
  <c r="O94" i="13"/>
  <c r="Q94" i="13" s="1"/>
  <c r="P94" i="13" s="1"/>
  <c r="R94" i="13"/>
  <c r="T94" i="13" s="1"/>
  <c r="S94" i="13" s="1"/>
  <c r="U94" i="13"/>
  <c r="W94" i="13"/>
  <c r="V94" i="13" s="1"/>
  <c r="X94" i="13"/>
  <c r="Z94" i="13"/>
  <c r="Y94" i="13" s="1"/>
  <c r="AA94" i="13"/>
  <c r="AC94" i="13" s="1"/>
  <c r="AB94" i="13" s="1"/>
  <c r="AD94" i="13"/>
  <c r="AF94" i="13" s="1"/>
  <c r="AE94" i="13" s="1"/>
  <c r="AG94" i="13"/>
  <c r="AI94" i="13" s="1"/>
  <c r="AH94" i="13" s="1"/>
  <c r="AJ94" i="13"/>
  <c r="AL94" i="13" s="1"/>
  <c r="AK94" i="13" s="1"/>
  <c r="AM94" i="13"/>
  <c r="AO94" i="13" s="1"/>
  <c r="AN94" i="13" s="1"/>
  <c r="O95" i="13"/>
  <c r="Q95" i="13" s="1"/>
  <c r="P95" i="13" s="1"/>
  <c r="R95" i="13"/>
  <c r="T95" i="13"/>
  <c r="S95" i="13" s="1"/>
  <c r="U95" i="13"/>
  <c r="W95" i="13"/>
  <c r="V95" i="13" s="1"/>
  <c r="X95" i="13"/>
  <c r="Z95" i="13" s="1"/>
  <c r="Y95" i="13" s="1"/>
  <c r="AA95" i="13"/>
  <c r="AC95" i="13" s="1"/>
  <c r="AB95" i="13" s="1"/>
  <c r="AD95" i="13"/>
  <c r="AF95" i="13" s="1"/>
  <c r="AE95" i="13" s="1"/>
  <c r="AG95" i="13"/>
  <c r="AI95" i="13" s="1"/>
  <c r="AH95" i="13" s="1"/>
  <c r="AJ95" i="13"/>
  <c r="AL95" i="13" s="1"/>
  <c r="AK95" i="13" s="1"/>
  <c r="AM95" i="13"/>
  <c r="AO95" i="13" s="1"/>
  <c r="AN95" i="13" s="1"/>
  <c r="O96" i="13"/>
  <c r="Q96" i="13"/>
  <c r="P96" i="13" s="1"/>
  <c r="R96" i="13"/>
  <c r="T96" i="13"/>
  <c r="S96" i="13" s="1"/>
  <c r="U96" i="13"/>
  <c r="W96" i="13" s="1"/>
  <c r="V96" i="13" s="1"/>
  <c r="X96" i="13"/>
  <c r="Z96" i="13" s="1"/>
  <c r="Y96" i="13" s="1"/>
  <c r="AA96" i="13"/>
  <c r="AC96" i="13" s="1"/>
  <c r="AB96" i="13" s="1"/>
  <c r="AD96" i="13"/>
  <c r="AF96" i="13" s="1"/>
  <c r="AE96" i="13" s="1"/>
  <c r="AG96" i="13"/>
  <c r="AI96" i="13" s="1"/>
  <c r="AH96" i="13" s="1"/>
  <c r="AJ96" i="13"/>
  <c r="AL96" i="13" s="1"/>
  <c r="AK96" i="13" s="1"/>
  <c r="AM96" i="13"/>
  <c r="AO96" i="13"/>
  <c r="AN96" i="13" s="1"/>
  <c r="O97" i="13"/>
  <c r="Q97" i="13"/>
  <c r="P97" i="13" s="1"/>
  <c r="R97" i="13"/>
  <c r="T97" i="13" s="1"/>
  <c r="S97" i="13" s="1"/>
  <c r="U97" i="13"/>
  <c r="W97" i="13" s="1"/>
  <c r="V97" i="13" s="1"/>
  <c r="X97" i="13"/>
  <c r="Z97" i="13" s="1"/>
  <c r="Y97" i="13" s="1"/>
  <c r="AA97" i="13"/>
  <c r="AC97" i="13" s="1"/>
  <c r="AB97" i="13" s="1"/>
  <c r="AD97" i="13"/>
  <c r="AF97" i="13" s="1"/>
  <c r="AE97" i="13" s="1"/>
  <c r="AG97" i="13"/>
  <c r="AI97" i="13" s="1"/>
  <c r="AH97" i="13" s="1"/>
  <c r="AJ97" i="13"/>
  <c r="AL97" i="13"/>
  <c r="AK97" i="13" s="1"/>
  <c r="AM97" i="13"/>
  <c r="AO97" i="13"/>
  <c r="AN97" i="13" s="1"/>
  <c r="O98" i="13"/>
  <c r="Q98" i="13" s="1"/>
  <c r="P98" i="13" s="1"/>
  <c r="R98" i="13"/>
  <c r="T98" i="13" s="1"/>
  <c r="S98" i="13" s="1"/>
  <c r="U98" i="13"/>
  <c r="W98" i="13" s="1"/>
  <c r="V98" i="13" s="1"/>
  <c r="X98" i="13"/>
  <c r="Z98" i="13" s="1"/>
  <c r="Y98" i="13" s="1"/>
  <c r="AA98" i="13"/>
  <c r="AC98" i="13" s="1"/>
  <c r="AB98" i="13" s="1"/>
  <c r="AD98" i="13"/>
  <c r="AF98" i="13" s="1"/>
  <c r="AE98" i="13" s="1"/>
  <c r="AG98" i="13"/>
  <c r="AI98" i="13"/>
  <c r="AH98" i="13" s="1"/>
  <c r="AJ98" i="13"/>
  <c r="AL98" i="13"/>
  <c r="AK98" i="13" s="1"/>
  <c r="AM98" i="13"/>
  <c r="AO98" i="13" s="1"/>
  <c r="AN98" i="13" s="1"/>
  <c r="O99" i="13"/>
  <c r="Q99" i="13" s="1"/>
  <c r="P99" i="13" s="1"/>
  <c r="R99" i="13"/>
  <c r="T99" i="13" s="1"/>
  <c r="S99" i="13" s="1"/>
  <c r="U99" i="13"/>
  <c r="W99" i="13" s="1"/>
  <c r="V99" i="13" s="1"/>
  <c r="X99" i="13"/>
  <c r="Z99" i="13"/>
  <c r="Y99" i="13" s="1"/>
  <c r="AA99" i="13"/>
  <c r="AC99" i="13" s="1"/>
  <c r="AB99" i="13" s="1"/>
  <c r="AD99" i="13"/>
  <c r="AF99" i="13"/>
  <c r="AE99" i="13" s="1"/>
  <c r="AG99" i="13"/>
  <c r="AI99" i="13" s="1"/>
  <c r="AH99" i="13" s="1"/>
  <c r="AJ99" i="13"/>
  <c r="AL99" i="13" s="1"/>
  <c r="AK99" i="13" s="1"/>
  <c r="AM99" i="13"/>
  <c r="AO99" i="13" s="1"/>
  <c r="AN99" i="13" s="1"/>
  <c r="O100" i="13"/>
  <c r="Q100" i="13" s="1"/>
  <c r="P100" i="13" s="1"/>
  <c r="R100" i="13"/>
  <c r="T100" i="13" s="1"/>
  <c r="S100" i="13" s="1"/>
  <c r="U100" i="13"/>
  <c r="W100" i="13" s="1"/>
  <c r="V100" i="13" s="1"/>
  <c r="X100" i="13"/>
  <c r="Z100" i="13" s="1"/>
  <c r="Y100" i="13" s="1"/>
  <c r="AA100" i="13"/>
  <c r="AC100" i="13"/>
  <c r="AB100" i="13" s="1"/>
  <c r="AD100" i="13"/>
  <c r="AF100" i="13"/>
  <c r="AE100" i="13" s="1"/>
  <c r="AG100" i="13"/>
  <c r="AI100" i="13" s="1"/>
  <c r="AH100" i="13" s="1"/>
  <c r="AJ100" i="13"/>
  <c r="AL100" i="13" s="1"/>
  <c r="AK100" i="13" s="1"/>
  <c r="AM100" i="13"/>
  <c r="AO100" i="13" s="1"/>
  <c r="AN100" i="13" s="1"/>
  <c r="O101" i="13"/>
  <c r="Q101" i="13" s="1"/>
  <c r="P101" i="13" s="1"/>
  <c r="R101" i="13"/>
  <c r="T101" i="13"/>
  <c r="S101" i="13" s="1"/>
  <c r="U101" i="13"/>
  <c r="W101" i="13" s="1"/>
  <c r="V101" i="13" s="1"/>
  <c r="X101" i="13"/>
  <c r="Z101" i="13"/>
  <c r="Y101" i="13" s="1"/>
  <c r="AA101" i="13"/>
  <c r="AC101" i="13" s="1"/>
  <c r="AB101" i="13" s="1"/>
  <c r="AD101" i="13"/>
  <c r="AF101" i="13" s="1"/>
  <c r="AE101" i="13" s="1"/>
  <c r="AG101" i="13"/>
  <c r="AI101" i="13" s="1"/>
  <c r="AH101" i="13" s="1"/>
  <c r="AJ101" i="13"/>
  <c r="AL101" i="13" s="1"/>
  <c r="AK101" i="13" s="1"/>
  <c r="AM101" i="13"/>
  <c r="AO101" i="13" s="1"/>
  <c r="AN101" i="13" s="1"/>
  <c r="O102" i="13"/>
  <c r="Q102" i="13" s="1"/>
  <c r="P102" i="13" s="1"/>
  <c r="R102" i="13"/>
  <c r="T102" i="13" s="1"/>
  <c r="S102" i="13" s="1"/>
  <c r="U102" i="13"/>
  <c r="W102" i="13"/>
  <c r="V102" i="13" s="1"/>
  <c r="X102" i="13"/>
  <c r="Z102" i="13"/>
  <c r="Y102" i="13" s="1"/>
  <c r="AA102" i="13"/>
  <c r="AC102" i="13" s="1"/>
  <c r="AB102" i="13" s="1"/>
  <c r="AD102" i="13"/>
  <c r="AF102" i="13" s="1"/>
  <c r="AE102" i="13" s="1"/>
  <c r="AG102" i="13"/>
  <c r="AI102" i="13" s="1"/>
  <c r="AH102" i="13" s="1"/>
  <c r="AJ102" i="13"/>
  <c r="AL102" i="13" s="1"/>
  <c r="AK102" i="13" s="1"/>
  <c r="AM102" i="13"/>
  <c r="AO102" i="13"/>
  <c r="AN102" i="13" s="1"/>
  <c r="O103" i="13"/>
  <c r="Q103" i="13" s="1"/>
  <c r="P103" i="13" s="1"/>
  <c r="R103" i="13"/>
  <c r="T103" i="13"/>
  <c r="S103" i="13" s="1"/>
  <c r="U103" i="13"/>
  <c r="W103" i="13" s="1"/>
  <c r="V103" i="13" s="1"/>
  <c r="X103" i="13"/>
  <c r="Z103" i="13" s="1"/>
  <c r="Y103" i="13" s="1"/>
  <c r="AA103" i="13"/>
  <c r="AC103" i="13" s="1"/>
  <c r="AB103" i="13" s="1"/>
  <c r="AD103" i="13"/>
  <c r="AF103" i="13" s="1"/>
  <c r="AE103" i="13" s="1"/>
  <c r="AG103" i="13"/>
  <c r="AI103" i="13" s="1"/>
  <c r="AH103" i="13" s="1"/>
  <c r="AJ103" i="13"/>
  <c r="AL103" i="13" s="1"/>
  <c r="AK103" i="13" s="1"/>
  <c r="AM103" i="13"/>
  <c r="AO103" i="13" s="1"/>
  <c r="AN103" i="13" s="1"/>
  <c r="O104" i="13"/>
  <c r="Q104" i="13"/>
  <c r="P104" i="13" s="1"/>
  <c r="R104" i="13"/>
  <c r="T104" i="13"/>
  <c r="S104" i="13" s="1"/>
  <c r="U104" i="13"/>
  <c r="W104" i="13" s="1"/>
  <c r="V104" i="13" s="1"/>
  <c r="X104" i="13"/>
  <c r="Z104" i="13" s="1"/>
  <c r="Y104" i="13" s="1"/>
  <c r="AA104" i="13"/>
  <c r="AC104" i="13" s="1"/>
  <c r="AB104" i="13" s="1"/>
  <c r="AD104" i="13"/>
  <c r="AF104" i="13" s="1"/>
  <c r="AE104" i="13" s="1"/>
  <c r="AG104" i="13"/>
  <c r="AI104" i="13"/>
  <c r="AH104" i="13" s="1"/>
  <c r="AJ104" i="13"/>
  <c r="AL104" i="13" s="1"/>
  <c r="AK104" i="13" s="1"/>
  <c r="AM104" i="13"/>
  <c r="AO104" i="13"/>
  <c r="AN104" i="13" s="1"/>
  <c r="O105" i="13"/>
  <c r="Q105" i="13" s="1"/>
  <c r="P105" i="13" s="1"/>
  <c r="R105" i="13"/>
  <c r="T105" i="13" s="1"/>
  <c r="S105" i="13" s="1"/>
  <c r="U105" i="13"/>
  <c r="W105" i="13" s="1"/>
  <c r="V105" i="13" s="1"/>
  <c r="X105" i="13"/>
  <c r="Z105" i="13" s="1"/>
  <c r="Y105" i="13" s="1"/>
  <c r="AA105" i="13"/>
  <c r="AC105" i="13" s="1"/>
  <c r="AB105" i="13" s="1"/>
  <c r="AD105" i="13"/>
  <c r="AF105" i="13" s="1"/>
  <c r="AE105" i="13" s="1"/>
  <c r="AG105" i="13"/>
  <c r="AI105" i="13" s="1"/>
  <c r="AH105" i="13" s="1"/>
  <c r="AJ105" i="13"/>
  <c r="AL105" i="13"/>
  <c r="AK105" i="13" s="1"/>
  <c r="AM105" i="13"/>
  <c r="AO105" i="13"/>
  <c r="AN105" i="13" s="1"/>
  <c r="O106" i="13"/>
  <c r="Q106" i="13" s="1"/>
  <c r="P106" i="13" s="1"/>
  <c r="R106" i="13"/>
  <c r="T106" i="13" s="1"/>
  <c r="S106" i="13" s="1"/>
  <c r="U106" i="13"/>
  <c r="W106" i="13" s="1"/>
  <c r="V106" i="13" s="1"/>
  <c r="X106" i="13"/>
  <c r="Z106" i="13" s="1"/>
  <c r="Y106" i="13" s="1"/>
  <c r="AA106" i="13"/>
  <c r="AC106" i="13"/>
  <c r="AB106" i="13" s="1"/>
  <c r="AD106" i="13"/>
  <c r="AF106" i="13" s="1"/>
  <c r="AE106" i="13" s="1"/>
  <c r="AG106" i="13"/>
  <c r="AI106" i="13"/>
  <c r="AH106" i="13" s="1"/>
  <c r="AJ106" i="13"/>
  <c r="AL106" i="13" s="1"/>
  <c r="AK106" i="13" s="1"/>
  <c r="AM106" i="13"/>
  <c r="AO106" i="13" s="1"/>
  <c r="AN106" i="13" s="1"/>
  <c r="O107" i="13"/>
  <c r="Q107" i="13" s="1"/>
  <c r="P107" i="13" s="1"/>
  <c r="R107" i="13"/>
  <c r="T107" i="13" s="1"/>
  <c r="S107" i="13" s="1"/>
  <c r="U107" i="13"/>
  <c r="W107" i="13" s="1"/>
  <c r="V107" i="13" s="1"/>
  <c r="X107" i="13"/>
  <c r="Z107" i="13" s="1"/>
  <c r="Y107" i="13" s="1"/>
  <c r="AA107" i="13"/>
  <c r="AC107" i="13" s="1"/>
  <c r="AB107" i="13" s="1"/>
  <c r="AD107" i="13"/>
  <c r="AF107" i="13"/>
  <c r="AE107" i="13" s="1"/>
  <c r="AG107" i="13"/>
  <c r="AI107" i="13"/>
  <c r="AH107" i="13" s="1"/>
  <c r="AJ107" i="13"/>
  <c r="AL107" i="13" s="1"/>
  <c r="AK107" i="13" s="1"/>
  <c r="AM107" i="13"/>
  <c r="AO107" i="13" s="1"/>
  <c r="AN107" i="13" s="1"/>
  <c r="O108" i="13"/>
  <c r="Q108" i="13" s="1"/>
  <c r="P108" i="13" s="1"/>
  <c r="R108" i="13"/>
  <c r="T108" i="13" s="1"/>
  <c r="S108" i="13" s="1"/>
  <c r="U108" i="13"/>
  <c r="W108" i="13" s="1"/>
  <c r="V108" i="13" s="1"/>
  <c r="X108" i="13"/>
  <c r="Z108" i="13" s="1"/>
  <c r="Y108" i="13" s="1"/>
  <c r="AA108" i="13"/>
  <c r="AC108" i="13"/>
  <c r="AB108" i="13" s="1"/>
  <c r="AD108" i="13"/>
  <c r="AF108" i="13"/>
  <c r="AE108" i="13" s="1"/>
  <c r="AG108" i="13"/>
  <c r="AI108" i="13" s="1"/>
  <c r="AH108" i="13" s="1"/>
  <c r="AJ108" i="13"/>
  <c r="AL108" i="13" s="1"/>
  <c r="AK108" i="13" s="1"/>
  <c r="AM108" i="13"/>
  <c r="AO108" i="13" s="1"/>
  <c r="AN108" i="13" s="1"/>
  <c r="O109" i="13"/>
  <c r="Q109" i="13" s="1"/>
  <c r="P109" i="13" s="1"/>
  <c r="R109" i="13"/>
  <c r="T109" i="13" s="1"/>
  <c r="S109" i="13" s="1"/>
  <c r="U109" i="13"/>
  <c r="W109" i="13" s="1"/>
  <c r="V109" i="13" s="1"/>
  <c r="X109" i="13"/>
  <c r="Z109" i="13"/>
  <c r="Y109" i="13" s="1"/>
  <c r="AA109" i="13"/>
  <c r="AC109" i="13"/>
  <c r="AB109" i="13" s="1"/>
  <c r="AD109" i="13"/>
  <c r="AF109" i="13" s="1"/>
  <c r="AE109" i="13" s="1"/>
  <c r="AG109" i="13"/>
  <c r="AI109" i="13" s="1"/>
  <c r="AH109" i="13" s="1"/>
  <c r="AJ109" i="13"/>
  <c r="AL109" i="13" s="1"/>
  <c r="AK109" i="13" s="1"/>
  <c r="AM109" i="13"/>
  <c r="AO109" i="13" s="1"/>
  <c r="AN109" i="13" s="1"/>
  <c r="O110" i="13"/>
  <c r="Q110" i="13" s="1"/>
  <c r="P110" i="13" s="1"/>
  <c r="R110" i="13"/>
  <c r="T110" i="13" s="1"/>
  <c r="S110" i="13" s="1"/>
  <c r="U110" i="13"/>
  <c r="W110" i="13"/>
  <c r="V110" i="13" s="1"/>
  <c r="X110" i="13"/>
  <c r="Z110" i="13"/>
  <c r="Y110" i="13" s="1"/>
  <c r="AA110" i="13"/>
  <c r="AC110" i="13" s="1"/>
  <c r="AB110" i="13" s="1"/>
  <c r="AD110" i="13"/>
  <c r="AF110" i="13" s="1"/>
  <c r="AE110" i="13" s="1"/>
  <c r="AG110" i="13"/>
  <c r="AI110" i="13" s="1"/>
  <c r="AH110" i="13" s="1"/>
  <c r="AJ110" i="13"/>
  <c r="AL110" i="13" s="1"/>
  <c r="AK110" i="13" s="1"/>
  <c r="AM110" i="13"/>
  <c r="AO110" i="13" s="1"/>
  <c r="AN110" i="13" s="1"/>
  <c r="O111" i="13"/>
  <c r="Q111" i="13" s="1"/>
  <c r="P111" i="13" s="1"/>
  <c r="R111" i="13"/>
  <c r="T111" i="13"/>
  <c r="S111" i="13" s="1"/>
  <c r="U111" i="13"/>
  <c r="W111" i="13"/>
  <c r="V111" i="13" s="1"/>
  <c r="X111" i="13"/>
  <c r="Z111" i="13" s="1"/>
  <c r="Y111" i="13" s="1"/>
  <c r="AA111" i="13"/>
  <c r="AC111" i="13" s="1"/>
  <c r="AB111" i="13" s="1"/>
  <c r="AD111" i="13"/>
  <c r="AF111" i="13" s="1"/>
  <c r="AE111" i="13" s="1"/>
  <c r="AG111" i="13"/>
  <c r="AI111" i="13" s="1"/>
  <c r="AH111" i="13" s="1"/>
  <c r="AJ111" i="13"/>
  <c r="AL111" i="13" s="1"/>
  <c r="AK111" i="13" s="1"/>
  <c r="AM111" i="13"/>
  <c r="AO111" i="13" s="1"/>
  <c r="AN111" i="13" s="1"/>
  <c r="O112" i="13"/>
  <c r="Q112" i="13"/>
  <c r="P112" i="13" s="1"/>
  <c r="R112" i="13"/>
  <c r="T112" i="13"/>
  <c r="S112" i="13" s="1"/>
  <c r="U112" i="13"/>
  <c r="W112" i="13" s="1"/>
  <c r="V112" i="13" s="1"/>
  <c r="X112" i="13"/>
  <c r="Z112" i="13" s="1"/>
  <c r="Y112" i="13" s="1"/>
  <c r="AA112" i="13"/>
  <c r="AC112" i="13" s="1"/>
  <c r="AB112" i="13" s="1"/>
  <c r="AD112" i="13"/>
  <c r="AF112" i="13" s="1"/>
  <c r="AE112" i="13" s="1"/>
  <c r="AG112" i="13"/>
  <c r="AI112" i="13" s="1"/>
  <c r="AH112" i="13" s="1"/>
  <c r="AJ112" i="13"/>
  <c r="AL112" i="13" s="1"/>
  <c r="AK112" i="13" s="1"/>
  <c r="AM112" i="13"/>
  <c r="AO112" i="13"/>
  <c r="AN112" i="13" s="1"/>
  <c r="O113" i="13"/>
  <c r="Q113" i="13"/>
  <c r="P113" i="13" s="1"/>
  <c r="R113" i="13"/>
  <c r="T113" i="13" s="1"/>
  <c r="S113" i="13" s="1"/>
  <c r="U113" i="13"/>
  <c r="W113" i="13" s="1"/>
  <c r="V113" i="13" s="1"/>
  <c r="X113" i="13"/>
  <c r="Z113" i="13" s="1"/>
  <c r="Y113" i="13" s="1"/>
  <c r="AA113" i="13"/>
  <c r="AC113" i="13" s="1"/>
  <c r="AB113" i="13" s="1"/>
  <c r="AD113" i="13"/>
  <c r="AF113" i="13" s="1"/>
  <c r="AE113" i="13" s="1"/>
  <c r="AG113" i="13"/>
  <c r="AI113" i="13" s="1"/>
  <c r="AH113" i="13" s="1"/>
  <c r="AJ113" i="13"/>
  <c r="AL113" i="13"/>
  <c r="AK113" i="13" s="1"/>
  <c r="AM113" i="13"/>
  <c r="AO113" i="13"/>
  <c r="AN113" i="13" s="1"/>
  <c r="O114" i="13"/>
  <c r="Q114" i="13" s="1"/>
  <c r="P114" i="13" s="1"/>
  <c r="R114" i="13"/>
  <c r="T114" i="13" s="1"/>
  <c r="S114" i="13" s="1"/>
  <c r="U114" i="13"/>
  <c r="W114" i="13" s="1"/>
  <c r="V114" i="13" s="1"/>
  <c r="X114" i="13"/>
  <c r="Z114" i="13" s="1"/>
  <c r="Y114" i="13" s="1"/>
  <c r="AA114" i="13"/>
  <c r="AC114" i="13" s="1"/>
  <c r="AB114" i="13" s="1"/>
  <c r="AD114" i="13"/>
  <c r="AF114" i="13" s="1"/>
  <c r="AE114" i="13" s="1"/>
  <c r="AG114" i="13"/>
  <c r="AI114" i="13"/>
  <c r="AH114" i="13" s="1"/>
  <c r="AJ114" i="13"/>
  <c r="AL114" i="13"/>
  <c r="AK114" i="13" s="1"/>
  <c r="AM114" i="13"/>
  <c r="AO114" i="13" s="1"/>
  <c r="AN114" i="13" s="1"/>
  <c r="O115" i="13"/>
  <c r="Q115" i="13" s="1"/>
  <c r="P115" i="13" s="1"/>
  <c r="R115" i="13"/>
  <c r="T115" i="13" s="1"/>
  <c r="S115" i="13" s="1"/>
  <c r="U115" i="13"/>
  <c r="W115" i="13" s="1"/>
  <c r="V115" i="13" s="1"/>
  <c r="X115" i="13"/>
  <c r="Z115" i="13" s="1"/>
  <c r="Y115" i="13" s="1"/>
  <c r="AA115" i="13"/>
  <c r="AC115" i="13" s="1"/>
  <c r="AB115" i="13" s="1"/>
  <c r="AD115" i="13"/>
  <c r="AF115" i="13"/>
  <c r="AE115" i="13" s="1"/>
  <c r="AG115" i="13"/>
  <c r="AI115" i="13"/>
  <c r="AH115" i="13" s="1"/>
  <c r="AJ115" i="13"/>
  <c r="AL115" i="13" s="1"/>
  <c r="AK115" i="13" s="1"/>
  <c r="AM115" i="13"/>
  <c r="AO115" i="13" s="1"/>
  <c r="AN115" i="13" s="1"/>
  <c r="O116" i="13"/>
  <c r="Q116" i="13" s="1"/>
  <c r="P116" i="13" s="1"/>
  <c r="R116" i="13"/>
  <c r="T116" i="13" s="1"/>
  <c r="S116" i="13" s="1"/>
  <c r="U116" i="13"/>
  <c r="W116" i="13" s="1"/>
  <c r="V116" i="13" s="1"/>
  <c r="X116" i="13"/>
  <c r="Z116" i="13" s="1"/>
  <c r="Y116" i="13" s="1"/>
  <c r="AA116" i="13"/>
  <c r="AC116" i="13"/>
  <c r="AB116" i="13" s="1"/>
  <c r="AD116" i="13"/>
  <c r="AF116" i="13"/>
  <c r="AE116" i="13" s="1"/>
  <c r="AG116" i="13"/>
  <c r="AI116" i="13" s="1"/>
  <c r="AH116" i="13" s="1"/>
  <c r="AJ116" i="13"/>
  <c r="AL116" i="13" s="1"/>
  <c r="AK116" i="13" s="1"/>
  <c r="AM116" i="13"/>
  <c r="AO116" i="13" s="1"/>
  <c r="AN116" i="13" s="1"/>
  <c r="O117" i="13"/>
  <c r="Q117" i="13" s="1"/>
  <c r="P117" i="13" s="1"/>
  <c r="R117" i="13"/>
  <c r="T117" i="13" s="1"/>
  <c r="S117" i="13" s="1"/>
  <c r="U117" i="13"/>
  <c r="W117" i="13" s="1"/>
  <c r="V117" i="13" s="1"/>
  <c r="X117" i="13"/>
  <c r="Z117" i="13"/>
  <c r="Y117" i="13" s="1"/>
  <c r="AA117" i="13"/>
  <c r="AC117" i="13"/>
  <c r="AB117" i="13" s="1"/>
  <c r="AD117" i="13"/>
  <c r="AF117" i="13" s="1"/>
  <c r="AE117" i="13" s="1"/>
  <c r="AG117" i="13"/>
  <c r="AI117" i="13" s="1"/>
  <c r="AH117" i="13" s="1"/>
  <c r="AJ117" i="13"/>
  <c r="AL117" i="13" s="1"/>
  <c r="AK117" i="13" s="1"/>
  <c r="AM117" i="13"/>
  <c r="AO117" i="13" s="1"/>
  <c r="AN117" i="13" s="1"/>
  <c r="O118" i="13"/>
  <c r="Q118" i="13" s="1"/>
  <c r="P118" i="13" s="1"/>
  <c r="R118" i="13"/>
  <c r="T118" i="13" s="1"/>
  <c r="S118" i="13" s="1"/>
  <c r="U118" i="13"/>
  <c r="W118" i="13"/>
  <c r="V118" i="13" s="1"/>
  <c r="X118" i="13"/>
  <c r="Z118" i="13"/>
  <c r="Y118" i="13" s="1"/>
  <c r="AA118" i="13"/>
  <c r="AC118" i="13" s="1"/>
  <c r="AB118" i="13" s="1"/>
  <c r="AD118" i="13"/>
  <c r="AF118" i="13" s="1"/>
  <c r="AE118" i="13" s="1"/>
  <c r="AG118" i="13"/>
  <c r="AI118" i="13" s="1"/>
  <c r="AH118" i="13" s="1"/>
  <c r="AJ118" i="13"/>
  <c r="AL118" i="13" s="1"/>
  <c r="AK118" i="13" s="1"/>
  <c r="AM118" i="13"/>
  <c r="AO118" i="13" s="1"/>
  <c r="AN118" i="13" s="1"/>
  <c r="O119" i="13"/>
  <c r="Q119" i="13" s="1"/>
  <c r="P119" i="13" s="1"/>
  <c r="R119" i="13"/>
  <c r="T119" i="13"/>
  <c r="S119" i="13" s="1"/>
  <c r="U119" i="13"/>
  <c r="W119" i="13"/>
  <c r="V119" i="13" s="1"/>
  <c r="X119" i="13"/>
  <c r="Z119" i="13" s="1"/>
  <c r="Y119" i="13" s="1"/>
  <c r="AA119" i="13"/>
  <c r="AC119" i="13" s="1"/>
  <c r="AB119" i="13" s="1"/>
  <c r="AD119" i="13"/>
  <c r="AF119" i="13" s="1"/>
  <c r="AE119" i="13" s="1"/>
  <c r="AG119" i="13"/>
  <c r="AI119" i="13" s="1"/>
  <c r="AH119" i="13" s="1"/>
  <c r="AJ119" i="13"/>
  <c r="AL119" i="13" s="1"/>
  <c r="AK119" i="13" s="1"/>
  <c r="AM119" i="13"/>
  <c r="AO119" i="13" s="1"/>
  <c r="AN119" i="13" s="1"/>
  <c r="O120" i="13"/>
  <c r="Q120" i="13"/>
  <c r="P120" i="13" s="1"/>
  <c r="R120" i="13"/>
  <c r="T120" i="13"/>
  <c r="S120" i="13" s="1"/>
  <c r="U120" i="13"/>
  <c r="W120" i="13" s="1"/>
  <c r="V120" i="13" s="1"/>
  <c r="X120" i="13"/>
  <c r="Z120" i="13" s="1"/>
  <c r="Y120" i="13" s="1"/>
  <c r="AA120" i="13"/>
  <c r="AC120" i="13" s="1"/>
  <c r="AB120" i="13" s="1"/>
  <c r="AD120" i="13"/>
  <c r="AF120" i="13" s="1"/>
  <c r="AE120" i="13" s="1"/>
  <c r="AG120" i="13"/>
  <c r="AI120" i="13" s="1"/>
  <c r="AH120" i="13" s="1"/>
  <c r="AJ120" i="13"/>
  <c r="AL120" i="13" s="1"/>
  <c r="AK120" i="13" s="1"/>
  <c r="AM120" i="13"/>
  <c r="AO120" i="13"/>
  <c r="AN120" i="13" s="1"/>
  <c r="O121" i="13"/>
  <c r="Q121" i="13"/>
  <c r="P121" i="13" s="1"/>
  <c r="R121" i="13"/>
  <c r="T121" i="13" s="1"/>
  <c r="S121" i="13" s="1"/>
  <c r="U121" i="13"/>
  <c r="W121" i="13" s="1"/>
  <c r="V121" i="13" s="1"/>
  <c r="X121" i="13"/>
  <c r="Z121" i="13" s="1"/>
  <c r="Y121" i="13" s="1"/>
  <c r="AA121" i="13"/>
  <c r="AC121" i="13" s="1"/>
  <c r="AB121" i="13" s="1"/>
  <c r="AD121" i="13"/>
  <c r="AF121" i="13" s="1"/>
  <c r="AE121" i="13" s="1"/>
  <c r="AG121" i="13"/>
  <c r="AI121" i="13" s="1"/>
  <c r="AH121" i="13" s="1"/>
  <c r="AJ121" i="13"/>
  <c r="AL121" i="13"/>
  <c r="AK121" i="13" s="1"/>
  <c r="AM121" i="13"/>
  <c r="AO121" i="13"/>
  <c r="AN121" i="13" s="1"/>
  <c r="O122" i="13"/>
  <c r="Q122" i="13" s="1"/>
  <c r="P122" i="13" s="1"/>
  <c r="R122" i="13"/>
  <c r="T122" i="13" s="1"/>
  <c r="S122" i="13" s="1"/>
  <c r="U122" i="13"/>
  <c r="W122" i="13" s="1"/>
  <c r="V122" i="13" s="1"/>
  <c r="X122" i="13"/>
  <c r="Z122" i="13" s="1"/>
  <c r="Y122" i="13" s="1"/>
  <c r="AA122" i="13"/>
  <c r="AC122" i="13" s="1"/>
  <c r="AB122" i="13" s="1"/>
  <c r="AD122" i="13"/>
  <c r="AF122" i="13" s="1"/>
  <c r="AE122" i="13" s="1"/>
  <c r="AG122" i="13"/>
  <c r="AI122" i="13" s="1"/>
  <c r="AH122" i="13" s="1"/>
  <c r="AJ122" i="13"/>
  <c r="AL122" i="13" s="1"/>
  <c r="AK122" i="13" s="1"/>
  <c r="AM122" i="13"/>
  <c r="AO122" i="13" s="1"/>
  <c r="AN122" i="13" s="1"/>
  <c r="O123" i="13"/>
  <c r="Q123" i="13" s="1"/>
  <c r="P123" i="13" s="1"/>
  <c r="R123" i="13"/>
  <c r="T123" i="13" s="1"/>
  <c r="S123" i="13" s="1"/>
  <c r="U123" i="13"/>
  <c r="W123" i="13" s="1"/>
  <c r="V123" i="13" s="1"/>
  <c r="X123" i="13"/>
  <c r="Z123" i="13" s="1"/>
  <c r="Y123" i="13" s="1"/>
  <c r="AA123" i="13"/>
  <c r="AC123" i="13" s="1"/>
  <c r="AB123" i="13" s="1"/>
  <c r="AD123" i="13"/>
  <c r="AF123" i="13" s="1"/>
  <c r="AE123" i="13" s="1"/>
  <c r="AG123" i="13"/>
  <c r="AI123" i="13" s="1"/>
  <c r="AH123" i="13" s="1"/>
  <c r="AJ123" i="13"/>
  <c r="AL123" i="13" s="1"/>
  <c r="AK123" i="13" s="1"/>
  <c r="AM123" i="13"/>
  <c r="AO123" i="13" s="1"/>
  <c r="AN123" i="13" s="1"/>
  <c r="O124" i="13"/>
  <c r="Q124" i="13" s="1"/>
  <c r="P124" i="13" s="1"/>
  <c r="R124" i="13"/>
  <c r="T124" i="13" s="1"/>
  <c r="S124" i="13" s="1"/>
  <c r="U124" i="13"/>
  <c r="W124" i="13" s="1"/>
  <c r="V124" i="13" s="1"/>
  <c r="X124" i="13"/>
  <c r="Z124" i="13" s="1"/>
  <c r="Y124" i="13" s="1"/>
  <c r="AA124" i="13"/>
  <c r="AC124" i="13" s="1"/>
  <c r="AB124" i="13" s="1"/>
  <c r="AD124" i="13"/>
  <c r="AF124" i="13" s="1"/>
  <c r="AE124" i="13" s="1"/>
  <c r="AG124" i="13"/>
  <c r="AI124" i="13" s="1"/>
  <c r="AH124" i="13" s="1"/>
  <c r="AJ124" i="13"/>
  <c r="AL124" i="13" s="1"/>
  <c r="AK124" i="13" s="1"/>
  <c r="AM124" i="13"/>
  <c r="AO124" i="13" s="1"/>
  <c r="AN124" i="13" s="1"/>
  <c r="O125" i="13"/>
  <c r="Q125" i="13" s="1"/>
  <c r="P125" i="13" s="1"/>
  <c r="R125" i="13"/>
  <c r="T125" i="13" s="1"/>
  <c r="S125" i="13" s="1"/>
  <c r="U125" i="13"/>
  <c r="W125" i="13" s="1"/>
  <c r="V125" i="13" s="1"/>
  <c r="X125" i="13"/>
  <c r="Z125" i="13" s="1"/>
  <c r="Y125" i="13" s="1"/>
  <c r="AA125" i="13"/>
  <c r="AC125" i="13" s="1"/>
  <c r="AB125" i="13" s="1"/>
  <c r="AD125" i="13"/>
  <c r="AF125" i="13" s="1"/>
  <c r="AE125" i="13" s="1"/>
  <c r="AG125" i="13"/>
  <c r="AI125" i="13" s="1"/>
  <c r="AH125" i="13" s="1"/>
  <c r="AJ125" i="13"/>
  <c r="AL125" i="13" s="1"/>
  <c r="AK125" i="13" s="1"/>
  <c r="AM125" i="13"/>
  <c r="AO125" i="13" s="1"/>
  <c r="AN125" i="13" s="1"/>
  <c r="O126" i="13"/>
  <c r="Q126" i="13" s="1"/>
  <c r="P126" i="13" s="1"/>
  <c r="R126" i="13"/>
  <c r="T126" i="13" s="1"/>
  <c r="S126" i="13" s="1"/>
  <c r="U126" i="13"/>
  <c r="W126" i="13" s="1"/>
  <c r="V126" i="13" s="1"/>
  <c r="X126" i="13"/>
  <c r="Z126" i="13" s="1"/>
  <c r="Y126" i="13" s="1"/>
  <c r="AA126" i="13"/>
  <c r="AC126" i="13" s="1"/>
  <c r="AB126" i="13" s="1"/>
  <c r="AD126" i="13"/>
  <c r="AF126" i="13" s="1"/>
  <c r="AE126" i="13" s="1"/>
  <c r="AG126" i="13"/>
  <c r="AI126" i="13" s="1"/>
  <c r="AH126" i="13" s="1"/>
  <c r="AJ126" i="13"/>
  <c r="AL126" i="13" s="1"/>
  <c r="AK126" i="13" s="1"/>
  <c r="AM126" i="13"/>
  <c r="AO126" i="13" s="1"/>
  <c r="AN126" i="13" s="1"/>
  <c r="O127" i="13"/>
  <c r="Q127" i="13" s="1"/>
  <c r="P127" i="13" s="1"/>
  <c r="R127" i="13"/>
  <c r="T127" i="13" s="1"/>
  <c r="S127" i="13" s="1"/>
  <c r="U127" i="13"/>
  <c r="W127" i="13" s="1"/>
  <c r="V127" i="13" s="1"/>
  <c r="X127" i="13"/>
  <c r="Z127" i="13" s="1"/>
  <c r="Y127" i="13" s="1"/>
  <c r="AA127" i="13"/>
  <c r="AC127" i="13" s="1"/>
  <c r="AB127" i="13" s="1"/>
  <c r="AD127" i="13"/>
  <c r="AF127" i="13" s="1"/>
  <c r="AE127" i="13" s="1"/>
  <c r="AG127" i="13"/>
  <c r="AI127" i="13" s="1"/>
  <c r="AH127" i="13" s="1"/>
  <c r="AJ127" i="13"/>
  <c r="AL127" i="13"/>
  <c r="AK127" i="13" s="1"/>
  <c r="AM127" i="13"/>
  <c r="AO127" i="13"/>
  <c r="AN127" i="13" s="1"/>
  <c r="O128" i="13"/>
  <c r="Q128" i="13" s="1"/>
  <c r="P128" i="13" s="1"/>
  <c r="R128" i="13"/>
  <c r="T128" i="13" s="1"/>
  <c r="S128" i="13" s="1"/>
  <c r="U128" i="13"/>
  <c r="W128" i="13" s="1"/>
  <c r="V128" i="13" s="1"/>
  <c r="X128" i="13"/>
  <c r="Z128" i="13" s="1"/>
  <c r="Y128" i="13" s="1"/>
  <c r="AA128" i="13"/>
  <c r="AC128" i="13" s="1"/>
  <c r="AB128" i="13" s="1"/>
  <c r="AD128" i="13"/>
  <c r="AF128" i="13" s="1"/>
  <c r="AE128" i="13" s="1"/>
  <c r="AG128" i="13"/>
  <c r="AI128" i="13" s="1"/>
  <c r="AH128" i="13" s="1"/>
  <c r="AJ128" i="13"/>
  <c r="AL128" i="13" s="1"/>
  <c r="AK128" i="13" s="1"/>
  <c r="AM128" i="13"/>
  <c r="AO128" i="13" s="1"/>
  <c r="AN128" i="13" s="1"/>
  <c r="O129" i="13"/>
  <c r="Q129" i="13"/>
  <c r="P129" i="13" s="1"/>
  <c r="R129" i="13"/>
  <c r="T129" i="13"/>
  <c r="S129" i="13" s="1"/>
  <c r="U129" i="13"/>
  <c r="W129" i="13"/>
  <c r="V129" i="13" s="1"/>
  <c r="X129" i="13"/>
  <c r="Z129" i="13" s="1"/>
  <c r="Y129" i="13" s="1"/>
  <c r="AA129" i="13"/>
  <c r="AC129" i="13" s="1"/>
  <c r="AB129" i="13" s="1"/>
  <c r="AD129" i="13"/>
  <c r="AF129" i="13"/>
  <c r="AE129" i="13" s="1"/>
  <c r="AG129" i="13"/>
  <c r="AI129" i="13"/>
  <c r="AH129" i="13" s="1"/>
  <c r="AJ129" i="13"/>
  <c r="AL129" i="13" s="1"/>
  <c r="AK129" i="13" s="1"/>
  <c r="AM129" i="13"/>
  <c r="AO129" i="13" s="1"/>
  <c r="AN129" i="13" s="1"/>
  <c r="O130" i="13"/>
  <c r="Q130" i="13" s="1"/>
  <c r="P130" i="13" s="1"/>
  <c r="R130" i="13"/>
  <c r="T130" i="13" s="1"/>
  <c r="S130" i="13" s="1"/>
  <c r="U130" i="13"/>
  <c r="W130" i="13" s="1"/>
  <c r="V130" i="13" s="1"/>
  <c r="X130" i="13"/>
  <c r="Z130" i="13" s="1"/>
  <c r="Y130" i="13" s="1"/>
  <c r="AA130" i="13"/>
  <c r="AC130" i="13" s="1"/>
  <c r="AB130" i="13" s="1"/>
  <c r="AD130" i="13"/>
  <c r="AF130" i="13" s="1"/>
  <c r="AE130" i="13" s="1"/>
  <c r="AG130" i="13"/>
  <c r="AI130" i="13" s="1"/>
  <c r="AH130" i="13" s="1"/>
  <c r="AJ130" i="13"/>
  <c r="AL130" i="13"/>
  <c r="AK130" i="13" s="1"/>
  <c r="AM130" i="13"/>
  <c r="AO130" i="13"/>
  <c r="AN130" i="13" s="1"/>
  <c r="O131" i="13"/>
  <c r="Q131" i="13"/>
  <c r="P131" i="13" s="1"/>
  <c r="R131" i="13"/>
  <c r="T131" i="13" s="1"/>
  <c r="S131" i="13" s="1"/>
  <c r="U131" i="13"/>
  <c r="W131" i="13" s="1"/>
  <c r="V131" i="13" s="1"/>
  <c r="X131" i="13"/>
  <c r="Z131" i="13"/>
  <c r="Y131" i="13" s="1"/>
  <c r="AA131" i="13"/>
  <c r="AC131" i="13"/>
  <c r="AB131" i="13" s="1"/>
  <c r="AD131" i="13"/>
  <c r="AF131" i="13" s="1"/>
  <c r="AE131" i="13" s="1"/>
  <c r="AG131" i="13"/>
  <c r="AI131" i="13" s="1"/>
  <c r="AH131" i="13" s="1"/>
  <c r="AJ131" i="13"/>
  <c r="AL131" i="13" s="1"/>
  <c r="AK131" i="13" s="1"/>
  <c r="AM131" i="13"/>
  <c r="AO131" i="13" s="1"/>
  <c r="AN131" i="13" s="1"/>
  <c r="O132" i="13"/>
  <c r="Q132" i="13" s="1"/>
  <c r="P132" i="13" s="1"/>
  <c r="R132" i="13"/>
  <c r="T132" i="13" s="1"/>
  <c r="S132" i="13" s="1"/>
  <c r="U132" i="13"/>
  <c r="W132" i="13" s="1"/>
  <c r="V132" i="13" s="1"/>
  <c r="X132" i="13"/>
  <c r="Z132" i="13" s="1"/>
  <c r="Y132" i="13" s="1"/>
  <c r="AA132" i="13"/>
  <c r="AC132" i="13" s="1"/>
  <c r="AB132" i="13" s="1"/>
  <c r="AD132" i="13"/>
  <c r="AF132" i="13"/>
  <c r="AE132" i="13" s="1"/>
  <c r="AG132" i="13"/>
  <c r="AI132" i="13"/>
  <c r="AH132" i="13" s="1"/>
  <c r="AJ132" i="13"/>
  <c r="AL132" i="13"/>
  <c r="AK132" i="13" s="1"/>
  <c r="AM132" i="13"/>
  <c r="AO132" i="13" s="1"/>
  <c r="AN132" i="13" s="1"/>
  <c r="O133" i="13"/>
  <c r="Q133" i="13" s="1"/>
  <c r="P133" i="13" s="1"/>
  <c r="R133" i="13"/>
  <c r="T133" i="13"/>
  <c r="S133" i="13" s="1"/>
  <c r="U133" i="13"/>
  <c r="W133" i="13"/>
  <c r="V133" i="13" s="1"/>
  <c r="X133" i="13"/>
  <c r="Z133" i="13" s="1"/>
  <c r="Y133" i="13" s="1"/>
  <c r="AA133" i="13"/>
  <c r="AC133" i="13" s="1"/>
  <c r="AB133" i="13" s="1"/>
  <c r="AD133" i="13"/>
  <c r="AF133" i="13" s="1"/>
  <c r="AE133" i="13" s="1"/>
  <c r="AG133" i="13"/>
  <c r="AI133" i="13" s="1"/>
  <c r="AH133" i="13" s="1"/>
  <c r="AJ133" i="13"/>
  <c r="AL133" i="13" s="1"/>
  <c r="AK133" i="13" s="1"/>
  <c r="AM133" i="13"/>
  <c r="AO133" i="13" s="1"/>
  <c r="AN133" i="13" s="1"/>
  <c r="O134" i="13"/>
  <c r="Q134" i="13" s="1"/>
  <c r="P134" i="13" s="1"/>
  <c r="R134" i="13"/>
  <c r="T134" i="13" s="1"/>
  <c r="S134" i="13" s="1"/>
  <c r="U134" i="13"/>
  <c r="W134" i="13" s="1"/>
  <c r="V134" i="13" s="1"/>
  <c r="X134" i="13"/>
  <c r="Z134" i="13"/>
  <c r="Y134" i="13" s="1"/>
  <c r="AA134" i="13"/>
  <c r="AC134" i="13"/>
  <c r="AB134" i="13" s="1"/>
  <c r="AD134" i="13"/>
  <c r="AF134" i="13"/>
  <c r="AE134" i="13" s="1"/>
  <c r="AG134" i="13"/>
  <c r="AI134" i="13" s="1"/>
  <c r="AH134" i="13" s="1"/>
  <c r="AJ134" i="13"/>
  <c r="AL134" i="13" s="1"/>
  <c r="AK134" i="13" s="1"/>
  <c r="AM134" i="13"/>
  <c r="AO134" i="13"/>
  <c r="AN134" i="13" s="1"/>
  <c r="O135" i="13"/>
  <c r="Q135" i="13"/>
  <c r="P135" i="13" s="1"/>
  <c r="R135" i="13"/>
  <c r="T135" i="13" s="1"/>
  <c r="S135" i="13" s="1"/>
  <c r="U135" i="13"/>
  <c r="W135" i="13" s="1"/>
  <c r="V135" i="13" s="1"/>
  <c r="X135" i="13"/>
  <c r="Z135" i="13" s="1"/>
  <c r="Y135" i="13" s="1"/>
  <c r="AA135" i="13"/>
  <c r="AC135" i="13" s="1"/>
  <c r="AB135" i="13" s="1"/>
  <c r="AD135" i="13"/>
  <c r="AF135" i="13" s="1"/>
  <c r="AE135" i="13" s="1"/>
  <c r="AG135" i="13"/>
  <c r="AI135" i="13" s="1"/>
  <c r="AH135" i="13" s="1"/>
  <c r="AJ135" i="13"/>
  <c r="AL135" i="13" s="1"/>
  <c r="AK135" i="13" s="1"/>
  <c r="AM135" i="13"/>
  <c r="AO135" i="13" s="1"/>
  <c r="AN135" i="13" s="1"/>
  <c r="O136" i="13"/>
  <c r="Q136" i="13" s="1"/>
  <c r="P136" i="13" s="1"/>
  <c r="R136" i="13"/>
  <c r="T136" i="13"/>
  <c r="S136" i="13" s="1"/>
  <c r="U136" i="13"/>
  <c r="W136" i="13"/>
  <c r="V136" i="13" s="1"/>
  <c r="X136" i="13"/>
  <c r="Z136" i="13"/>
  <c r="Y136" i="13" s="1"/>
  <c r="AA136" i="13"/>
  <c r="AC136" i="13" s="1"/>
  <c r="AB136" i="13" s="1"/>
  <c r="AD136" i="13"/>
  <c r="AF136" i="13" s="1"/>
  <c r="AE136" i="13" s="1"/>
  <c r="AG136" i="13"/>
  <c r="AI136" i="13"/>
  <c r="AH136" i="13" s="1"/>
  <c r="AJ136" i="13"/>
  <c r="AL136" i="13"/>
  <c r="AK136" i="13" s="1"/>
  <c r="AM136" i="13"/>
  <c r="AO136" i="13" s="1"/>
  <c r="AN136" i="13" s="1"/>
  <c r="O137" i="13"/>
  <c r="Q137" i="13" s="1"/>
  <c r="P137" i="13" s="1"/>
  <c r="R137" i="13"/>
  <c r="T137" i="13" s="1"/>
  <c r="S137" i="13" s="1"/>
  <c r="U137" i="13"/>
  <c r="W137" i="13" s="1"/>
  <c r="V137" i="13" s="1"/>
  <c r="X137" i="13"/>
  <c r="Z137" i="13" s="1"/>
  <c r="Y137" i="13" s="1"/>
  <c r="AA137" i="13"/>
  <c r="AC137" i="13" s="1"/>
  <c r="AB137" i="13" s="1"/>
  <c r="AD137" i="13"/>
  <c r="AF137" i="13" s="1"/>
  <c r="AE137" i="13" s="1"/>
  <c r="AG137" i="13"/>
  <c r="AI137" i="13" s="1"/>
  <c r="AH137" i="13" s="1"/>
  <c r="AJ137" i="13"/>
  <c r="AL137" i="13" s="1"/>
  <c r="AK137" i="13" s="1"/>
  <c r="AM137" i="13"/>
  <c r="AO137" i="13"/>
  <c r="AN137" i="13" s="1"/>
  <c r="O138" i="13"/>
  <c r="Q138" i="13"/>
  <c r="P138" i="13" s="1"/>
  <c r="R138" i="13"/>
  <c r="T138" i="13" s="1"/>
  <c r="S138" i="13" s="1"/>
  <c r="U138" i="13"/>
  <c r="W138" i="13" s="1"/>
  <c r="V138" i="13" s="1"/>
  <c r="X138" i="13"/>
  <c r="Z138" i="13"/>
  <c r="Y138" i="13" s="1"/>
  <c r="AA138" i="13"/>
  <c r="AC138" i="13"/>
  <c r="AB138" i="13" s="1"/>
  <c r="AD138" i="13"/>
  <c r="AF138" i="13" s="1"/>
  <c r="AE138" i="13" s="1"/>
  <c r="AG138" i="13"/>
  <c r="AI138" i="13" s="1"/>
  <c r="AH138" i="13" s="1"/>
  <c r="AJ138" i="13"/>
  <c r="AL138" i="13"/>
  <c r="AK138" i="13" s="1"/>
  <c r="AM138" i="13"/>
  <c r="AO138" i="13"/>
  <c r="AN138" i="13" s="1"/>
  <c r="O139" i="13"/>
  <c r="Q139" i="13" s="1"/>
  <c r="P139" i="13" s="1"/>
  <c r="R139" i="13"/>
  <c r="T139" i="13" s="1"/>
  <c r="S139" i="13" s="1"/>
  <c r="U139" i="13"/>
  <c r="W139" i="13"/>
  <c r="V139" i="13" s="1"/>
  <c r="X139" i="13"/>
  <c r="Z139" i="13"/>
  <c r="Y139" i="13" s="1"/>
  <c r="AA139" i="13"/>
  <c r="AC139" i="13" s="1"/>
  <c r="AB139" i="13" s="1"/>
  <c r="AD139" i="13"/>
  <c r="AF139" i="13" s="1"/>
  <c r="AE139" i="13" s="1"/>
  <c r="AG139" i="13"/>
  <c r="AI139" i="13"/>
  <c r="AH139" i="13" s="1"/>
  <c r="AJ139" i="13"/>
  <c r="AL139" i="13"/>
  <c r="AK139" i="13" s="1"/>
  <c r="AM139" i="13"/>
  <c r="AO139" i="13" s="1"/>
  <c r="AN139" i="13" s="1"/>
  <c r="O140" i="13"/>
  <c r="Q140" i="13" s="1"/>
  <c r="P140" i="13" s="1"/>
  <c r="R140" i="13"/>
  <c r="T140" i="13"/>
  <c r="S140" i="13" s="1"/>
  <c r="U140" i="13"/>
  <c r="W140" i="13"/>
  <c r="V140" i="13" s="1"/>
  <c r="X140" i="13"/>
  <c r="Z140" i="13" s="1"/>
  <c r="Y140" i="13" s="1"/>
  <c r="AA140" i="13"/>
  <c r="AC140" i="13" s="1"/>
  <c r="AB140" i="13" s="1"/>
  <c r="AD140" i="13"/>
  <c r="AF140" i="13"/>
  <c r="AE140" i="13" s="1"/>
  <c r="AG140" i="13"/>
  <c r="AI140" i="13"/>
  <c r="AH140" i="13" s="1"/>
  <c r="AJ140" i="13"/>
  <c r="AL140" i="13" s="1"/>
  <c r="AK140" i="13" s="1"/>
  <c r="AM140" i="13"/>
  <c r="AO140" i="13" s="1"/>
  <c r="AN140" i="13" s="1"/>
  <c r="O141" i="13"/>
  <c r="Q141" i="13"/>
  <c r="P141" i="13" s="1"/>
  <c r="R141" i="13"/>
  <c r="T141" i="13"/>
  <c r="S141" i="13" s="1"/>
  <c r="U141" i="13"/>
  <c r="W141" i="13" s="1"/>
  <c r="V141" i="13" s="1"/>
  <c r="X141" i="13"/>
  <c r="Z141" i="13" s="1"/>
  <c r="Y141" i="13" s="1"/>
  <c r="AA141" i="13"/>
  <c r="AC141" i="13"/>
  <c r="AB141" i="13" s="1"/>
  <c r="AD141" i="13"/>
  <c r="AF141" i="13"/>
  <c r="AE141" i="13" s="1"/>
  <c r="AG141" i="13"/>
  <c r="AI141" i="13" s="1"/>
  <c r="AH141" i="13" s="1"/>
  <c r="AJ141" i="13"/>
  <c r="AL141" i="13" s="1"/>
  <c r="AK141" i="13" s="1"/>
  <c r="AM141" i="13"/>
  <c r="AO141" i="13"/>
  <c r="AN141" i="13" s="1"/>
  <c r="O142" i="13"/>
  <c r="Q142" i="13"/>
  <c r="P142" i="13" s="1"/>
  <c r="R142" i="13"/>
  <c r="T142" i="13" s="1"/>
  <c r="S142" i="13" s="1"/>
  <c r="U142" i="13"/>
  <c r="W142" i="13" s="1"/>
  <c r="V142" i="13" s="1"/>
  <c r="X142" i="13"/>
  <c r="Z142" i="13"/>
  <c r="Y142" i="13" s="1"/>
  <c r="AA142" i="13"/>
  <c r="AC142" i="13"/>
  <c r="AB142" i="13" s="1"/>
  <c r="AD142" i="13"/>
  <c r="AF142" i="13" s="1"/>
  <c r="AE142" i="13" s="1"/>
  <c r="AG142" i="13"/>
  <c r="AI142" i="13" s="1"/>
  <c r="AH142" i="13" s="1"/>
  <c r="AJ142" i="13"/>
  <c r="AL142" i="13"/>
  <c r="AK142" i="13" s="1"/>
  <c r="AM142" i="13"/>
  <c r="AO142" i="13"/>
  <c r="AN142" i="13" s="1"/>
  <c r="O143" i="13"/>
  <c r="Q143" i="13" s="1"/>
  <c r="P143" i="13" s="1"/>
  <c r="R143" i="13"/>
  <c r="T143" i="13" s="1"/>
  <c r="S143" i="13" s="1"/>
  <c r="U143" i="13"/>
  <c r="W143" i="13"/>
  <c r="V143" i="13" s="1"/>
  <c r="X143" i="13"/>
  <c r="Z143" i="13"/>
  <c r="Y143" i="13" s="1"/>
  <c r="AA143" i="13"/>
  <c r="AC143" i="13" s="1"/>
  <c r="AB143" i="13" s="1"/>
  <c r="AD143" i="13"/>
  <c r="AF143" i="13" s="1"/>
  <c r="AE143" i="13" s="1"/>
  <c r="AG143" i="13"/>
  <c r="AI143" i="13"/>
  <c r="AH143" i="13" s="1"/>
  <c r="AJ143" i="13"/>
  <c r="AL143" i="13"/>
  <c r="AK143" i="13" s="1"/>
  <c r="AM143" i="13"/>
  <c r="AO143" i="13" s="1"/>
  <c r="AN143" i="13" s="1"/>
  <c r="O144" i="13"/>
  <c r="Q144" i="13" s="1"/>
  <c r="P144" i="13" s="1"/>
  <c r="R144" i="13"/>
  <c r="T144" i="13"/>
  <c r="S144" i="13" s="1"/>
  <c r="U144" i="13"/>
  <c r="W144" i="13"/>
  <c r="V144" i="13" s="1"/>
  <c r="X144" i="13"/>
  <c r="Z144" i="13" s="1"/>
  <c r="Y144" i="13" s="1"/>
  <c r="AA144" i="13"/>
  <c r="AC144" i="13" s="1"/>
  <c r="AB144" i="13" s="1"/>
  <c r="AD144" i="13"/>
  <c r="AF144" i="13"/>
  <c r="AE144" i="13" s="1"/>
  <c r="AG144" i="13"/>
  <c r="AI144" i="13"/>
  <c r="AH144" i="13" s="1"/>
  <c r="AJ144" i="13"/>
  <c r="AL144" i="13" s="1"/>
  <c r="AK144" i="13" s="1"/>
  <c r="AM144" i="13"/>
  <c r="AO144" i="13" s="1"/>
  <c r="AN144" i="13" s="1"/>
  <c r="O145" i="13"/>
  <c r="Q145" i="13"/>
  <c r="P145" i="13" s="1"/>
  <c r="R145" i="13"/>
  <c r="T145" i="13"/>
  <c r="S145" i="13" s="1"/>
  <c r="U145" i="13"/>
  <c r="W145" i="13" s="1"/>
  <c r="V145" i="13" s="1"/>
  <c r="X145" i="13"/>
  <c r="Z145" i="13" s="1"/>
  <c r="Y145" i="13" s="1"/>
  <c r="AA145" i="13"/>
  <c r="AC145" i="13"/>
  <c r="AB145" i="13" s="1"/>
  <c r="AD145" i="13"/>
  <c r="AF145" i="13"/>
  <c r="AE145" i="13" s="1"/>
  <c r="AG145" i="13"/>
  <c r="AI145" i="13" s="1"/>
  <c r="AH145" i="13" s="1"/>
  <c r="AJ145" i="13"/>
  <c r="AL145" i="13" s="1"/>
  <c r="AK145" i="13" s="1"/>
  <c r="AM145" i="13"/>
  <c r="AO145" i="13"/>
  <c r="AN145" i="13" s="1"/>
  <c r="O146" i="13"/>
  <c r="Q146" i="13"/>
  <c r="P146" i="13" s="1"/>
  <c r="R146" i="13"/>
  <c r="T146" i="13" s="1"/>
  <c r="S146" i="13" s="1"/>
  <c r="U146" i="13"/>
  <c r="W146" i="13" s="1"/>
  <c r="V146" i="13" s="1"/>
  <c r="X146" i="13"/>
  <c r="Z146" i="13"/>
  <c r="Y146" i="13" s="1"/>
  <c r="AA146" i="13"/>
  <c r="AC146" i="13"/>
  <c r="AB146" i="13" s="1"/>
  <c r="AD146" i="13"/>
  <c r="AF146" i="13" s="1"/>
  <c r="AE146" i="13" s="1"/>
  <c r="AG146" i="13"/>
  <c r="AI146" i="13" s="1"/>
  <c r="AH146" i="13" s="1"/>
  <c r="AJ146" i="13"/>
  <c r="AL146" i="13"/>
  <c r="AK146" i="13" s="1"/>
  <c r="AM146" i="13"/>
  <c r="AO146" i="13"/>
  <c r="AN146" i="13" s="1"/>
  <c r="O147" i="13"/>
  <c r="Q147" i="13" s="1"/>
  <c r="P147" i="13" s="1"/>
  <c r="R147" i="13"/>
  <c r="T147" i="13" s="1"/>
  <c r="S147" i="13" s="1"/>
  <c r="U147" i="13"/>
  <c r="W147" i="13"/>
  <c r="V147" i="13" s="1"/>
  <c r="X147" i="13"/>
  <c r="Z147" i="13"/>
  <c r="Y147" i="13" s="1"/>
  <c r="AA147" i="13"/>
  <c r="AC147" i="13" s="1"/>
  <c r="AB147" i="13" s="1"/>
  <c r="AD147" i="13"/>
  <c r="AF147" i="13" s="1"/>
  <c r="AE147" i="13" s="1"/>
  <c r="AG147" i="13"/>
  <c r="AI147" i="13"/>
  <c r="AH147" i="13" s="1"/>
  <c r="AJ147" i="13"/>
  <c r="AL147" i="13"/>
  <c r="AK147" i="13" s="1"/>
  <c r="AM147" i="13"/>
  <c r="AO147" i="13" s="1"/>
  <c r="AN147" i="13" s="1"/>
  <c r="O148" i="13"/>
  <c r="Q148" i="13" s="1"/>
  <c r="P148" i="13" s="1"/>
  <c r="R148" i="13"/>
  <c r="T148" i="13"/>
  <c r="S148" i="13" s="1"/>
  <c r="U148" i="13"/>
  <c r="W148" i="13"/>
  <c r="V148" i="13" s="1"/>
  <c r="X148" i="13"/>
  <c r="Z148" i="13" s="1"/>
  <c r="Y148" i="13" s="1"/>
  <c r="AA148" i="13"/>
  <c r="AC148" i="13" s="1"/>
  <c r="AB148" i="13" s="1"/>
  <c r="AD148" i="13"/>
  <c r="AF148" i="13"/>
  <c r="AE148" i="13" s="1"/>
  <c r="AG148" i="13"/>
  <c r="AI148" i="13"/>
  <c r="AH148" i="13" s="1"/>
  <c r="AJ148" i="13"/>
  <c r="AL148" i="13" s="1"/>
  <c r="AK148" i="13" s="1"/>
  <c r="AM148" i="13"/>
  <c r="AO148" i="13" s="1"/>
  <c r="AN148" i="13" s="1"/>
  <c r="O149" i="13"/>
  <c r="Q149" i="13"/>
  <c r="P149" i="13" s="1"/>
  <c r="R149" i="13"/>
  <c r="T149" i="13"/>
  <c r="S149" i="13" s="1"/>
  <c r="U149" i="13"/>
  <c r="W149" i="13" s="1"/>
  <c r="V149" i="13" s="1"/>
  <c r="X149" i="13"/>
  <c r="Z149" i="13" s="1"/>
  <c r="Y149" i="13" s="1"/>
  <c r="AA149" i="13"/>
  <c r="AC149" i="13"/>
  <c r="AB149" i="13" s="1"/>
  <c r="AD149" i="13"/>
  <c r="AF149" i="13"/>
  <c r="AE149" i="13" s="1"/>
  <c r="AG149" i="13"/>
  <c r="AI149" i="13" s="1"/>
  <c r="AH149" i="13" s="1"/>
  <c r="AJ149" i="13"/>
  <c r="AL149" i="13" s="1"/>
  <c r="AK149" i="13" s="1"/>
  <c r="AM149" i="13"/>
  <c r="AO149" i="13"/>
  <c r="AN149" i="13" s="1"/>
  <c r="O150" i="13"/>
  <c r="Q150" i="13"/>
  <c r="P150" i="13" s="1"/>
  <c r="R150" i="13"/>
  <c r="T150" i="13" s="1"/>
  <c r="S150" i="13" s="1"/>
  <c r="U150" i="13"/>
  <c r="W150" i="13" s="1"/>
  <c r="V150" i="13" s="1"/>
  <c r="X150" i="13"/>
  <c r="Z150" i="13"/>
  <c r="Y150" i="13" s="1"/>
  <c r="AA150" i="13"/>
  <c r="AC150" i="13"/>
  <c r="AB150" i="13" s="1"/>
  <c r="AD150" i="13"/>
  <c r="AF150" i="13" s="1"/>
  <c r="AE150" i="13" s="1"/>
  <c r="AG150" i="13"/>
  <c r="AI150" i="13" s="1"/>
  <c r="AH150" i="13" s="1"/>
  <c r="AJ150" i="13"/>
  <c r="AL150" i="13"/>
  <c r="AK150" i="13" s="1"/>
  <c r="AM150" i="13"/>
  <c r="AO150" i="13"/>
  <c r="AN150" i="13" s="1"/>
  <c r="O151" i="13"/>
  <c r="Q151" i="13" s="1"/>
  <c r="P151" i="13" s="1"/>
  <c r="R151" i="13"/>
  <c r="T151" i="13" s="1"/>
  <c r="S151" i="13" s="1"/>
  <c r="U151" i="13"/>
  <c r="W151" i="13"/>
  <c r="V151" i="13" s="1"/>
  <c r="X151" i="13"/>
  <c r="Z151" i="13"/>
  <c r="Y151" i="13" s="1"/>
  <c r="AA151" i="13"/>
  <c r="AC151" i="13" s="1"/>
  <c r="AB151" i="13" s="1"/>
  <c r="AD151" i="13"/>
  <c r="AF151" i="13" s="1"/>
  <c r="AE151" i="13" s="1"/>
  <c r="AG151" i="13"/>
  <c r="AI151" i="13"/>
  <c r="AH151" i="13" s="1"/>
  <c r="AJ151" i="13"/>
  <c r="AL151" i="13"/>
  <c r="AK151" i="13" s="1"/>
  <c r="AM151" i="13"/>
  <c r="AO151" i="13" s="1"/>
  <c r="AN151" i="13" s="1"/>
  <c r="O152" i="13"/>
  <c r="Q152" i="13" s="1"/>
  <c r="P152" i="13" s="1"/>
  <c r="R152" i="13"/>
  <c r="T152" i="13"/>
  <c r="S152" i="13" s="1"/>
  <c r="U152" i="13"/>
  <c r="W152" i="13"/>
  <c r="V152" i="13" s="1"/>
  <c r="X152" i="13"/>
  <c r="Z152" i="13" s="1"/>
  <c r="Y152" i="13" s="1"/>
  <c r="AA152" i="13"/>
  <c r="AC152" i="13" s="1"/>
  <c r="AB152" i="13" s="1"/>
  <c r="AD152" i="13"/>
  <c r="AF152" i="13"/>
  <c r="AE152" i="13" s="1"/>
  <c r="AG152" i="13"/>
  <c r="AI152" i="13"/>
  <c r="AH152" i="13" s="1"/>
  <c r="AJ152" i="13"/>
  <c r="AL152" i="13" s="1"/>
  <c r="AK152" i="13" s="1"/>
  <c r="AM152" i="13"/>
  <c r="AO152" i="13" s="1"/>
  <c r="AN152" i="13" s="1"/>
  <c r="O153" i="13"/>
  <c r="Q153" i="13"/>
  <c r="P153" i="13" s="1"/>
  <c r="R153" i="13"/>
  <c r="T153" i="13"/>
  <c r="S153" i="13" s="1"/>
  <c r="U153" i="13"/>
  <c r="W153" i="13" s="1"/>
  <c r="V153" i="13" s="1"/>
  <c r="X153" i="13"/>
  <c r="Z153" i="13" s="1"/>
  <c r="Y153" i="13" s="1"/>
  <c r="AA153" i="13"/>
  <c r="AC153" i="13"/>
  <c r="AB153" i="13" s="1"/>
  <c r="AD153" i="13"/>
  <c r="AF153" i="13"/>
  <c r="AE153" i="13" s="1"/>
  <c r="AG153" i="13"/>
  <c r="AI153" i="13" s="1"/>
  <c r="AH153" i="13" s="1"/>
  <c r="AJ153" i="13"/>
  <c r="AL153" i="13" s="1"/>
  <c r="AK153" i="13" s="1"/>
  <c r="AM153" i="13"/>
  <c r="AO153" i="13"/>
  <c r="AN153" i="13" s="1"/>
  <c r="O154" i="13"/>
  <c r="Q154" i="13"/>
  <c r="P154" i="13" s="1"/>
  <c r="R154" i="13"/>
  <c r="T154" i="13" s="1"/>
  <c r="S154" i="13" s="1"/>
  <c r="U154" i="13"/>
  <c r="W154" i="13" s="1"/>
  <c r="V154" i="13" s="1"/>
  <c r="X154" i="13"/>
  <c r="Z154" i="13"/>
  <c r="Y154" i="13" s="1"/>
  <c r="AA154" i="13"/>
  <c r="AC154" i="13"/>
  <c r="AB154" i="13" s="1"/>
  <c r="AD154" i="13"/>
  <c r="AF154" i="13" s="1"/>
  <c r="AE154" i="13" s="1"/>
  <c r="AG154" i="13"/>
  <c r="AI154" i="13" s="1"/>
  <c r="AH154" i="13" s="1"/>
  <c r="AJ154" i="13"/>
  <c r="AL154" i="13"/>
  <c r="AK154" i="13" s="1"/>
  <c r="AM154" i="13"/>
  <c r="AO154" i="13"/>
  <c r="AN154" i="13" s="1"/>
  <c r="O155" i="13"/>
  <c r="Q155" i="13" s="1"/>
  <c r="P155" i="13" s="1"/>
  <c r="R155" i="13"/>
  <c r="T155" i="13" s="1"/>
  <c r="S155" i="13" s="1"/>
  <c r="U155" i="13"/>
  <c r="W155" i="13"/>
  <c r="V155" i="13" s="1"/>
  <c r="X155" i="13"/>
  <c r="Z155" i="13"/>
  <c r="Y155" i="13" s="1"/>
  <c r="AA155" i="13"/>
  <c r="AC155" i="13" s="1"/>
  <c r="AB155" i="13" s="1"/>
  <c r="AD155" i="13"/>
  <c r="AF155" i="13" s="1"/>
  <c r="AE155" i="13" s="1"/>
  <c r="AG155" i="13"/>
  <c r="AI155" i="13"/>
  <c r="AH155" i="13" s="1"/>
  <c r="AJ155" i="13"/>
  <c r="AL155" i="13"/>
  <c r="AK155" i="13" s="1"/>
  <c r="AM155" i="13"/>
  <c r="AO155" i="13" s="1"/>
  <c r="AN155" i="13" s="1"/>
  <c r="O156" i="13"/>
  <c r="Q156" i="13" s="1"/>
  <c r="P156" i="13" s="1"/>
  <c r="R156" i="13"/>
  <c r="T156" i="13"/>
  <c r="S156" i="13" s="1"/>
  <c r="U156" i="13"/>
  <c r="W156" i="13"/>
  <c r="V156" i="13" s="1"/>
  <c r="X156" i="13"/>
  <c r="Z156" i="13" s="1"/>
  <c r="Y156" i="13" s="1"/>
  <c r="AA156" i="13"/>
  <c r="AC156" i="13" s="1"/>
  <c r="AB156" i="13" s="1"/>
  <c r="AD156" i="13"/>
  <c r="AF156" i="13"/>
  <c r="AE156" i="13" s="1"/>
  <c r="AG156" i="13"/>
  <c r="AI156" i="13"/>
  <c r="AH156" i="13" s="1"/>
  <c r="AJ156" i="13"/>
  <c r="AL156" i="13" s="1"/>
  <c r="AK156" i="13" s="1"/>
  <c r="AM156" i="13"/>
  <c r="AO156" i="13" s="1"/>
  <c r="AN156" i="13" s="1"/>
  <c r="O157" i="13"/>
  <c r="Q157" i="13"/>
  <c r="P157" i="13" s="1"/>
  <c r="R157" i="13"/>
  <c r="T157" i="13"/>
  <c r="S157" i="13" s="1"/>
  <c r="U157" i="13"/>
  <c r="W157" i="13" s="1"/>
  <c r="V157" i="13" s="1"/>
  <c r="X157" i="13"/>
  <c r="Z157" i="13" s="1"/>
  <c r="Y157" i="13" s="1"/>
  <c r="AA157" i="13"/>
  <c r="AC157" i="13"/>
  <c r="AB157" i="13" s="1"/>
  <c r="AD157" i="13"/>
  <c r="AF157" i="13"/>
  <c r="AE157" i="13" s="1"/>
  <c r="AG157" i="13"/>
  <c r="AI157" i="13" s="1"/>
  <c r="AH157" i="13" s="1"/>
  <c r="AJ157" i="13"/>
  <c r="AL157" i="13" s="1"/>
  <c r="AK157" i="13" s="1"/>
  <c r="AM157" i="13"/>
  <c r="AO157" i="13"/>
  <c r="AN157" i="13" s="1"/>
  <c r="O158" i="13"/>
  <c r="Q158" i="13"/>
  <c r="P158" i="13" s="1"/>
  <c r="R158" i="13"/>
  <c r="T158" i="13" s="1"/>
  <c r="S158" i="13" s="1"/>
  <c r="U158" i="13"/>
  <c r="W158" i="13" s="1"/>
  <c r="V158" i="13" s="1"/>
  <c r="X158" i="13"/>
  <c r="Z158" i="13"/>
  <c r="Y158" i="13" s="1"/>
  <c r="AA158" i="13"/>
  <c r="AC158" i="13"/>
  <c r="AB158" i="13" s="1"/>
  <c r="AD158" i="13"/>
  <c r="AF158" i="13" s="1"/>
  <c r="AE158" i="13" s="1"/>
  <c r="AG158" i="13"/>
  <c r="AI158" i="13" s="1"/>
  <c r="AH158" i="13" s="1"/>
  <c r="AJ158" i="13"/>
  <c r="AL158" i="13"/>
  <c r="AK158" i="13" s="1"/>
  <c r="AM158" i="13"/>
  <c r="AO158" i="13"/>
  <c r="AN158" i="13" s="1"/>
  <c r="O159" i="13"/>
  <c r="Q159" i="13" s="1"/>
  <c r="P159" i="13" s="1"/>
  <c r="R159" i="13"/>
  <c r="T159" i="13" s="1"/>
  <c r="S159" i="13" s="1"/>
  <c r="U159" i="13"/>
  <c r="W159" i="13"/>
  <c r="V159" i="13" s="1"/>
  <c r="X159" i="13"/>
  <c r="Z159" i="13"/>
  <c r="Y159" i="13" s="1"/>
  <c r="AA159" i="13"/>
  <c r="AC159" i="13" s="1"/>
  <c r="AB159" i="13" s="1"/>
  <c r="AD159" i="13"/>
  <c r="AF159" i="13" s="1"/>
  <c r="AE159" i="13" s="1"/>
  <c r="AG159" i="13"/>
  <c r="AI159" i="13"/>
  <c r="AH159" i="13" s="1"/>
  <c r="AJ159" i="13"/>
  <c r="AL159" i="13"/>
  <c r="AK159" i="13" s="1"/>
  <c r="AM159" i="13"/>
  <c r="AO159" i="13" s="1"/>
  <c r="AN159" i="13" s="1"/>
  <c r="O160" i="13"/>
  <c r="Q160" i="13" s="1"/>
  <c r="P160" i="13" s="1"/>
  <c r="R160" i="13"/>
  <c r="T160" i="13"/>
  <c r="S160" i="13" s="1"/>
  <c r="U160" i="13"/>
  <c r="W160" i="13"/>
  <c r="V160" i="13" s="1"/>
  <c r="X160" i="13"/>
  <c r="Z160" i="13" s="1"/>
  <c r="Y160" i="13" s="1"/>
  <c r="AA160" i="13"/>
  <c r="AC160" i="13" s="1"/>
  <c r="AB160" i="13" s="1"/>
  <c r="AD160" i="13"/>
  <c r="AF160" i="13"/>
  <c r="AE160" i="13" s="1"/>
  <c r="AG160" i="13"/>
  <c r="AI160" i="13"/>
  <c r="AH160" i="13" s="1"/>
  <c r="AJ160" i="13"/>
  <c r="AL160" i="13" s="1"/>
  <c r="AK160" i="13" s="1"/>
  <c r="AM160" i="13"/>
  <c r="AO160" i="13" s="1"/>
  <c r="AN160" i="13" s="1"/>
  <c r="O161" i="13"/>
  <c r="Q161" i="13" s="1"/>
  <c r="P161" i="13" s="1"/>
  <c r="R161" i="13"/>
  <c r="T161" i="13" s="1"/>
  <c r="S161" i="13" s="1"/>
  <c r="U161" i="13"/>
  <c r="W161" i="13" s="1"/>
  <c r="V161" i="13" s="1"/>
  <c r="X161" i="13"/>
  <c r="Z161" i="13" s="1"/>
  <c r="Y161" i="13" s="1"/>
  <c r="AA161" i="13"/>
  <c r="AC161" i="13"/>
  <c r="AB161" i="13" s="1"/>
  <c r="AD161" i="13"/>
  <c r="AF161" i="13"/>
  <c r="AE161" i="13" s="1"/>
  <c r="AG161" i="13"/>
  <c r="AI161" i="13" s="1"/>
  <c r="AH161" i="13" s="1"/>
  <c r="AJ161" i="13"/>
  <c r="AL161" i="13" s="1"/>
  <c r="AK161" i="13" s="1"/>
  <c r="AM161" i="13"/>
  <c r="AO161" i="13" s="1"/>
  <c r="AN161" i="13" s="1"/>
  <c r="O162" i="13"/>
  <c r="Q162" i="13" s="1"/>
  <c r="P162" i="13" s="1"/>
  <c r="R162" i="13"/>
  <c r="T162" i="13" s="1"/>
  <c r="S162" i="13" s="1"/>
  <c r="U162" i="13"/>
  <c r="W162" i="13" s="1"/>
  <c r="V162" i="13" s="1"/>
  <c r="X162" i="13"/>
  <c r="Z162" i="13"/>
  <c r="Y162" i="13" s="1"/>
  <c r="AA162" i="13"/>
  <c r="AC162" i="13"/>
  <c r="AB162" i="13" s="1"/>
  <c r="AD162" i="13"/>
  <c r="AF162" i="13" s="1"/>
  <c r="AE162" i="13" s="1"/>
  <c r="AG162" i="13"/>
  <c r="AI162" i="13" s="1"/>
  <c r="AH162" i="13" s="1"/>
  <c r="AJ162" i="13"/>
  <c r="AL162" i="13" s="1"/>
  <c r="AK162" i="13" s="1"/>
  <c r="AM162" i="13"/>
  <c r="AO162" i="13" s="1"/>
  <c r="AN162" i="13" s="1"/>
  <c r="O163" i="13"/>
  <c r="Q163" i="13" s="1"/>
  <c r="P163" i="13" s="1"/>
  <c r="R163" i="13"/>
  <c r="T163" i="13" s="1"/>
  <c r="S163" i="13" s="1"/>
  <c r="U163" i="13"/>
  <c r="W163" i="13"/>
  <c r="V163" i="13" s="1"/>
  <c r="X163" i="13"/>
  <c r="Z163" i="13"/>
  <c r="Y163" i="13" s="1"/>
  <c r="AA163" i="13"/>
  <c r="AC163" i="13" s="1"/>
  <c r="AB163" i="13" s="1"/>
  <c r="AD163" i="13"/>
  <c r="AF163" i="13" s="1"/>
  <c r="AE163" i="13" s="1"/>
  <c r="AG163" i="13"/>
  <c r="AI163" i="13" s="1"/>
  <c r="AH163" i="13" s="1"/>
  <c r="AJ163" i="13"/>
  <c r="AL163" i="13" s="1"/>
  <c r="AK163" i="13" s="1"/>
  <c r="AM163" i="13"/>
  <c r="AO163" i="13" s="1"/>
  <c r="AN163" i="13" s="1"/>
  <c r="O164" i="13"/>
  <c r="Q164" i="13" s="1"/>
  <c r="P164" i="13" s="1"/>
  <c r="R164" i="13"/>
  <c r="T164" i="13"/>
  <c r="S164" i="13" s="1"/>
  <c r="U164" i="13"/>
  <c r="W164" i="13"/>
  <c r="V164" i="13" s="1"/>
  <c r="X164" i="13"/>
  <c r="Z164" i="13" s="1"/>
  <c r="Y164" i="13" s="1"/>
  <c r="AA164" i="13"/>
  <c r="AC164" i="13" s="1"/>
  <c r="AB164" i="13" s="1"/>
  <c r="AD164" i="13"/>
  <c r="AF164" i="13" s="1"/>
  <c r="AE164" i="13" s="1"/>
  <c r="AG164" i="13"/>
  <c r="AI164" i="13" s="1"/>
  <c r="AH164" i="13" s="1"/>
  <c r="AJ164" i="13"/>
  <c r="AL164" i="13" s="1"/>
  <c r="AK164" i="13" s="1"/>
  <c r="AM164" i="13"/>
  <c r="AO164" i="13" s="1"/>
  <c r="AN164" i="13" s="1"/>
  <c r="O165" i="13"/>
  <c r="Q165" i="13"/>
  <c r="P165" i="13" s="1"/>
  <c r="R165" i="13"/>
  <c r="T165" i="13"/>
  <c r="S165" i="13" s="1"/>
  <c r="U165" i="13"/>
  <c r="W165" i="13" s="1"/>
  <c r="V165" i="13" s="1"/>
  <c r="X165" i="13"/>
  <c r="Z165" i="13" s="1"/>
  <c r="Y165" i="13" s="1"/>
  <c r="AA165" i="13"/>
  <c r="AC165" i="13" s="1"/>
  <c r="AB165" i="13" s="1"/>
  <c r="AD165" i="13"/>
  <c r="AF165" i="13" s="1"/>
  <c r="AE165" i="13" s="1"/>
  <c r="AG165" i="13"/>
  <c r="AI165" i="13" s="1"/>
  <c r="AH165" i="13" s="1"/>
  <c r="AJ165" i="13"/>
  <c r="AL165" i="13" s="1"/>
  <c r="AK165" i="13" s="1"/>
  <c r="AM165" i="13"/>
  <c r="AO165" i="13"/>
  <c r="AN165" i="13" s="1"/>
  <c r="O166" i="13"/>
  <c r="Q166" i="13"/>
  <c r="P166" i="13" s="1"/>
  <c r="R166" i="13"/>
  <c r="T166" i="13" s="1"/>
  <c r="S166" i="13" s="1"/>
  <c r="U166" i="13"/>
  <c r="W166" i="13" s="1"/>
  <c r="V166" i="13" s="1"/>
  <c r="X166" i="13"/>
  <c r="Z166" i="13" s="1"/>
  <c r="Y166" i="13" s="1"/>
  <c r="AA166" i="13"/>
  <c r="AC166" i="13" s="1"/>
  <c r="AB166" i="13" s="1"/>
  <c r="AD166" i="13"/>
  <c r="AF166" i="13" s="1"/>
  <c r="AE166" i="13" s="1"/>
  <c r="AG166" i="13"/>
  <c r="AI166" i="13" s="1"/>
  <c r="AH166" i="13" s="1"/>
  <c r="AJ166" i="13"/>
  <c r="AL166" i="13"/>
  <c r="AK166" i="13" s="1"/>
  <c r="AM166" i="13"/>
  <c r="AO166" i="13"/>
  <c r="AN166" i="13" s="1"/>
  <c r="O167" i="13"/>
  <c r="Q167" i="13" s="1"/>
  <c r="P167" i="13" s="1"/>
  <c r="R167" i="13"/>
  <c r="T167" i="13" s="1"/>
  <c r="S167" i="13" s="1"/>
  <c r="U167" i="13"/>
  <c r="W167" i="13" s="1"/>
  <c r="V167" i="13" s="1"/>
  <c r="X167" i="13"/>
  <c r="Z167" i="13" s="1"/>
  <c r="Y167" i="13" s="1"/>
  <c r="AA167" i="13"/>
  <c r="AC167" i="13" s="1"/>
  <c r="AB167" i="13" s="1"/>
  <c r="AD167" i="13"/>
  <c r="AF167" i="13" s="1"/>
  <c r="AE167" i="13" s="1"/>
  <c r="AG167" i="13"/>
  <c r="AI167" i="13"/>
  <c r="AH167" i="13" s="1"/>
  <c r="AJ167" i="13"/>
  <c r="AL167" i="13"/>
  <c r="AK167" i="13" s="1"/>
  <c r="AM167" i="13"/>
  <c r="AO167" i="13" s="1"/>
  <c r="AN167" i="13" s="1"/>
  <c r="O168" i="13"/>
  <c r="Q168" i="13" s="1"/>
  <c r="P168" i="13" s="1"/>
  <c r="R168" i="13"/>
  <c r="T168" i="13" s="1"/>
  <c r="S168" i="13" s="1"/>
  <c r="U168" i="13"/>
  <c r="W168" i="13" s="1"/>
  <c r="V168" i="13" s="1"/>
  <c r="X168" i="13"/>
  <c r="Z168" i="13" s="1"/>
  <c r="Y168" i="13" s="1"/>
  <c r="AA168" i="13"/>
  <c r="AC168" i="13" s="1"/>
  <c r="AB168" i="13" s="1"/>
  <c r="AD168" i="13"/>
  <c r="AF168" i="13"/>
  <c r="AE168" i="13" s="1"/>
  <c r="AG168" i="13"/>
  <c r="AI168" i="13"/>
  <c r="AH168" i="13" s="1"/>
  <c r="AJ168" i="13"/>
  <c r="AL168" i="13" s="1"/>
  <c r="AK168" i="13" s="1"/>
  <c r="AM168" i="13"/>
  <c r="AO168" i="13" s="1"/>
  <c r="AN168" i="13" s="1"/>
  <c r="O169" i="13"/>
  <c r="Q169" i="13" s="1"/>
  <c r="P169" i="13" s="1"/>
  <c r="R169" i="13"/>
  <c r="T169" i="13" s="1"/>
  <c r="S169" i="13" s="1"/>
  <c r="U169" i="13"/>
  <c r="W169" i="13" s="1"/>
  <c r="V169" i="13" s="1"/>
  <c r="X169" i="13"/>
  <c r="Z169" i="13" s="1"/>
  <c r="Y169" i="13" s="1"/>
  <c r="AA169" i="13"/>
  <c r="AC169" i="13"/>
  <c r="AB169" i="13" s="1"/>
  <c r="AD169" i="13"/>
  <c r="AF169" i="13" s="1"/>
  <c r="AE169" i="13" s="1"/>
  <c r="AG169" i="13"/>
  <c r="AI169" i="13" s="1"/>
  <c r="AH169" i="13" s="1"/>
  <c r="AJ169" i="13"/>
  <c r="AL169" i="13"/>
  <c r="AK169" i="13" s="1"/>
  <c r="AM169" i="13"/>
  <c r="AO169" i="13"/>
  <c r="AN169" i="13" s="1"/>
  <c r="O170" i="13"/>
  <c r="Q170" i="13" s="1"/>
  <c r="P170" i="13" s="1"/>
  <c r="R170" i="13"/>
  <c r="T170" i="13" s="1"/>
  <c r="S170" i="13" s="1"/>
  <c r="U170" i="13"/>
  <c r="W170" i="13" s="1"/>
  <c r="V170" i="13" s="1"/>
  <c r="X170" i="13"/>
  <c r="Z170" i="13" s="1"/>
  <c r="Y170" i="13" s="1"/>
  <c r="AA170" i="13"/>
  <c r="AC170" i="13" s="1"/>
  <c r="AB170" i="13" s="1"/>
  <c r="AD170" i="13"/>
  <c r="AF170" i="13" s="1"/>
  <c r="AE170" i="13" s="1"/>
  <c r="AG170" i="13"/>
  <c r="AI170" i="13" s="1"/>
  <c r="AH170" i="13" s="1"/>
  <c r="AJ170" i="13"/>
  <c r="AL170" i="13" s="1"/>
  <c r="AK170" i="13" s="1"/>
  <c r="AM170" i="13"/>
  <c r="AO170" i="13" s="1"/>
  <c r="AN170" i="13" s="1"/>
  <c r="O171" i="13"/>
  <c r="Q171" i="13" s="1"/>
  <c r="P171" i="13" s="1"/>
  <c r="R171" i="13"/>
  <c r="T171" i="13" s="1"/>
  <c r="S171" i="13" s="1"/>
  <c r="U171" i="13"/>
  <c r="W171" i="13"/>
  <c r="V171" i="13" s="1"/>
  <c r="X171" i="13"/>
  <c r="Z171" i="13" s="1"/>
  <c r="Y171" i="13" s="1"/>
  <c r="AA171" i="13"/>
  <c r="AC171" i="13" s="1"/>
  <c r="AB171" i="13" s="1"/>
  <c r="AD171" i="13"/>
  <c r="AF171" i="13"/>
  <c r="AE171" i="13" s="1"/>
  <c r="AG171" i="13"/>
  <c r="AI171" i="13"/>
  <c r="AH171" i="13" s="1"/>
  <c r="AJ171" i="13"/>
  <c r="AL171" i="13" s="1"/>
  <c r="AK171" i="13" s="1"/>
  <c r="AM171" i="13"/>
  <c r="AO171" i="13" s="1"/>
  <c r="AN171" i="13" s="1"/>
  <c r="O172" i="13"/>
  <c r="Q172" i="13" s="1"/>
  <c r="P172" i="13" s="1"/>
  <c r="R172" i="13"/>
  <c r="T172" i="13" s="1"/>
  <c r="S172" i="13" s="1"/>
  <c r="U172" i="13"/>
  <c r="W172" i="13" s="1"/>
  <c r="V172" i="13" s="1"/>
  <c r="X172" i="13"/>
  <c r="Z172" i="13" s="1"/>
  <c r="Y172" i="13" s="1"/>
  <c r="AA172" i="13"/>
  <c r="AC172" i="13" s="1"/>
  <c r="AB172" i="13" s="1"/>
  <c r="AD172" i="13"/>
  <c r="AF172" i="13" s="1"/>
  <c r="AE172" i="13" s="1"/>
  <c r="AG172" i="13"/>
  <c r="AI172" i="13" s="1"/>
  <c r="AH172" i="13" s="1"/>
  <c r="AJ172" i="13"/>
  <c r="AL172" i="13" s="1"/>
  <c r="AK172" i="13" s="1"/>
  <c r="AM172" i="13"/>
  <c r="AO172" i="13" s="1"/>
  <c r="AN172" i="13" s="1"/>
  <c r="O173" i="13"/>
  <c r="Q173" i="13"/>
  <c r="P173" i="13" s="1"/>
  <c r="R173" i="13"/>
  <c r="T173" i="13" s="1"/>
  <c r="S173" i="13" s="1"/>
  <c r="U173" i="13"/>
  <c r="W173" i="13" s="1"/>
  <c r="V173" i="13" s="1"/>
  <c r="X173" i="13"/>
  <c r="Z173" i="13"/>
  <c r="Y173" i="13" s="1"/>
  <c r="AA173" i="13"/>
  <c r="AC173" i="13"/>
  <c r="AB173" i="13" s="1"/>
  <c r="AD173" i="13"/>
  <c r="AF173" i="13" s="1"/>
  <c r="AE173" i="13" s="1"/>
  <c r="AG173" i="13"/>
  <c r="AI173" i="13" s="1"/>
  <c r="AH173" i="13" s="1"/>
  <c r="AJ173" i="13"/>
  <c r="AL173" i="13" s="1"/>
  <c r="AK173" i="13" s="1"/>
  <c r="AM173" i="13"/>
  <c r="AO173" i="13" s="1"/>
  <c r="AN173" i="13" s="1"/>
  <c r="O174" i="13"/>
  <c r="Q174" i="13" s="1"/>
  <c r="P174" i="13" s="1"/>
  <c r="R174" i="13"/>
  <c r="T174" i="13" s="1"/>
  <c r="S174" i="13" s="1"/>
  <c r="U174" i="13"/>
  <c r="W174" i="13" s="1"/>
  <c r="V174" i="13" s="1"/>
  <c r="X174" i="13"/>
  <c r="Z174" i="13" s="1"/>
  <c r="Y174" i="13" s="1"/>
  <c r="AA174" i="13"/>
  <c r="AC174" i="13" s="1"/>
  <c r="AB174" i="13" s="1"/>
  <c r="AD174" i="13"/>
  <c r="AF174" i="13" s="1"/>
  <c r="AE174" i="13" s="1"/>
  <c r="AG174" i="13"/>
  <c r="AI174" i="13" s="1"/>
  <c r="AH174" i="13" s="1"/>
  <c r="AJ174" i="13"/>
  <c r="AL174" i="13"/>
  <c r="AK174" i="13" s="1"/>
  <c r="AM174" i="13"/>
  <c r="AO174" i="13" s="1"/>
  <c r="AN174" i="13" s="1"/>
  <c r="O175" i="13"/>
  <c r="Q175" i="13" s="1"/>
  <c r="P175" i="13" s="1"/>
  <c r="R175" i="13"/>
  <c r="T175" i="13"/>
  <c r="S175" i="13" s="1"/>
  <c r="U175" i="13"/>
  <c r="W175" i="13"/>
  <c r="V175" i="13" s="1"/>
  <c r="X175" i="13"/>
  <c r="Z175" i="13" s="1"/>
  <c r="Y175" i="13" s="1"/>
  <c r="AA175" i="13"/>
  <c r="AC175" i="13" s="1"/>
  <c r="AB175" i="13" s="1"/>
  <c r="AD175" i="13"/>
  <c r="AF175" i="13" s="1"/>
  <c r="AE175" i="13" s="1"/>
  <c r="AG175" i="13"/>
  <c r="AI175" i="13" s="1"/>
  <c r="AH175" i="13" s="1"/>
  <c r="AJ175" i="13"/>
  <c r="AL175" i="13" s="1"/>
  <c r="AK175" i="13" s="1"/>
  <c r="AM175" i="13"/>
  <c r="AO175" i="13" s="1"/>
  <c r="AN175" i="13" s="1"/>
  <c r="O176" i="13"/>
  <c r="Q176" i="13" s="1"/>
  <c r="P176" i="13" s="1"/>
  <c r="R176" i="13"/>
  <c r="T176" i="13" s="1"/>
  <c r="S176" i="13" s="1"/>
  <c r="U176" i="13"/>
  <c r="W176" i="13" s="1"/>
  <c r="V176" i="13" s="1"/>
  <c r="X176" i="13"/>
  <c r="Z176" i="13" s="1"/>
  <c r="Y176" i="13" s="1"/>
  <c r="AA176" i="13"/>
  <c r="AC176" i="13" s="1"/>
  <c r="AB176" i="13" s="1"/>
  <c r="AD176" i="13"/>
  <c r="AF176" i="13"/>
  <c r="AE176" i="13" s="1"/>
  <c r="AG176" i="13"/>
  <c r="AI176" i="13" s="1"/>
  <c r="AH176" i="13" s="1"/>
  <c r="AJ176" i="13"/>
  <c r="AL176" i="13" s="1"/>
  <c r="AK176" i="13" s="1"/>
  <c r="AM176" i="13"/>
  <c r="AO176" i="13"/>
  <c r="AN176" i="13" s="1"/>
  <c r="O177" i="13"/>
  <c r="Q177" i="13"/>
  <c r="P177" i="13" s="1"/>
  <c r="R177" i="13"/>
  <c r="T177" i="13" s="1"/>
  <c r="S177" i="13" s="1"/>
  <c r="U177" i="13"/>
  <c r="W177" i="13" s="1"/>
  <c r="V177" i="13" s="1"/>
  <c r="X177" i="13"/>
  <c r="Z177" i="13" s="1"/>
  <c r="Y177" i="13" s="1"/>
  <c r="AA177" i="13"/>
  <c r="AC177" i="13" s="1"/>
  <c r="AB177" i="13" s="1"/>
  <c r="AD177" i="13"/>
  <c r="AF177" i="13" s="1"/>
  <c r="AE177" i="13" s="1"/>
  <c r="AG177" i="13"/>
  <c r="AI177" i="13" s="1"/>
  <c r="AH177" i="13" s="1"/>
  <c r="AJ177" i="13"/>
  <c r="AL177" i="13" s="1"/>
  <c r="AK177" i="13" s="1"/>
  <c r="AM177" i="13"/>
  <c r="AO177" i="13" s="1"/>
  <c r="AN177" i="13" s="1"/>
  <c r="O178" i="13"/>
  <c r="Q178" i="13" s="1"/>
  <c r="P178" i="13" s="1"/>
  <c r="R178" i="13"/>
  <c r="T178" i="13" s="1"/>
  <c r="S178" i="13" s="1"/>
  <c r="U178" i="13"/>
  <c r="W178" i="13" s="1"/>
  <c r="V178" i="13" s="1"/>
  <c r="X178" i="13"/>
  <c r="Z178" i="13"/>
  <c r="Y178" i="13" s="1"/>
  <c r="AA178" i="13"/>
  <c r="AC178" i="13" s="1"/>
  <c r="AB178" i="13" s="1"/>
  <c r="AD178" i="13"/>
  <c r="AF178" i="13" s="1"/>
  <c r="AE178" i="13" s="1"/>
  <c r="AG178" i="13"/>
  <c r="AI178" i="13"/>
  <c r="AH178" i="13" s="1"/>
  <c r="AJ178" i="13"/>
  <c r="AL178" i="13"/>
  <c r="AK178" i="13" s="1"/>
  <c r="AM178" i="13"/>
  <c r="AO178" i="13" s="1"/>
  <c r="AN178" i="13" s="1"/>
  <c r="O179" i="13"/>
  <c r="Q179" i="13" s="1"/>
  <c r="P179" i="13" s="1"/>
  <c r="R179" i="13"/>
  <c r="T179" i="13" s="1"/>
  <c r="S179" i="13" s="1"/>
  <c r="U179" i="13"/>
  <c r="W179" i="13" s="1"/>
  <c r="V179" i="13" s="1"/>
  <c r="X179" i="13"/>
  <c r="Z179" i="13" s="1"/>
  <c r="Y179" i="13" s="1"/>
  <c r="AA179" i="13"/>
  <c r="AC179" i="13" s="1"/>
  <c r="AB179" i="13" s="1"/>
  <c r="AD179" i="13"/>
  <c r="AF179" i="13" s="1"/>
  <c r="AE179" i="13" s="1"/>
  <c r="AG179" i="13"/>
  <c r="AI179" i="13" s="1"/>
  <c r="AH179" i="13" s="1"/>
  <c r="AJ179" i="13"/>
  <c r="AL179" i="13" s="1"/>
  <c r="AK179" i="13" s="1"/>
  <c r="AM179" i="13"/>
  <c r="AO179" i="13" s="1"/>
  <c r="AN179" i="13" s="1"/>
  <c r="O180" i="13"/>
  <c r="Q180" i="13" s="1"/>
  <c r="P180" i="13" s="1"/>
  <c r="R180" i="13"/>
  <c r="T180" i="13"/>
  <c r="S180" i="13" s="1"/>
  <c r="U180" i="13"/>
  <c r="W180" i="13" s="1"/>
  <c r="V180" i="13" s="1"/>
  <c r="X180" i="13"/>
  <c r="Z180" i="13" s="1"/>
  <c r="Y180" i="13" s="1"/>
  <c r="AA180" i="13"/>
  <c r="AC180" i="13"/>
  <c r="AB180" i="13" s="1"/>
  <c r="AD180" i="13"/>
  <c r="AF180" i="13"/>
  <c r="AE180" i="13" s="1"/>
  <c r="AG180" i="13"/>
  <c r="AI180" i="13" s="1"/>
  <c r="AH180" i="13" s="1"/>
  <c r="AJ180" i="13"/>
  <c r="AL180" i="13" s="1"/>
  <c r="AK180" i="13" s="1"/>
  <c r="AM180" i="13"/>
  <c r="AO180" i="13" s="1"/>
  <c r="AN180" i="13" s="1"/>
  <c r="O181" i="13"/>
  <c r="Q181" i="13" s="1"/>
  <c r="P181" i="13" s="1"/>
  <c r="R181" i="13"/>
  <c r="T181" i="13" s="1"/>
  <c r="S181" i="13" s="1"/>
  <c r="U181" i="13"/>
  <c r="W181" i="13" s="1"/>
  <c r="V181" i="13" s="1"/>
  <c r="X181" i="13"/>
  <c r="Z181" i="13" s="1"/>
  <c r="Y181" i="13" s="1"/>
  <c r="AA181" i="13"/>
  <c r="AC181" i="13" s="1"/>
  <c r="AB181" i="13" s="1"/>
  <c r="AD181" i="13"/>
  <c r="AF181" i="13" s="1"/>
  <c r="AE181" i="13" s="1"/>
  <c r="AG181" i="13"/>
  <c r="AI181" i="13" s="1"/>
  <c r="AH181" i="13" s="1"/>
  <c r="AJ181" i="13"/>
  <c r="AL181" i="13" s="1"/>
  <c r="AK181" i="13" s="1"/>
  <c r="AM181" i="13"/>
  <c r="AO181" i="13"/>
  <c r="AN181" i="13" s="1"/>
  <c r="O182" i="13"/>
  <c r="Q182" i="13" s="1"/>
  <c r="P182" i="13" s="1"/>
  <c r="R182" i="13"/>
  <c r="T182" i="13" s="1"/>
  <c r="S182" i="13" s="1"/>
  <c r="U182" i="13"/>
  <c r="W182" i="13"/>
  <c r="V182" i="13" s="1"/>
  <c r="X182" i="13"/>
  <c r="Z182" i="13"/>
  <c r="Y182" i="13" s="1"/>
  <c r="AA182" i="13"/>
  <c r="AC182" i="13" s="1"/>
  <c r="AB182" i="13" s="1"/>
  <c r="AD182" i="13"/>
  <c r="AF182" i="13" s="1"/>
  <c r="AE182" i="13" s="1"/>
  <c r="AG182" i="13"/>
  <c r="AI182" i="13" s="1"/>
  <c r="AH182" i="13" s="1"/>
  <c r="AJ182" i="13"/>
  <c r="AL182" i="13" s="1"/>
  <c r="AK182" i="13" s="1"/>
  <c r="AM182" i="13"/>
  <c r="AO182" i="13" s="1"/>
  <c r="AN182" i="13" s="1"/>
  <c r="O183" i="13"/>
  <c r="Q183" i="13" s="1"/>
  <c r="P183" i="13" s="1"/>
  <c r="R183" i="13"/>
  <c r="T183" i="13" s="1"/>
  <c r="S183" i="13" s="1"/>
  <c r="U183" i="13"/>
  <c r="W183" i="13" s="1"/>
  <c r="V183" i="13" s="1"/>
  <c r="X183" i="13"/>
  <c r="Z183" i="13" s="1"/>
  <c r="Y183" i="13" s="1"/>
  <c r="AA183" i="13"/>
  <c r="AC183" i="13" s="1"/>
  <c r="AB183" i="13" s="1"/>
  <c r="AD183" i="13"/>
  <c r="AF183" i="13" s="1"/>
  <c r="AE183" i="13" s="1"/>
  <c r="AG183" i="13"/>
  <c r="AI183" i="13"/>
  <c r="AH183" i="13" s="1"/>
  <c r="AJ183" i="13"/>
  <c r="AL183" i="13" s="1"/>
  <c r="AK183" i="13" s="1"/>
  <c r="AM183" i="13"/>
  <c r="AO183" i="13" s="1"/>
  <c r="AN183" i="13" s="1"/>
  <c r="O184" i="13"/>
  <c r="Q184" i="13"/>
  <c r="P184" i="13" s="1"/>
  <c r="R184" i="13"/>
  <c r="T184" i="13"/>
  <c r="S184" i="13" s="1"/>
  <c r="U184" i="13"/>
  <c r="W184" i="13" s="1"/>
  <c r="V184" i="13" s="1"/>
  <c r="X184" i="13"/>
  <c r="Z184" i="13" s="1"/>
  <c r="Y184" i="13" s="1"/>
  <c r="AA184" i="13"/>
  <c r="AC184" i="13" s="1"/>
  <c r="AB184" i="13" s="1"/>
  <c r="AD184" i="13"/>
  <c r="AF184" i="13" s="1"/>
  <c r="AE184" i="13" s="1"/>
  <c r="AG184" i="13"/>
  <c r="AI184" i="13" s="1"/>
  <c r="AH184" i="13" s="1"/>
  <c r="AJ184" i="13"/>
  <c r="AL184" i="13" s="1"/>
  <c r="AK184" i="13" s="1"/>
  <c r="AM184" i="13"/>
  <c r="AO184" i="13" s="1"/>
  <c r="AN184" i="13" s="1"/>
  <c r="O185" i="13"/>
  <c r="Q185" i="13" s="1"/>
  <c r="P185" i="13" s="1"/>
  <c r="R185" i="13"/>
  <c r="T185" i="13" s="1"/>
  <c r="S185" i="13" s="1"/>
  <c r="U185" i="13"/>
  <c r="W185" i="13" s="1"/>
  <c r="V185" i="13" s="1"/>
  <c r="X185" i="13"/>
  <c r="Z185" i="13" s="1"/>
  <c r="Y185" i="13" s="1"/>
  <c r="AA185" i="13"/>
  <c r="AC185" i="13"/>
  <c r="AB185" i="13" s="1"/>
  <c r="AD185" i="13"/>
  <c r="AF185" i="13" s="1"/>
  <c r="AE185" i="13" s="1"/>
  <c r="AG185" i="13"/>
  <c r="AI185" i="13" s="1"/>
  <c r="AH185" i="13" s="1"/>
  <c r="AJ185" i="13"/>
  <c r="AL185" i="13"/>
  <c r="AK185" i="13" s="1"/>
  <c r="AM185" i="13"/>
  <c r="AO185" i="13"/>
  <c r="AN185" i="13" s="1"/>
  <c r="O186" i="13"/>
  <c r="Q186" i="13" s="1"/>
  <c r="P186" i="13" s="1"/>
  <c r="R186" i="13"/>
  <c r="T186" i="13" s="1"/>
  <c r="S186" i="13" s="1"/>
  <c r="U186" i="13"/>
  <c r="W186" i="13" s="1"/>
  <c r="V186" i="13" s="1"/>
  <c r="X186" i="13"/>
  <c r="Z186" i="13" s="1"/>
  <c r="Y186" i="13" s="1"/>
  <c r="AA186" i="13"/>
  <c r="AC186" i="13" s="1"/>
  <c r="AB186" i="13" s="1"/>
  <c r="AD186" i="13"/>
  <c r="AF186" i="13" s="1"/>
  <c r="AE186" i="13" s="1"/>
  <c r="AG186" i="13"/>
  <c r="AI186" i="13" s="1"/>
  <c r="AH186" i="13" s="1"/>
  <c r="AJ186" i="13"/>
  <c r="AL186" i="13" s="1"/>
  <c r="AK186" i="13" s="1"/>
  <c r="AM186" i="13"/>
  <c r="AO186" i="13" s="1"/>
  <c r="AN186" i="13" s="1"/>
  <c r="O187" i="13"/>
  <c r="Q187" i="13" s="1"/>
  <c r="P187" i="13" s="1"/>
  <c r="R187" i="13"/>
  <c r="T187" i="13" s="1"/>
  <c r="S187" i="13" s="1"/>
  <c r="U187" i="13"/>
  <c r="W187" i="13"/>
  <c r="V187" i="13" s="1"/>
  <c r="X187" i="13"/>
  <c r="Z187" i="13" s="1"/>
  <c r="Y187" i="13" s="1"/>
  <c r="AA187" i="13"/>
  <c r="AC187" i="13" s="1"/>
  <c r="AB187" i="13" s="1"/>
  <c r="AD187" i="13"/>
  <c r="AF187" i="13"/>
  <c r="AE187" i="13" s="1"/>
  <c r="AG187" i="13"/>
  <c r="AI187" i="13"/>
  <c r="AH187" i="13" s="1"/>
  <c r="AJ187" i="13"/>
  <c r="AL187" i="13" s="1"/>
  <c r="AK187" i="13" s="1"/>
  <c r="AM187" i="13"/>
  <c r="AO187" i="13" s="1"/>
  <c r="AN187" i="13" s="1"/>
  <c r="O188" i="13"/>
  <c r="Q188" i="13" s="1"/>
  <c r="P188" i="13" s="1"/>
  <c r="R188" i="13"/>
  <c r="T188" i="13" s="1"/>
  <c r="S188" i="13" s="1"/>
  <c r="U188" i="13"/>
  <c r="W188" i="13" s="1"/>
  <c r="V188" i="13" s="1"/>
  <c r="X188" i="13"/>
  <c r="Z188" i="13" s="1"/>
  <c r="Y188" i="13" s="1"/>
  <c r="AA188" i="13"/>
  <c r="AC188" i="13" s="1"/>
  <c r="AB188" i="13" s="1"/>
  <c r="AD188" i="13"/>
  <c r="AF188" i="13" s="1"/>
  <c r="AE188" i="13" s="1"/>
  <c r="AG188" i="13"/>
  <c r="AI188" i="13" s="1"/>
  <c r="AH188" i="13" s="1"/>
  <c r="AJ188" i="13"/>
  <c r="AL188" i="13" s="1"/>
  <c r="AK188" i="13" s="1"/>
  <c r="AM188" i="13"/>
  <c r="AO188" i="13" s="1"/>
  <c r="AN188" i="13" s="1"/>
  <c r="O189" i="13"/>
  <c r="Q189" i="13"/>
  <c r="P189" i="13" s="1"/>
  <c r="R189" i="13"/>
  <c r="T189" i="13" s="1"/>
  <c r="S189" i="13" s="1"/>
  <c r="U189" i="13"/>
  <c r="W189" i="13" s="1"/>
  <c r="V189" i="13" s="1"/>
  <c r="X189" i="13"/>
  <c r="Z189" i="13"/>
  <c r="Y189" i="13" s="1"/>
  <c r="AA189" i="13"/>
  <c r="AC189" i="13"/>
  <c r="AB189" i="13" s="1"/>
  <c r="AD189" i="13"/>
  <c r="AF189" i="13" s="1"/>
  <c r="AE189" i="13" s="1"/>
  <c r="AG189" i="13"/>
  <c r="AI189" i="13" s="1"/>
  <c r="AH189" i="13" s="1"/>
  <c r="AJ189" i="13"/>
  <c r="AL189" i="13" s="1"/>
  <c r="AK189" i="13" s="1"/>
  <c r="AM189" i="13"/>
  <c r="AO189" i="13" s="1"/>
  <c r="AN189" i="13" s="1"/>
  <c r="O190" i="13"/>
  <c r="Q190" i="13" s="1"/>
  <c r="P190" i="13" s="1"/>
  <c r="R190" i="13"/>
  <c r="T190" i="13" s="1"/>
  <c r="S190" i="13" s="1"/>
  <c r="U190" i="13"/>
  <c r="W190" i="13" s="1"/>
  <c r="V190" i="13" s="1"/>
  <c r="X190" i="13"/>
  <c r="Z190" i="13" s="1"/>
  <c r="Y190" i="13" s="1"/>
  <c r="AA190" i="13"/>
  <c r="AC190" i="13" s="1"/>
  <c r="AB190" i="13" s="1"/>
  <c r="AD190" i="13"/>
  <c r="AF190" i="13" s="1"/>
  <c r="AE190" i="13" s="1"/>
  <c r="AG190" i="13"/>
  <c r="AI190" i="13" s="1"/>
  <c r="AH190" i="13" s="1"/>
  <c r="AJ190" i="13"/>
  <c r="AL190" i="13"/>
  <c r="AK190" i="13" s="1"/>
  <c r="AM190" i="13"/>
  <c r="AO190" i="13" s="1"/>
  <c r="AN190" i="13" s="1"/>
  <c r="O191" i="13"/>
  <c r="Q191" i="13" s="1"/>
  <c r="P191" i="13" s="1"/>
  <c r="R191" i="13"/>
  <c r="T191" i="13"/>
  <c r="S191" i="13" s="1"/>
  <c r="U191" i="13"/>
  <c r="W191" i="13"/>
  <c r="V191" i="13" s="1"/>
  <c r="X191" i="13"/>
  <c r="Z191" i="13" s="1"/>
  <c r="Y191" i="13" s="1"/>
  <c r="AA191" i="13"/>
  <c r="AC191" i="13" s="1"/>
  <c r="AB191" i="13" s="1"/>
  <c r="AD191" i="13"/>
  <c r="AF191" i="13" s="1"/>
  <c r="AE191" i="13" s="1"/>
  <c r="AG191" i="13"/>
  <c r="AI191" i="13" s="1"/>
  <c r="AH191" i="13" s="1"/>
  <c r="AJ191" i="13"/>
  <c r="AL191" i="13" s="1"/>
  <c r="AK191" i="13" s="1"/>
  <c r="AM191" i="13"/>
  <c r="AO191" i="13" s="1"/>
  <c r="AN191" i="13" s="1"/>
  <c r="O192" i="13"/>
  <c r="Q192" i="13" s="1"/>
  <c r="P192" i="13" s="1"/>
  <c r="R192" i="13"/>
  <c r="T192" i="13" s="1"/>
  <c r="S192" i="13" s="1"/>
  <c r="U192" i="13"/>
  <c r="W192" i="13" s="1"/>
  <c r="V192" i="13" s="1"/>
  <c r="X192" i="13"/>
  <c r="Z192" i="13" s="1"/>
  <c r="Y192" i="13" s="1"/>
  <c r="AA192" i="13"/>
  <c r="AC192" i="13" s="1"/>
  <c r="AB192" i="13" s="1"/>
  <c r="AD192" i="13"/>
  <c r="AF192" i="13"/>
  <c r="AE192" i="13" s="1"/>
  <c r="AG192" i="13"/>
  <c r="AI192" i="13" s="1"/>
  <c r="AH192" i="13" s="1"/>
  <c r="AJ192" i="13"/>
  <c r="AL192" i="13" s="1"/>
  <c r="AK192" i="13" s="1"/>
  <c r="AM192" i="13"/>
  <c r="AO192" i="13"/>
  <c r="AN192" i="13" s="1"/>
  <c r="O193" i="13"/>
  <c r="Q193" i="13"/>
  <c r="P193" i="13" s="1"/>
  <c r="R193" i="13"/>
  <c r="T193" i="13" s="1"/>
  <c r="S193" i="13" s="1"/>
  <c r="U193" i="13"/>
  <c r="W193" i="13" s="1"/>
  <c r="V193" i="13" s="1"/>
  <c r="X193" i="13"/>
  <c r="Z193" i="13" s="1"/>
  <c r="Y193" i="13" s="1"/>
  <c r="AA193" i="13"/>
  <c r="AC193" i="13" s="1"/>
  <c r="AB193" i="13" s="1"/>
  <c r="AD193" i="13"/>
  <c r="AF193" i="13" s="1"/>
  <c r="AE193" i="13" s="1"/>
  <c r="AG193" i="13"/>
  <c r="AI193" i="13" s="1"/>
  <c r="AH193" i="13" s="1"/>
  <c r="AJ193" i="13"/>
  <c r="AL193" i="13" s="1"/>
  <c r="AK193" i="13" s="1"/>
  <c r="AM193" i="13"/>
  <c r="AO193" i="13" s="1"/>
  <c r="AN193" i="13" s="1"/>
  <c r="O194" i="13"/>
  <c r="Q194" i="13" s="1"/>
  <c r="P194" i="13" s="1"/>
  <c r="R194" i="13"/>
  <c r="T194" i="13" s="1"/>
  <c r="S194" i="13" s="1"/>
  <c r="U194" i="13"/>
  <c r="W194" i="13" s="1"/>
  <c r="V194" i="13" s="1"/>
  <c r="X194" i="13"/>
  <c r="Z194" i="13"/>
  <c r="Y194" i="13" s="1"/>
  <c r="AA194" i="13"/>
  <c r="AC194" i="13" s="1"/>
  <c r="AB194" i="13" s="1"/>
  <c r="AD194" i="13"/>
  <c r="AF194" i="13" s="1"/>
  <c r="AE194" i="13" s="1"/>
  <c r="AG194" i="13"/>
  <c r="AI194" i="13"/>
  <c r="AH194" i="13" s="1"/>
  <c r="AJ194" i="13"/>
  <c r="AL194" i="13"/>
  <c r="AK194" i="13" s="1"/>
  <c r="AM194" i="13"/>
  <c r="AO194" i="13" s="1"/>
  <c r="AN194" i="13" s="1"/>
  <c r="O195" i="13"/>
  <c r="Q195" i="13" s="1"/>
  <c r="P195" i="13" s="1"/>
  <c r="R195" i="13"/>
  <c r="T195" i="13" s="1"/>
  <c r="S195" i="13" s="1"/>
  <c r="U195" i="13"/>
  <c r="W195" i="13" s="1"/>
  <c r="V195" i="13" s="1"/>
  <c r="X195" i="13"/>
  <c r="Z195" i="13" s="1"/>
  <c r="Y195" i="13" s="1"/>
  <c r="AA195" i="13"/>
  <c r="AC195" i="13" s="1"/>
  <c r="AB195" i="13" s="1"/>
  <c r="AD195" i="13"/>
  <c r="AF195" i="13" s="1"/>
  <c r="AE195" i="13" s="1"/>
  <c r="AG195" i="13"/>
  <c r="AI195" i="13" s="1"/>
  <c r="AH195" i="13" s="1"/>
  <c r="AJ195" i="13"/>
  <c r="AL195" i="13" s="1"/>
  <c r="AK195" i="13" s="1"/>
  <c r="AM195" i="13"/>
  <c r="AO195" i="13" s="1"/>
  <c r="AN195" i="13" s="1"/>
  <c r="O196" i="13"/>
  <c r="Q196" i="13" s="1"/>
  <c r="P196" i="13" s="1"/>
  <c r="R196" i="13"/>
  <c r="T196" i="13"/>
  <c r="S196" i="13" s="1"/>
  <c r="U196" i="13"/>
  <c r="W196" i="13" s="1"/>
  <c r="V196" i="13" s="1"/>
  <c r="X196" i="13"/>
  <c r="Z196" i="13" s="1"/>
  <c r="Y196" i="13" s="1"/>
  <c r="AA196" i="13"/>
  <c r="AC196" i="13"/>
  <c r="AB196" i="13" s="1"/>
  <c r="AD196" i="13"/>
  <c r="AF196" i="13"/>
  <c r="AE196" i="13" s="1"/>
  <c r="AG196" i="13"/>
  <c r="AI196" i="13" s="1"/>
  <c r="AH196" i="13" s="1"/>
  <c r="AJ196" i="13"/>
  <c r="AL196" i="13" s="1"/>
  <c r="AK196" i="13" s="1"/>
  <c r="AM196" i="13"/>
  <c r="AO196" i="13" s="1"/>
  <c r="AN196" i="13" s="1"/>
  <c r="O197" i="13"/>
  <c r="Q197" i="13" s="1"/>
  <c r="P197" i="13" s="1"/>
  <c r="R197" i="13"/>
  <c r="T197" i="13" s="1"/>
  <c r="S197" i="13" s="1"/>
  <c r="U197" i="13"/>
  <c r="W197" i="13" s="1"/>
  <c r="V197" i="13" s="1"/>
  <c r="X197" i="13"/>
  <c r="Z197" i="13" s="1"/>
  <c r="Y197" i="13" s="1"/>
  <c r="AA197" i="13"/>
  <c r="AC197" i="13" s="1"/>
  <c r="AB197" i="13" s="1"/>
  <c r="AD197" i="13"/>
  <c r="AF197" i="13" s="1"/>
  <c r="AE197" i="13" s="1"/>
  <c r="AG197" i="13"/>
  <c r="AI197" i="13" s="1"/>
  <c r="AH197" i="13" s="1"/>
  <c r="AJ197" i="13"/>
  <c r="AL197" i="13" s="1"/>
  <c r="AK197" i="13" s="1"/>
  <c r="AM197" i="13"/>
  <c r="AO197" i="13"/>
  <c r="AN197" i="13" s="1"/>
  <c r="O198" i="13"/>
  <c r="Q198" i="13" s="1"/>
  <c r="P198" i="13" s="1"/>
  <c r="R198" i="13"/>
  <c r="T198" i="13" s="1"/>
  <c r="S198" i="13" s="1"/>
  <c r="U198" i="13"/>
  <c r="W198" i="13"/>
  <c r="V198" i="13" s="1"/>
  <c r="X198" i="13"/>
  <c r="Z198" i="13" s="1"/>
  <c r="Y198" i="13" s="1"/>
  <c r="AA198" i="13"/>
  <c r="AC198" i="13" s="1"/>
  <c r="AB198" i="13" s="1"/>
  <c r="AD198" i="13"/>
  <c r="AF198" i="13" s="1"/>
  <c r="AE198" i="13" s="1"/>
  <c r="AG198" i="13"/>
  <c r="AI198" i="13" s="1"/>
  <c r="AH198" i="13" s="1"/>
  <c r="AJ198" i="13"/>
  <c r="AL198" i="13" s="1"/>
  <c r="AK198" i="13" s="1"/>
  <c r="AM198" i="13"/>
  <c r="AO198" i="13" s="1"/>
  <c r="AN198" i="13" s="1"/>
  <c r="O199" i="13"/>
  <c r="Q199" i="13" s="1"/>
  <c r="P199" i="13" s="1"/>
  <c r="R199" i="13"/>
  <c r="T199" i="13" s="1"/>
  <c r="S199" i="13" s="1"/>
  <c r="U199" i="13"/>
  <c r="W199" i="13" s="1"/>
  <c r="V199" i="13" s="1"/>
  <c r="X199" i="13"/>
  <c r="Z199" i="13" s="1"/>
  <c r="Y199" i="13" s="1"/>
  <c r="AA199" i="13"/>
  <c r="AC199" i="13" s="1"/>
  <c r="AB199" i="13" s="1"/>
  <c r="AD199" i="13"/>
  <c r="AF199" i="13" s="1"/>
  <c r="AE199" i="13" s="1"/>
  <c r="AG199" i="13"/>
  <c r="AI199" i="13" s="1"/>
  <c r="AH199" i="13" s="1"/>
  <c r="AJ199" i="13"/>
  <c r="AL199" i="13" s="1"/>
  <c r="AK199" i="13" s="1"/>
  <c r="AM199" i="13"/>
  <c r="AO199" i="13" s="1"/>
  <c r="AN199" i="13" s="1"/>
  <c r="O200" i="13"/>
  <c r="Q200" i="13" s="1"/>
  <c r="P200" i="13" s="1"/>
  <c r="R200" i="13"/>
  <c r="T200" i="13" s="1"/>
  <c r="S200" i="13" s="1"/>
  <c r="U200" i="13"/>
  <c r="W200" i="13" s="1"/>
  <c r="V200" i="13" s="1"/>
  <c r="X200" i="13"/>
  <c r="Z200" i="13" s="1"/>
  <c r="Y200" i="13" s="1"/>
  <c r="AA200" i="13"/>
  <c r="AC200" i="13" s="1"/>
  <c r="AB200" i="13" s="1"/>
  <c r="AD200" i="13"/>
  <c r="AF200" i="13" s="1"/>
  <c r="AE200" i="13" s="1"/>
  <c r="AG200" i="13"/>
  <c r="AI200" i="13" s="1"/>
  <c r="AH200" i="13" s="1"/>
  <c r="AJ200" i="13"/>
  <c r="AL200" i="13" s="1"/>
  <c r="AK200" i="13" s="1"/>
  <c r="AM200" i="13"/>
  <c r="AO200" i="13" s="1"/>
  <c r="AN200" i="13" s="1"/>
  <c r="O201" i="13"/>
  <c r="Q201" i="13" s="1"/>
  <c r="P201" i="13" s="1"/>
  <c r="R201" i="13"/>
  <c r="T201" i="13" s="1"/>
  <c r="S201" i="13" s="1"/>
  <c r="U201" i="13"/>
  <c r="W201" i="13" s="1"/>
  <c r="V201" i="13" s="1"/>
  <c r="X201" i="13"/>
  <c r="Z201" i="13" s="1"/>
  <c r="Y201" i="13" s="1"/>
  <c r="AA201" i="13"/>
  <c r="AC201" i="13" s="1"/>
  <c r="AB201" i="13" s="1"/>
  <c r="AD201" i="13"/>
  <c r="AF201" i="13" s="1"/>
  <c r="AE201" i="13" s="1"/>
  <c r="AG201" i="13"/>
  <c r="AI201" i="13" s="1"/>
  <c r="AH201" i="13" s="1"/>
  <c r="AJ201" i="13"/>
  <c r="AL201" i="13" s="1"/>
  <c r="AK201" i="13" s="1"/>
  <c r="AM201" i="13"/>
  <c r="AO201" i="13" s="1"/>
  <c r="AN201" i="13" s="1"/>
  <c r="O202" i="13"/>
  <c r="Q202" i="13" s="1"/>
  <c r="P202" i="13" s="1"/>
  <c r="R202" i="13"/>
  <c r="T202" i="13" s="1"/>
  <c r="S202" i="13" s="1"/>
  <c r="U202" i="13"/>
  <c r="W202" i="13" s="1"/>
  <c r="V202" i="13" s="1"/>
  <c r="X202" i="13"/>
  <c r="Z202" i="13"/>
  <c r="Y202" i="13" s="1"/>
  <c r="AA202" i="13"/>
  <c r="AC202" i="13"/>
  <c r="AB202" i="13" s="1"/>
  <c r="AD202" i="13"/>
  <c r="AF202" i="13" s="1"/>
  <c r="AE202" i="13" s="1"/>
  <c r="AG202" i="13"/>
  <c r="AI202" i="13" s="1"/>
  <c r="AH202" i="13" s="1"/>
  <c r="AJ202" i="13"/>
  <c r="AK202" i="13"/>
  <c r="AL202" i="13"/>
  <c r="AM202" i="13"/>
  <c r="AO202" i="13" s="1"/>
  <c r="AN202" i="13" s="1"/>
  <c r="O203" i="13"/>
  <c r="Q203" i="13" s="1"/>
  <c r="P203" i="13" s="1"/>
  <c r="R203" i="13"/>
  <c r="T203" i="13" s="1"/>
  <c r="S203" i="13" s="1"/>
  <c r="U203" i="13"/>
  <c r="W203" i="13" s="1"/>
  <c r="V203" i="13" s="1"/>
  <c r="X203" i="13"/>
  <c r="Z203" i="13"/>
  <c r="Y203" i="13" s="1"/>
  <c r="AA203" i="13"/>
  <c r="AC203" i="13" s="1"/>
  <c r="AB203" i="13" s="1"/>
  <c r="AD203" i="13"/>
  <c r="AF203" i="13" s="1"/>
  <c r="AE203" i="13" s="1"/>
  <c r="AG203" i="13"/>
  <c r="AI203" i="13" s="1"/>
  <c r="AH203" i="13" s="1"/>
  <c r="AJ203" i="13"/>
  <c r="AL203" i="13" s="1"/>
  <c r="AK203" i="13" s="1"/>
  <c r="AM203" i="13"/>
  <c r="AO203" i="13" s="1"/>
  <c r="AN203" i="13" s="1"/>
  <c r="O3" i="13"/>
  <c r="R3" i="13"/>
  <c r="U3" i="13"/>
  <c r="X3" i="13"/>
  <c r="AA3" i="13"/>
  <c r="AD3" i="13"/>
  <c r="AG3" i="13"/>
  <c r="AJ3" i="13"/>
  <c r="AM3" i="13"/>
  <c r="O4" i="13"/>
  <c r="R4" i="13"/>
  <c r="U4" i="13"/>
  <c r="X4" i="13"/>
  <c r="AA4" i="13"/>
  <c r="AD4" i="13"/>
  <c r="AG4" i="13"/>
  <c r="AJ4" i="13"/>
  <c r="AM4" i="13"/>
  <c r="O5" i="13"/>
  <c r="R5" i="13"/>
  <c r="U5" i="13"/>
  <c r="X5" i="13"/>
  <c r="AA5" i="13"/>
  <c r="AD5" i="13"/>
  <c r="AG5" i="13"/>
  <c r="AJ5" i="13"/>
  <c r="AM5" i="13"/>
  <c r="O6" i="13"/>
  <c r="R6" i="13"/>
  <c r="U6" i="13"/>
  <c r="X6" i="13"/>
  <c r="AA6" i="13"/>
  <c r="AD6" i="13"/>
  <c r="AG6" i="13"/>
  <c r="AJ6" i="13"/>
  <c r="AM6" i="13"/>
  <c r="O7" i="13"/>
  <c r="R7" i="13"/>
  <c r="U7" i="13"/>
  <c r="X7" i="13"/>
  <c r="AA7" i="13"/>
  <c r="AD7" i="13"/>
  <c r="AG7" i="13"/>
  <c r="AJ7" i="13"/>
  <c r="AM7" i="13"/>
  <c r="O8" i="13"/>
  <c r="R8" i="13"/>
  <c r="U8" i="13"/>
  <c r="X8" i="13"/>
  <c r="AA8" i="13"/>
  <c r="AD8" i="13"/>
  <c r="AG8" i="13"/>
  <c r="AJ8" i="13"/>
  <c r="AM8" i="13"/>
  <c r="O9" i="13"/>
  <c r="R9" i="13"/>
  <c r="U9" i="13"/>
  <c r="X9" i="13"/>
  <c r="AA9" i="13"/>
  <c r="AD9" i="13"/>
  <c r="AG9" i="13"/>
  <c r="AJ9" i="13"/>
  <c r="AM9" i="13"/>
  <c r="O10" i="13"/>
  <c r="R10" i="13"/>
  <c r="U10" i="13"/>
  <c r="X10" i="13"/>
  <c r="AA10" i="13"/>
  <c r="AD10" i="13"/>
  <c r="AG10" i="13"/>
  <c r="AJ10" i="13"/>
  <c r="AM10" i="13"/>
  <c r="O11" i="13"/>
  <c r="R11" i="13"/>
  <c r="U11" i="13"/>
  <c r="X11" i="13"/>
  <c r="AA11" i="13"/>
  <c r="AD11" i="13"/>
  <c r="AG11" i="13"/>
  <c r="AJ11" i="13"/>
  <c r="AM11" i="13"/>
  <c r="O12" i="13"/>
  <c r="R12" i="13"/>
  <c r="U12" i="13"/>
  <c r="X12" i="13"/>
  <c r="AA12" i="13"/>
  <c r="AD12" i="13"/>
  <c r="AG12" i="13"/>
  <c r="AJ12" i="13"/>
  <c r="AM12" i="13"/>
  <c r="O13" i="13"/>
  <c r="R13" i="13"/>
  <c r="U13" i="13"/>
  <c r="X13" i="13"/>
  <c r="AA13" i="13"/>
  <c r="AD13" i="13"/>
  <c r="AG13" i="13"/>
  <c r="AJ13" i="13"/>
  <c r="AM13" i="13"/>
  <c r="O14" i="13"/>
  <c r="R14" i="13"/>
  <c r="U14" i="13"/>
  <c r="X14" i="13"/>
  <c r="AA14" i="13"/>
  <c r="AD14" i="13"/>
  <c r="AG14" i="13"/>
  <c r="AJ14" i="13"/>
  <c r="AM14" i="13"/>
  <c r="O15" i="13"/>
  <c r="R15" i="13"/>
  <c r="U15" i="13"/>
  <c r="X15" i="13"/>
  <c r="AA15" i="13"/>
  <c r="AD15" i="13"/>
  <c r="AG15" i="13"/>
  <c r="AJ15" i="13"/>
  <c r="AM15" i="13"/>
  <c r="O16" i="13"/>
  <c r="R16" i="13"/>
  <c r="U16" i="13"/>
  <c r="X16" i="13"/>
  <c r="AA16" i="13"/>
  <c r="AD16" i="13"/>
  <c r="AG16" i="13"/>
  <c r="AJ16" i="13"/>
  <c r="AM16" i="13"/>
  <c r="O17" i="13"/>
  <c r="R17" i="13"/>
  <c r="U17" i="13"/>
  <c r="X17" i="13"/>
  <c r="AA17" i="13"/>
  <c r="AD17" i="13"/>
  <c r="AG17" i="13"/>
  <c r="AJ17" i="13"/>
  <c r="AM17" i="13"/>
  <c r="O18" i="13"/>
  <c r="R18" i="13"/>
  <c r="U18" i="13"/>
  <c r="X18" i="13"/>
  <c r="AA18" i="13"/>
  <c r="AD18" i="13"/>
  <c r="AG18" i="13"/>
  <c r="AJ18" i="13"/>
  <c r="AM18" i="13"/>
  <c r="O19" i="13"/>
  <c r="R19" i="13"/>
  <c r="U19" i="13"/>
  <c r="X19" i="13"/>
  <c r="AA19" i="13"/>
  <c r="AD19" i="13"/>
  <c r="AG19" i="13"/>
  <c r="AJ19" i="13"/>
  <c r="AM19" i="13"/>
  <c r="O20" i="13"/>
  <c r="R20" i="13"/>
  <c r="U20" i="13"/>
  <c r="X20" i="13"/>
  <c r="AA20" i="13"/>
  <c r="AD20" i="13"/>
  <c r="AG20" i="13"/>
  <c r="AJ20" i="13"/>
  <c r="AM20" i="13"/>
  <c r="O21" i="13"/>
  <c r="R21" i="13"/>
  <c r="U21" i="13"/>
  <c r="X21" i="13"/>
  <c r="AA21" i="13"/>
  <c r="AD21" i="13"/>
  <c r="AG21" i="13"/>
  <c r="AJ21" i="13"/>
  <c r="AM21" i="13"/>
  <c r="O22" i="13"/>
  <c r="R22" i="13"/>
  <c r="U22" i="13"/>
  <c r="X22" i="13"/>
  <c r="AA22" i="13"/>
  <c r="AD22" i="13"/>
  <c r="AG22" i="13"/>
  <c r="AJ22" i="13"/>
  <c r="AM22" i="13"/>
  <c r="O23" i="13"/>
  <c r="R23" i="13"/>
  <c r="U23" i="13"/>
  <c r="X23" i="13"/>
  <c r="AA23" i="13"/>
  <c r="AD23" i="13"/>
  <c r="AG23" i="13"/>
  <c r="AJ23" i="13"/>
  <c r="AM23" i="13"/>
  <c r="O24" i="13"/>
  <c r="R24" i="13"/>
  <c r="U24" i="13"/>
  <c r="X24" i="13"/>
  <c r="AA24" i="13"/>
  <c r="AD24" i="13"/>
  <c r="AG24" i="13"/>
  <c r="AJ24" i="13"/>
  <c r="AM24" i="13"/>
  <c r="O25" i="13"/>
  <c r="R25" i="13"/>
  <c r="U25" i="13"/>
  <c r="X25" i="13"/>
  <c r="AA25" i="13"/>
  <c r="AD25" i="13"/>
  <c r="AG25" i="13"/>
  <c r="AJ25" i="13"/>
  <c r="AM25" i="13"/>
  <c r="O26" i="13"/>
  <c r="R26" i="13"/>
  <c r="U26" i="13"/>
  <c r="X26" i="13"/>
  <c r="AA26" i="13"/>
  <c r="AD26" i="13"/>
  <c r="AG26" i="13"/>
  <c r="AJ26" i="13"/>
  <c r="AM26" i="13"/>
  <c r="O27" i="13"/>
  <c r="R27" i="13"/>
  <c r="U27" i="13"/>
  <c r="X27" i="13"/>
  <c r="AA27" i="13"/>
  <c r="AD27" i="13"/>
  <c r="AG27" i="13"/>
  <c r="AJ27" i="13"/>
  <c r="AM27" i="13"/>
  <c r="O28" i="13"/>
  <c r="R28" i="13"/>
  <c r="U28" i="13"/>
  <c r="X28" i="13"/>
  <c r="AA28" i="13"/>
  <c r="AD28" i="13"/>
  <c r="AG28" i="13"/>
  <c r="AJ28" i="13"/>
  <c r="AM28" i="13"/>
  <c r="O29" i="13"/>
  <c r="R29" i="13"/>
  <c r="U29" i="13"/>
  <c r="X29" i="13"/>
  <c r="AA29" i="13"/>
  <c r="AD29" i="13"/>
  <c r="AG29" i="13"/>
  <c r="AJ29" i="13"/>
  <c r="AM29" i="13"/>
  <c r="O30" i="13"/>
  <c r="R30" i="13"/>
  <c r="U30" i="13"/>
  <c r="X30" i="13"/>
  <c r="AA30" i="13"/>
  <c r="AD30" i="13"/>
  <c r="AG30" i="13"/>
  <c r="AJ30" i="13"/>
  <c r="AM30" i="13"/>
  <c r="O31" i="13"/>
  <c r="R31" i="13"/>
  <c r="U31" i="13"/>
  <c r="X31" i="13"/>
  <c r="AA31" i="13"/>
  <c r="AD31" i="13"/>
  <c r="AG31" i="13"/>
  <c r="AJ31" i="13"/>
  <c r="AM31" i="13"/>
  <c r="O32" i="13"/>
  <c r="R32" i="13"/>
  <c r="U32" i="13"/>
  <c r="X32" i="13"/>
  <c r="AA32" i="13"/>
  <c r="AD32" i="13"/>
  <c r="AG32" i="13"/>
  <c r="AJ32" i="13"/>
  <c r="AM32" i="13"/>
  <c r="O33" i="13"/>
  <c r="R33" i="13"/>
  <c r="U33" i="13"/>
  <c r="X33" i="13"/>
  <c r="AA33" i="13"/>
  <c r="AD33" i="13"/>
  <c r="AG33" i="13"/>
  <c r="AJ33" i="13"/>
  <c r="AM33" i="13"/>
  <c r="O34" i="13"/>
  <c r="R34" i="13"/>
  <c r="U34" i="13"/>
  <c r="X34" i="13"/>
  <c r="AA34" i="13"/>
  <c r="AD34" i="13"/>
  <c r="AG34" i="13"/>
  <c r="AJ34" i="13"/>
  <c r="AM34" i="13"/>
  <c r="O35" i="13"/>
  <c r="R35" i="13"/>
  <c r="U35" i="13"/>
  <c r="X35" i="13"/>
  <c r="AA35" i="13"/>
  <c r="AD35" i="13"/>
  <c r="AG35" i="13"/>
  <c r="AJ35" i="13"/>
  <c r="AM35" i="13"/>
  <c r="O36" i="13"/>
  <c r="R36" i="13"/>
  <c r="U36" i="13"/>
  <c r="X36" i="13"/>
  <c r="AA36" i="13"/>
  <c r="AD36" i="13"/>
  <c r="AG36" i="13"/>
  <c r="AJ36" i="13"/>
  <c r="AM36" i="13"/>
  <c r="O37" i="13"/>
  <c r="R37" i="13"/>
  <c r="U37" i="13"/>
  <c r="X37" i="13"/>
  <c r="AA37" i="13"/>
  <c r="AD37" i="13"/>
  <c r="AG37" i="13"/>
  <c r="AJ37" i="13"/>
  <c r="AM37" i="13"/>
  <c r="O38" i="13"/>
  <c r="R38" i="13"/>
  <c r="U38" i="13"/>
  <c r="X38" i="13"/>
  <c r="AA38" i="13"/>
  <c r="AD38" i="13"/>
  <c r="AG38" i="13"/>
  <c r="AJ38" i="13"/>
  <c r="AM38" i="13"/>
  <c r="O39" i="13"/>
  <c r="R39" i="13"/>
  <c r="U39" i="13"/>
  <c r="X39" i="13"/>
  <c r="AA39" i="13"/>
  <c r="AD39" i="13"/>
  <c r="AG39" i="13"/>
  <c r="AJ39" i="13"/>
  <c r="AM39" i="13"/>
  <c r="O40" i="13"/>
  <c r="R40" i="13"/>
  <c r="U40" i="13"/>
  <c r="X40" i="13"/>
  <c r="AA40" i="13"/>
  <c r="AD40" i="13"/>
  <c r="AG40" i="13"/>
  <c r="AJ40" i="13"/>
  <c r="AM40" i="13"/>
  <c r="O41" i="13"/>
  <c r="R41" i="13"/>
  <c r="U41" i="13"/>
  <c r="X41" i="13"/>
  <c r="AA41" i="13"/>
  <c r="AD41" i="13"/>
  <c r="AG41" i="13"/>
  <c r="AJ41" i="13"/>
  <c r="AM41" i="13"/>
  <c r="O42" i="13"/>
  <c r="R42" i="13"/>
  <c r="U42" i="13"/>
  <c r="X42" i="13"/>
  <c r="AA42" i="13"/>
  <c r="AD42" i="13"/>
  <c r="AG42" i="13"/>
  <c r="AJ42" i="13"/>
  <c r="AM42" i="13"/>
  <c r="O43" i="13"/>
  <c r="R43" i="13"/>
  <c r="U43" i="13"/>
  <c r="X43" i="13"/>
  <c r="AA43" i="13"/>
  <c r="AD43" i="13"/>
  <c r="AG43" i="13"/>
  <c r="AJ43" i="13"/>
  <c r="AM43" i="13"/>
  <c r="O44" i="13"/>
  <c r="R44" i="13"/>
  <c r="U44" i="13"/>
  <c r="X44" i="13"/>
  <c r="AA44" i="13"/>
  <c r="AD44" i="13"/>
  <c r="AG44" i="13"/>
  <c r="AJ44" i="13"/>
  <c r="AM44" i="13"/>
  <c r="O45" i="13"/>
  <c r="R45" i="13"/>
  <c r="U45" i="13"/>
  <c r="X45" i="13"/>
  <c r="AA45" i="13"/>
  <c r="AD45" i="13"/>
  <c r="AG45" i="13"/>
  <c r="AJ45" i="13"/>
  <c r="AM45" i="13"/>
  <c r="O46" i="13"/>
  <c r="R46" i="13"/>
  <c r="U46" i="13"/>
  <c r="X46" i="13"/>
  <c r="AA46" i="13"/>
  <c r="AD46" i="13"/>
  <c r="AG46" i="13"/>
  <c r="AJ46" i="13"/>
  <c r="AM46" i="13"/>
  <c r="O47" i="13"/>
  <c r="R47" i="13"/>
  <c r="U47" i="13"/>
  <c r="X47" i="13"/>
  <c r="AA47" i="13"/>
  <c r="AD47" i="13"/>
  <c r="AG47" i="13"/>
  <c r="AJ47" i="13"/>
  <c r="AM47" i="13"/>
  <c r="O48" i="13"/>
  <c r="R48" i="13"/>
  <c r="U48" i="13"/>
  <c r="X48" i="13"/>
  <c r="AA48" i="13"/>
  <c r="AD48" i="13"/>
  <c r="AG48" i="13"/>
  <c r="AJ48" i="13"/>
  <c r="AM48" i="13"/>
  <c r="O49" i="13"/>
  <c r="R49" i="13"/>
  <c r="U49" i="13"/>
  <c r="X49" i="13"/>
  <c r="AA49" i="13"/>
  <c r="AD49" i="13"/>
  <c r="AG49" i="13"/>
  <c r="AJ49" i="13"/>
  <c r="AM49" i="13"/>
  <c r="O50" i="13"/>
  <c r="R50" i="13"/>
  <c r="U50" i="13"/>
  <c r="X50" i="13"/>
  <c r="AA50" i="13"/>
  <c r="AD50" i="13"/>
  <c r="AG50" i="13"/>
  <c r="AJ50" i="13"/>
  <c r="AM50" i="13"/>
  <c r="O51" i="13"/>
  <c r="R51" i="13"/>
  <c r="U51" i="13"/>
  <c r="X51" i="13"/>
  <c r="AA51" i="13"/>
  <c r="AD51" i="13"/>
  <c r="AG51" i="13"/>
  <c r="AJ51" i="13"/>
  <c r="AM51" i="13"/>
  <c r="O52" i="13"/>
  <c r="R52" i="13"/>
  <c r="U52" i="13"/>
  <c r="X52" i="13"/>
  <c r="AA52" i="13"/>
  <c r="AD52" i="13"/>
  <c r="AG52" i="13"/>
  <c r="AJ52" i="13"/>
  <c r="AM52" i="13"/>
  <c r="O53" i="13"/>
  <c r="R53" i="13"/>
  <c r="U53" i="13"/>
  <c r="X53" i="13"/>
  <c r="AA53" i="13"/>
  <c r="AD53" i="13"/>
  <c r="AG53" i="13"/>
  <c r="AJ53" i="13"/>
  <c r="AM53" i="13"/>
  <c r="O54" i="13"/>
  <c r="R54" i="13"/>
  <c r="U54" i="13"/>
  <c r="X54" i="13"/>
  <c r="AA54" i="13"/>
  <c r="AD54" i="13"/>
  <c r="AG54" i="13"/>
  <c r="AJ54" i="13"/>
  <c r="AM54" i="13"/>
  <c r="O55" i="13"/>
  <c r="R55" i="13"/>
  <c r="U55" i="13"/>
  <c r="X55" i="13"/>
  <c r="AA55" i="13"/>
  <c r="AD55" i="13"/>
  <c r="AG55" i="13"/>
  <c r="AJ55" i="13"/>
  <c r="AM55" i="13"/>
  <c r="O56" i="13"/>
  <c r="R56" i="13"/>
  <c r="U56" i="13"/>
  <c r="X56" i="13"/>
  <c r="AA56" i="13"/>
  <c r="AD56" i="13"/>
  <c r="AG56" i="13"/>
  <c r="AJ56" i="13"/>
  <c r="AM56" i="13"/>
  <c r="O57" i="13"/>
  <c r="R57" i="13"/>
  <c r="U57" i="13"/>
  <c r="X57" i="13"/>
  <c r="AA57" i="13"/>
  <c r="AD57" i="13"/>
  <c r="AG57" i="13"/>
  <c r="AJ57" i="13"/>
  <c r="AM57" i="13"/>
  <c r="O58" i="13"/>
  <c r="R58" i="13"/>
  <c r="U58" i="13"/>
  <c r="X58" i="13"/>
  <c r="AA58" i="13"/>
  <c r="AD58" i="13"/>
  <c r="AG58" i="13"/>
  <c r="AJ58" i="13"/>
  <c r="AM58" i="13"/>
  <c r="O59" i="13"/>
  <c r="Q59" i="13" s="1"/>
  <c r="P59" i="13" s="1"/>
  <c r="R59" i="13"/>
  <c r="T59" i="13" s="1"/>
  <c r="S59" i="13" s="1"/>
  <c r="U59" i="13"/>
  <c r="W59" i="13" s="1"/>
  <c r="V59" i="13" s="1"/>
  <c r="X59" i="13"/>
  <c r="Z59" i="13" s="1"/>
  <c r="Y59" i="13" s="1"/>
  <c r="AA59" i="13"/>
  <c r="AC59" i="13" s="1"/>
  <c r="AB59" i="13" s="1"/>
  <c r="AD59" i="13"/>
  <c r="AF59" i="13" s="1"/>
  <c r="AE59" i="13" s="1"/>
  <c r="AG59" i="13"/>
  <c r="AI59" i="13" s="1"/>
  <c r="AH59" i="13" s="1"/>
  <c r="AJ59" i="13"/>
  <c r="AL59" i="13" s="1"/>
  <c r="AK59" i="13" s="1"/>
  <c r="AM59" i="13"/>
  <c r="AO59" i="13" s="1"/>
  <c r="AN59" i="13" s="1"/>
  <c r="O60" i="13"/>
  <c r="Q60" i="13" s="1"/>
  <c r="P60" i="13" s="1"/>
  <c r="R60" i="13"/>
  <c r="T60" i="13" s="1"/>
  <c r="S60" i="13" s="1"/>
  <c r="U60" i="13"/>
  <c r="W60" i="13" s="1"/>
  <c r="V60" i="13" s="1"/>
  <c r="X60" i="13"/>
  <c r="Z60" i="13" s="1"/>
  <c r="Y60" i="13" s="1"/>
  <c r="AA60" i="13"/>
  <c r="AC60" i="13" s="1"/>
  <c r="AB60" i="13" s="1"/>
  <c r="AD60" i="13"/>
  <c r="AF60" i="13" s="1"/>
  <c r="AE60" i="13" s="1"/>
  <c r="AG60" i="13"/>
  <c r="AI60" i="13" s="1"/>
  <c r="AH60" i="13" s="1"/>
  <c r="AJ60" i="13"/>
  <c r="AL60" i="13" s="1"/>
  <c r="AK60" i="13" s="1"/>
  <c r="AM60" i="13"/>
  <c r="AO60" i="13" s="1"/>
  <c r="AN60" i="13" s="1"/>
  <c r="AM2" i="13"/>
  <c r="AM1" i="13"/>
  <c r="AJ1" i="13"/>
  <c r="AJ2" i="13"/>
  <c r="AG2" i="13"/>
  <c r="AD2" i="13"/>
  <c r="AA2" i="13"/>
  <c r="X2" i="13"/>
  <c r="U2" i="13"/>
  <c r="O2" i="13"/>
  <c r="T12" i="12" l="1"/>
  <c r="Q9" i="12"/>
  <c r="Q2" i="12"/>
  <c r="AF12" i="12"/>
  <c r="Q12" i="12"/>
  <c r="Q3" i="12"/>
  <c r="T2" i="12"/>
  <c r="W4" i="12"/>
  <c r="Q11" i="12"/>
  <c r="T7" i="12"/>
  <c r="W10" i="12"/>
  <c r="T5" i="12"/>
  <c r="T8" i="12"/>
  <c r="W12" i="12"/>
  <c r="W3" i="12"/>
  <c r="W11" i="12"/>
  <c r="AF2" i="12"/>
  <c r="Q7" i="12"/>
  <c r="Q8" i="12"/>
  <c r="T6" i="12"/>
  <c r="T4" i="12"/>
  <c r="T10" i="12"/>
  <c r="W6" i="12"/>
  <c r="W9" i="12"/>
  <c r="W2" i="12"/>
  <c r="T9" i="12"/>
  <c r="W8" i="12"/>
  <c r="T3" i="12"/>
  <c r="T11" i="12"/>
  <c r="W5" i="12"/>
  <c r="Q4" i="12"/>
  <c r="W7" i="12"/>
  <c r="AN12" i="12"/>
  <c r="AN3" i="12"/>
  <c r="AN7" i="12"/>
  <c r="AN11" i="12"/>
  <c r="AF4" i="12"/>
  <c r="AF11" i="12"/>
  <c r="AF10" i="12"/>
  <c r="G16" i="1"/>
  <c r="G17" i="1"/>
  <c r="G13" i="1"/>
  <c r="G14" i="1"/>
  <c r="R2" i="13"/>
  <c r="M2" i="6" l="1"/>
  <c r="V3" i="9" l="1"/>
  <c r="O3" i="9"/>
  <c r="H3" i="9"/>
  <c r="A3" i="9"/>
  <c r="K1" i="9"/>
  <c r="I196" i="13" l="1"/>
  <c r="J196" i="13"/>
  <c r="K196" i="13"/>
  <c r="L196" i="13"/>
  <c r="I197" i="13"/>
  <c r="J197" i="13"/>
  <c r="K197" i="13"/>
  <c r="L197" i="13"/>
  <c r="I198" i="13"/>
  <c r="J198" i="13"/>
  <c r="K198" i="13"/>
  <c r="L198" i="13"/>
  <c r="I199" i="13"/>
  <c r="J199" i="13"/>
  <c r="K199" i="13"/>
  <c r="L199" i="13"/>
  <c r="I200" i="13"/>
  <c r="J200" i="13"/>
  <c r="K200" i="13"/>
  <c r="L200" i="13"/>
  <c r="I201" i="13"/>
  <c r="J201" i="13"/>
  <c r="K201" i="13"/>
  <c r="L201" i="13"/>
  <c r="I202" i="13"/>
  <c r="J202" i="13"/>
  <c r="K202" i="13"/>
  <c r="L202" i="13"/>
  <c r="M202" i="13"/>
  <c r="N202" i="13"/>
  <c r="I203" i="13"/>
  <c r="J203" i="13"/>
  <c r="K203" i="13"/>
  <c r="L203" i="13"/>
  <c r="M203" i="13"/>
  <c r="N203" i="13"/>
  <c r="I204" i="13"/>
  <c r="J204" i="13"/>
  <c r="K204" i="13"/>
  <c r="L204" i="13"/>
  <c r="M204" i="13"/>
  <c r="N204" i="13"/>
  <c r="O204" i="13"/>
  <c r="P204" i="13"/>
  <c r="Q204" i="13"/>
  <c r="R204" i="13"/>
  <c r="T204" i="13"/>
  <c r="S204" i="13" s="1"/>
  <c r="U204" i="13"/>
  <c r="W204" i="13"/>
  <c r="V204" i="13" s="1"/>
  <c r="X204" i="13"/>
  <c r="Z204" i="13"/>
  <c r="Y204" i="13" s="1"/>
  <c r="AA204" i="13"/>
  <c r="AC204" i="13"/>
  <c r="AB204" i="13" s="1"/>
  <c r="AD204" i="13"/>
  <c r="AF204" i="13"/>
  <c r="AE204" i="13" s="1"/>
  <c r="AG204" i="13"/>
  <c r="AI204" i="13"/>
  <c r="AH204" i="13" s="1"/>
  <c r="AJ204" i="13"/>
  <c r="AK204" i="13"/>
  <c r="I205" i="13"/>
  <c r="Z205" i="13" s="1"/>
  <c r="Y205" i="13" s="1"/>
  <c r="J205" i="13"/>
  <c r="K205" i="13"/>
  <c r="L205" i="13"/>
  <c r="M205" i="13"/>
  <c r="N205" i="13"/>
  <c r="R205" i="13"/>
  <c r="W205" i="13"/>
  <c r="V205" i="13" s="1"/>
  <c r="AK205" i="13"/>
  <c r="I206" i="13"/>
  <c r="AG206" i="13" s="1"/>
  <c r="J206" i="13"/>
  <c r="K206" i="13"/>
  <c r="L206" i="13"/>
  <c r="M206" i="13"/>
  <c r="N206" i="13"/>
  <c r="AD206" i="13"/>
  <c r="AK206" i="13"/>
  <c r="I207" i="13"/>
  <c r="T207" i="13" s="1"/>
  <c r="S207" i="13" s="1"/>
  <c r="J207" i="13"/>
  <c r="K207" i="13"/>
  <c r="L207" i="13"/>
  <c r="M207" i="13"/>
  <c r="N207" i="13"/>
  <c r="AK207" i="13"/>
  <c r="I208" i="13"/>
  <c r="W208" i="13" s="1"/>
  <c r="V208" i="13" s="1"/>
  <c r="J208" i="13"/>
  <c r="K208" i="13"/>
  <c r="L208" i="13"/>
  <c r="M208" i="13"/>
  <c r="N208" i="13"/>
  <c r="U208" i="13"/>
  <c r="AG208" i="13"/>
  <c r="AK208" i="13"/>
  <c r="I209" i="13"/>
  <c r="J209" i="13"/>
  <c r="K209" i="13"/>
  <c r="L209" i="13"/>
  <c r="M209" i="13"/>
  <c r="N209" i="13"/>
  <c r="U209" i="13"/>
  <c r="W209" i="13"/>
  <c r="V209" i="13" s="1"/>
  <c r="AK209" i="13"/>
  <c r="I210" i="13"/>
  <c r="T210" i="13" s="1"/>
  <c r="S210" i="13" s="1"/>
  <c r="J210" i="13"/>
  <c r="K210" i="13"/>
  <c r="L210" i="13"/>
  <c r="M210" i="13"/>
  <c r="N210" i="13"/>
  <c r="AC210" i="13"/>
  <c r="AB210" i="13" s="1"/>
  <c r="AD210" i="13"/>
  <c r="AK210" i="13"/>
  <c r="I211" i="13"/>
  <c r="O211" i="13" s="1"/>
  <c r="J211" i="13"/>
  <c r="K211" i="13"/>
  <c r="L211" i="13"/>
  <c r="M211" i="13"/>
  <c r="N211" i="13"/>
  <c r="W211" i="13"/>
  <c r="V211" i="13" s="1"/>
  <c r="AG211" i="13"/>
  <c r="AK211" i="13"/>
  <c r="I212" i="13"/>
  <c r="W212" i="13" s="1"/>
  <c r="V212" i="13" s="1"/>
  <c r="J212" i="13"/>
  <c r="K212" i="13"/>
  <c r="L212" i="13"/>
  <c r="M212" i="13"/>
  <c r="N212" i="13"/>
  <c r="P212" i="13"/>
  <c r="Q212" i="13"/>
  <c r="U212" i="13"/>
  <c r="AA212" i="13"/>
  <c r="AC212" i="13"/>
  <c r="AB212" i="13" s="1"/>
  <c r="AG212" i="13"/>
  <c r="AK212" i="13"/>
  <c r="I213" i="13"/>
  <c r="Z213" i="13" s="1"/>
  <c r="Y213" i="13" s="1"/>
  <c r="J213" i="13"/>
  <c r="K213" i="13"/>
  <c r="L213" i="13"/>
  <c r="M213" i="13"/>
  <c r="N213" i="13"/>
  <c r="AK213" i="13"/>
  <c r="I214" i="13"/>
  <c r="AJ214" i="13" s="1"/>
  <c r="J214" i="13"/>
  <c r="K214" i="13"/>
  <c r="L214" i="13"/>
  <c r="M214" i="13"/>
  <c r="N214" i="13"/>
  <c r="AK214" i="13"/>
  <c r="I215" i="13"/>
  <c r="X215" i="13" s="1"/>
  <c r="J215" i="13"/>
  <c r="K215" i="13"/>
  <c r="L215" i="13"/>
  <c r="M215" i="13"/>
  <c r="N215" i="13"/>
  <c r="T215" i="13"/>
  <c r="S215" i="13" s="1"/>
  <c r="W215" i="13"/>
  <c r="V215" i="13" s="1"/>
  <c r="AK215" i="13"/>
  <c r="I216" i="13"/>
  <c r="Q216" i="13" s="1"/>
  <c r="P216" i="13" s="1"/>
  <c r="J216" i="13"/>
  <c r="K216" i="13"/>
  <c r="L216" i="13"/>
  <c r="M216" i="13"/>
  <c r="N216" i="13"/>
  <c r="R216" i="13"/>
  <c r="T216" i="13"/>
  <c r="S216" i="13" s="1"/>
  <c r="Z216" i="13"/>
  <c r="Y216" i="13" s="1"/>
  <c r="AC216" i="13"/>
  <c r="AB216" i="13" s="1"/>
  <c r="AI216" i="13"/>
  <c r="AH216" i="13" s="1"/>
  <c r="AJ216" i="13"/>
  <c r="AK216" i="13"/>
  <c r="I217" i="13"/>
  <c r="AD217" i="13" s="1"/>
  <c r="J217" i="13"/>
  <c r="K217" i="13"/>
  <c r="L217" i="13"/>
  <c r="M217" i="13"/>
  <c r="N217" i="13"/>
  <c r="O217" i="13"/>
  <c r="U217" i="13"/>
  <c r="W217" i="13"/>
  <c r="V217" i="13" s="1"/>
  <c r="Z217" i="13"/>
  <c r="Y217" i="13" s="1"/>
  <c r="AK217" i="13"/>
  <c r="I218" i="13"/>
  <c r="J218" i="13"/>
  <c r="K218" i="13"/>
  <c r="L218" i="13"/>
  <c r="M218" i="13"/>
  <c r="N218" i="13"/>
  <c r="AK218" i="13"/>
  <c r="I219" i="13"/>
  <c r="U219" i="13" s="1"/>
  <c r="J219" i="13"/>
  <c r="K219" i="13"/>
  <c r="L219" i="13"/>
  <c r="M219" i="13"/>
  <c r="N219" i="13"/>
  <c r="AK219" i="13"/>
  <c r="I220" i="13"/>
  <c r="U220" i="13" s="1"/>
  <c r="J220" i="13"/>
  <c r="K220" i="13"/>
  <c r="L220" i="13"/>
  <c r="M220" i="13"/>
  <c r="N220" i="13"/>
  <c r="Q220" i="13"/>
  <c r="P220" i="13" s="1"/>
  <c r="R220" i="13"/>
  <c r="X220" i="13"/>
  <c r="Z220" i="13"/>
  <c r="Y220" i="13" s="1"/>
  <c r="AG220" i="13"/>
  <c r="AI220" i="13"/>
  <c r="AH220" i="13" s="1"/>
  <c r="AK220" i="13"/>
  <c r="I221" i="13"/>
  <c r="Q221" i="13" s="1"/>
  <c r="P221" i="13" s="1"/>
  <c r="J221" i="13"/>
  <c r="K221" i="13"/>
  <c r="L221" i="13"/>
  <c r="M221" i="13"/>
  <c r="N221" i="13"/>
  <c r="AK221" i="13"/>
  <c r="I222" i="13"/>
  <c r="J222" i="13"/>
  <c r="K222" i="13"/>
  <c r="L222" i="13"/>
  <c r="M222" i="13"/>
  <c r="N222" i="13"/>
  <c r="AK222" i="13"/>
  <c r="I223" i="13"/>
  <c r="T223" i="13" s="1"/>
  <c r="S223" i="13" s="1"/>
  <c r="J223" i="13"/>
  <c r="K223" i="13"/>
  <c r="L223" i="13"/>
  <c r="M223" i="13"/>
  <c r="N223" i="13"/>
  <c r="AK223" i="13"/>
  <c r="I224" i="13"/>
  <c r="T224" i="13" s="1"/>
  <c r="S224" i="13" s="1"/>
  <c r="J224" i="13"/>
  <c r="K224" i="13"/>
  <c r="L224" i="13"/>
  <c r="M224" i="13"/>
  <c r="N224" i="13"/>
  <c r="Q224" i="13"/>
  <c r="P224" i="13" s="1"/>
  <c r="R224" i="13"/>
  <c r="W224" i="13"/>
  <c r="V224" i="13" s="1"/>
  <c r="X224" i="13"/>
  <c r="AC224" i="13"/>
  <c r="AB224" i="13" s="1"/>
  <c r="AD224" i="13"/>
  <c r="AI224" i="13"/>
  <c r="AH224" i="13" s="1"/>
  <c r="AJ224" i="13"/>
  <c r="AK224" i="13"/>
  <c r="I225" i="13"/>
  <c r="AD225" i="13" s="1"/>
  <c r="J225" i="13"/>
  <c r="K225" i="13"/>
  <c r="L225" i="13"/>
  <c r="M225" i="13"/>
  <c r="N225" i="13"/>
  <c r="O225" i="13"/>
  <c r="R225" i="13"/>
  <c r="U225" i="13"/>
  <c r="W225" i="13"/>
  <c r="V225" i="13" s="1"/>
  <c r="Z225" i="13"/>
  <c r="Y225" i="13" s="1"/>
  <c r="AC225" i="13"/>
  <c r="AB225" i="13" s="1"/>
  <c r="AK225" i="13"/>
  <c r="I226" i="13"/>
  <c r="O226" i="13" s="1"/>
  <c r="J226" i="13"/>
  <c r="K226" i="13"/>
  <c r="L226" i="13"/>
  <c r="M226" i="13"/>
  <c r="N226" i="13"/>
  <c r="W226" i="13"/>
  <c r="V226" i="13" s="1"/>
  <c r="AG226" i="13"/>
  <c r="AK226" i="13"/>
  <c r="I227" i="13"/>
  <c r="J227" i="13"/>
  <c r="K227" i="13"/>
  <c r="L227" i="13"/>
  <c r="M227" i="13"/>
  <c r="N227" i="13"/>
  <c r="AK227" i="13"/>
  <c r="I228" i="13"/>
  <c r="T228" i="13" s="1"/>
  <c r="S228" i="13" s="1"/>
  <c r="J228" i="13"/>
  <c r="K228" i="13"/>
  <c r="L228" i="13"/>
  <c r="M228" i="13"/>
  <c r="N228" i="13"/>
  <c r="U228" i="13"/>
  <c r="W228" i="13"/>
  <c r="V228" i="13" s="1"/>
  <c r="AI228" i="13"/>
  <c r="AH228" i="13" s="1"/>
  <c r="AK228" i="13"/>
  <c r="I229" i="13"/>
  <c r="J229" i="13"/>
  <c r="K229" i="13"/>
  <c r="L229" i="13"/>
  <c r="M229" i="13"/>
  <c r="N229" i="13"/>
  <c r="O229" i="13"/>
  <c r="Q229" i="13"/>
  <c r="P229" i="13" s="1"/>
  <c r="R229" i="13"/>
  <c r="T229" i="13"/>
  <c r="S229" i="13" s="1"/>
  <c r="U229" i="13"/>
  <c r="V229" i="13"/>
  <c r="W229" i="13"/>
  <c r="X229" i="13"/>
  <c r="Z229" i="13"/>
  <c r="Y229" i="13" s="1"/>
  <c r="AA229" i="13"/>
  <c r="AC229" i="13"/>
  <c r="AB229" i="13" s="1"/>
  <c r="AD229" i="13"/>
  <c r="AF229" i="13"/>
  <c r="AE229" i="13" s="1"/>
  <c r="AG229" i="13"/>
  <c r="AI229" i="13"/>
  <c r="AH229" i="13" s="1"/>
  <c r="AJ229" i="13"/>
  <c r="AK229" i="13"/>
  <c r="I230" i="13"/>
  <c r="R230" i="13" s="1"/>
  <c r="J230" i="13"/>
  <c r="K230" i="13"/>
  <c r="L230" i="13"/>
  <c r="M230" i="13"/>
  <c r="N230" i="13"/>
  <c r="U230" i="13"/>
  <c r="AC230" i="13"/>
  <c r="AB230" i="13" s="1"/>
  <c r="AK230" i="13"/>
  <c r="I231" i="13"/>
  <c r="J231" i="13"/>
  <c r="K231" i="13"/>
  <c r="L231" i="13"/>
  <c r="M231" i="13"/>
  <c r="N231" i="13"/>
  <c r="AK231" i="13"/>
  <c r="I232" i="13"/>
  <c r="J232" i="13"/>
  <c r="K232" i="13"/>
  <c r="L232" i="13"/>
  <c r="M232" i="13"/>
  <c r="N232" i="13"/>
  <c r="W232" i="13"/>
  <c r="V232" i="13" s="1"/>
  <c r="AC232" i="13"/>
  <c r="AB232" i="13" s="1"/>
  <c r="AK232" i="13"/>
  <c r="I233" i="13"/>
  <c r="X233" i="13" s="1"/>
  <c r="J233" i="13"/>
  <c r="K233" i="13"/>
  <c r="L233" i="13"/>
  <c r="M233" i="13"/>
  <c r="N233" i="13"/>
  <c r="AK233" i="13"/>
  <c r="I234" i="13"/>
  <c r="AG234" i="13" s="1"/>
  <c r="J234" i="13"/>
  <c r="K234" i="13"/>
  <c r="L234" i="13"/>
  <c r="M234" i="13"/>
  <c r="N234" i="13"/>
  <c r="AK234" i="13"/>
  <c r="I235" i="13"/>
  <c r="O235" i="13" s="1"/>
  <c r="J235" i="13"/>
  <c r="K235" i="13"/>
  <c r="L235" i="13"/>
  <c r="M235" i="13"/>
  <c r="N235" i="13"/>
  <c r="T235" i="13"/>
  <c r="S235" i="13" s="1"/>
  <c r="AC235" i="13"/>
  <c r="AB235" i="13" s="1"/>
  <c r="AG235" i="13"/>
  <c r="AJ235" i="13"/>
  <c r="AK235" i="13"/>
  <c r="I236" i="13"/>
  <c r="J236" i="13"/>
  <c r="K236" i="13"/>
  <c r="L236" i="13"/>
  <c r="M236" i="13"/>
  <c r="N236" i="13"/>
  <c r="AK236" i="13"/>
  <c r="I237" i="13"/>
  <c r="AC237" i="13" s="1"/>
  <c r="AB237" i="13" s="1"/>
  <c r="J237" i="13"/>
  <c r="K237" i="13"/>
  <c r="L237" i="13"/>
  <c r="M237" i="13"/>
  <c r="N237" i="13"/>
  <c r="Q237" i="13"/>
  <c r="P237" i="13" s="1"/>
  <c r="R237" i="13"/>
  <c r="T237" i="13"/>
  <c r="S237" i="13" s="1"/>
  <c r="W237" i="13"/>
  <c r="V237" i="13" s="1"/>
  <c r="X237" i="13"/>
  <c r="AA237" i="13"/>
  <c r="AD237" i="13"/>
  <c r="AG237" i="13"/>
  <c r="AK237" i="13"/>
  <c r="I13" i="13"/>
  <c r="J13" i="13"/>
  <c r="K13" i="13"/>
  <c r="L13" i="13"/>
  <c r="I14" i="13"/>
  <c r="J14" i="13"/>
  <c r="K14" i="13"/>
  <c r="L14" i="13"/>
  <c r="I15" i="13"/>
  <c r="J15" i="13"/>
  <c r="K15" i="13"/>
  <c r="L15" i="13"/>
  <c r="I16" i="13"/>
  <c r="J16" i="13"/>
  <c r="K16" i="13"/>
  <c r="L16" i="13"/>
  <c r="I17" i="13"/>
  <c r="J17" i="13"/>
  <c r="K17" i="13"/>
  <c r="L17" i="13"/>
  <c r="I18" i="13"/>
  <c r="J18" i="13"/>
  <c r="K18" i="13"/>
  <c r="L18" i="13"/>
  <c r="I19" i="13"/>
  <c r="J19" i="13"/>
  <c r="K19" i="13"/>
  <c r="L19" i="13"/>
  <c r="I20" i="13"/>
  <c r="J20" i="13"/>
  <c r="K20" i="13"/>
  <c r="L20" i="13"/>
  <c r="I21" i="13"/>
  <c r="J21" i="13"/>
  <c r="K21" i="13"/>
  <c r="L21" i="13"/>
  <c r="I22" i="13"/>
  <c r="J22" i="13"/>
  <c r="K22" i="13"/>
  <c r="L22" i="13"/>
  <c r="I23" i="13"/>
  <c r="J23" i="13"/>
  <c r="K23" i="13"/>
  <c r="L23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32" i="13"/>
  <c r="J32" i="13"/>
  <c r="K32" i="13"/>
  <c r="L32" i="13"/>
  <c r="I33" i="13"/>
  <c r="J33" i="13"/>
  <c r="K33" i="13"/>
  <c r="L33" i="13"/>
  <c r="I34" i="13"/>
  <c r="J34" i="13"/>
  <c r="K34" i="13"/>
  <c r="L34" i="13"/>
  <c r="I35" i="13"/>
  <c r="J35" i="13"/>
  <c r="K35" i="13"/>
  <c r="L35" i="13"/>
  <c r="I36" i="13"/>
  <c r="J36" i="13"/>
  <c r="K36" i="13"/>
  <c r="L36" i="13"/>
  <c r="I37" i="13"/>
  <c r="J37" i="13"/>
  <c r="K37" i="13"/>
  <c r="L37" i="13"/>
  <c r="I38" i="13"/>
  <c r="J38" i="13"/>
  <c r="K38" i="13"/>
  <c r="L38" i="13"/>
  <c r="I39" i="13"/>
  <c r="J39" i="13"/>
  <c r="K39" i="13"/>
  <c r="L39" i="13"/>
  <c r="I40" i="13"/>
  <c r="J40" i="13"/>
  <c r="K40" i="13"/>
  <c r="L40" i="13"/>
  <c r="I41" i="13"/>
  <c r="J41" i="13"/>
  <c r="K41" i="13"/>
  <c r="L41" i="13"/>
  <c r="I42" i="13"/>
  <c r="J42" i="13"/>
  <c r="K42" i="13"/>
  <c r="L42" i="13"/>
  <c r="I43" i="13"/>
  <c r="J43" i="13"/>
  <c r="K43" i="13"/>
  <c r="L43" i="13"/>
  <c r="I44" i="13"/>
  <c r="J44" i="13"/>
  <c r="K44" i="13"/>
  <c r="L44" i="13"/>
  <c r="I45" i="13"/>
  <c r="J45" i="13"/>
  <c r="K45" i="13"/>
  <c r="L45" i="13"/>
  <c r="I46" i="13"/>
  <c r="J46" i="13"/>
  <c r="K46" i="13"/>
  <c r="L46" i="13"/>
  <c r="I47" i="13"/>
  <c r="J47" i="13"/>
  <c r="K47" i="13"/>
  <c r="L47" i="13"/>
  <c r="I48" i="13"/>
  <c r="J48" i="13"/>
  <c r="K48" i="13"/>
  <c r="L48" i="13"/>
  <c r="I49" i="13"/>
  <c r="J49" i="13"/>
  <c r="K49" i="13"/>
  <c r="L49" i="13"/>
  <c r="I50" i="13"/>
  <c r="J50" i="13"/>
  <c r="K50" i="13"/>
  <c r="L50" i="13"/>
  <c r="I51" i="13"/>
  <c r="J51" i="13"/>
  <c r="K51" i="13"/>
  <c r="L51" i="13"/>
  <c r="I52" i="13"/>
  <c r="J52" i="13"/>
  <c r="K52" i="13"/>
  <c r="L52" i="13"/>
  <c r="I53" i="13"/>
  <c r="J53" i="13"/>
  <c r="K53" i="13"/>
  <c r="L53" i="13"/>
  <c r="I54" i="13"/>
  <c r="J54" i="13"/>
  <c r="K54" i="13"/>
  <c r="L54" i="13"/>
  <c r="I55" i="13"/>
  <c r="J55" i="13"/>
  <c r="K55" i="13"/>
  <c r="L55" i="13"/>
  <c r="I56" i="13"/>
  <c r="J56" i="13"/>
  <c r="K56" i="13"/>
  <c r="L56" i="13"/>
  <c r="I57" i="13"/>
  <c r="J57" i="13"/>
  <c r="K57" i="13"/>
  <c r="L57" i="13"/>
  <c r="I58" i="13"/>
  <c r="J58" i="13"/>
  <c r="K58" i="13"/>
  <c r="L58" i="13"/>
  <c r="I59" i="13"/>
  <c r="J59" i="13"/>
  <c r="K59" i="13"/>
  <c r="L59" i="13"/>
  <c r="I60" i="13"/>
  <c r="J60" i="13"/>
  <c r="K60" i="13"/>
  <c r="L60" i="13"/>
  <c r="I61" i="13"/>
  <c r="J61" i="13"/>
  <c r="K61" i="13"/>
  <c r="L61" i="13"/>
  <c r="I62" i="13"/>
  <c r="J62" i="13"/>
  <c r="K62" i="13"/>
  <c r="L62" i="13"/>
  <c r="I63" i="13"/>
  <c r="J63" i="13"/>
  <c r="K63" i="13"/>
  <c r="L63" i="13"/>
  <c r="I64" i="13"/>
  <c r="J64" i="13"/>
  <c r="K64" i="13"/>
  <c r="L64" i="13"/>
  <c r="I65" i="13"/>
  <c r="J65" i="13"/>
  <c r="K65" i="13"/>
  <c r="L65" i="13"/>
  <c r="I66" i="13"/>
  <c r="J66" i="13"/>
  <c r="K66" i="13"/>
  <c r="L66" i="13"/>
  <c r="I67" i="13"/>
  <c r="J67" i="13"/>
  <c r="K67" i="13"/>
  <c r="L67" i="13"/>
  <c r="I68" i="13"/>
  <c r="J68" i="13"/>
  <c r="K68" i="13"/>
  <c r="L68" i="13"/>
  <c r="I69" i="13"/>
  <c r="J69" i="13"/>
  <c r="K69" i="13"/>
  <c r="L69" i="13"/>
  <c r="I70" i="13"/>
  <c r="J70" i="13"/>
  <c r="K70" i="13"/>
  <c r="L70" i="13"/>
  <c r="I71" i="13"/>
  <c r="J71" i="13"/>
  <c r="K71" i="13"/>
  <c r="L71" i="13"/>
  <c r="I72" i="13"/>
  <c r="J72" i="13"/>
  <c r="K72" i="13"/>
  <c r="L72" i="13"/>
  <c r="I73" i="13"/>
  <c r="J73" i="13"/>
  <c r="K73" i="13"/>
  <c r="L73" i="13"/>
  <c r="I74" i="13"/>
  <c r="J74" i="13"/>
  <c r="K74" i="13"/>
  <c r="L74" i="13"/>
  <c r="I75" i="13"/>
  <c r="J75" i="13"/>
  <c r="K75" i="13"/>
  <c r="L75" i="13"/>
  <c r="I76" i="13"/>
  <c r="J76" i="13"/>
  <c r="K76" i="13"/>
  <c r="L76" i="13"/>
  <c r="I77" i="13"/>
  <c r="J77" i="13"/>
  <c r="K77" i="13"/>
  <c r="L77" i="13"/>
  <c r="I78" i="13"/>
  <c r="J78" i="13"/>
  <c r="K78" i="13"/>
  <c r="L78" i="13"/>
  <c r="I79" i="13"/>
  <c r="J79" i="13"/>
  <c r="K79" i="13"/>
  <c r="L79" i="13"/>
  <c r="I80" i="13"/>
  <c r="J80" i="13"/>
  <c r="K80" i="13"/>
  <c r="L80" i="13"/>
  <c r="I81" i="13"/>
  <c r="J81" i="13"/>
  <c r="K81" i="13"/>
  <c r="L81" i="13"/>
  <c r="I82" i="13"/>
  <c r="J82" i="13"/>
  <c r="K82" i="13"/>
  <c r="L82" i="13"/>
  <c r="I83" i="13"/>
  <c r="J83" i="13"/>
  <c r="K83" i="13"/>
  <c r="L83" i="13"/>
  <c r="I84" i="13"/>
  <c r="J84" i="13"/>
  <c r="K84" i="13"/>
  <c r="L84" i="13"/>
  <c r="I85" i="13"/>
  <c r="J85" i="13"/>
  <c r="K85" i="13"/>
  <c r="L85" i="13"/>
  <c r="I86" i="13"/>
  <c r="J86" i="13"/>
  <c r="K86" i="13"/>
  <c r="L86" i="13"/>
  <c r="I87" i="13"/>
  <c r="J87" i="13"/>
  <c r="K87" i="13"/>
  <c r="L87" i="13"/>
  <c r="I88" i="13"/>
  <c r="J88" i="13"/>
  <c r="K88" i="13"/>
  <c r="L88" i="13"/>
  <c r="I89" i="13"/>
  <c r="J89" i="13"/>
  <c r="K89" i="13"/>
  <c r="L89" i="13"/>
  <c r="I90" i="13"/>
  <c r="J90" i="13"/>
  <c r="K90" i="13"/>
  <c r="L90" i="13"/>
  <c r="I91" i="13"/>
  <c r="J91" i="13"/>
  <c r="K91" i="13"/>
  <c r="L91" i="13"/>
  <c r="I92" i="13"/>
  <c r="J92" i="13"/>
  <c r="K92" i="13"/>
  <c r="L92" i="13"/>
  <c r="I93" i="13"/>
  <c r="J93" i="13"/>
  <c r="K93" i="13"/>
  <c r="L93" i="13"/>
  <c r="I94" i="13"/>
  <c r="J94" i="13"/>
  <c r="K94" i="13"/>
  <c r="L94" i="13"/>
  <c r="I95" i="13"/>
  <c r="J95" i="13"/>
  <c r="K95" i="13"/>
  <c r="L95" i="13"/>
  <c r="I96" i="13"/>
  <c r="J96" i="13"/>
  <c r="K96" i="13"/>
  <c r="L96" i="13"/>
  <c r="I97" i="13"/>
  <c r="J97" i="13"/>
  <c r="K97" i="13"/>
  <c r="L97" i="13"/>
  <c r="I98" i="13"/>
  <c r="J98" i="13"/>
  <c r="K98" i="13"/>
  <c r="L98" i="13"/>
  <c r="I99" i="13"/>
  <c r="J99" i="13"/>
  <c r="K99" i="13"/>
  <c r="L99" i="13"/>
  <c r="I100" i="13"/>
  <c r="J100" i="13"/>
  <c r="K100" i="13"/>
  <c r="L100" i="13"/>
  <c r="I101" i="13"/>
  <c r="J101" i="13"/>
  <c r="K101" i="13"/>
  <c r="L101" i="13"/>
  <c r="I102" i="13"/>
  <c r="J102" i="13"/>
  <c r="K102" i="13"/>
  <c r="L102" i="13"/>
  <c r="I103" i="13"/>
  <c r="J103" i="13"/>
  <c r="K103" i="13"/>
  <c r="L103" i="13"/>
  <c r="I104" i="13"/>
  <c r="J104" i="13"/>
  <c r="K104" i="13"/>
  <c r="L104" i="13"/>
  <c r="I105" i="13"/>
  <c r="J105" i="13"/>
  <c r="K105" i="13"/>
  <c r="L105" i="13"/>
  <c r="I106" i="13"/>
  <c r="J106" i="13"/>
  <c r="K106" i="13"/>
  <c r="L106" i="13"/>
  <c r="I107" i="13"/>
  <c r="J107" i="13"/>
  <c r="K107" i="13"/>
  <c r="L107" i="13"/>
  <c r="I108" i="13"/>
  <c r="J108" i="13"/>
  <c r="K108" i="13"/>
  <c r="L108" i="13"/>
  <c r="I109" i="13"/>
  <c r="J109" i="13"/>
  <c r="K109" i="13"/>
  <c r="L109" i="13"/>
  <c r="I110" i="13"/>
  <c r="J110" i="13"/>
  <c r="K110" i="13"/>
  <c r="L110" i="13"/>
  <c r="I111" i="13"/>
  <c r="J111" i="13"/>
  <c r="K111" i="13"/>
  <c r="L111" i="13"/>
  <c r="I112" i="13"/>
  <c r="J112" i="13"/>
  <c r="K112" i="13"/>
  <c r="L112" i="13"/>
  <c r="I113" i="13"/>
  <c r="J113" i="13"/>
  <c r="K113" i="13"/>
  <c r="L113" i="13"/>
  <c r="I114" i="13"/>
  <c r="J114" i="13"/>
  <c r="K114" i="13"/>
  <c r="L114" i="13"/>
  <c r="I115" i="13"/>
  <c r="J115" i="13"/>
  <c r="K115" i="13"/>
  <c r="L115" i="13"/>
  <c r="I116" i="13"/>
  <c r="J116" i="13"/>
  <c r="K116" i="13"/>
  <c r="L116" i="13"/>
  <c r="I117" i="13"/>
  <c r="J117" i="13"/>
  <c r="K117" i="13"/>
  <c r="L117" i="13"/>
  <c r="I118" i="13"/>
  <c r="J118" i="13"/>
  <c r="K118" i="13"/>
  <c r="L118" i="13"/>
  <c r="I119" i="13"/>
  <c r="J119" i="13"/>
  <c r="K119" i="13"/>
  <c r="L119" i="13"/>
  <c r="I120" i="13"/>
  <c r="J120" i="13"/>
  <c r="K120" i="13"/>
  <c r="L120" i="13"/>
  <c r="I121" i="13"/>
  <c r="J121" i="13"/>
  <c r="K121" i="13"/>
  <c r="L121" i="13"/>
  <c r="I122" i="13"/>
  <c r="J122" i="13"/>
  <c r="K122" i="13"/>
  <c r="L122" i="13"/>
  <c r="I123" i="13"/>
  <c r="J123" i="13"/>
  <c r="K123" i="13"/>
  <c r="L123" i="13"/>
  <c r="I124" i="13"/>
  <c r="J124" i="13"/>
  <c r="K124" i="13"/>
  <c r="L124" i="13"/>
  <c r="I125" i="13"/>
  <c r="J125" i="13"/>
  <c r="K125" i="13"/>
  <c r="L125" i="13"/>
  <c r="I126" i="13"/>
  <c r="J126" i="13"/>
  <c r="K126" i="13"/>
  <c r="L126" i="13"/>
  <c r="I127" i="13"/>
  <c r="J127" i="13"/>
  <c r="K127" i="13"/>
  <c r="L127" i="13"/>
  <c r="I128" i="13"/>
  <c r="J128" i="13"/>
  <c r="K128" i="13"/>
  <c r="L128" i="13"/>
  <c r="I129" i="13"/>
  <c r="J129" i="13"/>
  <c r="K129" i="13"/>
  <c r="L129" i="13"/>
  <c r="I130" i="13"/>
  <c r="J130" i="13"/>
  <c r="K130" i="13"/>
  <c r="L130" i="13"/>
  <c r="I131" i="13"/>
  <c r="J131" i="13"/>
  <c r="K131" i="13"/>
  <c r="L131" i="13"/>
  <c r="I132" i="13"/>
  <c r="J132" i="13"/>
  <c r="K132" i="13"/>
  <c r="L132" i="13"/>
  <c r="I133" i="13"/>
  <c r="J133" i="13"/>
  <c r="K133" i="13"/>
  <c r="L133" i="13"/>
  <c r="I134" i="13"/>
  <c r="J134" i="13"/>
  <c r="K134" i="13"/>
  <c r="L134" i="13"/>
  <c r="I135" i="13"/>
  <c r="J135" i="13"/>
  <c r="K135" i="13"/>
  <c r="L135" i="13"/>
  <c r="I136" i="13"/>
  <c r="J136" i="13"/>
  <c r="K136" i="13"/>
  <c r="L136" i="13"/>
  <c r="I137" i="13"/>
  <c r="J137" i="13"/>
  <c r="K137" i="13"/>
  <c r="L137" i="13"/>
  <c r="I138" i="13"/>
  <c r="J138" i="13"/>
  <c r="K138" i="13"/>
  <c r="L138" i="13"/>
  <c r="I139" i="13"/>
  <c r="J139" i="13"/>
  <c r="K139" i="13"/>
  <c r="L139" i="13"/>
  <c r="I140" i="13"/>
  <c r="J140" i="13"/>
  <c r="K140" i="13"/>
  <c r="L140" i="13"/>
  <c r="I141" i="13"/>
  <c r="J141" i="13"/>
  <c r="K141" i="13"/>
  <c r="L141" i="13"/>
  <c r="I142" i="13"/>
  <c r="J142" i="13"/>
  <c r="K142" i="13"/>
  <c r="L142" i="13"/>
  <c r="I143" i="13"/>
  <c r="J143" i="13"/>
  <c r="K143" i="13"/>
  <c r="L143" i="13"/>
  <c r="I144" i="13"/>
  <c r="J144" i="13"/>
  <c r="K144" i="13"/>
  <c r="L144" i="13"/>
  <c r="I145" i="13"/>
  <c r="J145" i="13"/>
  <c r="K145" i="13"/>
  <c r="L145" i="13"/>
  <c r="I146" i="13"/>
  <c r="J146" i="13"/>
  <c r="K146" i="13"/>
  <c r="L146" i="13"/>
  <c r="I147" i="13"/>
  <c r="J147" i="13"/>
  <c r="K147" i="13"/>
  <c r="L147" i="13"/>
  <c r="I148" i="13"/>
  <c r="J148" i="13"/>
  <c r="K148" i="13"/>
  <c r="L148" i="13"/>
  <c r="I149" i="13"/>
  <c r="J149" i="13"/>
  <c r="K149" i="13"/>
  <c r="L149" i="13"/>
  <c r="I150" i="13"/>
  <c r="J150" i="13"/>
  <c r="K150" i="13"/>
  <c r="L150" i="13"/>
  <c r="I151" i="13"/>
  <c r="J151" i="13"/>
  <c r="K151" i="13"/>
  <c r="L151" i="13"/>
  <c r="I152" i="13"/>
  <c r="J152" i="13"/>
  <c r="K152" i="13"/>
  <c r="L152" i="13"/>
  <c r="I153" i="13"/>
  <c r="J153" i="13"/>
  <c r="K153" i="13"/>
  <c r="L153" i="13"/>
  <c r="I154" i="13"/>
  <c r="J154" i="13"/>
  <c r="K154" i="13"/>
  <c r="L154" i="13"/>
  <c r="I155" i="13"/>
  <c r="J155" i="13"/>
  <c r="K155" i="13"/>
  <c r="L155" i="13"/>
  <c r="I156" i="13"/>
  <c r="J156" i="13"/>
  <c r="K156" i="13"/>
  <c r="L156" i="13"/>
  <c r="I157" i="13"/>
  <c r="J157" i="13"/>
  <c r="K157" i="13"/>
  <c r="L157" i="13"/>
  <c r="I158" i="13"/>
  <c r="J158" i="13"/>
  <c r="K158" i="13"/>
  <c r="L158" i="13"/>
  <c r="I159" i="13"/>
  <c r="J159" i="13"/>
  <c r="K159" i="13"/>
  <c r="L159" i="13"/>
  <c r="I160" i="13"/>
  <c r="J160" i="13"/>
  <c r="K160" i="13"/>
  <c r="L160" i="13"/>
  <c r="I161" i="13"/>
  <c r="J161" i="13"/>
  <c r="K161" i="13"/>
  <c r="L161" i="13"/>
  <c r="I162" i="13"/>
  <c r="J162" i="13"/>
  <c r="K162" i="13"/>
  <c r="L162" i="13"/>
  <c r="I163" i="13"/>
  <c r="J163" i="13"/>
  <c r="K163" i="13"/>
  <c r="L163" i="13"/>
  <c r="I164" i="13"/>
  <c r="J164" i="13"/>
  <c r="K164" i="13"/>
  <c r="L164" i="13"/>
  <c r="I165" i="13"/>
  <c r="J165" i="13"/>
  <c r="K165" i="13"/>
  <c r="L165" i="13"/>
  <c r="I166" i="13"/>
  <c r="J166" i="13"/>
  <c r="K166" i="13"/>
  <c r="L166" i="13"/>
  <c r="I167" i="13"/>
  <c r="J167" i="13"/>
  <c r="K167" i="13"/>
  <c r="L167" i="13"/>
  <c r="I168" i="13"/>
  <c r="J168" i="13"/>
  <c r="K168" i="13"/>
  <c r="L168" i="13"/>
  <c r="I169" i="13"/>
  <c r="J169" i="13"/>
  <c r="K169" i="13"/>
  <c r="L169" i="13"/>
  <c r="I170" i="13"/>
  <c r="J170" i="13"/>
  <c r="K170" i="13"/>
  <c r="L170" i="13"/>
  <c r="I171" i="13"/>
  <c r="J171" i="13"/>
  <c r="K171" i="13"/>
  <c r="L171" i="13"/>
  <c r="I172" i="13"/>
  <c r="J172" i="13"/>
  <c r="K172" i="13"/>
  <c r="L172" i="13"/>
  <c r="I173" i="13"/>
  <c r="J173" i="13"/>
  <c r="K173" i="13"/>
  <c r="L173" i="13"/>
  <c r="I174" i="13"/>
  <c r="J174" i="13"/>
  <c r="K174" i="13"/>
  <c r="L174" i="13"/>
  <c r="I175" i="13"/>
  <c r="J175" i="13"/>
  <c r="K175" i="13"/>
  <c r="L175" i="13"/>
  <c r="I176" i="13"/>
  <c r="J176" i="13"/>
  <c r="K176" i="13"/>
  <c r="L176" i="13"/>
  <c r="I177" i="13"/>
  <c r="J177" i="13"/>
  <c r="K177" i="13"/>
  <c r="L177" i="13"/>
  <c r="I178" i="13"/>
  <c r="J178" i="13"/>
  <c r="K178" i="13"/>
  <c r="L178" i="13"/>
  <c r="I179" i="13"/>
  <c r="J179" i="13"/>
  <c r="K179" i="13"/>
  <c r="L179" i="13"/>
  <c r="I180" i="13"/>
  <c r="J180" i="13"/>
  <c r="K180" i="13"/>
  <c r="L180" i="13"/>
  <c r="I181" i="13"/>
  <c r="J181" i="13"/>
  <c r="K181" i="13"/>
  <c r="L181" i="13"/>
  <c r="I182" i="13"/>
  <c r="J182" i="13"/>
  <c r="K182" i="13"/>
  <c r="L182" i="13"/>
  <c r="I183" i="13"/>
  <c r="J183" i="13"/>
  <c r="K183" i="13"/>
  <c r="L183" i="13"/>
  <c r="I184" i="13"/>
  <c r="J184" i="13"/>
  <c r="K184" i="13"/>
  <c r="L184" i="13"/>
  <c r="I185" i="13"/>
  <c r="J185" i="13"/>
  <c r="K185" i="13"/>
  <c r="L185" i="13"/>
  <c r="I186" i="13"/>
  <c r="J186" i="13"/>
  <c r="K186" i="13"/>
  <c r="L186" i="13"/>
  <c r="I187" i="13"/>
  <c r="J187" i="13"/>
  <c r="K187" i="13"/>
  <c r="L187" i="13"/>
  <c r="I188" i="13"/>
  <c r="J188" i="13"/>
  <c r="K188" i="13"/>
  <c r="L188" i="13"/>
  <c r="I189" i="13"/>
  <c r="J189" i="13"/>
  <c r="K189" i="13"/>
  <c r="L189" i="13"/>
  <c r="I190" i="13"/>
  <c r="J190" i="13"/>
  <c r="K190" i="13"/>
  <c r="L190" i="13"/>
  <c r="I191" i="13"/>
  <c r="J191" i="13"/>
  <c r="K191" i="13"/>
  <c r="L191" i="13"/>
  <c r="I192" i="13"/>
  <c r="J192" i="13"/>
  <c r="K192" i="13"/>
  <c r="L192" i="13"/>
  <c r="I193" i="13"/>
  <c r="J193" i="13"/>
  <c r="K193" i="13"/>
  <c r="L193" i="13"/>
  <c r="I194" i="13"/>
  <c r="J194" i="13"/>
  <c r="K194" i="13"/>
  <c r="L194" i="13"/>
  <c r="I195" i="13"/>
  <c r="J195" i="13"/>
  <c r="K195" i="13"/>
  <c r="L195" i="13"/>
  <c r="I193" i="12"/>
  <c r="J193" i="12"/>
  <c r="K193" i="12"/>
  <c r="L193" i="12"/>
  <c r="I194" i="12"/>
  <c r="J194" i="12"/>
  <c r="K194" i="12"/>
  <c r="L194" i="12"/>
  <c r="I195" i="12"/>
  <c r="J195" i="12"/>
  <c r="K195" i="12"/>
  <c r="L195" i="12"/>
  <c r="I196" i="12"/>
  <c r="J196" i="12"/>
  <c r="K196" i="12"/>
  <c r="L196" i="12"/>
  <c r="I197" i="12"/>
  <c r="J197" i="12"/>
  <c r="K197" i="12"/>
  <c r="L197" i="12"/>
  <c r="I198" i="12"/>
  <c r="J198" i="12"/>
  <c r="K198" i="12"/>
  <c r="L198" i="12"/>
  <c r="I199" i="12"/>
  <c r="J199" i="12"/>
  <c r="K199" i="12"/>
  <c r="L199" i="12"/>
  <c r="I200" i="12"/>
  <c r="J200" i="12"/>
  <c r="K200" i="12"/>
  <c r="L200" i="12"/>
  <c r="I201" i="12"/>
  <c r="J201" i="12"/>
  <c r="K201" i="12"/>
  <c r="L201" i="12"/>
  <c r="I202" i="12"/>
  <c r="J202" i="12"/>
  <c r="K202" i="12"/>
  <c r="L202" i="12"/>
  <c r="M202" i="12"/>
  <c r="N202" i="12"/>
  <c r="I203" i="12"/>
  <c r="J203" i="12"/>
  <c r="K203" i="12"/>
  <c r="L203" i="12"/>
  <c r="M203" i="12"/>
  <c r="N203" i="12"/>
  <c r="I204" i="12"/>
  <c r="Z204" i="12" s="1"/>
  <c r="Y204" i="12" s="1"/>
  <c r="J204" i="12"/>
  <c r="K204" i="12"/>
  <c r="L204" i="12"/>
  <c r="M204" i="12"/>
  <c r="N204" i="12"/>
  <c r="I13" i="12"/>
  <c r="J13" i="12"/>
  <c r="K13" i="12"/>
  <c r="L13" i="12"/>
  <c r="I14" i="12"/>
  <c r="J14" i="12"/>
  <c r="K14" i="12"/>
  <c r="L14" i="12"/>
  <c r="I15" i="12"/>
  <c r="J15" i="12"/>
  <c r="K15" i="12"/>
  <c r="L15" i="12"/>
  <c r="I16" i="12"/>
  <c r="J16" i="12"/>
  <c r="K16" i="12"/>
  <c r="L16" i="12"/>
  <c r="I17" i="12"/>
  <c r="J17" i="12"/>
  <c r="K17" i="12"/>
  <c r="L17" i="12"/>
  <c r="I18" i="12"/>
  <c r="J18" i="12"/>
  <c r="K18" i="12"/>
  <c r="L18" i="12"/>
  <c r="I19" i="12"/>
  <c r="J19" i="12"/>
  <c r="K19" i="12"/>
  <c r="L19" i="12"/>
  <c r="I20" i="12"/>
  <c r="J20" i="12"/>
  <c r="K20" i="12"/>
  <c r="L20" i="12"/>
  <c r="I21" i="12"/>
  <c r="J21" i="12"/>
  <c r="K21" i="12"/>
  <c r="L21" i="12"/>
  <c r="I22" i="12"/>
  <c r="J22" i="12"/>
  <c r="K22" i="12"/>
  <c r="L22" i="12"/>
  <c r="I23" i="12"/>
  <c r="J23" i="12"/>
  <c r="K23" i="12"/>
  <c r="L23" i="12"/>
  <c r="I24" i="12"/>
  <c r="J24" i="12"/>
  <c r="K24" i="12"/>
  <c r="L24" i="12"/>
  <c r="I25" i="12"/>
  <c r="J25" i="12"/>
  <c r="K25" i="12"/>
  <c r="L25" i="12"/>
  <c r="I26" i="12"/>
  <c r="J26" i="12"/>
  <c r="K26" i="12"/>
  <c r="L26" i="12"/>
  <c r="I27" i="12"/>
  <c r="J27" i="12"/>
  <c r="K27" i="12"/>
  <c r="L27" i="12"/>
  <c r="I28" i="12"/>
  <c r="J28" i="12"/>
  <c r="K28" i="12"/>
  <c r="L28" i="12"/>
  <c r="I29" i="12"/>
  <c r="J29" i="12"/>
  <c r="K29" i="12"/>
  <c r="L29" i="12"/>
  <c r="I30" i="12"/>
  <c r="J30" i="12"/>
  <c r="K30" i="12"/>
  <c r="L30" i="12"/>
  <c r="I31" i="12"/>
  <c r="J31" i="12"/>
  <c r="K31" i="12"/>
  <c r="L31" i="12"/>
  <c r="I32" i="12"/>
  <c r="J32" i="12"/>
  <c r="K32" i="12"/>
  <c r="L32" i="12"/>
  <c r="I33" i="12"/>
  <c r="J33" i="12"/>
  <c r="K33" i="12"/>
  <c r="L33" i="12"/>
  <c r="I34" i="12"/>
  <c r="J34" i="12"/>
  <c r="K34" i="12"/>
  <c r="L34" i="12"/>
  <c r="I35" i="12"/>
  <c r="J35" i="12"/>
  <c r="K35" i="12"/>
  <c r="L35" i="12"/>
  <c r="I36" i="12"/>
  <c r="J36" i="12"/>
  <c r="K36" i="12"/>
  <c r="L36" i="12"/>
  <c r="I37" i="12"/>
  <c r="J37" i="12"/>
  <c r="K37" i="12"/>
  <c r="L37" i="12"/>
  <c r="I38" i="12"/>
  <c r="J38" i="12"/>
  <c r="K38" i="12"/>
  <c r="L38" i="12"/>
  <c r="I39" i="12"/>
  <c r="J39" i="12"/>
  <c r="K39" i="12"/>
  <c r="L39" i="12"/>
  <c r="I40" i="12"/>
  <c r="J40" i="12"/>
  <c r="K40" i="12"/>
  <c r="L40" i="12"/>
  <c r="I41" i="12"/>
  <c r="J41" i="12"/>
  <c r="K41" i="12"/>
  <c r="L41" i="12"/>
  <c r="I42" i="12"/>
  <c r="J42" i="12"/>
  <c r="K42" i="12"/>
  <c r="L42" i="12"/>
  <c r="I43" i="12"/>
  <c r="J43" i="12"/>
  <c r="K43" i="12"/>
  <c r="L43" i="12"/>
  <c r="I44" i="12"/>
  <c r="J44" i="12"/>
  <c r="K44" i="12"/>
  <c r="L44" i="12"/>
  <c r="I45" i="12"/>
  <c r="J45" i="12"/>
  <c r="K45" i="12"/>
  <c r="L45" i="12"/>
  <c r="I46" i="12"/>
  <c r="J46" i="12"/>
  <c r="K46" i="12"/>
  <c r="L46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K50" i="12"/>
  <c r="L50" i="12"/>
  <c r="I51" i="12"/>
  <c r="J51" i="12"/>
  <c r="K51" i="12"/>
  <c r="L51" i="12"/>
  <c r="I52" i="12"/>
  <c r="J52" i="12"/>
  <c r="K52" i="12"/>
  <c r="L52" i="12"/>
  <c r="I53" i="12"/>
  <c r="J53" i="12"/>
  <c r="K53" i="12"/>
  <c r="L53" i="12"/>
  <c r="I54" i="12"/>
  <c r="J54" i="12"/>
  <c r="K54" i="12"/>
  <c r="L54" i="12"/>
  <c r="I55" i="12"/>
  <c r="J55" i="12"/>
  <c r="K55" i="12"/>
  <c r="L55" i="12"/>
  <c r="I56" i="12"/>
  <c r="J56" i="12"/>
  <c r="K56" i="12"/>
  <c r="L56" i="12"/>
  <c r="I57" i="12"/>
  <c r="J57" i="12"/>
  <c r="K57" i="12"/>
  <c r="L57" i="12"/>
  <c r="I58" i="12"/>
  <c r="J58" i="12"/>
  <c r="K58" i="12"/>
  <c r="L58" i="12"/>
  <c r="I59" i="12"/>
  <c r="J59" i="12"/>
  <c r="K59" i="12"/>
  <c r="L59" i="12"/>
  <c r="I60" i="12"/>
  <c r="J60" i="12"/>
  <c r="K60" i="12"/>
  <c r="L60" i="12"/>
  <c r="I61" i="12"/>
  <c r="J61" i="12"/>
  <c r="K61" i="12"/>
  <c r="L61" i="12"/>
  <c r="I62" i="12"/>
  <c r="J62" i="12"/>
  <c r="K62" i="12"/>
  <c r="L62" i="12"/>
  <c r="I63" i="12"/>
  <c r="J63" i="12"/>
  <c r="K63" i="12"/>
  <c r="L63" i="12"/>
  <c r="I64" i="12"/>
  <c r="J64" i="12"/>
  <c r="K64" i="12"/>
  <c r="L64" i="12"/>
  <c r="I65" i="12"/>
  <c r="J65" i="12"/>
  <c r="K65" i="12"/>
  <c r="L65" i="12"/>
  <c r="I66" i="12"/>
  <c r="J66" i="12"/>
  <c r="K66" i="12"/>
  <c r="L66" i="12"/>
  <c r="I67" i="12"/>
  <c r="J67" i="12"/>
  <c r="K67" i="12"/>
  <c r="L67" i="12"/>
  <c r="I68" i="12"/>
  <c r="J68" i="12"/>
  <c r="K68" i="12"/>
  <c r="L68" i="12"/>
  <c r="I69" i="12"/>
  <c r="J69" i="12"/>
  <c r="K69" i="12"/>
  <c r="L69" i="12"/>
  <c r="I70" i="12"/>
  <c r="J70" i="12"/>
  <c r="K70" i="12"/>
  <c r="L70" i="12"/>
  <c r="I71" i="12"/>
  <c r="J71" i="12"/>
  <c r="K71" i="12"/>
  <c r="L71" i="12"/>
  <c r="I72" i="12"/>
  <c r="J72" i="12"/>
  <c r="K72" i="12"/>
  <c r="L72" i="12"/>
  <c r="I73" i="12"/>
  <c r="J73" i="12"/>
  <c r="K73" i="12"/>
  <c r="L73" i="12"/>
  <c r="I74" i="12"/>
  <c r="J74" i="12"/>
  <c r="K74" i="12"/>
  <c r="L74" i="12"/>
  <c r="I75" i="12"/>
  <c r="J75" i="12"/>
  <c r="K75" i="12"/>
  <c r="L75" i="12"/>
  <c r="I76" i="12"/>
  <c r="J76" i="12"/>
  <c r="K76" i="12"/>
  <c r="L76" i="12"/>
  <c r="I77" i="12"/>
  <c r="J77" i="12"/>
  <c r="K77" i="12"/>
  <c r="L77" i="12"/>
  <c r="I78" i="12"/>
  <c r="J78" i="12"/>
  <c r="K78" i="12"/>
  <c r="L78" i="12"/>
  <c r="I79" i="12"/>
  <c r="J79" i="12"/>
  <c r="K79" i="12"/>
  <c r="L79" i="12"/>
  <c r="I80" i="12"/>
  <c r="J80" i="12"/>
  <c r="K80" i="12"/>
  <c r="L80" i="12"/>
  <c r="I81" i="12"/>
  <c r="J81" i="12"/>
  <c r="K81" i="12"/>
  <c r="L81" i="12"/>
  <c r="I82" i="12"/>
  <c r="J82" i="12"/>
  <c r="K82" i="12"/>
  <c r="L82" i="12"/>
  <c r="I83" i="12"/>
  <c r="J83" i="12"/>
  <c r="K83" i="12"/>
  <c r="L83" i="12"/>
  <c r="I84" i="12"/>
  <c r="J84" i="12"/>
  <c r="K84" i="12"/>
  <c r="L84" i="12"/>
  <c r="I85" i="12"/>
  <c r="J85" i="12"/>
  <c r="K85" i="12"/>
  <c r="L85" i="12"/>
  <c r="I86" i="12"/>
  <c r="J86" i="12"/>
  <c r="K86" i="12"/>
  <c r="L86" i="12"/>
  <c r="I87" i="12"/>
  <c r="J87" i="12"/>
  <c r="K87" i="12"/>
  <c r="L87" i="12"/>
  <c r="I88" i="12"/>
  <c r="J88" i="12"/>
  <c r="K88" i="12"/>
  <c r="L88" i="12"/>
  <c r="I89" i="12"/>
  <c r="J89" i="12"/>
  <c r="K89" i="12"/>
  <c r="L89" i="12"/>
  <c r="I90" i="12"/>
  <c r="J90" i="12"/>
  <c r="K90" i="12"/>
  <c r="L90" i="12"/>
  <c r="I91" i="12"/>
  <c r="J91" i="12"/>
  <c r="K91" i="12"/>
  <c r="L91" i="12"/>
  <c r="I92" i="12"/>
  <c r="J92" i="12"/>
  <c r="K92" i="12"/>
  <c r="L92" i="12"/>
  <c r="I93" i="12"/>
  <c r="J93" i="12"/>
  <c r="K93" i="12"/>
  <c r="L93" i="12"/>
  <c r="I94" i="12"/>
  <c r="J94" i="12"/>
  <c r="K94" i="12"/>
  <c r="L94" i="12"/>
  <c r="I95" i="12"/>
  <c r="J95" i="12"/>
  <c r="K95" i="12"/>
  <c r="L95" i="12"/>
  <c r="I96" i="12"/>
  <c r="J96" i="12"/>
  <c r="K96" i="12"/>
  <c r="L96" i="12"/>
  <c r="I97" i="12"/>
  <c r="J97" i="12"/>
  <c r="K97" i="12"/>
  <c r="L97" i="12"/>
  <c r="I98" i="12"/>
  <c r="J98" i="12"/>
  <c r="K98" i="12"/>
  <c r="L98" i="12"/>
  <c r="I99" i="12"/>
  <c r="J99" i="12"/>
  <c r="K99" i="12"/>
  <c r="L99" i="12"/>
  <c r="I100" i="12"/>
  <c r="J100" i="12"/>
  <c r="K100" i="12"/>
  <c r="L100" i="12"/>
  <c r="I101" i="12"/>
  <c r="J101" i="12"/>
  <c r="K101" i="12"/>
  <c r="L101" i="12"/>
  <c r="I102" i="12"/>
  <c r="J102" i="12"/>
  <c r="K102" i="12"/>
  <c r="L102" i="12"/>
  <c r="I103" i="12"/>
  <c r="J103" i="12"/>
  <c r="K103" i="12"/>
  <c r="L103" i="12"/>
  <c r="I104" i="12"/>
  <c r="J104" i="12"/>
  <c r="K104" i="12"/>
  <c r="L104" i="12"/>
  <c r="I105" i="12"/>
  <c r="J105" i="12"/>
  <c r="K105" i="12"/>
  <c r="L105" i="12"/>
  <c r="I106" i="12"/>
  <c r="J106" i="12"/>
  <c r="K106" i="12"/>
  <c r="L106" i="12"/>
  <c r="I107" i="12"/>
  <c r="J107" i="12"/>
  <c r="K107" i="12"/>
  <c r="L107" i="12"/>
  <c r="I108" i="12"/>
  <c r="J108" i="12"/>
  <c r="K108" i="12"/>
  <c r="L108" i="12"/>
  <c r="I109" i="12"/>
  <c r="J109" i="12"/>
  <c r="K109" i="12"/>
  <c r="L109" i="12"/>
  <c r="I110" i="12"/>
  <c r="J110" i="12"/>
  <c r="K110" i="12"/>
  <c r="L110" i="12"/>
  <c r="I111" i="12"/>
  <c r="J111" i="12"/>
  <c r="K111" i="12"/>
  <c r="L111" i="12"/>
  <c r="I112" i="12"/>
  <c r="J112" i="12"/>
  <c r="K112" i="12"/>
  <c r="L112" i="12"/>
  <c r="I113" i="12"/>
  <c r="J113" i="12"/>
  <c r="K113" i="12"/>
  <c r="L113" i="12"/>
  <c r="I114" i="12"/>
  <c r="J114" i="12"/>
  <c r="K114" i="12"/>
  <c r="L114" i="12"/>
  <c r="I115" i="12"/>
  <c r="J115" i="12"/>
  <c r="K115" i="12"/>
  <c r="L115" i="12"/>
  <c r="I116" i="12"/>
  <c r="J116" i="12"/>
  <c r="K116" i="12"/>
  <c r="L116" i="12"/>
  <c r="I117" i="12"/>
  <c r="J117" i="12"/>
  <c r="K117" i="12"/>
  <c r="L117" i="12"/>
  <c r="I118" i="12"/>
  <c r="J118" i="12"/>
  <c r="K118" i="12"/>
  <c r="L118" i="12"/>
  <c r="I119" i="12"/>
  <c r="J119" i="12"/>
  <c r="K119" i="12"/>
  <c r="L119" i="12"/>
  <c r="I120" i="12"/>
  <c r="J120" i="12"/>
  <c r="K120" i="12"/>
  <c r="L120" i="12"/>
  <c r="I121" i="12"/>
  <c r="J121" i="12"/>
  <c r="K121" i="12"/>
  <c r="L121" i="12"/>
  <c r="I122" i="12"/>
  <c r="J122" i="12"/>
  <c r="K122" i="12"/>
  <c r="L122" i="12"/>
  <c r="I123" i="12"/>
  <c r="J123" i="12"/>
  <c r="K123" i="12"/>
  <c r="L123" i="12"/>
  <c r="I124" i="12"/>
  <c r="J124" i="12"/>
  <c r="K124" i="12"/>
  <c r="L124" i="12"/>
  <c r="I125" i="12"/>
  <c r="J125" i="12"/>
  <c r="K125" i="12"/>
  <c r="L125" i="12"/>
  <c r="I126" i="12"/>
  <c r="J126" i="12"/>
  <c r="K126" i="12"/>
  <c r="L126" i="12"/>
  <c r="I127" i="12"/>
  <c r="J127" i="12"/>
  <c r="K127" i="12"/>
  <c r="L127" i="12"/>
  <c r="I128" i="12"/>
  <c r="J128" i="12"/>
  <c r="K128" i="12"/>
  <c r="L128" i="12"/>
  <c r="I129" i="12"/>
  <c r="J129" i="12"/>
  <c r="K129" i="12"/>
  <c r="L129" i="12"/>
  <c r="I130" i="12"/>
  <c r="J130" i="12"/>
  <c r="K130" i="12"/>
  <c r="L130" i="12"/>
  <c r="I131" i="12"/>
  <c r="J131" i="12"/>
  <c r="K131" i="12"/>
  <c r="L131" i="12"/>
  <c r="I132" i="12"/>
  <c r="J132" i="12"/>
  <c r="K132" i="12"/>
  <c r="L132" i="12"/>
  <c r="I133" i="12"/>
  <c r="J133" i="12"/>
  <c r="K133" i="12"/>
  <c r="L133" i="12"/>
  <c r="I134" i="12"/>
  <c r="J134" i="12"/>
  <c r="K134" i="12"/>
  <c r="L134" i="12"/>
  <c r="I135" i="12"/>
  <c r="J135" i="12"/>
  <c r="K135" i="12"/>
  <c r="L135" i="12"/>
  <c r="I136" i="12"/>
  <c r="J136" i="12"/>
  <c r="K136" i="12"/>
  <c r="L136" i="12"/>
  <c r="I137" i="12"/>
  <c r="J137" i="12"/>
  <c r="K137" i="12"/>
  <c r="L137" i="12"/>
  <c r="I138" i="12"/>
  <c r="J138" i="12"/>
  <c r="K138" i="12"/>
  <c r="L138" i="12"/>
  <c r="I139" i="12"/>
  <c r="J139" i="12"/>
  <c r="K139" i="12"/>
  <c r="L139" i="12"/>
  <c r="I140" i="12"/>
  <c r="J140" i="12"/>
  <c r="K140" i="12"/>
  <c r="L140" i="12"/>
  <c r="I141" i="12"/>
  <c r="J141" i="12"/>
  <c r="K141" i="12"/>
  <c r="L141" i="12"/>
  <c r="I142" i="12"/>
  <c r="J142" i="12"/>
  <c r="K142" i="12"/>
  <c r="L142" i="12"/>
  <c r="I143" i="12"/>
  <c r="J143" i="12"/>
  <c r="K143" i="12"/>
  <c r="L143" i="12"/>
  <c r="I144" i="12"/>
  <c r="J144" i="12"/>
  <c r="K144" i="12"/>
  <c r="L144" i="12"/>
  <c r="I145" i="12"/>
  <c r="J145" i="12"/>
  <c r="K145" i="12"/>
  <c r="L145" i="12"/>
  <c r="I146" i="12"/>
  <c r="J146" i="12"/>
  <c r="K146" i="12"/>
  <c r="L146" i="12"/>
  <c r="I147" i="12"/>
  <c r="J147" i="12"/>
  <c r="K147" i="12"/>
  <c r="L147" i="12"/>
  <c r="I148" i="12"/>
  <c r="J148" i="12"/>
  <c r="K148" i="12"/>
  <c r="L148" i="12"/>
  <c r="I149" i="12"/>
  <c r="J149" i="12"/>
  <c r="K149" i="12"/>
  <c r="L149" i="12"/>
  <c r="I150" i="12"/>
  <c r="J150" i="12"/>
  <c r="K150" i="12"/>
  <c r="L150" i="12"/>
  <c r="I151" i="12"/>
  <c r="J151" i="12"/>
  <c r="K151" i="12"/>
  <c r="L151" i="12"/>
  <c r="I152" i="12"/>
  <c r="J152" i="12"/>
  <c r="K152" i="12"/>
  <c r="L152" i="12"/>
  <c r="I153" i="12"/>
  <c r="J153" i="12"/>
  <c r="K153" i="12"/>
  <c r="L153" i="12"/>
  <c r="I154" i="12"/>
  <c r="J154" i="12"/>
  <c r="K154" i="12"/>
  <c r="L154" i="12"/>
  <c r="I155" i="12"/>
  <c r="J155" i="12"/>
  <c r="K155" i="12"/>
  <c r="L155" i="12"/>
  <c r="I156" i="12"/>
  <c r="J156" i="12"/>
  <c r="K156" i="12"/>
  <c r="L156" i="12"/>
  <c r="I157" i="12"/>
  <c r="J157" i="12"/>
  <c r="K157" i="12"/>
  <c r="L157" i="12"/>
  <c r="I158" i="12"/>
  <c r="J158" i="12"/>
  <c r="K158" i="12"/>
  <c r="L158" i="12"/>
  <c r="I159" i="12"/>
  <c r="J159" i="12"/>
  <c r="K159" i="12"/>
  <c r="L159" i="12"/>
  <c r="I160" i="12"/>
  <c r="J160" i="12"/>
  <c r="K160" i="12"/>
  <c r="L160" i="12"/>
  <c r="I161" i="12"/>
  <c r="J161" i="12"/>
  <c r="K161" i="12"/>
  <c r="L161" i="12"/>
  <c r="I162" i="12"/>
  <c r="J162" i="12"/>
  <c r="K162" i="12"/>
  <c r="L162" i="12"/>
  <c r="I163" i="12"/>
  <c r="J163" i="12"/>
  <c r="K163" i="12"/>
  <c r="L163" i="12"/>
  <c r="I164" i="12"/>
  <c r="J164" i="12"/>
  <c r="K164" i="12"/>
  <c r="L164" i="12"/>
  <c r="I165" i="12"/>
  <c r="J165" i="12"/>
  <c r="K165" i="12"/>
  <c r="L165" i="12"/>
  <c r="I166" i="12"/>
  <c r="J166" i="12"/>
  <c r="K166" i="12"/>
  <c r="L166" i="12"/>
  <c r="I167" i="12"/>
  <c r="J167" i="12"/>
  <c r="K167" i="12"/>
  <c r="L167" i="12"/>
  <c r="I168" i="12"/>
  <c r="J168" i="12"/>
  <c r="K168" i="12"/>
  <c r="L168" i="12"/>
  <c r="I169" i="12"/>
  <c r="J169" i="12"/>
  <c r="K169" i="12"/>
  <c r="L169" i="12"/>
  <c r="I170" i="12"/>
  <c r="J170" i="12"/>
  <c r="K170" i="12"/>
  <c r="L170" i="12"/>
  <c r="I171" i="12"/>
  <c r="J171" i="12"/>
  <c r="K171" i="12"/>
  <c r="L171" i="12"/>
  <c r="I172" i="12"/>
  <c r="J172" i="12"/>
  <c r="K172" i="12"/>
  <c r="L172" i="12"/>
  <c r="I173" i="12"/>
  <c r="J173" i="12"/>
  <c r="K173" i="12"/>
  <c r="L173" i="12"/>
  <c r="I174" i="12"/>
  <c r="J174" i="12"/>
  <c r="K174" i="12"/>
  <c r="L174" i="12"/>
  <c r="I175" i="12"/>
  <c r="J175" i="12"/>
  <c r="K175" i="12"/>
  <c r="L175" i="12"/>
  <c r="I176" i="12"/>
  <c r="J176" i="12"/>
  <c r="K176" i="12"/>
  <c r="L176" i="12"/>
  <c r="I177" i="12"/>
  <c r="J177" i="12"/>
  <c r="K177" i="12"/>
  <c r="L177" i="12"/>
  <c r="I178" i="12"/>
  <c r="J178" i="12"/>
  <c r="K178" i="12"/>
  <c r="L178" i="12"/>
  <c r="I179" i="12"/>
  <c r="J179" i="12"/>
  <c r="K179" i="12"/>
  <c r="L179" i="12"/>
  <c r="I180" i="12"/>
  <c r="J180" i="12"/>
  <c r="K180" i="12"/>
  <c r="L180" i="12"/>
  <c r="I181" i="12"/>
  <c r="J181" i="12"/>
  <c r="K181" i="12"/>
  <c r="L181" i="12"/>
  <c r="I182" i="12"/>
  <c r="J182" i="12"/>
  <c r="K182" i="12"/>
  <c r="L182" i="12"/>
  <c r="I183" i="12"/>
  <c r="J183" i="12"/>
  <c r="K183" i="12"/>
  <c r="L183" i="12"/>
  <c r="I184" i="12"/>
  <c r="J184" i="12"/>
  <c r="K184" i="12"/>
  <c r="L184" i="12"/>
  <c r="I185" i="12"/>
  <c r="J185" i="12"/>
  <c r="K185" i="12"/>
  <c r="L185" i="12"/>
  <c r="I186" i="12"/>
  <c r="J186" i="12"/>
  <c r="K186" i="12"/>
  <c r="L186" i="12"/>
  <c r="I187" i="12"/>
  <c r="J187" i="12"/>
  <c r="K187" i="12"/>
  <c r="L187" i="12"/>
  <c r="I188" i="12"/>
  <c r="J188" i="12"/>
  <c r="K188" i="12"/>
  <c r="L188" i="12"/>
  <c r="I189" i="12"/>
  <c r="J189" i="12"/>
  <c r="K189" i="12"/>
  <c r="L189" i="12"/>
  <c r="I190" i="12"/>
  <c r="J190" i="12"/>
  <c r="K190" i="12"/>
  <c r="L190" i="12"/>
  <c r="I191" i="12"/>
  <c r="J191" i="12"/>
  <c r="K191" i="12"/>
  <c r="L191" i="12"/>
  <c r="I192" i="12"/>
  <c r="J192" i="12"/>
  <c r="K192" i="12"/>
  <c r="L192" i="12"/>
  <c r="S5" i="1"/>
  <c r="V5" i="1"/>
  <c r="AF5" i="12"/>
  <c r="AB5" i="1"/>
  <c r="S4" i="1"/>
  <c r="V4" i="1"/>
  <c r="AB4" i="1"/>
  <c r="AI13" i="12" s="1"/>
  <c r="S2" i="1"/>
  <c r="V2" i="1"/>
  <c r="AB2" i="1"/>
  <c r="S13" i="1"/>
  <c r="V13" i="1"/>
  <c r="AB13" i="1"/>
  <c r="S14" i="1"/>
  <c r="Z16" i="12" s="1"/>
  <c r="V14" i="1"/>
  <c r="AB14" i="1"/>
  <c r="P16" i="1"/>
  <c r="S16" i="1"/>
  <c r="V16" i="1"/>
  <c r="AB16" i="1"/>
  <c r="P18" i="1"/>
  <c r="S18" i="1"/>
  <c r="Z18" i="12" s="1"/>
  <c r="V18" i="1"/>
  <c r="AC18" i="12" s="1"/>
  <c r="AB18" i="1"/>
  <c r="AI18" i="12" s="1"/>
  <c r="P19" i="1"/>
  <c r="S19" i="1"/>
  <c r="Z19" i="12" s="1"/>
  <c r="V19" i="1"/>
  <c r="AC19" i="12" s="1"/>
  <c r="AB19" i="1"/>
  <c r="AI19" i="12" s="1"/>
  <c r="P20" i="1"/>
  <c r="S20" i="1"/>
  <c r="Z20" i="12" s="1"/>
  <c r="V20" i="1"/>
  <c r="AC20" i="12" s="1"/>
  <c r="AB20" i="1"/>
  <c r="AI20" i="12" s="1"/>
  <c r="AH20" i="1"/>
  <c r="P21" i="1"/>
  <c r="S21" i="1"/>
  <c r="Z21" i="12" s="1"/>
  <c r="V21" i="1"/>
  <c r="AC21" i="12" s="1"/>
  <c r="AB21" i="1"/>
  <c r="AI21" i="12" s="1"/>
  <c r="AH21" i="1"/>
  <c r="P22" i="1"/>
  <c r="S22" i="1"/>
  <c r="Z22" i="12" s="1"/>
  <c r="V22" i="1"/>
  <c r="AC22" i="12" s="1"/>
  <c r="AB22" i="1"/>
  <c r="AI22" i="12" s="1"/>
  <c r="AH22" i="1"/>
  <c r="P23" i="1"/>
  <c r="S23" i="1"/>
  <c r="Z23" i="12" s="1"/>
  <c r="V23" i="1"/>
  <c r="AC23" i="12" s="1"/>
  <c r="AB23" i="1"/>
  <c r="AI23" i="12" s="1"/>
  <c r="AH23" i="1"/>
  <c r="P24" i="1"/>
  <c r="S24" i="1"/>
  <c r="Z24" i="12" s="1"/>
  <c r="V24" i="1"/>
  <c r="AC24" i="12" s="1"/>
  <c r="AB24" i="1"/>
  <c r="AI24" i="12" s="1"/>
  <c r="AH24" i="1"/>
  <c r="P25" i="1"/>
  <c r="S25" i="1"/>
  <c r="Z25" i="12" s="1"/>
  <c r="V25" i="1"/>
  <c r="AC25" i="12" s="1"/>
  <c r="AB25" i="1"/>
  <c r="AI25" i="12" s="1"/>
  <c r="AH25" i="1"/>
  <c r="P26" i="1"/>
  <c r="S26" i="1"/>
  <c r="Z26" i="12" s="1"/>
  <c r="V26" i="1"/>
  <c r="AC26" i="12" s="1"/>
  <c r="AB26" i="1"/>
  <c r="AI26" i="12" s="1"/>
  <c r="AH26" i="1"/>
  <c r="P27" i="1"/>
  <c r="S27" i="1"/>
  <c r="Z27" i="12" s="1"/>
  <c r="V27" i="1"/>
  <c r="AC27" i="12" s="1"/>
  <c r="AB27" i="1"/>
  <c r="AI27" i="12" s="1"/>
  <c r="AH27" i="1"/>
  <c r="P28" i="1"/>
  <c r="S28" i="1"/>
  <c r="Z28" i="12" s="1"/>
  <c r="V28" i="1"/>
  <c r="AC28" i="12" s="1"/>
  <c r="AB28" i="1"/>
  <c r="AI28" i="12" s="1"/>
  <c r="AH28" i="1"/>
  <c r="P29" i="1"/>
  <c r="S29" i="1"/>
  <c r="Z29" i="12" s="1"/>
  <c r="V29" i="1"/>
  <c r="AC29" i="12" s="1"/>
  <c r="AB29" i="1"/>
  <c r="AI29" i="12" s="1"/>
  <c r="AH29" i="1"/>
  <c r="P30" i="1"/>
  <c r="S30" i="1"/>
  <c r="Z30" i="12" s="1"/>
  <c r="V30" i="1"/>
  <c r="AC30" i="12" s="1"/>
  <c r="AB30" i="1"/>
  <c r="AI30" i="12" s="1"/>
  <c r="AH30" i="1"/>
  <c r="P31" i="1"/>
  <c r="S31" i="1"/>
  <c r="Z31" i="12" s="1"/>
  <c r="V31" i="1"/>
  <c r="AC31" i="12" s="1"/>
  <c r="AB31" i="1"/>
  <c r="AI31" i="12" s="1"/>
  <c r="AH31" i="1"/>
  <c r="P32" i="1"/>
  <c r="S32" i="1"/>
  <c r="Z32" i="12" s="1"/>
  <c r="V32" i="1"/>
  <c r="AC32" i="12" s="1"/>
  <c r="AB32" i="1"/>
  <c r="AI32" i="12" s="1"/>
  <c r="AH32" i="1"/>
  <c r="P33" i="1"/>
  <c r="S33" i="1"/>
  <c r="Z33" i="12" s="1"/>
  <c r="V33" i="1"/>
  <c r="AC33" i="12" s="1"/>
  <c r="AB33" i="1"/>
  <c r="AI33" i="12" s="1"/>
  <c r="AH33" i="1"/>
  <c r="P34" i="1"/>
  <c r="S34" i="1"/>
  <c r="Z34" i="12" s="1"/>
  <c r="V34" i="1"/>
  <c r="AC34" i="12" s="1"/>
  <c r="AB34" i="1"/>
  <c r="AI34" i="12" s="1"/>
  <c r="AH34" i="1"/>
  <c r="P35" i="1"/>
  <c r="S35" i="1"/>
  <c r="Z35" i="12" s="1"/>
  <c r="V35" i="1"/>
  <c r="AC35" i="12" s="1"/>
  <c r="AB35" i="1"/>
  <c r="AI35" i="12" s="1"/>
  <c r="AH35" i="1"/>
  <c r="P36" i="1"/>
  <c r="S36" i="1"/>
  <c r="Z36" i="12" s="1"/>
  <c r="V36" i="1"/>
  <c r="AC36" i="12" s="1"/>
  <c r="AB36" i="1"/>
  <c r="AI36" i="12" s="1"/>
  <c r="AH36" i="1"/>
  <c r="P37" i="1"/>
  <c r="S37" i="1"/>
  <c r="Z37" i="12" s="1"/>
  <c r="V37" i="1"/>
  <c r="AC37" i="12" s="1"/>
  <c r="AB37" i="1"/>
  <c r="AI37" i="12" s="1"/>
  <c r="AH37" i="1"/>
  <c r="P38" i="1"/>
  <c r="S38" i="1"/>
  <c r="Z38" i="12" s="1"/>
  <c r="V38" i="1"/>
  <c r="AC38" i="12" s="1"/>
  <c r="AB38" i="1"/>
  <c r="AI38" i="12" s="1"/>
  <c r="AH38" i="1"/>
  <c r="P39" i="1"/>
  <c r="S39" i="1"/>
  <c r="Z39" i="12" s="1"/>
  <c r="V39" i="1"/>
  <c r="AC39" i="12" s="1"/>
  <c r="AB39" i="1"/>
  <c r="AI39" i="12" s="1"/>
  <c r="AH39" i="1"/>
  <c r="P40" i="1"/>
  <c r="S40" i="1"/>
  <c r="Z40" i="12" s="1"/>
  <c r="V40" i="1"/>
  <c r="AC40" i="12" s="1"/>
  <c r="AB40" i="1"/>
  <c r="AI40" i="12" s="1"/>
  <c r="AH40" i="1"/>
  <c r="P41" i="1"/>
  <c r="S41" i="1"/>
  <c r="Z41" i="12" s="1"/>
  <c r="V41" i="1"/>
  <c r="AC41" i="12" s="1"/>
  <c r="AB41" i="1"/>
  <c r="AI41" i="12" s="1"/>
  <c r="AH41" i="1"/>
  <c r="P42" i="1"/>
  <c r="S42" i="1"/>
  <c r="Z42" i="12" s="1"/>
  <c r="V42" i="1"/>
  <c r="AC42" i="12" s="1"/>
  <c r="AB42" i="1"/>
  <c r="AI42" i="12" s="1"/>
  <c r="AH42" i="1"/>
  <c r="P43" i="1"/>
  <c r="S43" i="1"/>
  <c r="Z43" i="12" s="1"/>
  <c r="V43" i="1"/>
  <c r="AC43" i="12" s="1"/>
  <c r="AB43" i="1"/>
  <c r="AI43" i="12" s="1"/>
  <c r="AH43" i="1"/>
  <c r="P44" i="1"/>
  <c r="S44" i="1"/>
  <c r="Z44" i="12" s="1"/>
  <c r="V44" i="1"/>
  <c r="AC44" i="12" s="1"/>
  <c r="AB44" i="1"/>
  <c r="AI44" i="12" s="1"/>
  <c r="AH44" i="1"/>
  <c r="P45" i="1"/>
  <c r="S45" i="1"/>
  <c r="Z45" i="12" s="1"/>
  <c r="V45" i="1"/>
  <c r="AC45" i="12" s="1"/>
  <c r="AB45" i="1"/>
  <c r="AI45" i="12" s="1"/>
  <c r="AH45" i="1"/>
  <c r="P46" i="1"/>
  <c r="S46" i="1"/>
  <c r="Z46" i="12" s="1"/>
  <c r="V46" i="1"/>
  <c r="AC46" i="12" s="1"/>
  <c r="AB46" i="1"/>
  <c r="AI46" i="12" s="1"/>
  <c r="AH46" i="1"/>
  <c r="P47" i="1"/>
  <c r="S47" i="1"/>
  <c r="Z47" i="12" s="1"/>
  <c r="V47" i="1"/>
  <c r="AC47" i="12" s="1"/>
  <c r="AB47" i="1"/>
  <c r="AI47" i="12" s="1"/>
  <c r="AH47" i="1"/>
  <c r="P48" i="1"/>
  <c r="S48" i="1"/>
  <c r="Z48" i="12" s="1"/>
  <c r="V48" i="1"/>
  <c r="AC48" i="12" s="1"/>
  <c r="AB48" i="1"/>
  <c r="AI48" i="12" s="1"/>
  <c r="AH48" i="1"/>
  <c r="P49" i="1"/>
  <c r="S49" i="1"/>
  <c r="Z49" i="12" s="1"/>
  <c r="V49" i="1"/>
  <c r="AC49" i="12" s="1"/>
  <c r="AB49" i="1"/>
  <c r="AI49" i="12" s="1"/>
  <c r="AH49" i="1"/>
  <c r="P50" i="1"/>
  <c r="S50" i="1"/>
  <c r="Z50" i="12" s="1"/>
  <c r="V50" i="1"/>
  <c r="AC50" i="12" s="1"/>
  <c r="AB50" i="1"/>
  <c r="AI50" i="12" s="1"/>
  <c r="AH50" i="1"/>
  <c r="P51" i="1"/>
  <c r="S51" i="1"/>
  <c r="Z51" i="12" s="1"/>
  <c r="V51" i="1"/>
  <c r="AC51" i="12" s="1"/>
  <c r="AB51" i="1"/>
  <c r="AI51" i="12" s="1"/>
  <c r="AH51" i="1"/>
  <c r="P52" i="1"/>
  <c r="S52" i="1"/>
  <c r="Z52" i="12" s="1"/>
  <c r="V52" i="1"/>
  <c r="AC52" i="12" s="1"/>
  <c r="AB52" i="1"/>
  <c r="AI52" i="12" s="1"/>
  <c r="AH52" i="1"/>
  <c r="P53" i="1"/>
  <c r="S53" i="1"/>
  <c r="Z53" i="12" s="1"/>
  <c r="V53" i="1"/>
  <c r="AC53" i="12" s="1"/>
  <c r="AB53" i="1"/>
  <c r="AI53" i="12" s="1"/>
  <c r="AH53" i="1"/>
  <c r="P54" i="1"/>
  <c r="S54" i="1"/>
  <c r="Z54" i="12" s="1"/>
  <c r="V54" i="1"/>
  <c r="AC54" i="12" s="1"/>
  <c r="AB54" i="1"/>
  <c r="AI54" i="12" s="1"/>
  <c r="AH54" i="1"/>
  <c r="P55" i="1"/>
  <c r="S55" i="1"/>
  <c r="Z55" i="12" s="1"/>
  <c r="V55" i="1"/>
  <c r="AC55" i="12" s="1"/>
  <c r="AB55" i="1"/>
  <c r="AI55" i="12" s="1"/>
  <c r="AH55" i="1"/>
  <c r="P56" i="1"/>
  <c r="S56" i="1"/>
  <c r="Z56" i="12" s="1"/>
  <c r="V56" i="1"/>
  <c r="AC56" i="12" s="1"/>
  <c r="AB56" i="1"/>
  <c r="AI56" i="12" s="1"/>
  <c r="AH56" i="1"/>
  <c r="P57" i="1"/>
  <c r="S57" i="1"/>
  <c r="Z57" i="12" s="1"/>
  <c r="V57" i="1"/>
  <c r="AC57" i="12" s="1"/>
  <c r="AB57" i="1"/>
  <c r="AI57" i="12" s="1"/>
  <c r="AH57" i="1"/>
  <c r="P58" i="1"/>
  <c r="S58" i="1"/>
  <c r="Z58" i="12" s="1"/>
  <c r="V58" i="1"/>
  <c r="AC58" i="12" s="1"/>
  <c r="AB58" i="1"/>
  <c r="AI58" i="12" s="1"/>
  <c r="AH58" i="1"/>
  <c r="P59" i="1"/>
  <c r="S59" i="1"/>
  <c r="V59" i="1"/>
  <c r="W59" i="1"/>
  <c r="AB59" i="1"/>
  <c r="AF59" i="1"/>
  <c r="AH59" i="1"/>
  <c r="P60" i="1"/>
  <c r="S60" i="1"/>
  <c r="V60" i="1"/>
  <c r="W60" i="1"/>
  <c r="AB60" i="1"/>
  <c r="AF60" i="1"/>
  <c r="AH60" i="1"/>
  <c r="P61" i="1"/>
  <c r="S61" i="1"/>
  <c r="V61" i="1"/>
  <c r="W61" i="1"/>
  <c r="AB61" i="1"/>
  <c r="AF61" i="1"/>
  <c r="AH61" i="1"/>
  <c r="P62" i="1"/>
  <c r="S62" i="1"/>
  <c r="V62" i="1"/>
  <c r="W62" i="1"/>
  <c r="AB62" i="1"/>
  <c r="AF62" i="1"/>
  <c r="AH62" i="1"/>
  <c r="P63" i="1"/>
  <c r="S63" i="1"/>
  <c r="V63" i="1"/>
  <c r="W63" i="1"/>
  <c r="AB63" i="1"/>
  <c r="AF63" i="1"/>
  <c r="AH63" i="1"/>
  <c r="P64" i="1"/>
  <c r="S64" i="1"/>
  <c r="V64" i="1"/>
  <c r="W64" i="1"/>
  <c r="AB64" i="1"/>
  <c r="AF64" i="1"/>
  <c r="AH64" i="1"/>
  <c r="P65" i="1"/>
  <c r="S65" i="1"/>
  <c r="V65" i="1"/>
  <c r="W65" i="1"/>
  <c r="AB65" i="1"/>
  <c r="AF65" i="1"/>
  <c r="AH65" i="1"/>
  <c r="P66" i="1"/>
  <c r="S66" i="1"/>
  <c r="V66" i="1"/>
  <c r="W66" i="1"/>
  <c r="AB66" i="1"/>
  <c r="AF66" i="1"/>
  <c r="AH66" i="1"/>
  <c r="P67" i="1"/>
  <c r="S67" i="1"/>
  <c r="V67" i="1"/>
  <c r="W67" i="1"/>
  <c r="AB67" i="1"/>
  <c r="AF67" i="1"/>
  <c r="AH67" i="1"/>
  <c r="P68" i="1"/>
  <c r="S68" i="1"/>
  <c r="V68" i="1"/>
  <c r="W68" i="1"/>
  <c r="AB68" i="1"/>
  <c r="AF68" i="1"/>
  <c r="AH68" i="1"/>
  <c r="P69" i="1"/>
  <c r="S69" i="1"/>
  <c r="V69" i="1"/>
  <c r="W69" i="1"/>
  <c r="AB69" i="1"/>
  <c r="AF69" i="1"/>
  <c r="AH69" i="1"/>
  <c r="P70" i="1"/>
  <c r="S70" i="1"/>
  <c r="V70" i="1"/>
  <c r="W70" i="1"/>
  <c r="AB70" i="1"/>
  <c r="AF70" i="1"/>
  <c r="AH70" i="1"/>
  <c r="P71" i="1"/>
  <c r="S71" i="1"/>
  <c r="V71" i="1"/>
  <c r="W71" i="1"/>
  <c r="AB71" i="1"/>
  <c r="AF71" i="1"/>
  <c r="AH71" i="1"/>
  <c r="P72" i="1"/>
  <c r="S72" i="1"/>
  <c r="V72" i="1"/>
  <c r="W72" i="1"/>
  <c r="AB72" i="1"/>
  <c r="AF72" i="1"/>
  <c r="AH72" i="1"/>
  <c r="P73" i="1"/>
  <c r="S73" i="1"/>
  <c r="V73" i="1"/>
  <c r="W73" i="1"/>
  <c r="AB73" i="1"/>
  <c r="AF73" i="1"/>
  <c r="AH73" i="1"/>
  <c r="P74" i="1"/>
  <c r="S74" i="1"/>
  <c r="V74" i="1"/>
  <c r="W74" i="1"/>
  <c r="AB74" i="1"/>
  <c r="AF74" i="1"/>
  <c r="AH74" i="1"/>
  <c r="P75" i="1"/>
  <c r="S75" i="1"/>
  <c r="V75" i="1"/>
  <c r="W75" i="1"/>
  <c r="AB75" i="1"/>
  <c r="AF75" i="1"/>
  <c r="AH75" i="1"/>
  <c r="P76" i="1"/>
  <c r="S76" i="1"/>
  <c r="V76" i="1"/>
  <c r="W76" i="1"/>
  <c r="AB76" i="1"/>
  <c r="AF76" i="1"/>
  <c r="AH76" i="1"/>
  <c r="P77" i="1"/>
  <c r="S77" i="1"/>
  <c r="V77" i="1"/>
  <c r="W77" i="1"/>
  <c r="AB77" i="1"/>
  <c r="AF77" i="1"/>
  <c r="AH77" i="1"/>
  <c r="P78" i="1"/>
  <c r="S78" i="1"/>
  <c r="V78" i="1"/>
  <c r="W78" i="1"/>
  <c r="AB78" i="1"/>
  <c r="AF78" i="1"/>
  <c r="AH78" i="1"/>
  <c r="P79" i="1"/>
  <c r="S79" i="1"/>
  <c r="V79" i="1"/>
  <c r="W79" i="1"/>
  <c r="AB79" i="1"/>
  <c r="AF79" i="1"/>
  <c r="AH79" i="1"/>
  <c r="P80" i="1"/>
  <c r="S80" i="1"/>
  <c r="V80" i="1"/>
  <c r="W80" i="1"/>
  <c r="AB80" i="1"/>
  <c r="AF80" i="1"/>
  <c r="AH80" i="1"/>
  <c r="P81" i="1"/>
  <c r="S81" i="1"/>
  <c r="V81" i="1"/>
  <c r="W81" i="1"/>
  <c r="AB81" i="1"/>
  <c r="AF81" i="1"/>
  <c r="AH81" i="1"/>
  <c r="P82" i="1"/>
  <c r="S82" i="1"/>
  <c r="V82" i="1"/>
  <c r="W82" i="1"/>
  <c r="AB82" i="1"/>
  <c r="AF82" i="1"/>
  <c r="AH82" i="1"/>
  <c r="P83" i="1"/>
  <c r="S83" i="1"/>
  <c r="V83" i="1"/>
  <c r="W83" i="1"/>
  <c r="AB83" i="1"/>
  <c r="AF83" i="1"/>
  <c r="AH83" i="1"/>
  <c r="P84" i="1"/>
  <c r="S84" i="1"/>
  <c r="V84" i="1"/>
  <c r="W84" i="1"/>
  <c r="AB84" i="1"/>
  <c r="AF84" i="1"/>
  <c r="AH84" i="1"/>
  <c r="P85" i="1"/>
  <c r="S85" i="1"/>
  <c r="V85" i="1"/>
  <c r="W85" i="1"/>
  <c r="AB85" i="1"/>
  <c r="AF85" i="1"/>
  <c r="AH85" i="1"/>
  <c r="P86" i="1"/>
  <c r="S86" i="1"/>
  <c r="V86" i="1"/>
  <c r="W86" i="1"/>
  <c r="AB86" i="1"/>
  <c r="AF86" i="1"/>
  <c r="AH86" i="1"/>
  <c r="P87" i="1"/>
  <c r="S87" i="1"/>
  <c r="V87" i="1"/>
  <c r="W87" i="1"/>
  <c r="AB87" i="1"/>
  <c r="AF87" i="1"/>
  <c r="AH87" i="1"/>
  <c r="P88" i="1"/>
  <c r="S88" i="1"/>
  <c r="V88" i="1"/>
  <c r="W88" i="1"/>
  <c r="AB88" i="1"/>
  <c r="AF88" i="1"/>
  <c r="AH88" i="1"/>
  <c r="P89" i="1"/>
  <c r="S89" i="1"/>
  <c r="V89" i="1"/>
  <c r="W89" i="1"/>
  <c r="AB89" i="1"/>
  <c r="AF89" i="1"/>
  <c r="AH89" i="1"/>
  <c r="P90" i="1"/>
  <c r="S90" i="1"/>
  <c r="V90" i="1"/>
  <c r="W90" i="1"/>
  <c r="AB90" i="1"/>
  <c r="AF90" i="1"/>
  <c r="AH90" i="1"/>
  <c r="P91" i="1"/>
  <c r="S91" i="1"/>
  <c r="V91" i="1"/>
  <c r="W91" i="1"/>
  <c r="AB91" i="1"/>
  <c r="AF91" i="1"/>
  <c r="AH91" i="1"/>
  <c r="P92" i="1"/>
  <c r="S92" i="1"/>
  <c r="V92" i="1"/>
  <c r="W92" i="1"/>
  <c r="AB92" i="1"/>
  <c r="AF92" i="1"/>
  <c r="AH92" i="1"/>
  <c r="P93" i="1"/>
  <c r="S93" i="1"/>
  <c r="V93" i="1"/>
  <c r="W93" i="1"/>
  <c r="AB93" i="1"/>
  <c r="AF93" i="1"/>
  <c r="AH93" i="1"/>
  <c r="P94" i="1"/>
  <c r="S94" i="1"/>
  <c r="V94" i="1"/>
  <c r="W94" i="1"/>
  <c r="AB94" i="1"/>
  <c r="AF94" i="1"/>
  <c r="AH94" i="1"/>
  <c r="P95" i="1"/>
  <c r="S95" i="1"/>
  <c r="V95" i="1"/>
  <c r="W95" i="1"/>
  <c r="AB95" i="1"/>
  <c r="AF95" i="1"/>
  <c r="AH95" i="1"/>
  <c r="P96" i="1"/>
  <c r="S96" i="1"/>
  <c r="V96" i="1"/>
  <c r="W96" i="1"/>
  <c r="AB96" i="1"/>
  <c r="AF96" i="1"/>
  <c r="AH96" i="1"/>
  <c r="P97" i="1"/>
  <c r="S97" i="1"/>
  <c r="V97" i="1"/>
  <c r="W97" i="1"/>
  <c r="AB97" i="1"/>
  <c r="AF97" i="1"/>
  <c r="AH97" i="1"/>
  <c r="P98" i="1"/>
  <c r="S98" i="1"/>
  <c r="V98" i="1"/>
  <c r="W98" i="1"/>
  <c r="AB98" i="1"/>
  <c r="AF98" i="1"/>
  <c r="AH98" i="1"/>
  <c r="P99" i="1"/>
  <c r="S99" i="1"/>
  <c r="V99" i="1"/>
  <c r="W99" i="1"/>
  <c r="AB99" i="1"/>
  <c r="AF99" i="1"/>
  <c r="AH99" i="1"/>
  <c r="P100" i="1"/>
  <c r="S100" i="1"/>
  <c r="V100" i="1"/>
  <c r="W100" i="1"/>
  <c r="AB100" i="1"/>
  <c r="AF100" i="1"/>
  <c r="AH100" i="1"/>
  <c r="P101" i="1"/>
  <c r="S101" i="1"/>
  <c r="V101" i="1"/>
  <c r="W101" i="1"/>
  <c r="AB101" i="1"/>
  <c r="AF101" i="1"/>
  <c r="AH101" i="1"/>
  <c r="P102" i="1"/>
  <c r="S102" i="1"/>
  <c r="V102" i="1"/>
  <c r="W102" i="1"/>
  <c r="AB102" i="1"/>
  <c r="AF102" i="1"/>
  <c r="AH102" i="1"/>
  <c r="P103" i="1"/>
  <c r="S103" i="1"/>
  <c r="V103" i="1"/>
  <c r="W103" i="1"/>
  <c r="AB103" i="1"/>
  <c r="AF103" i="1"/>
  <c r="AH103" i="1"/>
  <c r="P104" i="1"/>
  <c r="S104" i="1"/>
  <c r="V104" i="1"/>
  <c r="W104" i="1"/>
  <c r="AB104" i="1"/>
  <c r="AF104" i="1"/>
  <c r="AH104" i="1"/>
  <c r="P105" i="1"/>
  <c r="S105" i="1"/>
  <c r="V105" i="1"/>
  <c r="W105" i="1"/>
  <c r="AB105" i="1"/>
  <c r="AF105" i="1"/>
  <c r="AH105" i="1"/>
  <c r="P106" i="1"/>
  <c r="S106" i="1"/>
  <c r="V106" i="1"/>
  <c r="W106" i="1"/>
  <c r="AB106" i="1"/>
  <c r="AF106" i="1"/>
  <c r="AH106" i="1"/>
  <c r="P107" i="1"/>
  <c r="S107" i="1"/>
  <c r="V107" i="1"/>
  <c r="W107" i="1"/>
  <c r="AB107" i="1"/>
  <c r="AF107" i="1"/>
  <c r="AH107" i="1"/>
  <c r="P108" i="1"/>
  <c r="S108" i="1"/>
  <c r="V108" i="1"/>
  <c r="W108" i="1"/>
  <c r="AB108" i="1"/>
  <c r="AF108" i="1"/>
  <c r="AH108" i="1"/>
  <c r="P109" i="1"/>
  <c r="S109" i="1"/>
  <c r="V109" i="1"/>
  <c r="W109" i="1"/>
  <c r="AB109" i="1"/>
  <c r="AF109" i="1"/>
  <c r="AH109" i="1"/>
  <c r="P110" i="1"/>
  <c r="S110" i="1"/>
  <c r="V110" i="1"/>
  <c r="W110" i="1"/>
  <c r="AB110" i="1"/>
  <c r="AF110" i="1"/>
  <c r="AH110" i="1"/>
  <c r="P111" i="1"/>
  <c r="S111" i="1"/>
  <c r="V111" i="1"/>
  <c r="W111" i="1"/>
  <c r="AB111" i="1"/>
  <c r="AF111" i="1"/>
  <c r="AH111" i="1"/>
  <c r="N112" i="1"/>
  <c r="P112" i="1"/>
  <c r="S112" i="1"/>
  <c r="V112" i="1"/>
  <c r="W112" i="1"/>
  <c r="AB112" i="1"/>
  <c r="AF112" i="1"/>
  <c r="AH112" i="1"/>
  <c r="P113" i="1"/>
  <c r="S113" i="1"/>
  <c r="V113" i="1"/>
  <c r="W113" i="1"/>
  <c r="AB113" i="1"/>
  <c r="AF113" i="1"/>
  <c r="AH113" i="1"/>
  <c r="P114" i="1"/>
  <c r="S114" i="1"/>
  <c r="V114" i="1"/>
  <c r="W114" i="1"/>
  <c r="AB114" i="1"/>
  <c r="AF114" i="1"/>
  <c r="AH114" i="1"/>
  <c r="P115" i="1"/>
  <c r="S115" i="1"/>
  <c r="V115" i="1"/>
  <c r="W115" i="1"/>
  <c r="AB115" i="1"/>
  <c r="AF115" i="1"/>
  <c r="AH115" i="1"/>
  <c r="P116" i="1"/>
  <c r="S116" i="1"/>
  <c r="V116" i="1"/>
  <c r="W116" i="1"/>
  <c r="AB116" i="1"/>
  <c r="AF116" i="1"/>
  <c r="AH116" i="1"/>
  <c r="P117" i="1"/>
  <c r="S117" i="1"/>
  <c r="V117" i="1"/>
  <c r="W117" i="1"/>
  <c r="AB117" i="1"/>
  <c r="AF117" i="1"/>
  <c r="AH117" i="1"/>
  <c r="P118" i="1"/>
  <c r="S118" i="1"/>
  <c r="V118" i="1"/>
  <c r="W118" i="1"/>
  <c r="AB118" i="1"/>
  <c r="AF118" i="1"/>
  <c r="AH118" i="1"/>
  <c r="P119" i="1"/>
  <c r="S119" i="1"/>
  <c r="V119" i="1"/>
  <c r="W119" i="1"/>
  <c r="AB119" i="1"/>
  <c r="AF119" i="1"/>
  <c r="AH119" i="1"/>
  <c r="P120" i="1"/>
  <c r="S120" i="1"/>
  <c r="V120" i="1"/>
  <c r="W120" i="1"/>
  <c r="AB120" i="1"/>
  <c r="AF120" i="1"/>
  <c r="AH120" i="1"/>
  <c r="P121" i="1"/>
  <c r="S121" i="1"/>
  <c r="V121" i="1"/>
  <c r="W121" i="1"/>
  <c r="AB121" i="1"/>
  <c r="AF121" i="1"/>
  <c r="AH121" i="1"/>
  <c r="P122" i="1"/>
  <c r="S122" i="1"/>
  <c r="V122" i="1"/>
  <c r="W122" i="1"/>
  <c r="AB122" i="1"/>
  <c r="AF122" i="1"/>
  <c r="AH122" i="1"/>
  <c r="P123" i="1"/>
  <c r="S123" i="1"/>
  <c r="V123" i="1"/>
  <c r="W123" i="1"/>
  <c r="AB123" i="1"/>
  <c r="AF123" i="1"/>
  <c r="AH123" i="1"/>
  <c r="P124" i="1"/>
  <c r="S124" i="1"/>
  <c r="V124" i="1"/>
  <c r="W124" i="1"/>
  <c r="AB124" i="1"/>
  <c r="AF124" i="1"/>
  <c r="AH124" i="1"/>
  <c r="P125" i="1"/>
  <c r="S125" i="1"/>
  <c r="V125" i="1"/>
  <c r="W125" i="1"/>
  <c r="AB125" i="1"/>
  <c r="AF125" i="1"/>
  <c r="AH125" i="1"/>
  <c r="P126" i="1"/>
  <c r="S126" i="1"/>
  <c r="V126" i="1"/>
  <c r="W126" i="1"/>
  <c r="AB126" i="1"/>
  <c r="AF126" i="1"/>
  <c r="AH126" i="1"/>
  <c r="P127" i="1"/>
  <c r="S127" i="1"/>
  <c r="V127" i="1"/>
  <c r="W127" i="1"/>
  <c r="AB127" i="1"/>
  <c r="AF127" i="1"/>
  <c r="AH127" i="1"/>
  <c r="N128" i="1"/>
  <c r="P128" i="1"/>
  <c r="S128" i="1"/>
  <c r="V128" i="1"/>
  <c r="W128" i="1"/>
  <c r="AB128" i="1"/>
  <c r="AF128" i="1"/>
  <c r="AH128" i="1"/>
  <c r="P129" i="1"/>
  <c r="S129" i="1"/>
  <c r="V129" i="1"/>
  <c r="W129" i="1"/>
  <c r="AB129" i="1"/>
  <c r="AF129" i="1"/>
  <c r="AH129" i="1"/>
  <c r="P130" i="1"/>
  <c r="S130" i="1"/>
  <c r="V130" i="1"/>
  <c r="W130" i="1"/>
  <c r="AB130" i="1"/>
  <c r="AF130" i="1"/>
  <c r="AH130" i="1"/>
  <c r="P131" i="1"/>
  <c r="S131" i="1"/>
  <c r="V131" i="1"/>
  <c r="W131" i="1"/>
  <c r="AB131" i="1"/>
  <c r="AF131" i="1"/>
  <c r="AH131" i="1"/>
  <c r="P132" i="1"/>
  <c r="S132" i="1"/>
  <c r="V132" i="1"/>
  <c r="W132" i="1"/>
  <c r="AB132" i="1"/>
  <c r="AF132" i="1"/>
  <c r="AH132" i="1"/>
  <c r="P133" i="1"/>
  <c r="S133" i="1"/>
  <c r="V133" i="1"/>
  <c r="W133" i="1"/>
  <c r="AB133" i="1"/>
  <c r="AF133" i="1"/>
  <c r="AH133" i="1"/>
  <c r="P134" i="1"/>
  <c r="S134" i="1"/>
  <c r="V134" i="1"/>
  <c r="W134" i="1"/>
  <c r="AB134" i="1"/>
  <c r="AF134" i="1"/>
  <c r="AH134" i="1"/>
  <c r="P135" i="1"/>
  <c r="S135" i="1"/>
  <c r="V135" i="1"/>
  <c r="W135" i="1"/>
  <c r="AB135" i="1"/>
  <c r="AF135" i="1"/>
  <c r="AH135" i="1"/>
  <c r="P136" i="1"/>
  <c r="S136" i="1"/>
  <c r="V136" i="1"/>
  <c r="W136" i="1"/>
  <c r="AB136" i="1"/>
  <c r="AF136" i="1"/>
  <c r="AH136" i="1"/>
  <c r="P137" i="1"/>
  <c r="S137" i="1"/>
  <c r="V137" i="1"/>
  <c r="W137" i="1"/>
  <c r="AB137" i="1"/>
  <c r="AF137" i="1"/>
  <c r="AH137" i="1"/>
  <c r="P138" i="1"/>
  <c r="S138" i="1"/>
  <c r="V138" i="1"/>
  <c r="W138" i="1"/>
  <c r="AB138" i="1"/>
  <c r="AF138" i="1"/>
  <c r="AH138" i="1"/>
  <c r="P139" i="1"/>
  <c r="S139" i="1"/>
  <c r="V139" i="1"/>
  <c r="W139" i="1"/>
  <c r="AB139" i="1"/>
  <c r="AF139" i="1"/>
  <c r="AH139" i="1"/>
  <c r="P140" i="1"/>
  <c r="S140" i="1"/>
  <c r="V140" i="1"/>
  <c r="W140" i="1"/>
  <c r="AB140" i="1"/>
  <c r="AF140" i="1"/>
  <c r="AH140" i="1"/>
  <c r="P141" i="1"/>
  <c r="S141" i="1"/>
  <c r="V141" i="1"/>
  <c r="W141" i="1"/>
  <c r="AB141" i="1"/>
  <c r="AF141" i="1"/>
  <c r="AH141" i="1"/>
  <c r="P142" i="1"/>
  <c r="S142" i="1"/>
  <c r="V142" i="1"/>
  <c r="W142" i="1"/>
  <c r="AB142" i="1"/>
  <c r="AF142" i="1"/>
  <c r="AH142" i="1"/>
  <c r="P143" i="1"/>
  <c r="S143" i="1"/>
  <c r="V143" i="1"/>
  <c r="W143" i="1"/>
  <c r="AB143" i="1"/>
  <c r="AF143" i="1"/>
  <c r="AH143" i="1"/>
  <c r="P144" i="1"/>
  <c r="S144" i="1"/>
  <c r="V144" i="1"/>
  <c r="W144" i="1"/>
  <c r="AB144" i="1"/>
  <c r="AF144" i="1"/>
  <c r="AH144" i="1"/>
  <c r="P145" i="1"/>
  <c r="S145" i="1"/>
  <c r="V145" i="1"/>
  <c r="W145" i="1"/>
  <c r="AB145" i="1"/>
  <c r="AF145" i="1"/>
  <c r="AH145" i="1"/>
  <c r="P146" i="1"/>
  <c r="S146" i="1"/>
  <c r="V146" i="1"/>
  <c r="W146" i="1"/>
  <c r="AB146" i="1"/>
  <c r="AF146" i="1"/>
  <c r="AH146" i="1"/>
  <c r="P147" i="1"/>
  <c r="S147" i="1"/>
  <c r="V147" i="1"/>
  <c r="W147" i="1"/>
  <c r="AB147" i="1"/>
  <c r="AF147" i="1"/>
  <c r="AH147" i="1"/>
  <c r="P148" i="1"/>
  <c r="S148" i="1"/>
  <c r="V148" i="1"/>
  <c r="W148" i="1"/>
  <c r="AB148" i="1"/>
  <c r="AF148" i="1"/>
  <c r="AH148" i="1"/>
  <c r="P149" i="1"/>
  <c r="S149" i="1"/>
  <c r="V149" i="1"/>
  <c r="W149" i="1"/>
  <c r="AB149" i="1"/>
  <c r="AF149" i="1"/>
  <c r="AH149" i="1"/>
  <c r="P150" i="1"/>
  <c r="S150" i="1"/>
  <c r="V150" i="1"/>
  <c r="W150" i="1"/>
  <c r="AB150" i="1"/>
  <c r="AF150" i="1"/>
  <c r="AH150" i="1"/>
  <c r="P151" i="1"/>
  <c r="S151" i="1"/>
  <c r="V151" i="1"/>
  <c r="W151" i="1"/>
  <c r="AB151" i="1"/>
  <c r="AF151" i="1"/>
  <c r="AH151" i="1"/>
  <c r="N110" i="1"/>
  <c r="P152" i="1"/>
  <c r="S152" i="1"/>
  <c r="V152" i="1"/>
  <c r="W152" i="1"/>
  <c r="AB152" i="1"/>
  <c r="AF152" i="1"/>
  <c r="AH152" i="1"/>
  <c r="P153" i="1"/>
  <c r="S153" i="1"/>
  <c r="V153" i="1"/>
  <c r="W153" i="1"/>
  <c r="AB153" i="1"/>
  <c r="AF153" i="1"/>
  <c r="AH153" i="1"/>
  <c r="P154" i="1"/>
  <c r="S154" i="1"/>
  <c r="V154" i="1"/>
  <c r="W154" i="1"/>
  <c r="AB154" i="1"/>
  <c r="AF154" i="1"/>
  <c r="AH154" i="1"/>
  <c r="P155" i="1"/>
  <c r="S155" i="1"/>
  <c r="V155" i="1"/>
  <c r="W155" i="1"/>
  <c r="AB155" i="1"/>
  <c r="AF155" i="1"/>
  <c r="AH155" i="1"/>
  <c r="N156" i="1"/>
  <c r="P156" i="1"/>
  <c r="S156" i="1"/>
  <c r="V156" i="1"/>
  <c r="W156" i="1"/>
  <c r="AB156" i="1"/>
  <c r="AF156" i="1"/>
  <c r="AH156" i="1"/>
  <c r="P157" i="1"/>
  <c r="S157" i="1"/>
  <c r="V157" i="1"/>
  <c r="W157" i="1"/>
  <c r="AB157" i="1"/>
  <c r="AF157" i="1"/>
  <c r="AH157" i="1"/>
  <c r="P158" i="1"/>
  <c r="S158" i="1"/>
  <c r="V158" i="1"/>
  <c r="W158" i="1"/>
  <c r="AB158" i="1"/>
  <c r="AF158" i="1"/>
  <c r="AH158" i="1"/>
  <c r="P159" i="1"/>
  <c r="S159" i="1"/>
  <c r="V159" i="1"/>
  <c r="W159" i="1"/>
  <c r="AB159" i="1"/>
  <c r="AF159" i="1"/>
  <c r="AH159" i="1"/>
  <c r="N160" i="1"/>
  <c r="P160" i="1"/>
  <c r="S160" i="1"/>
  <c r="V160" i="1"/>
  <c r="W160" i="1"/>
  <c r="AB160" i="1"/>
  <c r="AF160" i="1"/>
  <c r="AH160" i="1"/>
  <c r="P161" i="1"/>
  <c r="S161" i="1"/>
  <c r="V161" i="1"/>
  <c r="W161" i="1"/>
  <c r="AB161" i="1"/>
  <c r="AF161" i="1"/>
  <c r="AH161" i="1"/>
  <c r="P162" i="1"/>
  <c r="S162" i="1"/>
  <c r="V162" i="1"/>
  <c r="W162" i="1"/>
  <c r="AB162" i="1"/>
  <c r="AF162" i="1"/>
  <c r="AH162" i="1"/>
  <c r="P163" i="1"/>
  <c r="S163" i="1"/>
  <c r="V163" i="1"/>
  <c r="W163" i="1"/>
  <c r="AB163" i="1"/>
  <c r="AF163" i="1"/>
  <c r="AH163" i="1"/>
  <c r="N164" i="1"/>
  <c r="P164" i="1"/>
  <c r="S164" i="1"/>
  <c r="V164" i="1"/>
  <c r="W164" i="1"/>
  <c r="AB164" i="1"/>
  <c r="AF164" i="1"/>
  <c r="AH164" i="1"/>
  <c r="P165" i="1"/>
  <c r="S165" i="1"/>
  <c r="V165" i="1"/>
  <c r="W165" i="1"/>
  <c r="AB165" i="1"/>
  <c r="AF165" i="1"/>
  <c r="AH165" i="1"/>
  <c r="P166" i="1"/>
  <c r="S166" i="1"/>
  <c r="T166" i="1" s="1"/>
  <c r="V166" i="1"/>
  <c r="W166" i="1"/>
  <c r="AB166" i="1"/>
  <c r="AF166" i="1"/>
  <c r="AH166" i="1"/>
  <c r="P167" i="1"/>
  <c r="S167" i="1"/>
  <c r="V167" i="1"/>
  <c r="W167" i="1"/>
  <c r="AB167" i="1"/>
  <c r="AF167" i="1"/>
  <c r="AH167" i="1"/>
  <c r="N168" i="1"/>
  <c r="P168" i="1"/>
  <c r="S168" i="1"/>
  <c r="V168" i="1"/>
  <c r="W168" i="1"/>
  <c r="AB168" i="1"/>
  <c r="AF168" i="1"/>
  <c r="AH168" i="1"/>
  <c r="P169" i="1"/>
  <c r="S169" i="1"/>
  <c r="V169" i="1"/>
  <c r="W169" i="1"/>
  <c r="AB169" i="1"/>
  <c r="AF169" i="1"/>
  <c r="AH169" i="1"/>
  <c r="P170" i="1"/>
  <c r="S170" i="1"/>
  <c r="V170" i="1"/>
  <c r="W170" i="1"/>
  <c r="Z170" i="1"/>
  <c r="AB170" i="1"/>
  <c r="AF170" i="1"/>
  <c r="AH170" i="1"/>
  <c r="P171" i="1"/>
  <c r="S171" i="1"/>
  <c r="V171" i="1"/>
  <c r="W171" i="1"/>
  <c r="AB171" i="1"/>
  <c r="AF171" i="1"/>
  <c r="AH171" i="1"/>
  <c r="P172" i="1"/>
  <c r="S172" i="1"/>
  <c r="T172" i="1"/>
  <c r="V172" i="1"/>
  <c r="W172" i="1"/>
  <c r="Z172" i="1"/>
  <c r="AB172" i="1"/>
  <c r="AF172" i="1"/>
  <c r="AH172" i="1"/>
  <c r="P173" i="1"/>
  <c r="Q173" i="1" s="1"/>
  <c r="S173" i="1"/>
  <c r="V173" i="1"/>
  <c r="W173" i="1"/>
  <c r="AB173" i="1"/>
  <c r="AF173" i="1"/>
  <c r="AH173" i="1"/>
  <c r="K174" i="1"/>
  <c r="P174" i="1"/>
  <c r="S174" i="1"/>
  <c r="T174" i="1"/>
  <c r="V174" i="1"/>
  <c r="W174" i="1"/>
  <c r="Z174" i="1"/>
  <c r="AB174" i="1"/>
  <c r="AF174" i="1"/>
  <c r="AH174" i="1"/>
  <c r="AI174" i="1" s="1"/>
  <c r="N175" i="1"/>
  <c r="P175" i="1"/>
  <c r="S175" i="1"/>
  <c r="T175" i="1" s="1"/>
  <c r="V175" i="1"/>
  <c r="W175" i="1"/>
  <c r="Z175" i="1"/>
  <c r="AB175" i="1"/>
  <c r="AF175" i="1"/>
  <c r="AH175" i="1"/>
  <c r="N176" i="1"/>
  <c r="P176" i="1"/>
  <c r="S176" i="1"/>
  <c r="T176" i="1" s="1"/>
  <c r="V176" i="1"/>
  <c r="W176" i="1"/>
  <c r="Z176" i="1"/>
  <c r="AB176" i="1"/>
  <c r="AF176" i="1"/>
  <c r="AH176" i="1"/>
  <c r="N177" i="1"/>
  <c r="P177" i="1"/>
  <c r="S177" i="1"/>
  <c r="T177" i="1" s="1"/>
  <c r="V177" i="1"/>
  <c r="W177" i="1"/>
  <c r="Z177" i="1"/>
  <c r="AB177" i="1"/>
  <c r="AF177" i="1"/>
  <c r="AH177" i="1"/>
  <c r="N178" i="1"/>
  <c r="P178" i="1"/>
  <c r="S178" i="1"/>
  <c r="T178" i="1" s="1"/>
  <c r="V178" i="1"/>
  <c r="W178" i="1"/>
  <c r="Z178" i="1"/>
  <c r="AB178" i="1"/>
  <c r="AF178" i="1"/>
  <c r="AH178" i="1"/>
  <c r="N179" i="1"/>
  <c r="P179" i="1"/>
  <c r="S179" i="1"/>
  <c r="T179" i="1" s="1"/>
  <c r="V179" i="1"/>
  <c r="W179" i="1"/>
  <c r="Z179" i="1"/>
  <c r="AB179" i="1"/>
  <c r="AF179" i="1"/>
  <c r="AH179" i="1"/>
  <c r="N180" i="1"/>
  <c r="P180" i="1"/>
  <c r="S180" i="1"/>
  <c r="T180" i="1" s="1"/>
  <c r="V180" i="1"/>
  <c r="W180" i="1"/>
  <c r="Z180" i="1"/>
  <c r="AB180" i="1"/>
  <c r="AF180" i="1"/>
  <c r="AH180" i="1"/>
  <c r="N181" i="1"/>
  <c r="P181" i="1"/>
  <c r="S181" i="1"/>
  <c r="T181" i="1" s="1"/>
  <c r="V181" i="1"/>
  <c r="W181" i="1"/>
  <c r="Z181" i="1"/>
  <c r="AB181" i="1"/>
  <c r="AF181" i="1"/>
  <c r="AH181" i="1"/>
  <c r="N182" i="1"/>
  <c r="P182" i="1"/>
  <c r="S182" i="1"/>
  <c r="T182" i="1" s="1"/>
  <c r="V182" i="1"/>
  <c r="W182" i="1"/>
  <c r="Z182" i="1"/>
  <c r="AB182" i="1"/>
  <c r="AF182" i="1"/>
  <c r="AH182" i="1"/>
  <c r="N183" i="1"/>
  <c r="P183" i="1"/>
  <c r="S183" i="1"/>
  <c r="T183" i="1" s="1"/>
  <c r="V183" i="1"/>
  <c r="W183" i="1"/>
  <c r="Z183" i="1"/>
  <c r="AB183" i="1"/>
  <c r="AF183" i="1"/>
  <c r="AH183" i="1"/>
  <c r="N184" i="1"/>
  <c r="P184" i="1"/>
  <c r="S184" i="1"/>
  <c r="T184" i="1" s="1"/>
  <c r="V184" i="1"/>
  <c r="W184" i="1"/>
  <c r="Z184" i="1"/>
  <c r="AB184" i="1"/>
  <c r="AF184" i="1"/>
  <c r="AH184" i="1"/>
  <c r="N185" i="1"/>
  <c r="P185" i="1"/>
  <c r="S185" i="1"/>
  <c r="T185" i="1" s="1"/>
  <c r="V185" i="1"/>
  <c r="W185" i="1"/>
  <c r="Z185" i="1"/>
  <c r="AB185" i="1"/>
  <c r="AF185" i="1"/>
  <c r="AH185" i="1"/>
  <c r="N186" i="1"/>
  <c r="P186" i="1"/>
  <c r="S186" i="1"/>
  <c r="T186" i="1" s="1"/>
  <c r="V186" i="1"/>
  <c r="W186" i="1"/>
  <c r="Z186" i="1"/>
  <c r="AB186" i="1"/>
  <c r="AF186" i="1"/>
  <c r="AH186" i="1"/>
  <c r="N187" i="1"/>
  <c r="P187" i="1"/>
  <c r="S187" i="1"/>
  <c r="T187" i="1" s="1"/>
  <c r="V187" i="1"/>
  <c r="W187" i="1"/>
  <c r="Z187" i="1"/>
  <c r="AB187" i="1"/>
  <c r="AF187" i="1"/>
  <c r="AH187" i="1"/>
  <c r="N188" i="1"/>
  <c r="P188" i="1"/>
  <c r="S188" i="1"/>
  <c r="T188" i="1" s="1"/>
  <c r="V188" i="1"/>
  <c r="W188" i="1"/>
  <c r="Z188" i="1"/>
  <c r="AB188" i="1"/>
  <c r="AF188" i="1"/>
  <c r="AH188" i="1"/>
  <c r="N189" i="1"/>
  <c r="P189" i="1"/>
  <c r="S189" i="1"/>
  <c r="T189" i="1" s="1"/>
  <c r="V189" i="1"/>
  <c r="W189" i="1"/>
  <c r="Z189" i="1"/>
  <c r="AB189" i="1"/>
  <c r="AF189" i="1"/>
  <c r="AH189" i="1"/>
  <c r="N190" i="1"/>
  <c r="P190" i="1"/>
  <c r="S190" i="1"/>
  <c r="T190" i="1" s="1"/>
  <c r="V190" i="1"/>
  <c r="W190" i="1"/>
  <c r="Z190" i="1"/>
  <c r="AB190" i="1"/>
  <c r="AC190" i="1" s="1"/>
  <c r="AF190" i="1"/>
  <c r="AH190" i="1"/>
  <c r="N191" i="1"/>
  <c r="P191" i="1"/>
  <c r="S191" i="1"/>
  <c r="T191" i="1"/>
  <c r="V191" i="1"/>
  <c r="W191" i="1"/>
  <c r="Z191" i="1"/>
  <c r="AB191" i="1"/>
  <c r="AF191" i="1"/>
  <c r="AH191" i="1"/>
  <c r="N192" i="1"/>
  <c r="P192" i="1"/>
  <c r="S192" i="1"/>
  <c r="T192" i="1"/>
  <c r="V192" i="1"/>
  <c r="W192" i="1"/>
  <c r="Z192" i="1"/>
  <c r="AB192" i="1"/>
  <c r="AF192" i="1"/>
  <c r="AH192" i="1"/>
  <c r="N193" i="1"/>
  <c r="P193" i="1"/>
  <c r="S193" i="1"/>
  <c r="T193" i="1"/>
  <c r="V193" i="1"/>
  <c r="W193" i="1"/>
  <c r="Z193" i="1"/>
  <c r="AB193" i="1"/>
  <c r="AF193" i="1"/>
  <c r="AH193" i="1"/>
  <c r="N194" i="1"/>
  <c r="P194" i="1"/>
  <c r="S194" i="1"/>
  <c r="T194" i="1"/>
  <c r="V194" i="1"/>
  <c r="W194" i="1"/>
  <c r="Z194" i="1"/>
  <c r="AB194" i="1"/>
  <c r="AF194" i="1"/>
  <c r="AH194" i="1"/>
  <c r="N195" i="1"/>
  <c r="P195" i="1"/>
  <c r="S195" i="1"/>
  <c r="T195" i="1"/>
  <c r="V195" i="1"/>
  <c r="W195" i="1"/>
  <c r="Z195" i="1"/>
  <c r="AB195" i="1"/>
  <c r="AF195" i="1"/>
  <c r="AH195" i="1"/>
  <c r="N196" i="1"/>
  <c r="P196" i="1"/>
  <c r="S196" i="1"/>
  <c r="T196" i="1"/>
  <c r="V196" i="1"/>
  <c r="W196" i="1"/>
  <c r="Z196" i="1"/>
  <c r="AB196" i="1"/>
  <c r="AF196" i="1"/>
  <c r="AH196" i="1"/>
  <c r="N197" i="1"/>
  <c r="P197" i="1"/>
  <c r="S197" i="1"/>
  <c r="T197" i="1"/>
  <c r="V197" i="1"/>
  <c r="W197" i="1"/>
  <c r="Z197" i="1"/>
  <c r="AB197" i="1"/>
  <c r="AF197" i="1"/>
  <c r="AH197" i="1"/>
  <c r="N198" i="1"/>
  <c r="P198" i="1"/>
  <c r="S198" i="1"/>
  <c r="T198" i="1"/>
  <c r="V198" i="1"/>
  <c r="W198" i="1"/>
  <c r="Z198" i="1"/>
  <c r="AB198" i="1"/>
  <c r="AF198" i="1"/>
  <c r="AH198" i="1"/>
  <c r="N199" i="1"/>
  <c r="P199" i="1"/>
  <c r="S199" i="1"/>
  <c r="T199" i="1"/>
  <c r="V199" i="1"/>
  <c r="W199" i="1"/>
  <c r="Z199" i="1"/>
  <c r="AB199" i="1"/>
  <c r="AF199" i="1"/>
  <c r="AH199" i="1"/>
  <c r="N200" i="1"/>
  <c r="P200" i="1"/>
  <c r="S200" i="1"/>
  <c r="T200" i="1"/>
  <c r="V200" i="1"/>
  <c r="W200" i="1"/>
  <c r="Z200" i="1"/>
  <c r="AB200" i="1"/>
  <c r="AF200" i="1"/>
  <c r="AH200" i="1"/>
  <c r="N201" i="1"/>
  <c r="P201" i="1"/>
  <c r="S201" i="1"/>
  <c r="T201" i="1"/>
  <c r="V201" i="1"/>
  <c r="W201" i="1"/>
  <c r="Z201" i="1"/>
  <c r="AB201" i="1"/>
  <c r="AF201" i="1"/>
  <c r="AH201" i="1"/>
  <c r="S6" i="1"/>
  <c r="V6" i="1"/>
  <c r="AF6" i="12"/>
  <c r="AB6" i="1"/>
  <c r="AI11" i="12" s="1"/>
  <c r="P6" i="7"/>
  <c r="P7" i="7"/>
  <c r="P8" i="7"/>
  <c r="P5" i="7"/>
  <c r="P4" i="7"/>
  <c r="Y4" i="7"/>
  <c r="Y5" i="7"/>
  <c r="Y6" i="7"/>
  <c r="H2" i="1" l="1"/>
  <c r="H6" i="1"/>
  <c r="H4" i="1"/>
  <c r="H5" i="1"/>
  <c r="Z226" i="13"/>
  <c r="Y226" i="13" s="1"/>
  <c r="AD204" i="12"/>
  <c r="Z235" i="13"/>
  <c r="Y235" i="13" s="1"/>
  <c r="R235" i="13"/>
  <c r="AF208" i="13"/>
  <c r="AE208" i="13" s="1"/>
  <c r="Q208" i="13"/>
  <c r="P208" i="13" s="1"/>
  <c r="X206" i="13"/>
  <c r="AF235" i="13"/>
  <c r="AE235" i="13" s="1"/>
  <c r="X235" i="13"/>
  <c r="Q235" i="13"/>
  <c r="P235" i="13" s="1"/>
  <c r="Z233" i="13"/>
  <c r="Y233" i="13" s="1"/>
  <c r="Q230" i="13"/>
  <c r="P230" i="13" s="1"/>
  <c r="AG228" i="13"/>
  <c r="O228" i="13"/>
  <c r="AD226" i="13"/>
  <c r="U226" i="13"/>
  <c r="AG224" i="13"/>
  <c r="AA224" i="13"/>
  <c r="U224" i="13"/>
  <c r="O224" i="13"/>
  <c r="AJ223" i="13"/>
  <c r="AC221" i="13"/>
  <c r="AB221" i="13" s="1"/>
  <c r="AD220" i="13"/>
  <c r="W220" i="13"/>
  <c r="V220" i="13" s="1"/>
  <c r="O220" i="13"/>
  <c r="AG219" i="13"/>
  <c r="AF216" i="13"/>
  <c r="AE216" i="13" s="1"/>
  <c r="X216" i="13"/>
  <c r="O216" i="13"/>
  <c r="AJ215" i="13"/>
  <c r="Q215" i="13"/>
  <c r="P215" i="13" s="1"/>
  <c r="T211" i="13"/>
  <c r="S211" i="13" s="1"/>
  <c r="U210" i="13"/>
  <c r="AA208" i="13"/>
  <c r="W207" i="13"/>
  <c r="V207" i="13" s="1"/>
  <c r="T206" i="13"/>
  <c r="S206" i="13" s="1"/>
  <c r="AG205" i="13"/>
  <c r="Q205" i="13"/>
  <c r="P205" i="13" s="1"/>
  <c r="AD235" i="13"/>
  <c r="U235" i="13"/>
  <c r="AG230" i="13"/>
  <c r="AA228" i="13"/>
  <c r="AC226" i="13"/>
  <c r="AB226" i="13" s="1"/>
  <c r="Q226" i="13"/>
  <c r="P226" i="13" s="1"/>
  <c r="AF224" i="13"/>
  <c r="AE224" i="13" s="1"/>
  <c r="Z224" i="13"/>
  <c r="Y224" i="13" s="1"/>
  <c r="R221" i="13"/>
  <c r="AJ220" i="13"/>
  <c r="AC220" i="13"/>
  <c r="AB220" i="13" s="1"/>
  <c r="T220" i="13"/>
  <c r="S220" i="13" s="1"/>
  <c r="AD216" i="13"/>
  <c r="W216" i="13"/>
  <c r="V216" i="13" s="1"/>
  <c r="AG215" i="13"/>
  <c r="O215" i="13"/>
  <c r="Q211" i="13"/>
  <c r="P211" i="13" s="1"/>
  <c r="AJ210" i="13"/>
  <c r="AD205" i="13"/>
  <c r="AC16" i="12"/>
  <c r="AI14" i="12"/>
  <c r="Z13" i="12"/>
  <c r="AI16" i="12"/>
  <c r="AC14" i="12"/>
  <c r="AI12" i="12"/>
  <c r="Z14" i="12"/>
  <c r="AC13" i="12"/>
  <c r="Q56" i="12"/>
  <c r="Q52" i="12"/>
  <c r="Q48" i="12"/>
  <c r="Q44" i="12"/>
  <c r="Q40" i="12"/>
  <c r="Q36" i="12"/>
  <c r="Q32" i="12"/>
  <c r="Q28" i="12"/>
  <c r="Q24" i="12"/>
  <c r="Q20" i="12"/>
  <c r="Q16" i="12"/>
  <c r="Q57" i="12"/>
  <c r="Q53" i="12"/>
  <c r="Q49" i="12"/>
  <c r="Q45" i="12"/>
  <c r="Q41" i="12"/>
  <c r="Q37" i="12"/>
  <c r="Q33" i="12"/>
  <c r="Q29" i="12"/>
  <c r="Q25" i="12"/>
  <c r="Q21" i="12"/>
  <c r="Q58" i="12"/>
  <c r="Q54" i="12"/>
  <c r="Q50" i="12"/>
  <c r="Q46" i="12"/>
  <c r="Q42" i="12"/>
  <c r="Q38" i="12"/>
  <c r="Q34" i="12"/>
  <c r="Q30" i="12"/>
  <c r="Q26" i="12"/>
  <c r="Q22" i="12"/>
  <c r="Q18" i="12"/>
  <c r="Q55" i="12"/>
  <c r="Q51" i="12"/>
  <c r="Q47" i="12"/>
  <c r="Q43" i="12"/>
  <c r="Q39" i="12"/>
  <c r="Q35" i="12"/>
  <c r="Q31" i="12"/>
  <c r="Q27" i="12"/>
  <c r="Q23" i="12"/>
  <c r="Q19" i="12"/>
  <c r="U218" i="13"/>
  <c r="Q218" i="13"/>
  <c r="P218" i="13" s="1"/>
  <c r="AC218" i="13"/>
  <c r="AB218" i="13" s="1"/>
  <c r="R218" i="13"/>
  <c r="AD218" i="13"/>
  <c r="AJ218" i="13"/>
  <c r="T218" i="13"/>
  <c r="S218" i="13" s="1"/>
  <c r="X218" i="13"/>
  <c r="AG218" i="13"/>
  <c r="O204" i="12"/>
  <c r="Q204" i="12"/>
  <c r="P204" i="12" s="1"/>
  <c r="AC204" i="12"/>
  <c r="AB204" i="12" s="1"/>
  <c r="U222" i="13"/>
  <c r="AG222" i="13"/>
  <c r="Q222" i="13"/>
  <c r="P222" i="13" s="1"/>
  <c r="X222" i="13"/>
  <c r="AC222" i="13"/>
  <c r="AB222" i="13" s="1"/>
  <c r="AJ222" i="13"/>
  <c r="R222" i="13"/>
  <c r="AD222" i="13"/>
  <c r="T222" i="13"/>
  <c r="S222" i="13" s="1"/>
  <c r="AF222" i="13"/>
  <c r="AE222" i="13" s="1"/>
  <c r="Z222" i="13"/>
  <c r="Y222" i="13" s="1"/>
  <c r="AK204" i="12"/>
  <c r="U204" i="12"/>
  <c r="O231" i="13"/>
  <c r="U231" i="13"/>
  <c r="AC231" i="13"/>
  <c r="AB231" i="13" s="1"/>
  <c r="AJ231" i="13"/>
  <c r="Q231" i="13"/>
  <c r="P231" i="13" s="1"/>
  <c r="Z231" i="13"/>
  <c r="Y231" i="13" s="1"/>
  <c r="AG231" i="13"/>
  <c r="R231" i="13"/>
  <c r="T231" i="13"/>
  <c r="S231" i="13" s="1"/>
  <c r="X231" i="13"/>
  <c r="AD231" i="13"/>
  <c r="AF231" i="13"/>
  <c r="AE231" i="13" s="1"/>
  <c r="AG204" i="12"/>
  <c r="R204" i="12"/>
  <c r="T236" i="13"/>
  <c r="S236" i="13" s="1"/>
  <c r="W236" i="13"/>
  <c r="V236" i="13" s="1"/>
  <c r="AI236" i="13"/>
  <c r="AH236" i="13" s="1"/>
  <c r="AA236" i="13"/>
  <c r="O236" i="13"/>
  <c r="AC236" i="13"/>
  <c r="AB236" i="13" s="1"/>
  <c r="Q236" i="13"/>
  <c r="P236" i="13" s="1"/>
  <c r="U236" i="13"/>
  <c r="AG236" i="13"/>
  <c r="R234" i="13"/>
  <c r="U234" i="13"/>
  <c r="Q234" i="13"/>
  <c r="P234" i="13" s="1"/>
  <c r="AC234" i="13"/>
  <c r="AB234" i="13" s="1"/>
  <c r="U213" i="13"/>
  <c r="AC213" i="13"/>
  <c r="AB213" i="13" s="1"/>
  <c r="O213" i="13"/>
  <c r="W213" i="13"/>
  <c r="V213" i="13" s="1"/>
  <c r="AG213" i="13"/>
  <c r="AA213" i="13"/>
  <c r="Q213" i="13"/>
  <c r="P213" i="13" s="1"/>
  <c r="R213" i="13"/>
  <c r="Q233" i="13"/>
  <c r="P233" i="13" s="1"/>
  <c r="AA233" i="13"/>
  <c r="AG233" i="13"/>
  <c r="U233" i="13"/>
  <c r="AC233" i="13"/>
  <c r="AB233" i="13" s="1"/>
  <c r="AI233" i="13"/>
  <c r="AH233" i="13" s="1"/>
  <c r="O233" i="13"/>
  <c r="W233" i="13"/>
  <c r="V233" i="13" s="1"/>
  <c r="AD233" i="13"/>
  <c r="AJ233" i="13"/>
  <c r="R233" i="13"/>
  <c r="AF233" i="13"/>
  <c r="AE233" i="13" s="1"/>
  <c r="T233" i="13"/>
  <c r="S233" i="13" s="1"/>
  <c r="O227" i="13"/>
  <c r="Q227" i="13"/>
  <c r="P227" i="13" s="1"/>
  <c r="X227" i="13"/>
  <c r="AD227" i="13"/>
  <c r="R227" i="13"/>
  <c r="Z227" i="13"/>
  <c r="Y227" i="13" s="1"/>
  <c r="AF227" i="13"/>
  <c r="AE227" i="13" s="1"/>
  <c r="T227" i="13"/>
  <c r="S227" i="13" s="1"/>
  <c r="AG227" i="13"/>
  <c r="U227" i="13"/>
  <c r="AJ227" i="13"/>
  <c r="AC227" i="13"/>
  <c r="AB227" i="13" s="1"/>
  <c r="T232" i="13"/>
  <c r="S232" i="13" s="1"/>
  <c r="O232" i="13"/>
  <c r="AA232" i="13"/>
  <c r="Q232" i="13"/>
  <c r="P232" i="13" s="1"/>
  <c r="AG232" i="13"/>
  <c r="U232" i="13"/>
  <c r="AI232" i="13"/>
  <c r="AH232" i="13" s="1"/>
  <c r="X223" i="13"/>
  <c r="W223" i="13"/>
  <c r="V223" i="13" s="1"/>
  <c r="O223" i="13"/>
  <c r="AG223" i="13"/>
  <c r="Q223" i="13"/>
  <c r="P223" i="13" s="1"/>
  <c r="AC214" i="13"/>
  <c r="AB214" i="13" s="1"/>
  <c r="AD214" i="13"/>
  <c r="Q214" i="13"/>
  <c r="P214" i="13" s="1"/>
  <c r="AG214" i="13"/>
  <c r="T214" i="13"/>
  <c r="S214" i="13" s="1"/>
  <c r="X214" i="13"/>
  <c r="AI237" i="13"/>
  <c r="AH237" i="13" s="1"/>
  <c r="Q210" i="13"/>
  <c r="P210" i="13" s="1"/>
  <c r="X210" i="13"/>
  <c r="AF210" i="13"/>
  <c r="AE210" i="13" s="1"/>
  <c r="R210" i="13"/>
  <c r="Z210" i="13"/>
  <c r="Y210" i="13" s="1"/>
  <c r="AG210" i="13"/>
  <c r="R208" i="13"/>
  <c r="X208" i="13"/>
  <c r="AC208" i="13"/>
  <c r="AB208" i="13" s="1"/>
  <c r="AI208" i="13"/>
  <c r="AH208" i="13" s="1"/>
  <c r="O208" i="13"/>
  <c r="T208" i="13"/>
  <c r="S208" i="13" s="1"/>
  <c r="Z208" i="13"/>
  <c r="Y208" i="13" s="1"/>
  <c r="AD208" i="13"/>
  <c r="AJ208" i="13"/>
  <c r="U206" i="13"/>
  <c r="Q206" i="13"/>
  <c r="P206" i="13" s="1"/>
  <c r="AJ206" i="13"/>
  <c r="R206" i="13"/>
  <c r="AC206" i="13"/>
  <c r="AB206" i="13" s="1"/>
  <c r="O237" i="13"/>
  <c r="U237" i="13"/>
  <c r="Z237" i="13"/>
  <c r="Y237" i="13" s="1"/>
  <c r="AF237" i="13"/>
  <c r="AE237" i="13" s="1"/>
  <c r="AJ237" i="13"/>
  <c r="R212" i="13"/>
  <c r="X212" i="13"/>
  <c r="AD212" i="13"/>
  <c r="AI212" i="13"/>
  <c r="AH212" i="13" s="1"/>
  <c r="O212" i="13"/>
  <c r="T212" i="13"/>
  <c r="S212" i="13" s="1"/>
  <c r="Z212" i="13"/>
  <c r="Y212" i="13" s="1"/>
  <c r="AF212" i="13"/>
  <c r="AE212" i="13" s="1"/>
  <c r="AJ212" i="13"/>
  <c r="O209" i="13"/>
  <c r="AC209" i="13"/>
  <c r="AB209" i="13" s="1"/>
  <c r="R209" i="13"/>
  <c r="O207" i="13"/>
  <c r="AG207" i="13"/>
  <c r="Q207" i="13"/>
  <c r="P207" i="13" s="1"/>
  <c r="AJ207" i="13"/>
  <c r="T205" i="13"/>
  <c r="S205" i="13" s="1"/>
  <c r="AA205" i="13"/>
  <c r="AI205" i="13"/>
  <c r="AH205" i="13" s="1"/>
  <c r="O205" i="13"/>
  <c r="U205" i="13"/>
  <c r="AC205" i="13"/>
  <c r="AB205" i="13" s="1"/>
  <c r="AC228" i="13"/>
  <c r="AB228" i="13" s="1"/>
  <c r="Q228" i="13"/>
  <c r="P228" i="13" s="1"/>
  <c r="AI226" i="13"/>
  <c r="AH226" i="13" s="1"/>
  <c r="AA226" i="13"/>
  <c r="R226" i="13"/>
  <c r="W221" i="13"/>
  <c r="V221" i="13" s="1"/>
  <c r="AF220" i="13"/>
  <c r="AE220" i="13" s="1"/>
  <c r="AA220" i="13"/>
  <c r="AC217" i="13"/>
  <c r="AB217" i="13" s="1"/>
  <c r="R217" i="13"/>
  <c r="AG216" i="13"/>
  <c r="AA216" i="13"/>
  <c r="U216" i="13"/>
  <c r="AD236" i="13"/>
  <c r="Z236" i="13"/>
  <c r="Y236" i="13" s="1"/>
  <c r="R236" i="13"/>
  <c r="AI235" i="13"/>
  <c r="AH235" i="13" s="1"/>
  <c r="AA235" i="13"/>
  <c r="W235" i="13"/>
  <c r="V235" i="13" s="1"/>
  <c r="AJ234" i="13"/>
  <c r="AF234" i="13"/>
  <c r="AE234" i="13" s="1"/>
  <c r="X234" i="13"/>
  <c r="T234" i="13"/>
  <c r="S234" i="13" s="1"/>
  <c r="AD232" i="13"/>
  <c r="Z232" i="13"/>
  <c r="Y232" i="13" s="1"/>
  <c r="R232" i="13"/>
  <c r="AI231" i="13"/>
  <c r="AH231" i="13" s="1"/>
  <c r="AA231" i="13"/>
  <c r="W231" i="13"/>
  <c r="V231" i="13" s="1"/>
  <c r="AJ230" i="13"/>
  <c r="AF230" i="13"/>
  <c r="AE230" i="13" s="1"/>
  <c r="X230" i="13"/>
  <c r="T230" i="13"/>
  <c r="S230" i="13" s="1"/>
  <c r="AD228" i="13"/>
  <c r="Z228" i="13"/>
  <c r="Y228" i="13" s="1"/>
  <c r="R228" i="13"/>
  <c r="AI227" i="13"/>
  <c r="AH227" i="13" s="1"/>
  <c r="AA227" i="13"/>
  <c r="W227" i="13"/>
  <c r="V227" i="13" s="1"/>
  <c r="AJ226" i="13"/>
  <c r="AF226" i="13"/>
  <c r="AE226" i="13" s="1"/>
  <c r="X226" i="13"/>
  <c r="T226" i="13"/>
  <c r="S226" i="13" s="1"/>
  <c r="AI225" i="13"/>
  <c r="AH225" i="13" s="1"/>
  <c r="AI223" i="13"/>
  <c r="AH223" i="13" s="1"/>
  <c r="AC223" i="13"/>
  <c r="AB223" i="13" s="1"/>
  <c r="O222" i="13"/>
  <c r="W222" i="13"/>
  <c r="V222" i="13" s="1"/>
  <c r="AA222" i="13"/>
  <c r="AI222" i="13"/>
  <c r="AH222" i="13" s="1"/>
  <c r="AG221" i="13"/>
  <c r="AA221" i="13"/>
  <c r="AF219" i="13"/>
  <c r="AE219" i="13" s="1"/>
  <c r="AA219" i="13"/>
  <c r="AF218" i="13"/>
  <c r="AE218" i="13" s="1"/>
  <c r="Z218" i="13"/>
  <c r="Y218" i="13" s="1"/>
  <c r="AI217" i="13"/>
  <c r="AH217" i="13" s="1"/>
  <c r="AI215" i="13"/>
  <c r="AH215" i="13" s="1"/>
  <c r="AC215" i="13"/>
  <c r="AB215" i="13" s="1"/>
  <c r="T213" i="13"/>
  <c r="S213" i="13" s="1"/>
  <c r="X213" i="13"/>
  <c r="AF213" i="13"/>
  <c r="AE213" i="13" s="1"/>
  <c r="AJ213" i="13"/>
  <c r="AD213" i="13"/>
  <c r="AI213" i="13"/>
  <c r="AH213" i="13" s="1"/>
  <c r="AJ211" i="13"/>
  <c r="Z209" i="13"/>
  <c r="Y209" i="13" s="1"/>
  <c r="R207" i="13"/>
  <c r="Z207" i="13"/>
  <c r="Y207" i="13" s="1"/>
  <c r="AD207" i="13"/>
  <c r="X207" i="13"/>
  <c r="AC207" i="13"/>
  <c r="AB207" i="13" s="1"/>
  <c r="AI207" i="13"/>
  <c r="AH207" i="13" s="1"/>
  <c r="U207" i="13"/>
  <c r="AA207" i="13"/>
  <c r="AF207" i="13"/>
  <c r="AE207" i="13" s="1"/>
  <c r="T221" i="13"/>
  <c r="S221" i="13" s="1"/>
  <c r="X221" i="13"/>
  <c r="AF221" i="13"/>
  <c r="AE221" i="13" s="1"/>
  <c r="AJ221" i="13"/>
  <c r="R219" i="13"/>
  <c r="Z219" i="13"/>
  <c r="Y219" i="13" s="1"/>
  <c r="AD219" i="13"/>
  <c r="AI234" i="13"/>
  <c r="AH234" i="13" s="1"/>
  <c r="AA234" i="13"/>
  <c r="W234" i="13"/>
  <c r="V234" i="13" s="1"/>
  <c r="O234" i="13"/>
  <c r="AI230" i="13"/>
  <c r="AH230" i="13" s="1"/>
  <c r="AA230" i="13"/>
  <c r="W230" i="13"/>
  <c r="V230" i="13" s="1"/>
  <c r="O230" i="13"/>
  <c r="T225" i="13"/>
  <c r="S225" i="13" s="1"/>
  <c r="X225" i="13"/>
  <c r="AF225" i="13"/>
  <c r="AE225" i="13" s="1"/>
  <c r="AJ225" i="13"/>
  <c r="R223" i="13"/>
  <c r="Z223" i="13"/>
  <c r="Y223" i="13" s="1"/>
  <c r="AD223" i="13"/>
  <c r="Z221" i="13"/>
  <c r="Y221" i="13" s="1"/>
  <c r="U221" i="13"/>
  <c r="O221" i="13"/>
  <c r="AJ219" i="13"/>
  <c r="T219" i="13"/>
  <c r="S219" i="13" s="1"/>
  <c r="O219" i="13"/>
  <c r="T217" i="13"/>
  <c r="S217" i="13" s="1"/>
  <c r="X217" i="13"/>
  <c r="AF217" i="13"/>
  <c r="AE217" i="13" s="1"/>
  <c r="AJ217" i="13"/>
  <c r="R215" i="13"/>
  <c r="Z215" i="13"/>
  <c r="Y215" i="13" s="1"/>
  <c r="AD215" i="13"/>
  <c r="O214" i="13"/>
  <c r="W214" i="13"/>
  <c r="V214" i="13" s="1"/>
  <c r="AA214" i="13"/>
  <c r="U214" i="13"/>
  <c r="Z214" i="13"/>
  <c r="Y214" i="13" s="1"/>
  <c r="AI214" i="13"/>
  <c r="AH214" i="13" s="1"/>
  <c r="W219" i="13"/>
  <c r="V219" i="13" s="1"/>
  <c r="Q219" i="13"/>
  <c r="P219" i="13" s="1"/>
  <c r="AJ236" i="13"/>
  <c r="AF236" i="13"/>
  <c r="AE236" i="13" s="1"/>
  <c r="X236" i="13"/>
  <c r="AD234" i="13"/>
  <c r="Z234" i="13"/>
  <c r="Y234" i="13" s="1"/>
  <c r="AJ232" i="13"/>
  <c r="AF232" i="13"/>
  <c r="AE232" i="13" s="1"/>
  <c r="X232" i="13"/>
  <c r="AD230" i="13"/>
  <c r="Z230" i="13"/>
  <c r="Y230" i="13" s="1"/>
  <c r="AJ228" i="13"/>
  <c r="AF228" i="13"/>
  <c r="AE228" i="13" s="1"/>
  <c r="X228" i="13"/>
  <c r="AG225" i="13"/>
  <c r="AA225" i="13"/>
  <c r="Q225" i="13"/>
  <c r="P225" i="13" s="1"/>
  <c r="AF223" i="13"/>
  <c r="AE223" i="13" s="1"/>
  <c r="AA223" i="13"/>
  <c r="U223" i="13"/>
  <c r="AI221" i="13"/>
  <c r="AH221" i="13" s="1"/>
  <c r="AD221" i="13"/>
  <c r="AI219" i="13"/>
  <c r="AH219" i="13" s="1"/>
  <c r="AC219" i="13"/>
  <c r="AB219" i="13" s="1"/>
  <c r="X219" i="13"/>
  <c r="O218" i="13"/>
  <c r="W218" i="13"/>
  <c r="V218" i="13" s="1"/>
  <c r="AA218" i="13"/>
  <c r="AI218" i="13"/>
  <c r="AH218" i="13" s="1"/>
  <c r="AG217" i="13"/>
  <c r="AA217" i="13"/>
  <c r="Q217" i="13"/>
  <c r="P217" i="13" s="1"/>
  <c r="AF215" i="13"/>
  <c r="AE215" i="13" s="1"/>
  <c r="AA215" i="13"/>
  <c r="U215" i="13"/>
  <c r="AF214" i="13"/>
  <c r="AE214" i="13" s="1"/>
  <c r="R214" i="13"/>
  <c r="R211" i="13"/>
  <c r="Z211" i="13"/>
  <c r="Y211" i="13" s="1"/>
  <c r="AD211" i="13"/>
  <c r="U211" i="13"/>
  <c r="AA211" i="13"/>
  <c r="AF211" i="13"/>
  <c r="AE211" i="13" s="1"/>
  <c r="X211" i="13"/>
  <c r="AC211" i="13"/>
  <c r="AB211" i="13" s="1"/>
  <c r="AI211" i="13"/>
  <c r="AH211" i="13" s="1"/>
  <c r="T209" i="13"/>
  <c r="S209" i="13" s="1"/>
  <c r="X209" i="13"/>
  <c r="AF209" i="13"/>
  <c r="AE209" i="13" s="1"/>
  <c r="AJ209" i="13"/>
  <c r="AD209" i="13"/>
  <c r="AI209" i="13"/>
  <c r="AH209" i="13" s="1"/>
  <c r="Q209" i="13"/>
  <c r="P209" i="13" s="1"/>
  <c r="AA209" i="13"/>
  <c r="AG209" i="13"/>
  <c r="O210" i="13"/>
  <c r="W210" i="13"/>
  <c r="V210" i="13" s="1"/>
  <c r="AA210" i="13"/>
  <c r="AI210" i="13"/>
  <c r="AH210" i="13" s="1"/>
  <c r="AF206" i="13"/>
  <c r="AE206" i="13" s="1"/>
  <c r="Z206" i="13"/>
  <c r="Y206" i="13" s="1"/>
  <c r="O206" i="13"/>
  <c r="W206" i="13"/>
  <c r="V206" i="13" s="1"/>
  <c r="AA206" i="13"/>
  <c r="AI206" i="13"/>
  <c r="AH206" i="13" s="1"/>
  <c r="AJ205" i="13"/>
  <c r="AF205" i="13"/>
  <c r="AE205" i="13" s="1"/>
  <c r="X205" i="13"/>
  <c r="AJ204" i="12"/>
  <c r="AE204" i="12"/>
  <c r="X204" i="12"/>
  <c r="T204" i="12"/>
  <c r="S204" i="12" s="1"/>
  <c r="AI204" i="12"/>
  <c r="AH204" i="12" s="1"/>
  <c r="AA204" i="12"/>
  <c r="V204" i="12"/>
  <c r="AC189" i="1"/>
  <c r="AC187" i="1"/>
  <c r="AC184" i="1"/>
  <c r="AC182" i="1"/>
  <c r="AC181" i="1"/>
  <c r="AC175" i="1"/>
  <c r="Q170" i="1"/>
  <c r="K169" i="1"/>
  <c r="K165" i="1"/>
  <c r="K161" i="1"/>
  <c r="Z159" i="1"/>
  <c r="T158" i="1"/>
  <c r="K157" i="1"/>
  <c r="Z155" i="1"/>
  <c r="T154" i="1"/>
  <c r="K153" i="1"/>
  <c r="Z151" i="1"/>
  <c r="K149" i="1"/>
  <c r="K145" i="1"/>
  <c r="K141" i="1"/>
  <c r="K137" i="1"/>
  <c r="K133" i="1"/>
  <c r="K129" i="1"/>
  <c r="AC126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N173" i="1"/>
  <c r="N171" i="1"/>
  <c r="N170" i="1"/>
  <c r="T169" i="1"/>
  <c r="K168" i="1"/>
  <c r="N167" i="1"/>
  <c r="Z166" i="1"/>
  <c r="T165" i="1"/>
  <c r="K164" i="1"/>
  <c r="N163" i="1"/>
  <c r="Z162" i="1"/>
  <c r="T161" i="1"/>
  <c r="K160" i="1"/>
  <c r="N159" i="1"/>
  <c r="Z158" i="1"/>
  <c r="T157" i="1"/>
  <c r="K156" i="1"/>
  <c r="N155" i="1"/>
  <c r="Z154" i="1"/>
  <c r="T153" i="1"/>
  <c r="K152" i="1"/>
  <c r="K148" i="1"/>
  <c r="K144" i="1"/>
  <c r="K140" i="1"/>
  <c r="K136" i="1"/>
  <c r="K132" i="1"/>
  <c r="Q125" i="1"/>
  <c r="N116" i="1"/>
  <c r="Z60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AC186" i="1"/>
  <c r="AC179" i="1"/>
  <c r="AC177" i="1"/>
  <c r="AI172" i="1"/>
  <c r="K172" i="1"/>
  <c r="Q171" i="1"/>
  <c r="Z163" i="1"/>
  <c r="AI201" i="1"/>
  <c r="Q201" i="1"/>
  <c r="K201" i="1"/>
  <c r="AC200" i="1"/>
  <c r="Q200" i="1"/>
  <c r="AC199" i="1"/>
  <c r="K199" i="1"/>
  <c r="AI198" i="1"/>
  <c r="AC198" i="1"/>
  <c r="Q198" i="1"/>
  <c r="K198" i="1"/>
  <c r="AI197" i="1"/>
  <c r="AC197" i="1"/>
  <c r="Q197" i="1"/>
  <c r="K197" i="1"/>
  <c r="AI196" i="1"/>
  <c r="AC196" i="1"/>
  <c r="Q196" i="1"/>
  <c r="K196" i="1"/>
  <c r="AC195" i="1"/>
  <c r="K195" i="1"/>
  <c r="AC194" i="1"/>
  <c r="Q194" i="1"/>
  <c r="AI193" i="1"/>
  <c r="Q193" i="1"/>
  <c r="AI192" i="1"/>
  <c r="AC192" i="1"/>
  <c r="Q192" i="1"/>
  <c r="K192" i="1"/>
  <c r="AI191" i="1"/>
  <c r="AC191" i="1"/>
  <c r="Q191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Q174" i="1"/>
  <c r="AI173" i="1"/>
  <c r="Z173" i="1"/>
  <c r="T173" i="1"/>
  <c r="K173" i="1"/>
  <c r="Q172" i="1"/>
  <c r="AI171" i="1"/>
  <c r="Z171" i="1"/>
  <c r="T171" i="1"/>
  <c r="K171" i="1"/>
  <c r="K170" i="1"/>
  <c r="Z169" i="1"/>
  <c r="T168" i="1"/>
  <c r="K167" i="1"/>
  <c r="N166" i="1"/>
  <c r="Z165" i="1"/>
  <c r="T164" i="1"/>
  <c r="K163" i="1"/>
  <c r="N162" i="1"/>
  <c r="Z161" i="1"/>
  <c r="T160" i="1"/>
  <c r="K159" i="1"/>
  <c r="N158" i="1"/>
  <c r="Z157" i="1"/>
  <c r="T156" i="1"/>
  <c r="K155" i="1"/>
  <c r="N154" i="1"/>
  <c r="Z153" i="1"/>
  <c r="T152" i="1"/>
  <c r="K151" i="1"/>
  <c r="K147" i="1"/>
  <c r="K143" i="1"/>
  <c r="K139" i="1"/>
  <c r="K135" i="1"/>
  <c r="K131" i="1"/>
  <c r="K70" i="1"/>
  <c r="N120" i="1"/>
  <c r="AC188" i="1"/>
  <c r="AC185" i="1"/>
  <c r="AC183" i="1"/>
  <c r="AC180" i="1"/>
  <c r="AC178" i="1"/>
  <c r="AC176" i="1"/>
  <c r="Z167" i="1"/>
  <c r="T162" i="1"/>
  <c r="AC201" i="1"/>
  <c r="AI200" i="1"/>
  <c r="K200" i="1"/>
  <c r="AI199" i="1"/>
  <c r="Q199" i="1"/>
  <c r="AI195" i="1"/>
  <c r="Q195" i="1"/>
  <c r="AI194" i="1"/>
  <c r="K194" i="1"/>
  <c r="AC193" i="1"/>
  <c r="K193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N174" i="1"/>
  <c r="N172" i="1"/>
  <c r="T170" i="1"/>
  <c r="N169" i="1"/>
  <c r="Z168" i="1"/>
  <c r="T167" i="1"/>
  <c r="K166" i="1"/>
  <c r="N165" i="1"/>
  <c r="Z164" i="1"/>
  <c r="T163" i="1"/>
  <c r="K162" i="1"/>
  <c r="N161" i="1"/>
  <c r="Z160" i="1"/>
  <c r="T159" i="1"/>
  <c r="K158" i="1"/>
  <c r="N157" i="1"/>
  <c r="Z156" i="1"/>
  <c r="T155" i="1"/>
  <c r="K154" i="1"/>
  <c r="N153" i="1"/>
  <c r="Z152" i="1"/>
  <c r="T151" i="1"/>
  <c r="K150" i="1"/>
  <c r="K146" i="1"/>
  <c r="K142" i="1"/>
  <c r="K138" i="1"/>
  <c r="K134" i="1"/>
  <c r="K130" i="1"/>
  <c r="K76" i="1"/>
  <c r="N124" i="1"/>
  <c r="AC122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AC127" i="1"/>
  <c r="K78" i="1"/>
  <c r="Q126" i="1"/>
  <c r="N125" i="1"/>
  <c r="AC123" i="1"/>
  <c r="K72" i="1"/>
  <c r="Q122" i="1"/>
  <c r="N121" i="1"/>
  <c r="N117" i="1"/>
  <c r="N113" i="1"/>
  <c r="N109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N152" i="1"/>
  <c r="AC151" i="1"/>
  <c r="N151" i="1"/>
  <c r="AC150" i="1"/>
  <c r="N150" i="1"/>
  <c r="AC149" i="1"/>
  <c r="N149" i="1"/>
  <c r="AC148" i="1"/>
  <c r="N148" i="1"/>
  <c r="AC147" i="1"/>
  <c r="N147" i="1"/>
  <c r="AC146" i="1"/>
  <c r="N146" i="1"/>
  <c r="AC145" i="1"/>
  <c r="N145" i="1"/>
  <c r="AC144" i="1"/>
  <c r="N144" i="1"/>
  <c r="AC143" i="1"/>
  <c r="N143" i="1"/>
  <c r="AC142" i="1"/>
  <c r="N142" i="1"/>
  <c r="AC141" i="1"/>
  <c r="N141" i="1"/>
  <c r="AC140" i="1"/>
  <c r="N140" i="1"/>
  <c r="AC139" i="1"/>
  <c r="N139" i="1"/>
  <c r="AC138" i="1"/>
  <c r="N138" i="1"/>
  <c r="AC137" i="1"/>
  <c r="N137" i="1"/>
  <c r="AC136" i="1"/>
  <c r="N136" i="1"/>
  <c r="AC135" i="1"/>
  <c r="N135" i="1"/>
  <c r="AC134" i="1"/>
  <c r="N134" i="1"/>
  <c r="AC133" i="1"/>
  <c r="N133" i="1"/>
  <c r="AC132" i="1"/>
  <c r="N132" i="1"/>
  <c r="AC131" i="1"/>
  <c r="N131" i="1"/>
  <c r="AC130" i="1"/>
  <c r="N130" i="1"/>
  <c r="AC129" i="1"/>
  <c r="N129" i="1"/>
  <c r="AC128" i="1"/>
  <c r="K80" i="1"/>
  <c r="Q127" i="1"/>
  <c r="N126" i="1"/>
  <c r="AC124" i="1"/>
  <c r="K74" i="1"/>
  <c r="Q123" i="1"/>
  <c r="N122" i="1"/>
  <c r="N118" i="1"/>
  <c r="N114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N99" i="1"/>
  <c r="N100" i="1"/>
  <c r="N101" i="1"/>
  <c r="N102" i="1"/>
  <c r="N103" i="1"/>
  <c r="N104" i="1"/>
  <c r="N105" i="1"/>
  <c r="N106" i="1"/>
  <c r="N107" i="1"/>
  <c r="N108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95" i="1"/>
  <c r="Q128" i="1"/>
  <c r="N127" i="1"/>
  <c r="AC125" i="1"/>
  <c r="Q124" i="1"/>
  <c r="N123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65" i="1"/>
  <c r="AC67" i="1"/>
  <c r="AC69" i="1"/>
  <c r="AC71" i="1"/>
  <c r="AC73" i="1"/>
  <c r="AC75" i="1"/>
  <c r="AC77" i="1"/>
  <c r="AC79" i="1"/>
  <c r="AC81" i="1"/>
  <c r="AC83" i="1"/>
  <c r="AC85" i="1"/>
  <c r="AC87" i="1"/>
  <c r="AC89" i="1"/>
  <c r="AC91" i="1"/>
  <c r="AC93" i="1"/>
  <c r="AC95" i="1"/>
  <c r="AC97" i="1"/>
  <c r="AC66" i="1"/>
  <c r="AC68" i="1"/>
  <c r="AC70" i="1"/>
  <c r="AC72" i="1"/>
  <c r="AC74" i="1"/>
  <c r="AC76" i="1"/>
  <c r="AC78" i="1"/>
  <c r="AC80" i="1"/>
  <c r="AC82" i="1"/>
  <c r="AC84" i="1"/>
  <c r="AC86" i="1"/>
  <c r="AC88" i="1"/>
  <c r="AC90" i="1"/>
  <c r="AC92" i="1"/>
  <c r="AC94" i="1"/>
  <c r="AC96" i="1"/>
  <c r="K66" i="1"/>
  <c r="N119" i="1"/>
  <c r="N115" i="1"/>
  <c r="N111" i="1"/>
  <c r="T59" i="1"/>
  <c r="K98" i="1"/>
  <c r="AI96" i="1"/>
  <c r="K96" i="1"/>
  <c r="AI94" i="1"/>
  <c r="K94" i="1"/>
  <c r="AI92" i="1"/>
  <c r="K92" i="1"/>
  <c r="AI90" i="1"/>
  <c r="K90" i="1"/>
  <c r="AI88" i="1"/>
  <c r="K88" i="1"/>
  <c r="AI86" i="1"/>
  <c r="K86" i="1"/>
  <c r="AI84" i="1"/>
  <c r="K84" i="1"/>
  <c r="AI82" i="1"/>
  <c r="K82" i="1"/>
  <c r="AI80" i="1"/>
  <c r="AI78" i="1"/>
  <c r="AI76" i="1"/>
  <c r="AI74" i="1"/>
  <c r="AI72" i="1"/>
  <c r="AI70" i="1"/>
  <c r="AI68" i="1"/>
  <c r="K68" i="1"/>
  <c r="AI66" i="1"/>
  <c r="K62" i="1"/>
  <c r="K61" i="1"/>
  <c r="Z59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AI129" i="1"/>
  <c r="AI128" i="1"/>
  <c r="Z128" i="1"/>
  <c r="AI127" i="1"/>
  <c r="Z127" i="1"/>
  <c r="AI126" i="1"/>
  <c r="Z126" i="1"/>
  <c r="AI125" i="1"/>
  <c r="Z125" i="1"/>
  <c r="AI124" i="1"/>
  <c r="Z124" i="1"/>
  <c r="AI123" i="1"/>
  <c r="Z123" i="1"/>
  <c r="AI122" i="1"/>
  <c r="Z122" i="1"/>
  <c r="AI121" i="1"/>
  <c r="Z121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T63" i="1"/>
  <c r="T62" i="1"/>
  <c r="K128" i="1"/>
  <c r="K127" i="1"/>
  <c r="K126" i="1"/>
  <c r="K125" i="1"/>
  <c r="K124" i="1"/>
  <c r="K123" i="1"/>
  <c r="K122" i="1"/>
  <c r="K121" i="1"/>
  <c r="AI97" i="1"/>
  <c r="K97" i="1"/>
  <c r="K95" i="1"/>
  <c r="AI93" i="1"/>
  <c r="K93" i="1"/>
  <c r="AI91" i="1"/>
  <c r="K91" i="1"/>
  <c r="AI89" i="1"/>
  <c r="K89" i="1"/>
  <c r="AI87" i="1"/>
  <c r="K87" i="1"/>
  <c r="AI85" i="1"/>
  <c r="K85" i="1"/>
  <c r="AI83" i="1"/>
  <c r="K83" i="1"/>
  <c r="AI81" i="1"/>
  <c r="K81" i="1"/>
  <c r="AI79" i="1"/>
  <c r="K79" i="1"/>
  <c r="AI77" i="1"/>
  <c r="K77" i="1"/>
  <c r="AI75" i="1"/>
  <c r="K75" i="1"/>
  <c r="AI73" i="1"/>
  <c r="K73" i="1"/>
  <c r="AI71" i="1"/>
  <c r="K71" i="1"/>
  <c r="AI69" i="1"/>
  <c r="K69" i="1"/>
  <c r="AI67" i="1"/>
  <c r="K67" i="1"/>
  <c r="AI65" i="1"/>
  <c r="K65" i="1"/>
  <c r="Z63" i="1"/>
  <c r="K64" i="1"/>
  <c r="Z62" i="1"/>
  <c r="T61" i="1"/>
  <c r="K60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T64" i="1"/>
  <c r="K63" i="1"/>
  <c r="Z61" i="1"/>
  <c r="T60" i="1"/>
  <c r="K59" i="1"/>
  <c r="Q64" i="1"/>
  <c r="Q63" i="1"/>
  <c r="Q62" i="1"/>
  <c r="Q61" i="1"/>
  <c r="Q60" i="1"/>
  <c r="Q59" i="1"/>
  <c r="AC64" i="1"/>
  <c r="AC63" i="1"/>
  <c r="AC62" i="1"/>
  <c r="AC61" i="1"/>
  <c r="AC60" i="1"/>
  <c r="AC59" i="1"/>
  <c r="AI64" i="1"/>
  <c r="AI63" i="1"/>
  <c r="AI62" i="1"/>
  <c r="AI61" i="1"/>
  <c r="AI60" i="1"/>
  <c r="AI59" i="1"/>
  <c r="AB2" i="5"/>
  <c r="I12" i="13"/>
  <c r="J12" i="13"/>
  <c r="K12" i="13"/>
  <c r="L12" i="13"/>
  <c r="A60" i="5" l="1"/>
  <c r="B60" i="5"/>
  <c r="C60" i="5"/>
  <c r="D60" i="5"/>
  <c r="E60" i="5"/>
  <c r="A61" i="5"/>
  <c r="B61" i="5"/>
  <c r="C61" i="5"/>
  <c r="D61" i="5"/>
  <c r="E61" i="5"/>
  <c r="A62" i="5"/>
  <c r="B62" i="5"/>
  <c r="C62" i="5"/>
  <c r="D62" i="5"/>
  <c r="E62" i="5"/>
  <c r="A63" i="5"/>
  <c r="B63" i="5"/>
  <c r="C63" i="5"/>
  <c r="D63" i="5"/>
  <c r="E63" i="5"/>
  <c r="A64" i="5"/>
  <c r="B64" i="5"/>
  <c r="C64" i="5"/>
  <c r="D64" i="5"/>
  <c r="E64" i="5"/>
  <c r="A65" i="5"/>
  <c r="B65" i="5"/>
  <c r="C65" i="5"/>
  <c r="D65" i="5"/>
  <c r="E65" i="5"/>
  <c r="A66" i="5"/>
  <c r="B66" i="5"/>
  <c r="C66" i="5"/>
  <c r="D66" i="5"/>
  <c r="E66" i="5"/>
  <c r="A67" i="5"/>
  <c r="B67" i="5"/>
  <c r="C67" i="5"/>
  <c r="D67" i="5"/>
  <c r="E67" i="5"/>
  <c r="A68" i="5"/>
  <c r="B68" i="5"/>
  <c r="C68" i="5"/>
  <c r="D68" i="5"/>
  <c r="E68" i="5"/>
  <c r="A69" i="5"/>
  <c r="B69" i="5"/>
  <c r="C69" i="5"/>
  <c r="D69" i="5"/>
  <c r="E69" i="5"/>
  <c r="A70" i="5"/>
  <c r="B70" i="5"/>
  <c r="C70" i="5"/>
  <c r="D70" i="5"/>
  <c r="E70" i="5"/>
  <c r="A71" i="5"/>
  <c r="B71" i="5"/>
  <c r="C71" i="5"/>
  <c r="D71" i="5"/>
  <c r="E71" i="5"/>
  <c r="A72" i="5"/>
  <c r="B72" i="5"/>
  <c r="C72" i="5"/>
  <c r="D72" i="5"/>
  <c r="E72" i="5"/>
  <c r="A73" i="5"/>
  <c r="B73" i="5"/>
  <c r="C73" i="5"/>
  <c r="D73" i="5"/>
  <c r="E73" i="5"/>
  <c r="A74" i="5"/>
  <c r="B74" i="5"/>
  <c r="C74" i="5"/>
  <c r="D74" i="5"/>
  <c r="E74" i="5"/>
  <c r="A75" i="5"/>
  <c r="B75" i="5"/>
  <c r="C75" i="5"/>
  <c r="D75" i="5"/>
  <c r="E75" i="5"/>
  <c r="A76" i="5"/>
  <c r="B76" i="5"/>
  <c r="C76" i="5"/>
  <c r="D76" i="5"/>
  <c r="E76" i="5"/>
  <c r="A77" i="5"/>
  <c r="B77" i="5"/>
  <c r="C77" i="5"/>
  <c r="D77" i="5"/>
  <c r="E77" i="5"/>
  <c r="A78" i="5"/>
  <c r="B78" i="5"/>
  <c r="C78" i="5"/>
  <c r="D78" i="5"/>
  <c r="E78" i="5"/>
  <c r="A79" i="5"/>
  <c r="B79" i="5"/>
  <c r="C79" i="5"/>
  <c r="D79" i="5"/>
  <c r="E79" i="5"/>
  <c r="A80" i="5"/>
  <c r="B80" i="5"/>
  <c r="C80" i="5"/>
  <c r="D80" i="5"/>
  <c r="E80" i="5"/>
  <c r="A81" i="5"/>
  <c r="B81" i="5"/>
  <c r="C81" i="5"/>
  <c r="D81" i="5"/>
  <c r="E81" i="5"/>
  <c r="A82" i="5"/>
  <c r="B82" i="5"/>
  <c r="C82" i="5"/>
  <c r="D82" i="5"/>
  <c r="E82" i="5"/>
  <c r="A83" i="5"/>
  <c r="B83" i="5"/>
  <c r="C83" i="5"/>
  <c r="D83" i="5"/>
  <c r="E83" i="5"/>
  <c r="A84" i="5"/>
  <c r="B84" i="5"/>
  <c r="C84" i="5"/>
  <c r="D84" i="5"/>
  <c r="E84" i="5"/>
  <c r="A85" i="5"/>
  <c r="B85" i="5"/>
  <c r="C85" i="5"/>
  <c r="D85" i="5"/>
  <c r="E85" i="5"/>
  <c r="A86" i="5"/>
  <c r="B86" i="5"/>
  <c r="C86" i="5"/>
  <c r="D86" i="5"/>
  <c r="E86" i="5"/>
  <c r="A87" i="5"/>
  <c r="B87" i="5"/>
  <c r="C87" i="5"/>
  <c r="D87" i="5"/>
  <c r="E87" i="5"/>
  <c r="A88" i="5"/>
  <c r="B88" i="5"/>
  <c r="C88" i="5"/>
  <c r="D88" i="5"/>
  <c r="E88" i="5"/>
  <c r="A89" i="5"/>
  <c r="B89" i="5"/>
  <c r="C89" i="5"/>
  <c r="D89" i="5"/>
  <c r="E89" i="5"/>
  <c r="A90" i="5"/>
  <c r="B90" i="5"/>
  <c r="C90" i="5"/>
  <c r="D90" i="5"/>
  <c r="E90" i="5"/>
  <c r="A91" i="5"/>
  <c r="B91" i="5"/>
  <c r="C91" i="5"/>
  <c r="D91" i="5"/>
  <c r="E91" i="5"/>
  <c r="A92" i="5"/>
  <c r="B92" i="5"/>
  <c r="C92" i="5"/>
  <c r="D92" i="5"/>
  <c r="E92" i="5"/>
  <c r="A93" i="5"/>
  <c r="B93" i="5"/>
  <c r="C93" i="5"/>
  <c r="D93" i="5"/>
  <c r="E93" i="5"/>
  <c r="A94" i="5"/>
  <c r="B94" i="5"/>
  <c r="C94" i="5"/>
  <c r="D94" i="5"/>
  <c r="E94" i="5"/>
  <c r="A95" i="5"/>
  <c r="B95" i="5"/>
  <c r="C95" i="5"/>
  <c r="D95" i="5"/>
  <c r="E95" i="5"/>
  <c r="A96" i="5"/>
  <c r="B96" i="5"/>
  <c r="C96" i="5"/>
  <c r="D96" i="5"/>
  <c r="E96" i="5"/>
  <c r="A97" i="5"/>
  <c r="B97" i="5"/>
  <c r="C97" i="5"/>
  <c r="D97" i="5"/>
  <c r="E97" i="5"/>
  <c r="A98" i="5"/>
  <c r="B98" i="5"/>
  <c r="C98" i="5"/>
  <c r="D98" i="5"/>
  <c r="E98" i="5"/>
  <c r="A99" i="5"/>
  <c r="B99" i="5"/>
  <c r="C99" i="5"/>
  <c r="D99" i="5"/>
  <c r="E99" i="5"/>
  <c r="A100" i="5"/>
  <c r="B100" i="5"/>
  <c r="C100" i="5"/>
  <c r="D100" i="5"/>
  <c r="E100" i="5"/>
  <c r="A101" i="5"/>
  <c r="B101" i="5"/>
  <c r="C101" i="5"/>
  <c r="D101" i="5"/>
  <c r="E101" i="5"/>
  <c r="A102" i="5"/>
  <c r="B102" i="5"/>
  <c r="C102" i="5"/>
  <c r="D102" i="5"/>
  <c r="E102" i="5"/>
  <c r="A103" i="5"/>
  <c r="B103" i="5"/>
  <c r="C103" i="5"/>
  <c r="D103" i="5"/>
  <c r="E103" i="5"/>
  <c r="A104" i="5"/>
  <c r="B104" i="5"/>
  <c r="C104" i="5"/>
  <c r="D104" i="5"/>
  <c r="E104" i="5"/>
  <c r="A105" i="5"/>
  <c r="B105" i="5"/>
  <c r="C105" i="5"/>
  <c r="D105" i="5"/>
  <c r="E105" i="5"/>
  <c r="A106" i="5"/>
  <c r="B106" i="5"/>
  <c r="C106" i="5"/>
  <c r="D106" i="5"/>
  <c r="E106" i="5"/>
  <c r="A107" i="5"/>
  <c r="B107" i="5"/>
  <c r="C107" i="5"/>
  <c r="D107" i="5"/>
  <c r="E107" i="5"/>
  <c r="A108" i="5"/>
  <c r="B108" i="5"/>
  <c r="C108" i="5"/>
  <c r="D108" i="5"/>
  <c r="E108" i="5"/>
  <c r="A109" i="5"/>
  <c r="B109" i="5"/>
  <c r="C109" i="5"/>
  <c r="D109" i="5"/>
  <c r="E109" i="5"/>
  <c r="A110" i="5"/>
  <c r="B110" i="5"/>
  <c r="C110" i="5"/>
  <c r="D110" i="5"/>
  <c r="E110" i="5"/>
  <c r="A111" i="5"/>
  <c r="B111" i="5"/>
  <c r="C111" i="5"/>
  <c r="D111" i="5"/>
  <c r="E111" i="5"/>
  <c r="A112" i="5"/>
  <c r="B112" i="5"/>
  <c r="C112" i="5"/>
  <c r="D112" i="5"/>
  <c r="E112" i="5"/>
  <c r="A113" i="5"/>
  <c r="B113" i="5"/>
  <c r="C113" i="5"/>
  <c r="D113" i="5"/>
  <c r="E113" i="5"/>
  <c r="A114" i="5"/>
  <c r="B114" i="5"/>
  <c r="C114" i="5"/>
  <c r="D114" i="5"/>
  <c r="E114" i="5"/>
  <c r="A115" i="5"/>
  <c r="B115" i="5"/>
  <c r="C115" i="5"/>
  <c r="D115" i="5"/>
  <c r="E115" i="5"/>
  <c r="A116" i="5"/>
  <c r="B116" i="5"/>
  <c r="C116" i="5"/>
  <c r="D116" i="5"/>
  <c r="E116" i="5"/>
  <c r="A117" i="5"/>
  <c r="B117" i="5"/>
  <c r="C117" i="5"/>
  <c r="D117" i="5"/>
  <c r="E117" i="5"/>
  <c r="A118" i="5"/>
  <c r="B118" i="5"/>
  <c r="C118" i="5"/>
  <c r="D118" i="5"/>
  <c r="E118" i="5"/>
  <c r="A119" i="5"/>
  <c r="B119" i="5"/>
  <c r="C119" i="5"/>
  <c r="D119" i="5"/>
  <c r="E119" i="5"/>
  <c r="A120" i="5"/>
  <c r="B120" i="5"/>
  <c r="C120" i="5"/>
  <c r="D120" i="5"/>
  <c r="E120" i="5"/>
  <c r="A121" i="5"/>
  <c r="B121" i="5"/>
  <c r="C121" i="5"/>
  <c r="D121" i="5"/>
  <c r="E121" i="5"/>
  <c r="A122" i="5"/>
  <c r="B122" i="5"/>
  <c r="C122" i="5"/>
  <c r="D122" i="5"/>
  <c r="E122" i="5"/>
  <c r="A123" i="5"/>
  <c r="B123" i="5"/>
  <c r="C123" i="5"/>
  <c r="D123" i="5"/>
  <c r="E123" i="5"/>
  <c r="A124" i="5"/>
  <c r="B124" i="5"/>
  <c r="C124" i="5"/>
  <c r="D124" i="5"/>
  <c r="E124" i="5"/>
  <c r="A125" i="5"/>
  <c r="B125" i="5"/>
  <c r="C125" i="5"/>
  <c r="D125" i="5"/>
  <c r="E125" i="5"/>
  <c r="A126" i="5"/>
  <c r="B126" i="5"/>
  <c r="C126" i="5"/>
  <c r="D126" i="5"/>
  <c r="E126" i="5"/>
  <c r="A127" i="5"/>
  <c r="B127" i="5"/>
  <c r="C127" i="5"/>
  <c r="D127" i="5"/>
  <c r="E127" i="5"/>
  <c r="A128" i="5"/>
  <c r="B128" i="5"/>
  <c r="C128" i="5"/>
  <c r="D128" i="5"/>
  <c r="E128" i="5"/>
  <c r="A129" i="5"/>
  <c r="B129" i="5"/>
  <c r="C129" i="5"/>
  <c r="D129" i="5"/>
  <c r="E129" i="5"/>
  <c r="A130" i="5"/>
  <c r="B130" i="5"/>
  <c r="C130" i="5"/>
  <c r="D130" i="5"/>
  <c r="E130" i="5"/>
  <c r="A131" i="5"/>
  <c r="B131" i="5"/>
  <c r="C131" i="5"/>
  <c r="D131" i="5"/>
  <c r="E131" i="5"/>
  <c r="A132" i="5"/>
  <c r="B132" i="5"/>
  <c r="C132" i="5"/>
  <c r="D132" i="5"/>
  <c r="E132" i="5"/>
  <c r="A133" i="5"/>
  <c r="B133" i="5"/>
  <c r="C133" i="5"/>
  <c r="D133" i="5"/>
  <c r="E133" i="5"/>
  <c r="A134" i="5"/>
  <c r="B134" i="5"/>
  <c r="C134" i="5"/>
  <c r="D134" i="5"/>
  <c r="E134" i="5"/>
  <c r="A135" i="5"/>
  <c r="B135" i="5"/>
  <c r="C135" i="5"/>
  <c r="D135" i="5"/>
  <c r="E135" i="5"/>
  <c r="A136" i="5"/>
  <c r="B136" i="5"/>
  <c r="C136" i="5"/>
  <c r="D136" i="5"/>
  <c r="E136" i="5"/>
  <c r="A137" i="5"/>
  <c r="B137" i="5"/>
  <c r="C137" i="5"/>
  <c r="D137" i="5"/>
  <c r="E137" i="5"/>
  <c r="A138" i="5"/>
  <c r="B138" i="5"/>
  <c r="C138" i="5"/>
  <c r="D138" i="5"/>
  <c r="E138" i="5"/>
  <c r="A139" i="5"/>
  <c r="B139" i="5"/>
  <c r="C139" i="5"/>
  <c r="D139" i="5"/>
  <c r="E139" i="5"/>
  <c r="A140" i="5"/>
  <c r="B140" i="5"/>
  <c r="C140" i="5"/>
  <c r="D140" i="5"/>
  <c r="E140" i="5"/>
  <c r="A141" i="5"/>
  <c r="B141" i="5"/>
  <c r="C141" i="5"/>
  <c r="D141" i="5"/>
  <c r="E141" i="5"/>
  <c r="A142" i="5"/>
  <c r="B142" i="5"/>
  <c r="C142" i="5"/>
  <c r="D142" i="5"/>
  <c r="E142" i="5"/>
  <c r="A143" i="5"/>
  <c r="B143" i="5"/>
  <c r="C143" i="5"/>
  <c r="D143" i="5"/>
  <c r="E143" i="5"/>
  <c r="A144" i="5"/>
  <c r="B144" i="5"/>
  <c r="C144" i="5"/>
  <c r="D144" i="5"/>
  <c r="E144" i="5"/>
  <c r="A145" i="5"/>
  <c r="B145" i="5"/>
  <c r="C145" i="5"/>
  <c r="D145" i="5"/>
  <c r="E145" i="5"/>
  <c r="A146" i="5"/>
  <c r="B146" i="5"/>
  <c r="C146" i="5"/>
  <c r="D146" i="5"/>
  <c r="E146" i="5"/>
  <c r="A147" i="5"/>
  <c r="B147" i="5"/>
  <c r="C147" i="5"/>
  <c r="D147" i="5"/>
  <c r="E147" i="5"/>
  <c r="A148" i="5"/>
  <c r="B148" i="5"/>
  <c r="C148" i="5"/>
  <c r="D148" i="5"/>
  <c r="E148" i="5"/>
  <c r="A149" i="5"/>
  <c r="B149" i="5"/>
  <c r="C149" i="5"/>
  <c r="D149" i="5"/>
  <c r="E149" i="5"/>
  <c r="A150" i="5"/>
  <c r="B150" i="5"/>
  <c r="C150" i="5"/>
  <c r="D150" i="5"/>
  <c r="E150" i="5"/>
  <c r="A151" i="5"/>
  <c r="B151" i="5"/>
  <c r="C151" i="5"/>
  <c r="D151" i="5"/>
  <c r="E151" i="5"/>
  <c r="A152" i="5"/>
  <c r="B152" i="5"/>
  <c r="C152" i="5"/>
  <c r="D152" i="5"/>
  <c r="E152" i="5"/>
  <c r="A153" i="5"/>
  <c r="B153" i="5"/>
  <c r="C153" i="5"/>
  <c r="D153" i="5"/>
  <c r="E153" i="5"/>
  <c r="A154" i="5"/>
  <c r="B154" i="5"/>
  <c r="C154" i="5"/>
  <c r="D154" i="5"/>
  <c r="E154" i="5"/>
  <c r="A155" i="5"/>
  <c r="B155" i="5"/>
  <c r="C155" i="5"/>
  <c r="D155" i="5"/>
  <c r="E155" i="5"/>
  <c r="A156" i="5"/>
  <c r="B156" i="5"/>
  <c r="C156" i="5"/>
  <c r="D156" i="5"/>
  <c r="E156" i="5"/>
  <c r="A157" i="5"/>
  <c r="B157" i="5"/>
  <c r="C157" i="5"/>
  <c r="D157" i="5"/>
  <c r="E157" i="5"/>
  <c r="A158" i="5"/>
  <c r="B158" i="5"/>
  <c r="C158" i="5"/>
  <c r="D158" i="5"/>
  <c r="E158" i="5"/>
  <c r="A159" i="5"/>
  <c r="B159" i="5"/>
  <c r="C159" i="5"/>
  <c r="D159" i="5"/>
  <c r="E159" i="5"/>
  <c r="A160" i="5"/>
  <c r="B160" i="5"/>
  <c r="C160" i="5"/>
  <c r="D160" i="5"/>
  <c r="E160" i="5"/>
  <c r="A161" i="5"/>
  <c r="B161" i="5"/>
  <c r="C161" i="5"/>
  <c r="D161" i="5"/>
  <c r="E161" i="5"/>
  <c r="A162" i="5"/>
  <c r="B162" i="5"/>
  <c r="C162" i="5"/>
  <c r="D162" i="5"/>
  <c r="E162" i="5"/>
  <c r="A163" i="5"/>
  <c r="B163" i="5"/>
  <c r="C163" i="5"/>
  <c r="D163" i="5"/>
  <c r="E163" i="5"/>
  <c r="A164" i="5"/>
  <c r="B164" i="5"/>
  <c r="C164" i="5"/>
  <c r="D164" i="5"/>
  <c r="E164" i="5"/>
  <c r="A165" i="5"/>
  <c r="B165" i="5"/>
  <c r="C165" i="5"/>
  <c r="D165" i="5"/>
  <c r="E165" i="5"/>
  <c r="A166" i="5"/>
  <c r="B166" i="5"/>
  <c r="C166" i="5"/>
  <c r="D166" i="5"/>
  <c r="E166" i="5"/>
  <c r="A167" i="5"/>
  <c r="B167" i="5"/>
  <c r="C167" i="5"/>
  <c r="D167" i="5"/>
  <c r="E167" i="5"/>
  <c r="A168" i="5"/>
  <c r="B168" i="5"/>
  <c r="C168" i="5"/>
  <c r="D168" i="5"/>
  <c r="E168" i="5"/>
  <c r="A169" i="5"/>
  <c r="B169" i="5"/>
  <c r="C169" i="5"/>
  <c r="D169" i="5"/>
  <c r="E169" i="5"/>
  <c r="A170" i="5"/>
  <c r="B170" i="5"/>
  <c r="C170" i="5"/>
  <c r="D170" i="5"/>
  <c r="E170" i="5"/>
  <c r="A171" i="5"/>
  <c r="B171" i="5"/>
  <c r="C171" i="5"/>
  <c r="D171" i="5"/>
  <c r="E171" i="5"/>
  <c r="A172" i="5"/>
  <c r="B172" i="5"/>
  <c r="C172" i="5"/>
  <c r="D172" i="5"/>
  <c r="E172" i="5"/>
  <c r="A173" i="5"/>
  <c r="B173" i="5"/>
  <c r="C173" i="5"/>
  <c r="D173" i="5"/>
  <c r="E173" i="5"/>
  <c r="A174" i="5"/>
  <c r="B174" i="5"/>
  <c r="C174" i="5"/>
  <c r="D174" i="5"/>
  <c r="E174" i="5"/>
  <c r="A175" i="5"/>
  <c r="B175" i="5"/>
  <c r="C175" i="5"/>
  <c r="D175" i="5"/>
  <c r="E175" i="5"/>
  <c r="A176" i="5"/>
  <c r="B176" i="5"/>
  <c r="C176" i="5"/>
  <c r="D176" i="5"/>
  <c r="E176" i="5"/>
  <c r="A177" i="5"/>
  <c r="B177" i="5"/>
  <c r="C177" i="5"/>
  <c r="D177" i="5"/>
  <c r="E177" i="5"/>
  <c r="A178" i="5"/>
  <c r="B178" i="5"/>
  <c r="C178" i="5"/>
  <c r="D178" i="5"/>
  <c r="E178" i="5"/>
  <c r="A179" i="5"/>
  <c r="B179" i="5"/>
  <c r="C179" i="5"/>
  <c r="D179" i="5"/>
  <c r="E179" i="5"/>
  <c r="A180" i="5"/>
  <c r="B180" i="5"/>
  <c r="C180" i="5"/>
  <c r="D180" i="5"/>
  <c r="E180" i="5"/>
  <c r="A181" i="5"/>
  <c r="B181" i="5"/>
  <c r="C181" i="5"/>
  <c r="D181" i="5"/>
  <c r="E181" i="5"/>
  <c r="A182" i="5"/>
  <c r="B182" i="5"/>
  <c r="C182" i="5"/>
  <c r="D182" i="5"/>
  <c r="E182" i="5"/>
  <c r="A183" i="5"/>
  <c r="B183" i="5"/>
  <c r="C183" i="5"/>
  <c r="D183" i="5"/>
  <c r="E183" i="5"/>
  <c r="A184" i="5"/>
  <c r="B184" i="5"/>
  <c r="C184" i="5"/>
  <c r="D184" i="5"/>
  <c r="E184" i="5"/>
  <c r="A185" i="5"/>
  <c r="B185" i="5"/>
  <c r="C185" i="5"/>
  <c r="D185" i="5"/>
  <c r="E185" i="5"/>
  <c r="A186" i="5"/>
  <c r="B186" i="5"/>
  <c r="C186" i="5"/>
  <c r="D186" i="5"/>
  <c r="E186" i="5"/>
  <c r="A187" i="5"/>
  <c r="B187" i="5"/>
  <c r="C187" i="5"/>
  <c r="D187" i="5"/>
  <c r="E187" i="5"/>
  <c r="A188" i="5"/>
  <c r="B188" i="5"/>
  <c r="C188" i="5"/>
  <c r="D188" i="5"/>
  <c r="E188" i="5"/>
  <c r="A189" i="5"/>
  <c r="B189" i="5"/>
  <c r="C189" i="5"/>
  <c r="D189" i="5"/>
  <c r="E189" i="5"/>
  <c r="A190" i="5"/>
  <c r="B190" i="5"/>
  <c r="C190" i="5"/>
  <c r="D190" i="5"/>
  <c r="E190" i="5"/>
  <c r="A191" i="5"/>
  <c r="B191" i="5"/>
  <c r="C191" i="5"/>
  <c r="D191" i="5"/>
  <c r="E191" i="5"/>
  <c r="A192" i="5"/>
  <c r="B192" i="5"/>
  <c r="C192" i="5"/>
  <c r="D192" i="5"/>
  <c r="E192" i="5"/>
  <c r="A193" i="5"/>
  <c r="B193" i="5"/>
  <c r="C193" i="5"/>
  <c r="D193" i="5"/>
  <c r="E193" i="5"/>
  <c r="A194" i="5"/>
  <c r="B194" i="5"/>
  <c r="C194" i="5"/>
  <c r="D194" i="5"/>
  <c r="E194" i="5"/>
  <c r="A195" i="5"/>
  <c r="B195" i="5"/>
  <c r="C195" i="5"/>
  <c r="D195" i="5"/>
  <c r="E195" i="5"/>
  <c r="A196" i="5"/>
  <c r="B196" i="5"/>
  <c r="C196" i="5"/>
  <c r="D196" i="5"/>
  <c r="E196" i="5"/>
  <c r="A197" i="5"/>
  <c r="B197" i="5"/>
  <c r="C197" i="5"/>
  <c r="D197" i="5"/>
  <c r="E197" i="5"/>
  <c r="A198" i="5"/>
  <c r="B198" i="5"/>
  <c r="C198" i="5"/>
  <c r="D198" i="5"/>
  <c r="E198" i="5"/>
  <c r="A199" i="5"/>
  <c r="B199" i="5"/>
  <c r="C199" i="5"/>
  <c r="D199" i="5"/>
  <c r="E199" i="5"/>
  <c r="A200" i="5"/>
  <c r="B200" i="5"/>
  <c r="C200" i="5"/>
  <c r="D200" i="5"/>
  <c r="E200" i="5"/>
  <c r="A201" i="5"/>
  <c r="B201" i="5"/>
  <c r="C201" i="5"/>
  <c r="D201" i="5"/>
  <c r="E201" i="5"/>
  <c r="A202" i="5"/>
  <c r="B202" i="5"/>
  <c r="C202" i="5"/>
  <c r="D202" i="5"/>
  <c r="E202" i="5"/>
  <c r="A203" i="5"/>
  <c r="B203" i="5"/>
  <c r="C203" i="5"/>
  <c r="D203" i="5"/>
  <c r="E203" i="5"/>
  <c r="A60" i="6"/>
  <c r="B60" i="6"/>
  <c r="C60" i="6"/>
  <c r="D60" i="6"/>
  <c r="E60" i="6"/>
  <c r="A61" i="6"/>
  <c r="B61" i="6"/>
  <c r="C61" i="6"/>
  <c r="D61" i="6"/>
  <c r="E61" i="6"/>
  <c r="A62" i="6"/>
  <c r="B62" i="6"/>
  <c r="C62" i="6"/>
  <c r="D62" i="6"/>
  <c r="E62" i="6"/>
  <c r="A63" i="6"/>
  <c r="B63" i="6"/>
  <c r="C63" i="6"/>
  <c r="D63" i="6"/>
  <c r="E63" i="6"/>
  <c r="A64" i="6"/>
  <c r="B64" i="6"/>
  <c r="C64" i="6"/>
  <c r="D64" i="6"/>
  <c r="E64" i="6"/>
  <c r="A65" i="6"/>
  <c r="B65" i="6"/>
  <c r="C65" i="6"/>
  <c r="D65" i="6"/>
  <c r="E65" i="6"/>
  <c r="A66" i="6"/>
  <c r="B66" i="6"/>
  <c r="C66" i="6"/>
  <c r="D66" i="6"/>
  <c r="E66" i="6"/>
  <c r="A67" i="6"/>
  <c r="B67" i="6"/>
  <c r="C67" i="6"/>
  <c r="D67" i="6"/>
  <c r="E67" i="6"/>
  <c r="A68" i="6"/>
  <c r="B68" i="6"/>
  <c r="C68" i="6"/>
  <c r="D68" i="6"/>
  <c r="E68" i="6"/>
  <c r="A69" i="6"/>
  <c r="B69" i="6"/>
  <c r="C69" i="6"/>
  <c r="D69" i="6"/>
  <c r="E69" i="6"/>
  <c r="A70" i="6"/>
  <c r="B70" i="6"/>
  <c r="C70" i="6"/>
  <c r="D70" i="6"/>
  <c r="E70" i="6"/>
  <c r="A71" i="6"/>
  <c r="B71" i="6"/>
  <c r="C71" i="6"/>
  <c r="D71" i="6"/>
  <c r="E71" i="6"/>
  <c r="A72" i="6"/>
  <c r="B72" i="6"/>
  <c r="C72" i="6"/>
  <c r="D72" i="6"/>
  <c r="E72" i="6"/>
  <c r="A73" i="6"/>
  <c r="B73" i="6"/>
  <c r="C73" i="6"/>
  <c r="D73" i="6"/>
  <c r="E73" i="6"/>
  <c r="A74" i="6"/>
  <c r="B74" i="6"/>
  <c r="C74" i="6"/>
  <c r="D74" i="6"/>
  <c r="E74" i="6"/>
  <c r="A75" i="6"/>
  <c r="B75" i="6"/>
  <c r="C75" i="6"/>
  <c r="D75" i="6"/>
  <c r="E75" i="6"/>
  <c r="A76" i="6"/>
  <c r="B76" i="6"/>
  <c r="C76" i="6"/>
  <c r="D76" i="6"/>
  <c r="E76" i="6"/>
  <c r="A77" i="6"/>
  <c r="B77" i="6"/>
  <c r="C77" i="6"/>
  <c r="D77" i="6"/>
  <c r="E77" i="6"/>
  <c r="A78" i="6"/>
  <c r="B78" i="6"/>
  <c r="C78" i="6"/>
  <c r="D78" i="6"/>
  <c r="E78" i="6"/>
  <c r="A79" i="6"/>
  <c r="B79" i="6"/>
  <c r="C79" i="6"/>
  <c r="D79" i="6"/>
  <c r="E79" i="6"/>
  <c r="A80" i="6"/>
  <c r="B80" i="6"/>
  <c r="C80" i="6"/>
  <c r="D80" i="6"/>
  <c r="E80" i="6"/>
  <c r="A81" i="6"/>
  <c r="B81" i="6"/>
  <c r="C81" i="6"/>
  <c r="D81" i="6"/>
  <c r="E81" i="6"/>
  <c r="A82" i="6"/>
  <c r="B82" i="6"/>
  <c r="C82" i="6"/>
  <c r="D82" i="6"/>
  <c r="E82" i="6"/>
  <c r="A83" i="6"/>
  <c r="B83" i="6"/>
  <c r="C83" i="6"/>
  <c r="D83" i="6"/>
  <c r="E83" i="6"/>
  <c r="A84" i="6"/>
  <c r="B84" i="6"/>
  <c r="C84" i="6"/>
  <c r="D84" i="6"/>
  <c r="E84" i="6"/>
  <c r="A85" i="6"/>
  <c r="B85" i="6"/>
  <c r="C85" i="6"/>
  <c r="D85" i="6"/>
  <c r="E85" i="6"/>
  <c r="A86" i="6"/>
  <c r="B86" i="6"/>
  <c r="C86" i="6"/>
  <c r="D86" i="6"/>
  <c r="E86" i="6"/>
  <c r="A87" i="6"/>
  <c r="B87" i="6"/>
  <c r="C87" i="6"/>
  <c r="D87" i="6"/>
  <c r="E87" i="6"/>
  <c r="A88" i="6"/>
  <c r="B88" i="6"/>
  <c r="C88" i="6"/>
  <c r="D88" i="6"/>
  <c r="E88" i="6"/>
  <c r="A89" i="6"/>
  <c r="B89" i="6"/>
  <c r="C89" i="6"/>
  <c r="D89" i="6"/>
  <c r="E89" i="6"/>
  <c r="A90" i="6"/>
  <c r="B90" i="6"/>
  <c r="C90" i="6"/>
  <c r="D90" i="6"/>
  <c r="E90" i="6"/>
  <c r="A91" i="6"/>
  <c r="B91" i="6"/>
  <c r="C91" i="6"/>
  <c r="D91" i="6"/>
  <c r="E91" i="6"/>
  <c r="A92" i="6"/>
  <c r="B92" i="6"/>
  <c r="C92" i="6"/>
  <c r="D92" i="6"/>
  <c r="E92" i="6"/>
  <c r="A93" i="6"/>
  <c r="B93" i="6"/>
  <c r="C93" i="6"/>
  <c r="D93" i="6"/>
  <c r="E93" i="6"/>
  <c r="A94" i="6"/>
  <c r="B94" i="6"/>
  <c r="C94" i="6"/>
  <c r="D94" i="6"/>
  <c r="E94" i="6"/>
  <c r="A95" i="6"/>
  <c r="B95" i="6"/>
  <c r="C95" i="6"/>
  <c r="D95" i="6"/>
  <c r="E95" i="6"/>
  <c r="A96" i="6"/>
  <c r="B96" i="6"/>
  <c r="C96" i="6"/>
  <c r="D96" i="6"/>
  <c r="E96" i="6"/>
  <c r="A97" i="6"/>
  <c r="B97" i="6"/>
  <c r="C97" i="6"/>
  <c r="D97" i="6"/>
  <c r="E97" i="6"/>
  <c r="A98" i="6"/>
  <c r="B98" i="6"/>
  <c r="C98" i="6"/>
  <c r="D98" i="6"/>
  <c r="E98" i="6"/>
  <c r="A99" i="6"/>
  <c r="B99" i="6"/>
  <c r="C99" i="6"/>
  <c r="D99" i="6"/>
  <c r="E99" i="6"/>
  <c r="A100" i="6"/>
  <c r="B100" i="6"/>
  <c r="C100" i="6"/>
  <c r="D100" i="6"/>
  <c r="E100" i="6"/>
  <c r="A101" i="6"/>
  <c r="B101" i="6"/>
  <c r="C101" i="6"/>
  <c r="D101" i="6"/>
  <c r="E101" i="6"/>
  <c r="A102" i="6"/>
  <c r="B102" i="6"/>
  <c r="C102" i="6"/>
  <c r="D102" i="6"/>
  <c r="E102" i="6"/>
  <c r="A103" i="6"/>
  <c r="B103" i="6"/>
  <c r="C103" i="6"/>
  <c r="D103" i="6"/>
  <c r="E103" i="6"/>
  <c r="A104" i="6"/>
  <c r="B104" i="6"/>
  <c r="C104" i="6"/>
  <c r="D104" i="6"/>
  <c r="E104" i="6"/>
  <c r="A105" i="6"/>
  <c r="B105" i="6"/>
  <c r="C105" i="6"/>
  <c r="D105" i="6"/>
  <c r="E105" i="6"/>
  <c r="A106" i="6"/>
  <c r="B106" i="6"/>
  <c r="C106" i="6"/>
  <c r="D106" i="6"/>
  <c r="E106" i="6"/>
  <c r="A107" i="6"/>
  <c r="B107" i="6"/>
  <c r="C107" i="6"/>
  <c r="D107" i="6"/>
  <c r="E107" i="6"/>
  <c r="A108" i="6"/>
  <c r="B108" i="6"/>
  <c r="C108" i="6"/>
  <c r="D108" i="6"/>
  <c r="E108" i="6"/>
  <c r="A109" i="6"/>
  <c r="B109" i="6"/>
  <c r="C109" i="6"/>
  <c r="D109" i="6"/>
  <c r="E109" i="6"/>
  <c r="A110" i="6"/>
  <c r="B110" i="6"/>
  <c r="C110" i="6"/>
  <c r="D110" i="6"/>
  <c r="E110" i="6"/>
  <c r="A111" i="6"/>
  <c r="B111" i="6"/>
  <c r="C111" i="6"/>
  <c r="D111" i="6"/>
  <c r="E111" i="6"/>
  <c r="A112" i="6"/>
  <c r="B112" i="6"/>
  <c r="C112" i="6"/>
  <c r="D112" i="6"/>
  <c r="E112" i="6"/>
  <c r="A113" i="6"/>
  <c r="B113" i="6"/>
  <c r="C113" i="6"/>
  <c r="D113" i="6"/>
  <c r="E113" i="6"/>
  <c r="A114" i="6"/>
  <c r="B114" i="6"/>
  <c r="C114" i="6"/>
  <c r="D114" i="6"/>
  <c r="E114" i="6"/>
  <c r="A115" i="6"/>
  <c r="B115" i="6"/>
  <c r="C115" i="6"/>
  <c r="D115" i="6"/>
  <c r="E115" i="6"/>
  <c r="A116" i="6"/>
  <c r="B116" i="6"/>
  <c r="C116" i="6"/>
  <c r="D116" i="6"/>
  <c r="E116" i="6"/>
  <c r="A117" i="6"/>
  <c r="B117" i="6"/>
  <c r="C117" i="6"/>
  <c r="D117" i="6"/>
  <c r="E117" i="6"/>
  <c r="A118" i="6"/>
  <c r="B118" i="6"/>
  <c r="C118" i="6"/>
  <c r="D118" i="6"/>
  <c r="E118" i="6"/>
  <c r="A119" i="6"/>
  <c r="B119" i="6"/>
  <c r="C119" i="6"/>
  <c r="D119" i="6"/>
  <c r="E119" i="6"/>
  <c r="A120" i="6"/>
  <c r="B120" i="6"/>
  <c r="C120" i="6"/>
  <c r="D120" i="6"/>
  <c r="E120" i="6"/>
  <c r="A121" i="6"/>
  <c r="B121" i="6"/>
  <c r="C121" i="6"/>
  <c r="D121" i="6"/>
  <c r="E121" i="6"/>
  <c r="A122" i="6"/>
  <c r="B122" i="6"/>
  <c r="C122" i="6"/>
  <c r="D122" i="6"/>
  <c r="E122" i="6"/>
  <c r="A123" i="6"/>
  <c r="B123" i="6"/>
  <c r="C123" i="6"/>
  <c r="D123" i="6"/>
  <c r="E123" i="6"/>
  <c r="A124" i="6"/>
  <c r="B124" i="6"/>
  <c r="C124" i="6"/>
  <c r="D124" i="6"/>
  <c r="E124" i="6"/>
  <c r="A125" i="6"/>
  <c r="B125" i="6"/>
  <c r="C125" i="6"/>
  <c r="D125" i="6"/>
  <c r="E125" i="6"/>
  <c r="A126" i="6"/>
  <c r="B126" i="6"/>
  <c r="C126" i="6"/>
  <c r="D126" i="6"/>
  <c r="E126" i="6"/>
  <c r="A127" i="6"/>
  <c r="B127" i="6"/>
  <c r="C127" i="6"/>
  <c r="D127" i="6"/>
  <c r="E127" i="6"/>
  <c r="A128" i="6"/>
  <c r="B128" i="6"/>
  <c r="C128" i="6"/>
  <c r="D128" i="6"/>
  <c r="E128" i="6"/>
  <c r="A129" i="6"/>
  <c r="B129" i="6"/>
  <c r="C129" i="6"/>
  <c r="D129" i="6"/>
  <c r="E129" i="6"/>
  <c r="A130" i="6"/>
  <c r="B130" i="6"/>
  <c r="C130" i="6"/>
  <c r="D130" i="6"/>
  <c r="E130" i="6"/>
  <c r="A131" i="6"/>
  <c r="B131" i="6"/>
  <c r="C131" i="6"/>
  <c r="D131" i="6"/>
  <c r="E131" i="6"/>
  <c r="A132" i="6"/>
  <c r="B132" i="6"/>
  <c r="C132" i="6"/>
  <c r="D132" i="6"/>
  <c r="E132" i="6"/>
  <c r="A133" i="6"/>
  <c r="B133" i="6"/>
  <c r="C133" i="6"/>
  <c r="D133" i="6"/>
  <c r="E133" i="6"/>
  <c r="A134" i="6"/>
  <c r="B134" i="6"/>
  <c r="C134" i="6"/>
  <c r="D134" i="6"/>
  <c r="E134" i="6"/>
  <c r="A135" i="6"/>
  <c r="B135" i="6"/>
  <c r="C135" i="6"/>
  <c r="D135" i="6"/>
  <c r="E135" i="6"/>
  <c r="A136" i="6"/>
  <c r="B136" i="6"/>
  <c r="C136" i="6"/>
  <c r="D136" i="6"/>
  <c r="E136" i="6"/>
  <c r="A137" i="6"/>
  <c r="B137" i="6"/>
  <c r="C137" i="6"/>
  <c r="D137" i="6"/>
  <c r="E137" i="6"/>
  <c r="A138" i="6"/>
  <c r="B138" i="6"/>
  <c r="C138" i="6"/>
  <c r="D138" i="6"/>
  <c r="E138" i="6"/>
  <c r="A139" i="6"/>
  <c r="B139" i="6"/>
  <c r="C139" i="6"/>
  <c r="D139" i="6"/>
  <c r="E139" i="6"/>
  <c r="A140" i="6"/>
  <c r="B140" i="6"/>
  <c r="C140" i="6"/>
  <c r="D140" i="6"/>
  <c r="E140" i="6"/>
  <c r="A141" i="6"/>
  <c r="B141" i="6"/>
  <c r="C141" i="6"/>
  <c r="D141" i="6"/>
  <c r="E141" i="6"/>
  <c r="A142" i="6"/>
  <c r="B142" i="6"/>
  <c r="C142" i="6"/>
  <c r="D142" i="6"/>
  <c r="E142" i="6"/>
  <c r="A143" i="6"/>
  <c r="B143" i="6"/>
  <c r="C143" i="6"/>
  <c r="D143" i="6"/>
  <c r="E143" i="6"/>
  <c r="A144" i="6"/>
  <c r="B144" i="6"/>
  <c r="C144" i="6"/>
  <c r="D144" i="6"/>
  <c r="E144" i="6"/>
  <c r="A145" i="6"/>
  <c r="B145" i="6"/>
  <c r="C145" i="6"/>
  <c r="D145" i="6"/>
  <c r="E145" i="6"/>
  <c r="A146" i="6"/>
  <c r="B146" i="6"/>
  <c r="C146" i="6"/>
  <c r="D146" i="6"/>
  <c r="E146" i="6"/>
  <c r="A147" i="6"/>
  <c r="B147" i="6"/>
  <c r="C147" i="6"/>
  <c r="D147" i="6"/>
  <c r="E147" i="6"/>
  <c r="A148" i="6"/>
  <c r="B148" i="6"/>
  <c r="C148" i="6"/>
  <c r="D148" i="6"/>
  <c r="E148" i="6"/>
  <c r="A149" i="6"/>
  <c r="B149" i="6"/>
  <c r="C149" i="6"/>
  <c r="D149" i="6"/>
  <c r="E149" i="6"/>
  <c r="A150" i="6"/>
  <c r="B150" i="6"/>
  <c r="C150" i="6"/>
  <c r="D150" i="6"/>
  <c r="E150" i="6"/>
  <c r="A151" i="6"/>
  <c r="B151" i="6"/>
  <c r="C151" i="6"/>
  <c r="D151" i="6"/>
  <c r="E151" i="6"/>
  <c r="A152" i="6"/>
  <c r="B152" i="6"/>
  <c r="C152" i="6"/>
  <c r="D152" i="6"/>
  <c r="E152" i="6"/>
  <c r="A153" i="6"/>
  <c r="B153" i="6"/>
  <c r="C153" i="6"/>
  <c r="D153" i="6"/>
  <c r="E153" i="6"/>
  <c r="A154" i="6"/>
  <c r="B154" i="6"/>
  <c r="C154" i="6"/>
  <c r="D154" i="6"/>
  <c r="E154" i="6"/>
  <c r="A155" i="6"/>
  <c r="B155" i="6"/>
  <c r="C155" i="6"/>
  <c r="D155" i="6"/>
  <c r="E155" i="6"/>
  <c r="A156" i="6"/>
  <c r="B156" i="6"/>
  <c r="C156" i="6"/>
  <c r="D156" i="6"/>
  <c r="E156" i="6"/>
  <c r="A157" i="6"/>
  <c r="B157" i="6"/>
  <c r="C157" i="6"/>
  <c r="D157" i="6"/>
  <c r="E157" i="6"/>
  <c r="A158" i="6"/>
  <c r="B158" i="6"/>
  <c r="C158" i="6"/>
  <c r="D158" i="6"/>
  <c r="E158" i="6"/>
  <c r="A159" i="6"/>
  <c r="B159" i="6"/>
  <c r="C159" i="6"/>
  <c r="D159" i="6"/>
  <c r="E159" i="6"/>
  <c r="A160" i="6"/>
  <c r="B160" i="6"/>
  <c r="C160" i="6"/>
  <c r="D160" i="6"/>
  <c r="E160" i="6"/>
  <c r="A161" i="6"/>
  <c r="B161" i="6"/>
  <c r="C161" i="6"/>
  <c r="D161" i="6"/>
  <c r="E161" i="6"/>
  <c r="A162" i="6"/>
  <c r="B162" i="6"/>
  <c r="C162" i="6"/>
  <c r="D162" i="6"/>
  <c r="E162" i="6"/>
  <c r="A163" i="6"/>
  <c r="B163" i="6"/>
  <c r="C163" i="6"/>
  <c r="D163" i="6"/>
  <c r="E163" i="6"/>
  <c r="A164" i="6"/>
  <c r="B164" i="6"/>
  <c r="C164" i="6"/>
  <c r="D164" i="6"/>
  <c r="E164" i="6"/>
  <c r="A165" i="6"/>
  <c r="B165" i="6"/>
  <c r="C165" i="6"/>
  <c r="D165" i="6"/>
  <c r="E165" i="6"/>
  <c r="A166" i="6"/>
  <c r="B166" i="6"/>
  <c r="C166" i="6"/>
  <c r="D166" i="6"/>
  <c r="E166" i="6"/>
  <c r="A167" i="6"/>
  <c r="B167" i="6"/>
  <c r="C167" i="6"/>
  <c r="D167" i="6"/>
  <c r="E167" i="6"/>
  <c r="A168" i="6"/>
  <c r="B168" i="6"/>
  <c r="C168" i="6"/>
  <c r="D168" i="6"/>
  <c r="E168" i="6"/>
  <c r="A169" i="6"/>
  <c r="B169" i="6"/>
  <c r="C169" i="6"/>
  <c r="D169" i="6"/>
  <c r="E169" i="6"/>
  <c r="A170" i="6"/>
  <c r="B170" i="6"/>
  <c r="C170" i="6"/>
  <c r="D170" i="6"/>
  <c r="E170" i="6"/>
  <c r="A171" i="6"/>
  <c r="B171" i="6"/>
  <c r="C171" i="6"/>
  <c r="D171" i="6"/>
  <c r="E171" i="6"/>
  <c r="A172" i="6"/>
  <c r="B172" i="6"/>
  <c r="C172" i="6"/>
  <c r="D172" i="6"/>
  <c r="E172" i="6"/>
  <c r="A173" i="6"/>
  <c r="B173" i="6"/>
  <c r="C173" i="6"/>
  <c r="D173" i="6"/>
  <c r="E173" i="6"/>
  <c r="A174" i="6"/>
  <c r="B174" i="6"/>
  <c r="C174" i="6"/>
  <c r="D174" i="6"/>
  <c r="E174" i="6"/>
  <c r="A175" i="6"/>
  <c r="B175" i="6"/>
  <c r="C175" i="6"/>
  <c r="D175" i="6"/>
  <c r="E175" i="6"/>
  <c r="A176" i="6"/>
  <c r="B176" i="6"/>
  <c r="C176" i="6"/>
  <c r="D176" i="6"/>
  <c r="E176" i="6"/>
  <c r="A177" i="6"/>
  <c r="B177" i="6"/>
  <c r="C177" i="6"/>
  <c r="D177" i="6"/>
  <c r="E177" i="6"/>
  <c r="A178" i="6"/>
  <c r="B178" i="6"/>
  <c r="C178" i="6"/>
  <c r="D178" i="6"/>
  <c r="E178" i="6"/>
  <c r="A179" i="6"/>
  <c r="B179" i="6"/>
  <c r="C179" i="6"/>
  <c r="D179" i="6"/>
  <c r="E179" i="6"/>
  <c r="A180" i="6"/>
  <c r="B180" i="6"/>
  <c r="C180" i="6"/>
  <c r="D180" i="6"/>
  <c r="E180" i="6"/>
  <c r="A181" i="6"/>
  <c r="B181" i="6"/>
  <c r="C181" i="6"/>
  <c r="D181" i="6"/>
  <c r="E181" i="6"/>
  <c r="A182" i="6"/>
  <c r="B182" i="6"/>
  <c r="C182" i="6"/>
  <c r="D182" i="6"/>
  <c r="E182" i="6"/>
  <c r="A183" i="6"/>
  <c r="B183" i="6"/>
  <c r="C183" i="6"/>
  <c r="D183" i="6"/>
  <c r="E183" i="6"/>
  <c r="A184" i="6"/>
  <c r="B184" i="6"/>
  <c r="C184" i="6"/>
  <c r="D184" i="6"/>
  <c r="E184" i="6"/>
  <c r="A185" i="6"/>
  <c r="B185" i="6"/>
  <c r="C185" i="6"/>
  <c r="D185" i="6"/>
  <c r="E185" i="6"/>
  <c r="A186" i="6"/>
  <c r="B186" i="6"/>
  <c r="C186" i="6"/>
  <c r="D186" i="6"/>
  <c r="E186" i="6"/>
  <c r="A187" i="6"/>
  <c r="B187" i="6"/>
  <c r="C187" i="6"/>
  <c r="D187" i="6"/>
  <c r="E187" i="6"/>
  <c r="A188" i="6"/>
  <c r="B188" i="6"/>
  <c r="C188" i="6"/>
  <c r="D188" i="6"/>
  <c r="E188" i="6"/>
  <c r="A189" i="6"/>
  <c r="B189" i="6"/>
  <c r="C189" i="6"/>
  <c r="D189" i="6"/>
  <c r="E189" i="6"/>
  <c r="A190" i="6"/>
  <c r="B190" i="6"/>
  <c r="C190" i="6"/>
  <c r="D190" i="6"/>
  <c r="E190" i="6"/>
  <c r="A191" i="6"/>
  <c r="B191" i="6"/>
  <c r="C191" i="6"/>
  <c r="D191" i="6"/>
  <c r="E191" i="6"/>
  <c r="A192" i="6"/>
  <c r="B192" i="6"/>
  <c r="C192" i="6"/>
  <c r="D192" i="6"/>
  <c r="E192" i="6"/>
  <c r="A193" i="6"/>
  <c r="B193" i="6"/>
  <c r="C193" i="6"/>
  <c r="D193" i="6"/>
  <c r="E193" i="6"/>
  <c r="A194" i="6"/>
  <c r="B194" i="6"/>
  <c r="C194" i="6"/>
  <c r="D194" i="6"/>
  <c r="E194" i="6"/>
  <c r="A195" i="6"/>
  <c r="B195" i="6"/>
  <c r="C195" i="6"/>
  <c r="D195" i="6"/>
  <c r="E195" i="6"/>
  <c r="A196" i="6"/>
  <c r="B196" i="6"/>
  <c r="C196" i="6"/>
  <c r="D196" i="6"/>
  <c r="E196" i="6"/>
  <c r="A197" i="6"/>
  <c r="B197" i="6"/>
  <c r="C197" i="6"/>
  <c r="D197" i="6"/>
  <c r="E197" i="6"/>
  <c r="A198" i="6"/>
  <c r="B198" i="6"/>
  <c r="C198" i="6"/>
  <c r="D198" i="6"/>
  <c r="E198" i="6"/>
  <c r="A199" i="6"/>
  <c r="B199" i="6"/>
  <c r="C199" i="6"/>
  <c r="D199" i="6"/>
  <c r="E199" i="6"/>
  <c r="A200" i="6"/>
  <c r="B200" i="6"/>
  <c r="C200" i="6"/>
  <c r="D200" i="6"/>
  <c r="E200" i="6"/>
  <c r="A201" i="6"/>
  <c r="B201" i="6"/>
  <c r="C201" i="6"/>
  <c r="D201" i="6"/>
  <c r="E201" i="6"/>
  <c r="A202" i="6"/>
  <c r="B202" i="6"/>
  <c r="C202" i="6"/>
  <c r="D202" i="6"/>
  <c r="E202" i="6"/>
  <c r="A203" i="6"/>
  <c r="B203" i="6"/>
  <c r="C203" i="6"/>
  <c r="D203" i="6"/>
  <c r="E203" i="6"/>
  <c r="I12" i="12"/>
  <c r="J12" i="12"/>
  <c r="K12" i="12"/>
  <c r="L12" i="12"/>
  <c r="M186" i="6" l="1"/>
  <c r="O186" i="6" s="1"/>
  <c r="Q186" i="6"/>
  <c r="Y186" i="6"/>
  <c r="AA186" i="6" s="1"/>
  <c r="AC186" i="6"/>
  <c r="J186" i="6"/>
  <c r="L186" i="6" s="1"/>
  <c r="T186" i="6"/>
  <c r="Z186" i="6"/>
  <c r="AE186" i="6"/>
  <c r="AG186" i="6" s="1"/>
  <c r="K186" i="6"/>
  <c r="P186" i="6"/>
  <c r="R186" i="6" s="1"/>
  <c r="V186" i="6"/>
  <c r="X186" i="6" s="1"/>
  <c r="AF186" i="6"/>
  <c r="G186" i="6"/>
  <c r="I186" i="6" s="1"/>
  <c r="W186" i="6"/>
  <c r="AB186" i="6"/>
  <c r="AD186" i="6" s="1"/>
  <c r="H186" i="6"/>
  <c r="N186" i="6"/>
  <c r="S186" i="6"/>
  <c r="U186" i="6" s="1"/>
  <c r="H166" i="6"/>
  <c r="P166" i="6"/>
  <c r="R166" i="6" s="1"/>
  <c r="T166" i="6"/>
  <c r="AB166" i="6"/>
  <c r="AD166" i="6" s="1"/>
  <c r="AF166" i="6"/>
  <c r="M166" i="6"/>
  <c r="O166" i="6" s="1"/>
  <c r="Q166" i="6"/>
  <c r="Y166" i="6"/>
  <c r="AA166" i="6" s="1"/>
  <c r="AC166" i="6"/>
  <c r="J166" i="6"/>
  <c r="L166" i="6" s="1"/>
  <c r="Z166" i="6"/>
  <c r="K166" i="6"/>
  <c r="S166" i="6"/>
  <c r="U166" i="6" s="1"/>
  <c r="N166" i="6"/>
  <c r="V166" i="6"/>
  <c r="X166" i="6" s="1"/>
  <c r="G166" i="6"/>
  <c r="I166" i="6" s="1"/>
  <c r="W166" i="6"/>
  <c r="AE166" i="6"/>
  <c r="AG166" i="6" s="1"/>
  <c r="J150" i="6"/>
  <c r="L150" i="6" s="1"/>
  <c r="N150" i="6"/>
  <c r="V150" i="6"/>
  <c r="X150" i="6" s="1"/>
  <c r="Z150" i="6"/>
  <c r="G150" i="6"/>
  <c r="I150" i="6" s="1"/>
  <c r="K150" i="6"/>
  <c r="S150" i="6"/>
  <c r="U150" i="6" s="1"/>
  <c r="W150" i="6"/>
  <c r="AE150" i="6"/>
  <c r="AG150" i="6" s="1"/>
  <c r="H150" i="6"/>
  <c r="P150" i="6"/>
  <c r="R150" i="6" s="1"/>
  <c r="AF150" i="6"/>
  <c r="Q150" i="6"/>
  <c r="Y150" i="6"/>
  <c r="AA150" i="6" s="1"/>
  <c r="AB150" i="6"/>
  <c r="AD150" i="6" s="1"/>
  <c r="M150" i="6"/>
  <c r="O150" i="6" s="1"/>
  <c r="AC150" i="6"/>
  <c r="T150" i="6"/>
  <c r="G126" i="6"/>
  <c r="I126" i="6" s="1"/>
  <c r="K126" i="6"/>
  <c r="S126" i="6"/>
  <c r="U126" i="6" s="1"/>
  <c r="W126" i="6"/>
  <c r="AE126" i="6"/>
  <c r="AG126" i="6" s="1"/>
  <c r="N126" i="6"/>
  <c r="T126" i="6"/>
  <c r="Y126" i="6"/>
  <c r="AA126" i="6" s="1"/>
  <c r="J126" i="6"/>
  <c r="L126" i="6" s="1"/>
  <c r="P126" i="6"/>
  <c r="R126" i="6" s="1"/>
  <c r="Z126" i="6"/>
  <c r="AF126" i="6"/>
  <c r="V126" i="6"/>
  <c r="X126" i="6" s="1"/>
  <c r="M126" i="6"/>
  <c r="O126" i="6" s="1"/>
  <c r="Q126" i="6"/>
  <c r="AB126" i="6"/>
  <c r="AD126" i="6" s="1"/>
  <c r="AC126" i="6"/>
  <c r="H126" i="6"/>
  <c r="M114" i="6"/>
  <c r="O114" i="6" s="1"/>
  <c r="Q114" i="6"/>
  <c r="Y114" i="6"/>
  <c r="AA114" i="6" s="1"/>
  <c r="AC114" i="6"/>
  <c r="G114" i="6"/>
  <c r="I114" i="6" s="1"/>
  <c r="K114" i="6"/>
  <c r="S114" i="6"/>
  <c r="U114" i="6" s="1"/>
  <c r="W114" i="6"/>
  <c r="AE114" i="6"/>
  <c r="AG114" i="6" s="1"/>
  <c r="H114" i="6"/>
  <c r="P114" i="6"/>
  <c r="R114" i="6" s="1"/>
  <c r="AF114" i="6"/>
  <c r="J114" i="6"/>
  <c r="L114" i="6" s="1"/>
  <c r="Z114" i="6"/>
  <c r="T114" i="6"/>
  <c r="V114" i="6"/>
  <c r="X114" i="6" s="1"/>
  <c r="AB114" i="6"/>
  <c r="AD114" i="6" s="1"/>
  <c r="N114" i="6"/>
  <c r="M106" i="6"/>
  <c r="O106" i="6" s="1"/>
  <c r="Q106" i="6"/>
  <c r="Y106" i="6"/>
  <c r="AA106" i="6" s="1"/>
  <c r="AC106" i="6"/>
  <c r="G106" i="6"/>
  <c r="I106" i="6" s="1"/>
  <c r="K106" i="6"/>
  <c r="S106" i="6"/>
  <c r="U106" i="6" s="1"/>
  <c r="W106" i="6"/>
  <c r="AE106" i="6"/>
  <c r="AG106" i="6" s="1"/>
  <c r="H106" i="6"/>
  <c r="P106" i="6"/>
  <c r="R106" i="6" s="1"/>
  <c r="AF106" i="6"/>
  <c r="J106" i="6"/>
  <c r="L106" i="6" s="1"/>
  <c r="Z106" i="6"/>
  <c r="AB106" i="6"/>
  <c r="AD106" i="6" s="1"/>
  <c r="N106" i="6"/>
  <c r="T106" i="6"/>
  <c r="V106" i="6"/>
  <c r="X106" i="6" s="1"/>
  <c r="G94" i="6"/>
  <c r="I94" i="6" s="1"/>
  <c r="K94" i="6"/>
  <c r="S94" i="6"/>
  <c r="U94" i="6" s="1"/>
  <c r="W94" i="6"/>
  <c r="AE94" i="6"/>
  <c r="AG94" i="6" s="1"/>
  <c r="N94" i="6"/>
  <c r="T94" i="6"/>
  <c r="Y94" i="6"/>
  <c r="AA94" i="6" s="1"/>
  <c r="Q94" i="6"/>
  <c r="V94" i="6"/>
  <c r="X94" i="6" s="1"/>
  <c r="AB94" i="6"/>
  <c r="AD94" i="6" s="1"/>
  <c r="H94" i="6"/>
  <c r="AC94" i="6"/>
  <c r="J94" i="6"/>
  <c r="L94" i="6" s="1"/>
  <c r="AF94" i="6"/>
  <c r="Z94" i="6"/>
  <c r="M94" i="6"/>
  <c r="O94" i="6" s="1"/>
  <c r="P94" i="6"/>
  <c r="R94" i="6" s="1"/>
  <c r="M86" i="6"/>
  <c r="O86" i="6" s="1"/>
  <c r="Q86" i="6"/>
  <c r="Y86" i="6"/>
  <c r="AA86" i="6" s="1"/>
  <c r="AC86" i="6"/>
  <c r="J86" i="6"/>
  <c r="L86" i="6" s="1"/>
  <c r="N86" i="6"/>
  <c r="V86" i="6"/>
  <c r="X86" i="6" s="1"/>
  <c r="Z86" i="6"/>
  <c r="G86" i="6"/>
  <c r="I86" i="6" s="1"/>
  <c r="K86" i="6"/>
  <c r="S86" i="6"/>
  <c r="U86" i="6" s="1"/>
  <c r="W86" i="6"/>
  <c r="AE86" i="6"/>
  <c r="AG86" i="6" s="1"/>
  <c r="T86" i="6"/>
  <c r="AB86" i="6"/>
  <c r="AD86" i="6" s="1"/>
  <c r="P86" i="6"/>
  <c r="R86" i="6" s="1"/>
  <c r="H86" i="6"/>
  <c r="AF86" i="6"/>
  <c r="M78" i="6"/>
  <c r="O78" i="6" s="1"/>
  <c r="Q78" i="6"/>
  <c r="Y78" i="6"/>
  <c r="AA78" i="6" s="1"/>
  <c r="AC78" i="6"/>
  <c r="J78" i="6"/>
  <c r="L78" i="6" s="1"/>
  <c r="N78" i="6"/>
  <c r="V78" i="6"/>
  <c r="X78" i="6" s="1"/>
  <c r="Z78" i="6"/>
  <c r="G78" i="6"/>
  <c r="I78" i="6" s="1"/>
  <c r="K78" i="6"/>
  <c r="S78" i="6"/>
  <c r="U78" i="6" s="1"/>
  <c r="W78" i="6"/>
  <c r="AE78" i="6"/>
  <c r="AG78" i="6" s="1"/>
  <c r="AB78" i="6"/>
  <c r="AD78" i="6" s="1"/>
  <c r="T78" i="6"/>
  <c r="H78" i="6"/>
  <c r="P78" i="6"/>
  <c r="R78" i="6" s="1"/>
  <c r="AF78" i="6"/>
  <c r="H70" i="6"/>
  <c r="P70" i="6"/>
  <c r="R70" i="6" s="1"/>
  <c r="T70" i="6"/>
  <c r="AB70" i="6"/>
  <c r="AD70" i="6" s="1"/>
  <c r="AF70" i="6"/>
  <c r="J70" i="6"/>
  <c r="L70" i="6" s="1"/>
  <c r="Z70" i="6"/>
  <c r="AE70" i="6"/>
  <c r="AG70" i="6" s="1"/>
  <c r="K70" i="6"/>
  <c r="Q70" i="6"/>
  <c r="V70" i="6"/>
  <c r="X70" i="6" s="1"/>
  <c r="N70" i="6"/>
  <c r="Y70" i="6"/>
  <c r="AA70" i="6" s="1"/>
  <c r="G70" i="6"/>
  <c r="I70" i="6" s="1"/>
  <c r="AC70" i="6"/>
  <c r="S70" i="6"/>
  <c r="U70" i="6" s="1"/>
  <c r="W70" i="6"/>
  <c r="M70" i="6"/>
  <c r="O70" i="6" s="1"/>
  <c r="H66" i="6"/>
  <c r="P66" i="6"/>
  <c r="R66" i="6" s="1"/>
  <c r="T66" i="6"/>
  <c r="AB66" i="6"/>
  <c r="AD66" i="6" s="1"/>
  <c r="AF66" i="6"/>
  <c r="K66" i="6"/>
  <c r="Q66" i="6"/>
  <c r="V66" i="6"/>
  <c r="X66" i="6" s="1"/>
  <c r="G66" i="6"/>
  <c r="I66" i="6" s="1"/>
  <c r="M66" i="6"/>
  <c r="O66" i="6" s="1"/>
  <c r="W66" i="6"/>
  <c r="AC66" i="6"/>
  <c r="Z66" i="6"/>
  <c r="S66" i="6"/>
  <c r="U66" i="6" s="1"/>
  <c r="J66" i="6"/>
  <c r="L66" i="6" s="1"/>
  <c r="AE66" i="6"/>
  <c r="AG66" i="6" s="1"/>
  <c r="Y66" i="6"/>
  <c r="AA66" i="6" s="1"/>
  <c r="N66" i="6"/>
  <c r="H201" i="6"/>
  <c r="P201" i="6"/>
  <c r="R201" i="6" s="1"/>
  <c r="T201" i="6"/>
  <c r="AB201" i="6"/>
  <c r="AD201" i="6" s="1"/>
  <c r="AF201" i="6"/>
  <c r="J201" i="6"/>
  <c r="L201" i="6" s="1"/>
  <c r="Z201" i="6"/>
  <c r="AE201" i="6"/>
  <c r="AG201" i="6" s="1"/>
  <c r="K201" i="6"/>
  <c r="Q201" i="6"/>
  <c r="V201" i="6"/>
  <c r="X201" i="6" s="1"/>
  <c r="G201" i="6"/>
  <c r="I201" i="6" s="1"/>
  <c r="M201" i="6"/>
  <c r="O201" i="6" s="1"/>
  <c r="W201" i="6"/>
  <c r="AC201" i="6"/>
  <c r="N201" i="6"/>
  <c r="S201" i="6"/>
  <c r="U201" i="6" s="1"/>
  <c r="Y201" i="6"/>
  <c r="AA201" i="6" s="1"/>
  <c r="H197" i="6"/>
  <c r="P197" i="6"/>
  <c r="R197" i="6" s="1"/>
  <c r="T197" i="6"/>
  <c r="AB197" i="6"/>
  <c r="AD197" i="6" s="1"/>
  <c r="AF197" i="6"/>
  <c r="K197" i="6"/>
  <c r="Q197" i="6"/>
  <c r="V197" i="6"/>
  <c r="X197" i="6" s="1"/>
  <c r="G197" i="6"/>
  <c r="I197" i="6" s="1"/>
  <c r="M197" i="6"/>
  <c r="O197" i="6" s="1"/>
  <c r="W197" i="6"/>
  <c r="AC197" i="6"/>
  <c r="N197" i="6"/>
  <c r="S197" i="6"/>
  <c r="U197" i="6" s="1"/>
  <c r="Y197" i="6"/>
  <c r="AA197" i="6" s="1"/>
  <c r="J197" i="6"/>
  <c r="L197" i="6" s="1"/>
  <c r="Z197" i="6"/>
  <c r="AE197" i="6"/>
  <c r="AG197" i="6" s="1"/>
  <c r="H193" i="6"/>
  <c r="P193" i="6"/>
  <c r="R193" i="6" s="1"/>
  <c r="T193" i="6"/>
  <c r="AB193" i="6"/>
  <c r="AD193" i="6" s="1"/>
  <c r="AF193" i="6"/>
  <c r="G193" i="6"/>
  <c r="I193" i="6" s="1"/>
  <c r="M193" i="6"/>
  <c r="O193" i="6" s="1"/>
  <c r="W193" i="6"/>
  <c r="AC193" i="6"/>
  <c r="N193" i="6"/>
  <c r="S193" i="6"/>
  <c r="U193" i="6" s="1"/>
  <c r="Y193" i="6"/>
  <c r="AA193" i="6" s="1"/>
  <c r="J193" i="6"/>
  <c r="L193" i="6" s="1"/>
  <c r="Z193" i="6"/>
  <c r="AE193" i="6"/>
  <c r="AG193" i="6" s="1"/>
  <c r="K193" i="6"/>
  <c r="Q193" i="6"/>
  <c r="V193" i="6"/>
  <c r="X193" i="6" s="1"/>
  <c r="H189" i="6"/>
  <c r="P189" i="6"/>
  <c r="R189" i="6" s="1"/>
  <c r="T189" i="6"/>
  <c r="AB189" i="6"/>
  <c r="AD189" i="6" s="1"/>
  <c r="AF189" i="6"/>
  <c r="N189" i="6"/>
  <c r="S189" i="6"/>
  <c r="U189" i="6" s="1"/>
  <c r="Y189" i="6"/>
  <c r="AA189" i="6" s="1"/>
  <c r="J189" i="6"/>
  <c r="L189" i="6" s="1"/>
  <c r="Z189" i="6"/>
  <c r="AE189" i="6"/>
  <c r="AG189" i="6" s="1"/>
  <c r="K189" i="6"/>
  <c r="Q189" i="6"/>
  <c r="V189" i="6"/>
  <c r="X189" i="6" s="1"/>
  <c r="G189" i="6"/>
  <c r="I189" i="6" s="1"/>
  <c r="M189" i="6"/>
  <c r="O189" i="6" s="1"/>
  <c r="W189" i="6"/>
  <c r="AC189" i="6"/>
  <c r="G185" i="6"/>
  <c r="I185" i="6" s="1"/>
  <c r="K185" i="6"/>
  <c r="S185" i="6"/>
  <c r="U185" i="6" s="1"/>
  <c r="W185" i="6"/>
  <c r="H185" i="6"/>
  <c r="P185" i="6"/>
  <c r="R185" i="6" s="1"/>
  <c r="T185" i="6"/>
  <c r="AB185" i="6"/>
  <c r="AD185" i="6" s="1"/>
  <c r="AF185" i="6"/>
  <c r="Q185" i="6"/>
  <c r="Y185" i="6"/>
  <c r="AA185" i="6" s="1"/>
  <c r="AE185" i="6"/>
  <c r="AG185" i="6" s="1"/>
  <c r="J185" i="6"/>
  <c r="L185" i="6" s="1"/>
  <c r="Z185" i="6"/>
  <c r="M185" i="6"/>
  <c r="O185" i="6" s="1"/>
  <c r="AC185" i="6"/>
  <c r="N185" i="6"/>
  <c r="V185" i="6"/>
  <c r="X185" i="6" s="1"/>
  <c r="G181" i="6"/>
  <c r="I181" i="6" s="1"/>
  <c r="K181" i="6"/>
  <c r="S181" i="6"/>
  <c r="U181" i="6" s="1"/>
  <c r="W181" i="6"/>
  <c r="AE181" i="6"/>
  <c r="AG181" i="6" s="1"/>
  <c r="H181" i="6"/>
  <c r="P181" i="6"/>
  <c r="R181" i="6" s="1"/>
  <c r="T181" i="6"/>
  <c r="AB181" i="6"/>
  <c r="AD181" i="6" s="1"/>
  <c r="AF181" i="6"/>
  <c r="M181" i="6"/>
  <c r="O181" i="6" s="1"/>
  <c r="AC181" i="6"/>
  <c r="N181" i="6"/>
  <c r="V181" i="6"/>
  <c r="X181" i="6" s="1"/>
  <c r="Q181" i="6"/>
  <c r="Y181" i="6"/>
  <c r="AA181" i="6" s="1"/>
  <c r="J181" i="6"/>
  <c r="L181" i="6" s="1"/>
  <c r="Z181" i="6"/>
  <c r="G177" i="6"/>
  <c r="I177" i="6" s="1"/>
  <c r="K177" i="6"/>
  <c r="S177" i="6"/>
  <c r="U177" i="6" s="1"/>
  <c r="W177" i="6"/>
  <c r="AE177" i="6"/>
  <c r="AG177" i="6" s="1"/>
  <c r="H177" i="6"/>
  <c r="P177" i="6"/>
  <c r="R177" i="6" s="1"/>
  <c r="T177" i="6"/>
  <c r="AB177" i="6"/>
  <c r="AD177" i="6" s="1"/>
  <c r="AF177" i="6"/>
  <c r="Q177" i="6"/>
  <c r="Y177" i="6"/>
  <c r="AA177" i="6" s="1"/>
  <c r="J177" i="6"/>
  <c r="L177" i="6" s="1"/>
  <c r="Z177" i="6"/>
  <c r="M177" i="6"/>
  <c r="O177" i="6" s="1"/>
  <c r="AC177" i="6"/>
  <c r="N177" i="6"/>
  <c r="V177" i="6"/>
  <c r="X177" i="6" s="1"/>
  <c r="G173" i="6"/>
  <c r="I173" i="6" s="1"/>
  <c r="K173" i="6"/>
  <c r="S173" i="6"/>
  <c r="U173" i="6" s="1"/>
  <c r="W173" i="6"/>
  <c r="AE173" i="6"/>
  <c r="AG173" i="6" s="1"/>
  <c r="H173" i="6"/>
  <c r="P173" i="6"/>
  <c r="R173" i="6" s="1"/>
  <c r="T173" i="6"/>
  <c r="AB173" i="6"/>
  <c r="AD173" i="6" s="1"/>
  <c r="AF173" i="6"/>
  <c r="M173" i="6"/>
  <c r="O173" i="6" s="1"/>
  <c r="AC173" i="6"/>
  <c r="N173" i="6"/>
  <c r="V173" i="6"/>
  <c r="X173" i="6" s="1"/>
  <c r="Q173" i="6"/>
  <c r="Y173" i="6"/>
  <c r="AA173" i="6" s="1"/>
  <c r="J173" i="6"/>
  <c r="L173" i="6" s="1"/>
  <c r="Z173" i="6"/>
  <c r="G169" i="6"/>
  <c r="I169" i="6" s="1"/>
  <c r="K169" i="6"/>
  <c r="S169" i="6"/>
  <c r="U169" i="6" s="1"/>
  <c r="W169" i="6"/>
  <c r="AE169" i="6"/>
  <c r="AG169" i="6" s="1"/>
  <c r="H169" i="6"/>
  <c r="P169" i="6"/>
  <c r="R169" i="6" s="1"/>
  <c r="T169" i="6"/>
  <c r="AB169" i="6"/>
  <c r="AD169" i="6" s="1"/>
  <c r="AF169" i="6"/>
  <c r="Q169" i="6"/>
  <c r="Y169" i="6"/>
  <c r="AA169" i="6" s="1"/>
  <c r="J169" i="6"/>
  <c r="L169" i="6" s="1"/>
  <c r="Z169" i="6"/>
  <c r="M169" i="6"/>
  <c r="O169" i="6" s="1"/>
  <c r="AC169" i="6"/>
  <c r="N169" i="6"/>
  <c r="V169" i="6"/>
  <c r="X169" i="6" s="1"/>
  <c r="G165" i="6"/>
  <c r="I165" i="6" s="1"/>
  <c r="K165" i="6"/>
  <c r="S165" i="6"/>
  <c r="U165" i="6" s="1"/>
  <c r="W165" i="6"/>
  <c r="AE165" i="6"/>
  <c r="AG165" i="6" s="1"/>
  <c r="H165" i="6"/>
  <c r="P165" i="6"/>
  <c r="R165" i="6" s="1"/>
  <c r="T165" i="6"/>
  <c r="AB165" i="6"/>
  <c r="AD165" i="6" s="1"/>
  <c r="AF165" i="6"/>
  <c r="M165" i="6"/>
  <c r="O165" i="6" s="1"/>
  <c r="AC165" i="6"/>
  <c r="N165" i="6"/>
  <c r="V165" i="6"/>
  <c r="X165" i="6" s="1"/>
  <c r="Q165" i="6"/>
  <c r="Y165" i="6"/>
  <c r="AA165" i="6" s="1"/>
  <c r="J165" i="6"/>
  <c r="L165" i="6" s="1"/>
  <c r="Z165" i="6"/>
  <c r="G161" i="6"/>
  <c r="I161" i="6" s="1"/>
  <c r="K161" i="6"/>
  <c r="S161" i="6"/>
  <c r="U161" i="6" s="1"/>
  <c r="W161" i="6"/>
  <c r="AE161" i="6"/>
  <c r="AG161" i="6" s="1"/>
  <c r="H161" i="6"/>
  <c r="P161" i="6"/>
  <c r="R161" i="6" s="1"/>
  <c r="T161" i="6"/>
  <c r="AB161" i="6"/>
  <c r="AD161" i="6" s="1"/>
  <c r="AF161" i="6"/>
  <c r="Q161" i="6"/>
  <c r="Y161" i="6"/>
  <c r="AA161" i="6" s="1"/>
  <c r="J161" i="6"/>
  <c r="L161" i="6" s="1"/>
  <c r="Z161" i="6"/>
  <c r="M161" i="6"/>
  <c r="O161" i="6" s="1"/>
  <c r="AC161" i="6"/>
  <c r="N161" i="6"/>
  <c r="V161" i="6"/>
  <c r="X161" i="6" s="1"/>
  <c r="M157" i="6"/>
  <c r="O157" i="6" s="1"/>
  <c r="Q157" i="6"/>
  <c r="Y157" i="6"/>
  <c r="AA157" i="6" s="1"/>
  <c r="AC157" i="6"/>
  <c r="J157" i="6"/>
  <c r="L157" i="6" s="1"/>
  <c r="N157" i="6"/>
  <c r="V157" i="6"/>
  <c r="X157" i="6" s="1"/>
  <c r="Z157" i="6"/>
  <c r="K157" i="6"/>
  <c r="S157" i="6"/>
  <c r="U157" i="6" s="1"/>
  <c r="T157" i="6"/>
  <c r="AB157" i="6"/>
  <c r="AD157" i="6" s="1"/>
  <c r="AE157" i="6"/>
  <c r="AG157" i="6" s="1"/>
  <c r="P157" i="6"/>
  <c r="R157" i="6" s="1"/>
  <c r="AF157" i="6"/>
  <c r="G157" i="6"/>
  <c r="I157" i="6" s="1"/>
  <c r="W157" i="6"/>
  <c r="H157" i="6"/>
  <c r="M153" i="6"/>
  <c r="O153" i="6" s="1"/>
  <c r="Q153" i="6"/>
  <c r="Y153" i="6"/>
  <c r="AA153" i="6" s="1"/>
  <c r="AC153" i="6"/>
  <c r="J153" i="6"/>
  <c r="L153" i="6" s="1"/>
  <c r="N153" i="6"/>
  <c r="V153" i="6"/>
  <c r="X153" i="6" s="1"/>
  <c r="Z153" i="6"/>
  <c r="G153" i="6"/>
  <c r="I153" i="6" s="1"/>
  <c r="W153" i="6"/>
  <c r="AE153" i="6"/>
  <c r="AG153" i="6" s="1"/>
  <c r="H153" i="6"/>
  <c r="P153" i="6"/>
  <c r="R153" i="6" s="1"/>
  <c r="AF153" i="6"/>
  <c r="K153" i="6"/>
  <c r="AB153" i="6"/>
  <c r="AD153" i="6" s="1"/>
  <c r="S153" i="6"/>
  <c r="U153" i="6" s="1"/>
  <c r="T153" i="6"/>
  <c r="M149" i="6"/>
  <c r="O149" i="6" s="1"/>
  <c r="Q149" i="6"/>
  <c r="Y149" i="6"/>
  <c r="AA149" i="6" s="1"/>
  <c r="AC149" i="6"/>
  <c r="J149" i="6"/>
  <c r="L149" i="6" s="1"/>
  <c r="N149" i="6"/>
  <c r="V149" i="6"/>
  <c r="X149" i="6" s="1"/>
  <c r="Z149" i="6"/>
  <c r="K149" i="6"/>
  <c r="S149" i="6"/>
  <c r="U149" i="6" s="1"/>
  <c r="T149" i="6"/>
  <c r="AB149" i="6"/>
  <c r="AD149" i="6" s="1"/>
  <c r="G149" i="6"/>
  <c r="I149" i="6" s="1"/>
  <c r="W149" i="6"/>
  <c r="H149" i="6"/>
  <c r="AE149" i="6"/>
  <c r="AG149" i="6" s="1"/>
  <c r="P149" i="6"/>
  <c r="R149" i="6" s="1"/>
  <c r="AF149" i="6"/>
  <c r="M145" i="6"/>
  <c r="O145" i="6" s="1"/>
  <c r="Q145" i="6"/>
  <c r="Y145" i="6"/>
  <c r="AA145" i="6" s="1"/>
  <c r="AC145" i="6"/>
  <c r="J145" i="6"/>
  <c r="L145" i="6" s="1"/>
  <c r="N145" i="6"/>
  <c r="V145" i="6"/>
  <c r="X145" i="6" s="1"/>
  <c r="Z145" i="6"/>
  <c r="G145" i="6"/>
  <c r="I145" i="6" s="1"/>
  <c r="W145" i="6"/>
  <c r="AE145" i="6"/>
  <c r="AG145" i="6" s="1"/>
  <c r="H145" i="6"/>
  <c r="P145" i="6"/>
  <c r="R145" i="6" s="1"/>
  <c r="AF145" i="6"/>
  <c r="S145" i="6"/>
  <c r="U145" i="6" s="1"/>
  <c r="T145" i="6"/>
  <c r="K145" i="6"/>
  <c r="AB145" i="6"/>
  <c r="AD145" i="6" s="1"/>
  <c r="M141" i="6"/>
  <c r="O141" i="6" s="1"/>
  <c r="Q141" i="6"/>
  <c r="Y141" i="6"/>
  <c r="AA141" i="6" s="1"/>
  <c r="AC141" i="6"/>
  <c r="J141" i="6"/>
  <c r="L141" i="6" s="1"/>
  <c r="N141" i="6"/>
  <c r="V141" i="6"/>
  <c r="X141" i="6" s="1"/>
  <c r="Z141" i="6"/>
  <c r="K141" i="6"/>
  <c r="S141" i="6"/>
  <c r="U141" i="6" s="1"/>
  <c r="T141" i="6"/>
  <c r="AB141" i="6"/>
  <c r="AD141" i="6" s="1"/>
  <c r="G141" i="6"/>
  <c r="I141" i="6" s="1"/>
  <c r="W141" i="6"/>
  <c r="AE141" i="6"/>
  <c r="AG141" i="6" s="1"/>
  <c r="AF141" i="6"/>
  <c r="H141" i="6"/>
  <c r="P141" i="6"/>
  <c r="R141" i="6" s="1"/>
  <c r="J137" i="6"/>
  <c r="L137" i="6" s="1"/>
  <c r="N137" i="6"/>
  <c r="V137" i="6"/>
  <c r="X137" i="6" s="1"/>
  <c r="Z137" i="6"/>
  <c r="K137" i="6"/>
  <c r="P137" i="6"/>
  <c r="R137" i="6" s="1"/>
  <c r="AF137" i="6"/>
  <c r="G137" i="6"/>
  <c r="I137" i="6" s="1"/>
  <c r="Q137" i="6"/>
  <c r="W137" i="6"/>
  <c r="AB137" i="6"/>
  <c r="AD137" i="6" s="1"/>
  <c r="M137" i="6"/>
  <c r="O137" i="6" s="1"/>
  <c r="Y137" i="6"/>
  <c r="AA137" i="6" s="1"/>
  <c r="H137" i="6"/>
  <c r="S137" i="6"/>
  <c r="U137" i="6" s="1"/>
  <c r="AC137" i="6"/>
  <c r="T137" i="6"/>
  <c r="AE137" i="6"/>
  <c r="AG137" i="6" s="1"/>
  <c r="J133" i="6"/>
  <c r="L133" i="6" s="1"/>
  <c r="N133" i="6"/>
  <c r="V133" i="6"/>
  <c r="X133" i="6" s="1"/>
  <c r="Z133" i="6"/>
  <c r="G133" i="6"/>
  <c r="I133" i="6" s="1"/>
  <c r="Q133" i="6"/>
  <c r="W133" i="6"/>
  <c r="AB133" i="6"/>
  <c r="AD133" i="6" s="1"/>
  <c r="H133" i="6"/>
  <c r="M133" i="6"/>
  <c r="O133" i="6" s="1"/>
  <c r="S133" i="6"/>
  <c r="U133" i="6" s="1"/>
  <c r="AC133" i="6"/>
  <c r="Y133" i="6"/>
  <c r="AA133" i="6" s="1"/>
  <c r="P133" i="6"/>
  <c r="R133" i="6" s="1"/>
  <c r="T133" i="6"/>
  <c r="AE133" i="6"/>
  <c r="AG133" i="6" s="1"/>
  <c r="K133" i="6"/>
  <c r="AF133" i="6"/>
  <c r="J129" i="6"/>
  <c r="L129" i="6" s="1"/>
  <c r="N129" i="6"/>
  <c r="V129" i="6"/>
  <c r="X129" i="6" s="1"/>
  <c r="Z129" i="6"/>
  <c r="H129" i="6"/>
  <c r="M129" i="6"/>
  <c r="O129" i="6" s="1"/>
  <c r="S129" i="6"/>
  <c r="U129" i="6" s="1"/>
  <c r="AC129" i="6"/>
  <c r="T129" i="6"/>
  <c r="Y129" i="6"/>
  <c r="AA129" i="6" s="1"/>
  <c r="AE129" i="6"/>
  <c r="AG129" i="6" s="1"/>
  <c r="P129" i="6"/>
  <c r="R129" i="6" s="1"/>
  <c r="G129" i="6"/>
  <c r="I129" i="6" s="1"/>
  <c r="Q129" i="6"/>
  <c r="AB129" i="6"/>
  <c r="AD129" i="6" s="1"/>
  <c r="K129" i="6"/>
  <c r="AF129" i="6"/>
  <c r="W129" i="6"/>
  <c r="J125" i="6"/>
  <c r="L125" i="6" s="1"/>
  <c r="N125" i="6"/>
  <c r="V125" i="6"/>
  <c r="X125" i="6" s="1"/>
  <c r="Z125" i="6"/>
  <c r="T125" i="6"/>
  <c r="Y125" i="6"/>
  <c r="AA125" i="6" s="1"/>
  <c r="AE125" i="6"/>
  <c r="AG125" i="6" s="1"/>
  <c r="K125" i="6"/>
  <c r="P125" i="6"/>
  <c r="R125" i="6" s="1"/>
  <c r="AF125" i="6"/>
  <c r="G125" i="6"/>
  <c r="I125" i="6" s="1"/>
  <c r="Q125" i="6"/>
  <c r="AB125" i="6"/>
  <c r="AD125" i="6" s="1"/>
  <c r="H125" i="6"/>
  <c r="S125" i="6"/>
  <c r="U125" i="6" s="1"/>
  <c r="AC125" i="6"/>
  <c r="W125" i="6"/>
  <c r="M125" i="6"/>
  <c r="O125" i="6" s="1"/>
  <c r="H121" i="6"/>
  <c r="P121" i="6"/>
  <c r="R121" i="6" s="1"/>
  <c r="T121" i="6"/>
  <c r="AB121" i="6"/>
  <c r="AD121" i="6" s="1"/>
  <c r="AF121" i="6"/>
  <c r="J121" i="6"/>
  <c r="L121" i="6" s="1"/>
  <c r="N121" i="6"/>
  <c r="V121" i="6"/>
  <c r="X121" i="6" s="1"/>
  <c r="Z121" i="6"/>
  <c r="K121" i="6"/>
  <c r="S121" i="6"/>
  <c r="U121" i="6" s="1"/>
  <c r="M121" i="6"/>
  <c r="O121" i="6" s="1"/>
  <c r="AC121" i="6"/>
  <c r="G121" i="6"/>
  <c r="I121" i="6" s="1"/>
  <c r="W121" i="6"/>
  <c r="Y121" i="6"/>
  <c r="AA121" i="6" s="1"/>
  <c r="AE121" i="6"/>
  <c r="AG121" i="6" s="1"/>
  <c r="Q121" i="6"/>
  <c r="H117" i="6"/>
  <c r="P117" i="6"/>
  <c r="R117" i="6" s="1"/>
  <c r="T117" i="6"/>
  <c r="AB117" i="6"/>
  <c r="AD117" i="6" s="1"/>
  <c r="AF117" i="6"/>
  <c r="J117" i="6"/>
  <c r="L117" i="6" s="1"/>
  <c r="N117" i="6"/>
  <c r="V117" i="6"/>
  <c r="X117" i="6" s="1"/>
  <c r="Z117" i="6"/>
  <c r="G117" i="6"/>
  <c r="I117" i="6" s="1"/>
  <c r="W117" i="6"/>
  <c r="AE117" i="6"/>
  <c r="AG117" i="6" s="1"/>
  <c r="Q117" i="6"/>
  <c r="Y117" i="6"/>
  <c r="AA117" i="6" s="1"/>
  <c r="S117" i="6"/>
  <c r="U117" i="6" s="1"/>
  <c r="K117" i="6"/>
  <c r="M117" i="6"/>
  <c r="O117" i="6" s="1"/>
  <c r="AC117" i="6"/>
  <c r="H113" i="6"/>
  <c r="P113" i="6"/>
  <c r="R113" i="6" s="1"/>
  <c r="T113" i="6"/>
  <c r="AB113" i="6"/>
  <c r="AD113" i="6" s="1"/>
  <c r="AF113" i="6"/>
  <c r="J113" i="6"/>
  <c r="L113" i="6" s="1"/>
  <c r="N113" i="6"/>
  <c r="V113" i="6"/>
  <c r="X113" i="6" s="1"/>
  <c r="Z113" i="6"/>
  <c r="K113" i="6"/>
  <c r="S113" i="6"/>
  <c r="U113" i="6" s="1"/>
  <c r="M113" i="6"/>
  <c r="O113" i="6" s="1"/>
  <c r="AC113" i="6"/>
  <c r="AE113" i="6"/>
  <c r="AG113" i="6" s="1"/>
  <c r="Q113" i="6"/>
  <c r="G113" i="6"/>
  <c r="I113" i="6" s="1"/>
  <c r="W113" i="6"/>
  <c r="Y113" i="6"/>
  <c r="AA113" i="6" s="1"/>
  <c r="H109" i="6"/>
  <c r="P109" i="6"/>
  <c r="R109" i="6" s="1"/>
  <c r="T109" i="6"/>
  <c r="AB109" i="6"/>
  <c r="AD109" i="6" s="1"/>
  <c r="AF109" i="6"/>
  <c r="J109" i="6"/>
  <c r="L109" i="6" s="1"/>
  <c r="N109" i="6"/>
  <c r="V109" i="6"/>
  <c r="X109" i="6" s="1"/>
  <c r="Z109" i="6"/>
  <c r="G109" i="6"/>
  <c r="I109" i="6" s="1"/>
  <c r="W109" i="6"/>
  <c r="AE109" i="6"/>
  <c r="AG109" i="6" s="1"/>
  <c r="Q109" i="6"/>
  <c r="Y109" i="6"/>
  <c r="AA109" i="6" s="1"/>
  <c r="K109" i="6"/>
  <c r="M109" i="6"/>
  <c r="O109" i="6" s="1"/>
  <c r="AC109" i="6"/>
  <c r="S109" i="6"/>
  <c r="U109" i="6" s="1"/>
  <c r="H105" i="6"/>
  <c r="P105" i="6"/>
  <c r="R105" i="6" s="1"/>
  <c r="T105" i="6"/>
  <c r="AB105" i="6"/>
  <c r="AD105" i="6" s="1"/>
  <c r="AF105" i="6"/>
  <c r="J105" i="6"/>
  <c r="L105" i="6" s="1"/>
  <c r="N105" i="6"/>
  <c r="V105" i="6"/>
  <c r="X105" i="6" s="1"/>
  <c r="Z105" i="6"/>
  <c r="K105" i="6"/>
  <c r="S105" i="6"/>
  <c r="U105" i="6" s="1"/>
  <c r="M105" i="6"/>
  <c r="O105" i="6" s="1"/>
  <c r="AC105" i="6"/>
  <c r="G105" i="6"/>
  <c r="I105" i="6" s="1"/>
  <c r="W105" i="6"/>
  <c r="Y105" i="6"/>
  <c r="AA105" i="6" s="1"/>
  <c r="AE105" i="6"/>
  <c r="AG105" i="6" s="1"/>
  <c r="Q105" i="6"/>
  <c r="J101" i="6"/>
  <c r="L101" i="6" s="1"/>
  <c r="N101" i="6"/>
  <c r="V101" i="6"/>
  <c r="X101" i="6" s="1"/>
  <c r="Z101" i="6"/>
  <c r="G101" i="6"/>
  <c r="I101" i="6" s="1"/>
  <c r="Q101" i="6"/>
  <c r="W101" i="6"/>
  <c r="AB101" i="6"/>
  <c r="AD101" i="6" s="1"/>
  <c r="T101" i="6"/>
  <c r="Y101" i="6"/>
  <c r="AA101" i="6" s="1"/>
  <c r="AE101" i="6"/>
  <c r="AG101" i="6" s="1"/>
  <c r="K101" i="6"/>
  <c r="AF101" i="6"/>
  <c r="M101" i="6"/>
  <c r="O101" i="6" s="1"/>
  <c r="H101" i="6"/>
  <c r="AC101" i="6"/>
  <c r="P101" i="6"/>
  <c r="R101" i="6" s="1"/>
  <c r="S101" i="6"/>
  <c r="U101" i="6" s="1"/>
  <c r="J97" i="6"/>
  <c r="L97" i="6" s="1"/>
  <c r="N97" i="6"/>
  <c r="V97" i="6"/>
  <c r="X97" i="6" s="1"/>
  <c r="Z97" i="6"/>
  <c r="H97" i="6"/>
  <c r="M97" i="6"/>
  <c r="O97" i="6" s="1"/>
  <c r="S97" i="6"/>
  <c r="U97" i="6" s="1"/>
  <c r="AC97" i="6"/>
  <c r="K97" i="6"/>
  <c r="P97" i="6"/>
  <c r="R97" i="6" s="1"/>
  <c r="AF97" i="6"/>
  <c r="W97" i="6"/>
  <c r="Y97" i="6"/>
  <c r="AA97" i="6" s="1"/>
  <c r="G97" i="6"/>
  <c r="I97" i="6" s="1"/>
  <c r="AB97" i="6"/>
  <c r="AD97" i="6" s="1"/>
  <c r="AE97" i="6"/>
  <c r="AG97" i="6" s="1"/>
  <c r="Q97" i="6"/>
  <c r="T97" i="6"/>
  <c r="H93" i="6"/>
  <c r="J93" i="6"/>
  <c r="L93" i="6" s="1"/>
  <c r="N93" i="6"/>
  <c r="V93" i="6"/>
  <c r="X93" i="6" s="1"/>
  <c r="Z93" i="6"/>
  <c r="G93" i="6"/>
  <c r="I93" i="6" s="1"/>
  <c r="T93" i="6"/>
  <c r="Y93" i="6"/>
  <c r="AA93" i="6" s="1"/>
  <c r="AE93" i="6"/>
  <c r="AG93" i="6" s="1"/>
  <c r="Q93" i="6"/>
  <c r="W93" i="6"/>
  <c r="AB93" i="6"/>
  <c r="AD93" i="6" s="1"/>
  <c r="M93" i="6"/>
  <c r="O93" i="6" s="1"/>
  <c r="P93" i="6"/>
  <c r="R93" i="6" s="1"/>
  <c r="AC93" i="6"/>
  <c r="K93" i="6"/>
  <c r="AF93" i="6"/>
  <c r="S93" i="6"/>
  <c r="U93" i="6" s="1"/>
  <c r="H89" i="6"/>
  <c r="P89" i="6"/>
  <c r="R89" i="6" s="1"/>
  <c r="T89" i="6"/>
  <c r="AB89" i="6"/>
  <c r="AD89" i="6" s="1"/>
  <c r="AF89" i="6"/>
  <c r="M89" i="6"/>
  <c r="O89" i="6" s="1"/>
  <c r="Q89" i="6"/>
  <c r="Y89" i="6"/>
  <c r="AA89" i="6" s="1"/>
  <c r="AC89" i="6"/>
  <c r="J89" i="6"/>
  <c r="L89" i="6" s="1"/>
  <c r="N89" i="6"/>
  <c r="V89" i="6"/>
  <c r="X89" i="6" s="1"/>
  <c r="Z89" i="6"/>
  <c r="S89" i="6"/>
  <c r="U89" i="6" s="1"/>
  <c r="K89" i="6"/>
  <c r="AE89" i="6"/>
  <c r="AG89" i="6" s="1"/>
  <c r="G89" i="6"/>
  <c r="I89" i="6" s="1"/>
  <c r="W89" i="6"/>
  <c r="H85" i="6"/>
  <c r="P85" i="6"/>
  <c r="R85" i="6" s="1"/>
  <c r="T85" i="6"/>
  <c r="AB85" i="6"/>
  <c r="AD85" i="6" s="1"/>
  <c r="AF85" i="6"/>
  <c r="M85" i="6"/>
  <c r="O85" i="6" s="1"/>
  <c r="Q85" i="6"/>
  <c r="Y85" i="6"/>
  <c r="AA85" i="6" s="1"/>
  <c r="AC85" i="6"/>
  <c r="J85" i="6"/>
  <c r="L85" i="6" s="1"/>
  <c r="N85" i="6"/>
  <c r="V85" i="6"/>
  <c r="X85" i="6" s="1"/>
  <c r="Z85" i="6"/>
  <c r="AE85" i="6"/>
  <c r="AG85" i="6" s="1"/>
  <c r="G85" i="6"/>
  <c r="I85" i="6" s="1"/>
  <c r="W85" i="6"/>
  <c r="K85" i="6"/>
  <c r="S85" i="6"/>
  <c r="U85" i="6" s="1"/>
  <c r="H81" i="6"/>
  <c r="P81" i="6"/>
  <c r="R81" i="6" s="1"/>
  <c r="T81" i="6"/>
  <c r="AB81" i="6"/>
  <c r="AD81" i="6" s="1"/>
  <c r="AF81" i="6"/>
  <c r="M81" i="6"/>
  <c r="O81" i="6" s="1"/>
  <c r="Q81" i="6"/>
  <c r="Y81" i="6"/>
  <c r="AA81" i="6" s="1"/>
  <c r="AC81" i="6"/>
  <c r="J81" i="6"/>
  <c r="L81" i="6" s="1"/>
  <c r="N81" i="6"/>
  <c r="V81" i="6"/>
  <c r="X81" i="6" s="1"/>
  <c r="Z81" i="6"/>
  <c r="K81" i="6"/>
  <c r="S81" i="6"/>
  <c r="U81" i="6" s="1"/>
  <c r="W81" i="6"/>
  <c r="AE81" i="6"/>
  <c r="AG81" i="6" s="1"/>
  <c r="G81" i="6"/>
  <c r="I81" i="6" s="1"/>
  <c r="H77" i="6"/>
  <c r="P77" i="6"/>
  <c r="R77" i="6" s="1"/>
  <c r="T77" i="6"/>
  <c r="AB77" i="6"/>
  <c r="AD77" i="6" s="1"/>
  <c r="K77" i="6"/>
  <c r="Q77" i="6"/>
  <c r="V77" i="6"/>
  <c r="X77" i="6" s="1"/>
  <c r="AF77" i="6"/>
  <c r="G77" i="6"/>
  <c r="I77" i="6" s="1"/>
  <c r="M77" i="6"/>
  <c r="O77" i="6" s="1"/>
  <c r="W77" i="6"/>
  <c r="AC77" i="6"/>
  <c r="N77" i="6"/>
  <c r="S77" i="6"/>
  <c r="U77" i="6" s="1"/>
  <c r="Y77" i="6"/>
  <c r="AA77" i="6" s="1"/>
  <c r="J77" i="6"/>
  <c r="L77" i="6" s="1"/>
  <c r="AE77" i="6"/>
  <c r="AG77" i="6" s="1"/>
  <c r="Z77" i="6"/>
  <c r="H73" i="6"/>
  <c r="P73" i="6"/>
  <c r="R73" i="6" s="1"/>
  <c r="T73" i="6"/>
  <c r="AB73" i="6"/>
  <c r="AD73" i="6" s="1"/>
  <c r="AF73" i="6"/>
  <c r="M73" i="6"/>
  <c r="O73" i="6" s="1"/>
  <c r="Q73" i="6"/>
  <c r="Y73" i="6"/>
  <c r="AA73" i="6" s="1"/>
  <c r="AC73" i="6"/>
  <c r="G73" i="6"/>
  <c r="I73" i="6" s="1"/>
  <c r="W73" i="6"/>
  <c r="AE73" i="6"/>
  <c r="AG73" i="6" s="1"/>
  <c r="J73" i="6"/>
  <c r="L73" i="6" s="1"/>
  <c r="Z73" i="6"/>
  <c r="K73" i="6"/>
  <c r="S73" i="6"/>
  <c r="U73" i="6" s="1"/>
  <c r="N73" i="6"/>
  <c r="V73" i="6"/>
  <c r="X73" i="6" s="1"/>
  <c r="G69" i="6"/>
  <c r="I69" i="6" s="1"/>
  <c r="K69" i="6"/>
  <c r="S69" i="6"/>
  <c r="U69" i="6" s="1"/>
  <c r="W69" i="6"/>
  <c r="AE69" i="6"/>
  <c r="AG69" i="6" s="1"/>
  <c r="J69" i="6"/>
  <c r="L69" i="6" s="1"/>
  <c r="P69" i="6"/>
  <c r="R69" i="6" s="1"/>
  <c r="Z69" i="6"/>
  <c r="AF69" i="6"/>
  <c r="Q69" i="6"/>
  <c r="V69" i="6"/>
  <c r="X69" i="6" s="1"/>
  <c r="AB69" i="6"/>
  <c r="AD69" i="6" s="1"/>
  <c r="T69" i="6"/>
  <c r="M69" i="6"/>
  <c r="O69" i="6" s="1"/>
  <c r="N69" i="6"/>
  <c r="Y69" i="6"/>
  <c r="AA69" i="6" s="1"/>
  <c r="H69" i="6"/>
  <c r="AC69" i="6"/>
  <c r="G65" i="6"/>
  <c r="I65" i="6" s="1"/>
  <c r="K65" i="6"/>
  <c r="S65" i="6"/>
  <c r="U65" i="6" s="1"/>
  <c r="W65" i="6"/>
  <c r="AE65" i="6"/>
  <c r="AG65" i="6" s="1"/>
  <c r="J65" i="6"/>
  <c r="L65" i="6" s="1"/>
  <c r="P65" i="6"/>
  <c r="R65" i="6" s="1"/>
  <c r="Q65" i="6"/>
  <c r="V65" i="6"/>
  <c r="X65" i="6" s="1"/>
  <c r="AB65" i="6"/>
  <c r="AD65" i="6" s="1"/>
  <c r="H65" i="6"/>
  <c r="M65" i="6"/>
  <c r="O65" i="6" s="1"/>
  <c r="AC65" i="6"/>
  <c r="T65" i="6"/>
  <c r="AF65" i="6"/>
  <c r="Y65" i="6"/>
  <c r="AA65" i="6" s="1"/>
  <c r="Z65" i="6"/>
  <c r="N65" i="6"/>
  <c r="G61" i="6"/>
  <c r="I61" i="6" s="1"/>
  <c r="K61" i="6"/>
  <c r="S61" i="6"/>
  <c r="U61" i="6" s="1"/>
  <c r="W61" i="6"/>
  <c r="AE61" i="6"/>
  <c r="AG61" i="6" s="1"/>
  <c r="Q61" i="6"/>
  <c r="V61" i="6"/>
  <c r="X61" i="6" s="1"/>
  <c r="AB61" i="6"/>
  <c r="AD61" i="6" s="1"/>
  <c r="H61" i="6"/>
  <c r="M61" i="6"/>
  <c r="O61" i="6" s="1"/>
  <c r="AC61" i="6"/>
  <c r="N61" i="6"/>
  <c r="T61" i="6"/>
  <c r="Y61" i="6"/>
  <c r="AA61" i="6" s="1"/>
  <c r="Z61" i="6"/>
  <c r="J61" i="6"/>
  <c r="L61" i="6" s="1"/>
  <c r="AF61" i="6"/>
  <c r="P61" i="6"/>
  <c r="R61" i="6" s="1"/>
  <c r="M202" i="6"/>
  <c r="O202" i="6" s="1"/>
  <c r="Q202" i="6"/>
  <c r="Y202" i="6"/>
  <c r="AA202" i="6" s="1"/>
  <c r="AC202" i="6"/>
  <c r="J202" i="6"/>
  <c r="L202" i="6" s="1"/>
  <c r="T202" i="6"/>
  <c r="Z202" i="6"/>
  <c r="AE202" i="6"/>
  <c r="AG202" i="6" s="1"/>
  <c r="K202" i="6"/>
  <c r="P202" i="6"/>
  <c r="R202" i="6" s="1"/>
  <c r="V202" i="6"/>
  <c r="X202" i="6" s="1"/>
  <c r="AF202" i="6"/>
  <c r="G202" i="6"/>
  <c r="I202" i="6" s="1"/>
  <c r="W202" i="6"/>
  <c r="AB202" i="6"/>
  <c r="AD202" i="6" s="1"/>
  <c r="H202" i="6"/>
  <c r="N202" i="6"/>
  <c r="S202" i="6"/>
  <c r="U202" i="6" s="1"/>
  <c r="M198" i="6"/>
  <c r="O198" i="6" s="1"/>
  <c r="Q198" i="6"/>
  <c r="Y198" i="6"/>
  <c r="AA198" i="6" s="1"/>
  <c r="AC198" i="6"/>
  <c r="K198" i="6"/>
  <c r="P198" i="6"/>
  <c r="R198" i="6" s="1"/>
  <c r="V198" i="6"/>
  <c r="X198" i="6" s="1"/>
  <c r="AF198" i="6"/>
  <c r="G198" i="6"/>
  <c r="I198" i="6" s="1"/>
  <c r="W198" i="6"/>
  <c r="AB198" i="6"/>
  <c r="AD198" i="6" s="1"/>
  <c r="H198" i="6"/>
  <c r="N198" i="6"/>
  <c r="S198" i="6"/>
  <c r="U198" i="6" s="1"/>
  <c r="J198" i="6"/>
  <c r="L198" i="6" s="1"/>
  <c r="T198" i="6"/>
  <c r="Z198" i="6"/>
  <c r="AE198" i="6"/>
  <c r="AG198" i="6" s="1"/>
  <c r="M190" i="6"/>
  <c r="O190" i="6" s="1"/>
  <c r="Q190" i="6"/>
  <c r="Y190" i="6"/>
  <c r="AA190" i="6" s="1"/>
  <c r="AC190" i="6"/>
  <c r="H190" i="6"/>
  <c r="N190" i="6"/>
  <c r="S190" i="6"/>
  <c r="U190" i="6" s="1"/>
  <c r="J190" i="6"/>
  <c r="L190" i="6" s="1"/>
  <c r="T190" i="6"/>
  <c r="Z190" i="6"/>
  <c r="AE190" i="6"/>
  <c r="AG190" i="6" s="1"/>
  <c r="K190" i="6"/>
  <c r="P190" i="6"/>
  <c r="R190" i="6" s="1"/>
  <c r="V190" i="6"/>
  <c r="X190" i="6" s="1"/>
  <c r="AF190" i="6"/>
  <c r="G190" i="6"/>
  <c r="I190" i="6" s="1"/>
  <c r="W190" i="6"/>
  <c r="AB190" i="6"/>
  <c r="AD190" i="6" s="1"/>
  <c r="H178" i="6"/>
  <c r="P178" i="6"/>
  <c r="R178" i="6" s="1"/>
  <c r="T178" i="6"/>
  <c r="AB178" i="6"/>
  <c r="AD178" i="6" s="1"/>
  <c r="AF178" i="6"/>
  <c r="M178" i="6"/>
  <c r="O178" i="6" s="1"/>
  <c r="Q178" i="6"/>
  <c r="Y178" i="6"/>
  <c r="AA178" i="6" s="1"/>
  <c r="AC178" i="6"/>
  <c r="N178" i="6"/>
  <c r="V178" i="6"/>
  <c r="X178" i="6" s="1"/>
  <c r="G178" i="6"/>
  <c r="I178" i="6" s="1"/>
  <c r="W178" i="6"/>
  <c r="AE178" i="6"/>
  <c r="AG178" i="6" s="1"/>
  <c r="J178" i="6"/>
  <c r="L178" i="6" s="1"/>
  <c r="Z178" i="6"/>
  <c r="K178" i="6"/>
  <c r="S178" i="6"/>
  <c r="U178" i="6" s="1"/>
  <c r="H170" i="6"/>
  <c r="P170" i="6"/>
  <c r="R170" i="6" s="1"/>
  <c r="T170" i="6"/>
  <c r="AB170" i="6"/>
  <c r="AD170" i="6" s="1"/>
  <c r="AF170" i="6"/>
  <c r="M170" i="6"/>
  <c r="O170" i="6" s="1"/>
  <c r="Q170" i="6"/>
  <c r="Y170" i="6"/>
  <c r="AA170" i="6" s="1"/>
  <c r="AC170" i="6"/>
  <c r="N170" i="6"/>
  <c r="V170" i="6"/>
  <c r="X170" i="6" s="1"/>
  <c r="G170" i="6"/>
  <c r="I170" i="6" s="1"/>
  <c r="W170" i="6"/>
  <c r="AE170" i="6"/>
  <c r="AG170" i="6" s="1"/>
  <c r="J170" i="6"/>
  <c r="L170" i="6" s="1"/>
  <c r="Z170" i="6"/>
  <c r="K170" i="6"/>
  <c r="S170" i="6"/>
  <c r="U170" i="6" s="1"/>
  <c r="J158" i="6"/>
  <c r="L158" i="6" s="1"/>
  <c r="N158" i="6"/>
  <c r="V158" i="6"/>
  <c r="X158" i="6" s="1"/>
  <c r="Z158" i="6"/>
  <c r="G158" i="6"/>
  <c r="I158" i="6" s="1"/>
  <c r="K158" i="6"/>
  <c r="S158" i="6"/>
  <c r="U158" i="6" s="1"/>
  <c r="W158" i="6"/>
  <c r="AE158" i="6"/>
  <c r="AG158" i="6" s="1"/>
  <c r="H158" i="6"/>
  <c r="P158" i="6"/>
  <c r="R158" i="6" s="1"/>
  <c r="AF158" i="6"/>
  <c r="Q158" i="6"/>
  <c r="Y158" i="6"/>
  <c r="AA158" i="6" s="1"/>
  <c r="T158" i="6"/>
  <c r="AB158" i="6"/>
  <c r="AD158" i="6" s="1"/>
  <c r="M158" i="6"/>
  <c r="O158" i="6" s="1"/>
  <c r="AC158" i="6"/>
  <c r="J146" i="6"/>
  <c r="L146" i="6" s="1"/>
  <c r="N146" i="6"/>
  <c r="V146" i="6"/>
  <c r="X146" i="6" s="1"/>
  <c r="Z146" i="6"/>
  <c r="G146" i="6"/>
  <c r="I146" i="6" s="1"/>
  <c r="K146" i="6"/>
  <c r="S146" i="6"/>
  <c r="U146" i="6" s="1"/>
  <c r="W146" i="6"/>
  <c r="AE146" i="6"/>
  <c r="AG146" i="6" s="1"/>
  <c r="T146" i="6"/>
  <c r="AB146" i="6"/>
  <c r="AD146" i="6" s="1"/>
  <c r="M146" i="6"/>
  <c r="O146" i="6" s="1"/>
  <c r="AC146" i="6"/>
  <c r="H146" i="6"/>
  <c r="Y146" i="6"/>
  <c r="AA146" i="6" s="1"/>
  <c r="P146" i="6"/>
  <c r="R146" i="6" s="1"/>
  <c r="AF146" i="6"/>
  <c r="Q146" i="6"/>
  <c r="G130" i="6"/>
  <c r="I130" i="6" s="1"/>
  <c r="K130" i="6"/>
  <c r="S130" i="6"/>
  <c r="U130" i="6" s="1"/>
  <c r="W130" i="6"/>
  <c r="AE130" i="6"/>
  <c r="AG130" i="6" s="1"/>
  <c r="H130" i="6"/>
  <c r="M130" i="6"/>
  <c r="O130" i="6" s="1"/>
  <c r="AC130" i="6"/>
  <c r="N130" i="6"/>
  <c r="T130" i="6"/>
  <c r="Y130" i="6"/>
  <c r="AA130" i="6" s="1"/>
  <c r="J130" i="6"/>
  <c r="L130" i="6" s="1"/>
  <c r="AF130" i="6"/>
  <c r="V130" i="6"/>
  <c r="X130" i="6" s="1"/>
  <c r="P130" i="6"/>
  <c r="R130" i="6" s="1"/>
  <c r="Z130" i="6"/>
  <c r="Q130" i="6"/>
  <c r="AB130" i="6"/>
  <c r="AD130" i="6" s="1"/>
  <c r="M122" i="6"/>
  <c r="O122" i="6" s="1"/>
  <c r="Q122" i="6"/>
  <c r="Y122" i="6"/>
  <c r="AA122" i="6" s="1"/>
  <c r="AC122" i="6"/>
  <c r="G122" i="6"/>
  <c r="I122" i="6" s="1"/>
  <c r="K122" i="6"/>
  <c r="S122" i="6"/>
  <c r="U122" i="6" s="1"/>
  <c r="W122" i="6"/>
  <c r="AE122" i="6"/>
  <c r="AG122" i="6" s="1"/>
  <c r="H122" i="6"/>
  <c r="P122" i="6"/>
  <c r="R122" i="6" s="1"/>
  <c r="AF122" i="6"/>
  <c r="J122" i="6"/>
  <c r="L122" i="6" s="1"/>
  <c r="Z122" i="6"/>
  <c r="AB122" i="6"/>
  <c r="AD122" i="6" s="1"/>
  <c r="N122" i="6"/>
  <c r="T122" i="6"/>
  <c r="V122" i="6"/>
  <c r="X122" i="6" s="1"/>
  <c r="M110" i="6"/>
  <c r="O110" i="6" s="1"/>
  <c r="Q110" i="6"/>
  <c r="Y110" i="6"/>
  <c r="AA110" i="6" s="1"/>
  <c r="AC110" i="6"/>
  <c r="G110" i="6"/>
  <c r="I110" i="6" s="1"/>
  <c r="K110" i="6"/>
  <c r="S110" i="6"/>
  <c r="U110" i="6" s="1"/>
  <c r="W110" i="6"/>
  <c r="AE110" i="6"/>
  <c r="AG110" i="6" s="1"/>
  <c r="T110" i="6"/>
  <c r="AB110" i="6"/>
  <c r="AD110" i="6" s="1"/>
  <c r="N110" i="6"/>
  <c r="V110" i="6"/>
  <c r="X110" i="6" s="1"/>
  <c r="P110" i="6"/>
  <c r="R110" i="6" s="1"/>
  <c r="AF110" i="6"/>
  <c r="H110" i="6"/>
  <c r="J110" i="6"/>
  <c r="L110" i="6" s="1"/>
  <c r="Z110" i="6"/>
  <c r="G98" i="6"/>
  <c r="I98" i="6" s="1"/>
  <c r="K98" i="6"/>
  <c r="S98" i="6"/>
  <c r="U98" i="6" s="1"/>
  <c r="W98" i="6"/>
  <c r="AE98" i="6"/>
  <c r="AG98" i="6" s="1"/>
  <c r="H98" i="6"/>
  <c r="M98" i="6"/>
  <c r="O98" i="6" s="1"/>
  <c r="AC98" i="6"/>
  <c r="J98" i="6"/>
  <c r="L98" i="6" s="1"/>
  <c r="P98" i="6"/>
  <c r="R98" i="6" s="1"/>
  <c r="Z98" i="6"/>
  <c r="AF98" i="6"/>
  <c r="Q98" i="6"/>
  <c r="AB98" i="6"/>
  <c r="AD98" i="6" s="1"/>
  <c r="T98" i="6"/>
  <c r="V98" i="6"/>
  <c r="X98" i="6" s="1"/>
  <c r="Y98" i="6"/>
  <c r="AA98" i="6" s="1"/>
  <c r="N98" i="6"/>
  <c r="M90" i="6"/>
  <c r="O90" i="6" s="1"/>
  <c r="Q90" i="6"/>
  <c r="Y90" i="6"/>
  <c r="AA90" i="6" s="1"/>
  <c r="AC90" i="6"/>
  <c r="J90" i="6"/>
  <c r="L90" i="6" s="1"/>
  <c r="N90" i="6"/>
  <c r="V90" i="6"/>
  <c r="X90" i="6" s="1"/>
  <c r="Z90" i="6"/>
  <c r="G90" i="6"/>
  <c r="I90" i="6" s="1"/>
  <c r="K90" i="6"/>
  <c r="S90" i="6"/>
  <c r="U90" i="6" s="1"/>
  <c r="W90" i="6"/>
  <c r="AE90" i="6"/>
  <c r="AG90" i="6" s="1"/>
  <c r="H90" i="6"/>
  <c r="P90" i="6"/>
  <c r="R90" i="6" s="1"/>
  <c r="AF90" i="6"/>
  <c r="T90" i="6"/>
  <c r="AB90" i="6"/>
  <c r="AD90" i="6" s="1"/>
  <c r="M74" i="6"/>
  <c r="O74" i="6" s="1"/>
  <c r="Q74" i="6"/>
  <c r="Y74" i="6"/>
  <c r="AA74" i="6" s="1"/>
  <c r="AC74" i="6"/>
  <c r="J74" i="6"/>
  <c r="L74" i="6" s="1"/>
  <c r="W74" i="6"/>
  <c r="AB74" i="6"/>
  <c r="AD74" i="6" s="1"/>
  <c r="G74" i="6"/>
  <c r="I74" i="6" s="1"/>
  <c r="N74" i="6"/>
  <c r="S74" i="6"/>
  <c r="U74" i="6" s="1"/>
  <c r="H74" i="6"/>
  <c r="T74" i="6"/>
  <c r="Z74" i="6"/>
  <c r="AE74" i="6"/>
  <c r="AG74" i="6" s="1"/>
  <c r="P74" i="6"/>
  <c r="R74" i="6" s="1"/>
  <c r="AF74" i="6"/>
  <c r="K74" i="6"/>
  <c r="V74" i="6"/>
  <c r="X74" i="6" s="1"/>
  <c r="H62" i="6"/>
  <c r="P62" i="6"/>
  <c r="R62" i="6" s="1"/>
  <c r="T62" i="6"/>
  <c r="AB62" i="6"/>
  <c r="AD62" i="6" s="1"/>
  <c r="AF62" i="6"/>
  <c r="K62" i="6"/>
  <c r="Q62" i="6"/>
  <c r="V62" i="6"/>
  <c r="X62" i="6" s="1"/>
  <c r="G62" i="6"/>
  <c r="I62" i="6" s="1"/>
  <c r="M62" i="6"/>
  <c r="O62" i="6" s="1"/>
  <c r="W62" i="6"/>
  <c r="AC62" i="6"/>
  <c r="N62" i="6"/>
  <c r="S62" i="6"/>
  <c r="U62" i="6" s="1"/>
  <c r="Y62" i="6"/>
  <c r="AA62" i="6" s="1"/>
  <c r="Z62" i="6"/>
  <c r="AE62" i="6"/>
  <c r="AG62" i="6" s="1"/>
  <c r="J62" i="6"/>
  <c r="L62" i="6" s="1"/>
  <c r="G200" i="6"/>
  <c r="I200" i="6" s="1"/>
  <c r="K200" i="6"/>
  <c r="S200" i="6"/>
  <c r="U200" i="6" s="1"/>
  <c r="W200" i="6"/>
  <c r="AE200" i="6"/>
  <c r="AG200" i="6" s="1"/>
  <c r="J200" i="6"/>
  <c r="L200" i="6" s="1"/>
  <c r="P200" i="6"/>
  <c r="R200" i="6" s="1"/>
  <c r="Z200" i="6"/>
  <c r="AF200" i="6"/>
  <c r="Q200" i="6"/>
  <c r="V200" i="6"/>
  <c r="X200" i="6" s="1"/>
  <c r="AB200" i="6"/>
  <c r="AD200" i="6" s="1"/>
  <c r="H200" i="6"/>
  <c r="M200" i="6"/>
  <c r="O200" i="6" s="1"/>
  <c r="AC200" i="6"/>
  <c r="N200" i="6"/>
  <c r="T200" i="6"/>
  <c r="Y200" i="6"/>
  <c r="AA200" i="6" s="1"/>
  <c r="G196" i="6"/>
  <c r="I196" i="6" s="1"/>
  <c r="K196" i="6"/>
  <c r="S196" i="6"/>
  <c r="U196" i="6" s="1"/>
  <c r="W196" i="6"/>
  <c r="AE196" i="6"/>
  <c r="AG196" i="6" s="1"/>
  <c r="Q196" i="6"/>
  <c r="V196" i="6"/>
  <c r="X196" i="6" s="1"/>
  <c r="AB196" i="6"/>
  <c r="AD196" i="6" s="1"/>
  <c r="H196" i="6"/>
  <c r="M196" i="6"/>
  <c r="O196" i="6" s="1"/>
  <c r="AC196" i="6"/>
  <c r="N196" i="6"/>
  <c r="T196" i="6"/>
  <c r="Y196" i="6"/>
  <c r="AA196" i="6" s="1"/>
  <c r="J196" i="6"/>
  <c r="L196" i="6" s="1"/>
  <c r="P196" i="6"/>
  <c r="R196" i="6" s="1"/>
  <c r="Z196" i="6"/>
  <c r="AF196" i="6"/>
  <c r="G192" i="6"/>
  <c r="I192" i="6" s="1"/>
  <c r="K192" i="6"/>
  <c r="S192" i="6"/>
  <c r="U192" i="6" s="1"/>
  <c r="W192" i="6"/>
  <c r="AE192" i="6"/>
  <c r="AG192" i="6" s="1"/>
  <c r="H192" i="6"/>
  <c r="M192" i="6"/>
  <c r="O192" i="6" s="1"/>
  <c r="AC192" i="6"/>
  <c r="N192" i="6"/>
  <c r="T192" i="6"/>
  <c r="Y192" i="6"/>
  <c r="AA192" i="6" s="1"/>
  <c r="J192" i="6"/>
  <c r="L192" i="6" s="1"/>
  <c r="P192" i="6"/>
  <c r="R192" i="6" s="1"/>
  <c r="Z192" i="6"/>
  <c r="AF192" i="6"/>
  <c r="Q192" i="6"/>
  <c r="V192" i="6"/>
  <c r="X192" i="6" s="1"/>
  <c r="AB192" i="6"/>
  <c r="AD192" i="6" s="1"/>
  <c r="G188" i="6"/>
  <c r="I188" i="6" s="1"/>
  <c r="K188" i="6"/>
  <c r="S188" i="6"/>
  <c r="U188" i="6" s="1"/>
  <c r="W188" i="6"/>
  <c r="AE188" i="6"/>
  <c r="AG188" i="6" s="1"/>
  <c r="N188" i="6"/>
  <c r="T188" i="6"/>
  <c r="Y188" i="6"/>
  <c r="AA188" i="6" s="1"/>
  <c r="J188" i="6"/>
  <c r="L188" i="6" s="1"/>
  <c r="P188" i="6"/>
  <c r="R188" i="6" s="1"/>
  <c r="Z188" i="6"/>
  <c r="AF188" i="6"/>
  <c r="Q188" i="6"/>
  <c r="V188" i="6"/>
  <c r="X188" i="6" s="1"/>
  <c r="AB188" i="6"/>
  <c r="AD188" i="6" s="1"/>
  <c r="H188" i="6"/>
  <c r="M188" i="6"/>
  <c r="O188" i="6" s="1"/>
  <c r="AC188" i="6"/>
  <c r="J184" i="6"/>
  <c r="L184" i="6" s="1"/>
  <c r="N184" i="6"/>
  <c r="V184" i="6"/>
  <c r="X184" i="6" s="1"/>
  <c r="Z184" i="6"/>
  <c r="G184" i="6"/>
  <c r="I184" i="6" s="1"/>
  <c r="K184" i="6"/>
  <c r="S184" i="6"/>
  <c r="U184" i="6" s="1"/>
  <c r="W184" i="6"/>
  <c r="AE184" i="6"/>
  <c r="AG184" i="6" s="1"/>
  <c r="T184" i="6"/>
  <c r="AB184" i="6"/>
  <c r="AD184" i="6" s="1"/>
  <c r="M184" i="6"/>
  <c r="O184" i="6" s="1"/>
  <c r="AC184" i="6"/>
  <c r="H184" i="6"/>
  <c r="P184" i="6"/>
  <c r="R184" i="6" s="1"/>
  <c r="AF184" i="6"/>
  <c r="Q184" i="6"/>
  <c r="Y184" i="6"/>
  <c r="AA184" i="6" s="1"/>
  <c r="J180" i="6"/>
  <c r="L180" i="6" s="1"/>
  <c r="N180" i="6"/>
  <c r="V180" i="6"/>
  <c r="X180" i="6" s="1"/>
  <c r="Z180" i="6"/>
  <c r="G180" i="6"/>
  <c r="I180" i="6" s="1"/>
  <c r="K180" i="6"/>
  <c r="S180" i="6"/>
  <c r="U180" i="6" s="1"/>
  <c r="W180" i="6"/>
  <c r="AE180" i="6"/>
  <c r="AG180" i="6" s="1"/>
  <c r="H180" i="6"/>
  <c r="P180" i="6"/>
  <c r="R180" i="6" s="1"/>
  <c r="AF180" i="6"/>
  <c r="Q180" i="6"/>
  <c r="Y180" i="6"/>
  <c r="AA180" i="6" s="1"/>
  <c r="T180" i="6"/>
  <c r="AB180" i="6"/>
  <c r="AD180" i="6" s="1"/>
  <c r="M180" i="6"/>
  <c r="O180" i="6" s="1"/>
  <c r="AC180" i="6"/>
  <c r="J176" i="6"/>
  <c r="L176" i="6" s="1"/>
  <c r="N176" i="6"/>
  <c r="V176" i="6"/>
  <c r="X176" i="6" s="1"/>
  <c r="Z176" i="6"/>
  <c r="G176" i="6"/>
  <c r="I176" i="6" s="1"/>
  <c r="K176" i="6"/>
  <c r="S176" i="6"/>
  <c r="U176" i="6" s="1"/>
  <c r="W176" i="6"/>
  <c r="AE176" i="6"/>
  <c r="AG176" i="6" s="1"/>
  <c r="T176" i="6"/>
  <c r="AB176" i="6"/>
  <c r="AD176" i="6" s="1"/>
  <c r="M176" i="6"/>
  <c r="O176" i="6" s="1"/>
  <c r="AC176" i="6"/>
  <c r="H176" i="6"/>
  <c r="P176" i="6"/>
  <c r="R176" i="6" s="1"/>
  <c r="AF176" i="6"/>
  <c r="Q176" i="6"/>
  <c r="Y176" i="6"/>
  <c r="AA176" i="6" s="1"/>
  <c r="J172" i="6"/>
  <c r="L172" i="6" s="1"/>
  <c r="N172" i="6"/>
  <c r="V172" i="6"/>
  <c r="X172" i="6" s="1"/>
  <c r="Z172" i="6"/>
  <c r="G172" i="6"/>
  <c r="I172" i="6" s="1"/>
  <c r="K172" i="6"/>
  <c r="S172" i="6"/>
  <c r="U172" i="6" s="1"/>
  <c r="W172" i="6"/>
  <c r="AE172" i="6"/>
  <c r="AG172" i="6" s="1"/>
  <c r="H172" i="6"/>
  <c r="P172" i="6"/>
  <c r="R172" i="6" s="1"/>
  <c r="AF172" i="6"/>
  <c r="Q172" i="6"/>
  <c r="Y172" i="6"/>
  <c r="AA172" i="6" s="1"/>
  <c r="T172" i="6"/>
  <c r="AB172" i="6"/>
  <c r="AD172" i="6" s="1"/>
  <c r="M172" i="6"/>
  <c r="O172" i="6" s="1"/>
  <c r="AC172" i="6"/>
  <c r="J168" i="6"/>
  <c r="L168" i="6" s="1"/>
  <c r="N168" i="6"/>
  <c r="V168" i="6"/>
  <c r="X168" i="6" s="1"/>
  <c r="Z168" i="6"/>
  <c r="G168" i="6"/>
  <c r="I168" i="6" s="1"/>
  <c r="K168" i="6"/>
  <c r="S168" i="6"/>
  <c r="U168" i="6" s="1"/>
  <c r="W168" i="6"/>
  <c r="AE168" i="6"/>
  <c r="AG168" i="6" s="1"/>
  <c r="T168" i="6"/>
  <c r="AB168" i="6"/>
  <c r="AD168" i="6" s="1"/>
  <c r="M168" i="6"/>
  <c r="O168" i="6" s="1"/>
  <c r="AC168" i="6"/>
  <c r="H168" i="6"/>
  <c r="P168" i="6"/>
  <c r="R168" i="6" s="1"/>
  <c r="AF168" i="6"/>
  <c r="Q168" i="6"/>
  <c r="Y168" i="6"/>
  <c r="AA168" i="6" s="1"/>
  <c r="J164" i="6"/>
  <c r="L164" i="6" s="1"/>
  <c r="N164" i="6"/>
  <c r="V164" i="6"/>
  <c r="X164" i="6" s="1"/>
  <c r="Z164" i="6"/>
  <c r="G164" i="6"/>
  <c r="I164" i="6" s="1"/>
  <c r="K164" i="6"/>
  <c r="S164" i="6"/>
  <c r="U164" i="6" s="1"/>
  <c r="W164" i="6"/>
  <c r="AE164" i="6"/>
  <c r="AG164" i="6" s="1"/>
  <c r="H164" i="6"/>
  <c r="P164" i="6"/>
  <c r="R164" i="6" s="1"/>
  <c r="AF164" i="6"/>
  <c r="Q164" i="6"/>
  <c r="Y164" i="6"/>
  <c r="AA164" i="6" s="1"/>
  <c r="T164" i="6"/>
  <c r="AB164" i="6"/>
  <c r="AD164" i="6" s="1"/>
  <c r="M164" i="6"/>
  <c r="O164" i="6" s="1"/>
  <c r="AC164" i="6"/>
  <c r="M160" i="6"/>
  <c r="O160" i="6" s="1"/>
  <c r="Q160" i="6"/>
  <c r="Y160" i="6"/>
  <c r="AA160" i="6" s="1"/>
  <c r="AC160" i="6"/>
  <c r="G160" i="6"/>
  <c r="I160" i="6" s="1"/>
  <c r="W160" i="6"/>
  <c r="AB160" i="6"/>
  <c r="AD160" i="6" s="1"/>
  <c r="H160" i="6"/>
  <c r="N160" i="6"/>
  <c r="S160" i="6"/>
  <c r="U160" i="6" s="1"/>
  <c r="Z160" i="6"/>
  <c r="P160" i="6"/>
  <c r="R160" i="6" s="1"/>
  <c r="J160" i="6"/>
  <c r="L160" i="6" s="1"/>
  <c r="T160" i="6"/>
  <c r="AE160" i="6"/>
  <c r="AG160" i="6" s="1"/>
  <c r="K160" i="6"/>
  <c r="V160" i="6"/>
  <c r="X160" i="6" s="1"/>
  <c r="AF160" i="6"/>
  <c r="H156" i="6"/>
  <c r="P156" i="6"/>
  <c r="R156" i="6" s="1"/>
  <c r="T156" i="6"/>
  <c r="AB156" i="6"/>
  <c r="AD156" i="6" s="1"/>
  <c r="AF156" i="6"/>
  <c r="M156" i="6"/>
  <c r="O156" i="6" s="1"/>
  <c r="Q156" i="6"/>
  <c r="Y156" i="6"/>
  <c r="AA156" i="6" s="1"/>
  <c r="AC156" i="6"/>
  <c r="N156" i="6"/>
  <c r="V156" i="6"/>
  <c r="X156" i="6" s="1"/>
  <c r="G156" i="6"/>
  <c r="I156" i="6" s="1"/>
  <c r="W156" i="6"/>
  <c r="AE156" i="6"/>
  <c r="AG156" i="6" s="1"/>
  <c r="J156" i="6"/>
  <c r="L156" i="6" s="1"/>
  <c r="Z156" i="6"/>
  <c r="K156" i="6"/>
  <c r="S156" i="6"/>
  <c r="U156" i="6" s="1"/>
  <c r="H152" i="6"/>
  <c r="P152" i="6"/>
  <c r="R152" i="6" s="1"/>
  <c r="T152" i="6"/>
  <c r="AB152" i="6"/>
  <c r="AD152" i="6" s="1"/>
  <c r="AF152" i="6"/>
  <c r="M152" i="6"/>
  <c r="O152" i="6" s="1"/>
  <c r="Q152" i="6"/>
  <c r="Y152" i="6"/>
  <c r="AA152" i="6" s="1"/>
  <c r="AC152" i="6"/>
  <c r="J152" i="6"/>
  <c r="L152" i="6" s="1"/>
  <c r="Z152" i="6"/>
  <c r="K152" i="6"/>
  <c r="S152" i="6"/>
  <c r="U152" i="6" s="1"/>
  <c r="V152" i="6"/>
  <c r="X152" i="6" s="1"/>
  <c r="G152" i="6"/>
  <c r="I152" i="6" s="1"/>
  <c r="W152" i="6"/>
  <c r="N152" i="6"/>
  <c r="AE152" i="6"/>
  <c r="AG152" i="6" s="1"/>
  <c r="H148" i="6"/>
  <c r="P148" i="6"/>
  <c r="R148" i="6" s="1"/>
  <c r="T148" i="6"/>
  <c r="AB148" i="6"/>
  <c r="AD148" i="6" s="1"/>
  <c r="AF148" i="6"/>
  <c r="M148" i="6"/>
  <c r="O148" i="6" s="1"/>
  <c r="Q148" i="6"/>
  <c r="Y148" i="6"/>
  <c r="AA148" i="6" s="1"/>
  <c r="AC148" i="6"/>
  <c r="N148" i="6"/>
  <c r="V148" i="6"/>
  <c r="X148" i="6" s="1"/>
  <c r="G148" i="6"/>
  <c r="I148" i="6" s="1"/>
  <c r="W148" i="6"/>
  <c r="AE148" i="6"/>
  <c r="AG148" i="6" s="1"/>
  <c r="S148" i="6"/>
  <c r="U148" i="6" s="1"/>
  <c r="J148" i="6"/>
  <c r="L148" i="6" s="1"/>
  <c r="Z148" i="6"/>
  <c r="K148" i="6"/>
  <c r="H144" i="6"/>
  <c r="P144" i="6"/>
  <c r="R144" i="6" s="1"/>
  <c r="T144" i="6"/>
  <c r="AB144" i="6"/>
  <c r="AD144" i="6" s="1"/>
  <c r="AF144" i="6"/>
  <c r="M144" i="6"/>
  <c r="O144" i="6" s="1"/>
  <c r="Q144" i="6"/>
  <c r="Y144" i="6"/>
  <c r="AA144" i="6" s="1"/>
  <c r="AC144" i="6"/>
  <c r="J144" i="6"/>
  <c r="L144" i="6" s="1"/>
  <c r="Z144" i="6"/>
  <c r="K144" i="6"/>
  <c r="S144" i="6"/>
  <c r="U144" i="6" s="1"/>
  <c r="N144" i="6"/>
  <c r="AE144" i="6"/>
  <c r="AG144" i="6" s="1"/>
  <c r="V144" i="6"/>
  <c r="X144" i="6" s="1"/>
  <c r="G144" i="6"/>
  <c r="I144" i="6" s="1"/>
  <c r="W144" i="6"/>
  <c r="H140" i="6"/>
  <c r="P140" i="6"/>
  <c r="R140" i="6" s="1"/>
  <c r="T140" i="6"/>
  <c r="AB140" i="6"/>
  <c r="AD140" i="6" s="1"/>
  <c r="AF140" i="6"/>
  <c r="M140" i="6"/>
  <c r="O140" i="6" s="1"/>
  <c r="Q140" i="6"/>
  <c r="Y140" i="6"/>
  <c r="AA140" i="6" s="1"/>
  <c r="AC140" i="6"/>
  <c r="N140" i="6"/>
  <c r="V140" i="6"/>
  <c r="X140" i="6" s="1"/>
  <c r="G140" i="6"/>
  <c r="I140" i="6" s="1"/>
  <c r="W140" i="6"/>
  <c r="AE140" i="6"/>
  <c r="AG140" i="6" s="1"/>
  <c r="J140" i="6"/>
  <c r="L140" i="6" s="1"/>
  <c r="Z140" i="6"/>
  <c r="S140" i="6"/>
  <c r="U140" i="6" s="1"/>
  <c r="K140" i="6"/>
  <c r="M136" i="6"/>
  <c r="O136" i="6" s="1"/>
  <c r="Q136" i="6"/>
  <c r="Y136" i="6"/>
  <c r="AA136" i="6" s="1"/>
  <c r="AC136" i="6"/>
  <c r="K136" i="6"/>
  <c r="P136" i="6"/>
  <c r="R136" i="6" s="1"/>
  <c r="V136" i="6"/>
  <c r="X136" i="6" s="1"/>
  <c r="AF136" i="6"/>
  <c r="G136" i="6"/>
  <c r="I136" i="6" s="1"/>
  <c r="W136" i="6"/>
  <c r="AB136" i="6"/>
  <c r="AD136" i="6" s="1"/>
  <c r="H136" i="6"/>
  <c r="S136" i="6"/>
  <c r="U136" i="6" s="1"/>
  <c r="J136" i="6"/>
  <c r="L136" i="6" s="1"/>
  <c r="T136" i="6"/>
  <c r="AE136" i="6"/>
  <c r="AG136" i="6" s="1"/>
  <c r="N136" i="6"/>
  <c r="Z136" i="6"/>
  <c r="M132" i="6"/>
  <c r="O132" i="6" s="1"/>
  <c r="Q132" i="6"/>
  <c r="Y132" i="6"/>
  <c r="AA132" i="6" s="1"/>
  <c r="AC132" i="6"/>
  <c r="G132" i="6"/>
  <c r="I132" i="6" s="1"/>
  <c r="W132" i="6"/>
  <c r="AB132" i="6"/>
  <c r="AD132" i="6" s="1"/>
  <c r="H132" i="6"/>
  <c r="N132" i="6"/>
  <c r="S132" i="6"/>
  <c r="U132" i="6" s="1"/>
  <c r="J132" i="6"/>
  <c r="L132" i="6" s="1"/>
  <c r="T132" i="6"/>
  <c r="AE132" i="6"/>
  <c r="AG132" i="6" s="1"/>
  <c r="K132" i="6"/>
  <c r="V132" i="6"/>
  <c r="X132" i="6" s="1"/>
  <c r="AF132" i="6"/>
  <c r="Z132" i="6"/>
  <c r="P132" i="6"/>
  <c r="R132" i="6" s="1"/>
  <c r="M128" i="6"/>
  <c r="O128" i="6" s="1"/>
  <c r="Q128" i="6"/>
  <c r="Y128" i="6"/>
  <c r="AA128" i="6" s="1"/>
  <c r="AC128" i="6"/>
  <c r="H128" i="6"/>
  <c r="N128" i="6"/>
  <c r="S128" i="6"/>
  <c r="U128" i="6" s="1"/>
  <c r="J128" i="6"/>
  <c r="L128" i="6" s="1"/>
  <c r="T128" i="6"/>
  <c r="Z128" i="6"/>
  <c r="AE128" i="6"/>
  <c r="AG128" i="6" s="1"/>
  <c r="K128" i="6"/>
  <c r="V128" i="6"/>
  <c r="X128" i="6" s="1"/>
  <c r="AF128" i="6"/>
  <c r="W128" i="6"/>
  <c r="P128" i="6"/>
  <c r="R128" i="6" s="1"/>
  <c r="G128" i="6"/>
  <c r="I128" i="6" s="1"/>
  <c r="AB128" i="6"/>
  <c r="AD128" i="6" s="1"/>
  <c r="M124" i="6"/>
  <c r="O124" i="6" s="1"/>
  <c r="Q124" i="6"/>
  <c r="Y124" i="6"/>
  <c r="AA124" i="6" s="1"/>
  <c r="AC124" i="6"/>
  <c r="J124" i="6"/>
  <c r="L124" i="6" s="1"/>
  <c r="T124" i="6"/>
  <c r="Z124" i="6"/>
  <c r="AE124" i="6"/>
  <c r="AG124" i="6" s="1"/>
  <c r="K124" i="6"/>
  <c r="P124" i="6"/>
  <c r="R124" i="6" s="1"/>
  <c r="V124" i="6"/>
  <c r="X124" i="6" s="1"/>
  <c r="AF124" i="6"/>
  <c r="W124" i="6"/>
  <c r="N124" i="6"/>
  <c r="G124" i="6"/>
  <c r="I124" i="6" s="1"/>
  <c r="AB124" i="6"/>
  <c r="AD124" i="6" s="1"/>
  <c r="H124" i="6"/>
  <c r="S124" i="6"/>
  <c r="U124" i="6" s="1"/>
  <c r="G120" i="6"/>
  <c r="I120" i="6" s="1"/>
  <c r="K120" i="6"/>
  <c r="S120" i="6"/>
  <c r="U120" i="6" s="1"/>
  <c r="W120" i="6"/>
  <c r="AE120" i="6"/>
  <c r="AG120" i="6" s="1"/>
  <c r="M120" i="6"/>
  <c r="O120" i="6" s="1"/>
  <c r="Q120" i="6"/>
  <c r="Y120" i="6"/>
  <c r="AA120" i="6" s="1"/>
  <c r="AC120" i="6"/>
  <c r="N120" i="6"/>
  <c r="V120" i="6"/>
  <c r="X120" i="6" s="1"/>
  <c r="H120" i="6"/>
  <c r="P120" i="6"/>
  <c r="R120" i="6" s="1"/>
  <c r="AF120" i="6"/>
  <c r="T120" i="6"/>
  <c r="J120" i="6"/>
  <c r="L120" i="6" s="1"/>
  <c r="Z120" i="6"/>
  <c r="AB120" i="6"/>
  <c r="AD120" i="6" s="1"/>
  <c r="G116" i="6"/>
  <c r="I116" i="6" s="1"/>
  <c r="K116" i="6"/>
  <c r="S116" i="6"/>
  <c r="U116" i="6" s="1"/>
  <c r="W116" i="6"/>
  <c r="AE116" i="6"/>
  <c r="AG116" i="6" s="1"/>
  <c r="M116" i="6"/>
  <c r="O116" i="6" s="1"/>
  <c r="Q116" i="6"/>
  <c r="Y116" i="6"/>
  <c r="AA116" i="6" s="1"/>
  <c r="AC116" i="6"/>
  <c r="J116" i="6"/>
  <c r="L116" i="6" s="1"/>
  <c r="Z116" i="6"/>
  <c r="T116" i="6"/>
  <c r="AB116" i="6"/>
  <c r="AD116" i="6" s="1"/>
  <c r="N116" i="6"/>
  <c r="P116" i="6"/>
  <c r="R116" i="6" s="1"/>
  <c r="AF116" i="6"/>
  <c r="V116" i="6"/>
  <c r="X116" i="6" s="1"/>
  <c r="H116" i="6"/>
  <c r="G112" i="6"/>
  <c r="I112" i="6" s="1"/>
  <c r="K112" i="6"/>
  <c r="S112" i="6"/>
  <c r="U112" i="6" s="1"/>
  <c r="W112" i="6"/>
  <c r="AE112" i="6"/>
  <c r="AG112" i="6" s="1"/>
  <c r="M112" i="6"/>
  <c r="O112" i="6" s="1"/>
  <c r="Q112" i="6"/>
  <c r="Y112" i="6"/>
  <c r="AA112" i="6" s="1"/>
  <c r="AC112" i="6"/>
  <c r="N112" i="6"/>
  <c r="V112" i="6"/>
  <c r="X112" i="6" s="1"/>
  <c r="H112" i="6"/>
  <c r="P112" i="6"/>
  <c r="R112" i="6" s="1"/>
  <c r="AF112" i="6"/>
  <c r="J112" i="6"/>
  <c r="L112" i="6" s="1"/>
  <c r="Z112" i="6"/>
  <c r="AB112" i="6"/>
  <c r="AD112" i="6" s="1"/>
  <c r="T112" i="6"/>
  <c r="G108" i="6"/>
  <c r="I108" i="6" s="1"/>
  <c r="K108" i="6"/>
  <c r="S108" i="6"/>
  <c r="U108" i="6" s="1"/>
  <c r="W108" i="6"/>
  <c r="AE108" i="6"/>
  <c r="AG108" i="6" s="1"/>
  <c r="M108" i="6"/>
  <c r="O108" i="6" s="1"/>
  <c r="Q108" i="6"/>
  <c r="Y108" i="6"/>
  <c r="AA108" i="6" s="1"/>
  <c r="AC108" i="6"/>
  <c r="J108" i="6"/>
  <c r="L108" i="6" s="1"/>
  <c r="Z108" i="6"/>
  <c r="T108" i="6"/>
  <c r="AB108" i="6"/>
  <c r="AD108" i="6" s="1"/>
  <c r="V108" i="6"/>
  <c r="X108" i="6" s="1"/>
  <c r="H108" i="6"/>
  <c r="N108" i="6"/>
  <c r="AF108" i="6"/>
  <c r="P108" i="6"/>
  <c r="R108" i="6" s="1"/>
  <c r="G104" i="6"/>
  <c r="I104" i="6" s="1"/>
  <c r="K104" i="6"/>
  <c r="S104" i="6"/>
  <c r="U104" i="6" s="1"/>
  <c r="W104" i="6"/>
  <c r="AE104" i="6"/>
  <c r="AG104" i="6" s="1"/>
  <c r="M104" i="6"/>
  <c r="O104" i="6" s="1"/>
  <c r="Q104" i="6"/>
  <c r="Y104" i="6"/>
  <c r="AA104" i="6" s="1"/>
  <c r="AC104" i="6"/>
  <c r="N104" i="6"/>
  <c r="V104" i="6"/>
  <c r="X104" i="6" s="1"/>
  <c r="H104" i="6"/>
  <c r="P104" i="6"/>
  <c r="R104" i="6" s="1"/>
  <c r="AF104" i="6"/>
  <c r="T104" i="6"/>
  <c r="J104" i="6"/>
  <c r="L104" i="6" s="1"/>
  <c r="Z104" i="6"/>
  <c r="AB104" i="6"/>
  <c r="AD104" i="6" s="1"/>
  <c r="M100" i="6"/>
  <c r="O100" i="6" s="1"/>
  <c r="Q100" i="6"/>
  <c r="Y100" i="6"/>
  <c r="AA100" i="6" s="1"/>
  <c r="AC100" i="6"/>
  <c r="G100" i="6"/>
  <c r="I100" i="6" s="1"/>
  <c r="W100" i="6"/>
  <c r="AB100" i="6"/>
  <c r="AD100" i="6" s="1"/>
  <c r="J100" i="6"/>
  <c r="L100" i="6" s="1"/>
  <c r="T100" i="6"/>
  <c r="Z100" i="6"/>
  <c r="AE100" i="6"/>
  <c r="AG100" i="6" s="1"/>
  <c r="P100" i="6"/>
  <c r="R100" i="6" s="1"/>
  <c r="H100" i="6"/>
  <c r="S100" i="6"/>
  <c r="U100" i="6" s="1"/>
  <c r="K100" i="6"/>
  <c r="AF100" i="6"/>
  <c r="N100" i="6"/>
  <c r="V100" i="6"/>
  <c r="X100" i="6" s="1"/>
  <c r="M96" i="6"/>
  <c r="O96" i="6" s="1"/>
  <c r="Q96" i="6"/>
  <c r="Y96" i="6"/>
  <c r="AA96" i="6" s="1"/>
  <c r="AC96" i="6"/>
  <c r="H96" i="6"/>
  <c r="N96" i="6"/>
  <c r="S96" i="6"/>
  <c r="U96" i="6" s="1"/>
  <c r="K96" i="6"/>
  <c r="P96" i="6"/>
  <c r="R96" i="6" s="1"/>
  <c r="V96" i="6"/>
  <c r="X96" i="6" s="1"/>
  <c r="AF96" i="6"/>
  <c r="G96" i="6"/>
  <c r="I96" i="6" s="1"/>
  <c r="AB96" i="6"/>
  <c r="AD96" i="6" s="1"/>
  <c r="J96" i="6"/>
  <c r="L96" i="6" s="1"/>
  <c r="T96" i="6"/>
  <c r="AE96" i="6"/>
  <c r="AG96" i="6" s="1"/>
  <c r="W96" i="6"/>
  <c r="Z96" i="6"/>
  <c r="G92" i="6"/>
  <c r="I92" i="6" s="1"/>
  <c r="K92" i="6"/>
  <c r="S92" i="6"/>
  <c r="U92" i="6" s="1"/>
  <c r="W92" i="6"/>
  <c r="AE92" i="6"/>
  <c r="AG92" i="6" s="1"/>
  <c r="H92" i="6"/>
  <c r="P92" i="6"/>
  <c r="R92" i="6" s="1"/>
  <c r="T92" i="6"/>
  <c r="AB92" i="6"/>
  <c r="AD92" i="6" s="1"/>
  <c r="AF92" i="6"/>
  <c r="M92" i="6"/>
  <c r="O92" i="6" s="1"/>
  <c r="Q92" i="6"/>
  <c r="Y92" i="6"/>
  <c r="AA92" i="6" s="1"/>
  <c r="AC92" i="6"/>
  <c r="J92" i="6"/>
  <c r="L92" i="6" s="1"/>
  <c r="Z92" i="6"/>
  <c r="N92" i="6"/>
  <c r="V92" i="6"/>
  <c r="X92" i="6" s="1"/>
  <c r="G88" i="6"/>
  <c r="I88" i="6" s="1"/>
  <c r="K88" i="6"/>
  <c r="S88" i="6"/>
  <c r="U88" i="6" s="1"/>
  <c r="W88" i="6"/>
  <c r="AE88" i="6"/>
  <c r="AG88" i="6" s="1"/>
  <c r="H88" i="6"/>
  <c r="P88" i="6"/>
  <c r="R88" i="6" s="1"/>
  <c r="T88" i="6"/>
  <c r="AB88" i="6"/>
  <c r="AD88" i="6" s="1"/>
  <c r="AF88" i="6"/>
  <c r="M88" i="6"/>
  <c r="O88" i="6" s="1"/>
  <c r="Q88" i="6"/>
  <c r="Y88" i="6"/>
  <c r="AA88" i="6" s="1"/>
  <c r="AC88" i="6"/>
  <c r="N88" i="6"/>
  <c r="V88" i="6"/>
  <c r="X88" i="6" s="1"/>
  <c r="Z88" i="6"/>
  <c r="J88" i="6"/>
  <c r="L88" i="6" s="1"/>
  <c r="G84" i="6"/>
  <c r="I84" i="6" s="1"/>
  <c r="K84" i="6"/>
  <c r="S84" i="6"/>
  <c r="U84" i="6" s="1"/>
  <c r="W84" i="6"/>
  <c r="AE84" i="6"/>
  <c r="AG84" i="6" s="1"/>
  <c r="H84" i="6"/>
  <c r="P84" i="6"/>
  <c r="R84" i="6" s="1"/>
  <c r="T84" i="6"/>
  <c r="AB84" i="6"/>
  <c r="AD84" i="6" s="1"/>
  <c r="AF84" i="6"/>
  <c r="M84" i="6"/>
  <c r="O84" i="6" s="1"/>
  <c r="Q84" i="6"/>
  <c r="Y84" i="6"/>
  <c r="AA84" i="6" s="1"/>
  <c r="AC84" i="6"/>
  <c r="J84" i="6"/>
  <c r="L84" i="6" s="1"/>
  <c r="Z84" i="6"/>
  <c r="N84" i="6"/>
  <c r="V84" i="6"/>
  <c r="X84" i="6" s="1"/>
  <c r="G80" i="6"/>
  <c r="I80" i="6" s="1"/>
  <c r="K80" i="6"/>
  <c r="S80" i="6"/>
  <c r="U80" i="6" s="1"/>
  <c r="W80" i="6"/>
  <c r="AE80" i="6"/>
  <c r="AG80" i="6" s="1"/>
  <c r="H80" i="6"/>
  <c r="P80" i="6"/>
  <c r="R80" i="6" s="1"/>
  <c r="T80" i="6"/>
  <c r="AB80" i="6"/>
  <c r="AD80" i="6" s="1"/>
  <c r="AF80" i="6"/>
  <c r="M80" i="6"/>
  <c r="O80" i="6" s="1"/>
  <c r="Q80" i="6"/>
  <c r="Y80" i="6"/>
  <c r="AA80" i="6" s="1"/>
  <c r="AC80" i="6"/>
  <c r="V80" i="6"/>
  <c r="X80" i="6" s="1"/>
  <c r="N80" i="6"/>
  <c r="Z80" i="6"/>
  <c r="J80" i="6"/>
  <c r="L80" i="6" s="1"/>
  <c r="G76" i="6"/>
  <c r="I76" i="6" s="1"/>
  <c r="K76" i="6"/>
  <c r="S76" i="6"/>
  <c r="U76" i="6" s="1"/>
  <c r="W76" i="6"/>
  <c r="AE76" i="6"/>
  <c r="AG76" i="6" s="1"/>
  <c r="Q76" i="6"/>
  <c r="V76" i="6"/>
  <c r="X76" i="6" s="1"/>
  <c r="AB76" i="6"/>
  <c r="AD76" i="6" s="1"/>
  <c r="H76" i="6"/>
  <c r="M76" i="6"/>
  <c r="O76" i="6" s="1"/>
  <c r="AC76" i="6"/>
  <c r="N76" i="6"/>
  <c r="T76" i="6"/>
  <c r="Y76" i="6"/>
  <c r="AA76" i="6" s="1"/>
  <c r="Z76" i="6"/>
  <c r="P76" i="6"/>
  <c r="R76" i="6" s="1"/>
  <c r="AF76" i="6"/>
  <c r="J76" i="6"/>
  <c r="L76" i="6" s="1"/>
  <c r="G72" i="6"/>
  <c r="I72" i="6" s="1"/>
  <c r="K72" i="6"/>
  <c r="S72" i="6"/>
  <c r="U72" i="6" s="1"/>
  <c r="W72" i="6"/>
  <c r="AE72" i="6"/>
  <c r="AG72" i="6" s="1"/>
  <c r="H72" i="6"/>
  <c r="P72" i="6"/>
  <c r="R72" i="6" s="1"/>
  <c r="T72" i="6"/>
  <c r="AB72" i="6"/>
  <c r="AD72" i="6" s="1"/>
  <c r="AF72" i="6"/>
  <c r="J72" i="6"/>
  <c r="L72" i="6" s="1"/>
  <c r="Z72" i="6"/>
  <c r="M72" i="6"/>
  <c r="O72" i="6" s="1"/>
  <c r="AC72" i="6"/>
  <c r="N72" i="6"/>
  <c r="V72" i="6"/>
  <c r="X72" i="6" s="1"/>
  <c r="Y72" i="6"/>
  <c r="AA72" i="6" s="1"/>
  <c r="Q72" i="6"/>
  <c r="J68" i="6"/>
  <c r="L68" i="6" s="1"/>
  <c r="N68" i="6"/>
  <c r="V68" i="6"/>
  <c r="X68" i="6" s="1"/>
  <c r="Z68" i="6"/>
  <c r="K68" i="6"/>
  <c r="P68" i="6"/>
  <c r="R68" i="6" s="1"/>
  <c r="AF68" i="6"/>
  <c r="G68" i="6"/>
  <c r="I68" i="6" s="1"/>
  <c r="Q68" i="6"/>
  <c r="W68" i="6"/>
  <c r="AB68" i="6"/>
  <c r="AD68" i="6" s="1"/>
  <c r="Y68" i="6"/>
  <c r="AA68" i="6" s="1"/>
  <c r="H68" i="6"/>
  <c r="S68" i="6"/>
  <c r="U68" i="6" s="1"/>
  <c r="AC68" i="6"/>
  <c r="T68" i="6"/>
  <c r="AE68" i="6"/>
  <c r="AG68" i="6" s="1"/>
  <c r="M68" i="6"/>
  <c r="O68" i="6" s="1"/>
  <c r="J64" i="6"/>
  <c r="L64" i="6" s="1"/>
  <c r="N64" i="6"/>
  <c r="V64" i="6"/>
  <c r="X64" i="6" s="1"/>
  <c r="Z64" i="6"/>
  <c r="K64" i="6"/>
  <c r="P64" i="6"/>
  <c r="R64" i="6" s="1"/>
  <c r="AF64" i="6"/>
  <c r="G64" i="6"/>
  <c r="I64" i="6" s="1"/>
  <c r="Q64" i="6"/>
  <c r="W64" i="6"/>
  <c r="AB64" i="6"/>
  <c r="AD64" i="6" s="1"/>
  <c r="H64" i="6"/>
  <c r="M64" i="6"/>
  <c r="O64" i="6" s="1"/>
  <c r="S64" i="6"/>
  <c r="U64" i="6" s="1"/>
  <c r="AC64" i="6"/>
  <c r="Y64" i="6"/>
  <c r="AA64" i="6" s="1"/>
  <c r="AE64" i="6"/>
  <c r="AG64" i="6" s="1"/>
  <c r="T64" i="6"/>
  <c r="J60" i="6"/>
  <c r="L60" i="6" s="1"/>
  <c r="N60" i="6"/>
  <c r="V60" i="6"/>
  <c r="X60" i="6" s="1"/>
  <c r="Z60" i="6"/>
  <c r="G60" i="6"/>
  <c r="I60" i="6" s="1"/>
  <c r="Q60" i="6"/>
  <c r="W60" i="6"/>
  <c r="AB60" i="6"/>
  <c r="AD60" i="6" s="1"/>
  <c r="H60" i="6"/>
  <c r="M60" i="6"/>
  <c r="O60" i="6" s="1"/>
  <c r="S60" i="6"/>
  <c r="U60" i="6" s="1"/>
  <c r="AC60" i="6"/>
  <c r="T60" i="6"/>
  <c r="Y60" i="6"/>
  <c r="AA60" i="6" s="1"/>
  <c r="AE60" i="6"/>
  <c r="AG60" i="6" s="1"/>
  <c r="K60" i="6"/>
  <c r="AF60" i="6"/>
  <c r="P60" i="6"/>
  <c r="R60" i="6" s="1"/>
  <c r="M194" i="6"/>
  <c r="O194" i="6" s="1"/>
  <c r="Q194" i="6"/>
  <c r="Y194" i="6"/>
  <c r="AA194" i="6" s="1"/>
  <c r="AC194" i="6"/>
  <c r="G194" i="6"/>
  <c r="I194" i="6" s="1"/>
  <c r="W194" i="6"/>
  <c r="AB194" i="6"/>
  <c r="AD194" i="6" s="1"/>
  <c r="H194" i="6"/>
  <c r="N194" i="6"/>
  <c r="S194" i="6"/>
  <c r="U194" i="6" s="1"/>
  <c r="J194" i="6"/>
  <c r="L194" i="6" s="1"/>
  <c r="T194" i="6"/>
  <c r="Z194" i="6"/>
  <c r="AE194" i="6"/>
  <c r="AG194" i="6" s="1"/>
  <c r="K194" i="6"/>
  <c r="P194" i="6"/>
  <c r="R194" i="6" s="1"/>
  <c r="V194" i="6"/>
  <c r="X194" i="6" s="1"/>
  <c r="AF194" i="6"/>
  <c r="H182" i="6"/>
  <c r="P182" i="6"/>
  <c r="R182" i="6" s="1"/>
  <c r="T182" i="6"/>
  <c r="AB182" i="6"/>
  <c r="AD182" i="6" s="1"/>
  <c r="AF182" i="6"/>
  <c r="M182" i="6"/>
  <c r="O182" i="6" s="1"/>
  <c r="Q182" i="6"/>
  <c r="Y182" i="6"/>
  <c r="AA182" i="6" s="1"/>
  <c r="AC182" i="6"/>
  <c r="J182" i="6"/>
  <c r="L182" i="6" s="1"/>
  <c r="Z182" i="6"/>
  <c r="K182" i="6"/>
  <c r="S182" i="6"/>
  <c r="U182" i="6" s="1"/>
  <c r="N182" i="6"/>
  <c r="V182" i="6"/>
  <c r="X182" i="6" s="1"/>
  <c r="G182" i="6"/>
  <c r="I182" i="6" s="1"/>
  <c r="W182" i="6"/>
  <c r="AE182" i="6"/>
  <c r="AG182" i="6" s="1"/>
  <c r="H174" i="6"/>
  <c r="P174" i="6"/>
  <c r="R174" i="6" s="1"/>
  <c r="T174" i="6"/>
  <c r="AB174" i="6"/>
  <c r="AD174" i="6" s="1"/>
  <c r="AF174" i="6"/>
  <c r="M174" i="6"/>
  <c r="O174" i="6" s="1"/>
  <c r="Q174" i="6"/>
  <c r="Y174" i="6"/>
  <c r="AA174" i="6" s="1"/>
  <c r="AC174" i="6"/>
  <c r="J174" i="6"/>
  <c r="L174" i="6" s="1"/>
  <c r="Z174" i="6"/>
  <c r="K174" i="6"/>
  <c r="S174" i="6"/>
  <c r="U174" i="6" s="1"/>
  <c r="N174" i="6"/>
  <c r="V174" i="6"/>
  <c r="X174" i="6" s="1"/>
  <c r="G174" i="6"/>
  <c r="I174" i="6" s="1"/>
  <c r="W174" i="6"/>
  <c r="AE174" i="6"/>
  <c r="AG174" i="6" s="1"/>
  <c r="H162" i="6"/>
  <c r="P162" i="6"/>
  <c r="R162" i="6" s="1"/>
  <c r="T162" i="6"/>
  <c r="AB162" i="6"/>
  <c r="AD162" i="6" s="1"/>
  <c r="AF162" i="6"/>
  <c r="M162" i="6"/>
  <c r="O162" i="6" s="1"/>
  <c r="Q162" i="6"/>
  <c r="Y162" i="6"/>
  <c r="AA162" i="6" s="1"/>
  <c r="AC162" i="6"/>
  <c r="N162" i="6"/>
  <c r="V162" i="6"/>
  <c r="X162" i="6" s="1"/>
  <c r="G162" i="6"/>
  <c r="I162" i="6" s="1"/>
  <c r="W162" i="6"/>
  <c r="AE162" i="6"/>
  <c r="AG162" i="6" s="1"/>
  <c r="J162" i="6"/>
  <c r="L162" i="6" s="1"/>
  <c r="Z162" i="6"/>
  <c r="K162" i="6"/>
  <c r="S162" i="6"/>
  <c r="U162" i="6" s="1"/>
  <c r="J154" i="6"/>
  <c r="L154" i="6" s="1"/>
  <c r="N154" i="6"/>
  <c r="V154" i="6"/>
  <c r="X154" i="6" s="1"/>
  <c r="Z154" i="6"/>
  <c r="G154" i="6"/>
  <c r="I154" i="6" s="1"/>
  <c r="K154" i="6"/>
  <c r="S154" i="6"/>
  <c r="U154" i="6" s="1"/>
  <c r="W154" i="6"/>
  <c r="AE154" i="6"/>
  <c r="AG154" i="6" s="1"/>
  <c r="T154" i="6"/>
  <c r="AB154" i="6"/>
  <c r="AD154" i="6" s="1"/>
  <c r="M154" i="6"/>
  <c r="O154" i="6" s="1"/>
  <c r="AC154" i="6"/>
  <c r="P154" i="6"/>
  <c r="R154" i="6" s="1"/>
  <c r="AF154" i="6"/>
  <c r="Q154" i="6"/>
  <c r="H154" i="6"/>
  <c r="Y154" i="6"/>
  <c r="AA154" i="6" s="1"/>
  <c r="J142" i="6"/>
  <c r="L142" i="6" s="1"/>
  <c r="N142" i="6"/>
  <c r="V142" i="6"/>
  <c r="X142" i="6" s="1"/>
  <c r="Z142" i="6"/>
  <c r="G142" i="6"/>
  <c r="I142" i="6" s="1"/>
  <c r="K142" i="6"/>
  <c r="S142" i="6"/>
  <c r="U142" i="6" s="1"/>
  <c r="W142" i="6"/>
  <c r="AE142" i="6"/>
  <c r="AG142" i="6" s="1"/>
  <c r="H142" i="6"/>
  <c r="P142" i="6"/>
  <c r="R142" i="6" s="1"/>
  <c r="AF142" i="6"/>
  <c r="Q142" i="6"/>
  <c r="Y142" i="6"/>
  <c r="AA142" i="6" s="1"/>
  <c r="T142" i="6"/>
  <c r="AB142" i="6"/>
  <c r="AD142" i="6" s="1"/>
  <c r="AC142" i="6"/>
  <c r="M142" i="6"/>
  <c r="O142" i="6" s="1"/>
  <c r="G138" i="6"/>
  <c r="I138" i="6" s="1"/>
  <c r="K138" i="6"/>
  <c r="S138" i="6"/>
  <c r="U138" i="6" s="1"/>
  <c r="W138" i="6"/>
  <c r="AE138" i="6"/>
  <c r="AG138" i="6" s="1"/>
  <c r="J138" i="6"/>
  <c r="L138" i="6" s="1"/>
  <c r="P138" i="6"/>
  <c r="R138" i="6" s="1"/>
  <c r="Z138" i="6"/>
  <c r="AF138" i="6"/>
  <c r="Q138" i="6"/>
  <c r="V138" i="6"/>
  <c r="X138" i="6" s="1"/>
  <c r="AB138" i="6"/>
  <c r="AD138" i="6" s="1"/>
  <c r="H138" i="6"/>
  <c r="AC138" i="6"/>
  <c r="T138" i="6"/>
  <c r="M138" i="6"/>
  <c r="O138" i="6" s="1"/>
  <c r="N138" i="6"/>
  <c r="Y138" i="6"/>
  <c r="AA138" i="6" s="1"/>
  <c r="G134" i="6"/>
  <c r="I134" i="6" s="1"/>
  <c r="K134" i="6"/>
  <c r="S134" i="6"/>
  <c r="U134" i="6" s="1"/>
  <c r="W134" i="6"/>
  <c r="AE134" i="6"/>
  <c r="AG134" i="6" s="1"/>
  <c r="Q134" i="6"/>
  <c r="V134" i="6"/>
  <c r="X134" i="6" s="1"/>
  <c r="AB134" i="6"/>
  <c r="AD134" i="6" s="1"/>
  <c r="H134" i="6"/>
  <c r="M134" i="6"/>
  <c r="O134" i="6" s="1"/>
  <c r="AC134" i="6"/>
  <c r="T134" i="6"/>
  <c r="J134" i="6"/>
  <c r="L134" i="6" s="1"/>
  <c r="AF134" i="6"/>
  <c r="N134" i="6"/>
  <c r="Y134" i="6"/>
  <c r="AA134" i="6" s="1"/>
  <c r="P134" i="6"/>
  <c r="R134" i="6" s="1"/>
  <c r="Z134" i="6"/>
  <c r="M118" i="6"/>
  <c r="O118" i="6" s="1"/>
  <c r="Q118" i="6"/>
  <c r="Y118" i="6"/>
  <c r="AA118" i="6" s="1"/>
  <c r="AC118" i="6"/>
  <c r="G118" i="6"/>
  <c r="I118" i="6" s="1"/>
  <c r="K118" i="6"/>
  <c r="S118" i="6"/>
  <c r="U118" i="6" s="1"/>
  <c r="W118" i="6"/>
  <c r="AE118" i="6"/>
  <c r="AG118" i="6" s="1"/>
  <c r="T118" i="6"/>
  <c r="AB118" i="6"/>
  <c r="AD118" i="6" s="1"/>
  <c r="N118" i="6"/>
  <c r="V118" i="6"/>
  <c r="X118" i="6" s="1"/>
  <c r="H118" i="6"/>
  <c r="J118" i="6"/>
  <c r="L118" i="6" s="1"/>
  <c r="Z118" i="6"/>
  <c r="P118" i="6"/>
  <c r="R118" i="6" s="1"/>
  <c r="AF118" i="6"/>
  <c r="G102" i="6"/>
  <c r="I102" i="6" s="1"/>
  <c r="K102" i="6"/>
  <c r="S102" i="6"/>
  <c r="U102" i="6" s="1"/>
  <c r="W102" i="6"/>
  <c r="AE102" i="6"/>
  <c r="AG102" i="6" s="1"/>
  <c r="Q102" i="6"/>
  <c r="V102" i="6"/>
  <c r="X102" i="6" s="1"/>
  <c r="AB102" i="6"/>
  <c r="AD102" i="6" s="1"/>
  <c r="N102" i="6"/>
  <c r="T102" i="6"/>
  <c r="Y102" i="6"/>
  <c r="AA102" i="6" s="1"/>
  <c r="P102" i="6"/>
  <c r="R102" i="6" s="1"/>
  <c r="Z102" i="6"/>
  <c r="H102" i="6"/>
  <c r="AC102" i="6"/>
  <c r="J102" i="6"/>
  <c r="L102" i="6" s="1"/>
  <c r="AF102" i="6"/>
  <c r="M102" i="6"/>
  <c r="O102" i="6" s="1"/>
  <c r="M82" i="6"/>
  <c r="O82" i="6" s="1"/>
  <c r="Q82" i="6"/>
  <c r="Y82" i="6"/>
  <c r="AA82" i="6" s="1"/>
  <c r="AC82" i="6"/>
  <c r="J82" i="6"/>
  <c r="L82" i="6" s="1"/>
  <c r="N82" i="6"/>
  <c r="V82" i="6"/>
  <c r="X82" i="6" s="1"/>
  <c r="Z82" i="6"/>
  <c r="G82" i="6"/>
  <c r="I82" i="6" s="1"/>
  <c r="K82" i="6"/>
  <c r="S82" i="6"/>
  <c r="U82" i="6" s="1"/>
  <c r="W82" i="6"/>
  <c r="AE82" i="6"/>
  <c r="AG82" i="6" s="1"/>
  <c r="P82" i="6"/>
  <c r="R82" i="6" s="1"/>
  <c r="AF82" i="6"/>
  <c r="H82" i="6"/>
  <c r="AB82" i="6"/>
  <c r="AD82" i="6" s="1"/>
  <c r="T82" i="6"/>
  <c r="J203" i="6"/>
  <c r="L203" i="6" s="1"/>
  <c r="N203" i="6"/>
  <c r="V203" i="6"/>
  <c r="X203" i="6" s="1"/>
  <c r="Z203" i="6"/>
  <c r="T203" i="6"/>
  <c r="Y203" i="6"/>
  <c r="AA203" i="6" s="1"/>
  <c r="AE203" i="6"/>
  <c r="AG203" i="6" s="1"/>
  <c r="K203" i="6"/>
  <c r="P203" i="6"/>
  <c r="R203" i="6" s="1"/>
  <c r="AF203" i="6"/>
  <c r="G203" i="6"/>
  <c r="I203" i="6" s="1"/>
  <c r="Q203" i="6"/>
  <c r="W203" i="6"/>
  <c r="AB203" i="6"/>
  <c r="AD203" i="6" s="1"/>
  <c r="H203" i="6"/>
  <c r="M203" i="6"/>
  <c r="O203" i="6" s="1"/>
  <c r="S203" i="6"/>
  <c r="U203" i="6" s="1"/>
  <c r="AC203" i="6"/>
  <c r="J199" i="6"/>
  <c r="L199" i="6" s="1"/>
  <c r="N199" i="6"/>
  <c r="V199" i="6"/>
  <c r="X199" i="6" s="1"/>
  <c r="Z199" i="6"/>
  <c r="K199" i="6"/>
  <c r="P199" i="6"/>
  <c r="R199" i="6" s="1"/>
  <c r="AF199" i="6"/>
  <c r="G199" i="6"/>
  <c r="I199" i="6" s="1"/>
  <c r="Q199" i="6"/>
  <c r="W199" i="6"/>
  <c r="AB199" i="6"/>
  <c r="AD199" i="6" s="1"/>
  <c r="H199" i="6"/>
  <c r="M199" i="6"/>
  <c r="O199" i="6" s="1"/>
  <c r="S199" i="6"/>
  <c r="U199" i="6" s="1"/>
  <c r="AC199" i="6"/>
  <c r="T199" i="6"/>
  <c r="Y199" i="6"/>
  <c r="AA199" i="6" s="1"/>
  <c r="AE199" i="6"/>
  <c r="AG199" i="6" s="1"/>
  <c r="J195" i="6"/>
  <c r="L195" i="6" s="1"/>
  <c r="N195" i="6"/>
  <c r="V195" i="6"/>
  <c r="X195" i="6" s="1"/>
  <c r="Z195" i="6"/>
  <c r="G195" i="6"/>
  <c r="I195" i="6" s="1"/>
  <c r="Q195" i="6"/>
  <c r="W195" i="6"/>
  <c r="AB195" i="6"/>
  <c r="AD195" i="6" s="1"/>
  <c r="H195" i="6"/>
  <c r="M195" i="6"/>
  <c r="O195" i="6" s="1"/>
  <c r="S195" i="6"/>
  <c r="U195" i="6" s="1"/>
  <c r="AC195" i="6"/>
  <c r="T195" i="6"/>
  <c r="Y195" i="6"/>
  <c r="AA195" i="6" s="1"/>
  <c r="AE195" i="6"/>
  <c r="AG195" i="6" s="1"/>
  <c r="K195" i="6"/>
  <c r="P195" i="6"/>
  <c r="R195" i="6" s="1"/>
  <c r="AF195" i="6"/>
  <c r="J191" i="6"/>
  <c r="L191" i="6" s="1"/>
  <c r="N191" i="6"/>
  <c r="V191" i="6"/>
  <c r="X191" i="6" s="1"/>
  <c r="Z191" i="6"/>
  <c r="H191" i="6"/>
  <c r="M191" i="6"/>
  <c r="O191" i="6" s="1"/>
  <c r="S191" i="6"/>
  <c r="U191" i="6" s="1"/>
  <c r="AC191" i="6"/>
  <c r="T191" i="6"/>
  <c r="Y191" i="6"/>
  <c r="AA191" i="6" s="1"/>
  <c r="AE191" i="6"/>
  <c r="AG191" i="6" s="1"/>
  <c r="K191" i="6"/>
  <c r="P191" i="6"/>
  <c r="R191" i="6" s="1"/>
  <c r="AF191" i="6"/>
  <c r="G191" i="6"/>
  <c r="I191" i="6" s="1"/>
  <c r="Q191" i="6"/>
  <c r="W191" i="6"/>
  <c r="AB191" i="6"/>
  <c r="AD191" i="6" s="1"/>
  <c r="J187" i="6"/>
  <c r="L187" i="6" s="1"/>
  <c r="N187" i="6"/>
  <c r="V187" i="6"/>
  <c r="X187" i="6" s="1"/>
  <c r="Z187" i="6"/>
  <c r="T187" i="6"/>
  <c r="Y187" i="6"/>
  <c r="AA187" i="6" s="1"/>
  <c r="AE187" i="6"/>
  <c r="AG187" i="6" s="1"/>
  <c r="K187" i="6"/>
  <c r="P187" i="6"/>
  <c r="R187" i="6" s="1"/>
  <c r="AF187" i="6"/>
  <c r="G187" i="6"/>
  <c r="I187" i="6" s="1"/>
  <c r="Q187" i="6"/>
  <c r="W187" i="6"/>
  <c r="AB187" i="6"/>
  <c r="AD187" i="6" s="1"/>
  <c r="H187" i="6"/>
  <c r="M187" i="6"/>
  <c r="O187" i="6" s="1"/>
  <c r="S187" i="6"/>
  <c r="U187" i="6" s="1"/>
  <c r="AC187" i="6"/>
  <c r="M183" i="6"/>
  <c r="O183" i="6" s="1"/>
  <c r="Q183" i="6"/>
  <c r="Y183" i="6"/>
  <c r="AA183" i="6" s="1"/>
  <c r="AC183" i="6"/>
  <c r="J183" i="6"/>
  <c r="L183" i="6" s="1"/>
  <c r="N183" i="6"/>
  <c r="V183" i="6"/>
  <c r="X183" i="6" s="1"/>
  <c r="Z183" i="6"/>
  <c r="G183" i="6"/>
  <c r="I183" i="6" s="1"/>
  <c r="W183" i="6"/>
  <c r="AE183" i="6"/>
  <c r="AG183" i="6" s="1"/>
  <c r="H183" i="6"/>
  <c r="P183" i="6"/>
  <c r="R183" i="6" s="1"/>
  <c r="AF183" i="6"/>
  <c r="K183" i="6"/>
  <c r="S183" i="6"/>
  <c r="U183" i="6" s="1"/>
  <c r="T183" i="6"/>
  <c r="AB183" i="6"/>
  <c r="AD183" i="6" s="1"/>
  <c r="M179" i="6"/>
  <c r="O179" i="6" s="1"/>
  <c r="Q179" i="6"/>
  <c r="Y179" i="6"/>
  <c r="AA179" i="6" s="1"/>
  <c r="AC179" i="6"/>
  <c r="J179" i="6"/>
  <c r="L179" i="6" s="1"/>
  <c r="N179" i="6"/>
  <c r="V179" i="6"/>
  <c r="X179" i="6" s="1"/>
  <c r="Z179" i="6"/>
  <c r="K179" i="6"/>
  <c r="S179" i="6"/>
  <c r="U179" i="6" s="1"/>
  <c r="T179" i="6"/>
  <c r="AB179" i="6"/>
  <c r="AD179" i="6" s="1"/>
  <c r="G179" i="6"/>
  <c r="I179" i="6" s="1"/>
  <c r="W179" i="6"/>
  <c r="AE179" i="6"/>
  <c r="AG179" i="6" s="1"/>
  <c r="H179" i="6"/>
  <c r="P179" i="6"/>
  <c r="R179" i="6" s="1"/>
  <c r="AF179" i="6"/>
  <c r="M175" i="6"/>
  <c r="O175" i="6" s="1"/>
  <c r="Q175" i="6"/>
  <c r="Y175" i="6"/>
  <c r="AA175" i="6" s="1"/>
  <c r="AC175" i="6"/>
  <c r="J175" i="6"/>
  <c r="L175" i="6" s="1"/>
  <c r="N175" i="6"/>
  <c r="V175" i="6"/>
  <c r="X175" i="6" s="1"/>
  <c r="Z175" i="6"/>
  <c r="G175" i="6"/>
  <c r="I175" i="6" s="1"/>
  <c r="W175" i="6"/>
  <c r="AE175" i="6"/>
  <c r="AG175" i="6" s="1"/>
  <c r="H175" i="6"/>
  <c r="P175" i="6"/>
  <c r="R175" i="6" s="1"/>
  <c r="AF175" i="6"/>
  <c r="K175" i="6"/>
  <c r="S175" i="6"/>
  <c r="U175" i="6" s="1"/>
  <c r="T175" i="6"/>
  <c r="AB175" i="6"/>
  <c r="AD175" i="6" s="1"/>
  <c r="M171" i="6"/>
  <c r="O171" i="6" s="1"/>
  <c r="Q171" i="6"/>
  <c r="Y171" i="6"/>
  <c r="AA171" i="6" s="1"/>
  <c r="AC171" i="6"/>
  <c r="J171" i="6"/>
  <c r="L171" i="6" s="1"/>
  <c r="N171" i="6"/>
  <c r="V171" i="6"/>
  <c r="X171" i="6" s="1"/>
  <c r="Z171" i="6"/>
  <c r="K171" i="6"/>
  <c r="S171" i="6"/>
  <c r="U171" i="6" s="1"/>
  <c r="T171" i="6"/>
  <c r="AB171" i="6"/>
  <c r="AD171" i="6" s="1"/>
  <c r="G171" i="6"/>
  <c r="I171" i="6" s="1"/>
  <c r="W171" i="6"/>
  <c r="AE171" i="6"/>
  <c r="AG171" i="6" s="1"/>
  <c r="H171" i="6"/>
  <c r="P171" i="6"/>
  <c r="R171" i="6" s="1"/>
  <c r="AF171" i="6"/>
  <c r="M167" i="6"/>
  <c r="O167" i="6" s="1"/>
  <c r="Q167" i="6"/>
  <c r="Y167" i="6"/>
  <c r="AA167" i="6" s="1"/>
  <c r="AC167" i="6"/>
  <c r="J167" i="6"/>
  <c r="L167" i="6" s="1"/>
  <c r="N167" i="6"/>
  <c r="V167" i="6"/>
  <c r="X167" i="6" s="1"/>
  <c r="Z167" i="6"/>
  <c r="G167" i="6"/>
  <c r="I167" i="6" s="1"/>
  <c r="W167" i="6"/>
  <c r="AE167" i="6"/>
  <c r="AG167" i="6" s="1"/>
  <c r="H167" i="6"/>
  <c r="P167" i="6"/>
  <c r="R167" i="6" s="1"/>
  <c r="AF167" i="6"/>
  <c r="K167" i="6"/>
  <c r="S167" i="6"/>
  <c r="U167" i="6" s="1"/>
  <c r="T167" i="6"/>
  <c r="AB167" i="6"/>
  <c r="AD167" i="6" s="1"/>
  <c r="M163" i="6"/>
  <c r="O163" i="6" s="1"/>
  <c r="Q163" i="6"/>
  <c r="Y163" i="6"/>
  <c r="AA163" i="6" s="1"/>
  <c r="AC163" i="6"/>
  <c r="J163" i="6"/>
  <c r="L163" i="6" s="1"/>
  <c r="N163" i="6"/>
  <c r="V163" i="6"/>
  <c r="X163" i="6" s="1"/>
  <c r="Z163" i="6"/>
  <c r="K163" i="6"/>
  <c r="S163" i="6"/>
  <c r="U163" i="6" s="1"/>
  <c r="T163" i="6"/>
  <c r="AB163" i="6"/>
  <c r="AD163" i="6" s="1"/>
  <c r="G163" i="6"/>
  <c r="I163" i="6" s="1"/>
  <c r="W163" i="6"/>
  <c r="AE163" i="6"/>
  <c r="AG163" i="6" s="1"/>
  <c r="H163" i="6"/>
  <c r="P163" i="6"/>
  <c r="R163" i="6" s="1"/>
  <c r="AF163" i="6"/>
  <c r="G159" i="6"/>
  <c r="I159" i="6" s="1"/>
  <c r="K159" i="6"/>
  <c r="H159" i="6"/>
  <c r="P159" i="6"/>
  <c r="R159" i="6" s="1"/>
  <c r="T159" i="6"/>
  <c r="AB159" i="6"/>
  <c r="AD159" i="6" s="1"/>
  <c r="AF159" i="6"/>
  <c r="M159" i="6"/>
  <c r="O159" i="6" s="1"/>
  <c r="W159" i="6"/>
  <c r="AC159" i="6"/>
  <c r="N159" i="6"/>
  <c r="S159" i="6"/>
  <c r="U159" i="6" s="1"/>
  <c r="Y159" i="6"/>
  <c r="AA159" i="6" s="1"/>
  <c r="AE159" i="6"/>
  <c r="AG159" i="6" s="1"/>
  <c r="J159" i="6"/>
  <c r="L159" i="6" s="1"/>
  <c r="V159" i="6"/>
  <c r="X159" i="6" s="1"/>
  <c r="Z159" i="6"/>
  <c r="Q159" i="6"/>
  <c r="G155" i="6"/>
  <c r="I155" i="6" s="1"/>
  <c r="K155" i="6"/>
  <c r="S155" i="6"/>
  <c r="U155" i="6" s="1"/>
  <c r="W155" i="6"/>
  <c r="AE155" i="6"/>
  <c r="AG155" i="6" s="1"/>
  <c r="H155" i="6"/>
  <c r="P155" i="6"/>
  <c r="R155" i="6" s="1"/>
  <c r="T155" i="6"/>
  <c r="AB155" i="6"/>
  <c r="AD155" i="6" s="1"/>
  <c r="AF155" i="6"/>
  <c r="Q155" i="6"/>
  <c r="Y155" i="6"/>
  <c r="AA155" i="6" s="1"/>
  <c r="J155" i="6"/>
  <c r="L155" i="6" s="1"/>
  <c r="Z155" i="6"/>
  <c r="V155" i="6"/>
  <c r="X155" i="6" s="1"/>
  <c r="M155" i="6"/>
  <c r="O155" i="6" s="1"/>
  <c r="AC155" i="6"/>
  <c r="N155" i="6"/>
  <c r="G151" i="6"/>
  <c r="I151" i="6" s="1"/>
  <c r="K151" i="6"/>
  <c r="S151" i="6"/>
  <c r="U151" i="6" s="1"/>
  <c r="W151" i="6"/>
  <c r="AE151" i="6"/>
  <c r="AG151" i="6" s="1"/>
  <c r="H151" i="6"/>
  <c r="P151" i="6"/>
  <c r="R151" i="6" s="1"/>
  <c r="T151" i="6"/>
  <c r="AB151" i="6"/>
  <c r="AD151" i="6" s="1"/>
  <c r="AF151" i="6"/>
  <c r="M151" i="6"/>
  <c r="O151" i="6" s="1"/>
  <c r="AC151" i="6"/>
  <c r="N151" i="6"/>
  <c r="V151" i="6"/>
  <c r="X151" i="6" s="1"/>
  <c r="Q151" i="6"/>
  <c r="Y151" i="6"/>
  <c r="AA151" i="6" s="1"/>
  <c r="J151" i="6"/>
  <c r="L151" i="6" s="1"/>
  <c r="Z151" i="6"/>
  <c r="G147" i="6"/>
  <c r="I147" i="6" s="1"/>
  <c r="K147" i="6"/>
  <c r="S147" i="6"/>
  <c r="U147" i="6" s="1"/>
  <c r="W147" i="6"/>
  <c r="AE147" i="6"/>
  <c r="AG147" i="6" s="1"/>
  <c r="H147" i="6"/>
  <c r="P147" i="6"/>
  <c r="R147" i="6" s="1"/>
  <c r="T147" i="6"/>
  <c r="AB147" i="6"/>
  <c r="AD147" i="6" s="1"/>
  <c r="AF147" i="6"/>
  <c r="Q147" i="6"/>
  <c r="Y147" i="6"/>
  <c r="AA147" i="6" s="1"/>
  <c r="J147" i="6"/>
  <c r="L147" i="6" s="1"/>
  <c r="Z147" i="6"/>
  <c r="M147" i="6"/>
  <c r="O147" i="6" s="1"/>
  <c r="AC147" i="6"/>
  <c r="N147" i="6"/>
  <c r="V147" i="6"/>
  <c r="X147" i="6" s="1"/>
  <c r="G143" i="6"/>
  <c r="I143" i="6" s="1"/>
  <c r="K143" i="6"/>
  <c r="S143" i="6"/>
  <c r="U143" i="6" s="1"/>
  <c r="W143" i="6"/>
  <c r="AE143" i="6"/>
  <c r="AG143" i="6" s="1"/>
  <c r="H143" i="6"/>
  <c r="P143" i="6"/>
  <c r="R143" i="6" s="1"/>
  <c r="T143" i="6"/>
  <c r="AB143" i="6"/>
  <c r="AD143" i="6" s="1"/>
  <c r="AF143" i="6"/>
  <c r="M143" i="6"/>
  <c r="O143" i="6" s="1"/>
  <c r="AC143" i="6"/>
  <c r="N143" i="6"/>
  <c r="V143" i="6"/>
  <c r="X143" i="6" s="1"/>
  <c r="Y143" i="6"/>
  <c r="AA143" i="6" s="1"/>
  <c r="J143" i="6"/>
  <c r="L143" i="6" s="1"/>
  <c r="Z143" i="6"/>
  <c r="Q143" i="6"/>
  <c r="H139" i="6"/>
  <c r="P139" i="6"/>
  <c r="R139" i="6" s="1"/>
  <c r="T139" i="6"/>
  <c r="AB139" i="6"/>
  <c r="AD139" i="6" s="1"/>
  <c r="J139" i="6"/>
  <c r="L139" i="6" s="1"/>
  <c r="Z139" i="6"/>
  <c r="AE139" i="6"/>
  <c r="AG139" i="6" s="1"/>
  <c r="K139" i="6"/>
  <c r="Q139" i="6"/>
  <c r="V139" i="6"/>
  <c r="X139" i="6" s="1"/>
  <c r="AF139" i="6"/>
  <c r="M139" i="6"/>
  <c r="O139" i="6" s="1"/>
  <c r="W139" i="6"/>
  <c r="N139" i="6"/>
  <c r="Y139" i="6"/>
  <c r="AA139" i="6" s="1"/>
  <c r="G139" i="6"/>
  <c r="I139" i="6" s="1"/>
  <c r="AC139" i="6"/>
  <c r="S139" i="6"/>
  <c r="U139" i="6" s="1"/>
  <c r="H135" i="6"/>
  <c r="P135" i="6"/>
  <c r="R135" i="6" s="1"/>
  <c r="T135" i="6"/>
  <c r="AB135" i="6"/>
  <c r="AD135" i="6" s="1"/>
  <c r="AF135" i="6"/>
  <c r="K135" i="6"/>
  <c r="Q135" i="6"/>
  <c r="V135" i="6"/>
  <c r="X135" i="6" s="1"/>
  <c r="G135" i="6"/>
  <c r="I135" i="6" s="1"/>
  <c r="M135" i="6"/>
  <c r="O135" i="6" s="1"/>
  <c r="W135" i="6"/>
  <c r="AC135" i="6"/>
  <c r="N135" i="6"/>
  <c r="Y135" i="6"/>
  <c r="AA135" i="6" s="1"/>
  <c r="Z135" i="6"/>
  <c r="S135" i="6"/>
  <c r="U135" i="6" s="1"/>
  <c r="AE135" i="6"/>
  <c r="AG135" i="6" s="1"/>
  <c r="J135" i="6"/>
  <c r="L135" i="6" s="1"/>
  <c r="H131" i="6"/>
  <c r="P131" i="6"/>
  <c r="R131" i="6" s="1"/>
  <c r="T131" i="6"/>
  <c r="AB131" i="6"/>
  <c r="AD131" i="6" s="1"/>
  <c r="AF131" i="6"/>
  <c r="G131" i="6"/>
  <c r="I131" i="6" s="1"/>
  <c r="M131" i="6"/>
  <c r="O131" i="6" s="1"/>
  <c r="W131" i="6"/>
  <c r="AC131" i="6"/>
  <c r="N131" i="6"/>
  <c r="S131" i="6"/>
  <c r="U131" i="6" s="1"/>
  <c r="Y131" i="6"/>
  <c r="AA131" i="6" s="1"/>
  <c r="Z131" i="6"/>
  <c r="Q131" i="6"/>
  <c r="J131" i="6"/>
  <c r="L131" i="6" s="1"/>
  <c r="AE131" i="6"/>
  <c r="AG131" i="6" s="1"/>
  <c r="K131" i="6"/>
  <c r="V131" i="6"/>
  <c r="X131" i="6" s="1"/>
  <c r="H127" i="6"/>
  <c r="P127" i="6"/>
  <c r="R127" i="6" s="1"/>
  <c r="T127" i="6"/>
  <c r="AB127" i="6"/>
  <c r="AD127" i="6" s="1"/>
  <c r="AF127" i="6"/>
  <c r="N127" i="6"/>
  <c r="S127" i="6"/>
  <c r="U127" i="6" s="1"/>
  <c r="Y127" i="6"/>
  <c r="AA127" i="6" s="1"/>
  <c r="J127" i="6"/>
  <c r="L127" i="6" s="1"/>
  <c r="Z127" i="6"/>
  <c r="AE127" i="6"/>
  <c r="AG127" i="6" s="1"/>
  <c r="Q127" i="6"/>
  <c r="G127" i="6"/>
  <c r="I127" i="6" s="1"/>
  <c r="AC127" i="6"/>
  <c r="K127" i="6"/>
  <c r="V127" i="6"/>
  <c r="X127" i="6" s="1"/>
  <c r="M127" i="6"/>
  <c r="O127" i="6" s="1"/>
  <c r="W127" i="6"/>
  <c r="J123" i="6"/>
  <c r="L123" i="6" s="1"/>
  <c r="N123" i="6"/>
  <c r="H123" i="6"/>
  <c r="P123" i="6"/>
  <c r="R123" i="6" s="1"/>
  <c r="T123" i="6"/>
  <c r="AB123" i="6"/>
  <c r="AD123" i="6" s="1"/>
  <c r="AF123" i="6"/>
  <c r="M123" i="6"/>
  <c r="O123" i="6" s="1"/>
  <c r="Z123" i="6"/>
  <c r="AE123" i="6"/>
  <c r="AG123" i="6" s="1"/>
  <c r="G123" i="6"/>
  <c r="I123" i="6" s="1"/>
  <c r="V123" i="6"/>
  <c r="X123" i="6" s="1"/>
  <c r="Q123" i="6"/>
  <c r="AC123" i="6"/>
  <c r="S123" i="6"/>
  <c r="U123" i="6" s="1"/>
  <c r="W123" i="6"/>
  <c r="K123" i="6"/>
  <c r="Y123" i="6"/>
  <c r="AA123" i="6" s="1"/>
  <c r="J119" i="6"/>
  <c r="L119" i="6" s="1"/>
  <c r="N119" i="6"/>
  <c r="V119" i="6"/>
  <c r="X119" i="6" s="1"/>
  <c r="Z119" i="6"/>
  <c r="H119" i="6"/>
  <c r="P119" i="6"/>
  <c r="R119" i="6" s="1"/>
  <c r="T119" i="6"/>
  <c r="AB119" i="6"/>
  <c r="AD119" i="6" s="1"/>
  <c r="AF119" i="6"/>
  <c r="Q119" i="6"/>
  <c r="Y119" i="6"/>
  <c r="AA119" i="6" s="1"/>
  <c r="K119" i="6"/>
  <c r="S119" i="6"/>
  <c r="U119" i="6" s="1"/>
  <c r="M119" i="6"/>
  <c r="O119" i="6" s="1"/>
  <c r="AC119" i="6"/>
  <c r="AE119" i="6"/>
  <c r="AG119" i="6" s="1"/>
  <c r="G119" i="6"/>
  <c r="I119" i="6" s="1"/>
  <c r="W119" i="6"/>
  <c r="J115" i="6"/>
  <c r="L115" i="6" s="1"/>
  <c r="N115" i="6"/>
  <c r="V115" i="6"/>
  <c r="X115" i="6" s="1"/>
  <c r="Z115" i="6"/>
  <c r="H115" i="6"/>
  <c r="P115" i="6"/>
  <c r="R115" i="6" s="1"/>
  <c r="T115" i="6"/>
  <c r="AB115" i="6"/>
  <c r="AD115" i="6" s="1"/>
  <c r="AF115" i="6"/>
  <c r="M115" i="6"/>
  <c r="O115" i="6" s="1"/>
  <c r="AC115" i="6"/>
  <c r="G115" i="6"/>
  <c r="I115" i="6" s="1"/>
  <c r="W115" i="6"/>
  <c r="AE115" i="6"/>
  <c r="AG115" i="6" s="1"/>
  <c r="Y115" i="6"/>
  <c r="AA115" i="6" s="1"/>
  <c r="K115" i="6"/>
  <c r="Q115" i="6"/>
  <c r="S115" i="6"/>
  <c r="U115" i="6" s="1"/>
  <c r="J111" i="6"/>
  <c r="L111" i="6" s="1"/>
  <c r="N111" i="6"/>
  <c r="V111" i="6"/>
  <c r="X111" i="6" s="1"/>
  <c r="Z111" i="6"/>
  <c r="H111" i="6"/>
  <c r="P111" i="6"/>
  <c r="R111" i="6" s="1"/>
  <c r="T111" i="6"/>
  <c r="AB111" i="6"/>
  <c r="AD111" i="6" s="1"/>
  <c r="AF111" i="6"/>
  <c r="Q111" i="6"/>
  <c r="Y111" i="6"/>
  <c r="AA111" i="6" s="1"/>
  <c r="K111" i="6"/>
  <c r="S111" i="6"/>
  <c r="U111" i="6" s="1"/>
  <c r="G111" i="6"/>
  <c r="I111" i="6" s="1"/>
  <c r="W111" i="6"/>
  <c r="M111" i="6"/>
  <c r="O111" i="6" s="1"/>
  <c r="AC111" i="6"/>
  <c r="AE111" i="6"/>
  <c r="AG111" i="6" s="1"/>
  <c r="J107" i="6"/>
  <c r="L107" i="6" s="1"/>
  <c r="N107" i="6"/>
  <c r="V107" i="6"/>
  <c r="X107" i="6" s="1"/>
  <c r="Z107" i="6"/>
  <c r="H107" i="6"/>
  <c r="P107" i="6"/>
  <c r="R107" i="6" s="1"/>
  <c r="T107" i="6"/>
  <c r="AB107" i="6"/>
  <c r="AD107" i="6" s="1"/>
  <c r="AF107" i="6"/>
  <c r="M107" i="6"/>
  <c r="O107" i="6" s="1"/>
  <c r="AC107" i="6"/>
  <c r="G107" i="6"/>
  <c r="I107" i="6" s="1"/>
  <c r="W107" i="6"/>
  <c r="AE107" i="6"/>
  <c r="AG107" i="6" s="1"/>
  <c r="Q107" i="6"/>
  <c r="S107" i="6"/>
  <c r="U107" i="6" s="1"/>
  <c r="Y107" i="6"/>
  <c r="AA107" i="6" s="1"/>
  <c r="K107" i="6"/>
  <c r="J103" i="6"/>
  <c r="L103" i="6" s="1"/>
  <c r="N103" i="6"/>
  <c r="V103" i="6"/>
  <c r="X103" i="6" s="1"/>
  <c r="Z103" i="6"/>
  <c r="H103" i="6"/>
  <c r="P103" i="6"/>
  <c r="R103" i="6" s="1"/>
  <c r="T103" i="6"/>
  <c r="AB103" i="6"/>
  <c r="AD103" i="6" s="1"/>
  <c r="AF103" i="6"/>
  <c r="Q103" i="6"/>
  <c r="Y103" i="6"/>
  <c r="AA103" i="6" s="1"/>
  <c r="K103" i="6"/>
  <c r="S103" i="6"/>
  <c r="U103" i="6" s="1"/>
  <c r="M103" i="6"/>
  <c r="O103" i="6" s="1"/>
  <c r="AC103" i="6"/>
  <c r="AE103" i="6"/>
  <c r="AG103" i="6" s="1"/>
  <c r="G103" i="6"/>
  <c r="I103" i="6" s="1"/>
  <c r="W103" i="6"/>
  <c r="H99" i="6"/>
  <c r="P99" i="6"/>
  <c r="R99" i="6" s="1"/>
  <c r="T99" i="6"/>
  <c r="AB99" i="6"/>
  <c r="AD99" i="6" s="1"/>
  <c r="AF99" i="6"/>
  <c r="G99" i="6"/>
  <c r="I99" i="6" s="1"/>
  <c r="M99" i="6"/>
  <c r="O99" i="6" s="1"/>
  <c r="W99" i="6"/>
  <c r="AC99" i="6"/>
  <c r="J99" i="6"/>
  <c r="L99" i="6" s="1"/>
  <c r="Z99" i="6"/>
  <c r="AE99" i="6"/>
  <c r="AG99" i="6" s="1"/>
  <c r="K99" i="6"/>
  <c r="V99" i="6"/>
  <c r="X99" i="6" s="1"/>
  <c r="N99" i="6"/>
  <c r="Y99" i="6"/>
  <c r="AA99" i="6" s="1"/>
  <c r="Q99" i="6"/>
  <c r="S99" i="6"/>
  <c r="U99" i="6" s="1"/>
  <c r="H95" i="6"/>
  <c r="P95" i="6"/>
  <c r="R95" i="6" s="1"/>
  <c r="T95" i="6"/>
  <c r="AB95" i="6"/>
  <c r="AD95" i="6" s="1"/>
  <c r="AF95" i="6"/>
  <c r="N95" i="6"/>
  <c r="S95" i="6"/>
  <c r="U95" i="6" s="1"/>
  <c r="Y95" i="6"/>
  <c r="AA95" i="6" s="1"/>
  <c r="K95" i="6"/>
  <c r="Q95" i="6"/>
  <c r="V95" i="6"/>
  <c r="X95" i="6" s="1"/>
  <c r="M95" i="6"/>
  <c r="O95" i="6" s="1"/>
  <c r="W95" i="6"/>
  <c r="Z95" i="6"/>
  <c r="G95" i="6"/>
  <c r="I95" i="6" s="1"/>
  <c r="AC95" i="6"/>
  <c r="J95" i="6"/>
  <c r="L95" i="6" s="1"/>
  <c r="AE95" i="6"/>
  <c r="AG95" i="6" s="1"/>
  <c r="J91" i="6"/>
  <c r="L91" i="6" s="1"/>
  <c r="N91" i="6"/>
  <c r="V91" i="6"/>
  <c r="X91" i="6" s="1"/>
  <c r="Z91" i="6"/>
  <c r="G91" i="6"/>
  <c r="I91" i="6" s="1"/>
  <c r="K91" i="6"/>
  <c r="S91" i="6"/>
  <c r="U91" i="6" s="1"/>
  <c r="W91" i="6"/>
  <c r="AE91" i="6"/>
  <c r="AG91" i="6" s="1"/>
  <c r="H91" i="6"/>
  <c r="P91" i="6"/>
  <c r="R91" i="6" s="1"/>
  <c r="T91" i="6"/>
  <c r="AB91" i="6"/>
  <c r="AD91" i="6" s="1"/>
  <c r="AF91" i="6"/>
  <c r="M91" i="6"/>
  <c r="O91" i="6" s="1"/>
  <c r="AC91" i="6"/>
  <c r="Q91" i="6"/>
  <c r="Y91" i="6"/>
  <c r="AA91" i="6" s="1"/>
  <c r="J87" i="6"/>
  <c r="L87" i="6" s="1"/>
  <c r="N87" i="6"/>
  <c r="V87" i="6"/>
  <c r="X87" i="6" s="1"/>
  <c r="Z87" i="6"/>
  <c r="G87" i="6"/>
  <c r="I87" i="6" s="1"/>
  <c r="K87" i="6"/>
  <c r="S87" i="6"/>
  <c r="U87" i="6" s="1"/>
  <c r="W87" i="6"/>
  <c r="AE87" i="6"/>
  <c r="AG87" i="6" s="1"/>
  <c r="H87" i="6"/>
  <c r="P87" i="6"/>
  <c r="R87" i="6" s="1"/>
  <c r="T87" i="6"/>
  <c r="AB87" i="6"/>
  <c r="AD87" i="6" s="1"/>
  <c r="AF87" i="6"/>
  <c r="Y87" i="6"/>
  <c r="AA87" i="6" s="1"/>
  <c r="Q87" i="6"/>
  <c r="AC87" i="6"/>
  <c r="M87" i="6"/>
  <c r="O87" i="6" s="1"/>
  <c r="J83" i="6"/>
  <c r="L83" i="6" s="1"/>
  <c r="N83" i="6"/>
  <c r="V83" i="6"/>
  <c r="X83" i="6" s="1"/>
  <c r="Z83" i="6"/>
  <c r="G83" i="6"/>
  <c r="I83" i="6" s="1"/>
  <c r="K83" i="6"/>
  <c r="S83" i="6"/>
  <c r="U83" i="6" s="1"/>
  <c r="W83" i="6"/>
  <c r="AE83" i="6"/>
  <c r="AG83" i="6" s="1"/>
  <c r="H83" i="6"/>
  <c r="P83" i="6"/>
  <c r="R83" i="6" s="1"/>
  <c r="T83" i="6"/>
  <c r="AB83" i="6"/>
  <c r="AD83" i="6" s="1"/>
  <c r="AF83" i="6"/>
  <c r="M83" i="6"/>
  <c r="O83" i="6" s="1"/>
  <c r="AC83" i="6"/>
  <c r="Q83" i="6"/>
  <c r="Y83" i="6"/>
  <c r="AA83" i="6" s="1"/>
  <c r="J79" i="6"/>
  <c r="L79" i="6" s="1"/>
  <c r="N79" i="6"/>
  <c r="V79" i="6"/>
  <c r="X79" i="6" s="1"/>
  <c r="Z79" i="6"/>
  <c r="G79" i="6"/>
  <c r="I79" i="6" s="1"/>
  <c r="K79" i="6"/>
  <c r="S79" i="6"/>
  <c r="U79" i="6" s="1"/>
  <c r="W79" i="6"/>
  <c r="AE79" i="6"/>
  <c r="AG79" i="6" s="1"/>
  <c r="H79" i="6"/>
  <c r="P79" i="6"/>
  <c r="R79" i="6" s="1"/>
  <c r="T79" i="6"/>
  <c r="AB79" i="6"/>
  <c r="AD79" i="6" s="1"/>
  <c r="AF79" i="6"/>
  <c r="Q79" i="6"/>
  <c r="Y79" i="6"/>
  <c r="AA79" i="6" s="1"/>
  <c r="M79" i="6"/>
  <c r="O79" i="6" s="1"/>
  <c r="AC79" i="6"/>
  <c r="J75" i="6"/>
  <c r="L75" i="6" s="1"/>
  <c r="N75" i="6"/>
  <c r="V75" i="6"/>
  <c r="X75" i="6" s="1"/>
  <c r="Z75" i="6"/>
  <c r="G75" i="6"/>
  <c r="I75" i="6" s="1"/>
  <c r="Q75" i="6"/>
  <c r="W75" i="6"/>
  <c r="AB75" i="6"/>
  <c r="AD75" i="6" s="1"/>
  <c r="H75" i="6"/>
  <c r="M75" i="6"/>
  <c r="O75" i="6" s="1"/>
  <c r="S75" i="6"/>
  <c r="U75" i="6" s="1"/>
  <c r="AC75" i="6"/>
  <c r="T75" i="6"/>
  <c r="Y75" i="6"/>
  <c r="AA75" i="6" s="1"/>
  <c r="AE75" i="6"/>
  <c r="AG75" i="6" s="1"/>
  <c r="K75" i="6"/>
  <c r="AF75" i="6"/>
  <c r="P75" i="6"/>
  <c r="R75" i="6" s="1"/>
  <c r="M71" i="6"/>
  <c r="O71" i="6" s="1"/>
  <c r="Q71" i="6"/>
  <c r="Y71" i="6"/>
  <c r="AA71" i="6" s="1"/>
  <c r="J71" i="6"/>
  <c r="L71" i="6" s="1"/>
  <c r="T71" i="6"/>
  <c r="Z71" i="6"/>
  <c r="K71" i="6"/>
  <c r="P71" i="6"/>
  <c r="R71" i="6" s="1"/>
  <c r="V71" i="6"/>
  <c r="X71" i="6" s="1"/>
  <c r="AE71" i="6"/>
  <c r="AG71" i="6" s="1"/>
  <c r="H71" i="6"/>
  <c r="S71" i="6"/>
  <c r="U71" i="6" s="1"/>
  <c r="AC71" i="6"/>
  <c r="W71" i="6"/>
  <c r="AF71" i="6"/>
  <c r="N71" i="6"/>
  <c r="G71" i="6"/>
  <c r="I71" i="6" s="1"/>
  <c r="AB71" i="6"/>
  <c r="AD71" i="6" s="1"/>
  <c r="M67" i="6"/>
  <c r="O67" i="6" s="1"/>
  <c r="Q67" i="6"/>
  <c r="Y67" i="6"/>
  <c r="AA67" i="6" s="1"/>
  <c r="AC67" i="6"/>
  <c r="K67" i="6"/>
  <c r="P67" i="6"/>
  <c r="R67" i="6" s="1"/>
  <c r="V67" i="6"/>
  <c r="X67" i="6" s="1"/>
  <c r="AF67" i="6"/>
  <c r="G67" i="6"/>
  <c r="I67" i="6" s="1"/>
  <c r="W67" i="6"/>
  <c r="AB67" i="6"/>
  <c r="AD67" i="6" s="1"/>
  <c r="J67" i="6"/>
  <c r="L67" i="6" s="1"/>
  <c r="T67" i="6"/>
  <c r="AE67" i="6"/>
  <c r="AG67" i="6" s="1"/>
  <c r="N67" i="6"/>
  <c r="Z67" i="6"/>
  <c r="S67" i="6"/>
  <c r="U67" i="6" s="1"/>
  <c r="H67" i="6"/>
  <c r="M63" i="6"/>
  <c r="O63" i="6" s="1"/>
  <c r="Q63" i="6"/>
  <c r="Y63" i="6"/>
  <c r="AA63" i="6" s="1"/>
  <c r="AC63" i="6"/>
  <c r="K63" i="6"/>
  <c r="P63" i="6"/>
  <c r="R63" i="6" s="1"/>
  <c r="V63" i="6"/>
  <c r="X63" i="6" s="1"/>
  <c r="AF63" i="6"/>
  <c r="G63" i="6"/>
  <c r="I63" i="6" s="1"/>
  <c r="W63" i="6"/>
  <c r="AB63" i="6"/>
  <c r="AD63" i="6" s="1"/>
  <c r="H63" i="6"/>
  <c r="N63" i="6"/>
  <c r="S63" i="6"/>
  <c r="U63" i="6" s="1"/>
  <c r="J63" i="6"/>
  <c r="L63" i="6" s="1"/>
  <c r="AE63" i="6"/>
  <c r="AG63" i="6" s="1"/>
  <c r="T63" i="6"/>
  <c r="Z63" i="6"/>
  <c r="AF198" i="5"/>
  <c r="AG198" i="5"/>
  <c r="AF194" i="5"/>
  <c r="AG194" i="5"/>
  <c r="AF186" i="5"/>
  <c r="AG186" i="5"/>
  <c r="AF178" i="5"/>
  <c r="AG178" i="5"/>
  <c r="AF158" i="5"/>
  <c r="AG158" i="5"/>
  <c r="AF150" i="5"/>
  <c r="AG150" i="5"/>
  <c r="AF138" i="5"/>
  <c r="AG138" i="5"/>
  <c r="AF126" i="5"/>
  <c r="AG126" i="5"/>
  <c r="AF106" i="5"/>
  <c r="AG106" i="5"/>
  <c r="AF90" i="5"/>
  <c r="AG90" i="5"/>
  <c r="AF86" i="5"/>
  <c r="AG86" i="5"/>
  <c r="AF201" i="5"/>
  <c r="AG201" i="5"/>
  <c r="AF197" i="5"/>
  <c r="AG197" i="5"/>
  <c r="AF193" i="5"/>
  <c r="AG193" i="5"/>
  <c r="AF189" i="5"/>
  <c r="AG189" i="5"/>
  <c r="AF185" i="5"/>
  <c r="AG185" i="5"/>
  <c r="AF181" i="5"/>
  <c r="AG181" i="5"/>
  <c r="AF177" i="5"/>
  <c r="AG177" i="5"/>
  <c r="AF173" i="5"/>
  <c r="AG173" i="5"/>
  <c r="AF169" i="5"/>
  <c r="AG169" i="5"/>
  <c r="AF165" i="5"/>
  <c r="AG165" i="5"/>
  <c r="AF161" i="5"/>
  <c r="AG161" i="5"/>
  <c r="AF157" i="5"/>
  <c r="AG157" i="5"/>
  <c r="AF153" i="5"/>
  <c r="AG153" i="5"/>
  <c r="AF149" i="5"/>
  <c r="AG149" i="5"/>
  <c r="AF145" i="5"/>
  <c r="AG145" i="5"/>
  <c r="AF141" i="5"/>
  <c r="AG141" i="5"/>
  <c r="AF137" i="5"/>
  <c r="AG137" i="5"/>
  <c r="AF133" i="5"/>
  <c r="AG133" i="5"/>
  <c r="AF129" i="5"/>
  <c r="AG129" i="5"/>
  <c r="AF125" i="5"/>
  <c r="AG125" i="5"/>
  <c r="AF121" i="5"/>
  <c r="AG121" i="5"/>
  <c r="AF117" i="5"/>
  <c r="AG117" i="5"/>
  <c r="AF113" i="5"/>
  <c r="AG113" i="5"/>
  <c r="AF109" i="5"/>
  <c r="AG109" i="5"/>
  <c r="AF105" i="5"/>
  <c r="AG105" i="5"/>
  <c r="AF101" i="5"/>
  <c r="AG101" i="5"/>
  <c r="AF97" i="5"/>
  <c r="AG97" i="5"/>
  <c r="AF93" i="5"/>
  <c r="AG93" i="5"/>
  <c r="AF89" i="5"/>
  <c r="AG89" i="5"/>
  <c r="AF85" i="5"/>
  <c r="AG85" i="5"/>
  <c r="AF81" i="5"/>
  <c r="AG81" i="5"/>
  <c r="AF77" i="5"/>
  <c r="AG77" i="5"/>
  <c r="AF73" i="5"/>
  <c r="AG73" i="5"/>
  <c r="AF69" i="5"/>
  <c r="AG69" i="5"/>
  <c r="AF65" i="5"/>
  <c r="AG65" i="5"/>
  <c r="AF61" i="5"/>
  <c r="AG61" i="5"/>
  <c r="AF190" i="5"/>
  <c r="AG190" i="5"/>
  <c r="AF174" i="5"/>
  <c r="AG174" i="5"/>
  <c r="AF166" i="5"/>
  <c r="AG166" i="5"/>
  <c r="AF146" i="5"/>
  <c r="AG146" i="5"/>
  <c r="AF134" i="5"/>
  <c r="AG134" i="5"/>
  <c r="AF118" i="5"/>
  <c r="AG118" i="5"/>
  <c r="AF110" i="5"/>
  <c r="AG110" i="5"/>
  <c r="AF98" i="5"/>
  <c r="AG98" i="5"/>
  <c r="AF70" i="5"/>
  <c r="AG70" i="5"/>
  <c r="AF66" i="5"/>
  <c r="AG66" i="5"/>
  <c r="AF62" i="5"/>
  <c r="AG62" i="5"/>
  <c r="AF200" i="5"/>
  <c r="AG200" i="5"/>
  <c r="AF196" i="5"/>
  <c r="AG196" i="5"/>
  <c r="AF192" i="5"/>
  <c r="AG192" i="5"/>
  <c r="AF188" i="5"/>
  <c r="AG188" i="5"/>
  <c r="AF184" i="5"/>
  <c r="AG184" i="5"/>
  <c r="AF180" i="5"/>
  <c r="AG180" i="5"/>
  <c r="AF176" i="5"/>
  <c r="AG176" i="5"/>
  <c r="AF172" i="5"/>
  <c r="AG172" i="5"/>
  <c r="AF168" i="5"/>
  <c r="AG168" i="5"/>
  <c r="AF164" i="5"/>
  <c r="AG164" i="5"/>
  <c r="AF160" i="5"/>
  <c r="AG160" i="5"/>
  <c r="AF156" i="5"/>
  <c r="AG156" i="5"/>
  <c r="AF152" i="5"/>
  <c r="AG152" i="5"/>
  <c r="AF148" i="5"/>
  <c r="AG148" i="5"/>
  <c r="AF144" i="5"/>
  <c r="AG144" i="5"/>
  <c r="AF140" i="5"/>
  <c r="AG140" i="5"/>
  <c r="AF136" i="5"/>
  <c r="AG136" i="5"/>
  <c r="AF132" i="5"/>
  <c r="AG132" i="5"/>
  <c r="AF128" i="5"/>
  <c r="AG128" i="5"/>
  <c r="AF124" i="5"/>
  <c r="AG124" i="5"/>
  <c r="AF120" i="5"/>
  <c r="AG120" i="5"/>
  <c r="AF116" i="5"/>
  <c r="AG116" i="5"/>
  <c r="AF112" i="5"/>
  <c r="AG112" i="5"/>
  <c r="AF108" i="5"/>
  <c r="AG108" i="5"/>
  <c r="AF104" i="5"/>
  <c r="AG104" i="5"/>
  <c r="AF100" i="5"/>
  <c r="AG100" i="5"/>
  <c r="AF96" i="5"/>
  <c r="AG96" i="5"/>
  <c r="AF92" i="5"/>
  <c r="AG92" i="5"/>
  <c r="AF88" i="5"/>
  <c r="AG88" i="5"/>
  <c r="AF84" i="5"/>
  <c r="AG84" i="5"/>
  <c r="AF80" i="5"/>
  <c r="AG80" i="5"/>
  <c r="AF76" i="5"/>
  <c r="AG76" i="5"/>
  <c r="AF72" i="5"/>
  <c r="AG72" i="5"/>
  <c r="AF68" i="5"/>
  <c r="AG68" i="5"/>
  <c r="AF64" i="5"/>
  <c r="AG64" i="5"/>
  <c r="AF60" i="5"/>
  <c r="AG60" i="5"/>
  <c r="AF202" i="5"/>
  <c r="AG202" i="5"/>
  <c r="AF182" i="5"/>
  <c r="AG182" i="5"/>
  <c r="AF170" i="5"/>
  <c r="AG170" i="5"/>
  <c r="AF162" i="5"/>
  <c r="AG162" i="5"/>
  <c r="AF154" i="5"/>
  <c r="AG154" i="5"/>
  <c r="AF142" i="5"/>
  <c r="AG142" i="5"/>
  <c r="AF130" i="5"/>
  <c r="AG130" i="5"/>
  <c r="AF122" i="5"/>
  <c r="AG122" i="5"/>
  <c r="AF114" i="5"/>
  <c r="AG114" i="5"/>
  <c r="AF102" i="5"/>
  <c r="AG102" i="5"/>
  <c r="AF94" i="5"/>
  <c r="AG94" i="5"/>
  <c r="AF82" i="5"/>
  <c r="AG82" i="5"/>
  <c r="AF78" i="5"/>
  <c r="AG78" i="5"/>
  <c r="AF74" i="5"/>
  <c r="AG74" i="5"/>
  <c r="AF203" i="5"/>
  <c r="AG203" i="5"/>
  <c r="AF199" i="5"/>
  <c r="AG199" i="5"/>
  <c r="AF195" i="5"/>
  <c r="AG195" i="5"/>
  <c r="AF191" i="5"/>
  <c r="AG191" i="5"/>
  <c r="AF187" i="5"/>
  <c r="AG187" i="5"/>
  <c r="AF183" i="5"/>
  <c r="AG183" i="5"/>
  <c r="AF179" i="5"/>
  <c r="AG179" i="5"/>
  <c r="AF175" i="5"/>
  <c r="AG175" i="5"/>
  <c r="AF171" i="5"/>
  <c r="AG171" i="5"/>
  <c r="AF167" i="5"/>
  <c r="AG167" i="5"/>
  <c r="AF163" i="5"/>
  <c r="AG163" i="5"/>
  <c r="AF159" i="5"/>
  <c r="AG159" i="5"/>
  <c r="AF155" i="5"/>
  <c r="AG155" i="5"/>
  <c r="AF151" i="5"/>
  <c r="AG151" i="5"/>
  <c r="AF147" i="5"/>
  <c r="AG147" i="5"/>
  <c r="AF143" i="5"/>
  <c r="AG143" i="5"/>
  <c r="AF139" i="5"/>
  <c r="AG139" i="5"/>
  <c r="AF135" i="5"/>
  <c r="AG135" i="5"/>
  <c r="AF131" i="5"/>
  <c r="AG131" i="5"/>
  <c r="AF127" i="5"/>
  <c r="AG127" i="5"/>
  <c r="AF123" i="5"/>
  <c r="AG123" i="5"/>
  <c r="AF119" i="5"/>
  <c r="AG119" i="5"/>
  <c r="AF115" i="5"/>
  <c r="AG115" i="5"/>
  <c r="AF111" i="5"/>
  <c r="AG111" i="5"/>
  <c r="AF107" i="5"/>
  <c r="AG107" i="5"/>
  <c r="AF103" i="5"/>
  <c r="AG103" i="5"/>
  <c r="AF99" i="5"/>
  <c r="AG99" i="5"/>
  <c r="AF95" i="5"/>
  <c r="AG95" i="5"/>
  <c r="AF91" i="5"/>
  <c r="AG91" i="5"/>
  <c r="AF87" i="5"/>
  <c r="AG87" i="5"/>
  <c r="AF83" i="5"/>
  <c r="AG83" i="5"/>
  <c r="AF79" i="5"/>
  <c r="AG79" i="5"/>
  <c r="AF75" i="5"/>
  <c r="AG75" i="5"/>
  <c r="AF71" i="5"/>
  <c r="AG71" i="5"/>
  <c r="AF67" i="5"/>
  <c r="AG67" i="5"/>
  <c r="AF63" i="5"/>
  <c r="AG63" i="5"/>
  <c r="AC198" i="5"/>
  <c r="AD198" i="5"/>
  <c r="AC194" i="5"/>
  <c r="AD194" i="5"/>
  <c r="AC178" i="5"/>
  <c r="AD178" i="5"/>
  <c r="AC166" i="5"/>
  <c r="AD166" i="5"/>
  <c r="AC154" i="5"/>
  <c r="AD154" i="5"/>
  <c r="AC138" i="5"/>
  <c r="AD138" i="5"/>
  <c r="AC130" i="5"/>
  <c r="AD130" i="5"/>
  <c r="AC118" i="5"/>
  <c r="AD118" i="5"/>
  <c r="AC102" i="5"/>
  <c r="AD102" i="5"/>
  <c r="AC86" i="5"/>
  <c r="AD86" i="5"/>
  <c r="AC82" i="5"/>
  <c r="AD82" i="5"/>
  <c r="AC78" i="5"/>
  <c r="AD78" i="5"/>
  <c r="AC74" i="5"/>
  <c r="AD74" i="5"/>
  <c r="AC70" i="5"/>
  <c r="AD70" i="5"/>
  <c r="AC66" i="5"/>
  <c r="AD66" i="5"/>
  <c r="AD201" i="5"/>
  <c r="AC201" i="5"/>
  <c r="AD197" i="5"/>
  <c r="AC197" i="5"/>
  <c r="AD193" i="5"/>
  <c r="AC193" i="5"/>
  <c r="AD189" i="5"/>
  <c r="AC189" i="5"/>
  <c r="AD185" i="5"/>
  <c r="AC185" i="5"/>
  <c r="AC181" i="5"/>
  <c r="AD181" i="5"/>
  <c r="AC177" i="5"/>
  <c r="AD177" i="5"/>
  <c r="AC173" i="5"/>
  <c r="AD173" i="5"/>
  <c r="AC169" i="5"/>
  <c r="AD169" i="5"/>
  <c r="AC165" i="5"/>
  <c r="AD165" i="5"/>
  <c r="AC161" i="5"/>
  <c r="AD161" i="5"/>
  <c r="AC157" i="5"/>
  <c r="AD157" i="5"/>
  <c r="AC153" i="5"/>
  <c r="AD153" i="5"/>
  <c r="AC149" i="5"/>
  <c r="AD149" i="5"/>
  <c r="AC145" i="5"/>
  <c r="AD145" i="5"/>
  <c r="AC141" i="5"/>
  <c r="AD141" i="5"/>
  <c r="AC137" i="5"/>
  <c r="AD137" i="5"/>
  <c r="AC133" i="5"/>
  <c r="AD133" i="5"/>
  <c r="AC129" i="5"/>
  <c r="AD129" i="5"/>
  <c r="AC125" i="5"/>
  <c r="AD125" i="5"/>
  <c r="AC121" i="5"/>
  <c r="AD121" i="5"/>
  <c r="AC117" i="5"/>
  <c r="AD117" i="5"/>
  <c r="AC113" i="5"/>
  <c r="AD113" i="5"/>
  <c r="AC109" i="5"/>
  <c r="AD109" i="5"/>
  <c r="AC105" i="5"/>
  <c r="AD105" i="5"/>
  <c r="AC101" i="5"/>
  <c r="AD101" i="5"/>
  <c r="AC97" i="5"/>
  <c r="AD97" i="5"/>
  <c r="AC93" i="5"/>
  <c r="AD93" i="5"/>
  <c r="AC89" i="5"/>
  <c r="AD89" i="5"/>
  <c r="AC85" i="5"/>
  <c r="AD85" i="5"/>
  <c r="AC81" i="5"/>
  <c r="AD81" i="5"/>
  <c r="AC77" i="5"/>
  <c r="AD77" i="5"/>
  <c r="AC73" i="5"/>
  <c r="AD73" i="5"/>
  <c r="AC69" i="5"/>
  <c r="AD69" i="5"/>
  <c r="AC65" i="5"/>
  <c r="AD65" i="5"/>
  <c r="AC61" i="5"/>
  <c r="AD61" i="5"/>
  <c r="AC202" i="5"/>
  <c r="AD202" i="5"/>
  <c r="AC186" i="5"/>
  <c r="AD186" i="5"/>
  <c r="AC174" i="5"/>
  <c r="AD174" i="5"/>
  <c r="AC158" i="5"/>
  <c r="AD158" i="5"/>
  <c r="AC146" i="5"/>
  <c r="AD146" i="5"/>
  <c r="AC126" i="5"/>
  <c r="AD126" i="5"/>
  <c r="AC110" i="5"/>
  <c r="AD110" i="5"/>
  <c r="AC94" i="5"/>
  <c r="AD94" i="5"/>
  <c r="AC62" i="5"/>
  <c r="AD62" i="5"/>
  <c r="AC200" i="5"/>
  <c r="AD200" i="5"/>
  <c r="AC196" i="5"/>
  <c r="AD196" i="5"/>
  <c r="AC192" i="5"/>
  <c r="AD192" i="5"/>
  <c r="AC188" i="5"/>
  <c r="AD188" i="5"/>
  <c r="AC184" i="5"/>
  <c r="AD184" i="5"/>
  <c r="AC180" i="5"/>
  <c r="AD180" i="5"/>
  <c r="AC176" i="5"/>
  <c r="AD176" i="5"/>
  <c r="AC172" i="5"/>
  <c r="AD172" i="5"/>
  <c r="AC168" i="5"/>
  <c r="AD168" i="5"/>
  <c r="AC164" i="5"/>
  <c r="AD164" i="5"/>
  <c r="AC160" i="5"/>
  <c r="AD160" i="5"/>
  <c r="AC156" i="5"/>
  <c r="AD156" i="5"/>
  <c r="AC152" i="5"/>
  <c r="AD152" i="5"/>
  <c r="AC148" i="5"/>
  <c r="AD148" i="5"/>
  <c r="AC144" i="5"/>
  <c r="AD144" i="5"/>
  <c r="AC140" i="5"/>
  <c r="AD140" i="5"/>
  <c r="AC136" i="5"/>
  <c r="AD136" i="5"/>
  <c r="AC132" i="5"/>
  <c r="AD132" i="5"/>
  <c r="AC128" i="5"/>
  <c r="AD128" i="5"/>
  <c r="AC124" i="5"/>
  <c r="AD124" i="5"/>
  <c r="AC120" i="5"/>
  <c r="AD120" i="5"/>
  <c r="AC116" i="5"/>
  <c r="AD116" i="5"/>
  <c r="AC112" i="5"/>
  <c r="AD112" i="5"/>
  <c r="AC108" i="5"/>
  <c r="AD108" i="5"/>
  <c r="AC104" i="5"/>
  <c r="AD104" i="5"/>
  <c r="AC100" i="5"/>
  <c r="AD100" i="5"/>
  <c r="AC96" i="5"/>
  <c r="AD96" i="5"/>
  <c r="AC92" i="5"/>
  <c r="AD92" i="5"/>
  <c r="AC88" i="5"/>
  <c r="AD88" i="5"/>
  <c r="AC84" i="5"/>
  <c r="AD84" i="5"/>
  <c r="AC80" i="5"/>
  <c r="AD80" i="5"/>
  <c r="AC76" i="5"/>
  <c r="AD76" i="5"/>
  <c r="AC72" i="5"/>
  <c r="AD72" i="5"/>
  <c r="AC68" i="5"/>
  <c r="AD68" i="5"/>
  <c r="AC64" i="5"/>
  <c r="AD64" i="5"/>
  <c r="AC60" i="5"/>
  <c r="AD60" i="5"/>
  <c r="AC190" i="5"/>
  <c r="AD190" i="5"/>
  <c r="AC182" i="5"/>
  <c r="AD182" i="5"/>
  <c r="AC170" i="5"/>
  <c r="AD170" i="5"/>
  <c r="AC162" i="5"/>
  <c r="AD162" i="5"/>
  <c r="AC150" i="5"/>
  <c r="AD150" i="5"/>
  <c r="AC142" i="5"/>
  <c r="AD142" i="5"/>
  <c r="AC134" i="5"/>
  <c r="AD134" i="5"/>
  <c r="AC122" i="5"/>
  <c r="AD122" i="5"/>
  <c r="AC114" i="5"/>
  <c r="AD114" i="5"/>
  <c r="AC106" i="5"/>
  <c r="AD106" i="5"/>
  <c r="AC98" i="5"/>
  <c r="AD98" i="5"/>
  <c r="AC90" i="5"/>
  <c r="AD90" i="5"/>
  <c r="AD203" i="5"/>
  <c r="AC203" i="5"/>
  <c r="AD199" i="5"/>
  <c r="AC199" i="5"/>
  <c r="AD195" i="5"/>
  <c r="AC195" i="5"/>
  <c r="AD191" i="5"/>
  <c r="AC191" i="5"/>
  <c r="AD187" i="5"/>
  <c r="AC187" i="5"/>
  <c r="AC183" i="5"/>
  <c r="AD183" i="5"/>
  <c r="AC179" i="5"/>
  <c r="AD179" i="5"/>
  <c r="AC175" i="5"/>
  <c r="AD175" i="5"/>
  <c r="AC171" i="5"/>
  <c r="AD171" i="5"/>
  <c r="AC167" i="5"/>
  <c r="AD167" i="5"/>
  <c r="AC163" i="5"/>
  <c r="AD163" i="5"/>
  <c r="AC159" i="5"/>
  <c r="AD159" i="5"/>
  <c r="AC155" i="5"/>
  <c r="AD155" i="5"/>
  <c r="AC151" i="5"/>
  <c r="AD151" i="5"/>
  <c r="AC147" i="5"/>
  <c r="AD147" i="5"/>
  <c r="AC143" i="5"/>
  <c r="AD143" i="5"/>
  <c r="AC139" i="5"/>
  <c r="AD139" i="5"/>
  <c r="AC135" i="5"/>
  <c r="AD135" i="5"/>
  <c r="AC131" i="5"/>
  <c r="AD131" i="5"/>
  <c r="AC127" i="5"/>
  <c r="AD127" i="5"/>
  <c r="AC123" i="5"/>
  <c r="AD123" i="5"/>
  <c r="AC119" i="5"/>
  <c r="AD119" i="5"/>
  <c r="AC115" i="5"/>
  <c r="AD115" i="5"/>
  <c r="AC111" i="5"/>
  <c r="AD111" i="5"/>
  <c r="AC107" i="5"/>
  <c r="AD107" i="5"/>
  <c r="AC103" i="5"/>
  <c r="AD103" i="5"/>
  <c r="AC99" i="5"/>
  <c r="AD99" i="5"/>
  <c r="AC95" i="5"/>
  <c r="AD95" i="5"/>
  <c r="AC91" i="5"/>
  <c r="AD91" i="5"/>
  <c r="AC87" i="5"/>
  <c r="AD87" i="5"/>
  <c r="AC83" i="5"/>
  <c r="AD83" i="5"/>
  <c r="AC79" i="5"/>
  <c r="AD79" i="5"/>
  <c r="AC75" i="5"/>
  <c r="AD75" i="5"/>
  <c r="AC71" i="5"/>
  <c r="AD71" i="5"/>
  <c r="AC67" i="5"/>
  <c r="AD67" i="5"/>
  <c r="AC63" i="5"/>
  <c r="AD63" i="5"/>
  <c r="Z194" i="5"/>
  <c r="AA194" i="5"/>
  <c r="Z178" i="5"/>
  <c r="AA178" i="5"/>
  <c r="Z158" i="5"/>
  <c r="AA158" i="5"/>
  <c r="Z150" i="5"/>
  <c r="AA150" i="5"/>
  <c r="Z146" i="5"/>
  <c r="AA146" i="5"/>
  <c r="Z138" i="5"/>
  <c r="AA138" i="5"/>
  <c r="Z126" i="5"/>
  <c r="AA126" i="5"/>
  <c r="Z118" i="5"/>
  <c r="AA118" i="5"/>
  <c r="Z106" i="5"/>
  <c r="AA106" i="5"/>
  <c r="Z98" i="5"/>
  <c r="AA98" i="5"/>
  <c r="Z78" i="5"/>
  <c r="AA78" i="5"/>
  <c r="Z70" i="5"/>
  <c r="AA70" i="5"/>
  <c r="Z66" i="5"/>
  <c r="AA66" i="5"/>
  <c r="Z201" i="5"/>
  <c r="AA201" i="5"/>
  <c r="Z197" i="5"/>
  <c r="AA197" i="5"/>
  <c r="Z193" i="5"/>
  <c r="AA193" i="5"/>
  <c r="Z189" i="5"/>
  <c r="AA189" i="5"/>
  <c r="Z185" i="5"/>
  <c r="AA185" i="5"/>
  <c r="Z181" i="5"/>
  <c r="AA181" i="5"/>
  <c r="Z177" i="5"/>
  <c r="AA177" i="5"/>
  <c r="Z173" i="5"/>
  <c r="AA173" i="5"/>
  <c r="Z169" i="5"/>
  <c r="AA169" i="5"/>
  <c r="Z165" i="5"/>
  <c r="AA165" i="5"/>
  <c r="Z161" i="5"/>
  <c r="AA161" i="5"/>
  <c r="Z157" i="5"/>
  <c r="AA157" i="5"/>
  <c r="Z153" i="5"/>
  <c r="AA153" i="5"/>
  <c r="Z149" i="5"/>
  <c r="AA149" i="5"/>
  <c r="Z145" i="5"/>
  <c r="AA145" i="5"/>
  <c r="Z141" i="5"/>
  <c r="AA141" i="5"/>
  <c r="Z137" i="5"/>
  <c r="AA137" i="5"/>
  <c r="Z133" i="5"/>
  <c r="AA133" i="5"/>
  <c r="Z129" i="5"/>
  <c r="AA129" i="5"/>
  <c r="Z125" i="5"/>
  <c r="AA125" i="5"/>
  <c r="Z121" i="5"/>
  <c r="AA121" i="5"/>
  <c r="Z117" i="5"/>
  <c r="AA117" i="5"/>
  <c r="Z113" i="5"/>
  <c r="AA113" i="5"/>
  <c r="Z109" i="5"/>
  <c r="AA109" i="5"/>
  <c r="Z105" i="5"/>
  <c r="AA105" i="5"/>
  <c r="Z101" i="5"/>
  <c r="AA101" i="5"/>
  <c r="Z97" i="5"/>
  <c r="AA97" i="5"/>
  <c r="Z93" i="5"/>
  <c r="AA93" i="5"/>
  <c r="Z89" i="5"/>
  <c r="AA89" i="5"/>
  <c r="Z85" i="5"/>
  <c r="AA85" i="5"/>
  <c r="Z81" i="5"/>
  <c r="AA81" i="5"/>
  <c r="Z77" i="5"/>
  <c r="AA77" i="5"/>
  <c r="Z73" i="5"/>
  <c r="AA73" i="5"/>
  <c r="Z69" i="5"/>
  <c r="AA69" i="5"/>
  <c r="Z65" i="5"/>
  <c r="AA65" i="5"/>
  <c r="Z61" i="5"/>
  <c r="AA61" i="5"/>
  <c r="Z198" i="5"/>
  <c r="AA198" i="5"/>
  <c r="Z190" i="5"/>
  <c r="AA190" i="5"/>
  <c r="Z182" i="5"/>
  <c r="AA182" i="5"/>
  <c r="Z170" i="5"/>
  <c r="AA170" i="5"/>
  <c r="Z162" i="5"/>
  <c r="AA162" i="5"/>
  <c r="Z154" i="5"/>
  <c r="AA154" i="5"/>
  <c r="Z142" i="5"/>
  <c r="AA142" i="5"/>
  <c r="Z130" i="5"/>
  <c r="AA130" i="5"/>
  <c r="Z122" i="5"/>
  <c r="AA122" i="5"/>
  <c r="Z114" i="5"/>
  <c r="AA114" i="5"/>
  <c r="Z102" i="5"/>
  <c r="AA102" i="5"/>
  <c r="Z90" i="5"/>
  <c r="AA90" i="5"/>
  <c r="Z86" i="5"/>
  <c r="AA86" i="5"/>
  <c r="Z200" i="5"/>
  <c r="AA200" i="5"/>
  <c r="Z196" i="5"/>
  <c r="AA196" i="5"/>
  <c r="Z192" i="5"/>
  <c r="AA192" i="5"/>
  <c r="Z188" i="5"/>
  <c r="AA188" i="5"/>
  <c r="Z184" i="5"/>
  <c r="AA184" i="5"/>
  <c r="Z180" i="5"/>
  <c r="AA180" i="5"/>
  <c r="Z176" i="5"/>
  <c r="AA176" i="5"/>
  <c r="Z172" i="5"/>
  <c r="AA172" i="5"/>
  <c r="Z168" i="5"/>
  <c r="AA168" i="5"/>
  <c r="Z164" i="5"/>
  <c r="AA164" i="5"/>
  <c r="Z160" i="5"/>
  <c r="AA160" i="5"/>
  <c r="Z156" i="5"/>
  <c r="AA156" i="5"/>
  <c r="Z152" i="5"/>
  <c r="AA152" i="5"/>
  <c r="Z148" i="5"/>
  <c r="AA148" i="5"/>
  <c r="Z144" i="5"/>
  <c r="AA144" i="5"/>
  <c r="Z140" i="5"/>
  <c r="AA140" i="5"/>
  <c r="Z136" i="5"/>
  <c r="AA136" i="5"/>
  <c r="Z132" i="5"/>
  <c r="AA132" i="5"/>
  <c r="Z128" i="5"/>
  <c r="AA128" i="5"/>
  <c r="Z124" i="5"/>
  <c r="AA124" i="5"/>
  <c r="Z120" i="5"/>
  <c r="AA120" i="5"/>
  <c r="Z116" i="5"/>
  <c r="AA116" i="5"/>
  <c r="Z112" i="5"/>
  <c r="AA112" i="5"/>
  <c r="Z108" i="5"/>
  <c r="AA108" i="5"/>
  <c r="Z104" i="5"/>
  <c r="AA104" i="5"/>
  <c r="Z100" i="5"/>
  <c r="AA100" i="5"/>
  <c r="Z96" i="5"/>
  <c r="AA96" i="5"/>
  <c r="Z92" i="5"/>
  <c r="AA92" i="5"/>
  <c r="Z88" i="5"/>
  <c r="AA88" i="5"/>
  <c r="Z84" i="5"/>
  <c r="AA84" i="5"/>
  <c r="Z80" i="5"/>
  <c r="AA80" i="5"/>
  <c r="Z76" i="5"/>
  <c r="AA76" i="5"/>
  <c r="Z72" i="5"/>
  <c r="AA72" i="5"/>
  <c r="Z68" i="5"/>
  <c r="AA68" i="5"/>
  <c r="Z64" i="5"/>
  <c r="AA64" i="5"/>
  <c r="Z60" i="5"/>
  <c r="AA60" i="5"/>
  <c r="Z202" i="5"/>
  <c r="AA202" i="5"/>
  <c r="Z186" i="5"/>
  <c r="AA186" i="5"/>
  <c r="Z174" i="5"/>
  <c r="AA174" i="5"/>
  <c r="Z166" i="5"/>
  <c r="AA166" i="5"/>
  <c r="Z134" i="5"/>
  <c r="AA134" i="5"/>
  <c r="Z110" i="5"/>
  <c r="AA110" i="5"/>
  <c r="Z94" i="5"/>
  <c r="AA94" i="5"/>
  <c r="Z82" i="5"/>
  <c r="AA82" i="5"/>
  <c r="Z74" i="5"/>
  <c r="AA74" i="5"/>
  <c r="Z62" i="5"/>
  <c r="AA62" i="5"/>
  <c r="Z203" i="5"/>
  <c r="AA203" i="5"/>
  <c r="Z199" i="5"/>
  <c r="AA199" i="5"/>
  <c r="Z195" i="5"/>
  <c r="AA195" i="5"/>
  <c r="Z191" i="5"/>
  <c r="AA191" i="5"/>
  <c r="Z187" i="5"/>
  <c r="AA187" i="5"/>
  <c r="Z183" i="5"/>
  <c r="AA183" i="5"/>
  <c r="Z179" i="5"/>
  <c r="AA179" i="5"/>
  <c r="Z175" i="5"/>
  <c r="AA175" i="5"/>
  <c r="Z171" i="5"/>
  <c r="AA171" i="5"/>
  <c r="Z167" i="5"/>
  <c r="AA167" i="5"/>
  <c r="Z163" i="5"/>
  <c r="AA163" i="5"/>
  <c r="Z159" i="5"/>
  <c r="AA159" i="5"/>
  <c r="Z155" i="5"/>
  <c r="AA155" i="5"/>
  <c r="Z151" i="5"/>
  <c r="AA151" i="5"/>
  <c r="Z147" i="5"/>
  <c r="AA147" i="5"/>
  <c r="Z143" i="5"/>
  <c r="AA143" i="5"/>
  <c r="Z139" i="5"/>
  <c r="AA139" i="5"/>
  <c r="Z135" i="5"/>
  <c r="AA135" i="5"/>
  <c r="Z131" i="5"/>
  <c r="AA131" i="5"/>
  <c r="Z127" i="5"/>
  <c r="AA127" i="5"/>
  <c r="Z123" i="5"/>
  <c r="AA123" i="5"/>
  <c r="Z119" i="5"/>
  <c r="AA119" i="5"/>
  <c r="Z115" i="5"/>
  <c r="AA115" i="5"/>
  <c r="Z111" i="5"/>
  <c r="AA111" i="5"/>
  <c r="Z107" i="5"/>
  <c r="AA107" i="5"/>
  <c r="Z103" i="5"/>
  <c r="AA103" i="5"/>
  <c r="Z99" i="5"/>
  <c r="AA99" i="5"/>
  <c r="Z95" i="5"/>
  <c r="AA95" i="5"/>
  <c r="Z91" i="5"/>
  <c r="AA91" i="5"/>
  <c r="Z87" i="5"/>
  <c r="AA87" i="5"/>
  <c r="Z83" i="5"/>
  <c r="AA83" i="5"/>
  <c r="Z79" i="5"/>
  <c r="AA79" i="5"/>
  <c r="Z75" i="5"/>
  <c r="AA75" i="5"/>
  <c r="Z71" i="5"/>
  <c r="AA71" i="5"/>
  <c r="Z67" i="5"/>
  <c r="AA67" i="5"/>
  <c r="Z63" i="5"/>
  <c r="AA63" i="5"/>
  <c r="W190" i="5"/>
  <c r="X190" i="5"/>
  <c r="W178" i="5"/>
  <c r="X178" i="5"/>
  <c r="W174" i="5"/>
  <c r="X174" i="5"/>
  <c r="W170" i="5"/>
  <c r="X170" i="5"/>
  <c r="W162" i="5"/>
  <c r="X162" i="5"/>
  <c r="W154" i="5"/>
  <c r="X154" i="5"/>
  <c r="W146" i="5"/>
  <c r="X146" i="5"/>
  <c r="W134" i="5"/>
  <c r="X134" i="5"/>
  <c r="W122" i="5"/>
  <c r="X122" i="5"/>
  <c r="W110" i="5"/>
  <c r="X110" i="5"/>
  <c r="W94" i="5"/>
  <c r="X94" i="5"/>
  <c r="W82" i="5"/>
  <c r="X82" i="5"/>
  <c r="W62" i="5"/>
  <c r="X62" i="5"/>
  <c r="X201" i="5"/>
  <c r="W201" i="5"/>
  <c r="X197" i="5"/>
  <c r="W197" i="5"/>
  <c r="X193" i="5"/>
  <c r="W193" i="5"/>
  <c r="X189" i="5"/>
  <c r="W189" i="5"/>
  <c r="X185" i="5"/>
  <c r="W185" i="5"/>
  <c r="W181" i="5"/>
  <c r="X181" i="5"/>
  <c r="W177" i="5"/>
  <c r="X177" i="5"/>
  <c r="W173" i="5"/>
  <c r="X173" i="5"/>
  <c r="W169" i="5"/>
  <c r="X169" i="5"/>
  <c r="W165" i="5"/>
  <c r="X165" i="5"/>
  <c r="W161" i="5"/>
  <c r="X161" i="5"/>
  <c r="W157" i="5"/>
  <c r="X157" i="5"/>
  <c r="X153" i="5"/>
  <c r="W153" i="5"/>
  <c r="W149" i="5"/>
  <c r="X149" i="5"/>
  <c r="W145" i="5"/>
  <c r="X145" i="5"/>
  <c r="W141" i="5"/>
  <c r="X141" i="5"/>
  <c r="X137" i="5"/>
  <c r="W137" i="5"/>
  <c r="W133" i="5"/>
  <c r="X133" i="5"/>
  <c r="W129" i="5"/>
  <c r="X129" i="5"/>
  <c r="W125" i="5"/>
  <c r="X125" i="5"/>
  <c r="X121" i="5"/>
  <c r="W121" i="5"/>
  <c r="W117" i="5"/>
  <c r="X117" i="5"/>
  <c r="W113" i="5"/>
  <c r="X113" i="5"/>
  <c r="W109" i="5"/>
  <c r="X109" i="5"/>
  <c r="W105" i="5"/>
  <c r="X105" i="5"/>
  <c r="W101" i="5"/>
  <c r="X101" i="5"/>
  <c r="W97" i="5"/>
  <c r="X97" i="5"/>
  <c r="W93" i="5"/>
  <c r="X93" i="5"/>
  <c r="W89" i="5"/>
  <c r="X89" i="5"/>
  <c r="W85" i="5"/>
  <c r="X85" i="5"/>
  <c r="W81" i="5"/>
  <c r="X81" i="5"/>
  <c r="W77" i="5"/>
  <c r="X77" i="5"/>
  <c r="X73" i="5"/>
  <c r="W73" i="5"/>
  <c r="W69" i="5"/>
  <c r="X69" i="5"/>
  <c r="W65" i="5"/>
  <c r="X65" i="5"/>
  <c r="W61" i="5"/>
  <c r="X61" i="5"/>
  <c r="W202" i="5"/>
  <c r="X202" i="5"/>
  <c r="W194" i="5"/>
  <c r="X194" i="5"/>
  <c r="W182" i="5"/>
  <c r="X182" i="5"/>
  <c r="W142" i="5"/>
  <c r="X142" i="5"/>
  <c r="W130" i="5"/>
  <c r="X130" i="5"/>
  <c r="W118" i="5"/>
  <c r="X118" i="5"/>
  <c r="W106" i="5"/>
  <c r="X106" i="5"/>
  <c r="W98" i="5"/>
  <c r="X98" i="5"/>
  <c r="W86" i="5"/>
  <c r="X86" i="5"/>
  <c r="W78" i="5"/>
  <c r="X78" i="5"/>
  <c r="W70" i="5"/>
  <c r="X70" i="5"/>
  <c r="W66" i="5"/>
  <c r="X66" i="5"/>
  <c r="W200" i="5"/>
  <c r="X200" i="5"/>
  <c r="W196" i="5"/>
  <c r="X196" i="5"/>
  <c r="W192" i="5"/>
  <c r="X192" i="5"/>
  <c r="W188" i="5"/>
  <c r="X188" i="5"/>
  <c r="W184" i="5"/>
  <c r="X184" i="5"/>
  <c r="W180" i="5"/>
  <c r="X180" i="5"/>
  <c r="W176" i="5"/>
  <c r="X176" i="5"/>
  <c r="W172" i="5"/>
  <c r="X172" i="5"/>
  <c r="W168" i="5"/>
  <c r="X168" i="5"/>
  <c r="W164" i="5"/>
  <c r="X164" i="5"/>
  <c r="W160" i="5"/>
  <c r="X160" i="5"/>
  <c r="W156" i="5"/>
  <c r="X156" i="5"/>
  <c r="W152" i="5"/>
  <c r="X152" i="5"/>
  <c r="W148" i="5"/>
  <c r="X148" i="5"/>
  <c r="W144" i="5"/>
  <c r="X144" i="5"/>
  <c r="W140" i="5"/>
  <c r="X140" i="5"/>
  <c r="W136" i="5"/>
  <c r="X136" i="5"/>
  <c r="W132" i="5"/>
  <c r="X132" i="5"/>
  <c r="W128" i="5"/>
  <c r="X128" i="5"/>
  <c r="W124" i="5"/>
  <c r="X124" i="5"/>
  <c r="W120" i="5"/>
  <c r="X120" i="5"/>
  <c r="W116" i="5"/>
  <c r="X116" i="5"/>
  <c r="W112" i="5"/>
  <c r="X112" i="5"/>
  <c r="W108" i="5"/>
  <c r="X108" i="5"/>
  <c r="W104" i="5"/>
  <c r="X104" i="5"/>
  <c r="W100" i="5"/>
  <c r="X100" i="5"/>
  <c r="W96" i="5"/>
  <c r="X96" i="5"/>
  <c r="W92" i="5"/>
  <c r="X92" i="5"/>
  <c r="W88" i="5"/>
  <c r="X88" i="5"/>
  <c r="W84" i="5"/>
  <c r="X84" i="5"/>
  <c r="W80" i="5"/>
  <c r="X80" i="5"/>
  <c r="W76" i="5"/>
  <c r="X76" i="5"/>
  <c r="W72" i="5"/>
  <c r="X72" i="5"/>
  <c r="W68" i="5"/>
  <c r="X68" i="5"/>
  <c r="W64" i="5"/>
  <c r="X64" i="5"/>
  <c r="W60" i="5"/>
  <c r="X60" i="5"/>
  <c r="W198" i="5"/>
  <c r="X198" i="5"/>
  <c r="W186" i="5"/>
  <c r="X186" i="5"/>
  <c r="W166" i="5"/>
  <c r="X166" i="5"/>
  <c r="W158" i="5"/>
  <c r="X158" i="5"/>
  <c r="W150" i="5"/>
  <c r="X150" i="5"/>
  <c r="W138" i="5"/>
  <c r="X138" i="5"/>
  <c r="W126" i="5"/>
  <c r="X126" i="5"/>
  <c r="W114" i="5"/>
  <c r="X114" i="5"/>
  <c r="W102" i="5"/>
  <c r="X102" i="5"/>
  <c r="W90" i="5"/>
  <c r="X90" i="5"/>
  <c r="W74" i="5"/>
  <c r="X74" i="5"/>
  <c r="X203" i="5"/>
  <c r="W203" i="5"/>
  <c r="X199" i="5"/>
  <c r="W199" i="5"/>
  <c r="X195" i="5"/>
  <c r="W195" i="5"/>
  <c r="X191" i="5"/>
  <c r="W191" i="5"/>
  <c r="X187" i="5"/>
  <c r="W187" i="5"/>
  <c r="X183" i="5"/>
  <c r="W183" i="5"/>
  <c r="W179" i="5"/>
  <c r="X179" i="5"/>
  <c r="X175" i="5"/>
  <c r="W175" i="5"/>
  <c r="W171" i="5"/>
  <c r="X171" i="5"/>
  <c r="X167" i="5"/>
  <c r="W167" i="5"/>
  <c r="W163" i="5"/>
  <c r="X163" i="5"/>
  <c r="X159" i="5"/>
  <c r="W159" i="5"/>
  <c r="W155" i="5"/>
  <c r="X155" i="5"/>
  <c r="X151" i="5"/>
  <c r="W151" i="5"/>
  <c r="W147" i="5"/>
  <c r="X147" i="5"/>
  <c r="X143" i="5"/>
  <c r="W143" i="5"/>
  <c r="W139" i="5"/>
  <c r="X139" i="5"/>
  <c r="X135" i="5"/>
  <c r="W135" i="5"/>
  <c r="W131" i="5"/>
  <c r="X131" i="5"/>
  <c r="X127" i="5"/>
  <c r="W127" i="5"/>
  <c r="W123" i="5"/>
  <c r="X123" i="5"/>
  <c r="X119" i="5"/>
  <c r="W119" i="5"/>
  <c r="W115" i="5"/>
  <c r="X115" i="5"/>
  <c r="X111" i="5"/>
  <c r="W111" i="5"/>
  <c r="W107" i="5"/>
  <c r="X107" i="5"/>
  <c r="X103" i="5"/>
  <c r="W103" i="5"/>
  <c r="W99" i="5"/>
  <c r="X99" i="5"/>
  <c r="X95" i="5"/>
  <c r="W95" i="5"/>
  <c r="W91" i="5"/>
  <c r="X91" i="5"/>
  <c r="X87" i="5"/>
  <c r="W87" i="5"/>
  <c r="W83" i="5"/>
  <c r="X83" i="5"/>
  <c r="X79" i="5"/>
  <c r="W79" i="5"/>
  <c r="W75" i="5"/>
  <c r="X75" i="5"/>
  <c r="X71" i="5"/>
  <c r="W71" i="5"/>
  <c r="W67" i="5"/>
  <c r="X67" i="5"/>
  <c r="X63" i="5"/>
  <c r="W63" i="5"/>
  <c r="T190" i="5"/>
  <c r="U190" i="5"/>
  <c r="T178" i="5"/>
  <c r="U178" i="5"/>
  <c r="T170" i="5"/>
  <c r="U170" i="5"/>
  <c r="T158" i="5"/>
  <c r="U158" i="5"/>
  <c r="T146" i="5"/>
  <c r="U146" i="5"/>
  <c r="T138" i="5"/>
  <c r="U138" i="5"/>
  <c r="T130" i="5"/>
  <c r="U130" i="5"/>
  <c r="T118" i="5"/>
  <c r="U118" i="5"/>
  <c r="T110" i="5"/>
  <c r="U110" i="5"/>
  <c r="T98" i="5"/>
  <c r="U98" i="5"/>
  <c r="T86" i="5"/>
  <c r="U86" i="5"/>
  <c r="T78" i="5"/>
  <c r="U78" i="5"/>
  <c r="U201" i="5"/>
  <c r="T201" i="5"/>
  <c r="U197" i="5"/>
  <c r="T197" i="5"/>
  <c r="U193" i="5"/>
  <c r="T193" i="5"/>
  <c r="U189" i="5"/>
  <c r="T189" i="5"/>
  <c r="U185" i="5"/>
  <c r="T185" i="5"/>
  <c r="T181" i="5"/>
  <c r="U181" i="5"/>
  <c r="T177" i="5"/>
  <c r="U177" i="5"/>
  <c r="T173" i="5"/>
  <c r="U173" i="5"/>
  <c r="T169" i="5"/>
  <c r="U169" i="5"/>
  <c r="T165" i="5"/>
  <c r="U165" i="5"/>
  <c r="T161" i="5"/>
  <c r="U161" i="5"/>
  <c r="T157" i="5"/>
  <c r="U157" i="5"/>
  <c r="T153" i="5"/>
  <c r="U153" i="5"/>
  <c r="T149" i="5"/>
  <c r="U149" i="5"/>
  <c r="T145" i="5"/>
  <c r="U145" i="5"/>
  <c r="T141" i="5"/>
  <c r="U141" i="5"/>
  <c r="T137" i="5"/>
  <c r="U137" i="5"/>
  <c r="T133" i="5"/>
  <c r="U133" i="5"/>
  <c r="T129" i="5"/>
  <c r="U129" i="5"/>
  <c r="T125" i="5"/>
  <c r="U125" i="5"/>
  <c r="T121" i="5"/>
  <c r="U121" i="5"/>
  <c r="T117" i="5"/>
  <c r="U117" i="5"/>
  <c r="T113" i="5"/>
  <c r="U113" i="5"/>
  <c r="T109" i="5"/>
  <c r="U109" i="5"/>
  <c r="T105" i="5"/>
  <c r="U105" i="5"/>
  <c r="T101" i="5"/>
  <c r="U101" i="5"/>
  <c r="T97" i="5"/>
  <c r="U97" i="5"/>
  <c r="T93" i="5"/>
  <c r="U93" i="5"/>
  <c r="T89" i="5"/>
  <c r="U89" i="5"/>
  <c r="T85" i="5"/>
  <c r="U85" i="5"/>
  <c r="T81" i="5"/>
  <c r="U81" i="5"/>
  <c r="T77" i="5"/>
  <c r="U77" i="5"/>
  <c r="T73" i="5"/>
  <c r="U73" i="5"/>
  <c r="T69" i="5"/>
  <c r="U69" i="5"/>
  <c r="T65" i="5"/>
  <c r="U65" i="5"/>
  <c r="T61" i="5"/>
  <c r="U61" i="5"/>
  <c r="T202" i="5"/>
  <c r="U202" i="5"/>
  <c r="T194" i="5"/>
  <c r="U194" i="5"/>
  <c r="T182" i="5"/>
  <c r="U182" i="5"/>
  <c r="T174" i="5"/>
  <c r="U174" i="5"/>
  <c r="T162" i="5"/>
  <c r="U162" i="5"/>
  <c r="T154" i="5"/>
  <c r="U154" i="5"/>
  <c r="T150" i="5"/>
  <c r="U150" i="5"/>
  <c r="T142" i="5"/>
  <c r="U142" i="5"/>
  <c r="T134" i="5"/>
  <c r="U134" i="5"/>
  <c r="T122" i="5"/>
  <c r="U122" i="5"/>
  <c r="T106" i="5"/>
  <c r="U106" i="5"/>
  <c r="T94" i="5"/>
  <c r="U94" i="5"/>
  <c r="T82" i="5"/>
  <c r="U82" i="5"/>
  <c r="T70" i="5"/>
  <c r="U70" i="5"/>
  <c r="T66" i="5"/>
  <c r="U66" i="5"/>
  <c r="T62" i="5"/>
  <c r="U62" i="5"/>
  <c r="T200" i="5"/>
  <c r="U200" i="5"/>
  <c r="T196" i="5"/>
  <c r="U196" i="5"/>
  <c r="T192" i="5"/>
  <c r="U192" i="5"/>
  <c r="T188" i="5"/>
  <c r="U188" i="5"/>
  <c r="T184" i="5"/>
  <c r="U184" i="5"/>
  <c r="T180" i="5"/>
  <c r="U180" i="5"/>
  <c r="T176" i="5"/>
  <c r="U176" i="5"/>
  <c r="T172" i="5"/>
  <c r="U172" i="5"/>
  <c r="T168" i="5"/>
  <c r="U168" i="5"/>
  <c r="T164" i="5"/>
  <c r="U164" i="5"/>
  <c r="T160" i="5"/>
  <c r="U160" i="5"/>
  <c r="T156" i="5"/>
  <c r="U156" i="5"/>
  <c r="T152" i="5"/>
  <c r="U152" i="5"/>
  <c r="T148" i="5"/>
  <c r="U148" i="5"/>
  <c r="T144" i="5"/>
  <c r="U144" i="5"/>
  <c r="T140" i="5"/>
  <c r="U140" i="5"/>
  <c r="T136" i="5"/>
  <c r="U136" i="5"/>
  <c r="T132" i="5"/>
  <c r="U132" i="5"/>
  <c r="T128" i="5"/>
  <c r="U128" i="5"/>
  <c r="T124" i="5"/>
  <c r="U124" i="5"/>
  <c r="T120" i="5"/>
  <c r="U120" i="5"/>
  <c r="T116" i="5"/>
  <c r="U116" i="5"/>
  <c r="T112" i="5"/>
  <c r="U112" i="5"/>
  <c r="T108" i="5"/>
  <c r="U108" i="5"/>
  <c r="T104" i="5"/>
  <c r="U104" i="5"/>
  <c r="T100" i="5"/>
  <c r="U100" i="5"/>
  <c r="T96" i="5"/>
  <c r="U96" i="5"/>
  <c r="T92" i="5"/>
  <c r="U92" i="5"/>
  <c r="T88" i="5"/>
  <c r="U88" i="5"/>
  <c r="T84" i="5"/>
  <c r="U84" i="5"/>
  <c r="T80" i="5"/>
  <c r="U80" i="5"/>
  <c r="T76" i="5"/>
  <c r="U76" i="5"/>
  <c r="T72" i="5"/>
  <c r="U72" i="5"/>
  <c r="T68" i="5"/>
  <c r="U68" i="5"/>
  <c r="T64" i="5"/>
  <c r="U64" i="5"/>
  <c r="T60" i="5"/>
  <c r="U60" i="5"/>
  <c r="T198" i="5"/>
  <c r="U198" i="5"/>
  <c r="T186" i="5"/>
  <c r="U186" i="5"/>
  <c r="T166" i="5"/>
  <c r="U166" i="5"/>
  <c r="T126" i="5"/>
  <c r="U126" i="5"/>
  <c r="T114" i="5"/>
  <c r="U114" i="5"/>
  <c r="T102" i="5"/>
  <c r="U102" i="5"/>
  <c r="T90" i="5"/>
  <c r="U90" i="5"/>
  <c r="T74" i="5"/>
  <c r="U74" i="5"/>
  <c r="U203" i="5"/>
  <c r="T203" i="5"/>
  <c r="U199" i="5"/>
  <c r="T199" i="5"/>
  <c r="U195" i="5"/>
  <c r="T195" i="5"/>
  <c r="U191" i="5"/>
  <c r="T191" i="5"/>
  <c r="U187" i="5"/>
  <c r="T187" i="5"/>
  <c r="T183" i="5"/>
  <c r="U183" i="5"/>
  <c r="T179" i="5"/>
  <c r="U179" i="5"/>
  <c r="T175" i="5"/>
  <c r="U175" i="5"/>
  <c r="T171" i="5"/>
  <c r="U171" i="5"/>
  <c r="T167" i="5"/>
  <c r="U167" i="5"/>
  <c r="T163" i="5"/>
  <c r="U163" i="5"/>
  <c r="T159" i="5"/>
  <c r="U159" i="5"/>
  <c r="T155" i="5"/>
  <c r="U155" i="5"/>
  <c r="T151" i="5"/>
  <c r="U151" i="5"/>
  <c r="T147" i="5"/>
  <c r="U147" i="5"/>
  <c r="T143" i="5"/>
  <c r="U143" i="5"/>
  <c r="T139" i="5"/>
  <c r="U139" i="5"/>
  <c r="T135" i="5"/>
  <c r="U135" i="5"/>
  <c r="T131" i="5"/>
  <c r="U131" i="5"/>
  <c r="T127" i="5"/>
  <c r="U127" i="5"/>
  <c r="T123" i="5"/>
  <c r="U123" i="5"/>
  <c r="T119" i="5"/>
  <c r="U119" i="5"/>
  <c r="T115" i="5"/>
  <c r="U115" i="5"/>
  <c r="T111" i="5"/>
  <c r="U111" i="5"/>
  <c r="T107" i="5"/>
  <c r="U107" i="5"/>
  <c r="T103" i="5"/>
  <c r="U103" i="5"/>
  <c r="T99" i="5"/>
  <c r="U99" i="5"/>
  <c r="T95" i="5"/>
  <c r="U95" i="5"/>
  <c r="T91" i="5"/>
  <c r="U91" i="5"/>
  <c r="T87" i="5"/>
  <c r="U87" i="5"/>
  <c r="T83" i="5"/>
  <c r="U83" i="5"/>
  <c r="T79" i="5"/>
  <c r="U79" i="5"/>
  <c r="T75" i="5"/>
  <c r="U75" i="5"/>
  <c r="T71" i="5"/>
  <c r="U71" i="5"/>
  <c r="T67" i="5"/>
  <c r="U67" i="5"/>
  <c r="T63" i="5"/>
  <c r="U63" i="5"/>
  <c r="Q198" i="5"/>
  <c r="R198" i="5"/>
  <c r="R194" i="5"/>
  <c r="Q194" i="5"/>
  <c r="Q182" i="5"/>
  <c r="R182" i="5"/>
  <c r="Q170" i="5"/>
  <c r="R170" i="5"/>
  <c r="Q130" i="5"/>
  <c r="R130" i="5"/>
  <c r="Q118" i="5"/>
  <c r="R118" i="5"/>
  <c r="Q102" i="5"/>
  <c r="R102" i="5"/>
  <c r="Q82" i="5"/>
  <c r="R82" i="5"/>
  <c r="Q78" i="5"/>
  <c r="R78" i="5"/>
  <c r="Q70" i="5"/>
  <c r="R70" i="5"/>
  <c r="Q201" i="5"/>
  <c r="R201" i="5"/>
  <c r="Q197" i="5"/>
  <c r="R197" i="5"/>
  <c r="Q193" i="5"/>
  <c r="R193" i="5"/>
  <c r="Q189" i="5"/>
  <c r="R189" i="5"/>
  <c r="Q185" i="5"/>
  <c r="R185" i="5"/>
  <c r="Q181" i="5"/>
  <c r="R181" i="5"/>
  <c r="R177" i="5"/>
  <c r="Q177" i="5"/>
  <c r="Q173" i="5"/>
  <c r="R173" i="5"/>
  <c r="R169" i="5"/>
  <c r="Q169" i="5"/>
  <c r="R165" i="5"/>
  <c r="Q165" i="5"/>
  <c r="Q161" i="5"/>
  <c r="R161" i="5"/>
  <c r="R157" i="5"/>
  <c r="Q157" i="5"/>
  <c r="R153" i="5"/>
  <c r="Q153" i="5"/>
  <c r="Q149" i="5"/>
  <c r="R149" i="5"/>
  <c r="R145" i="5"/>
  <c r="Q145" i="5"/>
  <c r="R141" i="5"/>
  <c r="Q141" i="5"/>
  <c r="Q137" i="5"/>
  <c r="R137" i="5"/>
  <c r="R133" i="5"/>
  <c r="Q133" i="5"/>
  <c r="R129" i="5"/>
  <c r="Q129" i="5"/>
  <c r="Q125" i="5"/>
  <c r="R125" i="5"/>
  <c r="R121" i="5"/>
  <c r="Q121" i="5"/>
  <c r="Q117" i="5"/>
  <c r="R117" i="5"/>
  <c r="R113" i="5"/>
  <c r="Q113" i="5"/>
  <c r="R109" i="5"/>
  <c r="Q109" i="5"/>
  <c r="Q105" i="5"/>
  <c r="R105" i="5"/>
  <c r="R101" i="5"/>
  <c r="Q101" i="5"/>
  <c r="R97" i="5"/>
  <c r="Q97" i="5"/>
  <c r="Q93" i="5"/>
  <c r="R93" i="5"/>
  <c r="R89" i="5"/>
  <c r="Q89" i="5"/>
  <c r="R85" i="5"/>
  <c r="Q85" i="5"/>
  <c r="R81" i="5"/>
  <c r="Q81" i="5"/>
  <c r="Q77" i="5"/>
  <c r="R77" i="5"/>
  <c r="R73" i="5"/>
  <c r="Q73" i="5"/>
  <c r="Q69" i="5"/>
  <c r="R69" i="5"/>
  <c r="R65" i="5"/>
  <c r="Q65" i="5"/>
  <c r="R61" i="5"/>
  <c r="Q61" i="5"/>
  <c r="R190" i="5"/>
  <c r="Q190" i="5"/>
  <c r="Q162" i="5"/>
  <c r="R162" i="5"/>
  <c r="Q158" i="5"/>
  <c r="R158" i="5"/>
  <c r="Q154" i="5"/>
  <c r="R154" i="5"/>
  <c r="Q150" i="5"/>
  <c r="R150" i="5"/>
  <c r="Q146" i="5"/>
  <c r="R146" i="5"/>
  <c r="Q138" i="5"/>
  <c r="R138" i="5"/>
  <c r="Q126" i="5"/>
  <c r="R126" i="5"/>
  <c r="Q122" i="5"/>
  <c r="R122" i="5"/>
  <c r="Q110" i="5"/>
  <c r="R110" i="5"/>
  <c r="Q94" i="5"/>
  <c r="R94" i="5"/>
  <c r="Q86" i="5"/>
  <c r="R86" i="5"/>
  <c r="Q74" i="5"/>
  <c r="R74" i="5"/>
  <c r="Q66" i="5"/>
  <c r="R66" i="5"/>
  <c r="R200" i="5"/>
  <c r="Q200" i="5"/>
  <c r="R196" i="5"/>
  <c r="Q196" i="5"/>
  <c r="Q192" i="5"/>
  <c r="R192" i="5"/>
  <c r="R188" i="5"/>
  <c r="Q188" i="5"/>
  <c r="R184" i="5"/>
  <c r="Q184" i="5"/>
  <c r="Q180" i="5"/>
  <c r="R180" i="5"/>
  <c r="Q176" i="5"/>
  <c r="R176" i="5"/>
  <c r="Q172" i="5"/>
  <c r="R172" i="5"/>
  <c r="Q168" i="5"/>
  <c r="R168" i="5"/>
  <c r="Q164" i="5"/>
  <c r="R164" i="5"/>
  <c r="Q160" i="5"/>
  <c r="R160" i="5"/>
  <c r="Q156" i="5"/>
  <c r="R156" i="5"/>
  <c r="Q152" i="5"/>
  <c r="R152" i="5"/>
  <c r="Q148" i="5"/>
  <c r="R148" i="5"/>
  <c r="Q144" i="5"/>
  <c r="R144" i="5"/>
  <c r="Q140" i="5"/>
  <c r="R140" i="5"/>
  <c r="Q136" i="5"/>
  <c r="R136" i="5"/>
  <c r="Q132" i="5"/>
  <c r="R132" i="5"/>
  <c r="Q128" i="5"/>
  <c r="R128" i="5"/>
  <c r="Q124" i="5"/>
  <c r="R124" i="5"/>
  <c r="Q120" i="5"/>
  <c r="R120" i="5"/>
  <c r="Q116" i="5"/>
  <c r="R116" i="5"/>
  <c r="Q112" i="5"/>
  <c r="R112" i="5"/>
  <c r="Q108" i="5"/>
  <c r="R108" i="5"/>
  <c r="Q104" i="5"/>
  <c r="R104" i="5"/>
  <c r="Q100" i="5"/>
  <c r="R100" i="5"/>
  <c r="Q96" i="5"/>
  <c r="R96" i="5"/>
  <c r="Q92" i="5"/>
  <c r="R92" i="5"/>
  <c r="Q88" i="5"/>
  <c r="R88" i="5"/>
  <c r="Q84" i="5"/>
  <c r="R84" i="5"/>
  <c r="Q80" i="5"/>
  <c r="R80" i="5"/>
  <c r="Q76" i="5"/>
  <c r="R76" i="5"/>
  <c r="Q72" i="5"/>
  <c r="R72" i="5"/>
  <c r="Q68" i="5"/>
  <c r="R68" i="5"/>
  <c r="Q64" i="5"/>
  <c r="R64" i="5"/>
  <c r="Q60" i="5"/>
  <c r="R60" i="5"/>
  <c r="R202" i="5"/>
  <c r="Q202" i="5"/>
  <c r="Q186" i="5"/>
  <c r="R186" i="5"/>
  <c r="Q178" i="5"/>
  <c r="R178" i="5"/>
  <c r="Q174" i="5"/>
  <c r="R174" i="5"/>
  <c r="Q166" i="5"/>
  <c r="R166" i="5"/>
  <c r="Q142" i="5"/>
  <c r="R142" i="5"/>
  <c r="Q134" i="5"/>
  <c r="R134" i="5"/>
  <c r="Q114" i="5"/>
  <c r="R114" i="5"/>
  <c r="Q106" i="5"/>
  <c r="R106" i="5"/>
  <c r="Q98" i="5"/>
  <c r="R98" i="5"/>
  <c r="Q90" i="5"/>
  <c r="R90" i="5"/>
  <c r="Q62" i="5"/>
  <c r="R62" i="5"/>
  <c r="Q203" i="5"/>
  <c r="R203" i="5"/>
  <c r="Q199" i="5"/>
  <c r="R199" i="5"/>
  <c r="Q195" i="5"/>
  <c r="R195" i="5"/>
  <c r="Q191" i="5"/>
  <c r="R191" i="5"/>
  <c r="Q187" i="5"/>
  <c r="R187" i="5"/>
  <c r="Q183" i="5"/>
  <c r="R183" i="5"/>
  <c r="Q179" i="5"/>
  <c r="R179" i="5"/>
  <c r="Q175" i="5"/>
  <c r="R175" i="5"/>
  <c r="Q171" i="5"/>
  <c r="R171" i="5"/>
  <c r="Q167" i="5"/>
  <c r="R167" i="5"/>
  <c r="Q163" i="5"/>
  <c r="R163" i="5"/>
  <c r="Q159" i="5"/>
  <c r="R159" i="5"/>
  <c r="Q155" i="5"/>
  <c r="R155" i="5"/>
  <c r="Q151" i="5"/>
  <c r="R151" i="5"/>
  <c r="Q147" i="5"/>
  <c r="R147" i="5"/>
  <c r="Q143" i="5"/>
  <c r="R143" i="5"/>
  <c r="Q139" i="5"/>
  <c r="R139" i="5"/>
  <c r="Q135" i="5"/>
  <c r="R135" i="5"/>
  <c r="Q131" i="5"/>
  <c r="R131" i="5"/>
  <c r="Q127" i="5"/>
  <c r="R127" i="5"/>
  <c r="Q123" i="5"/>
  <c r="R123" i="5"/>
  <c r="Q119" i="5"/>
  <c r="R119" i="5"/>
  <c r="Q115" i="5"/>
  <c r="R115" i="5"/>
  <c r="Q111" i="5"/>
  <c r="R111" i="5"/>
  <c r="Q107" i="5"/>
  <c r="R107" i="5"/>
  <c r="Q103" i="5"/>
  <c r="R103" i="5"/>
  <c r="Q99" i="5"/>
  <c r="R99" i="5"/>
  <c r="Q95" i="5"/>
  <c r="R95" i="5"/>
  <c r="Q91" i="5"/>
  <c r="R91" i="5"/>
  <c r="Q87" i="5"/>
  <c r="R87" i="5"/>
  <c r="Q83" i="5"/>
  <c r="R83" i="5"/>
  <c r="Q79" i="5"/>
  <c r="R79" i="5"/>
  <c r="Q75" i="5"/>
  <c r="R75" i="5"/>
  <c r="Q71" i="5"/>
  <c r="R71" i="5"/>
  <c r="Q67" i="5"/>
  <c r="R67" i="5"/>
  <c r="Q63" i="5"/>
  <c r="R63" i="5"/>
  <c r="N202" i="5"/>
  <c r="O202" i="5"/>
  <c r="N198" i="5"/>
  <c r="O198" i="5"/>
  <c r="N194" i="5"/>
  <c r="O194" i="5"/>
  <c r="N190" i="5"/>
  <c r="O190" i="5"/>
  <c r="N186" i="5"/>
  <c r="O186" i="5"/>
  <c r="N182" i="5"/>
  <c r="O182" i="5"/>
  <c r="N178" i="5"/>
  <c r="O178" i="5"/>
  <c r="N174" i="5"/>
  <c r="O174" i="5"/>
  <c r="N170" i="5"/>
  <c r="O170" i="5"/>
  <c r="N166" i="5"/>
  <c r="O166" i="5"/>
  <c r="N162" i="5"/>
  <c r="O162" i="5"/>
  <c r="N158" i="5"/>
  <c r="O158" i="5"/>
  <c r="N154" i="5"/>
  <c r="O154" i="5"/>
  <c r="N150" i="5"/>
  <c r="O150" i="5"/>
  <c r="N146" i="5"/>
  <c r="O146" i="5"/>
  <c r="N142" i="5"/>
  <c r="O142" i="5"/>
  <c r="N138" i="5"/>
  <c r="O138" i="5"/>
  <c r="N134" i="5"/>
  <c r="O134" i="5"/>
  <c r="N130" i="5"/>
  <c r="O130" i="5"/>
  <c r="N126" i="5"/>
  <c r="O126" i="5"/>
  <c r="N122" i="5"/>
  <c r="O122" i="5"/>
  <c r="N118" i="5"/>
  <c r="O118" i="5"/>
  <c r="N114" i="5"/>
  <c r="O114" i="5"/>
  <c r="N110" i="5"/>
  <c r="O110" i="5"/>
  <c r="N106" i="5"/>
  <c r="O106" i="5"/>
  <c r="N102" i="5"/>
  <c r="O102" i="5"/>
  <c r="N98" i="5"/>
  <c r="O98" i="5"/>
  <c r="N94" i="5"/>
  <c r="O94" i="5"/>
  <c r="N90" i="5"/>
  <c r="O90" i="5"/>
  <c r="N86" i="5"/>
  <c r="O86" i="5"/>
  <c r="N82" i="5"/>
  <c r="O82" i="5"/>
  <c r="N78" i="5"/>
  <c r="O78" i="5"/>
  <c r="N74" i="5"/>
  <c r="O74" i="5"/>
  <c r="N70" i="5"/>
  <c r="O70" i="5"/>
  <c r="N66" i="5"/>
  <c r="O66" i="5"/>
  <c r="N62" i="5"/>
  <c r="O62" i="5"/>
  <c r="N201" i="5"/>
  <c r="O201" i="5"/>
  <c r="N197" i="5"/>
  <c r="O197" i="5"/>
  <c r="N193" i="5"/>
  <c r="O193" i="5"/>
  <c r="N189" i="5"/>
  <c r="O189" i="5"/>
  <c r="N185" i="5"/>
  <c r="O185" i="5"/>
  <c r="N181" i="5"/>
  <c r="O181" i="5"/>
  <c r="N177" i="5"/>
  <c r="O177" i="5"/>
  <c r="N173" i="5"/>
  <c r="O173" i="5"/>
  <c r="N169" i="5"/>
  <c r="O169" i="5"/>
  <c r="N165" i="5"/>
  <c r="O165" i="5"/>
  <c r="N161" i="5"/>
  <c r="O161" i="5"/>
  <c r="N157" i="5"/>
  <c r="O157" i="5"/>
  <c r="N153" i="5"/>
  <c r="O153" i="5"/>
  <c r="N149" i="5"/>
  <c r="O149" i="5"/>
  <c r="N145" i="5"/>
  <c r="O145" i="5"/>
  <c r="N141" i="5"/>
  <c r="O141" i="5"/>
  <c r="N137" i="5"/>
  <c r="O137" i="5"/>
  <c r="N133" i="5"/>
  <c r="O133" i="5"/>
  <c r="N129" i="5"/>
  <c r="O129" i="5"/>
  <c r="N125" i="5"/>
  <c r="O125" i="5"/>
  <c r="N121" i="5"/>
  <c r="O121" i="5"/>
  <c r="N117" i="5"/>
  <c r="O117" i="5"/>
  <c r="N113" i="5"/>
  <c r="O113" i="5"/>
  <c r="N109" i="5"/>
  <c r="O109" i="5"/>
  <c r="N105" i="5"/>
  <c r="O105" i="5"/>
  <c r="N101" i="5"/>
  <c r="O101" i="5"/>
  <c r="N97" i="5"/>
  <c r="O97" i="5"/>
  <c r="N93" i="5"/>
  <c r="O93" i="5"/>
  <c r="N89" i="5"/>
  <c r="O89" i="5"/>
  <c r="N85" i="5"/>
  <c r="O85" i="5"/>
  <c r="N81" i="5"/>
  <c r="O81" i="5"/>
  <c r="N77" i="5"/>
  <c r="O77" i="5"/>
  <c r="N73" i="5"/>
  <c r="O73" i="5"/>
  <c r="N69" i="5"/>
  <c r="O69" i="5"/>
  <c r="N65" i="5"/>
  <c r="O65" i="5"/>
  <c r="N61" i="5"/>
  <c r="O61" i="5"/>
  <c r="N200" i="5"/>
  <c r="O200" i="5"/>
  <c r="N196" i="5"/>
  <c r="O196" i="5"/>
  <c r="N192" i="5"/>
  <c r="O192" i="5"/>
  <c r="N188" i="5"/>
  <c r="O188" i="5"/>
  <c r="N184" i="5"/>
  <c r="O184" i="5"/>
  <c r="N180" i="5"/>
  <c r="O180" i="5"/>
  <c r="N176" i="5"/>
  <c r="O176" i="5"/>
  <c r="N172" i="5"/>
  <c r="O172" i="5"/>
  <c r="N168" i="5"/>
  <c r="O168" i="5"/>
  <c r="N164" i="5"/>
  <c r="O164" i="5"/>
  <c r="N160" i="5"/>
  <c r="O160" i="5"/>
  <c r="N156" i="5"/>
  <c r="O156" i="5"/>
  <c r="N152" i="5"/>
  <c r="O152" i="5"/>
  <c r="N148" i="5"/>
  <c r="O148" i="5"/>
  <c r="N144" i="5"/>
  <c r="O144" i="5"/>
  <c r="N140" i="5"/>
  <c r="O140" i="5"/>
  <c r="N136" i="5"/>
  <c r="O136" i="5"/>
  <c r="N132" i="5"/>
  <c r="O132" i="5"/>
  <c r="N128" i="5"/>
  <c r="O128" i="5"/>
  <c r="N124" i="5"/>
  <c r="O124" i="5"/>
  <c r="N120" i="5"/>
  <c r="O120" i="5"/>
  <c r="N116" i="5"/>
  <c r="O116" i="5"/>
  <c r="N112" i="5"/>
  <c r="O112" i="5"/>
  <c r="N108" i="5"/>
  <c r="O108" i="5"/>
  <c r="N104" i="5"/>
  <c r="O104" i="5"/>
  <c r="N100" i="5"/>
  <c r="O100" i="5"/>
  <c r="N96" i="5"/>
  <c r="O96" i="5"/>
  <c r="N92" i="5"/>
  <c r="O92" i="5"/>
  <c r="N88" i="5"/>
  <c r="O88" i="5"/>
  <c r="N84" i="5"/>
  <c r="O84" i="5"/>
  <c r="N80" i="5"/>
  <c r="O80" i="5"/>
  <c r="N76" i="5"/>
  <c r="O76" i="5"/>
  <c r="N72" i="5"/>
  <c r="O72" i="5"/>
  <c r="N68" i="5"/>
  <c r="O68" i="5"/>
  <c r="N64" i="5"/>
  <c r="O64" i="5"/>
  <c r="N60" i="5"/>
  <c r="O60" i="5"/>
  <c r="N203" i="5"/>
  <c r="O203" i="5"/>
  <c r="N199" i="5"/>
  <c r="O199" i="5"/>
  <c r="N195" i="5"/>
  <c r="O195" i="5"/>
  <c r="N191" i="5"/>
  <c r="O191" i="5"/>
  <c r="N187" i="5"/>
  <c r="O187" i="5"/>
  <c r="N183" i="5"/>
  <c r="O183" i="5"/>
  <c r="N179" i="5"/>
  <c r="O179" i="5"/>
  <c r="N175" i="5"/>
  <c r="O175" i="5"/>
  <c r="N171" i="5"/>
  <c r="O171" i="5"/>
  <c r="N167" i="5"/>
  <c r="O167" i="5"/>
  <c r="N163" i="5"/>
  <c r="O163" i="5"/>
  <c r="N159" i="5"/>
  <c r="O159" i="5"/>
  <c r="N155" i="5"/>
  <c r="O155" i="5"/>
  <c r="N151" i="5"/>
  <c r="O151" i="5"/>
  <c r="N147" i="5"/>
  <c r="O147" i="5"/>
  <c r="N143" i="5"/>
  <c r="O143" i="5"/>
  <c r="N139" i="5"/>
  <c r="O139" i="5"/>
  <c r="N135" i="5"/>
  <c r="O135" i="5"/>
  <c r="N131" i="5"/>
  <c r="O131" i="5"/>
  <c r="N127" i="5"/>
  <c r="O127" i="5"/>
  <c r="N123" i="5"/>
  <c r="O123" i="5"/>
  <c r="N119" i="5"/>
  <c r="O119" i="5"/>
  <c r="N115" i="5"/>
  <c r="O115" i="5"/>
  <c r="N111" i="5"/>
  <c r="O111" i="5"/>
  <c r="N107" i="5"/>
  <c r="O107" i="5"/>
  <c r="N103" i="5"/>
  <c r="O103" i="5"/>
  <c r="N99" i="5"/>
  <c r="O99" i="5"/>
  <c r="N95" i="5"/>
  <c r="O95" i="5"/>
  <c r="N91" i="5"/>
  <c r="O91" i="5"/>
  <c r="N87" i="5"/>
  <c r="O87" i="5"/>
  <c r="N83" i="5"/>
  <c r="O83" i="5"/>
  <c r="N79" i="5"/>
  <c r="O79" i="5"/>
  <c r="N75" i="5"/>
  <c r="O75" i="5"/>
  <c r="N71" i="5"/>
  <c r="O71" i="5"/>
  <c r="N67" i="5"/>
  <c r="O67" i="5"/>
  <c r="N63" i="5"/>
  <c r="O63" i="5"/>
  <c r="L198" i="5"/>
  <c r="K198" i="5"/>
  <c r="L190" i="5"/>
  <c r="K190" i="5"/>
  <c r="K182" i="5"/>
  <c r="L182" i="5"/>
  <c r="K170" i="5"/>
  <c r="L170" i="5"/>
  <c r="K142" i="5"/>
  <c r="L142" i="5"/>
  <c r="K138" i="5"/>
  <c r="L138" i="5"/>
  <c r="K118" i="5"/>
  <c r="L118" i="5"/>
  <c r="K110" i="5"/>
  <c r="L110" i="5"/>
  <c r="K106" i="5"/>
  <c r="L106" i="5"/>
  <c r="K102" i="5"/>
  <c r="L102" i="5"/>
  <c r="K94" i="5"/>
  <c r="L94" i="5"/>
  <c r="K86" i="5"/>
  <c r="L86" i="5"/>
  <c r="K62" i="5"/>
  <c r="L62" i="5"/>
  <c r="K201" i="5"/>
  <c r="L201" i="5"/>
  <c r="K197" i="5"/>
  <c r="L197" i="5"/>
  <c r="K193" i="5"/>
  <c r="L193" i="5"/>
  <c r="K189" i="5"/>
  <c r="L189" i="5"/>
  <c r="K185" i="5"/>
  <c r="L185" i="5"/>
  <c r="L181" i="5"/>
  <c r="K181" i="5"/>
  <c r="K177" i="5"/>
  <c r="L177" i="5"/>
  <c r="L173" i="5"/>
  <c r="K173" i="5"/>
  <c r="L169" i="5"/>
  <c r="K169" i="5"/>
  <c r="K165" i="5"/>
  <c r="L165" i="5"/>
  <c r="L161" i="5"/>
  <c r="K161" i="5"/>
  <c r="L157" i="5"/>
  <c r="K157" i="5"/>
  <c r="K153" i="5"/>
  <c r="L153" i="5"/>
  <c r="L149" i="5"/>
  <c r="K149" i="5"/>
  <c r="L145" i="5"/>
  <c r="K145" i="5"/>
  <c r="K141" i="5"/>
  <c r="L141" i="5"/>
  <c r="L137" i="5"/>
  <c r="K137" i="5"/>
  <c r="L133" i="5"/>
  <c r="K133" i="5"/>
  <c r="K129" i="5"/>
  <c r="L129" i="5"/>
  <c r="L125" i="5"/>
  <c r="K125" i="5"/>
  <c r="L121" i="5"/>
  <c r="K121" i="5"/>
  <c r="K117" i="5"/>
  <c r="L117" i="5"/>
  <c r="L113" i="5"/>
  <c r="K113" i="5"/>
  <c r="K109" i="5"/>
  <c r="L109" i="5"/>
  <c r="L105" i="5"/>
  <c r="K105" i="5"/>
  <c r="L101" i="5"/>
  <c r="K101" i="5"/>
  <c r="K97" i="5"/>
  <c r="L97" i="5"/>
  <c r="L93" i="5"/>
  <c r="K93" i="5"/>
  <c r="L89" i="5"/>
  <c r="K89" i="5"/>
  <c r="K85" i="5"/>
  <c r="L85" i="5"/>
  <c r="L81" i="5"/>
  <c r="K81" i="5"/>
  <c r="K77" i="5"/>
  <c r="L77" i="5"/>
  <c r="L73" i="5"/>
  <c r="K73" i="5"/>
  <c r="L69" i="5"/>
  <c r="K69" i="5"/>
  <c r="K65" i="5"/>
  <c r="L65" i="5"/>
  <c r="L61" i="5"/>
  <c r="K61" i="5"/>
  <c r="L202" i="5"/>
  <c r="K202" i="5"/>
  <c r="L194" i="5"/>
  <c r="K194" i="5"/>
  <c r="K178" i="5"/>
  <c r="L178" i="5"/>
  <c r="K166" i="5"/>
  <c r="L166" i="5"/>
  <c r="K154" i="5"/>
  <c r="L154" i="5"/>
  <c r="K146" i="5"/>
  <c r="L146" i="5"/>
  <c r="K130" i="5"/>
  <c r="L130" i="5"/>
  <c r="K122" i="5"/>
  <c r="L122" i="5"/>
  <c r="K90" i="5"/>
  <c r="L90" i="5"/>
  <c r="K70" i="5"/>
  <c r="L70" i="5"/>
  <c r="K66" i="5"/>
  <c r="L66" i="5"/>
  <c r="K200" i="5"/>
  <c r="L200" i="5"/>
  <c r="L196" i="5"/>
  <c r="K196" i="5"/>
  <c r="K192" i="5"/>
  <c r="L192" i="5"/>
  <c r="L188" i="5"/>
  <c r="K188" i="5"/>
  <c r="L184" i="5"/>
  <c r="K184" i="5"/>
  <c r="K180" i="5"/>
  <c r="L180" i="5"/>
  <c r="K176" i="5"/>
  <c r="L176" i="5"/>
  <c r="K172" i="5"/>
  <c r="L172" i="5"/>
  <c r="K168" i="5"/>
  <c r="L168" i="5"/>
  <c r="K164" i="5"/>
  <c r="L164" i="5"/>
  <c r="K160" i="5"/>
  <c r="L160" i="5"/>
  <c r="K156" i="5"/>
  <c r="L156" i="5"/>
  <c r="K152" i="5"/>
  <c r="L152" i="5"/>
  <c r="K148" i="5"/>
  <c r="L148" i="5"/>
  <c r="K144" i="5"/>
  <c r="L144" i="5"/>
  <c r="K140" i="5"/>
  <c r="L140" i="5"/>
  <c r="K136" i="5"/>
  <c r="L136" i="5"/>
  <c r="K132" i="5"/>
  <c r="L132" i="5"/>
  <c r="K128" i="5"/>
  <c r="L128" i="5"/>
  <c r="K124" i="5"/>
  <c r="L124" i="5"/>
  <c r="K120" i="5"/>
  <c r="L120" i="5"/>
  <c r="K116" i="5"/>
  <c r="L116" i="5"/>
  <c r="K112" i="5"/>
  <c r="L112" i="5"/>
  <c r="K108" i="5"/>
  <c r="L108" i="5"/>
  <c r="K104" i="5"/>
  <c r="L104" i="5"/>
  <c r="K100" i="5"/>
  <c r="L100" i="5"/>
  <c r="K96" i="5"/>
  <c r="L96" i="5"/>
  <c r="K92" i="5"/>
  <c r="L92" i="5"/>
  <c r="K88" i="5"/>
  <c r="L88" i="5"/>
  <c r="K84" i="5"/>
  <c r="L84" i="5"/>
  <c r="K80" i="5"/>
  <c r="L80" i="5"/>
  <c r="K76" i="5"/>
  <c r="L76" i="5"/>
  <c r="K72" i="5"/>
  <c r="L72" i="5"/>
  <c r="K68" i="5"/>
  <c r="L68" i="5"/>
  <c r="K64" i="5"/>
  <c r="L64" i="5"/>
  <c r="K60" i="5"/>
  <c r="L60" i="5"/>
  <c r="K186" i="5"/>
  <c r="L186" i="5"/>
  <c r="K174" i="5"/>
  <c r="L174" i="5"/>
  <c r="K162" i="5"/>
  <c r="L162" i="5"/>
  <c r="K158" i="5"/>
  <c r="L158" i="5"/>
  <c r="K150" i="5"/>
  <c r="L150" i="5"/>
  <c r="K134" i="5"/>
  <c r="L134" i="5"/>
  <c r="K126" i="5"/>
  <c r="L126" i="5"/>
  <c r="K114" i="5"/>
  <c r="L114" i="5"/>
  <c r="K98" i="5"/>
  <c r="L98" i="5"/>
  <c r="K82" i="5"/>
  <c r="L82" i="5"/>
  <c r="K78" i="5"/>
  <c r="L78" i="5"/>
  <c r="K74" i="5"/>
  <c r="L74" i="5"/>
  <c r="K203" i="5"/>
  <c r="L203" i="5"/>
  <c r="K199" i="5"/>
  <c r="L199" i="5"/>
  <c r="K195" i="5"/>
  <c r="L195" i="5"/>
  <c r="K191" i="5"/>
  <c r="L191" i="5"/>
  <c r="K187" i="5"/>
  <c r="L187" i="5"/>
  <c r="K183" i="5"/>
  <c r="L183" i="5"/>
  <c r="K179" i="5"/>
  <c r="L179" i="5"/>
  <c r="K175" i="5"/>
  <c r="L175" i="5"/>
  <c r="K171" i="5"/>
  <c r="L171" i="5"/>
  <c r="K167" i="5"/>
  <c r="L167" i="5"/>
  <c r="K163" i="5"/>
  <c r="L163" i="5"/>
  <c r="K159" i="5"/>
  <c r="L159" i="5"/>
  <c r="K155" i="5"/>
  <c r="L155" i="5"/>
  <c r="K151" i="5"/>
  <c r="L151" i="5"/>
  <c r="K147" i="5"/>
  <c r="L147" i="5"/>
  <c r="K143" i="5"/>
  <c r="L143" i="5"/>
  <c r="K139" i="5"/>
  <c r="L139" i="5"/>
  <c r="K135" i="5"/>
  <c r="L135" i="5"/>
  <c r="K131" i="5"/>
  <c r="L131" i="5"/>
  <c r="K127" i="5"/>
  <c r="L127" i="5"/>
  <c r="K123" i="5"/>
  <c r="L123" i="5"/>
  <c r="K119" i="5"/>
  <c r="L119" i="5"/>
  <c r="K115" i="5"/>
  <c r="L115" i="5"/>
  <c r="K111" i="5"/>
  <c r="L111" i="5"/>
  <c r="K107" i="5"/>
  <c r="L107" i="5"/>
  <c r="K103" i="5"/>
  <c r="L103" i="5"/>
  <c r="K99" i="5"/>
  <c r="L99" i="5"/>
  <c r="K95" i="5"/>
  <c r="L95" i="5"/>
  <c r="K91" i="5"/>
  <c r="L91" i="5"/>
  <c r="K87" i="5"/>
  <c r="L87" i="5"/>
  <c r="K83" i="5"/>
  <c r="L83" i="5"/>
  <c r="K79" i="5"/>
  <c r="L79" i="5"/>
  <c r="K75" i="5"/>
  <c r="L75" i="5"/>
  <c r="K71" i="5"/>
  <c r="L71" i="5"/>
  <c r="K67" i="5"/>
  <c r="L67" i="5"/>
  <c r="K63" i="5"/>
  <c r="L63" i="5"/>
  <c r="H198" i="5"/>
  <c r="I198" i="5"/>
  <c r="H186" i="5"/>
  <c r="I186" i="5"/>
  <c r="H170" i="5"/>
  <c r="I170" i="5"/>
  <c r="H158" i="5"/>
  <c r="I158" i="5"/>
  <c r="H146" i="5"/>
  <c r="I146" i="5"/>
  <c r="H138" i="5"/>
  <c r="I138" i="5"/>
  <c r="H130" i="5"/>
  <c r="I130" i="5"/>
  <c r="H122" i="5"/>
  <c r="I122" i="5"/>
  <c r="H110" i="5"/>
  <c r="I110" i="5"/>
  <c r="H98" i="5"/>
  <c r="I98" i="5"/>
  <c r="H90" i="5"/>
  <c r="I90" i="5"/>
  <c r="H86" i="5"/>
  <c r="I86" i="5"/>
  <c r="H82" i="5"/>
  <c r="I82" i="5"/>
  <c r="H78" i="5"/>
  <c r="I78" i="5"/>
  <c r="H74" i="5"/>
  <c r="I74" i="5"/>
  <c r="H70" i="5"/>
  <c r="I70" i="5"/>
  <c r="H66" i="5"/>
  <c r="I66" i="5"/>
  <c r="I201" i="5"/>
  <c r="H201" i="5"/>
  <c r="I197" i="5"/>
  <c r="H197" i="5"/>
  <c r="I193" i="5"/>
  <c r="H193" i="5"/>
  <c r="I189" i="5"/>
  <c r="H189" i="5"/>
  <c r="H185" i="5"/>
  <c r="I185" i="5"/>
  <c r="H181" i="5"/>
  <c r="I181" i="5"/>
  <c r="H177" i="5"/>
  <c r="I177" i="5"/>
  <c r="H173" i="5"/>
  <c r="I173" i="5"/>
  <c r="H169" i="5"/>
  <c r="I169" i="5"/>
  <c r="H165" i="5"/>
  <c r="I165" i="5"/>
  <c r="H161" i="5"/>
  <c r="I161" i="5"/>
  <c r="H157" i="5"/>
  <c r="I157" i="5"/>
  <c r="H153" i="5"/>
  <c r="I153" i="5"/>
  <c r="H149" i="5"/>
  <c r="I149" i="5"/>
  <c r="H145" i="5"/>
  <c r="I145" i="5"/>
  <c r="H141" i="5"/>
  <c r="I141" i="5"/>
  <c r="H137" i="5"/>
  <c r="I137" i="5"/>
  <c r="H133" i="5"/>
  <c r="I133" i="5"/>
  <c r="H129" i="5"/>
  <c r="I129" i="5"/>
  <c r="H125" i="5"/>
  <c r="I125" i="5"/>
  <c r="H121" i="5"/>
  <c r="I121" i="5"/>
  <c r="H117" i="5"/>
  <c r="I117" i="5"/>
  <c r="H113" i="5"/>
  <c r="I113" i="5"/>
  <c r="H109" i="5"/>
  <c r="I109" i="5"/>
  <c r="H105" i="5"/>
  <c r="I105" i="5"/>
  <c r="H101" i="5"/>
  <c r="I101" i="5"/>
  <c r="H97" i="5"/>
  <c r="I97" i="5"/>
  <c r="H93" i="5"/>
  <c r="I93" i="5"/>
  <c r="H89" i="5"/>
  <c r="I89" i="5"/>
  <c r="H85" i="5"/>
  <c r="I85" i="5"/>
  <c r="H81" i="5"/>
  <c r="I81" i="5"/>
  <c r="H77" i="5"/>
  <c r="I77" i="5"/>
  <c r="H73" i="5"/>
  <c r="I73" i="5"/>
  <c r="H69" i="5"/>
  <c r="I69" i="5"/>
  <c r="H65" i="5"/>
  <c r="I65" i="5"/>
  <c r="H61" i="5"/>
  <c r="I61" i="5"/>
  <c r="H194" i="5"/>
  <c r="I194" i="5"/>
  <c r="H182" i="5"/>
  <c r="I182" i="5"/>
  <c r="H174" i="5"/>
  <c r="I174" i="5"/>
  <c r="H162" i="5"/>
  <c r="I162" i="5"/>
  <c r="H150" i="5"/>
  <c r="I150" i="5"/>
  <c r="H142" i="5"/>
  <c r="I142" i="5"/>
  <c r="H134" i="5"/>
  <c r="I134" i="5"/>
  <c r="H118" i="5"/>
  <c r="I118" i="5"/>
  <c r="H106" i="5"/>
  <c r="I106" i="5"/>
  <c r="H200" i="5"/>
  <c r="I200" i="5"/>
  <c r="H196" i="5"/>
  <c r="I196" i="5"/>
  <c r="H192" i="5"/>
  <c r="I192" i="5"/>
  <c r="H188" i="5"/>
  <c r="I188" i="5"/>
  <c r="H184" i="5"/>
  <c r="I184" i="5"/>
  <c r="H180" i="5"/>
  <c r="I180" i="5"/>
  <c r="H176" i="5"/>
  <c r="I176" i="5"/>
  <c r="H172" i="5"/>
  <c r="I172" i="5"/>
  <c r="H168" i="5"/>
  <c r="I168" i="5"/>
  <c r="H164" i="5"/>
  <c r="I164" i="5"/>
  <c r="H160" i="5"/>
  <c r="I160" i="5"/>
  <c r="H156" i="5"/>
  <c r="I156" i="5"/>
  <c r="H152" i="5"/>
  <c r="I152" i="5"/>
  <c r="H148" i="5"/>
  <c r="I148" i="5"/>
  <c r="H144" i="5"/>
  <c r="I144" i="5"/>
  <c r="H140" i="5"/>
  <c r="I140" i="5"/>
  <c r="H136" i="5"/>
  <c r="I136" i="5"/>
  <c r="H132" i="5"/>
  <c r="I132" i="5"/>
  <c r="H128" i="5"/>
  <c r="I128" i="5"/>
  <c r="H124" i="5"/>
  <c r="I124" i="5"/>
  <c r="H120" i="5"/>
  <c r="I120" i="5"/>
  <c r="H116" i="5"/>
  <c r="I116" i="5"/>
  <c r="H112" i="5"/>
  <c r="I112" i="5"/>
  <c r="H108" i="5"/>
  <c r="I108" i="5"/>
  <c r="H104" i="5"/>
  <c r="I104" i="5"/>
  <c r="H100" i="5"/>
  <c r="I100" i="5"/>
  <c r="H96" i="5"/>
  <c r="I96" i="5"/>
  <c r="H92" i="5"/>
  <c r="I92" i="5"/>
  <c r="H88" i="5"/>
  <c r="I88" i="5"/>
  <c r="H84" i="5"/>
  <c r="I84" i="5"/>
  <c r="H80" i="5"/>
  <c r="I80" i="5"/>
  <c r="H76" i="5"/>
  <c r="I76" i="5"/>
  <c r="H72" i="5"/>
  <c r="I72" i="5"/>
  <c r="H68" i="5"/>
  <c r="I68" i="5"/>
  <c r="H64" i="5"/>
  <c r="I64" i="5"/>
  <c r="H60" i="5"/>
  <c r="I60" i="5"/>
  <c r="H202" i="5"/>
  <c r="I202" i="5"/>
  <c r="H190" i="5"/>
  <c r="I190" i="5"/>
  <c r="H178" i="5"/>
  <c r="I178" i="5"/>
  <c r="H166" i="5"/>
  <c r="I166" i="5"/>
  <c r="H154" i="5"/>
  <c r="I154" i="5"/>
  <c r="H126" i="5"/>
  <c r="I126" i="5"/>
  <c r="H114" i="5"/>
  <c r="I114" i="5"/>
  <c r="H102" i="5"/>
  <c r="I102" i="5"/>
  <c r="H94" i="5"/>
  <c r="I94" i="5"/>
  <c r="H62" i="5"/>
  <c r="I62" i="5"/>
  <c r="I203" i="5"/>
  <c r="H203" i="5"/>
  <c r="I199" i="5"/>
  <c r="H199" i="5"/>
  <c r="I195" i="5"/>
  <c r="H195" i="5"/>
  <c r="I191" i="5"/>
  <c r="H191" i="5"/>
  <c r="I187" i="5"/>
  <c r="H187" i="5"/>
  <c r="H183" i="5"/>
  <c r="I183" i="5"/>
  <c r="H179" i="5"/>
  <c r="I179" i="5"/>
  <c r="H175" i="5"/>
  <c r="I175" i="5"/>
  <c r="H171" i="5"/>
  <c r="I171" i="5"/>
  <c r="H167" i="5"/>
  <c r="I167" i="5"/>
  <c r="H163" i="5"/>
  <c r="I163" i="5"/>
  <c r="H159" i="5"/>
  <c r="I159" i="5"/>
  <c r="H155" i="5"/>
  <c r="I155" i="5"/>
  <c r="H151" i="5"/>
  <c r="I151" i="5"/>
  <c r="H147" i="5"/>
  <c r="I147" i="5"/>
  <c r="H143" i="5"/>
  <c r="I143" i="5"/>
  <c r="H139" i="5"/>
  <c r="I139" i="5"/>
  <c r="H135" i="5"/>
  <c r="I135" i="5"/>
  <c r="H131" i="5"/>
  <c r="I131" i="5"/>
  <c r="H127" i="5"/>
  <c r="I127" i="5"/>
  <c r="H123" i="5"/>
  <c r="I123" i="5"/>
  <c r="H119" i="5"/>
  <c r="I119" i="5"/>
  <c r="H115" i="5"/>
  <c r="I115" i="5"/>
  <c r="H111" i="5"/>
  <c r="I111" i="5"/>
  <c r="H107" i="5"/>
  <c r="I107" i="5"/>
  <c r="H103" i="5"/>
  <c r="I103" i="5"/>
  <c r="H99" i="5"/>
  <c r="I99" i="5"/>
  <c r="H95" i="5"/>
  <c r="I95" i="5"/>
  <c r="H91" i="5"/>
  <c r="I91" i="5"/>
  <c r="H87" i="5"/>
  <c r="I87" i="5"/>
  <c r="H83" i="5"/>
  <c r="I83" i="5"/>
  <c r="H79" i="5"/>
  <c r="I79" i="5"/>
  <c r="H75" i="5"/>
  <c r="I75" i="5"/>
  <c r="H71" i="5"/>
  <c r="I71" i="5"/>
  <c r="H67" i="5"/>
  <c r="I67" i="5"/>
  <c r="H63" i="5"/>
  <c r="I63" i="5"/>
  <c r="AE194" i="5"/>
  <c r="AE182" i="5"/>
  <c r="AE170" i="5"/>
  <c r="AE162" i="5"/>
  <c r="AE146" i="5"/>
  <c r="AE134" i="5"/>
  <c r="AE122" i="5"/>
  <c r="AE114" i="5"/>
  <c r="AE106" i="5"/>
  <c r="AE94" i="5"/>
  <c r="AE82" i="5"/>
  <c r="AE201" i="5"/>
  <c r="AE197" i="5"/>
  <c r="AE193" i="5"/>
  <c r="AE189" i="5"/>
  <c r="AE185" i="5"/>
  <c r="AE181" i="5"/>
  <c r="AE177" i="5"/>
  <c r="AE173" i="5"/>
  <c r="AE169" i="5"/>
  <c r="AE165" i="5"/>
  <c r="AE161" i="5"/>
  <c r="AE157" i="5"/>
  <c r="AE153" i="5"/>
  <c r="AE149" i="5"/>
  <c r="AE145" i="5"/>
  <c r="AE141" i="5"/>
  <c r="AE137" i="5"/>
  <c r="AE133" i="5"/>
  <c r="AE129" i="5"/>
  <c r="AE125" i="5"/>
  <c r="AE121" i="5"/>
  <c r="AE117" i="5"/>
  <c r="AE113" i="5"/>
  <c r="AE109" i="5"/>
  <c r="AE105" i="5"/>
  <c r="AE101" i="5"/>
  <c r="AE97" i="5"/>
  <c r="AE93" i="5"/>
  <c r="AE89" i="5"/>
  <c r="AE85" i="5"/>
  <c r="AE81" i="5"/>
  <c r="AE77" i="5"/>
  <c r="AE73" i="5"/>
  <c r="AE69" i="5"/>
  <c r="AE65" i="5"/>
  <c r="AE61" i="5"/>
  <c r="AE202" i="5"/>
  <c r="AE186" i="5"/>
  <c r="AE166" i="5"/>
  <c r="AE154" i="5"/>
  <c r="AE142" i="5"/>
  <c r="AE126" i="5"/>
  <c r="AE118" i="5"/>
  <c r="AE102" i="5"/>
  <c r="AE78" i="5"/>
  <c r="AE74" i="5"/>
  <c r="AE70" i="5"/>
  <c r="AE66" i="5"/>
  <c r="AE200" i="5"/>
  <c r="AE196" i="5"/>
  <c r="AE192" i="5"/>
  <c r="AE188" i="5"/>
  <c r="AE184" i="5"/>
  <c r="AE180" i="5"/>
  <c r="AE176" i="5"/>
  <c r="AE172" i="5"/>
  <c r="AE168" i="5"/>
  <c r="AE164" i="5"/>
  <c r="AE160" i="5"/>
  <c r="AE156" i="5"/>
  <c r="AE152" i="5"/>
  <c r="AE148" i="5"/>
  <c r="AE144" i="5"/>
  <c r="AE140" i="5"/>
  <c r="AE136" i="5"/>
  <c r="AE132" i="5"/>
  <c r="AE128" i="5"/>
  <c r="AE124" i="5"/>
  <c r="AE120" i="5"/>
  <c r="AE116" i="5"/>
  <c r="AE112" i="5"/>
  <c r="AE108" i="5"/>
  <c r="AE104" i="5"/>
  <c r="AE100" i="5"/>
  <c r="AE96" i="5"/>
  <c r="AE92" i="5"/>
  <c r="AE88" i="5"/>
  <c r="AE84" i="5"/>
  <c r="AE80" i="5"/>
  <c r="AE76" i="5"/>
  <c r="AE72" i="5"/>
  <c r="AE68" i="5"/>
  <c r="AE64" i="5"/>
  <c r="AE60" i="5"/>
  <c r="AE198" i="5"/>
  <c r="AE190" i="5"/>
  <c r="AE178" i="5"/>
  <c r="AE174" i="5"/>
  <c r="AE158" i="5"/>
  <c r="AE150" i="5"/>
  <c r="AE138" i="5"/>
  <c r="AE130" i="5"/>
  <c r="AE110" i="5"/>
  <c r="AE98" i="5"/>
  <c r="AE90" i="5"/>
  <c r="AE86" i="5"/>
  <c r="AE62" i="5"/>
  <c r="AE203" i="5"/>
  <c r="AE199" i="5"/>
  <c r="AE195" i="5"/>
  <c r="AE191" i="5"/>
  <c r="AE187" i="5"/>
  <c r="AE183" i="5"/>
  <c r="AE179" i="5"/>
  <c r="AE175" i="5"/>
  <c r="AE171" i="5"/>
  <c r="AE167" i="5"/>
  <c r="AE163" i="5"/>
  <c r="AE159" i="5"/>
  <c r="AE155" i="5"/>
  <c r="AE151" i="5"/>
  <c r="AE147" i="5"/>
  <c r="AE143" i="5"/>
  <c r="AE139" i="5"/>
  <c r="AE135" i="5"/>
  <c r="AE131" i="5"/>
  <c r="AE127" i="5"/>
  <c r="AE123" i="5"/>
  <c r="AE119" i="5"/>
  <c r="AE115" i="5"/>
  <c r="AE111" i="5"/>
  <c r="AE107" i="5"/>
  <c r="AE103" i="5"/>
  <c r="AE99" i="5"/>
  <c r="AE95" i="5"/>
  <c r="AE91" i="5"/>
  <c r="AE87" i="5"/>
  <c r="AE83" i="5"/>
  <c r="AE79" i="5"/>
  <c r="AE75" i="5"/>
  <c r="AE71" i="5"/>
  <c r="AE67" i="5"/>
  <c r="AE63" i="5"/>
  <c r="AB142" i="5"/>
  <c r="AB197" i="5"/>
  <c r="AB189" i="5"/>
  <c r="AB185" i="5"/>
  <c r="AB165" i="5"/>
  <c r="AB161" i="5"/>
  <c r="AB133" i="5"/>
  <c r="AB88" i="5"/>
  <c r="AB146" i="5"/>
  <c r="AB126" i="5"/>
  <c r="S203" i="5"/>
  <c r="AB203" i="5"/>
  <c r="AB199" i="5"/>
  <c r="G195" i="5"/>
  <c r="AB195" i="5"/>
  <c r="AB191" i="5"/>
  <c r="AB187" i="5"/>
  <c r="J183" i="5"/>
  <c r="AB183" i="5"/>
  <c r="AB179" i="5"/>
  <c r="AB175" i="5"/>
  <c r="J171" i="5"/>
  <c r="AB171" i="5"/>
  <c r="AB167" i="5"/>
  <c r="AB163" i="5"/>
  <c r="AB159" i="5"/>
  <c r="AB155" i="5"/>
  <c r="AB151" i="5"/>
  <c r="AB147" i="5"/>
  <c r="AB143" i="5"/>
  <c r="J139" i="5"/>
  <c r="AB139" i="5"/>
  <c r="AB135" i="5"/>
  <c r="J131" i="5"/>
  <c r="AB131" i="5"/>
  <c r="J127" i="5"/>
  <c r="AB127" i="5"/>
  <c r="J123" i="5"/>
  <c r="AB123" i="5"/>
  <c r="G119" i="5"/>
  <c r="AB119" i="5"/>
  <c r="AB115" i="5"/>
  <c r="AB111" i="5"/>
  <c r="AB107" i="5"/>
  <c r="AB103" i="5"/>
  <c r="AB99" i="5"/>
  <c r="AB95" i="5"/>
  <c r="AB91" i="5"/>
  <c r="AB87" i="5"/>
  <c r="J83" i="5"/>
  <c r="AB83" i="5"/>
  <c r="V79" i="5"/>
  <c r="AB79" i="5"/>
  <c r="J75" i="5"/>
  <c r="AB75" i="5"/>
  <c r="AB71" i="5"/>
  <c r="AB67" i="5"/>
  <c r="G63" i="5"/>
  <c r="AB63" i="5"/>
  <c r="M202" i="5"/>
  <c r="AB202" i="5"/>
  <c r="AB198" i="5"/>
  <c r="AB194" i="5"/>
  <c r="AB190" i="5"/>
  <c r="AB186" i="5"/>
  <c r="AB182" i="5"/>
  <c r="AB178" i="5"/>
  <c r="AB174" i="5"/>
  <c r="V170" i="5"/>
  <c r="AB170" i="5"/>
  <c r="AB166" i="5"/>
  <c r="AB162" i="5"/>
  <c r="AB158" i="5"/>
  <c r="AB154" i="5"/>
  <c r="AB150" i="5"/>
  <c r="AB138" i="5"/>
  <c r="AB134" i="5"/>
  <c r="AB130" i="5"/>
  <c r="AB122" i="5"/>
  <c r="J118" i="5"/>
  <c r="AB118" i="5"/>
  <c r="AB114" i="5"/>
  <c r="J110" i="5"/>
  <c r="AB110" i="5"/>
  <c r="J106" i="5"/>
  <c r="AB106" i="5"/>
  <c r="AB102" i="5"/>
  <c r="AB98" i="5"/>
  <c r="AB94" i="5"/>
  <c r="AB90" i="5"/>
  <c r="AB86" i="5"/>
  <c r="AB82" i="5"/>
  <c r="AB78" i="5"/>
  <c r="P74" i="5"/>
  <c r="AB74" i="5"/>
  <c r="AB70" i="5"/>
  <c r="AB66" i="5"/>
  <c r="AB62" i="5"/>
  <c r="P201" i="5"/>
  <c r="AB201" i="5"/>
  <c r="AB193" i="5"/>
  <c r="V181" i="5"/>
  <c r="AB181" i="5"/>
  <c r="V177" i="5"/>
  <c r="AB177" i="5"/>
  <c r="V173" i="5"/>
  <c r="AB173" i="5"/>
  <c r="V169" i="5"/>
  <c r="AB169" i="5"/>
  <c r="AB157" i="5"/>
  <c r="AB153" i="5"/>
  <c r="AB149" i="5"/>
  <c r="AB145" i="5"/>
  <c r="AB141" i="5"/>
  <c r="AB137" i="5"/>
  <c r="V129" i="5"/>
  <c r="AB129" i="5"/>
  <c r="V125" i="5"/>
  <c r="AB125" i="5"/>
  <c r="AB121" i="5"/>
  <c r="AB117" i="5"/>
  <c r="G113" i="5"/>
  <c r="AB113" i="5"/>
  <c r="G109" i="5"/>
  <c r="AB109" i="5"/>
  <c r="G105" i="5"/>
  <c r="AB105" i="5"/>
  <c r="AB101" i="5"/>
  <c r="AB97" i="5"/>
  <c r="AB93" i="5"/>
  <c r="AB89" i="5"/>
  <c r="AB85" i="5"/>
  <c r="V81" i="5"/>
  <c r="AB81" i="5"/>
  <c r="AB77" i="5"/>
  <c r="AB73" i="5"/>
  <c r="G69" i="5"/>
  <c r="AB69" i="5"/>
  <c r="AB65" i="5"/>
  <c r="G61" i="5"/>
  <c r="AB61" i="5"/>
  <c r="AB200" i="5"/>
  <c r="M196" i="5"/>
  <c r="AB196" i="5"/>
  <c r="M192" i="5"/>
  <c r="AB192" i="5"/>
  <c r="AB188" i="5"/>
  <c r="AB184" i="5"/>
  <c r="AB180" i="5"/>
  <c r="AB176" i="5"/>
  <c r="AB172" i="5"/>
  <c r="AB168" i="5"/>
  <c r="AB164" i="5"/>
  <c r="V160" i="5"/>
  <c r="AB160" i="5"/>
  <c r="AB156" i="5"/>
  <c r="AB152" i="5"/>
  <c r="AB148" i="5"/>
  <c r="AB144" i="5"/>
  <c r="AB140" i="5"/>
  <c r="AB136" i="5"/>
  <c r="AB132" i="5"/>
  <c r="AB128" i="5"/>
  <c r="AB124" i="5"/>
  <c r="AB120" i="5"/>
  <c r="AB116" i="5"/>
  <c r="AB112" i="5"/>
  <c r="AB108" i="5"/>
  <c r="AB104" i="5"/>
  <c r="AB100" i="5"/>
  <c r="AB96" i="5"/>
  <c r="AB92" i="5"/>
  <c r="AB84" i="5"/>
  <c r="AB80" i="5"/>
  <c r="J76" i="5"/>
  <c r="AB76" i="5"/>
  <c r="G72" i="5"/>
  <c r="AB72" i="5"/>
  <c r="V68" i="5"/>
  <c r="AB68" i="5"/>
  <c r="G64" i="5"/>
  <c r="AB64" i="5"/>
  <c r="AB60" i="5"/>
  <c r="G65" i="5"/>
  <c r="J179" i="5"/>
  <c r="G73" i="5"/>
  <c r="G67" i="5"/>
  <c r="J79" i="5"/>
  <c r="G101" i="5"/>
  <c r="G107" i="5"/>
  <c r="G111" i="5"/>
  <c r="J135" i="5"/>
  <c r="G117" i="5"/>
  <c r="V110" i="5"/>
  <c r="G191" i="5"/>
  <c r="J175" i="5"/>
  <c r="G115" i="5"/>
  <c r="G193" i="5"/>
  <c r="J187" i="5"/>
  <c r="G103" i="5"/>
  <c r="V145" i="5"/>
  <c r="V60" i="5"/>
  <c r="G68" i="5"/>
  <c r="G60" i="5"/>
  <c r="M190" i="5"/>
  <c r="G71" i="5"/>
  <c r="S191" i="5"/>
  <c r="V188" i="5"/>
  <c r="P97" i="5"/>
  <c r="P110" i="5"/>
  <c r="V90" i="5"/>
  <c r="G203" i="5"/>
  <c r="G199" i="5"/>
  <c r="P193" i="5"/>
  <c r="Y188" i="5"/>
  <c r="G201" i="5"/>
  <c r="J192" i="5"/>
  <c r="V174" i="5"/>
  <c r="P106" i="5"/>
  <c r="J157" i="5"/>
  <c r="P120" i="5"/>
  <c r="M104" i="5"/>
  <c r="Y196" i="5"/>
  <c r="J196" i="5"/>
  <c r="P196" i="5"/>
  <c r="V196" i="5"/>
  <c r="V183" i="5"/>
  <c r="M170" i="5"/>
  <c r="J195" i="5"/>
  <c r="J167" i="5"/>
  <c r="P167" i="5"/>
  <c r="V123" i="5"/>
  <c r="J71" i="5"/>
  <c r="M71" i="5"/>
  <c r="S71" i="5"/>
  <c r="Y71" i="5"/>
  <c r="P71" i="5"/>
  <c r="P65" i="5"/>
  <c r="V201" i="5"/>
  <c r="V193" i="5"/>
  <c r="V118" i="5"/>
  <c r="V106" i="5"/>
  <c r="P118" i="5"/>
  <c r="V98" i="5"/>
  <c r="V88" i="5"/>
  <c r="Y182" i="5"/>
  <c r="P154" i="5"/>
  <c r="J93" i="5"/>
  <c r="P93" i="5"/>
  <c r="Y174" i="5"/>
  <c r="M174" i="5"/>
  <c r="J163" i="5"/>
  <c r="P163" i="5"/>
  <c r="P128" i="5"/>
  <c r="P87" i="5"/>
  <c r="V156" i="5"/>
  <c r="J105" i="5"/>
  <c r="P161" i="5"/>
  <c r="J155" i="5"/>
  <c r="P155" i="5"/>
  <c r="V151" i="5"/>
  <c r="V92" i="5"/>
  <c r="P63" i="5"/>
  <c r="M108" i="5"/>
  <c r="J117" i="5"/>
  <c r="V115" i="5"/>
  <c r="G178" i="5"/>
  <c r="M178" i="5"/>
  <c r="P178" i="5"/>
  <c r="P86" i="5"/>
  <c r="J86" i="5"/>
  <c r="V200" i="5"/>
  <c r="J200" i="5"/>
  <c r="Y200" i="5"/>
  <c r="M200" i="5"/>
  <c r="J199" i="5"/>
  <c r="V187" i="5"/>
  <c r="J150" i="5"/>
  <c r="V150" i="5"/>
  <c r="J136" i="5"/>
  <c r="P136" i="5"/>
  <c r="V136" i="5"/>
  <c r="V112" i="5"/>
  <c r="J102" i="5"/>
  <c r="Y102" i="5"/>
  <c r="J132" i="5"/>
  <c r="V132" i="5"/>
  <c r="P132" i="5"/>
  <c r="J95" i="5"/>
  <c r="P95" i="5"/>
  <c r="P200" i="5"/>
  <c r="M194" i="5"/>
  <c r="Y194" i="5"/>
  <c r="P89" i="5"/>
  <c r="J82" i="5"/>
  <c r="P82" i="5"/>
  <c r="M72" i="5"/>
  <c r="S72" i="5"/>
  <c r="M176" i="5"/>
  <c r="J173" i="5"/>
  <c r="V157" i="5"/>
  <c r="J143" i="5"/>
  <c r="J114" i="5"/>
  <c r="M114" i="5"/>
  <c r="J73" i="5"/>
  <c r="Y73" i="5"/>
  <c r="P73" i="5"/>
  <c r="G62" i="5"/>
  <c r="Y62" i="5"/>
  <c r="S62" i="5"/>
  <c r="P192" i="5"/>
  <c r="J191" i="5"/>
  <c r="G174" i="5"/>
  <c r="J174" i="5"/>
  <c r="P174" i="5"/>
  <c r="J161" i="5"/>
  <c r="P157" i="5"/>
  <c r="J130" i="5"/>
  <c r="J109" i="5"/>
  <c r="S109" i="5"/>
  <c r="S73" i="5"/>
  <c r="J188" i="5"/>
  <c r="M188" i="5"/>
  <c r="M182" i="5"/>
  <c r="P151" i="5"/>
  <c r="M120" i="5"/>
  <c r="J115" i="5"/>
  <c r="P115" i="5"/>
  <c r="P114" i="5"/>
  <c r="Y106" i="5"/>
  <c r="M106" i="5"/>
  <c r="M73" i="5"/>
  <c r="V62" i="5"/>
  <c r="J90" i="5"/>
  <c r="J97" i="5"/>
  <c r="M68" i="5"/>
  <c r="Y202" i="5"/>
  <c r="S199" i="5"/>
  <c r="G172" i="5"/>
  <c r="P172" i="5"/>
  <c r="J172" i="5"/>
  <c r="Y172" i="5"/>
  <c r="M172" i="5"/>
  <c r="J165" i="5"/>
  <c r="P165" i="5"/>
  <c r="P159" i="5"/>
  <c r="J85" i="5"/>
  <c r="V85" i="5"/>
  <c r="M168" i="5"/>
  <c r="J147" i="5"/>
  <c r="P147" i="5"/>
  <c r="V144" i="5"/>
  <c r="V119" i="5"/>
  <c r="V111" i="5"/>
  <c r="J111" i="5"/>
  <c r="P111" i="5"/>
  <c r="V75" i="5"/>
  <c r="G197" i="5"/>
  <c r="J158" i="5"/>
  <c r="S195" i="5"/>
  <c r="V179" i="5"/>
  <c r="G176" i="5"/>
  <c r="Y176" i="5"/>
  <c r="J176" i="5"/>
  <c r="P176" i="5"/>
  <c r="V176" i="5"/>
  <c r="P160" i="5"/>
  <c r="V158" i="5"/>
  <c r="J152" i="5"/>
  <c r="V152" i="5"/>
  <c r="P152" i="5"/>
  <c r="P142" i="5"/>
  <c r="V142" i="5"/>
  <c r="J122" i="5"/>
  <c r="V122" i="5"/>
  <c r="J203" i="5"/>
  <c r="Y192" i="5"/>
  <c r="P188" i="5"/>
  <c r="Y178" i="5"/>
  <c r="J178" i="5"/>
  <c r="V149" i="5"/>
  <c r="V143" i="5"/>
  <c r="J137" i="5"/>
  <c r="V137" i="5"/>
  <c r="V135" i="5"/>
  <c r="J134" i="5"/>
  <c r="V130" i="5"/>
  <c r="J129" i="5"/>
  <c r="J126" i="5"/>
  <c r="J124" i="5"/>
  <c r="S120" i="5"/>
  <c r="Y120" i="5"/>
  <c r="Y114" i="5"/>
  <c r="V107" i="5"/>
  <c r="P102" i="5"/>
  <c r="S101" i="5"/>
  <c r="J98" i="5"/>
  <c r="V86" i="5"/>
  <c r="J67" i="5"/>
  <c r="S67" i="5"/>
  <c r="V67" i="5"/>
  <c r="J149" i="5"/>
  <c r="J138" i="5"/>
  <c r="Y118" i="5"/>
  <c r="Y110" i="5"/>
  <c r="Y108" i="5"/>
  <c r="S105" i="5"/>
  <c r="V102" i="5"/>
  <c r="J101" i="5"/>
  <c r="V97" i="5"/>
  <c r="J89" i="5"/>
  <c r="J87" i="5"/>
  <c r="P80" i="5"/>
  <c r="V192" i="5"/>
  <c r="P149" i="5"/>
  <c r="P143" i="5"/>
  <c r="J141" i="5"/>
  <c r="P130" i="5"/>
  <c r="V124" i="5"/>
  <c r="M118" i="5"/>
  <c r="V116" i="5"/>
  <c r="V114" i="5"/>
  <c r="M110" i="5"/>
  <c r="M102" i="5"/>
  <c r="J92" i="5"/>
  <c r="P92" i="5"/>
  <c r="V89" i="5"/>
  <c r="S70" i="5"/>
  <c r="S65" i="5"/>
  <c r="J60" i="5"/>
  <c r="J68" i="5"/>
  <c r="J198" i="5"/>
  <c r="P198" i="5"/>
  <c r="V198" i="5"/>
  <c r="M198" i="5"/>
  <c r="Y198" i="5"/>
  <c r="G186" i="5"/>
  <c r="J186" i="5"/>
  <c r="P186" i="5"/>
  <c r="V186" i="5"/>
  <c r="M186" i="5"/>
  <c r="Y186" i="5"/>
  <c r="G180" i="5"/>
  <c r="Y180" i="5"/>
  <c r="J180" i="5"/>
  <c r="P180" i="5"/>
  <c r="V180" i="5"/>
  <c r="M180" i="5"/>
  <c r="V162" i="5"/>
  <c r="P61" i="5"/>
  <c r="M61" i="5"/>
  <c r="Y61" i="5"/>
  <c r="J61" i="5"/>
  <c r="S61" i="5"/>
  <c r="V61" i="5"/>
  <c r="S189" i="5"/>
  <c r="J189" i="5"/>
  <c r="V189" i="5"/>
  <c r="P189" i="5"/>
  <c r="J146" i="5"/>
  <c r="V146" i="5"/>
  <c r="P146" i="5"/>
  <c r="G184" i="5"/>
  <c r="J184" i="5"/>
  <c r="P184" i="5"/>
  <c r="V184" i="5"/>
  <c r="M184" i="5"/>
  <c r="Y184" i="5"/>
  <c r="V153" i="5"/>
  <c r="J153" i="5"/>
  <c r="P153" i="5"/>
  <c r="G189" i="5"/>
  <c r="V131" i="5"/>
  <c r="J148" i="5"/>
  <c r="P148" i="5"/>
  <c r="V148" i="5"/>
  <c r="J121" i="5"/>
  <c r="V121" i="5"/>
  <c r="M69" i="5"/>
  <c r="Y69" i="5"/>
  <c r="J69" i="5"/>
  <c r="V69" i="5"/>
  <c r="P69" i="5"/>
  <c r="S69" i="5"/>
  <c r="J202" i="5"/>
  <c r="P202" i="5"/>
  <c r="V202" i="5"/>
  <c r="V197" i="5"/>
  <c r="S193" i="5"/>
  <c r="J193" i="5"/>
  <c r="V171" i="5"/>
  <c r="V168" i="5"/>
  <c r="V164" i="5"/>
  <c r="J156" i="5"/>
  <c r="P156" i="5"/>
  <c r="J154" i="5"/>
  <c r="V154" i="5"/>
  <c r="J151" i="5"/>
  <c r="V127" i="5"/>
  <c r="J96" i="5"/>
  <c r="P96" i="5"/>
  <c r="V96" i="5"/>
  <c r="S197" i="5"/>
  <c r="J197" i="5"/>
  <c r="J190" i="5"/>
  <c r="P190" i="5"/>
  <c r="V190" i="5"/>
  <c r="J181" i="5"/>
  <c r="V175" i="5"/>
  <c r="G168" i="5"/>
  <c r="Y168" i="5"/>
  <c r="J168" i="5"/>
  <c r="P168" i="5"/>
  <c r="V166" i="5"/>
  <c r="J159" i="5"/>
  <c r="V141" i="5"/>
  <c r="P141" i="5"/>
  <c r="P134" i="5"/>
  <c r="J112" i="5"/>
  <c r="P112" i="5"/>
  <c r="Y112" i="5"/>
  <c r="M112" i="5"/>
  <c r="J94" i="5"/>
  <c r="V94" i="5"/>
  <c r="P94" i="5"/>
  <c r="J91" i="5"/>
  <c r="P91" i="5"/>
  <c r="V91" i="5"/>
  <c r="J78" i="5"/>
  <c r="P78" i="5"/>
  <c r="V78" i="5"/>
  <c r="S201" i="5"/>
  <c r="J201" i="5"/>
  <c r="P197" i="5"/>
  <c r="J194" i="5"/>
  <c r="P194" i="5"/>
  <c r="V194" i="5"/>
  <c r="Y190" i="5"/>
  <c r="G182" i="5"/>
  <c r="J182" i="5"/>
  <c r="P182" i="5"/>
  <c r="V182" i="5"/>
  <c r="G170" i="5"/>
  <c r="Y170" i="5"/>
  <c r="J170" i="5"/>
  <c r="P170" i="5"/>
  <c r="V159" i="5"/>
  <c r="J140" i="5"/>
  <c r="V140" i="5"/>
  <c r="P140" i="5"/>
  <c r="V139" i="5"/>
  <c r="V134" i="5"/>
  <c r="J128" i="5"/>
  <c r="V128" i="5"/>
  <c r="S119" i="5"/>
  <c r="J119" i="5"/>
  <c r="P119" i="5"/>
  <c r="S103" i="5"/>
  <c r="J103" i="5"/>
  <c r="V103" i="5"/>
  <c r="P103" i="5"/>
  <c r="V83" i="5"/>
  <c r="S64" i="5"/>
  <c r="Y64" i="5"/>
  <c r="J64" i="5"/>
  <c r="V64" i="5"/>
  <c r="M64" i="5"/>
  <c r="J116" i="5"/>
  <c r="P116" i="5"/>
  <c r="P113" i="5"/>
  <c r="V113" i="5"/>
  <c r="S107" i="5"/>
  <c r="J107" i="5"/>
  <c r="J100" i="5"/>
  <c r="P100" i="5"/>
  <c r="V100" i="5"/>
  <c r="J99" i="5"/>
  <c r="J84" i="5"/>
  <c r="V76" i="5"/>
  <c r="V66" i="5"/>
  <c r="M63" i="5"/>
  <c r="Y63" i="5"/>
  <c r="J63" i="5"/>
  <c r="V63" i="5"/>
  <c r="J145" i="5"/>
  <c r="J144" i="5"/>
  <c r="P144" i="5"/>
  <c r="V138" i="5"/>
  <c r="V126" i="5"/>
  <c r="P122" i="5"/>
  <c r="G120" i="5"/>
  <c r="J120" i="5"/>
  <c r="V120" i="5"/>
  <c r="P117" i="5"/>
  <c r="V117" i="5"/>
  <c r="M116" i="5"/>
  <c r="S113" i="5"/>
  <c r="S111" i="5"/>
  <c r="P107" i="5"/>
  <c r="J104" i="5"/>
  <c r="P104" i="5"/>
  <c r="V104" i="5"/>
  <c r="Y100" i="5"/>
  <c r="V99" i="5"/>
  <c r="V84" i="5"/>
  <c r="J80" i="5"/>
  <c r="J77" i="5"/>
  <c r="V77" i="5"/>
  <c r="J72" i="5"/>
  <c r="V72" i="5"/>
  <c r="M65" i="5"/>
  <c r="Y65" i="5"/>
  <c r="J65" i="5"/>
  <c r="V65" i="5"/>
  <c r="V203" i="5"/>
  <c r="P203" i="5"/>
  <c r="V199" i="5"/>
  <c r="P199" i="5"/>
  <c r="V195" i="5"/>
  <c r="P195" i="5"/>
  <c r="V191" i="5"/>
  <c r="P191" i="5"/>
  <c r="V178" i="5"/>
  <c r="V172" i="5"/>
  <c r="V167" i="5"/>
  <c r="V165" i="5"/>
  <c r="V163" i="5"/>
  <c r="V161" i="5"/>
  <c r="P158" i="5"/>
  <c r="V155" i="5"/>
  <c r="P150" i="5"/>
  <c r="V147" i="5"/>
  <c r="P145" i="5"/>
  <c r="J142" i="5"/>
  <c r="P138" i="5"/>
  <c r="P126" i="5"/>
  <c r="P124" i="5"/>
  <c r="S117" i="5"/>
  <c r="Y116" i="5"/>
  <c r="S115" i="5"/>
  <c r="J113" i="5"/>
  <c r="J108" i="5"/>
  <c r="P108" i="5"/>
  <c r="V108" i="5"/>
  <c r="Y104" i="5"/>
  <c r="M100" i="5"/>
  <c r="P99" i="5"/>
  <c r="V93" i="5"/>
  <c r="J88" i="5"/>
  <c r="P88" i="5"/>
  <c r="P84" i="5"/>
  <c r="V80" i="5"/>
  <c r="P76" i="5"/>
  <c r="Y72" i="5"/>
  <c r="G70" i="5"/>
  <c r="V70" i="5"/>
  <c r="Y70" i="5"/>
  <c r="P67" i="5"/>
  <c r="M67" i="5"/>
  <c r="Y67" i="5"/>
  <c r="S63" i="5"/>
  <c r="V109" i="5"/>
  <c r="P109" i="5"/>
  <c r="V105" i="5"/>
  <c r="P105" i="5"/>
  <c r="V101" i="5"/>
  <c r="P101" i="5"/>
  <c r="P98" i="5"/>
  <c r="V95" i="5"/>
  <c r="P90" i="5"/>
  <c r="V87" i="5"/>
  <c r="V82" i="5"/>
  <c r="V73" i="5"/>
  <c r="V71" i="5"/>
  <c r="M60" i="5"/>
  <c r="G185" i="5"/>
  <c r="S185" i="5"/>
  <c r="P185" i="5"/>
  <c r="M185" i="5"/>
  <c r="Y185" i="5"/>
  <c r="J185" i="5"/>
  <c r="G133" i="5"/>
  <c r="S133" i="5"/>
  <c r="P133" i="5"/>
  <c r="M133" i="5"/>
  <c r="Y133" i="5"/>
  <c r="J133" i="5"/>
  <c r="V133" i="5"/>
  <c r="G169" i="5"/>
  <c r="S169" i="5"/>
  <c r="P169" i="5"/>
  <c r="M169" i="5"/>
  <c r="Y169" i="5"/>
  <c r="J169" i="5"/>
  <c r="V185" i="5"/>
  <c r="G177" i="5"/>
  <c r="S177" i="5"/>
  <c r="P177" i="5"/>
  <c r="M177" i="5"/>
  <c r="Y177" i="5"/>
  <c r="J177" i="5"/>
  <c r="M203" i="5"/>
  <c r="Y203" i="5"/>
  <c r="G202" i="5"/>
  <c r="S202" i="5"/>
  <c r="M201" i="5"/>
  <c r="Y201" i="5"/>
  <c r="G200" i="5"/>
  <c r="S200" i="5"/>
  <c r="M199" i="5"/>
  <c r="Y199" i="5"/>
  <c r="G198" i="5"/>
  <c r="S198" i="5"/>
  <c r="M197" i="5"/>
  <c r="Y197" i="5"/>
  <c r="G196" i="5"/>
  <c r="S196" i="5"/>
  <c r="M195" i="5"/>
  <c r="Y195" i="5"/>
  <c r="G194" i="5"/>
  <c r="S194" i="5"/>
  <c r="M193" i="5"/>
  <c r="Y193" i="5"/>
  <c r="G192" i="5"/>
  <c r="S192" i="5"/>
  <c r="M191" i="5"/>
  <c r="Y191" i="5"/>
  <c r="G190" i="5"/>
  <c r="S190" i="5"/>
  <c r="M189" i="5"/>
  <c r="Y189" i="5"/>
  <c r="G188" i="5"/>
  <c r="S188" i="5"/>
  <c r="G187" i="5"/>
  <c r="S187" i="5"/>
  <c r="P187" i="5"/>
  <c r="M187" i="5"/>
  <c r="Y187" i="5"/>
  <c r="G179" i="5"/>
  <c r="S179" i="5"/>
  <c r="P179" i="5"/>
  <c r="M179" i="5"/>
  <c r="Y179" i="5"/>
  <c r="G171" i="5"/>
  <c r="S171" i="5"/>
  <c r="P171" i="5"/>
  <c r="M171" i="5"/>
  <c r="Y171" i="5"/>
  <c r="G181" i="5"/>
  <c r="S181" i="5"/>
  <c r="P181" i="5"/>
  <c r="M181" i="5"/>
  <c r="Y181" i="5"/>
  <c r="G173" i="5"/>
  <c r="S173" i="5"/>
  <c r="P173" i="5"/>
  <c r="M173" i="5"/>
  <c r="Y173" i="5"/>
  <c r="G183" i="5"/>
  <c r="S183" i="5"/>
  <c r="P183" i="5"/>
  <c r="M183" i="5"/>
  <c r="Y183" i="5"/>
  <c r="G175" i="5"/>
  <c r="S175" i="5"/>
  <c r="P175" i="5"/>
  <c r="M175" i="5"/>
  <c r="Y175" i="5"/>
  <c r="G125" i="5"/>
  <c r="S125" i="5"/>
  <c r="P125" i="5"/>
  <c r="M125" i="5"/>
  <c r="Y125" i="5"/>
  <c r="J125" i="5"/>
  <c r="S186" i="5"/>
  <c r="S184" i="5"/>
  <c r="S182" i="5"/>
  <c r="S180" i="5"/>
  <c r="S178" i="5"/>
  <c r="S176" i="5"/>
  <c r="S174" i="5"/>
  <c r="S172" i="5"/>
  <c r="S170" i="5"/>
  <c r="S168" i="5"/>
  <c r="G167" i="5"/>
  <c r="S167" i="5"/>
  <c r="M167" i="5"/>
  <c r="Y167" i="5"/>
  <c r="J166" i="5"/>
  <c r="G165" i="5"/>
  <c r="S165" i="5"/>
  <c r="M165" i="5"/>
  <c r="Y165" i="5"/>
  <c r="J164" i="5"/>
  <c r="G163" i="5"/>
  <c r="S163" i="5"/>
  <c r="M163" i="5"/>
  <c r="Y163" i="5"/>
  <c r="J162" i="5"/>
  <c r="G161" i="5"/>
  <c r="S161" i="5"/>
  <c r="M161" i="5"/>
  <c r="Y161" i="5"/>
  <c r="J160" i="5"/>
  <c r="G159" i="5"/>
  <c r="S159" i="5"/>
  <c r="M159" i="5"/>
  <c r="Y159" i="5"/>
  <c r="G157" i="5"/>
  <c r="S157" i="5"/>
  <c r="M157" i="5"/>
  <c r="Y157" i="5"/>
  <c r="G155" i="5"/>
  <c r="S155" i="5"/>
  <c r="M155" i="5"/>
  <c r="Y155" i="5"/>
  <c r="G153" i="5"/>
  <c r="S153" i="5"/>
  <c r="M153" i="5"/>
  <c r="Y153" i="5"/>
  <c r="G151" i="5"/>
  <c r="S151" i="5"/>
  <c r="M151" i="5"/>
  <c r="Y151" i="5"/>
  <c r="G149" i="5"/>
  <c r="S149" i="5"/>
  <c r="M149" i="5"/>
  <c r="Y149" i="5"/>
  <c r="G147" i="5"/>
  <c r="S147" i="5"/>
  <c r="M147" i="5"/>
  <c r="Y147" i="5"/>
  <c r="G145" i="5"/>
  <c r="S145" i="5"/>
  <c r="M145" i="5"/>
  <c r="Y145" i="5"/>
  <c r="G143" i="5"/>
  <c r="S143" i="5"/>
  <c r="M143" i="5"/>
  <c r="Y143" i="5"/>
  <c r="G141" i="5"/>
  <c r="S141" i="5"/>
  <c r="M141" i="5"/>
  <c r="Y141" i="5"/>
  <c r="G139" i="5"/>
  <c r="S139" i="5"/>
  <c r="P139" i="5"/>
  <c r="M139" i="5"/>
  <c r="Y139" i="5"/>
  <c r="G131" i="5"/>
  <c r="S131" i="5"/>
  <c r="P131" i="5"/>
  <c r="M131" i="5"/>
  <c r="Y131" i="5"/>
  <c r="G123" i="5"/>
  <c r="S123" i="5"/>
  <c r="P123" i="5"/>
  <c r="M123" i="5"/>
  <c r="Y123" i="5"/>
  <c r="P166" i="5"/>
  <c r="P164" i="5"/>
  <c r="P162" i="5"/>
  <c r="G137" i="5"/>
  <c r="S137" i="5"/>
  <c r="P137" i="5"/>
  <c r="M137" i="5"/>
  <c r="Y137" i="5"/>
  <c r="G129" i="5"/>
  <c r="S129" i="5"/>
  <c r="P129" i="5"/>
  <c r="M129" i="5"/>
  <c r="Y129" i="5"/>
  <c r="G121" i="5"/>
  <c r="S121" i="5"/>
  <c r="P121" i="5"/>
  <c r="M121" i="5"/>
  <c r="Y121" i="5"/>
  <c r="G81" i="5"/>
  <c r="S81" i="5"/>
  <c r="P81" i="5"/>
  <c r="M81" i="5"/>
  <c r="Y81" i="5"/>
  <c r="J81" i="5"/>
  <c r="M166" i="5"/>
  <c r="Y166" i="5"/>
  <c r="G166" i="5"/>
  <c r="S166" i="5"/>
  <c r="M164" i="5"/>
  <c r="Y164" i="5"/>
  <c r="G164" i="5"/>
  <c r="S164" i="5"/>
  <c r="M162" i="5"/>
  <c r="Y162" i="5"/>
  <c r="G162" i="5"/>
  <c r="S162" i="5"/>
  <c r="M160" i="5"/>
  <c r="Y160" i="5"/>
  <c r="G160" i="5"/>
  <c r="S160" i="5"/>
  <c r="M158" i="5"/>
  <c r="Y158" i="5"/>
  <c r="G158" i="5"/>
  <c r="S158" i="5"/>
  <c r="M156" i="5"/>
  <c r="Y156" i="5"/>
  <c r="G156" i="5"/>
  <c r="S156" i="5"/>
  <c r="M154" i="5"/>
  <c r="Y154" i="5"/>
  <c r="G154" i="5"/>
  <c r="S154" i="5"/>
  <c r="M152" i="5"/>
  <c r="Y152" i="5"/>
  <c r="G152" i="5"/>
  <c r="S152" i="5"/>
  <c r="M150" i="5"/>
  <c r="Y150" i="5"/>
  <c r="G150" i="5"/>
  <c r="S150" i="5"/>
  <c r="M148" i="5"/>
  <c r="Y148" i="5"/>
  <c r="G148" i="5"/>
  <c r="S148" i="5"/>
  <c r="M146" i="5"/>
  <c r="Y146" i="5"/>
  <c r="G146" i="5"/>
  <c r="S146" i="5"/>
  <c r="M144" i="5"/>
  <c r="Y144" i="5"/>
  <c r="G144" i="5"/>
  <c r="S144" i="5"/>
  <c r="M142" i="5"/>
  <c r="Y142" i="5"/>
  <c r="G142" i="5"/>
  <c r="S142" i="5"/>
  <c r="M140" i="5"/>
  <c r="Y140" i="5"/>
  <c r="G140" i="5"/>
  <c r="S140" i="5"/>
  <c r="G135" i="5"/>
  <c r="S135" i="5"/>
  <c r="P135" i="5"/>
  <c r="M135" i="5"/>
  <c r="Y135" i="5"/>
  <c r="G127" i="5"/>
  <c r="S127" i="5"/>
  <c r="P127" i="5"/>
  <c r="M127" i="5"/>
  <c r="Y127" i="5"/>
  <c r="S138" i="5"/>
  <c r="G138" i="5"/>
  <c r="S136" i="5"/>
  <c r="G136" i="5"/>
  <c r="S134" i="5"/>
  <c r="G134" i="5"/>
  <c r="S132" i="5"/>
  <c r="G132" i="5"/>
  <c r="S130" i="5"/>
  <c r="G130" i="5"/>
  <c r="S128" i="5"/>
  <c r="G128" i="5"/>
  <c r="S126" i="5"/>
  <c r="G126" i="5"/>
  <c r="S124" i="5"/>
  <c r="G124" i="5"/>
  <c r="S122" i="5"/>
  <c r="G122" i="5"/>
  <c r="M119" i="5"/>
  <c r="Y119" i="5"/>
  <c r="G118" i="5"/>
  <c r="S118" i="5"/>
  <c r="M117" i="5"/>
  <c r="Y117" i="5"/>
  <c r="G116" i="5"/>
  <c r="S116" i="5"/>
  <c r="M115" i="5"/>
  <c r="Y115" i="5"/>
  <c r="G114" i="5"/>
  <c r="S114" i="5"/>
  <c r="M113" i="5"/>
  <c r="Y113" i="5"/>
  <c r="G112" i="5"/>
  <c r="S112" i="5"/>
  <c r="M111" i="5"/>
  <c r="Y111" i="5"/>
  <c r="G110" i="5"/>
  <c r="S110" i="5"/>
  <c r="M109" i="5"/>
  <c r="Y109" i="5"/>
  <c r="G108" i="5"/>
  <c r="S108" i="5"/>
  <c r="M107" i="5"/>
  <c r="Y107" i="5"/>
  <c r="G106" i="5"/>
  <c r="S106" i="5"/>
  <c r="M105" i="5"/>
  <c r="Y105" i="5"/>
  <c r="G104" i="5"/>
  <c r="S104" i="5"/>
  <c r="M103" i="5"/>
  <c r="Y103" i="5"/>
  <c r="G102" i="5"/>
  <c r="S102" i="5"/>
  <c r="M101" i="5"/>
  <c r="Y101" i="5"/>
  <c r="G100" i="5"/>
  <c r="S100" i="5"/>
  <c r="G99" i="5"/>
  <c r="S99" i="5"/>
  <c r="M99" i="5"/>
  <c r="Y99" i="5"/>
  <c r="G97" i="5"/>
  <c r="S97" i="5"/>
  <c r="M97" i="5"/>
  <c r="Y97" i="5"/>
  <c r="G95" i="5"/>
  <c r="S95" i="5"/>
  <c r="M95" i="5"/>
  <c r="Y95" i="5"/>
  <c r="G93" i="5"/>
  <c r="S93" i="5"/>
  <c r="M93" i="5"/>
  <c r="Y93" i="5"/>
  <c r="G91" i="5"/>
  <c r="S91" i="5"/>
  <c r="M91" i="5"/>
  <c r="Y91" i="5"/>
  <c r="G89" i="5"/>
  <c r="S89" i="5"/>
  <c r="M89" i="5"/>
  <c r="Y89" i="5"/>
  <c r="G87" i="5"/>
  <c r="S87" i="5"/>
  <c r="M87" i="5"/>
  <c r="Y87" i="5"/>
  <c r="G79" i="5"/>
  <c r="S79" i="5"/>
  <c r="P79" i="5"/>
  <c r="M79" i="5"/>
  <c r="Y79" i="5"/>
  <c r="G85" i="5"/>
  <c r="S85" i="5"/>
  <c r="P85" i="5"/>
  <c r="M85" i="5"/>
  <c r="Y85" i="5"/>
  <c r="G77" i="5"/>
  <c r="S77" i="5"/>
  <c r="P77" i="5"/>
  <c r="M77" i="5"/>
  <c r="Y77" i="5"/>
  <c r="G74" i="5"/>
  <c r="M74" i="5"/>
  <c r="Y74" i="5"/>
  <c r="V74" i="5"/>
  <c r="J74" i="5"/>
  <c r="S74" i="5"/>
  <c r="Y138" i="5"/>
  <c r="M138" i="5"/>
  <c r="Y136" i="5"/>
  <c r="M136" i="5"/>
  <c r="Y134" i="5"/>
  <c r="M134" i="5"/>
  <c r="Y132" i="5"/>
  <c r="M132" i="5"/>
  <c r="Y130" i="5"/>
  <c r="M130" i="5"/>
  <c r="Y128" i="5"/>
  <c r="M128" i="5"/>
  <c r="Y126" i="5"/>
  <c r="M126" i="5"/>
  <c r="Y124" i="5"/>
  <c r="M124" i="5"/>
  <c r="Y122" i="5"/>
  <c r="M122" i="5"/>
  <c r="M98" i="5"/>
  <c r="Y98" i="5"/>
  <c r="G98" i="5"/>
  <c r="S98" i="5"/>
  <c r="M96" i="5"/>
  <c r="Y96" i="5"/>
  <c r="G96" i="5"/>
  <c r="S96" i="5"/>
  <c r="M94" i="5"/>
  <c r="Y94" i="5"/>
  <c r="G94" i="5"/>
  <c r="S94" i="5"/>
  <c r="M92" i="5"/>
  <c r="Y92" i="5"/>
  <c r="G92" i="5"/>
  <c r="S92" i="5"/>
  <c r="M90" i="5"/>
  <c r="Y90" i="5"/>
  <c r="G90" i="5"/>
  <c r="S90" i="5"/>
  <c r="M88" i="5"/>
  <c r="Y88" i="5"/>
  <c r="G88" i="5"/>
  <c r="S88" i="5"/>
  <c r="G83" i="5"/>
  <c r="S83" i="5"/>
  <c r="P83" i="5"/>
  <c r="M83" i="5"/>
  <c r="Y83" i="5"/>
  <c r="G75" i="5"/>
  <c r="S75" i="5"/>
  <c r="P75" i="5"/>
  <c r="M75" i="5"/>
  <c r="Y75" i="5"/>
  <c r="P66" i="5"/>
  <c r="G66" i="5"/>
  <c r="M66" i="5"/>
  <c r="S66" i="5"/>
  <c r="Y66" i="5"/>
  <c r="J66" i="5"/>
  <c r="S86" i="5"/>
  <c r="G86" i="5"/>
  <c r="S84" i="5"/>
  <c r="G84" i="5"/>
  <c r="S82" i="5"/>
  <c r="G82" i="5"/>
  <c r="S80" i="5"/>
  <c r="G80" i="5"/>
  <c r="S78" i="5"/>
  <c r="G78" i="5"/>
  <c r="S76" i="5"/>
  <c r="G76" i="5"/>
  <c r="P72" i="5"/>
  <c r="M70" i="5"/>
  <c r="Y68" i="5"/>
  <c r="S68" i="5"/>
  <c r="P64" i="5"/>
  <c r="M62" i="5"/>
  <c r="Y60" i="5"/>
  <c r="S60" i="5"/>
  <c r="P70" i="5"/>
  <c r="P62" i="5"/>
  <c r="Y86" i="5"/>
  <c r="M86" i="5"/>
  <c r="Y84" i="5"/>
  <c r="M84" i="5"/>
  <c r="Y82" i="5"/>
  <c r="M82" i="5"/>
  <c r="Y80" i="5"/>
  <c r="M80" i="5"/>
  <c r="Y78" i="5"/>
  <c r="M78" i="5"/>
  <c r="Y76" i="5"/>
  <c r="M76" i="5"/>
  <c r="J70" i="5"/>
  <c r="P68" i="5"/>
  <c r="J62" i="5"/>
  <c r="P60" i="5"/>
  <c r="E202" i="11" l="1"/>
  <c r="D202" i="11"/>
  <c r="C202" i="11"/>
  <c r="B202" i="11"/>
  <c r="A202" i="11"/>
  <c r="E201" i="11"/>
  <c r="D201" i="11"/>
  <c r="C201" i="11"/>
  <c r="B201" i="11"/>
  <c r="A201" i="11"/>
  <c r="E200" i="11"/>
  <c r="D200" i="11"/>
  <c r="C200" i="11"/>
  <c r="B200" i="11"/>
  <c r="A200" i="11"/>
  <c r="E199" i="11"/>
  <c r="D199" i="11"/>
  <c r="C199" i="11"/>
  <c r="B199" i="11"/>
  <c r="A199" i="11"/>
  <c r="E198" i="11"/>
  <c r="D198" i="11"/>
  <c r="C198" i="11"/>
  <c r="B198" i="11"/>
  <c r="A198" i="11"/>
  <c r="E197" i="11"/>
  <c r="D197" i="11"/>
  <c r="C197" i="11"/>
  <c r="B197" i="11"/>
  <c r="A197" i="11"/>
  <c r="E196" i="11"/>
  <c r="D196" i="11"/>
  <c r="C196" i="11"/>
  <c r="B196" i="11"/>
  <c r="A196" i="11"/>
  <c r="E195" i="11"/>
  <c r="D195" i="11"/>
  <c r="C195" i="11"/>
  <c r="B195" i="11"/>
  <c r="A195" i="11"/>
  <c r="E194" i="11"/>
  <c r="D194" i="11"/>
  <c r="C194" i="11"/>
  <c r="B194" i="11"/>
  <c r="A194" i="11"/>
  <c r="E193" i="11"/>
  <c r="D193" i="11"/>
  <c r="C193" i="11"/>
  <c r="B193" i="11"/>
  <c r="A193" i="11"/>
  <c r="E192" i="11"/>
  <c r="D192" i="11"/>
  <c r="C192" i="11"/>
  <c r="B192" i="11"/>
  <c r="A192" i="11"/>
  <c r="E191" i="11"/>
  <c r="D191" i="11"/>
  <c r="C191" i="11"/>
  <c r="B191" i="11"/>
  <c r="A191" i="11"/>
  <c r="E190" i="11"/>
  <c r="D190" i="11"/>
  <c r="C190" i="11"/>
  <c r="B190" i="11"/>
  <c r="A190" i="11"/>
  <c r="E189" i="11"/>
  <c r="D189" i="11"/>
  <c r="C189" i="11"/>
  <c r="B189" i="11"/>
  <c r="A189" i="11"/>
  <c r="E188" i="11"/>
  <c r="D188" i="11"/>
  <c r="C188" i="11"/>
  <c r="B188" i="11"/>
  <c r="A188" i="11"/>
  <c r="E187" i="11"/>
  <c r="D187" i="11"/>
  <c r="C187" i="11"/>
  <c r="B187" i="11"/>
  <c r="A187" i="11"/>
  <c r="E186" i="11"/>
  <c r="D186" i="11"/>
  <c r="C186" i="11"/>
  <c r="B186" i="11"/>
  <c r="A186" i="11"/>
  <c r="E185" i="11"/>
  <c r="D185" i="11"/>
  <c r="C185" i="11"/>
  <c r="B185" i="11"/>
  <c r="A185" i="11"/>
  <c r="E184" i="11"/>
  <c r="D184" i="11"/>
  <c r="C184" i="11"/>
  <c r="B184" i="11"/>
  <c r="A184" i="11"/>
  <c r="E183" i="11"/>
  <c r="D183" i="11"/>
  <c r="C183" i="11"/>
  <c r="B183" i="11"/>
  <c r="A183" i="11"/>
  <c r="E182" i="11"/>
  <c r="D182" i="11"/>
  <c r="C182" i="11"/>
  <c r="B182" i="11"/>
  <c r="A182" i="11"/>
  <c r="E181" i="11"/>
  <c r="D181" i="11"/>
  <c r="C181" i="11"/>
  <c r="B181" i="11"/>
  <c r="A181" i="11"/>
  <c r="E180" i="11"/>
  <c r="D180" i="11"/>
  <c r="C180" i="11"/>
  <c r="B180" i="11"/>
  <c r="A180" i="11"/>
  <c r="E179" i="11"/>
  <c r="D179" i="11"/>
  <c r="C179" i="11"/>
  <c r="B179" i="11"/>
  <c r="A179" i="11"/>
  <c r="E178" i="11"/>
  <c r="D178" i="11"/>
  <c r="C178" i="11"/>
  <c r="B178" i="11"/>
  <c r="A178" i="11"/>
  <c r="E177" i="11"/>
  <c r="D177" i="11"/>
  <c r="C177" i="11"/>
  <c r="B177" i="11"/>
  <c r="A177" i="11"/>
  <c r="E176" i="11"/>
  <c r="D176" i="11"/>
  <c r="C176" i="11"/>
  <c r="B176" i="11"/>
  <c r="A176" i="11"/>
  <c r="E175" i="11"/>
  <c r="D175" i="11"/>
  <c r="C175" i="11"/>
  <c r="B175" i="11"/>
  <c r="A175" i="11"/>
  <c r="E174" i="11"/>
  <c r="D174" i="11"/>
  <c r="C174" i="11"/>
  <c r="B174" i="11"/>
  <c r="A174" i="11"/>
  <c r="E173" i="11"/>
  <c r="D173" i="11"/>
  <c r="C173" i="11"/>
  <c r="B173" i="11"/>
  <c r="A173" i="11"/>
  <c r="E172" i="11"/>
  <c r="D172" i="11"/>
  <c r="C172" i="11"/>
  <c r="B172" i="11"/>
  <c r="A172" i="11"/>
  <c r="E171" i="11"/>
  <c r="D171" i="11"/>
  <c r="C171" i="11"/>
  <c r="B171" i="11"/>
  <c r="A171" i="11"/>
  <c r="E170" i="11"/>
  <c r="D170" i="11"/>
  <c r="C170" i="11"/>
  <c r="B170" i="11"/>
  <c r="A170" i="11"/>
  <c r="E169" i="11"/>
  <c r="D169" i="11"/>
  <c r="C169" i="11"/>
  <c r="B169" i="11"/>
  <c r="A169" i="11"/>
  <c r="E168" i="11"/>
  <c r="D168" i="11"/>
  <c r="C168" i="11"/>
  <c r="B168" i="11"/>
  <c r="A168" i="11"/>
  <c r="E167" i="11"/>
  <c r="D167" i="11"/>
  <c r="C167" i="11"/>
  <c r="B167" i="11"/>
  <c r="A167" i="11"/>
  <c r="E166" i="11"/>
  <c r="D166" i="11"/>
  <c r="C166" i="11"/>
  <c r="B166" i="11"/>
  <c r="A166" i="11"/>
  <c r="E165" i="11"/>
  <c r="D165" i="11"/>
  <c r="C165" i="11"/>
  <c r="B165" i="11"/>
  <c r="A165" i="11"/>
  <c r="E164" i="11"/>
  <c r="D164" i="11"/>
  <c r="C164" i="11"/>
  <c r="B164" i="11"/>
  <c r="A164" i="11"/>
  <c r="E163" i="11"/>
  <c r="D163" i="11"/>
  <c r="C163" i="11"/>
  <c r="B163" i="11"/>
  <c r="A163" i="11"/>
  <c r="E162" i="11"/>
  <c r="D162" i="11"/>
  <c r="C162" i="11"/>
  <c r="B162" i="11"/>
  <c r="A162" i="11"/>
  <c r="E161" i="11"/>
  <c r="D161" i="11"/>
  <c r="C161" i="11"/>
  <c r="B161" i="11"/>
  <c r="A161" i="11"/>
  <c r="E160" i="11"/>
  <c r="D160" i="11"/>
  <c r="C160" i="11"/>
  <c r="B160" i="11"/>
  <c r="A160" i="11"/>
  <c r="E159" i="11"/>
  <c r="D159" i="11"/>
  <c r="C159" i="11"/>
  <c r="B159" i="11"/>
  <c r="A159" i="11"/>
  <c r="E158" i="11"/>
  <c r="D158" i="11"/>
  <c r="C158" i="11"/>
  <c r="B158" i="11"/>
  <c r="A158" i="11"/>
  <c r="E157" i="11"/>
  <c r="D157" i="11"/>
  <c r="C157" i="11"/>
  <c r="B157" i="11"/>
  <c r="A157" i="11"/>
  <c r="E156" i="11"/>
  <c r="D156" i="11"/>
  <c r="C156" i="11"/>
  <c r="B156" i="11"/>
  <c r="A156" i="11"/>
  <c r="E155" i="11"/>
  <c r="D155" i="11"/>
  <c r="C155" i="11"/>
  <c r="B155" i="11"/>
  <c r="A155" i="11"/>
  <c r="E154" i="11"/>
  <c r="D154" i="11"/>
  <c r="C154" i="11"/>
  <c r="B154" i="11"/>
  <c r="A154" i="11"/>
  <c r="E153" i="11"/>
  <c r="D153" i="11"/>
  <c r="C153" i="11"/>
  <c r="B153" i="11"/>
  <c r="A153" i="11"/>
  <c r="E152" i="11"/>
  <c r="D152" i="11"/>
  <c r="C152" i="11"/>
  <c r="B152" i="11"/>
  <c r="A152" i="11"/>
  <c r="E151" i="11"/>
  <c r="D151" i="11"/>
  <c r="C151" i="11"/>
  <c r="B151" i="11"/>
  <c r="A151" i="11"/>
  <c r="E150" i="11"/>
  <c r="D150" i="11"/>
  <c r="C150" i="11"/>
  <c r="B150" i="11"/>
  <c r="A150" i="11"/>
  <c r="E149" i="11"/>
  <c r="D149" i="11"/>
  <c r="C149" i="11"/>
  <c r="B149" i="11"/>
  <c r="A149" i="11"/>
  <c r="E148" i="11"/>
  <c r="D148" i="11"/>
  <c r="C148" i="11"/>
  <c r="B148" i="11"/>
  <c r="A148" i="11"/>
  <c r="E147" i="11"/>
  <c r="D147" i="11"/>
  <c r="C147" i="11"/>
  <c r="B147" i="11"/>
  <c r="A147" i="11"/>
  <c r="E146" i="11"/>
  <c r="D146" i="11"/>
  <c r="C146" i="11"/>
  <c r="B146" i="11"/>
  <c r="A146" i="11"/>
  <c r="E145" i="11"/>
  <c r="D145" i="11"/>
  <c r="C145" i="11"/>
  <c r="B145" i="11"/>
  <c r="A145" i="11"/>
  <c r="E144" i="11"/>
  <c r="D144" i="11"/>
  <c r="C144" i="11"/>
  <c r="B144" i="11"/>
  <c r="A144" i="11"/>
  <c r="E143" i="11"/>
  <c r="D143" i="11"/>
  <c r="C143" i="11"/>
  <c r="B143" i="11"/>
  <c r="A143" i="11"/>
  <c r="E142" i="11"/>
  <c r="D142" i="11"/>
  <c r="C142" i="11"/>
  <c r="B142" i="11"/>
  <c r="A142" i="11"/>
  <c r="E141" i="11"/>
  <c r="D141" i="11"/>
  <c r="C141" i="11"/>
  <c r="B141" i="11"/>
  <c r="A141" i="11"/>
  <c r="E140" i="11"/>
  <c r="D140" i="11"/>
  <c r="C140" i="11"/>
  <c r="B140" i="11"/>
  <c r="A140" i="11"/>
  <c r="E139" i="11"/>
  <c r="D139" i="11"/>
  <c r="C139" i="11"/>
  <c r="B139" i="11"/>
  <c r="A139" i="11"/>
  <c r="E138" i="11"/>
  <c r="D138" i="11"/>
  <c r="C138" i="11"/>
  <c r="B138" i="11"/>
  <c r="A138" i="11"/>
  <c r="E137" i="11"/>
  <c r="D137" i="11"/>
  <c r="C137" i="11"/>
  <c r="B137" i="11"/>
  <c r="A137" i="11"/>
  <c r="E136" i="11"/>
  <c r="D136" i="11"/>
  <c r="C136" i="11"/>
  <c r="B136" i="11"/>
  <c r="A136" i="11"/>
  <c r="E135" i="11"/>
  <c r="D135" i="11"/>
  <c r="C135" i="11"/>
  <c r="B135" i="11"/>
  <c r="A135" i="11"/>
  <c r="E134" i="11"/>
  <c r="D134" i="11"/>
  <c r="C134" i="11"/>
  <c r="B134" i="11"/>
  <c r="A134" i="11"/>
  <c r="E133" i="11"/>
  <c r="D133" i="11"/>
  <c r="C133" i="11"/>
  <c r="B133" i="11"/>
  <c r="A133" i="11"/>
  <c r="E132" i="11"/>
  <c r="D132" i="11"/>
  <c r="C132" i="11"/>
  <c r="B132" i="11"/>
  <c r="A132" i="11"/>
  <c r="E131" i="11"/>
  <c r="D131" i="11"/>
  <c r="C131" i="11"/>
  <c r="B131" i="11"/>
  <c r="A131" i="11"/>
  <c r="E130" i="11"/>
  <c r="D130" i="11"/>
  <c r="C130" i="11"/>
  <c r="B130" i="11"/>
  <c r="A130" i="11"/>
  <c r="E129" i="11"/>
  <c r="D129" i="11"/>
  <c r="C129" i="11"/>
  <c r="B129" i="11"/>
  <c r="A129" i="11"/>
  <c r="E128" i="11"/>
  <c r="D128" i="11"/>
  <c r="C128" i="11"/>
  <c r="B128" i="11"/>
  <c r="A128" i="11"/>
  <c r="E127" i="11"/>
  <c r="D127" i="11"/>
  <c r="C127" i="11"/>
  <c r="B127" i="11"/>
  <c r="A127" i="11"/>
  <c r="E126" i="11"/>
  <c r="D126" i="11"/>
  <c r="C126" i="11"/>
  <c r="B126" i="11"/>
  <c r="A126" i="11"/>
  <c r="E125" i="11"/>
  <c r="D125" i="11"/>
  <c r="C125" i="11"/>
  <c r="B125" i="11"/>
  <c r="A125" i="11"/>
  <c r="E124" i="11"/>
  <c r="D124" i="11"/>
  <c r="C124" i="11"/>
  <c r="B124" i="11"/>
  <c r="A124" i="11"/>
  <c r="E123" i="11"/>
  <c r="D123" i="11"/>
  <c r="C123" i="11"/>
  <c r="B123" i="11"/>
  <c r="A123" i="11"/>
  <c r="E122" i="11"/>
  <c r="D122" i="11"/>
  <c r="C122" i="11"/>
  <c r="B122" i="11"/>
  <c r="A122" i="11"/>
  <c r="E121" i="11"/>
  <c r="D121" i="11"/>
  <c r="C121" i="11"/>
  <c r="B121" i="11"/>
  <c r="A121" i="11"/>
  <c r="E120" i="11"/>
  <c r="D120" i="11"/>
  <c r="C120" i="11"/>
  <c r="B120" i="11"/>
  <c r="A120" i="11"/>
  <c r="E119" i="11"/>
  <c r="D119" i="11"/>
  <c r="C119" i="11"/>
  <c r="B119" i="11"/>
  <c r="A119" i="11"/>
  <c r="E118" i="11"/>
  <c r="D118" i="11"/>
  <c r="C118" i="11"/>
  <c r="B118" i="11"/>
  <c r="A118" i="11"/>
  <c r="E117" i="11"/>
  <c r="D117" i="11"/>
  <c r="C117" i="11"/>
  <c r="B117" i="11"/>
  <c r="A117" i="11"/>
  <c r="E116" i="11"/>
  <c r="D116" i="11"/>
  <c r="C116" i="11"/>
  <c r="B116" i="11"/>
  <c r="A116" i="11"/>
  <c r="E115" i="11"/>
  <c r="D115" i="11"/>
  <c r="C115" i="11"/>
  <c r="B115" i="11"/>
  <c r="A115" i="11"/>
  <c r="E114" i="11"/>
  <c r="D114" i="11"/>
  <c r="C114" i="11"/>
  <c r="B114" i="11"/>
  <c r="A114" i="11"/>
  <c r="E113" i="11"/>
  <c r="D113" i="11"/>
  <c r="C113" i="11"/>
  <c r="B113" i="11"/>
  <c r="A113" i="11"/>
  <c r="E112" i="11"/>
  <c r="D112" i="11"/>
  <c r="C112" i="11"/>
  <c r="B112" i="11"/>
  <c r="A112" i="11"/>
  <c r="E111" i="11"/>
  <c r="D111" i="11"/>
  <c r="C111" i="11"/>
  <c r="B111" i="11"/>
  <c r="A111" i="11"/>
  <c r="E110" i="11"/>
  <c r="D110" i="11"/>
  <c r="C110" i="11"/>
  <c r="B110" i="11"/>
  <c r="A110" i="11"/>
  <c r="E109" i="11"/>
  <c r="D109" i="11"/>
  <c r="C109" i="11"/>
  <c r="B109" i="11"/>
  <c r="A109" i="11"/>
  <c r="E108" i="11"/>
  <c r="D108" i="11"/>
  <c r="C108" i="11"/>
  <c r="B108" i="11"/>
  <c r="A108" i="11"/>
  <c r="E107" i="11"/>
  <c r="D107" i="11"/>
  <c r="C107" i="11"/>
  <c r="B107" i="11"/>
  <c r="A107" i="11"/>
  <c r="E106" i="11"/>
  <c r="D106" i="11"/>
  <c r="C106" i="11"/>
  <c r="B106" i="11"/>
  <c r="A106" i="11"/>
  <c r="E105" i="11"/>
  <c r="D105" i="11"/>
  <c r="C105" i="11"/>
  <c r="B105" i="11"/>
  <c r="A105" i="11"/>
  <c r="E104" i="11"/>
  <c r="D104" i="11"/>
  <c r="C104" i="11"/>
  <c r="B104" i="11"/>
  <c r="A104" i="11"/>
  <c r="E103" i="11"/>
  <c r="D103" i="11"/>
  <c r="C103" i="11"/>
  <c r="B103" i="11"/>
  <c r="A103" i="11"/>
  <c r="E102" i="11"/>
  <c r="D102" i="11"/>
  <c r="C102" i="11"/>
  <c r="B102" i="11"/>
  <c r="A102" i="11"/>
  <c r="E101" i="11"/>
  <c r="D101" i="11"/>
  <c r="C101" i="11"/>
  <c r="B101" i="11"/>
  <c r="A101" i="11"/>
  <c r="E100" i="11"/>
  <c r="D100" i="11"/>
  <c r="C100" i="11"/>
  <c r="B100" i="11"/>
  <c r="A100" i="11"/>
  <c r="E99" i="11"/>
  <c r="D99" i="11"/>
  <c r="C99" i="11"/>
  <c r="B99" i="11"/>
  <c r="A99" i="11"/>
  <c r="E98" i="11"/>
  <c r="D98" i="11"/>
  <c r="C98" i="11"/>
  <c r="B98" i="11"/>
  <c r="A98" i="11"/>
  <c r="E97" i="11"/>
  <c r="D97" i="11"/>
  <c r="C97" i="11"/>
  <c r="B97" i="11"/>
  <c r="A97" i="11"/>
  <c r="E96" i="11"/>
  <c r="D96" i="11"/>
  <c r="C96" i="11"/>
  <c r="B96" i="11"/>
  <c r="A96" i="11"/>
  <c r="E95" i="11"/>
  <c r="D95" i="11"/>
  <c r="C95" i="11"/>
  <c r="B95" i="11"/>
  <c r="A95" i="11"/>
  <c r="E94" i="11"/>
  <c r="D94" i="11"/>
  <c r="C94" i="11"/>
  <c r="B94" i="11"/>
  <c r="A94" i="11"/>
  <c r="E93" i="11"/>
  <c r="D93" i="11"/>
  <c r="C93" i="11"/>
  <c r="B93" i="11"/>
  <c r="A93" i="11"/>
  <c r="E92" i="11"/>
  <c r="D92" i="11"/>
  <c r="C92" i="11"/>
  <c r="B92" i="11"/>
  <c r="A92" i="11"/>
  <c r="E91" i="11"/>
  <c r="D91" i="11"/>
  <c r="C91" i="11"/>
  <c r="B91" i="11"/>
  <c r="A91" i="11"/>
  <c r="E90" i="11"/>
  <c r="D90" i="11"/>
  <c r="C90" i="11"/>
  <c r="B90" i="11"/>
  <c r="A90" i="11"/>
  <c r="E89" i="11"/>
  <c r="D89" i="11"/>
  <c r="C89" i="11"/>
  <c r="B89" i="11"/>
  <c r="A89" i="11"/>
  <c r="E88" i="11"/>
  <c r="D88" i="11"/>
  <c r="C88" i="11"/>
  <c r="B88" i="11"/>
  <c r="A88" i="11"/>
  <c r="E87" i="11"/>
  <c r="D87" i="11"/>
  <c r="C87" i="11"/>
  <c r="B87" i="11"/>
  <c r="A87" i="11"/>
  <c r="E86" i="11"/>
  <c r="D86" i="11"/>
  <c r="C86" i="11"/>
  <c r="B86" i="11"/>
  <c r="A86" i="11"/>
  <c r="E85" i="11"/>
  <c r="D85" i="11"/>
  <c r="C85" i="11"/>
  <c r="B85" i="11"/>
  <c r="A85" i="11"/>
  <c r="E84" i="11"/>
  <c r="D84" i="11"/>
  <c r="C84" i="11"/>
  <c r="B84" i="11"/>
  <c r="A84" i="11"/>
  <c r="E83" i="11"/>
  <c r="D83" i="11"/>
  <c r="C83" i="11"/>
  <c r="B83" i="11"/>
  <c r="A83" i="11"/>
  <c r="E82" i="11"/>
  <c r="D82" i="11"/>
  <c r="C82" i="11"/>
  <c r="B82" i="11"/>
  <c r="A82" i="11"/>
  <c r="E81" i="11"/>
  <c r="D81" i="11"/>
  <c r="C81" i="11"/>
  <c r="B81" i="11"/>
  <c r="A81" i="11"/>
  <c r="E80" i="11"/>
  <c r="D80" i="11"/>
  <c r="C80" i="11"/>
  <c r="B80" i="11"/>
  <c r="A80" i="11"/>
  <c r="E79" i="11"/>
  <c r="D79" i="11"/>
  <c r="C79" i="11"/>
  <c r="B79" i="11"/>
  <c r="A79" i="11"/>
  <c r="E78" i="11"/>
  <c r="D78" i="11"/>
  <c r="C78" i="11"/>
  <c r="B78" i="11"/>
  <c r="A78" i="11"/>
  <c r="E77" i="11"/>
  <c r="D77" i="11"/>
  <c r="C77" i="11"/>
  <c r="B77" i="11"/>
  <c r="A77" i="11"/>
  <c r="E76" i="11"/>
  <c r="D76" i="11"/>
  <c r="C76" i="11"/>
  <c r="B76" i="11"/>
  <c r="A76" i="11"/>
  <c r="E75" i="11"/>
  <c r="D75" i="11"/>
  <c r="C75" i="11"/>
  <c r="B75" i="11"/>
  <c r="A75" i="11"/>
  <c r="E74" i="11"/>
  <c r="D74" i="11"/>
  <c r="C74" i="11"/>
  <c r="B74" i="11"/>
  <c r="A74" i="11"/>
  <c r="E73" i="11"/>
  <c r="D73" i="11"/>
  <c r="C73" i="11"/>
  <c r="B73" i="11"/>
  <c r="A73" i="11"/>
  <c r="E72" i="11"/>
  <c r="D72" i="11"/>
  <c r="C72" i="11"/>
  <c r="B72" i="11"/>
  <c r="A72" i="11"/>
  <c r="E71" i="11"/>
  <c r="D71" i="11"/>
  <c r="C71" i="11"/>
  <c r="B71" i="11"/>
  <c r="A71" i="11"/>
  <c r="E70" i="11"/>
  <c r="D70" i="11"/>
  <c r="C70" i="11"/>
  <c r="B70" i="11"/>
  <c r="A70" i="11"/>
  <c r="E69" i="11"/>
  <c r="D69" i="11"/>
  <c r="C69" i="11"/>
  <c r="B69" i="11"/>
  <c r="A69" i="11"/>
  <c r="E68" i="11"/>
  <c r="D68" i="11"/>
  <c r="C68" i="11"/>
  <c r="B68" i="11"/>
  <c r="A68" i="11"/>
  <c r="E67" i="11"/>
  <c r="D67" i="11"/>
  <c r="C67" i="11"/>
  <c r="B67" i="11"/>
  <c r="A67" i="11"/>
  <c r="E66" i="11"/>
  <c r="D66" i="11"/>
  <c r="C66" i="11"/>
  <c r="B66" i="11"/>
  <c r="A66" i="11"/>
  <c r="E65" i="11"/>
  <c r="D65" i="11"/>
  <c r="C65" i="11"/>
  <c r="B65" i="11"/>
  <c r="A65" i="11"/>
  <c r="E64" i="11"/>
  <c r="D64" i="11"/>
  <c r="C64" i="11"/>
  <c r="B64" i="11"/>
  <c r="A64" i="11"/>
  <c r="E63" i="11"/>
  <c r="D63" i="11"/>
  <c r="C63" i="11"/>
  <c r="B63" i="11"/>
  <c r="A63" i="11"/>
  <c r="E62" i="11"/>
  <c r="D62" i="11"/>
  <c r="C62" i="11"/>
  <c r="B62" i="11"/>
  <c r="A62" i="11"/>
  <c r="E61" i="11"/>
  <c r="D61" i="11"/>
  <c r="C61" i="11"/>
  <c r="B61" i="11"/>
  <c r="A61" i="11"/>
  <c r="E60" i="11"/>
  <c r="D60" i="11"/>
  <c r="C60" i="11"/>
  <c r="B60" i="11"/>
  <c r="A60" i="11"/>
  <c r="E59" i="11"/>
  <c r="D59" i="11"/>
  <c r="C59" i="11"/>
  <c r="B59" i="11"/>
  <c r="A59" i="11"/>
  <c r="AI125" i="6"/>
  <c r="AH151" i="6"/>
  <c r="AH192" i="6"/>
  <c r="C1" i="6"/>
  <c r="B1" i="6"/>
  <c r="AJ143" i="6" l="1"/>
  <c r="AJ133" i="6"/>
  <c r="AH133" i="6"/>
  <c r="AH131" i="6"/>
  <c r="AH114" i="6"/>
  <c r="AH145" i="6"/>
  <c r="AH115" i="6"/>
  <c r="AJ81" i="6"/>
  <c r="AH153" i="6"/>
  <c r="AJ158" i="6"/>
  <c r="AH104" i="6"/>
  <c r="AJ147" i="6"/>
  <c r="AJ139" i="6"/>
  <c r="AH188" i="6"/>
  <c r="AJ114" i="6"/>
  <c r="AJ102" i="6"/>
  <c r="AJ101" i="6"/>
  <c r="AH199" i="6"/>
  <c r="AI145" i="6"/>
  <c r="AH129" i="6"/>
  <c r="AJ69" i="6"/>
  <c r="AH127" i="6"/>
  <c r="AH116" i="6"/>
  <c r="AJ76" i="6"/>
  <c r="AH203" i="6"/>
  <c r="AH172" i="6"/>
  <c r="AI160" i="6"/>
  <c r="AJ152" i="6"/>
  <c r="AI86" i="6"/>
  <c r="AI115" i="6"/>
  <c r="AJ108" i="6"/>
  <c r="AH68" i="6"/>
  <c r="AH66" i="6"/>
  <c r="AJ116" i="6"/>
  <c r="AJ80" i="6"/>
  <c r="AJ202" i="6"/>
  <c r="AJ197" i="6"/>
  <c r="AI196" i="6"/>
  <c r="AJ184" i="6"/>
  <c r="AJ168" i="6"/>
  <c r="AH164" i="6"/>
  <c r="AJ163" i="6"/>
  <c r="AJ162" i="6"/>
  <c r="AI159" i="6"/>
  <c r="AH156" i="6"/>
  <c r="AI152" i="6"/>
  <c r="AH147" i="6"/>
  <c r="AH143" i="6"/>
  <c r="AH135" i="6"/>
  <c r="AI133" i="6"/>
  <c r="AH196" i="6"/>
  <c r="AI195" i="6"/>
  <c r="AJ172" i="6"/>
  <c r="AJ171" i="6"/>
  <c r="AH168" i="6"/>
  <c r="AI129" i="6"/>
  <c r="AI117" i="6"/>
  <c r="AI172" i="6"/>
  <c r="AI171" i="6"/>
  <c r="AI137" i="6"/>
  <c r="AI136" i="6"/>
  <c r="AJ129" i="6"/>
  <c r="AI124" i="6"/>
  <c r="AI107" i="6"/>
  <c r="AH82" i="6"/>
  <c r="AI73" i="6"/>
  <c r="AJ73" i="6"/>
  <c r="AH102" i="6"/>
  <c r="AJ92" i="6"/>
  <c r="AH94" i="6"/>
  <c r="AJ84" i="6"/>
  <c r="AJ156" i="6"/>
  <c r="AH150" i="6"/>
  <c r="AJ149" i="6"/>
  <c r="AH149" i="6"/>
  <c r="AJ112" i="6"/>
  <c r="AI105" i="6"/>
  <c r="AJ105" i="6"/>
  <c r="AH189" i="6"/>
  <c r="AI184" i="6"/>
  <c r="AH184" i="6"/>
  <c r="AH160" i="6"/>
  <c r="AJ155" i="6"/>
  <c r="AI144" i="6"/>
  <c r="AH125" i="6"/>
  <c r="AH119" i="6"/>
  <c r="AI119" i="6"/>
  <c r="AJ70" i="6"/>
  <c r="AH70" i="6"/>
  <c r="AJ203" i="6"/>
  <c r="AI193" i="6"/>
  <c r="AJ188" i="6"/>
  <c r="AI183" i="6"/>
  <c r="AJ183" i="6"/>
  <c r="AH180" i="6"/>
  <c r="AH176" i="6"/>
  <c r="AJ166" i="6"/>
  <c r="AJ160" i="6"/>
  <c r="AI156" i="6"/>
  <c r="AI155" i="6"/>
  <c r="AI150" i="6"/>
  <c r="AI149" i="6"/>
  <c r="AH146" i="6"/>
  <c r="AI103" i="6"/>
  <c r="AJ93" i="6"/>
  <c r="AI148" i="6"/>
  <c r="AJ144" i="6"/>
  <c r="AH141" i="6"/>
  <c r="AI106" i="6"/>
  <c r="AJ106" i="6"/>
  <c r="AH106" i="6"/>
  <c r="AI179" i="6"/>
  <c r="AJ159" i="6"/>
  <c r="AH197" i="6"/>
  <c r="AJ194" i="6"/>
  <c r="AJ186" i="6"/>
  <c r="AJ179" i="6"/>
  <c r="AJ196" i="6"/>
  <c r="AJ195" i="6"/>
  <c r="AJ174" i="6"/>
  <c r="AJ164" i="6"/>
  <c r="AJ113" i="6"/>
  <c r="AH111" i="6"/>
  <c r="AI109" i="6"/>
  <c r="AI97" i="6"/>
  <c r="AJ97" i="6"/>
  <c r="AJ77" i="6"/>
  <c r="AI77" i="6"/>
  <c r="AI90" i="6"/>
  <c r="AH74" i="6"/>
  <c r="AJ137" i="6"/>
  <c r="AH110" i="6"/>
  <c r="AI110" i="6"/>
  <c r="AH107" i="6"/>
  <c r="AJ82" i="6"/>
  <c r="AJ117" i="6"/>
  <c r="AI67" i="6"/>
  <c r="AH201" i="6"/>
  <c r="AJ201" i="6"/>
  <c r="AI202" i="6"/>
  <c r="AI198" i="6"/>
  <c r="AJ198" i="6"/>
  <c r="AH193" i="6"/>
  <c r="AI180" i="6"/>
  <c r="AJ178" i="6"/>
  <c r="AJ167" i="6"/>
  <c r="AJ154" i="6"/>
  <c r="AI153" i="6"/>
  <c r="AJ151" i="6"/>
  <c r="AJ148" i="6"/>
  <c r="AI146" i="6"/>
  <c r="AJ145" i="6"/>
  <c r="AI141" i="6"/>
  <c r="AJ141" i="6"/>
  <c r="AH139" i="6"/>
  <c r="AJ135" i="6"/>
  <c r="AJ118" i="6"/>
  <c r="AH98" i="6"/>
  <c r="AI98" i="6"/>
  <c r="AJ98" i="6"/>
  <c r="AI192" i="6"/>
  <c r="AJ192" i="6"/>
  <c r="AI191" i="6"/>
  <c r="AJ191" i="6"/>
  <c r="AI187" i="6"/>
  <c r="AI176" i="6"/>
  <c r="AJ176" i="6"/>
  <c r="AH190" i="6"/>
  <c r="AI163" i="6"/>
  <c r="AI199" i="6"/>
  <c r="AJ199" i="6"/>
  <c r="AJ187" i="6"/>
  <c r="AH181" i="6"/>
  <c r="AJ180" i="6"/>
  <c r="AI175" i="6"/>
  <c r="AJ175" i="6"/>
  <c r="AJ170" i="6"/>
  <c r="AI167" i="6"/>
  <c r="AJ153" i="6"/>
  <c r="AH123" i="6"/>
  <c r="AI123" i="6"/>
  <c r="AJ123" i="6"/>
  <c r="AI118" i="6"/>
  <c r="AH118" i="6"/>
  <c r="AI78" i="6"/>
  <c r="AJ78" i="6"/>
  <c r="AH78" i="6"/>
  <c r="AJ122" i="6"/>
  <c r="AJ121" i="6"/>
  <c r="AJ120" i="6"/>
  <c r="AI114" i="6"/>
  <c r="AI62" i="6"/>
  <c r="AJ62" i="6"/>
  <c r="AH62" i="6"/>
  <c r="AI203" i="6"/>
  <c r="AH194" i="6"/>
  <c r="AI188" i="6"/>
  <c r="AI168" i="6"/>
  <c r="AI164" i="6"/>
  <c r="AH137" i="6"/>
  <c r="AI132" i="6"/>
  <c r="AI128" i="6"/>
  <c r="AJ125" i="6"/>
  <c r="AI122" i="6"/>
  <c r="AI113" i="6"/>
  <c r="AJ109" i="6"/>
  <c r="AJ72" i="6"/>
  <c r="AH72" i="6"/>
  <c r="AH63" i="6"/>
  <c r="AI63" i="6"/>
  <c r="AJ96" i="6"/>
  <c r="AJ131" i="6"/>
  <c r="AJ127" i="6"/>
  <c r="AH122" i="6"/>
  <c r="AI121" i="6"/>
  <c r="AH120" i="6"/>
  <c r="AH108" i="6"/>
  <c r="AH112" i="6"/>
  <c r="AI111" i="6"/>
  <c r="AJ110" i="6"/>
  <c r="AH103" i="6"/>
  <c r="AI102" i="6"/>
  <c r="AI101" i="6"/>
  <c r="AJ100" i="6"/>
  <c r="AH90" i="6"/>
  <c r="AI89" i="6"/>
  <c r="AJ88" i="6"/>
  <c r="AH86" i="6"/>
  <c r="AI85" i="6"/>
  <c r="AJ85" i="6"/>
  <c r="AI61" i="6"/>
  <c r="AJ61" i="6"/>
  <c r="AH60" i="6"/>
  <c r="AJ60" i="6"/>
  <c r="AI94" i="6"/>
  <c r="AI93" i="6"/>
  <c r="AJ86" i="6"/>
  <c r="AI74" i="6"/>
  <c r="AJ74" i="6"/>
  <c r="AJ104" i="6"/>
  <c r="AJ94" i="6"/>
  <c r="AJ90" i="6"/>
  <c r="AJ89" i="6"/>
  <c r="AH64" i="6"/>
  <c r="AJ64" i="6"/>
  <c r="AI82" i="6"/>
  <c r="AI81" i="6"/>
  <c r="AI70" i="6"/>
  <c r="AI69" i="6"/>
  <c r="AJ68" i="6"/>
  <c r="AH67" i="6"/>
  <c r="AJ66" i="6"/>
  <c r="AJ65" i="6"/>
  <c r="AI66" i="6"/>
  <c r="AI65" i="6"/>
  <c r="AI185" i="6"/>
  <c r="AJ185" i="6"/>
  <c r="AH202" i="6"/>
  <c r="AI201" i="6"/>
  <c r="AJ200" i="6"/>
  <c r="AH198" i="6"/>
  <c r="AI197" i="6"/>
  <c r="AH195" i="6"/>
  <c r="AJ193" i="6"/>
  <c r="AJ190" i="6"/>
  <c r="AI189" i="6"/>
  <c r="AJ189" i="6"/>
  <c r="AH186" i="6"/>
  <c r="AI186" i="6"/>
  <c r="AH173" i="6"/>
  <c r="AI173" i="6"/>
  <c r="AJ173" i="6"/>
  <c r="AH157" i="6"/>
  <c r="AI157" i="6"/>
  <c r="AJ157" i="6"/>
  <c r="AH138" i="6"/>
  <c r="AI138" i="6"/>
  <c r="AJ138" i="6"/>
  <c r="AH169" i="6"/>
  <c r="AI169" i="6"/>
  <c r="AJ169" i="6"/>
  <c r="AI200" i="6"/>
  <c r="AI190" i="6"/>
  <c r="AH177" i="6"/>
  <c r="AI177" i="6"/>
  <c r="AJ177" i="6"/>
  <c r="AH161" i="6"/>
  <c r="AI161" i="6"/>
  <c r="AJ161" i="6"/>
  <c r="AJ142" i="6"/>
  <c r="AH142" i="6"/>
  <c r="AI142" i="6"/>
  <c r="AH182" i="6"/>
  <c r="AI182" i="6"/>
  <c r="AH200" i="6"/>
  <c r="AI194" i="6"/>
  <c r="AH191" i="6"/>
  <c r="AH185" i="6"/>
  <c r="AJ182" i="6"/>
  <c r="AI181" i="6"/>
  <c r="AJ181" i="6"/>
  <c r="AH165" i="6"/>
  <c r="AI165" i="6"/>
  <c r="AJ165" i="6"/>
  <c r="AH187" i="6"/>
  <c r="AH183" i="6"/>
  <c r="AH179" i="6"/>
  <c r="AI178" i="6"/>
  <c r="AH175" i="6"/>
  <c r="AI174" i="6"/>
  <c r="AH171" i="6"/>
  <c r="AI170" i="6"/>
  <c r="AH167" i="6"/>
  <c r="AI166" i="6"/>
  <c r="AH163" i="6"/>
  <c r="AI162" i="6"/>
  <c r="AH159" i="6"/>
  <c r="AI158" i="6"/>
  <c r="AH155" i="6"/>
  <c r="AI154" i="6"/>
  <c r="AH152" i="6"/>
  <c r="AJ150" i="6"/>
  <c r="AI147" i="6"/>
  <c r="AH144" i="6"/>
  <c r="AH126" i="6"/>
  <c r="AI126" i="6"/>
  <c r="AJ126" i="6"/>
  <c r="AH71" i="6"/>
  <c r="AI71" i="6"/>
  <c r="AJ71" i="6"/>
  <c r="AH178" i="6"/>
  <c r="AH174" i="6"/>
  <c r="AH170" i="6"/>
  <c r="AH166" i="6"/>
  <c r="AH162" i="6"/>
  <c r="AH158" i="6"/>
  <c r="AH154" i="6"/>
  <c r="AI140" i="6"/>
  <c r="AH130" i="6"/>
  <c r="AI130" i="6"/>
  <c r="AJ130" i="6"/>
  <c r="AH75" i="6"/>
  <c r="AI75" i="6"/>
  <c r="AJ75" i="6"/>
  <c r="AI151" i="6"/>
  <c r="AH148" i="6"/>
  <c r="AJ146" i="6"/>
  <c r="AI143" i="6"/>
  <c r="AJ140" i="6"/>
  <c r="AH140" i="6"/>
  <c r="AH134" i="6"/>
  <c r="AI134" i="6"/>
  <c r="AJ134" i="6"/>
  <c r="AH91" i="6"/>
  <c r="AI91" i="6"/>
  <c r="AJ91" i="6"/>
  <c r="AI139" i="6"/>
  <c r="AH136" i="6"/>
  <c r="AI135" i="6"/>
  <c r="AH132" i="6"/>
  <c r="AI131" i="6"/>
  <c r="AH128" i="6"/>
  <c r="AI127" i="6"/>
  <c r="AH124" i="6"/>
  <c r="AI120" i="6"/>
  <c r="AH117" i="6"/>
  <c r="AJ115" i="6"/>
  <c r="AI112" i="6"/>
  <c r="AH109" i="6"/>
  <c r="AJ107" i="6"/>
  <c r="AI104" i="6"/>
  <c r="AH95" i="6"/>
  <c r="AI95" i="6"/>
  <c r="AJ95" i="6"/>
  <c r="AH79" i="6"/>
  <c r="AI79" i="6"/>
  <c r="AJ79" i="6"/>
  <c r="AH99" i="6"/>
  <c r="AI99" i="6"/>
  <c r="AJ99" i="6"/>
  <c r="AH83" i="6"/>
  <c r="AI83" i="6"/>
  <c r="AJ83" i="6"/>
  <c r="AJ136" i="6"/>
  <c r="AJ132" i="6"/>
  <c r="AJ128" i="6"/>
  <c r="AJ124" i="6"/>
  <c r="AH121" i="6"/>
  <c r="AJ119" i="6"/>
  <c r="AI116" i="6"/>
  <c r="AH113" i="6"/>
  <c r="AJ111" i="6"/>
  <c r="AI108" i="6"/>
  <c r="AH105" i="6"/>
  <c r="AJ103" i="6"/>
  <c r="AH87" i="6"/>
  <c r="AI87" i="6"/>
  <c r="AJ87" i="6"/>
  <c r="AH101" i="6"/>
  <c r="AI100" i="6"/>
  <c r="AH97" i="6"/>
  <c r="AI96" i="6"/>
  <c r="AH93" i="6"/>
  <c r="AI92" i="6"/>
  <c r="AH89" i="6"/>
  <c r="AI88" i="6"/>
  <c r="AH85" i="6"/>
  <c r="AI84" i="6"/>
  <c r="AH81" i="6"/>
  <c r="AI80" i="6"/>
  <c r="AH77" i="6"/>
  <c r="AI76" i="6"/>
  <c r="AH73" i="6"/>
  <c r="AI72" i="6"/>
  <c r="AH69" i="6"/>
  <c r="AI68" i="6"/>
  <c r="AJ67" i="6"/>
  <c r="AI64" i="6"/>
  <c r="AH61" i="6"/>
  <c r="AH100" i="6"/>
  <c r="AH96" i="6"/>
  <c r="AH92" i="6"/>
  <c r="AH88" i="6"/>
  <c r="AH84" i="6"/>
  <c r="AH80" i="6"/>
  <c r="AH76" i="6"/>
  <c r="AH65" i="6"/>
  <c r="AJ63" i="6"/>
  <c r="AI60" i="6"/>
  <c r="AB2" i="6" l="1"/>
  <c r="Y2" i="6"/>
  <c r="V2" i="6"/>
  <c r="S2" i="6"/>
  <c r="P2" i="6"/>
  <c r="J2" i="6"/>
  <c r="G2" i="6"/>
  <c r="N1" i="12"/>
  <c r="M1" i="12"/>
  <c r="D202" i="12"/>
  <c r="A202" i="12"/>
  <c r="D201" i="12"/>
  <c r="A201" i="12"/>
  <c r="D200" i="12"/>
  <c r="A200" i="12"/>
  <c r="D199" i="12"/>
  <c r="A199" i="12"/>
  <c r="D198" i="12"/>
  <c r="A198" i="12"/>
  <c r="D197" i="12"/>
  <c r="A197" i="12"/>
  <c r="D196" i="12"/>
  <c r="A196" i="12"/>
  <c r="D195" i="12"/>
  <c r="A195" i="12"/>
  <c r="D194" i="12"/>
  <c r="A194" i="12"/>
  <c r="D193" i="12"/>
  <c r="A193" i="12"/>
  <c r="D192" i="12"/>
  <c r="A192" i="12"/>
  <c r="D191" i="12"/>
  <c r="A191" i="12"/>
  <c r="D190" i="12"/>
  <c r="A190" i="12"/>
  <c r="D189" i="12"/>
  <c r="A189" i="12"/>
  <c r="D188" i="12"/>
  <c r="A188" i="12"/>
  <c r="D187" i="12"/>
  <c r="A187" i="12"/>
  <c r="D186" i="12"/>
  <c r="A186" i="12"/>
  <c r="D185" i="12"/>
  <c r="A185" i="12"/>
  <c r="D184" i="12"/>
  <c r="A184" i="12"/>
  <c r="D183" i="12"/>
  <c r="A183" i="12"/>
  <c r="D182" i="12"/>
  <c r="A182" i="12"/>
  <c r="D181" i="12"/>
  <c r="A181" i="12"/>
  <c r="D180" i="12"/>
  <c r="A180" i="12"/>
  <c r="D179" i="12"/>
  <c r="A179" i="12"/>
  <c r="D178" i="12"/>
  <c r="A178" i="12"/>
  <c r="D177" i="12"/>
  <c r="A177" i="12"/>
  <c r="D176" i="12"/>
  <c r="A176" i="12"/>
  <c r="D175" i="12"/>
  <c r="A175" i="12"/>
  <c r="D174" i="12"/>
  <c r="A174" i="12"/>
  <c r="D173" i="12"/>
  <c r="A173" i="12"/>
  <c r="D172" i="12"/>
  <c r="A172" i="12"/>
  <c r="D171" i="12"/>
  <c r="A171" i="12"/>
  <c r="D170" i="12"/>
  <c r="A170" i="12"/>
  <c r="D169" i="12"/>
  <c r="A169" i="12"/>
  <c r="D168" i="12"/>
  <c r="A168" i="12"/>
  <c r="D167" i="12"/>
  <c r="A167" i="12"/>
  <c r="D166" i="12"/>
  <c r="A166" i="12"/>
  <c r="D165" i="12"/>
  <c r="A165" i="12"/>
  <c r="D164" i="12"/>
  <c r="A164" i="12"/>
  <c r="D163" i="12"/>
  <c r="A163" i="12"/>
  <c r="D162" i="12"/>
  <c r="A162" i="12"/>
  <c r="D161" i="12"/>
  <c r="A161" i="12"/>
  <c r="D160" i="12"/>
  <c r="A160" i="12"/>
  <c r="D159" i="12"/>
  <c r="A159" i="12"/>
  <c r="D158" i="12"/>
  <c r="A158" i="12"/>
  <c r="D157" i="12"/>
  <c r="A157" i="12"/>
  <c r="D156" i="12"/>
  <c r="A156" i="12"/>
  <c r="D155" i="12"/>
  <c r="A155" i="12"/>
  <c r="D154" i="12"/>
  <c r="A154" i="12"/>
  <c r="D153" i="12"/>
  <c r="A153" i="12"/>
  <c r="D152" i="12"/>
  <c r="A152" i="12"/>
  <c r="D151" i="12"/>
  <c r="A151" i="12"/>
  <c r="D150" i="12"/>
  <c r="A150" i="12"/>
  <c r="D149" i="12"/>
  <c r="A149" i="12"/>
  <c r="D148" i="12"/>
  <c r="A148" i="12"/>
  <c r="D147" i="12"/>
  <c r="A147" i="12"/>
  <c r="D146" i="12"/>
  <c r="A146" i="12"/>
  <c r="D145" i="12"/>
  <c r="A145" i="12"/>
  <c r="D144" i="12"/>
  <c r="A144" i="12"/>
  <c r="D143" i="12"/>
  <c r="A143" i="12"/>
  <c r="D142" i="12"/>
  <c r="A142" i="12"/>
  <c r="D141" i="12"/>
  <c r="A141" i="12"/>
  <c r="D140" i="12"/>
  <c r="A140" i="12"/>
  <c r="D139" i="12"/>
  <c r="A139" i="12"/>
  <c r="D138" i="12"/>
  <c r="A138" i="12"/>
  <c r="D137" i="12"/>
  <c r="A137" i="12"/>
  <c r="D136" i="12"/>
  <c r="A136" i="12"/>
  <c r="D135" i="12"/>
  <c r="A135" i="12"/>
  <c r="D134" i="12"/>
  <c r="A134" i="12"/>
  <c r="D133" i="12"/>
  <c r="A133" i="12"/>
  <c r="D132" i="12"/>
  <c r="A132" i="12"/>
  <c r="D131" i="12"/>
  <c r="A131" i="12"/>
  <c r="D130" i="12"/>
  <c r="A130" i="12"/>
  <c r="D129" i="12"/>
  <c r="A129" i="12"/>
  <c r="D128" i="12"/>
  <c r="A128" i="12"/>
  <c r="D127" i="12"/>
  <c r="A127" i="12"/>
  <c r="D126" i="12"/>
  <c r="A126" i="12"/>
  <c r="D125" i="12"/>
  <c r="A125" i="12"/>
  <c r="D124" i="12"/>
  <c r="A124" i="12"/>
  <c r="D123" i="12"/>
  <c r="A123" i="12"/>
  <c r="D122" i="12"/>
  <c r="A122" i="12"/>
  <c r="D121" i="12"/>
  <c r="A121" i="12"/>
  <c r="D120" i="12"/>
  <c r="A120" i="12"/>
  <c r="D119" i="12"/>
  <c r="A119" i="12"/>
  <c r="D118" i="12"/>
  <c r="A118" i="12"/>
  <c r="D117" i="12"/>
  <c r="A117" i="12"/>
  <c r="D116" i="12"/>
  <c r="A116" i="12"/>
  <c r="D115" i="12"/>
  <c r="A115" i="12"/>
  <c r="D114" i="12"/>
  <c r="A114" i="12"/>
  <c r="D113" i="12"/>
  <c r="A113" i="12"/>
  <c r="D112" i="12"/>
  <c r="A112" i="12"/>
  <c r="D111" i="12"/>
  <c r="A111" i="12"/>
  <c r="D110" i="12"/>
  <c r="A110" i="12"/>
  <c r="D109" i="12"/>
  <c r="A109" i="12"/>
  <c r="D108" i="12"/>
  <c r="A108" i="12"/>
  <c r="D107" i="12"/>
  <c r="A107" i="12"/>
  <c r="D106" i="12"/>
  <c r="A106" i="12"/>
  <c r="D105" i="12"/>
  <c r="A105" i="12"/>
  <c r="D104" i="12"/>
  <c r="A104" i="12"/>
  <c r="D103" i="12"/>
  <c r="A103" i="12"/>
  <c r="D102" i="12"/>
  <c r="A102" i="12"/>
  <c r="D101" i="12"/>
  <c r="A101" i="12"/>
  <c r="D100" i="12"/>
  <c r="A100" i="12"/>
  <c r="D99" i="12"/>
  <c r="A99" i="12"/>
  <c r="D98" i="12"/>
  <c r="A98" i="12"/>
  <c r="D97" i="12"/>
  <c r="A97" i="12"/>
  <c r="D96" i="12"/>
  <c r="A96" i="12"/>
  <c r="D95" i="12"/>
  <c r="A95" i="12"/>
  <c r="D94" i="12"/>
  <c r="A94" i="12"/>
  <c r="D93" i="12"/>
  <c r="A93" i="12"/>
  <c r="D92" i="12"/>
  <c r="A92" i="12"/>
  <c r="D91" i="12"/>
  <c r="A91" i="12"/>
  <c r="D90" i="12"/>
  <c r="A90" i="12"/>
  <c r="D89" i="12"/>
  <c r="A89" i="12"/>
  <c r="D88" i="12"/>
  <c r="A88" i="12"/>
  <c r="D87" i="12"/>
  <c r="A87" i="12"/>
  <c r="D86" i="12"/>
  <c r="A86" i="12"/>
  <c r="D85" i="12"/>
  <c r="A85" i="12"/>
  <c r="D84" i="12"/>
  <c r="A84" i="12"/>
  <c r="D83" i="12"/>
  <c r="A83" i="12"/>
  <c r="D82" i="12"/>
  <c r="A82" i="12"/>
  <c r="D81" i="12"/>
  <c r="A81" i="12"/>
  <c r="D80" i="12"/>
  <c r="A80" i="12"/>
  <c r="D79" i="12"/>
  <c r="A79" i="12"/>
  <c r="D78" i="12"/>
  <c r="A78" i="12"/>
  <c r="D77" i="12"/>
  <c r="A77" i="12"/>
  <c r="D76" i="12"/>
  <c r="A76" i="12"/>
  <c r="D75" i="12"/>
  <c r="A75" i="12"/>
  <c r="D74" i="12"/>
  <c r="A74" i="12"/>
  <c r="D73" i="12"/>
  <c r="A73" i="12"/>
  <c r="D72" i="12"/>
  <c r="A72" i="12"/>
  <c r="D71" i="12"/>
  <c r="A71" i="12"/>
  <c r="D70" i="12"/>
  <c r="A70" i="12"/>
  <c r="D69" i="12"/>
  <c r="A69" i="12"/>
  <c r="D68" i="12"/>
  <c r="A68" i="12"/>
  <c r="D67" i="12"/>
  <c r="A67" i="12"/>
  <c r="D66" i="12"/>
  <c r="A66" i="12"/>
  <c r="D65" i="12"/>
  <c r="A65" i="12"/>
  <c r="D64" i="12"/>
  <c r="A64" i="12"/>
  <c r="D63" i="12"/>
  <c r="A63" i="12"/>
  <c r="D62" i="12"/>
  <c r="A62" i="12"/>
  <c r="D61" i="12"/>
  <c r="A61" i="12"/>
  <c r="D60" i="12"/>
  <c r="A60" i="12"/>
  <c r="D59" i="12"/>
  <c r="A59" i="12"/>
  <c r="L11" i="12"/>
  <c r="K11" i="12"/>
  <c r="J11" i="12"/>
  <c r="I11" i="12"/>
  <c r="L10" i="12"/>
  <c r="K10" i="12"/>
  <c r="J10" i="12"/>
  <c r="I10" i="12"/>
  <c r="L9" i="12"/>
  <c r="K9" i="12"/>
  <c r="J9" i="12"/>
  <c r="I9" i="12"/>
  <c r="L8" i="12"/>
  <c r="K8" i="12"/>
  <c r="J8" i="12"/>
  <c r="I8" i="12"/>
  <c r="L7" i="12"/>
  <c r="K7" i="12"/>
  <c r="J7" i="12"/>
  <c r="I7" i="12"/>
  <c r="L6" i="12"/>
  <c r="K6" i="12"/>
  <c r="J6" i="12"/>
  <c r="I6" i="12"/>
  <c r="L5" i="12"/>
  <c r="K5" i="12"/>
  <c r="J5" i="12"/>
  <c r="I5" i="12"/>
  <c r="L4" i="12"/>
  <c r="K4" i="12"/>
  <c r="J4" i="12"/>
  <c r="I4" i="12"/>
  <c r="L3" i="12"/>
  <c r="K3" i="12"/>
  <c r="J3" i="12"/>
  <c r="I3" i="12"/>
  <c r="L2" i="12"/>
  <c r="K2" i="12"/>
  <c r="J2" i="12"/>
  <c r="I2" i="12"/>
  <c r="AJ1" i="12"/>
  <c r="AG1" i="12"/>
  <c r="AD1" i="12"/>
  <c r="AA1" i="12"/>
  <c r="X1" i="12"/>
  <c r="U1" i="12"/>
  <c r="R1" i="12"/>
  <c r="O1" i="12"/>
  <c r="L1" i="12"/>
  <c r="K1" i="12"/>
  <c r="J1" i="12"/>
  <c r="I1" i="12"/>
  <c r="I2" i="13"/>
  <c r="C1" i="5"/>
  <c r="B1" i="5"/>
  <c r="AG1" i="13"/>
  <c r="AD1" i="13"/>
  <c r="AA1" i="13"/>
  <c r="X1" i="13"/>
  <c r="U1" i="13" l="1"/>
  <c r="R1" i="13"/>
  <c r="O1" i="13"/>
  <c r="I1" i="13"/>
  <c r="J1" i="13"/>
  <c r="K1" i="13"/>
  <c r="L1" i="13"/>
  <c r="M1" i="13"/>
  <c r="N1" i="13"/>
  <c r="J2" i="13"/>
  <c r="K2" i="13"/>
  <c r="L2" i="13"/>
  <c r="J3" i="13"/>
  <c r="K3" i="13"/>
  <c r="L3" i="13"/>
  <c r="J4" i="13"/>
  <c r="K4" i="13"/>
  <c r="L4" i="13"/>
  <c r="J5" i="13"/>
  <c r="K5" i="13"/>
  <c r="L5" i="13"/>
  <c r="J6" i="13"/>
  <c r="K6" i="13"/>
  <c r="L6" i="13"/>
  <c r="J7" i="13"/>
  <c r="K7" i="13"/>
  <c r="L7" i="13"/>
  <c r="J8" i="13"/>
  <c r="K8" i="13"/>
  <c r="L8" i="13"/>
  <c r="J9" i="13"/>
  <c r="K9" i="13"/>
  <c r="L9" i="13"/>
  <c r="J10" i="13"/>
  <c r="K10" i="13"/>
  <c r="L10" i="13"/>
  <c r="J11" i="13"/>
  <c r="K11" i="13"/>
  <c r="L11" i="13"/>
  <c r="I3" i="13"/>
  <c r="I4" i="13"/>
  <c r="I5" i="13"/>
  <c r="I6" i="13"/>
  <c r="I7" i="13"/>
  <c r="I8" i="13"/>
  <c r="I9" i="13"/>
  <c r="I10" i="13"/>
  <c r="I11" i="13"/>
  <c r="A59" i="10" l="1"/>
  <c r="B59" i="10"/>
  <c r="C59" i="10"/>
  <c r="D59" i="10"/>
  <c r="E59" i="10"/>
  <c r="A60" i="10"/>
  <c r="B60" i="10"/>
  <c r="C60" i="10"/>
  <c r="D60" i="10"/>
  <c r="E60" i="10"/>
  <c r="A61" i="10"/>
  <c r="B61" i="10"/>
  <c r="C61" i="10"/>
  <c r="D61" i="10"/>
  <c r="E61" i="10"/>
  <c r="A62" i="10"/>
  <c r="B62" i="10"/>
  <c r="C62" i="10"/>
  <c r="D62" i="10"/>
  <c r="E62" i="10"/>
  <c r="A63" i="10"/>
  <c r="B63" i="10"/>
  <c r="C63" i="10"/>
  <c r="D63" i="10"/>
  <c r="E63" i="10"/>
  <c r="A64" i="10"/>
  <c r="B64" i="10"/>
  <c r="C64" i="10"/>
  <c r="D64" i="10"/>
  <c r="E64" i="10"/>
  <c r="A65" i="10"/>
  <c r="B65" i="10"/>
  <c r="C65" i="10"/>
  <c r="D65" i="10"/>
  <c r="E65" i="10"/>
  <c r="A66" i="10"/>
  <c r="B66" i="10"/>
  <c r="C66" i="10"/>
  <c r="D66" i="10"/>
  <c r="E66" i="10"/>
  <c r="A67" i="10"/>
  <c r="B67" i="10"/>
  <c r="C67" i="10"/>
  <c r="D67" i="10"/>
  <c r="E67" i="10"/>
  <c r="A68" i="10"/>
  <c r="B68" i="10"/>
  <c r="C68" i="10"/>
  <c r="D68" i="10"/>
  <c r="E68" i="10"/>
  <c r="A69" i="10"/>
  <c r="B69" i="10"/>
  <c r="C69" i="10"/>
  <c r="D69" i="10"/>
  <c r="E69" i="10"/>
  <c r="A70" i="10"/>
  <c r="B70" i="10"/>
  <c r="C70" i="10"/>
  <c r="D70" i="10"/>
  <c r="E70" i="10"/>
  <c r="A71" i="10"/>
  <c r="B71" i="10"/>
  <c r="C71" i="10"/>
  <c r="D71" i="10"/>
  <c r="E71" i="10"/>
  <c r="A72" i="10"/>
  <c r="B72" i="10"/>
  <c r="C72" i="10"/>
  <c r="D72" i="10"/>
  <c r="E72" i="10"/>
  <c r="A73" i="10"/>
  <c r="B73" i="10"/>
  <c r="C73" i="10"/>
  <c r="D73" i="10"/>
  <c r="E73" i="10"/>
  <c r="A74" i="10"/>
  <c r="B74" i="10"/>
  <c r="C74" i="10"/>
  <c r="D74" i="10"/>
  <c r="E74" i="10"/>
  <c r="A75" i="10"/>
  <c r="B75" i="10"/>
  <c r="C75" i="10"/>
  <c r="D75" i="10"/>
  <c r="E75" i="10"/>
  <c r="A76" i="10"/>
  <c r="B76" i="10"/>
  <c r="C76" i="10"/>
  <c r="D76" i="10"/>
  <c r="E76" i="10"/>
  <c r="A77" i="10"/>
  <c r="B77" i="10"/>
  <c r="C77" i="10"/>
  <c r="D77" i="10"/>
  <c r="E77" i="10"/>
  <c r="A78" i="10"/>
  <c r="B78" i="10"/>
  <c r="C78" i="10"/>
  <c r="D78" i="10"/>
  <c r="E78" i="10"/>
  <c r="A79" i="10"/>
  <c r="B79" i="10"/>
  <c r="C79" i="10"/>
  <c r="D79" i="10"/>
  <c r="E79" i="10"/>
  <c r="A80" i="10"/>
  <c r="B80" i="10"/>
  <c r="C80" i="10"/>
  <c r="D80" i="10"/>
  <c r="E80" i="10"/>
  <c r="A81" i="10"/>
  <c r="B81" i="10"/>
  <c r="C81" i="10"/>
  <c r="D81" i="10"/>
  <c r="E81" i="10"/>
  <c r="A82" i="10"/>
  <c r="B82" i="10"/>
  <c r="C82" i="10"/>
  <c r="D82" i="10"/>
  <c r="E82" i="10"/>
  <c r="A83" i="10"/>
  <c r="B83" i="10"/>
  <c r="C83" i="10"/>
  <c r="D83" i="10"/>
  <c r="E83" i="10"/>
  <c r="A84" i="10"/>
  <c r="B84" i="10"/>
  <c r="C84" i="10"/>
  <c r="D84" i="10"/>
  <c r="E84" i="10"/>
  <c r="A85" i="10"/>
  <c r="B85" i="10"/>
  <c r="C85" i="10"/>
  <c r="D85" i="10"/>
  <c r="E85" i="10"/>
  <c r="A86" i="10"/>
  <c r="B86" i="10"/>
  <c r="C86" i="10"/>
  <c r="D86" i="10"/>
  <c r="E86" i="10"/>
  <c r="A87" i="10"/>
  <c r="B87" i="10"/>
  <c r="C87" i="10"/>
  <c r="D87" i="10"/>
  <c r="E87" i="10"/>
  <c r="A88" i="10"/>
  <c r="B88" i="10"/>
  <c r="C88" i="10"/>
  <c r="D88" i="10"/>
  <c r="E88" i="10"/>
  <c r="A89" i="10"/>
  <c r="B89" i="10"/>
  <c r="C89" i="10"/>
  <c r="D89" i="10"/>
  <c r="E89" i="10"/>
  <c r="A90" i="10"/>
  <c r="B90" i="10"/>
  <c r="C90" i="10"/>
  <c r="D90" i="10"/>
  <c r="E90" i="10"/>
  <c r="A91" i="10"/>
  <c r="B91" i="10"/>
  <c r="C91" i="10"/>
  <c r="D91" i="10"/>
  <c r="E91" i="10"/>
  <c r="A92" i="10"/>
  <c r="B92" i="10"/>
  <c r="C92" i="10"/>
  <c r="D92" i="10"/>
  <c r="E92" i="10"/>
  <c r="A93" i="10"/>
  <c r="B93" i="10"/>
  <c r="C93" i="10"/>
  <c r="D93" i="10"/>
  <c r="E93" i="10"/>
  <c r="A94" i="10"/>
  <c r="B94" i="10"/>
  <c r="C94" i="10"/>
  <c r="D94" i="10"/>
  <c r="E94" i="10"/>
  <c r="A95" i="10"/>
  <c r="B95" i="10"/>
  <c r="C95" i="10"/>
  <c r="D95" i="10"/>
  <c r="E95" i="10"/>
  <c r="A96" i="10"/>
  <c r="B96" i="10"/>
  <c r="C96" i="10"/>
  <c r="D96" i="10"/>
  <c r="E96" i="10"/>
  <c r="A97" i="10"/>
  <c r="B97" i="10"/>
  <c r="C97" i="10"/>
  <c r="D97" i="10"/>
  <c r="E97" i="10"/>
  <c r="A98" i="10"/>
  <c r="B98" i="10"/>
  <c r="C98" i="10"/>
  <c r="D98" i="10"/>
  <c r="E98" i="10"/>
  <c r="A99" i="10"/>
  <c r="B99" i="10"/>
  <c r="C99" i="10"/>
  <c r="D99" i="10"/>
  <c r="E99" i="10"/>
  <c r="A100" i="10"/>
  <c r="B100" i="10"/>
  <c r="C100" i="10"/>
  <c r="D100" i="10"/>
  <c r="E100" i="10"/>
  <c r="A101" i="10"/>
  <c r="B101" i="10"/>
  <c r="C101" i="10"/>
  <c r="D101" i="10"/>
  <c r="E101" i="10"/>
  <c r="A102" i="10"/>
  <c r="B102" i="10"/>
  <c r="C102" i="10"/>
  <c r="D102" i="10"/>
  <c r="E102" i="10"/>
  <c r="A103" i="10"/>
  <c r="B103" i="10"/>
  <c r="C103" i="10"/>
  <c r="D103" i="10"/>
  <c r="E103" i="10"/>
  <c r="A104" i="10"/>
  <c r="B104" i="10"/>
  <c r="C104" i="10"/>
  <c r="D104" i="10"/>
  <c r="E104" i="10"/>
  <c r="A105" i="10"/>
  <c r="B105" i="10"/>
  <c r="C105" i="10"/>
  <c r="D105" i="10"/>
  <c r="E105" i="10"/>
  <c r="A106" i="10"/>
  <c r="B106" i="10"/>
  <c r="C106" i="10"/>
  <c r="D106" i="10"/>
  <c r="E106" i="10"/>
  <c r="A107" i="10"/>
  <c r="B107" i="10"/>
  <c r="C107" i="10"/>
  <c r="D107" i="10"/>
  <c r="E107" i="10"/>
  <c r="A108" i="10"/>
  <c r="B108" i="10"/>
  <c r="C108" i="10"/>
  <c r="D108" i="10"/>
  <c r="E108" i="10"/>
  <c r="A109" i="10"/>
  <c r="B109" i="10"/>
  <c r="C109" i="10"/>
  <c r="D109" i="10"/>
  <c r="E109" i="10"/>
  <c r="A110" i="10"/>
  <c r="B110" i="10"/>
  <c r="C110" i="10"/>
  <c r="D110" i="10"/>
  <c r="E110" i="10"/>
  <c r="A111" i="10"/>
  <c r="B111" i="10"/>
  <c r="C111" i="10"/>
  <c r="D111" i="10"/>
  <c r="E111" i="10"/>
  <c r="A112" i="10"/>
  <c r="B112" i="10"/>
  <c r="C112" i="10"/>
  <c r="D112" i="10"/>
  <c r="E112" i="10"/>
  <c r="A113" i="10"/>
  <c r="B113" i="10"/>
  <c r="C113" i="10"/>
  <c r="D113" i="10"/>
  <c r="E113" i="10"/>
  <c r="A114" i="10"/>
  <c r="B114" i="10"/>
  <c r="C114" i="10"/>
  <c r="D114" i="10"/>
  <c r="E114" i="10"/>
  <c r="A115" i="10"/>
  <c r="B115" i="10"/>
  <c r="C115" i="10"/>
  <c r="D115" i="10"/>
  <c r="E115" i="10"/>
  <c r="A116" i="10"/>
  <c r="B116" i="10"/>
  <c r="C116" i="10"/>
  <c r="D116" i="10"/>
  <c r="E116" i="10"/>
  <c r="A117" i="10"/>
  <c r="B117" i="10"/>
  <c r="C117" i="10"/>
  <c r="D117" i="10"/>
  <c r="E117" i="10"/>
  <c r="A118" i="10"/>
  <c r="B118" i="10"/>
  <c r="C118" i="10"/>
  <c r="D118" i="10"/>
  <c r="E118" i="10"/>
  <c r="A119" i="10"/>
  <c r="B119" i="10"/>
  <c r="C119" i="10"/>
  <c r="D119" i="10"/>
  <c r="E119" i="10"/>
  <c r="A120" i="10"/>
  <c r="B120" i="10"/>
  <c r="C120" i="10"/>
  <c r="D120" i="10"/>
  <c r="E120" i="10"/>
  <c r="A121" i="10"/>
  <c r="B121" i="10"/>
  <c r="C121" i="10"/>
  <c r="D121" i="10"/>
  <c r="E121" i="10"/>
  <c r="A122" i="10"/>
  <c r="B122" i="10"/>
  <c r="C122" i="10"/>
  <c r="D122" i="10"/>
  <c r="E122" i="10"/>
  <c r="A123" i="10"/>
  <c r="B123" i="10"/>
  <c r="C123" i="10"/>
  <c r="D123" i="10"/>
  <c r="E123" i="10"/>
  <c r="A124" i="10"/>
  <c r="B124" i="10"/>
  <c r="C124" i="10"/>
  <c r="D124" i="10"/>
  <c r="E124" i="10"/>
  <c r="A125" i="10"/>
  <c r="B125" i="10"/>
  <c r="C125" i="10"/>
  <c r="D125" i="10"/>
  <c r="E125" i="10"/>
  <c r="A126" i="10"/>
  <c r="B126" i="10"/>
  <c r="C126" i="10"/>
  <c r="D126" i="10"/>
  <c r="E126" i="10"/>
  <c r="A127" i="10"/>
  <c r="B127" i="10"/>
  <c r="C127" i="10"/>
  <c r="D127" i="10"/>
  <c r="E127" i="10"/>
  <c r="A128" i="10"/>
  <c r="B128" i="10"/>
  <c r="C128" i="10"/>
  <c r="D128" i="10"/>
  <c r="E128" i="10"/>
  <c r="A129" i="10"/>
  <c r="B129" i="10"/>
  <c r="C129" i="10"/>
  <c r="D129" i="10"/>
  <c r="E129" i="10"/>
  <c r="A130" i="10"/>
  <c r="B130" i="10"/>
  <c r="C130" i="10"/>
  <c r="D130" i="10"/>
  <c r="E130" i="10"/>
  <c r="A131" i="10"/>
  <c r="B131" i="10"/>
  <c r="C131" i="10"/>
  <c r="D131" i="10"/>
  <c r="E131" i="10"/>
  <c r="A132" i="10"/>
  <c r="B132" i="10"/>
  <c r="C132" i="10"/>
  <c r="D132" i="10"/>
  <c r="E132" i="10"/>
  <c r="A133" i="10"/>
  <c r="B133" i="10"/>
  <c r="C133" i="10"/>
  <c r="D133" i="10"/>
  <c r="E133" i="10"/>
  <c r="A134" i="10"/>
  <c r="B134" i="10"/>
  <c r="C134" i="10"/>
  <c r="D134" i="10"/>
  <c r="E134" i="10"/>
  <c r="A135" i="10"/>
  <c r="B135" i="10"/>
  <c r="C135" i="10"/>
  <c r="D135" i="10"/>
  <c r="E135" i="10"/>
  <c r="A136" i="10"/>
  <c r="B136" i="10"/>
  <c r="C136" i="10"/>
  <c r="D136" i="10"/>
  <c r="E136" i="10"/>
  <c r="A137" i="10"/>
  <c r="B137" i="10"/>
  <c r="C137" i="10"/>
  <c r="D137" i="10"/>
  <c r="E137" i="10"/>
  <c r="A138" i="10"/>
  <c r="B138" i="10"/>
  <c r="C138" i="10"/>
  <c r="D138" i="10"/>
  <c r="E138" i="10"/>
  <c r="A139" i="10"/>
  <c r="B139" i="10"/>
  <c r="C139" i="10"/>
  <c r="D139" i="10"/>
  <c r="E139" i="10"/>
  <c r="A140" i="10"/>
  <c r="B140" i="10"/>
  <c r="C140" i="10"/>
  <c r="D140" i="10"/>
  <c r="E140" i="10"/>
  <c r="A141" i="10"/>
  <c r="B141" i="10"/>
  <c r="C141" i="10"/>
  <c r="D141" i="10"/>
  <c r="E141" i="10"/>
  <c r="A142" i="10"/>
  <c r="B142" i="10"/>
  <c r="C142" i="10"/>
  <c r="D142" i="10"/>
  <c r="E142" i="10"/>
  <c r="A143" i="10"/>
  <c r="B143" i="10"/>
  <c r="C143" i="10"/>
  <c r="D143" i="10"/>
  <c r="E143" i="10"/>
  <c r="A144" i="10"/>
  <c r="B144" i="10"/>
  <c r="C144" i="10"/>
  <c r="D144" i="10"/>
  <c r="E144" i="10"/>
  <c r="A145" i="10"/>
  <c r="B145" i="10"/>
  <c r="C145" i="10"/>
  <c r="D145" i="10"/>
  <c r="E145" i="10"/>
  <c r="A146" i="10"/>
  <c r="B146" i="10"/>
  <c r="C146" i="10"/>
  <c r="D146" i="10"/>
  <c r="E146" i="10"/>
  <c r="A147" i="10"/>
  <c r="B147" i="10"/>
  <c r="C147" i="10"/>
  <c r="D147" i="10"/>
  <c r="E147" i="10"/>
  <c r="A148" i="10"/>
  <c r="B148" i="10"/>
  <c r="C148" i="10"/>
  <c r="D148" i="10"/>
  <c r="E148" i="10"/>
  <c r="A149" i="10"/>
  <c r="B149" i="10"/>
  <c r="C149" i="10"/>
  <c r="D149" i="10"/>
  <c r="E149" i="10"/>
  <c r="A150" i="10"/>
  <c r="B150" i="10"/>
  <c r="C150" i="10"/>
  <c r="D150" i="10"/>
  <c r="E150" i="10"/>
  <c r="A151" i="10"/>
  <c r="B151" i="10"/>
  <c r="C151" i="10"/>
  <c r="D151" i="10"/>
  <c r="E151" i="10"/>
  <c r="A152" i="10"/>
  <c r="B152" i="10"/>
  <c r="C152" i="10"/>
  <c r="D152" i="10"/>
  <c r="E152" i="10"/>
  <c r="A153" i="10"/>
  <c r="B153" i="10"/>
  <c r="C153" i="10"/>
  <c r="D153" i="10"/>
  <c r="E153" i="10"/>
  <c r="A154" i="10"/>
  <c r="B154" i="10"/>
  <c r="C154" i="10"/>
  <c r="D154" i="10"/>
  <c r="E154" i="10"/>
  <c r="A155" i="10"/>
  <c r="B155" i="10"/>
  <c r="C155" i="10"/>
  <c r="D155" i="10"/>
  <c r="E155" i="10"/>
  <c r="A156" i="10"/>
  <c r="B156" i="10"/>
  <c r="C156" i="10"/>
  <c r="D156" i="10"/>
  <c r="E156" i="10"/>
  <c r="A157" i="10"/>
  <c r="B157" i="10"/>
  <c r="C157" i="10"/>
  <c r="D157" i="10"/>
  <c r="E157" i="10"/>
  <c r="A158" i="10"/>
  <c r="B158" i="10"/>
  <c r="C158" i="10"/>
  <c r="D158" i="10"/>
  <c r="E158" i="10"/>
  <c r="A159" i="10"/>
  <c r="B159" i="10"/>
  <c r="C159" i="10"/>
  <c r="D159" i="10"/>
  <c r="E159" i="10"/>
  <c r="A160" i="10"/>
  <c r="B160" i="10"/>
  <c r="C160" i="10"/>
  <c r="D160" i="10"/>
  <c r="E160" i="10"/>
  <c r="A161" i="10"/>
  <c r="B161" i="10"/>
  <c r="C161" i="10"/>
  <c r="D161" i="10"/>
  <c r="E161" i="10"/>
  <c r="A162" i="10"/>
  <c r="B162" i="10"/>
  <c r="C162" i="10"/>
  <c r="D162" i="10"/>
  <c r="E162" i="10"/>
  <c r="A163" i="10"/>
  <c r="B163" i="10"/>
  <c r="C163" i="10"/>
  <c r="D163" i="10"/>
  <c r="E163" i="10"/>
  <c r="A164" i="10"/>
  <c r="B164" i="10"/>
  <c r="C164" i="10"/>
  <c r="D164" i="10"/>
  <c r="E164" i="10"/>
  <c r="A165" i="10"/>
  <c r="B165" i="10"/>
  <c r="C165" i="10"/>
  <c r="D165" i="10"/>
  <c r="E165" i="10"/>
  <c r="A166" i="10"/>
  <c r="B166" i="10"/>
  <c r="C166" i="10"/>
  <c r="D166" i="10"/>
  <c r="E166" i="10"/>
  <c r="A167" i="10"/>
  <c r="B167" i="10"/>
  <c r="C167" i="10"/>
  <c r="D167" i="10"/>
  <c r="E167" i="10"/>
  <c r="A168" i="10"/>
  <c r="B168" i="10"/>
  <c r="C168" i="10"/>
  <c r="D168" i="10"/>
  <c r="E168" i="10"/>
  <c r="A169" i="10"/>
  <c r="B169" i="10"/>
  <c r="C169" i="10"/>
  <c r="D169" i="10"/>
  <c r="E169" i="10"/>
  <c r="A170" i="10"/>
  <c r="B170" i="10"/>
  <c r="C170" i="10"/>
  <c r="D170" i="10"/>
  <c r="E170" i="10"/>
  <c r="A171" i="10"/>
  <c r="B171" i="10"/>
  <c r="C171" i="10"/>
  <c r="D171" i="10"/>
  <c r="E171" i="10"/>
  <c r="A172" i="10"/>
  <c r="B172" i="10"/>
  <c r="C172" i="10"/>
  <c r="D172" i="10"/>
  <c r="E172" i="10"/>
  <c r="A173" i="10"/>
  <c r="B173" i="10"/>
  <c r="C173" i="10"/>
  <c r="D173" i="10"/>
  <c r="E173" i="10"/>
  <c r="A174" i="10"/>
  <c r="B174" i="10"/>
  <c r="C174" i="10"/>
  <c r="D174" i="10"/>
  <c r="E174" i="10"/>
  <c r="A175" i="10"/>
  <c r="B175" i="10"/>
  <c r="C175" i="10"/>
  <c r="D175" i="10"/>
  <c r="E175" i="10"/>
  <c r="A176" i="10"/>
  <c r="B176" i="10"/>
  <c r="C176" i="10"/>
  <c r="D176" i="10"/>
  <c r="E176" i="10"/>
  <c r="A177" i="10"/>
  <c r="B177" i="10"/>
  <c r="C177" i="10"/>
  <c r="D177" i="10"/>
  <c r="E177" i="10"/>
  <c r="A178" i="10"/>
  <c r="B178" i="10"/>
  <c r="C178" i="10"/>
  <c r="D178" i="10"/>
  <c r="E178" i="10"/>
  <c r="A179" i="10"/>
  <c r="B179" i="10"/>
  <c r="C179" i="10"/>
  <c r="D179" i="10"/>
  <c r="E179" i="10"/>
  <c r="A180" i="10"/>
  <c r="B180" i="10"/>
  <c r="C180" i="10"/>
  <c r="D180" i="10"/>
  <c r="E180" i="10"/>
  <c r="A181" i="10"/>
  <c r="B181" i="10"/>
  <c r="C181" i="10"/>
  <c r="D181" i="10"/>
  <c r="E181" i="10"/>
  <c r="A182" i="10"/>
  <c r="B182" i="10"/>
  <c r="C182" i="10"/>
  <c r="D182" i="10"/>
  <c r="E182" i="10"/>
  <c r="A183" i="10"/>
  <c r="B183" i="10"/>
  <c r="C183" i="10"/>
  <c r="D183" i="10"/>
  <c r="E183" i="10"/>
  <c r="A184" i="10"/>
  <c r="B184" i="10"/>
  <c r="C184" i="10"/>
  <c r="D184" i="10"/>
  <c r="E184" i="10"/>
  <c r="A185" i="10"/>
  <c r="B185" i="10"/>
  <c r="C185" i="10"/>
  <c r="D185" i="10"/>
  <c r="E185" i="10"/>
  <c r="A186" i="10"/>
  <c r="B186" i="10"/>
  <c r="C186" i="10"/>
  <c r="D186" i="10"/>
  <c r="E186" i="10"/>
  <c r="A187" i="10"/>
  <c r="B187" i="10"/>
  <c r="C187" i="10"/>
  <c r="D187" i="10"/>
  <c r="E187" i="10"/>
  <c r="A188" i="10"/>
  <c r="B188" i="10"/>
  <c r="C188" i="10"/>
  <c r="D188" i="10"/>
  <c r="E188" i="10"/>
  <c r="A189" i="10"/>
  <c r="B189" i="10"/>
  <c r="C189" i="10"/>
  <c r="D189" i="10"/>
  <c r="E189" i="10"/>
  <c r="A190" i="10"/>
  <c r="B190" i="10"/>
  <c r="C190" i="10"/>
  <c r="D190" i="10"/>
  <c r="E190" i="10"/>
  <c r="A191" i="10"/>
  <c r="B191" i="10"/>
  <c r="C191" i="10"/>
  <c r="D191" i="10"/>
  <c r="E191" i="10"/>
  <c r="A192" i="10"/>
  <c r="B192" i="10"/>
  <c r="C192" i="10"/>
  <c r="D192" i="10"/>
  <c r="E192" i="10"/>
  <c r="A193" i="10"/>
  <c r="B193" i="10"/>
  <c r="C193" i="10"/>
  <c r="D193" i="10"/>
  <c r="E193" i="10"/>
  <c r="A194" i="10"/>
  <c r="B194" i="10"/>
  <c r="C194" i="10"/>
  <c r="D194" i="10"/>
  <c r="E194" i="10"/>
  <c r="A195" i="10"/>
  <c r="B195" i="10"/>
  <c r="C195" i="10"/>
  <c r="D195" i="10"/>
  <c r="E195" i="10"/>
  <c r="A196" i="10"/>
  <c r="B196" i="10"/>
  <c r="C196" i="10"/>
  <c r="D196" i="10"/>
  <c r="E196" i="10"/>
  <c r="A197" i="10"/>
  <c r="B197" i="10"/>
  <c r="C197" i="10"/>
  <c r="D197" i="10"/>
  <c r="E197" i="10"/>
  <c r="A198" i="10"/>
  <c r="B198" i="10"/>
  <c r="C198" i="10"/>
  <c r="D198" i="10"/>
  <c r="E198" i="10"/>
  <c r="A199" i="10"/>
  <c r="B199" i="10"/>
  <c r="C199" i="10"/>
  <c r="D199" i="10"/>
  <c r="E199" i="10"/>
  <c r="A200" i="10"/>
  <c r="B200" i="10"/>
  <c r="C200" i="10"/>
  <c r="D200" i="10"/>
  <c r="E200" i="10"/>
  <c r="A201" i="10"/>
  <c r="B201" i="10"/>
  <c r="C201" i="10"/>
  <c r="D201" i="10"/>
  <c r="E201" i="10"/>
  <c r="A202" i="10"/>
  <c r="B202" i="10"/>
  <c r="C202" i="10"/>
  <c r="D202" i="10"/>
  <c r="E202" i="10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N22" i="12" l="1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3"/>
  <c r="N59" i="12"/>
  <c r="N60" i="13"/>
  <c r="N60" i="12"/>
  <c r="N61" i="13"/>
  <c r="N61" i="12"/>
  <c r="N62" i="13"/>
  <c r="N63" i="13"/>
  <c r="N63" i="12"/>
  <c r="N64" i="13"/>
  <c r="N64" i="12"/>
  <c r="N65" i="13"/>
  <c r="N65" i="12"/>
  <c r="N66" i="13"/>
  <c r="N66" i="12"/>
  <c r="N67" i="13"/>
  <c r="N67" i="12"/>
  <c r="N68" i="13"/>
  <c r="N68" i="12"/>
  <c r="N69" i="13"/>
  <c r="N69" i="12"/>
  <c r="N70" i="13"/>
  <c r="N70" i="12"/>
  <c r="N71" i="13"/>
  <c r="N71" i="12"/>
  <c r="N72" i="13"/>
  <c r="N72" i="12"/>
  <c r="N73" i="13"/>
  <c r="N73" i="12"/>
  <c r="N74" i="13"/>
  <c r="N74" i="12"/>
  <c r="N75" i="13"/>
  <c r="N75" i="12"/>
  <c r="N76" i="13"/>
  <c r="N76" i="12"/>
  <c r="N77" i="13"/>
  <c r="N77" i="12"/>
  <c r="N78" i="13"/>
  <c r="N78" i="12"/>
  <c r="N79" i="13"/>
  <c r="N79" i="12"/>
  <c r="N80" i="13"/>
  <c r="N80" i="12"/>
  <c r="N81" i="13"/>
  <c r="N81" i="12"/>
  <c r="N82" i="13"/>
  <c r="N82" i="12"/>
  <c r="N83" i="13"/>
  <c r="N83" i="12"/>
  <c r="N84" i="13"/>
  <c r="N84" i="12"/>
  <c r="N85" i="13"/>
  <c r="N85" i="12"/>
  <c r="N86" i="13"/>
  <c r="N86" i="12"/>
  <c r="N87" i="13"/>
  <c r="N87" i="12"/>
  <c r="N88" i="13"/>
  <c r="N88" i="12"/>
  <c r="N89" i="13"/>
  <c r="N89" i="12"/>
  <c r="N90" i="13"/>
  <c r="N90" i="12"/>
  <c r="N91" i="13"/>
  <c r="N91" i="12"/>
  <c r="N92" i="13"/>
  <c r="N92" i="12"/>
  <c r="N93" i="13"/>
  <c r="N93" i="12"/>
  <c r="N94" i="13"/>
  <c r="N94" i="12"/>
  <c r="N95" i="13"/>
  <c r="N95" i="12"/>
  <c r="N96" i="13"/>
  <c r="N96" i="12"/>
  <c r="N97" i="13"/>
  <c r="N97" i="12"/>
  <c r="N98" i="13"/>
  <c r="N98" i="12"/>
  <c r="N99" i="13"/>
  <c r="N99" i="12"/>
  <c r="N100" i="13"/>
  <c r="N100" i="12"/>
  <c r="N101" i="13"/>
  <c r="N101" i="12"/>
  <c r="N102" i="13"/>
  <c r="N102" i="12"/>
  <c r="N103" i="13"/>
  <c r="N103" i="12"/>
  <c r="N104" i="13"/>
  <c r="N104" i="12"/>
  <c r="N105" i="13"/>
  <c r="N105" i="12"/>
  <c r="N106" i="13"/>
  <c r="N106" i="12"/>
  <c r="N107" i="13"/>
  <c r="N107" i="12"/>
  <c r="N108" i="13"/>
  <c r="N108" i="12"/>
  <c r="N109" i="13"/>
  <c r="N109" i="12"/>
  <c r="N110" i="13"/>
  <c r="N110" i="12"/>
  <c r="N111" i="13"/>
  <c r="N111" i="12"/>
  <c r="N112" i="13"/>
  <c r="N112" i="12"/>
  <c r="N113" i="13"/>
  <c r="N113" i="12"/>
  <c r="N114" i="13"/>
  <c r="N114" i="12"/>
  <c r="N115" i="13"/>
  <c r="N115" i="12"/>
  <c r="N116" i="13"/>
  <c r="N116" i="12"/>
  <c r="N117" i="13"/>
  <c r="N117" i="12"/>
  <c r="N118" i="13"/>
  <c r="N118" i="12"/>
  <c r="N119" i="13"/>
  <c r="N119" i="12"/>
  <c r="N120" i="13"/>
  <c r="N120" i="12"/>
  <c r="N121" i="13"/>
  <c r="N121" i="12"/>
  <c r="N122" i="13"/>
  <c r="N122" i="12"/>
  <c r="N123" i="13"/>
  <c r="N123" i="12"/>
  <c r="N124" i="13"/>
  <c r="N124" i="12"/>
  <c r="N125" i="13"/>
  <c r="N125" i="12"/>
  <c r="N126" i="13"/>
  <c r="N126" i="12"/>
  <c r="N127" i="13"/>
  <c r="N127" i="12"/>
  <c r="N128" i="13"/>
  <c r="N128" i="12"/>
  <c r="N129" i="13"/>
  <c r="N129" i="12"/>
  <c r="N130" i="13"/>
  <c r="N130" i="12"/>
  <c r="N131" i="13"/>
  <c r="N131" i="12"/>
  <c r="N132" i="13"/>
  <c r="N132" i="12"/>
  <c r="N133" i="13"/>
  <c r="N133" i="12"/>
  <c r="N134" i="13"/>
  <c r="N134" i="12"/>
  <c r="N135" i="13"/>
  <c r="N135" i="12"/>
  <c r="N136" i="13"/>
  <c r="N136" i="12"/>
  <c r="N137" i="13"/>
  <c r="N137" i="12"/>
  <c r="N138" i="13"/>
  <c r="N138" i="12"/>
  <c r="N139" i="13"/>
  <c r="N139" i="12"/>
  <c r="N140" i="13"/>
  <c r="N140" i="12"/>
  <c r="N141" i="13"/>
  <c r="N141" i="12"/>
  <c r="N142" i="13"/>
  <c r="N142" i="12"/>
  <c r="N143" i="13"/>
  <c r="N143" i="12"/>
  <c r="N144" i="13"/>
  <c r="N144" i="12"/>
  <c r="N145" i="13"/>
  <c r="N145" i="12"/>
  <c r="N146" i="13"/>
  <c r="N146" i="12"/>
  <c r="N147" i="13"/>
  <c r="N147" i="12"/>
  <c r="N148" i="13"/>
  <c r="N148" i="12"/>
  <c r="N149" i="13"/>
  <c r="N149" i="12"/>
  <c r="N150" i="13"/>
  <c r="N150" i="12"/>
  <c r="N151" i="13"/>
  <c r="N151" i="12"/>
  <c r="N152" i="13"/>
  <c r="N152" i="12"/>
  <c r="N153" i="13"/>
  <c r="N153" i="12"/>
  <c r="N154" i="13"/>
  <c r="N154" i="12"/>
  <c r="N155" i="13"/>
  <c r="N155" i="12"/>
  <c r="N156" i="13"/>
  <c r="N156" i="12"/>
  <c r="N157" i="13"/>
  <c r="N157" i="12"/>
  <c r="N158" i="13"/>
  <c r="N158" i="12"/>
  <c r="N159" i="13"/>
  <c r="N159" i="12"/>
  <c r="N160" i="13"/>
  <c r="N160" i="12"/>
  <c r="N161" i="13"/>
  <c r="N161" i="12"/>
  <c r="N162" i="13"/>
  <c r="N162" i="12"/>
  <c r="N163" i="13"/>
  <c r="N163" i="12"/>
  <c r="N164" i="13"/>
  <c r="N164" i="12"/>
  <c r="N165" i="13"/>
  <c r="N165" i="12"/>
  <c r="N166" i="13"/>
  <c r="N166" i="12"/>
  <c r="N167" i="13"/>
  <c r="N167" i="12"/>
  <c r="N168" i="13"/>
  <c r="N168" i="12"/>
  <c r="N169" i="13"/>
  <c r="N169" i="12"/>
  <c r="N170" i="13"/>
  <c r="N170" i="12"/>
  <c r="N171" i="13"/>
  <c r="N171" i="12"/>
  <c r="N172" i="13"/>
  <c r="N172" i="12"/>
  <c r="N173" i="13"/>
  <c r="N173" i="12"/>
  <c r="N174" i="13"/>
  <c r="N174" i="12"/>
  <c r="N175" i="13"/>
  <c r="N175" i="12"/>
  <c r="N176" i="13"/>
  <c r="N176" i="12"/>
  <c r="N177" i="13"/>
  <c r="N177" i="12"/>
  <c r="N178" i="13"/>
  <c r="N178" i="12"/>
  <c r="N179" i="13"/>
  <c r="N179" i="12"/>
  <c r="N180" i="13"/>
  <c r="N180" i="12"/>
  <c r="N181" i="13"/>
  <c r="N181" i="12"/>
  <c r="N182" i="13"/>
  <c r="N182" i="12"/>
  <c r="N183" i="13"/>
  <c r="N183" i="12"/>
  <c r="N184" i="13"/>
  <c r="N184" i="12"/>
  <c r="N185" i="13"/>
  <c r="N185" i="12"/>
  <c r="N186" i="13"/>
  <c r="N186" i="12"/>
  <c r="N187" i="13"/>
  <c r="N187" i="12"/>
  <c r="N188" i="13"/>
  <c r="N188" i="12"/>
  <c r="N189" i="13"/>
  <c r="N189" i="12"/>
  <c r="N190" i="13"/>
  <c r="N190" i="12"/>
  <c r="N191" i="13"/>
  <c r="N191" i="12"/>
  <c r="N192" i="13"/>
  <c r="N192" i="12"/>
  <c r="N193" i="13"/>
  <c r="N193" i="12"/>
  <c r="N194" i="13"/>
  <c r="N194" i="12"/>
  <c r="N195" i="13"/>
  <c r="N195" i="12"/>
  <c r="N196" i="13"/>
  <c r="N196" i="12"/>
  <c r="N197" i="13"/>
  <c r="N197" i="12"/>
  <c r="N198" i="13"/>
  <c r="N198" i="12"/>
  <c r="N199" i="13"/>
  <c r="N199" i="12"/>
  <c r="N200" i="13"/>
  <c r="N200" i="12"/>
  <c r="N201" i="13"/>
  <c r="N201" i="12"/>
  <c r="N14" i="12"/>
  <c r="N16" i="12"/>
  <c r="N18" i="12"/>
  <c r="N19" i="12"/>
  <c r="N20" i="12"/>
  <c r="N21" i="12"/>
  <c r="AI8" i="1" l="1"/>
  <c r="AI11" i="1"/>
  <c r="AI17" i="1"/>
  <c r="AI9" i="1"/>
  <c r="AI10" i="1"/>
  <c r="AI15" i="1"/>
  <c r="AI12" i="1"/>
  <c r="AI55" i="1"/>
  <c r="AO55" i="13" s="1"/>
  <c r="AI51" i="1"/>
  <c r="AO51" i="13" s="1"/>
  <c r="AI58" i="1"/>
  <c r="AO58" i="13" s="1"/>
  <c r="AI54" i="1"/>
  <c r="AO54" i="13" s="1"/>
  <c r="AI43" i="1"/>
  <c r="AO43" i="13" s="1"/>
  <c r="AI39" i="1"/>
  <c r="AO39" i="13" s="1"/>
  <c r="AI35" i="1"/>
  <c r="AO35" i="13" s="1"/>
  <c r="AI31" i="1"/>
  <c r="AO31" i="13" s="1"/>
  <c r="AI26" i="1"/>
  <c r="AO26" i="13" s="1"/>
  <c r="AI46" i="1"/>
  <c r="AO46" i="13" s="1"/>
  <c r="AI25" i="1"/>
  <c r="AO25" i="13" s="1"/>
  <c r="AI20" i="1"/>
  <c r="AO20" i="13" s="1"/>
  <c r="AI14" i="1"/>
  <c r="AI5" i="1"/>
  <c r="AI50" i="1"/>
  <c r="AO50" i="13" s="1"/>
  <c r="AI57" i="1"/>
  <c r="AO57" i="13" s="1"/>
  <c r="AI53" i="1"/>
  <c r="AO53" i="13" s="1"/>
  <c r="AI42" i="1"/>
  <c r="AO42" i="13" s="1"/>
  <c r="AI38" i="1"/>
  <c r="AO38" i="13" s="1"/>
  <c r="AI30" i="1"/>
  <c r="AO30" i="13" s="1"/>
  <c r="AI49" i="1"/>
  <c r="AO49" i="13" s="1"/>
  <c r="AI45" i="1"/>
  <c r="AO45" i="13" s="1"/>
  <c r="AI23" i="1"/>
  <c r="AO23" i="13" s="1"/>
  <c r="AI13" i="1"/>
  <c r="AO15" i="13" s="1"/>
  <c r="AI56" i="1"/>
  <c r="AO56" i="13" s="1"/>
  <c r="AI41" i="1"/>
  <c r="AO41" i="13" s="1"/>
  <c r="AI33" i="1"/>
  <c r="AO33" i="13" s="1"/>
  <c r="AI48" i="1"/>
  <c r="AO48" i="13" s="1"/>
  <c r="AI22" i="1"/>
  <c r="AO22" i="13" s="1"/>
  <c r="AI2" i="1"/>
  <c r="AI44" i="1"/>
  <c r="AO44" i="13" s="1"/>
  <c r="AI36" i="1"/>
  <c r="AO36" i="13" s="1"/>
  <c r="AI28" i="1"/>
  <c r="AO28" i="13" s="1"/>
  <c r="AI27" i="1"/>
  <c r="AO27" i="13" s="1"/>
  <c r="AI16" i="1"/>
  <c r="AI34" i="1"/>
  <c r="AO34" i="13" s="1"/>
  <c r="AI19" i="1"/>
  <c r="AO19" i="13" s="1"/>
  <c r="AI52" i="1"/>
  <c r="AO52" i="13" s="1"/>
  <c r="AI37" i="1"/>
  <c r="AO37" i="13" s="1"/>
  <c r="AI29" i="1"/>
  <c r="AO29" i="13" s="1"/>
  <c r="AI24" i="1"/>
  <c r="AO24" i="13" s="1"/>
  <c r="AI18" i="1"/>
  <c r="AO18" i="13" s="1"/>
  <c r="AI40" i="1"/>
  <c r="AO40" i="13" s="1"/>
  <c r="AI32" i="1"/>
  <c r="AO32" i="13" s="1"/>
  <c r="AI47" i="1"/>
  <c r="AO47" i="13" s="1"/>
  <c r="AI21" i="1"/>
  <c r="AO21" i="13" s="1"/>
  <c r="AI4" i="1"/>
  <c r="M200" i="13"/>
  <c r="M198" i="13"/>
  <c r="M196" i="13"/>
  <c r="M194" i="13"/>
  <c r="M192" i="13"/>
  <c r="M190" i="13"/>
  <c r="M187" i="13"/>
  <c r="M185" i="13"/>
  <c r="M183" i="13"/>
  <c r="M180" i="13"/>
  <c r="M178" i="13"/>
  <c r="M176" i="13"/>
  <c r="M174" i="13"/>
  <c r="M171" i="13"/>
  <c r="M169" i="13"/>
  <c r="M167" i="13"/>
  <c r="M165" i="13"/>
  <c r="M163" i="13"/>
  <c r="M161" i="13"/>
  <c r="M159" i="13"/>
  <c r="M157" i="13"/>
  <c r="M155" i="13"/>
  <c r="M153" i="13"/>
  <c r="M151" i="13"/>
  <c r="M148" i="13"/>
  <c r="M146" i="13"/>
  <c r="M144" i="13"/>
  <c r="M141" i="13"/>
  <c r="M139" i="13"/>
  <c r="M136" i="13"/>
  <c r="M134" i="13"/>
  <c r="M132" i="13"/>
  <c r="M130" i="13"/>
  <c r="M128" i="13"/>
  <c r="M126" i="13"/>
  <c r="M124" i="13"/>
  <c r="M122" i="13"/>
  <c r="M120" i="13"/>
  <c r="M119" i="13"/>
  <c r="M118" i="13"/>
  <c r="M117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201" i="13"/>
  <c r="M199" i="13"/>
  <c r="M197" i="13"/>
  <c r="M195" i="13"/>
  <c r="M193" i="13"/>
  <c r="M191" i="13"/>
  <c r="M189" i="13"/>
  <c r="M188" i="13"/>
  <c r="M186" i="13"/>
  <c r="M184" i="13"/>
  <c r="M182" i="13"/>
  <c r="M181" i="13"/>
  <c r="M179" i="13"/>
  <c r="M177" i="13"/>
  <c r="M175" i="13"/>
  <c r="M173" i="13"/>
  <c r="M172" i="13"/>
  <c r="M170" i="13"/>
  <c r="M168" i="13"/>
  <c r="M166" i="13"/>
  <c r="M164" i="13"/>
  <c r="M162" i="13"/>
  <c r="M160" i="13"/>
  <c r="M158" i="13"/>
  <c r="M156" i="13"/>
  <c r="M154" i="13"/>
  <c r="M152" i="13"/>
  <c r="M150" i="13"/>
  <c r="M149" i="13"/>
  <c r="M147" i="13"/>
  <c r="M145" i="13"/>
  <c r="M143" i="13"/>
  <c r="M142" i="13"/>
  <c r="M140" i="13"/>
  <c r="M138" i="13"/>
  <c r="M137" i="13"/>
  <c r="M135" i="13"/>
  <c r="M133" i="13"/>
  <c r="M131" i="13"/>
  <c r="M129" i="13"/>
  <c r="M127" i="13"/>
  <c r="M125" i="13"/>
  <c r="M123" i="13"/>
  <c r="M121" i="13"/>
  <c r="M116" i="13"/>
  <c r="M100" i="13"/>
  <c r="M201" i="12"/>
  <c r="M200" i="12"/>
  <c r="M199" i="12"/>
  <c r="M198" i="12"/>
  <c r="M197" i="12"/>
  <c r="M196" i="12"/>
  <c r="M195" i="12"/>
  <c r="M194" i="12"/>
  <c r="M193" i="12"/>
  <c r="M192" i="12"/>
  <c r="M191" i="12"/>
  <c r="M190" i="12"/>
  <c r="M189" i="12"/>
  <c r="M188" i="12"/>
  <c r="M187" i="12"/>
  <c r="M186" i="12"/>
  <c r="M185" i="12"/>
  <c r="M184" i="12"/>
  <c r="M183" i="12"/>
  <c r="M182" i="12"/>
  <c r="M181" i="12"/>
  <c r="M180" i="12"/>
  <c r="M179" i="12"/>
  <c r="M178" i="12"/>
  <c r="M177" i="12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55" i="12"/>
  <c r="M154" i="12"/>
  <c r="M153" i="1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AI3" i="1"/>
  <c r="AO2" i="13" s="1"/>
  <c r="N62" i="12"/>
  <c r="N13" i="12"/>
  <c r="AI7" i="1"/>
  <c r="AI6" i="1"/>
  <c r="W2" i="9"/>
  <c r="P2" i="9"/>
  <c r="I2" i="9"/>
  <c r="B2" i="9"/>
  <c r="AO10" i="13" l="1"/>
  <c r="AO13" i="13"/>
  <c r="AO17" i="13"/>
  <c r="AO14" i="13"/>
  <c r="AO7" i="13"/>
  <c r="AO6" i="13"/>
  <c r="AO5" i="13"/>
  <c r="AO4" i="13"/>
  <c r="AO3" i="13"/>
  <c r="AO16" i="13"/>
  <c r="AO8" i="13"/>
  <c r="AN28" i="13" s="1"/>
  <c r="AO11" i="13"/>
  <c r="AN45" i="13" s="1"/>
  <c r="AO12" i="13"/>
  <c r="AO9" i="13"/>
  <c r="AN24" i="13"/>
  <c r="AN56" i="13"/>
  <c r="AN26" i="13"/>
  <c r="AN36" i="13"/>
  <c r="AN57" i="13"/>
  <c r="AN44" i="13"/>
  <c r="AN50" i="13"/>
  <c r="AN21" i="13"/>
  <c r="AA4" i="7"/>
  <c r="U2" i="7"/>
  <c r="V2" i="7" s="1"/>
  <c r="K2" i="7"/>
  <c r="L2" i="7" s="1"/>
  <c r="H2" i="7"/>
  <c r="E2" i="7"/>
  <c r="B5" i="9"/>
  <c r="B6" i="9" s="1"/>
  <c r="AA4" i="9"/>
  <c r="Z4" i="9"/>
  <c r="Y4" i="9"/>
  <c r="X4" i="9"/>
  <c r="T4" i="9"/>
  <c r="S4" i="9"/>
  <c r="R4" i="9"/>
  <c r="Q4" i="9"/>
  <c r="M4" i="9"/>
  <c r="L4" i="9"/>
  <c r="K4" i="9"/>
  <c r="J4" i="9"/>
  <c r="F4" i="9"/>
  <c r="E4" i="9"/>
  <c r="D4" i="9"/>
  <c r="C4" i="9"/>
  <c r="B3" i="9"/>
  <c r="E1" i="9"/>
  <c r="AH203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Y2" i="5"/>
  <c r="V2" i="5"/>
  <c r="S2" i="5"/>
  <c r="P2" i="5"/>
  <c r="M2" i="5"/>
  <c r="J2" i="5"/>
  <c r="G2" i="5"/>
  <c r="AB3" i="1"/>
  <c r="V3" i="1"/>
  <c r="S3" i="1"/>
  <c r="AB11" i="1"/>
  <c r="AI3" i="12" s="1"/>
  <c r="V11" i="1"/>
  <c r="S11" i="1"/>
  <c r="AB12" i="1"/>
  <c r="AI4" i="12" s="1"/>
  <c r="V12" i="1"/>
  <c r="S12" i="1"/>
  <c r="AB10" i="1"/>
  <c r="AI5" i="12" s="1"/>
  <c r="V10" i="1"/>
  <c r="AC5" i="12" s="1"/>
  <c r="S10" i="1"/>
  <c r="Z5" i="12" s="1"/>
  <c r="AB15" i="1"/>
  <c r="V15" i="1"/>
  <c r="S15" i="1"/>
  <c r="P15" i="1"/>
  <c r="Q15" i="12"/>
  <c r="AB17" i="1"/>
  <c r="V17" i="1"/>
  <c r="S17" i="1"/>
  <c r="P17" i="1"/>
  <c r="Q17" i="12"/>
  <c r="AB9" i="1"/>
  <c r="V9" i="1"/>
  <c r="S9" i="1"/>
  <c r="AB8" i="1"/>
  <c r="AI9" i="12" s="1"/>
  <c r="V8" i="1"/>
  <c r="S8" i="1"/>
  <c r="AB7" i="1"/>
  <c r="AI10" i="12" s="1"/>
  <c r="AF7" i="12"/>
  <c r="V7" i="1"/>
  <c r="AC10" i="12" s="1"/>
  <c r="S7" i="1"/>
  <c r="Z10" i="12" l="1"/>
  <c r="Z9" i="12"/>
  <c r="AC9" i="12"/>
  <c r="AN5" i="13"/>
  <c r="AN13" i="13"/>
  <c r="AN9" i="13"/>
  <c r="AN12" i="13"/>
  <c r="AN14" i="13"/>
  <c r="AN3" i="13"/>
  <c r="AC4" i="12"/>
  <c r="AC11" i="12"/>
  <c r="AC3" i="12"/>
  <c r="AC12" i="12"/>
  <c r="Z4" i="12"/>
  <c r="Z11" i="12"/>
  <c r="Z3" i="12"/>
  <c r="Y9" i="12" s="1"/>
  <c r="Z12" i="12"/>
  <c r="H8" i="1"/>
  <c r="H9" i="1"/>
  <c r="H10" i="1"/>
  <c r="H12" i="1"/>
  <c r="H7" i="1"/>
  <c r="AN11" i="13"/>
  <c r="Z8" i="12"/>
  <c r="AN39" i="13"/>
  <c r="AN2" i="13"/>
  <c r="AN46" i="13"/>
  <c r="AN41" i="13"/>
  <c r="AN18" i="13"/>
  <c r="AN25" i="13"/>
  <c r="AN33" i="13"/>
  <c r="AN40" i="13"/>
  <c r="AN20" i="13"/>
  <c r="AN48" i="13"/>
  <c r="AN32" i="13"/>
  <c r="AN43" i="13"/>
  <c r="AN49" i="13"/>
  <c r="AN19" i="13"/>
  <c r="AI8" i="12"/>
  <c r="AI6" i="12"/>
  <c r="AI15" i="12"/>
  <c r="Z6" i="12"/>
  <c r="Z15" i="12"/>
  <c r="AN8" i="13"/>
  <c r="AN7" i="13"/>
  <c r="AN51" i="13"/>
  <c r="AN42" i="13"/>
  <c r="AN27" i="13"/>
  <c r="AN58" i="13"/>
  <c r="AN38" i="13"/>
  <c r="AN17" i="13"/>
  <c r="AN54" i="13"/>
  <c r="AN30" i="13"/>
  <c r="AN34" i="13"/>
  <c r="AN10" i="13"/>
  <c r="AN16" i="13"/>
  <c r="AN22" i="13"/>
  <c r="AN47" i="13"/>
  <c r="AI7" i="12"/>
  <c r="AI17" i="12"/>
  <c r="Z7" i="12"/>
  <c r="Z17" i="12"/>
  <c r="AC8" i="12"/>
  <c r="AC7" i="12"/>
  <c r="AB7" i="12" s="1"/>
  <c r="AC17" i="12"/>
  <c r="AC6" i="12"/>
  <c r="AC15" i="12"/>
  <c r="AN4" i="13"/>
  <c r="AN6" i="13"/>
  <c r="AN52" i="13"/>
  <c r="AN35" i="13"/>
  <c r="AN23" i="13"/>
  <c r="AN37" i="13"/>
  <c r="AN31" i="13"/>
  <c r="AN15" i="13"/>
  <c r="AN29" i="13"/>
  <c r="AN55" i="13"/>
  <c r="AN53" i="13"/>
  <c r="AF7" i="1"/>
  <c r="AF9" i="1"/>
  <c r="AF10" i="1"/>
  <c r="AF11" i="1"/>
  <c r="AF8" i="1"/>
  <c r="AF17" i="1"/>
  <c r="AF15" i="1"/>
  <c r="AF12" i="1"/>
  <c r="AF52" i="1"/>
  <c r="AL52" i="13" s="1"/>
  <c r="AF44" i="1"/>
  <c r="AL44" i="13" s="1"/>
  <c r="AF36" i="1"/>
  <c r="AL36" i="13" s="1"/>
  <c r="AF28" i="1"/>
  <c r="AL28" i="13" s="1"/>
  <c r="AF20" i="1"/>
  <c r="AL20" i="13" s="1"/>
  <c r="AF5" i="1"/>
  <c r="AF53" i="1"/>
  <c r="AL53" i="13" s="1"/>
  <c r="AF45" i="1"/>
  <c r="AL45" i="13" s="1"/>
  <c r="AF37" i="1"/>
  <c r="AL37" i="13" s="1"/>
  <c r="AF29" i="1"/>
  <c r="AL29" i="13" s="1"/>
  <c r="AF21" i="1"/>
  <c r="AL21" i="13" s="1"/>
  <c r="AF4" i="1"/>
  <c r="AF58" i="1"/>
  <c r="AL58" i="13" s="1"/>
  <c r="AF50" i="1"/>
  <c r="AL50" i="13" s="1"/>
  <c r="AF42" i="1"/>
  <c r="AL42" i="13" s="1"/>
  <c r="AF34" i="1"/>
  <c r="AL34" i="13" s="1"/>
  <c r="AF26" i="1"/>
  <c r="AL26" i="13" s="1"/>
  <c r="AF18" i="1"/>
  <c r="AL18" i="13" s="1"/>
  <c r="AF6" i="1"/>
  <c r="AL11" i="13" s="1"/>
  <c r="AF51" i="1"/>
  <c r="AL51" i="13" s="1"/>
  <c r="AF43" i="1"/>
  <c r="AL43" i="13" s="1"/>
  <c r="AF35" i="1"/>
  <c r="AL35" i="13" s="1"/>
  <c r="AF27" i="1"/>
  <c r="AL27" i="13" s="1"/>
  <c r="AF19" i="1"/>
  <c r="AL19" i="13" s="1"/>
  <c r="AF54" i="1"/>
  <c r="AL54" i="13" s="1"/>
  <c r="AF38" i="1"/>
  <c r="AL38" i="13" s="1"/>
  <c r="AF30" i="1"/>
  <c r="AL30" i="13" s="1"/>
  <c r="AF22" i="1"/>
  <c r="AL22" i="13" s="1"/>
  <c r="AF2" i="1"/>
  <c r="AL14" i="13" s="1"/>
  <c r="AF47" i="1"/>
  <c r="AL47" i="13" s="1"/>
  <c r="AF31" i="1"/>
  <c r="AL31" i="13" s="1"/>
  <c r="AF13" i="1"/>
  <c r="AL15" i="13" s="1"/>
  <c r="AF56" i="1"/>
  <c r="AL56" i="13" s="1"/>
  <c r="AF48" i="1"/>
  <c r="AL48" i="13" s="1"/>
  <c r="AF40" i="1"/>
  <c r="AL40" i="13" s="1"/>
  <c r="AF32" i="1"/>
  <c r="AL32" i="13" s="1"/>
  <c r="AF24" i="1"/>
  <c r="AL24" i="13" s="1"/>
  <c r="AF14" i="1"/>
  <c r="AF57" i="1"/>
  <c r="AL57" i="13" s="1"/>
  <c r="AF49" i="1"/>
  <c r="AL49" i="13" s="1"/>
  <c r="AF41" i="1"/>
  <c r="AL41" i="13" s="1"/>
  <c r="AF33" i="1"/>
  <c r="AL33" i="13" s="1"/>
  <c r="AF25" i="1"/>
  <c r="AL25" i="13" s="1"/>
  <c r="AF16" i="1"/>
  <c r="AL17" i="13" s="1"/>
  <c r="AF46" i="1"/>
  <c r="AL46" i="13" s="1"/>
  <c r="AF55" i="1"/>
  <c r="AL55" i="13" s="1"/>
  <c r="AF39" i="1"/>
  <c r="AL39" i="13" s="1"/>
  <c r="AF23" i="1"/>
  <c r="AL23" i="13" s="1"/>
  <c r="AI2" i="12"/>
  <c r="AC50" i="1"/>
  <c r="AI50" i="13" s="1"/>
  <c r="AC57" i="1"/>
  <c r="AI57" i="13" s="1"/>
  <c r="AC53" i="1"/>
  <c r="AI53" i="13" s="1"/>
  <c r="AC48" i="1"/>
  <c r="AI48" i="13" s="1"/>
  <c r="AC23" i="1"/>
  <c r="AI23" i="13" s="1"/>
  <c r="AC44" i="1"/>
  <c r="AI44" i="13" s="1"/>
  <c r="AC40" i="1"/>
  <c r="AI40" i="13" s="1"/>
  <c r="AC36" i="1"/>
  <c r="AI36" i="13" s="1"/>
  <c r="AC32" i="1"/>
  <c r="AI32" i="13" s="1"/>
  <c r="AC28" i="1"/>
  <c r="AI28" i="13" s="1"/>
  <c r="AC21" i="1"/>
  <c r="AI21" i="13" s="1"/>
  <c r="AC16" i="1"/>
  <c r="AC4" i="1"/>
  <c r="AC51" i="1"/>
  <c r="AI51" i="13" s="1"/>
  <c r="AC45" i="1"/>
  <c r="AI45" i="13" s="1"/>
  <c r="AC25" i="1"/>
  <c r="AI25" i="13" s="1"/>
  <c r="AC33" i="1"/>
  <c r="AI33" i="13" s="1"/>
  <c r="AC22" i="1"/>
  <c r="AI22" i="13" s="1"/>
  <c r="AC56" i="1"/>
  <c r="AI56" i="13" s="1"/>
  <c r="AC52" i="1"/>
  <c r="AI52" i="13" s="1"/>
  <c r="AC47" i="1"/>
  <c r="AI47" i="13" s="1"/>
  <c r="AC43" i="1"/>
  <c r="AI43" i="13" s="1"/>
  <c r="AC39" i="1"/>
  <c r="AI39" i="13" s="1"/>
  <c r="AC35" i="1"/>
  <c r="AI35" i="13" s="1"/>
  <c r="AC31" i="1"/>
  <c r="AI31" i="13" s="1"/>
  <c r="AC26" i="1"/>
  <c r="AI26" i="13" s="1"/>
  <c r="AC20" i="1"/>
  <c r="AI20" i="13" s="1"/>
  <c r="AC14" i="1"/>
  <c r="AI16" i="13" s="1"/>
  <c r="AC5" i="1"/>
  <c r="AC46" i="1"/>
  <c r="AI46" i="13" s="1"/>
  <c r="AC27" i="1"/>
  <c r="AI27" i="13" s="1"/>
  <c r="AC42" i="1"/>
  <c r="AI42" i="13" s="1"/>
  <c r="AC30" i="1"/>
  <c r="AI30" i="13" s="1"/>
  <c r="AC19" i="1"/>
  <c r="AI19" i="13" s="1"/>
  <c r="AC54" i="1"/>
  <c r="AI54" i="13" s="1"/>
  <c r="AC41" i="1"/>
  <c r="AI41" i="13" s="1"/>
  <c r="AC29" i="1"/>
  <c r="AI29" i="13" s="1"/>
  <c r="AC2" i="1"/>
  <c r="AI14" i="13" s="1"/>
  <c r="AC55" i="1"/>
  <c r="AI55" i="13" s="1"/>
  <c r="AC38" i="1"/>
  <c r="AI38" i="13" s="1"/>
  <c r="AC34" i="1"/>
  <c r="AI34" i="13" s="1"/>
  <c r="AC24" i="1"/>
  <c r="AI24" i="13" s="1"/>
  <c r="AC13" i="1"/>
  <c r="AC58" i="1"/>
  <c r="AI58" i="13" s="1"/>
  <c r="AC49" i="1"/>
  <c r="AI49" i="13" s="1"/>
  <c r="AC37" i="1"/>
  <c r="AI37" i="13" s="1"/>
  <c r="AC18" i="1"/>
  <c r="AI18" i="13" s="1"/>
  <c r="AE5" i="12"/>
  <c r="Z52" i="1"/>
  <c r="AF52" i="13" s="1"/>
  <c r="Z57" i="1"/>
  <c r="AF57" i="13" s="1"/>
  <c r="Z45" i="1"/>
  <c r="AF45" i="13" s="1"/>
  <c r="Z31" i="1"/>
  <c r="AF31" i="13" s="1"/>
  <c r="Z35" i="1"/>
  <c r="AF35" i="13" s="1"/>
  <c r="Z39" i="1"/>
  <c r="AF39" i="13" s="1"/>
  <c r="Z43" i="1"/>
  <c r="AF43" i="13" s="1"/>
  <c r="Z27" i="1"/>
  <c r="AF27" i="13" s="1"/>
  <c r="Z23" i="1"/>
  <c r="AF23" i="13" s="1"/>
  <c r="Z14" i="1"/>
  <c r="Z2" i="1"/>
  <c r="Z34" i="1"/>
  <c r="AF34" i="13" s="1"/>
  <c r="Z20" i="1"/>
  <c r="AF20" i="13" s="1"/>
  <c r="Z53" i="1"/>
  <c r="AF53" i="13" s="1"/>
  <c r="Z47" i="1"/>
  <c r="AF47" i="13" s="1"/>
  <c r="Z46" i="1"/>
  <c r="AF46" i="13" s="1"/>
  <c r="Z28" i="1"/>
  <c r="AF28" i="13" s="1"/>
  <c r="Z32" i="1"/>
  <c r="AF32" i="13" s="1"/>
  <c r="Z36" i="1"/>
  <c r="AF36" i="13" s="1"/>
  <c r="Z40" i="1"/>
  <c r="AF40" i="13" s="1"/>
  <c r="Z44" i="1"/>
  <c r="AF44" i="13" s="1"/>
  <c r="Z26" i="1"/>
  <c r="AF26" i="13" s="1"/>
  <c r="Z19" i="1"/>
  <c r="AF19" i="13" s="1"/>
  <c r="Z58" i="1"/>
  <c r="AF58" i="13" s="1"/>
  <c r="Z33" i="1"/>
  <c r="AF33" i="13" s="1"/>
  <c r="Z41" i="1"/>
  <c r="AF41" i="13" s="1"/>
  <c r="Z50" i="1"/>
  <c r="AF50" i="13" s="1"/>
  <c r="Z25" i="1"/>
  <c r="AF25" i="13" s="1"/>
  <c r="Z21" i="1"/>
  <c r="AF21" i="13" s="1"/>
  <c r="Z4" i="1"/>
  <c r="AF13" i="13" s="1"/>
  <c r="Z55" i="1"/>
  <c r="AF55" i="13" s="1"/>
  <c r="Z30" i="1"/>
  <c r="AF30" i="13" s="1"/>
  <c r="Z42" i="1"/>
  <c r="AF42" i="13" s="1"/>
  <c r="Z24" i="1"/>
  <c r="AF24" i="13" s="1"/>
  <c r="Z54" i="1"/>
  <c r="AF54" i="13" s="1"/>
  <c r="Z29" i="1"/>
  <c r="AF29" i="13" s="1"/>
  <c r="Z37" i="1"/>
  <c r="AF37" i="13" s="1"/>
  <c r="Z5" i="1"/>
  <c r="Z18" i="1"/>
  <c r="AF18" i="13" s="1"/>
  <c r="Z13" i="1"/>
  <c r="Z48" i="1"/>
  <c r="AF48" i="13" s="1"/>
  <c r="Z56" i="1"/>
  <c r="AF56" i="13" s="1"/>
  <c r="Z49" i="1"/>
  <c r="AF49" i="13" s="1"/>
  <c r="Z38" i="1"/>
  <c r="AF38" i="13" s="1"/>
  <c r="Z51" i="1"/>
  <c r="AF51" i="13" s="1"/>
  <c r="Z22" i="1"/>
  <c r="AF22" i="13" s="1"/>
  <c r="Z16" i="1"/>
  <c r="AE9" i="12"/>
  <c r="AC2" i="12"/>
  <c r="AB3" i="12" s="1"/>
  <c r="W21" i="1"/>
  <c r="AC21" i="13" s="1"/>
  <c r="W25" i="1"/>
  <c r="AC25" i="13" s="1"/>
  <c r="W29" i="1"/>
  <c r="AC29" i="13" s="1"/>
  <c r="W33" i="1"/>
  <c r="AC33" i="13" s="1"/>
  <c r="W49" i="1"/>
  <c r="AC49" i="13" s="1"/>
  <c r="W53" i="1"/>
  <c r="AC53" i="13" s="1"/>
  <c r="W57" i="1"/>
  <c r="AC57" i="13" s="1"/>
  <c r="W13" i="1"/>
  <c r="W19" i="1"/>
  <c r="AC19" i="13" s="1"/>
  <c r="W23" i="1"/>
  <c r="AC23" i="13" s="1"/>
  <c r="W27" i="1"/>
  <c r="AC27" i="13" s="1"/>
  <c r="W31" i="1"/>
  <c r="AC31" i="13" s="1"/>
  <c r="W35" i="1"/>
  <c r="AC35" i="13" s="1"/>
  <c r="W39" i="1"/>
  <c r="AC39" i="13" s="1"/>
  <c r="W43" i="1"/>
  <c r="AC43" i="13" s="1"/>
  <c r="W47" i="1"/>
  <c r="AC47" i="13" s="1"/>
  <c r="W51" i="1"/>
  <c r="AC51" i="13" s="1"/>
  <c r="W55" i="1"/>
  <c r="AC55" i="13" s="1"/>
  <c r="W41" i="1"/>
  <c r="AC41" i="13" s="1"/>
  <c r="W45" i="1"/>
  <c r="AC45" i="13" s="1"/>
  <c r="W2" i="1"/>
  <c r="W18" i="1"/>
  <c r="AC18" i="13" s="1"/>
  <c r="W22" i="1"/>
  <c r="AC22" i="13" s="1"/>
  <c r="W26" i="1"/>
  <c r="AC26" i="13" s="1"/>
  <c r="W30" i="1"/>
  <c r="AC30" i="13" s="1"/>
  <c r="W34" i="1"/>
  <c r="AC34" i="13" s="1"/>
  <c r="W38" i="1"/>
  <c r="AC38" i="13" s="1"/>
  <c r="W42" i="1"/>
  <c r="AC42" i="13" s="1"/>
  <c r="W46" i="1"/>
  <c r="AC46" i="13" s="1"/>
  <c r="W50" i="1"/>
  <c r="AC50" i="13" s="1"/>
  <c r="W54" i="1"/>
  <c r="AC54" i="13" s="1"/>
  <c r="W58" i="1"/>
  <c r="AC58" i="13" s="1"/>
  <c r="W4" i="1"/>
  <c r="AC13" i="13" s="1"/>
  <c r="W16" i="1"/>
  <c r="W37" i="1"/>
  <c r="AC37" i="13" s="1"/>
  <c r="W56" i="1"/>
  <c r="AC56" i="13" s="1"/>
  <c r="W48" i="1"/>
  <c r="AC48" i="13" s="1"/>
  <c r="W40" i="1"/>
  <c r="AC40" i="13" s="1"/>
  <c r="W32" i="1"/>
  <c r="AC32" i="13" s="1"/>
  <c r="W24" i="1"/>
  <c r="AC24" i="13" s="1"/>
  <c r="W14" i="1"/>
  <c r="AC16" i="13" s="1"/>
  <c r="W52" i="1"/>
  <c r="AC52" i="13" s="1"/>
  <c r="W44" i="1"/>
  <c r="AC44" i="13" s="1"/>
  <c r="W36" i="1"/>
  <c r="AC36" i="13" s="1"/>
  <c r="W28" i="1"/>
  <c r="AC28" i="13" s="1"/>
  <c r="W20" i="1"/>
  <c r="AC20" i="13" s="1"/>
  <c r="W5" i="1"/>
  <c r="AB8" i="12"/>
  <c r="Z2" i="12"/>
  <c r="T54" i="1"/>
  <c r="Z54" i="13" s="1"/>
  <c r="T56" i="1"/>
  <c r="Z56" i="13" s="1"/>
  <c r="T45" i="1"/>
  <c r="Z45" i="13" s="1"/>
  <c r="T31" i="1"/>
  <c r="Z31" i="13" s="1"/>
  <c r="T35" i="1"/>
  <c r="Z35" i="13" s="1"/>
  <c r="T39" i="1"/>
  <c r="Z39" i="13" s="1"/>
  <c r="T43" i="1"/>
  <c r="Z43" i="13" s="1"/>
  <c r="T25" i="1"/>
  <c r="Z25" i="13" s="1"/>
  <c r="T22" i="1"/>
  <c r="Z22" i="13" s="1"/>
  <c r="T20" i="1"/>
  <c r="Z20" i="13" s="1"/>
  <c r="T46" i="1"/>
  <c r="Z46" i="13" s="1"/>
  <c r="T49" i="1"/>
  <c r="Z49" i="13" s="1"/>
  <c r="T33" i="1"/>
  <c r="Z33" i="13" s="1"/>
  <c r="T41" i="1"/>
  <c r="Z41" i="13" s="1"/>
  <c r="T48" i="1"/>
  <c r="Z48" i="13" s="1"/>
  <c r="T27" i="1"/>
  <c r="Z27" i="13" s="1"/>
  <c r="T19" i="1"/>
  <c r="Z19" i="13" s="1"/>
  <c r="T5" i="1"/>
  <c r="T53" i="1"/>
  <c r="Z53" i="13" s="1"/>
  <c r="T34" i="1"/>
  <c r="Z34" i="13" s="1"/>
  <c r="T42" i="1"/>
  <c r="Z42" i="13" s="1"/>
  <c r="T24" i="1"/>
  <c r="Z24" i="13" s="1"/>
  <c r="T16" i="1"/>
  <c r="T47" i="1"/>
  <c r="Z47" i="13" s="1"/>
  <c r="T55" i="1"/>
  <c r="Z55" i="13" s="1"/>
  <c r="T58" i="1"/>
  <c r="Z58" i="13" s="1"/>
  <c r="T57" i="1"/>
  <c r="Z57" i="13" s="1"/>
  <c r="T28" i="1"/>
  <c r="Z28" i="13" s="1"/>
  <c r="T32" i="1"/>
  <c r="Z32" i="13" s="1"/>
  <c r="T36" i="1"/>
  <c r="Z36" i="13" s="1"/>
  <c r="T40" i="1"/>
  <c r="Z40" i="13" s="1"/>
  <c r="T44" i="1"/>
  <c r="Z44" i="13" s="1"/>
  <c r="T26" i="1"/>
  <c r="Z26" i="13" s="1"/>
  <c r="T21" i="1"/>
  <c r="Z21" i="13" s="1"/>
  <c r="T4" i="1"/>
  <c r="T52" i="1"/>
  <c r="Z52" i="13" s="1"/>
  <c r="T29" i="1"/>
  <c r="Z29" i="13" s="1"/>
  <c r="T37" i="1"/>
  <c r="Z37" i="13" s="1"/>
  <c r="T50" i="1"/>
  <c r="Z50" i="13" s="1"/>
  <c r="T23" i="1"/>
  <c r="Z23" i="13" s="1"/>
  <c r="T14" i="1"/>
  <c r="Z16" i="13" s="1"/>
  <c r="T2" i="1"/>
  <c r="Z14" i="13" s="1"/>
  <c r="T30" i="1"/>
  <c r="Z30" i="13" s="1"/>
  <c r="T38" i="1"/>
  <c r="Z38" i="13" s="1"/>
  <c r="T51" i="1"/>
  <c r="Z51" i="13" s="1"/>
  <c r="T18" i="1"/>
  <c r="Z18" i="13" s="1"/>
  <c r="T13" i="1"/>
  <c r="Q44" i="1"/>
  <c r="W44" i="13" s="1"/>
  <c r="Q56" i="1"/>
  <c r="W56" i="13" s="1"/>
  <c r="Q52" i="1"/>
  <c r="W52" i="13" s="1"/>
  <c r="Q48" i="1"/>
  <c r="W48" i="13" s="1"/>
  <c r="Q23" i="1"/>
  <c r="W23" i="13" s="1"/>
  <c r="Q27" i="1"/>
  <c r="W27" i="13" s="1"/>
  <c r="Q43" i="1"/>
  <c r="W43" i="13" s="1"/>
  <c r="Q39" i="1"/>
  <c r="W39" i="13" s="1"/>
  <c r="Q35" i="1"/>
  <c r="W35" i="13" s="1"/>
  <c r="Q31" i="1"/>
  <c r="W31" i="13" s="1"/>
  <c r="Q5" i="1"/>
  <c r="Q2" i="1"/>
  <c r="Q55" i="1"/>
  <c r="W55" i="13" s="1"/>
  <c r="Q50" i="1"/>
  <c r="W50" i="13" s="1"/>
  <c r="Q24" i="1"/>
  <c r="W24" i="13" s="1"/>
  <c r="Q42" i="1"/>
  <c r="W42" i="13" s="1"/>
  <c r="Q34" i="1"/>
  <c r="W34" i="13" s="1"/>
  <c r="Q20" i="1"/>
  <c r="W20" i="13" s="1"/>
  <c r="Q13" i="1"/>
  <c r="Q51" i="1"/>
  <c r="W51" i="13" s="1"/>
  <c r="Q16" i="1"/>
  <c r="Q40" i="1"/>
  <c r="W40" i="13" s="1"/>
  <c r="Q28" i="1"/>
  <c r="W28" i="13" s="1"/>
  <c r="Q14" i="1"/>
  <c r="W16" i="13" s="1"/>
  <c r="Q47" i="1"/>
  <c r="W47" i="13" s="1"/>
  <c r="Q38" i="1"/>
  <c r="W38" i="13" s="1"/>
  <c r="Q30" i="1"/>
  <c r="W30" i="13" s="1"/>
  <c r="Q53" i="1"/>
  <c r="W53" i="13" s="1"/>
  <c r="Q49" i="1"/>
  <c r="W49" i="13" s="1"/>
  <c r="Q26" i="1"/>
  <c r="W26" i="13" s="1"/>
  <c r="Q32" i="1"/>
  <c r="W32" i="13" s="1"/>
  <c r="Q19" i="1"/>
  <c r="W19" i="13" s="1"/>
  <c r="Q58" i="1"/>
  <c r="W58" i="13" s="1"/>
  <c r="Q54" i="1"/>
  <c r="W54" i="13" s="1"/>
  <c r="Q46" i="1"/>
  <c r="W46" i="13" s="1"/>
  <c r="Q25" i="1"/>
  <c r="W25" i="13" s="1"/>
  <c r="Q4" i="1"/>
  <c r="W13" i="13" s="1"/>
  <c r="Q41" i="1"/>
  <c r="W41" i="13" s="1"/>
  <c r="Q37" i="1"/>
  <c r="W37" i="13" s="1"/>
  <c r="Q33" i="1"/>
  <c r="W33" i="13" s="1"/>
  <c r="Q29" i="1"/>
  <c r="W29" i="13" s="1"/>
  <c r="Q21" i="1"/>
  <c r="W21" i="13" s="1"/>
  <c r="Q18" i="1"/>
  <c r="W18" i="13" s="1"/>
  <c r="Q57" i="1"/>
  <c r="W57" i="13" s="1"/>
  <c r="Q45" i="1"/>
  <c r="W45" i="13" s="1"/>
  <c r="Q36" i="1"/>
  <c r="W36" i="13" s="1"/>
  <c r="Q22" i="1"/>
  <c r="W22" i="13" s="1"/>
  <c r="N30" i="1"/>
  <c r="T30" i="13" s="1"/>
  <c r="N54" i="1"/>
  <c r="T54" i="13" s="1"/>
  <c r="N14" i="1"/>
  <c r="N25" i="1"/>
  <c r="T25" i="13" s="1"/>
  <c r="N41" i="1"/>
  <c r="T41" i="13" s="1"/>
  <c r="N37" i="1"/>
  <c r="T37" i="13" s="1"/>
  <c r="N31" i="1"/>
  <c r="T31" i="13" s="1"/>
  <c r="N35" i="1"/>
  <c r="T35" i="13" s="1"/>
  <c r="N47" i="1"/>
  <c r="T47" i="13" s="1"/>
  <c r="N51" i="1"/>
  <c r="T51" i="13" s="1"/>
  <c r="N55" i="1"/>
  <c r="T55" i="13" s="1"/>
  <c r="N44" i="1"/>
  <c r="T44" i="13" s="1"/>
  <c r="N40" i="1"/>
  <c r="T40" i="13" s="1"/>
  <c r="N28" i="1"/>
  <c r="T28" i="13" s="1"/>
  <c r="N32" i="1"/>
  <c r="T32" i="13" s="1"/>
  <c r="N36" i="1"/>
  <c r="T36" i="13" s="1"/>
  <c r="N48" i="1"/>
  <c r="T48" i="13" s="1"/>
  <c r="N52" i="1"/>
  <c r="T52" i="13" s="1"/>
  <c r="N56" i="1"/>
  <c r="T56" i="13" s="1"/>
  <c r="N22" i="1"/>
  <c r="T22" i="13" s="1"/>
  <c r="N21" i="1"/>
  <c r="T21" i="13" s="1"/>
  <c r="N5" i="1"/>
  <c r="N20" i="1"/>
  <c r="T20" i="13" s="1"/>
  <c r="N24" i="1"/>
  <c r="T24" i="13" s="1"/>
  <c r="N16" i="1"/>
  <c r="N13" i="1"/>
  <c r="N4" i="1"/>
  <c r="T13" i="13" s="1"/>
  <c r="N43" i="1"/>
  <c r="T43" i="13" s="1"/>
  <c r="N39" i="1"/>
  <c r="T39" i="13" s="1"/>
  <c r="N29" i="1"/>
  <c r="T29" i="13" s="1"/>
  <c r="N33" i="1"/>
  <c r="T33" i="13" s="1"/>
  <c r="N45" i="1"/>
  <c r="T45" i="13" s="1"/>
  <c r="N49" i="1"/>
  <c r="T49" i="13" s="1"/>
  <c r="N53" i="1"/>
  <c r="T53" i="13" s="1"/>
  <c r="N57" i="1"/>
  <c r="T57" i="13" s="1"/>
  <c r="N18" i="1"/>
  <c r="T18" i="13" s="1"/>
  <c r="N27" i="1"/>
  <c r="T27" i="13" s="1"/>
  <c r="N23" i="1"/>
  <c r="T23" i="13" s="1"/>
  <c r="N19" i="1"/>
  <c r="T19" i="13" s="1"/>
  <c r="N42" i="1"/>
  <c r="T42" i="13" s="1"/>
  <c r="N38" i="1"/>
  <c r="T38" i="13" s="1"/>
  <c r="N34" i="1"/>
  <c r="T34" i="13" s="1"/>
  <c r="N46" i="1"/>
  <c r="T46" i="13" s="1"/>
  <c r="N50" i="1"/>
  <c r="T50" i="13" s="1"/>
  <c r="N58" i="1"/>
  <c r="T58" i="13" s="1"/>
  <c r="N26" i="1"/>
  <c r="T26" i="13" s="1"/>
  <c r="N2" i="1"/>
  <c r="T14" i="13" s="1"/>
  <c r="N17" i="12"/>
  <c r="N15" i="12"/>
  <c r="H11" i="1"/>
  <c r="N12" i="12" s="1"/>
  <c r="AF3" i="1"/>
  <c r="H3" i="1"/>
  <c r="K7" i="1"/>
  <c r="K53" i="1"/>
  <c r="K51" i="1"/>
  <c r="K55" i="1"/>
  <c r="K25" i="1"/>
  <c r="K49" i="1"/>
  <c r="K42" i="1"/>
  <c r="K38" i="1"/>
  <c r="K34" i="1"/>
  <c r="K30" i="1"/>
  <c r="K19" i="1"/>
  <c r="K13" i="1"/>
  <c r="K57" i="1"/>
  <c r="K27" i="1"/>
  <c r="K35" i="1"/>
  <c r="K14" i="1"/>
  <c r="K50" i="1"/>
  <c r="K46" i="1"/>
  <c r="K48" i="1"/>
  <c r="K45" i="1"/>
  <c r="K41" i="1"/>
  <c r="K37" i="1"/>
  <c r="K33" i="1"/>
  <c r="K29" i="1"/>
  <c r="K26" i="1"/>
  <c r="K22" i="1"/>
  <c r="K18" i="1"/>
  <c r="K2" i="1"/>
  <c r="K56" i="1"/>
  <c r="K23" i="1"/>
  <c r="K47" i="1"/>
  <c r="K40" i="1"/>
  <c r="K36" i="1"/>
  <c r="K28" i="1"/>
  <c r="K21" i="1"/>
  <c r="K4" i="1"/>
  <c r="K52" i="1"/>
  <c r="K43" i="1"/>
  <c r="K31" i="1"/>
  <c r="K20" i="1"/>
  <c r="K58" i="1"/>
  <c r="K44" i="1"/>
  <c r="K32" i="1"/>
  <c r="K16" i="1"/>
  <c r="K54" i="1"/>
  <c r="K39" i="1"/>
  <c r="K24" i="1"/>
  <c r="K5" i="1"/>
  <c r="W8" i="1"/>
  <c r="W9" i="1"/>
  <c r="W3" i="1"/>
  <c r="W17" i="1"/>
  <c r="W11" i="1"/>
  <c r="W12" i="1"/>
  <c r="AC4" i="13" s="1"/>
  <c r="W15" i="1"/>
  <c r="W10" i="1"/>
  <c r="AC5" i="13" s="1"/>
  <c r="W7" i="1"/>
  <c r="W6" i="1"/>
  <c r="AC7" i="1"/>
  <c r="AI10" i="13" s="1"/>
  <c r="T6" i="1"/>
  <c r="K8" i="1"/>
  <c r="K9" i="1"/>
  <c r="K15" i="1"/>
  <c r="K10" i="1"/>
  <c r="K12" i="1"/>
  <c r="K11" i="1"/>
  <c r="K3" i="1"/>
  <c r="K6" i="1"/>
  <c r="Z6" i="1"/>
  <c r="K17" i="1"/>
  <c r="N7" i="1"/>
  <c r="N8" i="1"/>
  <c r="N9" i="1"/>
  <c r="N17" i="1"/>
  <c r="N15" i="1"/>
  <c r="N10" i="1"/>
  <c r="N12" i="1"/>
  <c r="N11" i="1"/>
  <c r="N3" i="1"/>
  <c r="N6" i="1"/>
  <c r="AC8" i="1"/>
  <c r="AC9" i="1"/>
  <c r="AI8" i="13" s="1"/>
  <c r="AC17" i="1"/>
  <c r="AC15" i="1"/>
  <c r="AC10" i="1"/>
  <c r="AC12" i="1"/>
  <c r="AC11" i="1"/>
  <c r="Q6" i="1"/>
  <c r="AC6" i="1"/>
  <c r="AI11" i="13" s="1"/>
  <c r="AC3" i="1"/>
  <c r="Z11" i="1"/>
  <c r="Z7" i="1"/>
  <c r="Z17" i="1"/>
  <c r="Z15" i="1"/>
  <c r="Z10" i="1"/>
  <c r="AF5" i="13" s="1"/>
  <c r="Z12" i="1"/>
  <c r="Z9" i="1"/>
  <c r="Z3" i="1"/>
  <c r="Z8" i="1"/>
  <c r="T9" i="1"/>
  <c r="Z8" i="13" s="1"/>
  <c r="T7" i="1"/>
  <c r="T11" i="1"/>
  <c r="T8" i="1"/>
  <c r="T10" i="1"/>
  <c r="Z5" i="13" s="1"/>
  <c r="T15" i="1"/>
  <c r="T17" i="1"/>
  <c r="T3" i="1"/>
  <c r="T12" i="1"/>
  <c r="Q10" i="1"/>
  <c r="Q9" i="1"/>
  <c r="Q11" i="1"/>
  <c r="Q7" i="1"/>
  <c r="Q15" i="1"/>
  <c r="Q3" i="1"/>
  <c r="Q12" i="1"/>
  <c r="Q17" i="1"/>
  <c r="Q8" i="1"/>
  <c r="C5" i="9"/>
  <c r="G5" i="9"/>
  <c r="A5" i="9" s="1"/>
  <c r="I5" i="9"/>
  <c r="R1" i="9"/>
  <c r="G6" i="9"/>
  <c r="A6" i="9" s="1"/>
  <c r="C6" i="9"/>
  <c r="D6" i="9" s="1"/>
  <c r="E6" i="9" s="1"/>
  <c r="F6" i="9" s="1"/>
  <c r="B7" i="9"/>
  <c r="Z4" i="13" l="1"/>
  <c r="Y3" i="12"/>
  <c r="AF2" i="13"/>
  <c r="W2" i="13"/>
  <c r="Y5" i="12"/>
  <c r="AC11" i="13"/>
  <c r="T11" i="13"/>
  <c r="W4" i="13"/>
  <c r="Z2" i="13"/>
  <c r="AC2" i="13"/>
  <c r="AL7" i="13"/>
  <c r="AL8" i="13"/>
  <c r="AF4" i="13"/>
  <c r="AI5" i="13"/>
  <c r="AI4" i="13"/>
  <c r="AI3" i="13"/>
  <c r="AI2" i="13"/>
  <c r="AL6" i="13"/>
  <c r="AL5" i="13"/>
  <c r="AL4" i="13"/>
  <c r="AL3" i="13"/>
  <c r="AL2" i="13"/>
  <c r="W10" i="13"/>
  <c r="W3" i="13"/>
  <c r="W5" i="13"/>
  <c r="T4" i="13"/>
  <c r="Q3" i="13"/>
  <c r="AF9" i="13"/>
  <c r="AF3" i="13"/>
  <c r="T2" i="13"/>
  <c r="Q2" i="13"/>
  <c r="AB9" i="12"/>
  <c r="S6" i="12"/>
  <c r="T5" i="13"/>
  <c r="G2" i="1"/>
  <c r="Z9" i="13"/>
  <c r="AF11" i="13"/>
  <c r="AC10" i="13"/>
  <c r="AC3" i="13"/>
  <c r="AE8" i="12"/>
  <c r="AE7" i="12"/>
  <c r="Z11" i="13"/>
  <c r="T10" i="13"/>
  <c r="S8" i="12"/>
  <c r="Y7" i="12"/>
  <c r="Z3" i="13"/>
  <c r="T3" i="13"/>
  <c r="AC12" i="13"/>
  <c r="AF12" i="13"/>
  <c r="AB5" i="12"/>
  <c r="AF10" i="13"/>
  <c r="AF6" i="13"/>
  <c r="F2" i="1"/>
  <c r="AE6" i="12"/>
  <c r="AE10" i="12"/>
  <c r="AF7" i="13"/>
  <c r="AE3" i="12"/>
  <c r="AE4" i="12"/>
  <c r="AC8" i="13"/>
  <c r="AC7" i="13"/>
  <c r="Z7" i="13"/>
  <c r="Z10" i="13"/>
  <c r="G5" i="1"/>
  <c r="W7" i="13"/>
  <c r="W11" i="13"/>
  <c r="F5" i="1"/>
  <c r="F4" i="1"/>
  <c r="V4" i="12"/>
  <c r="F7" i="1"/>
  <c r="G8" i="1"/>
  <c r="S9" i="12"/>
  <c r="S7" i="12"/>
  <c r="G6" i="1"/>
  <c r="F9" i="1"/>
  <c r="S4" i="12"/>
  <c r="F8" i="1"/>
  <c r="G7" i="1"/>
  <c r="Q11" i="13"/>
  <c r="F6" i="1"/>
  <c r="Q7" i="13"/>
  <c r="G4" i="1"/>
  <c r="G9" i="1"/>
  <c r="S3" i="12"/>
  <c r="G10" i="1"/>
  <c r="G12" i="1"/>
  <c r="Q4" i="13"/>
  <c r="F12" i="1"/>
  <c r="Q5" i="13"/>
  <c r="F10" i="1"/>
  <c r="W8" i="13"/>
  <c r="W9" i="13"/>
  <c r="T7" i="13"/>
  <c r="T8" i="13"/>
  <c r="Q8" i="13"/>
  <c r="AH7" i="12"/>
  <c r="Y8" i="12"/>
  <c r="AI6" i="13"/>
  <c r="AH10" i="13" s="1"/>
  <c r="T9" i="13"/>
  <c r="Q10" i="13"/>
  <c r="T16" i="13"/>
  <c r="S16" i="13" s="1"/>
  <c r="Z12" i="13"/>
  <c r="AC14" i="13"/>
  <c r="AB14" i="13" s="1"/>
  <c r="AF15" i="13"/>
  <c r="AE15" i="13" s="1"/>
  <c r="AI17" i="13"/>
  <c r="AH17" i="13" s="1"/>
  <c r="AL9" i="13"/>
  <c r="AK9" i="13" s="1"/>
  <c r="AL10" i="13"/>
  <c r="AK30" i="13" s="1"/>
  <c r="AI7" i="13"/>
  <c r="AH7" i="13" s="1"/>
  <c r="T6" i="13"/>
  <c r="Q6" i="13"/>
  <c r="AC6" i="13"/>
  <c r="T15" i="13"/>
  <c r="S15" i="13" s="1"/>
  <c r="T12" i="13"/>
  <c r="W17" i="13"/>
  <c r="AC15" i="13"/>
  <c r="AB15" i="13" s="1"/>
  <c r="AF17" i="13"/>
  <c r="AE17" i="13" s="1"/>
  <c r="AF14" i="13"/>
  <c r="AE14" i="13" s="1"/>
  <c r="AI15" i="13"/>
  <c r="AH15" i="13" s="1"/>
  <c r="AL13" i="13"/>
  <c r="AK13" i="13" s="1"/>
  <c r="T17" i="13"/>
  <c r="W14" i="13"/>
  <c r="V16" i="13" s="1"/>
  <c r="AF16" i="13"/>
  <c r="AE16" i="13" s="1"/>
  <c r="AK39" i="13"/>
  <c r="W6" i="13"/>
  <c r="Z6" i="13"/>
  <c r="AF8" i="13"/>
  <c r="AI9" i="13"/>
  <c r="AH9" i="13" s="1"/>
  <c r="Q9" i="13"/>
  <c r="AC9" i="13"/>
  <c r="W15" i="13"/>
  <c r="W12" i="13"/>
  <c r="Z15" i="13"/>
  <c r="Y15" i="13" s="1"/>
  <c r="Z13" i="13"/>
  <c r="Y13" i="13" s="1"/>
  <c r="Z17" i="13"/>
  <c r="Y17" i="13" s="1"/>
  <c r="Y4" i="12"/>
  <c r="AC17" i="13"/>
  <c r="AB17" i="13" s="1"/>
  <c r="AI12" i="13"/>
  <c r="AH12" i="13" s="1"/>
  <c r="AI13" i="13"/>
  <c r="AH13" i="13" s="1"/>
  <c r="AL16" i="13"/>
  <c r="AK16" i="13" s="1"/>
  <c r="AL12" i="13"/>
  <c r="AK12" i="13" s="1"/>
  <c r="AH3" i="12"/>
  <c r="AH10" i="12"/>
  <c r="AK40" i="13"/>
  <c r="AK11" i="13"/>
  <c r="AK21" i="13"/>
  <c r="AK36" i="13"/>
  <c r="AK8" i="13"/>
  <c r="AK33" i="13"/>
  <c r="AK48" i="13"/>
  <c r="AK38" i="13"/>
  <c r="AK35" i="13"/>
  <c r="AK18" i="13"/>
  <c r="AK29" i="13"/>
  <c r="AK44" i="13"/>
  <c r="AK4" i="12"/>
  <c r="AK7" i="12"/>
  <c r="AK3" i="12"/>
  <c r="AK8" i="12"/>
  <c r="AK25" i="13"/>
  <c r="AK31" i="13"/>
  <c r="AK27" i="13"/>
  <c r="AK42" i="13"/>
  <c r="AK53" i="13"/>
  <c r="AK46" i="13"/>
  <c r="AK41" i="13"/>
  <c r="AK24" i="13"/>
  <c r="AK56" i="13"/>
  <c r="AK14" i="13"/>
  <c r="AK54" i="13"/>
  <c r="AK43" i="13"/>
  <c r="AK26" i="13"/>
  <c r="AK58" i="13"/>
  <c r="AK37" i="13"/>
  <c r="AK20" i="13"/>
  <c r="AK52" i="13"/>
  <c r="AK57" i="13"/>
  <c r="AK23" i="13"/>
  <c r="AK17" i="13"/>
  <c r="AK49" i="13"/>
  <c r="AK32" i="13"/>
  <c r="AK15" i="13"/>
  <c r="AK22" i="13"/>
  <c r="AK19" i="13"/>
  <c r="AK51" i="13"/>
  <c r="AK34" i="13"/>
  <c r="AK45" i="13"/>
  <c r="AK28" i="13"/>
  <c r="AK2" i="12"/>
  <c r="AK11" i="12"/>
  <c r="AK52" i="12"/>
  <c r="AK44" i="12"/>
  <c r="AK36" i="12"/>
  <c r="AK28" i="12"/>
  <c r="AK20" i="12"/>
  <c r="AK12" i="12"/>
  <c r="AK51" i="12"/>
  <c r="AK43" i="12"/>
  <c r="AK35" i="12"/>
  <c r="AK27" i="12"/>
  <c r="AK19" i="12"/>
  <c r="AK58" i="12"/>
  <c r="AK50" i="12"/>
  <c r="AK42" i="12"/>
  <c r="AK34" i="12"/>
  <c r="AK26" i="12"/>
  <c r="AK18" i="12"/>
  <c r="AK57" i="12"/>
  <c r="AK49" i="12"/>
  <c r="AK41" i="12"/>
  <c r="AK33" i="12"/>
  <c r="AK25" i="12"/>
  <c r="AK17" i="12"/>
  <c r="AK54" i="12"/>
  <c r="AK46" i="12"/>
  <c r="AK38" i="12"/>
  <c r="AK30" i="12"/>
  <c r="AK22" i="12"/>
  <c r="AK14" i="12"/>
  <c r="AK45" i="12"/>
  <c r="AK37" i="12"/>
  <c r="AK21" i="12"/>
  <c r="AK56" i="12"/>
  <c r="AK48" i="12"/>
  <c r="AK40" i="12"/>
  <c r="AK32" i="12"/>
  <c r="AK24" i="12"/>
  <c r="AK16" i="12"/>
  <c r="AK55" i="12"/>
  <c r="AK47" i="12"/>
  <c r="AK39" i="12"/>
  <c r="AK31" i="12"/>
  <c r="AK23" i="12"/>
  <c r="AK15" i="12"/>
  <c r="AK53" i="12"/>
  <c r="AK29" i="12"/>
  <c r="AK13" i="12"/>
  <c r="AK6" i="12"/>
  <c r="AK9" i="12"/>
  <c r="AK5" i="12"/>
  <c r="AK10" i="12"/>
  <c r="AH18" i="13"/>
  <c r="AH54" i="13"/>
  <c r="AH39" i="13"/>
  <c r="AH21" i="13"/>
  <c r="AH8" i="13"/>
  <c r="AH37" i="13"/>
  <c r="AH24" i="13"/>
  <c r="AH14" i="13"/>
  <c r="AH19" i="13"/>
  <c r="AH46" i="13"/>
  <c r="AH26" i="13"/>
  <c r="AH43" i="13"/>
  <c r="AH22" i="13"/>
  <c r="AH51" i="13"/>
  <c r="AH28" i="13"/>
  <c r="AH44" i="13"/>
  <c r="AH57" i="13"/>
  <c r="AH5" i="12"/>
  <c r="AH4" i="12"/>
  <c r="AH55" i="13"/>
  <c r="AH20" i="13"/>
  <c r="AH45" i="13"/>
  <c r="AH40" i="13"/>
  <c r="AH49" i="13"/>
  <c r="AH34" i="13"/>
  <c r="AH29" i="13"/>
  <c r="AH30" i="13"/>
  <c r="AH31" i="13"/>
  <c r="AH47" i="13"/>
  <c r="AH33" i="13"/>
  <c r="AH32" i="13"/>
  <c r="AH23" i="13"/>
  <c r="AH50" i="13"/>
  <c r="AH6" i="12"/>
  <c r="AH27" i="13"/>
  <c r="AH56" i="13"/>
  <c r="AH53" i="13"/>
  <c r="AH58" i="13"/>
  <c r="AH38" i="13"/>
  <c r="AH41" i="13"/>
  <c r="AH42" i="13"/>
  <c r="AH16" i="13"/>
  <c r="AH35" i="13"/>
  <c r="AH52" i="13"/>
  <c r="AH25" i="13"/>
  <c r="AH36" i="13"/>
  <c r="AH48" i="13"/>
  <c r="AH2" i="12"/>
  <c r="AH11" i="12"/>
  <c r="AH39" i="12"/>
  <c r="AH19" i="12"/>
  <c r="AH55" i="12"/>
  <c r="AH31" i="12"/>
  <c r="AH50" i="12"/>
  <c r="AH38" i="12"/>
  <c r="AH30" i="12"/>
  <c r="AH22" i="12"/>
  <c r="AH14" i="12"/>
  <c r="AH41" i="12"/>
  <c r="AH58" i="12"/>
  <c r="AH57" i="12"/>
  <c r="AH33" i="12"/>
  <c r="AH17" i="12"/>
  <c r="AH49" i="12"/>
  <c r="AH25" i="12"/>
  <c r="AH46" i="12"/>
  <c r="AH36" i="12"/>
  <c r="AH28" i="12"/>
  <c r="AH20" i="12"/>
  <c r="AH12" i="12"/>
  <c r="AH35" i="12"/>
  <c r="AH54" i="12"/>
  <c r="AH45" i="12"/>
  <c r="AH13" i="12"/>
  <c r="AH37" i="12"/>
  <c r="AH42" i="12"/>
  <c r="AH24" i="12"/>
  <c r="AH47" i="12"/>
  <c r="AH40" i="12"/>
  <c r="AH51" i="12"/>
  <c r="AH27" i="12"/>
  <c r="AH15" i="12"/>
  <c r="AH43" i="12"/>
  <c r="AH56" i="12"/>
  <c r="AH44" i="12"/>
  <c r="AH34" i="12"/>
  <c r="AH26" i="12"/>
  <c r="AH18" i="12"/>
  <c r="AH53" i="12"/>
  <c r="AH29" i="12"/>
  <c r="AH48" i="12"/>
  <c r="AH21" i="12"/>
  <c r="AH52" i="12"/>
  <c r="AH32" i="12"/>
  <c r="AH16" i="12"/>
  <c r="AH23" i="12"/>
  <c r="AH8" i="12"/>
  <c r="AH9" i="12"/>
  <c r="AE41" i="13"/>
  <c r="AE49" i="13"/>
  <c r="AE18" i="13"/>
  <c r="AE54" i="13"/>
  <c r="AE55" i="13"/>
  <c r="AE50" i="13"/>
  <c r="AE19" i="13"/>
  <c r="AE36" i="13"/>
  <c r="AE47" i="13"/>
  <c r="AE43" i="13"/>
  <c r="AE45" i="13"/>
  <c r="AE56" i="13"/>
  <c r="AE13" i="13"/>
  <c r="AE32" i="13"/>
  <c r="AE39" i="13"/>
  <c r="AE48" i="13"/>
  <c r="AE37" i="13"/>
  <c r="AE42" i="13"/>
  <c r="AE21" i="13"/>
  <c r="AE33" i="13"/>
  <c r="AE44" i="13"/>
  <c r="AE28" i="13"/>
  <c r="AE20" i="13"/>
  <c r="AE23" i="13"/>
  <c r="AE35" i="13"/>
  <c r="AE52" i="13"/>
  <c r="AE22" i="13"/>
  <c r="AE24" i="13"/>
  <c r="AE26" i="13"/>
  <c r="AE53" i="13"/>
  <c r="AE57" i="13"/>
  <c r="AE51" i="13"/>
  <c r="AE38" i="13"/>
  <c r="AE29" i="13"/>
  <c r="AE30" i="13"/>
  <c r="AE25" i="13"/>
  <c r="AE58" i="13"/>
  <c r="AE40" i="13"/>
  <c r="AE46" i="13"/>
  <c r="AE34" i="13"/>
  <c r="AE27" i="13"/>
  <c r="AE31" i="13"/>
  <c r="AE2" i="12"/>
  <c r="AE55" i="12"/>
  <c r="AE45" i="12"/>
  <c r="AE37" i="12"/>
  <c r="AE29" i="12"/>
  <c r="AE21" i="12"/>
  <c r="AE13" i="12"/>
  <c r="AE58" i="12"/>
  <c r="AE50" i="12"/>
  <c r="AE42" i="12"/>
  <c r="AE34" i="12"/>
  <c r="AE26" i="12"/>
  <c r="AE18" i="12"/>
  <c r="AE31" i="12"/>
  <c r="AE53" i="12"/>
  <c r="AE43" i="12"/>
  <c r="AE35" i="12"/>
  <c r="AE27" i="12"/>
  <c r="AE19" i="12"/>
  <c r="AE11" i="12"/>
  <c r="AE56" i="12"/>
  <c r="AE48" i="12"/>
  <c r="AE40" i="12"/>
  <c r="AE32" i="12"/>
  <c r="AE24" i="12"/>
  <c r="AE16" i="12"/>
  <c r="AE39" i="12"/>
  <c r="AE23" i="12"/>
  <c r="AE15" i="12"/>
  <c r="AE52" i="12"/>
  <c r="AE36" i="12"/>
  <c r="AE20" i="12"/>
  <c r="AE51" i="12"/>
  <c r="AE41" i="12"/>
  <c r="AE33" i="12"/>
  <c r="AE25" i="12"/>
  <c r="AE17" i="12"/>
  <c r="AE57" i="12"/>
  <c r="AE54" i="12"/>
  <c r="AE46" i="12"/>
  <c r="AE38" i="12"/>
  <c r="AE30" i="12"/>
  <c r="AE22" i="12"/>
  <c r="AE14" i="12"/>
  <c r="AE49" i="12"/>
  <c r="AE47" i="12"/>
  <c r="AE44" i="12"/>
  <c r="AE28" i="12"/>
  <c r="AE12" i="12"/>
  <c r="AB28" i="13"/>
  <c r="AB48" i="13"/>
  <c r="AB30" i="13"/>
  <c r="AB35" i="13"/>
  <c r="AB49" i="13"/>
  <c r="AB21" i="13"/>
  <c r="AB36" i="13"/>
  <c r="AB24" i="13"/>
  <c r="AB56" i="13"/>
  <c r="AB58" i="13"/>
  <c r="AB42" i="13"/>
  <c r="AB26" i="13"/>
  <c r="AB45" i="13"/>
  <c r="AB47" i="13"/>
  <c r="AB31" i="13"/>
  <c r="AB33" i="13"/>
  <c r="AB2" i="12"/>
  <c r="AB52" i="12"/>
  <c r="AB57" i="12"/>
  <c r="AB41" i="12"/>
  <c r="AB25" i="12"/>
  <c r="AB56" i="12"/>
  <c r="AB16" i="12"/>
  <c r="AB46" i="12"/>
  <c r="AB30" i="12"/>
  <c r="AB14" i="12"/>
  <c r="AB11" i="12"/>
  <c r="AB51" i="12"/>
  <c r="AB43" i="12"/>
  <c r="AB35" i="12"/>
  <c r="AB27" i="12"/>
  <c r="AB19" i="12"/>
  <c r="AB40" i="12"/>
  <c r="AB53" i="12"/>
  <c r="AB37" i="12"/>
  <c r="AB21" i="12"/>
  <c r="AB48" i="12"/>
  <c r="AB58" i="12"/>
  <c r="AB42" i="12"/>
  <c r="AB26" i="12"/>
  <c r="AB44" i="12"/>
  <c r="AB20" i="12"/>
  <c r="AB29" i="12"/>
  <c r="AB13" i="12"/>
  <c r="AB24" i="12"/>
  <c r="AB50" i="12"/>
  <c r="AB34" i="12"/>
  <c r="AB18" i="12"/>
  <c r="AB12" i="12"/>
  <c r="AB28" i="12"/>
  <c r="AB49" i="12"/>
  <c r="AB33" i="12"/>
  <c r="AB17" i="12"/>
  <c r="AB32" i="12"/>
  <c r="AB54" i="12"/>
  <c r="AB38" i="12"/>
  <c r="AB22" i="12"/>
  <c r="AB36" i="12"/>
  <c r="AB55" i="12"/>
  <c r="AB47" i="12"/>
  <c r="AB39" i="12"/>
  <c r="AB31" i="12"/>
  <c r="AB23" i="12"/>
  <c r="AB15" i="12"/>
  <c r="AB45" i="12"/>
  <c r="AB6" i="12"/>
  <c r="AB46" i="13"/>
  <c r="AB51" i="13"/>
  <c r="AB44" i="13"/>
  <c r="AB32" i="13"/>
  <c r="AB37" i="13"/>
  <c r="AB54" i="13"/>
  <c r="AB38" i="13"/>
  <c r="AB22" i="13"/>
  <c r="AB41" i="13"/>
  <c r="AB43" i="13"/>
  <c r="AB27" i="13"/>
  <c r="AB57" i="13"/>
  <c r="AB29" i="13"/>
  <c r="AB16" i="13"/>
  <c r="AB13" i="13"/>
  <c r="AB19" i="13"/>
  <c r="AB20" i="13"/>
  <c r="AB52" i="13"/>
  <c r="AB40" i="13"/>
  <c r="AB50" i="13"/>
  <c r="AB34" i="13"/>
  <c r="AB18" i="13"/>
  <c r="AB55" i="13"/>
  <c r="AB39" i="13"/>
  <c r="AB23" i="13"/>
  <c r="AB53" i="13"/>
  <c r="AB25" i="13"/>
  <c r="AB4" i="12"/>
  <c r="AB10" i="12"/>
  <c r="Y46" i="13"/>
  <c r="Y18" i="13"/>
  <c r="Y14" i="13"/>
  <c r="Y37" i="13"/>
  <c r="Y21" i="13"/>
  <c r="Y36" i="13"/>
  <c r="Y58" i="13"/>
  <c r="Y24" i="13"/>
  <c r="Y41" i="13"/>
  <c r="Y20" i="13"/>
  <c r="Y39" i="13"/>
  <c r="Y56" i="13"/>
  <c r="Y6" i="12"/>
  <c r="Y50" i="13"/>
  <c r="Y57" i="13"/>
  <c r="Y48" i="13"/>
  <c r="Y45" i="13"/>
  <c r="Y51" i="13"/>
  <c r="Y16" i="13"/>
  <c r="Y29" i="13"/>
  <c r="Y26" i="13"/>
  <c r="Y32" i="13"/>
  <c r="Y55" i="13"/>
  <c r="Y42" i="13"/>
  <c r="Y19" i="13"/>
  <c r="Y33" i="13"/>
  <c r="Y22" i="13"/>
  <c r="Y35" i="13"/>
  <c r="Y54" i="13"/>
  <c r="Y30" i="13"/>
  <c r="Y40" i="13"/>
  <c r="Y53" i="13"/>
  <c r="Y43" i="13"/>
  <c r="Y38" i="13"/>
  <c r="Y23" i="13"/>
  <c r="Y52" i="13"/>
  <c r="Y44" i="13"/>
  <c r="Y28" i="13"/>
  <c r="Y47" i="13"/>
  <c r="Y34" i="13"/>
  <c r="Y27" i="13"/>
  <c r="Y49" i="13"/>
  <c r="Y25" i="13"/>
  <c r="Y31" i="13"/>
  <c r="Y2" i="12"/>
  <c r="Y51" i="12"/>
  <c r="Y15" i="12"/>
  <c r="Y28" i="12"/>
  <c r="Y37" i="12"/>
  <c r="Y13" i="12"/>
  <c r="Y39" i="12"/>
  <c r="Y52" i="12"/>
  <c r="Y24" i="12"/>
  <c r="Y49" i="12"/>
  <c r="Y58" i="12"/>
  <c r="Y42" i="12"/>
  <c r="Y26" i="12"/>
  <c r="Y27" i="12"/>
  <c r="Y17" i="12"/>
  <c r="Y19" i="12"/>
  <c r="Y57" i="12"/>
  <c r="Y46" i="12"/>
  <c r="Y14" i="12"/>
  <c r="Y43" i="12"/>
  <c r="Y56" i="12"/>
  <c r="Y16" i="12"/>
  <c r="Y29" i="12"/>
  <c r="Y11" i="12"/>
  <c r="Y31" i="12"/>
  <c r="Y44" i="12"/>
  <c r="Y20" i="12"/>
  <c r="Y41" i="12"/>
  <c r="Y54" i="12"/>
  <c r="Y38" i="12"/>
  <c r="Y22" i="12"/>
  <c r="Y35" i="12"/>
  <c r="Y48" i="12"/>
  <c r="Y53" i="12"/>
  <c r="Y21" i="12"/>
  <c r="Y55" i="12"/>
  <c r="Y23" i="12"/>
  <c r="Y36" i="12"/>
  <c r="Y12" i="12"/>
  <c r="Y33" i="12"/>
  <c r="Y50" i="12"/>
  <c r="Y34" i="12"/>
  <c r="Y18" i="12"/>
  <c r="Y40" i="12"/>
  <c r="Y45" i="12"/>
  <c r="Y47" i="12"/>
  <c r="Y32" i="12"/>
  <c r="Y25" i="12"/>
  <c r="Y30" i="12"/>
  <c r="Y10" i="12"/>
  <c r="V22" i="13"/>
  <c r="V18" i="13"/>
  <c r="V37" i="13"/>
  <c r="V46" i="13"/>
  <c r="V32" i="13"/>
  <c r="V30" i="13"/>
  <c r="V28" i="13"/>
  <c r="V24" i="13"/>
  <c r="V43" i="13"/>
  <c r="V52" i="13"/>
  <c r="V6" i="12"/>
  <c r="V3" i="12"/>
  <c r="V36" i="13"/>
  <c r="V21" i="13"/>
  <c r="V41" i="13"/>
  <c r="V54" i="13"/>
  <c r="V26" i="13"/>
  <c r="V38" i="13"/>
  <c r="V40" i="13"/>
  <c r="V20" i="13"/>
  <c r="V50" i="13"/>
  <c r="V31" i="13"/>
  <c r="V27" i="13"/>
  <c r="V56" i="13"/>
  <c r="V10" i="12"/>
  <c r="V7" i="12"/>
  <c r="V45" i="13"/>
  <c r="V29" i="13"/>
  <c r="V13" i="13"/>
  <c r="V58" i="13"/>
  <c r="V49" i="13"/>
  <c r="V47" i="13"/>
  <c r="V34" i="13"/>
  <c r="V55" i="13"/>
  <c r="V35" i="13"/>
  <c r="V23" i="13"/>
  <c r="V44" i="13"/>
  <c r="V5" i="12"/>
  <c r="V57" i="13"/>
  <c r="V33" i="13"/>
  <c r="V25" i="13"/>
  <c r="V19" i="13"/>
  <c r="V53" i="13"/>
  <c r="V51" i="13"/>
  <c r="V42" i="13"/>
  <c r="V39" i="13"/>
  <c r="V48" i="13"/>
  <c r="V2" i="12"/>
  <c r="V38" i="12"/>
  <c r="V54" i="12"/>
  <c r="V43" i="12"/>
  <c r="V19" i="12"/>
  <c r="V11" i="12"/>
  <c r="V52" i="12"/>
  <c r="V36" i="12"/>
  <c r="V20" i="12"/>
  <c r="V46" i="12"/>
  <c r="V57" i="12"/>
  <c r="V41" i="12"/>
  <c r="V25" i="12"/>
  <c r="V30" i="12"/>
  <c r="V42" i="12"/>
  <c r="V31" i="12"/>
  <c r="V15" i="12"/>
  <c r="V51" i="12"/>
  <c r="V48" i="12"/>
  <c r="V32" i="12"/>
  <c r="V16" i="12"/>
  <c r="V26" i="12"/>
  <c r="V53" i="12"/>
  <c r="V37" i="12"/>
  <c r="V21" i="12"/>
  <c r="V18" i="12"/>
  <c r="V34" i="12"/>
  <c r="V27" i="12"/>
  <c r="V50" i="12"/>
  <c r="V35" i="12"/>
  <c r="V44" i="12"/>
  <c r="V28" i="12"/>
  <c r="V12" i="12"/>
  <c r="V55" i="12"/>
  <c r="V49" i="12"/>
  <c r="V33" i="12"/>
  <c r="V17" i="12"/>
  <c r="V14" i="12"/>
  <c r="V47" i="12"/>
  <c r="V23" i="12"/>
  <c r="V22" i="12"/>
  <c r="V56" i="12"/>
  <c r="V40" i="12"/>
  <c r="V24" i="12"/>
  <c r="V58" i="12"/>
  <c r="V39" i="12"/>
  <c r="V45" i="12"/>
  <c r="V29" i="12"/>
  <c r="V13" i="12"/>
  <c r="V9" i="12"/>
  <c r="V8" i="12"/>
  <c r="S26" i="13"/>
  <c r="S29" i="13"/>
  <c r="S52" i="13"/>
  <c r="S39" i="13"/>
  <c r="S21" i="13"/>
  <c r="S48" i="13"/>
  <c r="S40" i="13"/>
  <c r="S47" i="13"/>
  <c r="S41" i="13"/>
  <c r="S30" i="13"/>
  <c r="S34" i="13"/>
  <c r="S53" i="13"/>
  <c r="S51" i="13"/>
  <c r="S37" i="13"/>
  <c r="S58" i="13"/>
  <c r="S38" i="13"/>
  <c r="S49" i="13"/>
  <c r="S50" i="13"/>
  <c r="S42" i="13"/>
  <c r="S18" i="13"/>
  <c r="S45" i="13"/>
  <c r="S43" i="13"/>
  <c r="S24" i="13"/>
  <c r="S22" i="13"/>
  <c r="S36" i="13"/>
  <c r="S44" i="13"/>
  <c r="S35" i="13"/>
  <c r="S25" i="13"/>
  <c r="S57" i="12"/>
  <c r="S41" i="12"/>
  <c r="S25" i="12"/>
  <c r="S58" i="12"/>
  <c r="S42" i="12"/>
  <c r="S26" i="12"/>
  <c r="S11" i="12"/>
  <c r="S43" i="12"/>
  <c r="S27" i="12"/>
  <c r="S56" i="12"/>
  <c r="S40" i="12"/>
  <c r="S24" i="12"/>
  <c r="S53" i="12"/>
  <c r="S37" i="12"/>
  <c r="S21" i="12"/>
  <c r="S54" i="12"/>
  <c r="S38" i="12"/>
  <c r="S22" i="12"/>
  <c r="S55" i="12"/>
  <c r="S39" i="12"/>
  <c r="S23" i="12"/>
  <c r="S52" i="12"/>
  <c r="S36" i="12"/>
  <c r="S20" i="12"/>
  <c r="S49" i="12"/>
  <c r="S33" i="12"/>
  <c r="S17" i="12"/>
  <c r="S50" i="12"/>
  <c r="S34" i="12"/>
  <c r="S18" i="12"/>
  <c r="S51" i="12"/>
  <c r="S35" i="12"/>
  <c r="S19" i="12"/>
  <c r="S48" i="12"/>
  <c r="S32" i="12"/>
  <c r="S16" i="12"/>
  <c r="S45" i="12"/>
  <c r="S29" i="12"/>
  <c r="S13" i="12"/>
  <c r="S46" i="12"/>
  <c r="S30" i="12"/>
  <c r="S14" i="12"/>
  <c r="S47" i="12"/>
  <c r="S31" i="12"/>
  <c r="S15" i="12"/>
  <c r="S44" i="12"/>
  <c r="S28" i="12"/>
  <c r="S12" i="12"/>
  <c r="S10" i="12"/>
  <c r="S23" i="13"/>
  <c r="S28" i="13"/>
  <c r="S54" i="13"/>
  <c r="S27" i="13"/>
  <c r="S14" i="13"/>
  <c r="S46" i="13"/>
  <c r="S19" i="13"/>
  <c r="S57" i="13"/>
  <c r="S33" i="13"/>
  <c r="S13" i="13"/>
  <c r="S20" i="13"/>
  <c r="S56" i="13"/>
  <c r="S32" i="13"/>
  <c r="S55" i="13"/>
  <c r="S31" i="13"/>
  <c r="S5" i="12"/>
  <c r="P3" i="12"/>
  <c r="P24" i="12"/>
  <c r="P35" i="12"/>
  <c r="P42" i="12"/>
  <c r="P43" i="12"/>
  <c r="P50" i="12"/>
  <c r="P53" i="12"/>
  <c r="P58" i="12"/>
  <c r="P11" i="12"/>
  <c r="P19" i="12"/>
  <c r="P16" i="12"/>
  <c r="P27" i="12"/>
  <c r="P34" i="12"/>
  <c r="P6" i="12"/>
  <c r="P9" i="12"/>
  <c r="P45" i="12"/>
  <c r="P52" i="12"/>
  <c r="P26" i="12"/>
  <c r="P37" i="12"/>
  <c r="P44" i="12"/>
  <c r="P18" i="12"/>
  <c r="P29" i="12"/>
  <c r="P36" i="12"/>
  <c r="P55" i="12"/>
  <c r="P21" i="12"/>
  <c r="P28" i="12"/>
  <c r="P47" i="12"/>
  <c r="P7" i="12"/>
  <c r="P13" i="12"/>
  <c r="P20" i="12"/>
  <c r="P39" i="12"/>
  <c r="P54" i="12"/>
  <c r="P12" i="12"/>
  <c r="P31" i="12"/>
  <c r="P46" i="12"/>
  <c r="P57" i="12"/>
  <c r="P23" i="12"/>
  <c r="P38" i="12"/>
  <c r="P49" i="12"/>
  <c r="P15" i="12"/>
  <c r="P4" i="12"/>
  <c r="P8" i="12"/>
  <c r="P56" i="12"/>
  <c r="P30" i="12"/>
  <c r="P41" i="12"/>
  <c r="P48" i="12"/>
  <c r="P22" i="12"/>
  <c r="P33" i="12"/>
  <c r="P40" i="12"/>
  <c r="P14" i="12"/>
  <c r="P25" i="12"/>
  <c r="P32" i="12"/>
  <c r="P51" i="12"/>
  <c r="P17" i="12"/>
  <c r="P5" i="12"/>
  <c r="P10" i="12"/>
  <c r="G3" i="1"/>
  <c r="Q43" i="13"/>
  <c r="N43" i="13"/>
  <c r="Q46" i="13"/>
  <c r="N46" i="13"/>
  <c r="Q27" i="13"/>
  <c r="N27" i="13"/>
  <c r="Q30" i="13"/>
  <c r="N30" i="13"/>
  <c r="Q49" i="13"/>
  <c r="N49" i="13"/>
  <c r="Q53" i="13"/>
  <c r="N53" i="13"/>
  <c r="Q28" i="13"/>
  <c r="N28" i="13"/>
  <c r="Q22" i="13"/>
  <c r="N22" i="13"/>
  <c r="Q37" i="13"/>
  <c r="N37" i="13"/>
  <c r="Q54" i="13"/>
  <c r="N54" i="13"/>
  <c r="Q58" i="13"/>
  <c r="N58" i="13"/>
  <c r="Q52" i="13"/>
  <c r="N52" i="13"/>
  <c r="Q36" i="13"/>
  <c r="N36" i="13"/>
  <c r="Q56" i="13"/>
  <c r="N56" i="13"/>
  <c r="Q26" i="13"/>
  <c r="N26" i="13"/>
  <c r="Q41" i="13"/>
  <c r="N41" i="13"/>
  <c r="Q50" i="13"/>
  <c r="N50" i="13"/>
  <c r="Q57" i="13"/>
  <c r="N57" i="13"/>
  <c r="Q34" i="13"/>
  <c r="N34" i="13"/>
  <c r="Q25" i="13"/>
  <c r="N25" i="13"/>
  <c r="Q39" i="13"/>
  <c r="N39" i="13"/>
  <c r="Q23" i="13"/>
  <c r="N23" i="13"/>
  <c r="Q20" i="13"/>
  <c r="N20" i="13"/>
  <c r="Q13" i="13"/>
  <c r="Q40" i="13"/>
  <c r="N40" i="13"/>
  <c r="Q14" i="13"/>
  <c r="Q29" i="13"/>
  <c r="N29" i="13"/>
  <c r="Q45" i="13"/>
  <c r="N45" i="13"/>
  <c r="Q16" i="13"/>
  <c r="Q15" i="13"/>
  <c r="Q38" i="13"/>
  <c r="N38" i="13"/>
  <c r="Q55" i="13"/>
  <c r="N55" i="13"/>
  <c r="Q44" i="13"/>
  <c r="N44" i="13"/>
  <c r="Q12" i="13"/>
  <c r="Q17" i="13"/>
  <c r="Q24" i="13"/>
  <c r="N24" i="13"/>
  <c r="Q32" i="13"/>
  <c r="N32" i="13"/>
  <c r="Q31" i="13"/>
  <c r="N31" i="13"/>
  <c r="Q21" i="13"/>
  <c r="N21" i="13"/>
  <c r="Q47" i="13"/>
  <c r="N47" i="13"/>
  <c r="Q18" i="13"/>
  <c r="N18" i="13"/>
  <c r="Q33" i="13"/>
  <c r="N33" i="13"/>
  <c r="Q48" i="13"/>
  <c r="N48" i="13"/>
  <c r="Q35" i="13"/>
  <c r="N35" i="13"/>
  <c r="Q19" i="13"/>
  <c r="N19" i="13"/>
  <c r="Q42" i="13"/>
  <c r="N42" i="13"/>
  <c r="Q51" i="13"/>
  <c r="N51" i="13"/>
  <c r="F3" i="1"/>
  <c r="F11" i="1"/>
  <c r="D5" i="9"/>
  <c r="E5" i="9" s="1"/>
  <c r="F5" i="9" s="1"/>
  <c r="P2" i="12"/>
  <c r="N4" i="12"/>
  <c r="N10" i="12"/>
  <c r="N3" i="12"/>
  <c r="G11" i="1"/>
  <c r="N11" i="12"/>
  <c r="N5" i="12"/>
  <c r="N2" i="12"/>
  <c r="N8" i="12"/>
  <c r="N9" i="12"/>
  <c r="N7" i="12"/>
  <c r="N6" i="12"/>
  <c r="P5" i="9"/>
  <c r="Y1" i="9"/>
  <c r="W5" i="9" s="1"/>
  <c r="G7" i="9"/>
  <c r="A7" i="9" s="1"/>
  <c r="C7" i="9"/>
  <c r="D7" i="9" s="1"/>
  <c r="E7" i="9" s="1"/>
  <c r="F7" i="9" s="1"/>
  <c r="B8" i="9"/>
  <c r="N5" i="9"/>
  <c r="H5" i="9" s="1"/>
  <c r="J5" i="9"/>
  <c r="K5" i="9" s="1"/>
  <c r="L5" i="9" s="1"/>
  <c r="M5" i="9" s="1"/>
  <c r="I6" i="9"/>
  <c r="AB8" i="13" l="1"/>
  <c r="AK7" i="13"/>
  <c r="AH11" i="13"/>
  <c r="AH5" i="13"/>
  <c r="AH4" i="13"/>
  <c r="AH3" i="13"/>
  <c r="AH2" i="13"/>
  <c r="AK6" i="13"/>
  <c r="AK5" i="13"/>
  <c r="AK3" i="13"/>
  <c r="AK2" i="13"/>
  <c r="AE12" i="13"/>
  <c r="N3" i="13"/>
  <c r="S5" i="13"/>
  <c r="N2" i="13"/>
  <c r="N12" i="13"/>
  <c r="S10" i="13"/>
  <c r="N11" i="13"/>
  <c r="AB12" i="13"/>
  <c r="AE7" i="13"/>
  <c r="AE9" i="13"/>
  <c r="AB9" i="13"/>
  <c r="AB10" i="13"/>
  <c r="AB5" i="13"/>
  <c r="Y12" i="13"/>
  <c r="Y3" i="13"/>
  <c r="Y9" i="13"/>
  <c r="V5" i="13"/>
  <c r="V4" i="13"/>
  <c r="S12" i="13"/>
  <c r="S6" i="13"/>
  <c r="S9" i="13"/>
  <c r="E2" i="1"/>
  <c r="AE8" i="13"/>
  <c r="AE10" i="13"/>
  <c r="AE11" i="13"/>
  <c r="AE5" i="13"/>
  <c r="AE4" i="13"/>
  <c r="AB7" i="13"/>
  <c r="AB4" i="13"/>
  <c r="AB11" i="13"/>
  <c r="Y7" i="13"/>
  <c r="Y11" i="13"/>
  <c r="Y5" i="13"/>
  <c r="Y8" i="13"/>
  <c r="Y10" i="13"/>
  <c r="Y4" i="13"/>
  <c r="V11" i="13"/>
  <c r="V14" i="13"/>
  <c r="V9" i="13"/>
  <c r="V8" i="13"/>
  <c r="S4" i="13"/>
  <c r="S7" i="13"/>
  <c r="S11" i="13"/>
  <c r="E8" i="1"/>
  <c r="E4" i="1"/>
  <c r="E7" i="1"/>
  <c r="E6" i="1"/>
  <c r="E5" i="1"/>
  <c r="E9" i="1"/>
  <c r="AE3" i="13"/>
  <c r="AH6" i="13"/>
  <c r="AE2" i="13"/>
  <c r="Y2" i="13"/>
  <c r="AB3" i="13"/>
  <c r="AB2" i="13"/>
  <c r="AB6" i="13"/>
  <c r="V12" i="13"/>
  <c r="V6" i="13"/>
  <c r="S3" i="13"/>
  <c r="E10" i="1"/>
  <c r="E12" i="1"/>
  <c r="V15" i="13"/>
  <c r="V17" i="13"/>
  <c r="V7" i="13"/>
  <c r="V3" i="13"/>
  <c r="V10" i="13"/>
  <c r="S8" i="13"/>
  <c r="S17" i="13"/>
  <c r="V2" i="13"/>
  <c r="AK10" i="13"/>
  <c r="N17" i="13"/>
  <c r="N16" i="13"/>
  <c r="AK50" i="13"/>
  <c r="AK47" i="13"/>
  <c r="AK55" i="13"/>
  <c r="AK4" i="13"/>
  <c r="Y6" i="13"/>
  <c r="N15" i="13"/>
  <c r="N14" i="13"/>
  <c r="N13" i="13"/>
  <c r="AE6" i="13"/>
  <c r="P51" i="13"/>
  <c r="P5" i="13"/>
  <c r="P7" i="13"/>
  <c r="P17" i="13"/>
  <c r="P55" i="13"/>
  <c r="P15" i="13"/>
  <c r="P45" i="13"/>
  <c r="P14" i="13"/>
  <c r="P13" i="13"/>
  <c r="P22" i="13"/>
  <c r="P19" i="13"/>
  <c r="P48" i="13"/>
  <c r="P18" i="13"/>
  <c r="P21" i="13"/>
  <c r="P32" i="13"/>
  <c r="P11" i="13"/>
  <c r="P44" i="13"/>
  <c r="P23" i="13"/>
  <c r="P25" i="13"/>
  <c r="P57" i="13"/>
  <c r="P41" i="13"/>
  <c r="P56" i="13"/>
  <c r="P52" i="13"/>
  <c r="P54" i="13"/>
  <c r="P53" i="13"/>
  <c r="P30" i="13"/>
  <c r="P46" i="13"/>
  <c r="P12" i="13"/>
  <c r="P6" i="13"/>
  <c r="P38" i="13"/>
  <c r="P16" i="13"/>
  <c r="P29" i="13"/>
  <c r="P40" i="13"/>
  <c r="P20" i="13"/>
  <c r="P8" i="13"/>
  <c r="P37" i="13"/>
  <c r="P28" i="13"/>
  <c r="P10" i="13"/>
  <c r="P42" i="13"/>
  <c r="P35" i="13"/>
  <c r="P33" i="13"/>
  <c r="P47" i="13"/>
  <c r="P31" i="13"/>
  <c r="P24" i="13"/>
  <c r="P4" i="13"/>
  <c r="P9" i="13"/>
  <c r="P39" i="13"/>
  <c r="P34" i="13"/>
  <c r="P50" i="13"/>
  <c r="P26" i="13"/>
  <c r="P36" i="13"/>
  <c r="P58" i="13"/>
  <c r="P3" i="13"/>
  <c r="P2" i="13"/>
  <c r="P49" i="13"/>
  <c r="P27" i="13"/>
  <c r="P43" i="13"/>
  <c r="M40" i="12"/>
  <c r="D40" i="12"/>
  <c r="D40" i="13"/>
  <c r="D49" i="13"/>
  <c r="M49" i="12"/>
  <c r="D49" i="12"/>
  <c r="M36" i="12"/>
  <c r="D36" i="12"/>
  <c r="D36" i="13"/>
  <c r="M26" i="12"/>
  <c r="D26" i="12"/>
  <c r="D26" i="13"/>
  <c r="M58" i="12"/>
  <c r="D58" i="12"/>
  <c r="D58" i="13"/>
  <c r="D31" i="13"/>
  <c r="M31" i="12"/>
  <c r="D31" i="12"/>
  <c r="D21" i="12"/>
  <c r="D21" i="13"/>
  <c r="M21" i="12"/>
  <c r="D48" i="13"/>
  <c r="M48" i="12"/>
  <c r="D48" i="12"/>
  <c r="D17" i="12"/>
  <c r="D17" i="13"/>
  <c r="M17" i="12"/>
  <c r="M37" i="12"/>
  <c r="D37" i="12"/>
  <c r="D37" i="13"/>
  <c r="M53" i="12"/>
  <c r="D53" i="12"/>
  <c r="D53" i="13"/>
  <c r="M43" i="12"/>
  <c r="D43" i="12"/>
  <c r="D43" i="13"/>
  <c r="D44" i="12"/>
  <c r="D44" i="13"/>
  <c r="M44" i="12"/>
  <c r="D20" i="12"/>
  <c r="D20" i="13"/>
  <c r="M20" i="12"/>
  <c r="M30" i="12"/>
  <c r="D30" i="12"/>
  <c r="D30" i="13"/>
  <c r="M46" i="12"/>
  <c r="D46" i="12"/>
  <c r="D46" i="13"/>
  <c r="D23" i="12"/>
  <c r="D23" i="13"/>
  <c r="M23" i="12"/>
  <c r="M18" i="12"/>
  <c r="D18" i="12"/>
  <c r="D18" i="13"/>
  <c r="D35" i="13"/>
  <c r="M35" i="12"/>
  <c r="D35" i="12"/>
  <c r="M42" i="12"/>
  <c r="D42" i="12"/>
  <c r="D42" i="13"/>
  <c r="M14" i="12"/>
  <c r="D14" i="12"/>
  <c r="D14" i="13"/>
  <c r="M39" i="12"/>
  <c r="D39" i="12"/>
  <c r="D39" i="13"/>
  <c r="M24" i="12"/>
  <c r="D24" i="12"/>
  <c r="D24" i="13"/>
  <c r="M56" i="12"/>
  <c r="D56" i="12"/>
  <c r="D56" i="13"/>
  <c r="M25" i="12"/>
  <c r="D25" i="12"/>
  <c r="D25" i="13"/>
  <c r="M41" i="12"/>
  <c r="D41" i="12"/>
  <c r="D41" i="13"/>
  <c r="M57" i="12"/>
  <c r="D57" i="12"/>
  <c r="D57" i="13"/>
  <c r="D51" i="13"/>
  <c r="M51" i="12"/>
  <c r="D51" i="12"/>
  <c r="M52" i="12"/>
  <c r="D52" i="12"/>
  <c r="D52" i="13"/>
  <c r="D19" i="13"/>
  <c r="M19" i="12"/>
  <c r="D19" i="12"/>
  <c r="D34" i="12"/>
  <c r="D34" i="13"/>
  <c r="M34" i="12"/>
  <c r="D50" i="12"/>
  <c r="D50" i="13"/>
  <c r="M50" i="12"/>
  <c r="M55" i="12"/>
  <c r="D55" i="12"/>
  <c r="D55" i="13"/>
  <c r="D33" i="13"/>
  <c r="M33" i="12"/>
  <c r="D33" i="12"/>
  <c r="D15" i="12"/>
  <c r="D15" i="13"/>
  <c r="M15" i="12"/>
  <c r="M16" i="12"/>
  <c r="D16" i="13"/>
  <c r="D16" i="12"/>
  <c r="D47" i="12"/>
  <c r="D47" i="13"/>
  <c r="M47" i="12"/>
  <c r="D32" i="13"/>
  <c r="M32" i="12"/>
  <c r="D32" i="12"/>
  <c r="M13" i="12"/>
  <c r="D13" i="12"/>
  <c r="D13" i="13"/>
  <c r="D29" i="12"/>
  <c r="D29" i="13"/>
  <c r="M29" i="12"/>
  <c r="D45" i="12"/>
  <c r="D45" i="13"/>
  <c r="M45" i="12"/>
  <c r="D27" i="12"/>
  <c r="D27" i="13"/>
  <c r="M27" i="12"/>
  <c r="D28" i="12"/>
  <c r="D28" i="13"/>
  <c r="M28" i="12"/>
  <c r="D12" i="13"/>
  <c r="M12" i="12"/>
  <c r="D12" i="12"/>
  <c r="D22" i="13"/>
  <c r="M22" i="12"/>
  <c r="D22" i="12"/>
  <c r="D38" i="13"/>
  <c r="M38" i="12"/>
  <c r="D38" i="12"/>
  <c r="D54" i="13"/>
  <c r="M54" i="12"/>
  <c r="D54" i="12"/>
  <c r="S2" i="13"/>
  <c r="E3" i="1"/>
  <c r="E11" i="1"/>
  <c r="D8" i="12"/>
  <c r="M8" i="12"/>
  <c r="M3" i="12"/>
  <c r="D3" i="12"/>
  <c r="D9" i="12"/>
  <c r="M9" i="12"/>
  <c r="M2" i="12"/>
  <c r="D2" i="12"/>
  <c r="M10" i="12"/>
  <c r="D10" i="12"/>
  <c r="M6" i="12"/>
  <c r="D6" i="12"/>
  <c r="D5" i="12"/>
  <c r="M5" i="12"/>
  <c r="D4" i="12"/>
  <c r="M4" i="12"/>
  <c r="M11" i="12"/>
  <c r="D11" i="12"/>
  <c r="M7" i="12"/>
  <c r="D7" i="12"/>
  <c r="N6" i="13"/>
  <c r="N4" i="13"/>
  <c r="N7" i="13"/>
  <c r="N8" i="13"/>
  <c r="N5" i="13"/>
  <c r="N10" i="13"/>
  <c r="N9" i="13"/>
  <c r="D11" i="13"/>
  <c r="D4" i="13"/>
  <c r="D6" i="13"/>
  <c r="D2" i="13"/>
  <c r="D7" i="13"/>
  <c r="D3" i="13"/>
  <c r="D5" i="13"/>
  <c r="D10" i="13"/>
  <c r="D9" i="13"/>
  <c r="D8" i="13"/>
  <c r="N6" i="9"/>
  <c r="H6" i="9" s="1"/>
  <c r="J6" i="9"/>
  <c r="K6" i="9" s="1"/>
  <c r="L6" i="9" s="1"/>
  <c r="M6" i="9" s="1"/>
  <c r="I7" i="9"/>
  <c r="W6" i="9"/>
  <c r="X5" i="9"/>
  <c r="Y5" i="9" s="1"/>
  <c r="Z5" i="9" s="1"/>
  <c r="AA5" i="9" s="1"/>
  <c r="AB5" i="9"/>
  <c r="V5" i="9" s="1"/>
  <c r="I3" i="9"/>
  <c r="G8" i="9"/>
  <c r="A8" i="9" s="1"/>
  <c r="C8" i="9"/>
  <c r="D8" i="9" s="1"/>
  <c r="E8" i="9" s="1"/>
  <c r="F8" i="9" s="1"/>
  <c r="B9" i="9"/>
  <c r="P6" i="9"/>
  <c r="U5" i="9"/>
  <c r="O5" i="9" s="1"/>
  <c r="Q5" i="9"/>
  <c r="R5" i="9" s="1"/>
  <c r="S5" i="9" s="1"/>
  <c r="T5" i="9" s="1"/>
  <c r="A31" i="13" l="1"/>
  <c r="M31" i="13"/>
  <c r="A31" i="12"/>
  <c r="A47" i="13"/>
  <c r="M47" i="13"/>
  <c r="A47" i="12"/>
  <c r="A56" i="12"/>
  <c r="A56" i="13"/>
  <c r="M56" i="13"/>
  <c r="A44" i="13"/>
  <c r="M44" i="13"/>
  <c r="A44" i="12"/>
  <c r="M33" i="13"/>
  <c r="A33" i="12"/>
  <c r="A33" i="13"/>
  <c r="M32" i="13"/>
  <c r="A32" i="12"/>
  <c r="A32" i="13"/>
  <c r="M25" i="13"/>
  <c r="A25" i="12"/>
  <c r="A25" i="13"/>
  <c r="M45" i="13"/>
  <c r="A45" i="12"/>
  <c r="A45" i="13"/>
  <c r="M15" i="13"/>
  <c r="A15" i="12"/>
  <c r="A15" i="13"/>
  <c r="A30" i="12"/>
  <c r="A30" i="13"/>
  <c r="M30" i="13"/>
  <c r="M46" i="13"/>
  <c r="A46" i="12"/>
  <c r="A46" i="13"/>
  <c r="A19" i="13"/>
  <c r="M19" i="13"/>
  <c r="A19" i="12"/>
  <c r="M35" i="13"/>
  <c r="A35" i="12"/>
  <c r="A35" i="13"/>
  <c r="M51" i="13"/>
  <c r="A51" i="12"/>
  <c r="A51" i="13"/>
  <c r="A14" i="13"/>
  <c r="M14" i="13"/>
  <c r="A14" i="12"/>
  <c r="M52" i="13"/>
  <c r="A52" i="12"/>
  <c r="A52" i="13"/>
  <c r="A53" i="12"/>
  <c r="A53" i="13"/>
  <c r="M53" i="13"/>
  <c r="A40" i="12"/>
  <c r="A40" i="13"/>
  <c r="M40" i="13"/>
  <c r="M29" i="13"/>
  <c r="A29" i="12"/>
  <c r="A29" i="13"/>
  <c r="M49" i="13"/>
  <c r="A49" i="12"/>
  <c r="A49" i="13"/>
  <c r="M17" i="13"/>
  <c r="A17" i="12"/>
  <c r="A17" i="13"/>
  <c r="M34" i="13"/>
  <c r="A34" i="12"/>
  <c r="A34" i="13"/>
  <c r="A50" i="12"/>
  <c r="A50" i="13"/>
  <c r="M50" i="13"/>
  <c r="M23" i="13"/>
  <c r="A23" i="12"/>
  <c r="A23" i="13"/>
  <c r="M39" i="13"/>
  <c r="A39" i="12"/>
  <c r="A39" i="13"/>
  <c r="M55" i="13"/>
  <c r="A55" i="12"/>
  <c r="A55" i="13"/>
  <c r="A28" i="13"/>
  <c r="M28" i="13"/>
  <c r="A28" i="12"/>
  <c r="M20" i="13"/>
  <c r="A20" i="12"/>
  <c r="A20" i="13"/>
  <c r="A13" i="12"/>
  <c r="A13" i="13"/>
  <c r="M13" i="13"/>
  <c r="M48" i="13"/>
  <c r="A48" i="12"/>
  <c r="A48" i="13"/>
  <c r="A37" i="12"/>
  <c r="A37" i="13"/>
  <c r="M37" i="13"/>
  <c r="M57" i="13"/>
  <c r="A57" i="12"/>
  <c r="A57" i="13"/>
  <c r="M22" i="13"/>
  <c r="A22" i="12"/>
  <c r="A22" i="13"/>
  <c r="A38" i="13"/>
  <c r="M38" i="13"/>
  <c r="A38" i="12"/>
  <c r="M54" i="13"/>
  <c r="A54" i="12"/>
  <c r="A54" i="13"/>
  <c r="A27" i="12"/>
  <c r="A27" i="13"/>
  <c r="M27" i="13"/>
  <c r="A43" i="12"/>
  <c r="A43" i="13"/>
  <c r="M43" i="13"/>
  <c r="A18" i="12"/>
  <c r="M18" i="13"/>
  <c r="A18" i="13"/>
  <c r="M36" i="13"/>
  <c r="A36" i="12"/>
  <c r="A36" i="13"/>
  <c r="M16" i="13"/>
  <c r="A16" i="12"/>
  <c r="A16" i="13"/>
  <c r="A24" i="12"/>
  <c r="A24" i="13"/>
  <c r="M24" i="13"/>
  <c r="A21" i="13"/>
  <c r="M21" i="13"/>
  <c r="A21" i="12"/>
  <c r="A41" i="13"/>
  <c r="M41" i="13"/>
  <c r="A41" i="12"/>
  <c r="M12" i="13"/>
  <c r="A12" i="12"/>
  <c r="A12" i="13"/>
  <c r="A26" i="13"/>
  <c r="M26" i="13"/>
  <c r="A26" i="12"/>
  <c r="M42" i="13"/>
  <c r="A42" i="12"/>
  <c r="A42" i="13"/>
  <c r="A58" i="13"/>
  <c r="M58" i="13"/>
  <c r="A58" i="12"/>
  <c r="A8" i="12"/>
  <c r="A4" i="12"/>
  <c r="A10" i="12"/>
  <c r="A7" i="12"/>
  <c r="A9" i="12"/>
  <c r="M11" i="13"/>
  <c r="A11" i="12"/>
  <c r="M3" i="13"/>
  <c r="A3" i="12"/>
  <c r="A2" i="12"/>
  <c r="M2" i="13"/>
  <c r="M8" i="13"/>
  <c r="A6" i="12"/>
  <c r="M4" i="13"/>
  <c r="A5" i="12"/>
  <c r="E15" i="12"/>
  <c r="E202" i="12"/>
  <c r="E201" i="12"/>
  <c r="E193" i="12"/>
  <c r="E185" i="12"/>
  <c r="E183" i="12"/>
  <c r="E175" i="12"/>
  <c r="E186" i="12"/>
  <c r="E176" i="12"/>
  <c r="E158" i="12"/>
  <c r="E169" i="12"/>
  <c r="E165" i="12"/>
  <c r="E161" i="12"/>
  <c r="E155" i="12"/>
  <c r="E136" i="12"/>
  <c r="E128" i="12"/>
  <c r="E120" i="12"/>
  <c r="E151" i="12"/>
  <c r="E147" i="12"/>
  <c r="E143" i="12"/>
  <c r="E127" i="12"/>
  <c r="E121" i="12"/>
  <c r="E135" i="12"/>
  <c r="E109" i="12"/>
  <c r="E111" i="12"/>
  <c r="E101" i="12"/>
  <c r="E93" i="12"/>
  <c r="E113" i="12"/>
  <c r="E92" i="12"/>
  <c r="E87" i="12"/>
  <c r="E80" i="12"/>
  <c r="E72" i="12"/>
  <c r="E64" i="12"/>
  <c r="E98" i="12"/>
  <c r="E81" i="12"/>
  <c r="E73" i="12"/>
  <c r="E65" i="12"/>
  <c r="E57" i="12"/>
  <c r="E36" i="12"/>
  <c r="E41" i="12"/>
  <c r="E45" i="12"/>
  <c r="E49" i="12"/>
  <c r="E11" i="12"/>
  <c r="E190" i="12"/>
  <c r="E122" i="12"/>
  <c r="E125" i="12"/>
  <c r="E123" i="12"/>
  <c r="E117" i="12"/>
  <c r="E82" i="12"/>
  <c r="E102" i="12"/>
  <c r="E51" i="12"/>
  <c r="E44" i="12"/>
  <c r="E13" i="12"/>
  <c r="E3" i="12"/>
  <c r="E200" i="12"/>
  <c r="E199" i="12"/>
  <c r="E191" i="12"/>
  <c r="E192" i="12"/>
  <c r="E181" i="12"/>
  <c r="E173" i="12"/>
  <c r="E182" i="12"/>
  <c r="E174" i="12"/>
  <c r="E156" i="12"/>
  <c r="E168" i="12"/>
  <c r="E164" i="12"/>
  <c r="E160" i="12"/>
  <c r="E153" i="12"/>
  <c r="E134" i="12"/>
  <c r="E126" i="12"/>
  <c r="E118" i="12"/>
  <c r="E150" i="12"/>
  <c r="E146" i="12"/>
  <c r="E142" i="12"/>
  <c r="E137" i="12"/>
  <c r="E115" i="12"/>
  <c r="E131" i="12"/>
  <c r="E108" i="12"/>
  <c r="E107" i="12"/>
  <c r="E99" i="12"/>
  <c r="E91" i="12"/>
  <c r="E104" i="12"/>
  <c r="E90" i="12"/>
  <c r="E86" i="12"/>
  <c r="E78" i="12"/>
  <c r="E70" i="12"/>
  <c r="E62" i="12"/>
  <c r="E94" i="12"/>
  <c r="E79" i="12"/>
  <c r="E71" i="12"/>
  <c r="E63" i="12"/>
  <c r="E55" i="12"/>
  <c r="E50" i="12"/>
  <c r="E54" i="12"/>
  <c r="E58" i="12"/>
  <c r="E34" i="12"/>
  <c r="E42" i="12"/>
  <c r="E46" i="12"/>
  <c r="E52" i="12"/>
  <c r="E196" i="12"/>
  <c r="E187" i="12"/>
  <c r="E184" i="12"/>
  <c r="E178" i="12"/>
  <c r="E152" i="12"/>
  <c r="E162" i="12"/>
  <c r="E138" i="12"/>
  <c r="E148" i="12"/>
  <c r="E140" i="12"/>
  <c r="E110" i="12"/>
  <c r="E95" i="12"/>
  <c r="E88" i="12"/>
  <c r="E66" i="12"/>
  <c r="E75" i="12"/>
  <c r="E67" i="12"/>
  <c r="E40" i="12"/>
  <c r="E7" i="12"/>
  <c r="E198" i="12"/>
  <c r="E197" i="12"/>
  <c r="E189" i="12"/>
  <c r="E188" i="12"/>
  <c r="E179" i="12"/>
  <c r="E194" i="12"/>
  <c r="E180" i="12"/>
  <c r="E172" i="12"/>
  <c r="E154" i="12"/>
  <c r="E167" i="12"/>
  <c r="E163" i="12"/>
  <c r="E159" i="12"/>
  <c r="E171" i="12"/>
  <c r="E132" i="12"/>
  <c r="E124" i="12"/>
  <c r="E116" i="12"/>
  <c r="E149" i="12"/>
  <c r="E145" i="12"/>
  <c r="E141" i="12"/>
  <c r="E129" i="12"/>
  <c r="E112" i="12"/>
  <c r="E133" i="12"/>
  <c r="E106" i="12"/>
  <c r="E105" i="12"/>
  <c r="E97" i="12"/>
  <c r="E119" i="12"/>
  <c r="E100" i="12"/>
  <c r="E89" i="12"/>
  <c r="E84" i="12"/>
  <c r="E76" i="12"/>
  <c r="E68" i="12"/>
  <c r="E60" i="12"/>
  <c r="E85" i="12"/>
  <c r="E77" i="12"/>
  <c r="E69" i="12"/>
  <c r="E61" i="12"/>
  <c r="E53" i="12"/>
  <c r="E2" i="12"/>
  <c r="E4" i="12"/>
  <c r="E6" i="12"/>
  <c r="E8" i="12"/>
  <c r="E10" i="12"/>
  <c r="E12" i="12"/>
  <c r="E14" i="12"/>
  <c r="E16" i="12"/>
  <c r="E18" i="12"/>
  <c r="E20" i="12"/>
  <c r="E22" i="12"/>
  <c r="E24" i="12"/>
  <c r="E26" i="12"/>
  <c r="E28" i="12"/>
  <c r="E30" i="12"/>
  <c r="E32" i="12"/>
  <c r="E43" i="12"/>
  <c r="E47" i="12"/>
  <c r="E56" i="12"/>
  <c r="E17" i="12"/>
  <c r="E19" i="12"/>
  <c r="E21" i="12"/>
  <c r="E23" i="12"/>
  <c r="E25" i="12"/>
  <c r="E27" i="12"/>
  <c r="E29" i="12"/>
  <c r="E31" i="12"/>
  <c r="E33" i="12"/>
  <c r="E35" i="12"/>
  <c r="E37" i="12"/>
  <c r="E39" i="12"/>
  <c r="E9" i="12"/>
  <c r="E195" i="12"/>
  <c r="E177" i="12"/>
  <c r="E170" i="12"/>
  <c r="E166" i="12"/>
  <c r="E157" i="12"/>
  <c r="E130" i="12"/>
  <c r="E114" i="12"/>
  <c r="E144" i="12"/>
  <c r="E139" i="12"/>
  <c r="E103" i="12"/>
  <c r="E96" i="12"/>
  <c r="E74" i="12"/>
  <c r="E83" i="12"/>
  <c r="E59" i="12"/>
  <c r="E38" i="12"/>
  <c r="E48" i="12"/>
  <c r="E5" i="12"/>
  <c r="M5" i="13"/>
  <c r="M7" i="13"/>
  <c r="M6" i="13"/>
  <c r="M9" i="13"/>
  <c r="M10" i="13"/>
  <c r="A7" i="13"/>
  <c r="A4" i="13"/>
  <c r="A8" i="13"/>
  <c r="A10" i="13"/>
  <c r="A11" i="13"/>
  <c r="A3" i="13"/>
  <c r="A6" i="13"/>
  <c r="A2" i="13"/>
  <c r="A5" i="13"/>
  <c r="A9" i="13"/>
  <c r="E9" i="13"/>
  <c r="E183" i="13"/>
  <c r="E132" i="13"/>
  <c r="E190" i="13"/>
  <c r="E197" i="13"/>
  <c r="E154" i="13"/>
  <c r="E178" i="13"/>
  <c r="E107" i="13"/>
  <c r="E65" i="13"/>
  <c r="E59" i="13"/>
  <c r="E181" i="13"/>
  <c r="E34" i="13"/>
  <c r="E89" i="13"/>
  <c r="E23" i="13"/>
  <c r="E131" i="13"/>
  <c r="E123" i="13"/>
  <c r="E166" i="13"/>
  <c r="E165" i="13"/>
  <c r="E50" i="13"/>
  <c r="E162" i="13"/>
  <c r="E81" i="13"/>
  <c r="E174" i="13"/>
  <c r="E101" i="13"/>
  <c r="E202" i="13"/>
  <c r="E138" i="13"/>
  <c r="E33" i="13"/>
  <c r="E150" i="13"/>
  <c r="E57" i="13"/>
  <c r="E193" i="13"/>
  <c r="E177" i="13"/>
  <c r="E161" i="13"/>
  <c r="E111" i="13"/>
  <c r="E196" i="13"/>
  <c r="E85" i="13"/>
  <c r="E167" i="13"/>
  <c r="E114" i="13"/>
  <c r="E80" i="13"/>
  <c r="E146" i="13"/>
  <c r="E49" i="13"/>
  <c r="E158" i="13"/>
  <c r="E73" i="13"/>
  <c r="E186" i="13"/>
  <c r="E117" i="13"/>
  <c r="E198" i="13"/>
  <c r="E133" i="13"/>
  <c r="E25" i="13"/>
  <c r="E189" i="13"/>
  <c r="E173" i="13"/>
  <c r="E157" i="13"/>
  <c r="E87" i="13"/>
  <c r="E164" i="13"/>
  <c r="E53" i="13"/>
  <c r="E151" i="13"/>
  <c r="E98" i="13"/>
  <c r="E64" i="13"/>
  <c r="E194" i="13"/>
  <c r="E128" i="13"/>
  <c r="E17" i="13"/>
  <c r="E142" i="13"/>
  <c r="E41" i="13"/>
  <c r="E170" i="13"/>
  <c r="E96" i="13"/>
  <c r="E182" i="13"/>
  <c r="E112" i="13"/>
  <c r="E201" i="13"/>
  <c r="E185" i="13"/>
  <c r="E169" i="13"/>
  <c r="E149" i="13"/>
  <c r="E55" i="13"/>
  <c r="E148" i="13"/>
  <c r="E21" i="13"/>
  <c r="E91" i="13"/>
  <c r="E4" i="13"/>
  <c r="E180" i="13"/>
  <c r="E109" i="13"/>
  <c r="E199" i="13"/>
  <c r="E135" i="13"/>
  <c r="E27" i="13"/>
  <c r="E82" i="13"/>
  <c r="E18" i="13"/>
  <c r="E48" i="13"/>
  <c r="E113" i="13"/>
  <c r="E130" i="13"/>
  <c r="E66" i="13"/>
  <c r="E5" i="13"/>
  <c r="E32" i="13"/>
  <c r="E16" i="13"/>
  <c r="E145" i="13"/>
  <c r="E127" i="13"/>
  <c r="E105" i="13"/>
  <c r="E79" i="13"/>
  <c r="E47" i="13"/>
  <c r="E15" i="13"/>
  <c r="E192" i="13"/>
  <c r="E176" i="13"/>
  <c r="E160" i="13"/>
  <c r="E144" i="13"/>
  <c r="E125" i="13"/>
  <c r="E104" i="13"/>
  <c r="E77" i="13"/>
  <c r="E45" i="13"/>
  <c r="E13" i="13"/>
  <c r="E195" i="13"/>
  <c r="E179" i="13"/>
  <c r="E163" i="13"/>
  <c r="E147" i="13"/>
  <c r="E129" i="13"/>
  <c r="E108" i="13"/>
  <c r="E83" i="13"/>
  <c r="E51" i="13"/>
  <c r="E19" i="13"/>
  <c r="E126" i="13"/>
  <c r="E110" i="13"/>
  <c r="E94" i="13"/>
  <c r="E78" i="13"/>
  <c r="E62" i="13"/>
  <c r="E46" i="13"/>
  <c r="E30" i="13"/>
  <c r="E14" i="13"/>
  <c r="E92" i="13"/>
  <c r="E76" i="13"/>
  <c r="E60" i="13"/>
  <c r="E44" i="13"/>
  <c r="E28" i="13"/>
  <c r="E12" i="13"/>
  <c r="E141" i="13"/>
  <c r="E121" i="13"/>
  <c r="E100" i="13"/>
  <c r="E71" i="13"/>
  <c r="E39" i="13"/>
  <c r="E7" i="13"/>
  <c r="E188" i="13"/>
  <c r="E172" i="13"/>
  <c r="E156" i="13"/>
  <c r="E140" i="13"/>
  <c r="E120" i="13"/>
  <c r="E99" i="13"/>
  <c r="E69" i="13"/>
  <c r="E37" i="13"/>
  <c r="E3" i="13"/>
  <c r="E191" i="13"/>
  <c r="E175" i="13"/>
  <c r="E159" i="13"/>
  <c r="E143" i="13"/>
  <c r="E124" i="13"/>
  <c r="E103" i="13"/>
  <c r="E75" i="13"/>
  <c r="E43" i="13"/>
  <c r="E11" i="13"/>
  <c r="E122" i="13"/>
  <c r="E106" i="13"/>
  <c r="E90" i="13"/>
  <c r="E74" i="13"/>
  <c r="E58" i="13"/>
  <c r="E42" i="13"/>
  <c r="E26" i="13"/>
  <c r="E10" i="13"/>
  <c r="E88" i="13"/>
  <c r="E72" i="13"/>
  <c r="E56" i="13"/>
  <c r="E40" i="13"/>
  <c r="E24" i="13"/>
  <c r="E8" i="13"/>
  <c r="E153" i="13"/>
  <c r="E137" i="13"/>
  <c r="E116" i="13"/>
  <c r="E95" i="13"/>
  <c r="E63" i="13"/>
  <c r="E31" i="13"/>
  <c r="E200" i="13"/>
  <c r="E184" i="13"/>
  <c r="E168" i="13"/>
  <c r="E152" i="13"/>
  <c r="E136" i="13"/>
  <c r="E115" i="13"/>
  <c r="E93" i="13"/>
  <c r="E61" i="13"/>
  <c r="E29" i="13"/>
  <c r="E2" i="13"/>
  <c r="E187" i="13"/>
  <c r="E171" i="13"/>
  <c r="E155" i="13"/>
  <c r="E139" i="13"/>
  <c r="E119" i="13"/>
  <c r="E97" i="13"/>
  <c r="E67" i="13"/>
  <c r="E35" i="13"/>
  <c r="E134" i="13"/>
  <c r="E118" i="13"/>
  <c r="E102" i="13"/>
  <c r="E86" i="13"/>
  <c r="E70" i="13"/>
  <c r="E54" i="13"/>
  <c r="E38" i="13"/>
  <c r="E22" i="13"/>
  <c r="E6" i="13"/>
  <c r="E84" i="13"/>
  <c r="E68" i="13"/>
  <c r="E52" i="13"/>
  <c r="E36" i="13"/>
  <c r="E20" i="13"/>
  <c r="P3" i="9"/>
  <c r="P7" i="9"/>
  <c r="U6" i="9"/>
  <c r="O6" i="9" s="1"/>
  <c r="Q6" i="9"/>
  <c r="R6" i="9" s="1"/>
  <c r="S6" i="9" s="1"/>
  <c r="T6" i="9" s="1"/>
  <c r="W7" i="9"/>
  <c r="X6" i="9"/>
  <c r="Y6" i="9" s="1"/>
  <c r="Z6" i="9" s="1"/>
  <c r="AA6" i="9" s="1"/>
  <c r="AB6" i="9"/>
  <c r="V6" i="9" s="1"/>
  <c r="W3" i="9"/>
  <c r="N7" i="9"/>
  <c r="H7" i="9" s="1"/>
  <c r="J7" i="9"/>
  <c r="K7" i="9" s="1"/>
  <c r="L7" i="9" s="1"/>
  <c r="M7" i="9" s="1"/>
  <c r="I8" i="9"/>
  <c r="G9" i="9"/>
  <c r="A9" i="9" s="1"/>
  <c r="C9" i="9"/>
  <c r="D9" i="9" s="1"/>
  <c r="E9" i="9" s="1"/>
  <c r="F9" i="9" s="1"/>
  <c r="B10" i="9"/>
  <c r="D20" i="6"/>
  <c r="C20" i="6"/>
  <c r="E20" i="6"/>
  <c r="D19" i="6"/>
  <c r="E19" i="6"/>
  <c r="C19" i="6"/>
  <c r="C14" i="6"/>
  <c r="D17" i="6"/>
  <c r="C16" i="6"/>
  <c r="E14" i="6"/>
  <c r="E15" i="6"/>
  <c r="E17" i="6"/>
  <c r="C15" i="6"/>
  <c r="D18" i="6"/>
  <c r="D16" i="6"/>
  <c r="C17" i="6"/>
  <c r="D15" i="6"/>
  <c r="E16" i="6"/>
  <c r="D14" i="6"/>
  <c r="C18" i="6"/>
  <c r="E18" i="6"/>
  <c r="E13" i="6"/>
  <c r="F57" i="6"/>
  <c r="F18" i="6"/>
  <c r="F87" i="6"/>
  <c r="F131" i="6"/>
  <c r="F103" i="6"/>
  <c r="F153" i="6"/>
  <c r="F48" i="6"/>
  <c r="F188" i="6"/>
  <c r="F154" i="6"/>
  <c r="F195" i="6"/>
  <c r="F194" i="6"/>
  <c r="F138" i="6"/>
  <c r="F149" i="6"/>
  <c r="F133" i="6"/>
  <c r="F30" i="6"/>
  <c r="F24" i="6"/>
  <c r="F79" i="6"/>
  <c r="F22" i="6"/>
  <c r="F101" i="6"/>
  <c r="F98" i="6"/>
  <c r="F74" i="6"/>
  <c r="F110" i="6"/>
  <c r="F122" i="6"/>
  <c r="F130" i="6"/>
  <c r="F14" i="6"/>
  <c r="F185" i="6"/>
  <c r="F84" i="6"/>
  <c r="F38" i="6"/>
  <c r="F94" i="6"/>
  <c r="F112" i="6"/>
  <c r="F72" i="6"/>
  <c r="F33" i="6"/>
  <c r="F114" i="6"/>
  <c r="F43" i="6"/>
  <c r="F21" i="6"/>
  <c r="F60" i="6"/>
  <c r="F156" i="6"/>
  <c r="F161" i="6"/>
  <c r="F54" i="6"/>
  <c r="F163" i="6"/>
  <c r="F174" i="6"/>
  <c r="F123" i="6"/>
  <c r="F69" i="6"/>
  <c r="F118" i="6"/>
  <c r="F80" i="6"/>
  <c r="F186" i="6"/>
  <c r="F144" i="6"/>
  <c r="F181" i="6"/>
  <c r="F170" i="6"/>
  <c r="F160" i="6"/>
  <c r="F201" i="6"/>
  <c r="F129" i="6"/>
  <c r="F167" i="6"/>
  <c r="F111" i="6"/>
  <c r="F182" i="6"/>
  <c r="F187" i="6"/>
  <c r="F42" i="6"/>
  <c r="F159" i="6"/>
  <c r="F197" i="6"/>
  <c r="F45" i="6"/>
  <c r="F63" i="6"/>
  <c r="F81" i="6"/>
  <c r="F92" i="6"/>
  <c r="F155" i="6"/>
  <c r="F105" i="6"/>
  <c r="F139" i="6"/>
  <c r="F102" i="6"/>
  <c r="F50" i="6"/>
  <c r="F70" i="6"/>
  <c r="F137" i="6"/>
  <c r="F189" i="6"/>
  <c r="F86" i="6"/>
  <c r="F198" i="6"/>
  <c r="F20" i="6"/>
  <c r="F193" i="6"/>
  <c r="F168" i="6"/>
  <c r="F192" i="6"/>
  <c r="F151" i="6"/>
  <c r="F36" i="6"/>
  <c r="F178" i="6"/>
  <c r="F135" i="6"/>
  <c r="F100" i="6"/>
  <c r="F99" i="6"/>
  <c r="F64" i="6"/>
  <c r="F88" i="6"/>
  <c r="F191" i="6"/>
  <c r="F40" i="6"/>
  <c r="F125" i="6"/>
  <c r="F49" i="6"/>
  <c r="F165" i="6"/>
  <c r="F109" i="6"/>
  <c r="F58" i="6"/>
  <c r="F148" i="6"/>
  <c r="F55" i="6"/>
  <c r="F35" i="6"/>
  <c r="F169" i="6"/>
  <c r="F75" i="6"/>
  <c r="F90" i="6"/>
  <c r="F164" i="6"/>
  <c r="F143" i="6"/>
  <c r="F96" i="6"/>
  <c r="F16" i="6"/>
  <c r="F183" i="6"/>
  <c r="F39" i="6"/>
  <c r="F19" i="6"/>
  <c r="F76" i="6"/>
  <c r="F196" i="6"/>
  <c r="F175" i="6"/>
  <c r="F82" i="6"/>
  <c r="F27" i="6"/>
  <c r="F41" i="6"/>
  <c r="F147" i="6"/>
  <c r="F68" i="6"/>
  <c r="F200" i="6"/>
  <c r="F132" i="6"/>
  <c r="F53" i="6"/>
  <c r="F145" i="6"/>
  <c r="F91" i="6"/>
  <c r="F32" i="6"/>
  <c r="F46" i="6"/>
  <c r="F127" i="6"/>
  <c r="F126" i="6"/>
  <c r="F95" i="6"/>
  <c r="F31" i="6"/>
  <c r="F59" i="6"/>
  <c r="F34" i="6"/>
  <c r="F71" i="6"/>
  <c r="F51" i="6"/>
  <c r="F52" i="6"/>
  <c r="F83" i="6"/>
  <c r="F65" i="6"/>
  <c r="F199" i="6"/>
  <c r="F173" i="6"/>
  <c r="F44" i="6"/>
  <c r="F124" i="6"/>
  <c r="F77" i="6"/>
  <c r="F176" i="6"/>
  <c r="F23" i="6"/>
  <c r="F97" i="6"/>
  <c r="F113" i="6"/>
  <c r="F202" i="6"/>
  <c r="F47" i="6"/>
  <c r="F29" i="6"/>
  <c r="F190" i="6"/>
  <c r="F166" i="6"/>
  <c r="F172" i="6"/>
  <c r="F179" i="6"/>
  <c r="F93" i="6"/>
  <c r="F26" i="6"/>
  <c r="F25" i="6"/>
  <c r="F66" i="6"/>
  <c r="F15" i="6"/>
  <c r="F162" i="6"/>
  <c r="F141" i="6"/>
  <c r="F116" i="6"/>
  <c r="F62" i="6"/>
  <c r="F136" i="6"/>
  <c r="F184" i="6"/>
  <c r="F108" i="6"/>
  <c r="F85" i="6"/>
  <c r="F203" i="6"/>
  <c r="F120" i="6"/>
  <c r="F117" i="6"/>
  <c r="F89" i="6"/>
  <c r="F17" i="6"/>
  <c r="F121" i="6"/>
  <c r="F142" i="6"/>
  <c r="F146" i="6"/>
  <c r="F78" i="6"/>
  <c r="F67" i="6"/>
  <c r="F107" i="6"/>
  <c r="F37" i="6"/>
  <c r="F158" i="6"/>
  <c r="F150" i="6"/>
  <c r="F106" i="6"/>
  <c r="F177" i="6"/>
  <c r="F157" i="6"/>
  <c r="F119" i="6"/>
  <c r="F73" i="6"/>
  <c r="F115" i="6"/>
  <c r="F140" i="6"/>
  <c r="F171" i="6"/>
  <c r="F152" i="6"/>
  <c r="F61" i="6"/>
  <c r="F128" i="6"/>
  <c r="F104" i="6"/>
  <c r="F56" i="6"/>
  <c r="F134" i="6"/>
  <c r="F28" i="6"/>
  <c r="F180" i="6"/>
  <c r="A44" i="6" l="1"/>
  <c r="A43" i="11"/>
  <c r="A47" i="6"/>
  <c r="A46" i="11"/>
  <c r="A49" i="6"/>
  <c r="A48" i="11"/>
  <c r="A34" i="6"/>
  <c r="A33" i="11"/>
  <c r="A26" i="6"/>
  <c r="A25" i="11"/>
  <c r="A33" i="6"/>
  <c r="A32" i="11"/>
  <c r="A25" i="6"/>
  <c r="A24" i="11"/>
  <c r="A54" i="6"/>
  <c r="A53" i="11"/>
  <c r="A43" i="6"/>
  <c r="A42" i="11"/>
  <c r="A51" i="6"/>
  <c r="A50" i="11"/>
  <c r="A45" i="6"/>
  <c r="A44" i="11"/>
  <c r="A42" i="6"/>
  <c r="A41" i="11"/>
  <c r="A36" i="6"/>
  <c r="A35" i="11"/>
  <c r="A27" i="6"/>
  <c r="A26" i="11"/>
  <c r="A55" i="6"/>
  <c r="A54" i="11"/>
  <c r="A46" i="6"/>
  <c r="A45" i="11"/>
  <c r="A39" i="6"/>
  <c r="A38" i="11"/>
  <c r="A40" i="6"/>
  <c r="A39" i="11"/>
  <c r="A32" i="6"/>
  <c r="A31" i="11"/>
  <c r="A24" i="6"/>
  <c r="A23" i="11"/>
  <c r="A57" i="6"/>
  <c r="A56" i="11"/>
  <c r="A31" i="6"/>
  <c r="A30" i="11"/>
  <c r="A23" i="6"/>
  <c r="A22" i="11"/>
  <c r="A35" i="6"/>
  <c r="A34" i="11"/>
  <c r="A56" i="6"/>
  <c r="A55" i="11"/>
  <c r="A52" i="6"/>
  <c r="A51" i="11"/>
  <c r="A37" i="6"/>
  <c r="A36" i="11"/>
  <c r="A28" i="6"/>
  <c r="A27" i="11"/>
  <c r="A38" i="6"/>
  <c r="A37" i="11"/>
  <c r="A30" i="6"/>
  <c r="A29" i="11"/>
  <c r="A22" i="6"/>
  <c r="A21" i="11"/>
  <c r="A48" i="6"/>
  <c r="A47" i="11"/>
  <c r="A29" i="6"/>
  <c r="A28" i="11"/>
  <c r="A41" i="6"/>
  <c r="A40" i="11"/>
  <c r="A53" i="6"/>
  <c r="A52" i="11"/>
  <c r="A59" i="6"/>
  <c r="A58" i="11"/>
  <c r="A50" i="6"/>
  <c r="A49" i="11"/>
  <c r="A58" i="6"/>
  <c r="A57" i="11"/>
  <c r="A20" i="6"/>
  <c r="A19" i="11"/>
  <c r="A19" i="6"/>
  <c r="A18" i="11"/>
  <c r="A18" i="6"/>
  <c r="A17" i="11"/>
  <c r="A21" i="6"/>
  <c r="A20" i="11"/>
  <c r="A14" i="6"/>
  <c r="A13" i="11"/>
  <c r="A16" i="6"/>
  <c r="A15" i="11"/>
  <c r="A17" i="6"/>
  <c r="A16" i="11"/>
  <c r="A15" i="6"/>
  <c r="A14" i="11"/>
  <c r="A13" i="6"/>
  <c r="A12" i="11"/>
  <c r="H83" i="11"/>
  <c r="H139" i="11"/>
  <c r="H157" i="11"/>
  <c r="H195" i="11"/>
  <c r="H35" i="11"/>
  <c r="H27" i="11"/>
  <c r="H19" i="11"/>
  <c r="H43" i="11"/>
  <c r="H26" i="11"/>
  <c r="H18" i="11"/>
  <c r="H77" i="11"/>
  <c r="H76" i="11"/>
  <c r="H119" i="11"/>
  <c r="H133" i="11"/>
  <c r="H145" i="11"/>
  <c r="H132" i="11"/>
  <c r="H167" i="11"/>
  <c r="H194" i="11"/>
  <c r="H197" i="11"/>
  <c r="H67" i="11"/>
  <c r="H95" i="11"/>
  <c r="H138" i="11"/>
  <c r="H184" i="11"/>
  <c r="H46" i="11"/>
  <c r="H54" i="11"/>
  <c r="H71" i="11"/>
  <c r="H70" i="11"/>
  <c r="H104" i="11"/>
  <c r="H108" i="11"/>
  <c r="H142" i="11"/>
  <c r="H126" i="11"/>
  <c r="H164" i="11"/>
  <c r="H182" i="11"/>
  <c r="H191" i="11"/>
  <c r="H13" i="11"/>
  <c r="H82" i="11"/>
  <c r="H122" i="11"/>
  <c r="H45" i="11"/>
  <c r="H65" i="11"/>
  <c r="H64" i="11"/>
  <c r="H92" i="11"/>
  <c r="H111" i="11"/>
  <c r="H127" i="11"/>
  <c r="H120" i="11"/>
  <c r="H161" i="11"/>
  <c r="H176" i="11"/>
  <c r="H185" i="11"/>
  <c r="H15" i="11"/>
  <c r="H48" i="11"/>
  <c r="H74" i="11"/>
  <c r="H144" i="11"/>
  <c r="H166" i="11"/>
  <c r="H33" i="11"/>
  <c r="H25" i="11"/>
  <c r="H17" i="11"/>
  <c r="H32" i="11"/>
  <c r="H24" i="11"/>
  <c r="H16" i="11"/>
  <c r="H53" i="11"/>
  <c r="H85" i="11"/>
  <c r="H84" i="11"/>
  <c r="H97" i="11"/>
  <c r="H112" i="11"/>
  <c r="H149" i="11"/>
  <c r="H171" i="11"/>
  <c r="H154" i="11"/>
  <c r="H179" i="11"/>
  <c r="H198" i="11"/>
  <c r="H75" i="11"/>
  <c r="H110" i="11"/>
  <c r="H162" i="11"/>
  <c r="H187" i="11"/>
  <c r="H42" i="11"/>
  <c r="H50" i="11"/>
  <c r="H79" i="11"/>
  <c r="H78" i="11"/>
  <c r="H91" i="11"/>
  <c r="H131" i="11"/>
  <c r="H146" i="11"/>
  <c r="H134" i="11"/>
  <c r="H168" i="11"/>
  <c r="H173" i="11"/>
  <c r="H199" i="11"/>
  <c r="H44" i="11"/>
  <c r="H117" i="11"/>
  <c r="H190" i="11"/>
  <c r="H41" i="11"/>
  <c r="H73" i="11"/>
  <c r="H72" i="11"/>
  <c r="H113" i="11"/>
  <c r="H109" i="11"/>
  <c r="H143" i="11"/>
  <c r="H128" i="11"/>
  <c r="H165" i="11"/>
  <c r="H186" i="11"/>
  <c r="H193" i="11"/>
  <c r="H38" i="11"/>
  <c r="H96" i="11"/>
  <c r="H114" i="11"/>
  <c r="H170" i="11"/>
  <c r="H39" i="11"/>
  <c r="H31" i="11"/>
  <c r="H23" i="11"/>
  <c r="H56" i="11"/>
  <c r="H30" i="11"/>
  <c r="H22" i="11"/>
  <c r="H14" i="11"/>
  <c r="H61" i="11"/>
  <c r="H60" i="11"/>
  <c r="H89" i="11"/>
  <c r="H105" i="11"/>
  <c r="H129" i="11"/>
  <c r="H116" i="11"/>
  <c r="J116" i="11" s="1"/>
  <c r="H159" i="11"/>
  <c r="H172" i="11"/>
  <c r="H188" i="11"/>
  <c r="H66" i="11"/>
  <c r="J66" i="11" s="1"/>
  <c r="H140" i="11"/>
  <c r="H152" i="11"/>
  <c r="H196" i="11"/>
  <c r="H34" i="11"/>
  <c r="H55" i="11"/>
  <c r="H94" i="11"/>
  <c r="H86" i="11"/>
  <c r="H99" i="11"/>
  <c r="H115" i="11"/>
  <c r="H150" i="11"/>
  <c r="H153" i="11"/>
  <c r="H156" i="11"/>
  <c r="H181" i="11"/>
  <c r="H200" i="11"/>
  <c r="H51" i="11"/>
  <c r="H123" i="11"/>
  <c r="H36" i="11"/>
  <c r="H81" i="11"/>
  <c r="H80" i="11"/>
  <c r="H93" i="11"/>
  <c r="H135" i="11"/>
  <c r="H147" i="11"/>
  <c r="H136" i="11"/>
  <c r="H169" i="11"/>
  <c r="H175" i="11"/>
  <c r="H201" i="11"/>
  <c r="H59" i="11"/>
  <c r="H103" i="11"/>
  <c r="H130" i="11"/>
  <c r="H177" i="11"/>
  <c r="H37" i="11"/>
  <c r="H29" i="11"/>
  <c r="H21" i="11"/>
  <c r="H47" i="11"/>
  <c r="H28" i="11"/>
  <c r="H20" i="11"/>
  <c r="H12" i="11"/>
  <c r="H69" i="11"/>
  <c r="H68" i="11"/>
  <c r="H100" i="11"/>
  <c r="H106" i="11"/>
  <c r="H141" i="11"/>
  <c r="H124" i="11"/>
  <c r="H163" i="11"/>
  <c r="H180" i="11"/>
  <c r="H189" i="11"/>
  <c r="H40" i="11"/>
  <c r="H88" i="11"/>
  <c r="H148" i="11"/>
  <c r="H178" i="11"/>
  <c r="H52" i="11"/>
  <c r="H58" i="11"/>
  <c r="H63" i="11"/>
  <c r="H62" i="11"/>
  <c r="H90" i="11"/>
  <c r="H107" i="11"/>
  <c r="H137" i="11"/>
  <c r="H118" i="11"/>
  <c r="H160" i="11"/>
  <c r="H174" i="11"/>
  <c r="H192" i="11"/>
  <c r="H102" i="11"/>
  <c r="H125" i="11"/>
  <c r="H49" i="11"/>
  <c r="H57" i="11"/>
  <c r="H98" i="11"/>
  <c r="H87" i="11"/>
  <c r="H101" i="11"/>
  <c r="H121" i="11"/>
  <c r="H151" i="11"/>
  <c r="H155" i="11"/>
  <c r="H158" i="11"/>
  <c r="H183" i="11"/>
  <c r="H202" i="11"/>
  <c r="J202" i="11" s="1"/>
  <c r="A5" i="11"/>
  <c r="H5" i="11"/>
  <c r="H10" i="11"/>
  <c r="A10" i="11"/>
  <c r="H2" i="11"/>
  <c r="A2" i="11"/>
  <c r="A9" i="11"/>
  <c r="H9" i="11"/>
  <c r="H8" i="11"/>
  <c r="A8" i="11"/>
  <c r="H6" i="11"/>
  <c r="A6" i="11"/>
  <c r="A7" i="11"/>
  <c r="H7" i="11"/>
  <c r="A11" i="11"/>
  <c r="H11" i="11"/>
  <c r="B2" i="12"/>
  <c r="B6" i="12"/>
  <c r="B10" i="12"/>
  <c r="B14" i="12"/>
  <c r="B18" i="12"/>
  <c r="B22" i="12"/>
  <c r="B26" i="12"/>
  <c r="B30" i="12"/>
  <c r="B34" i="12"/>
  <c r="B38" i="12"/>
  <c r="B42" i="12"/>
  <c r="B46" i="12"/>
  <c r="B50" i="12"/>
  <c r="B54" i="12"/>
  <c r="B58" i="12"/>
  <c r="B62" i="12"/>
  <c r="B66" i="12"/>
  <c r="B70" i="12"/>
  <c r="B74" i="12"/>
  <c r="B78" i="12"/>
  <c r="B82" i="12"/>
  <c r="B86" i="12"/>
  <c r="B90" i="12"/>
  <c r="B94" i="12"/>
  <c r="B98" i="12"/>
  <c r="B102" i="12"/>
  <c r="B106" i="12"/>
  <c r="B110" i="12"/>
  <c r="B114" i="12"/>
  <c r="B118" i="12"/>
  <c r="B122" i="12"/>
  <c r="B126" i="12"/>
  <c r="B130" i="12"/>
  <c r="B134" i="12"/>
  <c r="B138" i="12"/>
  <c r="B142" i="12"/>
  <c r="B146" i="12"/>
  <c r="B150" i="12"/>
  <c r="B154" i="12"/>
  <c r="B158" i="12"/>
  <c r="B162" i="12"/>
  <c r="B166" i="12"/>
  <c r="B170" i="12"/>
  <c r="B174" i="12"/>
  <c r="B178" i="12"/>
  <c r="B182" i="12"/>
  <c r="B186" i="12"/>
  <c r="B190" i="12"/>
  <c r="B194" i="12"/>
  <c r="B198" i="12"/>
  <c r="B202" i="12"/>
  <c r="B3" i="12"/>
  <c r="B7" i="12"/>
  <c r="B11" i="12"/>
  <c r="B15" i="12"/>
  <c r="B19" i="12"/>
  <c r="B23" i="12"/>
  <c r="B27" i="12"/>
  <c r="B31" i="12"/>
  <c r="B35" i="12"/>
  <c r="B39" i="12"/>
  <c r="B43" i="12"/>
  <c r="B47" i="12"/>
  <c r="B51" i="12"/>
  <c r="B55" i="12"/>
  <c r="B59" i="12"/>
  <c r="B63" i="12"/>
  <c r="B67" i="12"/>
  <c r="B71" i="12"/>
  <c r="B75" i="12"/>
  <c r="B79" i="12"/>
  <c r="B83" i="12"/>
  <c r="B87" i="12"/>
  <c r="B91" i="12"/>
  <c r="B95" i="12"/>
  <c r="B99" i="12"/>
  <c r="B103" i="12"/>
  <c r="B107" i="12"/>
  <c r="B111" i="12"/>
  <c r="B115" i="12"/>
  <c r="B119" i="12"/>
  <c r="B123" i="12"/>
  <c r="B127" i="12"/>
  <c r="B131" i="12"/>
  <c r="B135" i="12"/>
  <c r="B139" i="12"/>
  <c r="B143" i="12"/>
  <c r="B147" i="12"/>
  <c r="B151" i="12"/>
  <c r="B155" i="12"/>
  <c r="B159" i="12"/>
  <c r="B163" i="12"/>
  <c r="B167" i="12"/>
  <c r="B171" i="12"/>
  <c r="B175" i="12"/>
  <c r="B179" i="12"/>
  <c r="B183" i="12"/>
  <c r="B187" i="12"/>
  <c r="B191" i="12"/>
  <c r="B195" i="12"/>
  <c r="B199" i="12"/>
  <c r="B4" i="12"/>
  <c r="B12" i="12"/>
  <c r="B20" i="12"/>
  <c r="B28" i="12"/>
  <c r="B36" i="12"/>
  <c r="B44" i="12"/>
  <c r="B52" i="12"/>
  <c r="B60" i="12"/>
  <c r="B68" i="12"/>
  <c r="B76" i="12"/>
  <c r="B84" i="12"/>
  <c r="B92" i="12"/>
  <c r="B100" i="12"/>
  <c r="B108" i="12"/>
  <c r="B116" i="12"/>
  <c r="B124" i="12"/>
  <c r="B132" i="12"/>
  <c r="B140" i="12"/>
  <c r="B148" i="12"/>
  <c r="B156" i="12"/>
  <c r="B164" i="12"/>
  <c r="B172" i="12"/>
  <c r="B180" i="12"/>
  <c r="B188" i="12"/>
  <c r="B196" i="12"/>
  <c r="B25" i="12"/>
  <c r="B33" i="12"/>
  <c r="B57" i="12"/>
  <c r="B81" i="12"/>
  <c r="B105" i="12"/>
  <c r="B129" i="12"/>
  <c r="B153" i="12"/>
  <c r="B185" i="12"/>
  <c r="B5" i="12"/>
  <c r="B13" i="12"/>
  <c r="B21" i="12"/>
  <c r="B29" i="12"/>
  <c r="B37" i="12"/>
  <c r="B45" i="12"/>
  <c r="B53" i="12"/>
  <c r="B61" i="12"/>
  <c r="B69" i="12"/>
  <c r="B77" i="12"/>
  <c r="B85" i="12"/>
  <c r="B93" i="12"/>
  <c r="B101" i="12"/>
  <c r="B109" i="12"/>
  <c r="B117" i="12"/>
  <c r="B125" i="12"/>
  <c r="B133" i="12"/>
  <c r="B141" i="12"/>
  <c r="B149" i="12"/>
  <c r="B157" i="12"/>
  <c r="B165" i="12"/>
  <c r="B173" i="12"/>
  <c r="B181" i="12"/>
  <c r="B189" i="12"/>
  <c r="B197" i="12"/>
  <c r="B17" i="12"/>
  <c r="B41" i="12"/>
  <c r="B65" i="12"/>
  <c r="B89" i="12"/>
  <c r="B113" i="12"/>
  <c r="B137" i="12"/>
  <c r="B161" i="12"/>
  <c r="B177" i="12"/>
  <c r="B201" i="12"/>
  <c r="B8" i="12"/>
  <c r="B16" i="12"/>
  <c r="B24" i="12"/>
  <c r="B32" i="12"/>
  <c r="B40" i="12"/>
  <c r="B48" i="12"/>
  <c r="B56" i="12"/>
  <c r="B64" i="12"/>
  <c r="B72" i="12"/>
  <c r="B80" i="12"/>
  <c r="B88" i="12"/>
  <c r="B96" i="12"/>
  <c r="B104" i="12"/>
  <c r="B112" i="12"/>
  <c r="B120" i="12"/>
  <c r="B128" i="12"/>
  <c r="B136" i="12"/>
  <c r="B144" i="12"/>
  <c r="B152" i="12"/>
  <c r="B160" i="12"/>
  <c r="B168" i="12"/>
  <c r="B176" i="12"/>
  <c r="B184" i="12"/>
  <c r="B192" i="12"/>
  <c r="B200" i="12"/>
  <c r="B9" i="12"/>
  <c r="B49" i="12"/>
  <c r="B73" i="12"/>
  <c r="B97" i="12"/>
  <c r="B121" i="12"/>
  <c r="B145" i="12"/>
  <c r="B169" i="12"/>
  <c r="B193" i="12"/>
  <c r="H4" i="11"/>
  <c r="A4" i="11"/>
  <c r="A3" i="11"/>
  <c r="H3" i="11"/>
  <c r="A7" i="6"/>
  <c r="A8" i="6"/>
  <c r="A12" i="6"/>
  <c r="A10" i="6"/>
  <c r="A9" i="6"/>
  <c r="A5" i="6"/>
  <c r="A4" i="6"/>
  <c r="A6" i="6"/>
  <c r="A11" i="6"/>
  <c r="A3" i="6"/>
  <c r="B20" i="13"/>
  <c r="B99" i="13"/>
  <c r="B101" i="13"/>
  <c r="B172" i="13"/>
  <c r="B106" i="13"/>
  <c r="B195" i="13"/>
  <c r="B127" i="13"/>
  <c r="B116" i="13"/>
  <c r="B175" i="13"/>
  <c r="B173" i="13"/>
  <c r="B193" i="13"/>
  <c r="B194" i="13"/>
  <c r="B98" i="13"/>
  <c r="B69" i="13"/>
  <c r="B76" i="13"/>
  <c r="B164" i="13"/>
  <c r="B121" i="13"/>
  <c r="B171" i="13"/>
  <c r="B178" i="13"/>
  <c r="B66" i="13"/>
  <c r="B29" i="13"/>
  <c r="B68" i="13"/>
  <c r="B107" i="13"/>
  <c r="B167" i="13"/>
  <c r="B160" i="13"/>
  <c r="B146" i="13"/>
  <c r="B18" i="13"/>
  <c r="B148" i="13"/>
  <c r="B108" i="13"/>
  <c r="B3" i="13"/>
  <c r="B79" i="13"/>
  <c r="B105" i="13"/>
  <c r="B71" i="13"/>
  <c r="B67" i="13"/>
  <c r="B138" i="13"/>
  <c r="B50" i="13"/>
  <c r="B61" i="13"/>
  <c r="B16" i="13"/>
  <c r="B44" i="13"/>
  <c r="B7" i="13"/>
  <c r="B153" i="13"/>
  <c r="B163" i="13"/>
  <c r="B75" i="13"/>
  <c r="B87" i="13"/>
  <c r="B8" i="13"/>
  <c r="B149" i="13"/>
  <c r="B10" i="13"/>
  <c r="B170" i="13"/>
  <c r="B130" i="13"/>
  <c r="B82" i="13"/>
  <c r="B42" i="13"/>
  <c r="B93" i="13"/>
  <c r="B45" i="13"/>
  <c r="B140" i="13"/>
  <c r="B100" i="13"/>
  <c r="B52" i="13"/>
  <c r="B199" i="13"/>
  <c r="B196" i="13"/>
  <c r="B123" i="13"/>
  <c r="B5" i="13"/>
  <c r="B152" i="13"/>
  <c r="B9" i="13"/>
  <c r="B23" i="13"/>
  <c r="B192" i="13"/>
  <c r="B117" i="13"/>
  <c r="B202" i="13"/>
  <c r="B162" i="13"/>
  <c r="B114" i="13"/>
  <c r="B74" i="13"/>
  <c r="B34" i="13"/>
  <c r="B77" i="13"/>
  <c r="B37" i="13"/>
  <c r="B132" i="13"/>
  <c r="B84" i="13"/>
  <c r="B15" i="13"/>
  <c r="B36" i="13"/>
  <c r="B135" i="13"/>
  <c r="B185" i="13"/>
  <c r="B139" i="13"/>
  <c r="B47" i="13"/>
  <c r="B184" i="13"/>
  <c r="B137" i="13"/>
  <c r="B43" i="13"/>
  <c r="B111" i="13"/>
  <c r="B161" i="13"/>
  <c r="B181" i="13"/>
  <c r="B133" i="13"/>
  <c r="B35" i="13"/>
  <c r="B186" i="13"/>
  <c r="B154" i="13"/>
  <c r="B122" i="13"/>
  <c r="B90" i="13"/>
  <c r="B58" i="13"/>
  <c r="B26" i="13"/>
  <c r="B85" i="13"/>
  <c r="B53" i="13"/>
  <c r="B21" i="13"/>
  <c r="B124" i="13"/>
  <c r="B92" i="13"/>
  <c r="B60" i="13"/>
  <c r="B28" i="13"/>
  <c r="B183" i="13"/>
  <c r="B55" i="13"/>
  <c r="B201" i="13"/>
  <c r="B180" i="13"/>
  <c r="B159" i="13"/>
  <c r="B131" i="13"/>
  <c r="B95" i="13"/>
  <c r="B31" i="13"/>
  <c r="B200" i="13"/>
  <c r="B179" i="13"/>
  <c r="B157" i="13"/>
  <c r="B129" i="13"/>
  <c r="B91" i="13"/>
  <c r="B27" i="13"/>
  <c r="B151" i="13"/>
  <c r="B103" i="13"/>
  <c r="B4" i="13"/>
  <c r="B143" i="13"/>
  <c r="B197" i="13"/>
  <c r="B176" i="13"/>
  <c r="B155" i="13"/>
  <c r="B125" i="13"/>
  <c r="B83" i="13"/>
  <c r="B19" i="13"/>
  <c r="B198" i="13"/>
  <c r="B182" i="13"/>
  <c r="B166" i="13"/>
  <c r="B150" i="13"/>
  <c r="B134" i="13"/>
  <c r="B118" i="13"/>
  <c r="B102" i="13"/>
  <c r="B86" i="13"/>
  <c r="B70" i="13"/>
  <c r="B54" i="13"/>
  <c r="B38" i="13"/>
  <c r="B22" i="13"/>
  <c r="B97" i="13"/>
  <c r="B81" i="13"/>
  <c r="B65" i="13"/>
  <c r="B49" i="13"/>
  <c r="B33" i="13"/>
  <c r="B17" i="13"/>
  <c r="B136" i="13"/>
  <c r="B120" i="13"/>
  <c r="B104" i="13"/>
  <c r="B88" i="13"/>
  <c r="B72" i="13"/>
  <c r="B56" i="13"/>
  <c r="B40" i="13"/>
  <c r="B24" i="13"/>
  <c r="B2" i="13"/>
  <c r="B156" i="13"/>
  <c r="B12" i="13"/>
  <c r="B191" i="13"/>
  <c r="B169" i="13"/>
  <c r="B147" i="13"/>
  <c r="B115" i="13"/>
  <c r="B63" i="13"/>
  <c r="B11" i="13"/>
  <c r="B189" i="13"/>
  <c r="B168" i="13"/>
  <c r="B145" i="13"/>
  <c r="B113" i="13"/>
  <c r="B59" i="13"/>
  <c r="B188" i="13"/>
  <c r="B119" i="13"/>
  <c r="B39" i="13"/>
  <c r="B177" i="13"/>
  <c r="B13" i="13"/>
  <c r="B187" i="13"/>
  <c r="B165" i="13"/>
  <c r="B141" i="13"/>
  <c r="B109" i="13"/>
  <c r="B51" i="13"/>
  <c r="B6" i="13"/>
  <c r="B190" i="13"/>
  <c r="B174" i="13"/>
  <c r="B158" i="13"/>
  <c r="B142" i="13"/>
  <c r="B126" i="13"/>
  <c r="B110" i="13"/>
  <c r="B94" i="13"/>
  <c r="B78" i="13"/>
  <c r="B62" i="13"/>
  <c r="B46" i="13"/>
  <c r="B30" i="13"/>
  <c r="B14" i="13"/>
  <c r="B89" i="13"/>
  <c r="B73" i="13"/>
  <c r="B57" i="13"/>
  <c r="B41" i="13"/>
  <c r="B25" i="13"/>
  <c r="B144" i="13"/>
  <c r="B128" i="13"/>
  <c r="B112" i="13"/>
  <c r="B96" i="13"/>
  <c r="B80" i="13"/>
  <c r="B64" i="13"/>
  <c r="B48" i="13"/>
  <c r="B32" i="13"/>
  <c r="P8" i="9"/>
  <c r="U7" i="9"/>
  <c r="O7" i="9" s="1"/>
  <c r="Q7" i="9"/>
  <c r="R7" i="9" s="1"/>
  <c r="S7" i="9" s="1"/>
  <c r="T7" i="9" s="1"/>
  <c r="N8" i="9"/>
  <c r="H8" i="9" s="1"/>
  <c r="J8" i="9"/>
  <c r="K8" i="9" s="1"/>
  <c r="L8" i="9" s="1"/>
  <c r="M8" i="9" s="1"/>
  <c r="I9" i="9"/>
  <c r="W8" i="9"/>
  <c r="X7" i="9"/>
  <c r="Y7" i="9" s="1"/>
  <c r="Z7" i="9" s="1"/>
  <c r="AA7" i="9" s="1"/>
  <c r="AB7" i="9"/>
  <c r="V7" i="9" s="1"/>
  <c r="G10" i="9"/>
  <c r="A10" i="9" s="1"/>
  <c r="C10" i="9"/>
  <c r="D10" i="9" s="1"/>
  <c r="E10" i="9" s="1"/>
  <c r="F10" i="9" s="1"/>
  <c r="B11" i="9"/>
  <c r="C21" i="6"/>
  <c r="E21" i="6"/>
  <c r="D21" i="6"/>
  <c r="D13" i="6"/>
  <c r="C13" i="6"/>
  <c r="F11" i="5"/>
  <c r="F13" i="6"/>
  <c r="J183" i="11" l="1"/>
  <c r="J121" i="11"/>
  <c r="J192" i="11"/>
  <c r="J137" i="11"/>
  <c r="J63" i="11"/>
  <c r="J148" i="11"/>
  <c r="J180" i="11"/>
  <c r="J106" i="11"/>
  <c r="J130" i="11"/>
  <c r="J175" i="11"/>
  <c r="J135" i="11"/>
  <c r="J181" i="11"/>
  <c r="J115" i="11"/>
  <c r="J140" i="11"/>
  <c r="J159" i="11"/>
  <c r="J89" i="11"/>
  <c r="J96" i="11"/>
  <c r="J165" i="11"/>
  <c r="J113" i="11"/>
  <c r="J190" i="11"/>
  <c r="J173" i="11"/>
  <c r="J131" i="11"/>
  <c r="J110" i="11"/>
  <c r="J154" i="11"/>
  <c r="J97" i="11"/>
  <c r="J74" i="11"/>
  <c r="J176" i="11"/>
  <c r="J111" i="11"/>
  <c r="J191" i="11"/>
  <c r="J142" i="11"/>
  <c r="J71" i="11"/>
  <c r="J138" i="11"/>
  <c r="J194" i="11"/>
  <c r="J133" i="11"/>
  <c r="J139" i="11"/>
  <c r="J158" i="11"/>
  <c r="J101" i="11"/>
  <c r="J174" i="11"/>
  <c r="J107" i="11"/>
  <c r="J88" i="11"/>
  <c r="J163" i="11"/>
  <c r="J100" i="11"/>
  <c r="J103" i="11"/>
  <c r="J169" i="11"/>
  <c r="J93" i="11"/>
  <c r="J123" i="11"/>
  <c r="J156" i="11"/>
  <c r="J99" i="11"/>
  <c r="J60" i="11"/>
  <c r="J128" i="11"/>
  <c r="J72" i="11"/>
  <c r="J117" i="11"/>
  <c r="J168" i="11"/>
  <c r="J91" i="11"/>
  <c r="J75" i="11"/>
  <c r="J171" i="11"/>
  <c r="J84" i="11"/>
  <c r="J161" i="11"/>
  <c r="J92" i="11"/>
  <c r="J122" i="11"/>
  <c r="J182" i="11"/>
  <c r="J108" i="11"/>
  <c r="J95" i="11"/>
  <c r="J167" i="11"/>
  <c r="J119" i="11"/>
  <c r="J83" i="11"/>
  <c r="J155" i="11"/>
  <c r="J87" i="11"/>
  <c r="J125" i="11"/>
  <c r="J160" i="11"/>
  <c r="J90" i="11"/>
  <c r="J124" i="11"/>
  <c r="J68" i="11"/>
  <c r="J59" i="11"/>
  <c r="J136" i="11"/>
  <c r="J80" i="11"/>
  <c r="J153" i="11"/>
  <c r="J86" i="11"/>
  <c r="J196" i="11"/>
  <c r="J188" i="11"/>
  <c r="J129" i="11"/>
  <c r="J61" i="11"/>
  <c r="J170" i="11"/>
  <c r="J193" i="11"/>
  <c r="J143" i="11"/>
  <c r="J73" i="11"/>
  <c r="J134" i="11"/>
  <c r="J78" i="11"/>
  <c r="J187" i="11"/>
  <c r="J198" i="11"/>
  <c r="J149" i="11"/>
  <c r="J85" i="11"/>
  <c r="J166" i="11"/>
  <c r="J120" i="11"/>
  <c r="J64" i="11"/>
  <c r="J82" i="11"/>
  <c r="J164" i="11"/>
  <c r="J104" i="11"/>
  <c r="J67" i="11"/>
  <c r="J132" i="11"/>
  <c r="J76" i="11"/>
  <c r="J195" i="11"/>
  <c r="J151" i="11"/>
  <c r="J98" i="11"/>
  <c r="J102" i="11"/>
  <c r="J118" i="11"/>
  <c r="J62" i="11"/>
  <c r="J178" i="11"/>
  <c r="J189" i="11"/>
  <c r="J141" i="11"/>
  <c r="J69" i="11"/>
  <c r="J177" i="11"/>
  <c r="J201" i="11"/>
  <c r="J147" i="11"/>
  <c r="J81" i="11"/>
  <c r="J200" i="11"/>
  <c r="J150" i="11"/>
  <c r="J94" i="11"/>
  <c r="J152" i="11"/>
  <c r="J172" i="11"/>
  <c r="J105" i="11"/>
  <c r="J114" i="11"/>
  <c r="J186" i="11"/>
  <c r="J109" i="11"/>
  <c r="J199" i="11"/>
  <c r="J146" i="11"/>
  <c r="J79" i="11"/>
  <c r="J162" i="11"/>
  <c r="J179" i="11"/>
  <c r="J112" i="11"/>
  <c r="J144" i="11"/>
  <c r="J185" i="11"/>
  <c r="J127" i="11"/>
  <c r="J65" i="11"/>
  <c r="J126" i="11"/>
  <c r="J70" i="11"/>
  <c r="J184" i="11"/>
  <c r="J197" i="11"/>
  <c r="J145" i="11"/>
  <c r="J77" i="11"/>
  <c r="J157" i="11"/>
  <c r="A58" i="5"/>
  <c r="A57" i="10"/>
  <c r="A47" i="5"/>
  <c r="A46" i="10"/>
  <c r="A41" i="5"/>
  <c r="A40" i="10"/>
  <c r="A34" i="5"/>
  <c r="A33" i="10"/>
  <c r="A27" i="5"/>
  <c r="A26" i="10"/>
  <c r="A35" i="5"/>
  <c r="A34" i="10"/>
  <c r="A33" i="5"/>
  <c r="A32" i="10"/>
  <c r="A26" i="5"/>
  <c r="A25" i="10"/>
  <c r="A57" i="5"/>
  <c r="A56" i="10"/>
  <c r="A50" i="5"/>
  <c r="A49" i="10"/>
  <c r="A23" i="5"/>
  <c r="A22" i="10"/>
  <c r="A32" i="5"/>
  <c r="A31" i="10"/>
  <c r="A29" i="5"/>
  <c r="A28" i="10"/>
  <c r="A22" i="5"/>
  <c r="A21" i="10"/>
  <c r="A59" i="5"/>
  <c r="A58" i="10"/>
  <c r="A46" i="5"/>
  <c r="A45" i="10"/>
  <c r="A30" i="5"/>
  <c r="A29" i="10"/>
  <c r="A49" i="5"/>
  <c r="A48" i="10"/>
  <c r="A42" i="5"/>
  <c r="A41" i="10"/>
  <c r="A40" i="5"/>
  <c r="A39" i="10"/>
  <c r="A39" i="5"/>
  <c r="A38" i="10"/>
  <c r="A54" i="5"/>
  <c r="A53" i="10"/>
  <c r="A36" i="5"/>
  <c r="A35" i="10"/>
  <c r="A48" i="5"/>
  <c r="A47" i="10"/>
  <c r="A37" i="5"/>
  <c r="A36" i="10"/>
  <c r="A38" i="5"/>
  <c r="A37" i="10"/>
  <c r="A53" i="5"/>
  <c r="A52" i="10"/>
  <c r="A51" i="5"/>
  <c r="A50" i="10"/>
  <c r="A31" i="5"/>
  <c r="A30" i="10"/>
  <c r="A52" i="5"/>
  <c r="A51" i="10"/>
  <c r="A25" i="5"/>
  <c r="A24" i="10"/>
  <c r="A55" i="5"/>
  <c r="A54" i="10"/>
  <c r="A28" i="5"/>
  <c r="A27" i="10"/>
  <c r="A56" i="5"/>
  <c r="A55" i="10"/>
  <c r="A44" i="5"/>
  <c r="A43" i="10"/>
  <c r="A24" i="5"/>
  <c r="A23" i="10"/>
  <c r="A43" i="5"/>
  <c r="A42" i="10"/>
  <c r="A45" i="5"/>
  <c r="A44" i="10"/>
  <c r="A20" i="5"/>
  <c r="A19" i="10"/>
  <c r="A18" i="5"/>
  <c r="A17" i="10"/>
  <c r="A19" i="5"/>
  <c r="A18" i="10"/>
  <c r="A21" i="5"/>
  <c r="A20" i="10"/>
  <c r="A15" i="5"/>
  <c r="A14" i="10"/>
  <c r="A16" i="5"/>
  <c r="A15" i="10"/>
  <c r="A14" i="5"/>
  <c r="A13" i="10"/>
  <c r="A17" i="5"/>
  <c r="A16" i="10"/>
  <c r="A13" i="5"/>
  <c r="A12" i="10"/>
  <c r="H80" i="10"/>
  <c r="H112" i="10"/>
  <c r="H14" i="10"/>
  <c r="H142" i="10"/>
  <c r="H64" i="10"/>
  <c r="H128" i="10"/>
  <c r="H57" i="10"/>
  <c r="H30" i="10"/>
  <c r="H94" i="10"/>
  <c r="H158" i="10"/>
  <c r="H51" i="10"/>
  <c r="H187" i="10"/>
  <c r="H119" i="10"/>
  <c r="H145" i="10"/>
  <c r="H63" i="10"/>
  <c r="H191" i="10"/>
  <c r="H24" i="10"/>
  <c r="H88" i="10"/>
  <c r="H17" i="10"/>
  <c r="H81" i="10"/>
  <c r="H54" i="10"/>
  <c r="H118" i="10"/>
  <c r="H182" i="10"/>
  <c r="H125" i="10"/>
  <c r="H143" i="10"/>
  <c r="H27" i="10"/>
  <c r="H179" i="10"/>
  <c r="H131" i="10"/>
  <c r="H55" i="10"/>
  <c r="H92" i="10"/>
  <c r="H85" i="10"/>
  <c r="H122" i="10"/>
  <c r="H133" i="10"/>
  <c r="H43" i="10"/>
  <c r="H139" i="10"/>
  <c r="H15" i="10"/>
  <c r="H77" i="10"/>
  <c r="H162" i="10"/>
  <c r="H23" i="10"/>
  <c r="H123" i="10"/>
  <c r="H100" i="10"/>
  <c r="H42" i="10"/>
  <c r="H75" i="10"/>
  <c r="H44" i="10"/>
  <c r="H138" i="10"/>
  <c r="H79" i="10"/>
  <c r="H18" i="10"/>
  <c r="H107" i="10"/>
  <c r="H178" i="10"/>
  <c r="H76" i="10"/>
  <c r="H193" i="10"/>
  <c r="H127" i="10"/>
  <c r="H101" i="10"/>
  <c r="H73" i="10"/>
  <c r="H46" i="10"/>
  <c r="H110" i="10"/>
  <c r="H174" i="10"/>
  <c r="H109" i="10"/>
  <c r="H13" i="10"/>
  <c r="H188" i="10"/>
  <c r="H168" i="10"/>
  <c r="H115" i="10"/>
  <c r="H12" i="10"/>
  <c r="H40" i="10"/>
  <c r="H104" i="10"/>
  <c r="H33" i="10"/>
  <c r="H97" i="10"/>
  <c r="H70" i="10"/>
  <c r="H134" i="10"/>
  <c r="H198" i="10"/>
  <c r="H155" i="10"/>
  <c r="H91" i="10"/>
  <c r="H200" i="10"/>
  <c r="H159" i="10"/>
  <c r="H183" i="10"/>
  <c r="H124" i="10"/>
  <c r="H26" i="10"/>
  <c r="H154" i="10"/>
  <c r="H181" i="10"/>
  <c r="H137" i="10"/>
  <c r="H185" i="10"/>
  <c r="H84" i="10"/>
  <c r="H34" i="10"/>
  <c r="H202" i="10"/>
  <c r="H196" i="10"/>
  <c r="H140" i="10"/>
  <c r="H82" i="10"/>
  <c r="H149" i="10"/>
  <c r="H163" i="10"/>
  <c r="H16" i="10"/>
  <c r="H67" i="10"/>
  <c r="H146" i="10"/>
  <c r="H68" i="10"/>
  <c r="H171" i="10"/>
  <c r="H69" i="10"/>
  <c r="H173" i="10"/>
  <c r="H195" i="10"/>
  <c r="H99" i="10"/>
  <c r="H20" i="10"/>
  <c r="H144" i="10"/>
  <c r="H32" i="10"/>
  <c r="H96" i="10"/>
  <c r="H25" i="10"/>
  <c r="H89" i="10"/>
  <c r="H62" i="10"/>
  <c r="H126" i="10"/>
  <c r="H190" i="10"/>
  <c r="H141" i="10"/>
  <c r="H177" i="10"/>
  <c r="H59" i="10"/>
  <c r="H189" i="10"/>
  <c r="H147" i="10"/>
  <c r="H156" i="10"/>
  <c r="H56" i="10"/>
  <c r="H120" i="10"/>
  <c r="H49" i="10"/>
  <c r="H22" i="10"/>
  <c r="H86" i="10"/>
  <c r="H150" i="10"/>
  <c r="H19" i="10"/>
  <c r="H176" i="10"/>
  <c r="H103" i="10"/>
  <c r="H129" i="10"/>
  <c r="H31" i="10"/>
  <c r="H180" i="10"/>
  <c r="H28" i="10"/>
  <c r="H21" i="10"/>
  <c r="H58" i="10"/>
  <c r="H186" i="10"/>
  <c r="H161" i="10"/>
  <c r="H184" i="10"/>
  <c r="H135" i="10"/>
  <c r="H132" i="10"/>
  <c r="H74" i="10"/>
  <c r="H117" i="10"/>
  <c r="H152" i="10"/>
  <c r="H199" i="10"/>
  <c r="H45" i="10"/>
  <c r="H130" i="10"/>
  <c r="H153" i="10"/>
  <c r="H61" i="10"/>
  <c r="H71" i="10"/>
  <c r="H108" i="10"/>
  <c r="H160" i="10"/>
  <c r="H29" i="10"/>
  <c r="H121" i="10"/>
  <c r="H98" i="10"/>
  <c r="H175" i="10"/>
  <c r="H106" i="10"/>
  <c r="H48" i="10"/>
  <c r="H41" i="10"/>
  <c r="H78" i="10"/>
  <c r="H165" i="10"/>
  <c r="H39" i="10"/>
  <c r="H113" i="10"/>
  <c r="H169" i="10"/>
  <c r="H72" i="10"/>
  <c r="H136" i="10"/>
  <c r="H65" i="10"/>
  <c r="H38" i="10"/>
  <c r="H102" i="10"/>
  <c r="H166" i="10"/>
  <c r="H83" i="10"/>
  <c r="H197" i="10"/>
  <c r="H151" i="10"/>
  <c r="H157" i="10"/>
  <c r="H95" i="10"/>
  <c r="H201" i="10"/>
  <c r="H60" i="10"/>
  <c r="H53" i="10"/>
  <c r="H90" i="10"/>
  <c r="H35" i="10"/>
  <c r="H111" i="10"/>
  <c r="H47" i="10"/>
  <c r="H36" i="10"/>
  <c r="H37" i="10"/>
  <c r="H114" i="10"/>
  <c r="H192" i="10"/>
  <c r="H52" i="10"/>
  <c r="H93" i="10"/>
  <c r="H170" i="10"/>
  <c r="H87" i="10"/>
  <c r="H50" i="10"/>
  <c r="H105" i="10"/>
  <c r="H148" i="10"/>
  <c r="H167" i="10"/>
  <c r="H66" i="10"/>
  <c r="H164" i="10"/>
  <c r="H194" i="10"/>
  <c r="H116" i="10"/>
  <c r="H172" i="10"/>
  <c r="H10" i="10"/>
  <c r="A10" i="10"/>
  <c r="H4" i="10"/>
  <c r="A4" i="10"/>
  <c r="H9" i="10"/>
  <c r="A9" i="10"/>
  <c r="H3" i="10"/>
  <c r="A3" i="10"/>
  <c r="H8" i="10"/>
  <c r="A8" i="10"/>
  <c r="H6" i="10"/>
  <c r="A6" i="10"/>
  <c r="H11" i="10"/>
  <c r="A11" i="10"/>
  <c r="H5" i="10"/>
  <c r="A5" i="10"/>
  <c r="H7" i="10"/>
  <c r="A7" i="10"/>
  <c r="H2" i="10"/>
  <c r="A2" i="10"/>
  <c r="A6" i="5"/>
  <c r="A8" i="5"/>
  <c r="A7" i="5"/>
  <c r="A12" i="5"/>
  <c r="A11" i="5"/>
  <c r="A10" i="5"/>
  <c r="A4" i="5"/>
  <c r="A5" i="5"/>
  <c r="A9" i="5"/>
  <c r="A3" i="5"/>
  <c r="N9" i="9"/>
  <c r="H9" i="9" s="1"/>
  <c r="J9" i="9"/>
  <c r="K9" i="9" s="1"/>
  <c r="L9" i="9" s="1"/>
  <c r="M9" i="9" s="1"/>
  <c r="I10" i="9"/>
  <c r="G11" i="9"/>
  <c r="A11" i="9" s="1"/>
  <c r="C11" i="9"/>
  <c r="D11" i="9" s="1"/>
  <c r="E11" i="9" s="1"/>
  <c r="F11" i="9" s="1"/>
  <c r="B12" i="9"/>
  <c r="W9" i="9"/>
  <c r="X8" i="9"/>
  <c r="Y8" i="9" s="1"/>
  <c r="Z8" i="9" s="1"/>
  <c r="AA8" i="9" s="1"/>
  <c r="AB8" i="9"/>
  <c r="V8" i="9" s="1"/>
  <c r="P9" i="9"/>
  <c r="U8" i="9"/>
  <c r="O8" i="9" s="1"/>
  <c r="Q8" i="9"/>
  <c r="R8" i="9" s="1"/>
  <c r="S8" i="9" s="1"/>
  <c r="T8" i="9" s="1"/>
  <c r="F202" i="11"/>
  <c r="P10" i="9" l="1"/>
  <c r="U9" i="9"/>
  <c r="O9" i="9" s="1"/>
  <c r="Q9" i="9"/>
  <c r="R9" i="9" s="1"/>
  <c r="S9" i="9" s="1"/>
  <c r="T9" i="9" s="1"/>
  <c r="W10" i="9"/>
  <c r="X9" i="9"/>
  <c r="Y9" i="9" s="1"/>
  <c r="Z9" i="9" s="1"/>
  <c r="AA9" i="9" s="1"/>
  <c r="AB9" i="9"/>
  <c r="V9" i="9" s="1"/>
  <c r="G12" i="9"/>
  <c r="A12" i="9" s="1"/>
  <c r="C12" i="9"/>
  <c r="D12" i="9" s="1"/>
  <c r="E12" i="9" s="1"/>
  <c r="F12" i="9" s="1"/>
  <c r="B13" i="9"/>
  <c r="N10" i="9"/>
  <c r="H10" i="9" s="1"/>
  <c r="J10" i="9"/>
  <c r="K10" i="9" s="1"/>
  <c r="L10" i="9" s="1"/>
  <c r="M10" i="9" s="1"/>
  <c r="I11" i="9"/>
  <c r="G13" i="9" l="1"/>
  <c r="A13" i="9" s="1"/>
  <c r="C13" i="9"/>
  <c r="D13" i="9" s="1"/>
  <c r="E13" i="9" s="1"/>
  <c r="F13" i="9" s="1"/>
  <c r="B14" i="9"/>
  <c r="N11" i="9"/>
  <c r="H11" i="9" s="1"/>
  <c r="J11" i="9"/>
  <c r="K11" i="9" s="1"/>
  <c r="L11" i="9" s="1"/>
  <c r="M11" i="9" s="1"/>
  <c r="I12" i="9"/>
  <c r="P11" i="9"/>
  <c r="U10" i="9"/>
  <c r="O10" i="9" s="1"/>
  <c r="Q10" i="9"/>
  <c r="R10" i="9" s="1"/>
  <c r="S10" i="9" s="1"/>
  <c r="T10" i="9" s="1"/>
  <c r="W11" i="9"/>
  <c r="X10" i="9"/>
  <c r="Y10" i="9" s="1"/>
  <c r="Z10" i="9" s="1"/>
  <c r="AA10" i="9" s="1"/>
  <c r="AB10" i="9"/>
  <c r="V10" i="9" s="1"/>
  <c r="C20" i="11"/>
  <c r="C57" i="6"/>
  <c r="C55" i="6"/>
  <c r="E42" i="6"/>
  <c r="C19" i="5"/>
  <c r="C58" i="6"/>
  <c r="B55" i="6"/>
  <c r="D48" i="6"/>
  <c r="D41" i="6"/>
  <c r="D28" i="6"/>
  <c r="D26" i="6"/>
  <c r="B44" i="6"/>
  <c r="B27" i="6"/>
  <c r="E22" i="6"/>
  <c r="E32" i="6"/>
  <c r="D38" i="6"/>
  <c r="D33" i="6"/>
  <c r="D23" i="6"/>
  <c r="E37" i="6"/>
  <c r="B49" i="6"/>
  <c r="C35" i="6"/>
  <c r="C24" i="6"/>
  <c r="C23" i="6"/>
  <c r="B38" i="6"/>
  <c r="D30" i="6"/>
  <c r="C19" i="11"/>
  <c r="C26" i="6"/>
  <c r="C53" i="6"/>
  <c r="E21" i="5"/>
  <c r="C20" i="5"/>
  <c r="D34" i="6"/>
  <c r="C38" i="6"/>
  <c r="E50" i="6"/>
  <c r="D18" i="11"/>
  <c r="B42" i="6"/>
  <c r="E19" i="11"/>
  <c r="D22" i="6"/>
  <c r="B54" i="6"/>
  <c r="E39" i="6"/>
  <c r="C47" i="6"/>
  <c r="B43" i="6"/>
  <c r="B53" i="6"/>
  <c r="C49" i="6"/>
  <c r="C46" i="6"/>
  <c r="E19" i="5"/>
  <c r="B32" i="6"/>
  <c r="B57" i="6"/>
  <c r="C30" i="6"/>
  <c r="E47" i="6"/>
  <c r="C48" i="6"/>
  <c r="E26" i="6"/>
  <c r="E28" i="6"/>
  <c r="C34" i="6"/>
  <c r="E55" i="6"/>
  <c r="E20" i="5"/>
  <c r="E58" i="6"/>
  <c r="D59" i="6"/>
  <c r="D51" i="6"/>
  <c r="C29" i="6"/>
  <c r="E43" i="6"/>
  <c r="D47" i="6"/>
  <c r="C21" i="5"/>
  <c r="C33" i="6"/>
  <c r="C39" i="6"/>
  <c r="D31" i="6"/>
  <c r="B25" i="6"/>
  <c r="E34" i="6"/>
  <c r="B35" i="6"/>
  <c r="D52" i="6"/>
  <c r="D44" i="6"/>
  <c r="B19" i="6"/>
  <c r="C22" i="6"/>
  <c r="D53" i="6"/>
  <c r="D20" i="5"/>
  <c r="C40" i="6"/>
  <c r="B37" i="6"/>
  <c r="B21" i="6"/>
  <c r="E53" i="6"/>
  <c r="D21" i="5"/>
  <c r="D29" i="6"/>
  <c r="E45" i="6"/>
  <c r="D24" i="6"/>
  <c r="C31" i="6"/>
  <c r="D49" i="6"/>
  <c r="B29" i="6"/>
  <c r="C25" i="6"/>
  <c r="C52" i="6"/>
  <c r="D55" i="6"/>
  <c r="E40" i="6"/>
  <c r="E29" i="6"/>
  <c r="B30" i="6"/>
  <c r="E48" i="6"/>
  <c r="B24" i="6"/>
  <c r="B34" i="6"/>
  <c r="B59" i="6"/>
  <c r="B46" i="6"/>
  <c r="E36" i="6"/>
  <c r="B52" i="6"/>
  <c r="B58" i="6"/>
  <c r="C44" i="6"/>
  <c r="B41" i="6"/>
  <c r="B33" i="6"/>
  <c r="B20" i="6"/>
  <c r="E59" i="6"/>
  <c r="E49" i="6"/>
  <c r="B22" i="6"/>
  <c r="C56" i="6"/>
  <c r="D32" i="6"/>
  <c r="D45" i="6"/>
  <c r="D19" i="11"/>
  <c r="B48" i="6"/>
  <c r="E52" i="6"/>
  <c r="D19" i="5"/>
  <c r="E30" i="6"/>
  <c r="D40" i="6"/>
  <c r="E46" i="6"/>
  <c r="C43" i="6"/>
  <c r="D57" i="6"/>
  <c r="B26" i="6"/>
  <c r="C50" i="6"/>
  <c r="B45" i="6"/>
  <c r="D35" i="6"/>
  <c r="E24" i="6"/>
  <c r="C51" i="6"/>
  <c r="E18" i="11"/>
  <c r="B28" i="6"/>
  <c r="E51" i="6"/>
  <c r="C59" i="6"/>
  <c r="E31" i="6"/>
  <c r="D56" i="6"/>
  <c r="E35" i="6"/>
  <c r="E23" i="6"/>
  <c r="B51" i="6"/>
  <c r="B50" i="6"/>
  <c r="D43" i="6"/>
  <c r="D58" i="6"/>
  <c r="E56" i="6"/>
  <c r="C36" i="6"/>
  <c r="D20" i="11"/>
  <c r="B56" i="6"/>
  <c r="C27" i="6"/>
  <c r="C37" i="6"/>
  <c r="E41" i="6"/>
  <c r="D42" i="6"/>
  <c r="C41" i="6"/>
  <c r="C18" i="11"/>
  <c r="E54" i="6"/>
  <c r="D39" i="6"/>
  <c r="B20" i="11"/>
  <c r="C45" i="6"/>
  <c r="D25" i="6"/>
  <c r="D37" i="6"/>
  <c r="C32" i="6"/>
  <c r="B40" i="6"/>
  <c r="B47" i="6"/>
  <c r="C28" i="6"/>
  <c r="E44" i="6"/>
  <c r="E38" i="6"/>
  <c r="B36" i="6"/>
  <c r="E25" i="6"/>
  <c r="C54" i="6"/>
  <c r="D46" i="6"/>
  <c r="D54" i="6"/>
  <c r="E33" i="6"/>
  <c r="C42" i="6"/>
  <c r="B39" i="6"/>
  <c r="B31" i="6"/>
  <c r="D36" i="6"/>
  <c r="D27" i="6"/>
  <c r="D50" i="6"/>
  <c r="E27" i="6"/>
  <c r="B23" i="6"/>
  <c r="E20" i="11"/>
  <c r="E57" i="6"/>
  <c r="C17" i="11"/>
  <c r="E14" i="5"/>
  <c r="E15" i="11"/>
  <c r="E16" i="5"/>
  <c r="C13" i="11"/>
  <c r="B16" i="6"/>
  <c r="E13" i="11"/>
  <c r="E18" i="5"/>
  <c r="B18" i="6"/>
  <c r="D18" i="5"/>
  <c r="C14" i="5"/>
  <c r="E14" i="11"/>
  <c r="D16" i="11"/>
  <c r="D13" i="11"/>
  <c r="C15" i="11"/>
  <c r="C14" i="11"/>
  <c r="C16" i="5"/>
  <c r="E17" i="11"/>
  <c r="D14" i="5"/>
  <c r="B15" i="6"/>
  <c r="D15" i="5"/>
  <c r="E16" i="11"/>
  <c r="E17" i="5"/>
  <c r="C15" i="5"/>
  <c r="C18" i="5"/>
  <c r="D17" i="11"/>
  <c r="B17" i="6"/>
  <c r="D17" i="5"/>
  <c r="D15" i="11"/>
  <c r="C17" i="5"/>
  <c r="C16" i="11"/>
  <c r="D16" i="5"/>
  <c r="E15" i="5"/>
  <c r="D14" i="11"/>
  <c r="B14" i="6"/>
  <c r="M23" i="6" l="1"/>
  <c r="O23" i="6" s="1"/>
  <c r="Q23" i="6"/>
  <c r="Y23" i="6"/>
  <c r="AA23" i="6" s="1"/>
  <c r="AC23" i="6"/>
  <c r="G23" i="6"/>
  <c r="I23" i="6" s="1"/>
  <c r="K23" i="6"/>
  <c r="S23" i="6"/>
  <c r="U23" i="6" s="1"/>
  <c r="W23" i="6"/>
  <c r="AE23" i="6"/>
  <c r="AG23" i="6" s="1"/>
  <c r="N23" i="6"/>
  <c r="V23" i="6"/>
  <c r="X23" i="6" s="1"/>
  <c r="H23" i="6"/>
  <c r="P23" i="6"/>
  <c r="R23" i="6" s="1"/>
  <c r="AF23" i="6"/>
  <c r="J23" i="6"/>
  <c r="L23" i="6" s="1"/>
  <c r="Z23" i="6"/>
  <c r="T23" i="6"/>
  <c r="AB23" i="6"/>
  <c r="AD23" i="6" s="1"/>
  <c r="J56" i="6"/>
  <c r="L56" i="6" s="1"/>
  <c r="N56" i="6"/>
  <c r="V56" i="6"/>
  <c r="X56" i="6" s="1"/>
  <c r="Z56" i="6"/>
  <c r="H56" i="6"/>
  <c r="M56" i="6"/>
  <c r="O56" i="6" s="1"/>
  <c r="S56" i="6"/>
  <c r="U56" i="6" s="1"/>
  <c r="AC56" i="6"/>
  <c r="T56" i="6"/>
  <c r="Y56" i="6"/>
  <c r="AA56" i="6" s="1"/>
  <c r="AE56" i="6"/>
  <c r="AG56" i="6" s="1"/>
  <c r="K56" i="6"/>
  <c r="P56" i="6"/>
  <c r="R56" i="6" s="1"/>
  <c r="AF56" i="6"/>
  <c r="G56" i="6"/>
  <c r="I56" i="6" s="1"/>
  <c r="AB56" i="6"/>
  <c r="AD56" i="6" s="1"/>
  <c r="Q56" i="6"/>
  <c r="W56" i="6"/>
  <c r="M46" i="6"/>
  <c r="O46" i="6" s="1"/>
  <c r="Q46" i="6"/>
  <c r="Y46" i="6"/>
  <c r="AA46" i="6" s="1"/>
  <c r="AC46" i="6"/>
  <c r="G46" i="6"/>
  <c r="I46" i="6" s="1"/>
  <c r="J46" i="6"/>
  <c r="L46" i="6" s="1"/>
  <c r="T46" i="6"/>
  <c r="Z46" i="6"/>
  <c r="AE46" i="6"/>
  <c r="AG46" i="6" s="1"/>
  <c r="K46" i="6"/>
  <c r="V46" i="6"/>
  <c r="X46" i="6" s="1"/>
  <c r="AB46" i="6"/>
  <c r="AD46" i="6" s="1"/>
  <c r="N46" i="6"/>
  <c r="W46" i="6"/>
  <c r="S46" i="6"/>
  <c r="U46" i="6" s="1"/>
  <c r="H46" i="6"/>
  <c r="AF46" i="6"/>
  <c r="P46" i="6"/>
  <c r="R46" i="6" s="1"/>
  <c r="H37" i="6"/>
  <c r="P37" i="6"/>
  <c r="R37" i="6" s="1"/>
  <c r="T37" i="6"/>
  <c r="AB37" i="6"/>
  <c r="AD37" i="6" s="1"/>
  <c r="AF37" i="6"/>
  <c r="J37" i="6"/>
  <c r="L37" i="6" s="1"/>
  <c r="Z37" i="6"/>
  <c r="AE37" i="6"/>
  <c r="AG37" i="6" s="1"/>
  <c r="G37" i="6"/>
  <c r="I37" i="6" s="1"/>
  <c r="M37" i="6"/>
  <c r="O37" i="6" s="1"/>
  <c r="W37" i="6"/>
  <c r="AC37" i="6"/>
  <c r="S37" i="6"/>
  <c r="U37" i="6" s="1"/>
  <c r="K37" i="6"/>
  <c r="V37" i="6"/>
  <c r="X37" i="6" s="1"/>
  <c r="N37" i="6"/>
  <c r="Q37" i="6"/>
  <c r="Y37" i="6"/>
  <c r="AA37" i="6" s="1"/>
  <c r="J35" i="6"/>
  <c r="L35" i="6" s="1"/>
  <c r="N35" i="6"/>
  <c r="V35" i="6"/>
  <c r="X35" i="6" s="1"/>
  <c r="Z35" i="6"/>
  <c r="K35" i="6"/>
  <c r="P35" i="6"/>
  <c r="R35" i="6" s="1"/>
  <c r="AF35" i="6"/>
  <c r="H35" i="6"/>
  <c r="M35" i="6"/>
  <c r="O35" i="6" s="1"/>
  <c r="S35" i="6"/>
  <c r="U35" i="6" s="1"/>
  <c r="AC35" i="6"/>
  <c r="T35" i="6"/>
  <c r="AE35" i="6"/>
  <c r="AG35" i="6" s="1"/>
  <c r="W35" i="6"/>
  <c r="Q35" i="6"/>
  <c r="Y35" i="6"/>
  <c r="AA35" i="6" s="1"/>
  <c r="G35" i="6"/>
  <c r="I35" i="6" s="1"/>
  <c r="AB35" i="6"/>
  <c r="AD35" i="6" s="1"/>
  <c r="M38" i="6"/>
  <c r="O38" i="6" s="1"/>
  <c r="Q38" i="6"/>
  <c r="Y38" i="6"/>
  <c r="AA38" i="6" s="1"/>
  <c r="AC38" i="6"/>
  <c r="J38" i="6"/>
  <c r="L38" i="6" s="1"/>
  <c r="T38" i="6"/>
  <c r="Z38" i="6"/>
  <c r="AE38" i="6"/>
  <c r="AG38" i="6" s="1"/>
  <c r="G38" i="6"/>
  <c r="I38" i="6" s="1"/>
  <c r="W38" i="6"/>
  <c r="AB38" i="6"/>
  <c r="AD38" i="6" s="1"/>
  <c r="N38" i="6"/>
  <c r="P38" i="6"/>
  <c r="R38" i="6" s="1"/>
  <c r="V38" i="6"/>
  <c r="X38" i="6" s="1"/>
  <c r="H38" i="6"/>
  <c r="K38" i="6"/>
  <c r="AF38" i="6"/>
  <c r="S38" i="6"/>
  <c r="U38" i="6" s="1"/>
  <c r="G49" i="6"/>
  <c r="I49" i="6" s="1"/>
  <c r="K49" i="6"/>
  <c r="S49" i="6"/>
  <c r="U49" i="6" s="1"/>
  <c r="W49" i="6"/>
  <c r="AE49" i="6"/>
  <c r="AG49" i="6" s="1"/>
  <c r="Q49" i="6"/>
  <c r="V49" i="6"/>
  <c r="X49" i="6" s="1"/>
  <c r="AB49" i="6"/>
  <c r="AD49" i="6" s="1"/>
  <c r="H49" i="6"/>
  <c r="M49" i="6"/>
  <c r="O49" i="6" s="1"/>
  <c r="AC49" i="6"/>
  <c r="J49" i="6"/>
  <c r="L49" i="6" s="1"/>
  <c r="AF49" i="6"/>
  <c r="N49" i="6"/>
  <c r="Y49" i="6"/>
  <c r="AA49" i="6" s="1"/>
  <c r="P49" i="6"/>
  <c r="R49" i="6" s="1"/>
  <c r="Z49" i="6"/>
  <c r="T49" i="6"/>
  <c r="G44" i="6"/>
  <c r="I44" i="6" s="1"/>
  <c r="K44" i="6"/>
  <c r="S44" i="6"/>
  <c r="U44" i="6" s="1"/>
  <c r="W44" i="6"/>
  <c r="AE44" i="6"/>
  <c r="AG44" i="6" s="1"/>
  <c r="H44" i="6"/>
  <c r="M44" i="6"/>
  <c r="O44" i="6" s="1"/>
  <c r="AC44" i="6"/>
  <c r="J44" i="6"/>
  <c r="L44" i="6" s="1"/>
  <c r="P44" i="6"/>
  <c r="R44" i="6" s="1"/>
  <c r="Z44" i="6"/>
  <c r="AF44" i="6"/>
  <c r="V44" i="6"/>
  <c r="X44" i="6" s="1"/>
  <c r="N44" i="6"/>
  <c r="Y44" i="6"/>
  <c r="AA44" i="6" s="1"/>
  <c r="Q44" i="6"/>
  <c r="T44" i="6"/>
  <c r="AB44" i="6"/>
  <c r="AD44" i="6" s="1"/>
  <c r="H18" i="6"/>
  <c r="P18" i="6"/>
  <c r="R18" i="6" s="1"/>
  <c r="T18" i="6"/>
  <c r="AB18" i="6"/>
  <c r="AD18" i="6" s="1"/>
  <c r="AF18" i="6"/>
  <c r="J18" i="6"/>
  <c r="L18" i="6" s="1"/>
  <c r="N18" i="6"/>
  <c r="V18" i="6"/>
  <c r="X18" i="6" s="1"/>
  <c r="Z18" i="6"/>
  <c r="M18" i="6"/>
  <c r="O18" i="6" s="1"/>
  <c r="AC18" i="6"/>
  <c r="G18" i="6"/>
  <c r="I18" i="6" s="1"/>
  <c r="W18" i="6"/>
  <c r="AE18" i="6"/>
  <c r="AG18" i="6" s="1"/>
  <c r="Q18" i="6"/>
  <c r="Y18" i="6"/>
  <c r="AA18" i="6" s="1"/>
  <c r="S18" i="6"/>
  <c r="U18" i="6" s="1"/>
  <c r="K18" i="6"/>
  <c r="H31" i="6"/>
  <c r="P31" i="6"/>
  <c r="R31" i="6" s="1"/>
  <c r="T31" i="6"/>
  <c r="AB31" i="6"/>
  <c r="AD31" i="6" s="1"/>
  <c r="AF31" i="6"/>
  <c r="M31" i="6"/>
  <c r="O31" i="6" s="1"/>
  <c r="Q31" i="6"/>
  <c r="Y31" i="6"/>
  <c r="AA31" i="6" s="1"/>
  <c r="AC31" i="6"/>
  <c r="J31" i="6"/>
  <c r="L31" i="6" s="1"/>
  <c r="N31" i="6"/>
  <c r="V31" i="6"/>
  <c r="X31" i="6" s="1"/>
  <c r="Z31" i="6"/>
  <c r="S31" i="6"/>
  <c r="U31" i="6" s="1"/>
  <c r="K31" i="6"/>
  <c r="W31" i="6"/>
  <c r="G31" i="6"/>
  <c r="I31" i="6" s="1"/>
  <c r="AE31" i="6"/>
  <c r="AG31" i="6" s="1"/>
  <c r="G36" i="6"/>
  <c r="I36" i="6" s="1"/>
  <c r="K36" i="6"/>
  <c r="S36" i="6"/>
  <c r="U36" i="6" s="1"/>
  <c r="W36" i="6"/>
  <c r="AE36" i="6"/>
  <c r="AG36" i="6" s="1"/>
  <c r="J36" i="6"/>
  <c r="L36" i="6" s="1"/>
  <c r="P36" i="6"/>
  <c r="R36" i="6" s="1"/>
  <c r="Z36" i="6"/>
  <c r="AF36" i="6"/>
  <c r="H36" i="6"/>
  <c r="M36" i="6"/>
  <c r="O36" i="6" s="1"/>
  <c r="AC36" i="6"/>
  <c r="N36" i="6"/>
  <c r="Y36" i="6"/>
  <c r="AA36" i="6" s="1"/>
  <c r="Q36" i="6"/>
  <c r="AB36" i="6"/>
  <c r="AD36" i="6" s="1"/>
  <c r="T36" i="6"/>
  <c r="V36" i="6"/>
  <c r="X36" i="6" s="1"/>
  <c r="J47" i="6"/>
  <c r="L47" i="6" s="1"/>
  <c r="N47" i="6"/>
  <c r="V47" i="6"/>
  <c r="X47" i="6" s="1"/>
  <c r="T47" i="6"/>
  <c r="Y47" i="6"/>
  <c r="AA47" i="6" s="1"/>
  <c r="AC47" i="6"/>
  <c r="H47" i="6"/>
  <c r="P47" i="6"/>
  <c r="R47" i="6" s="1"/>
  <c r="W47" i="6"/>
  <c r="AB47" i="6"/>
  <c r="AD47" i="6" s="1"/>
  <c r="K47" i="6"/>
  <c r="Q47" i="6"/>
  <c r="G47" i="6"/>
  <c r="I47" i="6" s="1"/>
  <c r="AF47" i="6"/>
  <c r="Z47" i="6"/>
  <c r="M47" i="6"/>
  <c r="O47" i="6" s="1"/>
  <c r="S47" i="6"/>
  <c r="U47" i="6" s="1"/>
  <c r="AE47" i="6"/>
  <c r="AG47" i="6" s="1"/>
  <c r="H26" i="6"/>
  <c r="J26" i="6"/>
  <c r="L26" i="6" s="1"/>
  <c r="N26" i="6"/>
  <c r="V26" i="6"/>
  <c r="X26" i="6" s="1"/>
  <c r="Z26" i="6"/>
  <c r="Q26" i="6"/>
  <c r="W26" i="6"/>
  <c r="AB26" i="6"/>
  <c r="AD26" i="6" s="1"/>
  <c r="G26" i="6"/>
  <c r="I26" i="6" s="1"/>
  <c r="M26" i="6"/>
  <c r="O26" i="6" s="1"/>
  <c r="S26" i="6"/>
  <c r="U26" i="6" s="1"/>
  <c r="AC26" i="6"/>
  <c r="T26" i="6"/>
  <c r="Y26" i="6"/>
  <c r="AA26" i="6" s="1"/>
  <c r="AE26" i="6"/>
  <c r="AG26" i="6" s="1"/>
  <c r="K26" i="6"/>
  <c r="AF26" i="6"/>
  <c r="P26" i="6"/>
  <c r="R26" i="6" s="1"/>
  <c r="J48" i="6"/>
  <c r="L48" i="6" s="1"/>
  <c r="N48" i="6"/>
  <c r="V48" i="6"/>
  <c r="X48" i="6" s="1"/>
  <c r="Z48" i="6"/>
  <c r="G48" i="6"/>
  <c r="I48" i="6" s="1"/>
  <c r="Q48" i="6"/>
  <c r="W48" i="6"/>
  <c r="AB48" i="6"/>
  <c r="AD48" i="6" s="1"/>
  <c r="H48" i="6"/>
  <c r="M48" i="6"/>
  <c r="O48" i="6" s="1"/>
  <c r="S48" i="6"/>
  <c r="U48" i="6" s="1"/>
  <c r="AC48" i="6"/>
  <c r="P48" i="6"/>
  <c r="R48" i="6" s="1"/>
  <c r="T48" i="6"/>
  <c r="AE48" i="6"/>
  <c r="AG48" i="6" s="1"/>
  <c r="K48" i="6"/>
  <c r="AF48" i="6"/>
  <c r="Y48" i="6"/>
  <c r="AA48" i="6" s="1"/>
  <c r="J20" i="6"/>
  <c r="L20" i="6" s="1"/>
  <c r="N20" i="6"/>
  <c r="V20" i="6"/>
  <c r="X20" i="6" s="1"/>
  <c r="Z20" i="6"/>
  <c r="H20" i="6"/>
  <c r="P20" i="6"/>
  <c r="R20" i="6" s="1"/>
  <c r="T20" i="6"/>
  <c r="AB20" i="6"/>
  <c r="AD20" i="6" s="1"/>
  <c r="AF20" i="6"/>
  <c r="G20" i="6"/>
  <c r="I20" i="6" s="1"/>
  <c r="W20" i="6"/>
  <c r="AE20" i="6"/>
  <c r="AG20" i="6" s="1"/>
  <c r="Q20" i="6"/>
  <c r="Y20" i="6"/>
  <c r="AA20" i="6" s="1"/>
  <c r="K20" i="6"/>
  <c r="S20" i="6"/>
  <c r="U20" i="6" s="1"/>
  <c r="AC20" i="6"/>
  <c r="M20" i="6"/>
  <c r="O20" i="6" s="1"/>
  <c r="H58" i="6"/>
  <c r="P58" i="6"/>
  <c r="R58" i="6" s="1"/>
  <c r="T58" i="6"/>
  <c r="AB58" i="6"/>
  <c r="AD58" i="6" s="1"/>
  <c r="AF58" i="6"/>
  <c r="G58" i="6"/>
  <c r="I58" i="6" s="1"/>
  <c r="M58" i="6"/>
  <c r="O58" i="6" s="1"/>
  <c r="W58" i="6"/>
  <c r="AC58" i="6"/>
  <c r="N58" i="6"/>
  <c r="S58" i="6"/>
  <c r="U58" i="6" s="1"/>
  <c r="Y58" i="6"/>
  <c r="AA58" i="6" s="1"/>
  <c r="J58" i="6"/>
  <c r="L58" i="6" s="1"/>
  <c r="Z58" i="6"/>
  <c r="AE58" i="6"/>
  <c r="AG58" i="6" s="1"/>
  <c r="Q58" i="6"/>
  <c r="V58" i="6"/>
  <c r="X58" i="6" s="1"/>
  <c r="K58" i="6"/>
  <c r="M59" i="6"/>
  <c r="O59" i="6" s="1"/>
  <c r="Q59" i="6"/>
  <c r="Y59" i="6"/>
  <c r="AA59" i="6" s="1"/>
  <c r="AC59" i="6"/>
  <c r="G59" i="6"/>
  <c r="I59" i="6" s="1"/>
  <c r="W59" i="6"/>
  <c r="AB59" i="6"/>
  <c r="AD59" i="6" s="1"/>
  <c r="H59" i="6"/>
  <c r="N59" i="6"/>
  <c r="S59" i="6"/>
  <c r="U59" i="6" s="1"/>
  <c r="J59" i="6"/>
  <c r="L59" i="6" s="1"/>
  <c r="T59" i="6"/>
  <c r="Z59" i="6"/>
  <c r="AE59" i="6"/>
  <c r="AG59" i="6" s="1"/>
  <c r="K59" i="6"/>
  <c r="AF59" i="6"/>
  <c r="P59" i="6"/>
  <c r="R59" i="6" s="1"/>
  <c r="V59" i="6"/>
  <c r="X59" i="6" s="1"/>
  <c r="G30" i="6"/>
  <c r="I30" i="6" s="1"/>
  <c r="K30" i="6"/>
  <c r="S30" i="6"/>
  <c r="U30" i="6" s="1"/>
  <c r="W30" i="6"/>
  <c r="AE30" i="6"/>
  <c r="AG30" i="6" s="1"/>
  <c r="H30" i="6"/>
  <c r="P30" i="6"/>
  <c r="R30" i="6" s="1"/>
  <c r="T30" i="6"/>
  <c r="AB30" i="6"/>
  <c r="AD30" i="6" s="1"/>
  <c r="AF30" i="6"/>
  <c r="M30" i="6"/>
  <c r="O30" i="6" s="1"/>
  <c r="Q30" i="6"/>
  <c r="Y30" i="6"/>
  <c r="AA30" i="6" s="1"/>
  <c r="AC30" i="6"/>
  <c r="N30" i="6"/>
  <c r="V30" i="6"/>
  <c r="X30" i="6" s="1"/>
  <c r="J30" i="6"/>
  <c r="L30" i="6" s="1"/>
  <c r="Z30" i="6"/>
  <c r="M19" i="6"/>
  <c r="O19" i="6" s="1"/>
  <c r="Q19" i="6"/>
  <c r="Y19" i="6"/>
  <c r="AA19" i="6" s="1"/>
  <c r="AC19" i="6"/>
  <c r="G19" i="6"/>
  <c r="I19" i="6" s="1"/>
  <c r="K19" i="6"/>
  <c r="S19" i="6"/>
  <c r="U19" i="6" s="1"/>
  <c r="W19" i="6"/>
  <c r="AE19" i="6"/>
  <c r="AG19" i="6" s="1"/>
  <c r="J19" i="6"/>
  <c r="L19" i="6" s="1"/>
  <c r="Z19" i="6"/>
  <c r="T19" i="6"/>
  <c r="AB19" i="6"/>
  <c r="AD19" i="6" s="1"/>
  <c r="N19" i="6"/>
  <c r="V19" i="6"/>
  <c r="X19" i="6" s="1"/>
  <c r="AF19" i="6"/>
  <c r="H19" i="6"/>
  <c r="P19" i="6"/>
  <c r="R19" i="6" s="1"/>
  <c r="G57" i="6"/>
  <c r="I57" i="6" s="1"/>
  <c r="K57" i="6"/>
  <c r="S57" i="6"/>
  <c r="U57" i="6" s="1"/>
  <c r="W57" i="6"/>
  <c r="AE57" i="6"/>
  <c r="AG57" i="6" s="1"/>
  <c r="H57" i="6"/>
  <c r="M57" i="6"/>
  <c r="O57" i="6" s="1"/>
  <c r="AC57" i="6"/>
  <c r="N57" i="6"/>
  <c r="T57" i="6"/>
  <c r="Y57" i="6"/>
  <c r="AA57" i="6" s="1"/>
  <c r="J57" i="6"/>
  <c r="L57" i="6" s="1"/>
  <c r="P57" i="6"/>
  <c r="R57" i="6" s="1"/>
  <c r="Z57" i="6"/>
  <c r="AF57" i="6"/>
  <c r="V57" i="6"/>
  <c r="X57" i="6" s="1"/>
  <c r="AB57" i="6"/>
  <c r="AD57" i="6" s="1"/>
  <c r="Q57" i="6"/>
  <c r="M42" i="6"/>
  <c r="O42" i="6" s="1"/>
  <c r="Q42" i="6"/>
  <c r="Y42" i="6"/>
  <c r="AA42" i="6" s="1"/>
  <c r="AC42" i="6"/>
  <c r="H42" i="6"/>
  <c r="N42" i="6"/>
  <c r="S42" i="6"/>
  <c r="U42" i="6" s="1"/>
  <c r="K42" i="6"/>
  <c r="P42" i="6"/>
  <c r="R42" i="6" s="1"/>
  <c r="V42" i="6"/>
  <c r="X42" i="6" s="1"/>
  <c r="AF42" i="6"/>
  <c r="W42" i="6"/>
  <c r="Z42" i="6"/>
  <c r="T42" i="6"/>
  <c r="G42" i="6"/>
  <c r="I42" i="6" s="1"/>
  <c r="AB42" i="6"/>
  <c r="AD42" i="6" s="1"/>
  <c r="J42" i="6"/>
  <c r="L42" i="6" s="1"/>
  <c r="AE42" i="6"/>
  <c r="AG42" i="6" s="1"/>
  <c r="M55" i="6"/>
  <c r="O55" i="6" s="1"/>
  <c r="Q55" i="6"/>
  <c r="Y55" i="6"/>
  <c r="AA55" i="6" s="1"/>
  <c r="AC55" i="6"/>
  <c r="J55" i="6"/>
  <c r="L55" i="6" s="1"/>
  <c r="T55" i="6"/>
  <c r="K55" i="6"/>
  <c r="S55" i="6"/>
  <c r="U55" i="6" s="1"/>
  <c r="Z55" i="6"/>
  <c r="AE55" i="6"/>
  <c r="AG55" i="6" s="1"/>
  <c r="G55" i="6"/>
  <c r="I55" i="6" s="1"/>
  <c r="N55" i="6"/>
  <c r="V55" i="6"/>
  <c r="X55" i="6" s="1"/>
  <c r="AF55" i="6"/>
  <c r="H55" i="6"/>
  <c r="P55" i="6"/>
  <c r="R55" i="6" s="1"/>
  <c r="W55" i="6"/>
  <c r="AB55" i="6"/>
  <c r="AD55" i="6" s="1"/>
  <c r="J39" i="6"/>
  <c r="L39" i="6" s="1"/>
  <c r="N39" i="6"/>
  <c r="V39" i="6"/>
  <c r="X39" i="6" s="1"/>
  <c r="Z39" i="6"/>
  <c r="T39" i="6"/>
  <c r="Y39" i="6"/>
  <c r="AA39" i="6" s="1"/>
  <c r="AE39" i="6"/>
  <c r="AG39" i="6" s="1"/>
  <c r="G39" i="6"/>
  <c r="I39" i="6" s="1"/>
  <c r="Q39" i="6"/>
  <c r="W39" i="6"/>
  <c r="AB39" i="6"/>
  <c r="AD39" i="6" s="1"/>
  <c r="H39" i="6"/>
  <c r="S39" i="6"/>
  <c r="U39" i="6" s="1"/>
  <c r="AC39" i="6"/>
  <c r="K39" i="6"/>
  <c r="AF39" i="6"/>
  <c r="P39" i="6"/>
  <c r="R39" i="6" s="1"/>
  <c r="M39" i="6"/>
  <c r="O39" i="6" s="1"/>
  <c r="G40" i="6"/>
  <c r="I40" i="6" s="1"/>
  <c r="K40" i="6"/>
  <c r="S40" i="6"/>
  <c r="U40" i="6" s="1"/>
  <c r="W40" i="6"/>
  <c r="AE40" i="6"/>
  <c r="AG40" i="6" s="1"/>
  <c r="N40" i="6"/>
  <c r="T40" i="6"/>
  <c r="Y40" i="6"/>
  <c r="AA40" i="6" s="1"/>
  <c r="Q40" i="6"/>
  <c r="V40" i="6"/>
  <c r="X40" i="6" s="1"/>
  <c r="AB40" i="6"/>
  <c r="AD40" i="6" s="1"/>
  <c r="M40" i="6"/>
  <c r="O40" i="6" s="1"/>
  <c r="P40" i="6"/>
  <c r="R40" i="6" s="1"/>
  <c r="Z40" i="6"/>
  <c r="J40" i="6"/>
  <c r="L40" i="6" s="1"/>
  <c r="AF40" i="6"/>
  <c r="AC40" i="6"/>
  <c r="H40" i="6"/>
  <c r="H50" i="6"/>
  <c r="P50" i="6"/>
  <c r="R50" i="6" s="1"/>
  <c r="T50" i="6"/>
  <c r="AB50" i="6"/>
  <c r="AD50" i="6" s="1"/>
  <c r="AF50" i="6"/>
  <c r="K50" i="6"/>
  <c r="Q50" i="6"/>
  <c r="V50" i="6"/>
  <c r="X50" i="6" s="1"/>
  <c r="G50" i="6"/>
  <c r="I50" i="6" s="1"/>
  <c r="M50" i="6"/>
  <c r="O50" i="6" s="1"/>
  <c r="W50" i="6"/>
  <c r="AC50" i="6"/>
  <c r="Z50" i="6"/>
  <c r="S50" i="6"/>
  <c r="U50" i="6" s="1"/>
  <c r="J50" i="6"/>
  <c r="L50" i="6" s="1"/>
  <c r="AE50" i="6"/>
  <c r="AG50" i="6" s="1"/>
  <c r="N50" i="6"/>
  <c r="Y50" i="6"/>
  <c r="AA50" i="6" s="1"/>
  <c r="H28" i="6"/>
  <c r="P28" i="6"/>
  <c r="R28" i="6" s="1"/>
  <c r="T28" i="6"/>
  <c r="AB28" i="6"/>
  <c r="AD28" i="6" s="1"/>
  <c r="AF28" i="6"/>
  <c r="K28" i="6"/>
  <c r="Q28" i="6"/>
  <c r="V28" i="6"/>
  <c r="X28" i="6" s="1"/>
  <c r="G28" i="6"/>
  <c r="I28" i="6" s="1"/>
  <c r="M28" i="6"/>
  <c r="O28" i="6" s="1"/>
  <c r="W28" i="6"/>
  <c r="AC28" i="6"/>
  <c r="N28" i="6"/>
  <c r="S28" i="6"/>
  <c r="U28" i="6" s="1"/>
  <c r="Y28" i="6"/>
  <c r="AA28" i="6" s="1"/>
  <c r="J28" i="6"/>
  <c r="L28" i="6" s="1"/>
  <c r="AE28" i="6"/>
  <c r="AG28" i="6" s="1"/>
  <c r="Z28" i="6"/>
  <c r="H22" i="6"/>
  <c r="P22" i="6"/>
  <c r="R22" i="6" s="1"/>
  <c r="T22" i="6"/>
  <c r="AB22" i="6"/>
  <c r="AD22" i="6" s="1"/>
  <c r="AF22" i="6"/>
  <c r="J22" i="6"/>
  <c r="L22" i="6" s="1"/>
  <c r="N22" i="6"/>
  <c r="V22" i="6"/>
  <c r="X22" i="6" s="1"/>
  <c r="Z22" i="6"/>
  <c r="Q22" i="6"/>
  <c r="Y22" i="6"/>
  <c r="AA22" i="6" s="1"/>
  <c r="K22" i="6"/>
  <c r="S22" i="6"/>
  <c r="U22" i="6" s="1"/>
  <c r="M22" i="6"/>
  <c r="O22" i="6" s="1"/>
  <c r="AC22" i="6"/>
  <c r="G22" i="6"/>
  <c r="I22" i="6" s="1"/>
  <c r="W22" i="6"/>
  <c r="AE22" i="6"/>
  <c r="AG22" i="6" s="1"/>
  <c r="J33" i="6"/>
  <c r="L33" i="6" s="1"/>
  <c r="N33" i="6"/>
  <c r="G33" i="6"/>
  <c r="I33" i="6" s="1"/>
  <c r="K33" i="6"/>
  <c r="H33" i="6"/>
  <c r="P33" i="6"/>
  <c r="R33" i="6" s="1"/>
  <c r="T33" i="6"/>
  <c r="AB33" i="6"/>
  <c r="AD33" i="6" s="1"/>
  <c r="AF33" i="6"/>
  <c r="M33" i="6"/>
  <c r="O33" i="6" s="1"/>
  <c r="V33" i="6"/>
  <c r="X33" i="6" s="1"/>
  <c r="S33" i="6"/>
  <c r="U33" i="6" s="1"/>
  <c r="Y33" i="6"/>
  <c r="AA33" i="6" s="1"/>
  <c r="AE33" i="6"/>
  <c r="AG33" i="6" s="1"/>
  <c r="W33" i="6"/>
  <c r="AC33" i="6"/>
  <c r="Q33" i="6"/>
  <c r="Z33" i="6"/>
  <c r="J52" i="6"/>
  <c r="L52" i="6" s="1"/>
  <c r="N52" i="6"/>
  <c r="V52" i="6"/>
  <c r="X52" i="6" s="1"/>
  <c r="Z52" i="6"/>
  <c r="K52" i="6"/>
  <c r="P52" i="6"/>
  <c r="R52" i="6" s="1"/>
  <c r="AF52" i="6"/>
  <c r="G52" i="6"/>
  <c r="I52" i="6" s="1"/>
  <c r="M52" i="6"/>
  <c r="O52" i="6" s="1"/>
  <c r="T52" i="6"/>
  <c r="AB52" i="6"/>
  <c r="AD52" i="6" s="1"/>
  <c r="H52" i="6"/>
  <c r="W52" i="6"/>
  <c r="AC52" i="6"/>
  <c r="Q52" i="6"/>
  <c r="AE52" i="6"/>
  <c r="AG52" i="6" s="1"/>
  <c r="S52" i="6"/>
  <c r="U52" i="6" s="1"/>
  <c r="Y52" i="6"/>
  <c r="AA52" i="6" s="1"/>
  <c r="M34" i="6"/>
  <c r="O34" i="6" s="1"/>
  <c r="Q34" i="6"/>
  <c r="Y34" i="6"/>
  <c r="AA34" i="6" s="1"/>
  <c r="AC34" i="6"/>
  <c r="K34" i="6"/>
  <c r="P34" i="6"/>
  <c r="R34" i="6" s="1"/>
  <c r="V34" i="6"/>
  <c r="X34" i="6" s="1"/>
  <c r="AF34" i="6"/>
  <c r="H34" i="6"/>
  <c r="N34" i="6"/>
  <c r="S34" i="6"/>
  <c r="U34" i="6" s="1"/>
  <c r="Z34" i="6"/>
  <c r="G34" i="6"/>
  <c r="I34" i="6" s="1"/>
  <c r="AB34" i="6"/>
  <c r="AD34" i="6" s="1"/>
  <c r="W34" i="6"/>
  <c r="J34" i="6"/>
  <c r="L34" i="6" s="1"/>
  <c r="AE34" i="6"/>
  <c r="AG34" i="6" s="1"/>
  <c r="T34" i="6"/>
  <c r="G25" i="6"/>
  <c r="I25" i="6" s="1"/>
  <c r="K25" i="6"/>
  <c r="S25" i="6"/>
  <c r="U25" i="6" s="1"/>
  <c r="W25" i="6"/>
  <c r="AE25" i="6"/>
  <c r="AG25" i="6" s="1"/>
  <c r="M25" i="6"/>
  <c r="O25" i="6" s="1"/>
  <c r="Q25" i="6"/>
  <c r="Y25" i="6"/>
  <c r="AA25" i="6" s="1"/>
  <c r="AC25" i="6"/>
  <c r="H25" i="6"/>
  <c r="P25" i="6"/>
  <c r="R25" i="6" s="1"/>
  <c r="AF25" i="6"/>
  <c r="J25" i="6"/>
  <c r="L25" i="6" s="1"/>
  <c r="Z25" i="6"/>
  <c r="T25" i="6"/>
  <c r="AB25" i="6"/>
  <c r="AD25" i="6" s="1"/>
  <c r="V25" i="6"/>
  <c r="X25" i="6" s="1"/>
  <c r="N25" i="6"/>
  <c r="M32" i="6"/>
  <c r="O32" i="6" s="1"/>
  <c r="Q32" i="6"/>
  <c r="Y32" i="6"/>
  <c r="AA32" i="6" s="1"/>
  <c r="AC32" i="6"/>
  <c r="J32" i="6"/>
  <c r="L32" i="6" s="1"/>
  <c r="N32" i="6"/>
  <c r="V32" i="6"/>
  <c r="X32" i="6" s="1"/>
  <c r="Z32" i="6"/>
  <c r="G32" i="6"/>
  <c r="I32" i="6" s="1"/>
  <c r="K32" i="6"/>
  <c r="S32" i="6"/>
  <c r="U32" i="6" s="1"/>
  <c r="W32" i="6"/>
  <c r="AE32" i="6"/>
  <c r="AG32" i="6" s="1"/>
  <c r="H32" i="6"/>
  <c r="P32" i="6"/>
  <c r="R32" i="6" s="1"/>
  <c r="AF32" i="6"/>
  <c r="T32" i="6"/>
  <c r="AB32" i="6"/>
  <c r="AD32" i="6" s="1"/>
  <c r="G53" i="6"/>
  <c r="I53" i="6" s="1"/>
  <c r="K53" i="6"/>
  <c r="S53" i="6"/>
  <c r="U53" i="6" s="1"/>
  <c r="W53" i="6"/>
  <c r="AE53" i="6"/>
  <c r="AG53" i="6" s="1"/>
  <c r="J53" i="6"/>
  <c r="L53" i="6" s="1"/>
  <c r="P53" i="6"/>
  <c r="R53" i="6" s="1"/>
  <c r="Z53" i="6"/>
  <c r="AF53" i="6"/>
  <c r="H53" i="6"/>
  <c r="N53" i="6"/>
  <c r="V53" i="6"/>
  <c r="X53" i="6" s="1"/>
  <c r="AC53" i="6"/>
  <c r="Q53" i="6"/>
  <c r="Y53" i="6"/>
  <c r="AA53" i="6" s="1"/>
  <c r="M53" i="6"/>
  <c r="O53" i="6" s="1"/>
  <c r="T53" i="6"/>
  <c r="AB53" i="6"/>
  <c r="AD53" i="6" s="1"/>
  <c r="H54" i="6"/>
  <c r="P54" i="6"/>
  <c r="R54" i="6" s="1"/>
  <c r="T54" i="6"/>
  <c r="AB54" i="6"/>
  <c r="AD54" i="6" s="1"/>
  <c r="AF54" i="6"/>
  <c r="J54" i="6"/>
  <c r="L54" i="6" s="1"/>
  <c r="Z54" i="6"/>
  <c r="AE54" i="6"/>
  <c r="AG54" i="6" s="1"/>
  <c r="Q54" i="6"/>
  <c r="W54" i="6"/>
  <c r="K54" i="6"/>
  <c r="Y54" i="6"/>
  <c r="AA54" i="6" s="1"/>
  <c r="M54" i="6"/>
  <c r="O54" i="6" s="1"/>
  <c r="S54" i="6"/>
  <c r="U54" i="6" s="1"/>
  <c r="G54" i="6"/>
  <c r="I54" i="6" s="1"/>
  <c r="N54" i="6"/>
  <c r="V54" i="6"/>
  <c r="X54" i="6" s="1"/>
  <c r="AC54" i="6"/>
  <c r="G17" i="6"/>
  <c r="I17" i="6" s="1"/>
  <c r="K17" i="6"/>
  <c r="S17" i="6"/>
  <c r="U17" i="6" s="1"/>
  <c r="W17" i="6"/>
  <c r="AE17" i="6"/>
  <c r="AG17" i="6" s="1"/>
  <c r="M17" i="6"/>
  <c r="O17" i="6" s="1"/>
  <c r="Q17" i="6"/>
  <c r="Y17" i="6"/>
  <c r="AA17" i="6" s="1"/>
  <c r="AC17" i="6"/>
  <c r="H17" i="6"/>
  <c r="P17" i="6"/>
  <c r="R17" i="6" s="1"/>
  <c r="AF17" i="6"/>
  <c r="J17" i="6"/>
  <c r="L17" i="6" s="1"/>
  <c r="Z17" i="6"/>
  <c r="T17" i="6"/>
  <c r="AB17" i="6"/>
  <c r="AD17" i="6" s="1"/>
  <c r="N17" i="6"/>
  <c r="V17" i="6"/>
  <c r="X17" i="6" s="1"/>
  <c r="M51" i="6"/>
  <c r="O51" i="6" s="1"/>
  <c r="Q51" i="6"/>
  <c r="Y51" i="6"/>
  <c r="AA51" i="6" s="1"/>
  <c r="AC51" i="6"/>
  <c r="K51" i="6"/>
  <c r="P51" i="6"/>
  <c r="R51" i="6" s="1"/>
  <c r="V51" i="6"/>
  <c r="X51" i="6" s="1"/>
  <c r="AF51" i="6"/>
  <c r="G51" i="6"/>
  <c r="I51" i="6" s="1"/>
  <c r="W51" i="6"/>
  <c r="AB51" i="6"/>
  <c r="AD51" i="6" s="1"/>
  <c r="J51" i="6"/>
  <c r="L51" i="6" s="1"/>
  <c r="T51" i="6"/>
  <c r="AE51" i="6"/>
  <c r="AG51" i="6" s="1"/>
  <c r="N51" i="6"/>
  <c r="Z51" i="6"/>
  <c r="H51" i="6"/>
  <c r="S51" i="6"/>
  <c r="U51" i="6" s="1"/>
  <c r="H45" i="6"/>
  <c r="P45" i="6"/>
  <c r="R45" i="6" s="1"/>
  <c r="T45" i="6"/>
  <c r="AB45" i="6"/>
  <c r="AD45" i="6" s="1"/>
  <c r="AF45" i="6"/>
  <c r="G45" i="6"/>
  <c r="I45" i="6" s="1"/>
  <c r="M45" i="6"/>
  <c r="O45" i="6" s="1"/>
  <c r="W45" i="6"/>
  <c r="AC45" i="6"/>
  <c r="J45" i="6"/>
  <c r="L45" i="6" s="1"/>
  <c r="Z45" i="6"/>
  <c r="AE45" i="6"/>
  <c r="AG45" i="6" s="1"/>
  <c r="Q45" i="6"/>
  <c r="S45" i="6"/>
  <c r="U45" i="6" s="1"/>
  <c r="Y45" i="6"/>
  <c r="AA45" i="6" s="1"/>
  <c r="K45" i="6"/>
  <c r="N45" i="6"/>
  <c r="V45" i="6"/>
  <c r="X45" i="6" s="1"/>
  <c r="H41" i="6"/>
  <c r="P41" i="6"/>
  <c r="R41" i="6" s="1"/>
  <c r="T41" i="6"/>
  <c r="AB41" i="6"/>
  <c r="AD41" i="6" s="1"/>
  <c r="AF41" i="6"/>
  <c r="N41" i="6"/>
  <c r="S41" i="6"/>
  <c r="U41" i="6" s="1"/>
  <c r="Y41" i="6"/>
  <c r="AA41" i="6" s="1"/>
  <c r="K41" i="6"/>
  <c r="Q41" i="6"/>
  <c r="V41" i="6"/>
  <c r="X41" i="6" s="1"/>
  <c r="G41" i="6"/>
  <c r="I41" i="6" s="1"/>
  <c r="AC41" i="6"/>
  <c r="J41" i="6"/>
  <c r="L41" i="6" s="1"/>
  <c r="AE41" i="6"/>
  <c r="AG41" i="6" s="1"/>
  <c r="Z41" i="6"/>
  <c r="M41" i="6"/>
  <c r="O41" i="6" s="1"/>
  <c r="W41" i="6"/>
  <c r="J24" i="6"/>
  <c r="L24" i="6" s="1"/>
  <c r="N24" i="6"/>
  <c r="V24" i="6"/>
  <c r="X24" i="6" s="1"/>
  <c r="Z24" i="6"/>
  <c r="H24" i="6"/>
  <c r="P24" i="6"/>
  <c r="R24" i="6" s="1"/>
  <c r="T24" i="6"/>
  <c r="AB24" i="6"/>
  <c r="AD24" i="6" s="1"/>
  <c r="AF24" i="6"/>
  <c r="K24" i="6"/>
  <c r="S24" i="6"/>
  <c r="U24" i="6" s="1"/>
  <c r="M24" i="6"/>
  <c r="O24" i="6" s="1"/>
  <c r="AC24" i="6"/>
  <c r="G24" i="6"/>
  <c r="I24" i="6" s="1"/>
  <c r="W24" i="6"/>
  <c r="AE24" i="6"/>
  <c r="AG24" i="6" s="1"/>
  <c r="Q24" i="6"/>
  <c r="Y24" i="6"/>
  <c r="AA24" i="6" s="1"/>
  <c r="M29" i="6"/>
  <c r="O29" i="6" s="1"/>
  <c r="Q29" i="6"/>
  <c r="K29" i="6"/>
  <c r="P29" i="6"/>
  <c r="R29" i="6" s="1"/>
  <c r="V29" i="6"/>
  <c r="X29" i="6" s="1"/>
  <c r="Z29" i="6"/>
  <c r="G29" i="6"/>
  <c r="I29" i="6" s="1"/>
  <c r="W29" i="6"/>
  <c r="AE29" i="6"/>
  <c r="AG29" i="6" s="1"/>
  <c r="H29" i="6"/>
  <c r="N29" i="6"/>
  <c r="S29" i="6"/>
  <c r="U29" i="6" s="1"/>
  <c r="AB29" i="6"/>
  <c r="AD29" i="6" s="1"/>
  <c r="AF29" i="6"/>
  <c r="Y29" i="6"/>
  <c r="AA29" i="6" s="1"/>
  <c r="J29" i="6"/>
  <c r="L29" i="6" s="1"/>
  <c r="AC29" i="6"/>
  <c r="T29" i="6"/>
  <c r="G21" i="6"/>
  <c r="I21" i="6" s="1"/>
  <c r="K21" i="6"/>
  <c r="S21" i="6"/>
  <c r="U21" i="6" s="1"/>
  <c r="W21" i="6"/>
  <c r="AE21" i="6"/>
  <c r="AG21" i="6" s="1"/>
  <c r="M21" i="6"/>
  <c r="O21" i="6" s="1"/>
  <c r="Q21" i="6"/>
  <c r="Y21" i="6"/>
  <c r="AA21" i="6" s="1"/>
  <c r="AC21" i="6"/>
  <c r="T21" i="6"/>
  <c r="AB21" i="6"/>
  <c r="AD21" i="6" s="1"/>
  <c r="N21" i="6"/>
  <c r="V21" i="6"/>
  <c r="X21" i="6" s="1"/>
  <c r="H21" i="6"/>
  <c r="P21" i="6"/>
  <c r="R21" i="6" s="1"/>
  <c r="AF21" i="6"/>
  <c r="J21" i="6"/>
  <c r="L21" i="6" s="1"/>
  <c r="Z21" i="6"/>
  <c r="J43" i="6"/>
  <c r="L43" i="6" s="1"/>
  <c r="N43" i="6"/>
  <c r="V43" i="6"/>
  <c r="X43" i="6" s="1"/>
  <c r="Z43" i="6"/>
  <c r="H43" i="6"/>
  <c r="M43" i="6"/>
  <c r="O43" i="6" s="1"/>
  <c r="S43" i="6"/>
  <c r="U43" i="6" s="1"/>
  <c r="AC43" i="6"/>
  <c r="K43" i="6"/>
  <c r="P43" i="6"/>
  <c r="R43" i="6" s="1"/>
  <c r="AF43" i="6"/>
  <c r="G43" i="6"/>
  <c r="I43" i="6" s="1"/>
  <c r="Q43" i="6"/>
  <c r="AB43" i="6"/>
  <c r="AD43" i="6" s="1"/>
  <c r="T43" i="6"/>
  <c r="AE43" i="6"/>
  <c r="AG43" i="6" s="1"/>
  <c r="W43" i="6"/>
  <c r="Y43" i="6"/>
  <c r="AA43" i="6" s="1"/>
  <c r="G27" i="6"/>
  <c r="I27" i="6" s="1"/>
  <c r="K27" i="6"/>
  <c r="S27" i="6"/>
  <c r="U27" i="6" s="1"/>
  <c r="W27" i="6"/>
  <c r="AE27" i="6"/>
  <c r="AG27" i="6" s="1"/>
  <c r="Q27" i="6"/>
  <c r="V27" i="6"/>
  <c r="X27" i="6" s="1"/>
  <c r="AB27" i="6"/>
  <c r="AD27" i="6" s="1"/>
  <c r="H27" i="6"/>
  <c r="M27" i="6"/>
  <c r="O27" i="6" s="1"/>
  <c r="AC27" i="6"/>
  <c r="N27" i="6"/>
  <c r="T27" i="6"/>
  <c r="Y27" i="6"/>
  <c r="AA27" i="6" s="1"/>
  <c r="P27" i="6"/>
  <c r="R27" i="6" s="1"/>
  <c r="Z27" i="6"/>
  <c r="J27" i="6"/>
  <c r="L27" i="6" s="1"/>
  <c r="AF27" i="6"/>
  <c r="H15" i="6"/>
  <c r="P15" i="6"/>
  <c r="R15" i="6" s="1"/>
  <c r="T15" i="6"/>
  <c r="AB15" i="6"/>
  <c r="AD15" i="6" s="1"/>
  <c r="AF15" i="6"/>
  <c r="M15" i="6"/>
  <c r="O15" i="6" s="1"/>
  <c r="Q15" i="6"/>
  <c r="Y15" i="6"/>
  <c r="AA15" i="6" s="1"/>
  <c r="AC15" i="6"/>
  <c r="J15" i="6"/>
  <c r="L15" i="6" s="1"/>
  <c r="N15" i="6"/>
  <c r="V15" i="6"/>
  <c r="X15" i="6" s="1"/>
  <c r="Z15" i="6"/>
  <c r="K15" i="6"/>
  <c r="AE15" i="6"/>
  <c r="AG15" i="6" s="1"/>
  <c r="S15" i="6"/>
  <c r="U15" i="6" s="1"/>
  <c r="G15" i="6"/>
  <c r="I15" i="6" s="1"/>
  <c r="W15" i="6"/>
  <c r="M16" i="6"/>
  <c r="O16" i="6" s="1"/>
  <c r="Q16" i="6"/>
  <c r="Y16" i="6"/>
  <c r="AA16" i="6" s="1"/>
  <c r="AC16" i="6"/>
  <c r="J16" i="6"/>
  <c r="L16" i="6" s="1"/>
  <c r="N16" i="6"/>
  <c r="V16" i="6"/>
  <c r="X16" i="6" s="1"/>
  <c r="Z16" i="6"/>
  <c r="G16" i="6"/>
  <c r="I16" i="6" s="1"/>
  <c r="K16" i="6"/>
  <c r="S16" i="6"/>
  <c r="U16" i="6" s="1"/>
  <c r="W16" i="6"/>
  <c r="AE16" i="6"/>
  <c r="AG16" i="6" s="1"/>
  <c r="P16" i="6"/>
  <c r="R16" i="6" s="1"/>
  <c r="AF16" i="6"/>
  <c r="T16" i="6"/>
  <c r="H16" i="6"/>
  <c r="AB16" i="6"/>
  <c r="AD16" i="6" s="1"/>
  <c r="G14" i="6"/>
  <c r="I14" i="6" s="1"/>
  <c r="K14" i="6"/>
  <c r="S14" i="6"/>
  <c r="U14" i="6" s="1"/>
  <c r="W14" i="6"/>
  <c r="AE14" i="6"/>
  <c r="AG14" i="6" s="1"/>
  <c r="H14" i="6"/>
  <c r="P14" i="6"/>
  <c r="R14" i="6" s="1"/>
  <c r="T14" i="6"/>
  <c r="AB14" i="6"/>
  <c r="AD14" i="6" s="1"/>
  <c r="AF14" i="6"/>
  <c r="M14" i="6"/>
  <c r="O14" i="6" s="1"/>
  <c r="Q14" i="6"/>
  <c r="Y14" i="6"/>
  <c r="AA14" i="6" s="1"/>
  <c r="AC14" i="6"/>
  <c r="V14" i="6"/>
  <c r="X14" i="6" s="1"/>
  <c r="J14" i="6"/>
  <c r="L14" i="6" s="1"/>
  <c r="Z14" i="6"/>
  <c r="N14" i="6"/>
  <c r="AI31" i="6"/>
  <c r="AH31" i="6"/>
  <c r="AJ31" i="6"/>
  <c r="AI28" i="6"/>
  <c r="AJ28" i="6"/>
  <c r="AH28" i="6"/>
  <c r="AI39" i="6"/>
  <c r="AH39" i="6"/>
  <c r="AJ39" i="6"/>
  <c r="AH14" i="6"/>
  <c r="AJ14" i="6"/>
  <c r="AI14" i="6"/>
  <c r="AH16" i="6"/>
  <c r="AI16" i="6"/>
  <c r="AJ16" i="6"/>
  <c r="AH45" i="6"/>
  <c r="AJ45" i="6"/>
  <c r="AI45" i="6"/>
  <c r="AJ23" i="6"/>
  <c r="AH23" i="6"/>
  <c r="AI23" i="6"/>
  <c r="AI26" i="6"/>
  <c r="AH26" i="6"/>
  <c r="AJ26" i="6"/>
  <c r="AH56" i="6"/>
  <c r="AJ56" i="6"/>
  <c r="AI56" i="6"/>
  <c r="AJ22" i="6"/>
  <c r="AH22" i="6"/>
  <c r="AI22" i="6"/>
  <c r="AI20" i="6"/>
  <c r="AJ20" i="6"/>
  <c r="AH20" i="6"/>
  <c r="AI33" i="6"/>
  <c r="AH33" i="6"/>
  <c r="AJ33" i="6"/>
  <c r="AI41" i="6"/>
  <c r="AJ41" i="6"/>
  <c r="AH41" i="6"/>
  <c r="AJ58" i="6"/>
  <c r="AH58" i="6"/>
  <c r="AI58" i="6"/>
  <c r="AJ52" i="6"/>
  <c r="AH52" i="6"/>
  <c r="AI52" i="6"/>
  <c r="AI46" i="6"/>
  <c r="AJ46" i="6"/>
  <c r="AH46" i="6"/>
  <c r="AI38" i="6"/>
  <c r="AH38" i="6"/>
  <c r="AJ38" i="6"/>
  <c r="AH59" i="6"/>
  <c r="AJ59" i="6"/>
  <c r="AI59" i="6"/>
  <c r="AI36" i="6"/>
  <c r="AJ36" i="6"/>
  <c r="AH36" i="6"/>
  <c r="AI34" i="6"/>
  <c r="AJ34" i="6"/>
  <c r="AH34" i="6"/>
  <c r="AH24" i="6"/>
  <c r="AJ24" i="6"/>
  <c r="AI24" i="6"/>
  <c r="AJ49" i="6"/>
  <c r="AH49" i="6"/>
  <c r="AI49" i="6"/>
  <c r="AI30" i="6"/>
  <c r="AJ30" i="6"/>
  <c r="AH30" i="6"/>
  <c r="AH51" i="6"/>
  <c r="AJ51" i="6"/>
  <c r="AI51" i="6"/>
  <c r="AJ29" i="6"/>
  <c r="AH29" i="6"/>
  <c r="AI29" i="6"/>
  <c r="AJ15" i="6"/>
  <c r="AI15" i="6"/>
  <c r="AH15" i="6"/>
  <c r="AH17" i="6"/>
  <c r="AI17" i="6"/>
  <c r="AJ17" i="6"/>
  <c r="AJ57" i="6"/>
  <c r="AH57" i="6"/>
  <c r="AI57" i="6"/>
  <c r="AH32" i="6"/>
  <c r="AI32" i="6"/>
  <c r="AJ32" i="6"/>
  <c r="AJ27" i="6"/>
  <c r="AI27" i="6"/>
  <c r="AH27" i="6"/>
  <c r="AH44" i="6"/>
  <c r="AI44" i="6"/>
  <c r="AJ44" i="6"/>
  <c r="AH53" i="6"/>
  <c r="AI53" i="6"/>
  <c r="AJ53" i="6"/>
  <c r="AJ43" i="6"/>
  <c r="AH43" i="6"/>
  <c r="AI43" i="6"/>
  <c r="AJ21" i="6"/>
  <c r="AH21" i="6"/>
  <c r="AI21" i="6"/>
  <c r="AJ37" i="6"/>
  <c r="AI37" i="6"/>
  <c r="AH37" i="6"/>
  <c r="AJ47" i="6"/>
  <c r="AH47" i="6"/>
  <c r="AI47" i="6"/>
  <c r="AJ40" i="6"/>
  <c r="AH40" i="6"/>
  <c r="AI40" i="6"/>
  <c r="AH19" i="6"/>
  <c r="AI19" i="6"/>
  <c r="AJ19" i="6"/>
  <c r="AH18" i="6"/>
  <c r="AI18" i="6"/>
  <c r="AJ18" i="6"/>
  <c r="AH35" i="6"/>
  <c r="AI35" i="6"/>
  <c r="AJ35" i="6"/>
  <c r="AJ54" i="6"/>
  <c r="AI54" i="6"/>
  <c r="AH54" i="6"/>
  <c r="AH50" i="6"/>
  <c r="AI50" i="6"/>
  <c r="AJ50" i="6"/>
  <c r="AH25" i="6"/>
  <c r="AI25" i="6"/>
  <c r="AJ25" i="6"/>
  <c r="AH55" i="6"/>
  <c r="AJ55" i="6"/>
  <c r="AI55" i="6"/>
  <c r="AH48" i="6"/>
  <c r="AI48" i="6"/>
  <c r="AJ48" i="6"/>
  <c r="AH42" i="6"/>
  <c r="AI42" i="6"/>
  <c r="AJ42" i="6"/>
  <c r="W12" i="9"/>
  <c r="X11" i="9"/>
  <c r="Y11" i="9" s="1"/>
  <c r="Z11" i="9" s="1"/>
  <c r="AA11" i="9" s="1"/>
  <c r="AB11" i="9"/>
  <c r="V11" i="9" s="1"/>
  <c r="N12" i="9"/>
  <c r="H12" i="9" s="1"/>
  <c r="J12" i="9"/>
  <c r="K12" i="9" s="1"/>
  <c r="L12" i="9" s="1"/>
  <c r="M12" i="9" s="1"/>
  <c r="I13" i="9"/>
  <c r="G14" i="9"/>
  <c r="A14" i="9" s="1"/>
  <c r="C14" i="9"/>
  <c r="D14" i="9" s="1"/>
  <c r="E14" i="9" s="1"/>
  <c r="F14" i="9" s="1"/>
  <c r="B15" i="9"/>
  <c r="P12" i="9"/>
  <c r="U11" i="9"/>
  <c r="O11" i="9" s="1"/>
  <c r="Q11" i="9"/>
  <c r="R11" i="9" s="1"/>
  <c r="S11" i="9" s="1"/>
  <c r="T11" i="9" s="1"/>
  <c r="J58" i="11" l="1"/>
  <c r="J49" i="11"/>
  <c r="J14" i="11"/>
  <c r="J30" i="11"/>
  <c r="J46" i="11"/>
  <c r="J52" i="11"/>
  <c r="J25" i="11"/>
  <c r="J32" i="11"/>
  <c r="J26" i="11"/>
  <c r="J56" i="11"/>
  <c r="J40" i="11"/>
  <c r="J31" i="11"/>
  <c r="J57" i="11"/>
  <c r="J18" i="11"/>
  <c r="J51" i="11"/>
  <c r="J33" i="11"/>
  <c r="J48" i="11"/>
  <c r="J39" i="11"/>
  <c r="J35" i="11"/>
  <c r="J20" i="11"/>
  <c r="J13" i="11"/>
  <c r="J17" i="11"/>
  <c r="J36" i="11"/>
  <c r="J53" i="11"/>
  <c r="J27" i="11"/>
  <c r="J38" i="11"/>
  <c r="J50" i="11"/>
  <c r="J23" i="11"/>
  <c r="J24" i="11"/>
  <c r="J28" i="11"/>
  <c r="J16" i="11"/>
  <c r="J19" i="11"/>
  <c r="J47" i="11"/>
  <c r="J15" i="11"/>
  <c r="J42" i="11"/>
  <c r="J54" i="11"/>
  <c r="J37" i="11"/>
  <c r="J22" i="11"/>
  <c r="J44" i="11"/>
  <c r="J45" i="11"/>
  <c r="J21" i="11"/>
  <c r="J55" i="11"/>
  <c r="J29" i="11"/>
  <c r="J34" i="11"/>
  <c r="J43" i="11"/>
  <c r="J41" i="11"/>
  <c r="P13" i="9"/>
  <c r="U12" i="9"/>
  <c r="O12" i="9" s="1"/>
  <c r="Q12" i="9"/>
  <c r="R12" i="9" s="1"/>
  <c r="S12" i="9" s="1"/>
  <c r="T12" i="9" s="1"/>
  <c r="N13" i="9"/>
  <c r="H13" i="9" s="1"/>
  <c r="J13" i="9"/>
  <c r="K13" i="9" s="1"/>
  <c r="L13" i="9" s="1"/>
  <c r="M13" i="9" s="1"/>
  <c r="I14" i="9"/>
  <c r="G15" i="9"/>
  <c r="A15" i="9" s="1"/>
  <c r="C15" i="9"/>
  <c r="D15" i="9" s="1"/>
  <c r="E15" i="9" s="1"/>
  <c r="F15" i="9" s="1"/>
  <c r="B16" i="9"/>
  <c r="W13" i="9"/>
  <c r="X12" i="9"/>
  <c r="Y12" i="9" s="1"/>
  <c r="Z12" i="9" s="1"/>
  <c r="AA12" i="9" s="1"/>
  <c r="AB12" i="9"/>
  <c r="V12" i="9" s="1"/>
  <c r="E12" i="11"/>
  <c r="B13" i="6"/>
  <c r="E13" i="5"/>
  <c r="D12" i="11"/>
  <c r="C13" i="5"/>
  <c r="D13" i="5"/>
  <c r="C12" i="11"/>
  <c r="J13" i="6" l="1"/>
  <c r="L13" i="6" s="1"/>
  <c r="N13" i="6"/>
  <c r="V13" i="6"/>
  <c r="X13" i="6" s="1"/>
  <c r="Z13" i="6"/>
  <c r="G13" i="6"/>
  <c r="I13" i="6" s="1"/>
  <c r="K13" i="6"/>
  <c r="S13" i="6"/>
  <c r="U13" i="6" s="1"/>
  <c r="W13" i="6"/>
  <c r="AE13" i="6"/>
  <c r="AG13" i="6" s="1"/>
  <c r="H13" i="6"/>
  <c r="P13" i="6"/>
  <c r="R13" i="6" s="1"/>
  <c r="T13" i="6"/>
  <c r="AB13" i="6"/>
  <c r="AD13" i="6" s="1"/>
  <c r="AF13" i="6"/>
  <c r="Q13" i="6"/>
  <c r="Y13" i="6"/>
  <c r="AA13" i="6" s="1"/>
  <c r="M13" i="6"/>
  <c r="O13" i="6" s="1"/>
  <c r="AC13" i="6"/>
  <c r="J8" i="11"/>
  <c r="J9" i="11"/>
  <c r="J10" i="11"/>
  <c r="J11" i="11"/>
  <c r="J12" i="11"/>
  <c r="W14" i="9"/>
  <c r="X13" i="9"/>
  <c r="Y13" i="9" s="1"/>
  <c r="Z13" i="9" s="1"/>
  <c r="AA13" i="9" s="1"/>
  <c r="AB13" i="9"/>
  <c r="V13" i="9" s="1"/>
  <c r="N14" i="9"/>
  <c r="H14" i="9" s="1"/>
  <c r="J14" i="9"/>
  <c r="K14" i="9" s="1"/>
  <c r="L14" i="9" s="1"/>
  <c r="M14" i="9" s="1"/>
  <c r="I15" i="9"/>
  <c r="G16" i="9"/>
  <c r="A16" i="9" s="1"/>
  <c r="C16" i="9"/>
  <c r="D16" i="9" s="1"/>
  <c r="E16" i="9" s="1"/>
  <c r="F16" i="9" s="1"/>
  <c r="B17" i="9"/>
  <c r="P14" i="9"/>
  <c r="U13" i="9"/>
  <c r="O13" i="9" s="1"/>
  <c r="Q13" i="9"/>
  <c r="R13" i="9" s="1"/>
  <c r="S13" i="9" s="1"/>
  <c r="T13" i="9" s="1"/>
  <c r="G36" i="11"/>
  <c r="G104" i="11"/>
  <c r="G110" i="10"/>
  <c r="G56" i="10"/>
  <c r="G48" i="10"/>
  <c r="G21" i="11"/>
  <c r="G76" i="10"/>
  <c r="G54" i="10"/>
  <c r="G81" i="10"/>
  <c r="G199" i="10"/>
  <c r="G103" i="10"/>
  <c r="G117" i="11"/>
  <c r="G116" i="10"/>
  <c r="G64" i="11"/>
  <c r="G177" i="10"/>
  <c r="G137" i="10"/>
  <c r="G180" i="11"/>
  <c r="G186" i="10"/>
  <c r="G153" i="10"/>
  <c r="G158" i="10"/>
  <c r="G106" i="11"/>
  <c r="G78" i="11"/>
  <c r="G27" i="11"/>
  <c r="G22" i="10"/>
  <c r="G61" i="11"/>
  <c r="G98" i="10"/>
  <c r="G28" i="11"/>
  <c r="G184" i="11"/>
  <c r="G185" i="11"/>
  <c r="G12" i="10"/>
  <c r="G188" i="11"/>
  <c r="G174" i="10"/>
  <c r="G65" i="10"/>
  <c r="G166" i="11"/>
  <c r="G131" i="10"/>
  <c r="G18" i="11"/>
  <c r="G66" i="10"/>
  <c r="G14" i="11"/>
  <c r="G79" i="10"/>
  <c r="G194" i="11"/>
  <c r="G98" i="11"/>
  <c r="G172" i="10"/>
  <c r="G70" i="11"/>
  <c r="G13" i="11"/>
  <c r="G108" i="10"/>
  <c r="G128" i="10"/>
  <c r="G189" i="11"/>
  <c r="G23" i="10"/>
  <c r="G37" i="11"/>
  <c r="G90" i="11"/>
  <c r="G149" i="10"/>
  <c r="G116" i="11"/>
  <c r="G99" i="11"/>
  <c r="G31" i="11"/>
  <c r="G64" i="10"/>
  <c r="G11" i="10"/>
  <c r="G9" i="11"/>
  <c r="G10" i="10"/>
  <c r="G87" i="11"/>
  <c r="G193" i="10"/>
  <c r="G44" i="11"/>
  <c r="G75" i="11"/>
  <c r="G154" i="11"/>
  <c r="G158" i="11"/>
  <c r="G26" i="11"/>
  <c r="G89" i="10"/>
  <c r="G37" i="10"/>
  <c r="G147" i="11"/>
  <c r="G191" i="11"/>
  <c r="G163" i="11"/>
  <c r="G173" i="11"/>
  <c r="G144" i="10"/>
  <c r="G78" i="10"/>
  <c r="G135" i="10"/>
  <c r="G167" i="10"/>
  <c r="G141" i="10"/>
  <c r="G9" i="10"/>
  <c r="G112" i="11"/>
  <c r="G47" i="10"/>
  <c r="G96" i="10"/>
  <c r="G26" i="10"/>
  <c r="G76" i="11"/>
  <c r="G124" i="11"/>
  <c r="G196" i="10"/>
  <c r="G148" i="11"/>
  <c r="G61" i="10"/>
  <c r="G200" i="11"/>
  <c r="G60" i="10"/>
  <c r="G126" i="11"/>
  <c r="G161" i="10"/>
  <c r="G15" i="11"/>
  <c r="G43" i="10"/>
  <c r="G129" i="11"/>
  <c r="G105" i="11"/>
  <c r="G121" i="10"/>
  <c r="G17" i="10"/>
  <c r="G88" i="10"/>
  <c r="G140" i="11"/>
  <c r="G35" i="11"/>
  <c r="G113" i="11"/>
  <c r="G198" i="10"/>
  <c r="G176" i="11"/>
  <c r="G5" i="11"/>
  <c r="G130" i="10"/>
  <c r="G152" i="11"/>
  <c r="G99" i="10"/>
  <c r="G201" i="11"/>
  <c r="G88" i="11"/>
  <c r="G82" i="11"/>
  <c r="G59" i="10"/>
  <c r="G89" i="11"/>
  <c r="G133" i="10"/>
  <c r="G130" i="11"/>
  <c r="G74" i="11"/>
  <c r="G169" i="11"/>
  <c r="G49" i="10"/>
  <c r="G160" i="11"/>
  <c r="G134" i="10"/>
  <c r="G185" i="10"/>
  <c r="G186" i="11"/>
  <c r="G15" i="10"/>
  <c r="G143" i="10"/>
  <c r="G170" i="10"/>
  <c r="G196" i="11"/>
  <c r="G187" i="11"/>
  <c r="G12" i="11"/>
  <c r="G83" i="11"/>
  <c r="G115" i="10"/>
  <c r="G156" i="10"/>
  <c r="G197" i="10"/>
  <c r="G112" i="10"/>
  <c r="G42" i="11"/>
  <c r="G100" i="11"/>
  <c r="G56" i="11"/>
  <c r="G51" i="11"/>
  <c r="G38" i="10"/>
  <c r="G91" i="10"/>
  <c r="G95" i="10"/>
  <c r="G160" i="10"/>
  <c r="G101" i="11"/>
  <c r="G22" i="11"/>
  <c r="G29" i="11"/>
  <c r="G81" i="11"/>
  <c r="G153" i="11"/>
  <c r="G40" i="10"/>
  <c r="G111" i="11"/>
  <c r="G13" i="10"/>
  <c r="G44" i="10"/>
  <c r="G156" i="11"/>
  <c r="G57" i="11"/>
  <c r="G141" i="11"/>
  <c r="G65" i="11"/>
  <c r="G115" i="11"/>
  <c r="G85" i="11"/>
  <c r="G55" i="10"/>
  <c r="G79" i="11"/>
  <c r="G68" i="11"/>
  <c r="G138" i="10"/>
  <c r="G171" i="11"/>
  <c r="G167" i="11"/>
  <c r="G92" i="11"/>
  <c r="G86" i="10"/>
  <c r="G110" i="11"/>
  <c r="G39" i="10"/>
  <c r="G151" i="11"/>
  <c r="G149" i="11"/>
  <c r="G62" i="11"/>
  <c r="G19" i="10"/>
  <c r="G27" i="10"/>
  <c r="G3" i="11"/>
  <c r="G182" i="11"/>
  <c r="G97" i="10"/>
  <c r="G35" i="10"/>
  <c r="G97" i="11"/>
  <c r="G95" i="11"/>
  <c r="G50" i="11"/>
  <c r="G38" i="11"/>
  <c r="G159" i="11"/>
  <c r="G11" i="11"/>
  <c r="G67" i="11"/>
  <c r="G146" i="10"/>
  <c r="G142" i="11"/>
  <c r="G128" i="11"/>
  <c r="G20" i="10"/>
  <c r="G191" i="10"/>
  <c r="G164" i="11"/>
  <c r="G192" i="10"/>
  <c r="G165" i="10"/>
  <c r="G169" i="10"/>
  <c r="G4" i="10"/>
  <c r="G33" i="11"/>
  <c r="G134" i="11"/>
  <c r="G72" i="11"/>
  <c r="G159" i="10"/>
  <c r="G195" i="10"/>
  <c r="G102" i="11"/>
  <c r="G45" i="11"/>
  <c r="G152" i="10"/>
  <c r="G108" i="11"/>
  <c r="G180" i="10"/>
  <c r="G195" i="11"/>
  <c r="G168" i="10"/>
  <c r="G28" i="10"/>
  <c r="G109" i="11"/>
  <c r="G73" i="10"/>
  <c r="G40" i="11"/>
  <c r="G16" i="10"/>
  <c r="G82" i="10"/>
  <c r="G123" i="10"/>
  <c r="G127" i="10"/>
  <c r="G144" i="11"/>
  <c r="G138" i="11"/>
  <c r="G188" i="10"/>
  <c r="G105" i="10"/>
  <c r="G155" i="10"/>
  <c r="G127" i="11"/>
  <c r="G58" i="11"/>
  <c r="G52" i="10"/>
  <c r="G19" i="11"/>
  <c r="G161" i="11"/>
  <c r="G132" i="10"/>
  <c r="G6" i="10"/>
  <c r="G39" i="11"/>
  <c r="G157" i="11"/>
  <c r="G175" i="10"/>
  <c r="G25" i="11"/>
  <c r="G2" i="10"/>
  <c r="G135" i="11"/>
  <c r="G42" i="10"/>
  <c r="G32" i="10"/>
  <c r="G126" i="10"/>
  <c r="G148" i="10"/>
  <c r="G120" i="10"/>
  <c r="G155" i="11"/>
  <c r="G58" i="10"/>
  <c r="G139" i="10"/>
  <c r="G200" i="10"/>
  <c r="G114" i="10"/>
  <c r="G150" i="11"/>
  <c r="G36" i="10"/>
  <c r="G187" i="10"/>
  <c r="G193" i="11"/>
  <c r="G49" i="11"/>
  <c r="G29" i="10"/>
  <c r="G172" i="11"/>
  <c r="G54" i="11"/>
  <c r="G46" i="11"/>
  <c r="G164" i="10"/>
  <c r="G179" i="10"/>
  <c r="G129" i="10"/>
  <c r="G30" i="11"/>
  <c r="G136" i="11"/>
  <c r="G66" i="11"/>
  <c r="G143" i="11"/>
  <c r="G90" i="10"/>
  <c r="G120" i="11"/>
  <c r="G94" i="10"/>
  <c r="G178" i="11"/>
  <c r="G139" i="11"/>
  <c r="G122" i="10"/>
  <c r="G119" i="10"/>
  <c r="G182" i="10"/>
  <c r="G59" i="11"/>
  <c r="G20" i="11"/>
  <c r="G87" i="10"/>
  <c r="G84" i="11"/>
  <c r="G51" i="10"/>
  <c r="G43" i="11"/>
  <c r="G162" i="11"/>
  <c r="G83" i="10"/>
  <c r="G104" i="10"/>
  <c r="G71" i="10"/>
  <c r="G103" i="11"/>
  <c r="G177" i="11"/>
  <c r="G165" i="11"/>
  <c r="G67" i="10"/>
  <c r="G132" i="11"/>
  <c r="G179" i="11"/>
  <c r="G93" i="11"/>
  <c r="G7" i="11"/>
  <c r="G47" i="11"/>
  <c r="G140" i="10"/>
  <c r="G18" i="10"/>
  <c r="G41" i="11"/>
  <c r="G60" i="11"/>
  <c r="G25" i="10"/>
  <c r="F3" i="5"/>
  <c r="G109" i="10"/>
  <c r="G131" i="11"/>
  <c r="G114" i="11"/>
  <c r="G183" i="10"/>
  <c r="G68" i="10"/>
  <c r="G201" i="10"/>
  <c r="G194" i="10"/>
  <c r="G75" i="10"/>
  <c r="G34" i="11"/>
  <c r="G122" i="11"/>
  <c r="G53" i="10"/>
  <c r="G14" i="10"/>
  <c r="G100" i="10"/>
  <c r="G63" i="10"/>
  <c r="G107" i="10"/>
  <c r="G189" i="10"/>
  <c r="G117" i="10"/>
  <c r="G101" i="10"/>
  <c r="G96" i="11"/>
  <c r="G199" i="11"/>
  <c r="G181" i="11"/>
  <c r="G30" i="10"/>
  <c r="G70" i="10"/>
  <c r="G106" i="10"/>
  <c r="G92" i="10"/>
  <c r="G16" i="11"/>
  <c r="G50" i="10"/>
  <c r="G184" i="10"/>
  <c r="G93" i="10"/>
  <c r="G150" i="10"/>
  <c r="G163" i="10"/>
  <c r="G77" i="10"/>
  <c r="G171" i="10"/>
  <c r="G124" i="10"/>
  <c r="G3" i="10"/>
  <c r="G5" i="10"/>
  <c r="G121" i="11"/>
  <c r="G17" i="11"/>
  <c r="G123" i="11"/>
  <c r="G53" i="11"/>
  <c r="G198" i="11"/>
  <c r="G136" i="10"/>
  <c r="G181" i="10"/>
  <c r="G173" i="10"/>
  <c r="G145" i="11"/>
  <c r="G147" i="10"/>
  <c r="G6" i="11"/>
  <c r="G166" i="10"/>
  <c r="G84" i="10"/>
  <c r="G72" i="10"/>
  <c r="G21" i="10"/>
  <c r="G162" i="10"/>
  <c r="G23" i="11"/>
  <c r="G45" i="10"/>
  <c r="G154" i="10"/>
  <c r="G57" i="10"/>
  <c r="G133" i="11"/>
  <c r="G107" i="11"/>
  <c r="G33" i="10"/>
  <c r="G94" i="11"/>
  <c r="G48" i="11"/>
  <c r="G157" i="10"/>
  <c r="G190" i="11"/>
  <c r="G4" i="11"/>
  <c r="G145" i="10"/>
  <c r="G63" i="11"/>
  <c r="G73" i="11"/>
  <c r="G62" i="10"/>
  <c r="G170" i="11"/>
  <c r="G85" i="10"/>
  <c r="G52" i="11"/>
  <c r="G125" i="10"/>
  <c r="G77" i="11"/>
  <c r="G86" i="11"/>
  <c r="G197" i="11"/>
  <c r="G80" i="10"/>
  <c r="G137" i="11"/>
  <c r="G74" i="10"/>
  <c r="G2" i="11"/>
  <c r="G168" i="11"/>
  <c r="G151" i="10"/>
  <c r="G46" i="10"/>
  <c r="G142" i="10"/>
  <c r="G31" i="10"/>
  <c r="G55" i="11"/>
  <c r="G118" i="10"/>
  <c r="G80" i="11"/>
  <c r="G102" i="10"/>
  <c r="G91" i="11"/>
  <c r="G176" i="10"/>
  <c r="G41" i="10"/>
  <c r="G24" i="10"/>
  <c r="G178" i="10"/>
  <c r="G32" i="11"/>
  <c r="G8" i="11"/>
  <c r="G192" i="11"/>
  <c r="G69" i="11"/>
  <c r="G8" i="10"/>
  <c r="G190" i="10"/>
  <c r="G125" i="11"/>
  <c r="G113" i="10"/>
  <c r="G24" i="11"/>
  <c r="G34" i="10"/>
  <c r="G183" i="11"/>
  <c r="G174" i="11"/>
  <c r="G118" i="11"/>
  <c r="G119" i="11"/>
  <c r="G7" i="10"/>
  <c r="G146" i="11"/>
  <c r="G10" i="11"/>
  <c r="G111" i="10"/>
  <c r="G175" i="11"/>
  <c r="G69" i="10"/>
  <c r="G71" i="11"/>
  <c r="J4" i="11" l="1"/>
  <c r="J6" i="11"/>
  <c r="J7" i="11"/>
  <c r="J3" i="11"/>
  <c r="J5" i="11"/>
  <c r="P15" i="9"/>
  <c r="U14" i="9"/>
  <c r="O14" i="9" s="1"/>
  <c r="Q14" i="9"/>
  <c r="R14" i="9" s="1"/>
  <c r="S14" i="9" s="1"/>
  <c r="T14" i="9" s="1"/>
  <c r="G17" i="9"/>
  <c r="A17" i="9" s="1"/>
  <c r="C17" i="9"/>
  <c r="D17" i="9" s="1"/>
  <c r="E17" i="9" s="1"/>
  <c r="F17" i="9" s="1"/>
  <c r="B18" i="9"/>
  <c r="N15" i="9"/>
  <c r="H15" i="9" s="1"/>
  <c r="J15" i="9"/>
  <c r="K15" i="9" s="1"/>
  <c r="L15" i="9" s="1"/>
  <c r="M15" i="9" s="1"/>
  <c r="I16" i="9"/>
  <c r="W15" i="9"/>
  <c r="X14" i="9"/>
  <c r="Y14" i="9" s="1"/>
  <c r="Z14" i="9" s="1"/>
  <c r="AA14" i="9" s="1"/>
  <c r="AB14" i="9"/>
  <c r="V14" i="9" s="1"/>
  <c r="E38" i="11"/>
  <c r="E45" i="10"/>
  <c r="B20" i="10"/>
  <c r="D37" i="11"/>
  <c r="C25" i="11"/>
  <c r="E35" i="11"/>
  <c r="C25" i="5"/>
  <c r="D37" i="5"/>
  <c r="D30" i="11"/>
  <c r="D49" i="10"/>
  <c r="D24" i="5"/>
  <c r="D38" i="5"/>
  <c r="C33" i="5"/>
  <c r="C49" i="11"/>
  <c r="E50" i="5"/>
  <c r="B33" i="5"/>
  <c r="E33" i="11"/>
  <c r="B24" i="5"/>
  <c r="B46" i="11"/>
  <c r="B28" i="5"/>
  <c r="C32" i="10"/>
  <c r="D26" i="10"/>
  <c r="C43" i="5"/>
  <c r="E56" i="5"/>
  <c r="D19" i="10"/>
  <c r="E37" i="10"/>
  <c r="E58" i="11"/>
  <c r="C52" i="11"/>
  <c r="E23" i="5"/>
  <c r="C28" i="11"/>
  <c r="D21" i="10"/>
  <c r="E37" i="11"/>
  <c r="C23" i="11"/>
  <c r="D24" i="11"/>
  <c r="B31" i="5"/>
  <c r="E44" i="11"/>
  <c r="B58" i="11"/>
  <c r="D53" i="5"/>
  <c r="B38" i="10"/>
  <c r="D35" i="11"/>
  <c r="D42" i="11"/>
  <c r="D20" i="10"/>
  <c r="E38" i="5"/>
  <c r="B26" i="11"/>
  <c r="E51" i="11"/>
  <c r="D41" i="5"/>
  <c r="C46" i="11"/>
  <c r="B49" i="5"/>
  <c r="D46" i="5"/>
  <c r="C59" i="5"/>
  <c r="D53" i="11"/>
  <c r="C30" i="11"/>
  <c r="E32" i="5"/>
  <c r="D33" i="11"/>
  <c r="E42" i="5"/>
  <c r="E26" i="11"/>
  <c r="E53" i="11"/>
  <c r="E39" i="5"/>
  <c r="E49" i="5"/>
  <c r="B42" i="5"/>
  <c r="B21" i="11"/>
  <c r="C27" i="5"/>
  <c r="E48" i="10"/>
  <c r="B33" i="11"/>
  <c r="D26" i="11"/>
  <c r="B34" i="5"/>
  <c r="B36" i="5"/>
  <c r="D43" i="11"/>
  <c r="E25" i="5"/>
  <c r="D33" i="5"/>
  <c r="D29" i="5"/>
  <c r="D30" i="5"/>
  <c r="C45" i="11"/>
  <c r="B36" i="11"/>
  <c r="B28" i="11"/>
  <c r="E58" i="5"/>
  <c r="E47" i="5"/>
  <c r="C32" i="5"/>
  <c r="B41" i="5"/>
  <c r="E45" i="5"/>
  <c r="D23" i="11"/>
  <c r="E33" i="10"/>
  <c r="E55" i="5"/>
  <c r="B48" i="11"/>
  <c r="E43" i="5"/>
  <c r="C47" i="10"/>
  <c r="C23" i="5"/>
  <c r="C20" i="10"/>
  <c r="E52" i="5"/>
  <c r="B37" i="5"/>
  <c r="C32" i="11"/>
  <c r="D44" i="5"/>
  <c r="C24" i="11"/>
  <c r="B43" i="11"/>
  <c r="B58" i="5"/>
  <c r="E59" i="5"/>
  <c r="E26" i="5"/>
  <c r="E35" i="5"/>
  <c r="E33" i="5"/>
  <c r="B19" i="5"/>
  <c r="C22" i="5"/>
  <c r="D36" i="5"/>
  <c r="B50" i="5"/>
  <c r="D25" i="5"/>
  <c r="E29" i="11"/>
  <c r="D43" i="10"/>
  <c r="C21" i="11"/>
  <c r="D40" i="5"/>
  <c r="B22" i="11"/>
  <c r="C55" i="10"/>
  <c r="B19" i="10"/>
  <c r="B53" i="11"/>
  <c r="D55" i="5"/>
  <c r="C55" i="11"/>
  <c r="C37" i="10"/>
  <c r="E51" i="5"/>
  <c r="D53" i="10"/>
  <c r="E34" i="10"/>
  <c r="E19" i="10"/>
  <c r="C52" i="10"/>
  <c r="D34" i="5"/>
  <c r="B27" i="10"/>
  <c r="B50" i="10"/>
  <c r="B31" i="10"/>
  <c r="B38" i="5"/>
  <c r="B54" i="5"/>
  <c r="B23" i="11"/>
  <c r="D50" i="5"/>
  <c r="E34" i="11"/>
  <c r="C39" i="11"/>
  <c r="E22" i="5"/>
  <c r="E34" i="5"/>
  <c r="D56" i="5"/>
  <c r="E21" i="11"/>
  <c r="C47" i="5"/>
  <c r="E54" i="11"/>
  <c r="B42" i="11"/>
  <c r="E40" i="11"/>
  <c r="E55" i="10"/>
  <c r="E28" i="10"/>
  <c r="C34" i="11"/>
  <c r="B35" i="10"/>
  <c r="C42" i="11"/>
  <c r="B39" i="5"/>
  <c r="C36" i="5"/>
  <c r="B45" i="5"/>
  <c r="E30" i="5"/>
  <c r="E54" i="10"/>
  <c r="C40" i="10"/>
  <c r="D52" i="10"/>
  <c r="E44" i="10"/>
  <c r="D26" i="5"/>
  <c r="B24" i="11"/>
  <c r="C43" i="10"/>
  <c r="D25" i="11"/>
  <c r="B22" i="5"/>
  <c r="B33" i="10"/>
  <c r="C48" i="5"/>
  <c r="D58" i="10"/>
  <c r="B31" i="11"/>
  <c r="E52" i="11"/>
  <c r="C56" i="5"/>
  <c r="B53" i="10"/>
  <c r="B32" i="11"/>
  <c r="C44" i="11"/>
  <c r="E29" i="5"/>
  <c r="D23" i="5"/>
  <c r="C35" i="5"/>
  <c r="C56" i="11"/>
  <c r="E55" i="11"/>
  <c r="B19" i="11"/>
  <c r="B56" i="5"/>
  <c r="C48" i="11"/>
  <c r="D28" i="5"/>
  <c r="D41" i="10"/>
  <c r="C45" i="5"/>
  <c r="D49" i="5"/>
  <c r="E22" i="11"/>
  <c r="B52" i="11"/>
  <c r="C50" i="10"/>
  <c r="B29" i="10"/>
  <c r="C26" i="11"/>
  <c r="C57" i="5"/>
  <c r="B18" i="11"/>
  <c r="B24" i="10"/>
  <c r="C23" i="10"/>
  <c r="D42" i="5"/>
  <c r="C31" i="10"/>
  <c r="D44" i="10"/>
  <c r="E48" i="11"/>
  <c r="B44" i="11"/>
  <c r="E43" i="10"/>
  <c r="B45" i="11"/>
  <c r="B56" i="10"/>
  <c r="D44" i="11"/>
  <c r="B47" i="11"/>
  <c r="B59" i="5"/>
  <c r="D59" i="5"/>
  <c r="E31" i="11"/>
  <c r="C47" i="11"/>
  <c r="B37" i="10"/>
  <c r="E58" i="10"/>
  <c r="C58" i="11"/>
  <c r="E49" i="10"/>
  <c r="C54" i="5"/>
  <c r="D28" i="10"/>
  <c r="C38" i="5"/>
  <c r="E27" i="11"/>
  <c r="C52" i="5"/>
  <c r="D56" i="11"/>
  <c r="B49" i="11"/>
  <c r="B38" i="11"/>
  <c r="D37" i="10"/>
  <c r="D57" i="10"/>
  <c r="B18" i="10"/>
  <c r="D34" i="10"/>
  <c r="E44" i="5"/>
  <c r="B25" i="11"/>
  <c r="B46" i="5"/>
  <c r="C28" i="10"/>
  <c r="D29" i="11"/>
  <c r="B37" i="11"/>
  <c r="C55" i="5"/>
  <c r="C39" i="5"/>
  <c r="B51" i="5"/>
  <c r="D27" i="10"/>
  <c r="B40" i="5"/>
  <c r="C54" i="10"/>
  <c r="E57" i="5"/>
  <c r="D58" i="11"/>
  <c r="D51" i="5"/>
  <c r="D55" i="11"/>
  <c r="B40" i="10"/>
  <c r="B52" i="5"/>
  <c r="E37" i="5"/>
  <c r="D45" i="10"/>
  <c r="B51" i="11"/>
  <c r="E46" i="11"/>
  <c r="C46" i="5"/>
  <c r="D21" i="11"/>
  <c r="E40" i="5"/>
  <c r="E25" i="11"/>
  <c r="C41" i="5"/>
  <c r="E30" i="11"/>
  <c r="E56" i="10"/>
  <c r="B47" i="5"/>
  <c r="C37" i="11"/>
  <c r="B30" i="10"/>
  <c r="C31" i="5"/>
  <c r="D27" i="5"/>
  <c r="B30" i="11"/>
  <c r="D47" i="5"/>
  <c r="E23" i="11"/>
  <c r="C48" i="10"/>
  <c r="D45" i="5"/>
  <c r="C51" i="5"/>
  <c r="C43" i="11"/>
  <c r="D18" i="10"/>
  <c r="C57" i="11"/>
  <c r="B35" i="11"/>
  <c r="D24" i="10"/>
  <c r="D27" i="11"/>
  <c r="B39" i="11"/>
  <c r="D35" i="5"/>
  <c r="D43" i="5"/>
  <c r="C36" i="11"/>
  <c r="C28" i="5"/>
  <c r="C40" i="5"/>
  <c r="B41" i="11"/>
  <c r="E32" i="10"/>
  <c r="C24" i="5"/>
  <c r="B36" i="10"/>
  <c r="B41" i="10"/>
  <c r="B55" i="5"/>
  <c r="D51" i="10"/>
  <c r="E38" i="10"/>
  <c r="B30" i="5"/>
  <c r="C24" i="10"/>
  <c r="B52" i="10"/>
  <c r="D42" i="10"/>
  <c r="B43" i="10"/>
  <c r="D38" i="11"/>
  <c r="E27" i="10"/>
  <c r="C22" i="10"/>
  <c r="C54" i="11"/>
  <c r="C25" i="10"/>
  <c r="B28" i="10"/>
  <c r="E42" i="10"/>
  <c r="C30" i="10"/>
  <c r="E36" i="5"/>
  <c r="E30" i="10"/>
  <c r="C58" i="10"/>
  <c r="D58" i="5"/>
  <c r="E53" i="5"/>
  <c r="B39" i="10"/>
  <c r="C29" i="11"/>
  <c r="B57" i="5"/>
  <c r="E20" i="10"/>
  <c r="C30" i="5"/>
  <c r="C50" i="5"/>
  <c r="D54" i="5"/>
  <c r="E48" i="5"/>
  <c r="C31" i="11"/>
  <c r="B23" i="10"/>
  <c r="B55" i="10"/>
  <c r="D56" i="10"/>
  <c r="B42" i="10"/>
  <c r="D48" i="5"/>
  <c r="E24" i="11"/>
  <c r="E47" i="11"/>
  <c r="C18" i="10"/>
  <c r="B49" i="10"/>
  <c r="E31" i="10"/>
  <c r="C50" i="11"/>
  <c r="B25" i="5"/>
  <c r="D25" i="10"/>
  <c r="D54" i="10"/>
  <c r="B32" i="5"/>
  <c r="B26" i="10"/>
  <c r="B20" i="5"/>
  <c r="B21" i="10"/>
  <c r="D33" i="10"/>
  <c r="D35" i="10"/>
  <c r="E50" i="10"/>
  <c r="B56" i="11"/>
  <c r="C44" i="10"/>
  <c r="E46" i="5"/>
  <c r="B25" i="10"/>
  <c r="B47" i="10"/>
  <c r="D31" i="11"/>
  <c r="D52" i="5"/>
  <c r="C26" i="10"/>
  <c r="D31" i="10"/>
  <c r="C56" i="10"/>
  <c r="B29" i="5"/>
  <c r="E49" i="11"/>
  <c r="E35" i="10"/>
  <c r="E39" i="11"/>
  <c r="E41" i="5"/>
  <c r="D29" i="10"/>
  <c r="E39" i="10"/>
  <c r="E18" i="10"/>
  <c r="D49" i="11"/>
  <c r="E24" i="10"/>
  <c r="D32" i="11"/>
  <c r="D39" i="10"/>
  <c r="E53" i="10"/>
  <c r="B51" i="10"/>
  <c r="D47" i="11"/>
  <c r="E45" i="11"/>
  <c r="D55" i="10"/>
  <c r="B23" i="5"/>
  <c r="B58" i="10"/>
  <c r="E25" i="10"/>
  <c r="E27" i="5"/>
  <c r="B44" i="5"/>
  <c r="D22" i="10"/>
  <c r="D34" i="11"/>
  <c r="D32" i="5"/>
  <c r="B27" i="5"/>
  <c r="C49" i="10"/>
  <c r="C19" i="10"/>
  <c r="B21" i="5"/>
  <c r="B29" i="11"/>
  <c r="D48" i="10"/>
  <c r="C39" i="10"/>
  <c r="B57" i="10"/>
  <c r="C42" i="5"/>
  <c r="C27" i="11"/>
  <c r="E29" i="10"/>
  <c r="C27" i="10"/>
  <c r="B50" i="11"/>
  <c r="D30" i="10"/>
  <c r="B34" i="11"/>
  <c r="E32" i="11"/>
  <c r="C41" i="11"/>
  <c r="D22" i="11"/>
  <c r="E24" i="5"/>
  <c r="C29" i="10"/>
  <c r="B40" i="11"/>
  <c r="C33" i="10"/>
  <c r="D39" i="11"/>
  <c r="C53" i="11"/>
  <c r="C53" i="5"/>
  <c r="E43" i="11"/>
  <c r="E41" i="11"/>
  <c r="C58" i="5"/>
  <c r="C38" i="11"/>
  <c r="D47" i="10"/>
  <c r="C41" i="10"/>
  <c r="D28" i="11"/>
  <c r="C33" i="11"/>
  <c r="C34" i="10"/>
  <c r="B57" i="11"/>
  <c r="D51" i="11"/>
  <c r="E52" i="10"/>
  <c r="B34" i="10"/>
  <c r="C22" i="11"/>
  <c r="C38" i="10"/>
  <c r="D40" i="11"/>
  <c r="D45" i="11"/>
  <c r="D48" i="11"/>
  <c r="B48" i="5"/>
  <c r="E57" i="10"/>
  <c r="B54" i="11"/>
  <c r="E36" i="11"/>
  <c r="B43" i="5"/>
  <c r="D52" i="11"/>
  <c r="C46" i="10"/>
  <c r="E36" i="10"/>
  <c r="E51" i="10"/>
  <c r="E23" i="10"/>
  <c r="C53" i="10"/>
  <c r="B35" i="5"/>
  <c r="D36" i="11"/>
  <c r="C34" i="5"/>
  <c r="E28" i="5"/>
  <c r="D46" i="11"/>
  <c r="E26" i="10"/>
  <c r="D23" i="10"/>
  <c r="D31" i="5"/>
  <c r="B32" i="10"/>
  <c r="E46" i="10"/>
  <c r="D50" i="11"/>
  <c r="C35" i="10"/>
  <c r="D57" i="11"/>
  <c r="E40" i="10"/>
  <c r="C51" i="10"/>
  <c r="D40" i="10"/>
  <c r="C37" i="5"/>
  <c r="E22" i="10"/>
  <c r="C21" i="10"/>
  <c r="D50" i="10"/>
  <c r="C57" i="10"/>
  <c r="D36" i="10"/>
  <c r="D54" i="11"/>
  <c r="B45" i="10"/>
  <c r="B26" i="5"/>
  <c r="C36" i="10"/>
  <c r="B44" i="10"/>
  <c r="C42" i="10"/>
  <c r="D46" i="10"/>
  <c r="E50" i="11"/>
  <c r="C29" i="5"/>
  <c r="E42" i="11"/>
  <c r="E54" i="5"/>
  <c r="C51" i="11"/>
  <c r="E21" i="10"/>
  <c r="B54" i="10"/>
  <c r="D22" i="5"/>
  <c r="B53" i="5"/>
  <c r="E41" i="10"/>
  <c r="C26" i="5"/>
  <c r="E31" i="5"/>
  <c r="B46" i="10"/>
  <c r="E57" i="11"/>
  <c r="E56" i="11"/>
  <c r="B22" i="10"/>
  <c r="D38" i="10"/>
  <c r="D41" i="11"/>
  <c r="C35" i="11"/>
  <c r="E28" i="11"/>
  <c r="B55" i="11"/>
  <c r="B48" i="10"/>
  <c r="D57" i="5"/>
  <c r="C44" i="5"/>
  <c r="C45" i="10"/>
  <c r="D32" i="10"/>
  <c r="B27" i="11"/>
  <c r="D39" i="5"/>
  <c r="C49" i="5"/>
  <c r="E47" i="10"/>
  <c r="C40" i="11"/>
  <c r="B16" i="11"/>
  <c r="C17" i="10"/>
  <c r="B18" i="5"/>
  <c r="B15" i="11"/>
  <c r="E15" i="10"/>
  <c r="B16" i="10"/>
  <c r="B13" i="10"/>
  <c r="E17" i="10"/>
  <c r="D15" i="10"/>
  <c r="C16" i="10"/>
  <c r="B15" i="5"/>
  <c r="C13" i="10"/>
  <c r="C15" i="10"/>
  <c r="E16" i="10"/>
  <c r="E14" i="10"/>
  <c r="B17" i="5"/>
  <c r="B15" i="10"/>
  <c r="B14" i="11"/>
  <c r="B13" i="11"/>
  <c r="E13" i="10"/>
  <c r="B16" i="5"/>
  <c r="B17" i="10"/>
  <c r="B14" i="10"/>
  <c r="B14" i="5"/>
  <c r="C14" i="10"/>
  <c r="D14" i="10"/>
  <c r="D17" i="10"/>
  <c r="D13" i="10"/>
  <c r="B17" i="11"/>
  <c r="D16" i="10"/>
  <c r="B12" i="11"/>
  <c r="B12" i="10"/>
  <c r="D12" i="10"/>
  <c r="E12" i="10"/>
  <c r="B13" i="5"/>
  <c r="C12" i="10"/>
  <c r="AF48" i="5" l="1"/>
  <c r="AG48" i="5"/>
  <c r="AF20" i="5"/>
  <c r="AG20" i="5"/>
  <c r="AF53" i="5"/>
  <c r="AG53" i="5"/>
  <c r="AF52" i="5"/>
  <c r="AG52" i="5"/>
  <c r="AF56" i="5"/>
  <c r="AG56" i="5"/>
  <c r="AF39" i="5"/>
  <c r="AG39" i="5"/>
  <c r="AF14" i="5"/>
  <c r="AG14" i="5"/>
  <c r="AF43" i="5"/>
  <c r="AG43" i="5"/>
  <c r="AF25" i="5"/>
  <c r="AG25" i="5"/>
  <c r="AF51" i="5"/>
  <c r="AG51" i="5"/>
  <c r="AF54" i="5"/>
  <c r="AG54" i="5"/>
  <c r="AF58" i="5"/>
  <c r="AG58" i="5"/>
  <c r="AF37" i="5"/>
  <c r="AG37" i="5"/>
  <c r="AF41" i="5"/>
  <c r="AG41" i="5"/>
  <c r="AF36" i="5"/>
  <c r="AG36" i="5"/>
  <c r="AF15" i="5"/>
  <c r="AG15" i="5"/>
  <c r="AF27" i="5"/>
  <c r="AG27" i="5"/>
  <c r="AF44" i="5"/>
  <c r="AG44" i="5"/>
  <c r="AF23" i="5"/>
  <c r="AG23" i="5"/>
  <c r="AF55" i="5"/>
  <c r="AG55" i="5"/>
  <c r="AF47" i="5"/>
  <c r="AG47" i="5"/>
  <c r="AF46" i="5"/>
  <c r="AG46" i="5"/>
  <c r="AF59" i="5"/>
  <c r="AG59" i="5"/>
  <c r="AF22" i="5"/>
  <c r="AG22" i="5"/>
  <c r="AF50" i="5"/>
  <c r="AG50" i="5"/>
  <c r="AF19" i="5"/>
  <c r="AG19" i="5"/>
  <c r="AF49" i="5"/>
  <c r="AG49" i="5"/>
  <c r="AF31" i="5"/>
  <c r="AG31" i="5"/>
  <c r="AF24" i="5"/>
  <c r="AG24" i="5"/>
  <c r="AF33" i="5"/>
  <c r="AG33" i="5"/>
  <c r="AF17" i="5"/>
  <c r="AG17" i="5"/>
  <c r="AF42" i="5"/>
  <c r="AG42" i="5"/>
  <c r="AF16" i="5"/>
  <c r="AG16" i="5"/>
  <c r="AF18" i="5"/>
  <c r="AG18" i="5"/>
  <c r="AF29" i="5"/>
  <c r="AG29" i="5"/>
  <c r="AF34" i="5"/>
  <c r="AG34" i="5"/>
  <c r="AF28" i="5"/>
  <c r="AG28" i="5"/>
  <c r="AF26" i="5"/>
  <c r="AG26" i="5"/>
  <c r="AG21" i="5"/>
  <c r="AF21" i="5"/>
  <c r="AF35" i="5"/>
  <c r="AG35" i="5"/>
  <c r="AF32" i="5"/>
  <c r="AG32" i="5"/>
  <c r="AF45" i="5"/>
  <c r="AG45" i="5"/>
  <c r="AF57" i="5"/>
  <c r="AG57" i="5"/>
  <c r="AF30" i="5"/>
  <c r="AG30" i="5"/>
  <c r="AF40" i="5"/>
  <c r="AG40" i="5"/>
  <c r="AF38" i="5"/>
  <c r="AG38" i="5"/>
  <c r="AC27" i="5"/>
  <c r="AD27" i="5"/>
  <c r="AC44" i="5"/>
  <c r="AD44" i="5"/>
  <c r="AC47" i="5"/>
  <c r="AD47" i="5"/>
  <c r="AC59" i="5"/>
  <c r="AD59" i="5"/>
  <c r="AC22" i="5"/>
  <c r="AD22" i="5"/>
  <c r="AC50" i="5"/>
  <c r="AD50" i="5"/>
  <c r="AC19" i="5"/>
  <c r="AD19" i="5"/>
  <c r="AC17" i="5"/>
  <c r="AD17" i="5"/>
  <c r="AC26" i="5"/>
  <c r="AD26" i="5"/>
  <c r="AC48" i="5"/>
  <c r="AD48" i="5"/>
  <c r="AC21" i="5"/>
  <c r="AD21" i="5"/>
  <c r="AC20" i="5"/>
  <c r="AD20" i="5"/>
  <c r="AC42" i="5"/>
  <c r="AD42" i="5"/>
  <c r="AC23" i="5"/>
  <c r="AD23" i="5"/>
  <c r="AC55" i="5"/>
  <c r="AD55" i="5"/>
  <c r="AC46" i="5"/>
  <c r="AD46" i="5"/>
  <c r="AC49" i="5"/>
  <c r="AD49" i="5"/>
  <c r="AC31" i="5"/>
  <c r="AD31" i="5"/>
  <c r="AC24" i="5"/>
  <c r="AD24" i="5"/>
  <c r="AC33" i="5"/>
  <c r="AD33" i="5"/>
  <c r="AC16" i="5"/>
  <c r="AD16" i="5"/>
  <c r="AC18" i="5"/>
  <c r="AD18" i="5"/>
  <c r="AC53" i="5"/>
  <c r="AD53" i="5"/>
  <c r="AC35" i="5"/>
  <c r="AD35" i="5"/>
  <c r="AC29" i="5"/>
  <c r="AD29" i="5"/>
  <c r="AC32" i="5"/>
  <c r="AD32" i="5"/>
  <c r="AC52" i="5"/>
  <c r="AD52" i="5"/>
  <c r="AC56" i="5"/>
  <c r="AD56" i="5"/>
  <c r="AC45" i="5"/>
  <c r="AD45" i="5"/>
  <c r="AC39" i="5"/>
  <c r="AD39" i="5"/>
  <c r="AC34" i="5"/>
  <c r="AD34" i="5"/>
  <c r="AC28" i="5"/>
  <c r="AD28" i="5"/>
  <c r="AC15" i="5"/>
  <c r="AD15" i="5"/>
  <c r="AC14" i="5"/>
  <c r="AD14" i="5"/>
  <c r="AC43" i="5"/>
  <c r="AD43" i="5"/>
  <c r="AC25" i="5"/>
  <c r="AD25" i="5"/>
  <c r="AC57" i="5"/>
  <c r="AD57" i="5"/>
  <c r="AC30" i="5"/>
  <c r="AD30" i="5"/>
  <c r="AC40" i="5"/>
  <c r="AD40" i="5"/>
  <c r="AC51" i="5"/>
  <c r="AD51" i="5"/>
  <c r="AC54" i="5"/>
  <c r="AD54" i="5"/>
  <c r="AC38" i="5"/>
  <c r="AD38" i="5"/>
  <c r="AC58" i="5"/>
  <c r="AD58" i="5"/>
  <c r="AC37" i="5"/>
  <c r="AD37" i="5"/>
  <c r="AC41" i="5"/>
  <c r="AD41" i="5"/>
  <c r="AC36" i="5"/>
  <c r="AD36" i="5"/>
  <c r="Z47" i="5"/>
  <c r="AA47" i="5"/>
  <c r="Z59" i="5"/>
  <c r="AA59" i="5"/>
  <c r="Z49" i="5"/>
  <c r="AA49" i="5"/>
  <c r="Z31" i="5"/>
  <c r="AA31" i="5"/>
  <c r="Z24" i="5"/>
  <c r="AA24" i="5"/>
  <c r="Z33" i="5"/>
  <c r="AA33" i="5"/>
  <c r="Z17" i="5"/>
  <c r="AA17" i="5"/>
  <c r="Z26" i="5"/>
  <c r="AA26" i="5"/>
  <c r="Z48" i="5"/>
  <c r="AA48" i="5"/>
  <c r="Z21" i="5"/>
  <c r="AA21" i="5"/>
  <c r="Z20" i="5"/>
  <c r="AA20" i="5"/>
  <c r="Z42" i="5"/>
  <c r="AA42" i="5"/>
  <c r="Z15" i="5"/>
  <c r="AA15" i="5"/>
  <c r="Z27" i="5"/>
  <c r="AA27" i="5"/>
  <c r="Z44" i="5"/>
  <c r="AA44" i="5"/>
  <c r="Z23" i="5"/>
  <c r="AA23" i="5"/>
  <c r="Z22" i="5"/>
  <c r="AA22" i="5"/>
  <c r="Z50" i="5"/>
  <c r="AA50" i="5"/>
  <c r="Z19" i="5"/>
  <c r="AA19" i="5"/>
  <c r="Z16" i="5"/>
  <c r="AA16" i="5"/>
  <c r="Z18" i="5"/>
  <c r="AA18" i="5"/>
  <c r="Z53" i="5"/>
  <c r="AA53" i="5"/>
  <c r="Z35" i="5"/>
  <c r="AA35" i="5"/>
  <c r="Z29" i="5"/>
  <c r="AA29" i="5"/>
  <c r="Z32" i="5"/>
  <c r="AA32" i="5"/>
  <c r="Z52" i="5"/>
  <c r="AA52" i="5"/>
  <c r="Z56" i="5"/>
  <c r="AA56" i="5"/>
  <c r="Z45" i="5"/>
  <c r="AA45" i="5"/>
  <c r="Z39" i="5"/>
  <c r="AA39" i="5"/>
  <c r="Z34" i="5"/>
  <c r="AA34" i="5"/>
  <c r="Z28" i="5"/>
  <c r="AA28" i="5"/>
  <c r="Z55" i="5"/>
  <c r="AA55" i="5"/>
  <c r="Z46" i="5"/>
  <c r="AA46" i="5"/>
  <c r="Z14" i="5"/>
  <c r="AA14" i="5"/>
  <c r="Z43" i="5"/>
  <c r="AA43" i="5"/>
  <c r="Z25" i="5"/>
  <c r="AA25" i="5"/>
  <c r="Z57" i="5"/>
  <c r="AA57" i="5"/>
  <c r="Z30" i="5"/>
  <c r="AA30" i="5"/>
  <c r="Z40" i="5"/>
  <c r="AA40" i="5"/>
  <c r="Z51" i="5"/>
  <c r="AA51" i="5"/>
  <c r="Z54" i="5"/>
  <c r="AA54" i="5"/>
  <c r="Z38" i="5"/>
  <c r="AA38" i="5"/>
  <c r="Z58" i="5"/>
  <c r="AA58" i="5"/>
  <c r="Z37" i="5"/>
  <c r="AA37" i="5"/>
  <c r="Z41" i="5"/>
  <c r="AA41" i="5"/>
  <c r="Z36" i="5"/>
  <c r="AA36" i="5"/>
  <c r="X55" i="5"/>
  <c r="W55" i="5"/>
  <c r="W59" i="5"/>
  <c r="X59" i="5"/>
  <c r="W22" i="5"/>
  <c r="X22" i="5"/>
  <c r="W50" i="5"/>
  <c r="X50" i="5"/>
  <c r="W19" i="5"/>
  <c r="X19" i="5"/>
  <c r="W49" i="5"/>
  <c r="X49" i="5"/>
  <c r="X31" i="5"/>
  <c r="W31" i="5"/>
  <c r="W24" i="5"/>
  <c r="X24" i="5"/>
  <c r="W33" i="5"/>
  <c r="X33" i="5"/>
  <c r="W17" i="5"/>
  <c r="X17" i="5"/>
  <c r="W26" i="5"/>
  <c r="X26" i="5"/>
  <c r="W48" i="5"/>
  <c r="X48" i="5"/>
  <c r="W21" i="5"/>
  <c r="X21" i="5"/>
  <c r="W20" i="5"/>
  <c r="X20" i="5"/>
  <c r="W42" i="5"/>
  <c r="X42" i="5"/>
  <c r="W15" i="5"/>
  <c r="X15" i="5"/>
  <c r="W27" i="5"/>
  <c r="X27" i="5"/>
  <c r="W44" i="5"/>
  <c r="X44" i="5"/>
  <c r="X47" i="5"/>
  <c r="W47" i="5"/>
  <c r="W46" i="5"/>
  <c r="X46" i="5"/>
  <c r="W16" i="5"/>
  <c r="X16" i="5"/>
  <c r="W18" i="5"/>
  <c r="X18" i="5"/>
  <c r="W53" i="5"/>
  <c r="X53" i="5"/>
  <c r="W35" i="5"/>
  <c r="X35" i="5"/>
  <c r="W29" i="5"/>
  <c r="X29" i="5"/>
  <c r="W32" i="5"/>
  <c r="X32" i="5"/>
  <c r="W52" i="5"/>
  <c r="X52" i="5"/>
  <c r="W56" i="5"/>
  <c r="X56" i="5"/>
  <c r="W45" i="5"/>
  <c r="X45" i="5"/>
  <c r="X39" i="5"/>
  <c r="W39" i="5"/>
  <c r="W34" i="5"/>
  <c r="X34" i="5"/>
  <c r="W28" i="5"/>
  <c r="X28" i="5"/>
  <c r="X23" i="5"/>
  <c r="W23" i="5"/>
  <c r="W14" i="5"/>
  <c r="X14" i="5"/>
  <c r="W43" i="5"/>
  <c r="X43" i="5"/>
  <c r="W25" i="5"/>
  <c r="X25" i="5"/>
  <c r="W57" i="5"/>
  <c r="X57" i="5"/>
  <c r="W30" i="5"/>
  <c r="X30" i="5"/>
  <c r="W40" i="5"/>
  <c r="X40" i="5"/>
  <c r="W51" i="5"/>
  <c r="X51" i="5"/>
  <c r="W54" i="5"/>
  <c r="X54" i="5"/>
  <c r="W38" i="5"/>
  <c r="X38" i="5"/>
  <c r="W58" i="5"/>
  <c r="X58" i="5"/>
  <c r="W37" i="5"/>
  <c r="X37" i="5"/>
  <c r="W41" i="5"/>
  <c r="X41" i="5"/>
  <c r="W36" i="5"/>
  <c r="X36" i="5"/>
  <c r="T23" i="5"/>
  <c r="U23" i="5"/>
  <c r="T59" i="5"/>
  <c r="U59" i="5"/>
  <c r="T49" i="5"/>
  <c r="U49" i="5"/>
  <c r="T31" i="5"/>
  <c r="U31" i="5"/>
  <c r="T33" i="5"/>
  <c r="U33" i="5"/>
  <c r="T17" i="5"/>
  <c r="U17" i="5"/>
  <c r="T26" i="5"/>
  <c r="U26" i="5"/>
  <c r="T48" i="5"/>
  <c r="U48" i="5"/>
  <c r="T21" i="5"/>
  <c r="U21" i="5"/>
  <c r="T20" i="5"/>
  <c r="U20" i="5"/>
  <c r="T42" i="5"/>
  <c r="U42" i="5"/>
  <c r="T27" i="5"/>
  <c r="U27" i="5"/>
  <c r="T22" i="5"/>
  <c r="U22" i="5"/>
  <c r="T24" i="5"/>
  <c r="U24" i="5"/>
  <c r="T16" i="5"/>
  <c r="U16" i="5"/>
  <c r="T18" i="5"/>
  <c r="U18" i="5"/>
  <c r="T53" i="5"/>
  <c r="U53" i="5"/>
  <c r="T35" i="5"/>
  <c r="U35" i="5"/>
  <c r="T29" i="5"/>
  <c r="U29" i="5"/>
  <c r="T32" i="5"/>
  <c r="U32" i="5"/>
  <c r="T52" i="5"/>
  <c r="U52" i="5"/>
  <c r="T56" i="5"/>
  <c r="U56" i="5"/>
  <c r="T45" i="5"/>
  <c r="U45" i="5"/>
  <c r="T39" i="5"/>
  <c r="U39" i="5"/>
  <c r="T34" i="5"/>
  <c r="U34" i="5"/>
  <c r="T28" i="5"/>
  <c r="U28" i="5"/>
  <c r="T15" i="5"/>
  <c r="U15" i="5"/>
  <c r="T44" i="5"/>
  <c r="U44" i="5"/>
  <c r="T55" i="5"/>
  <c r="U55" i="5"/>
  <c r="T47" i="5"/>
  <c r="U47" i="5"/>
  <c r="T46" i="5"/>
  <c r="U46" i="5"/>
  <c r="T50" i="5"/>
  <c r="U50" i="5"/>
  <c r="T19" i="5"/>
  <c r="U19" i="5"/>
  <c r="T14" i="5"/>
  <c r="U14" i="5"/>
  <c r="T43" i="5"/>
  <c r="U43" i="5"/>
  <c r="T25" i="5"/>
  <c r="U25" i="5"/>
  <c r="T57" i="5"/>
  <c r="U57" i="5"/>
  <c r="T30" i="5"/>
  <c r="U30" i="5"/>
  <c r="T40" i="5"/>
  <c r="U40" i="5"/>
  <c r="T51" i="5"/>
  <c r="U51" i="5"/>
  <c r="T54" i="5"/>
  <c r="U54" i="5"/>
  <c r="T38" i="5"/>
  <c r="U38" i="5"/>
  <c r="T58" i="5"/>
  <c r="U58" i="5"/>
  <c r="T37" i="5"/>
  <c r="U37" i="5"/>
  <c r="T41" i="5"/>
  <c r="U41" i="5"/>
  <c r="T36" i="5"/>
  <c r="U36" i="5"/>
  <c r="Q15" i="5"/>
  <c r="R15" i="5"/>
  <c r="Q47" i="5"/>
  <c r="R47" i="5"/>
  <c r="Q22" i="5"/>
  <c r="R22" i="5"/>
  <c r="R49" i="5"/>
  <c r="Q49" i="5"/>
  <c r="Q24" i="5"/>
  <c r="R24" i="5"/>
  <c r="R33" i="5"/>
  <c r="Q33" i="5"/>
  <c r="Q48" i="5"/>
  <c r="R48" i="5"/>
  <c r="Q42" i="5"/>
  <c r="R42" i="5"/>
  <c r="Q18" i="5"/>
  <c r="R18" i="5"/>
  <c r="Q52" i="5"/>
  <c r="R52" i="5"/>
  <c r="Q56" i="5"/>
  <c r="R56" i="5"/>
  <c r="Q45" i="5"/>
  <c r="R45" i="5"/>
  <c r="Q39" i="5"/>
  <c r="R39" i="5"/>
  <c r="Q34" i="5"/>
  <c r="R34" i="5"/>
  <c r="Q28" i="5"/>
  <c r="R28" i="5"/>
  <c r="Q27" i="5"/>
  <c r="R27" i="5"/>
  <c r="Q44" i="5"/>
  <c r="R44" i="5"/>
  <c r="Q23" i="5"/>
  <c r="R23" i="5"/>
  <c r="Q55" i="5"/>
  <c r="R55" i="5"/>
  <c r="Q46" i="5"/>
  <c r="R46" i="5"/>
  <c r="Q59" i="5"/>
  <c r="R59" i="5"/>
  <c r="Q50" i="5"/>
  <c r="R50" i="5"/>
  <c r="Q19" i="5"/>
  <c r="R19" i="5"/>
  <c r="Q31" i="5"/>
  <c r="R31" i="5"/>
  <c r="Q17" i="5"/>
  <c r="R17" i="5"/>
  <c r="Q26" i="5"/>
  <c r="R26" i="5"/>
  <c r="R21" i="5"/>
  <c r="Q21" i="5"/>
  <c r="Q20" i="5"/>
  <c r="R20" i="5"/>
  <c r="Q16" i="5"/>
  <c r="R16" i="5"/>
  <c r="R53" i="5"/>
  <c r="Q53" i="5"/>
  <c r="Q35" i="5"/>
  <c r="R35" i="5"/>
  <c r="Q29" i="5"/>
  <c r="R29" i="5"/>
  <c r="Q32" i="5"/>
  <c r="R32" i="5"/>
  <c r="Q14" i="5"/>
  <c r="R14" i="5"/>
  <c r="Q43" i="5"/>
  <c r="R43" i="5"/>
  <c r="R25" i="5"/>
  <c r="Q25" i="5"/>
  <c r="Q57" i="5"/>
  <c r="R57" i="5"/>
  <c r="Q30" i="5"/>
  <c r="R30" i="5"/>
  <c r="Q40" i="5"/>
  <c r="R40" i="5"/>
  <c r="Q51" i="5"/>
  <c r="R51" i="5"/>
  <c r="Q54" i="5"/>
  <c r="R54" i="5"/>
  <c r="Q38" i="5"/>
  <c r="R38" i="5"/>
  <c r="Q58" i="5"/>
  <c r="R58" i="5"/>
  <c r="R37" i="5"/>
  <c r="Q37" i="5"/>
  <c r="R41" i="5"/>
  <c r="Q41" i="5"/>
  <c r="Q36" i="5"/>
  <c r="R36" i="5"/>
  <c r="N27" i="5"/>
  <c r="O27" i="5"/>
  <c r="N44" i="5"/>
  <c r="O44" i="5"/>
  <c r="N23" i="5"/>
  <c r="O23" i="5"/>
  <c r="N55" i="5"/>
  <c r="O55" i="5"/>
  <c r="N47" i="5"/>
  <c r="O47" i="5"/>
  <c r="N46" i="5"/>
  <c r="O46" i="5"/>
  <c r="N59" i="5"/>
  <c r="O59" i="5"/>
  <c r="N22" i="5"/>
  <c r="O22" i="5"/>
  <c r="N50" i="5"/>
  <c r="O50" i="5"/>
  <c r="N19" i="5"/>
  <c r="O19" i="5"/>
  <c r="N49" i="5"/>
  <c r="O49" i="5"/>
  <c r="N31" i="5"/>
  <c r="O31" i="5"/>
  <c r="N24" i="5"/>
  <c r="O24" i="5"/>
  <c r="N33" i="5"/>
  <c r="O33" i="5"/>
  <c r="N15" i="5"/>
  <c r="O15" i="5"/>
  <c r="N17" i="5"/>
  <c r="O17" i="5"/>
  <c r="N26" i="5"/>
  <c r="O26" i="5"/>
  <c r="N48" i="5"/>
  <c r="O48" i="5"/>
  <c r="N21" i="5"/>
  <c r="O21" i="5"/>
  <c r="N20" i="5"/>
  <c r="O20" i="5"/>
  <c r="N42" i="5"/>
  <c r="O42" i="5"/>
  <c r="N16" i="5"/>
  <c r="O16" i="5"/>
  <c r="N18" i="5"/>
  <c r="O18" i="5"/>
  <c r="N53" i="5"/>
  <c r="O53" i="5"/>
  <c r="N35" i="5"/>
  <c r="O35" i="5"/>
  <c r="N29" i="5"/>
  <c r="O29" i="5"/>
  <c r="N32" i="5"/>
  <c r="O32" i="5"/>
  <c r="N52" i="5"/>
  <c r="O52" i="5"/>
  <c r="N56" i="5"/>
  <c r="O56" i="5"/>
  <c r="N45" i="5"/>
  <c r="O45" i="5"/>
  <c r="N39" i="5"/>
  <c r="O39" i="5"/>
  <c r="N34" i="5"/>
  <c r="O34" i="5"/>
  <c r="N28" i="5"/>
  <c r="O28" i="5"/>
  <c r="N14" i="5"/>
  <c r="O14" i="5"/>
  <c r="N43" i="5"/>
  <c r="O43" i="5"/>
  <c r="N25" i="5"/>
  <c r="O25" i="5"/>
  <c r="N57" i="5"/>
  <c r="O57" i="5"/>
  <c r="N30" i="5"/>
  <c r="O30" i="5"/>
  <c r="N40" i="5"/>
  <c r="O40" i="5"/>
  <c r="N51" i="5"/>
  <c r="O51" i="5"/>
  <c r="N54" i="5"/>
  <c r="O54" i="5"/>
  <c r="N38" i="5"/>
  <c r="O38" i="5"/>
  <c r="N58" i="5"/>
  <c r="O58" i="5"/>
  <c r="N37" i="5"/>
  <c r="O37" i="5"/>
  <c r="N41" i="5"/>
  <c r="O41" i="5"/>
  <c r="N36" i="5"/>
  <c r="O36" i="5"/>
  <c r="K18" i="5"/>
  <c r="L18" i="5"/>
  <c r="K27" i="5"/>
  <c r="L27" i="5"/>
  <c r="K44" i="5"/>
  <c r="L44" i="5"/>
  <c r="K23" i="5"/>
  <c r="L23" i="5"/>
  <c r="K55" i="5"/>
  <c r="L55" i="5"/>
  <c r="K47" i="5"/>
  <c r="L47" i="5"/>
  <c r="K46" i="5"/>
  <c r="L46" i="5"/>
  <c r="K59" i="5"/>
  <c r="L59" i="5"/>
  <c r="K22" i="5"/>
  <c r="L22" i="5"/>
  <c r="K50" i="5"/>
  <c r="L50" i="5"/>
  <c r="K19" i="5"/>
  <c r="L19" i="5"/>
  <c r="L49" i="5"/>
  <c r="K49" i="5"/>
  <c r="K31" i="5"/>
  <c r="L31" i="5"/>
  <c r="K24" i="5"/>
  <c r="L24" i="5"/>
  <c r="K33" i="5"/>
  <c r="L33" i="5"/>
  <c r="K14" i="5"/>
  <c r="L14" i="5"/>
  <c r="K15" i="5"/>
  <c r="L15" i="5"/>
  <c r="K17" i="5"/>
  <c r="L17" i="5"/>
  <c r="K26" i="5"/>
  <c r="L26" i="5"/>
  <c r="K48" i="5"/>
  <c r="L48" i="5"/>
  <c r="L21" i="5"/>
  <c r="K21" i="5"/>
  <c r="K20" i="5"/>
  <c r="L20" i="5"/>
  <c r="K42" i="5"/>
  <c r="L42" i="5"/>
  <c r="K16" i="5"/>
  <c r="L16" i="5"/>
  <c r="K53" i="5"/>
  <c r="L53" i="5"/>
  <c r="K35" i="5"/>
  <c r="L35" i="5"/>
  <c r="L29" i="5"/>
  <c r="K29" i="5"/>
  <c r="K32" i="5"/>
  <c r="L32" i="5"/>
  <c r="K52" i="5"/>
  <c r="L52" i="5"/>
  <c r="K56" i="5"/>
  <c r="L56" i="5"/>
  <c r="L45" i="5"/>
  <c r="K45" i="5"/>
  <c r="K39" i="5"/>
  <c r="L39" i="5"/>
  <c r="K34" i="5"/>
  <c r="L34" i="5"/>
  <c r="K28" i="5"/>
  <c r="L28" i="5"/>
  <c r="K43" i="5"/>
  <c r="L43" i="5"/>
  <c r="L25" i="5"/>
  <c r="K25" i="5"/>
  <c r="L57" i="5"/>
  <c r="K57" i="5"/>
  <c r="K30" i="5"/>
  <c r="L30" i="5"/>
  <c r="K40" i="5"/>
  <c r="L40" i="5"/>
  <c r="K51" i="5"/>
  <c r="L51" i="5"/>
  <c r="K54" i="5"/>
  <c r="L54" i="5"/>
  <c r="K38" i="5"/>
  <c r="L38" i="5"/>
  <c r="K58" i="5"/>
  <c r="L58" i="5"/>
  <c r="L37" i="5"/>
  <c r="K37" i="5"/>
  <c r="L41" i="5"/>
  <c r="K41" i="5"/>
  <c r="K36" i="5"/>
  <c r="L36" i="5"/>
  <c r="H27" i="5"/>
  <c r="I27" i="5"/>
  <c r="H44" i="5"/>
  <c r="I44" i="5"/>
  <c r="H47" i="5"/>
  <c r="I47" i="5"/>
  <c r="H46" i="5"/>
  <c r="I46" i="5"/>
  <c r="H24" i="5"/>
  <c r="I24" i="5"/>
  <c r="H33" i="5"/>
  <c r="I33" i="5"/>
  <c r="H55" i="5"/>
  <c r="I55" i="5"/>
  <c r="H26" i="5"/>
  <c r="I26" i="5"/>
  <c r="H48" i="5"/>
  <c r="I48" i="5"/>
  <c r="H21" i="5"/>
  <c r="I21" i="5"/>
  <c r="H20" i="5"/>
  <c r="I20" i="5"/>
  <c r="H42" i="5"/>
  <c r="I42" i="5"/>
  <c r="H16" i="5"/>
  <c r="I16" i="5"/>
  <c r="H18" i="5"/>
  <c r="I18" i="5"/>
  <c r="H53" i="5"/>
  <c r="I53" i="5"/>
  <c r="H35" i="5"/>
  <c r="I35" i="5"/>
  <c r="H29" i="5"/>
  <c r="I29" i="5"/>
  <c r="H32" i="5"/>
  <c r="I32" i="5"/>
  <c r="H52" i="5"/>
  <c r="I52" i="5"/>
  <c r="H56" i="5"/>
  <c r="I56" i="5"/>
  <c r="H45" i="5"/>
  <c r="I45" i="5"/>
  <c r="H39" i="5"/>
  <c r="I39" i="5"/>
  <c r="H34" i="5"/>
  <c r="I34" i="5"/>
  <c r="H28" i="5"/>
  <c r="I28" i="5"/>
  <c r="H23" i="5"/>
  <c r="I23" i="5"/>
  <c r="H59" i="5"/>
  <c r="I59" i="5"/>
  <c r="H22" i="5"/>
  <c r="I22" i="5"/>
  <c r="H50" i="5"/>
  <c r="I50" i="5"/>
  <c r="H19" i="5"/>
  <c r="I19" i="5"/>
  <c r="H49" i="5"/>
  <c r="I49" i="5"/>
  <c r="H31" i="5"/>
  <c r="I31" i="5"/>
  <c r="H17" i="5"/>
  <c r="I17" i="5"/>
  <c r="H43" i="5"/>
  <c r="I43" i="5"/>
  <c r="H25" i="5"/>
  <c r="I25" i="5"/>
  <c r="H57" i="5"/>
  <c r="I57" i="5"/>
  <c r="H30" i="5"/>
  <c r="I30" i="5"/>
  <c r="H40" i="5"/>
  <c r="I40" i="5"/>
  <c r="H51" i="5"/>
  <c r="I51" i="5"/>
  <c r="H54" i="5"/>
  <c r="I54" i="5"/>
  <c r="H38" i="5"/>
  <c r="I38" i="5"/>
  <c r="H58" i="5"/>
  <c r="I58" i="5"/>
  <c r="H37" i="5"/>
  <c r="I37" i="5"/>
  <c r="H41" i="5"/>
  <c r="I41" i="5"/>
  <c r="H36" i="5"/>
  <c r="I36" i="5"/>
  <c r="H15" i="5"/>
  <c r="I15" i="5"/>
  <c r="H14" i="5"/>
  <c r="I14" i="5"/>
  <c r="AE20" i="5"/>
  <c r="AE42" i="5"/>
  <c r="AE43" i="5"/>
  <c r="AE25" i="5"/>
  <c r="AE57" i="5"/>
  <c r="AE30" i="5"/>
  <c r="AE40" i="5"/>
  <c r="AE51" i="5"/>
  <c r="AE15" i="5"/>
  <c r="AE27" i="5"/>
  <c r="AE44" i="5"/>
  <c r="AE23" i="5"/>
  <c r="AE55" i="5"/>
  <c r="AE47" i="5"/>
  <c r="AE46" i="5"/>
  <c r="AE59" i="5"/>
  <c r="AE22" i="5"/>
  <c r="AE50" i="5"/>
  <c r="AE19" i="5"/>
  <c r="AE49" i="5"/>
  <c r="AE31" i="5"/>
  <c r="AE24" i="5"/>
  <c r="AE33" i="5"/>
  <c r="AE16" i="5"/>
  <c r="AE18" i="5"/>
  <c r="AE53" i="5"/>
  <c r="AE35" i="5"/>
  <c r="AE29" i="5"/>
  <c r="AE32" i="5"/>
  <c r="AE52" i="5"/>
  <c r="AE56" i="5"/>
  <c r="AE45" i="5"/>
  <c r="AE39" i="5"/>
  <c r="AE34" i="5"/>
  <c r="AE28" i="5"/>
  <c r="AE17" i="5"/>
  <c r="AE26" i="5"/>
  <c r="AE48" i="5"/>
  <c r="AE21" i="5"/>
  <c r="AE14" i="5"/>
  <c r="AE54" i="5"/>
  <c r="AE38" i="5"/>
  <c r="AE58" i="5"/>
  <c r="AE37" i="5"/>
  <c r="AE41" i="5"/>
  <c r="AE36" i="5"/>
  <c r="J115" i="10"/>
  <c r="J126" i="10"/>
  <c r="J135" i="10"/>
  <c r="J114" i="10"/>
  <c r="J177" i="10"/>
  <c r="J103" i="10"/>
  <c r="J82" i="10"/>
  <c r="J137" i="10"/>
  <c r="J175" i="10"/>
  <c r="J78" i="10"/>
  <c r="J118" i="10"/>
  <c r="J122" i="10"/>
  <c r="J172" i="10"/>
  <c r="J65" i="10"/>
  <c r="J124" i="10"/>
  <c r="J93" i="10"/>
  <c r="J170" i="10"/>
  <c r="J121" i="10"/>
  <c r="J201" i="10"/>
  <c r="J189" i="10"/>
  <c r="J133" i="10"/>
  <c r="J104" i="10"/>
  <c r="J197" i="10"/>
  <c r="J168" i="10"/>
  <c r="J71" i="10"/>
  <c r="J113" i="10"/>
  <c r="J188" i="10"/>
  <c r="J79" i="10"/>
  <c r="J99" i="10"/>
  <c r="J125" i="10"/>
  <c r="J195" i="10"/>
  <c r="J152" i="10"/>
  <c r="J144" i="10"/>
  <c r="J87" i="10"/>
  <c r="J134" i="10"/>
  <c r="J160" i="10"/>
  <c r="J110" i="10"/>
  <c r="J89" i="10"/>
  <c r="J131" i="10"/>
  <c r="J112" i="10"/>
  <c r="J66" i="10"/>
  <c r="J107" i="10"/>
  <c r="J130" i="10"/>
  <c r="J69" i="10"/>
  <c r="J156" i="10"/>
  <c r="J132" i="10"/>
  <c r="J141" i="10"/>
  <c r="J192" i="10"/>
  <c r="J116" i="10"/>
  <c r="J73" i="10"/>
  <c r="J127" i="10"/>
  <c r="J61" i="10"/>
  <c r="J95" i="10"/>
  <c r="J158" i="10"/>
  <c r="J75" i="10"/>
  <c r="J147" i="10"/>
  <c r="J171" i="10"/>
  <c r="J100" i="10"/>
  <c r="J111" i="10"/>
  <c r="J109" i="10"/>
  <c r="J74" i="10"/>
  <c r="J199" i="10"/>
  <c r="J202" i="10"/>
  <c r="J174" i="10"/>
  <c r="J154" i="10"/>
  <c r="J60" i="10"/>
  <c r="J139" i="10"/>
  <c r="J164" i="10"/>
  <c r="J166" i="10"/>
  <c r="J198" i="10"/>
  <c r="J136" i="10"/>
  <c r="J68" i="10"/>
  <c r="J59" i="10"/>
  <c r="J62" i="10"/>
  <c r="J91" i="10"/>
  <c r="J162" i="10"/>
  <c r="J148" i="10"/>
  <c r="J143" i="10"/>
  <c r="J70" i="10"/>
  <c r="J185" i="10"/>
  <c r="J83" i="10"/>
  <c r="J102" i="10"/>
  <c r="J165" i="10"/>
  <c r="J77" i="10"/>
  <c r="J184" i="10"/>
  <c r="J151" i="10"/>
  <c r="J161" i="10"/>
  <c r="J163" i="10"/>
  <c r="J88" i="10"/>
  <c r="J105" i="10"/>
  <c r="J63" i="10"/>
  <c r="J92" i="10"/>
  <c r="J129" i="10"/>
  <c r="J191" i="10"/>
  <c r="J84" i="10"/>
  <c r="J138" i="10"/>
  <c r="J159" i="10"/>
  <c r="J94" i="10"/>
  <c r="J180" i="10"/>
  <c r="J140" i="10"/>
  <c r="J145" i="10"/>
  <c r="J85" i="10"/>
  <c r="J146" i="10"/>
  <c r="J157" i="10"/>
  <c r="J98" i="10"/>
  <c r="J176" i="10"/>
  <c r="J120" i="10"/>
  <c r="J183" i="10"/>
  <c r="J178" i="10"/>
  <c r="J186" i="10"/>
  <c r="J80" i="10"/>
  <c r="J96" i="10"/>
  <c r="J193" i="10"/>
  <c r="J196" i="10"/>
  <c r="J106" i="10"/>
  <c r="J101" i="10"/>
  <c r="J142" i="10"/>
  <c r="J200" i="10"/>
  <c r="J81" i="10"/>
  <c r="J149" i="10"/>
  <c r="J128" i="10"/>
  <c r="J173" i="10"/>
  <c r="J167" i="10"/>
  <c r="J119" i="10"/>
  <c r="J169" i="10"/>
  <c r="J67" i="10"/>
  <c r="J190" i="10"/>
  <c r="J150" i="10"/>
  <c r="J187" i="10"/>
  <c r="J64" i="10"/>
  <c r="J72" i="10"/>
  <c r="J86" i="10"/>
  <c r="J97" i="10"/>
  <c r="J90" i="10"/>
  <c r="J155" i="10"/>
  <c r="J179" i="10"/>
  <c r="J194" i="10"/>
  <c r="J182" i="10"/>
  <c r="J153" i="10"/>
  <c r="J123" i="10"/>
  <c r="J76" i="10"/>
  <c r="J108" i="10"/>
  <c r="J117" i="10"/>
  <c r="J181" i="10"/>
  <c r="J2" i="11"/>
  <c r="N16" i="9"/>
  <c r="H16" i="9" s="1"/>
  <c r="J16" i="9"/>
  <c r="K16" i="9" s="1"/>
  <c r="L16" i="9" s="1"/>
  <c r="M16" i="9" s="1"/>
  <c r="I17" i="9"/>
  <c r="G18" i="9"/>
  <c r="A18" i="9" s="1"/>
  <c r="C18" i="9"/>
  <c r="D18" i="9" s="1"/>
  <c r="E18" i="9" s="1"/>
  <c r="F18" i="9" s="1"/>
  <c r="P16" i="9"/>
  <c r="U15" i="9"/>
  <c r="O15" i="9" s="1"/>
  <c r="Q15" i="9"/>
  <c r="R15" i="9" s="1"/>
  <c r="S15" i="9" s="1"/>
  <c r="T15" i="9" s="1"/>
  <c r="W16" i="9"/>
  <c r="X15" i="9"/>
  <c r="Y15" i="9" s="1"/>
  <c r="Z15" i="9" s="1"/>
  <c r="AA15" i="9" s="1"/>
  <c r="AB15" i="9"/>
  <c r="V15" i="9" s="1"/>
  <c r="AA13" i="5"/>
  <c r="AF13" i="5"/>
  <c r="AE13" i="5"/>
  <c r="X13" i="5"/>
  <c r="AG13" i="5"/>
  <c r="U13" i="5"/>
  <c r="AD13" i="5"/>
  <c r="R13" i="5"/>
  <c r="I13" i="5"/>
  <c r="O13" i="5"/>
  <c r="L13" i="5"/>
  <c r="H13" i="5"/>
  <c r="K1" i="11" l="1"/>
  <c r="W17" i="9"/>
  <c r="X16" i="9"/>
  <c r="Y16" i="9" s="1"/>
  <c r="Z16" i="9" s="1"/>
  <c r="AA16" i="9" s="1"/>
  <c r="AB16" i="9"/>
  <c r="V16" i="9" s="1"/>
  <c r="N17" i="9"/>
  <c r="H17" i="9" s="1"/>
  <c r="J17" i="9"/>
  <c r="K17" i="9" s="1"/>
  <c r="L17" i="9" s="1"/>
  <c r="M17" i="9" s="1"/>
  <c r="I18" i="9"/>
  <c r="P17" i="9"/>
  <c r="U16" i="9"/>
  <c r="O16" i="9" s="1"/>
  <c r="Q16" i="9"/>
  <c r="R16" i="9" s="1"/>
  <c r="S16" i="9" s="1"/>
  <c r="T16" i="9" s="1"/>
  <c r="L12" i="11" l="1"/>
  <c r="L14" i="11"/>
  <c r="L16" i="11"/>
  <c r="L18" i="11"/>
  <c r="L20" i="11"/>
  <c r="L22" i="11"/>
  <c r="L24" i="11"/>
  <c r="L26" i="11"/>
  <c r="L28" i="11"/>
  <c r="L30" i="11"/>
  <c r="L32" i="11"/>
  <c r="L34" i="11"/>
  <c r="L36" i="11"/>
  <c r="L38" i="11"/>
  <c r="L40" i="11"/>
  <c r="L42" i="11"/>
  <c r="L44" i="11"/>
  <c r="L46" i="11"/>
  <c r="L48" i="11"/>
  <c r="L50" i="11"/>
  <c r="L52" i="11"/>
  <c r="L19" i="11"/>
  <c r="L27" i="11"/>
  <c r="L35" i="11"/>
  <c r="L43" i="11"/>
  <c r="L21" i="11"/>
  <c r="L29" i="11"/>
  <c r="L37" i="11"/>
  <c r="L45" i="11"/>
  <c r="L13" i="11"/>
  <c r="L15" i="11"/>
  <c r="L23" i="11"/>
  <c r="L31" i="11"/>
  <c r="L39" i="11"/>
  <c r="L47" i="11"/>
  <c r="L51" i="11"/>
  <c r="L55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80" i="11"/>
  <c r="L82" i="11"/>
  <c r="L84" i="11"/>
  <c r="L86" i="11"/>
  <c r="L88" i="11"/>
  <c r="L90" i="11"/>
  <c r="L92" i="11"/>
  <c r="L94" i="11"/>
  <c r="L96" i="11"/>
  <c r="L98" i="11"/>
  <c r="L100" i="11"/>
  <c r="L102" i="11"/>
  <c r="L104" i="11"/>
  <c r="L106" i="11"/>
  <c r="L108" i="11"/>
  <c r="L110" i="11"/>
  <c r="L112" i="11"/>
  <c r="L114" i="11"/>
  <c r="L49" i="11"/>
  <c r="L53" i="11"/>
  <c r="L54" i="11"/>
  <c r="L56" i="11"/>
  <c r="L41" i="11"/>
  <c r="L101" i="11"/>
  <c r="L103" i="11"/>
  <c r="L111" i="11"/>
  <c r="L17" i="11"/>
  <c r="L25" i="11"/>
  <c r="L97" i="11"/>
  <c r="L107" i="11"/>
  <c r="L81" i="11"/>
  <c r="L89" i="11"/>
  <c r="L105" i="11"/>
  <c r="L113" i="11"/>
  <c r="L33" i="11"/>
  <c r="L79" i="11"/>
  <c r="L87" i="11"/>
  <c r="L95" i="11"/>
  <c r="L115" i="11"/>
  <c r="L117" i="11"/>
  <c r="L119" i="11"/>
  <c r="L121" i="11"/>
  <c r="L123" i="11"/>
  <c r="L125" i="11"/>
  <c r="L127" i="11"/>
  <c r="L129" i="11"/>
  <c r="L131" i="11"/>
  <c r="L133" i="11"/>
  <c r="L135" i="11"/>
  <c r="L137" i="11"/>
  <c r="L139" i="11"/>
  <c r="L141" i="11"/>
  <c r="L143" i="11"/>
  <c r="L145" i="11"/>
  <c r="L147" i="11"/>
  <c r="L149" i="11"/>
  <c r="L151" i="11"/>
  <c r="L153" i="11"/>
  <c r="L155" i="11"/>
  <c r="L157" i="11"/>
  <c r="L159" i="11"/>
  <c r="L182" i="11"/>
  <c r="L184" i="11"/>
  <c r="L186" i="11"/>
  <c r="L188" i="11"/>
  <c r="L190" i="11"/>
  <c r="L192" i="11"/>
  <c r="L194" i="11"/>
  <c r="L196" i="11"/>
  <c r="L198" i="11"/>
  <c r="L200" i="11"/>
  <c r="L202" i="11"/>
  <c r="L85" i="11"/>
  <c r="L93" i="11"/>
  <c r="L109" i="11"/>
  <c r="L122" i="11"/>
  <c r="L130" i="11"/>
  <c r="L138" i="11"/>
  <c r="L146" i="11"/>
  <c r="L154" i="11"/>
  <c r="L167" i="11"/>
  <c r="L168" i="11"/>
  <c r="L175" i="11"/>
  <c r="L176" i="11"/>
  <c r="L91" i="11"/>
  <c r="L99" i="11"/>
  <c r="L120" i="11"/>
  <c r="L128" i="11"/>
  <c r="L136" i="11"/>
  <c r="L144" i="11"/>
  <c r="L152" i="11"/>
  <c r="L160" i="11"/>
  <c r="L161" i="11"/>
  <c r="L162" i="11"/>
  <c r="L169" i="11"/>
  <c r="L170" i="11"/>
  <c r="L177" i="11"/>
  <c r="L178" i="11"/>
  <c r="L124" i="11"/>
  <c r="L165" i="11"/>
  <c r="L166" i="11"/>
  <c r="L173" i="11"/>
  <c r="L183" i="11"/>
  <c r="L187" i="11"/>
  <c r="L191" i="11"/>
  <c r="L195" i="11"/>
  <c r="L197" i="11"/>
  <c r="L201" i="11"/>
  <c r="L83" i="11"/>
  <c r="L118" i="11"/>
  <c r="L126" i="11"/>
  <c r="L134" i="11"/>
  <c r="L142" i="11"/>
  <c r="L150" i="11"/>
  <c r="L158" i="11"/>
  <c r="L163" i="11"/>
  <c r="L164" i="11"/>
  <c r="L171" i="11"/>
  <c r="L172" i="11"/>
  <c r="L179" i="11"/>
  <c r="L180" i="11"/>
  <c r="L116" i="11"/>
  <c r="L132" i="11"/>
  <c r="L140" i="11"/>
  <c r="L148" i="11"/>
  <c r="L156" i="11"/>
  <c r="L174" i="11"/>
  <c r="L181" i="11"/>
  <c r="L185" i="11"/>
  <c r="L189" i="11"/>
  <c r="L193" i="11"/>
  <c r="L199" i="11"/>
  <c r="L4" i="11"/>
  <c r="L8" i="11"/>
  <c r="L3" i="11"/>
  <c r="L5" i="11"/>
  <c r="L7" i="11"/>
  <c r="L9" i="11"/>
  <c r="L11" i="11"/>
  <c r="L10" i="11"/>
  <c r="L6" i="11"/>
  <c r="L2" i="11"/>
  <c r="P18" i="9"/>
  <c r="U17" i="9"/>
  <c r="O17" i="9" s="1"/>
  <c r="Q17" i="9"/>
  <c r="R17" i="9" s="1"/>
  <c r="S17" i="9" s="1"/>
  <c r="T17" i="9" s="1"/>
  <c r="N18" i="9"/>
  <c r="H18" i="9" s="1"/>
  <c r="J18" i="9"/>
  <c r="K18" i="9" s="1"/>
  <c r="L18" i="9" s="1"/>
  <c r="M18" i="9" s="1"/>
  <c r="W18" i="9"/>
  <c r="X17" i="9"/>
  <c r="Y17" i="9" s="1"/>
  <c r="Z17" i="9" s="1"/>
  <c r="AA17" i="9" s="1"/>
  <c r="AB17" i="9"/>
  <c r="V17" i="9" s="1"/>
  <c r="M30" i="5"/>
  <c r="G39" i="5"/>
  <c r="Y25" i="5"/>
  <c r="V49" i="5"/>
  <c r="S24" i="5"/>
  <c r="M56" i="5"/>
  <c r="AB26" i="5"/>
  <c r="P19" i="5"/>
  <c r="M29" i="5"/>
  <c r="Y48" i="5"/>
  <c r="P22" i="5"/>
  <c r="J39" i="5"/>
  <c r="V43" i="5"/>
  <c r="S34" i="5"/>
  <c r="V38" i="5"/>
  <c r="AB51" i="5"/>
  <c r="J23" i="5"/>
  <c r="M54" i="5"/>
  <c r="Y35" i="5"/>
  <c r="P47" i="5"/>
  <c r="M26" i="5"/>
  <c r="V21" i="5"/>
  <c r="V36" i="5"/>
  <c r="AB38" i="5"/>
  <c r="P26" i="5"/>
  <c r="AB54" i="5"/>
  <c r="P29" i="5"/>
  <c r="G29" i="5"/>
  <c r="J24" i="5"/>
  <c r="G53" i="5"/>
  <c r="AB27" i="5"/>
  <c r="J44" i="5"/>
  <c r="J54" i="5"/>
  <c r="J22" i="5"/>
  <c r="S32" i="5"/>
  <c r="P39" i="5"/>
  <c r="S51" i="5"/>
  <c r="V57" i="5"/>
  <c r="AB31" i="5"/>
  <c r="V54" i="5"/>
  <c r="V42" i="5"/>
  <c r="Y52" i="5"/>
  <c r="M28" i="5"/>
  <c r="J28" i="5"/>
  <c r="J56" i="5"/>
  <c r="G43" i="5"/>
  <c r="S45" i="5"/>
  <c r="S43" i="5"/>
  <c r="G58" i="5"/>
  <c r="J27" i="5"/>
  <c r="AB25" i="5"/>
  <c r="G55" i="5"/>
  <c r="V53" i="5"/>
  <c r="G40" i="5"/>
  <c r="V30" i="5"/>
  <c r="AB30" i="5"/>
  <c r="Y39" i="5"/>
  <c r="Y43" i="5"/>
  <c r="J52" i="5"/>
  <c r="AB59" i="5"/>
  <c r="V59" i="5"/>
  <c r="P23" i="5"/>
  <c r="P48" i="5"/>
  <c r="G50" i="5"/>
  <c r="S57" i="5"/>
  <c r="J34" i="5"/>
  <c r="S26" i="5"/>
  <c r="V40" i="5"/>
  <c r="M27" i="5"/>
  <c r="V41" i="5"/>
  <c r="Y33" i="5"/>
  <c r="M47" i="5"/>
  <c r="Y21" i="5"/>
  <c r="J57" i="5"/>
  <c r="G23" i="5"/>
  <c r="P25" i="5"/>
  <c r="M53" i="5"/>
  <c r="G41" i="5"/>
  <c r="AB52" i="5"/>
  <c r="S40" i="5"/>
  <c r="J32" i="5"/>
  <c r="Y56" i="5"/>
  <c r="V46" i="5"/>
  <c r="P24" i="5"/>
  <c r="M46" i="5"/>
  <c r="AB42" i="5"/>
  <c r="P58" i="5"/>
  <c r="P57" i="5"/>
  <c r="Y30" i="5"/>
  <c r="S39" i="5"/>
  <c r="Y34" i="5"/>
  <c r="J21" i="5"/>
  <c r="S31" i="5"/>
  <c r="S55" i="5"/>
  <c r="Y38" i="5"/>
  <c r="V23" i="5"/>
  <c r="V22" i="5"/>
  <c r="J40" i="5"/>
  <c r="AB44" i="5"/>
  <c r="V25" i="5"/>
  <c r="S46" i="5"/>
  <c r="P51" i="5"/>
  <c r="AB32" i="5"/>
  <c r="AB55" i="5"/>
  <c r="V48" i="5"/>
  <c r="J20" i="5"/>
  <c r="G30" i="5"/>
  <c r="Y53" i="5"/>
  <c r="M19" i="5"/>
  <c r="AB39" i="5"/>
  <c r="V35" i="5"/>
  <c r="S21" i="5"/>
  <c r="J48" i="5"/>
  <c r="S59" i="5"/>
  <c r="J30" i="5"/>
  <c r="M22" i="5"/>
  <c r="J31" i="5"/>
  <c r="P30" i="5"/>
  <c r="G54" i="5"/>
  <c r="M35" i="5"/>
  <c r="G33" i="5"/>
  <c r="J53" i="5"/>
  <c r="G38" i="5"/>
  <c r="M45" i="5"/>
  <c r="S36" i="5"/>
  <c r="Y29" i="5"/>
  <c r="S49" i="5"/>
  <c r="P35" i="5"/>
  <c r="Y55" i="5"/>
  <c r="Y26" i="5"/>
  <c r="P40" i="5"/>
  <c r="P43" i="5"/>
  <c r="G32" i="5"/>
  <c r="V33" i="5"/>
  <c r="AB49" i="5"/>
  <c r="S28" i="5"/>
  <c r="P50" i="5"/>
  <c r="V19" i="5"/>
  <c r="G24" i="5"/>
  <c r="J26" i="5"/>
  <c r="P55" i="5"/>
  <c r="V55" i="5"/>
  <c r="S44" i="5"/>
  <c r="G31" i="5"/>
  <c r="J38" i="5"/>
  <c r="M40" i="5"/>
  <c r="S38" i="5"/>
  <c r="AB29" i="5"/>
  <c r="M44" i="5"/>
  <c r="P31" i="5"/>
  <c r="S50" i="5"/>
  <c r="J41" i="5"/>
  <c r="Y27" i="5"/>
  <c r="M20" i="5"/>
  <c r="G57" i="5"/>
  <c r="P34" i="5"/>
  <c r="M39" i="5"/>
  <c r="AB34" i="5"/>
  <c r="AB37" i="5"/>
  <c r="G48" i="5"/>
  <c r="P20" i="5"/>
  <c r="S54" i="5"/>
  <c r="V47" i="5"/>
  <c r="Y20" i="5"/>
  <c r="P46" i="5"/>
  <c r="G46" i="5"/>
  <c r="G22" i="5"/>
  <c r="V31" i="5"/>
  <c r="AB24" i="5"/>
  <c r="Y32" i="5"/>
  <c r="AB21" i="5"/>
  <c r="AB33" i="5"/>
  <c r="V26" i="5"/>
  <c r="J51" i="5"/>
  <c r="M37" i="5"/>
  <c r="M59" i="5"/>
  <c r="AB23" i="5"/>
  <c r="V24" i="5"/>
  <c r="M36" i="5"/>
  <c r="Y57" i="5"/>
  <c r="J46" i="5"/>
  <c r="P33" i="5"/>
  <c r="S33" i="5"/>
  <c r="P49" i="5"/>
  <c r="V44" i="5"/>
  <c r="S37" i="5"/>
  <c r="M43" i="5"/>
  <c r="P59" i="5"/>
  <c r="AB43" i="5"/>
  <c r="G34" i="5"/>
  <c r="P45" i="5"/>
  <c r="S23" i="5"/>
  <c r="G21" i="5"/>
  <c r="J43" i="5"/>
  <c r="Y45" i="5"/>
  <c r="Y54" i="5"/>
  <c r="Y40" i="5"/>
  <c r="AB40" i="5"/>
  <c r="S25" i="5"/>
  <c r="Y28" i="5"/>
  <c r="J42" i="5"/>
  <c r="P36" i="5"/>
  <c r="M55" i="5"/>
  <c r="V45" i="5"/>
  <c r="G51" i="5"/>
  <c r="S29" i="5"/>
  <c r="V34" i="5"/>
  <c r="AB53" i="5"/>
  <c r="AB20" i="5"/>
  <c r="G45" i="5"/>
  <c r="P32" i="5"/>
  <c r="G27" i="5"/>
  <c r="G25" i="5"/>
  <c r="S27" i="5"/>
  <c r="J58" i="5"/>
  <c r="Y59" i="5"/>
  <c r="G36" i="5"/>
  <c r="M23" i="5"/>
  <c r="Y44" i="5"/>
  <c r="S53" i="5"/>
  <c r="AB28" i="5"/>
  <c r="J19" i="5"/>
  <c r="AB35" i="5"/>
  <c r="M38" i="5"/>
  <c r="S42" i="5"/>
  <c r="M58" i="5"/>
  <c r="J45" i="5"/>
  <c r="G35" i="5"/>
  <c r="AB36" i="5"/>
  <c r="G42" i="5"/>
  <c r="J37" i="5"/>
  <c r="Y51" i="5"/>
  <c r="J47" i="5"/>
  <c r="Y19" i="5"/>
  <c r="J29" i="5"/>
  <c r="AB50" i="5"/>
  <c r="Y49" i="5"/>
  <c r="J49" i="5"/>
  <c r="M52" i="5"/>
  <c r="P37" i="5"/>
  <c r="M57" i="5"/>
  <c r="S22" i="5"/>
  <c r="Y31" i="5"/>
  <c r="P53" i="5"/>
  <c r="S48" i="5"/>
  <c r="AB19" i="5"/>
  <c r="Y47" i="5"/>
  <c r="S56" i="5"/>
  <c r="V56" i="5"/>
  <c r="V39" i="5"/>
  <c r="M50" i="5"/>
  <c r="S20" i="5"/>
  <c r="J59" i="5"/>
  <c r="AB22" i="5"/>
  <c r="M33" i="5"/>
  <c r="V32" i="5"/>
  <c r="Y58" i="5"/>
  <c r="J25" i="5"/>
  <c r="AB46" i="5"/>
  <c r="AB58" i="5"/>
  <c r="Y42" i="5"/>
  <c r="Y36" i="5"/>
  <c r="AB47" i="5"/>
  <c r="AB57" i="5"/>
  <c r="V20" i="5"/>
  <c r="J35" i="5"/>
  <c r="P52" i="5"/>
  <c r="M48" i="5"/>
  <c r="Y22" i="5"/>
  <c r="AB56" i="5"/>
  <c r="M51" i="5"/>
  <c r="J50" i="5"/>
  <c r="G59" i="5"/>
  <c r="P42" i="5"/>
  <c r="S52" i="5"/>
  <c r="G19" i="5"/>
  <c r="P41" i="5"/>
  <c r="Y46" i="5"/>
  <c r="M32" i="5"/>
  <c r="P54" i="5"/>
  <c r="V27" i="5"/>
  <c r="G20" i="5"/>
  <c r="J55" i="5"/>
  <c r="M41" i="5"/>
  <c r="Y24" i="5"/>
  <c r="J36" i="5"/>
  <c r="Y50" i="5"/>
  <c r="Y41" i="5"/>
  <c r="AB48" i="5"/>
  <c r="P56" i="5"/>
  <c r="V51" i="5"/>
  <c r="V50" i="5"/>
  <c r="G56" i="5"/>
  <c r="V28" i="5"/>
  <c r="G44" i="5"/>
  <c r="V58" i="5"/>
  <c r="M25" i="5"/>
  <c r="S19" i="5"/>
  <c r="G49" i="5"/>
  <c r="S58" i="5"/>
  <c r="Y37" i="5"/>
  <c r="G47" i="5"/>
  <c r="M31" i="5"/>
  <c r="P38" i="5"/>
  <c r="S30" i="5"/>
  <c r="G37" i="5"/>
  <c r="P44" i="5"/>
  <c r="M42" i="5"/>
  <c r="G28" i="5"/>
  <c r="S35" i="5"/>
  <c r="S47" i="5"/>
  <c r="AB41" i="5"/>
  <c r="M49" i="5"/>
  <c r="V52" i="5"/>
  <c r="P21" i="5"/>
  <c r="M21" i="5"/>
  <c r="P27" i="5"/>
  <c r="G26" i="5"/>
  <c r="Y23" i="5"/>
  <c r="S41" i="5"/>
  <c r="V29" i="5"/>
  <c r="M24" i="5"/>
  <c r="G52" i="5"/>
  <c r="M34" i="5"/>
  <c r="J33" i="5"/>
  <c r="P28" i="5"/>
  <c r="AB45" i="5"/>
  <c r="V37" i="5"/>
  <c r="AB16" i="5"/>
  <c r="Y15" i="5"/>
  <c r="V16" i="5"/>
  <c r="P18" i="5"/>
  <c r="J15" i="5"/>
  <c r="S15" i="5"/>
  <c r="S17" i="5"/>
  <c r="J14" i="5"/>
  <c r="V17" i="5"/>
  <c r="P17" i="5"/>
  <c r="Y14" i="5"/>
  <c r="J18" i="5"/>
  <c r="AB15" i="5"/>
  <c r="V14" i="5"/>
  <c r="P15" i="5"/>
  <c r="Y17" i="5"/>
  <c r="G18" i="5"/>
  <c r="P16" i="5"/>
  <c r="AB14" i="5"/>
  <c r="J17" i="5"/>
  <c r="M17" i="5"/>
  <c r="G15" i="5"/>
  <c r="V18" i="5"/>
  <c r="M15" i="5"/>
  <c r="Y18" i="5"/>
  <c r="G17" i="5"/>
  <c r="V15" i="5"/>
  <c r="S14" i="5"/>
  <c r="G16" i="5"/>
  <c r="S16" i="5"/>
  <c r="AB17" i="5"/>
  <c r="Y16" i="5"/>
  <c r="M14" i="5"/>
  <c r="AB18" i="5"/>
  <c r="G14" i="5"/>
  <c r="J16" i="5"/>
  <c r="P14" i="5"/>
  <c r="M16" i="5"/>
  <c r="M18" i="5"/>
  <c r="S18" i="5"/>
  <c r="AH26" i="5" l="1"/>
  <c r="AH51" i="5"/>
  <c r="AH57" i="5"/>
  <c r="AH38" i="5"/>
  <c r="AH32" i="5"/>
  <c r="AH43" i="5"/>
  <c r="AH50" i="5"/>
  <c r="AH45" i="5"/>
  <c r="AH39" i="5"/>
  <c r="AH16" i="5"/>
  <c r="AH19" i="5"/>
  <c r="AH55" i="5"/>
  <c r="AH29" i="5"/>
  <c r="AH31" i="5"/>
  <c r="AH48" i="5"/>
  <c r="AH27" i="5"/>
  <c r="AH56" i="5"/>
  <c r="AH42" i="5"/>
  <c r="AH41" i="5"/>
  <c r="AH49" i="5"/>
  <c r="AH20" i="5"/>
  <c r="AH22" i="5"/>
  <c r="AH23" i="5"/>
  <c r="AH18" i="5"/>
  <c r="AH35" i="5"/>
  <c r="AH37" i="5"/>
  <c r="AH21" i="5"/>
  <c r="AH59" i="5"/>
  <c r="AH52" i="5"/>
  <c r="AH47" i="5"/>
  <c r="AH34" i="5"/>
  <c r="AH33" i="5"/>
  <c r="AH40" i="5"/>
  <c r="AH53" i="5"/>
  <c r="AH30" i="5"/>
  <c r="AH44" i="5"/>
  <c r="AH46" i="5"/>
  <c r="AH24" i="5"/>
  <c r="AH36" i="5"/>
  <c r="AH28" i="5"/>
  <c r="AH17" i="5"/>
  <c r="AH15" i="5"/>
  <c r="AH25" i="5"/>
  <c r="AH58" i="5"/>
  <c r="AH14" i="5"/>
  <c r="AH54" i="5"/>
  <c r="O148" i="11"/>
  <c r="P148" i="11"/>
  <c r="O164" i="11"/>
  <c r="P164" i="11"/>
  <c r="O166" i="11"/>
  <c r="P166" i="11"/>
  <c r="O161" i="11"/>
  <c r="P161" i="11"/>
  <c r="O130" i="11"/>
  <c r="P130" i="11"/>
  <c r="O196" i="11"/>
  <c r="P196" i="11"/>
  <c r="P159" i="11"/>
  <c r="O159" i="11"/>
  <c r="P143" i="11"/>
  <c r="O143" i="11"/>
  <c r="P187" i="11"/>
  <c r="O187" i="11"/>
  <c r="O202" i="11"/>
  <c r="P202" i="11"/>
  <c r="O194" i="11"/>
  <c r="P194" i="11"/>
  <c r="O186" i="11"/>
  <c r="P186" i="11"/>
  <c r="O157" i="11"/>
  <c r="P157" i="11"/>
  <c r="O149" i="11"/>
  <c r="P149" i="11"/>
  <c r="O141" i="11"/>
  <c r="P141" i="11"/>
  <c r="O133" i="11"/>
  <c r="P133" i="11"/>
  <c r="O193" i="11"/>
  <c r="P193" i="11"/>
  <c r="O174" i="11"/>
  <c r="P174" i="11"/>
  <c r="O132" i="11"/>
  <c r="P132" i="11"/>
  <c r="O172" i="11"/>
  <c r="P172" i="11"/>
  <c r="O158" i="11"/>
  <c r="P158" i="11"/>
  <c r="P197" i="11"/>
  <c r="O197" i="11"/>
  <c r="P183" i="11"/>
  <c r="O183" i="11"/>
  <c r="P169" i="11"/>
  <c r="O169" i="11"/>
  <c r="O152" i="11"/>
  <c r="P152" i="11"/>
  <c r="P175" i="11"/>
  <c r="O175" i="11"/>
  <c r="O146" i="11"/>
  <c r="P146" i="11"/>
  <c r="O200" i="11"/>
  <c r="P200" i="11"/>
  <c r="O192" i="11"/>
  <c r="P192" i="11"/>
  <c r="O184" i="11"/>
  <c r="P184" i="11"/>
  <c r="P155" i="11"/>
  <c r="O155" i="11"/>
  <c r="P147" i="11"/>
  <c r="O147" i="11"/>
  <c r="P139" i="11"/>
  <c r="O139" i="11"/>
  <c r="P131" i="11"/>
  <c r="O131" i="11"/>
  <c r="O185" i="11"/>
  <c r="P185" i="11"/>
  <c r="O180" i="11"/>
  <c r="P180" i="11"/>
  <c r="O142" i="11"/>
  <c r="P142" i="11"/>
  <c r="P191" i="11"/>
  <c r="O191" i="11"/>
  <c r="P177" i="11"/>
  <c r="O177" i="11"/>
  <c r="O136" i="11"/>
  <c r="P136" i="11"/>
  <c r="P167" i="11"/>
  <c r="O167" i="11"/>
  <c r="O188" i="11"/>
  <c r="P188" i="11"/>
  <c r="P151" i="11"/>
  <c r="O151" i="11"/>
  <c r="P135" i="11"/>
  <c r="O135" i="11"/>
  <c r="P199" i="11"/>
  <c r="O199" i="11"/>
  <c r="O181" i="11"/>
  <c r="P181" i="11"/>
  <c r="O140" i="11"/>
  <c r="P140" i="11"/>
  <c r="P179" i="11"/>
  <c r="O179" i="11"/>
  <c r="P163" i="11"/>
  <c r="O163" i="11"/>
  <c r="O134" i="11"/>
  <c r="P134" i="11"/>
  <c r="O201" i="11"/>
  <c r="P201" i="11"/>
  <c r="O165" i="11"/>
  <c r="P165" i="11"/>
  <c r="O170" i="11"/>
  <c r="P170" i="11"/>
  <c r="O160" i="11"/>
  <c r="P160" i="11"/>
  <c r="O176" i="11"/>
  <c r="P176" i="11"/>
  <c r="O154" i="11"/>
  <c r="P154" i="11"/>
  <c r="P189" i="11"/>
  <c r="O189" i="11"/>
  <c r="O156" i="11"/>
  <c r="P156" i="11"/>
  <c r="P171" i="11"/>
  <c r="O171" i="11"/>
  <c r="O150" i="11"/>
  <c r="P150" i="11"/>
  <c r="P195" i="11"/>
  <c r="O195" i="11"/>
  <c r="P173" i="11"/>
  <c r="O173" i="11"/>
  <c r="O178" i="11"/>
  <c r="P178" i="11"/>
  <c r="O162" i="11"/>
  <c r="P162" i="11"/>
  <c r="O144" i="11"/>
  <c r="P144" i="11"/>
  <c r="O168" i="11"/>
  <c r="P168" i="11"/>
  <c r="O138" i="11"/>
  <c r="P138" i="11"/>
  <c r="O198" i="11"/>
  <c r="P198" i="11"/>
  <c r="O190" i="11"/>
  <c r="P190" i="11"/>
  <c r="O182" i="11"/>
  <c r="P182" i="11"/>
  <c r="P153" i="11"/>
  <c r="O153" i="11"/>
  <c r="P145" i="11"/>
  <c r="O145" i="11"/>
  <c r="P137" i="11"/>
  <c r="O137" i="11"/>
  <c r="O129" i="11"/>
  <c r="P129" i="11"/>
  <c r="P109" i="11"/>
  <c r="O109" i="11"/>
  <c r="O115" i="11"/>
  <c r="P115" i="11"/>
  <c r="P81" i="11"/>
  <c r="O81" i="11"/>
  <c r="O108" i="11"/>
  <c r="P108" i="11"/>
  <c r="O84" i="11"/>
  <c r="P84" i="11"/>
  <c r="P73" i="11"/>
  <c r="O73" i="11"/>
  <c r="P65" i="11"/>
  <c r="O65" i="11"/>
  <c r="O116" i="11"/>
  <c r="P116" i="11"/>
  <c r="O118" i="11"/>
  <c r="P118" i="11"/>
  <c r="O99" i="11"/>
  <c r="P99" i="11"/>
  <c r="P93" i="11"/>
  <c r="O93" i="11"/>
  <c r="P121" i="11"/>
  <c r="O121" i="11"/>
  <c r="P113" i="11"/>
  <c r="O113" i="11"/>
  <c r="O111" i="11"/>
  <c r="P111" i="11"/>
  <c r="O114" i="11"/>
  <c r="P114" i="11"/>
  <c r="O90" i="11"/>
  <c r="P90" i="11"/>
  <c r="O83" i="11"/>
  <c r="P83" i="11"/>
  <c r="O91" i="11"/>
  <c r="P91" i="11"/>
  <c r="P85" i="11"/>
  <c r="O85" i="11"/>
  <c r="O127" i="11"/>
  <c r="P127" i="11"/>
  <c r="P119" i="11"/>
  <c r="O119" i="11"/>
  <c r="O87" i="11"/>
  <c r="P87" i="11"/>
  <c r="P105" i="11"/>
  <c r="O105" i="11"/>
  <c r="P97" i="11"/>
  <c r="O97" i="11"/>
  <c r="O103" i="11"/>
  <c r="P103" i="11"/>
  <c r="O112" i="11"/>
  <c r="P112" i="11"/>
  <c r="O104" i="11"/>
  <c r="P104" i="11"/>
  <c r="O96" i="11"/>
  <c r="P96" i="11"/>
  <c r="O88" i="11"/>
  <c r="P88" i="11"/>
  <c r="O80" i="11"/>
  <c r="P80" i="11"/>
  <c r="O75" i="11"/>
  <c r="P75" i="11"/>
  <c r="O71" i="11"/>
  <c r="P71" i="11"/>
  <c r="O67" i="11"/>
  <c r="P67" i="11"/>
  <c r="O63" i="11"/>
  <c r="P63" i="11"/>
  <c r="O59" i="11"/>
  <c r="P59" i="11"/>
  <c r="O120" i="11"/>
  <c r="P120" i="11"/>
  <c r="O128" i="11"/>
  <c r="P128" i="11"/>
  <c r="O122" i="11"/>
  <c r="P122" i="11"/>
  <c r="P125" i="11"/>
  <c r="O125" i="11"/>
  <c r="P117" i="11"/>
  <c r="O117" i="11"/>
  <c r="O79" i="11"/>
  <c r="P79" i="11"/>
  <c r="P89" i="11"/>
  <c r="O89" i="11"/>
  <c r="P101" i="11"/>
  <c r="O101" i="11"/>
  <c r="P110" i="11"/>
  <c r="O110" i="11"/>
  <c r="P102" i="11"/>
  <c r="O102" i="11"/>
  <c r="P94" i="11"/>
  <c r="O94" i="11"/>
  <c r="P86" i="11"/>
  <c r="O86" i="11"/>
  <c r="P78" i="11"/>
  <c r="O78" i="11"/>
  <c r="O74" i="11"/>
  <c r="P74" i="11"/>
  <c r="P70" i="11"/>
  <c r="O70" i="11"/>
  <c r="O66" i="11"/>
  <c r="P66" i="11"/>
  <c r="P62" i="11"/>
  <c r="O62" i="11"/>
  <c r="P126" i="11"/>
  <c r="O126" i="11"/>
  <c r="O124" i="11"/>
  <c r="P124" i="11"/>
  <c r="O123" i="11"/>
  <c r="P123" i="11"/>
  <c r="O100" i="11"/>
  <c r="P100" i="11"/>
  <c r="O92" i="11"/>
  <c r="P92" i="11"/>
  <c r="P77" i="11"/>
  <c r="O77" i="11"/>
  <c r="P69" i="11"/>
  <c r="O69" i="11"/>
  <c r="P61" i="11"/>
  <c r="O61" i="11"/>
  <c r="O95" i="11"/>
  <c r="P95" i="11"/>
  <c r="O107" i="11"/>
  <c r="P107" i="11"/>
  <c r="O106" i="11"/>
  <c r="P106" i="11"/>
  <c r="O98" i="11"/>
  <c r="P98" i="11"/>
  <c r="O82" i="11"/>
  <c r="P82" i="11"/>
  <c r="O76" i="11"/>
  <c r="P76" i="11"/>
  <c r="O72" i="11"/>
  <c r="P72" i="11"/>
  <c r="O68" i="11"/>
  <c r="P68" i="11"/>
  <c r="O64" i="11"/>
  <c r="P64" i="11"/>
  <c r="O60" i="11"/>
  <c r="P60" i="11"/>
  <c r="J41" i="10"/>
  <c r="J30" i="10"/>
  <c r="J51" i="10"/>
  <c r="J56" i="10"/>
  <c r="J25" i="10"/>
  <c r="J49" i="10"/>
  <c r="J57" i="10"/>
  <c r="J38" i="10"/>
  <c r="J23" i="10"/>
  <c r="J42" i="10"/>
  <c r="J45" i="10"/>
  <c r="J44" i="10"/>
  <c r="J39" i="10"/>
  <c r="J32" i="10"/>
  <c r="J26" i="10"/>
  <c r="J50" i="10"/>
  <c r="J53" i="10"/>
  <c r="J34" i="10"/>
  <c r="J52" i="10"/>
  <c r="J55" i="10"/>
  <c r="J22" i="10"/>
  <c r="J58" i="10"/>
  <c r="J48" i="10"/>
  <c r="J46" i="10"/>
  <c r="J31" i="10"/>
  <c r="J21" i="10"/>
  <c r="J47" i="10"/>
  <c r="J27" i="10"/>
  <c r="J28" i="10"/>
  <c r="J40" i="10"/>
  <c r="J43" i="10"/>
  <c r="J54" i="10"/>
  <c r="J37" i="10"/>
  <c r="J35" i="10"/>
  <c r="J24" i="10"/>
  <c r="J29" i="10"/>
  <c r="J33" i="10"/>
  <c r="J36" i="10"/>
  <c r="J20" i="10"/>
  <c r="J18" i="10"/>
  <c r="J17" i="10"/>
  <c r="J19" i="10"/>
  <c r="J14" i="10"/>
  <c r="J13" i="10"/>
  <c r="J16" i="10"/>
  <c r="J15" i="10"/>
  <c r="J12" i="10"/>
  <c r="J7" i="10"/>
  <c r="J3" i="10"/>
  <c r="J10" i="10"/>
  <c r="J11" i="10"/>
  <c r="J8" i="10"/>
  <c r="J5" i="10"/>
  <c r="J2" i="10"/>
  <c r="J4" i="10"/>
  <c r="J6" i="10"/>
  <c r="J9" i="10"/>
  <c r="M57" i="11"/>
  <c r="N57" i="11" s="1"/>
  <c r="M13" i="11"/>
  <c r="N13" i="11" s="1"/>
  <c r="M19" i="11"/>
  <c r="N19" i="11" s="1"/>
  <c r="M38" i="11"/>
  <c r="N38" i="11" s="1"/>
  <c r="M22" i="11"/>
  <c r="N22" i="11" s="1"/>
  <c r="M185" i="11"/>
  <c r="N185" i="11" s="1"/>
  <c r="M148" i="11"/>
  <c r="N148" i="11" s="1"/>
  <c r="M180" i="11"/>
  <c r="N180" i="11" s="1"/>
  <c r="M164" i="11"/>
  <c r="N164" i="11" s="1"/>
  <c r="M142" i="11"/>
  <c r="N142" i="11" s="1"/>
  <c r="M83" i="11"/>
  <c r="N83" i="11" s="1"/>
  <c r="M191" i="11"/>
  <c r="N191" i="11" s="1"/>
  <c r="M166" i="11"/>
  <c r="N166" i="11" s="1"/>
  <c r="M177" i="11"/>
  <c r="N177" i="11" s="1"/>
  <c r="M161" i="11"/>
  <c r="N161" i="11" s="1"/>
  <c r="M136" i="11"/>
  <c r="N136" i="11" s="1"/>
  <c r="M91" i="11"/>
  <c r="N91" i="11" s="1"/>
  <c r="M167" i="11"/>
  <c r="N167" i="11" s="1"/>
  <c r="M130" i="11"/>
  <c r="N130" i="11" s="1"/>
  <c r="M85" i="11"/>
  <c r="N85" i="11" s="1"/>
  <c r="M196" i="11"/>
  <c r="N196" i="11" s="1"/>
  <c r="M188" i="11"/>
  <c r="N188" i="11" s="1"/>
  <c r="M159" i="11"/>
  <c r="N159" i="11" s="1"/>
  <c r="M151" i="11"/>
  <c r="N151" i="11" s="1"/>
  <c r="M143" i="11"/>
  <c r="N143" i="11" s="1"/>
  <c r="M135" i="11"/>
  <c r="N135" i="11" s="1"/>
  <c r="M127" i="11"/>
  <c r="N127" i="11" s="1"/>
  <c r="M119" i="11"/>
  <c r="N119" i="11" s="1"/>
  <c r="M87" i="11"/>
  <c r="N87" i="11" s="1"/>
  <c r="M105" i="11"/>
  <c r="N105" i="11" s="1"/>
  <c r="M97" i="11"/>
  <c r="N97" i="11" s="1"/>
  <c r="M103" i="11"/>
  <c r="N103" i="11" s="1"/>
  <c r="M54" i="11"/>
  <c r="N54" i="11" s="1"/>
  <c r="M112" i="11"/>
  <c r="N112" i="11" s="1"/>
  <c r="M104" i="11"/>
  <c r="N104" i="11" s="1"/>
  <c r="M96" i="11"/>
  <c r="N96" i="11" s="1"/>
  <c r="M88" i="11"/>
  <c r="N88" i="11" s="1"/>
  <c r="M80" i="11"/>
  <c r="N80" i="11" s="1"/>
  <c r="M75" i="11"/>
  <c r="N75" i="11" s="1"/>
  <c r="M71" i="11"/>
  <c r="N71" i="11" s="1"/>
  <c r="M67" i="11"/>
  <c r="N67" i="11" s="1"/>
  <c r="M63" i="11"/>
  <c r="N63" i="11" s="1"/>
  <c r="M59" i="11"/>
  <c r="N59" i="11" s="1"/>
  <c r="M51" i="11"/>
  <c r="N51" i="11" s="1"/>
  <c r="M23" i="11"/>
  <c r="N23" i="11" s="1"/>
  <c r="M37" i="11"/>
  <c r="N37" i="11" s="1"/>
  <c r="M35" i="11"/>
  <c r="N35" i="11" s="1"/>
  <c r="M50" i="11"/>
  <c r="N50" i="11" s="1"/>
  <c r="M42" i="11"/>
  <c r="N42" i="11" s="1"/>
  <c r="M34" i="11"/>
  <c r="N34" i="11" s="1"/>
  <c r="M26" i="11"/>
  <c r="N26" i="11" s="1"/>
  <c r="M18" i="11"/>
  <c r="N18" i="11" s="1"/>
  <c r="M199" i="11"/>
  <c r="N199" i="11" s="1"/>
  <c r="M181" i="11"/>
  <c r="N181" i="11" s="1"/>
  <c r="M140" i="11"/>
  <c r="N140" i="11" s="1"/>
  <c r="M179" i="11"/>
  <c r="N179" i="11" s="1"/>
  <c r="M163" i="11"/>
  <c r="N163" i="11" s="1"/>
  <c r="M134" i="11"/>
  <c r="N134" i="11" s="1"/>
  <c r="M201" i="11"/>
  <c r="N201" i="11" s="1"/>
  <c r="M187" i="11"/>
  <c r="N187" i="11" s="1"/>
  <c r="M165" i="11"/>
  <c r="N165" i="11" s="1"/>
  <c r="M170" i="11"/>
  <c r="N170" i="11" s="1"/>
  <c r="M160" i="11"/>
  <c r="N160" i="11" s="1"/>
  <c r="M128" i="11"/>
  <c r="N128" i="11" s="1"/>
  <c r="M176" i="11"/>
  <c r="N176" i="11" s="1"/>
  <c r="M154" i="11"/>
  <c r="N154" i="11" s="1"/>
  <c r="M122" i="11"/>
  <c r="N122" i="11" s="1"/>
  <c r="M202" i="11"/>
  <c r="N202" i="11" s="1"/>
  <c r="M194" i="11"/>
  <c r="N194" i="11" s="1"/>
  <c r="M186" i="11"/>
  <c r="N186" i="11" s="1"/>
  <c r="M157" i="11"/>
  <c r="N157" i="11" s="1"/>
  <c r="M149" i="11"/>
  <c r="N149" i="11" s="1"/>
  <c r="M141" i="11"/>
  <c r="N141" i="11" s="1"/>
  <c r="M133" i="11"/>
  <c r="N133" i="11" s="1"/>
  <c r="M125" i="11"/>
  <c r="N125" i="11" s="1"/>
  <c r="M117" i="11"/>
  <c r="N117" i="11" s="1"/>
  <c r="M79" i="11"/>
  <c r="N79" i="11" s="1"/>
  <c r="M89" i="11"/>
  <c r="N89" i="11" s="1"/>
  <c r="M25" i="11"/>
  <c r="N25" i="11" s="1"/>
  <c r="M101" i="11"/>
  <c r="N101" i="11" s="1"/>
  <c r="M53" i="11"/>
  <c r="N53" i="11" s="1"/>
  <c r="M110" i="11"/>
  <c r="N110" i="11" s="1"/>
  <c r="M102" i="11"/>
  <c r="N102" i="11" s="1"/>
  <c r="M94" i="11"/>
  <c r="N94" i="11" s="1"/>
  <c r="M86" i="11"/>
  <c r="N86" i="11" s="1"/>
  <c r="M78" i="11"/>
  <c r="N78" i="11" s="1"/>
  <c r="M74" i="11"/>
  <c r="N74" i="11" s="1"/>
  <c r="M70" i="11"/>
  <c r="N70" i="11" s="1"/>
  <c r="M66" i="11"/>
  <c r="N66" i="11" s="1"/>
  <c r="M62" i="11"/>
  <c r="N62" i="11" s="1"/>
  <c r="M58" i="11"/>
  <c r="N58" i="11" s="1"/>
  <c r="M47" i="11"/>
  <c r="N47" i="11" s="1"/>
  <c r="M15" i="11"/>
  <c r="N15" i="11" s="1"/>
  <c r="M29" i="11"/>
  <c r="N29" i="11" s="1"/>
  <c r="M27" i="11"/>
  <c r="N27" i="11" s="1"/>
  <c r="M48" i="11"/>
  <c r="N48" i="11" s="1"/>
  <c r="M40" i="11"/>
  <c r="N40" i="11" s="1"/>
  <c r="M32" i="11"/>
  <c r="N32" i="11" s="1"/>
  <c r="M24" i="11"/>
  <c r="N24" i="11" s="1"/>
  <c r="M16" i="11"/>
  <c r="N16" i="11" s="1"/>
  <c r="M14" i="11"/>
  <c r="N14" i="11" s="1"/>
  <c r="M193" i="11"/>
  <c r="N193" i="11" s="1"/>
  <c r="M174" i="11"/>
  <c r="N174" i="11" s="1"/>
  <c r="M132" i="11"/>
  <c r="N132" i="11" s="1"/>
  <c r="M172" i="11"/>
  <c r="N172" i="11" s="1"/>
  <c r="M158" i="11"/>
  <c r="N158" i="11" s="1"/>
  <c r="M126" i="11"/>
  <c r="N126" i="11" s="1"/>
  <c r="M197" i="11"/>
  <c r="N197" i="11" s="1"/>
  <c r="M183" i="11"/>
  <c r="N183" i="11" s="1"/>
  <c r="M124" i="11"/>
  <c r="N124" i="11" s="1"/>
  <c r="M169" i="11"/>
  <c r="N169" i="11" s="1"/>
  <c r="M152" i="11"/>
  <c r="N152" i="11" s="1"/>
  <c r="M120" i="11"/>
  <c r="N120" i="11" s="1"/>
  <c r="M175" i="11"/>
  <c r="N175" i="11" s="1"/>
  <c r="M146" i="11"/>
  <c r="N146" i="11" s="1"/>
  <c r="M109" i="11"/>
  <c r="N109" i="11" s="1"/>
  <c r="M200" i="11"/>
  <c r="N200" i="11" s="1"/>
  <c r="M192" i="11"/>
  <c r="N192" i="11" s="1"/>
  <c r="M184" i="11"/>
  <c r="N184" i="11" s="1"/>
  <c r="M155" i="11"/>
  <c r="N155" i="11" s="1"/>
  <c r="M147" i="11"/>
  <c r="N147" i="11" s="1"/>
  <c r="M139" i="11"/>
  <c r="N139" i="11" s="1"/>
  <c r="M131" i="11"/>
  <c r="N131" i="11" s="1"/>
  <c r="M123" i="11"/>
  <c r="N123" i="11" s="1"/>
  <c r="M115" i="11"/>
  <c r="N115" i="11" s="1"/>
  <c r="M33" i="11"/>
  <c r="N33" i="11" s="1"/>
  <c r="M81" i="11"/>
  <c r="N81" i="11" s="1"/>
  <c r="M17" i="11"/>
  <c r="N17" i="11" s="1"/>
  <c r="M41" i="11"/>
  <c r="N41" i="11" s="1"/>
  <c r="M49" i="11"/>
  <c r="N49" i="11" s="1"/>
  <c r="M108" i="11"/>
  <c r="N108" i="11" s="1"/>
  <c r="M100" i="11"/>
  <c r="N100" i="11" s="1"/>
  <c r="M92" i="11"/>
  <c r="N92" i="11" s="1"/>
  <c r="M84" i="11"/>
  <c r="N84" i="11" s="1"/>
  <c r="M77" i="11"/>
  <c r="N77" i="11" s="1"/>
  <c r="M73" i="11"/>
  <c r="N73" i="11" s="1"/>
  <c r="M69" i="11"/>
  <c r="N69" i="11" s="1"/>
  <c r="M65" i="11"/>
  <c r="N65" i="11" s="1"/>
  <c r="M61" i="11"/>
  <c r="N61" i="11" s="1"/>
  <c r="M39" i="11"/>
  <c r="N39" i="11" s="1"/>
  <c r="M21" i="11"/>
  <c r="N21" i="11" s="1"/>
  <c r="M46" i="11"/>
  <c r="N46" i="11" s="1"/>
  <c r="M30" i="11"/>
  <c r="N30" i="11" s="1"/>
  <c r="M189" i="11"/>
  <c r="N189" i="11" s="1"/>
  <c r="M156" i="11"/>
  <c r="N156" i="11" s="1"/>
  <c r="M116" i="11"/>
  <c r="N116" i="11" s="1"/>
  <c r="M171" i="11"/>
  <c r="N171" i="11" s="1"/>
  <c r="M150" i="11"/>
  <c r="N150" i="11" s="1"/>
  <c r="M118" i="11"/>
  <c r="N118" i="11" s="1"/>
  <c r="M195" i="11"/>
  <c r="N195" i="11" s="1"/>
  <c r="M173" i="11"/>
  <c r="N173" i="11" s="1"/>
  <c r="M178" i="11"/>
  <c r="N178" i="11" s="1"/>
  <c r="M162" i="11"/>
  <c r="N162" i="11" s="1"/>
  <c r="M144" i="11"/>
  <c r="N144" i="11" s="1"/>
  <c r="M99" i="11"/>
  <c r="N99" i="11" s="1"/>
  <c r="M168" i="11"/>
  <c r="N168" i="11" s="1"/>
  <c r="M138" i="11"/>
  <c r="N138" i="11" s="1"/>
  <c r="M93" i="11"/>
  <c r="N93" i="11" s="1"/>
  <c r="M198" i="11"/>
  <c r="N198" i="11" s="1"/>
  <c r="M190" i="11"/>
  <c r="N190" i="11" s="1"/>
  <c r="M182" i="11"/>
  <c r="N182" i="11" s="1"/>
  <c r="M153" i="11"/>
  <c r="N153" i="11" s="1"/>
  <c r="M145" i="11"/>
  <c r="N145" i="11" s="1"/>
  <c r="M137" i="11"/>
  <c r="N137" i="11" s="1"/>
  <c r="M129" i="11"/>
  <c r="N129" i="11" s="1"/>
  <c r="M121" i="11"/>
  <c r="N121" i="11" s="1"/>
  <c r="M95" i="11"/>
  <c r="N95" i="11" s="1"/>
  <c r="M113" i="11"/>
  <c r="N113" i="11" s="1"/>
  <c r="M107" i="11"/>
  <c r="N107" i="11" s="1"/>
  <c r="M111" i="11"/>
  <c r="N111" i="11" s="1"/>
  <c r="M56" i="11"/>
  <c r="N56" i="11" s="1"/>
  <c r="M114" i="11"/>
  <c r="N114" i="11" s="1"/>
  <c r="M106" i="11"/>
  <c r="N106" i="11" s="1"/>
  <c r="M98" i="11"/>
  <c r="N98" i="11" s="1"/>
  <c r="M90" i="11"/>
  <c r="N90" i="11" s="1"/>
  <c r="M82" i="11"/>
  <c r="N82" i="11" s="1"/>
  <c r="M76" i="11"/>
  <c r="N76" i="11" s="1"/>
  <c r="M72" i="11"/>
  <c r="N72" i="11" s="1"/>
  <c r="M68" i="11"/>
  <c r="N68" i="11" s="1"/>
  <c r="M64" i="11"/>
  <c r="N64" i="11" s="1"/>
  <c r="M60" i="11"/>
  <c r="N60" i="11" s="1"/>
  <c r="M55" i="11"/>
  <c r="N55" i="11" s="1"/>
  <c r="M31" i="11"/>
  <c r="N31" i="11" s="1"/>
  <c r="M45" i="11"/>
  <c r="N45" i="11" s="1"/>
  <c r="M43" i="11"/>
  <c r="N43" i="11" s="1"/>
  <c r="M52" i="11"/>
  <c r="N52" i="11" s="1"/>
  <c r="M44" i="11"/>
  <c r="N44" i="11" s="1"/>
  <c r="M36" i="11"/>
  <c r="N36" i="11" s="1"/>
  <c r="M28" i="11"/>
  <c r="N28" i="11" s="1"/>
  <c r="M20" i="11"/>
  <c r="N20" i="11" s="1"/>
  <c r="M12" i="11"/>
  <c r="N12" i="11" s="1"/>
  <c r="M10" i="11"/>
  <c r="N10" i="11" s="1"/>
  <c r="M5" i="11"/>
  <c r="N5" i="11" s="1"/>
  <c r="M11" i="11"/>
  <c r="N11" i="11" s="1"/>
  <c r="M3" i="11"/>
  <c r="N3" i="11" s="1"/>
  <c r="M9" i="11"/>
  <c r="N9" i="11" s="1"/>
  <c r="M8" i="11"/>
  <c r="N8" i="11" s="1"/>
  <c r="M6" i="11"/>
  <c r="N6" i="11" s="1"/>
  <c r="M7" i="11"/>
  <c r="N7" i="11" s="1"/>
  <c r="M4" i="11"/>
  <c r="N4" i="11" s="1"/>
  <c r="M2" i="11"/>
  <c r="N2" i="11" s="1"/>
  <c r="X18" i="9"/>
  <c r="Y18" i="9" s="1"/>
  <c r="Z18" i="9" s="1"/>
  <c r="AA18" i="9" s="1"/>
  <c r="AB18" i="9"/>
  <c r="V18" i="9" s="1"/>
  <c r="U18" i="9"/>
  <c r="O18" i="9" s="1"/>
  <c r="Q18" i="9"/>
  <c r="R18" i="9" s="1"/>
  <c r="S18" i="9" s="1"/>
  <c r="T18" i="9" s="1"/>
  <c r="K1" i="10" l="1"/>
  <c r="L200" i="10" s="1"/>
  <c r="O200" i="10" s="1"/>
  <c r="O53" i="11"/>
  <c r="O58" i="11"/>
  <c r="O54" i="11"/>
  <c r="O55" i="11"/>
  <c r="P39" i="11"/>
  <c r="O21" i="11"/>
  <c r="O28" i="11"/>
  <c r="O33" i="11"/>
  <c r="P49" i="11"/>
  <c r="P20" i="11"/>
  <c r="O51" i="11"/>
  <c r="P44" i="11"/>
  <c r="O37" i="11"/>
  <c r="P18" i="11"/>
  <c r="O57" i="11"/>
  <c r="P30" i="11"/>
  <c r="P22" i="11"/>
  <c r="O47" i="11"/>
  <c r="O50" i="11"/>
  <c r="P33" i="11"/>
  <c r="O56" i="11"/>
  <c r="P21" i="11"/>
  <c r="O36" i="11"/>
  <c r="P52" i="11"/>
  <c r="O31" i="11"/>
  <c r="O29" i="11"/>
  <c r="O52" i="11"/>
  <c r="O32" i="11"/>
  <c r="O20" i="11"/>
  <c r="P58" i="11"/>
  <c r="P32" i="11"/>
  <c r="O44" i="11"/>
  <c r="O46" i="11"/>
  <c r="O39" i="11"/>
  <c r="P45" i="11"/>
  <c r="P48" i="11"/>
  <c r="P31" i="11"/>
  <c r="O25" i="11"/>
  <c r="O48" i="11"/>
  <c r="O23" i="11"/>
  <c r="P56" i="11"/>
  <c r="P50" i="11"/>
  <c r="O41" i="11"/>
  <c r="P26" i="11"/>
  <c r="P25" i="11"/>
  <c r="P54" i="11"/>
  <c r="P41" i="11"/>
  <c r="P47" i="11"/>
  <c r="P28" i="11"/>
  <c r="P34" i="11"/>
  <c r="O26" i="11"/>
  <c r="P24" i="11"/>
  <c r="P53" i="11"/>
  <c r="O19" i="11"/>
  <c r="P27" i="11"/>
  <c r="P19" i="11"/>
  <c r="O49" i="11"/>
  <c r="P55" i="11"/>
  <c r="O18" i="11"/>
  <c r="O27" i="11"/>
  <c r="P42" i="11"/>
  <c r="P57" i="11"/>
  <c r="P37" i="11"/>
  <c r="O43" i="11"/>
  <c r="O35" i="11"/>
  <c r="P40" i="11"/>
  <c r="O22" i="11"/>
  <c r="O38" i="11"/>
  <c r="P38" i="11"/>
  <c r="P43" i="11"/>
  <c r="O24" i="11"/>
  <c r="O45" i="11"/>
  <c r="P46" i="11"/>
  <c r="O40" i="11"/>
  <c r="P36" i="11"/>
  <c r="O42" i="11"/>
  <c r="P51" i="11"/>
  <c r="P35" i="11"/>
  <c r="P23" i="11"/>
  <c r="O34" i="11"/>
  <c r="O30" i="11"/>
  <c r="P29" i="11"/>
  <c r="O14" i="11"/>
  <c r="O16" i="11"/>
  <c r="P17" i="11"/>
  <c r="P14" i="11"/>
  <c r="P16" i="11"/>
  <c r="P15" i="11"/>
  <c r="O17" i="11"/>
  <c r="P13" i="11"/>
  <c r="O13" i="11"/>
  <c r="O15" i="11"/>
  <c r="K13" i="5"/>
  <c r="E10" i="5"/>
  <c r="P13" i="5"/>
  <c r="D11" i="11"/>
  <c r="D9" i="5"/>
  <c r="E11" i="6"/>
  <c r="C12" i="5"/>
  <c r="B10" i="10"/>
  <c r="J13" i="5"/>
  <c r="C9" i="5"/>
  <c r="E9" i="10"/>
  <c r="B8" i="11"/>
  <c r="C10" i="6"/>
  <c r="C11" i="6"/>
  <c r="E10" i="11"/>
  <c r="M13" i="5"/>
  <c r="D11" i="10"/>
  <c r="C10" i="5"/>
  <c r="B9" i="5"/>
  <c r="D11" i="5"/>
  <c r="B10" i="11"/>
  <c r="E10" i="10"/>
  <c r="T13" i="5"/>
  <c r="D12" i="6"/>
  <c r="E11" i="5"/>
  <c r="E9" i="11"/>
  <c r="E9" i="5"/>
  <c r="D12" i="5"/>
  <c r="B11" i="10"/>
  <c r="E11" i="10"/>
  <c r="D10" i="5"/>
  <c r="C12" i="6"/>
  <c r="C8" i="11"/>
  <c r="D9" i="6"/>
  <c r="D11" i="6"/>
  <c r="B9" i="6"/>
  <c r="V13" i="5"/>
  <c r="C9" i="11"/>
  <c r="B12" i="5"/>
  <c r="E8" i="10"/>
  <c r="D9" i="11"/>
  <c r="C8" i="10"/>
  <c r="Q13" i="5"/>
  <c r="C9" i="10"/>
  <c r="AB13" i="5"/>
  <c r="E12" i="5"/>
  <c r="E9" i="6"/>
  <c r="B10" i="6"/>
  <c r="B8" i="10"/>
  <c r="B12" i="6"/>
  <c r="E12" i="6"/>
  <c r="D10" i="6"/>
  <c r="B9" i="10"/>
  <c r="B11" i="6"/>
  <c r="D8" i="10"/>
  <c r="S13" i="5"/>
  <c r="C11" i="10"/>
  <c r="D9" i="10"/>
  <c r="G13" i="5"/>
  <c r="N13" i="5"/>
  <c r="W13" i="5"/>
  <c r="E10" i="6"/>
  <c r="B9" i="11"/>
  <c r="B11" i="11"/>
  <c r="E11" i="11"/>
  <c r="D8" i="11"/>
  <c r="C11" i="5"/>
  <c r="C11" i="11"/>
  <c r="C10" i="10"/>
  <c r="Y13" i="5"/>
  <c r="C10" i="11"/>
  <c r="B11" i="5"/>
  <c r="E8" i="11"/>
  <c r="AC13" i="5"/>
  <c r="D10" i="10"/>
  <c r="D10" i="11"/>
  <c r="Z13" i="5"/>
  <c r="C9" i="6"/>
  <c r="B10" i="5"/>
  <c r="P9" i="11"/>
  <c r="O11" i="11"/>
  <c r="P8" i="11"/>
  <c r="P11" i="11"/>
  <c r="O10" i="11"/>
  <c r="O12" i="11"/>
  <c r="O9" i="11"/>
  <c r="P10" i="11"/>
  <c r="O8" i="11"/>
  <c r="P12" i="11"/>
  <c r="E6" i="11"/>
  <c r="E7" i="11"/>
  <c r="E4" i="11"/>
  <c r="E4" i="5"/>
  <c r="E6" i="10"/>
  <c r="E7" i="10"/>
  <c r="E7" i="5"/>
  <c r="E5" i="11"/>
  <c r="E8" i="6"/>
  <c r="E7" i="6"/>
  <c r="E5" i="10"/>
  <c r="E3" i="11"/>
  <c r="E6" i="6"/>
  <c r="E8" i="5"/>
  <c r="E5" i="5"/>
  <c r="E6" i="5"/>
  <c r="E4" i="10"/>
  <c r="E4" i="6"/>
  <c r="E3" i="10"/>
  <c r="E5" i="6"/>
  <c r="D6" i="5"/>
  <c r="D7" i="10"/>
  <c r="D6" i="6"/>
  <c r="D8" i="5"/>
  <c r="D7" i="6"/>
  <c r="D6" i="10"/>
  <c r="D8" i="6"/>
  <c r="D5" i="10"/>
  <c r="D7" i="5"/>
  <c r="D6" i="11"/>
  <c r="D7" i="11"/>
  <c r="D5" i="11"/>
  <c r="C7" i="6"/>
  <c r="C6" i="11"/>
  <c r="C6" i="5"/>
  <c r="C7" i="11"/>
  <c r="C7" i="5"/>
  <c r="C6" i="6"/>
  <c r="C6" i="10"/>
  <c r="C8" i="5"/>
  <c r="C8" i="6"/>
  <c r="C7" i="10"/>
  <c r="C5" i="11"/>
  <c r="C5" i="10"/>
  <c r="D5" i="6"/>
  <c r="D4" i="11"/>
  <c r="D4" i="10"/>
  <c r="D5" i="5"/>
  <c r="D4" i="5"/>
  <c r="D3" i="10"/>
  <c r="D3" i="11"/>
  <c r="D4" i="6"/>
  <c r="C5" i="6"/>
  <c r="C4" i="10"/>
  <c r="C4" i="11"/>
  <c r="C5" i="5"/>
  <c r="C3" i="10"/>
  <c r="C3" i="11"/>
  <c r="C4" i="5"/>
  <c r="C4" i="6"/>
  <c r="B4" i="6"/>
  <c r="O3" i="11"/>
  <c r="O5" i="11"/>
  <c r="P3" i="11"/>
  <c r="B3" i="10"/>
  <c r="B4" i="11"/>
  <c r="B6" i="10"/>
  <c r="O7" i="11"/>
  <c r="B5" i="6"/>
  <c r="B7" i="10"/>
  <c r="B5" i="11"/>
  <c r="B8" i="5"/>
  <c r="B5" i="5"/>
  <c r="B7" i="5"/>
  <c r="P6" i="11"/>
  <c r="O6" i="11"/>
  <c r="B4" i="5"/>
  <c r="B5" i="10"/>
  <c r="P7" i="11"/>
  <c r="P5" i="11"/>
  <c r="B4" i="10"/>
  <c r="B3" i="11"/>
  <c r="B8" i="6"/>
  <c r="B6" i="5"/>
  <c r="B6" i="11"/>
  <c r="P4" i="11"/>
  <c r="B7" i="6"/>
  <c r="B6" i="6"/>
  <c r="B7" i="11"/>
  <c r="O4" i="11"/>
  <c r="E3" i="5"/>
  <c r="D2" i="11"/>
  <c r="C2" i="10"/>
  <c r="B3" i="6"/>
  <c r="B2" i="11"/>
  <c r="F79" i="11"/>
  <c r="F43" i="11"/>
  <c r="F166" i="5"/>
  <c r="F160" i="10"/>
  <c r="F173" i="10"/>
  <c r="F142" i="11"/>
  <c r="F5" i="11"/>
  <c r="F143" i="10"/>
  <c r="F191" i="10"/>
  <c r="F5" i="6"/>
  <c r="F21" i="10"/>
  <c r="F71" i="10"/>
  <c r="F194" i="11"/>
  <c r="F73" i="10"/>
  <c r="F100" i="5"/>
  <c r="F96" i="5"/>
  <c r="F45" i="5"/>
  <c r="F150" i="5"/>
  <c r="F175" i="11"/>
  <c r="F117" i="5"/>
  <c r="F79" i="5"/>
  <c r="F62" i="11"/>
  <c r="F91" i="10"/>
  <c r="F25" i="11"/>
  <c r="F28" i="10"/>
  <c r="F188" i="11"/>
  <c r="F96" i="11"/>
  <c r="F71" i="5"/>
  <c r="F24" i="10"/>
  <c r="F33" i="11"/>
  <c r="F160" i="11"/>
  <c r="F51" i="10"/>
  <c r="F154" i="5"/>
  <c r="F173" i="5"/>
  <c r="F45" i="11"/>
  <c r="F177" i="5"/>
  <c r="F85" i="5"/>
  <c r="F22" i="10"/>
  <c r="F179" i="11"/>
  <c r="F170" i="11"/>
  <c r="F83" i="10"/>
  <c r="F130" i="11"/>
  <c r="F63" i="10"/>
  <c r="F92" i="10"/>
  <c r="F175" i="5"/>
  <c r="F148" i="5"/>
  <c r="F88" i="11"/>
  <c r="F105" i="11"/>
  <c r="F47" i="5"/>
  <c r="F149" i="5"/>
  <c r="F164" i="11"/>
  <c r="F152" i="10"/>
  <c r="F36" i="5"/>
  <c r="F109" i="10"/>
  <c r="F57" i="5"/>
  <c r="F21" i="11"/>
  <c r="F94" i="10"/>
  <c r="F93" i="5"/>
  <c r="F181" i="5"/>
  <c r="F66" i="10"/>
  <c r="F61" i="10"/>
  <c r="F196" i="11"/>
  <c r="F11" i="11"/>
  <c r="F149" i="11"/>
  <c r="F143" i="5"/>
  <c r="F190" i="5"/>
  <c r="F87" i="11"/>
  <c r="F165" i="10"/>
  <c r="F130" i="5"/>
  <c r="F123" i="5"/>
  <c r="F124" i="11"/>
  <c r="F154" i="11"/>
  <c r="F199" i="10"/>
  <c r="F106" i="11"/>
  <c r="F54" i="11"/>
  <c r="F57" i="10"/>
  <c r="F55" i="5"/>
  <c r="F162" i="11"/>
  <c r="F110" i="11"/>
  <c r="F118" i="11"/>
  <c r="F101" i="5"/>
  <c r="F16" i="10"/>
  <c r="F185" i="5"/>
  <c r="F157" i="10"/>
  <c r="F104" i="10"/>
  <c r="F192" i="11"/>
  <c r="F13" i="5"/>
  <c r="F79" i="10"/>
  <c r="F96" i="10"/>
  <c r="F172" i="11"/>
  <c r="F128" i="11"/>
  <c r="F8" i="5"/>
  <c r="F77" i="10"/>
  <c r="F50" i="10"/>
  <c r="F191" i="11"/>
  <c r="F42" i="11"/>
  <c r="F51" i="5"/>
  <c r="F85" i="10"/>
  <c r="F100" i="11"/>
  <c r="F183" i="10"/>
  <c r="F189" i="5"/>
  <c r="F136" i="5"/>
  <c r="F162" i="5"/>
  <c r="F67" i="11"/>
  <c r="F192" i="5"/>
  <c r="F27" i="11"/>
  <c r="F41" i="11"/>
  <c r="F8" i="6"/>
  <c r="F188" i="10"/>
  <c r="F180" i="5"/>
  <c r="F170" i="10"/>
  <c r="F27" i="10"/>
  <c r="F98" i="5"/>
  <c r="F141" i="10"/>
  <c r="F60" i="11"/>
  <c r="F131" i="10"/>
  <c r="F38" i="5"/>
  <c r="F193" i="10"/>
  <c r="F136" i="10"/>
  <c r="F132" i="11"/>
  <c r="F158" i="11"/>
  <c r="F134" i="11"/>
  <c r="E2" i="10"/>
  <c r="D3" i="5"/>
  <c r="C2" i="11"/>
  <c r="O2" i="11"/>
  <c r="P2" i="11"/>
  <c r="F195" i="11"/>
  <c r="F58" i="11"/>
  <c r="F19" i="5"/>
  <c r="F155" i="11"/>
  <c r="F124" i="10"/>
  <c r="F153" i="5"/>
  <c r="F182" i="11"/>
  <c r="F106" i="10"/>
  <c r="F95" i="5"/>
  <c r="F168" i="10"/>
  <c r="F83" i="5"/>
  <c r="F80" i="11"/>
  <c r="F157" i="5"/>
  <c r="F58" i="10"/>
  <c r="F34" i="10"/>
  <c r="F162" i="10"/>
  <c r="F61" i="11"/>
  <c r="F15" i="10"/>
  <c r="F88" i="10"/>
  <c r="F197" i="10"/>
  <c r="F161" i="10"/>
  <c r="F80" i="10"/>
  <c r="F154" i="10"/>
  <c r="F168" i="5"/>
  <c r="F184" i="5"/>
  <c r="F164" i="10"/>
  <c r="F195" i="10"/>
  <c r="F122" i="5"/>
  <c r="F139" i="10"/>
  <c r="F135" i="10"/>
  <c r="F69" i="11"/>
  <c r="F31" i="11"/>
  <c r="F98" i="11"/>
  <c r="F104" i="5"/>
  <c r="F29" i="11"/>
  <c r="F51" i="11"/>
  <c r="F50" i="11"/>
  <c r="F192" i="10"/>
  <c r="F41" i="10"/>
  <c r="F194" i="10"/>
  <c r="F140" i="5"/>
  <c r="F119" i="5"/>
  <c r="F32" i="11"/>
  <c r="F184" i="10"/>
  <c r="F201" i="11"/>
  <c r="F197" i="11"/>
  <c r="F37" i="5"/>
  <c r="F136" i="11"/>
  <c r="F43" i="10"/>
  <c r="F35" i="10"/>
  <c r="F33" i="5"/>
  <c r="F165" i="11"/>
  <c r="F71" i="11"/>
  <c r="F166" i="10"/>
  <c r="F67" i="5"/>
  <c r="F56" i="11"/>
  <c r="F91" i="11"/>
  <c r="F76" i="10"/>
  <c r="F84" i="11"/>
  <c r="F117" i="10"/>
  <c r="F197" i="5"/>
  <c r="F201" i="5"/>
  <c r="F49" i="11"/>
  <c r="F181" i="10"/>
  <c r="F159" i="11"/>
  <c r="F133" i="10"/>
  <c r="F152" i="5"/>
  <c r="F142" i="10"/>
  <c r="F48" i="10"/>
  <c r="F62" i="5"/>
  <c r="F112" i="10"/>
  <c r="F26" i="5"/>
  <c r="F114" i="11"/>
  <c r="F165" i="5"/>
  <c r="F173" i="11"/>
  <c r="F56" i="5"/>
  <c r="F186" i="11"/>
  <c r="F28" i="11"/>
  <c r="F182" i="5"/>
  <c r="F74" i="10"/>
  <c r="F65" i="11"/>
  <c r="F159" i="5"/>
  <c r="F107" i="10"/>
  <c r="F182" i="10"/>
  <c r="F126" i="11"/>
  <c r="F97" i="10"/>
  <c r="F111" i="10"/>
  <c r="F102" i="10"/>
  <c r="F56" i="10"/>
  <c r="F167" i="5"/>
  <c r="F3" i="10"/>
  <c r="F198" i="11"/>
  <c r="F132" i="5"/>
  <c r="F104" i="11"/>
  <c r="F93" i="10"/>
  <c r="F191" i="5"/>
  <c r="F150" i="11"/>
  <c r="F196" i="10"/>
  <c r="F103" i="11"/>
  <c r="F19" i="10"/>
  <c r="F166" i="11"/>
  <c r="F155" i="5"/>
  <c r="F6" i="10"/>
  <c r="F169" i="10"/>
  <c r="F163" i="10"/>
  <c r="F123" i="10"/>
  <c r="F39" i="10"/>
  <c r="F47" i="10"/>
  <c r="F66" i="5"/>
  <c r="F3" i="11"/>
  <c r="F29" i="5"/>
  <c r="F12" i="6"/>
  <c r="F63" i="11"/>
  <c r="F20" i="11"/>
  <c r="F12" i="10"/>
  <c r="F83" i="11"/>
  <c r="F193" i="11"/>
  <c r="F89" i="10"/>
  <c r="F183" i="11"/>
  <c r="F91" i="5"/>
  <c r="F28" i="5"/>
  <c r="F68" i="10"/>
  <c r="F29" i="10"/>
  <c r="D2" i="10"/>
  <c r="B2" i="10"/>
  <c r="F140" i="11"/>
  <c r="F35" i="5"/>
  <c r="F73" i="5"/>
  <c r="F84" i="5"/>
  <c r="F46" i="5"/>
  <c r="F176" i="11"/>
  <c r="F169" i="5"/>
  <c r="F95" i="10"/>
  <c r="F42" i="5"/>
  <c r="F67" i="10"/>
  <c r="F179" i="5"/>
  <c r="F72" i="10"/>
  <c r="F57" i="11"/>
  <c r="F84" i="10"/>
  <c r="F139" i="11"/>
  <c r="F70" i="11"/>
  <c r="F37" i="11"/>
  <c r="F195" i="5"/>
  <c r="F176" i="10"/>
  <c r="F81" i="11"/>
  <c r="F47" i="11"/>
  <c r="F12" i="11"/>
  <c r="F120" i="11"/>
  <c r="F55" i="11"/>
  <c r="F125" i="10"/>
  <c r="F2" i="10"/>
  <c r="F190" i="10"/>
  <c r="F30" i="11"/>
  <c r="F156" i="10"/>
  <c r="F32" i="10"/>
  <c r="F153" i="10"/>
  <c r="F85" i="11"/>
  <c r="F177" i="10"/>
  <c r="F68" i="5"/>
  <c r="F26" i="11"/>
  <c r="F119" i="10"/>
  <c r="F59" i="11"/>
  <c r="F87" i="5"/>
  <c r="F68" i="11"/>
  <c r="F33" i="10"/>
  <c r="F155" i="10"/>
  <c r="F55" i="10"/>
  <c r="F144" i="10"/>
  <c r="F174" i="10"/>
  <c r="F94" i="11"/>
  <c r="F109" i="11"/>
  <c r="F175" i="10"/>
  <c r="F77" i="5"/>
  <c r="F106" i="5"/>
  <c r="F148" i="11"/>
  <c r="F134" i="10"/>
  <c r="F108" i="11"/>
  <c r="F141" i="11"/>
  <c r="F53" i="5"/>
  <c r="F120" i="5"/>
  <c r="F69" i="10"/>
  <c r="F77" i="11"/>
  <c r="F170" i="5"/>
  <c r="F200" i="10"/>
  <c r="F65" i="10"/>
  <c r="F110" i="10"/>
  <c r="F158" i="10"/>
  <c r="F107" i="11"/>
  <c r="F59" i="5"/>
  <c r="F184" i="11"/>
  <c r="F193" i="5"/>
  <c r="F34" i="5"/>
  <c r="F10" i="5"/>
  <c r="F81" i="5"/>
  <c r="F88" i="5"/>
  <c r="F37" i="10"/>
  <c r="F159" i="10"/>
  <c r="F142" i="5"/>
  <c r="F137" i="5"/>
  <c r="F25" i="5"/>
  <c r="F133" i="11"/>
  <c r="F145" i="10"/>
  <c r="F38" i="10"/>
  <c r="F30" i="10"/>
  <c r="F15" i="5"/>
  <c r="F199" i="11"/>
  <c r="F75" i="10"/>
  <c r="F110" i="5"/>
  <c r="F115" i="5"/>
  <c r="F178" i="11"/>
  <c r="F133" i="5"/>
  <c r="F8" i="10"/>
  <c r="F9" i="11"/>
  <c r="F52" i="10"/>
  <c r="F194" i="5"/>
  <c r="F199" i="5"/>
  <c r="F172" i="5"/>
  <c r="F21" i="5"/>
  <c r="F188" i="5"/>
  <c r="F132" i="10"/>
  <c r="F156" i="11"/>
  <c r="F105" i="5"/>
  <c r="F27" i="5"/>
  <c r="F89" i="11"/>
  <c r="F187" i="11"/>
  <c r="F127" i="11"/>
  <c r="F4" i="5"/>
  <c r="F122" i="11"/>
  <c r="F196" i="5"/>
  <c r="F103" i="10"/>
  <c r="F190" i="11"/>
  <c r="F54" i="5"/>
  <c r="F115" i="11"/>
  <c r="F32" i="5"/>
  <c r="F94" i="5"/>
  <c r="F108" i="5"/>
  <c r="F111" i="11"/>
  <c r="F127" i="10"/>
  <c r="F151" i="11"/>
  <c r="F35" i="11"/>
  <c r="F76" i="11"/>
  <c r="F4" i="10"/>
  <c r="F176" i="5"/>
  <c r="F48" i="5"/>
  <c r="F151" i="5"/>
  <c r="F128" i="5"/>
  <c r="F62" i="10"/>
  <c r="F5" i="10"/>
  <c r="F146" i="10"/>
  <c r="F8" i="11"/>
  <c r="F20" i="10"/>
  <c r="F2" i="11"/>
  <c r="F100" i="10"/>
  <c r="F34" i="11"/>
  <c r="F137" i="10"/>
  <c r="C3" i="5"/>
  <c r="F26" i="10"/>
  <c r="F10" i="11"/>
  <c r="F116" i="10"/>
  <c r="F129" i="10"/>
  <c r="F148" i="10"/>
  <c r="F130" i="10"/>
  <c r="F86" i="5"/>
  <c r="F143" i="11"/>
  <c r="F31" i="5"/>
  <c r="F121" i="5"/>
  <c r="F171" i="11"/>
  <c r="F123" i="11"/>
  <c r="F187" i="10"/>
  <c r="F15" i="11"/>
  <c r="F53" i="10"/>
  <c r="F161" i="5"/>
  <c r="F75" i="11"/>
  <c r="F60" i="5"/>
  <c r="F200" i="11"/>
  <c r="F125" i="11"/>
  <c r="F81" i="10"/>
  <c r="F145" i="11"/>
  <c r="F129" i="11"/>
  <c r="F95" i="11"/>
  <c r="F36" i="11"/>
  <c r="F152" i="11"/>
  <c r="F64" i="11"/>
  <c r="F107" i="5"/>
  <c r="F46" i="11"/>
  <c r="F153" i="11"/>
  <c r="F3" i="6"/>
  <c r="F202" i="10"/>
  <c r="F113" i="10"/>
  <c r="F147" i="10"/>
  <c r="F6" i="5"/>
  <c r="F90" i="10"/>
  <c r="F30" i="5"/>
  <c r="F101" i="11"/>
  <c r="F160" i="5"/>
  <c r="F101" i="10"/>
  <c r="F189" i="10"/>
  <c r="F161" i="11"/>
  <c r="F10" i="10"/>
  <c r="F11" i="6"/>
  <c r="F178" i="10"/>
  <c r="D3" i="6"/>
  <c r="B3" i="5"/>
  <c r="F168" i="11"/>
  <c r="F6" i="6"/>
  <c r="F186" i="10"/>
  <c r="F7" i="6"/>
  <c r="F48" i="11"/>
  <c r="F82" i="11"/>
  <c r="F72" i="5"/>
  <c r="F98" i="10"/>
  <c r="F122" i="10"/>
  <c r="F78" i="11"/>
  <c r="F169" i="11"/>
  <c r="F40" i="5"/>
  <c r="F125" i="5"/>
  <c r="F126" i="5"/>
  <c r="F137" i="11"/>
  <c r="F118" i="10"/>
  <c r="F87" i="10"/>
  <c r="F50" i="5"/>
  <c r="F183" i="5"/>
  <c r="F61" i="5"/>
  <c r="F52" i="5"/>
  <c r="F12" i="5"/>
  <c r="F43" i="5"/>
  <c r="F201" i="10"/>
  <c r="F198" i="10"/>
  <c r="F13" i="10"/>
  <c r="F99" i="11"/>
  <c r="F14" i="5"/>
  <c r="F44" i="10"/>
  <c r="F40" i="10"/>
  <c r="F92" i="5"/>
  <c r="F44" i="11"/>
  <c r="F4" i="11"/>
  <c r="F89" i="5"/>
  <c r="F17" i="11"/>
  <c r="F139" i="5"/>
  <c r="F156" i="5"/>
  <c r="F167" i="11"/>
  <c r="F25" i="10"/>
  <c r="F116" i="5"/>
  <c r="F158" i="5"/>
  <c r="F180" i="11"/>
  <c r="F73" i="11"/>
  <c r="F103" i="5"/>
  <c r="F135" i="11"/>
  <c r="F181" i="11"/>
  <c r="F82" i="10"/>
  <c r="F11" i="10"/>
  <c r="F147" i="11"/>
  <c r="F146" i="5"/>
  <c r="F157" i="11"/>
  <c r="F76" i="5"/>
  <c r="F65" i="5"/>
  <c r="F145" i="5"/>
  <c r="F23" i="11"/>
  <c r="F70" i="10"/>
  <c r="F114" i="10"/>
  <c r="F9" i="5"/>
  <c r="F46" i="10"/>
  <c r="F116" i="11"/>
  <c r="F121" i="11"/>
  <c r="F45" i="10"/>
  <c r="F49" i="10"/>
  <c r="F52" i="11"/>
  <c r="F131" i="11"/>
  <c r="F60" i="10"/>
  <c r="F112" i="5"/>
  <c r="F5" i="5"/>
  <c r="F200" i="5"/>
  <c r="F163" i="5"/>
  <c r="F177" i="11"/>
  <c r="F9" i="6"/>
  <c r="F113" i="11"/>
  <c r="F7" i="11"/>
  <c r="F24" i="5"/>
  <c r="F121" i="10"/>
  <c r="F171" i="5"/>
  <c r="F86" i="11"/>
  <c r="F203" i="5"/>
  <c r="F18" i="10"/>
  <c r="F82" i="5"/>
  <c r="F63" i="5"/>
  <c r="F7" i="10"/>
  <c r="F99" i="5"/>
  <c r="F75" i="5"/>
  <c r="F187" i="5"/>
  <c r="F146" i="11"/>
  <c r="F72" i="11"/>
  <c r="F144" i="11"/>
  <c r="F129" i="5"/>
  <c r="F131" i="5"/>
  <c r="E3" i="6"/>
  <c r="C3" i="6"/>
  <c r="F17" i="5"/>
  <c r="F144" i="5"/>
  <c r="F20" i="5"/>
  <c r="F64" i="5"/>
  <c r="F53" i="11"/>
  <c r="F59" i="10"/>
  <c r="F174" i="5"/>
  <c r="F189" i="11"/>
  <c r="F17" i="10"/>
  <c r="F147" i="5"/>
  <c r="F180" i="10"/>
  <c r="F22" i="11"/>
  <c r="F185" i="11"/>
  <c r="F24" i="11"/>
  <c r="F140" i="10"/>
  <c r="F92" i="11"/>
  <c r="F120" i="10"/>
  <c r="F134" i="5"/>
  <c r="F174" i="11"/>
  <c r="F23" i="5"/>
  <c r="F108" i="10"/>
  <c r="F149" i="10"/>
  <c r="F93" i="11"/>
  <c r="F49" i="5"/>
  <c r="F163" i="11"/>
  <c r="F115" i="10"/>
  <c r="F127" i="5"/>
  <c r="F202" i="5"/>
  <c r="F90" i="5"/>
  <c r="F14" i="11"/>
  <c r="F31" i="10"/>
  <c r="F74" i="11"/>
  <c r="F117" i="11"/>
  <c r="F111" i="5"/>
  <c r="F16" i="5"/>
  <c r="F90" i="11"/>
  <c r="F23" i="10"/>
  <c r="F198" i="5"/>
  <c r="F19" i="11"/>
  <c r="F64" i="10"/>
  <c r="F4" i="6"/>
  <c r="F124" i="5"/>
  <c r="F126" i="10"/>
  <c r="F7" i="5"/>
  <c r="F105" i="10"/>
  <c r="F14" i="10"/>
  <c r="F22" i="5"/>
  <c r="F42" i="10"/>
  <c r="F9" i="10"/>
  <c r="F171" i="10"/>
  <c r="F39" i="11"/>
  <c r="F86" i="10"/>
  <c r="F38" i="11"/>
  <c r="E2" i="11"/>
  <c r="F138" i="11"/>
  <c r="F6" i="11"/>
  <c r="F135" i="5"/>
  <c r="F66" i="11"/>
  <c r="F18" i="5"/>
  <c r="F10" i="6"/>
  <c r="F102" i="11"/>
  <c r="F118" i="5"/>
  <c r="F39" i="5"/>
  <c r="F164" i="5"/>
  <c r="F150" i="10"/>
  <c r="F18" i="11"/>
  <c r="F78" i="5"/>
  <c r="F167" i="10"/>
  <c r="F36" i="10"/>
  <c r="F70" i="5"/>
  <c r="F78" i="10"/>
  <c r="F80" i="5"/>
  <c r="F113" i="5"/>
  <c r="F179" i="10"/>
  <c r="F44" i="5"/>
  <c r="F99" i="10"/>
  <c r="F13" i="11"/>
  <c r="F141" i="5"/>
  <c r="F97" i="11"/>
  <c r="F178" i="5"/>
  <c r="F138" i="5"/>
  <c r="F102" i="5"/>
  <c r="F109" i="5"/>
  <c r="F112" i="11"/>
  <c r="F119" i="11"/>
  <c r="F69" i="5"/>
  <c r="F151" i="10"/>
  <c r="F54" i="10"/>
  <c r="F186" i="5"/>
  <c r="F97" i="5"/>
  <c r="F58" i="5"/>
  <c r="F172" i="10"/>
  <c r="F41" i="5"/>
  <c r="F16" i="11"/>
  <c r="F40" i="11"/>
  <c r="F128" i="10"/>
  <c r="F74" i="5"/>
  <c r="F114" i="5"/>
  <c r="F185" i="10"/>
  <c r="F138" i="10"/>
  <c r="H11" i="6" l="1"/>
  <c r="P11" i="6"/>
  <c r="R11" i="6" s="1"/>
  <c r="T11" i="6"/>
  <c r="AB11" i="6"/>
  <c r="AD11" i="6" s="1"/>
  <c r="AF11" i="6"/>
  <c r="M11" i="6"/>
  <c r="O11" i="6" s="1"/>
  <c r="Q11" i="6"/>
  <c r="Y11" i="6"/>
  <c r="AA11" i="6" s="1"/>
  <c r="AC11" i="6"/>
  <c r="J11" i="6"/>
  <c r="L11" i="6" s="1"/>
  <c r="N11" i="6"/>
  <c r="V11" i="6"/>
  <c r="X11" i="6" s="1"/>
  <c r="Z11" i="6"/>
  <c r="G11" i="6"/>
  <c r="I11" i="6" s="1"/>
  <c r="W11" i="6"/>
  <c r="S11" i="6"/>
  <c r="U11" i="6" s="1"/>
  <c r="K11" i="6"/>
  <c r="AE11" i="6"/>
  <c r="AG11" i="6" s="1"/>
  <c r="M12" i="6"/>
  <c r="O12" i="6" s="1"/>
  <c r="Q12" i="6"/>
  <c r="Y12" i="6"/>
  <c r="AA12" i="6" s="1"/>
  <c r="AC12" i="6"/>
  <c r="J12" i="6"/>
  <c r="L12" i="6" s="1"/>
  <c r="N12" i="6"/>
  <c r="V12" i="6"/>
  <c r="X12" i="6" s="1"/>
  <c r="Z12" i="6"/>
  <c r="G12" i="6"/>
  <c r="I12" i="6" s="1"/>
  <c r="K12" i="6"/>
  <c r="S12" i="6"/>
  <c r="U12" i="6" s="1"/>
  <c r="W12" i="6"/>
  <c r="AE12" i="6"/>
  <c r="AG12" i="6" s="1"/>
  <c r="AB12" i="6"/>
  <c r="AD12" i="6" s="1"/>
  <c r="P12" i="6"/>
  <c r="R12" i="6" s="1"/>
  <c r="AF12" i="6"/>
  <c r="H12" i="6"/>
  <c r="T12" i="6"/>
  <c r="G10" i="6"/>
  <c r="I10" i="6" s="1"/>
  <c r="K10" i="6"/>
  <c r="S10" i="6"/>
  <c r="U10" i="6" s="1"/>
  <c r="W10" i="6"/>
  <c r="AE10" i="6"/>
  <c r="AG10" i="6" s="1"/>
  <c r="H10" i="6"/>
  <c r="P10" i="6"/>
  <c r="R10" i="6" s="1"/>
  <c r="T10" i="6"/>
  <c r="AB10" i="6"/>
  <c r="AD10" i="6" s="1"/>
  <c r="AF10" i="6"/>
  <c r="J10" i="6"/>
  <c r="L10" i="6" s="1"/>
  <c r="M10" i="6"/>
  <c r="O10" i="6" s="1"/>
  <c r="Q10" i="6"/>
  <c r="Y10" i="6"/>
  <c r="AA10" i="6" s="1"/>
  <c r="AC10" i="6"/>
  <c r="N10" i="6"/>
  <c r="V10" i="6"/>
  <c r="X10" i="6" s="1"/>
  <c r="Z10" i="6"/>
  <c r="J9" i="6"/>
  <c r="L9" i="6" s="1"/>
  <c r="N9" i="6"/>
  <c r="V9" i="6"/>
  <c r="X9" i="6" s="1"/>
  <c r="Z9" i="6"/>
  <c r="G9" i="6"/>
  <c r="I9" i="6" s="1"/>
  <c r="K9" i="6"/>
  <c r="S9" i="6"/>
  <c r="U9" i="6" s="1"/>
  <c r="W9" i="6"/>
  <c r="AE9" i="6"/>
  <c r="AG9" i="6" s="1"/>
  <c r="Q9" i="6"/>
  <c r="Y9" i="6"/>
  <c r="AA9" i="6" s="1"/>
  <c r="H9" i="6"/>
  <c r="P9" i="6"/>
  <c r="R9" i="6" s="1"/>
  <c r="T9" i="6"/>
  <c r="AB9" i="6"/>
  <c r="AD9" i="6" s="1"/>
  <c r="AF9" i="6"/>
  <c r="M9" i="6"/>
  <c r="O9" i="6" s="1"/>
  <c r="AC9" i="6"/>
  <c r="AH8" i="5"/>
  <c r="AH7" i="5"/>
  <c r="AH10" i="5"/>
  <c r="AH6" i="5"/>
  <c r="AH11" i="5"/>
  <c r="AH13" i="6"/>
  <c r="AJ13" i="6"/>
  <c r="AI13" i="6"/>
  <c r="AJ6" i="6"/>
  <c r="AH6" i="6"/>
  <c r="AI6" i="6"/>
  <c r="AI4" i="6"/>
  <c r="AH4" i="6"/>
  <c r="AJ4" i="6"/>
  <c r="AJ7" i="6"/>
  <c r="AH7" i="6"/>
  <c r="AI7" i="6"/>
  <c r="AJ11" i="6"/>
  <c r="AI11" i="6"/>
  <c r="AH11" i="6"/>
  <c r="AI8" i="6"/>
  <c r="AH8" i="6"/>
  <c r="AJ8" i="6"/>
  <c r="AH12" i="6"/>
  <c r="AJ12" i="6"/>
  <c r="AI12" i="6"/>
  <c r="AH12" i="5"/>
  <c r="AH13" i="5"/>
  <c r="AH10" i="6"/>
  <c r="AJ10" i="6"/>
  <c r="AI10" i="6"/>
  <c r="AH4" i="5"/>
  <c r="AH5" i="5"/>
  <c r="AI9" i="6"/>
  <c r="AH9" i="6"/>
  <c r="AJ9" i="6"/>
  <c r="AI5" i="6"/>
  <c r="AH5" i="6"/>
  <c r="AJ5" i="6"/>
  <c r="AH9" i="5"/>
  <c r="L14" i="10"/>
  <c r="M14" i="10" s="1"/>
  <c r="N14" i="10" s="1"/>
  <c r="L78" i="10"/>
  <c r="M78" i="10" s="1"/>
  <c r="N78" i="10" s="1"/>
  <c r="L63" i="10"/>
  <c r="O63" i="10" s="1"/>
  <c r="L159" i="10"/>
  <c r="O159" i="10" s="1"/>
  <c r="L67" i="10"/>
  <c r="M67" i="10" s="1"/>
  <c r="N67" i="10" s="1"/>
  <c r="L156" i="10"/>
  <c r="P156" i="10" s="1"/>
  <c r="L116" i="10"/>
  <c r="M116" i="10" s="1"/>
  <c r="N116" i="10" s="1"/>
  <c r="L119" i="10"/>
  <c r="O119" i="10" s="1"/>
  <c r="L69" i="10"/>
  <c r="P69" i="10" s="1"/>
  <c r="L19" i="10"/>
  <c r="M19" i="10" s="1"/>
  <c r="N19" i="10" s="1"/>
  <c r="L174" i="10"/>
  <c r="O174" i="10" s="1"/>
  <c r="L22" i="10"/>
  <c r="L138" i="10"/>
  <c r="O138" i="10" s="1"/>
  <c r="L91" i="10"/>
  <c r="P91" i="10" s="1"/>
  <c r="L170" i="10"/>
  <c r="P170" i="10" s="1"/>
  <c r="L108" i="10"/>
  <c r="M108" i="10" s="1"/>
  <c r="N108" i="10" s="1"/>
  <c r="L40" i="10"/>
  <c r="M40" i="10" s="1"/>
  <c r="N40" i="10" s="1"/>
  <c r="L87" i="10"/>
  <c r="O87" i="10" s="1"/>
  <c r="L80" i="10"/>
  <c r="P80" i="10" s="1"/>
  <c r="L120" i="10"/>
  <c r="P120" i="10" s="1"/>
  <c r="L124" i="10"/>
  <c r="P124" i="10" s="1"/>
  <c r="L125" i="10"/>
  <c r="O125" i="10" s="1"/>
  <c r="L191" i="10"/>
  <c r="P191" i="10" s="1"/>
  <c r="L77" i="10"/>
  <c r="O77" i="10" s="1"/>
  <c r="L55" i="10"/>
  <c r="L72" i="10"/>
  <c r="O72" i="10" s="1"/>
  <c r="L105" i="10"/>
  <c r="P105" i="10" s="1"/>
  <c r="L158" i="10"/>
  <c r="P158" i="10" s="1"/>
  <c r="L152" i="10"/>
  <c r="P152" i="10" s="1"/>
  <c r="L134" i="10"/>
  <c r="O134" i="10" s="1"/>
  <c r="L83" i="10"/>
  <c r="M83" i="10" s="1"/>
  <c r="N83" i="10" s="1"/>
  <c r="L183" i="10"/>
  <c r="P183" i="10" s="1"/>
  <c r="L53" i="10"/>
  <c r="L26" i="10"/>
  <c r="M26" i="10" s="1"/>
  <c r="N26" i="10" s="1"/>
  <c r="L168" i="10"/>
  <c r="M168" i="10" s="1"/>
  <c r="N168" i="10" s="1"/>
  <c r="L61" i="10"/>
  <c r="P61" i="10" s="1"/>
  <c r="L115" i="10"/>
  <c r="P115" i="10" s="1"/>
  <c r="L36" i="10"/>
  <c r="M36" i="10" s="1"/>
  <c r="N36" i="10" s="1"/>
  <c r="L179" i="10"/>
  <c r="P179" i="10" s="1"/>
  <c r="L96" i="10"/>
  <c r="P96" i="10" s="1"/>
  <c r="L164" i="10"/>
  <c r="P164" i="10" s="1"/>
  <c r="L144" i="10"/>
  <c r="M144" i="10" s="1"/>
  <c r="N144" i="10" s="1"/>
  <c r="L51" i="10"/>
  <c r="M51" i="10" s="1"/>
  <c r="N51" i="10" s="1"/>
  <c r="L150" i="10"/>
  <c r="P150" i="10" s="1"/>
  <c r="L6" i="10"/>
  <c r="M6" i="10" s="1"/>
  <c r="L199" i="10"/>
  <c r="M199" i="10" s="1"/>
  <c r="N199" i="10" s="1"/>
  <c r="L33" i="10"/>
  <c r="L9" i="10"/>
  <c r="L136" i="10"/>
  <c r="P136" i="10" s="1"/>
  <c r="L102" i="10"/>
  <c r="M102" i="10" s="1"/>
  <c r="N102" i="10" s="1"/>
  <c r="L25" i="10"/>
  <c r="M25" i="10" s="1"/>
  <c r="N25" i="10" s="1"/>
  <c r="L181" i="10"/>
  <c r="O181" i="10" s="1"/>
  <c r="L132" i="10"/>
  <c r="P132" i="10" s="1"/>
  <c r="L8" i="10"/>
  <c r="L198" i="10"/>
  <c r="P198" i="10" s="1"/>
  <c r="L122" i="10"/>
  <c r="P122" i="10" s="1"/>
  <c r="L139" i="10"/>
  <c r="M139" i="10" s="1"/>
  <c r="N139" i="10" s="1"/>
  <c r="L3" i="10"/>
  <c r="M3" i="10" s="1"/>
  <c r="N3" i="10" s="1"/>
  <c r="L185" i="10"/>
  <c r="M185" i="10" s="1"/>
  <c r="N185" i="10" s="1"/>
  <c r="L84" i="10"/>
  <c r="P84" i="10" s="1"/>
  <c r="L195" i="10"/>
  <c r="O195" i="10" s="1"/>
  <c r="L97" i="10"/>
  <c r="M97" i="10" s="1"/>
  <c r="N97" i="10" s="1"/>
  <c r="L167" i="10"/>
  <c r="M167" i="10" s="1"/>
  <c r="N167" i="10" s="1"/>
  <c r="L184" i="10"/>
  <c r="P184" i="10" s="1"/>
  <c r="L109" i="10"/>
  <c r="P109" i="10" s="1"/>
  <c r="L34" i="10"/>
  <c r="M200" i="10"/>
  <c r="N200" i="10" s="1"/>
  <c r="L177" i="10"/>
  <c r="P177" i="10" s="1"/>
  <c r="L42" i="10"/>
  <c r="M42" i="10" s="1"/>
  <c r="N42" i="10" s="1"/>
  <c r="L165" i="10"/>
  <c r="P165" i="10" s="1"/>
  <c r="L162" i="10"/>
  <c r="O162" i="10" s="1"/>
  <c r="L20" i="10"/>
  <c r="L100" i="10"/>
  <c r="O100" i="10" s="1"/>
  <c r="L171" i="10"/>
  <c r="P171" i="10" s="1"/>
  <c r="L17" i="10"/>
  <c r="L56" i="10"/>
  <c r="L73" i="10"/>
  <c r="P73" i="10" s="1"/>
  <c r="L176" i="10"/>
  <c r="P176" i="10" s="1"/>
  <c r="L173" i="10"/>
  <c r="P173" i="10" s="1"/>
  <c r="L10" i="10"/>
  <c r="L32" i="10"/>
  <c r="L75" i="10"/>
  <c r="P75" i="10" s="1"/>
  <c r="L2" i="10"/>
  <c r="L12" i="10"/>
  <c r="L65" i="10"/>
  <c r="P65" i="10" s="1"/>
  <c r="L193" i="10"/>
  <c r="P193" i="10" s="1"/>
  <c r="L113" i="10"/>
  <c r="M113" i="10" s="1"/>
  <c r="N113" i="10" s="1"/>
  <c r="L27" i="10"/>
  <c r="M27" i="10" s="1"/>
  <c r="N27" i="10" s="1"/>
  <c r="L111" i="10"/>
  <c r="P111" i="10" s="1"/>
  <c r="L41" i="10"/>
  <c r="L28" i="10"/>
  <c r="M28" i="10" s="1"/>
  <c r="N28" i="10" s="1"/>
  <c r="L95" i="10"/>
  <c r="P95" i="10" s="1"/>
  <c r="L29" i="10"/>
  <c r="M29" i="10" s="1"/>
  <c r="N29" i="10" s="1"/>
  <c r="L143" i="10"/>
  <c r="P143" i="10" s="1"/>
  <c r="L110" i="10"/>
  <c r="M110" i="10" s="1"/>
  <c r="N110" i="10" s="1"/>
  <c r="L196" i="10"/>
  <c r="M196" i="10" s="1"/>
  <c r="N196" i="10" s="1"/>
  <c r="L169" i="10"/>
  <c r="O169" i="10" s="1"/>
  <c r="L180" i="10"/>
  <c r="O180" i="10" s="1"/>
  <c r="L38" i="10"/>
  <c r="M38" i="10" s="1"/>
  <c r="N38" i="10" s="1"/>
  <c r="L114" i="10"/>
  <c r="O114" i="10" s="1"/>
  <c r="L71" i="10"/>
  <c r="O71" i="10" s="1"/>
  <c r="L160" i="10"/>
  <c r="P160" i="10" s="1"/>
  <c r="L5" i="10"/>
  <c r="L45" i="10"/>
  <c r="L140" i="10"/>
  <c r="P140" i="10" s="1"/>
  <c r="L59" i="10"/>
  <c r="M59" i="10" s="1"/>
  <c r="N59" i="10" s="1"/>
  <c r="L60" i="10"/>
  <c r="P60" i="10" s="1"/>
  <c r="L70" i="10"/>
  <c r="M70" i="10" s="1"/>
  <c r="N70" i="10" s="1"/>
  <c r="L186" i="10"/>
  <c r="P186" i="10" s="1"/>
  <c r="L106" i="10"/>
  <c r="P106" i="10" s="1"/>
  <c r="L103" i="10"/>
  <c r="M103" i="10" s="1"/>
  <c r="N103" i="10" s="1"/>
  <c r="L93" i="10"/>
  <c r="P93" i="10" s="1"/>
  <c r="L137" i="10"/>
  <c r="P137" i="10" s="1"/>
  <c r="L18" i="10"/>
  <c r="M18" i="10" s="1"/>
  <c r="N18" i="10" s="1"/>
  <c r="L31" i="10"/>
  <c r="M31" i="10" s="1"/>
  <c r="N31" i="10" s="1"/>
  <c r="L46" i="10"/>
  <c r="M46" i="10" s="1"/>
  <c r="N46" i="10" s="1"/>
  <c r="L79" i="10"/>
  <c r="P79" i="10" s="1"/>
  <c r="L81" i="10"/>
  <c r="O81" i="10" s="1"/>
  <c r="L37" i="10"/>
  <c r="M37" i="10" s="1"/>
  <c r="N37" i="10" s="1"/>
  <c r="L49" i="10"/>
  <c r="L94" i="10"/>
  <c r="O94" i="10" s="1"/>
  <c r="L44" i="10"/>
  <c r="M44" i="10" s="1"/>
  <c r="N44" i="10" s="1"/>
  <c r="L147" i="10"/>
  <c r="P147" i="10" s="1"/>
  <c r="P200" i="10"/>
  <c r="L155" i="10"/>
  <c r="P155" i="10" s="1"/>
  <c r="L161" i="10"/>
  <c r="O161" i="10" s="1"/>
  <c r="L128" i="10"/>
  <c r="P128" i="10" s="1"/>
  <c r="L57" i="10"/>
  <c r="M57" i="10" s="1"/>
  <c r="N57" i="10" s="1"/>
  <c r="L86" i="10"/>
  <c r="P86" i="10" s="1"/>
  <c r="L151" i="10"/>
  <c r="P151" i="10" s="1"/>
  <c r="L21" i="10"/>
  <c r="L192" i="10"/>
  <c r="P192" i="10" s="1"/>
  <c r="L48" i="10"/>
  <c r="L142" i="10"/>
  <c r="O142" i="10" s="1"/>
  <c r="L16" i="10"/>
  <c r="L64" i="10"/>
  <c r="P64" i="10" s="1"/>
  <c r="L148" i="10"/>
  <c r="P148" i="10" s="1"/>
  <c r="L47" i="10"/>
  <c r="L54" i="10"/>
  <c r="M54" i="10" s="1"/>
  <c r="N54" i="10" s="1"/>
  <c r="L172" i="10"/>
  <c r="P172" i="10" s="1"/>
  <c r="L117" i="10"/>
  <c r="P117" i="10" s="1"/>
  <c r="L30" i="10"/>
  <c r="M30" i="10" s="1"/>
  <c r="N30" i="10" s="1"/>
  <c r="L107" i="10"/>
  <c r="M107" i="10" s="1"/>
  <c r="N107" i="10" s="1"/>
  <c r="L68" i="10"/>
  <c r="M68" i="10" s="1"/>
  <c r="N68" i="10" s="1"/>
  <c r="L92" i="10"/>
  <c r="P92" i="10" s="1"/>
  <c r="L121" i="10"/>
  <c r="P121" i="10" s="1"/>
  <c r="L104" i="10"/>
  <c r="P104" i="10" s="1"/>
  <c r="L133" i="10"/>
  <c r="M133" i="10" s="1"/>
  <c r="N133" i="10" s="1"/>
  <c r="L88" i="10"/>
  <c r="O88" i="10" s="1"/>
  <c r="L58" i="10"/>
  <c r="M58" i="10" s="1"/>
  <c r="N58" i="10" s="1"/>
  <c r="L52" i="10"/>
  <c r="L189" i="10"/>
  <c r="O189" i="10" s="1"/>
  <c r="L11" i="10"/>
  <c r="M11" i="10" s="1"/>
  <c r="N11" i="10" s="1"/>
  <c r="L175" i="10"/>
  <c r="P175" i="10" s="1"/>
  <c r="L130" i="10"/>
  <c r="P130" i="10" s="1"/>
  <c r="L43" i="10"/>
  <c r="L145" i="10"/>
  <c r="M145" i="10" s="1"/>
  <c r="N145" i="10" s="1"/>
  <c r="L112" i="10"/>
  <c r="M112" i="10" s="1"/>
  <c r="N112" i="10" s="1"/>
  <c r="L50" i="10"/>
  <c r="L123" i="10"/>
  <c r="P123" i="10" s="1"/>
  <c r="L66" i="10"/>
  <c r="P66" i="10" s="1"/>
  <c r="L202" i="10"/>
  <c r="M202" i="10" s="1"/>
  <c r="N202" i="10" s="1"/>
  <c r="L24" i="10"/>
  <c r="L99" i="10"/>
  <c r="P99" i="10" s="1"/>
  <c r="L13" i="10"/>
  <c r="L39" i="10"/>
  <c r="L178" i="10"/>
  <c r="O178" i="10" s="1"/>
  <c r="L166" i="10"/>
  <c r="M166" i="10" s="1"/>
  <c r="N166" i="10" s="1"/>
  <c r="L129" i="10"/>
  <c r="P129" i="10" s="1"/>
  <c r="L187" i="10"/>
  <c r="O187" i="10" s="1"/>
  <c r="L82" i="10"/>
  <c r="O82" i="10" s="1"/>
  <c r="L7" i="10"/>
  <c r="M7" i="10" s="1"/>
  <c r="N7" i="10" s="1"/>
  <c r="L23" i="10"/>
  <c r="L182" i="10"/>
  <c r="O182" i="10" s="1"/>
  <c r="L201" i="10"/>
  <c r="P201" i="10" s="1"/>
  <c r="L126" i="10"/>
  <c r="P126" i="10" s="1"/>
  <c r="L118" i="10"/>
  <c r="P118" i="10" s="1"/>
  <c r="L76" i="10"/>
  <c r="P76" i="10" s="1"/>
  <c r="L154" i="10"/>
  <c r="P154" i="10" s="1"/>
  <c r="L197" i="10"/>
  <c r="P197" i="10" s="1"/>
  <c r="L141" i="10"/>
  <c r="P141" i="10" s="1"/>
  <c r="L153" i="10"/>
  <c r="M153" i="10" s="1"/>
  <c r="N153" i="10" s="1"/>
  <c r="L127" i="10"/>
  <c r="M127" i="10" s="1"/>
  <c r="N127" i="10" s="1"/>
  <c r="L62" i="10"/>
  <c r="M62" i="10" s="1"/>
  <c r="N62" i="10" s="1"/>
  <c r="L98" i="10"/>
  <c r="P98" i="10" s="1"/>
  <c r="L15" i="10"/>
  <c r="L190" i="10"/>
  <c r="O190" i="10" s="1"/>
  <c r="L89" i="10"/>
  <c r="P89" i="10" s="1"/>
  <c r="L74" i="10"/>
  <c r="P74" i="10" s="1"/>
  <c r="L149" i="10"/>
  <c r="P149" i="10" s="1"/>
  <c r="L4" i="10"/>
  <c r="L101" i="10"/>
  <c r="M101" i="10" s="1"/>
  <c r="N101" i="10" s="1"/>
  <c r="L146" i="10"/>
  <c r="P146" i="10" s="1"/>
  <c r="L90" i="10"/>
  <c r="M90" i="10" s="1"/>
  <c r="N90" i="10" s="1"/>
  <c r="L188" i="10"/>
  <c r="P188" i="10" s="1"/>
  <c r="L85" i="10"/>
  <c r="M85" i="10" s="1"/>
  <c r="N85" i="10" s="1"/>
  <c r="L157" i="10"/>
  <c r="M157" i="10" s="1"/>
  <c r="N157" i="10" s="1"/>
  <c r="L163" i="10"/>
  <c r="M163" i="10" s="1"/>
  <c r="N163" i="10" s="1"/>
  <c r="L135" i="10"/>
  <c r="O135" i="10" s="1"/>
  <c r="L194" i="10"/>
  <c r="O194" i="10" s="1"/>
  <c r="L131" i="10"/>
  <c r="M131" i="10" s="1"/>
  <c r="N131" i="10" s="1"/>
  <c r="L35" i="10"/>
  <c r="M35" i="10" s="1"/>
  <c r="N35" i="10" s="1"/>
  <c r="O10" i="5"/>
  <c r="N10" i="5"/>
  <c r="R10" i="5"/>
  <c r="W10" i="5"/>
  <c r="K10" i="5"/>
  <c r="M10" i="5"/>
  <c r="U11" i="5"/>
  <c r="AD11" i="5"/>
  <c r="I11" i="5"/>
  <c r="AB11" i="5"/>
  <c r="AC11" i="5"/>
  <c r="T11" i="5"/>
  <c r="Q11" i="5"/>
  <c r="AD12" i="5"/>
  <c r="R12" i="5"/>
  <c r="AG12" i="5"/>
  <c r="AF12" i="5"/>
  <c r="Z12" i="5"/>
  <c r="V12" i="5"/>
  <c r="J12" i="5"/>
  <c r="AG9" i="5"/>
  <c r="H9" i="5"/>
  <c r="AC9" i="5"/>
  <c r="L9" i="5"/>
  <c r="K9" i="5"/>
  <c r="W9" i="5"/>
  <c r="M9" i="5"/>
  <c r="AA9" i="5"/>
  <c r="J9" i="5"/>
  <c r="L12" i="5"/>
  <c r="U12" i="5"/>
  <c r="P12" i="5"/>
  <c r="AC12" i="5"/>
  <c r="I9" i="5"/>
  <c r="AE9" i="5"/>
  <c r="N9" i="5"/>
  <c r="AF10" i="5"/>
  <c r="X10" i="5"/>
  <c r="Q10" i="5"/>
  <c r="J10" i="5"/>
  <c r="N11" i="5"/>
  <c r="W11" i="5"/>
  <c r="M12" i="5"/>
  <c r="S12" i="5"/>
  <c r="N12" i="5"/>
  <c r="O9" i="5"/>
  <c r="X9" i="5"/>
  <c r="Y9" i="5"/>
  <c r="AG10" i="5"/>
  <c r="I10" i="5"/>
  <c r="AC10" i="5"/>
  <c r="L10" i="5"/>
  <c r="AB10" i="5"/>
  <c r="P10" i="5"/>
  <c r="V10" i="5"/>
  <c r="O11" i="5"/>
  <c r="X11" i="5"/>
  <c r="AE11" i="5"/>
  <c r="K11" i="5"/>
  <c r="V11" i="5"/>
  <c r="S11" i="5"/>
  <c r="X12" i="5"/>
  <c r="I12" i="5"/>
  <c r="AA12" i="5"/>
  <c r="W12" i="5"/>
  <c r="K12" i="5"/>
  <c r="AB12" i="5"/>
  <c r="Q12" i="5"/>
  <c r="U9" i="5"/>
  <c r="V9" i="5"/>
  <c r="G9" i="5"/>
  <c r="P9" i="5"/>
  <c r="Z9" i="5"/>
  <c r="AE12" i="5"/>
  <c r="Y12" i="5"/>
  <c r="G12" i="5"/>
  <c r="R9" i="5"/>
  <c r="AD9" i="5"/>
  <c r="T9" i="5"/>
  <c r="S9" i="5"/>
  <c r="U10" i="5"/>
  <c r="T10" i="5"/>
  <c r="S10" i="5"/>
  <c r="AA11" i="5"/>
  <c r="Z11" i="5"/>
  <c r="P11" i="5"/>
  <c r="H12" i="5"/>
  <c r="O12" i="5"/>
  <c r="T12" i="5"/>
  <c r="AF9" i="5"/>
  <c r="Q9" i="5"/>
  <c r="AB9" i="5"/>
  <c r="AA10" i="5"/>
  <c r="H10" i="5"/>
  <c r="AD10" i="5"/>
  <c r="AE10" i="5"/>
  <c r="Y10" i="5"/>
  <c r="G10" i="5"/>
  <c r="Z10" i="5"/>
  <c r="AG11" i="5"/>
  <c r="AF11" i="5"/>
  <c r="L11" i="5"/>
  <c r="R11" i="5"/>
  <c r="G11" i="5"/>
  <c r="Y11" i="5"/>
  <c r="J11" i="5"/>
  <c r="H11" i="5"/>
  <c r="M11" i="5"/>
  <c r="G6" i="6"/>
  <c r="AE6" i="6"/>
  <c r="P6" i="6"/>
  <c r="N6" i="6"/>
  <c r="AC6" i="6"/>
  <c r="T7" i="6"/>
  <c r="Q7" i="6"/>
  <c r="W7" i="6"/>
  <c r="Z7" i="6"/>
  <c r="M8" i="6"/>
  <c r="J8" i="6"/>
  <c r="H8" i="6"/>
  <c r="K8" i="6"/>
  <c r="P8" i="6"/>
  <c r="K6" i="6"/>
  <c r="V6" i="6"/>
  <c r="T6" i="6"/>
  <c r="M6" i="6"/>
  <c r="J6" i="6"/>
  <c r="AB7" i="6"/>
  <c r="Y7" i="6"/>
  <c r="J7" i="6"/>
  <c r="K7" i="6"/>
  <c r="Q8" i="6"/>
  <c r="N8" i="6"/>
  <c r="T8" i="6"/>
  <c r="S8" i="6"/>
  <c r="AB8" i="6"/>
  <c r="S6" i="6"/>
  <c r="Z6" i="6"/>
  <c r="AB6" i="6"/>
  <c r="Q6" i="6"/>
  <c r="H7" i="6"/>
  <c r="AF7" i="6"/>
  <c r="AC7" i="6"/>
  <c r="N7" i="6"/>
  <c r="S7" i="6"/>
  <c r="Y8" i="6"/>
  <c r="V8" i="6"/>
  <c r="AF8" i="6"/>
  <c r="W8" i="6"/>
  <c r="W6" i="6"/>
  <c r="H6" i="6"/>
  <c r="AF6" i="6"/>
  <c r="Y6" i="6"/>
  <c r="P7" i="6"/>
  <c r="M7" i="6"/>
  <c r="G7" i="6"/>
  <c r="V7" i="6"/>
  <c r="AE7" i="6"/>
  <c r="AC8" i="6"/>
  <c r="Z8" i="6"/>
  <c r="G8" i="6"/>
  <c r="AE8" i="6"/>
  <c r="O7" i="5"/>
  <c r="Z7" i="5"/>
  <c r="R5" i="5"/>
  <c r="AA6" i="5"/>
  <c r="P6" i="5"/>
  <c r="V4" i="6"/>
  <c r="H4" i="6"/>
  <c r="W4" i="5"/>
  <c r="X8" i="5"/>
  <c r="AB8" i="5"/>
  <c r="Q5" i="6"/>
  <c r="AA5" i="5"/>
  <c r="O6" i="5"/>
  <c r="AC4" i="5"/>
  <c r="N8" i="5"/>
  <c r="AB5" i="6"/>
  <c r="J5" i="5"/>
  <c r="Z4" i="6"/>
  <c r="O4" i="5"/>
  <c r="Y8" i="5"/>
  <c r="AF7" i="5"/>
  <c r="AB7" i="5"/>
  <c r="H5" i="5"/>
  <c r="AB5" i="5"/>
  <c r="H6" i="5"/>
  <c r="AE4" i="6"/>
  <c r="G4" i="6"/>
  <c r="U4" i="5"/>
  <c r="Q4" i="5"/>
  <c r="Q8" i="5"/>
  <c r="AE5" i="6"/>
  <c r="Z5" i="6"/>
  <c r="Y5" i="5"/>
  <c r="AC6" i="5"/>
  <c r="AE4" i="5"/>
  <c r="U8" i="5"/>
  <c r="Y5" i="6"/>
  <c r="Y7" i="5"/>
  <c r="M5" i="5"/>
  <c r="Y4" i="5"/>
  <c r="O8" i="5"/>
  <c r="AE5" i="5"/>
  <c r="M7" i="5"/>
  <c r="P7" i="5"/>
  <c r="N7" i="5"/>
  <c r="AD5" i="5"/>
  <c r="P5" i="5"/>
  <c r="AF6" i="5"/>
  <c r="Q6" i="5"/>
  <c r="L4" i="5"/>
  <c r="T4" i="5"/>
  <c r="AG8" i="5"/>
  <c r="P8" i="5"/>
  <c r="I5" i="5"/>
  <c r="Z6" i="5"/>
  <c r="S4" i="5"/>
  <c r="K5" i="6"/>
  <c r="AE7" i="5"/>
  <c r="L6" i="5"/>
  <c r="M4" i="5"/>
  <c r="S8" i="5"/>
  <c r="T5" i="6"/>
  <c r="AA7" i="5"/>
  <c r="V7" i="5"/>
  <c r="G5" i="5"/>
  <c r="R6" i="5"/>
  <c r="V6" i="5"/>
  <c r="P4" i="6"/>
  <c r="J4" i="6"/>
  <c r="N4" i="5"/>
  <c r="H8" i="5"/>
  <c r="M8" i="5"/>
  <c r="M5" i="6"/>
  <c r="AE6" i="5"/>
  <c r="AC4" i="6"/>
  <c r="AA4" i="5"/>
  <c r="Z8" i="5"/>
  <c r="W5" i="6"/>
  <c r="AG6" i="5"/>
  <c r="AB4" i="6"/>
  <c r="AF4" i="5"/>
  <c r="V8" i="5"/>
  <c r="AC5" i="6"/>
  <c r="U5" i="5"/>
  <c r="L7" i="5"/>
  <c r="S5" i="5"/>
  <c r="W5" i="5"/>
  <c r="I6" i="5"/>
  <c r="AG4" i="5"/>
  <c r="V4" i="5"/>
  <c r="AE8" i="5"/>
  <c r="G5" i="6"/>
  <c r="V5" i="6"/>
  <c r="K5" i="5"/>
  <c r="Y6" i="5"/>
  <c r="AD4" i="5"/>
  <c r="L8" i="5"/>
  <c r="J7" i="5"/>
  <c r="T6" i="5"/>
  <c r="Y4" i="6"/>
  <c r="AB4" i="5"/>
  <c r="T7" i="5"/>
  <c r="AC7" i="5"/>
  <c r="O5" i="5"/>
  <c r="U6" i="5"/>
  <c r="M6" i="5"/>
  <c r="Z4" i="5"/>
  <c r="R8" i="5"/>
  <c r="K8" i="5"/>
  <c r="N5" i="6"/>
  <c r="L5" i="5"/>
  <c r="X6" i="5"/>
  <c r="AF4" i="6"/>
  <c r="P4" i="5"/>
  <c r="T8" i="5"/>
  <c r="H5" i="6"/>
  <c r="U7" i="5"/>
  <c r="K6" i="5"/>
  <c r="Q4" i="6"/>
  <c r="G4" i="5"/>
  <c r="G8" i="5"/>
  <c r="AD7" i="5"/>
  <c r="K7" i="5"/>
  <c r="Q5" i="5"/>
  <c r="AG7" i="5"/>
  <c r="R7" i="5"/>
  <c r="S7" i="5"/>
  <c r="AC5" i="5"/>
  <c r="T5" i="5"/>
  <c r="S6" i="5"/>
  <c r="K4" i="6"/>
  <c r="S4" i="6"/>
  <c r="H4" i="5"/>
  <c r="K4" i="5"/>
  <c r="W8" i="5"/>
  <c r="P5" i="6"/>
  <c r="V5" i="5"/>
  <c r="M4" i="6"/>
  <c r="R4" i="5"/>
  <c r="J8" i="5"/>
  <c r="AF5" i="6"/>
  <c r="Q7" i="5"/>
  <c r="AF5" i="5"/>
  <c r="AB6" i="5"/>
  <c r="X4" i="5"/>
  <c r="AF8" i="5"/>
  <c r="S5" i="6"/>
  <c r="H7" i="5"/>
  <c r="X5" i="5"/>
  <c r="Z5" i="5"/>
  <c r="AD6" i="5"/>
  <c r="W6" i="5"/>
  <c r="N4" i="6"/>
  <c r="I4" i="5"/>
  <c r="J4" i="5"/>
  <c r="AA8" i="5"/>
  <c r="AC8" i="5"/>
  <c r="J5" i="6"/>
  <c r="L5" i="6" s="1"/>
  <c r="AG5" i="5"/>
  <c r="G6" i="5"/>
  <c r="T4" i="6"/>
  <c r="I8" i="5"/>
  <c r="W7" i="5"/>
  <c r="N5" i="5"/>
  <c r="J6" i="5"/>
  <c r="W4" i="6"/>
  <c r="AD8" i="5"/>
  <c r="I7" i="5"/>
  <c r="X7" i="5"/>
  <c r="N6" i="5"/>
  <c r="G7" i="5"/>
  <c r="AF3" i="5"/>
  <c r="Z3" i="6"/>
  <c r="G3" i="5"/>
  <c r="AB3" i="5"/>
  <c r="AD3" i="5"/>
  <c r="J3" i="5"/>
  <c r="H3" i="6"/>
  <c r="AE3" i="5"/>
  <c r="AF3" i="6"/>
  <c r="U3" i="5"/>
  <c r="AB3" i="6"/>
  <c r="T3" i="5"/>
  <c r="V3" i="5"/>
  <c r="Y3" i="5"/>
  <c r="Q3" i="5"/>
  <c r="H3" i="5"/>
  <c r="S3" i="6"/>
  <c r="J3" i="6"/>
  <c r="W3" i="5"/>
  <c r="AG3" i="5"/>
  <c r="Z3" i="5"/>
  <c r="M3" i="6"/>
  <c r="R3" i="5"/>
  <c r="V3" i="6"/>
  <c r="W3" i="6"/>
  <c r="M3" i="5"/>
  <c r="G3" i="6"/>
  <c r="N3" i="6"/>
  <c r="T3" i="6"/>
  <c r="AC3" i="5"/>
  <c r="O3" i="5"/>
  <c r="K3" i="6"/>
  <c r="AE3" i="6"/>
  <c r="K3" i="5"/>
  <c r="X3" i="5"/>
  <c r="N3" i="5"/>
  <c r="L3" i="5"/>
  <c r="I3" i="5"/>
  <c r="AA3" i="5"/>
  <c r="AC3" i="6"/>
  <c r="Y3" i="6"/>
  <c r="S3" i="5"/>
  <c r="P3" i="6"/>
  <c r="P3" i="5"/>
  <c r="Q3" i="6"/>
  <c r="AG8" i="6" l="1"/>
  <c r="AG7" i="6"/>
  <c r="X7" i="6"/>
  <c r="AA6" i="6"/>
  <c r="X8" i="6"/>
  <c r="AA8" i="6"/>
  <c r="U7" i="6"/>
  <c r="AD6" i="6"/>
  <c r="U6" i="6"/>
  <c r="AD8" i="6"/>
  <c r="U8" i="6"/>
  <c r="AA7" i="6"/>
  <c r="AD7" i="6"/>
  <c r="X6" i="6"/>
  <c r="AG6" i="6"/>
  <c r="U3" i="6"/>
  <c r="U5" i="6"/>
  <c r="X3" i="6"/>
  <c r="X5" i="6"/>
  <c r="AA3" i="6"/>
  <c r="AA5" i="6"/>
  <c r="AD3" i="6"/>
  <c r="AD4" i="6"/>
  <c r="AD5" i="6"/>
  <c r="AG3" i="6"/>
  <c r="AG5" i="6"/>
  <c r="AG4" i="6"/>
  <c r="AA4" i="6"/>
  <c r="X4" i="6"/>
  <c r="U4" i="6"/>
  <c r="O69" i="10"/>
  <c r="O19" i="10"/>
  <c r="P40" i="10"/>
  <c r="P29" i="10"/>
  <c r="P51" i="10"/>
  <c r="M164" i="10"/>
  <c r="N164" i="10" s="1"/>
  <c r="O152" i="10"/>
  <c r="M124" i="10"/>
  <c r="N124" i="10" s="1"/>
  <c r="M174" i="10"/>
  <c r="N174" i="10" s="1"/>
  <c r="O179" i="10"/>
  <c r="M63" i="10"/>
  <c r="N63" i="10" s="1"/>
  <c r="P63" i="10"/>
  <c r="M170" i="10"/>
  <c r="N170" i="10" s="1"/>
  <c r="P78" i="10"/>
  <c r="M179" i="10"/>
  <c r="N179" i="10" s="1"/>
  <c r="O105" i="10"/>
  <c r="M177" i="10"/>
  <c r="N177" i="10" s="1"/>
  <c r="O170" i="10"/>
  <c r="M105" i="10"/>
  <c r="N105" i="10" s="1"/>
  <c r="P83" i="10"/>
  <c r="P174" i="10"/>
  <c r="O91" i="10"/>
  <c r="M191" i="10"/>
  <c r="N191" i="10" s="1"/>
  <c r="M80" i="10"/>
  <c r="N80" i="10" s="1"/>
  <c r="M96" i="10"/>
  <c r="N96" i="10" s="1"/>
  <c r="O78" i="10"/>
  <c r="P102" i="10"/>
  <c r="O113" i="10"/>
  <c r="P72" i="10"/>
  <c r="P162" i="10"/>
  <c r="M165" i="10"/>
  <c r="N165" i="10" s="1"/>
  <c r="M34" i="10"/>
  <c r="N34" i="10" s="1"/>
  <c r="O96" i="10"/>
  <c r="P81" i="10"/>
  <c r="P113" i="10"/>
  <c r="O110" i="10"/>
  <c r="M111" i="10"/>
  <c r="N111" i="10" s="1"/>
  <c r="M41" i="10"/>
  <c r="N41" i="10" s="1"/>
  <c r="M81" i="10"/>
  <c r="N81" i="10" s="1"/>
  <c r="O171" i="10"/>
  <c r="P134" i="10"/>
  <c r="O165" i="10"/>
  <c r="O102" i="10"/>
  <c r="O132" i="10"/>
  <c r="M94" i="10"/>
  <c r="N94" i="10" s="1"/>
  <c r="M91" i="10"/>
  <c r="N91" i="10" s="1"/>
  <c r="O79" i="10"/>
  <c r="M72" i="10"/>
  <c r="N72" i="10" s="1"/>
  <c r="O144" i="10"/>
  <c r="M87" i="10"/>
  <c r="N87" i="10" s="1"/>
  <c r="O83" i="10"/>
  <c r="O156" i="10"/>
  <c r="O80" i="10"/>
  <c r="P116" i="10"/>
  <c r="M152" i="10"/>
  <c r="N152" i="10" s="1"/>
  <c r="P67" i="10"/>
  <c r="O124" i="10"/>
  <c r="M69" i="10"/>
  <c r="N69" i="10" s="1"/>
  <c r="M138" i="10"/>
  <c r="N138" i="10" s="1"/>
  <c r="M132" i="10"/>
  <c r="N132" i="10" s="1"/>
  <c r="P94" i="10"/>
  <c r="M158" i="10"/>
  <c r="N158" i="10" s="1"/>
  <c r="M123" i="10"/>
  <c r="N123" i="10" s="1"/>
  <c r="P159" i="10"/>
  <c r="M100" i="10"/>
  <c r="N100" i="10" s="1"/>
  <c r="O164" i="10"/>
  <c r="P195" i="10"/>
  <c r="M65" i="10"/>
  <c r="N65" i="10" s="1"/>
  <c r="P119" i="10"/>
  <c r="O67" i="10"/>
  <c r="P138" i="10"/>
  <c r="O111" i="10"/>
  <c r="P181" i="10"/>
  <c r="O108" i="10"/>
  <c r="P100" i="10"/>
  <c r="O139" i="10"/>
  <c r="M195" i="10"/>
  <c r="N195" i="10" s="1"/>
  <c r="M55" i="10"/>
  <c r="O109" i="10"/>
  <c r="M181" i="10"/>
  <c r="N181" i="10" s="1"/>
  <c r="M95" i="10"/>
  <c r="N95" i="10" s="1"/>
  <c r="M79" i="10"/>
  <c r="N79" i="10" s="1"/>
  <c r="M171" i="10"/>
  <c r="N171" i="10" s="1"/>
  <c r="P144" i="10"/>
  <c r="P87" i="10"/>
  <c r="O196" i="10"/>
  <c r="M134" i="10"/>
  <c r="N134" i="10" s="1"/>
  <c r="M53" i="10"/>
  <c r="N53" i="10" s="1"/>
  <c r="P77" i="10"/>
  <c r="O177" i="10"/>
  <c r="M159" i="10"/>
  <c r="N159" i="10" s="1"/>
  <c r="M184" i="10"/>
  <c r="N184" i="10" s="1"/>
  <c r="M77" i="10"/>
  <c r="N77" i="10" s="1"/>
  <c r="O95" i="10"/>
  <c r="M49" i="10"/>
  <c r="N49" i="10" s="1"/>
  <c r="O99" i="10"/>
  <c r="M122" i="10"/>
  <c r="N122" i="10" s="1"/>
  <c r="M22" i="10"/>
  <c r="N22" i="10" s="1"/>
  <c r="M147" i="10"/>
  <c r="N147" i="10" s="1"/>
  <c r="M50" i="10"/>
  <c r="N50" i="10" s="1"/>
  <c r="M180" i="10"/>
  <c r="N180" i="10" s="1"/>
  <c r="M33" i="10"/>
  <c r="N33" i="10" s="1"/>
  <c r="O168" i="10"/>
  <c r="O147" i="10"/>
  <c r="M24" i="10"/>
  <c r="N24" i="10" s="1"/>
  <c r="O112" i="10"/>
  <c r="M162" i="10"/>
  <c r="N162" i="10" s="1"/>
  <c r="P168" i="10"/>
  <c r="M92" i="10"/>
  <c r="N92" i="10" s="1"/>
  <c r="O158" i="10"/>
  <c r="O66" i="10"/>
  <c r="M175" i="10"/>
  <c r="N175" i="10" s="1"/>
  <c r="P108" i="10"/>
  <c r="P196" i="10"/>
  <c r="O166" i="10"/>
  <c r="O120" i="10"/>
  <c r="M156" i="10"/>
  <c r="N156" i="10" s="1"/>
  <c r="O172" i="10"/>
  <c r="O93" i="10"/>
  <c r="O122" i="10"/>
  <c r="O130" i="10"/>
  <c r="M128" i="10"/>
  <c r="N128" i="10" s="1"/>
  <c r="M130" i="10"/>
  <c r="N130" i="10" s="1"/>
  <c r="M16" i="10"/>
  <c r="N16" i="10" s="1"/>
  <c r="O202" i="10"/>
  <c r="P110" i="10"/>
  <c r="M151" i="10"/>
  <c r="N151" i="10" s="1"/>
  <c r="M21" i="10"/>
  <c r="N21" i="10" s="1"/>
  <c r="M4" i="10"/>
  <c r="N4" i="10" s="1"/>
  <c r="P202" i="10"/>
  <c r="O175" i="10"/>
  <c r="M182" i="10"/>
  <c r="N182" i="10" s="1"/>
  <c r="O104" i="10"/>
  <c r="M60" i="10"/>
  <c r="N60" i="10" s="1"/>
  <c r="O75" i="10"/>
  <c r="O183" i="10"/>
  <c r="M183" i="10"/>
  <c r="N183" i="10" s="1"/>
  <c r="O184" i="10"/>
  <c r="M15" i="10"/>
  <c r="N15" i="10" s="1"/>
  <c r="O84" i="10"/>
  <c r="O150" i="10"/>
  <c r="M150" i="10"/>
  <c r="N150" i="10" s="1"/>
  <c r="O115" i="10"/>
  <c r="O60" i="10"/>
  <c r="O107" i="10"/>
  <c r="M149" i="10"/>
  <c r="N149" i="10" s="1"/>
  <c r="M61" i="10"/>
  <c r="N61" i="10" s="1"/>
  <c r="P112" i="10"/>
  <c r="M56" i="10"/>
  <c r="N56" i="10" s="1"/>
  <c r="P107" i="10"/>
  <c r="M187" i="10"/>
  <c r="N187" i="10" s="1"/>
  <c r="O61" i="10"/>
  <c r="M84" i="10"/>
  <c r="N84" i="10" s="1"/>
  <c r="O90" i="10"/>
  <c r="M120" i="10"/>
  <c r="N120" i="10" s="1"/>
  <c r="M119" i="10"/>
  <c r="N119" i="10" s="1"/>
  <c r="M99" i="10"/>
  <c r="N99" i="10" s="1"/>
  <c r="M186" i="10"/>
  <c r="N186" i="10" s="1"/>
  <c r="P133" i="10"/>
  <c r="O199" i="10"/>
  <c r="P145" i="10"/>
  <c r="O160" i="10"/>
  <c r="M198" i="10"/>
  <c r="N198" i="10" s="1"/>
  <c r="O145" i="10"/>
  <c r="O157" i="10"/>
  <c r="O167" i="10"/>
  <c r="M148" i="10"/>
  <c r="N148" i="10" s="1"/>
  <c r="O62" i="10"/>
  <c r="P169" i="10"/>
  <c r="M66" i="10"/>
  <c r="N66" i="10" s="1"/>
  <c r="M43" i="10"/>
  <c r="N43" i="10" s="1"/>
  <c r="M161" i="10"/>
  <c r="N161" i="10" s="1"/>
  <c r="P70" i="10"/>
  <c r="O191" i="10"/>
  <c r="O198" i="10"/>
  <c r="O65" i="10"/>
  <c r="M115" i="10"/>
  <c r="N115" i="10" s="1"/>
  <c r="O123" i="10"/>
  <c r="P71" i="10"/>
  <c r="O151" i="10"/>
  <c r="O186" i="10"/>
  <c r="O140" i="10"/>
  <c r="O126" i="10"/>
  <c r="O117" i="10"/>
  <c r="P125" i="10"/>
  <c r="M125" i="10"/>
  <c r="N125" i="10" s="1"/>
  <c r="O143" i="10"/>
  <c r="P139" i="10"/>
  <c r="M71" i="10"/>
  <c r="N71" i="10" s="1"/>
  <c r="P166" i="10"/>
  <c r="M192" i="10"/>
  <c r="N192" i="10" s="1"/>
  <c r="P167" i="10"/>
  <c r="O70" i="10"/>
  <c r="M45" i="10"/>
  <c r="N45" i="10" s="1"/>
  <c r="O148" i="10"/>
  <c r="M47" i="10"/>
  <c r="N47" i="10" s="1"/>
  <c r="M32" i="10"/>
  <c r="N32" i="10" s="1"/>
  <c r="O176" i="10"/>
  <c r="M129" i="10"/>
  <c r="N129" i="10" s="1"/>
  <c r="O116" i="10"/>
  <c r="P199" i="10"/>
  <c r="M121" i="10"/>
  <c r="N121" i="10" s="1"/>
  <c r="P142" i="10"/>
  <c r="M98" i="10"/>
  <c r="N98" i="10" s="1"/>
  <c r="O74" i="10"/>
  <c r="M48" i="10"/>
  <c r="N48" i="10" s="1"/>
  <c r="P180" i="10"/>
  <c r="P82" i="10"/>
  <c r="M155" i="10"/>
  <c r="N155" i="10" s="1"/>
  <c r="O155" i="10"/>
  <c r="M141" i="10"/>
  <c r="N141" i="10" s="1"/>
  <c r="M75" i="10"/>
  <c r="N75" i="10" s="1"/>
  <c r="M23" i="10"/>
  <c r="N23" i="10" s="1"/>
  <c r="M176" i="10"/>
  <c r="N176" i="10" s="1"/>
  <c r="M93" i="10"/>
  <c r="N93" i="10" s="1"/>
  <c r="P88" i="10"/>
  <c r="O97" i="10"/>
  <c r="M193" i="10"/>
  <c r="N193" i="10" s="1"/>
  <c r="P59" i="10"/>
  <c r="O173" i="10"/>
  <c r="M109" i="10"/>
  <c r="N109" i="10" s="1"/>
  <c r="M73" i="10"/>
  <c r="N73" i="10" s="1"/>
  <c r="O136" i="10"/>
  <c r="P189" i="10"/>
  <c r="P182" i="10"/>
  <c r="P68" i="10"/>
  <c r="M86" i="10"/>
  <c r="N86" i="10" s="1"/>
  <c r="M140" i="10"/>
  <c r="N140" i="10" s="1"/>
  <c r="P153" i="10"/>
  <c r="M160" i="10"/>
  <c r="N160" i="10" s="1"/>
  <c r="O185" i="10"/>
  <c r="O154" i="10"/>
  <c r="M169" i="10"/>
  <c r="N169" i="10" s="1"/>
  <c r="O92" i="10"/>
  <c r="M137" i="10"/>
  <c r="N137" i="10" s="1"/>
  <c r="M114" i="10"/>
  <c r="N114" i="10" s="1"/>
  <c r="M136" i="10"/>
  <c r="N136" i="10" s="1"/>
  <c r="M39" i="10"/>
  <c r="N39" i="10" s="1"/>
  <c r="M190" i="10"/>
  <c r="N190" i="10" s="1"/>
  <c r="P185" i="10"/>
  <c r="O73" i="10"/>
  <c r="P97" i="10"/>
  <c r="M9" i="10"/>
  <c r="M135" i="10"/>
  <c r="N135" i="10" s="1"/>
  <c r="P190" i="10"/>
  <c r="O76" i="10"/>
  <c r="M76" i="10"/>
  <c r="N76" i="10" s="1"/>
  <c r="O153" i="10"/>
  <c r="M143" i="10"/>
  <c r="N143" i="10" s="1"/>
  <c r="O149" i="10"/>
  <c r="P163" i="10"/>
  <c r="M117" i="10"/>
  <c r="N117" i="10" s="1"/>
  <c r="O188" i="10"/>
  <c r="M172" i="10"/>
  <c r="N172" i="10" s="1"/>
  <c r="O163" i="10"/>
  <c r="M8" i="10"/>
  <c r="P62" i="10"/>
  <c r="M82" i="10"/>
  <c r="N82" i="10" s="1"/>
  <c r="O128" i="10"/>
  <c r="M104" i="10"/>
  <c r="N104" i="10" s="1"/>
  <c r="O68" i="10"/>
  <c r="M146" i="10"/>
  <c r="N146" i="10" s="1"/>
  <c r="M12" i="10"/>
  <c r="N12" i="10" s="1"/>
  <c r="M178" i="10"/>
  <c r="N178" i="10" s="1"/>
  <c r="M20" i="10"/>
  <c r="N20" i="10" s="1"/>
  <c r="M74" i="10"/>
  <c r="N74" i="10" s="1"/>
  <c r="O98" i="10"/>
  <c r="O89" i="10"/>
  <c r="P161" i="10"/>
  <c r="O193" i="10"/>
  <c r="O131" i="10"/>
  <c r="M173" i="10"/>
  <c r="N173" i="10" s="1"/>
  <c r="O137" i="10"/>
  <c r="M17" i="10"/>
  <c r="N17" i="10" s="1"/>
  <c r="O59" i="10"/>
  <c r="M89" i="10"/>
  <c r="N89" i="10" s="1"/>
  <c r="M10" i="10"/>
  <c r="M2" i="10"/>
  <c r="N2" i="10" s="1"/>
  <c r="O197" i="10"/>
  <c r="O146" i="10"/>
  <c r="O141" i="10"/>
  <c r="O133" i="10"/>
  <c r="M118" i="10"/>
  <c r="N118" i="10" s="1"/>
  <c r="P101" i="10"/>
  <c r="M13" i="10"/>
  <c r="N13" i="10" s="1"/>
  <c r="O106" i="10"/>
  <c r="M52" i="10"/>
  <c r="N52" i="10" s="1"/>
  <c r="M106" i="10"/>
  <c r="N106" i="10" s="1"/>
  <c r="P114" i="10"/>
  <c r="P103" i="10"/>
  <c r="O103" i="10"/>
  <c r="M5" i="10"/>
  <c r="P157" i="10"/>
  <c r="O201" i="10"/>
  <c r="M154" i="10"/>
  <c r="N154" i="10" s="1"/>
  <c r="O129" i="10"/>
  <c r="M88" i="10"/>
  <c r="N88" i="10" s="1"/>
  <c r="O86" i="10"/>
  <c r="M197" i="10"/>
  <c r="N197" i="10" s="1"/>
  <c r="P127" i="10"/>
  <c r="O64" i="10"/>
  <c r="O192" i="10"/>
  <c r="M126" i="10"/>
  <c r="N126" i="10" s="1"/>
  <c r="P85" i="10"/>
  <c r="M189" i="10"/>
  <c r="N189" i="10" s="1"/>
  <c r="M142" i="10"/>
  <c r="N142" i="10" s="1"/>
  <c r="O121" i="10"/>
  <c r="M64" i="10"/>
  <c r="N64" i="10" s="1"/>
  <c r="O85" i="10"/>
  <c r="O101" i="10"/>
  <c r="P187" i="10"/>
  <c r="P135" i="10"/>
  <c r="P178" i="10"/>
  <c r="O118" i="10"/>
  <c r="P131" i="10"/>
  <c r="O127" i="10"/>
  <c r="M201" i="10"/>
  <c r="N201" i="10" s="1"/>
  <c r="P90" i="10"/>
  <c r="P194" i="10"/>
  <c r="M194" i="10"/>
  <c r="N194" i="10" s="1"/>
  <c r="M188" i="10"/>
  <c r="N188" i="10" s="1"/>
  <c r="N6" i="10"/>
  <c r="O44" i="10"/>
  <c r="O36" i="10"/>
  <c r="O40" i="10"/>
  <c r="O42" i="10"/>
  <c r="P35" i="10"/>
  <c r="P28" i="10"/>
  <c r="P18" i="10"/>
  <c r="P19" i="10"/>
  <c r="P25" i="10"/>
  <c r="P30" i="10"/>
  <c r="P46" i="10"/>
  <c r="O37" i="10"/>
  <c r="O25" i="10"/>
  <c r="O58" i="10"/>
  <c r="P54" i="10"/>
  <c r="O51" i="10"/>
  <c r="P57" i="10"/>
  <c r="O31" i="10"/>
  <c r="P38" i="10"/>
  <c r="O33" i="10"/>
  <c r="O46" i="10"/>
  <c r="P36" i="10"/>
  <c r="O45" i="10"/>
  <c r="O35" i="10"/>
  <c r="O30" i="10"/>
  <c r="P44" i="10"/>
  <c r="P43" i="10"/>
  <c r="O28" i="10"/>
  <c r="O50" i="10"/>
  <c r="O18" i="10"/>
  <c r="O29" i="10"/>
  <c r="P27" i="10"/>
  <c r="O57" i="10"/>
  <c r="O38" i="10"/>
  <c r="P31" i="10"/>
  <c r="P42" i="10"/>
  <c r="P37" i="10"/>
  <c r="P26" i="10"/>
  <c r="O27" i="10"/>
  <c r="O54" i="10"/>
  <c r="P23" i="10"/>
  <c r="P58" i="10"/>
  <c r="O21" i="10"/>
  <c r="O26" i="10"/>
  <c r="O14" i="10"/>
  <c r="P14" i="10"/>
  <c r="P11" i="10"/>
  <c r="O11" i="10"/>
  <c r="P10" i="10"/>
  <c r="O9" i="10"/>
  <c r="O10" i="10"/>
  <c r="O8" i="10"/>
  <c r="P8" i="10"/>
  <c r="P9" i="10"/>
  <c r="R6" i="6"/>
  <c r="R5" i="6"/>
  <c r="R4" i="6"/>
  <c r="R7" i="6"/>
  <c r="R8" i="6"/>
  <c r="R3" i="6"/>
  <c r="O8" i="6"/>
  <c r="O7" i="6"/>
  <c r="O6" i="6"/>
  <c r="O5" i="6"/>
  <c r="O4" i="6"/>
  <c r="O3" i="6"/>
  <c r="I7" i="6"/>
  <c r="I8" i="6"/>
  <c r="L6" i="6"/>
  <c r="L8" i="6"/>
  <c r="I6" i="6"/>
  <c r="L7" i="6"/>
  <c r="I3" i="6"/>
  <c r="I5" i="6"/>
  <c r="I4" i="6"/>
  <c r="L4" i="6"/>
  <c r="L3" i="6"/>
  <c r="O3" i="10"/>
  <c r="P6" i="10"/>
  <c r="P3" i="10"/>
  <c r="O5" i="10"/>
  <c r="P7" i="10"/>
  <c r="O6" i="10"/>
  <c r="O7" i="10"/>
  <c r="N55" i="10" l="1"/>
  <c r="N9" i="10"/>
  <c r="N8" i="10"/>
  <c r="N10" i="10"/>
  <c r="N5" i="10"/>
  <c r="O56" i="10"/>
  <c r="P47" i="10"/>
  <c r="O39" i="10"/>
  <c r="P24" i="10"/>
  <c r="P39" i="10"/>
  <c r="P21" i="10"/>
  <c r="P34" i="10"/>
  <c r="O22" i="10"/>
  <c r="O43" i="10"/>
  <c r="P49" i="10"/>
  <c r="P55" i="10"/>
  <c r="P52" i="10"/>
  <c r="P20" i="10"/>
  <c r="O52" i="10"/>
  <c r="P41" i="10"/>
  <c r="P50" i="10"/>
  <c r="O47" i="10"/>
  <c r="P32" i="10"/>
  <c r="P22" i="10"/>
  <c r="O20" i="10"/>
  <c r="O48" i="10"/>
  <c r="O55" i="10"/>
  <c r="P48" i="10"/>
  <c r="O24" i="10"/>
  <c r="O49" i="10"/>
  <c r="P53" i="10"/>
  <c r="O32" i="10"/>
  <c r="O34" i="10"/>
  <c r="O23" i="10"/>
  <c r="O41" i="10"/>
  <c r="P56" i="10"/>
  <c r="P45" i="10"/>
  <c r="P33" i="10"/>
  <c r="O53" i="10"/>
  <c r="P16" i="10"/>
  <c r="O15" i="10"/>
  <c r="O16" i="10"/>
  <c r="O17" i="10"/>
  <c r="P17" i="10"/>
  <c r="O13" i="10"/>
  <c r="P15" i="10"/>
  <c r="P13" i="10"/>
  <c r="O12" i="10"/>
  <c r="P12" i="10"/>
  <c r="P4" i="10"/>
  <c r="O4" i="10"/>
  <c r="P5" i="10"/>
  <c r="O2" i="10"/>
  <c r="P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André Aepli</author>
  </authors>
  <commentList>
    <comment ref="A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André Aepli: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For first name, nationality and category, unhide columns C to E</t>
        </r>
      </text>
    </comment>
  </commentList>
</comments>
</file>

<file path=xl/sharedStrings.xml><?xml version="1.0" encoding="utf-8"?>
<sst xmlns="http://schemas.openxmlformats.org/spreadsheetml/2006/main" count="550" uniqueCount="266">
  <si>
    <t>Rank</t>
  </si>
  <si>
    <t>Overall</t>
  </si>
  <si>
    <t>MTA</t>
  </si>
  <si>
    <t>Name</t>
  </si>
  <si>
    <t>np</t>
  </si>
  <si>
    <t>Rank NEW</t>
  </si>
  <si>
    <t>Points</t>
  </si>
  <si>
    <t>Diff P</t>
  </si>
  <si>
    <t>auxiliary</t>
  </si>
  <si>
    <t>Trick Catch</t>
  </si>
  <si>
    <t>points</t>
  </si>
  <si>
    <t>Aussie Round</t>
  </si>
  <si>
    <t>Accuracy</t>
  </si>
  <si>
    <t>&gt;100</t>
  </si>
  <si>
    <t>Endurance</t>
  </si>
  <si>
    <t>Nat</t>
  </si>
  <si>
    <t>First name</t>
  </si>
  <si>
    <t>Nationality</t>
  </si>
  <si>
    <t>Category</t>
  </si>
  <si>
    <t>max</t>
  </si>
  <si>
    <t>&gt;max</t>
  </si>
  <si>
    <t>dnf</t>
  </si>
  <si>
    <t>DNS(np)/DNF</t>
  </si>
  <si>
    <t>time limit</t>
  </si>
  <si>
    <t>complete round</t>
  </si>
  <si>
    <t>non complete round</t>
  </si>
  <si>
    <t xml:space="preserve">Rank </t>
  </si>
  <si>
    <t>First Name</t>
  </si>
  <si>
    <t>THROWING</t>
  </si>
  <si>
    <t>NP_Next event</t>
  </si>
  <si>
    <t>Rank_not_NP</t>
  </si>
  <si>
    <t>Rank_not_np</t>
  </si>
  <si>
    <t>NAME1</t>
  </si>
  <si>
    <t>NAME2</t>
  </si>
  <si>
    <t>Rank_ASSIGN</t>
  </si>
  <si>
    <t>Start_group</t>
  </si>
  <si>
    <t>Number of circles</t>
  </si>
  <si>
    <t>Rank RRS</t>
  </si>
  <si>
    <t>Overall Points RRS</t>
  </si>
  <si>
    <t>Overall Points old</t>
  </si>
  <si>
    <t>Rank old</t>
  </si>
  <si>
    <t>ACC score</t>
  </si>
  <si>
    <t>ACC points</t>
  </si>
  <si>
    <t>ACC Rank</t>
  </si>
  <si>
    <t>AR score</t>
  </si>
  <si>
    <t>AR Points</t>
  </si>
  <si>
    <t>AR Rank</t>
  </si>
  <si>
    <t>MTA  score</t>
  </si>
  <si>
    <t>MTA Points</t>
  </si>
  <si>
    <t>MTA Rank</t>
  </si>
  <si>
    <t>END score</t>
  </si>
  <si>
    <t>END Points</t>
  </si>
  <si>
    <t>END Rank</t>
  </si>
  <si>
    <t>TCD score</t>
  </si>
  <si>
    <t>TCD Points</t>
  </si>
  <si>
    <t>TCD Rank</t>
  </si>
  <si>
    <t>scoring system used:</t>
  </si>
  <si>
    <t>auxiliary old</t>
  </si>
  <si>
    <t>auxiliary both</t>
  </si>
  <si>
    <t>auxiliary RRS</t>
  </si>
  <si>
    <t>Score</t>
  </si>
  <si>
    <t>possible</t>
  </si>
  <si>
    <t>&gt;1000</t>
  </si>
  <si>
    <t>Tapir score</t>
  </si>
  <si>
    <t>Tapir Points</t>
  </si>
  <si>
    <t>Tapir Rank</t>
  </si>
  <si>
    <t>rank 1 on circ.</t>
  </si>
  <si>
    <t>group size</t>
  </si>
  <si>
    <t>Number of groups:</t>
  </si>
  <si>
    <t>Tot. Number of circles:</t>
  </si>
  <si>
    <t>GENERAL</t>
  </si>
  <si>
    <t>score to enter</t>
  </si>
  <si>
    <t>N=number of points for complete round</t>
  </si>
  <si>
    <t xml:space="preserve">N=number of laps </t>
  </si>
  <si>
    <t>FLOOR(500*LOG(1+99*score/max);0)</t>
  </si>
  <si>
    <t>FLOOR(500*LOG(1+99*min/score);0)</t>
  </si>
  <si>
    <t>FLOOR(500*LOG(1+99*min/time limit * n/N);0)</t>
  </si>
  <si>
    <t>a</t>
  </si>
  <si>
    <t>d</t>
  </si>
  <si>
    <t>g</t>
  </si>
  <si>
    <t>b</t>
  </si>
  <si>
    <t>c</t>
  </si>
  <si>
    <t>e</t>
  </si>
  <si>
    <t>f</t>
  </si>
  <si>
    <t>h</t>
  </si>
  <si>
    <t>i</t>
  </si>
  <si>
    <t>j</t>
  </si>
  <si>
    <t xml:space="preserve">ACC Rank </t>
  </si>
  <si>
    <t>ACC Rank Points</t>
  </si>
  <si>
    <t xml:space="preserve">AR Rank </t>
  </si>
  <si>
    <t>AR Rank Points</t>
  </si>
  <si>
    <t xml:space="preserve">MTA Rank </t>
  </si>
  <si>
    <t>MTA Rank Points</t>
  </si>
  <si>
    <t xml:space="preserve">Relay Rank </t>
  </si>
  <si>
    <t>Relay Rank Points</t>
  </si>
  <si>
    <t xml:space="preserve">END Rank </t>
  </si>
  <si>
    <t>END Rank Points</t>
  </si>
  <si>
    <t xml:space="preserve">TCD Rank </t>
  </si>
  <si>
    <t>TCD Rank Points</t>
  </si>
  <si>
    <t xml:space="preserve">Tapir Rank </t>
  </si>
  <si>
    <t>Tapir Rank Points</t>
  </si>
  <si>
    <t>Timed event, Tapir</t>
  </si>
  <si>
    <t>P to beat next team</t>
  </si>
  <si>
    <t xml:space="preserve">ca % to beat next team </t>
  </si>
  <si>
    <t>You have to be ca. x times better to beat next team</t>
  </si>
  <si>
    <t>Put NP for next event, otherwise blank</t>
  </si>
  <si>
    <t>min</t>
  </si>
  <si>
    <r>
      <rPr>
        <sz val="12"/>
        <color rgb="FFFF0000"/>
        <rFont val="Calibri"/>
        <family val="2"/>
        <scheme val="minor"/>
      </rPr>
      <t>max</t>
    </r>
    <r>
      <rPr>
        <sz val="12"/>
        <color theme="1"/>
        <rFont val="Calibri"/>
        <family val="2"/>
        <scheme val="minor"/>
      </rPr>
      <t xml:space="preserve">  or</t>
    </r>
    <r>
      <rPr>
        <sz val="12"/>
        <color rgb="FFFF0000"/>
        <rFont val="Calibri"/>
        <family val="2"/>
        <scheme val="minor"/>
      </rPr>
      <t xml:space="preserve"> min</t>
    </r>
    <r>
      <rPr>
        <sz val="12"/>
        <color theme="1"/>
        <rFont val="Calibri"/>
        <family val="2"/>
        <scheme val="minor"/>
      </rPr>
      <t xml:space="preserve"> are scores needed for 1000Points</t>
    </r>
  </si>
  <si>
    <t xml:space="preserve">Careful! Uncomplete rounds in Tapir or Relay must give smaller point numbers than a WR!! With 8 (laps) in Relay and 1.25points in Tapir that's fine. </t>
  </si>
  <si>
    <t>Circles in use for the next event</t>
  </si>
  <si>
    <t>Logbook: Where was group 1 at what event? Avoid that Group 1 is on the same circle at the next event! If you start a new competition/day: delete from Rows 2 to ...</t>
  </si>
  <si>
    <t xml:space="preserve"> </t>
  </si>
  <si>
    <t>team1</t>
  </si>
  <si>
    <t>team2</t>
  </si>
  <si>
    <t>team3</t>
  </si>
  <si>
    <t>team4</t>
  </si>
  <si>
    <t>team5</t>
  </si>
  <si>
    <t>team6</t>
  </si>
  <si>
    <t>team7</t>
  </si>
  <si>
    <t>team8</t>
  </si>
  <si>
    <t>team9</t>
  </si>
  <si>
    <t>team10</t>
  </si>
  <si>
    <t>team11</t>
  </si>
  <si>
    <t>team12</t>
  </si>
  <si>
    <t>team13</t>
  </si>
  <si>
    <t>team14</t>
  </si>
  <si>
    <t>team15</t>
  </si>
  <si>
    <t>team16</t>
  </si>
  <si>
    <t>team17</t>
  </si>
  <si>
    <t>team18</t>
  </si>
  <si>
    <t>team19</t>
  </si>
  <si>
    <t>team20</t>
  </si>
  <si>
    <t>team21</t>
  </si>
  <si>
    <t>team22</t>
  </si>
  <si>
    <t>team23</t>
  </si>
  <si>
    <t>team24</t>
  </si>
  <si>
    <t>team25</t>
  </si>
  <si>
    <t>team26</t>
  </si>
  <si>
    <t>team27</t>
  </si>
  <si>
    <t>team28</t>
  </si>
  <si>
    <t>team29</t>
  </si>
  <si>
    <t>team30</t>
  </si>
  <si>
    <t>team31</t>
  </si>
  <si>
    <t>team32</t>
  </si>
  <si>
    <t>team33</t>
  </si>
  <si>
    <t>team34</t>
  </si>
  <si>
    <t>team35</t>
  </si>
  <si>
    <t>team36</t>
  </si>
  <si>
    <t>team37</t>
  </si>
  <si>
    <t>team38</t>
  </si>
  <si>
    <t>team39</t>
  </si>
  <si>
    <t>team40</t>
  </si>
  <si>
    <t>team41</t>
  </si>
  <si>
    <t>team42</t>
  </si>
  <si>
    <t>team43</t>
  </si>
  <si>
    <t>team44</t>
  </si>
  <si>
    <t>team45</t>
  </si>
  <si>
    <t>team46</t>
  </si>
  <si>
    <t>team47</t>
  </si>
  <si>
    <t>team48</t>
  </si>
  <si>
    <t>team49</t>
  </si>
  <si>
    <t>team50</t>
  </si>
  <si>
    <t>team51</t>
  </si>
  <si>
    <t>team52</t>
  </si>
  <si>
    <t>team53</t>
  </si>
  <si>
    <t>team54</t>
  </si>
  <si>
    <t>team55</t>
  </si>
  <si>
    <t>team56</t>
  </si>
  <si>
    <t>team57</t>
  </si>
  <si>
    <t>Fast Catch</t>
  </si>
  <si>
    <t>FC score</t>
  </si>
  <si>
    <t>FC Points</t>
  </si>
  <si>
    <t>FC Rank</t>
  </si>
  <si>
    <t>Extra Points</t>
  </si>
  <si>
    <t>Extra Rank</t>
  </si>
  <si>
    <t>Extra event score</t>
  </si>
  <si>
    <t>Extra timed event score</t>
  </si>
  <si>
    <t>Extra timed event points</t>
  </si>
  <si>
    <t>Extra timed event Rank</t>
  </si>
  <si>
    <t xml:space="preserve">Extraevent Rank </t>
  </si>
  <si>
    <t>Extraevent Rank Points</t>
  </si>
  <si>
    <t>timed rank</t>
  </si>
  <si>
    <t>timed rank points</t>
  </si>
  <si>
    <t>example for fc 60s/5catches                0 c</t>
  </si>
  <si>
    <t>1 catch: score is 1</t>
  </si>
  <si>
    <t>2 c</t>
  </si>
  <si>
    <t>3c</t>
  </si>
  <si>
    <t>4c</t>
  </si>
  <si>
    <t>0.1 per 1P ACC  ACC. ACC complete=0.3</t>
  </si>
  <si>
    <t>Example "position"</t>
  </si>
  <si>
    <t>Extra event, points</t>
  </si>
  <si>
    <t>on 30m line = 0p</t>
  </si>
  <si>
    <t xml:space="preserve"> bullseye=30p</t>
  </si>
  <si>
    <t>Not entered the bullseye</t>
  </si>
  <si>
    <t>extra event, Timed. Example "Schnelle Feile"</t>
  </si>
  <si>
    <t>Boomerang made, arrived in bullseye not thrown = 1P. Divide through 100!</t>
  </si>
  <si>
    <t>Boomerang thrown, not caught</t>
  </si>
  <si>
    <t>arrived in bullseye 1P, thrown but not caught 1P. Caught after 300s: 2P</t>
  </si>
  <si>
    <t>Rob Crolls WR</t>
  </si>
  <si>
    <t>Circle 1/Group 1</t>
  </si>
  <si>
    <r>
      <t xml:space="preserve">Tapir: 30 ACC/30 TC/5x5(FC)=85P. </t>
    </r>
    <r>
      <rPr>
        <b/>
        <sz val="12"/>
        <color theme="1"/>
        <rFont val="Calibri"/>
        <family val="2"/>
        <scheme val="minor"/>
      </rPr>
      <t>Divide through 100!</t>
    </r>
    <r>
      <rPr>
        <sz val="12"/>
        <color theme="1"/>
        <rFont val="Calibri"/>
        <family val="2"/>
        <scheme val="minor"/>
      </rPr>
      <t xml:space="preserve"> Example for Tapir 90s/85P</t>
    </r>
  </si>
  <si>
    <t>RRS</t>
  </si>
  <si>
    <t>test2</t>
  </si>
  <si>
    <t>1 test2</t>
  </si>
  <si>
    <t xml:space="preserve">   </t>
  </si>
  <si>
    <t>Warmup general: 10min. Warmup in group: 1min per thrower. Empty group = dummy group = wait!</t>
  </si>
  <si>
    <t>ACC100</t>
  </si>
  <si>
    <t>Th1</t>
  </si>
  <si>
    <t>Th2</t>
  </si>
  <si>
    <t>Th3</t>
  </si>
  <si>
    <t>Th4</t>
  </si>
  <si>
    <t>Th5</t>
  </si>
  <si>
    <t>Th6</t>
  </si>
  <si>
    <t>Th7</t>
  </si>
  <si>
    <t>Th8</t>
  </si>
  <si>
    <t>Th9</t>
  </si>
  <si>
    <t>Th10</t>
  </si>
  <si>
    <t>TOT</t>
  </si>
  <si>
    <t>test1</t>
  </si>
  <si>
    <t>test3</t>
  </si>
  <si>
    <t>test4</t>
  </si>
  <si>
    <t>test5</t>
  </si>
  <si>
    <t>2 test3</t>
  </si>
  <si>
    <t>3 test4</t>
  </si>
  <si>
    <t>4 test5</t>
  </si>
  <si>
    <t>5 test6</t>
  </si>
  <si>
    <t>Circle 1/Group 2</t>
  </si>
  <si>
    <t>6 test7</t>
  </si>
  <si>
    <t>7 test8</t>
  </si>
  <si>
    <t>8 test9</t>
  </si>
  <si>
    <t>9 test10</t>
  </si>
  <si>
    <t>10 test1</t>
  </si>
  <si>
    <t>Circle 1/Group 3</t>
  </si>
  <si>
    <t>Circle 1/Group 4</t>
  </si>
  <si>
    <t>11 test11</t>
  </si>
  <si>
    <t xml:space="preserve">FC Rank </t>
  </si>
  <si>
    <t>FC Rank Points</t>
  </si>
  <si>
    <t xml:space="preserve">Extra Event Rank </t>
  </si>
  <si>
    <t>Extra Event Rank Points</t>
  </si>
  <si>
    <t xml:space="preserve">0.05per Catch all Trick C. First part of Trick Catch is 0.3p. </t>
  </si>
  <si>
    <t>Fast Catch: 0.05p per catch. Another 0.2p for 4 Fast Catches</t>
  </si>
  <si>
    <t>test</t>
  </si>
  <si>
    <t>a1</t>
  </si>
  <si>
    <t>a2</t>
  </si>
  <si>
    <t>a3</t>
  </si>
  <si>
    <t>a4</t>
  </si>
  <si>
    <t>a5</t>
  </si>
  <si>
    <t>b1</t>
  </si>
  <si>
    <t>b2</t>
  </si>
  <si>
    <t>b3</t>
  </si>
  <si>
    <t>b4</t>
  </si>
  <si>
    <t>b5</t>
  </si>
  <si>
    <t>1 test</t>
  </si>
  <si>
    <t>2 test1</t>
  </si>
  <si>
    <t>3 test2</t>
  </si>
  <si>
    <t>4 test3</t>
  </si>
  <si>
    <t>5 test4</t>
  </si>
  <si>
    <t>6 test5</t>
  </si>
  <si>
    <t>Warmup general: 15min. Throw within 50m circle. Catch within defined field.</t>
  </si>
  <si>
    <t>Throw 1</t>
  </si>
  <si>
    <t>Throw 2</t>
  </si>
  <si>
    <t>Throw 3</t>
  </si>
  <si>
    <t>Throw 4</t>
  </si>
  <si>
    <t>Throw 5</t>
  </si>
  <si>
    <t xml:space="preserve"> Group 1 was at circle number 1.   </t>
  </si>
  <si>
    <t>Circle assignment for MTA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</si>
</sst>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8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8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B05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name val="Calibri"/>
      <family val="2"/>
      <scheme val="minor"/>
    </font>
    <font>
      <sz val="24"/>
      <color rgb="FFFF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b/>
      <sz val="12"/>
      <color rgb="FFFF9999"/>
      <name val="Calibri"/>
      <family val="2"/>
      <scheme val="minor"/>
    </font>
    <font>
      <sz val="12"/>
      <color rgb="FFFF9999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000000"/>
      <name val="Arial"/>
      <family val="2"/>
    </font>
    <font>
      <b/>
      <sz val="28"/>
      <color rgb="FF000000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9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EA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3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40">
    <xf numFmtId="0" fontId="0" fillId="0" borderId="0" xfId="0"/>
    <xf numFmtId="0" fontId="5" fillId="0" borderId="0" xfId="0" applyFont="1"/>
    <xf numFmtId="0" fontId="0" fillId="0" borderId="1" xfId="0" applyBorder="1"/>
    <xf numFmtId="0" fontId="3" fillId="0" borderId="0" xfId="0" applyFont="1"/>
    <xf numFmtId="0" fontId="7" fillId="0" borderId="0" xfId="0" applyFont="1"/>
    <xf numFmtId="0" fontId="4" fillId="0" borderId="0" xfId="0" applyFont="1"/>
    <xf numFmtId="0" fontId="14" fillId="0" borderId="0" xfId="0" applyFont="1"/>
    <xf numFmtId="0" fontId="19" fillId="0" borderId="0" xfId="0" applyFont="1"/>
    <xf numFmtId="0" fontId="20" fillId="0" borderId="0" xfId="0" applyFont="1"/>
    <xf numFmtId="0" fontId="19" fillId="3" borderId="0" xfId="0" applyFont="1" applyFill="1"/>
    <xf numFmtId="0" fontId="21" fillId="0" borderId="0" xfId="0" applyFont="1"/>
    <xf numFmtId="0" fontId="0" fillId="0" borderId="4" xfId="0" applyBorder="1"/>
    <xf numFmtId="0" fontId="0" fillId="0" borderId="2" xfId="0" applyBorder="1"/>
    <xf numFmtId="0" fontId="3" fillId="0" borderId="3" xfId="0" applyFont="1" applyBorder="1" applyAlignment="1">
      <alignment horizontal="right"/>
    </xf>
    <xf numFmtId="0" fontId="0" fillId="0" borderId="3" xfId="0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wrapText="1"/>
    </xf>
    <xf numFmtId="0" fontId="22" fillId="0" borderId="0" xfId="0" applyFont="1"/>
    <xf numFmtId="0" fontId="23" fillId="0" borderId="0" xfId="0" applyFont="1"/>
    <xf numFmtId="0" fontId="17" fillId="0" borderId="9" xfId="0" applyFont="1" applyBorder="1" applyAlignment="1">
      <alignment wrapText="1"/>
    </xf>
    <xf numFmtId="0" fontId="18" fillId="0" borderId="9" xfId="0" applyFont="1" applyBorder="1" applyAlignment="1">
      <alignment wrapText="1"/>
    </xf>
    <xf numFmtId="0" fontId="18" fillId="0" borderId="12" xfId="0" applyFont="1" applyBorder="1" applyAlignment="1">
      <alignment wrapText="1"/>
    </xf>
    <xf numFmtId="0" fontId="3" fillId="0" borderId="9" xfId="0" applyFont="1" applyBorder="1"/>
    <xf numFmtId="0" fontId="19" fillId="0" borderId="11" xfId="0" applyFont="1" applyBorder="1"/>
    <xf numFmtId="0" fontId="20" fillId="0" borderId="11" xfId="0" applyFont="1" applyBorder="1"/>
    <xf numFmtId="0" fontId="0" fillId="0" borderId="13" xfId="0" applyBorder="1"/>
    <xf numFmtId="0" fontId="25" fillId="0" borderId="11" xfId="0" applyFont="1" applyBorder="1"/>
    <xf numFmtId="0" fontId="25" fillId="0" borderId="0" xfId="0" applyFont="1"/>
    <xf numFmtId="0" fontId="24" fillId="0" borderId="9" xfId="0" applyFont="1" applyBorder="1" applyAlignment="1">
      <alignment wrapText="1"/>
    </xf>
    <xf numFmtId="0" fontId="25" fillId="0" borderId="10" xfId="0" applyFont="1" applyBorder="1"/>
    <xf numFmtId="0" fontId="25" fillId="0" borderId="3" xfId="0" applyFont="1" applyBorder="1"/>
    <xf numFmtId="0" fontId="16" fillId="0" borderId="8" xfId="0" applyFont="1" applyBorder="1" applyAlignment="1" applyProtection="1">
      <alignment horizontal="left" wrapText="1"/>
      <protection locked="0"/>
    </xf>
    <xf numFmtId="0" fontId="14" fillId="0" borderId="3" xfId="0" applyFont="1" applyBorder="1" applyProtection="1">
      <protection locked="0"/>
    </xf>
    <xf numFmtId="0" fontId="14" fillId="0" borderId="3" xfId="0" applyFont="1" applyBorder="1" applyAlignment="1" applyProtection="1">
      <alignment horizontal="right"/>
      <protection locked="0"/>
    </xf>
    <xf numFmtId="0" fontId="16" fillId="0" borderId="9" xfId="0" applyFont="1" applyBorder="1" applyProtection="1">
      <protection locked="0"/>
    </xf>
    <xf numFmtId="0" fontId="14" fillId="0" borderId="11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3" borderId="0" xfId="0" applyFont="1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 applyProtection="1">
      <alignment wrapText="1"/>
      <protection locked="0"/>
    </xf>
    <xf numFmtId="0" fontId="24" fillId="0" borderId="8" xfId="0" applyFont="1" applyBorder="1" applyAlignment="1">
      <alignment wrapText="1"/>
    </xf>
    <xf numFmtId="0" fontId="7" fillId="0" borderId="9" xfId="0" applyFont="1" applyBorder="1" applyAlignment="1">
      <alignment wrapText="1"/>
    </xf>
    <xf numFmtId="0" fontId="16" fillId="0" borderId="14" xfId="0" applyFont="1" applyBorder="1" applyAlignment="1" applyProtection="1">
      <alignment horizontal="left" wrapText="1"/>
      <protection locked="0"/>
    </xf>
    <xf numFmtId="0" fontId="14" fillId="0" borderId="16" xfId="0" applyFont="1" applyBorder="1" applyProtection="1">
      <protection locked="0"/>
    </xf>
    <xf numFmtId="0" fontId="14" fillId="0" borderId="16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0" fontId="14" fillId="0" borderId="9" xfId="0" applyFont="1" applyBorder="1" applyProtection="1">
      <protection locked="0"/>
    </xf>
    <xf numFmtId="0" fontId="14" fillId="0" borderId="14" xfId="0" applyFont="1" applyBorder="1" applyAlignment="1" applyProtection="1">
      <alignment horizontal="right"/>
      <protection locked="0"/>
    </xf>
    <xf numFmtId="0" fontId="0" fillId="0" borderId="9" xfId="0" applyBorder="1"/>
    <xf numFmtId="0" fontId="14" fillId="0" borderId="10" xfId="0" applyFont="1" applyBorder="1" applyAlignment="1" applyProtection="1">
      <alignment horizontal="right"/>
      <protection locked="0"/>
    </xf>
    <xf numFmtId="0" fontId="14" fillId="0" borderId="15" xfId="0" applyFont="1" applyBorder="1" applyAlignment="1" applyProtection="1">
      <alignment horizontal="right"/>
      <protection locked="0"/>
    </xf>
    <xf numFmtId="0" fontId="3" fillId="0" borderId="25" xfId="0" applyFont="1" applyBorder="1"/>
    <xf numFmtId="0" fontId="3" fillId="0" borderId="17" xfId="0" applyFont="1" applyBorder="1"/>
    <xf numFmtId="0" fontId="3" fillId="0" borderId="19" xfId="0" applyFont="1" applyBorder="1"/>
    <xf numFmtId="0" fontId="0" fillId="0" borderId="18" xfId="0" applyBorder="1"/>
    <xf numFmtId="0" fontId="3" fillId="0" borderId="17" xfId="0" applyFont="1" applyBorder="1" applyAlignment="1">
      <alignment horizontal="left"/>
    </xf>
    <xf numFmtId="0" fontId="3" fillId="0" borderId="18" xfId="0" applyFont="1" applyBorder="1"/>
    <xf numFmtId="0" fontId="0" fillId="0" borderId="19" xfId="0" applyBorder="1"/>
    <xf numFmtId="0" fontId="3" fillId="0" borderId="26" xfId="0" applyFont="1" applyBorder="1"/>
    <xf numFmtId="0" fontId="0" fillId="0" borderId="20" xfId="0" applyBorder="1"/>
    <xf numFmtId="0" fontId="0" fillId="0" borderId="21" xfId="0" applyBorder="1"/>
    <xf numFmtId="0" fontId="0" fillId="0" borderId="20" xfId="0" applyBorder="1" applyAlignment="1">
      <alignment horizontal="right"/>
    </xf>
    <xf numFmtId="0" fontId="0" fillId="2" borderId="0" xfId="0" applyFill="1"/>
    <xf numFmtId="0" fontId="3" fillId="0" borderId="20" xfId="0" applyFont="1" applyBorder="1"/>
    <xf numFmtId="0" fontId="0" fillId="0" borderId="22" xfId="0" applyBorder="1" applyAlignment="1">
      <alignment horizontal="right"/>
    </xf>
    <xf numFmtId="0" fontId="0" fillId="0" borderId="24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0" xfId="0" applyBorder="1" applyAlignment="1">
      <alignment horizontal="right" wrapText="1"/>
    </xf>
    <xf numFmtId="0" fontId="4" fillId="0" borderId="20" xfId="0" applyFont="1" applyBorder="1" applyAlignment="1">
      <alignment horizontal="right"/>
    </xf>
    <xf numFmtId="0" fontId="8" fillId="0" borderId="0" xfId="0" applyFont="1" applyAlignment="1">
      <alignment wrapText="1"/>
    </xf>
    <xf numFmtId="0" fontId="8" fillId="0" borderId="0" xfId="0" applyFont="1"/>
    <xf numFmtId="0" fontId="0" fillId="0" borderId="22" xfId="0" applyBorder="1"/>
    <xf numFmtId="0" fontId="0" fillId="0" borderId="23" xfId="0" applyBorder="1" applyAlignment="1">
      <alignment wrapText="1"/>
    </xf>
    <xf numFmtId="0" fontId="4" fillId="0" borderId="0" xfId="0" applyFont="1" applyAlignment="1">
      <alignment horizontal="right"/>
    </xf>
    <xf numFmtId="0" fontId="14" fillId="0" borderId="21" xfId="0" applyFont="1" applyBorder="1" applyProtection="1">
      <protection locked="0"/>
    </xf>
    <xf numFmtId="0" fontId="14" fillId="0" borderId="24" xfId="0" applyFont="1" applyBorder="1" applyProtection="1">
      <protection locked="0"/>
    </xf>
    <xf numFmtId="0" fontId="0" fillId="0" borderId="0" xfId="0" applyProtection="1">
      <protection locked="0"/>
    </xf>
    <xf numFmtId="0" fontId="28" fillId="0" borderId="0" xfId="0" applyFont="1" applyAlignment="1">
      <alignment wrapText="1"/>
    </xf>
    <xf numFmtId="0" fontId="28" fillId="0" borderId="0" xfId="0" applyFont="1"/>
    <xf numFmtId="0" fontId="3" fillId="0" borderId="8" xfId="0" applyFont="1" applyBorder="1"/>
    <xf numFmtId="0" fontId="0" fillId="0" borderId="8" xfId="0" applyBorder="1"/>
    <xf numFmtId="0" fontId="3" fillId="0" borderId="28" xfId="0" applyFont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right"/>
    </xf>
    <xf numFmtId="0" fontId="3" fillId="0" borderId="30" xfId="0" applyFont="1" applyBorder="1" applyAlignment="1">
      <alignment horizontal="left" wrapText="1"/>
    </xf>
    <xf numFmtId="0" fontId="0" fillId="0" borderId="31" xfId="0" applyBorder="1"/>
    <xf numFmtId="0" fontId="0" fillId="0" borderId="32" xfId="0" applyBorder="1"/>
    <xf numFmtId="0" fontId="3" fillId="0" borderId="33" xfId="0" applyFont="1" applyBorder="1" applyAlignment="1">
      <alignment horizontal="right"/>
    </xf>
    <xf numFmtId="0" fontId="0" fillId="0" borderId="34" xfId="0" applyBorder="1" applyAlignment="1">
      <alignment horizontal="right"/>
    </xf>
    <xf numFmtId="0" fontId="7" fillId="0" borderId="11" xfId="0" applyFont="1" applyBorder="1"/>
    <xf numFmtId="0" fontId="17" fillId="0" borderId="11" xfId="0" applyFont="1" applyBorder="1"/>
    <xf numFmtId="0" fontId="7" fillId="0" borderId="9" xfId="0" applyFont="1" applyBorder="1"/>
    <xf numFmtId="0" fontId="17" fillId="0" borderId="0" xfId="0" applyFont="1"/>
    <xf numFmtId="0" fontId="24" fillId="0" borderId="10" xfId="0" applyFont="1" applyBorder="1"/>
    <xf numFmtId="0" fontId="24" fillId="0" borderId="11" xfId="0" applyFont="1" applyBorder="1"/>
    <xf numFmtId="0" fontId="24" fillId="0" borderId="3" xfId="0" applyFont="1" applyBorder="1"/>
    <xf numFmtId="0" fontId="24" fillId="0" borderId="0" xfId="0" applyFont="1"/>
    <xf numFmtId="0" fontId="3" fillId="0" borderId="3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0" fontId="4" fillId="0" borderId="20" xfId="0" applyFont="1" applyBorder="1" applyAlignment="1">
      <alignment horizontal="left"/>
    </xf>
    <xf numFmtId="0" fontId="4" fillId="0" borderId="20" xfId="0" applyFont="1" applyBorder="1"/>
    <xf numFmtId="0" fontId="0" fillId="0" borderId="22" xfId="0" applyBorder="1" applyAlignment="1">
      <alignment horizontal="left" wrapText="1"/>
    </xf>
    <xf numFmtId="0" fontId="0" fillId="0" borderId="20" xfId="0" applyBorder="1" applyAlignment="1">
      <alignment horizontal="left" vertical="top" wrapText="1"/>
    </xf>
    <xf numFmtId="0" fontId="0" fillId="0" borderId="20" xfId="0" applyBorder="1" applyAlignment="1">
      <alignment wrapText="1"/>
    </xf>
    <xf numFmtId="0" fontId="33" fillId="0" borderId="0" xfId="0" applyFont="1"/>
    <xf numFmtId="0" fontId="33" fillId="0" borderId="1" xfId="0" applyFont="1" applyBorder="1" applyAlignment="1">
      <alignment vertical="center"/>
    </xf>
    <xf numFmtId="0" fontId="33" fillId="0" borderId="37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33" fillId="0" borderId="37" xfId="0" applyFont="1" applyBorder="1" applyAlignment="1">
      <alignment vertical="center" wrapText="1"/>
    </xf>
    <xf numFmtId="0" fontId="15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27" fillId="0" borderId="0" xfId="0" applyFont="1" applyBorder="1" applyAlignment="1" applyProtection="1">
      <protection locked="0"/>
    </xf>
    <xf numFmtId="0" fontId="32" fillId="0" borderId="0" xfId="0" applyFont="1" applyBorder="1" applyAlignment="1"/>
    <xf numFmtId="0" fontId="0" fillId="0" borderId="0" xfId="0" applyBorder="1" applyAlignment="1"/>
    <xf numFmtId="0" fontId="27" fillId="0" borderId="0" xfId="0" applyFont="1" applyBorder="1" applyAlignment="1"/>
    <xf numFmtId="0" fontId="15" fillId="0" borderId="0" xfId="0" applyFont="1" applyBorder="1" applyAlignment="1"/>
    <xf numFmtId="0" fontId="6" fillId="0" borderId="0" xfId="0" applyFont="1" applyBorder="1" applyAlignment="1" applyProtection="1">
      <protection locked="0"/>
    </xf>
    <xf numFmtId="0" fontId="31" fillId="0" borderId="0" xfId="0" applyFont="1" applyBorder="1" applyAlignment="1" applyProtection="1">
      <protection locked="0"/>
    </xf>
    <xf numFmtId="0" fontId="6" fillId="0" borderId="27" xfId="0" applyFont="1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28" xfId="0" applyFont="1" applyBorder="1" applyAlignment="1" applyProtection="1">
      <protection locked="0"/>
    </xf>
    <xf numFmtId="0" fontId="0" fillId="0" borderId="36" xfId="0" applyFont="1" applyBorder="1" applyAlignment="1" applyProtection="1">
      <protection locked="0"/>
    </xf>
    <xf numFmtId="0" fontId="0" fillId="0" borderId="29" xfId="0" applyFont="1" applyBorder="1" applyAlignment="1" applyProtection="1">
      <protection locked="0"/>
    </xf>
    <xf numFmtId="0" fontId="6" fillId="0" borderId="28" xfId="0" applyFont="1" applyBorder="1" applyAlignment="1" applyProtection="1">
      <protection locked="0"/>
    </xf>
    <xf numFmtId="0" fontId="6" fillId="0" borderId="35" xfId="0" applyFont="1" applyBorder="1" applyAlignment="1" applyProtection="1">
      <protection locked="0"/>
    </xf>
    <xf numFmtId="0" fontId="33" fillId="0" borderId="0" xfId="0" applyFont="1" applyFill="1"/>
    <xf numFmtId="0" fontId="33" fillId="0" borderId="1" xfId="0" applyFont="1" applyFill="1" applyBorder="1" applyAlignment="1">
      <alignment vertical="center"/>
    </xf>
    <xf numFmtId="0" fontId="33" fillId="0" borderId="37" xfId="0" applyFont="1" applyFill="1" applyBorder="1" applyAlignment="1">
      <alignment vertical="center"/>
    </xf>
    <xf numFmtId="0" fontId="33" fillId="0" borderId="4" xfId="0" applyFont="1" applyFill="1" applyBorder="1" applyAlignment="1">
      <alignment vertical="center"/>
    </xf>
    <xf numFmtId="0" fontId="33" fillId="0" borderId="37" xfId="0" applyFont="1" applyFill="1" applyBorder="1" applyAlignment="1">
      <alignment vertical="center" wrapText="1"/>
    </xf>
  </cellXfs>
  <cellStyles count="73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Besuchter Hyperlink" xfId="18" builtinId="9" hidden="1"/>
    <cellStyle name="Besuchter Hyperlink" xfId="20" builtinId="9" hidden="1"/>
    <cellStyle name="Besuchter Hyperlink" xfId="22" builtinId="9" hidden="1"/>
    <cellStyle name="Besuchter Hyperlink" xfId="24" builtinId="9" hidden="1"/>
    <cellStyle name="Besuchter Hyperlink" xfId="26" builtinId="9" hidden="1"/>
    <cellStyle name="Besuchter Hyperlink" xfId="28" builtinId="9" hidden="1"/>
    <cellStyle name="Besuchter Hyperlink" xfId="30" builtinId="9" hidden="1"/>
    <cellStyle name="Besuchter Hyperlink" xfId="32" builtinId="9" hidden="1"/>
    <cellStyle name="Besuchter Hyperlink" xfId="34" builtinId="9" hidden="1"/>
    <cellStyle name="Besuchter Hyperlink" xfId="36" builtinId="9" hidden="1"/>
    <cellStyle name="Besuchter Hyperlink" xfId="38" builtinId="9" hidden="1"/>
    <cellStyle name="Besuchter Hyperlink" xfId="40" builtinId="9" hidden="1"/>
    <cellStyle name="Besuchter Hyperlink" xfId="42" builtinId="9" hidden="1"/>
    <cellStyle name="Besuchter Hyperlink" xfId="44" builtinId="9" hidden="1"/>
    <cellStyle name="Besuchter Hyperlink" xfId="46" builtinId="9" hidden="1"/>
    <cellStyle name="Besuchter Hyperlink" xfId="48" builtinId="9" hidden="1"/>
    <cellStyle name="Besuchter Hyperlink" xfId="50" builtinId="9" hidden="1"/>
    <cellStyle name="Besuchter Hyperlink" xfId="52" builtinId="9" hidden="1"/>
    <cellStyle name="Besuchter Hyperlink" xfId="54" builtinId="9" hidden="1"/>
    <cellStyle name="Besuchter Hyperlink" xfId="56" builtinId="9" hidden="1"/>
    <cellStyle name="Besuchter Hyperlink" xfId="58" builtinId="9" hidden="1"/>
    <cellStyle name="Besuchter Hyperlink" xfId="60" builtinId="9" hidden="1"/>
    <cellStyle name="Besuchter Hyperlink" xfId="62" builtinId="9" hidden="1"/>
    <cellStyle name="Besuchter Hyperlink" xfId="64" builtinId="9" hidden="1"/>
    <cellStyle name="Besuchter Hyperlink" xfId="66" builtinId="9" hidden="1"/>
    <cellStyle name="Besuchter Hyperlink" xfId="68" builtinId="9" hidden="1"/>
    <cellStyle name="Besuchter Hyperlink" xfId="70" builtinId="9" hidden="1"/>
    <cellStyle name="Besuchter Hyperlink" xfId="72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Link" xfId="37" builtinId="8" hidden="1"/>
    <cellStyle name="Link" xfId="39" builtinId="8" hidden="1"/>
    <cellStyle name="Link" xfId="41" builtinId="8" hidden="1"/>
    <cellStyle name="Link" xfId="43" builtinId="8" hidden="1"/>
    <cellStyle name="Link" xfId="45" builtinId="8" hidden="1"/>
    <cellStyle name="Link" xfId="47" builtinId="8" hidden="1"/>
    <cellStyle name="Link" xfId="49" builtinId="8" hidden="1"/>
    <cellStyle name="Link" xfId="51" builtinId="8" hidden="1"/>
    <cellStyle name="Link" xfId="53" builtinId="8" hidden="1"/>
    <cellStyle name="Link" xfId="55" builtinId="8" hidden="1"/>
    <cellStyle name="Link" xfId="57" builtinId="8" hidden="1"/>
    <cellStyle name="Link" xfId="59" builtinId="8" hidden="1"/>
    <cellStyle name="Link" xfId="61" builtinId="8" hidden="1"/>
    <cellStyle name="Link" xfId="63" builtinId="8" hidden="1"/>
    <cellStyle name="Link" xfId="65" builtinId="8" hidden="1"/>
    <cellStyle name="Link" xfId="67" builtinId="8" hidden="1"/>
    <cellStyle name="Link" xfId="69" builtinId="8" hidden="1"/>
    <cellStyle name="Link" xfId="71" builtinId="8" hidden="1"/>
    <cellStyle name="Standard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4F4F"/>
      <color rgb="FFFFA7A7"/>
      <color rgb="FFFF66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88900</xdr:rowOff>
        </xdr:from>
        <xdr:to>
          <xdr:col>6</xdr:col>
          <xdr:colOff>463550</xdr:colOff>
          <xdr:row>0</xdr:row>
          <xdr:rowOff>908050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Input Data according to the Ranking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254962</xdr:colOff>
      <xdr:row>0</xdr:row>
      <xdr:rowOff>95250</xdr:rowOff>
    </xdr:from>
    <xdr:to>
      <xdr:col>4</xdr:col>
      <xdr:colOff>31750</xdr:colOff>
      <xdr:row>0</xdr:row>
      <xdr:rowOff>908050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4962" y="95250"/>
          <a:ext cx="2767638" cy="81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400" b="1"/>
            <a:t>Choose the official scoring system:</a:t>
          </a:r>
        </a:p>
        <a:p>
          <a:r>
            <a:rPr lang="de-CH" sz="1400" b="1">
              <a:solidFill>
                <a:srgbClr val="0070C0"/>
              </a:solidFill>
            </a:rPr>
            <a:t>-</a:t>
          </a:r>
          <a:r>
            <a:rPr lang="de-CH" sz="1400" b="1" baseline="0">
              <a:solidFill>
                <a:srgbClr val="0070C0"/>
              </a:solidFill>
            </a:rPr>
            <a:t> </a:t>
          </a:r>
          <a:r>
            <a:rPr lang="de-CH" sz="1400" b="1">
              <a:solidFill>
                <a:srgbClr val="0070C0"/>
              </a:solidFill>
            </a:rPr>
            <a:t>RRS relative </a:t>
          </a:r>
          <a:br>
            <a:rPr lang="de-CH" sz="1400" b="1"/>
          </a:br>
          <a:r>
            <a:rPr lang="de-CH" sz="1400" b="1">
              <a:solidFill>
                <a:srgbClr val="FF9999"/>
              </a:solidFill>
            </a:rPr>
            <a:t>- old = position based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0</xdr:row>
          <xdr:rowOff>387350</xdr:rowOff>
        </xdr:from>
        <xdr:to>
          <xdr:col>4</xdr:col>
          <xdr:colOff>57150</xdr:colOff>
          <xdr:row>0</xdr:row>
          <xdr:rowOff>901700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0</xdr:row>
          <xdr:rowOff>279400</xdr:rowOff>
        </xdr:from>
        <xdr:to>
          <xdr:col>3</xdr:col>
          <xdr:colOff>488950</xdr:colOff>
          <xdr:row>0</xdr:row>
          <xdr:rowOff>590550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RRS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31750</xdr:rowOff>
        </xdr:from>
        <xdr:to>
          <xdr:col>12</xdr:col>
          <xdr:colOff>704850</xdr:colOff>
          <xdr:row>0</xdr:row>
          <xdr:rowOff>596900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de-CH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Assign groups/circles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31750</xdr:rowOff>
        </xdr:from>
        <xdr:to>
          <xdr:col>19</xdr:col>
          <xdr:colOff>723900</xdr:colOff>
          <xdr:row>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de-CH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Create the scoresheets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00B050"/>
  </sheetPr>
  <dimension ref="A1:AP1720"/>
  <sheetViews>
    <sheetView tabSelected="1" zoomScaleNormal="100" zoomScalePageLayoutView="132" workbookViewId="0">
      <pane xSplit="8" ySplit="1" topLeftCell="I2" activePane="bottomRight" state="frozenSplit"/>
      <selection pane="topRight" activeCell="C1" sqref="C1"/>
      <selection pane="bottomLeft" activeCell="A2" sqref="A2"/>
      <selection pane="bottomRight" activeCell="R11" sqref="R11"/>
    </sheetView>
  </sheetViews>
  <sheetFormatPr baseColWidth="10" defaultColWidth="10.83203125" defaultRowHeight="15.5" outlineLevelCol="1" x14ac:dyDescent="0.35"/>
  <cols>
    <col min="1" max="1" width="12.9140625" style="43" customWidth="1"/>
    <col min="2" max="2" width="10.33203125" style="42" customWidth="1" outlineLevel="1"/>
    <col min="3" max="3" width="6.83203125" style="42" customWidth="1"/>
    <col min="4" max="4" width="9.1640625" style="42" customWidth="1" outlineLevel="1"/>
    <col min="5" max="6" width="9.75" style="33" customWidth="1"/>
    <col min="7" max="8" width="6.6640625" style="9" customWidth="1"/>
    <col min="9" max="9" width="6.58203125" style="39" customWidth="1"/>
    <col min="10" max="10" width="7" style="8" customWidth="1"/>
    <col min="11" max="11" width="5.33203125" style="12" customWidth="1"/>
    <col min="12" max="12" width="6.6640625" style="39" customWidth="1"/>
    <col min="13" max="13" width="7" style="8" customWidth="1"/>
    <col min="14" max="14" width="6.33203125" style="12" customWidth="1"/>
    <col min="15" max="15" width="5.75" style="39" customWidth="1"/>
    <col min="16" max="16" width="7" style="8" customWidth="1"/>
    <col min="17" max="17" width="6.08203125" style="12" customWidth="1"/>
    <col min="18" max="18" width="5.6640625" style="39" customWidth="1"/>
    <col min="19" max="19" width="7" style="8" customWidth="1"/>
    <col min="20" max="20" width="6.33203125" style="12" customWidth="1"/>
    <col min="21" max="21" width="7.33203125" style="39" customWidth="1"/>
    <col min="22" max="22" width="6.6640625" style="8" customWidth="1"/>
    <col min="23" max="23" width="6.33203125" style="12" customWidth="1"/>
    <col min="24" max="24" width="7.33203125" style="39" customWidth="1"/>
    <col min="25" max="25" width="6.9140625" style="8" customWidth="1"/>
    <col min="26" max="26" width="6.33203125" style="12" customWidth="1"/>
    <col min="27" max="27" width="7.33203125" style="39" customWidth="1"/>
    <col min="28" max="28" width="6.9140625" style="8" customWidth="1"/>
    <col min="29" max="29" width="6.33203125" style="12" customWidth="1"/>
    <col min="30" max="30" width="7.33203125" style="39" customWidth="1"/>
    <col min="31" max="31" width="6.9140625" style="8" customWidth="1"/>
    <col min="32" max="32" width="6.33203125" style="12" customWidth="1"/>
    <col min="33" max="33" width="7.33203125" style="39" customWidth="1"/>
    <col min="34" max="35" width="7.58203125" customWidth="1"/>
    <col min="36" max="36" width="2.9140625" style="14" customWidth="1"/>
    <col min="37" max="41" width="2.9140625" customWidth="1"/>
    <col min="42" max="42" width="12.25" style="50" customWidth="1"/>
  </cols>
  <sheetData>
    <row r="1" spans="1:42" s="28" customFormat="1" ht="103.5" customHeight="1" thickBot="1" x14ac:dyDescent="0.4">
      <c r="A1" s="45" t="s">
        <v>3</v>
      </c>
      <c r="B1" s="40" t="s">
        <v>27</v>
      </c>
      <c r="C1" s="40" t="s">
        <v>15</v>
      </c>
      <c r="D1" s="40" t="s">
        <v>18</v>
      </c>
      <c r="E1" s="34" t="s">
        <v>40</v>
      </c>
      <c r="F1" s="34" t="s">
        <v>39</v>
      </c>
      <c r="G1" s="25" t="s">
        <v>37</v>
      </c>
      <c r="H1" s="25" t="s">
        <v>38</v>
      </c>
      <c r="I1" s="37" t="s">
        <v>41</v>
      </c>
      <c r="J1" s="26" t="s">
        <v>42</v>
      </c>
      <c r="K1" s="27" t="s">
        <v>43</v>
      </c>
      <c r="L1" s="37" t="s">
        <v>44</v>
      </c>
      <c r="M1" s="26" t="s">
        <v>45</v>
      </c>
      <c r="N1" s="27" t="s">
        <v>46</v>
      </c>
      <c r="O1" s="37" t="s">
        <v>47</v>
      </c>
      <c r="P1" s="26" t="s">
        <v>48</v>
      </c>
      <c r="Q1" s="27" t="s">
        <v>49</v>
      </c>
      <c r="R1" s="37" t="s">
        <v>170</v>
      </c>
      <c r="S1" s="26" t="s">
        <v>171</v>
      </c>
      <c r="T1" s="27" t="s">
        <v>172</v>
      </c>
      <c r="U1" s="37" t="s">
        <v>50</v>
      </c>
      <c r="V1" s="26" t="s">
        <v>51</v>
      </c>
      <c r="W1" s="27" t="s">
        <v>52</v>
      </c>
      <c r="X1" s="37" t="s">
        <v>53</v>
      </c>
      <c r="Y1" s="26" t="s">
        <v>54</v>
      </c>
      <c r="Z1" s="27" t="s">
        <v>55</v>
      </c>
      <c r="AA1" s="37" t="s">
        <v>63</v>
      </c>
      <c r="AB1" s="26" t="s">
        <v>64</v>
      </c>
      <c r="AC1" s="27" t="s">
        <v>65</v>
      </c>
      <c r="AD1" s="37" t="s">
        <v>175</v>
      </c>
      <c r="AE1" s="26" t="s">
        <v>173</v>
      </c>
      <c r="AF1" s="27" t="s">
        <v>174</v>
      </c>
      <c r="AG1" s="37" t="s">
        <v>176</v>
      </c>
      <c r="AH1" s="26" t="s">
        <v>177</v>
      </c>
      <c r="AI1" s="27" t="s">
        <v>178</v>
      </c>
      <c r="AJ1" s="86"/>
      <c r="AP1" s="48" t="s">
        <v>105</v>
      </c>
    </row>
    <row r="2" spans="1:42" ht="15.5" customHeight="1" thickTop="1" x14ac:dyDescent="0.35">
      <c r="A2" s="42" t="s">
        <v>241</v>
      </c>
      <c r="B2" s="42" t="s">
        <v>77</v>
      </c>
      <c r="C2" s="42" t="s">
        <v>80</v>
      </c>
      <c r="D2" s="42" t="s">
        <v>86</v>
      </c>
      <c r="E2" s="32">
        <f t="shared" ref="E2:E12" si="0">IF(ISBLANK($A2)," ",  RANK(F2,F$2:F$202,1)+((COUNTIF(F$2:F$202,F2)-1)*0.5) )</f>
        <v>6</v>
      </c>
      <c r="F2" s="32">
        <f t="shared" ref="F2:F12" si="1">IF(ISBLANK(A2)," ",SUM(K2,N2,Q2,T2,W2,Z2,AC2,AF2,AI2))</f>
        <v>19</v>
      </c>
      <c r="G2" s="7">
        <f t="shared" ref="G2:G12" si="2">IF(ISBLANK($A2)," ",  RANK(H2,H$2:H$202,0)+((COUNTIF(H$2:H$202,H2)-1)*0.5) )</f>
        <v>6</v>
      </c>
      <c r="H2" s="7">
        <f t="shared" ref="H2:H12" si="3">IF(ISBLANK(A2)," ",SUM(  IF(ISBLANK(I2),0,ROUNDDOWN(J2,0)),  IF(ISBLANK(L2),0,ROUNDDOWN(M2,0)),  IF(ISBLANK(O2),0,ROUNDDOWN(P2,0)),IF(ISBLANK(R2),0,ROUNDDOWN(S2,0)),IF(ISBLANK(U2),0,ROUNDDOWN(V2,0)), IF(ISBLANK(X2),0,ROUNDDOWN(Y2,0)),IF(ISBLANK(AA2),0,ROUNDDOWN(AB2,0)),IF(ISBLANK(AD2),0,ROUNDDOWN(AE2,0)),IF(ISBLANK(AG2),0,ROUNDDOWN(AH2,0))
 ))</f>
        <v>887</v>
      </c>
      <c r="I2" s="38">
        <v>6</v>
      </c>
      <c r="J2" s="8">
        <f>IF(ISBLANK(I2)," ",IF(I2="np",SpecialScores!$C$3,IF(I2="dnf",SpecialScores!$C$4,MIN( 1000+I2/SpecialScores!$E$3*0.0001,(500*LOG(1+99*I2/SpecialScores!$E$3))))))</f>
        <v>420.67973522742744</v>
      </c>
      <c r="K2" s="12">
        <f t="shared" ref="K2:K12" si="4">IF(ISBLANK(I2),"",  RANK(J2,J$2:J$202,0)+((COUNTIF(J$2:J$202,J2)-1)*0.5) )</f>
        <v>1</v>
      </c>
      <c r="L2" s="38">
        <v>1</v>
      </c>
      <c r="M2" s="8">
        <f>IF(ISBLANK(L2)," ",IF(L2="np",SpecialScores!$C$3,IF(L2="dnf",SpecialScores!$C$4,MIN( 1000+L2/SpecialScores!$H$3*0.0001,(500*LOG(1+99*L2/SpecialScores!$H$3))))))</f>
        <v>149.42653820485333</v>
      </c>
      <c r="N2" s="12">
        <f t="shared" ref="N2:N12" si="5">IF(ISBLANK(L2),"",  RANK(M2,M$2:M$202,0)+((COUNTIF(M$2:M$202,M2)-1)*0.5) )</f>
        <v>6</v>
      </c>
      <c r="O2" s="38">
        <v>5</v>
      </c>
      <c r="P2" s="8">
        <f>IF(ISBLANK(O2)," ",IF(O2="np",SpecialScores!$C$3,IF(O2="dnf",SpecialScores!$C$4,MIN( 1000+O2/SpecialScores!$K$3*0.0001,(500*LOG(1+99*O2/SpecialScores!$K$3))))))</f>
        <v>518.71324897031184</v>
      </c>
      <c r="Q2" s="12">
        <f t="shared" ref="Q2:Q12" si="6">IF(ISBLANK(O2),"",  RANK(P2,P$2:P$202,0)+((COUNTIF(P$2:P$202,P2)-1)*0.5) )</f>
        <v>6</v>
      </c>
      <c r="R2" s="38" t="s">
        <v>4</v>
      </c>
      <c r="S2" s="30">
        <f>IF(ISBLANK(R2)," ",IF(R2="np",SpecialScores!$C$3,IF(R2="dnf",SpecialScores!$C$4,      IF(AND(R2&gt;=0,R2&lt;SpecialScores!$O$12), (500*LOG(1+99*R2/SpecialScores!$O$12*SpecialScores!$O$11/SpecialScores!$O$10)),                         MIN((500*LOG(1+99*SpecialScores!$O$11/R2)))))))</f>
        <v>-200</v>
      </c>
      <c r="T2" s="12">
        <f t="shared" ref="T2:T12" si="7">IF(ISBLANK(R2),"",  RANK(S2,S$2:S$202,0)+((COUNTIF(S$2:S$202,S2)-1)*0.5) )</f>
        <v>6</v>
      </c>
      <c r="U2" s="38"/>
      <c r="V2" s="30" t="str">
        <f>IF(ISBLANK(U2)," ",IF(U2="np",SpecialScores!$C$3,IF(U2="dnf",SpecialScores!$C$4,MIN((500*LOG(1+99*U2/SpecialScores!$R$3))))))</f>
        <v xml:space="preserve"> </v>
      </c>
      <c r="W2" s="12" t="str">
        <f t="shared" ref="W2:W12" si="8">IF(ISBLANK(U2),"",  RANK(V2,V$2:V$202,0)+((COUNTIF(V$2:V$202,V2)-1)*0.5) )</f>
        <v/>
      </c>
      <c r="X2" s="38"/>
      <c r="Y2" s="8" t="str">
        <f>IF(ISBLANK(X2)," ",IF(X2="np",SpecialScores!$C$3,IF(X2="dnf",SpecialScores!$C$4,MIN( 1000+X2/SpecialScores!$U$3*0.0001,(500*LOG(1+99*X2/SpecialScores!$U$3))))))</f>
        <v xml:space="preserve"> </v>
      </c>
      <c r="Z2" s="12" t="str">
        <f t="shared" ref="Z2:Z12" si="9">IF(ISBLANK(X2),"",  RANK(Y2,Y$2:Y$202,0)+((COUNTIF(Y$2:Y$202,Y2)-1)*0.5) )</f>
        <v/>
      </c>
      <c r="AA2" s="38"/>
      <c r="AB2" s="30" t="str">
        <f>IF(ISBLANK(AA2)," ",IF(AA2="np",SpecialScores!$C$3,IF(AA2="dnf",SpecialScores!$C$4,      IF(AND(AA2&gt;=0,AA2&lt;SpecialScores!$X$12), (500*LOG(1+99*AA2/SpecialScores!$X$12*SpecialScores!$X$11/SpecialScores!$X$10)),                         MIN((500*LOG(1+99*SpecialScores!$X$11/AA2)))))))</f>
        <v xml:space="preserve"> </v>
      </c>
      <c r="AC2" s="12" t="str">
        <f t="shared" ref="AC2:AC12" si="10">IF(ISBLANK(AA2),"",  RANK(AB2,AB$2:AB$202,0)+((COUNTIF(AB$2:AB$202,AB2)-1)*0.5) )</f>
        <v/>
      </c>
      <c r="AD2" s="38"/>
      <c r="AE2" s="8" t="str">
        <f>IF(ISBLANK(AD2)," ",IF(AD2="np",SpecialScores!$C$3,IF(AD2="dnf",SpecialScores!$C$4,MIN( 1000+AD2/SpecialScores!$AA$5*0.0001,(500*LOG(1+99*AD2/SpecialScores!$AA$5))))))</f>
        <v xml:space="preserve"> </v>
      </c>
      <c r="AF2" s="12" t="str">
        <f t="shared" ref="AF2:AF12" si="11">IF(ISBLANK(AD2),"",  RANK(AE2,AE$2:AE$202,0)+((COUNTIF(AE$2:AE$202,AE2)-1)*0.5) )</f>
        <v/>
      </c>
      <c r="AG2" s="38"/>
      <c r="AH2" s="8" t="str">
        <f>IF(ISBLANK(AG2)," ",IF(AG2="np",SpecialScores!$C$3,IF(AG2="dnf",SpecialScores!$C$4,      IF(AND(AG2&gt;=0,AG2&lt;SpecialScores!$AD$12), (500*LOG(1+99*AG2/SpecialScores!$AD$12*SpecialScores!$AD$11/SpecialScores!$AD$10)),                         MIN((500*LOG(1+99*SpecialScores!$AD$11/AG2)))))))</f>
        <v xml:space="preserve"> </v>
      </c>
      <c r="AI2" s="12" t="str">
        <f t="shared" ref="AI2:AI12" si="12">IF(ISBLANK(AG2),"",  RANK(AH2,AH$2:AH$202,0)+((COUNTIF(AH$2:AH$202,AH2)-1)*0.5) )</f>
        <v/>
      </c>
      <c r="AJ2" s="20"/>
      <c r="AK2" s="21"/>
      <c r="AL2" s="21"/>
      <c r="AM2" s="21"/>
      <c r="AN2" s="21"/>
      <c r="AO2" s="21"/>
      <c r="AP2" s="49"/>
    </row>
    <row r="3" spans="1:42" x14ac:dyDescent="0.35">
      <c r="A3" s="42" t="s">
        <v>218</v>
      </c>
      <c r="B3" s="42" t="s">
        <v>242</v>
      </c>
      <c r="C3" s="42" t="s">
        <v>247</v>
      </c>
      <c r="D3" s="42" t="s">
        <v>86</v>
      </c>
      <c r="E3" s="33">
        <f t="shared" si="0"/>
        <v>5</v>
      </c>
      <c r="F3" s="33">
        <f t="shared" si="1"/>
        <v>17</v>
      </c>
      <c r="G3" s="7">
        <f t="shared" si="2"/>
        <v>5</v>
      </c>
      <c r="H3" s="7">
        <f t="shared" si="3"/>
        <v>1178</v>
      </c>
      <c r="I3" s="38">
        <v>5</v>
      </c>
      <c r="J3" s="8">
        <f>IF(ISBLANK(I3)," ",IF(I3="np",SpecialScores!$C$3,IF(I3="dnf",SpecialScores!$C$4,MIN( 1000+I3/SpecialScores!$E$3*0.0001,(500*LOG(1+99*I3/SpecialScores!$E$3))))))</f>
        <v>387.25848286427475</v>
      </c>
      <c r="K3" s="12">
        <f t="shared" si="4"/>
        <v>2</v>
      </c>
      <c r="L3" s="38">
        <v>2</v>
      </c>
      <c r="M3" s="8">
        <f>IF(ISBLANK(L3)," ",IF(L3="np",SpecialScores!$C$3,IF(L3="dnf",SpecialScores!$C$4,MIN( 1000+L3/SpecialScores!$H$3*0.0001,(500*LOG(1+99*L3/SpecialScores!$H$3))))))</f>
        <v>237.10813203812762</v>
      </c>
      <c r="N3" s="12">
        <f t="shared" si="5"/>
        <v>5</v>
      </c>
      <c r="O3" s="38">
        <v>6</v>
      </c>
      <c r="P3" s="8">
        <f>IF(ISBLANK(O3)," ",IF(O3="np",SpecialScores!$C$3,IF(O3="dnf",SpecialScores!$C$4,MIN( 1000+O3/SpecialScores!$K$3*0.0001,(500*LOG(1+99*O3/SpecialScores!$K$3))))))</f>
        <v>554.95793151189662</v>
      </c>
      <c r="Q3" s="12">
        <f t="shared" si="6"/>
        <v>5</v>
      </c>
      <c r="R3" s="38">
        <v>0</v>
      </c>
      <c r="S3" s="8">
        <f>IF(ISBLANK(R3)," ",IF(R3="np",SpecialScores!$C$3,IF(R3="dnf",SpecialScores!$C$4,      IF(AND(R3&gt;=0,R3&lt;SpecialScores!$O$12), (500*LOG(1+99*R3/SpecialScores!$O$12*SpecialScores!$O$11/SpecialScores!$O$10)),                         MIN((500*LOG(1+99*SpecialScores!$O$11/R3)))))))</f>
        <v>0</v>
      </c>
      <c r="T3" s="12">
        <f t="shared" si="7"/>
        <v>5</v>
      </c>
      <c r="U3" s="38"/>
      <c r="V3" s="8" t="str">
        <f>IF(ISBLANK(U3)," ",IF(U3="np",SpecialScores!$C$3,IF(U3="dnf",SpecialScores!$C$4,MIN((500*LOG(1+99*U3/SpecialScores!$R$3))))))</f>
        <v xml:space="preserve"> </v>
      </c>
      <c r="W3" s="12" t="str">
        <f t="shared" si="8"/>
        <v/>
      </c>
      <c r="X3" s="38"/>
      <c r="Y3" s="8" t="str">
        <f>IF(ISBLANK(X3)," ",IF(X3="np",SpecialScores!$C$3,IF(X3="dnf",SpecialScores!$C$4,MIN( 1000+X3/SpecialScores!$U$3*0.0001,(500*LOG(1+99*X3/SpecialScores!$U$3))))))</f>
        <v xml:space="preserve"> </v>
      </c>
      <c r="Z3" s="12" t="str">
        <f t="shared" si="9"/>
        <v/>
      </c>
      <c r="AA3" s="38"/>
      <c r="AB3" s="8" t="str">
        <f>IF(ISBLANK(AA3)," ",IF(AA3="np",SpecialScores!$C$3,IF(AA3="dnf",SpecialScores!$C$4,      IF(AND(AA3&gt;=0,AA3&lt;SpecialScores!$X$12), (500*LOG(1+99*AA3/SpecialScores!$X$12*SpecialScores!$X$11/SpecialScores!$X$10)),                         MIN((500*LOG(1+99*SpecialScores!$X$11/AA3)))))))</f>
        <v xml:space="preserve"> </v>
      </c>
      <c r="AC3" s="12" t="str">
        <f t="shared" si="10"/>
        <v/>
      </c>
      <c r="AD3" s="38"/>
      <c r="AE3" s="8" t="str">
        <f>IF(ISBLANK(AD3)," ",IF(AD3="np",SpecialScores!$C$3,IF(AD3="dnf",SpecialScores!$C$4,MIN( 1000+AD3/SpecialScores!$AA$5*0.0001,(500*LOG(1+99*AD3/SpecialScores!$AA$5))))))</f>
        <v xml:space="preserve"> </v>
      </c>
      <c r="AF3" s="12" t="str">
        <f t="shared" si="11"/>
        <v/>
      </c>
      <c r="AG3" s="38"/>
      <c r="AH3" s="8" t="str">
        <f>IF(ISBLANK(AG3)," ",IF(AG3="np",SpecialScores!$C$3,IF(AG3="dnf",SpecialScores!$C$4,      IF(AND(AG3&gt;=0,AG3&lt;SpecialScores!$AD$12), (500*LOG(1+99*AG3/SpecialScores!$AD$12*SpecialScores!$AD$11/SpecialScores!$AD$10)),                         MIN((500*LOG(1+99*SpecialScores!$AD$11/AG3)))))))</f>
        <v xml:space="preserve"> </v>
      </c>
      <c r="AI3" s="12" t="str">
        <f t="shared" si="12"/>
        <v/>
      </c>
      <c r="AP3" s="49"/>
    </row>
    <row r="4" spans="1:42" x14ac:dyDescent="0.35">
      <c r="A4" s="42" t="s">
        <v>202</v>
      </c>
      <c r="B4" s="42" t="s">
        <v>243</v>
      </c>
      <c r="C4" s="42" t="s">
        <v>248</v>
      </c>
      <c r="D4" s="42" t="s">
        <v>86</v>
      </c>
      <c r="E4" s="33">
        <f t="shared" si="0"/>
        <v>4</v>
      </c>
      <c r="F4" s="33">
        <f t="shared" si="1"/>
        <v>15</v>
      </c>
      <c r="G4" s="7">
        <f t="shared" si="2"/>
        <v>4</v>
      </c>
      <c r="H4" s="7">
        <f t="shared" si="3"/>
        <v>1619</v>
      </c>
      <c r="I4" s="38">
        <v>4</v>
      </c>
      <c r="J4" s="8">
        <f>IF(ISBLANK(I4)," ",IF(I4="np",SpecialScores!$C$3,IF(I4="dnf",SpecialScores!$C$4,MIN( 1000+I4/SpecialScores!$E$3*0.0001,(500*LOG(1+99*I4/SpecialScores!$E$3))))))</f>
        <v>347.7408382450987</v>
      </c>
      <c r="K4" s="12">
        <f t="shared" si="4"/>
        <v>3</v>
      </c>
      <c r="L4" s="38">
        <v>3</v>
      </c>
      <c r="M4" s="8">
        <f>IF(ISBLANK(L4)," ",IF(L4="np",SpecialScores!$C$3,IF(L4="dnf",SpecialScores!$C$4,MIN( 1000+L4/SpecialScores!$H$3*0.0001,(500*LOG(1+99*L4/SpecialScores!$H$3))))))</f>
        <v>299.39525338155755</v>
      </c>
      <c r="N4" s="12">
        <f t="shared" si="5"/>
        <v>4</v>
      </c>
      <c r="O4" s="38">
        <v>7</v>
      </c>
      <c r="P4" s="8">
        <f>IF(ISBLANK(O4)," ",IF(O4="np",SpecialScores!$C$3,IF(O4="dnf",SpecialScores!$C$4,MIN( 1000+O4/SpecialScores!$K$3*0.0001,(500*LOG(1+99*O4/SpecialScores!$K$3))))))</f>
        <v>586.0094047122783</v>
      </c>
      <c r="Q4" s="12">
        <f t="shared" si="6"/>
        <v>4</v>
      </c>
      <c r="R4" s="38">
        <v>1</v>
      </c>
      <c r="S4" s="8">
        <f>IF(ISBLANK(R4)," ",IF(R4="np",SpecialScores!$C$3,IF(R4="dnf",SpecialScores!$C$4,      IF(AND(R4&gt;=0,R4&lt;SpecialScores!$O$12), (500*LOG(1+99*R4/SpecialScores!$O$12*SpecialScores!$O$11/SpecialScores!$O$10)),                         MIN((500*LOG(1+99*SpecialScores!$O$11/R4)))))))</f>
        <v>387.25848286427475</v>
      </c>
      <c r="T4" s="12">
        <f t="shared" si="7"/>
        <v>4</v>
      </c>
      <c r="U4" s="38"/>
      <c r="V4" s="8" t="str">
        <f>IF(ISBLANK(U4)," ",IF(U4="np",SpecialScores!$C$3,IF(U4="dnf",SpecialScores!$C$4,MIN((500*LOG(1+99*U4/SpecialScores!$R$3))))))</f>
        <v xml:space="preserve"> </v>
      </c>
      <c r="W4" s="12" t="str">
        <f t="shared" si="8"/>
        <v/>
      </c>
      <c r="X4" s="38"/>
      <c r="Y4" s="8" t="str">
        <f>IF(ISBLANK(X4)," ",IF(X4="np",SpecialScores!$C$3,IF(X4="dnf",SpecialScores!$C$4,MIN( 1000+X4/SpecialScores!$U$3*0.0001,(500*LOG(1+99*X4/SpecialScores!$U$3))))))</f>
        <v xml:space="preserve"> </v>
      </c>
      <c r="Z4" s="12" t="str">
        <f t="shared" si="9"/>
        <v/>
      </c>
      <c r="AA4" s="38"/>
      <c r="AB4" s="8" t="str">
        <f>IF(ISBLANK(AA4)," ",IF(AA4="np",SpecialScores!$C$3,IF(AA4="dnf",SpecialScores!$C$4,      IF(AND(AA4&gt;=0,AA4&lt;SpecialScores!$X$12), (500*LOG(1+99*AA4/SpecialScores!$X$12*SpecialScores!$X$11/SpecialScores!$X$10)),                         MIN((500*LOG(1+99*SpecialScores!$X$11/AA4)))))))</f>
        <v xml:space="preserve"> </v>
      </c>
      <c r="AC4" s="12" t="str">
        <f t="shared" si="10"/>
        <v/>
      </c>
      <c r="AD4" s="38"/>
      <c r="AE4" s="8" t="str">
        <f>IF(ISBLANK(AD4)," ",IF(AD4="np",SpecialScores!$C$3,IF(AD4="dnf",SpecialScores!$C$4,MIN( 1000+AD4/SpecialScores!$AA$5*0.0001,(500*LOG(1+99*AD4/SpecialScores!$AA$5))))))</f>
        <v xml:space="preserve"> </v>
      </c>
      <c r="AF4" s="12" t="str">
        <f t="shared" si="11"/>
        <v/>
      </c>
      <c r="AG4" s="38"/>
      <c r="AH4" s="8" t="str">
        <f>IF(ISBLANK(AG4)," ",IF(AG4="np",SpecialScores!$C$3,IF(AG4="dnf",SpecialScores!$C$4,      IF(AND(AG4&gt;=0,AG4&lt;SpecialScores!$AD$12), (500*LOG(1+99*AG4/SpecialScores!$AD$12*SpecialScores!$AD$11/SpecialScores!$AD$10)),                         MIN((500*LOG(1+99*SpecialScores!$AD$11/AG4)))))))</f>
        <v xml:space="preserve"> </v>
      </c>
      <c r="AI4" s="12" t="str">
        <f t="shared" si="12"/>
        <v/>
      </c>
      <c r="AP4" s="49"/>
    </row>
    <row r="5" spans="1:42" x14ac:dyDescent="0.35">
      <c r="A5" s="42" t="s">
        <v>219</v>
      </c>
      <c r="B5" s="42" t="s">
        <v>244</v>
      </c>
      <c r="C5" s="42" t="s">
        <v>249</v>
      </c>
      <c r="D5" s="42" t="s">
        <v>86</v>
      </c>
      <c r="E5" s="33">
        <f t="shared" si="0"/>
        <v>3</v>
      </c>
      <c r="F5" s="33">
        <f t="shared" si="1"/>
        <v>13</v>
      </c>
      <c r="G5" s="7">
        <f t="shared" si="2"/>
        <v>3</v>
      </c>
      <c r="H5" s="7">
        <f t="shared" si="3"/>
        <v>1777</v>
      </c>
      <c r="I5" s="38">
        <v>3</v>
      </c>
      <c r="J5" s="8">
        <f>IF(ISBLANK(I5)," ",IF(I5="np",SpecialScores!$C$3,IF(I5="dnf",SpecialScores!$C$4,MIN( 1000+I5/SpecialScores!$E$3*0.0001,(500*LOG(1+99*I5/SpecialScores!$E$3))))))</f>
        <v>299.39525338155755</v>
      </c>
      <c r="K5" s="12">
        <f t="shared" si="4"/>
        <v>4</v>
      </c>
      <c r="L5" s="38">
        <v>4</v>
      </c>
      <c r="M5" s="8">
        <f>IF(ISBLANK(L5)," ",IF(L5="np",SpecialScores!$C$3,IF(L5="dnf",SpecialScores!$C$4,MIN( 1000+L5/SpecialScores!$H$3*0.0001,(500*LOG(1+99*L5/SpecialScores!$H$3))))))</f>
        <v>347.7408382450987</v>
      </c>
      <c r="N5" s="12">
        <f t="shared" si="5"/>
        <v>3</v>
      </c>
      <c r="O5" s="38">
        <v>8</v>
      </c>
      <c r="P5" s="8">
        <f>IF(ISBLANK(O5)," ",IF(O5="np",SpecialScores!$C$3,IF(O5="dnf",SpecialScores!$C$4,MIN( 1000+O5/SpecialScores!$K$3*0.0001,(500*LOG(1+99*O5/SpecialScores!$K$3))))))</f>
        <v>613.17104358181541</v>
      </c>
      <c r="Q5" s="12">
        <f t="shared" si="6"/>
        <v>3</v>
      </c>
      <c r="R5" s="38">
        <v>2</v>
      </c>
      <c r="S5" s="8">
        <f>IF(ISBLANK(R5)," ",IF(R5="np",SpecialScores!$C$3,IF(R5="dnf",SpecialScores!$C$4,      IF(AND(R5&gt;=0,R5&lt;SpecialScores!$O$12), (500*LOG(1+99*R5/SpecialScores!$O$12*SpecialScores!$O$11/SpecialScores!$O$10)),                         MIN((500*LOG(1+99*SpecialScores!$O$11/R5)))))))</f>
        <v>518.71324897031184</v>
      </c>
      <c r="T5" s="12">
        <f t="shared" si="7"/>
        <v>3</v>
      </c>
      <c r="U5" s="38"/>
      <c r="V5" s="8" t="str">
        <f>IF(ISBLANK(U5)," ",IF(U5="np",SpecialScores!$C$3,IF(U5="dnf",SpecialScores!$C$4,MIN((500*LOG(1+99*U5/SpecialScores!$R$3))))))</f>
        <v xml:space="preserve"> </v>
      </c>
      <c r="W5" s="12" t="str">
        <f t="shared" si="8"/>
        <v/>
      </c>
      <c r="X5" s="38"/>
      <c r="Y5" s="8" t="str">
        <f>IF(ISBLANK(X5)," ",IF(X5="np",SpecialScores!$C$3,IF(X5="dnf",SpecialScores!$C$4,MIN( 1000+X5/SpecialScores!$U$3*0.0001,(500*LOG(1+99*X5/SpecialScores!$U$3))))))</f>
        <v xml:space="preserve"> </v>
      </c>
      <c r="Z5" s="12" t="str">
        <f t="shared" si="9"/>
        <v/>
      </c>
      <c r="AA5" s="38"/>
      <c r="AB5" s="8" t="str">
        <f>IF(ISBLANK(AA5)," ",IF(AA5="np",SpecialScores!$C$3,IF(AA5="dnf",SpecialScores!$C$4,      IF(AND(AA5&gt;=0,AA5&lt;SpecialScores!$X$12), (500*LOG(1+99*AA5/SpecialScores!$X$12*SpecialScores!$X$11/SpecialScores!$X$10)),                         MIN((500*LOG(1+99*SpecialScores!$X$11/AA5)))))))</f>
        <v xml:space="preserve"> </v>
      </c>
      <c r="AC5" s="12" t="str">
        <f t="shared" si="10"/>
        <v/>
      </c>
      <c r="AD5" s="38"/>
      <c r="AE5" s="8" t="str">
        <f>IF(ISBLANK(AD5)," ",IF(AD5="np",SpecialScores!$C$3,IF(AD5="dnf",SpecialScores!$C$4,MIN( 1000+AD5/SpecialScores!$AA$5*0.0001,(500*LOG(1+99*AD5/SpecialScores!$AA$5))))))</f>
        <v xml:space="preserve"> </v>
      </c>
      <c r="AF5" s="12" t="str">
        <f t="shared" si="11"/>
        <v/>
      </c>
      <c r="AG5" s="38"/>
      <c r="AH5" s="8" t="str">
        <f>IF(ISBLANK(AG5)," ",IF(AG5="np",SpecialScores!$C$3,IF(AG5="dnf",SpecialScores!$C$4,      IF(AND(AG5&gt;=0,AG5&lt;SpecialScores!$AD$12), (500*LOG(1+99*AG5/SpecialScores!$AD$12*SpecialScores!$AD$11/SpecialScores!$AD$10)),                         MIN((500*LOG(1+99*SpecialScores!$AD$11/AG5)))))))</f>
        <v xml:space="preserve"> </v>
      </c>
      <c r="AI5" s="12" t="str">
        <f t="shared" si="12"/>
        <v/>
      </c>
      <c r="AP5" s="49"/>
    </row>
    <row r="6" spans="1:42" x14ac:dyDescent="0.35">
      <c r="A6" s="42" t="s">
        <v>220</v>
      </c>
      <c r="B6" s="42" t="s">
        <v>245</v>
      </c>
      <c r="C6" s="42" t="s">
        <v>250</v>
      </c>
      <c r="D6" s="42" t="s">
        <v>86</v>
      </c>
      <c r="E6" s="33">
        <f t="shared" si="0"/>
        <v>2</v>
      </c>
      <c r="F6" s="33">
        <f t="shared" si="1"/>
        <v>11</v>
      </c>
      <c r="G6" s="7">
        <f t="shared" si="2"/>
        <v>1</v>
      </c>
      <c r="H6" s="7">
        <f t="shared" si="3"/>
        <v>1920</v>
      </c>
      <c r="I6" s="38">
        <v>2</v>
      </c>
      <c r="J6" s="8">
        <f>IF(ISBLANK(I6)," ",IF(I6="np",SpecialScores!$C$3,IF(I6="dnf",SpecialScores!$C$4,MIN( 1000+I6/SpecialScores!$E$3*0.0001,(500*LOG(1+99*I6/SpecialScores!$E$3))))))</f>
        <v>237.10813203812762</v>
      </c>
      <c r="K6" s="12">
        <f t="shared" si="4"/>
        <v>5</v>
      </c>
      <c r="L6" s="38">
        <v>5</v>
      </c>
      <c r="M6" s="8">
        <f>IF(ISBLANK(L6)," ",IF(L6="np",SpecialScores!$C$3,IF(L6="dnf",SpecialScores!$C$4,MIN( 1000+L6/SpecialScores!$H$3*0.0001,(500*LOG(1+99*L6/SpecialScores!$H$3))))))</f>
        <v>387.25848286427475</v>
      </c>
      <c r="N6" s="12">
        <f t="shared" si="5"/>
        <v>2</v>
      </c>
      <c r="O6" s="38">
        <v>9</v>
      </c>
      <c r="P6" s="8">
        <f>IF(ISBLANK(O6)," ",IF(O6="np",SpecialScores!$C$3,IF(O6="dnf",SpecialScores!$C$4,MIN( 1000+O6/SpecialScores!$K$3*0.0001,(500*LOG(1+99*O6/SpecialScores!$K$3))))))</f>
        <v>637.30980954561915</v>
      </c>
      <c r="Q6" s="12">
        <f t="shared" si="6"/>
        <v>2</v>
      </c>
      <c r="R6" s="38">
        <v>4</v>
      </c>
      <c r="S6" s="8">
        <f>IF(ISBLANK(R6)," ",IF(R6="np",SpecialScores!$C$3,IF(R6="dnf",SpecialScores!$C$4,      IF(AND(R6&gt;=0,R6&lt;SpecialScores!$O$12), (500*LOG(1+99*R6/SpecialScores!$O$12*SpecialScores!$O$11/SpecialScores!$O$10)),                         MIN((500*LOG(1+99*SpecialScores!$O$11/R6)))))))</f>
        <v>659.03166748138074</v>
      </c>
      <c r="T6" s="12">
        <f t="shared" si="7"/>
        <v>2</v>
      </c>
      <c r="U6" s="38"/>
      <c r="V6" s="8" t="str">
        <f>IF(ISBLANK(U6)," ",IF(U6="np",SpecialScores!$C$3,IF(U6="dnf",SpecialScores!$C$4,MIN((500*LOG(1+99*U6/SpecialScores!$R$3))))))</f>
        <v xml:space="preserve"> </v>
      </c>
      <c r="W6" s="12" t="str">
        <f t="shared" si="8"/>
        <v/>
      </c>
      <c r="X6" s="38"/>
      <c r="Y6" s="8" t="str">
        <f>IF(ISBLANK(X6)," ",IF(X6="np",SpecialScores!$C$3,IF(X6="dnf",SpecialScores!$C$4,MIN( 1000+X6/SpecialScores!$U$3*0.0001,(500*LOG(1+99*X6/SpecialScores!$U$3))))))</f>
        <v xml:space="preserve"> </v>
      </c>
      <c r="Z6" s="12" t="str">
        <f t="shared" si="9"/>
        <v/>
      </c>
      <c r="AA6" s="38"/>
      <c r="AB6" s="8" t="str">
        <f>IF(ISBLANK(AA6)," ",IF(AA6="np",SpecialScores!$C$3,IF(AA6="dnf",SpecialScores!$C$4,      IF(AND(AA6&gt;=0,AA6&lt;SpecialScores!$X$12), (500*LOG(1+99*AA6/SpecialScores!$X$12*SpecialScores!$X$11/SpecialScores!$X$10)),                         MIN((500*LOG(1+99*SpecialScores!$X$11/AA6)))))))</f>
        <v xml:space="preserve"> </v>
      </c>
      <c r="AC6" s="12" t="str">
        <f t="shared" si="10"/>
        <v/>
      </c>
      <c r="AD6" s="38"/>
      <c r="AE6" s="8" t="str">
        <f>IF(ISBLANK(AD6)," ",IF(AD6="np",SpecialScores!$C$3,IF(AD6="dnf",SpecialScores!$C$4,MIN( 1000+AD6/SpecialScores!$AA$5*0.0001,(500*LOG(1+99*AD6/SpecialScores!$AA$5))))))</f>
        <v xml:space="preserve"> </v>
      </c>
      <c r="AF6" s="12" t="str">
        <f t="shared" si="11"/>
        <v/>
      </c>
      <c r="AG6" s="38"/>
      <c r="AH6" s="8" t="str">
        <f>IF(ISBLANK(AG6)," ",IF(AG6="np",SpecialScores!$C$3,IF(AG6="dnf",SpecialScores!$C$4,      IF(AND(AG6&gt;=0,AG6&lt;SpecialScores!$AD$12), (500*LOG(1+99*AG6/SpecialScores!$AD$12*SpecialScores!$AD$11/SpecialScores!$AD$10)),                         MIN((500*LOG(1+99*SpecialScores!$AD$11/AG6)))))))</f>
        <v xml:space="preserve"> </v>
      </c>
      <c r="AI6" s="12" t="str">
        <f t="shared" si="12"/>
        <v/>
      </c>
      <c r="AP6" s="49"/>
    </row>
    <row r="7" spans="1:42" x14ac:dyDescent="0.35">
      <c r="A7" s="42" t="s">
        <v>221</v>
      </c>
      <c r="B7" s="42" t="s">
        <v>246</v>
      </c>
      <c r="C7" s="42" t="s">
        <v>251</v>
      </c>
      <c r="D7" s="42" t="s">
        <v>86</v>
      </c>
      <c r="E7" s="33">
        <f t="shared" si="0"/>
        <v>1</v>
      </c>
      <c r="F7" s="33">
        <f t="shared" si="1"/>
        <v>9</v>
      </c>
      <c r="G7" s="7">
        <f t="shared" si="2"/>
        <v>2</v>
      </c>
      <c r="H7" s="7">
        <f t="shared" si="3"/>
        <v>1889</v>
      </c>
      <c r="I7" s="38">
        <v>1</v>
      </c>
      <c r="J7" s="8">
        <f>IF(ISBLANK(I7)," ",IF(I7="np",SpecialScores!$C$3,IF(I7="dnf",SpecialScores!$C$4,MIN( 1000+I7/SpecialScores!$E$3*0.0001,(500*LOG(1+99*I7/SpecialScores!$E$3))))))</f>
        <v>149.42653820485333</v>
      </c>
      <c r="K7" s="12">
        <f t="shared" si="4"/>
        <v>6</v>
      </c>
      <c r="L7" s="38">
        <v>6</v>
      </c>
      <c r="M7" s="8">
        <f>IF(ISBLANK(L7)," ",IF(L7="np",SpecialScores!$C$3,IF(L7="dnf",SpecialScores!$C$4,MIN( 1000+L7/SpecialScores!$H$3*0.0001,(500*LOG(1+99*L7/SpecialScores!$H$3))))))</f>
        <v>420.67973522742744</v>
      </c>
      <c r="N7" s="12">
        <f t="shared" si="5"/>
        <v>1</v>
      </c>
      <c r="O7" s="38">
        <v>10</v>
      </c>
      <c r="P7" s="8">
        <f>IF(ISBLANK(O7)," ",IF(O7="np",SpecialScores!$C$3,IF(O7="dnf",SpecialScores!$C$4,MIN( 1000+O7/SpecialScores!$K$3*0.0001,(500*LOG(1+99*O7/SpecialScores!$K$3))))))</f>
        <v>659.03166748138074</v>
      </c>
      <c r="Q7" s="12">
        <f t="shared" si="6"/>
        <v>1</v>
      </c>
      <c r="R7" s="38">
        <v>74</v>
      </c>
      <c r="S7" s="8">
        <f>IF(ISBLANK(R7)," ",IF(R7="np",SpecialScores!$C$3,IF(R7="dnf",SpecialScores!$C$4,      IF(AND(R7&gt;=0,R7&lt;SpecialScores!$O$12), (500*LOG(1+99*R7/SpecialScores!$O$12*SpecialScores!$O$11/SpecialScores!$O$10)),                         MIN((500*LOG(1+99*SpecialScores!$O$11/R7)))))))</f>
        <v>661.80719772893269</v>
      </c>
      <c r="T7" s="12">
        <f t="shared" si="7"/>
        <v>1</v>
      </c>
      <c r="U7" s="38"/>
      <c r="V7" s="8" t="str">
        <f>IF(ISBLANK(U7)," ",IF(U7="np",SpecialScores!$C$3,IF(U7="dnf",SpecialScores!$C$4,MIN((500*LOG(1+99*U7/SpecialScores!$R$3))))))</f>
        <v xml:space="preserve"> </v>
      </c>
      <c r="W7" s="12" t="str">
        <f t="shared" si="8"/>
        <v/>
      </c>
      <c r="X7" s="38"/>
      <c r="Y7" s="8" t="str">
        <f>IF(ISBLANK(X7)," ",IF(X7="np",SpecialScores!$C$3,IF(X7="dnf",SpecialScores!$C$4,MIN( 1000+X7/SpecialScores!$U$3*0.0001,(500*LOG(1+99*X7/SpecialScores!$U$3))))))</f>
        <v xml:space="preserve"> </v>
      </c>
      <c r="Z7" s="12" t="str">
        <f t="shared" si="9"/>
        <v/>
      </c>
      <c r="AA7" s="38"/>
      <c r="AB7" s="8" t="str">
        <f>IF(ISBLANK(AA7)," ",IF(AA7="np",SpecialScores!$C$3,IF(AA7="dnf",SpecialScores!$C$4,      IF(AND(AA7&gt;=0,AA7&lt;SpecialScores!$X$12), (500*LOG(1+99*AA7/SpecialScores!$X$12*SpecialScores!$X$11/SpecialScores!$X$10)),                         MIN((500*LOG(1+99*SpecialScores!$X$11/AA7)))))))</f>
        <v xml:space="preserve"> </v>
      </c>
      <c r="AC7" s="12" t="str">
        <f t="shared" si="10"/>
        <v/>
      </c>
      <c r="AD7" s="38"/>
      <c r="AE7" s="8" t="str">
        <f>IF(ISBLANK(AD7)," ",IF(AD7="np",SpecialScores!$C$3,IF(AD7="dnf",SpecialScores!$C$4,MIN( 1000+AD7/SpecialScores!$AA$5*0.0001,(500*LOG(1+99*AD7/SpecialScores!$AA$5))))))</f>
        <v xml:space="preserve"> </v>
      </c>
      <c r="AF7" s="12" t="str">
        <f t="shared" si="11"/>
        <v/>
      </c>
      <c r="AG7" s="38"/>
      <c r="AH7" s="8" t="str">
        <f>IF(ISBLANK(AG7)," ",IF(AG7="np",SpecialScores!$C$3,IF(AG7="dnf",SpecialScores!$C$4,      IF(AND(AG7&gt;=0,AG7&lt;SpecialScores!$AD$12), (500*LOG(1+99*AG7/SpecialScores!$AD$12*SpecialScores!$AD$11/SpecialScores!$AD$10)),                         MIN((500*LOG(1+99*SpecialScores!$AD$11/AG7)))))))</f>
        <v xml:space="preserve"> </v>
      </c>
      <c r="AI7" s="12" t="str">
        <f t="shared" si="12"/>
        <v/>
      </c>
      <c r="AP7" s="49"/>
    </row>
    <row r="8" spans="1:42" x14ac:dyDescent="0.35">
      <c r="A8" s="42"/>
      <c r="E8" s="33" t="str">
        <f t="shared" si="0"/>
        <v xml:space="preserve"> </v>
      </c>
      <c r="F8" s="33" t="str">
        <f t="shared" si="1"/>
        <v xml:space="preserve"> </v>
      </c>
      <c r="G8" s="7" t="str">
        <f t="shared" si="2"/>
        <v xml:space="preserve"> </v>
      </c>
      <c r="H8" s="7" t="str">
        <f t="shared" si="3"/>
        <v xml:space="preserve"> </v>
      </c>
      <c r="I8" s="38"/>
      <c r="J8" s="8" t="str">
        <f>IF(ISBLANK(I8)," ",IF(I8="np",SpecialScores!$C$3,IF(I8="dnf",SpecialScores!$C$4,MIN( 1000+I8/SpecialScores!$E$3*0.0001,(500*LOG(1+99*I8/SpecialScores!$E$3))))))</f>
        <v xml:space="preserve"> </v>
      </c>
      <c r="K8" s="12" t="str">
        <f t="shared" si="4"/>
        <v/>
      </c>
      <c r="L8" s="38"/>
      <c r="M8" s="8" t="str">
        <f>IF(ISBLANK(L8)," ",IF(L8="np",SpecialScores!$C$3,IF(L8="dnf",SpecialScores!$C$4,MIN( 1000+L8/SpecialScores!$H$3*0.0001,(500*LOG(1+99*L8/SpecialScores!$H$3))))))</f>
        <v xml:space="preserve"> </v>
      </c>
      <c r="N8" s="12" t="str">
        <f t="shared" si="5"/>
        <v/>
      </c>
      <c r="O8" s="38"/>
      <c r="P8" s="8" t="str">
        <f>IF(ISBLANK(O8)," ",IF(O8="np",SpecialScores!$C$3,IF(O8="dnf",SpecialScores!$C$4,MIN( 1000+O8/SpecialScores!$K$3*0.0001,(500*LOG(1+99*O8/SpecialScores!$K$3))))))</f>
        <v xml:space="preserve"> </v>
      </c>
      <c r="Q8" s="12" t="str">
        <f t="shared" si="6"/>
        <v/>
      </c>
      <c r="R8" s="38"/>
      <c r="S8" s="8" t="str">
        <f>IF(ISBLANK(R8)," ",IF(R8="np",SpecialScores!$C$3,IF(R8="dnf",SpecialScores!$C$4,      IF(AND(R8&gt;=0,R8&lt;SpecialScores!$O$12), (500*LOG(1+99*R8/SpecialScores!$O$12*SpecialScores!$O$11/SpecialScores!$O$10)),                         MIN((500*LOG(1+99*SpecialScores!$O$11/R8)))))))</f>
        <v xml:space="preserve"> </v>
      </c>
      <c r="T8" s="12" t="str">
        <f t="shared" si="7"/>
        <v/>
      </c>
      <c r="U8" s="38"/>
      <c r="V8" s="8" t="str">
        <f>IF(ISBLANK(U8)," ",IF(U8="np",SpecialScores!$C$3,IF(U8="dnf",SpecialScores!$C$4,MIN((500*LOG(1+99*U8/SpecialScores!$R$3))))))</f>
        <v xml:space="preserve"> </v>
      </c>
      <c r="W8" s="12" t="str">
        <f t="shared" si="8"/>
        <v/>
      </c>
      <c r="X8" s="38"/>
      <c r="Y8" s="8" t="str">
        <f>IF(ISBLANK(X8)," ",IF(X8="np",SpecialScores!$C$3,IF(X8="dnf",SpecialScores!$C$4,MIN( 1000+X8/SpecialScores!$U$3*0.0001,(500*LOG(1+99*X8/SpecialScores!$U$3))))))</f>
        <v xml:space="preserve"> </v>
      </c>
      <c r="Z8" s="12" t="str">
        <f t="shared" si="9"/>
        <v/>
      </c>
      <c r="AA8" s="38"/>
      <c r="AB8" s="8" t="str">
        <f>IF(ISBLANK(AA8)," ",IF(AA8="np",SpecialScores!$C$3,IF(AA8="dnf",SpecialScores!$C$4,      IF(AND(AA8&gt;=0,AA8&lt;SpecialScores!$X$12), (500*LOG(1+99*AA8/SpecialScores!$X$12*SpecialScores!$X$11/SpecialScores!$X$10)),                         MIN((500*LOG(1+99*SpecialScores!$X$11/AA8)))))))</f>
        <v xml:space="preserve"> </v>
      </c>
      <c r="AC8" s="12" t="str">
        <f t="shared" si="10"/>
        <v/>
      </c>
      <c r="AD8" s="38"/>
      <c r="AE8" s="8" t="str">
        <f>IF(ISBLANK(AD8)," ",IF(AD8="np",SpecialScores!$C$3,IF(AD8="dnf",SpecialScores!$C$4,MIN( 1000+AD8/SpecialScores!$AA$5*0.0001,(500*LOG(1+99*AD8/SpecialScores!$AA$5))))))</f>
        <v xml:space="preserve"> </v>
      </c>
      <c r="AF8" s="12" t="str">
        <f t="shared" si="11"/>
        <v/>
      </c>
      <c r="AG8" s="38"/>
      <c r="AH8" s="8" t="str">
        <f>IF(ISBLANK(AG8)," ",IF(AG8="np",SpecialScores!$C$3,IF(AG8="dnf",SpecialScores!$C$4,      IF(AND(AG8&gt;=0,AG8&lt;SpecialScores!$AD$12), (500*LOG(1+99*AG8/SpecialScores!$AD$12*SpecialScores!$AD$11/SpecialScores!$AD$10)),                         MIN((500*LOG(1+99*SpecialScores!$AD$11/AG8)))))))</f>
        <v xml:space="preserve"> </v>
      </c>
      <c r="AI8" s="12" t="str">
        <f t="shared" si="12"/>
        <v/>
      </c>
      <c r="AP8" s="49"/>
    </row>
    <row r="9" spans="1:42" x14ac:dyDescent="0.35">
      <c r="A9" s="42"/>
      <c r="E9" s="33" t="str">
        <f t="shared" si="0"/>
        <v xml:space="preserve"> </v>
      </c>
      <c r="F9" s="33" t="str">
        <f t="shared" si="1"/>
        <v xml:space="preserve"> </v>
      </c>
      <c r="G9" s="7" t="str">
        <f t="shared" si="2"/>
        <v xml:space="preserve"> </v>
      </c>
      <c r="H9" s="7" t="str">
        <f t="shared" si="3"/>
        <v xml:space="preserve"> </v>
      </c>
      <c r="I9" s="38"/>
      <c r="J9" s="8" t="str">
        <f>IF(ISBLANK(I9)," ",IF(I9="np",SpecialScores!$C$3,IF(I9="dnf",SpecialScores!$C$4,MIN( 1000+I9/SpecialScores!$E$3*0.0001,(500*LOG(1+99*I9/SpecialScores!$E$3))))))</f>
        <v xml:space="preserve"> </v>
      </c>
      <c r="K9" s="12" t="str">
        <f t="shared" si="4"/>
        <v/>
      </c>
      <c r="L9" s="38"/>
      <c r="M9" s="8" t="str">
        <f>IF(ISBLANK(L9)," ",IF(L9="np",SpecialScores!$C$3,IF(L9="dnf",SpecialScores!$C$4,MIN( 1000+L9/SpecialScores!$H$3*0.0001,(500*LOG(1+99*L9/SpecialScores!$H$3))))))</f>
        <v xml:space="preserve"> </v>
      </c>
      <c r="N9" s="12" t="str">
        <f t="shared" si="5"/>
        <v/>
      </c>
      <c r="O9" s="38"/>
      <c r="P9" s="8" t="str">
        <f>IF(ISBLANK(O9)," ",IF(O9="np",SpecialScores!$C$3,IF(O9="dnf",SpecialScores!$C$4,MIN( 1000+O9/SpecialScores!$K$3*0.0001,(500*LOG(1+99*O9/SpecialScores!$K$3))))))</f>
        <v xml:space="preserve"> </v>
      </c>
      <c r="Q9" s="12" t="str">
        <f t="shared" si="6"/>
        <v/>
      </c>
      <c r="R9" s="38"/>
      <c r="S9" s="8" t="str">
        <f>IF(ISBLANK(R9)," ",IF(R9="np",SpecialScores!$C$3,IF(R9="dnf",SpecialScores!$C$4,      IF(AND(R9&gt;=0,R9&lt;SpecialScores!$O$12), (500*LOG(1+99*R9/SpecialScores!$O$12*SpecialScores!$O$11/SpecialScores!$O$10)),                         MIN((500*LOG(1+99*SpecialScores!$O$11/R9)))))))</f>
        <v xml:space="preserve"> </v>
      </c>
      <c r="T9" s="12" t="str">
        <f t="shared" si="7"/>
        <v/>
      </c>
      <c r="U9" s="38"/>
      <c r="V9" s="8" t="str">
        <f>IF(ISBLANK(U9)," ",IF(U9="np",SpecialScores!$C$3,IF(U9="dnf",SpecialScores!$C$4,MIN((500*LOG(1+99*U9/SpecialScores!$R$3))))))</f>
        <v xml:space="preserve"> </v>
      </c>
      <c r="W9" s="12" t="str">
        <f t="shared" si="8"/>
        <v/>
      </c>
      <c r="X9" s="38"/>
      <c r="Y9" s="8" t="str">
        <f>IF(ISBLANK(X9)," ",IF(X9="np",SpecialScores!$C$3,IF(X9="dnf",SpecialScores!$C$4,MIN( 1000+X9/SpecialScores!$U$3*0.0001,(500*LOG(1+99*X9/SpecialScores!$U$3))))))</f>
        <v xml:space="preserve"> </v>
      </c>
      <c r="Z9" s="12" t="str">
        <f t="shared" si="9"/>
        <v/>
      </c>
      <c r="AA9" s="38"/>
      <c r="AB9" s="8" t="str">
        <f>IF(ISBLANK(AA9)," ",IF(AA9="np",SpecialScores!$C$3,IF(AA9="dnf",SpecialScores!$C$4,      IF(AND(AA9&gt;=0,AA9&lt;SpecialScores!$X$12), (500*LOG(1+99*AA9/SpecialScores!$X$12*SpecialScores!$X$11/SpecialScores!$X$10)),                         MIN((500*LOG(1+99*SpecialScores!$X$11/AA9)))))))</f>
        <v xml:space="preserve"> </v>
      </c>
      <c r="AC9" s="12" t="str">
        <f t="shared" si="10"/>
        <v/>
      </c>
      <c r="AD9" s="38"/>
      <c r="AE9" s="8" t="str">
        <f>IF(ISBLANK(AD9)," ",IF(AD9="np",SpecialScores!$C$3,IF(AD9="dnf",SpecialScores!$C$4,MIN( 1000+AD9/SpecialScores!$AA$5*0.0001,(500*LOG(1+99*AD9/SpecialScores!$AA$5))))))</f>
        <v xml:space="preserve"> </v>
      </c>
      <c r="AF9" s="12" t="str">
        <f t="shared" si="11"/>
        <v/>
      </c>
      <c r="AG9" s="38"/>
      <c r="AH9" s="8" t="str">
        <f>IF(ISBLANK(AG9)," ",IF(AG9="np",SpecialScores!$C$3,IF(AG9="dnf",SpecialScores!$C$4,      IF(AND(AG9&gt;=0,AG9&lt;SpecialScores!$AD$12), (500*LOG(1+99*AG9/SpecialScores!$AD$12*SpecialScores!$AD$11/SpecialScores!$AD$10)),                         MIN((500*LOG(1+99*SpecialScores!$AD$11/AG9)))))))</f>
        <v xml:space="preserve"> </v>
      </c>
      <c r="AI9" s="12" t="str">
        <f t="shared" si="12"/>
        <v/>
      </c>
      <c r="AP9" s="49"/>
    </row>
    <row r="10" spans="1:42" x14ac:dyDescent="0.35">
      <c r="A10" s="42"/>
      <c r="E10" s="33" t="str">
        <f t="shared" si="0"/>
        <v xml:space="preserve"> </v>
      </c>
      <c r="F10" s="33" t="str">
        <f t="shared" si="1"/>
        <v xml:space="preserve"> </v>
      </c>
      <c r="G10" s="7" t="str">
        <f t="shared" si="2"/>
        <v xml:space="preserve"> </v>
      </c>
      <c r="H10" s="7" t="str">
        <f t="shared" si="3"/>
        <v xml:space="preserve"> </v>
      </c>
      <c r="I10" s="38"/>
      <c r="J10" s="8" t="str">
        <f>IF(ISBLANK(I10)," ",IF(I10="np",SpecialScores!$C$3,IF(I10="dnf",SpecialScores!$C$4,MIN( 1000+I10/SpecialScores!$E$3*0.0001,(500*LOG(1+99*I10/SpecialScores!$E$3))))))</f>
        <v xml:space="preserve"> </v>
      </c>
      <c r="K10" s="12" t="str">
        <f t="shared" si="4"/>
        <v/>
      </c>
      <c r="L10" s="38"/>
      <c r="M10" s="8" t="str">
        <f>IF(ISBLANK(L10)," ",IF(L10="np",SpecialScores!$C$3,IF(L10="dnf",SpecialScores!$C$4,MIN( 1000+L10/SpecialScores!$H$3*0.0001,(500*LOG(1+99*L10/SpecialScores!$H$3))))))</f>
        <v xml:space="preserve"> </v>
      </c>
      <c r="N10" s="12" t="str">
        <f t="shared" si="5"/>
        <v/>
      </c>
      <c r="O10" s="38"/>
      <c r="P10" s="8" t="str">
        <f>IF(ISBLANK(O10)," ",IF(O10="np",SpecialScores!$C$3,IF(O10="dnf",SpecialScores!$C$4,MIN( 1000+O10/SpecialScores!$K$3*0.0001,(500*LOG(1+99*O10/SpecialScores!$K$3))))))</f>
        <v xml:space="preserve"> </v>
      </c>
      <c r="Q10" s="12" t="str">
        <f t="shared" si="6"/>
        <v/>
      </c>
      <c r="R10" s="38"/>
      <c r="S10" s="8" t="str">
        <f>IF(ISBLANK(R10)," ",IF(R10="np",SpecialScores!$C$3,IF(R10="dnf",SpecialScores!$C$4,      IF(AND(R10&gt;=0,R10&lt;SpecialScores!$O$12), (500*LOG(1+99*R10/SpecialScores!$O$12*SpecialScores!$O$11/SpecialScores!$O$10)),                         MIN((500*LOG(1+99*SpecialScores!$O$11/R10)))))))</f>
        <v xml:space="preserve"> </v>
      </c>
      <c r="T10" s="12" t="str">
        <f t="shared" si="7"/>
        <v/>
      </c>
      <c r="U10" s="38"/>
      <c r="V10" s="8" t="str">
        <f>IF(ISBLANK(U10)," ",IF(U10="np",SpecialScores!$C$3,IF(U10="dnf",SpecialScores!$C$4,MIN((500*LOG(1+99*U10/SpecialScores!$R$3))))))</f>
        <v xml:space="preserve"> </v>
      </c>
      <c r="W10" s="12" t="str">
        <f t="shared" si="8"/>
        <v/>
      </c>
      <c r="X10" s="38"/>
      <c r="Y10" s="8" t="str">
        <f>IF(ISBLANK(X10)," ",IF(X10="np",SpecialScores!$C$3,IF(X10="dnf",SpecialScores!$C$4,MIN( 1000+X10/SpecialScores!$U$3*0.0001,(500*LOG(1+99*X10/SpecialScores!$U$3))))))</f>
        <v xml:space="preserve"> </v>
      </c>
      <c r="Z10" s="12" t="str">
        <f t="shared" si="9"/>
        <v/>
      </c>
      <c r="AA10" s="38"/>
      <c r="AB10" s="8" t="str">
        <f>IF(ISBLANK(AA10)," ",IF(AA10="np",SpecialScores!$C$3,IF(AA10="dnf",SpecialScores!$C$4,      IF(AND(AA10&gt;=0,AA10&lt;SpecialScores!$X$12), (500*LOG(1+99*AA10/SpecialScores!$X$12*SpecialScores!$X$11/SpecialScores!$X$10)),                         MIN((500*LOG(1+99*SpecialScores!$X$11/AA10)))))))</f>
        <v xml:space="preserve"> </v>
      </c>
      <c r="AC10" s="12" t="str">
        <f t="shared" si="10"/>
        <v/>
      </c>
      <c r="AD10" s="38"/>
      <c r="AE10" s="8" t="str">
        <f>IF(ISBLANK(AD10)," ",IF(AD10="np",SpecialScores!$C$3,IF(AD10="dnf",SpecialScores!$C$4,MIN( 1000+AD10/SpecialScores!$AA$5*0.0001,(500*LOG(1+99*AD10/SpecialScores!$AA$5))))))</f>
        <v xml:space="preserve"> </v>
      </c>
      <c r="AF10" s="12" t="str">
        <f t="shared" si="11"/>
        <v/>
      </c>
      <c r="AG10" s="38"/>
      <c r="AH10" s="8" t="str">
        <f>IF(ISBLANK(AG10)," ",IF(AG10="np",SpecialScores!$C$3,IF(AG10="dnf",SpecialScores!$C$4,      IF(AND(AG10&gt;=0,AG10&lt;SpecialScores!$AD$12), (500*LOG(1+99*AG10/SpecialScores!$AD$12*SpecialScores!$AD$11/SpecialScores!$AD$10)),                         MIN((500*LOG(1+99*SpecialScores!$AD$11/AG10)))))))</f>
        <v xml:space="preserve"> </v>
      </c>
      <c r="AI10" s="12" t="str">
        <f t="shared" si="12"/>
        <v/>
      </c>
      <c r="AP10" s="49"/>
    </row>
    <row r="11" spans="1:42" x14ac:dyDescent="0.35">
      <c r="A11" s="42"/>
      <c r="E11" s="33" t="str">
        <f t="shared" si="0"/>
        <v xml:space="preserve"> </v>
      </c>
      <c r="F11" s="33" t="str">
        <f t="shared" si="1"/>
        <v xml:space="preserve"> </v>
      </c>
      <c r="G11" s="7" t="str">
        <f t="shared" si="2"/>
        <v xml:space="preserve"> </v>
      </c>
      <c r="H11" s="7" t="str">
        <f t="shared" si="3"/>
        <v xml:space="preserve"> </v>
      </c>
      <c r="I11" s="38"/>
      <c r="J11" s="8" t="str">
        <f>IF(ISBLANK(I11)," ",IF(I11="np",SpecialScores!$C$3,IF(I11="dnf",SpecialScores!$C$4,MIN( 1000+I11/SpecialScores!$E$3*0.0001,(500*LOG(1+99*I11/SpecialScores!$E$3))))))</f>
        <v xml:space="preserve"> </v>
      </c>
      <c r="K11" s="12" t="str">
        <f t="shared" si="4"/>
        <v/>
      </c>
      <c r="L11" s="38"/>
      <c r="M11" s="8" t="str">
        <f>IF(ISBLANK(L11)," ",IF(L11="np",SpecialScores!$C$3,IF(L11="dnf",SpecialScores!$C$4,MIN( 1000+L11/SpecialScores!$H$3*0.0001,(500*LOG(1+99*L11/SpecialScores!$H$3))))))</f>
        <v xml:space="preserve"> </v>
      </c>
      <c r="N11" s="12" t="str">
        <f t="shared" si="5"/>
        <v/>
      </c>
      <c r="O11" s="38"/>
      <c r="P11" s="8" t="str">
        <f>IF(ISBLANK(O11)," ",IF(O11="np",SpecialScores!$C$3,IF(O11="dnf",SpecialScores!$C$4,MIN( 1000+O11/SpecialScores!$K$3*0.0001,(500*LOG(1+99*O11/SpecialScores!$K$3))))))</f>
        <v xml:space="preserve"> </v>
      </c>
      <c r="Q11" s="12" t="str">
        <f t="shared" si="6"/>
        <v/>
      </c>
      <c r="R11" s="38"/>
      <c r="S11" s="8" t="str">
        <f>IF(ISBLANK(R11)," ",IF(R11="np",SpecialScores!$C$3,IF(R11="dnf",SpecialScores!$C$4,      IF(AND(R11&gt;=0,R11&lt;SpecialScores!$O$12), (500*LOG(1+99*R11/SpecialScores!$O$12*SpecialScores!$O$11/SpecialScores!$O$10)),                         MIN((500*LOG(1+99*SpecialScores!$O$11/R11)))))))</f>
        <v xml:space="preserve"> </v>
      </c>
      <c r="T11" s="12" t="str">
        <f t="shared" si="7"/>
        <v/>
      </c>
      <c r="U11" s="38"/>
      <c r="V11" s="8" t="str">
        <f>IF(ISBLANK(U11)," ",IF(U11="np",SpecialScores!$C$3,IF(U11="dnf",SpecialScores!$C$4,MIN((500*LOG(1+99*U11/SpecialScores!$R$3))))))</f>
        <v xml:space="preserve"> </v>
      </c>
      <c r="W11" s="12" t="str">
        <f t="shared" si="8"/>
        <v/>
      </c>
      <c r="X11" s="38"/>
      <c r="Y11" s="8" t="str">
        <f>IF(ISBLANK(X11)," ",IF(X11="np",SpecialScores!$C$3,IF(X11="dnf",SpecialScores!$C$4,MIN( 1000+X11/SpecialScores!$U$3*0.0001,(500*LOG(1+99*X11/SpecialScores!$U$3))))))</f>
        <v xml:space="preserve"> </v>
      </c>
      <c r="Z11" s="12" t="str">
        <f t="shared" si="9"/>
        <v/>
      </c>
      <c r="AA11" s="38"/>
      <c r="AB11" s="8" t="str">
        <f>IF(ISBLANK(AA11)," ",IF(AA11="np",SpecialScores!$C$3,IF(AA11="dnf",SpecialScores!$C$4,      IF(AND(AA11&gt;=0,AA11&lt;SpecialScores!$X$12), (500*LOG(1+99*AA11/SpecialScores!$X$12*SpecialScores!$X$11/SpecialScores!$X$10)),                         MIN((500*LOG(1+99*SpecialScores!$X$11/AA11)))))))</f>
        <v xml:space="preserve"> </v>
      </c>
      <c r="AC11" s="12" t="str">
        <f t="shared" si="10"/>
        <v/>
      </c>
      <c r="AD11" s="38"/>
      <c r="AE11" s="8" t="str">
        <f>IF(ISBLANK(AD11)," ",IF(AD11="np",SpecialScores!$C$3,IF(AD11="dnf",SpecialScores!$C$4,MIN( 1000+AD11/SpecialScores!$AA$5*0.0001,(500*LOG(1+99*AD11/SpecialScores!$AA$5))))))</f>
        <v xml:space="preserve"> </v>
      </c>
      <c r="AF11" s="12" t="str">
        <f t="shared" si="11"/>
        <v/>
      </c>
      <c r="AG11" s="38"/>
      <c r="AH11" s="8" t="str">
        <f>IF(ISBLANK(AG11)," ",IF(AG11="np",SpecialScores!$C$3,IF(AG11="dnf",SpecialScores!$C$4,      IF(AND(AG11&gt;=0,AG11&lt;SpecialScores!$AD$12), (500*LOG(1+99*AG11/SpecialScores!$AD$12*SpecialScores!$AD$11/SpecialScores!$AD$10)),                         MIN((500*LOG(1+99*SpecialScores!$AD$11/AG11)))))))</f>
        <v xml:space="preserve"> </v>
      </c>
      <c r="AI11" s="12" t="str">
        <f t="shared" si="12"/>
        <v/>
      </c>
      <c r="AP11" s="49"/>
    </row>
    <row r="12" spans="1:42" x14ac:dyDescent="0.35">
      <c r="A12" s="42"/>
      <c r="E12" s="33" t="str">
        <f t="shared" si="0"/>
        <v xml:space="preserve"> </v>
      </c>
      <c r="F12" s="33" t="str">
        <f t="shared" si="1"/>
        <v xml:space="preserve"> </v>
      </c>
      <c r="G12" s="7" t="str">
        <f t="shared" si="2"/>
        <v xml:space="preserve"> </v>
      </c>
      <c r="H12" s="7" t="str">
        <f t="shared" si="3"/>
        <v xml:space="preserve"> </v>
      </c>
      <c r="I12" s="38"/>
      <c r="J12" s="8" t="str">
        <f>IF(ISBLANK(I12)," ",IF(I12="np",SpecialScores!$C$3,IF(I12="dnf",SpecialScores!$C$4,MIN( 1000+I12/SpecialScores!$E$3*0.0001,(500*LOG(1+99*I12/SpecialScores!$E$3))))))</f>
        <v xml:space="preserve"> </v>
      </c>
      <c r="K12" s="12" t="str">
        <f t="shared" si="4"/>
        <v/>
      </c>
      <c r="L12" s="38"/>
      <c r="M12" s="8" t="str">
        <f>IF(ISBLANK(L12)," ",IF(L12="np",SpecialScores!$C$3,IF(L12="dnf",SpecialScores!$C$4,MIN( 1000+L12/SpecialScores!$H$3*0.0001,(500*LOG(1+99*L12/SpecialScores!$H$3))))))</f>
        <v xml:space="preserve"> </v>
      </c>
      <c r="N12" s="12" t="str">
        <f t="shared" si="5"/>
        <v/>
      </c>
      <c r="O12" s="38"/>
      <c r="P12" s="8" t="str">
        <f>IF(ISBLANK(O12)," ",IF(O12="np",SpecialScores!$C$3,IF(O12="dnf",SpecialScores!$C$4,MIN( 1000+O12/SpecialScores!$K$3*0.0001,(500*LOG(1+99*O12/SpecialScores!$K$3))))))</f>
        <v xml:space="preserve"> </v>
      </c>
      <c r="Q12" s="12" t="str">
        <f t="shared" si="6"/>
        <v/>
      </c>
      <c r="R12" s="38"/>
      <c r="S12" s="8" t="str">
        <f>IF(ISBLANK(R12)," ",IF(R12="np",SpecialScores!$C$3,IF(R12="dnf",SpecialScores!$C$4,      IF(AND(R12&gt;=0,R12&lt;SpecialScores!$O$12), (500*LOG(1+99*R12/SpecialScores!$O$12*SpecialScores!$O$11/SpecialScores!$O$10)),                         MIN((500*LOG(1+99*SpecialScores!$O$11/R12)))))))</f>
        <v xml:space="preserve"> </v>
      </c>
      <c r="T12" s="12" t="str">
        <f t="shared" si="7"/>
        <v/>
      </c>
      <c r="U12" s="38"/>
      <c r="V12" s="8" t="str">
        <f>IF(ISBLANK(U12)," ",IF(U12="np",SpecialScores!$C$3,IF(U12="dnf",SpecialScores!$C$4,MIN((500*LOG(1+99*U12/SpecialScores!$R$3))))))</f>
        <v xml:space="preserve"> </v>
      </c>
      <c r="W12" s="12" t="str">
        <f t="shared" si="8"/>
        <v/>
      </c>
      <c r="X12" s="38"/>
      <c r="Y12" s="8" t="str">
        <f>IF(ISBLANK(X12)," ",IF(X12="np",SpecialScores!$C$3,IF(X12="dnf",SpecialScores!$C$4,MIN( 1000+X12/SpecialScores!$U$3*0.0001,(500*LOG(1+99*X12/SpecialScores!$U$3))))))</f>
        <v xml:space="preserve"> </v>
      </c>
      <c r="Z12" s="12" t="str">
        <f t="shared" si="9"/>
        <v/>
      </c>
      <c r="AA12" s="38"/>
      <c r="AB12" s="8" t="str">
        <f>IF(ISBLANK(AA12)," ",IF(AA12="np",SpecialScores!$C$3,IF(AA12="dnf",SpecialScores!$C$4,      IF(AND(AA12&gt;=0,AA12&lt;SpecialScores!$X$12), (500*LOG(1+99*AA12/SpecialScores!$X$12*SpecialScores!$X$11/SpecialScores!$X$10)),                         MIN((500*LOG(1+99*SpecialScores!$X$11/AA12)))))))</f>
        <v xml:space="preserve"> </v>
      </c>
      <c r="AC12" s="12" t="str">
        <f t="shared" si="10"/>
        <v/>
      </c>
      <c r="AD12" s="38"/>
      <c r="AE12" s="8" t="str">
        <f>IF(ISBLANK(AD12)," ",IF(AD12="np",SpecialScores!$C$3,IF(AD12="dnf",SpecialScores!$C$4,MIN( 1000+AD12/SpecialScores!$AA$5*0.0001,(500*LOG(1+99*AD12/SpecialScores!$AA$5))))))</f>
        <v xml:space="preserve"> </v>
      </c>
      <c r="AF12" s="12" t="str">
        <f t="shared" si="11"/>
        <v/>
      </c>
      <c r="AG12" s="38"/>
      <c r="AH12" s="8" t="str">
        <f>IF(ISBLANK(AG12)," ",IF(AG12="np",SpecialScores!$C$3,IF(AG12="dnf",SpecialScores!$C$4,      IF(AND(AG12&gt;=0,AG12&lt;SpecialScores!$AD$12), (500*LOG(1+99*AG12/SpecialScores!$AD$12*SpecialScores!$AD$11/SpecialScores!$AD$10)),                         MIN((500*LOG(1+99*SpecialScores!$AD$11/AG12)))))))</f>
        <v xml:space="preserve"> </v>
      </c>
      <c r="AI12" s="12" t="str">
        <f t="shared" si="12"/>
        <v/>
      </c>
      <c r="AP12" s="49"/>
    </row>
    <row r="13" spans="1:42" x14ac:dyDescent="0.35">
      <c r="A13" s="42"/>
      <c r="E13" s="33" t="str">
        <f t="shared" ref="E13:E21" si="13">IF(ISBLANK($A13)," ",  RANK(F13,F$2:F$202,1)+((COUNTIF(F$2:F$202,F13)-1)*0.5) )</f>
        <v xml:space="preserve"> </v>
      </c>
      <c r="F13" s="33" t="str">
        <f t="shared" ref="F13:F21" si="14">IF(ISBLANK(A13)," ",SUM(K13,N13,Q13,T13,W13,Z13,AC13,AF13,AI13))</f>
        <v xml:space="preserve"> </v>
      </c>
      <c r="G13" s="7" t="str">
        <f t="shared" ref="G13:G21" si="15">IF(ISBLANK($A13)," ",  RANK(H13,H$2:H$202,0)+((COUNTIF(H$2:H$202,H13)-1)*0.5) )</f>
        <v xml:space="preserve"> </v>
      </c>
      <c r="H13" s="7" t="str">
        <f t="shared" ref="H13:H21" si="16">IF(ISBLANK(A13)," ",SUM(  IF(ISBLANK(I13),0,ROUNDDOWN(J13,0)),  IF(ISBLANK(L13),0,ROUNDDOWN(M13,0)),  IF(ISBLANK(O13),0,ROUNDDOWN(P13,0)),IF(ISBLANK(R13),0,ROUNDDOWN(S13,0)),IF(ISBLANK(U13),0,ROUNDDOWN(V13,0)), IF(ISBLANK(X13),0,ROUNDDOWN(Y13,0)),IF(ISBLANK(AA13),0,ROUNDDOWN(AB13,0)),IF(ISBLANK(AD13),0,ROUNDDOWN(AE13,0)),IF(ISBLANK(AG13),0,ROUNDDOWN(AH13,0))
 ))</f>
        <v xml:space="preserve"> </v>
      </c>
      <c r="I13" s="38"/>
      <c r="J13" s="8" t="str">
        <f>IF(ISBLANK(I13)," ",IF(I13="np",SpecialScores!$C$3,IF(I13="dnf",SpecialScores!$C$4,MIN( 1000+I13/SpecialScores!$E$3*0.0001,(500*LOG(1+99*I13/SpecialScores!$E$3))))))</f>
        <v xml:space="preserve"> </v>
      </c>
      <c r="K13" s="12" t="str">
        <f t="shared" ref="K13:K33" si="17">IF(ISBLANK(I13),"",  RANK(J13,J$2:J$202,0)+((COUNTIF(J$2:J$202,J13)-1)*0.5) )</f>
        <v/>
      </c>
      <c r="L13" s="38"/>
      <c r="M13" s="8" t="str">
        <f>IF(ISBLANK(L13)," ",IF(L13="np",SpecialScores!$C$3,IF(L13="dnf",SpecialScores!$C$4,MIN( 1000+L13/SpecialScores!$H$3*0.0001,(500*LOG(1+99*L13/SpecialScores!$H$3))))))</f>
        <v xml:space="preserve"> </v>
      </c>
      <c r="N13" s="12" t="str">
        <f t="shared" ref="N13:N33" si="18">IF(ISBLANK(L13),"",  RANK(M13,M$2:M$202,0)+((COUNTIF(M$2:M$202,M13)-1)*0.5) )</f>
        <v/>
      </c>
      <c r="O13" s="38"/>
      <c r="P13" s="8" t="str">
        <f>IF(ISBLANK(O13)," ",IF(O13="np",SpecialScores!$C$3,IF(O13="dnf",SpecialScores!$C$4,MIN( 1000+O13/SpecialScores!$K$3*0.0001,(500*LOG(1+99*O13/SpecialScores!$K$3))))))</f>
        <v xml:space="preserve"> </v>
      </c>
      <c r="Q13" s="12" t="str">
        <f t="shared" ref="Q13:Q33" si="19">IF(ISBLANK(O13),"",  RANK(P13,P$2:P$202,0)+((COUNTIF(P$2:P$202,P13)-1)*0.5) )</f>
        <v/>
      </c>
      <c r="R13" s="38"/>
      <c r="S13" s="8" t="str">
        <f>IF(ISBLANK(R13)," ",IF(R13="np",SpecialScores!$C$3,IF(R13="dnf",SpecialScores!$C$4,      IF(AND(R13&gt;=0,R13&lt;SpecialScores!$O$12), (500*LOG(1+99*R13/SpecialScores!$O$12*SpecialScores!$O$11/SpecialScores!$O$10)),                         MIN((500*LOG(1+99*SpecialScores!$O$11/R13)))))))</f>
        <v xml:space="preserve"> </v>
      </c>
      <c r="T13" s="12" t="str">
        <f t="shared" ref="T13:T33" si="20">IF(ISBLANK(R13),"",  RANK(S13,S$2:S$202,0)+((COUNTIF(S$2:S$202,S13)-1)*0.5) )</f>
        <v/>
      </c>
      <c r="U13" s="38"/>
      <c r="V13" s="8" t="str">
        <f>IF(ISBLANK(U13)," ",IF(U13="np",SpecialScores!$C$3,IF(U13="dnf",SpecialScores!$C$4,MIN((500*LOG(1+99*U13/SpecialScores!$R$3))))))</f>
        <v xml:space="preserve"> </v>
      </c>
      <c r="W13" s="12" t="str">
        <f t="shared" ref="W13:W33" si="21">IF(ISBLANK(U13),"",  RANK(V13,V$2:V$202,0)+((COUNTIF(V$2:V$202,V13)-1)*0.5) )</f>
        <v/>
      </c>
      <c r="X13" s="38"/>
      <c r="Y13" s="8" t="str">
        <f>IF(ISBLANK(X13)," ",IF(X13="np",SpecialScores!$C$3,IF(X13="dnf",SpecialScores!$C$4,MIN( 1000+X13/SpecialScores!$U$3*0.0001,(500*LOG(1+99*X13/SpecialScores!$U$3))))))</f>
        <v xml:space="preserve"> </v>
      </c>
      <c r="Z13" s="12" t="str">
        <f t="shared" ref="Z13:Z33" si="22">IF(ISBLANK(X13),"",  RANK(Y13,Y$2:Y$202,0)+((COUNTIF(Y$2:Y$202,Y13)-1)*0.5) )</f>
        <v/>
      </c>
      <c r="AA13" s="38"/>
      <c r="AB13" s="8" t="str">
        <f>IF(ISBLANK(AA13)," ",IF(AA13="np",SpecialScores!$C$3,IF(AA13="dnf",SpecialScores!$C$4,      IF(AND(AA13&gt;=0,AA13&lt;SpecialScores!$X$12), (500*LOG(1+99*AA13/SpecialScores!$X$12*SpecialScores!$X$11/SpecialScores!$X$10)),                         MIN((500*LOG(1+99*SpecialScores!$X$11/AA13)))))))</f>
        <v xml:space="preserve"> </v>
      </c>
      <c r="AC13" s="12" t="str">
        <f t="shared" ref="AC13:AC33" si="23">IF(ISBLANK(AA13),"",  RANK(AB13,AB$2:AB$202,0)+((COUNTIF(AB$2:AB$202,AB13)-1)*0.5) )</f>
        <v/>
      </c>
      <c r="AD13" s="38"/>
      <c r="AE13" s="8" t="str">
        <f>IF(ISBLANK(AD13)," ",IF(AD13="np",SpecialScores!$C$3,IF(AD13="dnf",SpecialScores!$C$4,MIN( 1000+AD13/SpecialScores!$AA$5*0.0001,(500*LOG(1+99*AD13/SpecialScores!$AA$5))))))</f>
        <v xml:space="preserve"> </v>
      </c>
      <c r="AF13" s="12" t="str">
        <f t="shared" ref="AF13:AF33" si="24">IF(ISBLANK(AD13),"",  RANK(AE13,AE$2:AE$202,0)+((COUNTIF(AE$2:AE$202,AE13)-1)*0.5) )</f>
        <v/>
      </c>
      <c r="AG13" s="38"/>
      <c r="AH13" s="8" t="str">
        <f>IF(ISBLANK(AG13)," ",IF(AG13="np",SpecialScores!$C$3,IF(AG13="dnf",SpecialScores!$C$4,      IF(AND(AG13&gt;=0,AG13&lt;SpecialScores!$AD$12), (500*LOG(1+99*AG13/SpecialScores!$AD$12*SpecialScores!$AD$11/SpecialScores!$AD$10)),                         MIN((500*LOG(1+99*SpecialScores!$AD$11/AG13)))))))</f>
        <v xml:space="preserve"> </v>
      </c>
      <c r="AI13" s="12" t="str">
        <f t="shared" ref="AI13:AI33" si="25">IF(ISBLANK(AG13),"",  RANK(AH13,AH$2:AH$202,0)+((COUNTIF(AH$2:AH$202,AH13)-1)*0.5) )</f>
        <v/>
      </c>
      <c r="AP13" s="49"/>
    </row>
    <row r="14" spans="1:42" x14ac:dyDescent="0.35">
      <c r="A14" s="42"/>
      <c r="E14" s="33" t="str">
        <f t="shared" si="13"/>
        <v xml:space="preserve"> </v>
      </c>
      <c r="F14" s="33" t="str">
        <f t="shared" si="14"/>
        <v xml:space="preserve"> </v>
      </c>
      <c r="G14" s="7" t="str">
        <f t="shared" si="15"/>
        <v xml:space="preserve"> </v>
      </c>
      <c r="H14" s="7" t="str">
        <f t="shared" si="16"/>
        <v xml:space="preserve"> </v>
      </c>
      <c r="I14" s="38"/>
      <c r="J14" s="8" t="str">
        <f>IF(ISBLANK(I14)," ",IF(I14="np",SpecialScores!$C$3,IF(I14="dnf",SpecialScores!$C$4,MIN( 1000+I14/SpecialScores!$E$3*0.0001,(500*LOG(1+99*I14/SpecialScores!$E$3))))))</f>
        <v xml:space="preserve"> </v>
      </c>
      <c r="K14" s="12" t="str">
        <f t="shared" si="17"/>
        <v/>
      </c>
      <c r="L14" s="38"/>
      <c r="M14" s="8" t="str">
        <f>IF(ISBLANK(L14)," ",IF(L14="np",SpecialScores!$C$3,IF(L14="dnf",SpecialScores!$C$4,MIN( 1000+L14/SpecialScores!$H$3*0.0001,(500*LOG(1+99*L14/SpecialScores!$H$3))))))</f>
        <v xml:space="preserve"> </v>
      </c>
      <c r="N14" s="12" t="str">
        <f t="shared" si="18"/>
        <v/>
      </c>
      <c r="O14" s="38"/>
      <c r="P14" s="8" t="str">
        <f>IF(ISBLANK(O14)," ",IF(O14="np",SpecialScores!$C$3,IF(O14="dnf",SpecialScores!$C$4,MIN( 1000+O14/SpecialScores!$K$3*0.0001,(500*LOG(1+99*O14/SpecialScores!$K$3))))))</f>
        <v xml:space="preserve"> </v>
      </c>
      <c r="Q14" s="12" t="str">
        <f t="shared" si="19"/>
        <v/>
      </c>
      <c r="R14" s="38"/>
      <c r="S14" s="8" t="str">
        <f>IF(ISBLANK(R14)," ",IF(R14="np",SpecialScores!$C$3,IF(R14="dnf",SpecialScores!$C$4,      IF(AND(R14&gt;=0,R14&lt;SpecialScores!$O$12), (500*LOG(1+99*R14/SpecialScores!$O$12*SpecialScores!$O$11/SpecialScores!$O$10)),                         MIN((500*LOG(1+99*SpecialScores!$O$11/R14)))))))</f>
        <v xml:space="preserve"> </v>
      </c>
      <c r="T14" s="12" t="str">
        <f t="shared" si="20"/>
        <v/>
      </c>
      <c r="U14" s="38"/>
      <c r="V14" s="8" t="str">
        <f>IF(ISBLANK(U14)," ",IF(U14="np",SpecialScores!$C$3,IF(U14="dnf",SpecialScores!$C$4,MIN((500*LOG(1+99*U14/SpecialScores!$R$3))))))</f>
        <v xml:space="preserve"> </v>
      </c>
      <c r="W14" s="12" t="str">
        <f t="shared" si="21"/>
        <v/>
      </c>
      <c r="X14" s="38"/>
      <c r="Y14" s="8" t="str">
        <f>IF(ISBLANK(X14)," ",IF(X14="np",SpecialScores!$C$3,IF(X14="dnf",SpecialScores!$C$4,MIN( 1000+X14/SpecialScores!$U$3*0.0001,(500*LOG(1+99*X14/SpecialScores!$U$3))))))</f>
        <v xml:space="preserve"> </v>
      </c>
      <c r="Z14" s="12" t="str">
        <f t="shared" si="22"/>
        <v/>
      </c>
      <c r="AA14" s="38"/>
      <c r="AB14" s="8" t="str">
        <f>IF(ISBLANK(AA14)," ",IF(AA14="np",SpecialScores!$C$3,IF(AA14="dnf",SpecialScores!$C$4,      IF(AND(AA14&gt;=0,AA14&lt;SpecialScores!$X$12), (500*LOG(1+99*AA14/SpecialScores!$X$12*SpecialScores!$X$11/SpecialScores!$X$10)),                         MIN((500*LOG(1+99*SpecialScores!$X$11/AA14)))))))</f>
        <v xml:space="preserve"> </v>
      </c>
      <c r="AC14" s="12" t="str">
        <f t="shared" si="23"/>
        <v/>
      </c>
      <c r="AD14" s="38"/>
      <c r="AE14" s="8" t="str">
        <f>IF(ISBLANK(AD14)," ",IF(AD14="np",SpecialScores!$C$3,IF(AD14="dnf",SpecialScores!$C$4,MIN( 1000+AD14/SpecialScores!$AA$5*0.0001,(500*LOG(1+99*AD14/SpecialScores!$AA$5))))))</f>
        <v xml:space="preserve"> </v>
      </c>
      <c r="AF14" s="12" t="str">
        <f t="shared" si="24"/>
        <v/>
      </c>
      <c r="AG14" s="38"/>
      <c r="AH14" s="8" t="str">
        <f>IF(ISBLANK(AG14)," ",IF(AG14="np",SpecialScores!$C$3,IF(AG14="dnf",SpecialScores!$C$4,      IF(AND(AG14&gt;=0,AG14&lt;SpecialScores!$AD$12), (500*LOG(1+99*AG14/SpecialScores!$AD$12*SpecialScores!$AD$11/SpecialScores!$AD$10)),                         MIN((500*LOG(1+99*SpecialScores!$AD$11/AG14)))))))</f>
        <v xml:space="preserve"> </v>
      </c>
      <c r="AI14" s="12" t="str">
        <f t="shared" si="25"/>
        <v/>
      </c>
      <c r="AP14" s="49"/>
    </row>
    <row r="15" spans="1:42" x14ac:dyDescent="0.35">
      <c r="A15" s="42"/>
      <c r="E15" s="33" t="str">
        <f t="shared" si="13"/>
        <v xml:space="preserve"> </v>
      </c>
      <c r="F15" s="33" t="str">
        <f t="shared" si="14"/>
        <v xml:space="preserve"> </v>
      </c>
      <c r="G15" s="7" t="str">
        <f t="shared" si="15"/>
        <v xml:space="preserve"> </v>
      </c>
      <c r="H15" s="7" t="str">
        <f t="shared" si="16"/>
        <v xml:space="preserve"> </v>
      </c>
      <c r="I15" s="38"/>
      <c r="J15" s="8" t="str">
        <f>IF(ISBLANK(I15)," ",IF(I15="np",SpecialScores!$C$3,IF(I15="dnf",SpecialScores!$C$4,MIN( 1000+I15/SpecialScores!$E$3*0.0001,(500*LOG(1+99*I15/SpecialScores!$E$3))))))</f>
        <v xml:space="preserve"> </v>
      </c>
      <c r="K15" s="12" t="str">
        <f t="shared" si="17"/>
        <v/>
      </c>
      <c r="L15" s="38"/>
      <c r="M15" s="8" t="str">
        <f>IF(ISBLANK(L15)," ",IF(L15="np",SpecialScores!$C$3,IF(L15="dnf",SpecialScores!$C$4,MIN( 1000+L15/SpecialScores!$H$3*0.0001,(500*LOG(1+99*L15/SpecialScores!$H$3))))))</f>
        <v xml:space="preserve"> </v>
      </c>
      <c r="N15" s="12" t="str">
        <f t="shared" si="18"/>
        <v/>
      </c>
      <c r="O15" s="38"/>
      <c r="P15" s="8" t="str">
        <f>IF(ISBLANK(O15)," ",IF(O15="np",SpecialScores!$C$3,IF(O15="dnf",SpecialScores!$C$4,MIN(1000,(500*LOG(1+99*O15/SpecialScores!$K$3))))))</f>
        <v xml:space="preserve"> </v>
      </c>
      <c r="Q15" s="12" t="str">
        <f t="shared" si="19"/>
        <v/>
      </c>
      <c r="R15" s="38"/>
      <c r="S15" s="8" t="str">
        <f>IF(ISBLANK(R15)," ",IF(R15="np",SpecialScores!$C$3,IF(R15="dnf",SpecialScores!$C$4,      IF(AND(R15&gt;=0,R15&lt;SpecialScores!$O$12), (500*LOG(1+99*R15/SpecialScores!$O$12*SpecialScores!$O$11/SpecialScores!$O$10)),                         MIN((500*LOG(1+99*SpecialScores!$O$11/R15)))))))</f>
        <v xml:space="preserve"> </v>
      </c>
      <c r="T15" s="12" t="str">
        <f t="shared" si="20"/>
        <v/>
      </c>
      <c r="U15" s="38"/>
      <c r="V15" s="8" t="str">
        <f>IF(ISBLANK(U15)," ",IF(U15="np",SpecialScores!$C$3,IF(U15="dnf",SpecialScores!$C$4,MIN((500*LOG(1+99*U15/SpecialScores!$R$3))))))</f>
        <v xml:space="preserve"> </v>
      </c>
      <c r="W15" s="12" t="str">
        <f t="shared" si="21"/>
        <v/>
      </c>
      <c r="X15" s="38"/>
      <c r="Y15" s="8" t="str">
        <f>IF(ISBLANK(X15)," ",IF(X15="np",SpecialScores!$C$3,IF(X15="dnf",SpecialScores!$C$4,MIN( 1000+X15/SpecialScores!$U$3*0.0001,(500*LOG(1+99*X15/SpecialScores!$U$3))))))</f>
        <v xml:space="preserve"> </v>
      </c>
      <c r="Z15" s="12" t="str">
        <f t="shared" si="22"/>
        <v/>
      </c>
      <c r="AA15" s="38"/>
      <c r="AB15" s="8" t="str">
        <f>IF(ISBLANK(AA15)," ",IF(AA15="np",SpecialScores!$C$3,IF(AA15="dnf",SpecialScores!$C$4,      IF(AND(AA15&gt;=0,AA15&lt;SpecialScores!$X$12), (500*LOG(1+99*AA15/SpecialScores!$X$12*SpecialScores!$X$11/SpecialScores!$X$10)),                         MIN((500*LOG(1+99*SpecialScores!$X$11/AA15)))))))</f>
        <v xml:space="preserve"> </v>
      </c>
      <c r="AC15" s="12" t="str">
        <f t="shared" si="23"/>
        <v/>
      </c>
      <c r="AD15" s="38"/>
      <c r="AE15" s="8" t="str">
        <f>IF(ISBLANK(AD15)," ",IF(AD15="np",SpecialScores!$C$3,IF(AD15="dnf",SpecialScores!$C$4,MIN( 1000+AD15/SpecialScores!$AA$5*0.0001,(500*LOG(1+99*AD15/SpecialScores!$AA$5))))))</f>
        <v xml:space="preserve"> </v>
      </c>
      <c r="AF15" s="12" t="str">
        <f t="shared" si="24"/>
        <v/>
      </c>
      <c r="AG15" s="38"/>
      <c r="AH15" s="8" t="str">
        <f>IF(ISBLANK(AG15)," ",IF(AG15="np",SpecialScores!$C$3,IF(AG15="dnf",SpecialScores!$C$4,      IF(AND(AG15&gt;=0,AG15&lt;SpecialScores!$AD$12), (500*LOG(1+99*AG15/SpecialScores!$AD$12*SpecialScores!$AD$11/SpecialScores!$AD$10)),                         MIN((500*LOG(1+99*SpecialScores!$AD$11/AG15)))))))</f>
        <v xml:space="preserve"> </v>
      </c>
      <c r="AI15" s="12" t="str">
        <f t="shared" si="25"/>
        <v/>
      </c>
      <c r="AP15" s="49"/>
    </row>
    <row r="16" spans="1:42" x14ac:dyDescent="0.35">
      <c r="A16" s="42"/>
      <c r="E16" s="33" t="str">
        <f t="shared" si="13"/>
        <v xml:space="preserve"> </v>
      </c>
      <c r="F16" s="33" t="str">
        <f t="shared" si="14"/>
        <v xml:space="preserve"> </v>
      </c>
      <c r="G16" s="7" t="str">
        <f t="shared" si="15"/>
        <v xml:space="preserve"> </v>
      </c>
      <c r="H16" s="7" t="str">
        <f t="shared" si="16"/>
        <v xml:space="preserve"> </v>
      </c>
      <c r="I16" s="38"/>
      <c r="J16" s="8" t="str">
        <f>IF(ISBLANK(I16)," ",IF(I16="np",SpecialScores!$C$3,IF(I16="dnf",SpecialScores!$C$4,MIN( 1000+I16/SpecialScores!$E$3*0.0001,(500*LOG(1+99*I16/SpecialScores!$E$3))))))</f>
        <v xml:space="preserve"> </v>
      </c>
      <c r="K16" s="12" t="str">
        <f t="shared" si="17"/>
        <v/>
      </c>
      <c r="L16" s="38"/>
      <c r="M16" s="8" t="str">
        <f>IF(ISBLANK(L16)," ",IF(L16="np",SpecialScores!$C$3,IF(L16="dnf",SpecialScores!$C$4,MIN( 1000+L16/SpecialScores!$H$3*0.0001,(500*LOG(1+99*L16/SpecialScores!$H$3))))))</f>
        <v xml:space="preserve"> </v>
      </c>
      <c r="N16" s="12" t="str">
        <f t="shared" si="18"/>
        <v/>
      </c>
      <c r="O16" s="38"/>
      <c r="P16" s="8" t="str">
        <f>IF(ISBLANK(O16)," ",IF(O16="np",SpecialScores!$C$3,IF(O16="dnf",SpecialScores!$C$4,MIN(1000,(500*LOG(1+99*O16/SpecialScores!$K$3))))))</f>
        <v xml:space="preserve"> </v>
      </c>
      <c r="Q16" s="12" t="str">
        <f t="shared" si="19"/>
        <v/>
      </c>
      <c r="R16" s="38"/>
      <c r="S16" s="8" t="str">
        <f>IF(ISBLANK(R16)," ",IF(R16="np",SpecialScores!$C$3,IF(R16="dnf",SpecialScores!$C$4,      IF(AND(R16&gt;=0,R16&lt;SpecialScores!$O$12), (500*LOG(1+99*R16/SpecialScores!$O$12*SpecialScores!$O$11/SpecialScores!$O$10)),                         MIN((500*LOG(1+99*SpecialScores!$O$11/R16)))))))</f>
        <v xml:space="preserve"> </v>
      </c>
      <c r="T16" s="12" t="str">
        <f t="shared" si="20"/>
        <v/>
      </c>
      <c r="U16" s="38"/>
      <c r="V16" s="8" t="str">
        <f>IF(ISBLANK(U16)," ",IF(U16="np",SpecialScores!$C$3,IF(U16="dnf",SpecialScores!$C$4,MIN((500*LOG(1+99*U16/SpecialScores!$R$3))))))</f>
        <v xml:space="preserve"> </v>
      </c>
      <c r="W16" s="12" t="str">
        <f t="shared" si="21"/>
        <v/>
      </c>
      <c r="X16" s="38"/>
      <c r="Y16" s="8" t="str">
        <f>IF(ISBLANK(X16)," ",IF(X16="np",SpecialScores!$C$3,IF(X16="dnf",SpecialScores!$C$4,MIN( 1000+X16/SpecialScores!$U$3*0.0001,(500*LOG(1+99*X16/SpecialScores!$U$3))))))</f>
        <v xml:space="preserve"> </v>
      </c>
      <c r="Z16" s="12" t="str">
        <f t="shared" si="22"/>
        <v/>
      </c>
      <c r="AA16" s="38"/>
      <c r="AB16" s="8" t="str">
        <f>IF(ISBLANK(AA16)," ",IF(AA16="np",SpecialScores!$C$3,IF(AA16="dnf",SpecialScores!$C$4,      IF(AND(AA16&gt;=0,AA16&lt;SpecialScores!$X$12), (500*LOG(1+99*AA16/SpecialScores!$X$12*SpecialScores!$X$11/SpecialScores!$X$10)),                         MIN((500*LOG(1+99*SpecialScores!$X$11/AA16)))))))</f>
        <v xml:space="preserve"> </v>
      </c>
      <c r="AC16" s="12" t="str">
        <f t="shared" si="23"/>
        <v/>
      </c>
      <c r="AD16" s="38"/>
      <c r="AE16" s="8" t="str">
        <f>IF(ISBLANK(AD16)," ",IF(AD16="np",SpecialScores!$C$3,IF(AD16="dnf",SpecialScores!$C$4,MIN( 1000+AD16/SpecialScores!$AA$5*0.0001,(500*LOG(1+99*AD16/SpecialScores!$AA$5))))))</f>
        <v xml:space="preserve"> </v>
      </c>
      <c r="AF16" s="12" t="str">
        <f t="shared" si="24"/>
        <v/>
      </c>
      <c r="AG16" s="38"/>
      <c r="AH16" s="8" t="str">
        <f>IF(ISBLANK(AG16)," ",IF(AG16="np",SpecialScores!$C$3,IF(AG16="dnf",SpecialScores!$C$4,      IF(AND(AG16&gt;=0,AG16&lt;SpecialScores!$AD$12), (500*LOG(1+99*AG16/SpecialScores!$AD$12*SpecialScores!$AD$11/SpecialScores!$AD$10)),                         MIN((500*LOG(1+99*SpecialScores!$AD$11/AG16)))))))</f>
        <v xml:space="preserve"> </v>
      </c>
      <c r="AI16" s="12" t="str">
        <f t="shared" si="25"/>
        <v/>
      </c>
      <c r="AP16" s="49"/>
    </row>
    <row r="17" spans="1:42" x14ac:dyDescent="0.35">
      <c r="A17" s="42"/>
      <c r="E17" s="33" t="str">
        <f t="shared" si="13"/>
        <v xml:space="preserve"> </v>
      </c>
      <c r="F17" s="33" t="str">
        <f t="shared" si="14"/>
        <v xml:space="preserve"> </v>
      </c>
      <c r="G17" s="7" t="str">
        <f t="shared" si="15"/>
        <v xml:space="preserve"> </v>
      </c>
      <c r="H17" s="7" t="str">
        <f t="shared" si="16"/>
        <v xml:space="preserve"> </v>
      </c>
      <c r="I17" s="38"/>
      <c r="J17" s="8" t="str">
        <f>IF(ISBLANK(I17)," ",IF(I17="np",SpecialScores!$C$3,IF(I17="dnf",SpecialScores!$C$4,MIN( 1000+I17/SpecialScores!$E$3*0.0001,(500*LOG(1+99*I17/SpecialScores!$E$3))))))</f>
        <v xml:space="preserve"> </v>
      </c>
      <c r="K17" s="12" t="str">
        <f t="shared" si="17"/>
        <v/>
      </c>
      <c r="L17" s="38"/>
      <c r="M17" s="8" t="str">
        <f>IF(ISBLANK(L17)," ",IF(L17="np",SpecialScores!$C$3,IF(L17="dnf",SpecialScores!$C$4,MIN( 1000+L17/SpecialScores!$H$3*0.0001,(500*LOG(1+99*L17/SpecialScores!$H$3))))))</f>
        <v xml:space="preserve"> </v>
      </c>
      <c r="N17" s="12" t="str">
        <f t="shared" si="18"/>
        <v/>
      </c>
      <c r="O17" s="38"/>
      <c r="P17" s="8" t="str">
        <f>IF(ISBLANK(O17)," ",IF(O17="np",SpecialScores!$C$3,IF(O17="dnf",SpecialScores!$C$4,MIN(1000,(500*LOG(1+99*O17/SpecialScores!$K$3))))))</f>
        <v xml:space="preserve"> </v>
      </c>
      <c r="Q17" s="12" t="str">
        <f t="shared" si="19"/>
        <v/>
      </c>
      <c r="R17" s="38"/>
      <c r="S17" s="8" t="str">
        <f>IF(ISBLANK(R17)," ",IF(R17="np",SpecialScores!$C$3,IF(R17="dnf",SpecialScores!$C$4,      IF(AND(R17&gt;=0,R17&lt;SpecialScores!$O$12), (500*LOG(1+99*R17/SpecialScores!$O$12*SpecialScores!$O$11/SpecialScores!$O$10)),                         MIN((500*LOG(1+99*SpecialScores!$O$11/R17)))))))</f>
        <v xml:space="preserve"> </v>
      </c>
      <c r="T17" s="12" t="str">
        <f t="shared" si="20"/>
        <v/>
      </c>
      <c r="U17" s="38"/>
      <c r="V17" s="8" t="str">
        <f>IF(ISBLANK(U17)," ",IF(U17="np",SpecialScores!$C$3,IF(U17="dnf",SpecialScores!$C$4,MIN((500*LOG(1+99*U17/SpecialScores!$R$3))))))</f>
        <v xml:space="preserve"> </v>
      </c>
      <c r="W17" s="12" t="str">
        <f t="shared" si="21"/>
        <v/>
      </c>
      <c r="X17" s="38"/>
      <c r="Y17" s="8" t="str">
        <f>IF(ISBLANK(X17)," ",IF(X17="np",SpecialScores!$C$3,IF(X17="dnf",SpecialScores!$C$4,MIN( 1000+X17/SpecialScores!$U$3*0.0001,(500*LOG(1+99*X17/SpecialScores!$U$3))))))</f>
        <v xml:space="preserve"> </v>
      </c>
      <c r="Z17" s="12" t="str">
        <f t="shared" si="22"/>
        <v/>
      </c>
      <c r="AA17" s="38"/>
      <c r="AB17" s="8" t="str">
        <f>IF(ISBLANK(AA17)," ",IF(AA17="np",SpecialScores!$C$3,IF(AA17="dnf",SpecialScores!$C$4,      IF(AND(AA17&gt;=0,AA17&lt;SpecialScores!$X$12), (500*LOG(1+99*AA17/SpecialScores!$X$12*SpecialScores!$X$11/SpecialScores!$X$10)),                         MIN((500*LOG(1+99*SpecialScores!$X$11/AA17)))))))</f>
        <v xml:space="preserve"> </v>
      </c>
      <c r="AC17" s="12" t="str">
        <f t="shared" si="23"/>
        <v/>
      </c>
      <c r="AD17" s="38"/>
      <c r="AE17" s="8" t="str">
        <f>IF(ISBLANK(AD17)," ",IF(AD17="np",SpecialScores!$C$3,IF(AD17="dnf",SpecialScores!$C$4,MIN( 1000+AD17/SpecialScores!$AA$5*0.0001,(500*LOG(1+99*AD17/SpecialScores!$AA$5))))))</f>
        <v xml:space="preserve"> </v>
      </c>
      <c r="AF17" s="12" t="str">
        <f t="shared" si="24"/>
        <v/>
      </c>
      <c r="AG17" s="38"/>
      <c r="AH17" s="8" t="str">
        <f>IF(ISBLANK(AG17)," ",IF(AG17="np",SpecialScores!$C$3,IF(AG17="dnf",SpecialScores!$C$4,      IF(AND(AG17&gt;=0,AG17&lt;SpecialScores!$AD$12), (500*LOG(1+99*AG17/SpecialScores!$AD$12*SpecialScores!$AD$11/SpecialScores!$AD$10)),                         MIN((500*LOG(1+99*SpecialScores!$AD$11/AG17)))))))</f>
        <v xml:space="preserve"> </v>
      </c>
      <c r="AI17" s="12" t="str">
        <f t="shared" si="25"/>
        <v/>
      </c>
      <c r="AP17" s="49"/>
    </row>
    <row r="18" spans="1:42" x14ac:dyDescent="0.35">
      <c r="A18" s="42"/>
      <c r="E18" s="33" t="str">
        <f t="shared" si="13"/>
        <v xml:space="preserve"> </v>
      </c>
      <c r="F18" s="33" t="str">
        <f t="shared" si="14"/>
        <v xml:space="preserve"> </v>
      </c>
      <c r="G18" s="7" t="str">
        <f t="shared" si="15"/>
        <v xml:space="preserve"> </v>
      </c>
      <c r="H18" s="7" t="str">
        <f t="shared" si="16"/>
        <v xml:space="preserve"> </v>
      </c>
      <c r="I18" s="38"/>
      <c r="J18" s="8" t="str">
        <f>IF(ISBLANK(I18)," ",IF(I18="np",SpecialScores!$C$3,IF(I18="dnf",SpecialScores!$C$4,MIN( 1000+I18/SpecialScores!$E$3*0.0001,(500*LOG(1+99*I18/SpecialScores!$E$3))))))</f>
        <v xml:space="preserve"> </v>
      </c>
      <c r="K18" s="12" t="str">
        <f t="shared" si="17"/>
        <v/>
      </c>
      <c r="L18" s="38"/>
      <c r="M18" s="8" t="str">
        <f>IF(ISBLANK(L18)," ",IF(L18="np",SpecialScores!$C$3,IF(L18="dnf",SpecialScores!$C$4,MIN( 1000+L18/SpecialScores!$H$3*0.0001,(500*LOG(1+99*L18/SpecialScores!$H$3))))))</f>
        <v xml:space="preserve"> </v>
      </c>
      <c r="N18" s="12" t="str">
        <f t="shared" si="18"/>
        <v/>
      </c>
      <c r="O18" s="38"/>
      <c r="P18" s="8" t="str">
        <f>IF(ISBLANK(O18)," ",IF(O18="np",SpecialScores!$C$3,IF(O18="dnf",SpecialScores!$C$4,MIN(1000,(500*LOG(1+99*O18/SpecialScores!$K$3))))))</f>
        <v xml:space="preserve"> </v>
      </c>
      <c r="Q18" s="12" t="str">
        <f t="shared" si="19"/>
        <v/>
      </c>
      <c r="R18" s="38"/>
      <c r="S18" s="8" t="str">
        <f>IF(ISBLANK(R18)," ",IF(R18="np",SpecialScores!$C$3,IF(R18="dnf",SpecialScores!$C$4,      IF(AND(R18&gt;=0,R18&lt;SpecialScores!$O$12), (500*LOG(1+99*R18/SpecialScores!$O$12*SpecialScores!$O$11/SpecialScores!$O$10)),                         MIN((500*LOG(1+99*SpecialScores!$O$11/R18)))))))</f>
        <v xml:space="preserve"> </v>
      </c>
      <c r="T18" s="12" t="str">
        <f t="shared" si="20"/>
        <v/>
      </c>
      <c r="U18" s="38"/>
      <c r="V18" s="8" t="str">
        <f>IF(ISBLANK(U18)," ",IF(U18="np",SpecialScores!$C$3,IF(U18="dnf",SpecialScores!$C$4,MIN((500*LOG(1+99*U18/SpecialScores!$R$3))))))</f>
        <v xml:space="preserve"> </v>
      </c>
      <c r="W18" s="12" t="str">
        <f t="shared" si="21"/>
        <v/>
      </c>
      <c r="X18" s="38"/>
      <c r="Y18" s="8" t="str">
        <f>IF(ISBLANK(X18)," ",IF(X18="np",SpecialScores!$C$3,IF(X18="dnf",SpecialScores!$C$4,MIN( 1000+X18/SpecialScores!$U$3*0.0001,(500*LOG(1+99*X18/SpecialScores!$U$3))))))</f>
        <v xml:space="preserve"> </v>
      </c>
      <c r="Z18" s="12" t="str">
        <f t="shared" si="22"/>
        <v/>
      </c>
      <c r="AA18" s="38"/>
      <c r="AB18" s="8" t="str">
        <f>IF(ISBLANK(AA18)," ",IF(AA18="np",SpecialScores!$C$3,IF(AA18="dnf",SpecialScores!$C$4,      IF(AND(AA18&gt;=0,AA18&lt;SpecialScores!$X$12), (500*LOG(1+99*AA18/SpecialScores!$X$12*SpecialScores!$X$11/SpecialScores!$X$10)),                         MIN((500*LOG(1+99*SpecialScores!$X$11/AA18)))))))</f>
        <v xml:space="preserve"> </v>
      </c>
      <c r="AC18" s="12" t="str">
        <f t="shared" si="23"/>
        <v/>
      </c>
      <c r="AD18" s="38"/>
      <c r="AE18" s="8" t="str">
        <f>IF(ISBLANK(AD18)," ",IF(AD18="np",SpecialScores!$C$3,IF(AD18="dnf",SpecialScores!$C$4,MIN( 1000+AD18/SpecialScores!$AA$5*0.0001,(500*LOG(1+99*AD18/SpecialScores!$AA$5))))))</f>
        <v xml:space="preserve"> </v>
      </c>
      <c r="AF18" s="12" t="str">
        <f t="shared" si="24"/>
        <v/>
      </c>
      <c r="AG18" s="38"/>
      <c r="AH18" s="8" t="str">
        <f>IF(ISBLANK(AG18)," ",IF(AG18="np",SpecialScores!$C$3,IF(AG18="dnf",SpecialScores!$C$4,      IF(AND(AG18&gt;=0,AG18&lt;SpecialScores!$AD$12), (500*LOG(1+99*AG18/SpecialScores!$AD$12*SpecialScores!$AD$11/SpecialScores!$AD$10)),                         MIN((500*LOG(1+99*SpecialScores!$AD$11/AG18)))))))</f>
        <v xml:space="preserve"> </v>
      </c>
      <c r="AI18" s="12" t="str">
        <f t="shared" si="25"/>
        <v/>
      </c>
      <c r="AP18" s="49"/>
    </row>
    <row r="19" spans="1:42" x14ac:dyDescent="0.35">
      <c r="A19" s="42"/>
      <c r="E19" s="33" t="str">
        <f t="shared" si="13"/>
        <v xml:space="preserve"> </v>
      </c>
      <c r="F19" s="33" t="str">
        <f t="shared" si="14"/>
        <v xml:space="preserve"> </v>
      </c>
      <c r="G19" s="7" t="str">
        <f t="shared" si="15"/>
        <v xml:space="preserve"> </v>
      </c>
      <c r="H19" s="7" t="str">
        <f t="shared" si="16"/>
        <v xml:space="preserve"> </v>
      </c>
      <c r="I19" s="38"/>
      <c r="J19" s="8" t="str">
        <f>IF(ISBLANK(I19)," ",IF(I19="np",SpecialScores!$C$3,IF(I19="dnf",SpecialScores!$C$4,MIN( 1000+I19/SpecialScores!$E$3*0.0001,(500*LOG(1+99*I19/SpecialScores!$E$3))))))</f>
        <v xml:space="preserve"> </v>
      </c>
      <c r="K19" s="12" t="str">
        <f t="shared" si="17"/>
        <v/>
      </c>
      <c r="L19" s="38"/>
      <c r="M19" s="8" t="str">
        <f>IF(ISBLANK(L19)," ",IF(L19="np",SpecialScores!$C$3,IF(L19="dnf",SpecialScores!$C$4,MIN( 1000+L19/SpecialScores!$H$3*0.0001,(500*LOG(1+99*L19/SpecialScores!$H$3))))))</f>
        <v xml:space="preserve"> </v>
      </c>
      <c r="N19" s="12" t="str">
        <f t="shared" si="18"/>
        <v/>
      </c>
      <c r="O19" s="38"/>
      <c r="P19" s="8" t="str">
        <f>IF(ISBLANK(O19)," ",IF(O19="np",SpecialScores!$C$3,IF(O19="dnf",SpecialScores!$C$4,MIN(1000,(500*LOG(1+99*O19/SpecialScores!$K$3))))))</f>
        <v xml:space="preserve"> </v>
      </c>
      <c r="Q19" s="12" t="str">
        <f t="shared" si="19"/>
        <v/>
      </c>
      <c r="R19" s="38"/>
      <c r="S19" s="8" t="str">
        <f>IF(ISBLANK(R19)," ",IF(R19="np",SpecialScores!$C$3,IF(R19="dnf",SpecialScores!$C$4,      IF(AND(R19&gt;=0,R19&lt;SpecialScores!$O$12), (500*LOG(1+99*R19/SpecialScores!$O$12*SpecialScores!$O$11/SpecialScores!$O$10)),                         MIN((500*LOG(1+99*SpecialScores!$O$11/R19)))))))</f>
        <v xml:space="preserve"> </v>
      </c>
      <c r="T19" s="12" t="str">
        <f t="shared" si="20"/>
        <v/>
      </c>
      <c r="U19" s="38"/>
      <c r="V19" s="8" t="str">
        <f>IF(ISBLANK(U19)," ",IF(U19="np",SpecialScores!$C$3,IF(U19="dnf",SpecialScores!$C$4,MIN((500*LOG(1+99*U19/SpecialScores!$R$3))))))</f>
        <v xml:space="preserve"> </v>
      </c>
      <c r="W19" s="12" t="str">
        <f t="shared" si="21"/>
        <v/>
      </c>
      <c r="X19" s="38"/>
      <c r="Y19" s="8" t="str">
        <f>IF(ISBLANK(X19)," ",IF(X19="np",SpecialScores!$C$3,IF(X19="dnf",SpecialScores!$C$4,MIN( 1000+X19/SpecialScores!$U$3*0.0001,(500*LOG(1+99*X19/SpecialScores!$U$3))))))</f>
        <v xml:space="preserve"> </v>
      </c>
      <c r="Z19" s="12" t="str">
        <f t="shared" si="22"/>
        <v/>
      </c>
      <c r="AA19" s="38"/>
      <c r="AB19" s="8" t="str">
        <f>IF(ISBLANK(AA19)," ",IF(AA19="np",SpecialScores!$C$3,IF(AA19="dnf",SpecialScores!$C$4,      IF(AND(AA19&gt;=0,AA19&lt;SpecialScores!$X$12), (500*LOG(1+99*AA19/SpecialScores!$X$12*SpecialScores!$X$11/SpecialScores!$X$10)),                         MIN((500*LOG(1+99*SpecialScores!$X$11/AA19)))))))</f>
        <v xml:space="preserve"> </v>
      </c>
      <c r="AC19" s="12" t="str">
        <f t="shared" si="23"/>
        <v/>
      </c>
      <c r="AD19" s="38"/>
      <c r="AE19" s="8" t="str">
        <f>IF(ISBLANK(AD19)," ",IF(AD19="np",SpecialScores!$C$3,IF(AD19="dnf",SpecialScores!$C$4,MIN( 1000+AD19/SpecialScores!$AA$5*0.0001,(500*LOG(1+99*AD19/SpecialScores!$AA$5))))))</f>
        <v xml:space="preserve"> </v>
      </c>
      <c r="AF19" s="12" t="str">
        <f t="shared" si="24"/>
        <v/>
      </c>
      <c r="AG19" s="38"/>
      <c r="AH19" s="8" t="str">
        <f>IF(ISBLANK(AG19)," ",IF(AG19="np",SpecialScores!$C$3,IF(AG19="dnf",SpecialScores!$C$4,      IF(AND(AG19&gt;=0,AG19&lt;SpecialScores!$AD$12), (500*LOG(1+99*AG19/SpecialScores!$AD$12*SpecialScores!$AD$11/SpecialScores!$AD$10)),                         MIN((500*LOG(1+99*SpecialScores!$AD$11/AG19)))))))</f>
        <v xml:space="preserve"> </v>
      </c>
      <c r="AI19" s="12" t="str">
        <f t="shared" si="25"/>
        <v/>
      </c>
      <c r="AP19" s="49"/>
    </row>
    <row r="20" spans="1:42" x14ac:dyDescent="0.35">
      <c r="A20" s="42"/>
      <c r="E20" s="33" t="str">
        <f t="shared" si="13"/>
        <v xml:space="preserve"> </v>
      </c>
      <c r="F20" s="33" t="str">
        <f t="shared" si="14"/>
        <v xml:space="preserve"> </v>
      </c>
      <c r="G20" s="7" t="str">
        <f t="shared" si="15"/>
        <v xml:space="preserve"> </v>
      </c>
      <c r="H20" s="7" t="str">
        <f t="shared" si="16"/>
        <v xml:space="preserve"> </v>
      </c>
      <c r="I20" s="38"/>
      <c r="J20" s="8" t="str">
        <f>IF(ISBLANK(I20)," ",IF(I20="np",SpecialScores!$C$3,IF(I20="dnf",SpecialScores!$C$4,MIN( 1000+I20/SpecialScores!$E$3*0.0001,(500*LOG(1+99*I20/SpecialScores!$E$3))))))</f>
        <v xml:space="preserve"> </v>
      </c>
      <c r="K20" s="12" t="str">
        <f t="shared" si="17"/>
        <v/>
      </c>
      <c r="L20" s="38"/>
      <c r="M20" s="8" t="str">
        <f>IF(ISBLANK(L20)," ",IF(L20="np",SpecialScores!$C$3,IF(L20="dnf",SpecialScores!$C$4,MIN( 1000+L20/SpecialScores!$H$3*0.0001,(500*LOG(1+99*L20/SpecialScores!$H$3))))))</f>
        <v xml:space="preserve"> </v>
      </c>
      <c r="N20" s="12" t="str">
        <f t="shared" si="18"/>
        <v/>
      </c>
      <c r="O20" s="38"/>
      <c r="P20" s="8" t="str">
        <f>IF(ISBLANK(O20)," ",IF(O20="np",SpecialScores!$C$3,IF(O20="dnf",SpecialScores!$C$4,MIN(1000,(500*LOG(1+99*O20/SpecialScores!$K$3))))))</f>
        <v xml:space="preserve"> </v>
      </c>
      <c r="Q20" s="12" t="str">
        <f t="shared" si="19"/>
        <v/>
      </c>
      <c r="R20" s="38"/>
      <c r="S20" s="8" t="str">
        <f>IF(ISBLANK(R20)," ",IF(R20="np",SpecialScores!$C$3,IF(R20="dnf",SpecialScores!$C$4,      IF(AND(R20&gt;=0,R20&lt;SpecialScores!$O$12), (500*LOG(1+99*R20/SpecialScores!$O$12*SpecialScores!$O$11/SpecialScores!$O$10)),                         MIN((500*LOG(1+99*SpecialScores!$O$11/R20)))))))</f>
        <v xml:space="preserve"> </v>
      </c>
      <c r="T20" s="12" t="str">
        <f t="shared" si="20"/>
        <v/>
      </c>
      <c r="U20" s="38"/>
      <c r="V20" s="8" t="str">
        <f>IF(ISBLANK(U20)," ",IF(U20="np",SpecialScores!$C$3,IF(U20="dnf",SpecialScores!$C$4,MIN((500*LOG(1+99*U20/SpecialScores!$R$3))))))</f>
        <v xml:space="preserve"> </v>
      </c>
      <c r="W20" s="12" t="str">
        <f t="shared" si="21"/>
        <v/>
      </c>
      <c r="X20" s="38"/>
      <c r="Y20" s="8" t="str">
        <f>IF(ISBLANK(X20)," ",IF(X20="np",SpecialScores!$C$3,IF(X20="dnf",SpecialScores!$C$4,MIN( 1000+X20/SpecialScores!$U$3*0.0001,(500*LOG(1+99*X20/SpecialScores!$U$3))))))</f>
        <v xml:space="preserve"> </v>
      </c>
      <c r="Z20" s="12" t="str">
        <f t="shared" si="22"/>
        <v/>
      </c>
      <c r="AA20" s="38"/>
      <c r="AB20" s="8" t="str">
        <f>IF(ISBLANK(AA20)," ",IF(AA20="np",SpecialScores!$C$3,IF(AA20="dnf",SpecialScores!$C$4,      IF(AND(AA20&gt;=0,AA20&lt;SpecialScores!$X$12), (500*LOG(1+99*AA20/SpecialScores!$X$12*SpecialScores!$X$11/SpecialScores!$X$10)),                         MIN((500*LOG(1+99*SpecialScores!$X$11/AA20)))))))</f>
        <v xml:space="preserve"> </v>
      </c>
      <c r="AC20" s="12" t="str">
        <f t="shared" si="23"/>
        <v/>
      </c>
      <c r="AD20" s="38"/>
      <c r="AE20" s="8" t="str">
        <f>IF(ISBLANK(AD20)," ",IF(AD20="np",SpecialScores!$C$3,IF(AD20="dnf",SpecialScores!$C$4,MIN( 1000+AD20/SpecialScores!$AA$5*0.0001,(500*LOG(1+99*AD20/SpecialScores!$AA$5))))))</f>
        <v xml:space="preserve"> </v>
      </c>
      <c r="AF20" s="12" t="str">
        <f t="shared" si="24"/>
        <v/>
      </c>
      <c r="AG20" s="38"/>
      <c r="AH20" s="8" t="str">
        <f>IF(ISBLANK(AG20)," ",IF(AG20="np",SpecialScores!$C$3,IF(AG20="dnf",SpecialScores!$C$4,MIN(1000,(500*LOG(1+99*AG20/SpecialScores!$E$3))))))</f>
        <v xml:space="preserve"> </v>
      </c>
      <c r="AI20" s="12" t="str">
        <f t="shared" si="25"/>
        <v/>
      </c>
      <c r="AP20" s="49"/>
    </row>
    <row r="21" spans="1:42" x14ac:dyDescent="0.35">
      <c r="A21" s="42"/>
      <c r="E21" s="33" t="str">
        <f t="shared" si="13"/>
        <v xml:space="preserve"> </v>
      </c>
      <c r="F21" s="33" t="str">
        <f t="shared" si="14"/>
        <v xml:space="preserve"> </v>
      </c>
      <c r="G21" s="7" t="str">
        <f t="shared" si="15"/>
        <v xml:space="preserve"> </v>
      </c>
      <c r="H21" s="7" t="str">
        <f t="shared" si="16"/>
        <v xml:space="preserve"> </v>
      </c>
      <c r="I21" s="38"/>
      <c r="J21" s="8" t="str">
        <f>IF(ISBLANK(I21)," ",IF(I21="np",SpecialScores!$C$3,IF(I21="dnf",SpecialScores!$C$4,MIN( 1000+I21/SpecialScores!$E$3*0.0001,(500*LOG(1+99*I21/SpecialScores!$E$3))))))</f>
        <v xml:space="preserve"> </v>
      </c>
      <c r="K21" s="12" t="str">
        <f t="shared" si="17"/>
        <v/>
      </c>
      <c r="L21" s="38"/>
      <c r="M21" s="8" t="str">
        <f>IF(ISBLANK(L21)," ",IF(L21="np",SpecialScores!$C$3,IF(L21="dnf",SpecialScores!$C$4,MIN( 1000+L21/SpecialScores!$H$3*0.0001,(500*LOG(1+99*L21/SpecialScores!$H$3))))))</f>
        <v xml:space="preserve"> </v>
      </c>
      <c r="N21" s="12" t="str">
        <f t="shared" si="18"/>
        <v/>
      </c>
      <c r="O21" s="38"/>
      <c r="P21" s="8" t="str">
        <f>IF(ISBLANK(O21)," ",IF(O21="np",SpecialScores!$C$3,IF(O21="dnf",SpecialScores!$C$4,MIN(1000,(500*LOG(1+99*O21/SpecialScores!$K$3))))))</f>
        <v xml:space="preserve"> </v>
      </c>
      <c r="Q21" s="12" t="str">
        <f t="shared" si="19"/>
        <v/>
      </c>
      <c r="R21" s="38"/>
      <c r="S21" s="8" t="str">
        <f>IF(ISBLANK(R21)," ",IF(R21="np",SpecialScores!$C$3,IF(R21="dnf",SpecialScores!$C$4,      IF(AND(R21&gt;=0,R21&lt;SpecialScores!$O$12), (500*LOG(1+99*R21/SpecialScores!$O$12*SpecialScores!$O$11/SpecialScores!$O$10)),                         MIN((500*LOG(1+99*SpecialScores!$O$11/R21)))))))</f>
        <v xml:space="preserve"> </v>
      </c>
      <c r="T21" s="12" t="str">
        <f t="shared" si="20"/>
        <v/>
      </c>
      <c r="U21" s="38"/>
      <c r="V21" s="8" t="str">
        <f>IF(ISBLANK(U21)," ",IF(U21="np",SpecialScores!$C$3,IF(U21="dnf",SpecialScores!$C$4,MIN((500*LOG(1+99*U21/SpecialScores!$R$3))))))</f>
        <v xml:space="preserve"> </v>
      </c>
      <c r="W21" s="12" t="str">
        <f t="shared" si="21"/>
        <v/>
      </c>
      <c r="X21" s="38"/>
      <c r="Y21" s="8" t="str">
        <f>IF(ISBLANK(X21)," ",IF(X21="np",SpecialScores!$C$3,IF(X21="dnf",SpecialScores!$C$4,MIN( 1000+X21/SpecialScores!$U$3*0.0001,(500*LOG(1+99*X21/SpecialScores!$U$3))))))</f>
        <v xml:space="preserve"> </v>
      </c>
      <c r="Z21" s="12" t="str">
        <f t="shared" si="22"/>
        <v/>
      </c>
      <c r="AA21" s="38"/>
      <c r="AB21" s="8" t="str">
        <f>IF(ISBLANK(AA21)," ",IF(AA21="np",SpecialScores!$C$3,IF(AA21="dnf",SpecialScores!$C$4,      IF(AND(AA21&gt;=0,AA21&lt;SpecialScores!$X$12), (500*LOG(1+99*AA21/SpecialScores!$X$12*SpecialScores!$X$11/SpecialScores!$X$10)),                         MIN((500*LOG(1+99*SpecialScores!$X$11/AA21)))))))</f>
        <v xml:space="preserve"> </v>
      </c>
      <c r="AC21" s="12" t="str">
        <f t="shared" si="23"/>
        <v/>
      </c>
      <c r="AD21" s="38"/>
      <c r="AE21" s="8" t="str">
        <f>IF(ISBLANK(AD21)," ",IF(AD21="np",SpecialScores!$C$3,IF(AD21="dnf",SpecialScores!$C$4,MIN( 1000+AD21/SpecialScores!$AA$5*0.0001,(500*LOG(1+99*AD21/SpecialScores!$AA$5))))))</f>
        <v xml:space="preserve"> </v>
      </c>
      <c r="AF21" s="12" t="str">
        <f t="shared" si="24"/>
        <v/>
      </c>
      <c r="AG21" s="38"/>
      <c r="AH21" s="8" t="str">
        <f>IF(ISBLANK(AG21)," ",IF(AG21="np",SpecialScores!$C$3,IF(AG21="dnf",SpecialScores!$C$4,MIN(1000,(500*LOG(1+99*AG21/SpecialScores!$E$3))))))</f>
        <v xml:space="preserve"> </v>
      </c>
      <c r="AI21" s="12" t="str">
        <f t="shared" si="25"/>
        <v/>
      </c>
      <c r="AP21" s="49"/>
    </row>
    <row r="22" spans="1:42" x14ac:dyDescent="0.35">
      <c r="A22" s="42"/>
      <c r="E22" s="33" t="str">
        <f t="shared" ref="E22:E85" si="26">IF(ISBLANK($A22)," ",  RANK(F22,F$2:F$202,1)+((COUNTIF(F$2:F$202,F22)-1)*0.5) )</f>
        <v xml:space="preserve"> </v>
      </c>
      <c r="F22" s="33" t="str">
        <f t="shared" ref="F22:F85" si="27">IF(ISBLANK(A22)," ",SUM(K22,N22,Q22,T22,W22,Z22,AC22,AF22,AI22))</f>
        <v xml:space="preserve"> </v>
      </c>
      <c r="G22" s="7" t="str">
        <f t="shared" ref="G22:G85" si="28">IF(ISBLANK($A22)," ",  RANK(H22,H$2:H$202,0)+((COUNTIF(H$2:H$202,H22)-1)*0.5) )</f>
        <v xml:space="preserve"> </v>
      </c>
      <c r="H22" s="7" t="str">
        <f t="shared" ref="H22:H85" si="29">IF(ISBLANK(A22)," ",SUM(  IF(ISBLANK(I22),0,ROUNDDOWN(J22,0)),  IF(ISBLANK(L22),0,ROUNDDOWN(M22,0)),  IF(ISBLANK(O22),0,ROUNDDOWN(P22,0)),IF(ISBLANK(R22),0,ROUNDDOWN(S22,0)),IF(ISBLANK(U22),0,ROUNDDOWN(V22,0)), IF(ISBLANK(X22),0,ROUNDDOWN(Y22,0)),IF(ISBLANK(AA22),0,ROUNDDOWN(AB22,0)),IF(ISBLANK(AD22),0,ROUNDDOWN(AE22,0)),IF(ISBLANK(AG22),0,ROUNDDOWN(AH22,0))
 ))</f>
        <v xml:space="preserve"> </v>
      </c>
      <c r="I22" s="38"/>
      <c r="J22" s="8" t="str">
        <f>IF(ISBLANK(I22)," ",IF(I22="np",SpecialScores!$C$3,IF(I22="dnf",SpecialScores!$C$4,MIN( 1000+I22/SpecialScores!$E$3*0.0001,(500*LOG(1+99*I22/SpecialScores!$E$3))))))</f>
        <v xml:space="preserve"> </v>
      </c>
      <c r="K22" s="12" t="str">
        <f t="shared" si="17"/>
        <v/>
      </c>
      <c r="L22" s="38"/>
      <c r="M22" s="8" t="str">
        <f>IF(ISBLANK(L22)," ",IF(L22="np",SpecialScores!$C$3,IF(L22="dnf",SpecialScores!$C$4,MIN( 1000+L22/SpecialScores!$H$3*0.0001,(500*LOG(1+99*L22/SpecialScores!$H$3))))))</f>
        <v xml:space="preserve"> </v>
      </c>
      <c r="N22" s="12" t="str">
        <f t="shared" si="18"/>
        <v/>
      </c>
      <c r="O22" s="38"/>
      <c r="P22" s="8" t="str">
        <f>IF(ISBLANK(O22)," ",IF(O22="np",SpecialScores!$C$3,IF(O22="dnf",SpecialScores!$C$4,MIN(1000,(500*LOG(1+99*O22/SpecialScores!$K$3))))))</f>
        <v xml:space="preserve"> </v>
      </c>
      <c r="Q22" s="12" t="str">
        <f t="shared" si="19"/>
        <v/>
      </c>
      <c r="R22" s="38"/>
      <c r="S22" s="8" t="str">
        <f>IF(ISBLANK(R22)," ",IF(R22="np",SpecialScores!$C$3,IF(R22="dnf",SpecialScores!$C$4,      IF(AND(R22&gt;=0,R22&lt;SpecialScores!$O$12), (500*LOG(1+99*R22/SpecialScores!$O$12*SpecialScores!$O$11/SpecialScores!$O$10)),                         MIN((500*LOG(1+99*SpecialScores!$O$11/R22)))))))</f>
        <v xml:space="preserve"> </v>
      </c>
      <c r="T22" s="12" t="str">
        <f t="shared" si="20"/>
        <v/>
      </c>
      <c r="U22" s="38"/>
      <c r="V22" s="8" t="str">
        <f>IF(ISBLANK(U22)," ",IF(U22="np",SpecialScores!$C$3,IF(U22="dnf",SpecialScores!$C$4,MIN((500*LOG(1+99*U22/SpecialScores!$R$3))))))</f>
        <v xml:space="preserve"> </v>
      </c>
      <c r="W22" s="12" t="str">
        <f t="shared" si="21"/>
        <v/>
      </c>
      <c r="X22" s="38"/>
      <c r="Y22" s="8" t="str">
        <f>IF(ISBLANK(X22)," ",IF(X22="np",SpecialScores!$C$3,IF(X22="dnf",SpecialScores!$C$4,MIN( 1000+X22/SpecialScores!$U$3*0.0001,(500*LOG(1+99*X22/SpecialScores!$U$3))))))</f>
        <v xml:space="preserve"> </v>
      </c>
      <c r="Z22" s="12" t="str">
        <f t="shared" si="22"/>
        <v/>
      </c>
      <c r="AA22" s="38"/>
      <c r="AB22" s="8" t="str">
        <f>IF(ISBLANK(AA22)," ",IF(AA22="np",SpecialScores!$C$3,IF(AA22="dnf",SpecialScores!$C$4,      IF(AND(AA22&gt;=0,AA22&lt;SpecialScores!$X$12), (500*LOG(1+99*AA22/SpecialScores!$X$12*SpecialScores!$X$11/SpecialScores!$X$10)),                         MIN((500*LOG(1+99*SpecialScores!$X$11/AA22)))))))</f>
        <v xml:space="preserve"> </v>
      </c>
      <c r="AC22" s="12" t="str">
        <f t="shared" si="23"/>
        <v/>
      </c>
      <c r="AD22" s="38"/>
      <c r="AE22" s="8" t="str">
        <f>IF(ISBLANK(AD22)," ",IF(AD22="np",SpecialScores!$C$3,IF(AD22="dnf",SpecialScores!$C$4,MIN( 1000+AD22/SpecialScores!$AA$5*0.0001,(500*LOG(1+99*AD22/SpecialScores!$AA$5))))))</f>
        <v xml:space="preserve"> </v>
      </c>
      <c r="AF22" s="12" t="str">
        <f t="shared" si="24"/>
        <v/>
      </c>
      <c r="AG22" s="38"/>
      <c r="AH22" s="8" t="str">
        <f>IF(ISBLANK(AG22)," ",IF(AG22="np",SpecialScores!$C$3,IF(AG22="dnf",SpecialScores!$C$4,MIN(1000,(500*LOG(1+99*AG22/SpecialScores!$E$3))))))</f>
        <v xml:space="preserve"> </v>
      </c>
      <c r="AI22" s="12" t="str">
        <f t="shared" si="25"/>
        <v/>
      </c>
      <c r="AP22" s="49"/>
    </row>
    <row r="23" spans="1:42" x14ac:dyDescent="0.35">
      <c r="A23" s="42"/>
      <c r="E23" s="33" t="str">
        <f t="shared" si="26"/>
        <v xml:space="preserve"> </v>
      </c>
      <c r="F23" s="33" t="str">
        <f t="shared" si="27"/>
        <v xml:space="preserve"> </v>
      </c>
      <c r="G23" s="7" t="str">
        <f t="shared" si="28"/>
        <v xml:space="preserve"> </v>
      </c>
      <c r="H23" s="7" t="str">
        <f t="shared" si="29"/>
        <v xml:space="preserve"> </v>
      </c>
      <c r="I23" s="38"/>
      <c r="J23" s="8" t="str">
        <f>IF(ISBLANK(I23)," ",IF(I23="np",SpecialScores!$C$3,IF(I23="dnf",SpecialScores!$C$4,MIN( 1000+I23/SpecialScores!$E$3*0.0001,(500*LOG(1+99*I23/SpecialScores!$E$3))))))</f>
        <v xml:space="preserve"> </v>
      </c>
      <c r="K23" s="12" t="str">
        <f t="shared" si="17"/>
        <v/>
      </c>
      <c r="L23" s="38"/>
      <c r="M23" s="8" t="str">
        <f>IF(ISBLANK(L23)," ",IF(L23="np",SpecialScores!$C$3,IF(L23="dnf",SpecialScores!$C$4,MIN( 1000+L23/SpecialScores!$H$3*0.0001,(500*LOG(1+99*L23/SpecialScores!$H$3))))))</f>
        <v xml:space="preserve"> </v>
      </c>
      <c r="N23" s="12" t="str">
        <f t="shared" si="18"/>
        <v/>
      </c>
      <c r="O23" s="38"/>
      <c r="P23" s="8" t="str">
        <f>IF(ISBLANK(O23)," ",IF(O23="np",SpecialScores!$C$3,IF(O23="dnf",SpecialScores!$C$4,MIN(1000,(500*LOG(1+99*O23/SpecialScores!$K$3))))))</f>
        <v xml:space="preserve"> </v>
      </c>
      <c r="Q23" s="12" t="str">
        <f t="shared" si="19"/>
        <v/>
      </c>
      <c r="R23" s="38"/>
      <c r="S23" s="8" t="str">
        <f>IF(ISBLANK(R23)," ",IF(R23="np",SpecialScores!$C$3,IF(R23="dnf",SpecialScores!$C$4,      IF(AND(R23&gt;=0,R23&lt;SpecialScores!$O$12), (500*LOG(1+99*R23/SpecialScores!$O$12*SpecialScores!$O$11/SpecialScores!$O$10)),                         MIN((500*LOG(1+99*SpecialScores!$O$11/R23)))))))</f>
        <v xml:space="preserve"> </v>
      </c>
      <c r="T23" s="12" t="str">
        <f t="shared" si="20"/>
        <v/>
      </c>
      <c r="U23" s="38"/>
      <c r="V23" s="8" t="str">
        <f>IF(ISBLANK(U23)," ",IF(U23="np",SpecialScores!$C$3,IF(U23="dnf",SpecialScores!$C$4,MIN((500*LOG(1+99*U23/SpecialScores!$R$3))))))</f>
        <v xml:space="preserve"> </v>
      </c>
      <c r="W23" s="12" t="str">
        <f t="shared" si="21"/>
        <v/>
      </c>
      <c r="X23" s="38"/>
      <c r="Y23" s="8" t="str">
        <f>IF(ISBLANK(X23)," ",IF(X23="np",SpecialScores!$C$3,IF(X23="dnf",SpecialScores!$C$4,MIN( 1000+X23/SpecialScores!$U$3*0.0001,(500*LOG(1+99*X23/SpecialScores!$U$3))))))</f>
        <v xml:space="preserve"> </v>
      </c>
      <c r="Z23" s="12" t="str">
        <f t="shared" si="22"/>
        <v/>
      </c>
      <c r="AA23" s="38"/>
      <c r="AB23" s="8" t="str">
        <f>IF(ISBLANK(AA23)," ",IF(AA23="np",SpecialScores!$C$3,IF(AA23="dnf",SpecialScores!$C$4,      IF(AND(AA23&gt;=0,AA23&lt;SpecialScores!$X$12), (500*LOG(1+99*AA23/SpecialScores!$X$12*SpecialScores!$X$11/SpecialScores!$X$10)),                         MIN((500*LOG(1+99*SpecialScores!$X$11/AA23)))))))</f>
        <v xml:space="preserve"> </v>
      </c>
      <c r="AC23" s="12" t="str">
        <f t="shared" si="23"/>
        <v/>
      </c>
      <c r="AD23" s="38"/>
      <c r="AE23" s="8" t="str">
        <f>IF(ISBLANK(AD23)," ",IF(AD23="np",SpecialScores!$C$3,IF(AD23="dnf",SpecialScores!$C$4,MIN( 1000+AD23/SpecialScores!$AA$5*0.0001,(500*LOG(1+99*AD23/SpecialScores!$AA$5))))))</f>
        <v xml:space="preserve"> </v>
      </c>
      <c r="AF23" s="12" t="str">
        <f t="shared" si="24"/>
        <v/>
      </c>
      <c r="AG23" s="38"/>
      <c r="AH23" s="8" t="str">
        <f>IF(ISBLANK(AG23)," ",IF(AG23="np",SpecialScores!$C$3,IF(AG23="dnf",SpecialScores!$C$4,MIN(1000,(500*LOG(1+99*AG23/SpecialScores!$E$3))))))</f>
        <v xml:space="preserve"> </v>
      </c>
      <c r="AI23" s="12" t="str">
        <f t="shared" si="25"/>
        <v/>
      </c>
      <c r="AP23" s="49"/>
    </row>
    <row r="24" spans="1:42" x14ac:dyDescent="0.35">
      <c r="A24" s="42"/>
      <c r="E24" s="33" t="str">
        <f t="shared" si="26"/>
        <v xml:space="preserve"> </v>
      </c>
      <c r="F24" s="33" t="str">
        <f t="shared" si="27"/>
        <v xml:space="preserve"> </v>
      </c>
      <c r="G24" s="7" t="str">
        <f t="shared" si="28"/>
        <v xml:space="preserve"> </v>
      </c>
      <c r="H24" s="7" t="str">
        <f t="shared" si="29"/>
        <v xml:space="preserve"> </v>
      </c>
      <c r="I24" s="38"/>
      <c r="J24" s="8" t="str">
        <f>IF(ISBLANK(I24)," ",IF(I24="np",SpecialScores!$C$3,IF(I24="dnf",SpecialScores!$C$4,MIN( 1000+I24/SpecialScores!$E$3*0.0001,(500*LOG(1+99*I24/SpecialScores!$E$3))))))</f>
        <v xml:space="preserve"> </v>
      </c>
      <c r="K24" s="12" t="str">
        <f t="shared" si="17"/>
        <v/>
      </c>
      <c r="L24" s="38"/>
      <c r="M24" s="8" t="str">
        <f>IF(ISBLANK(L24)," ",IF(L24="np",SpecialScores!$C$3,IF(L24="dnf",SpecialScores!$C$4,MIN( 1000+L24/SpecialScores!$H$3*0.0001,(500*LOG(1+99*L24/SpecialScores!$H$3))))))</f>
        <v xml:space="preserve"> </v>
      </c>
      <c r="N24" s="12" t="str">
        <f t="shared" si="18"/>
        <v/>
      </c>
      <c r="O24" s="38"/>
      <c r="P24" s="8" t="str">
        <f>IF(ISBLANK(O24)," ",IF(O24="np",SpecialScores!$C$3,IF(O24="dnf",SpecialScores!$C$4,MIN(1000,(500*LOG(1+99*O24/SpecialScores!$K$3))))))</f>
        <v xml:space="preserve"> </v>
      </c>
      <c r="Q24" s="12" t="str">
        <f t="shared" si="19"/>
        <v/>
      </c>
      <c r="R24" s="38"/>
      <c r="S24" s="8" t="str">
        <f>IF(ISBLANK(R24)," ",IF(R24="np",SpecialScores!$C$3,IF(R24="dnf",SpecialScores!$C$4,      IF(AND(R24&gt;=0,R24&lt;SpecialScores!$O$12), (500*LOG(1+99*R24/SpecialScores!$O$12*SpecialScores!$O$11/SpecialScores!$O$10)),                         MIN((500*LOG(1+99*SpecialScores!$O$11/R24)))))))</f>
        <v xml:space="preserve"> </v>
      </c>
      <c r="T24" s="12" t="str">
        <f t="shared" si="20"/>
        <v/>
      </c>
      <c r="U24" s="38"/>
      <c r="V24" s="8" t="str">
        <f>IF(ISBLANK(U24)," ",IF(U24="np",SpecialScores!$C$3,IF(U24="dnf",SpecialScores!$C$4,MIN((500*LOG(1+99*U24/SpecialScores!$R$3))))))</f>
        <v xml:space="preserve"> </v>
      </c>
      <c r="W24" s="12" t="str">
        <f t="shared" si="21"/>
        <v/>
      </c>
      <c r="X24" s="38"/>
      <c r="Y24" s="8" t="str">
        <f>IF(ISBLANK(X24)," ",IF(X24="np",SpecialScores!$C$3,IF(X24="dnf",SpecialScores!$C$4,MIN( 1000+X24/SpecialScores!$U$3*0.0001,(500*LOG(1+99*X24/SpecialScores!$U$3))))))</f>
        <v xml:space="preserve"> </v>
      </c>
      <c r="Z24" s="12" t="str">
        <f t="shared" si="22"/>
        <v/>
      </c>
      <c r="AA24" s="38"/>
      <c r="AB24" s="8" t="str">
        <f>IF(ISBLANK(AA24)," ",IF(AA24="np",SpecialScores!$C$3,IF(AA24="dnf",SpecialScores!$C$4,      IF(AND(AA24&gt;=0,AA24&lt;SpecialScores!$X$12), (500*LOG(1+99*AA24/SpecialScores!$X$12*SpecialScores!$X$11/SpecialScores!$X$10)),                         MIN((500*LOG(1+99*SpecialScores!$X$11/AA24)))))))</f>
        <v xml:space="preserve"> </v>
      </c>
      <c r="AC24" s="12" t="str">
        <f t="shared" si="23"/>
        <v/>
      </c>
      <c r="AD24" s="38"/>
      <c r="AE24" s="8" t="str">
        <f>IF(ISBLANK(AD24)," ",IF(AD24="np",SpecialScores!$C$3,IF(AD24="dnf",SpecialScores!$C$4,MIN( 1000+AD24/SpecialScores!$AA$5*0.0001,(500*LOG(1+99*AD24/SpecialScores!$AA$5))))))</f>
        <v xml:space="preserve"> </v>
      </c>
      <c r="AF24" s="12" t="str">
        <f t="shared" si="24"/>
        <v/>
      </c>
      <c r="AG24" s="38"/>
      <c r="AH24" s="8" t="str">
        <f>IF(ISBLANK(AG24)," ",IF(AG24="np",SpecialScores!$C$3,IF(AG24="dnf",SpecialScores!$C$4,MIN(1000,(500*LOG(1+99*AG24/SpecialScores!$E$3))))))</f>
        <v xml:space="preserve"> </v>
      </c>
      <c r="AI24" s="12" t="str">
        <f t="shared" si="25"/>
        <v/>
      </c>
      <c r="AP24" s="49"/>
    </row>
    <row r="25" spans="1:42" x14ac:dyDescent="0.35">
      <c r="A25" s="42"/>
      <c r="E25" s="33" t="str">
        <f t="shared" si="26"/>
        <v xml:space="preserve"> </v>
      </c>
      <c r="F25" s="33" t="str">
        <f t="shared" si="27"/>
        <v xml:space="preserve"> </v>
      </c>
      <c r="G25" s="7" t="str">
        <f t="shared" si="28"/>
        <v xml:space="preserve"> </v>
      </c>
      <c r="H25" s="7" t="str">
        <f t="shared" si="29"/>
        <v xml:space="preserve"> </v>
      </c>
      <c r="I25" s="38"/>
      <c r="J25" s="8" t="str">
        <f>IF(ISBLANK(I25)," ",IF(I25="np",SpecialScores!$C$3,IF(I25="dnf",SpecialScores!$C$4,MIN( 1000+I25/SpecialScores!$E$3*0.0001,(500*LOG(1+99*I25/SpecialScores!$E$3))))))</f>
        <v xml:space="preserve"> </v>
      </c>
      <c r="K25" s="12" t="str">
        <f t="shared" si="17"/>
        <v/>
      </c>
      <c r="L25" s="38"/>
      <c r="M25" s="8" t="str">
        <f>IF(ISBLANK(L25)," ",IF(L25="np",SpecialScores!$C$3,IF(L25="dnf",SpecialScores!$C$4,MIN( 1000+L25/SpecialScores!$H$3*0.0001,(500*LOG(1+99*L25/SpecialScores!$H$3))))))</f>
        <v xml:space="preserve"> </v>
      </c>
      <c r="N25" s="12" t="str">
        <f t="shared" si="18"/>
        <v/>
      </c>
      <c r="O25" s="38"/>
      <c r="P25" s="8" t="str">
        <f>IF(ISBLANK(O25)," ",IF(O25="np",SpecialScores!$C$3,IF(O25="dnf",SpecialScores!$C$4,MIN(1000,(500*LOG(1+99*O25/SpecialScores!$K$3))))))</f>
        <v xml:space="preserve"> </v>
      </c>
      <c r="Q25" s="12" t="str">
        <f t="shared" si="19"/>
        <v/>
      </c>
      <c r="R25" s="38"/>
      <c r="S25" s="8" t="str">
        <f>IF(ISBLANK(R25)," ",IF(R25="np",SpecialScores!$C$3,IF(R25="dnf",SpecialScores!$C$4,      IF(AND(R25&gt;=0,R25&lt;SpecialScores!$O$12), (500*LOG(1+99*R25/SpecialScores!$O$12*SpecialScores!$O$11/SpecialScores!$O$10)),                         MIN((500*LOG(1+99*SpecialScores!$O$11/R25)))))))</f>
        <v xml:space="preserve"> </v>
      </c>
      <c r="T25" s="12" t="str">
        <f t="shared" si="20"/>
        <v/>
      </c>
      <c r="U25" s="38"/>
      <c r="V25" s="8" t="str">
        <f>IF(ISBLANK(U25)," ",IF(U25="np",SpecialScores!$C$3,IF(U25="dnf",SpecialScores!$C$4,MIN((500*LOG(1+99*U25/SpecialScores!$R$3))))))</f>
        <v xml:space="preserve"> </v>
      </c>
      <c r="W25" s="12" t="str">
        <f t="shared" si="21"/>
        <v/>
      </c>
      <c r="X25" s="38"/>
      <c r="Y25" s="8" t="str">
        <f>IF(ISBLANK(X25)," ",IF(X25="np",SpecialScores!$C$3,IF(X25="dnf",SpecialScores!$C$4,MIN( 1000+X25/SpecialScores!$U$3*0.0001,(500*LOG(1+99*X25/SpecialScores!$U$3))))))</f>
        <v xml:space="preserve"> </v>
      </c>
      <c r="Z25" s="12" t="str">
        <f t="shared" si="22"/>
        <v/>
      </c>
      <c r="AA25" s="38"/>
      <c r="AB25" s="8" t="str">
        <f>IF(ISBLANK(AA25)," ",IF(AA25="np",SpecialScores!$C$3,IF(AA25="dnf",SpecialScores!$C$4,      IF(AND(AA25&gt;=0,AA25&lt;SpecialScores!$X$12), (500*LOG(1+99*AA25/SpecialScores!$X$12*SpecialScores!$X$11/SpecialScores!$X$10)),                         MIN((500*LOG(1+99*SpecialScores!$X$11/AA25)))))))</f>
        <v xml:space="preserve"> </v>
      </c>
      <c r="AC25" s="12" t="str">
        <f t="shared" si="23"/>
        <v/>
      </c>
      <c r="AD25" s="38"/>
      <c r="AE25" s="8" t="str">
        <f>IF(ISBLANK(AD25)," ",IF(AD25="np",SpecialScores!$C$3,IF(AD25="dnf",SpecialScores!$C$4,MIN( 1000+AD25/SpecialScores!$AA$5*0.0001,(500*LOG(1+99*AD25/SpecialScores!$AA$5))))))</f>
        <v xml:space="preserve"> </v>
      </c>
      <c r="AF25" s="12" t="str">
        <f t="shared" si="24"/>
        <v/>
      </c>
      <c r="AG25" s="38"/>
      <c r="AH25" s="8" t="str">
        <f>IF(ISBLANK(AG25)," ",IF(AG25="np",SpecialScores!$C$3,IF(AG25="dnf",SpecialScores!$C$4,MIN(1000,(500*LOG(1+99*AG25/SpecialScores!$E$3))))))</f>
        <v xml:space="preserve"> </v>
      </c>
      <c r="AI25" s="12" t="str">
        <f t="shared" si="25"/>
        <v/>
      </c>
      <c r="AP25" s="49"/>
    </row>
    <row r="26" spans="1:42" x14ac:dyDescent="0.35">
      <c r="A26" s="42"/>
      <c r="E26" s="33" t="str">
        <f t="shared" si="26"/>
        <v xml:space="preserve"> </v>
      </c>
      <c r="F26" s="33" t="str">
        <f t="shared" si="27"/>
        <v xml:space="preserve"> </v>
      </c>
      <c r="G26" s="7" t="str">
        <f t="shared" si="28"/>
        <v xml:space="preserve"> </v>
      </c>
      <c r="H26" s="7" t="str">
        <f t="shared" si="29"/>
        <v xml:space="preserve"> </v>
      </c>
      <c r="I26" s="38"/>
      <c r="J26" s="8" t="str">
        <f>IF(ISBLANK(I26)," ",IF(I26="np",SpecialScores!$C$3,IF(I26="dnf",SpecialScores!$C$4,MIN( 1000+I26/SpecialScores!$E$3*0.0001,(500*LOG(1+99*I26/SpecialScores!$E$3))))))</f>
        <v xml:space="preserve"> </v>
      </c>
      <c r="K26" s="12" t="str">
        <f t="shared" si="17"/>
        <v/>
      </c>
      <c r="L26" s="38"/>
      <c r="M26" s="8" t="str">
        <f>IF(ISBLANK(L26)," ",IF(L26="np",SpecialScores!$C$3,IF(L26="dnf",SpecialScores!$C$4,MIN( 1000+L26/SpecialScores!$H$3*0.0001,(500*LOG(1+99*L26/SpecialScores!$H$3))))))</f>
        <v xml:space="preserve"> </v>
      </c>
      <c r="N26" s="12" t="str">
        <f t="shared" si="18"/>
        <v/>
      </c>
      <c r="O26" s="38"/>
      <c r="P26" s="8" t="str">
        <f>IF(ISBLANK(O26)," ",IF(O26="np",SpecialScores!$C$3,IF(O26="dnf",SpecialScores!$C$4,MIN(1000,(500*LOG(1+99*O26/SpecialScores!$K$3))))))</f>
        <v xml:space="preserve"> </v>
      </c>
      <c r="Q26" s="12" t="str">
        <f t="shared" si="19"/>
        <v/>
      </c>
      <c r="R26" s="38"/>
      <c r="S26" s="8" t="str">
        <f>IF(ISBLANK(R26)," ",IF(R26="np",SpecialScores!$C$3,IF(R26="dnf",SpecialScores!$C$4,      IF(AND(R26&gt;=0,R26&lt;SpecialScores!$O$12), (500*LOG(1+99*R26/SpecialScores!$O$12*SpecialScores!$O$11/SpecialScores!$O$10)),                         MIN((500*LOG(1+99*SpecialScores!$O$11/R26)))))))</f>
        <v xml:space="preserve"> </v>
      </c>
      <c r="T26" s="12" t="str">
        <f t="shared" si="20"/>
        <v/>
      </c>
      <c r="U26" s="38"/>
      <c r="V26" s="8" t="str">
        <f>IF(ISBLANK(U26)," ",IF(U26="np",SpecialScores!$C$3,IF(U26="dnf",SpecialScores!$C$4,MIN((500*LOG(1+99*U26/SpecialScores!$R$3))))))</f>
        <v xml:space="preserve"> </v>
      </c>
      <c r="W26" s="12" t="str">
        <f t="shared" si="21"/>
        <v/>
      </c>
      <c r="X26" s="38"/>
      <c r="Y26" s="8" t="str">
        <f>IF(ISBLANK(X26)," ",IF(X26="np",SpecialScores!$C$3,IF(X26="dnf",SpecialScores!$C$4,MIN( 1000+X26/SpecialScores!$U$3*0.0001,(500*LOG(1+99*X26/SpecialScores!$U$3))))))</f>
        <v xml:space="preserve"> </v>
      </c>
      <c r="Z26" s="12" t="str">
        <f t="shared" si="22"/>
        <v/>
      </c>
      <c r="AA26" s="38"/>
      <c r="AB26" s="8" t="str">
        <f>IF(ISBLANK(AA26)," ",IF(AA26="np",SpecialScores!$C$3,IF(AA26="dnf",SpecialScores!$C$4,      IF(AND(AA26&gt;=0,AA26&lt;SpecialScores!$X$12), (500*LOG(1+99*AA26/SpecialScores!$X$12*SpecialScores!$X$11/SpecialScores!$X$10)),                         MIN((500*LOG(1+99*SpecialScores!$X$11/AA26)))))))</f>
        <v xml:space="preserve"> </v>
      </c>
      <c r="AC26" s="12" t="str">
        <f t="shared" si="23"/>
        <v/>
      </c>
      <c r="AD26" s="38"/>
      <c r="AE26" s="8" t="str">
        <f>IF(ISBLANK(AD26)," ",IF(AD26="np",SpecialScores!$C$3,IF(AD26="dnf",SpecialScores!$C$4,MIN( 1000+AD26/SpecialScores!$AA$5*0.0001,(500*LOG(1+99*AD26/SpecialScores!$AA$5))))))</f>
        <v xml:space="preserve"> </v>
      </c>
      <c r="AF26" s="12" t="str">
        <f t="shared" si="24"/>
        <v/>
      </c>
      <c r="AG26" s="38"/>
      <c r="AH26" s="8" t="str">
        <f>IF(ISBLANK(AG26)," ",IF(AG26="np",SpecialScores!$C$3,IF(AG26="dnf",SpecialScores!$C$4,MIN(1000,(500*LOG(1+99*AG26/SpecialScores!$E$3))))))</f>
        <v xml:space="preserve"> </v>
      </c>
      <c r="AI26" s="12" t="str">
        <f t="shared" si="25"/>
        <v/>
      </c>
      <c r="AP26" s="49"/>
    </row>
    <row r="27" spans="1:42" x14ac:dyDescent="0.35">
      <c r="A27" s="42"/>
      <c r="E27" s="33" t="str">
        <f t="shared" si="26"/>
        <v xml:space="preserve"> </v>
      </c>
      <c r="F27" s="33" t="str">
        <f t="shared" si="27"/>
        <v xml:space="preserve"> </v>
      </c>
      <c r="G27" s="7" t="str">
        <f t="shared" si="28"/>
        <v xml:space="preserve"> </v>
      </c>
      <c r="H27" s="7" t="str">
        <f t="shared" si="29"/>
        <v xml:space="preserve"> </v>
      </c>
      <c r="I27" s="38"/>
      <c r="J27" s="8" t="str">
        <f>IF(ISBLANK(I27)," ",IF(I27="np",SpecialScores!$C$3,IF(I27="dnf",SpecialScores!$C$4,MIN( 1000+I27/SpecialScores!$E$3*0.0001,(500*LOG(1+99*I27/SpecialScores!$E$3))))))</f>
        <v xml:space="preserve"> </v>
      </c>
      <c r="K27" s="12" t="str">
        <f t="shared" si="17"/>
        <v/>
      </c>
      <c r="L27" s="38"/>
      <c r="M27" s="8" t="str">
        <f>IF(ISBLANK(L27)," ",IF(L27="np",SpecialScores!$C$3,IF(L27="dnf",SpecialScores!$C$4,MIN( 1000+L27/SpecialScores!$H$3*0.0001,(500*LOG(1+99*L27/SpecialScores!$H$3))))))</f>
        <v xml:space="preserve"> </v>
      </c>
      <c r="N27" s="12" t="str">
        <f t="shared" si="18"/>
        <v/>
      </c>
      <c r="O27" s="38"/>
      <c r="P27" s="8" t="str">
        <f>IF(ISBLANK(O27)," ",IF(O27="np",SpecialScores!$C$3,IF(O27="dnf",SpecialScores!$C$4,MIN(1000,(500*LOG(1+99*O27/SpecialScores!$K$3))))))</f>
        <v xml:space="preserve"> </v>
      </c>
      <c r="Q27" s="12" t="str">
        <f t="shared" si="19"/>
        <v/>
      </c>
      <c r="R27" s="38"/>
      <c r="S27" s="8" t="str">
        <f>IF(ISBLANK(R27)," ",IF(R27="np",SpecialScores!$C$3,IF(R27="dnf",SpecialScores!$C$4,      IF(AND(R27&gt;=0,R27&lt;SpecialScores!$O$12), (500*LOG(1+99*R27/SpecialScores!$O$12*SpecialScores!$O$11/SpecialScores!$O$10)),                         MIN((500*LOG(1+99*SpecialScores!$O$11/R27)))))))</f>
        <v xml:space="preserve"> </v>
      </c>
      <c r="T27" s="12" t="str">
        <f t="shared" si="20"/>
        <v/>
      </c>
      <c r="U27" s="38"/>
      <c r="V27" s="8" t="str">
        <f>IF(ISBLANK(U27)," ",IF(U27="np",SpecialScores!$C$3,IF(U27="dnf",SpecialScores!$C$4,MIN((500*LOG(1+99*U27/SpecialScores!$R$3))))))</f>
        <v xml:space="preserve"> </v>
      </c>
      <c r="W27" s="12" t="str">
        <f t="shared" si="21"/>
        <v/>
      </c>
      <c r="X27" s="38"/>
      <c r="Y27" s="8" t="str">
        <f>IF(ISBLANK(X27)," ",IF(X27="np",SpecialScores!$C$3,IF(X27="dnf",SpecialScores!$C$4,MIN( 1000+X27/SpecialScores!$U$3*0.0001,(500*LOG(1+99*X27/SpecialScores!$U$3))))))</f>
        <v xml:space="preserve"> </v>
      </c>
      <c r="Z27" s="12" t="str">
        <f t="shared" si="22"/>
        <v/>
      </c>
      <c r="AA27" s="38"/>
      <c r="AB27" s="8" t="str">
        <f>IF(ISBLANK(AA27)," ",IF(AA27="np",SpecialScores!$C$3,IF(AA27="dnf",SpecialScores!$C$4,      IF(AND(AA27&gt;=0,AA27&lt;SpecialScores!$X$12), (500*LOG(1+99*AA27/SpecialScores!$X$12*SpecialScores!$X$11/SpecialScores!$X$10)),                         MIN((500*LOG(1+99*SpecialScores!$X$11/AA27)))))))</f>
        <v xml:space="preserve"> </v>
      </c>
      <c r="AC27" s="12" t="str">
        <f t="shared" si="23"/>
        <v/>
      </c>
      <c r="AD27" s="38"/>
      <c r="AE27" s="8" t="str">
        <f>IF(ISBLANK(AD27)," ",IF(AD27="np",SpecialScores!$C$3,IF(AD27="dnf",SpecialScores!$C$4,MIN( 1000+AD27/SpecialScores!$AA$5*0.0001,(500*LOG(1+99*AD27/SpecialScores!$AA$5))))))</f>
        <v xml:space="preserve"> </v>
      </c>
      <c r="AF27" s="12" t="str">
        <f t="shared" si="24"/>
        <v/>
      </c>
      <c r="AG27" s="38"/>
      <c r="AH27" s="8" t="str">
        <f>IF(ISBLANK(AG27)," ",IF(AG27="np",SpecialScores!$C$3,IF(AG27="dnf",SpecialScores!$C$4,MIN(1000,(500*LOG(1+99*AG27/SpecialScores!$E$3))))))</f>
        <v xml:space="preserve"> </v>
      </c>
      <c r="AI27" s="12" t="str">
        <f t="shared" si="25"/>
        <v/>
      </c>
      <c r="AP27" s="49"/>
    </row>
    <row r="28" spans="1:42" x14ac:dyDescent="0.35">
      <c r="A28" s="42"/>
      <c r="E28" s="33" t="str">
        <f t="shared" si="26"/>
        <v xml:space="preserve"> </v>
      </c>
      <c r="F28" s="33" t="str">
        <f t="shared" si="27"/>
        <v xml:space="preserve"> </v>
      </c>
      <c r="G28" s="7" t="str">
        <f t="shared" si="28"/>
        <v xml:space="preserve"> </v>
      </c>
      <c r="H28" s="7" t="str">
        <f t="shared" si="29"/>
        <v xml:space="preserve"> </v>
      </c>
      <c r="I28" s="38"/>
      <c r="J28" s="8" t="str">
        <f>IF(ISBLANK(I28)," ",IF(I28="np",SpecialScores!$C$3,IF(I28="dnf",SpecialScores!$C$4,MIN( 1000+I28/SpecialScores!$E$3*0.0001,(500*LOG(1+99*I28/SpecialScores!$E$3))))))</f>
        <v xml:space="preserve"> </v>
      </c>
      <c r="K28" s="12" t="str">
        <f t="shared" si="17"/>
        <v/>
      </c>
      <c r="L28" s="38"/>
      <c r="M28" s="8" t="str">
        <f>IF(ISBLANK(L28)," ",IF(L28="np",SpecialScores!$C$3,IF(L28="dnf",SpecialScores!$C$4,MIN( 1000+L28/SpecialScores!$H$3*0.0001,(500*LOG(1+99*L28/SpecialScores!$H$3))))))</f>
        <v xml:space="preserve"> </v>
      </c>
      <c r="N28" s="12" t="str">
        <f t="shared" si="18"/>
        <v/>
      </c>
      <c r="O28" s="38"/>
      <c r="P28" s="8" t="str">
        <f>IF(ISBLANK(O28)," ",IF(O28="np",SpecialScores!$C$3,IF(O28="dnf",SpecialScores!$C$4,MIN(1000,(500*LOG(1+99*O28/SpecialScores!$K$3))))))</f>
        <v xml:space="preserve"> </v>
      </c>
      <c r="Q28" s="12" t="str">
        <f t="shared" si="19"/>
        <v/>
      </c>
      <c r="R28" s="38"/>
      <c r="S28" s="8" t="str">
        <f>IF(ISBLANK(R28)," ",IF(R28="np",SpecialScores!$C$3,IF(R28="dnf",SpecialScores!$C$4,      IF(AND(R28&gt;=0,R28&lt;SpecialScores!$O$12), (500*LOG(1+99*R28/SpecialScores!$O$12*SpecialScores!$O$11/SpecialScores!$O$10)),                         MIN((500*LOG(1+99*SpecialScores!$O$11/R28)))))))</f>
        <v xml:space="preserve"> </v>
      </c>
      <c r="T28" s="12" t="str">
        <f t="shared" si="20"/>
        <v/>
      </c>
      <c r="U28" s="38"/>
      <c r="V28" s="8" t="str">
        <f>IF(ISBLANK(U28)," ",IF(U28="np",SpecialScores!$C$3,IF(U28="dnf",SpecialScores!$C$4,MIN((500*LOG(1+99*U28/SpecialScores!$R$3))))))</f>
        <v xml:space="preserve"> </v>
      </c>
      <c r="W28" s="12" t="str">
        <f t="shared" si="21"/>
        <v/>
      </c>
      <c r="X28" s="38"/>
      <c r="Y28" s="8" t="str">
        <f>IF(ISBLANK(X28)," ",IF(X28="np",SpecialScores!$C$3,IF(X28="dnf",SpecialScores!$C$4,MIN( 1000+X28/SpecialScores!$U$3*0.0001,(500*LOG(1+99*X28/SpecialScores!$U$3))))))</f>
        <v xml:space="preserve"> </v>
      </c>
      <c r="Z28" s="12" t="str">
        <f t="shared" si="22"/>
        <v/>
      </c>
      <c r="AA28" s="38"/>
      <c r="AB28" s="8" t="str">
        <f>IF(ISBLANK(AA28)," ",IF(AA28="np",SpecialScores!$C$3,IF(AA28="dnf",SpecialScores!$C$4,      IF(AND(AA28&gt;=0,AA28&lt;SpecialScores!$X$12), (500*LOG(1+99*AA28/SpecialScores!$X$12*SpecialScores!$X$11/SpecialScores!$X$10)),                         MIN((500*LOG(1+99*SpecialScores!$X$11/AA28)))))))</f>
        <v xml:space="preserve"> </v>
      </c>
      <c r="AC28" s="12" t="str">
        <f t="shared" si="23"/>
        <v/>
      </c>
      <c r="AD28" s="38"/>
      <c r="AE28" s="8" t="str">
        <f>IF(ISBLANK(AD28)," ",IF(AD28="np",SpecialScores!$C$3,IF(AD28="dnf",SpecialScores!$C$4,MIN( 1000+AD28/SpecialScores!$AA$5*0.0001,(500*LOG(1+99*AD28/SpecialScores!$AA$5))))))</f>
        <v xml:space="preserve"> </v>
      </c>
      <c r="AF28" s="12" t="str">
        <f t="shared" si="24"/>
        <v/>
      </c>
      <c r="AG28" s="38"/>
      <c r="AH28" s="8" t="str">
        <f>IF(ISBLANK(AG28)," ",IF(AG28="np",SpecialScores!$C$3,IF(AG28="dnf",SpecialScores!$C$4,MIN(1000,(500*LOG(1+99*AG28/SpecialScores!$E$3))))))</f>
        <v xml:space="preserve"> </v>
      </c>
      <c r="AI28" s="12" t="str">
        <f t="shared" si="25"/>
        <v/>
      </c>
      <c r="AP28" s="49"/>
    </row>
    <row r="29" spans="1:42" x14ac:dyDescent="0.35">
      <c r="A29" s="42"/>
      <c r="E29" s="33" t="str">
        <f t="shared" si="26"/>
        <v xml:space="preserve"> </v>
      </c>
      <c r="F29" s="33" t="str">
        <f t="shared" si="27"/>
        <v xml:space="preserve"> </v>
      </c>
      <c r="G29" s="7" t="str">
        <f t="shared" si="28"/>
        <v xml:space="preserve"> </v>
      </c>
      <c r="H29" s="7" t="str">
        <f t="shared" si="29"/>
        <v xml:space="preserve"> </v>
      </c>
      <c r="I29" s="38"/>
      <c r="J29" s="8" t="str">
        <f>IF(ISBLANK(I29)," ",IF(I29="np",SpecialScores!$C$3,IF(I29="dnf",SpecialScores!$C$4,MIN( 1000+I29/SpecialScores!$E$3*0.0001,(500*LOG(1+99*I29/SpecialScores!$E$3))))))</f>
        <v xml:space="preserve"> </v>
      </c>
      <c r="K29" s="12" t="str">
        <f t="shared" si="17"/>
        <v/>
      </c>
      <c r="L29" s="38"/>
      <c r="M29" s="8" t="str">
        <f>IF(ISBLANK(L29)," ",IF(L29="np",SpecialScores!$C$3,IF(L29="dnf",SpecialScores!$C$4,MIN( 1000+L29/SpecialScores!$H$3*0.0001,(500*LOG(1+99*L29/SpecialScores!$H$3))))))</f>
        <v xml:space="preserve"> </v>
      </c>
      <c r="N29" s="12" t="str">
        <f t="shared" si="18"/>
        <v/>
      </c>
      <c r="O29" s="38"/>
      <c r="P29" s="8" t="str">
        <f>IF(ISBLANK(O29)," ",IF(O29="np",SpecialScores!$C$3,IF(O29="dnf",SpecialScores!$C$4,MIN(1000,(500*LOG(1+99*O29/SpecialScores!$K$3))))))</f>
        <v xml:space="preserve"> </v>
      </c>
      <c r="Q29" s="12" t="str">
        <f t="shared" si="19"/>
        <v/>
      </c>
      <c r="R29" s="38"/>
      <c r="S29" s="8" t="str">
        <f>IF(ISBLANK(R29)," ",IF(R29="np",SpecialScores!$C$3,IF(R29="dnf",SpecialScores!$C$4,      IF(AND(R29&gt;=0,R29&lt;SpecialScores!$O$12), (500*LOG(1+99*R29/SpecialScores!$O$12*SpecialScores!$O$11/SpecialScores!$O$10)),                         MIN((500*LOG(1+99*SpecialScores!$O$11/R29)))))))</f>
        <v xml:space="preserve"> </v>
      </c>
      <c r="T29" s="12" t="str">
        <f t="shared" si="20"/>
        <v/>
      </c>
      <c r="U29" s="38"/>
      <c r="V29" s="8" t="str">
        <f>IF(ISBLANK(U29)," ",IF(U29="np",SpecialScores!$C$3,IF(U29="dnf",SpecialScores!$C$4,MIN((500*LOG(1+99*U29/SpecialScores!$R$3))))))</f>
        <v xml:space="preserve"> </v>
      </c>
      <c r="W29" s="12" t="str">
        <f t="shared" si="21"/>
        <v/>
      </c>
      <c r="X29" s="38"/>
      <c r="Y29" s="8" t="str">
        <f>IF(ISBLANK(X29)," ",IF(X29="np",SpecialScores!$C$3,IF(X29="dnf",SpecialScores!$C$4,MIN( 1000+X29/SpecialScores!$U$3*0.0001,(500*LOG(1+99*X29/SpecialScores!$U$3))))))</f>
        <v xml:space="preserve"> </v>
      </c>
      <c r="Z29" s="12" t="str">
        <f t="shared" si="22"/>
        <v/>
      </c>
      <c r="AA29" s="38"/>
      <c r="AB29" s="8" t="str">
        <f>IF(ISBLANK(AA29)," ",IF(AA29="np",SpecialScores!$C$3,IF(AA29="dnf",SpecialScores!$C$4,      IF(AND(AA29&gt;=0,AA29&lt;SpecialScores!$X$12), (500*LOG(1+99*AA29/SpecialScores!$X$12*SpecialScores!$X$11/SpecialScores!$X$10)),                         MIN((500*LOG(1+99*SpecialScores!$X$11/AA29)))))))</f>
        <v xml:space="preserve"> </v>
      </c>
      <c r="AC29" s="12" t="str">
        <f t="shared" si="23"/>
        <v/>
      </c>
      <c r="AD29" s="38"/>
      <c r="AE29" s="8" t="str">
        <f>IF(ISBLANK(AD29)," ",IF(AD29="np",SpecialScores!$C$3,IF(AD29="dnf",SpecialScores!$C$4,MIN( 1000+AD29/SpecialScores!$AA$5*0.0001,(500*LOG(1+99*AD29/SpecialScores!$AA$5))))))</f>
        <v xml:space="preserve"> </v>
      </c>
      <c r="AF29" s="12" t="str">
        <f t="shared" si="24"/>
        <v/>
      </c>
      <c r="AG29" s="38"/>
      <c r="AH29" s="8" t="str">
        <f>IF(ISBLANK(AG29)," ",IF(AG29="np",SpecialScores!$C$3,IF(AG29="dnf",SpecialScores!$C$4,MIN(1000,(500*LOG(1+99*AG29/SpecialScores!$E$3))))))</f>
        <v xml:space="preserve"> </v>
      </c>
      <c r="AI29" s="12" t="str">
        <f t="shared" si="25"/>
        <v/>
      </c>
      <c r="AP29" s="49"/>
    </row>
    <row r="30" spans="1:42" x14ac:dyDescent="0.35">
      <c r="A30" s="42"/>
      <c r="E30" s="33" t="str">
        <f t="shared" si="26"/>
        <v xml:space="preserve"> </v>
      </c>
      <c r="F30" s="33" t="str">
        <f t="shared" si="27"/>
        <v xml:space="preserve"> </v>
      </c>
      <c r="G30" s="7" t="str">
        <f t="shared" si="28"/>
        <v xml:space="preserve"> </v>
      </c>
      <c r="H30" s="7" t="str">
        <f t="shared" si="29"/>
        <v xml:space="preserve"> </v>
      </c>
      <c r="I30" s="38"/>
      <c r="J30" s="8" t="str">
        <f>IF(ISBLANK(I30)," ",IF(I30="np",SpecialScores!$C$3,IF(I30="dnf",SpecialScores!$C$4,MIN( 1000+I30/SpecialScores!$E$3*0.0001,(500*LOG(1+99*I30/SpecialScores!$E$3))))))</f>
        <v xml:space="preserve"> </v>
      </c>
      <c r="K30" s="12" t="str">
        <f t="shared" si="17"/>
        <v/>
      </c>
      <c r="L30" s="38"/>
      <c r="M30" s="8" t="str">
        <f>IF(ISBLANK(L30)," ",IF(L30="np",SpecialScores!$C$3,IF(L30="dnf",SpecialScores!$C$4,MIN( 1000+L30/SpecialScores!$H$3*0.0001,(500*LOG(1+99*L30/SpecialScores!$H$3))))))</f>
        <v xml:space="preserve"> </v>
      </c>
      <c r="N30" s="12" t="str">
        <f t="shared" si="18"/>
        <v/>
      </c>
      <c r="O30" s="38"/>
      <c r="P30" s="8" t="str">
        <f>IF(ISBLANK(O30)," ",IF(O30="np",SpecialScores!$C$3,IF(O30="dnf",SpecialScores!$C$4,MIN(1000,(500*LOG(1+99*O30/SpecialScores!$K$3))))))</f>
        <v xml:space="preserve"> </v>
      </c>
      <c r="Q30" s="12" t="str">
        <f t="shared" si="19"/>
        <v/>
      </c>
      <c r="R30" s="38"/>
      <c r="S30" s="8" t="str">
        <f>IF(ISBLANK(R30)," ",IF(R30="np",SpecialScores!$C$3,IF(R30="dnf",SpecialScores!$C$4,      IF(AND(R30&gt;=0,R30&lt;SpecialScores!$O$12), (500*LOG(1+99*R30/SpecialScores!$O$12*SpecialScores!$O$11/SpecialScores!$O$10)),                         MIN((500*LOG(1+99*SpecialScores!$O$11/R30)))))))</f>
        <v xml:space="preserve"> </v>
      </c>
      <c r="T30" s="12" t="str">
        <f t="shared" si="20"/>
        <v/>
      </c>
      <c r="U30" s="38"/>
      <c r="V30" s="8" t="str">
        <f>IF(ISBLANK(U30)," ",IF(U30="np",SpecialScores!$C$3,IF(U30="dnf",SpecialScores!$C$4,MIN((500*LOG(1+99*U30/SpecialScores!$R$3))))))</f>
        <v xml:space="preserve"> </v>
      </c>
      <c r="W30" s="12" t="str">
        <f t="shared" si="21"/>
        <v/>
      </c>
      <c r="X30" s="38"/>
      <c r="Y30" s="8" t="str">
        <f>IF(ISBLANK(X30)," ",IF(X30="np",SpecialScores!$C$3,IF(X30="dnf",SpecialScores!$C$4,MIN( 1000+X30/SpecialScores!$U$3*0.0001,(500*LOG(1+99*X30/SpecialScores!$U$3))))))</f>
        <v xml:space="preserve"> </v>
      </c>
      <c r="Z30" s="12" t="str">
        <f t="shared" si="22"/>
        <v/>
      </c>
      <c r="AA30" s="38"/>
      <c r="AB30" s="8" t="str">
        <f>IF(ISBLANK(AA30)," ",IF(AA30="np",SpecialScores!$C$3,IF(AA30="dnf",SpecialScores!$C$4,      IF(AND(AA30&gt;=0,AA30&lt;SpecialScores!$X$12), (500*LOG(1+99*AA30/SpecialScores!$X$12*SpecialScores!$X$11/SpecialScores!$X$10)),                         MIN((500*LOG(1+99*SpecialScores!$X$11/AA30)))))))</f>
        <v xml:space="preserve"> </v>
      </c>
      <c r="AC30" s="12" t="str">
        <f t="shared" si="23"/>
        <v/>
      </c>
      <c r="AD30" s="38"/>
      <c r="AE30" s="8" t="str">
        <f>IF(ISBLANK(AD30)," ",IF(AD30="np",SpecialScores!$C$3,IF(AD30="dnf",SpecialScores!$C$4,MIN( 1000+AD30/SpecialScores!$AA$5*0.0001,(500*LOG(1+99*AD30/SpecialScores!$AA$5))))))</f>
        <v xml:space="preserve"> </v>
      </c>
      <c r="AF30" s="12" t="str">
        <f t="shared" si="24"/>
        <v/>
      </c>
      <c r="AG30" s="38"/>
      <c r="AH30" s="8" t="str">
        <f>IF(ISBLANK(AG30)," ",IF(AG30="np",SpecialScores!$C$3,IF(AG30="dnf",SpecialScores!$C$4,MIN(1000,(500*LOG(1+99*AG30/SpecialScores!$E$3))))))</f>
        <v xml:space="preserve"> </v>
      </c>
      <c r="AI30" s="12" t="str">
        <f t="shared" si="25"/>
        <v/>
      </c>
      <c r="AP30" s="49"/>
    </row>
    <row r="31" spans="1:42" x14ac:dyDescent="0.35">
      <c r="A31" s="42"/>
      <c r="E31" s="33" t="str">
        <f t="shared" si="26"/>
        <v xml:space="preserve"> </v>
      </c>
      <c r="F31" s="33" t="str">
        <f t="shared" si="27"/>
        <v xml:space="preserve"> </v>
      </c>
      <c r="G31" s="7" t="str">
        <f t="shared" si="28"/>
        <v xml:space="preserve"> </v>
      </c>
      <c r="H31" s="7" t="str">
        <f t="shared" si="29"/>
        <v xml:space="preserve"> </v>
      </c>
      <c r="I31" s="38"/>
      <c r="J31" s="8" t="str">
        <f>IF(ISBLANK(I31)," ",IF(I31="np",SpecialScores!$C$3,IF(I31="dnf",SpecialScores!$C$4,MIN( 1000+I31/SpecialScores!$E$3*0.0001,(500*LOG(1+99*I31/SpecialScores!$E$3))))))</f>
        <v xml:space="preserve"> </v>
      </c>
      <c r="K31" s="12" t="str">
        <f t="shared" si="17"/>
        <v/>
      </c>
      <c r="L31" s="38"/>
      <c r="M31" s="8" t="str">
        <f>IF(ISBLANK(L31)," ",IF(L31="np",SpecialScores!$C$3,IF(L31="dnf",SpecialScores!$C$4,MIN( 1000+L31/SpecialScores!$H$3*0.0001,(500*LOG(1+99*L31/SpecialScores!$H$3))))))</f>
        <v xml:space="preserve"> </v>
      </c>
      <c r="N31" s="12" t="str">
        <f t="shared" si="18"/>
        <v/>
      </c>
      <c r="O31" s="38"/>
      <c r="P31" s="8" t="str">
        <f>IF(ISBLANK(O31)," ",IF(O31="np",SpecialScores!$C$3,IF(O31="dnf",SpecialScores!$C$4,MIN(1000,(500*LOG(1+99*O31/SpecialScores!$K$3))))))</f>
        <v xml:space="preserve"> </v>
      </c>
      <c r="Q31" s="12" t="str">
        <f t="shared" si="19"/>
        <v/>
      </c>
      <c r="R31" s="38"/>
      <c r="S31" s="8" t="str">
        <f>IF(ISBLANK(R31)," ",IF(R31="np",SpecialScores!$C$3,IF(R31="dnf",SpecialScores!$C$4,      IF(AND(R31&gt;=0,R31&lt;SpecialScores!$O$12), (500*LOG(1+99*R31/SpecialScores!$O$12*SpecialScores!$O$11/SpecialScores!$O$10)),                         MIN((500*LOG(1+99*SpecialScores!$O$11/R31)))))))</f>
        <v xml:space="preserve"> </v>
      </c>
      <c r="T31" s="12" t="str">
        <f t="shared" si="20"/>
        <v/>
      </c>
      <c r="U31" s="38"/>
      <c r="V31" s="8" t="str">
        <f>IF(ISBLANK(U31)," ",IF(U31="np",SpecialScores!$C$3,IF(U31="dnf",SpecialScores!$C$4,MIN((500*LOG(1+99*U31/SpecialScores!$R$3))))))</f>
        <v xml:space="preserve"> </v>
      </c>
      <c r="W31" s="12" t="str">
        <f t="shared" si="21"/>
        <v/>
      </c>
      <c r="X31" s="38"/>
      <c r="Y31" s="8" t="str">
        <f>IF(ISBLANK(X31)," ",IF(X31="np",SpecialScores!$C$3,IF(X31="dnf",SpecialScores!$C$4,MIN( 1000+X31/SpecialScores!$U$3*0.0001,(500*LOG(1+99*X31/SpecialScores!$U$3))))))</f>
        <v xml:space="preserve"> </v>
      </c>
      <c r="Z31" s="12" t="str">
        <f t="shared" si="22"/>
        <v/>
      </c>
      <c r="AA31" s="38"/>
      <c r="AB31" s="8" t="str">
        <f>IF(ISBLANK(AA31)," ",IF(AA31="np",SpecialScores!$C$3,IF(AA31="dnf",SpecialScores!$C$4,      IF(AND(AA31&gt;=0,AA31&lt;SpecialScores!$X$12), (500*LOG(1+99*AA31/SpecialScores!$X$12*SpecialScores!$X$11/SpecialScores!$X$10)),                         MIN((500*LOG(1+99*SpecialScores!$X$11/AA31)))))))</f>
        <v xml:space="preserve"> </v>
      </c>
      <c r="AC31" s="12" t="str">
        <f t="shared" si="23"/>
        <v/>
      </c>
      <c r="AD31" s="38"/>
      <c r="AE31" s="8" t="str">
        <f>IF(ISBLANK(AD31)," ",IF(AD31="np",SpecialScores!$C$3,IF(AD31="dnf",SpecialScores!$C$4,MIN( 1000+AD31/SpecialScores!$AA$5*0.0001,(500*LOG(1+99*AD31/SpecialScores!$AA$5))))))</f>
        <v xml:space="preserve"> </v>
      </c>
      <c r="AF31" s="12" t="str">
        <f t="shared" si="24"/>
        <v/>
      </c>
      <c r="AG31" s="38"/>
      <c r="AH31" s="8" t="str">
        <f>IF(ISBLANK(AG31)," ",IF(AG31="np",SpecialScores!$C$3,IF(AG31="dnf",SpecialScores!$C$4,MIN(1000,(500*LOG(1+99*AG31/SpecialScores!$E$3))))))</f>
        <v xml:space="preserve"> </v>
      </c>
      <c r="AI31" s="12" t="str">
        <f t="shared" si="25"/>
        <v/>
      </c>
      <c r="AP31" s="49"/>
    </row>
    <row r="32" spans="1:42" x14ac:dyDescent="0.35">
      <c r="A32" s="42"/>
      <c r="E32" s="33" t="str">
        <f t="shared" si="26"/>
        <v xml:space="preserve"> </v>
      </c>
      <c r="F32" s="33" t="str">
        <f t="shared" si="27"/>
        <v xml:space="preserve"> </v>
      </c>
      <c r="G32" s="7" t="str">
        <f t="shared" si="28"/>
        <v xml:space="preserve"> </v>
      </c>
      <c r="H32" s="7" t="str">
        <f t="shared" si="29"/>
        <v xml:space="preserve"> </v>
      </c>
      <c r="I32" s="38"/>
      <c r="J32" s="8" t="str">
        <f>IF(ISBLANK(I32)," ",IF(I32="np",SpecialScores!$C$3,IF(I32="dnf",SpecialScores!$C$4,MIN( 1000+I32/SpecialScores!$E$3*0.0001,(500*LOG(1+99*I32/SpecialScores!$E$3))))))</f>
        <v xml:space="preserve"> </v>
      </c>
      <c r="K32" s="12" t="str">
        <f t="shared" si="17"/>
        <v/>
      </c>
      <c r="L32" s="38"/>
      <c r="M32" s="8" t="str">
        <f>IF(ISBLANK(L32)," ",IF(L32="np",SpecialScores!$C$3,IF(L32="dnf",SpecialScores!$C$4,MIN( 1000+L32/SpecialScores!$H$3*0.0001,(500*LOG(1+99*L32/SpecialScores!$H$3))))))</f>
        <v xml:space="preserve"> </v>
      </c>
      <c r="N32" s="12" t="str">
        <f t="shared" si="18"/>
        <v/>
      </c>
      <c r="O32" s="38"/>
      <c r="P32" s="8" t="str">
        <f>IF(ISBLANK(O32)," ",IF(O32="np",SpecialScores!$C$3,IF(O32="dnf",SpecialScores!$C$4,MIN(1000,(500*LOG(1+99*O32/SpecialScores!$K$3))))))</f>
        <v xml:space="preserve"> </v>
      </c>
      <c r="Q32" s="12" t="str">
        <f t="shared" si="19"/>
        <v/>
      </c>
      <c r="R32" s="38"/>
      <c r="S32" s="8" t="str">
        <f>IF(ISBLANK(R32)," ",IF(R32="np",SpecialScores!$C$3,IF(R32="dnf",SpecialScores!$C$4,      IF(AND(R32&gt;=0,R32&lt;SpecialScores!$O$12), (500*LOG(1+99*R32/SpecialScores!$O$12*SpecialScores!$O$11/SpecialScores!$O$10)),                         MIN((500*LOG(1+99*SpecialScores!$O$11/R32)))))))</f>
        <v xml:space="preserve"> </v>
      </c>
      <c r="T32" s="12" t="str">
        <f t="shared" si="20"/>
        <v/>
      </c>
      <c r="U32" s="38"/>
      <c r="V32" s="8" t="str">
        <f>IF(ISBLANK(U32)," ",IF(U32="np",SpecialScores!$C$3,IF(U32="dnf",SpecialScores!$C$4,MIN((500*LOG(1+99*U32/SpecialScores!$R$3))))))</f>
        <v xml:space="preserve"> </v>
      </c>
      <c r="W32" s="12" t="str">
        <f t="shared" si="21"/>
        <v/>
      </c>
      <c r="X32" s="38"/>
      <c r="Y32" s="8" t="str">
        <f>IF(ISBLANK(X32)," ",IF(X32="np",SpecialScores!$C$3,IF(X32="dnf",SpecialScores!$C$4,MIN( 1000+X32/SpecialScores!$U$3*0.0001,(500*LOG(1+99*X32/SpecialScores!$U$3))))))</f>
        <v xml:space="preserve"> </v>
      </c>
      <c r="Z32" s="12" t="str">
        <f t="shared" si="22"/>
        <v/>
      </c>
      <c r="AA32" s="38"/>
      <c r="AB32" s="8" t="str">
        <f>IF(ISBLANK(AA32)," ",IF(AA32="np",SpecialScores!$C$3,IF(AA32="dnf",SpecialScores!$C$4,      IF(AND(AA32&gt;=0,AA32&lt;SpecialScores!$X$12), (500*LOG(1+99*AA32/SpecialScores!$X$12*SpecialScores!$X$11/SpecialScores!$X$10)),                         MIN((500*LOG(1+99*SpecialScores!$X$11/AA32)))))))</f>
        <v xml:space="preserve"> </v>
      </c>
      <c r="AC32" s="12" t="str">
        <f t="shared" si="23"/>
        <v/>
      </c>
      <c r="AD32" s="38"/>
      <c r="AE32" s="8" t="str">
        <f>IF(ISBLANK(AD32)," ",IF(AD32="np",SpecialScores!$C$3,IF(AD32="dnf",SpecialScores!$C$4,MIN( 1000+AD32/SpecialScores!$AA$5*0.0001,(500*LOG(1+99*AD32/SpecialScores!$AA$5))))))</f>
        <v xml:space="preserve"> </v>
      </c>
      <c r="AF32" s="12" t="str">
        <f t="shared" si="24"/>
        <v/>
      </c>
      <c r="AG32" s="38"/>
      <c r="AH32" s="8" t="str">
        <f>IF(ISBLANK(AG32)," ",IF(AG32="np",SpecialScores!$C$3,IF(AG32="dnf",SpecialScores!$C$4,MIN(1000,(500*LOG(1+99*AG32/SpecialScores!$E$3))))))</f>
        <v xml:space="preserve"> </v>
      </c>
      <c r="AI32" s="12" t="str">
        <f t="shared" si="25"/>
        <v/>
      </c>
      <c r="AP32" s="49"/>
    </row>
    <row r="33" spans="1:42" x14ac:dyDescent="0.35">
      <c r="A33" s="42"/>
      <c r="E33" s="33" t="str">
        <f t="shared" si="26"/>
        <v xml:space="preserve"> </v>
      </c>
      <c r="F33" s="33" t="str">
        <f t="shared" si="27"/>
        <v xml:space="preserve"> </v>
      </c>
      <c r="G33" s="7" t="str">
        <f t="shared" si="28"/>
        <v xml:space="preserve"> </v>
      </c>
      <c r="H33" s="7" t="str">
        <f t="shared" si="29"/>
        <v xml:space="preserve"> </v>
      </c>
      <c r="I33" s="38"/>
      <c r="J33" s="8" t="str">
        <f>IF(ISBLANK(I33)," ",IF(I33="np",SpecialScores!$C$3,IF(I33="dnf",SpecialScores!$C$4,MIN( 1000+I33/SpecialScores!$E$3*0.0001,(500*LOG(1+99*I33/SpecialScores!$E$3))))))</f>
        <v xml:space="preserve"> </v>
      </c>
      <c r="K33" s="12" t="str">
        <f t="shared" si="17"/>
        <v/>
      </c>
      <c r="L33" s="38"/>
      <c r="M33" s="8" t="str">
        <f>IF(ISBLANK(L33)," ",IF(L33="np",SpecialScores!$C$3,IF(L33="dnf",SpecialScores!$C$4,MIN( 1000+L33/SpecialScores!$H$3*0.0001,(500*LOG(1+99*L33/SpecialScores!$H$3))))))</f>
        <v xml:space="preserve"> </v>
      </c>
      <c r="N33" s="12" t="str">
        <f t="shared" si="18"/>
        <v/>
      </c>
      <c r="O33" s="38"/>
      <c r="P33" s="8" t="str">
        <f>IF(ISBLANK(O33)," ",IF(O33="np",SpecialScores!$C$3,IF(O33="dnf",SpecialScores!$C$4,MIN(1000,(500*LOG(1+99*O33/SpecialScores!$K$3))))))</f>
        <v xml:space="preserve"> </v>
      </c>
      <c r="Q33" s="12" t="str">
        <f t="shared" si="19"/>
        <v/>
      </c>
      <c r="R33" s="38"/>
      <c r="S33" s="8" t="str">
        <f>IF(ISBLANK(R33)," ",IF(R33="np",SpecialScores!$C$3,IF(R33="dnf",SpecialScores!$C$4,      IF(AND(R33&gt;=0,R33&lt;SpecialScores!$O$12), (500*LOG(1+99*R33/SpecialScores!$O$12*SpecialScores!$O$11/SpecialScores!$O$10)),                         MIN((500*LOG(1+99*SpecialScores!$O$11/R33)))))))</f>
        <v xml:space="preserve"> </v>
      </c>
      <c r="T33" s="12" t="str">
        <f t="shared" si="20"/>
        <v/>
      </c>
      <c r="U33" s="38"/>
      <c r="V33" s="8" t="str">
        <f>IF(ISBLANK(U33)," ",IF(U33="np",SpecialScores!$C$3,IF(U33="dnf",SpecialScores!$C$4,MIN((500*LOG(1+99*U33/SpecialScores!$R$3))))))</f>
        <v xml:space="preserve"> </v>
      </c>
      <c r="W33" s="12" t="str">
        <f t="shared" si="21"/>
        <v/>
      </c>
      <c r="X33" s="38"/>
      <c r="Y33" s="8" t="str">
        <f>IF(ISBLANK(X33)," ",IF(X33="np",SpecialScores!$C$3,IF(X33="dnf",SpecialScores!$C$4,MIN( 1000+X33/SpecialScores!$U$3*0.0001,(500*LOG(1+99*X33/SpecialScores!$U$3))))))</f>
        <v xml:space="preserve"> </v>
      </c>
      <c r="Z33" s="12" t="str">
        <f t="shared" si="22"/>
        <v/>
      </c>
      <c r="AA33" s="38"/>
      <c r="AB33" s="8" t="str">
        <f>IF(ISBLANK(AA33)," ",IF(AA33="np",SpecialScores!$C$3,IF(AA33="dnf",SpecialScores!$C$4,      IF(AND(AA33&gt;=0,AA33&lt;SpecialScores!$X$12), (500*LOG(1+99*AA33/SpecialScores!$X$12*SpecialScores!$X$11/SpecialScores!$X$10)),                         MIN((500*LOG(1+99*SpecialScores!$X$11/AA33)))))))</f>
        <v xml:space="preserve"> </v>
      </c>
      <c r="AC33" s="12" t="str">
        <f t="shared" si="23"/>
        <v/>
      </c>
      <c r="AD33" s="38"/>
      <c r="AE33" s="8" t="str">
        <f>IF(ISBLANK(AD33)," ",IF(AD33="np",SpecialScores!$C$3,IF(AD33="dnf",SpecialScores!$C$4,MIN( 1000+AD33/SpecialScores!$AA$5*0.0001,(500*LOG(1+99*AD33/SpecialScores!$AA$5))))))</f>
        <v xml:space="preserve"> </v>
      </c>
      <c r="AF33" s="12" t="str">
        <f t="shared" si="24"/>
        <v/>
      </c>
      <c r="AG33" s="38"/>
      <c r="AH33" s="8" t="str">
        <f>IF(ISBLANK(AG33)," ",IF(AG33="np",SpecialScores!$C$3,IF(AG33="dnf",SpecialScores!$C$4,MIN(1000,(500*LOG(1+99*AG33/SpecialScores!$E$3))))))</f>
        <v xml:space="preserve"> </v>
      </c>
      <c r="AI33" s="12" t="str">
        <f t="shared" si="25"/>
        <v/>
      </c>
      <c r="AP33" s="49"/>
    </row>
    <row r="34" spans="1:42" x14ac:dyDescent="0.35">
      <c r="A34" s="42"/>
      <c r="E34" s="33" t="str">
        <f t="shared" si="26"/>
        <v xml:space="preserve"> </v>
      </c>
      <c r="F34" s="33" t="str">
        <f t="shared" si="27"/>
        <v xml:space="preserve"> </v>
      </c>
      <c r="G34" s="7" t="str">
        <f t="shared" si="28"/>
        <v xml:space="preserve"> </v>
      </c>
      <c r="H34" s="7" t="str">
        <f t="shared" si="29"/>
        <v xml:space="preserve"> </v>
      </c>
      <c r="I34" s="38"/>
      <c r="J34" s="8" t="str">
        <f>IF(ISBLANK(I34)," ",IF(I34="np",SpecialScores!$C$3,IF(I34="dnf",SpecialScores!$C$4,MIN( 1000+I34/SpecialScores!$E$3*0.0001,(500*LOG(1+99*I34/SpecialScores!$E$3))))))</f>
        <v xml:space="preserve"> </v>
      </c>
      <c r="K34" s="12" t="str">
        <f t="shared" ref="K34:K58" si="30">IF(ISBLANK(I34),"",  RANK(J34,J$2:J$202,0)+((COUNTIF(J$2:J$202,J34)-1)*0.5) )</f>
        <v/>
      </c>
      <c r="L34" s="38"/>
      <c r="M34" s="8" t="str">
        <f>IF(ISBLANK(L34)," ",IF(L34="np",SpecialScores!$C$3,IF(L34="dnf",SpecialScores!$C$4,MIN( 1000+L34/SpecialScores!$H$3*0.0001,(500*LOG(1+99*L34/SpecialScores!$H$3))))))</f>
        <v xml:space="preserve"> </v>
      </c>
      <c r="N34" s="12" t="str">
        <f t="shared" ref="N34:N58" si="31">IF(ISBLANK(L34),"",  RANK(M34,M$2:M$202,0)+((COUNTIF(M$2:M$202,M34)-1)*0.5) )</f>
        <v/>
      </c>
      <c r="O34" s="38"/>
      <c r="P34" s="8" t="str">
        <f>IF(ISBLANK(O34)," ",IF(O34="np",SpecialScores!$C$3,IF(O34="dnf",SpecialScores!$C$4,MIN(1000,(500*LOG(1+99*O34/SpecialScores!$K$3))))))</f>
        <v xml:space="preserve"> </v>
      </c>
      <c r="Q34" s="12" t="str">
        <f t="shared" ref="Q34:Q58" si="32">IF(ISBLANK(O34),"",  RANK(P34,P$2:P$202,0)+((COUNTIF(P$2:P$202,P34)-1)*0.5) )</f>
        <v/>
      </c>
      <c r="R34" s="38"/>
      <c r="S34" s="8" t="str">
        <f>IF(ISBLANK(R34)," ",IF(R34="np",SpecialScores!$C$3,IF(R34="dnf",SpecialScores!$C$4,      IF(AND(R34&gt;=0,R34&lt;SpecialScores!$O$12), (500*LOG(1+99*R34/SpecialScores!$O$12*SpecialScores!$O$11/SpecialScores!$O$10)),                         MIN((500*LOG(1+99*SpecialScores!$O$11/R34)))))))</f>
        <v xml:space="preserve"> </v>
      </c>
      <c r="T34" s="12" t="str">
        <f t="shared" ref="T34:T58" si="33">IF(ISBLANK(R34),"",  RANK(S34,S$2:S$202,0)+((COUNTIF(S$2:S$202,S34)-1)*0.5) )</f>
        <v/>
      </c>
      <c r="U34" s="38"/>
      <c r="V34" s="8" t="str">
        <f>IF(ISBLANK(U34)," ",IF(U34="np",SpecialScores!$C$3,IF(U34="dnf",SpecialScores!$C$4,MIN((500*LOG(1+99*U34/SpecialScores!$R$3))))))</f>
        <v xml:space="preserve"> </v>
      </c>
      <c r="W34" s="12" t="str">
        <f t="shared" ref="W34:W58" si="34">IF(ISBLANK(U34),"",  RANK(V34,V$2:V$202,0)+((COUNTIF(V$2:V$202,V34)-1)*0.5) )</f>
        <v/>
      </c>
      <c r="X34" s="38"/>
      <c r="Y34" s="8" t="str">
        <f>IF(ISBLANK(X34)," ",IF(X34="np",SpecialScores!$C$3,IF(X34="dnf",SpecialScores!$C$4,MIN( 1000+X34/SpecialScores!$U$3*0.0001,(500*LOG(1+99*X34/SpecialScores!$U$3))))))</f>
        <v xml:space="preserve"> </v>
      </c>
      <c r="Z34" s="12" t="str">
        <f t="shared" ref="Z34:Z58" si="35">IF(ISBLANK(X34),"",  RANK(Y34,Y$2:Y$202,0)+((COUNTIF(Y$2:Y$202,Y34)-1)*0.5) )</f>
        <v/>
      </c>
      <c r="AA34" s="38"/>
      <c r="AB34" s="8" t="str">
        <f>IF(ISBLANK(AA34)," ",IF(AA34="np",SpecialScores!$C$3,IF(AA34="dnf",SpecialScores!$C$4,      IF(AND(AA34&gt;=0,AA34&lt;SpecialScores!$X$12), (500*LOG(1+99*AA34/SpecialScores!$X$12*SpecialScores!$X$11/SpecialScores!$X$10)),                         MIN((500*LOG(1+99*SpecialScores!$X$11/AA34)))))))</f>
        <v xml:space="preserve"> </v>
      </c>
      <c r="AC34" s="12" t="str">
        <f t="shared" ref="AC34:AC58" si="36">IF(ISBLANK(AA34),"",  RANK(AB34,AB$2:AB$202,0)+((COUNTIF(AB$2:AB$202,AB34)-1)*0.5) )</f>
        <v/>
      </c>
      <c r="AD34" s="38"/>
      <c r="AE34" s="8" t="str">
        <f>IF(ISBLANK(AD34)," ",IF(AD34="np",SpecialScores!$C$3,IF(AD34="dnf",SpecialScores!$C$4,MIN( 1000+AD34/SpecialScores!$AA$5*0.0001,(500*LOG(1+99*AD34/SpecialScores!$AA$5))))))</f>
        <v xml:space="preserve"> </v>
      </c>
      <c r="AF34" s="12" t="str">
        <f t="shared" ref="AF34:AF58" si="37">IF(ISBLANK(AD34),"",  RANK(AE34,AE$2:AE$202,0)+((COUNTIF(AE$2:AE$202,AE34)-1)*0.5) )</f>
        <v/>
      </c>
      <c r="AG34" s="38"/>
      <c r="AH34" s="8" t="str">
        <f>IF(ISBLANK(AG34)," ",IF(AG34="np",SpecialScores!$C$3,IF(AG34="dnf",SpecialScores!$C$4,MIN(1000,(500*LOG(1+99*AG34/SpecialScores!$E$3))))))</f>
        <v xml:space="preserve"> </v>
      </c>
      <c r="AI34" s="12" t="str">
        <f t="shared" ref="AI34:AI58" si="38">IF(ISBLANK(AG34),"",  RANK(AH34,AH$2:AH$202,0)+((COUNTIF(AH$2:AH$202,AH34)-1)*0.5) )</f>
        <v/>
      </c>
      <c r="AP34" s="49"/>
    </row>
    <row r="35" spans="1:42" x14ac:dyDescent="0.35">
      <c r="A35" s="42"/>
      <c r="E35" s="33" t="str">
        <f t="shared" si="26"/>
        <v xml:space="preserve"> </v>
      </c>
      <c r="F35" s="33" t="str">
        <f t="shared" si="27"/>
        <v xml:space="preserve"> </v>
      </c>
      <c r="G35" s="7" t="str">
        <f t="shared" si="28"/>
        <v xml:space="preserve"> </v>
      </c>
      <c r="H35" s="7" t="str">
        <f t="shared" si="29"/>
        <v xml:space="preserve"> </v>
      </c>
      <c r="I35" s="38"/>
      <c r="J35" s="8" t="str">
        <f>IF(ISBLANK(I35)," ",IF(I35="np",SpecialScores!$C$3,IF(I35="dnf",SpecialScores!$C$4,MIN( 1000+I35/SpecialScores!$E$3*0.0001,(500*LOG(1+99*I35/SpecialScores!$E$3))))))</f>
        <v xml:space="preserve"> </v>
      </c>
      <c r="K35" s="12" t="str">
        <f t="shared" si="30"/>
        <v/>
      </c>
      <c r="L35" s="38"/>
      <c r="M35" s="8" t="str">
        <f>IF(ISBLANK(L35)," ",IF(L35="np",SpecialScores!$C$3,IF(L35="dnf",SpecialScores!$C$4,MIN( 1000+L35/SpecialScores!$H$3*0.0001,(500*LOG(1+99*L35/SpecialScores!$H$3))))))</f>
        <v xml:space="preserve"> </v>
      </c>
      <c r="N35" s="12" t="str">
        <f t="shared" si="31"/>
        <v/>
      </c>
      <c r="O35" s="38"/>
      <c r="P35" s="8" t="str">
        <f>IF(ISBLANK(O35)," ",IF(O35="np",SpecialScores!$C$3,IF(O35="dnf",SpecialScores!$C$4,MIN(1000,(500*LOG(1+99*O35/SpecialScores!$K$3))))))</f>
        <v xml:space="preserve"> </v>
      </c>
      <c r="Q35" s="12" t="str">
        <f t="shared" si="32"/>
        <v/>
      </c>
      <c r="R35" s="38"/>
      <c r="S35" s="8" t="str">
        <f>IF(ISBLANK(R35)," ",IF(R35="np",SpecialScores!$C$3,IF(R35="dnf",SpecialScores!$C$4,      IF(AND(R35&gt;=0,R35&lt;SpecialScores!$O$12), (500*LOG(1+99*R35/SpecialScores!$O$12*SpecialScores!$O$11/SpecialScores!$O$10)),                         MIN((500*LOG(1+99*SpecialScores!$O$11/R35)))))))</f>
        <v xml:space="preserve"> </v>
      </c>
      <c r="T35" s="12" t="str">
        <f t="shared" si="33"/>
        <v/>
      </c>
      <c r="U35" s="38"/>
      <c r="V35" s="8" t="str">
        <f>IF(ISBLANK(U35)," ",IF(U35="np",SpecialScores!$C$3,IF(U35="dnf",SpecialScores!$C$4,MIN((500*LOG(1+99*U35/SpecialScores!$R$3))))))</f>
        <v xml:space="preserve"> </v>
      </c>
      <c r="W35" s="12" t="str">
        <f t="shared" si="34"/>
        <v/>
      </c>
      <c r="X35" s="38"/>
      <c r="Y35" s="8" t="str">
        <f>IF(ISBLANK(X35)," ",IF(X35="np",SpecialScores!$C$3,IF(X35="dnf",SpecialScores!$C$4,MIN( 1000+X35/SpecialScores!$U$3*0.0001,(500*LOG(1+99*X35/SpecialScores!$U$3))))))</f>
        <v xml:space="preserve"> </v>
      </c>
      <c r="Z35" s="12" t="str">
        <f t="shared" si="35"/>
        <v/>
      </c>
      <c r="AA35" s="38"/>
      <c r="AB35" s="8" t="str">
        <f>IF(ISBLANK(AA35)," ",IF(AA35="np",SpecialScores!$C$3,IF(AA35="dnf",SpecialScores!$C$4,      IF(AND(AA35&gt;=0,AA35&lt;SpecialScores!$X$12), (500*LOG(1+99*AA35/SpecialScores!$X$12*SpecialScores!$X$11/SpecialScores!$X$10)),                         MIN((500*LOG(1+99*SpecialScores!$X$11/AA35)))))))</f>
        <v xml:space="preserve"> </v>
      </c>
      <c r="AC35" s="12" t="str">
        <f t="shared" si="36"/>
        <v/>
      </c>
      <c r="AD35" s="38"/>
      <c r="AE35" s="8" t="str">
        <f>IF(ISBLANK(AD35)," ",IF(AD35="np",SpecialScores!$C$3,IF(AD35="dnf",SpecialScores!$C$4,MIN( 1000+AD35/SpecialScores!$AA$5*0.0001,(500*LOG(1+99*AD35/SpecialScores!$AA$5))))))</f>
        <v xml:space="preserve"> </v>
      </c>
      <c r="AF35" s="12" t="str">
        <f t="shared" si="37"/>
        <v/>
      </c>
      <c r="AG35" s="38"/>
      <c r="AH35" s="8" t="str">
        <f>IF(ISBLANK(AG35)," ",IF(AG35="np",SpecialScores!$C$3,IF(AG35="dnf",SpecialScores!$C$4,MIN(1000,(500*LOG(1+99*AG35/SpecialScores!$E$3))))))</f>
        <v xml:space="preserve"> </v>
      </c>
      <c r="AI35" s="12" t="str">
        <f t="shared" si="38"/>
        <v/>
      </c>
      <c r="AP35" s="49"/>
    </row>
    <row r="36" spans="1:42" x14ac:dyDescent="0.35">
      <c r="A36" s="42"/>
      <c r="E36" s="33" t="str">
        <f t="shared" si="26"/>
        <v xml:space="preserve"> </v>
      </c>
      <c r="F36" s="33" t="str">
        <f t="shared" si="27"/>
        <v xml:space="preserve"> </v>
      </c>
      <c r="G36" s="7" t="str">
        <f t="shared" si="28"/>
        <v xml:space="preserve"> </v>
      </c>
      <c r="H36" s="7" t="str">
        <f t="shared" si="29"/>
        <v xml:space="preserve"> </v>
      </c>
      <c r="I36" s="38"/>
      <c r="J36" s="8" t="str">
        <f>IF(ISBLANK(I36)," ",IF(I36="np",SpecialScores!$C$3,IF(I36="dnf",SpecialScores!$C$4,MIN( 1000+I36/SpecialScores!$E$3*0.0001,(500*LOG(1+99*I36/SpecialScores!$E$3))))))</f>
        <v xml:space="preserve"> </v>
      </c>
      <c r="K36" s="12" t="str">
        <f t="shared" si="30"/>
        <v/>
      </c>
      <c r="L36" s="38"/>
      <c r="M36" s="8" t="str">
        <f>IF(ISBLANK(L36)," ",IF(L36="np",SpecialScores!$C$3,IF(L36="dnf",SpecialScores!$C$4,MIN( 1000+L36/SpecialScores!$H$3*0.0001,(500*LOG(1+99*L36/SpecialScores!$H$3))))))</f>
        <v xml:space="preserve"> </v>
      </c>
      <c r="N36" s="12" t="str">
        <f t="shared" si="31"/>
        <v/>
      </c>
      <c r="O36" s="38"/>
      <c r="P36" s="8" t="str">
        <f>IF(ISBLANK(O36)," ",IF(O36="np",SpecialScores!$C$3,IF(O36="dnf",SpecialScores!$C$4,MIN(1000,(500*LOG(1+99*O36/SpecialScores!$K$3))))))</f>
        <v xml:space="preserve"> </v>
      </c>
      <c r="Q36" s="12" t="str">
        <f t="shared" si="32"/>
        <v/>
      </c>
      <c r="R36" s="38"/>
      <c r="S36" s="8" t="str">
        <f>IF(ISBLANK(R36)," ",IF(R36="np",SpecialScores!$C$3,IF(R36="dnf",SpecialScores!$C$4,      IF(AND(R36&gt;=0,R36&lt;SpecialScores!$O$12), (500*LOG(1+99*R36/SpecialScores!$O$12*SpecialScores!$O$11/SpecialScores!$O$10)),                         MIN((500*LOG(1+99*SpecialScores!$O$11/R36)))))))</f>
        <v xml:space="preserve"> </v>
      </c>
      <c r="T36" s="12" t="str">
        <f t="shared" si="33"/>
        <v/>
      </c>
      <c r="U36" s="38"/>
      <c r="V36" s="8" t="str">
        <f>IF(ISBLANK(U36)," ",IF(U36="np",SpecialScores!$C$3,IF(U36="dnf",SpecialScores!$C$4,MIN((500*LOG(1+99*U36/SpecialScores!$R$3))))))</f>
        <v xml:space="preserve"> </v>
      </c>
      <c r="W36" s="12" t="str">
        <f t="shared" si="34"/>
        <v/>
      </c>
      <c r="X36" s="38"/>
      <c r="Y36" s="8" t="str">
        <f>IF(ISBLANK(X36)," ",IF(X36="np",SpecialScores!$C$3,IF(X36="dnf",SpecialScores!$C$4,MIN( 1000+X36/SpecialScores!$U$3*0.0001,(500*LOG(1+99*X36/SpecialScores!$U$3))))))</f>
        <v xml:space="preserve"> </v>
      </c>
      <c r="Z36" s="12" t="str">
        <f t="shared" si="35"/>
        <v/>
      </c>
      <c r="AA36" s="38"/>
      <c r="AB36" s="8" t="str">
        <f>IF(ISBLANK(AA36)," ",IF(AA36="np",SpecialScores!$C$3,IF(AA36="dnf",SpecialScores!$C$4,      IF(AND(AA36&gt;=0,AA36&lt;SpecialScores!$X$12), (500*LOG(1+99*AA36/SpecialScores!$X$12*SpecialScores!$X$11/SpecialScores!$X$10)),                         MIN((500*LOG(1+99*SpecialScores!$X$11/AA36)))))))</f>
        <v xml:space="preserve"> </v>
      </c>
      <c r="AC36" s="12" t="str">
        <f t="shared" si="36"/>
        <v/>
      </c>
      <c r="AD36" s="38"/>
      <c r="AE36" s="8" t="str">
        <f>IF(ISBLANK(AD36)," ",IF(AD36="np",SpecialScores!$C$3,IF(AD36="dnf",SpecialScores!$C$4,MIN( 1000+AD36/SpecialScores!$AA$5*0.0001,(500*LOG(1+99*AD36/SpecialScores!$AA$5))))))</f>
        <v xml:space="preserve"> </v>
      </c>
      <c r="AF36" s="12" t="str">
        <f t="shared" si="37"/>
        <v/>
      </c>
      <c r="AG36" s="38"/>
      <c r="AH36" s="8" t="str">
        <f>IF(ISBLANK(AG36)," ",IF(AG36="np",SpecialScores!$C$3,IF(AG36="dnf",SpecialScores!$C$4,MIN(1000,(500*LOG(1+99*AG36/SpecialScores!$E$3))))))</f>
        <v xml:space="preserve"> </v>
      </c>
      <c r="AI36" s="12" t="str">
        <f t="shared" si="38"/>
        <v/>
      </c>
      <c r="AP36" s="49"/>
    </row>
    <row r="37" spans="1:42" x14ac:dyDescent="0.35">
      <c r="A37" s="42"/>
      <c r="E37" s="33" t="str">
        <f t="shared" si="26"/>
        <v xml:space="preserve"> </v>
      </c>
      <c r="F37" s="33" t="str">
        <f t="shared" si="27"/>
        <v xml:space="preserve"> </v>
      </c>
      <c r="G37" s="7" t="str">
        <f t="shared" si="28"/>
        <v xml:space="preserve"> </v>
      </c>
      <c r="H37" s="7" t="str">
        <f t="shared" si="29"/>
        <v xml:space="preserve"> </v>
      </c>
      <c r="I37" s="38"/>
      <c r="J37" s="8" t="str">
        <f>IF(ISBLANK(I37)," ",IF(I37="np",SpecialScores!$C$3,IF(I37="dnf",SpecialScores!$C$4,MIN( 1000+I37/SpecialScores!$E$3*0.0001,(500*LOG(1+99*I37/SpecialScores!$E$3))))))</f>
        <v xml:space="preserve"> </v>
      </c>
      <c r="K37" s="12" t="str">
        <f t="shared" si="30"/>
        <v/>
      </c>
      <c r="L37" s="38"/>
      <c r="M37" s="8" t="str">
        <f>IF(ISBLANK(L37)," ",IF(L37="np",SpecialScores!$C$3,IF(L37="dnf",SpecialScores!$C$4,MIN( 1000+L37/SpecialScores!$H$3*0.0001,(500*LOG(1+99*L37/SpecialScores!$H$3))))))</f>
        <v xml:space="preserve"> </v>
      </c>
      <c r="N37" s="12" t="str">
        <f t="shared" si="31"/>
        <v/>
      </c>
      <c r="O37" s="38"/>
      <c r="P37" s="8" t="str">
        <f>IF(ISBLANK(O37)," ",IF(O37="np",SpecialScores!$C$3,IF(O37="dnf",SpecialScores!$C$4,MIN(1000,(500*LOG(1+99*O37/SpecialScores!$K$3))))))</f>
        <v xml:space="preserve"> </v>
      </c>
      <c r="Q37" s="12" t="str">
        <f t="shared" si="32"/>
        <v/>
      </c>
      <c r="R37" s="38"/>
      <c r="S37" s="8" t="str">
        <f>IF(ISBLANK(R37)," ",IF(R37="np",SpecialScores!$C$3,IF(R37="dnf",SpecialScores!$C$4,      IF(AND(R37&gt;=0,R37&lt;SpecialScores!$O$12), (500*LOG(1+99*R37/SpecialScores!$O$12*SpecialScores!$O$11/SpecialScores!$O$10)),                         MIN((500*LOG(1+99*SpecialScores!$O$11/R37)))))))</f>
        <v xml:space="preserve"> </v>
      </c>
      <c r="T37" s="12" t="str">
        <f t="shared" si="33"/>
        <v/>
      </c>
      <c r="U37" s="38"/>
      <c r="V37" s="8" t="str">
        <f>IF(ISBLANK(U37)," ",IF(U37="np",SpecialScores!$C$3,IF(U37="dnf",SpecialScores!$C$4,MIN((500*LOG(1+99*U37/SpecialScores!$R$3))))))</f>
        <v xml:space="preserve"> </v>
      </c>
      <c r="W37" s="12" t="str">
        <f t="shared" si="34"/>
        <v/>
      </c>
      <c r="X37" s="38"/>
      <c r="Y37" s="8" t="str">
        <f>IF(ISBLANK(X37)," ",IF(X37="np",SpecialScores!$C$3,IF(X37="dnf",SpecialScores!$C$4,MIN( 1000+X37/SpecialScores!$U$3*0.0001,(500*LOG(1+99*X37/SpecialScores!$U$3))))))</f>
        <v xml:space="preserve"> </v>
      </c>
      <c r="Z37" s="12" t="str">
        <f t="shared" si="35"/>
        <v/>
      </c>
      <c r="AA37" s="38"/>
      <c r="AB37" s="8" t="str">
        <f>IF(ISBLANK(AA37)," ",IF(AA37="np",SpecialScores!$C$3,IF(AA37="dnf",SpecialScores!$C$4,      IF(AND(AA37&gt;=0,AA37&lt;SpecialScores!$X$12), (500*LOG(1+99*AA37/SpecialScores!$X$12*SpecialScores!$X$11/SpecialScores!$X$10)),                         MIN((500*LOG(1+99*SpecialScores!$X$11/AA37)))))))</f>
        <v xml:space="preserve"> </v>
      </c>
      <c r="AC37" s="12" t="str">
        <f t="shared" si="36"/>
        <v/>
      </c>
      <c r="AD37" s="38"/>
      <c r="AE37" s="8" t="str">
        <f>IF(ISBLANK(AD37)," ",IF(AD37="np",SpecialScores!$C$3,IF(AD37="dnf",SpecialScores!$C$4,MIN( 1000+AD37/SpecialScores!$AA$5*0.0001,(500*LOG(1+99*AD37/SpecialScores!$AA$5))))))</f>
        <v xml:space="preserve"> </v>
      </c>
      <c r="AF37" s="12" t="str">
        <f t="shared" si="37"/>
        <v/>
      </c>
      <c r="AG37" s="38"/>
      <c r="AH37" s="8" t="str">
        <f>IF(ISBLANK(AG37)," ",IF(AG37="np",SpecialScores!$C$3,IF(AG37="dnf",SpecialScores!$C$4,MIN(1000,(500*LOG(1+99*AG37/SpecialScores!$E$3))))))</f>
        <v xml:space="preserve"> </v>
      </c>
      <c r="AI37" s="12" t="str">
        <f t="shared" si="38"/>
        <v/>
      </c>
      <c r="AP37" s="49"/>
    </row>
    <row r="38" spans="1:42" x14ac:dyDescent="0.35">
      <c r="A38" s="42"/>
      <c r="E38" s="33" t="str">
        <f t="shared" si="26"/>
        <v xml:space="preserve"> </v>
      </c>
      <c r="F38" s="33" t="str">
        <f t="shared" si="27"/>
        <v xml:space="preserve"> </v>
      </c>
      <c r="G38" s="7" t="str">
        <f t="shared" si="28"/>
        <v xml:space="preserve"> </v>
      </c>
      <c r="H38" s="7" t="str">
        <f t="shared" si="29"/>
        <v xml:space="preserve"> </v>
      </c>
      <c r="I38" s="38"/>
      <c r="J38" s="8" t="str">
        <f>IF(ISBLANK(I38)," ",IF(I38="np",SpecialScores!$C$3,IF(I38="dnf",SpecialScores!$C$4,MIN( 1000+I38/SpecialScores!$E$3*0.0001,(500*LOG(1+99*I38/SpecialScores!$E$3))))))</f>
        <v xml:space="preserve"> </v>
      </c>
      <c r="K38" s="12" t="str">
        <f t="shared" si="30"/>
        <v/>
      </c>
      <c r="L38" s="38"/>
      <c r="M38" s="8" t="str">
        <f>IF(ISBLANK(L38)," ",IF(L38="np",SpecialScores!$C$3,IF(L38="dnf",SpecialScores!$C$4,MIN( 1000+L38/SpecialScores!$H$3*0.0001,(500*LOG(1+99*L38/SpecialScores!$H$3))))))</f>
        <v xml:space="preserve"> </v>
      </c>
      <c r="N38" s="12" t="str">
        <f t="shared" si="31"/>
        <v/>
      </c>
      <c r="O38" s="38"/>
      <c r="P38" s="8" t="str">
        <f>IF(ISBLANK(O38)," ",IF(O38="np",SpecialScores!$C$3,IF(O38="dnf",SpecialScores!$C$4,MIN(1000,(500*LOG(1+99*O38/SpecialScores!$K$3))))))</f>
        <v xml:space="preserve"> </v>
      </c>
      <c r="Q38" s="12" t="str">
        <f t="shared" si="32"/>
        <v/>
      </c>
      <c r="R38" s="38"/>
      <c r="S38" s="8" t="str">
        <f>IF(ISBLANK(R38)," ",IF(R38="np",SpecialScores!$C$3,IF(R38="dnf",SpecialScores!$C$4,      IF(AND(R38&gt;=0,R38&lt;SpecialScores!$O$12), (500*LOG(1+99*R38/SpecialScores!$O$12*SpecialScores!$O$11/SpecialScores!$O$10)),                         MIN((500*LOG(1+99*SpecialScores!$O$11/R38)))))))</f>
        <v xml:space="preserve"> </v>
      </c>
      <c r="T38" s="12" t="str">
        <f t="shared" si="33"/>
        <v/>
      </c>
      <c r="U38" s="38"/>
      <c r="V38" s="8" t="str">
        <f>IF(ISBLANK(U38)," ",IF(U38="np",SpecialScores!$C$3,IF(U38="dnf",SpecialScores!$C$4,MIN((500*LOG(1+99*U38/SpecialScores!$R$3))))))</f>
        <v xml:space="preserve"> </v>
      </c>
      <c r="W38" s="12" t="str">
        <f t="shared" si="34"/>
        <v/>
      </c>
      <c r="X38" s="38"/>
      <c r="Y38" s="8" t="str">
        <f>IF(ISBLANK(X38)," ",IF(X38="np",SpecialScores!$C$3,IF(X38="dnf",SpecialScores!$C$4,MIN( 1000+X38/SpecialScores!$U$3*0.0001,(500*LOG(1+99*X38/SpecialScores!$U$3))))))</f>
        <v xml:space="preserve"> </v>
      </c>
      <c r="Z38" s="12" t="str">
        <f t="shared" si="35"/>
        <v/>
      </c>
      <c r="AA38" s="38"/>
      <c r="AB38" s="8" t="str">
        <f>IF(ISBLANK(AA38)," ",IF(AA38="np",SpecialScores!$C$3,IF(AA38="dnf",SpecialScores!$C$4,      IF(AND(AA38&gt;=0,AA38&lt;SpecialScores!$X$12), (500*LOG(1+99*AA38/SpecialScores!$X$12*SpecialScores!$X$11/SpecialScores!$X$10)),                         MIN((500*LOG(1+99*SpecialScores!$X$11/AA38)))))))</f>
        <v xml:space="preserve"> </v>
      </c>
      <c r="AC38" s="12" t="str">
        <f t="shared" si="36"/>
        <v/>
      </c>
      <c r="AD38" s="38"/>
      <c r="AE38" s="8" t="str">
        <f>IF(ISBLANK(AD38)," ",IF(AD38="np",SpecialScores!$C$3,IF(AD38="dnf",SpecialScores!$C$4,MIN( 1000+AD38/SpecialScores!$AA$5*0.0001,(500*LOG(1+99*AD38/SpecialScores!$AA$5))))))</f>
        <v xml:space="preserve"> </v>
      </c>
      <c r="AF38" s="12" t="str">
        <f t="shared" si="37"/>
        <v/>
      </c>
      <c r="AG38" s="38"/>
      <c r="AH38" s="8" t="str">
        <f>IF(ISBLANK(AG38)," ",IF(AG38="np",SpecialScores!$C$3,IF(AG38="dnf",SpecialScores!$C$4,MIN(1000,(500*LOG(1+99*AG38/SpecialScores!$E$3))))))</f>
        <v xml:space="preserve"> </v>
      </c>
      <c r="AI38" s="12" t="str">
        <f t="shared" si="38"/>
        <v/>
      </c>
      <c r="AP38" s="49"/>
    </row>
    <row r="39" spans="1:42" x14ac:dyDescent="0.35">
      <c r="A39" s="42"/>
      <c r="E39" s="33" t="str">
        <f t="shared" si="26"/>
        <v xml:space="preserve"> </v>
      </c>
      <c r="F39" s="33" t="str">
        <f t="shared" si="27"/>
        <v xml:space="preserve"> </v>
      </c>
      <c r="G39" s="7" t="str">
        <f t="shared" si="28"/>
        <v xml:space="preserve"> </v>
      </c>
      <c r="H39" s="7" t="str">
        <f t="shared" si="29"/>
        <v xml:space="preserve"> </v>
      </c>
      <c r="I39" s="38"/>
      <c r="J39" s="8" t="str">
        <f>IF(ISBLANK(I39)," ",IF(I39="np",SpecialScores!$C$3,IF(I39="dnf",SpecialScores!$C$4,MIN( 1000+I39/SpecialScores!$E$3*0.0001,(500*LOG(1+99*I39/SpecialScores!$E$3))))))</f>
        <v xml:space="preserve"> </v>
      </c>
      <c r="K39" s="12" t="str">
        <f t="shared" si="30"/>
        <v/>
      </c>
      <c r="L39" s="38"/>
      <c r="M39" s="8" t="str">
        <f>IF(ISBLANK(L39)," ",IF(L39="np",SpecialScores!$C$3,IF(L39="dnf",SpecialScores!$C$4,MIN( 1000+L39/SpecialScores!$H$3*0.0001,(500*LOG(1+99*L39/SpecialScores!$H$3))))))</f>
        <v xml:space="preserve"> </v>
      </c>
      <c r="N39" s="12" t="str">
        <f t="shared" si="31"/>
        <v/>
      </c>
      <c r="O39" s="38"/>
      <c r="P39" s="8" t="str">
        <f>IF(ISBLANK(O39)," ",IF(O39="np",SpecialScores!$C$3,IF(O39="dnf",SpecialScores!$C$4,MIN(1000,(500*LOG(1+99*O39/SpecialScores!$K$3))))))</f>
        <v xml:space="preserve"> </v>
      </c>
      <c r="Q39" s="12" t="str">
        <f t="shared" si="32"/>
        <v/>
      </c>
      <c r="R39" s="38"/>
      <c r="S39" s="8" t="str">
        <f>IF(ISBLANK(R39)," ",IF(R39="np",SpecialScores!$C$3,IF(R39="dnf",SpecialScores!$C$4,      IF(AND(R39&gt;=0,R39&lt;SpecialScores!$O$12), (500*LOG(1+99*R39/SpecialScores!$O$12*SpecialScores!$O$11/SpecialScores!$O$10)),                         MIN((500*LOG(1+99*SpecialScores!$O$11/R39)))))))</f>
        <v xml:space="preserve"> </v>
      </c>
      <c r="T39" s="12" t="str">
        <f t="shared" si="33"/>
        <v/>
      </c>
      <c r="U39" s="38"/>
      <c r="V39" s="8" t="str">
        <f>IF(ISBLANK(U39)," ",IF(U39="np",SpecialScores!$C$3,IF(U39="dnf",SpecialScores!$C$4,MIN((500*LOG(1+99*U39/SpecialScores!$R$3))))))</f>
        <v xml:space="preserve"> </v>
      </c>
      <c r="W39" s="12" t="str">
        <f t="shared" si="34"/>
        <v/>
      </c>
      <c r="X39" s="38"/>
      <c r="Y39" s="8" t="str">
        <f>IF(ISBLANK(X39)," ",IF(X39="np",SpecialScores!$C$3,IF(X39="dnf",SpecialScores!$C$4,MIN( 1000+X39/SpecialScores!$U$3*0.0001,(500*LOG(1+99*X39/SpecialScores!$U$3))))))</f>
        <v xml:space="preserve"> </v>
      </c>
      <c r="Z39" s="12" t="str">
        <f t="shared" si="35"/>
        <v/>
      </c>
      <c r="AA39" s="38"/>
      <c r="AB39" s="8" t="str">
        <f>IF(ISBLANK(AA39)," ",IF(AA39="np",SpecialScores!$C$3,IF(AA39="dnf",SpecialScores!$C$4,      IF(AND(AA39&gt;=0,AA39&lt;SpecialScores!$X$12), (500*LOG(1+99*AA39/SpecialScores!$X$12*SpecialScores!$X$11/SpecialScores!$X$10)),                         MIN((500*LOG(1+99*SpecialScores!$X$11/AA39)))))))</f>
        <v xml:space="preserve"> </v>
      </c>
      <c r="AC39" s="12" t="str">
        <f t="shared" si="36"/>
        <v/>
      </c>
      <c r="AD39" s="38"/>
      <c r="AE39" s="8" t="str">
        <f>IF(ISBLANK(AD39)," ",IF(AD39="np",SpecialScores!$C$3,IF(AD39="dnf",SpecialScores!$C$4,MIN( 1000+AD39/SpecialScores!$AA$5*0.0001,(500*LOG(1+99*AD39/SpecialScores!$AA$5))))))</f>
        <v xml:space="preserve"> </v>
      </c>
      <c r="AF39" s="12" t="str">
        <f t="shared" si="37"/>
        <v/>
      </c>
      <c r="AG39" s="38"/>
      <c r="AH39" s="8" t="str">
        <f>IF(ISBLANK(AG39)," ",IF(AG39="np",SpecialScores!$C$3,IF(AG39="dnf",SpecialScores!$C$4,MIN(1000,(500*LOG(1+99*AG39/SpecialScores!$E$3))))))</f>
        <v xml:space="preserve"> </v>
      </c>
      <c r="AI39" s="12" t="str">
        <f t="shared" si="38"/>
        <v/>
      </c>
      <c r="AP39" s="49"/>
    </row>
    <row r="40" spans="1:42" x14ac:dyDescent="0.35">
      <c r="A40" s="42"/>
      <c r="E40" s="33" t="str">
        <f t="shared" si="26"/>
        <v xml:space="preserve"> </v>
      </c>
      <c r="F40" s="33" t="str">
        <f t="shared" si="27"/>
        <v xml:space="preserve"> </v>
      </c>
      <c r="G40" s="7" t="str">
        <f t="shared" si="28"/>
        <v xml:space="preserve"> </v>
      </c>
      <c r="H40" s="7" t="str">
        <f t="shared" si="29"/>
        <v xml:space="preserve"> </v>
      </c>
      <c r="I40" s="38"/>
      <c r="J40" s="8" t="str">
        <f>IF(ISBLANK(I40)," ",IF(I40="np",SpecialScores!$C$3,IF(I40="dnf",SpecialScores!$C$4,MIN( 1000+I40/SpecialScores!$E$3*0.0001,(500*LOG(1+99*I40/SpecialScores!$E$3))))))</f>
        <v xml:space="preserve"> </v>
      </c>
      <c r="K40" s="12" t="str">
        <f t="shared" si="30"/>
        <v/>
      </c>
      <c r="L40" s="38"/>
      <c r="M40" s="8" t="str">
        <f>IF(ISBLANK(L40)," ",IF(L40="np",SpecialScores!$C$3,IF(L40="dnf",SpecialScores!$C$4,MIN( 1000+L40/SpecialScores!$H$3*0.0001,(500*LOG(1+99*L40/SpecialScores!$H$3))))))</f>
        <v xml:space="preserve"> </v>
      </c>
      <c r="N40" s="12" t="str">
        <f t="shared" si="31"/>
        <v/>
      </c>
      <c r="O40" s="38"/>
      <c r="P40" s="8" t="str">
        <f>IF(ISBLANK(O40)," ",IF(O40="np",SpecialScores!$C$3,IF(O40="dnf",SpecialScores!$C$4,MIN(1000,(500*LOG(1+99*O40/SpecialScores!$K$3))))))</f>
        <v xml:space="preserve"> </v>
      </c>
      <c r="Q40" s="12" t="str">
        <f t="shared" si="32"/>
        <v/>
      </c>
      <c r="R40" s="38"/>
      <c r="S40" s="8" t="str">
        <f>IF(ISBLANK(R40)," ",IF(R40="np",SpecialScores!$C$3,IF(R40="dnf",SpecialScores!$C$4,      IF(AND(R40&gt;=0,R40&lt;SpecialScores!$O$12), (500*LOG(1+99*R40/SpecialScores!$O$12*SpecialScores!$O$11/SpecialScores!$O$10)),                         MIN((500*LOG(1+99*SpecialScores!$O$11/R40)))))))</f>
        <v xml:space="preserve"> </v>
      </c>
      <c r="T40" s="12" t="str">
        <f t="shared" si="33"/>
        <v/>
      </c>
      <c r="U40" s="38"/>
      <c r="V40" s="8" t="str">
        <f>IF(ISBLANK(U40)," ",IF(U40="np",SpecialScores!$C$3,IF(U40="dnf",SpecialScores!$C$4,MIN((500*LOG(1+99*U40/SpecialScores!$R$3))))))</f>
        <v xml:space="preserve"> </v>
      </c>
      <c r="W40" s="12" t="str">
        <f t="shared" si="34"/>
        <v/>
      </c>
      <c r="X40" s="38"/>
      <c r="Y40" s="8" t="str">
        <f>IF(ISBLANK(X40)," ",IF(X40="np",SpecialScores!$C$3,IF(X40="dnf",SpecialScores!$C$4,MIN( 1000+X40/SpecialScores!$U$3*0.0001,(500*LOG(1+99*X40/SpecialScores!$U$3))))))</f>
        <v xml:space="preserve"> </v>
      </c>
      <c r="Z40" s="12" t="str">
        <f t="shared" si="35"/>
        <v/>
      </c>
      <c r="AA40" s="38"/>
      <c r="AB40" s="8" t="str">
        <f>IF(ISBLANK(AA40)," ",IF(AA40="np",SpecialScores!$C$3,IF(AA40="dnf",SpecialScores!$C$4,      IF(AND(AA40&gt;=0,AA40&lt;SpecialScores!$X$12), (500*LOG(1+99*AA40/SpecialScores!$X$12*SpecialScores!$X$11/SpecialScores!$X$10)),                         MIN((500*LOG(1+99*SpecialScores!$X$11/AA40)))))))</f>
        <v xml:space="preserve"> </v>
      </c>
      <c r="AC40" s="12" t="str">
        <f t="shared" si="36"/>
        <v/>
      </c>
      <c r="AD40" s="38"/>
      <c r="AE40" s="8" t="str">
        <f>IF(ISBLANK(AD40)," ",IF(AD40="np",SpecialScores!$C$3,IF(AD40="dnf",SpecialScores!$C$4,MIN( 1000+AD40/SpecialScores!$AA$5*0.0001,(500*LOG(1+99*AD40/SpecialScores!$AA$5))))))</f>
        <v xml:space="preserve"> </v>
      </c>
      <c r="AF40" s="12" t="str">
        <f t="shared" si="37"/>
        <v/>
      </c>
      <c r="AG40" s="38"/>
      <c r="AH40" s="8" t="str">
        <f>IF(ISBLANK(AG40)," ",IF(AG40="np",SpecialScores!$C$3,IF(AG40="dnf",SpecialScores!$C$4,MIN(1000,(500*LOG(1+99*AG40/SpecialScores!$E$3))))))</f>
        <v xml:space="preserve"> </v>
      </c>
      <c r="AI40" s="12" t="str">
        <f t="shared" si="38"/>
        <v/>
      </c>
      <c r="AP40" s="49"/>
    </row>
    <row r="41" spans="1:42" x14ac:dyDescent="0.35">
      <c r="A41" s="42"/>
      <c r="E41" s="33" t="str">
        <f t="shared" si="26"/>
        <v xml:space="preserve"> </v>
      </c>
      <c r="F41" s="33" t="str">
        <f t="shared" si="27"/>
        <v xml:space="preserve"> </v>
      </c>
      <c r="G41" s="7" t="str">
        <f t="shared" si="28"/>
        <v xml:space="preserve"> </v>
      </c>
      <c r="H41" s="7" t="str">
        <f t="shared" si="29"/>
        <v xml:space="preserve"> </v>
      </c>
      <c r="I41" s="38"/>
      <c r="J41" s="8" t="str">
        <f>IF(ISBLANK(I41)," ",IF(I41="np",SpecialScores!$C$3,IF(I41="dnf",SpecialScores!$C$4,MIN( 1000+I41/SpecialScores!$E$3*0.0001,(500*LOG(1+99*I41/SpecialScores!$E$3))))))</f>
        <v xml:space="preserve"> </v>
      </c>
      <c r="K41" s="12" t="str">
        <f t="shared" si="30"/>
        <v/>
      </c>
      <c r="L41" s="38"/>
      <c r="M41" s="8" t="str">
        <f>IF(ISBLANK(L41)," ",IF(L41="np",SpecialScores!$C$3,IF(L41="dnf",SpecialScores!$C$4,MIN( 1000+L41/SpecialScores!$H$3*0.0001,(500*LOG(1+99*L41/SpecialScores!$H$3))))))</f>
        <v xml:space="preserve"> </v>
      </c>
      <c r="N41" s="12" t="str">
        <f t="shared" si="31"/>
        <v/>
      </c>
      <c r="O41" s="38"/>
      <c r="P41" s="8" t="str">
        <f>IF(ISBLANK(O41)," ",IF(O41="np",SpecialScores!$C$3,IF(O41="dnf",SpecialScores!$C$4,MIN(1000,(500*LOG(1+99*O41/SpecialScores!$K$3))))))</f>
        <v xml:space="preserve"> </v>
      </c>
      <c r="Q41" s="12" t="str">
        <f t="shared" si="32"/>
        <v/>
      </c>
      <c r="R41" s="38"/>
      <c r="S41" s="8" t="str">
        <f>IF(ISBLANK(R41)," ",IF(R41="np",SpecialScores!$C$3,IF(R41="dnf",SpecialScores!$C$4,      IF(AND(R41&gt;=0,R41&lt;SpecialScores!$O$12), (500*LOG(1+99*R41/SpecialScores!$O$12*SpecialScores!$O$11/SpecialScores!$O$10)),                         MIN((500*LOG(1+99*SpecialScores!$O$11/R41)))))))</f>
        <v xml:space="preserve"> </v>
      </c>
      <c r="T41" s="12" t="str">
        <f t="shared" si="33"/>
        <v/>
      </c>
      <c r="U41" s="38"/>
      <c r="V41" s="8" t="str">
        <f>IF(ISBLANK(U41)," ",IF(U41="np",SpecialScores!$C$3,IF(U41="dnf",SpecialScores!$C$4,MIN((500*LOG(1+99*U41/SpecialScores!$R$3))))))</f>
        <v xml:space="preserve"> </v>
      </c>
      <c r="W41" s="12" t="str">
        <f t="shared" si="34"/>
        <v/>
      </c>
      <c r="X41" s="38"/>
      <c r="Y41" s="8" t="str">
        <f>IF(ISBLANK(X41)," ",IF(X41="np",SpecialScores!$C$3,IF(X41="dnf",SpecialScores!$C$4,MIN( 1000+X41/SpecialScores!$U$3*0.0001,(500*LOG(1+99*X41/SpecialScores!$U$3))))))</f>
        <v xml:space="preserve"> </v>
      </c>
      <c r="Z41" s="12" t="str">
        <f t="shared" si="35"/>
        <v/>
      </c>
      <c r="AA41" s="38"/>
      <c r="AB41" s="8" t="str">
        <f>IF(ISBLANK(AA41)," ",IF(AA41="np",SpecialScores!$C$3,IF(AA41="dnf",SpecialScores!$C$4,      IF(AND(AA41&gt;=0,AA41&lt;SpecialScores!$X$12), (500*LOG(1+99*AA41/SpecialScores!$X$12*SpecialScores!$X$11/SpecialScores!$X$10)),                         MIN((500*LOG(1+99*SpecialScores!$X$11/AA41)))))))</f>
        <v xml:space="preserve"> </v>
      </c>
      <c r="AC41" s="12" t="str">
        <f t="shared" si="36"/>
        <v/>
      </c>
      <c r="AD41" s="38"/>
      <c r="AE41" s="8" t="str">
        <f>IF(ISBLANK(AD41)," ",IF(AD41="np",SpecialScores!$C$3,IF(AD41="dnf",SpecialScores!$C$4,MIN( 1000+AD41/SpecialScores!$AA$5*0.0001,(500*LOG(1+99*AD41/SpecialScores!$AA$5))))))</f>
        <v xml:space="preserve"> </v>
      </c>
      <c r="AF41" s="12" t="str">
        <f t="shared" si="37"/>
        <v/>
      </c>
      <c r="AG41" s="38"/>
      <c r="AH41" s="8" t="str">
        <f>IF(ISBLANK(AG41)," ",IF(AG41="np",SpecialScores!$C$3,IF(AG41="dnf",SpecialScores!$C$4,MIN(1000,(500*LOG(1+99*AG41/SpecialScores!$E$3))))))</f>
        <v xml:space="preserve"> </v>
      </c>
      <c r="AI41" s="12" t="str">
        <f t="shared" si="38"/>
        <v/>
      </c>
      <c r="AP41" s="49"/>
    </row>
    <row r="42" spans="1:42" x14ac:dyDescent="0.35">
      <c r="A42" s="42"/>
      <c r="E42" s="33" t="str">
        <f t="shared" si="26"/>
        <v xml:space="preserve"> </v>
      </c>
      <c r="F42" s="33" t="str">
        <f t="shared" si="27"/>
        <v xml:space="preserve"> </v>
      </c>
      <c r="G42" s="7" t="str">
        <f t="shared" si="28"/>
        <v xml:space="preserve"> </v>
      </c>
      <c r="H42" s="7" t="str">
        <f t="shared" si="29"/>
        <v xml:space="preserve"> </v>
      </c>
      <c r="I42" s="38"/>
      <c r="J42" s="8" t="str">
        <f>IF(ISBLANK(I42)," ",IF(I42="np",SpecialScores!$C$3,IF(I42="dnf",SpecialScores!$C$4,MIN( 1000+I42/SpecialScores!$E$3*0.0001,(500*LOG(1+99*I42/SpecialScores!$E$3))))))</f>
        <v xml:space="preserve"> </v>
      </c>
      <c r="K42" s="12" t="str">
        <f t="shared" si="30"/>
        <v/>
      </c>
      <c r="L42" s="38"/>
      <c r="M42" s="8" t="str">
        <f>IF(ISBLANK(L42)," ",IF(L42="np",SpecialScores!$C$3,IF(L42="dnf",SpecialScores!$C$4,MIN( 1000+L42/SpecialScores!$H$3*0.0001,(500*LOG(1+99*L42/SpecialScores!$H$3))))))</f>
        <v xml:space="preserve"> </v>
      </c>
      <c r="N42" s="12" t="str">
        <f t="shared" si="31"/>
        <v/>
      </c>
      <c r="O42" s="38"/>
      <c r="P42" s="8" t="str">
        <f>IF(ISBLANK(O42)," ",IF(O42="np",SpecialScores!$C$3,IF(O42="dnf",SpecialScores!$C$4,MIN(1000,(500*LOG(1+99*O42/SpecialScores!$K$3))))))</f>
        <v xml:space="preserve"> </v>
      </c>
      <c r="Q42" s="12" t="str">
        <f t="shared" si="32"/>
        <v/>
      </c>
      <c r="R42" s="38"/>
      <c r="S42" s="8" t="str">
        <f>IF(ISBLANK(R42)," ",IF(R42="np",SpecialScores!$C$3,IF(R42="dnf",SpecialScores!$C$4,      IF(AND(R42&gt;=0,R42&lt;SpecialScores!$O$12), (500*LOG(1+99*R42/SpecialScores!$O$12*SpecialScores!$O$11/SpecialScores!$O$10)),                         MIN((500*LOG(1+99*SpecialScores!$O$11/R42)))))))</f>
        <v xml:space="preserve"> </v>
      </c>
      <c r="T42" s="12" t="str">
        <f t="shared" si="33"/>
        <v/>
      </c>
      <c r="U42" s="38"/>
      <c r="V42" s="8" t="str">
        <f>IF(ISBLANK(U42)," ",IF(U42="np",SpecialScores!$C$3,IF(U42="dnf",SpecialScores!$C$4,MIN((500*LOG(1+99*U42/SpecialScores!$R$3))))))</f>
        <v xml:space="preserve"> </v>
      </c>
      <c r="W42" s="12" t="str">
        <f t="shared" si="34"/>
        <v/>
      </c>
      <c r="X42" s="38"/>
      <c r="Y42" s="8" t="str">
        <f>IF(ISBLANK(X42)," ",IF(X42="np",SpecialScores!$C$3,IF(X42="dnf",SpecialScores!$C$4,MIN( 1000+X42/SpecialScores!$U$3*0.0001,(500*LOG(1+99*X42/SpecialScores!$U$3))))))</f>
        <v xml:space="preserve"> </v>
      </c>
      <c r="Z42" s="12" t="str">
        <f t="shared" si="35"/>
        <v/>
      </c>
      <c r="AA42" s="38"/>
      <c r="AB42" s="8" t="str">
        <f>IF(ISBLANK(AA42)," ",IF(AA42="np",SpecialScores!$C$3,IF(AA42="dnf",SpecialScores!$C$4,      IF(AND(AA42&gt;=0,AA42&lt;SpecialScores!$X$12), (500*LOG(1+99*AA42/SpecialScores!$X$12*SpecialScores!$X$11/SpecialScores!$X$10)),                         MIN((500*LOG(1+99*SpecialScores!$X$11/AA42)))))))</f>
        <v xml:space="preserve"> </v>
      </c>
      <c r="AC42" s="12" t="str">
        <f t="shared" si="36"/>
        <v/>
      </c>
      <c r="AD42" s="38"/>
      <c r="AE42" s="8" t="str">
        <f>IF(ISBLANK(AD42)," ",IF(AD42="np",SpecialScores!$C$3,IF(AD42="dnf",SpecialScores!$C$4,MIN( 1000+AD42/SpecialScores!$AA$5*0.0001,(500*LOG(1+99*AD42/SpecialScores!$AA$5))))))</f>
        <v xml:space="preserve"> </v>
      </c>
      <c r="AF42" s="12" t="str">
        <f t="shared" si="37"/>
        <v/>
      </c>
      <c r="AG42" s="38"/>
      <c r="AH42" s="8" t="str">
        <f>IF(ISBLANK(AG42)," ",IF(AG42="np",SpecialScores!$C$3,IF(AG42="dnf",SpecialScores!$C$4,MIN(1000,(500*LOG(1+99*AG42/SpecialScores!$E$3))))))</f>
        <v xml:space="preserve"> </v>
      </c>
      <c r="AI42" s="12" t="str">
        <f t="shared" si="38"/>
        <v/>
      </c>
      <c r="AP42" s="49"/>
    </row>
    <row r="43" spans="1:42" x14ac:dyDescent="0.35">
      <c r="A43" s="42"/>
      <c r="E43" s="33" t="str">
        <f t="shared" si="26"/>
        <v xml:space="preserve"> </v>
      </c>
      <c r="F43" s="33" t="str">
        <f t="shared" si="27"/>
        <v xml:space="preserve"> </v>
      </c>
      <c r="G43" s="7" t="str">
        <f t="shared" si="28"/>
        <v xml:space="preserve"> </v>
      </c>
      <c r="H43" s="7" t="str">
        <f t="shared" si="29"/>
        <v xml:space="preserve"> </v>
      </c>
      <c r="I43" s="38"/>
      <c r="J43" s="8" t="str">
        <f>IF(ISBLANK(I43)," ",IF(I43="np",SpecialScores!$C$3,IF(I43="dnf",SpecialScores!$C$4,MIN( 1000+I43/SpecialScores!$E$3*0.0001,(500*LOG(1+99*I43/SpecialScores!$E$3))))))</f>
        <v xml:space="preserve"> </v>
      </c>
      <c r="K43" s="12" t="str">
        <f t="shared" si="30"/>
        <v/>
      </c>
      <c r="L43" s="38"/>
      <c r="M43" s="8" t="str">
        <f>IF(ISBLANK(L43)," ",IF(L43="np",SpecialScores!$C$3,IF(L43="dnf",SpecialScores!$C$4,MIN( 1000+L43/SpecialScores!$H$3*0.0001,(500*LOG(1+99*L43/SpecialScores!$H$3))))))</f>
        <v xml:space="preserve"> </v>
      </c>
      <c r="N43" s="12" t="str">
        <f t="shared" si="31"/>
        <v/>
      </c>
      <c r="O43" s="38"/>
      <c r="P43" s="8" t="str">
        <f>IF(ISBLANK(O43)," ",IF(O43="np",SpecialScores!$C$3,IF(O43="dnf",SpecialScores!$C$4,MIN(1000,(500*LOG(1+99*O43/SpecialScores!$K$3))))))</f>
        <v xml:space="preserve"> </v>
      </c>
      <c r="Q43" s="12" t="str">
        <f t="shared" si="32"/>
        <v/>
      </c>
      <c r="R43" s="38"/>
      <c r="S43" s="8" t="str">
        <f>IF(ISBLANK(R43)," ",IF(R43="np",SpecialScores!$C$3,IF(R43="dnf",SpecialScores!$C$4,      IF(AND(R43&gt;=0,R43&lt;SpecialScores!$O$12), (500*LOG(1+99*R43/SpecialScores!$O$12*SpecialScores!$O$11/SpecialScores!$O$10)),                         MIN((500*LOG(1+99*SpecialScores!$O$11/R43)))))))</f>
        <v xml:space="preserve"> </v>
      </c>
      <c r="T43" s="12" t="str">
        <f t="shared" si="33"/>
        <v/>
      </c>
      <c r="U43" s="38"/>
      <c r="V43" s="8" t="str">
        <f>IF(ISBLANK(U43)," ",IF(U43="np",SpecialScores!$C$3,IF(U43="dnf",SpecialScores!$C$4,MIN((500*LOG(1+99*U43/SpecialScores!$R$3))))))</f>
        <v xml:space="preserve"> </v>
      </c>
      <c r="W43" s="12" t="str">
        <f t="shared" si="34"/>
        <v/>
      </c>
      <c r="X43" s="38"/>
      <c r="Y43" s="8" t="str">
        <f>IF(ISBLANK(X43)," ",IF(X43="np",SpecialScores!$C$3,IF(X43="dnf",SpecialScores!$C$4,MIN( 1000+X43/SpecialScores!$U$3*0.0001,(500*LOG(1+99*X43/SpecialScores!$U$3))))))</f>
        <v xml:space="preserve"> </v>
      </c>
      <c r="Z43" s="12" t="str">
        <f t="shared" si="35"/>
        <v/>
      </c>
      <c r="AA43" s="38"/>
      <c r="AB43" s="8" t="str">
        <f>IF(ISBLANK(AA43)," ",IF(AA43="np",SpecialScores!$C$3,IF(AA43="dnf",SpecialScores!$C$4,      IF(AND(AA43&gt;=0,AA43&lt;SpecialScores!$X$12), (500*LOG(1+99*AA43/SpecialScores!$X$12*SpecialScores!$X$11/SpecialScores!$X$10)),                         MIN((500*LOG(1+99*SpecialScores!$X$11/AA43)))))))</f>
        <v xml:space="preserve"> </v>
      </c>
      <c r="AC43" s="12" t="str">
        <f t="shared" si="36"/>
        <v/>
      </c>
      <c r="AD43" s="38"/>
      <c r="AE43" s="8" t="str">
        <f>IF(ISBLANK(AD43)," ",IF(AD43="np",SpecialScores!$C$3,IF(AD43="dnf",SpecialScores!$C$4,MIN( 1000+AD43/SpecialScores!$AA$5*0.0001,(500*LOG(1+99*AD43/SpecialScores!$AA$5))))))</f>
        <v xml:space="preserve"> </v>
      </c>
      <c r="AF43" s="12" t="str">
        <f t="shared" si="37"/>
        <v/>
      </c>
      <c r="AG43" s="38"/>
      <c r="AH43" s="8" t="str">
        <f>IF(ISBLANK(AG43)," ",IF(AG43="np",SpecialScores!$C$3,IF(AG43="dnf",SpecialScores!$C$4,MIN(1000,(500*LOG(1+99*AG43/SpecialScores!$E$3))))))</f>
        <v xml:space="preserve"> </v>
      </c>
      <c r="AI43" s="12" t="str">
        <f t="shared" si="38"/>
        <v/>
      </c>
      <c r="AP43" s="49"/>
    </row>
    <row r="44" spans="1:42" x14ac:dyDescent="0.35">
      <c r="A44" s="42"/>
      <c r="E44" s="33" t="str">
        <f t="shared" si="26"/>
        <v xml:space="preserve"> </v>
      </c>
      <c r="F44" s="33" t="str">
        <f t="shared" si="27"/>
        <v xml:space="preserve"> </v>
      </c>
      <c r="G44" s="7" t="str">
        <f t="shared" si="28"/>
        <v xml:space="preserve"> </v>
      </c>
      <c r="H44" s="7" t="str">
        <f t="shared" si="29"/>
        <v xml:space="preserve"> </v>
      </c>
      <c r="I44" s="38"/>
      <c r="J44" s="8" t="str">
        <f>IF(ISBLANK(I44)," ",IF(I44="np",SpecialScores!$C$3,IF(I44="dnf",SpecialScores!$C$4,MIN( 1000+I44/SpecialScores!$E$3*0.0001,(500*LOG(1+99*I44/SpecialScores!$E$3))))))</f>
        <v xml:space="preserve"> </v>
      </c>
      <c r="K44" s="12" t="str">
        <f t="shared" si="30"/>
        <v/>
      </c>
      <c r="L44" s="38"/>
      <c r="M44" s="8" t="str">
        <f>IF(ISBLANK(L44)," ",IF(L44="np",SpecialScores!$C$3,IF(L44="dnf",SpecialScores!$C$4,MIN( 1000+L44/SpecialScores!$H$3*0.0001,(500*LOG(1+99*L44/SpecialScores!$H$3))))))</f>
        <v xml:space="preserve"> </v>
      </c>
      <c r="N44" s="12" t="str">
        <f t="shared" si="31"/>
        <v/>
      </c>
      <c r="O44" s="38"/>
      <c r="P44" s="8" t="str">
        <f>IF(ISBLANK(O44)," ",IF(O44="np",SpecialScores!$C$3,IF(O44="dnf",SpecialScores!$C$4,MIN(1000,(500*LOG(1+99*O44/SpecialScores!$K$3))))))</f>
        <v xml:space="preserve"> </v>
      </c>
      <c r="Q44" s="12" t="str">
        <f t="shared" si="32"/>
        <v/>
      </c>
      <c r="R44" s="38"/>
      <c r="S44" s="8" t="str">
        <f>IF(ISBLANK(R44)," ",IF(R44="np",SpecialScores!$C$3,IF(R44="dnf",SpecialScores!$C$4,      IF(AND(R44&gt;=0,R44&lt;SpecialScores!$O$12), (500*LOG(1+99*R44/SpecialScores!$O$12*SpecialScores!$O$11/SpecialScores!$O$10)),                         MIN((500*LOG(1+99*SpecialScores!$O$11/R44)))))))</f>
        <v xml:space="preserve"> </v>
      </c>
      <c r="T44" s="12" t="str">
        <f t="shared" si="33"/>
        <v/>
      </c>
      <c r="U44" s="38"/>
      <c r="V44" s="8" t="str">
        <f>IF(ISBLANK(U44)," ",IF(U44="np",SpecialScores!$C$3,IF(U44="dnf",SpecialScores!$C$4,MIN((500*LOG(1+99*U44/SpecialScores!$R$3))))))</f>
        <v xml:space="preserve"> </v>
      </c>
      <c r="W44" s="12" t="str">
        <f t="shared" si="34"/>
        <v/>
      </c>
      <c r="X44" s="38"/>
      <c r="Y44" s="8" t="str">
        <f>IF(ISBLANK(X44)," ",IF(X44="np",SpecialScores!$C$3,IF(X44="dnf",SpecialScores!$C$4,MIN( 1000+X44/SpecialScores!$U$3*0.0001,(500*LOG(1+99*X44/SpecialScores!$U$3))))))</f>
        <v xml:space="preserve"> </v>
      </c>
      <c r="Z44" s="12" t="str">
        <f t="shared" si="35"/>
        <v/>
      </c>
      <c r="AA44" s="38"/>
      <c r="AB44" s="8" t="str">
        <f>IF(ISBLANK(AA44)," ",IF(AA44="np",SpecialScores!$C$3,IF(AA44="dnf",SpecialScores!$C$4,      IF(AND(AA44&gt;=0,AA44&lt;SpecialScores!$X$12), (500*LOG(1+99*AA44/SpecialScores!$X$12*SpecialScores!$X$11/SpecialScores!$X$10)),                         MIN((500*LOG(1+99*SpecialScores!$X$11/AA44)))))))</f>
        <v xml:space="preserve"> </v>
      </c>
      <c r="AC44" s="12" t="str">
        <f t="shared" si="36"/>
        <v/>
      </c>
      <c r="AD44" s="38"/>
      <c r="AE44" s="8" t="str">
        <f>IF(ISBLANK(AD44)," ",IF(AD44="np",SpecialScores!$C$3,IF(AD44="dnf",SpecialScores!$C$4,MIN( 1000+AD44/SpecialScores!$AA$5*0.0001,(500*LOG(1+99*AD44/SpecialScores!$AA$5))))))</f>
        <v xml:space="preserve"> </v>
      </c>
      <c r="AF44" s="12" t="str">
        <f t="shared" si="37"/>
        <v/>
      </c>
      <c r="AG44" s="38"/>
      <c r="AH44" s="8" t="str">
        <f>IF(ISBLANK(AG44)," ",IF(AG44="np",SpecialScores!$C$3,IF(AG44="dnf",SpecialScores!$C$4,MIN(1000,(500*LOG(1+99*AG44/SpecialScores!$E$3))))))</f>
        <v xml:space="preserve"> </v>
      </c>
      <c r="AI44" s="12" t="str">
        <f t="shared" si="38"/>
        <v/>
      </c>
      <c r="AP44" s="49"/>
    </row>
    <row r="45" spans="1:42" x14ac:dyDescent="0.35">
      <c r="A45" s="42"/>
      <c r="E45" s="33" t="str">
        <f t="shared" si="26"/>
        <v xml:space="preserve"> </v>
      </c>
      <c r="F45" s="33" t="str">
        <f t="shared" si="27"/>
        <v xml:space="preserve"> </v>
      </c>
      <c r="G45" s="7" t="str">
        <f t="shared" si="28"/>
        <v xml:space="preserve"> </v>
      </c>
      <c r="H45" s="7" t="str">
        <f t="shared" si="29"/>
        <v xml:space="preserve"> </v>
      </c>
      <c r="I45" s="38"/>
      <c r="J45" s="8" t="str">
        <f>IF(ISBLANK(I45)," ",IF(I45="np",SpecialScores!$C$3,IF(I45="dnf",SpecialScores!$C$4,MIN( 1000+I45/SpecialScores!$E$3*0.0001,(500*LOG(1+99*I45/SpecialScores!$E$3))))))</f>
        <v xml:space="preserve"> </v>
      </c>
      <c r="K45" s="12" t="str">
        <f t="shared" si="30"/>
        <v/>
      </c>
      <c r="L45" s="38"/>
      <c r="M45" s="8" t="str">
        <f>IF(ISBLANK(L45)," ",IF(L45="np",SpecialScores!$C$3,IF(L45="dnf",SpecialScores!$C$4,MIN( 1000+L45/SpecialScores!$H$3*0.0001,(500*LOG(1+99*L45/SpecialScores!$H$3))))))</f>
        <v xml:space="preserve"> </v>
      </c>
      <c r="N45" s="12" t="str">
        <f t="shared" si="31"/>
        <v/>
      </c>
      <c r="O45" s="38"/>
      <c r="P45" s="8" t="str">
        <f>IF(ISBLANK(O45)," ",IF(O45="np",SpecialScores!$C$3,IF(O45="dnf",SpecialScores!$C$4,MIN(1000,(500*LOG(1+99*O45/SpecialScores!$K$3))))))</f>
        <v xml:space="preserve"> </v>
      </c>
      <c r="Q45" s="12" t="str">
        <f t="shared" si="32"/>
        <v/>
      </c>
      <c r="R45" s="38"/>
      <c r="S45" s="8" t="str">
        <f>IF(ISBLANK(R45)," ",IF(R45="np",SpecialScores!$C$3,IF(R45="dnf",SpecialScores!$C$4,      IF(AND(R45&gt;=0,R45&lt;SpecialScores!$O$12), (500*LOG(1+99*R45/SpecialScores!$O$12*SpecialScores!$O$11/SpecialScores!$O$10)),                         MIN((500*LOG(1+99*SpecialScores!$O$11/R45)))))))</f>
        <v xml:space="preserve"> </v>
      </c>
      <c r="T45" s="12" t="str">
        <f t="shared" si="33"/>
        <v/>
      </c>
      <c r="U45" s="38"/>
      <c r="V45" s="8" t="str">
        <f>IF(ISBLANK(U45)," ",IF(U45="np",SpecialScores!$C$3,IF(U45="dnf",SpecialScores!$C$4,MIN((500*LOG(1+99*U45/SpecialScores!$R$3))))))</f>
        <v xml:space="preserve"> </v>
      </c>
      <c r="W45" s="12" t="str">
        <f t="shared" si="34"/>
        <v/>
      </c>
      <c r="X45" s="38"/>
      <c r="Y45" s="8" t="str">
        <f>IF(ISBLANK(X45)," ",IF(X45="np",SpecialScores!$C$3,IF(X45="dnf",SpecialScores!$C$4,MIN( 1000+X45/SpecialScores!$U$3*0.0001,(500*LOG(1+99*X45/SpecialScores!$U$3))))))</f>
        <v xml:space="preserve"> </v>
      </c>
      <c r="Z45" s="12" t="str">
        <f t="shared" si="35"/>
        <v/>
      </c>
      <c r="AA45" s="38"/>
      <c r="AB45" s="8" t="str">
        <f>IF(ISBLANK(AA45)," ",IF(AA45="np",SpecialScores!$C$3,IF(AA45="dnf",SpecialScores!$C$4,      IF(AND(AA45&gt;=0,AA45&lt;SpecialScores!$X$12), (500*LOG(1+99*AA45/SpecialScores!$X$12*SpecialScores!$X$11/SpecialScores!$X$10)),                         MIN((500*LOG(1+99*SpecialScores!$X$11/AA45)))))))</f>
        <v xml:space="preserve"> </v>
      </c>
      <c r="AC45" s="12" t="str">
        <f t="shared" si="36"/>
        <v/>
      </c>
      <c r="AD45" s="38"/>
      <c r="AE45" s="8" t="str">
        <f>IF(ISBLANK(AD45)," ",IF(AD45="np",SpecialScores!$C$3,IF(AD45="dnf",SpecialScores!$C$4,MIN( 1000+AD45/SpecialScores!$AA$5*0.0001,(500*LOG(1+99*AD45/SpecialScores!$AA$5))))))</f>
        <v xml:space="preserve"> </v>
      </c>
      <c r="AF45" s="12" t="str">
        <f t="shared" si="37"/>
        <v/>
      </c>
      <c r="AG45" s="38"/>
      <c r="AH45" s="8" t="str">
        <f>IF(ISBLANK(AG45)," ",IF(AG45="np",SpecialScores!$C$3,IF(AG45="dnf",SpecialScores!$C$4,MIN(1000,(500*LOG(1+99*AG45/SpecialScores!$E$3))))))</f>
        <v xml:space="preserve"> </v>
      </c>
      <c r="AI45" s="12" t="str">
        <f t="shared" si="38"/>
        <v/>
      </c>
      <c r="AP45" s="49"/>
    </row>
    <row r="46" spans="1:42" x14ac:dyDescent="0.35">
      <c r="A46" s="42"/>
      <c r="E46" s="33" t="str">
        <f t="shared" si="26"/>
        <v xml:space="preserve"> </v>
      </c>
      <c r="F46" s="33" t="str">
        <f t="shared" si="27"/>
        <v xml:space="preserve"> </v>
      </c>
      <c r="G46" s="7" t="str">
        <f t="shared" si="28"/>
        <v xml:space="preserve"> </v>
      </c>
      <c r="H46" s="7" t="str">
        <f t="shared" si="29"/>
        <v xml:space="preserve"> </v>
      </c>
      <c r="I46" s="38"/>
      <c r="J46" s="8" t="str">
        <f>IF(ISBLANK(I46)," ",IF(I46="np",SpecialScores!$C$3,IF(I46="dnf",SpecialScores!$C$4,MIN( 1000+I46/SpecialScores!$E$3*0.0001,(500*LOG(1+99*I46/SpecialScores!$E$3))))))</f>
        <v xml:space="preserve"> </v>
      </c>
      <c r="K46" s="12" t="str">
        <f t="shared" si="30"/>
        <v/>
      </c>
      <c r="L46" s="38"/>
      <c r="M46" s="8" t="str">
        <f>IF(ISBLANK(L46)," ",IF(L46="np",SpecialScores!$C$3,IF(L46="dnf",SpecialScores!$C$4,MIN( 1000+L46/SpecialScores!$H$3*0.0001,(500*LOG(1+99*L46/SpecialScores!$H$3))))))</f>
        <v xml:space="preserve"> </v>
      </c>
      <c r="N46" s="12" t="str">
        <f t="shared" si="31"/>
        <v/>
      </c>
      <c r="O46" s="38"/>
      <c r="P46" s="8" t="str">
        <f>IF(ISBLANK(O46)," ",IF(O46="np",SpecialScores!$C$3,IF(O46="dnf",SpecialScores!$C$4,MIN(1000,(500*LOG(1+99*O46/SpecialScores!$K$3))))))</f>
        <v xml:space="preserve"> </v>
      </c>
      <c r="Q46" s="12" t="str">
        <f t="shared" si="32"/>
        <v/>
      </c>
      <c r="R46" s="38"/>
      <c r="S46" s="8" t="str">
        <f>IF(ISBLANK(R46)," ",IF(R46="np",SpecialScores!$C$3,IF(R46="dnf",SpecialScores!$C$4,      IF(AND(R46&gt;=0,R46&lt;SpecialScores!$O$12), (500*LOG(1+99*R46/SpecialScores!$O$12*SpecialScores!$O$11/SpecialScores!$O$10)),                         MIN((500*LOG(1+99*SpecialScores!$O$11/R46)))))))</f>
        <v xml:space="preserve"> </v>
      </c>
      <c r="T46" s="12" t="str">
        <f t="shared" si="33"/>
        <v/>
      </c>
      <c r="U46" s="38"/>
      <c r="V46" s="8" t="str">
        <f>IF(ISBLANK(U46)," ",IF(U46="np",SpecialScores!$C$3,IF(U46="dnf",SpecialScores!$C$4,MIN((500*LOG(1+99*U46/SpecialScores!$R$3))))))</f>
        <v xml:space="preserve"> </v>
      </c>
      <c r="W46" s="12" t="str">
        <f t="shared" si="34"/>
        <v/>
      </c>
      <c r="X46" s="38"/>
      <c r="Y46" s="8" t="str">
        <f>IF(ISBLANK(X46)," ",IF(X46="np",SpecialScores!$C$3,IF(X46="dnf",SpecialScores!$C$4,MIN( 1000+X46/SpecialScores!$U$3*0.0001,(500*LOG(1+99*X46/SpecialScores!$U$3))))))</f>
        <v xml:space="preserve"> </v>
      </c>
      <c r="Z46" s="12" t="str">
        <f t="shared" si="35"/>
        <v/>
      </c>
      <c r="AA46" s="38"/>
      <c r="AB46" s="8" t="str">
        <f>IF(ISBLANK(AA46)," ",IF(AA46="np",SpecialScores!$C$3,IF(AA46="dnf",SpecialScores!$C$4,      IF(AND(AA46&gt;=0,AA46&lt;SpecialScores!$X$12), (500*LOG(1+99*AA46/SpecialScores!$X$12*SpecialScores!$X$11/SpecialScores!$X$10)),                         MIN((500*LOG(1+99*SpecialScores!$X$11/AA46)))))))</f>
        <v xml:space="preserve"> </v>
      </c>
      <c r="AC46" s="12" t="str">
        <f t="shared" si="36"/>
        <v/>
      </c>
      <c r="AD46" s="38"/>
      <c r="AE46" s="8" t="str">
        <f>IF(ISBLANK(AD46)," ",IF(AD46="np",SpecialScores!$C$3,IF(AD46="dnf",SpecialScores!$C$4,MIN( 1000+AD46/SpecialScores!$AA$5*0.0001,(500*LOG(1+99*AD46/SpecialScores!$AA$5))))))</f>
        <v xml:space="preserve"> </v>
      </c>
      <c r="AF46" s="12" t="str">
        <f t="shared" si="37"/>
        <v/>
      </c>
      <c r="AG46" s="38"/>
      <c r="AH46" s="8" t="str">
        <f>IF(ISBLANK(AG46)," ",IF(AG46="np",SpecialScores!$C$3,IF(AG46="dnf",SpecialScores!$C$4,MIN(1000,(500*LOG(1+99*AG46/SpecialScores!$E$3))))))</f>
        <v xml:space="preserve"> </v>
      </c>
      <c r="AI46" s="12" t="str">
        <f t="shared" si="38"/>
        <v/>
      </c>
      <c r="AP46" s="49"/>
    </row>
    <row r="47" spans="1:42" x14ac:dyDescent="0.35">
      <c r="A47" s="42"/>
      <c r="E47" s="33" t="str">
        <f t="shared" si="26"/>
        <v xml:space="preserve"> </v>
      </c>
      <c r="F47" s="33" t="str">
        <f t="shared" si="27"/>
        <v xml:space="preserve"> </v>
      </c>
      <c r="G47" s="7" t="str">
        <f t="shared" si="28"/>
        <v xml:space="preserve"> </v>
      </c>
      <c r="H47" s="7" t="str">
        <f t="shared" si="29"/>
        <v xml:space="preserve"> </v>
      </c>
      <c r="I47" s="38"/>
      <c r="J47" s="8" t="str">
        <f>IF(ISBLANK(I47)," ",IF(I47="np",SpecialScores!$C$3,IF(I47="dnf",SpecialScores!$C$4,MIN( 1000+I47/SpecialScores!$E$3*0.0001,(500*LOG(1+99*I47/SpecialScores!$E$3))))))</f>
        <v xml:space="preserve"> </v>
      </c>
      <c r="K47" s="12" t="str">
        <f t="shared" si="30"/>
        <v/>
      </c>
      <c r="L47" s="38"/>
      <c r="M47" s="8" t="str">
        <f>IF(ISBLANK(L47)," ",IF(L47="np",SpecialScores!$C$3,IF(L47="dnf",SpecialScores!$C$4,MIN( 1000+L47/SpecialScores!$H$3*0.0001,(500*LOG(1+99*L47/SpecialScores!$H$3))))))</f>
        <v xml:space="preserve"> </v>
      </c>
      <c r="N47" s="12" t="str">
        <f t="shared" si="31"/>
        <v/>
      </c>
      <c r="O47" s="38"/>
      <c r="P47" s="8" t="str">
        <f>IF(ISBLANK(O47)," ",IF(O47="np",SpecialScores!$C$3,IF(O47="dnf",SpecialScores!$C$4,MIN(1000,(500*LOG(1+99*O47/SpecialScores!$K$3))))))</f>
        <v xml:space="preserve"> </v>
      </c>
      <c r="Q47" s="12" t="str">
        <f t="shared" si="32"/>
        <v/>
      </c>
      <c r="R47" s="38"/>
      <c r="S47" s="8" t="str">
        <f>IF(ISBLANK(R47)," ",IF(R47="np",SpecialScores!$C$3,IF(R47="dnf",SpecialScores!$C$4,      IF(AND(R47&gt;=0,R47&lt;SpecialScores!$O$12), (500*LOG(1+99*R47/SpecialScores!$O$12*SpecialScores!$O$11/SpecialScores!$O$10)),                         MIN((500*LOG(1+99*SpecialScores!$O$11/R47)))))))</f>
        <v xml:space="preserve"> </v>
      </c>
      <c r="T47" s="12" t="str">
        <f t="shared" si="33"/>
        <v/>
      </c>
      <c r="U47" s="38"/>
      <c r="V47" s="8" t="str">
        <f>IF(ISBLANK(U47)," ",IF(U47="np",SpecialScores!$C$3,IF(U47="dnf",SpecialScores!$C$4,MIN((500*LOG(1+99*U47/SpecialScores!$R$3))))))</f>
        <v xml:space="preserve"> </v>
      </c>
      <c r="W47" s="12" t="str">
        <f t="shared" si="34"/>
        <v/>
      </c>
      <c r="X47" s="38"/>
      <c r="Y47" s="8" t="str">
        <f>IF(ISBLANK(X47)," ",IF(X47="np",SpecialScores!$C$3,IF(X47="dnf",SpecialScores!$C$4,MIN( 1000+X47/SpecialScores!$U$3*0.0001,(500*LOG(1+99*X47/SpecialScores!$U$3))))))</f>
        <v xml:space="preserve"> </v>
      </c>
      <c r="Z47" s="12" t="str">
        <f t="shared" si="35"/>
        <v/>
      </c>
      <c r="AA47" s="38"/>
      <c r="AB47" s="8" t="str">
        <f>IF(ISBLANK(AA47)," ",IF(AA47="np",SpecialScores!$C$3,IF(AA47="dnf",SpecialScores!$C$4,      IF(AND(AA47&gt;=0,AA47&lt;SpecialScores!$X$12), (500*LOG(1+99*AA47/SpecialScores!$X$12*SpecialScores!$X$11/SpecialScores!$X$10)),                         MIN((500*LOG(1+99*SpecialScores!$X$11/AA47)))))))</f>
        <v xml:space="preserve"> </v>
      </c>
      <c r="AC47" s="12" t="str">
        <f t="shared" si="36"/>
        <v/>
      </c>
      <c r="AD47" s="38"/>
      <c r="AE47" s="8" t="str">
        <f>IF(ISBLANK(AD47)," ",IF(AD47="np",SpecialScores!$C$3,IF(AD47="dnf",SpecialScores!$C$4,MIN( 1000+AD47/SpecialScores!$AA$5*0.0001,(500*LOG(1+99*AD47/SpecialScores!$AA$5))))))</f>
        <v xml:space="preserve"> </v>
      </c>
      <c r="AF47" s="12" t="str">
        <f t="shared" si="37"/>
        <v/>
      </c>
      <c r="AG47" s="38"/>
      <c r="AH47" s="8" t="str">
        <f>IF(ISBLANK(AG47)," ",IF(AG47="np",SpecialScores!$C$3,IF(AG47="dnf",SpecialScores!$C$4,MIN(1000,(500*LOG(1+99*AG47/SpecialScores!$E$3))))))</f>
        <v xml:space="preserve"> </v>
      </c>
      <c r="AI47" s="12" t="str">
        <f t="shared" si="38"/>
        <v/>
      </c>
      <c r="AP47" s="49"/>
    </row>
    <row r="48" spans="1:42" x14ac:dyDescent="0.35">
      <c r="A48" s="42"/>
      <c r="E48" s="33" t="str">
        <f t="shared" si="26"/>
        <v xml:space="preserve"> </v>
      </c>
      <c r="F48" s="33" t="str">
        <f t="shared" si="27"/>
        <v xml:space="preserve"> </v>
      </c>
      <c r="G48" s="7" t="str">
        <f t="shared" si="28"/>
        <v xml:space="preserve"> </v>
      </c>
      <c r="H48" s="7" t="str">
        <f t="shared" si="29"/>
        <v xml:space="preserve"> </v>
      </c>
      <c r="I48" s="38"/>
      <c r="J48" s="8" t="str">
        <f>IF(ISBLANK(I48)," ",IF(I48="np",SpecialScores!$C$3,IF(I48="dnf",SpecialScores!$C$4,MIN( 1000+I48/SpecialScores!$E$3*0.0001,(500*LOG(1+99*I48/SpecialScores!$E$3))))))</f>
        <v xml:space="preserve"> </v>
      </c>
      <c r="K48" s="12" t="str">
        <f t="shared" si="30"/>
        <v/>
      </c>
      <c r="L48" s="38"/>
      <c r="M48" s="8" t="str">
        <f>IF(ISBLANK(L48)," ",IF(L48="np",SpecialScores!$C$3,IF(L48="dnf",SpecialScores!$C$4,MIN( 1000+L48/SpecialScores!$H$3*0.0001,(500*LOG(1+99*L48/SpecialScores!$H$3))))))</f>
        <v xml:space="preserve"> </v>
      </c>
      <c r="N48" s="12" t="str">
        <f t="shared" si="31"/>
        <v/>
      </c>
      <c r="O48" s="38"/>
      <c r="P48" s="8" t="str">
        <f>IF(ISBLANK(O48)," ",IF(O48="np",SpecialScores!$C$3,IF(O48="dnf",SpecialScores!$C$4,MIN(1000,(500*LOG(1+99*O48/SpecialScores!$K$3))))))</f>
        <v xml:space="preserve"> </v>
      </c>
      <c r="Q48" s="12" t="str">
        <f t="shared" si="32"/>
        <v/>
      </c>
      <c r="R48" s="38"/>
      <c r="S48" s="8" t="str">
        <f>IF(ISBLANK(R48)," ",IF(R48="np",SpecialScores!$C$3,IF(R48="dnf",SpecialScores!$C$4,      IF(AND(R48&gt;=0,R48&lt;SpecialScores!$O$12), (500*LOG(1+99*R48/SpecialScores!$O$12*SpecialScores!$O$11/SpecialScores!$O$10)),                         MIN((500*LOG(1+99*SpecialScores!$O$11/R48)))))))</f>
        <v xml:space="preserve"> </v>
      </c>
      <c r="T48" s="12" t="str">
        <f t="shared" si="33"/>
        <v/>
      </c>
      <c r="U48" s="38"/>
      <c r="V48" s="8" t="str">
        <f>IF(ISBLANK(U48)," ",IF(U48="np",SpecialScores!$C$3,IF(U48="dnf",SpecialScores!$C$4,MIN((500*LOG(1+99*U48/SpecialScores!$R$3))))))</f>
        <v xml:space="preserve"> </v>
      </c>
      <c r="W48" s="12" t="str">
        <f t="shared" si="34"/>
        <v/>
      </c>
      <c r="X48" s="38"/>
      <c r="Y48" s="8" t="str">
        <f>IF(ISBLANK(X48)," ",IF(X48="np",SpecialScores!$C$3,IF(X48="dnf",SpecialScores!$C$4,MIN( 1000+X48/SpecialScores!$U$3*0.0001,(500*LOG(1+99*X48/SpecialScores!$U$3))))))</f>
        <v xml:space="preserve"> </v>
      </c>
      <c r="Z48" s="12" t="str">
        <f t="shared" si="35"/>
        <v/>
      </c>
      <c r="AA48" s="38"/>
      <c r="AB48" s="8" t="str">
        <f>IF(ISBLANK(AA48)," ",IF(AA48="np",SpecialScores!$C$3,IF(AA48="dnf",SpecialScores!$C$4,      IF(AND(AA48&gt;=0,AA48&lt;SpecialScores!$X$12), (500*LOG(1+99*AA48/SpecialScores!$X$12*SpecialScores!$X$11/SpecialScores!$X$10)),                         MIN((500*LOG(1+99*SpecialScores!$X$11/AA48)))))))</f>
        <v xml:space="preserve"> </v>
      </c>
      <c r="AC48" s="12" t="str">
        <f t="shared" si="36"/>
        <v/>
      </c>
      <c r="AD48" s="38"/>
      <c r="AE48" s="8" t="str">
        <f>IF(ISBLANK(AD48)," ",IF(AD48="np",SpecialScores!$C$3,IF(AD48="dnf",SpecialScores!$C$4,MIN( 1000+AD48/SpecialScores!$AA$5*0.0001,(500*LOG(1+99*AD48/SpecialScores!$AA$5))))))</f>
        <v xml:space="preserve"> </v>
      </c>
      <c r="AF48" s="12" t="str">
        <f t="shared" si="37"/>
        <v/>
      </c>
      <c r="AG48" s="38"/>
      <c r="AH48" s="8" t="str">
        <f>IF(ISBLANK(AG48)," ",IF(AG48="np",SpecialScores!$C$3,IF(AG48="dnf",SpecialScores!$C$4,MIN(1000,(500*LOG(1+99*AG48/SpecialScores!$E$3))))))</f>
        <v xml:space="preserve"> </v>
      </c>
      <c r="AI48" s="12" t="str">
        <f t="shared" si="38"/>
        <v/>
      </c>
      <c r="AP48" s="49"/>
    </row>
    <row r="49" spans="1:42" x14ac:dyDescent="0.35">
      <c r="A49" s="42"/>
      <c r="E49" s="33" t="str">
        <f t="shared" si="26"/>
        <v xml:space="preserve"> </v>
      </c>
      <c r="F49" s="33" t="str">
        <f t="shared" si="27"/>
        <v xml:space="preserve"> </v>
      </c>
      <c r="G49" s="7" t="str">
        <f t="shared" si="28"/>
        <v xml:space="preserve"> </v>
      </c>
      <c r="H49" s="7" t="str">
        <f t="shared" si="29"/>
        <v xml:space="preserve"> </v>
      </c>
      <c r="I49" s="38"/>
      <c r="J49" s="8" t="str">
        <f>IF(ISBLANK(I49)," ",IF(I49="np",SpecialScores!$C$3,IF(I49="dnf",SpecialScores!$C$4,MIN( 1000+I49/SpecialScores!$E$3*0.0001,(500*LOG(1+99*I49/SpecialScores!$E$3))))))</f>
        <v xml:space="preserve"> </v>
      </c>
      <c r="K49" s="12" t="str">
        <f t="shared" si="30"/>
        <v/>
      </c>
      <c r="L49" s="38"/>
      <c r="M49" s="8" t="str">
        <f>IF(ISBLANK(L49)," ",IF(L49="np",SpecialScores!$C$3,IF(L49="dnf",SpecialScores!$C$4,MIN( 1000+L49/SpecialScores!$H$3*0.0001,(500*LOG(1+99*L49/SpecialScores!$H$3))))))</f>
        <v xml:space="preserve"> </v>
      </c>
      <c r="N49" s="12" t="str">
        <f t="shared" si="31"/>
        <v/>
      </c>
      <c r="O49" s="38"/>
      <c r="P49" s="8" t="str">
        <f>IF(ISBLANK(O49)," ",IF(O49="np",SpecialScores!$C$3,IF(O49="dnf",SpecialScores!$C$4,MIN(1000,(500*LOG(1+99*O49/SpecialScores!$K$3))))))</f>
        <v xml:space="preserve"> </v>
      </c>
      <c r="Q49" s="12" t="str">
        <f t="shared" si="32"/>
        <v/>
      </c>
      <c r="R49" s="38"/>
      <c r="S49" s="8" t="str">
        <f>IF(ISBLANK(R49)," ",IF(R49="np",SpecialScores!$C$3,IF(R49="dnf",SpecialScores!$C$4,      IF(AND(R49&gt;=0,R49&lt;SpecialScores!$O$12), (500*LOG(1+99*R49/SpecialScores!$O$12*SpecialScores!$O$11/SpecialScores!$O$10)),                         MIN((500*LOG(1+99*SpecialScores!$O$11/R49)))))))</f>
        <v xml:space="preserve"> </v>
      </c>
      <c r="T49" s="12" t="str">
        <f t="shared" si="33"/>
        <v/>
      </c>
      <c r="U49" s="38"/>
      <c r="V49" s="8" t="str">
        <f>IF(ISBLANK(U49)," ",IF(U49="np",SpecialScores!$C$3,IF(U49="dnf",SpecialScores!$C$4,MIN((500*LOG(1+99*U49/SpecialScores!$R$3))))))</f>
        <v xml:space="preserve"> </v>
      </c>
      <c r="W49" s="12" t="str">
        <f t="shared" si="34"/>
        <v/>
      </c>
      <c r="X49" s="38"/>
      <c r="Y49" s="8" t="str">
        <f>IF(ISBLANK(X49)," ",IF(X49="np",SpecialScores!$C$3,IF(X49="dnf",SpecialScores!$C$4,MIN( 1000+X49/SpecialScores!$U$3*0.0001,(500*LOG(1+99*X49/SpecialScores!$U$3))))))</f>
        <v xml:space="preserve"> </v>
      </c>
      <c r="Z49" s="12" t="str">
        <f t="shared" si="35"/>
        <v/>
      </c>
      <c r="AA49" s="38"/>
      <c r="AB49" s="8" t="str">
        <f>IF(ISBLANK(AA49)," ",IF(AA49="np",SpecialScores!$C$3,IF(AA49="dnf",SpecialScores!$C$4,      IF(AND(AA49&gt;=0,AA49&lt;SpecialScores!$X$12), (500*LOG(1+99*AA49/SpecialScores!$X$12*SpecialScores!$X$11/SpecialScores!$X$10)),                         MIN((500*LOG(1+99*SpecialScores!$X$11/AA49)))))))</f>
        <v xml:space="preserve"> </v>
      </c>
      <c r="AC49" s="12" t="str">
        <f t="shared" si="36"/>
        <v/>
      </c>
      <c r="AD49" s="38"/>
      <c r="AE49" s="8" t="str">
        <f>IF(ISBLANK(AD49)," ",IF(AD49="np",SpecialScores!$C$3,IF(AD49="dnf",SpecialScores!$C$4,MIN( 1000+AD49/SpecialScores!$AA$5*0.0001,(500*LOG(1+99*AD49/SpecialScores!$AA$5))))))</f>
        <v xml:space="preserve"> </v>
      </c>
      <c r="AF49" s="12" t="str">
        <f t="shared" si="37"/>
        <v/>
      </c>
      <c r="AG49" s="38"/>
      <c r="AH49" s="8" t="str">
        <f>IF(ISBLANK(AG49)," ",IF(AG49="np",SpecialScores!$C$3,IF(AG49="dnf",SpecialScores!$C$4,MIN(1000,(500*LOG(1+99*AG49/SpecialScores!$E$3))))))</f>
        <v xml:space="preserve"> </v>
      </c>
      <c r="AI49" s="12" t="str">
        <f t="shared" si="38"/>
        <v/>
      </c>
      <c r="AP49" s="49"/>
    </row>
    <row r="50" spans="1:42" x14ac:dyDescent="0.35">
      <c r="A50" s="42"/>
      <c r="E50" s="33" t="str">
        <f t="shared" si="26"/>
        <v xml:space="preserve"> </v>
      </c>
      <c r="F50" s="33" t="str">
        <f t="shared" si="27"/>
        <v xml:space="preserve"> </v>
      </c>
      <c r="G50" s="7" t="str">
        <f t="shared" si="28"/>
        <v xml:space="preserve"> </v>
      </c>
      <c r="H50" s="7" t="str">
        <f t="shared" si="29"/>
        <v xml:space="preserve"> </v>
      </c>
      <c r="I50" s="38"/>
      <c r="J50" s="8" t="str">
        <f>IF(ISBLANK(I50)," ",IF(I50="np",SpecialScores!$C$3,IF(I50="dnf",SpecialScores!$C$4,MIN( 1000+I50/SpecialScores!$E$3*0.0001,(500*LOG(1+99*I50/SpecialScores!$E$3))))))</f>
        <v xml:space="preserve"> </v>
      </c>
      <c r="K50" s="12" t="str">
        <f t="shared" si="30"/>
        <v/>
      </c>
      <c r="L50" s="38"/>
      <c r="M50" s="8" t="str">
        <f>IF(ISBLANK(L50)," ",IF(L50="np",SpecialScores!$C$3,IF(L50="dnf",SpecialScores!$C$4,MIN( 1000+L50/SpecialScores!$H$3*0.0001,(500*LOG(1+99*L50/SpecialScores!$H$3))))))</f>
        <v xml:space="preserve"> </v>
      </c>
      <c r="N50" s="12" t="str">
        <f t="shared" si="31"/>
        <v/>
      </c>
      <c r="O50" s="38"/>
      <c r="P50" s="8" t="str">
        <f>IF(ISBLANK(O50)," ",IF(O50="np",SpecialScores!$C$3,IF(O50="dnf",SpecialScores!$C$4,MIN(1000,(500*LOG(1+99*O50/SpecialScores!$K$3))))))</f>
        <v xml:space="preserve"> </v>
      </c>
      <c r="Q50" s="12" t="str">
        <f t="shared" si="32"/>
        <v/>
      </c>
      <c r="R50" s="38"/>
      <c r="S50" s="8" t="str">
        <f>IF(ISBLANK(R50)," ",IF(R50="np",SpecialScores!$C$3,IF(R50="dnf",SpecialScores!$C$4,      IF(AND(R50&gt;=0,R50&lt;SpecialScores!$O$12), (500*LOG(1+99*R50/SpecialScores!$O$12*SpecialScores!$O$11/SpecialScores!$O$10)),                         MIN((500*LOG(1+99*SpecialScores!$O$11/R50)))))))</f>
        <v xml:space="preserve"> </v>
      </c>
      <c r="T50" s="12" t="str">
        <f t="shared" si="33"/>
        <v/>
      </c>
      <c r="U50" s="38"/>
      <c r="V50" s="8" t="str">
        <f>IF(ISBLANK(U50)," ",IF(U50="np",SpecialScores!$C$3,IF(U50="dnf",SpecialScores!$C$4,MIN((500*LOG(1+99*U50/SpecialScores!$R$3))))))</f>
        <v xml:space="preserve"> </v>
      </c>
      <c r="W50" s="12" t="str">
        <f t="shared" si="34"/>
        <v/>
      </c>
      <c r="X50" s="38"/>
      <c r="Y50" s="8" t="str">
        <f>IF(ISBLANK(X50)," ",IF(X50="np",SpecialScores!$C$3,IF(X50="dnf",SpecialScores!$C$4,MIN( 1000+X50/SpecialScores!$U$3*0.0001,(500*LOG(1+99*X50/SpecialScores!$U$3))))))</f>
        <v xml:space="preserve"> </v>
      </c>
      <c r="Z50" s="12" t="str">
        <f t="shared" si="35"/>
        <v/>
      </c>
      <c r="AA50" s="38"/>
      <c r="AB50" s="8" t="str">
        <f>IF(ISBLANK(AA50)," ",IF(AA50="np",SpecialScores!$C$3,IF(AA50="dnf",SpecialScores!$C$4,      IF(AND(AA50&gt;=0,AA50&lt;SpecialScores!$X$12), (500*LOG(1+99*AA50/SpecialScores!$X$12*SpecialScores!$X$11/SpecialScores!$X$10)),                         MIN((500*LOG(1+99*SpecialScores!$X$11/AA50)))))))</f>
        <v xml:space="preserve"> </v>
      </c>
      <c r="AC50" s="12" t="str">
        <f t="shared" si="36"/>
        <v/>
      </c>
      <c r="AD50" s="38"/>
      <c r="AE50" s="8" t="str">
        <f>IF(ISBLANK(AD50)," ",IF(AD50="np",SpecialScores!$C$3,IF(AD50="dnf",SpecialScores!$C$4,MIN( 1000+AD50/SpecialScores!$AA$5*0.0001,(500*LOG(1+99*AD50/SpecialScores!$AA$5))))))</f>
        <v xml:space="preserve"> </v>
      </c>
      <c r="AF50" s="12" t="str">
        <f t="shared" si="37"/>
        <v/>
      </c>
      <c r="AG50" s="38"/>
      <c r="AH50" s="8" t="str">
        <f>IF(ISBLANK(AG50)," ",IF(AG50="np",SpecialScores!$C$3,IF(AG50="dnf",SpecialScores!$C$4,MIN(1000,(500*LOG(1+99*AG50/SpecialScores!$E$3))))))</f>
        <v xml:space="preserve"> </v>
      </c>
      <c r="AI50" s="12" t="str">
        <f t="shared" si="38"/>
        <v/>
      </c>
      <c r="AP50" s="49"/>
    </row>
    <row r="51" spans="1:42" x14ac:dyDescent="0.35">
      <c r="A51" s="42"/>
      <c r="E51" s="33" t="str">
        <f t="shared" si="26"/>
        <v xml:space="preserve"> </v>
      </c>
      <c r="F51" s="33" t="str">
        <f t="shared" si="27"/>
        <v xml:space="preserve"> </v>
      </c>
      <c r="G51" s="7" t="str">
        <f t="shared" si="28"/>
        <v xml:space="preserve"> </v>
      </c>
      <c r="H51" s="7" t="str">
        <f t="shared" si="29"/>
        <v xml:space="preserve"> </v>
      </c>
      <c r="I51" s="38"/>
      <c r="J51" s="8" t="str">
        <f>IF(ISBLANK(I51)," ",IF(I51="np",SpecialScores!$C$3,IF(I51="dnf",SpecialScores!$C$4,MIN( 1000+I51/SpecialScores!$E$3*0.0001,(500*LOG(1+99*I51/SpecialScores!$E$3))))))</f>
        <v xml:space="preserve"> </v>
      </c>
      <c r="K51" s="12" t="str">
        <f t="shared" si="30"/>
        <v/>
      </c>
      <c r="L51" s="38"/>
      <c r="M51" s="8" t="str">
        <f>IF(ISBLANK(L51)," ",IF(L51="np",SpecialScores!$C$3,IF(L51="dnf",SpecialScores!$C$4,MIN( 1000+L51/SpecialScores!$H$3*0.0001,(500*LOG(1+99*L51/SpecialScores!$H$3))))))</f>
        <v xml:space="preserve"> </v>
      </c>
      <c r="N51" s="12" t="str">
        <f t="shared" si="31"/>
        <v/>
      </c>
      <c r="O51" s="38"/>
      <c r="P51" s="8" t="str">
        <f>IF(ISBLANK(O51)," ",IF(O51="np",SpecialScores!$C$3,IF(O51="dnf",SpecialScores!$C$4,MIN(1000,(500*LOG(1+99*O51/SpecialScores!$K$3))))))</f>
        <v xml:space="preserve"> </v>
      </c>
      <c r="Q51" s="12" t="str">
        <f t="shared" si="32"/>
        <v/>
      </c>
      <c r="R51" s="38"/>
      <c r="S51" s="8" t="str">
        <f>IF(ISBLANK(R51)," ",IF(R51="np",SpecialScores!$C$3,IF(R51="dnf",SpecialScores!$C$4,      IF(AND(R51&gt;=0,R51&lt;SpecialScores!$O$12), (500*LOG(1+99*R51/SpecialScores!$O$12*SpecialScores!$O$11/SpecialScores!$O$10)),                         MIN((500*LOG(1+99*SpecialScores!$O$11/R51)))))))</f>
        <v xml:space="preserve"> </v>
      </c>
      <c r="T51" s="12" t="str">
        <f t="shared" si="33"/>
        <v/>
      </c>
      <c r="U51" s="38"/>
      <c r="V51" s="8" t="str">
        <f>IF(ISBLANK(U51)," ",IF(U51="np",SpecialScores!$C$3,IF(U51="dnf",SpecialScores!$C$4,MIN((500*LOG(1+99*U51/SpecialScores!$R$3))))))</f>
        <v xml:space="preserve"> </v>
      </c>
      <c r="W51" s="12" t="str">
        <f t="shared" si="34"/>
        <v/>
      </c>
      <c r="X51" s="38"/>
      <c r="Y51" s="8" t="str">
        <f>IF(ISBLANK(X51)," ",IF(X51="np",SpecialScores!$C$3,IF(X51="dnf",SpecialScores!$C$4,MIN( 1000+X51/SpecialScores!$U$3*0.0001,(500*LOG(1+99*X51/SpecialScores!$U$3))))))</f>
        <v xml:space="preserve"> </v>
      </c>
      <c r="Z51" s="12" t="str">
        <f t="shared" si="35"/>
        <v/>
      </c>
      <c r="AA51" s="38"/>
      <c r="AB51" s="8" t="str">
        <f>IF(ISBLANK(AA51)," ",IF(AA51="np",SpecialScores!$C$3,IF(AA51="dnf",SpecialScores!$C$4,      IF(AND(AA51&gt;=0,AA51&lt;SpecialScores!$X$12), (500*LOG(1+99*AA51/SpecialScores!$X$12*SpecialScores!$X$11/SpecialScores!$X$10)),                         MIN((500*LOG(1+99*SpecialScores!$X$11/AA51)))))))</f>
        <v xml:space="preserve"> </v>
      </c>
      <c r="AC51" s="12" t="str">
        <f t="shared" si="36"/>
        <v/>
      </c>
      <c r="AD51" s="38"/>
      <c r="AE51" s="8" t="str">
        <f>IF(ISBLANK(AD51)," ",IF(AD51="np",SpecialScores!$C$3,IF(AD51="dnf",SpecialScores!$C$4,MIN( 1000+AD51/SpecialScores!$AA$5*0.0001,(500*LOG(1+99*AD51/SpecialScores!$AA$5))))))</f>
        <v xml:space="preserve"> </v>
      </c>
      <c r="AF51" s="12" t="str">
        <f t="shared" si="37"/>
        <v/>
      </c>
      <c r="AG51" s="38"/>
      <c r="AH51" s="8" t="str">
        <f>IF(ISBLANK(AG51)," ",IF(AG51="np",SpecialScores!$C$3,IF(AG51="dnf",SpecialScores!$C$4,MIN(1000,(500*LOG(1+99*AG51/SpecialScores!$E$3))))))</f>
        <v xml:space="preserve"> </v>
      </c>
      <c r="AI51" s="12" t="str">
        <f t="shared" si="38"/>
        <v/>
      </c>
      <c r="AP51" s="49"/>
    </row>
    <row r="52" spans="1:42" x14ac:dyDescent="0.35">
      <c r="A52" s="42"/>
      <c r="E52" s="33" t="str">
        <f t="shared" si="26"/>
        <v xml:space="preserve"> </v>
      </c>
      <c r="F52" s="33" t="str">
        <f t="shared" si="27"/>
        <v xml:space="preserve"> </v>
      </c>
      <c r="G52" s="7" t="str">
        <f t="shared" si="28"/>
        <v xml:space="preserve"> </v>
      </c>
      <c r="H52" s="7" t="str">
        <f t="shared" si="29"/>
        <v xml:space="preserve"> </v>
      </c>
      <c r="I52" s="38"/>
      <c r="J52" s="8" t="str">
        <f>IF(ISBLANK(I52)," ",IF(I52="np",SpecialScores!$C$3,IF(I52="dnf",SpecialScores!$C$4,MIN( 1000+I52/SpecialScores!$E$3*0.0001,(500*LOG(1+99*I52/SpecialScores!$E$3))))))</f>
        <v xml:space="preserve"> </v>
      </c>
      <c r="K52" s="12" t="str">
        <f t="shared" si="30"/>
        <v/>
      </c>
      <c r="L52" s="38"/>
      <c r="M52" s="8" t="str">
        <f>IF(ISBLANK(L52)," ",IF(L52="np",SpecialScores!$C$3,IF(L52="dnf",SpecialScores!$C$4,MIN( 1000+L52/SpecialScores!$H$3*0.0001,(500*LOG(1+99*L52/SpecialScores!$H$3))))))</f>
        <v xml:space="preserve"> </v>
      </c>
      <c r="N52" s="12" t="str">
        <f t="shared" si="31"/>
        <v/>
      </c>
      <c r="O52" s="38"/>
      <c r="P52" s="8" t="str">
        <f>IF(ISBLANK(O52)," ",IF(O52="np",SpecialScores!$C$3,IF(O52="dnf",SpecialScores!$C$4,MIN(1000,(500*LOG(1+99*O52/SpecialScores!$K$3))))))</f>
        <v xml:space="preserve"> </v>
      </c>
      <c r="Q52" s="12" t="str">
        <f t="shared" si="32"/>
        <v/>
      </c>
      <c r="R52" s="38"/>
      <c r="S52" s="8" t="str">
        <f>IF(ISBLANK(R52)," ",IF(R52="np",SpecialScores!$C$3,IF(R52="dnf",SpecialScores!$C$4,      IF(AND(R52&gt;=0,R52&lt;SpecialScores!$O$12), (500*LOG(1+99*R52/SpecialScores!$O$12*SpecialScores!$O$11/SpecialScores!$O$10)),                         MIN((500*LOG(1+99*SpecialScores!$O$11/R52)))))))</f>
        <v xml:space="preserve"> </v>
      </c>
      <c r="T52" s="12" t="str">
        <f t="shared" si="33"/>
        <v/>
      </c>
      <c r="U52" s="38"/>
      <c r="V52" s="8" t="str">
        <f>IF(ISBLANK(U52)," ",IF(U52="np",SpecialScores!$C$3,IF(U52="dnf",SpecialScores!$C$4,MIN((500*LOG(1+99*U52/SpecialScores!$R$3))))))</f>
        <v xml:space="preserve"> </v>
      </c>
      <c r="W52" s="12" t="str">
        <f t="shared" si="34"/>
        <v/>
      </c>
      <c r="X52" s="38"/>
      <c r="Y52" s="8" t="str">
        <f>IF(ISBLANK(X52)," ",IF(X52="np",SpecialScores!$C$3,IF(X52="dnf",SpecialScores!$C$4,MIN( 1000+X52/SpecialScores!$U$3*0.0001,(500*LOG(1+99*X52/SpecialScores!$U$3))))))</f>
        <v xml:space="preserve"> </v>
      </c>
      <c r="Z52" s="12" t="str">
        <f t="shared" si="35"/>
        <v/>
      </c>
      <c r="AA52" s="38"/>
      <c r="AB52" s="8" t="str">
        <f>IF(ISBLANK(AA52)," ",IF(AA52="np",SpecialScores!$C$3,IF(AA52="dnf",SpecialScores!$C$4,      IF(AND(AA52&gt;=0,AA52&lt;SpecialScores!$X$12), (500*LOG(1+99*AA52/SpecialScores!$X$12*SpecialScores!$X$11/SpecialScores!$X$10)),                         MIN((500*LOG(1+99*SpecialScores!$X$11/AA52)))))))</f>
        <v xml:space="preserve"> </v>
      </c>
      <c r="AC52" s="12" t="str">
        <f t="shared" si="36"/>
        <v/>
      </c>
      <c r="AD52" s="38"/>
      <c r="AE52" s="8" t="str">
        <f>IF(ISBLANK(AD52)," ",IF(AD52="np",SpecialScores!$C$3,IF(AD52="dnf",SpecialScores!$C$4,MIN( 1000+AD52/SpecialScores!$AA$5*0.0001,(500*LOG(1+99*AD52/SpecialScores!$AA$5))))))</f>
        <v xml:space="preserve"> </v>
      </c>
      <c r="AF52" s="12" t="str">
        <f t="shared" si="37"/>
        <v/>
      </c>
      <c r="AG52" s="38"/>
      <c r="AH52" s="8" t="str">
        <f>IF(ISBLANK(AG52)," ",IF(AG52="np",SpecialScores!$C$3,IF(AG52="dnf",SpecialScores!$C$4,MIN(1000,(500*LOG(1+99*AG52/SpecialScores!$E$3))))))</f>
        <v xml:space="preserve"> </v>
      </c>
      <c r="AI52" s="12" t="str">
        <f t="shared" si="38"/>
        <v/>
      </c>
      <c r="AP52" s="49"/>
    </row>
    <row r="53" spans="1:42" x14ac:dyDescent="0.35">
      <c r="A53" s="42"/>
      <c r="E53" s="33" t="str">
        <f t="shared" si="26"/>
        <v xml:space="preserve"> </v>
      </c>
      <c r="F53" s="33" t="str">
        <f t="shared" si="27"/>
        <v xml:space="preserve"> </v>
      </c>
      <c r="G53" s="7" t="str">
        <f t="shared" si="28"/>
        <v xml:space="preserve"> </v>
      </c>
      <c r="H53" s="7" t="str">
        <f t="shared" si="29"/>
        <v xml:space="preserve"> </v>
      </c>
      <c r="I53" s="38"/>
      <c r="J53" s="8" t="str">
        <f>IF(ISBLANK(I53)," ",IF(I53="np",SpecialScores!$C$3,IF(I53="dnf",SpecialScores!$C$4,MIN( 1000+I53/SpecialScores!$E$3*0.0001,(500*LOG(1+99*I53/SpecialScores!$E$3))))))</f>
        <v xml:space="preserve"> </v>
      </c>
      <c r="K53" s="12" t="str">
        <f t="shared" si="30"/>
        <v/>
      </c>
      <c r="L53" s="38"/>
      <c r="M53" s="8" t="str">
        <f>IF(ISBLANK(L53)," ",IF(L53="np",SpecialScores!$C$3,IF(L53="dnf",SpecialScores!$C$4,MIN( 1000+L53/SpecialScores!$H$3*0.0001,(500*LOG(1+99*L53/SpecialScores!$H$3))))))</f>
        <v xml:space="preserve"> </v>
      </c>
      <c r="N53" s="12" t="str">
        <f t="shared" si="31"/>
        <v/>
      </c>
      <c r="O53" s="38"/>
      <c r="P53" s="8" t="str">
        <f>IF(ISBLANK(O53)," ",IF(O53="np",SpecialScores!$C$3,IF(O53="dnf",SpecialScores!$C$4,MIN(1000,(500*LOG(1+99*O53/SpecialScores!$K$3))))))</f>
        <v xml:space="preserve"> </v>
      </c>
      <c r="Q53" s="12" t="str">
        <f t="shared" si="32"/>
        <v/>
      </c>
      <c r="R53" s="38"/>
      <c r="S53" s="8" t="str">
        <f>IF(ISBLANK(R53)," ",IF(R53="np",SpecialScores!$C$3,IF(R53="dnf",SpecialScores!$C$4,      IF(AND(R53&gt;=0,R53&lt;SpecialScores!$O$12), (500*LOG(1+99*R53/SpecialScores!$O$12*SpecialScores!$O$11/SpecialScores!$O$10)),                         MIN((500*LOG(1+99*SpecialScores!$O$11/R53)))))))</f>
        <v xml:space="preserve"> </v>
      </c>
      <c r="T53" s="12" t="str">
        <f t="shared" si="33"/>
        <v/>
      </c>
      <c r="U53" s="38"/>
      <c r="V53" s="8" t="str">
        <f>IF(ISBLANK(U53)," ",IF(U53="np",SpecialScores!$C$3,IF(U53="dnf",SpecialScores!$C$4,MIN((500*LOG(1+99*U53/SpecialScores!$R$3))))))</f>
        <v xml:space="preserve"> </v>
      </c>
      <c r="W53" s="12" t="str">
        <f t="shared" si="34"/>
        <v/>
      </c>
      <c r="X53" s="38"/>
      <c r="Y53" s="8" t="str">
        <f>IF(ISBLANK(X53)," ",IF(X53="np",SpecialScores!$C$3,IF(X53="dnf",SpecialScores!$C$4,MIN( 1000+X53/SpecialScores!$U$3*0.0001,(500*LOG(1+99*X53/SpecialScores!$U$3))))))</f>
        <v xml:space="preserve"> </v>
      </c>
      <c r="Z53" s="12" t="str">
        <f t="shared" si="35"/>
        <v/>
      </c>
      <c r="AA53" s="38"/>
      <c r="AB53" s="8" t="str">
        <f>IF(ISBLANK(AA53)," ",IF(AA53="np",SpecialScores!$C$3,IF(AA53="dnf",SpecialScores!$C$4,      IF(AND(AA53&gt;=0,AA53&lt;SpecialScores!$X$12), (500*LOG(1+99*AA53/SpecialScores!$X$12*SpecialScores!$X$11/SpecialScores!$X$10)),                         MIN((500*LOG(1+99*SpecialScores!$X$11/AA53)))))))</f>
        <v xml:space="preserve"> </v>
      </c>
      <c r="AC53" s="12" t="str">
        <f t="shared" si="36"/>
        <v/>
      </c>
      <c r="AD53" s="38"/>
      <c r="AE53" s="8" t="str">
        <f>IF(ISBLANK(AD53)," ",IF(AD53="np",SpecialScores!$C$3,IF(AD53="dnf",SpecialScores!$C$4,MIN( 1000+AD53/SpecialScores!$AA$5*0.0001,(500*LOG(1+99*AD53/SpecialScores!$AA$5))))))</f>
        <v xml:space="preserve"> </v>
      </c>
      <c r="AF53" s="12" t="str">
        <f t="shared" si="37"/>
        <v/>
      </c>
      <c r="AG53" s="38"/>
      <c r="AH53" s="8" t="str">
        <f>IF(ISBLANK(AG53)," ",IF(AG53="np",SpecialScores!$C$3,IF(AG53="dnf",SpecialScores!$C$4,MIN(1000,(500*LOG(1+99*AG53/SpecialScores!$E$3))))))</f>
        <v xml:space="preserve"> </v>
      </c>
      <c r="AI53" s="12" t="str">
        <f t="shared" si="38"/>
        <v/>
      </c>
      <c r="AP53" s="49"/>
    </row>
    <row r="54" spans="1:42" x14ac:dyDescent="0.35">
      <c r="A54" s="42"/>
      <c r="E54" s="33" t="str">
        <f t="shared" si="26"/>
        <v xml:space="preserve"> </v>
      </c>
      <c r="F54" s="33" t="str">
        <f t="shared" si="27"/>
        <v xml:space="preserve"> </v>
      </c>
      <c r="G54" s="7" t="str">
        <f t="shared" si="28"/>
        <v xml:space="preserve"> </v>
      </c>
      <c r="H54" s="7" t="str">
        <f t="shared" si="29"/>
        <v xml:space="preserve"> </v>
      </c>
      <c r="I54" s="38"/>
      <c r="J54" s="8" t="str">
        <f>IF(ISBLANK(I54)," ",IF(I54="np",SpecialScores!$C$3,IF(I54="dnf",SpecialScores!$C$4,MIN( 1000+I54/SpecialScores!$E$3*0.0001,(500*LOG(1+99*I54/SpecialScores!$E$3))))))</f>
        <v xml:space="preserve"> </v>
      </c>
      <c r="K54" s="12" t="str">
        <f t="shared" si="30"/>
        <v/>
      </c>
      <c r="L54" s="38"/>
      <c r="M54" s="8" t="str">
        <f>IF(ISBLANK(L54)," ",IF(L54="np",SpecialScores!$C$3,IF(L54="dnf",SpecialScores!$C$4,MIN( 1000+L54/SpecialScores!$H$3*0.0001,(500*LOG(1+99*L54/SpecialScores!$H$3))))))</f>
        <v xml:space="preserve"> </v>
      </c>
      <c r="N54" s="12" t="str">
        <f t="shared" si="31"/>
        <v/>
      </c>
      <c r="O54" s="38"/>
      <c r="P54" s="8" t="str">
        <f>IF(ISBLANK(O54)," ",IF(O54="np",SpecialScores!$C$3,IF(O54="dnf",SpecialScores!$C$4,MIN(1000,(500*LOG(1+99*O54/SpecialScores!$K$3))))))</f>
        <v xml:space="preserve"> </v>
      </c>
      <c r="Q54" s="12" t="str">
        <f t="shared" si="32"/>
        <v/>
      </c>
      <c r="R54" s="38"/>
      <c r="S54" s="8" t="str">
        <f>IF(ISBLANK(R54)," ",IF(R54="np",SpecialScores!$C$3,IF(R54="dnf",SpecialScores!$C$4,      IF(AND(R54&gt;=0,R54&lt;SpecialScores!$O$12), (500*LOG(1+99*R54/SpecialScores!$O$12*SpecialScores!$O$11/SpecialScores!$O$10)),                         MIN((500*LOG(1+99*SpecialScores!$O$11/R54)))))))</f>
        <v xml:space="preserve"> </v>
      </c>
      <c r="T54" s="12" t="str">
        <f t="shared" si="33"/>
        <v/>
      </c>
      <c r="U54" s="38"/>
      <c r="V54" s="8" t="str">
        <f>IF(ISBLANK(U54)," ",IF(U54="np",SpecialScores!$C$3,IF(U54="dnf",SpecialScores!$C$4,MIN((500*LOG(1+99*U54/SpecialScores!$R$3))))))</f>
        <v xml:space="preserve"> </v>
      </c>
      <c r="W54" s="12" t="str">
        <f t="shared" si="34"/>
        <v/>
      </c>
      <c r="X54" s="38"/>
      <c r="Y54" s="8" t="str">
        <f>IF(ISBLANK(X54)," ",IF(X54="np",SpecialScores!$C$3,IF(X54="dnf",SpecialScores!$C$4,MIN( 1000+X54/SpecialScores!$U$3*0.0001,(500*LOG(1+99*X54/SpecialScores!$U$3))))))</f>
        <v xml:space="preserve"> </v>
      </c>
      <c r="Z54" s="12" t="str">
        <f t="shared" si="35"/>
        <v/>
      </c>
      <c r="AA54" s="38"/>
      <c r="AB54" s="8" t="str">
        <f>IF(ISBLANK(AA54)," ",IF(AA54="np",SpecialScores!$C$3,IF(AA54="dnf",SpecialScores!$C$4,      IF(AND(AA54&gt;=0,AA54&lt;SpecialScores!$X$12), (500*LOG(1+99*AA54/SpecialScores!$X$12*SpecialScores!$X$11/SpecialScores!$X$10)),                         MIN((500*LOG(1+99*SpecialScores!$X$11/AA54)))))))</f>
        <v xml:space="preserve"> </v>
      </c>
      <c r="AC54" s="12" t="str">
        <f t="shared" si="36"/>
        <v/>
      </c>
      <c r="AD54" s="38"/>
      <c r="AE54" s="8" t="str">
        <f>IF(ISBLANK(AD54)," ",IF(AD54="np",SpecialScores!$C$3,IF(AD54="dnf",SpecialScores!$C$4,MIN( 1000+AD54/SpecialScores!$AA$5*0.0001,(500*LOG(1+99*AD54/SpecialScores!$AA$5))))))</f>
        <v xml:space="preserve"> </v>
      </c>
      <c r="AF54" s="12" t="str">
        <f t="shared" si="37"/>
        <v/>
      </c>
      <c r="AG54" s="38"/>
      <c r="AH54" s="8" t="str">
        <f>IF(ISBLANK(AG54)," ",IF(AG54="np",SpecialScores!$C$3,IF(AG54="dnf",SpecialScores!$C$4,MIN(1000,(500*LOG(1+99*AG54/SpecialScores!$E$3))))))</f>
        <v xml:space="preserve"> </v>
      </c>
      <c r="AI54" s="12" t="str">
        <f t="shared" si="38"/>
        <v/>
      </c>
      <c r="AP54" s="49"/>
    </row>
    <row r="55" spans="1:42" x14ac:dyDescent="0.35">
      <c r="A55" s="42"/>
      <c r="E55" s="33" t="str">
        <f t="shared" si="26"/>
        <v xml:space="preserve"> </v>
      </c>
      <c r="F55" s="33" t="str">
        <f t="shared" si="27"/>
        <v xml:space="preserve"> </v>
      </c>
      <c r="G55" s="7" t="str">
        <f t="shared" si="28"/>
        <v xml:space="preserve"> </v>
      </c>
      <c r="H55" s="7" t="str">
        <f t="shared" si="29"/>
        <v xml:space="preserve"> </v>
      </c>
      <c r="I55" s="38"/>
      <c r="J55" s="8" t="str">
        <f>IF(ISBLANK(I55)," ",IF(I55="np",SpecialScores!$C$3,IF(I55="dnf",SpecialScores!$C$4,MIN( 1000+I55/SpecialScores!$E$3*0.0001,(500*LOG(1+99*I55/SpecialScores!$E$3))))))</f>
        <v xml:space="preserve"> </v>
      </c>
      <c r="K55" s="12" t="str">
        <f t="shared" si="30"/>
        <v/>
      </c>
      <c r="L55" s="38"/>
      <c r="M55" s="8" t="str">
        <f>IF(ISBLANK(L55)," ",IF(L55="np",SpecialScores!$C$3,IF(L55="dnf",SpecialScores!$C$4,MIN( 1000+L55/SpecialScores!$H$3*0.0001,(500*LOG(1+99*L55/SpecialScores!$H$3))))))</f>
        <v xml:space="preserve"> </v>
      </c>
      <c r="N55" s="12" t="str">
        <f t="shared" si="31"/>
        <v/>
      </c>
      <c r="O55" s="38"/>
      <c r="P55" s="8" t="str">
        <f>IF(ISBLANK(O55)," ",IF(O55="np",SpecialScores!$C$3,IF(O55="dnf",SpecialScores!$C$4,MIN(1000,(500*LOG(1+99*O55/SpecialScores!$K$3))))))</f>
        <v xml:space="preserve"> </v>
      </c>
      <c r="Q55" s="12" t="str">
        <f t="shared" si="32"/>
        <v/>
      </c>
      <c r="R55" s="38"/>
      <c r="S55" s="8" t="str">
        <f>IF(ISBLANK(R55)," ",IF(R55="np",SpecialScores!$C$3,IF(R55="dnf",SpecialScores!$C$4,      IF(AND(R55&gt;=0,R55&lt;SpecialScores!$O$12), (500*LOG(1+99*R55/SpecialScores!$O$12*SpecialScores!$O$11/SpecialScores!$O$10)),                         MIN((500*LOG(1+99*SpecialScores!$O$11/R55)))))))</f>
        <v xml:space="preserve"> </v>
      </c>
      <c r="T55" s="12" t="str">
        <f t="shared" si="33"/>
        <v/>
      </c>
      <c r="U55" s="38"/>
      <c r="V55" s="8" t="str">
        <f>IF(ISBLANK(U55)," ",IF(U55="np",SpecialScores!$C$3,IF(U55="dnf",SpecialScores!$C$4,MIN((500*LOG(1+99*U55/SpecialScores!$R$3))))))</f>
        <v xml:space="preserve"> </v>
      </c>
      <c r="W55" s="12" t="str">
        <f t="shared" si="34"/>
        <v/>
      </c>
      <c r="X55" s="38"/>
      <c r="Y55" s="8" t="str">
        <f>IF(ISBLANK(X55)," ",IF(X55="np",SpecialScores!$C$3,IF(X55="dnf",SpecialScores!$C$4,MIN( 1000+X55/SpecialScores!$U$3*0.0001,(500*LOG(1+99*X55/SpecialScores!$U$3))))))</f>
        <v xml:space="preserve"> </v>
      </c>
      <c r="Z55" s="12" t="str">
        <f t="shared" si="35"/>
        <v/>
      </c>
      <c r="AA55" s="38"/>
      <c r="AB55" s="8" t="str">
        <f>IF(ISBLANK(AA55)," ",IF(AA55="np",SpecialScores!$C$3,IF(AA55="dnf",SpecialScores!$C$4,      IF(AND(AA55&gt;=0,AA55&lt;SpecialScores!$X$12), (500*LOG(1+99*AA55/SpecialScores!$X$12*SpecialScores!$X$11/SpecialScores!$X$10)),                         MIN((500*LOG(1+99*SpecialScores!$X$11/AA55)))))))</f>
        <v xml:space="preserve"> </v>
      </c>
      <c r="AC55" s="12" t="str">
        <f t="shared" si="36"/>
        <v/>
      </c>
      <c r="AD55" s="38"/>
      <c r="AE55" s="8" t="str">
        <f>IF(ISBLANK(AD55)," ",IF(AD55="np",SpecialScores!$C$3,IF(AD55="dnf",SpecialScores!$C$4,MIN( 1000+AD55/SpecialScores!$AA$5*0.0001,(500*LOG(1+99*AD55/SpecialScores!$AA$5))))))</f>
        <v xml:space="preserve"> </v>
      </c>
      <c r="AF55" s="12" t="str">
        <f t="shared" si="37"/>
        <v/>
      </c>
      <c r="AG55" s="38"/>
      <c r="AH55" s="8" t="str">
        <f>IF(ISBLANK(AG55)," ",IF(AG55="np",SpecialScores!$C$3,IF(AG55="dnf",SpecialScores!$C$4,MIN(1000,(500*LOG(1+99*AG55/SpecialScores!$E$3))))))</f>
        <v xml:space="preserve"> </v>
      </c>
      <c r="AI55" s="12" t="str">
        <f t="shared" si="38"/>
        <v/>
      </c>
      <c r="AP55" s="49"/>
    </row>
    <row r="56" spans="1:42" x14ac:dyDescent="0.35">
      <c r="A56" s="42"/>
      <c r="E56" s="33" t="str">
        <f t="shared" si="26"/>
        <v xml:space="preserve"> </v>
      </c>
      <c r="F56" s="33" t="str">
        <f t="shared" si="27"/>
        <v xml:space="preserve"> </v>
      </c>
      <c r="G56" s="7" t="str">
        <f t="shared" si="28"/>
        <v xml:space="preserve"> </v>
      </c>
      <c r="H56" s="7" t="str">
        <f t="shared" si="29"/>
        <v xml:space="preserve"> </v>
      </c>
      <c r="I56" s="38"/>
      <c r="J56" s="8" t="str">
        <f>IF(ISBLANK(I56)," ",IF(I56="np",SpecialScores!$C$3,IF(I56="dnf",SpecialScores!$C$4,MIN( 1000+I56/SpecialScores!$E$3*0.0001,(500*LOG(1+99*I56/SpecialScores!$E$3))))))</f>
        <v xml:space="preserve"> </v>
      </c>
      <c r="K56" s="12" t="str">
        <f t="shared" si="30"/>
        <v/>
      </c>
      <c r="L56" s="38"/>
      <c r="M56" s="8" t="str">
        <f>IF(ISBLANK(L56)," ",IF(L56="np",SpecialScores!$C$3,IF(L56="dnf",SpecialScores!$C$4,MIN( 1000+L56/SpecialScores!$H$3*0.0001,(500*LOG(1+99*L56/SpecialScores!$H$3))))))</f>
        <v xml:space="preserve"> </v>
      </c>
      <c r="N56" s="12" t="str">
        <f t="shared" si="31"/>
        <v/>
      </c>
      <c r="O56" s="38"/>
      <c r="P56" s="8" t="str">
        <f>IF(ISBLANK(O56)," ",IF(O56="np",SpecialScores!$C$3,IF(O56="dnf",SpecialScores!$C$4,MIN(1000,(500*LOG(1+99*O56/SpecialScores!$K$3))))))</f>
        <v xml:space="preserve"> </v>
      </c>
      <c r="Q56" s="12" t="str">
        <f t="shared" si="32"/>
        <v/>
      </c>
      <c r="R56" s="38"/>
      <c r="S56" s="8" t="str">
        <f>IF(ISBLANK(R56)," ",IF(R56="np",SpecialScores!$C$3,IF(R56="dnf",SpecialScores!$C$4,      IF(AND(R56&gt;=0,R56&lt;SpecialScores!$O$12), (500*LOG(1+99*R56/SpecialScores!$O$12*SpecialScores!$O$11/SpecialScores!$O$10)),                         MIN((500*LOG(1+99*SpecialScores!$O$11/R56)))))))</f>
        <v xml:space="preserve"> </v>
      </c>
      <c r="T56" s="12" t="str">
        <f t="shared" si="33"/>
        <v/>
      </c>
      <c r="U56" s="38"/>
      <c r="V56" s="8" t="str">
        <f>IF(ISBLANK(U56)," ",IF(U56="np",SpecialScores!$C$3,IF(U56="dnf",SpecialScores!$C$4,MIN((500*LOG(1+99*U56/SpecialScores!$R$3))))))</f>
        <v xml:space="preserve"> </v>
      </c>
      <c r="W56" s="12" t="str">
        <f t="shared" si="34"/>
        <v/>
      </c>
      <c r="X56" s="38"/>
      <c r="Y56" s="8" t="str">
        <f>IF(ISBLANK(X56)," ",IF(X56="np",SpecialScores!$C$3,IF(X56="dnf",SpecialScores!$C$4,MIN( 1000+X56/SpecialScores!$U$3*0.0001,(500*LOG(1+99*X56/SpecialScores!$U$3))))))</f>
        <v xml:space="preserve"> </v>
      </c>
      <c r="Z56" s="12" t="str">
        <f t="shared" si="35"/>
        <v/>
      </c>
      <c r="AA56" s="38"/>
      <c r="AB56" s="8" t="str">
        <f>IF(ISBLANK(AA56)," ",IF(AA56="np",SpecialScores!$C$3,IF(AA56="dnf",SpecialScores!$C$4,      IF(AND(AA56&gt;=0,AA56&lt;SpecialScores!$X$12), (500*LOG(1+99*AA56/SpecialScores!$X$12*SpecialScores!$X$11/SpecialScores!$X$10)),                         MIN((500*LOG(1+99*SpecialScores!$X$11/AA56)))))))</f>
        <v xml:space="preserve"> </v>
      </c>
      <c r="AC56" s="12" t="str">
        <f t="shared" si="36"/>
        <v/>
      </c>
      <c r="AD56" s="38"/>
      <c r="AE56" s="8" t="str">
        <f>IF(ISBLANK(AD56)," ",IF(AD56="np",SpecialScores!$C$3,IF(AD56="dnf",SpecialScores!$C$4,MIN( 1000+AD56/SpecialScores!$AA$5*0.0001,(500*LOG(1+99*AD56/SpecialScores!$AA$5))))))</f>
        <v xml:space="preserve"> </v>
      </c>
      <c r="AF56" s="12" t="str">
        <f t="shared" si="37"/>
        <v/>
      </c>
      <c r="AG56" s="38"/>
      <c r="AH56" s="8" t="str">
        <f>IF(ISBLANK(AG56)," ",IF(AG56="np",SpecialScores!$C$3,IF(AG56="dnf",SpecialScores!$C$4,MIN(1000,(500*LOG(1+99*AG56/SpecialScores!$E$3))))))</f>
        <v xml:space="preserve"> </v>
      </c>
      <c r="AI56" s="12" t="str">
        <f t="shared" si="38"/>
        <v/>
      </c>
      <c r="AP56" s="49"/>
    </row>
    <row r="57" spans="1:42" x14ac:dyDescent="0.35">
      <c r="A57" s="42"/>
      <c r="E57" s="33" t="str">
        <f t="shared" si="26"/>
        <v xml:space="preserve"> </v>
      </c>
      <c r="F57" s="33" t="str">
        <f t="shared" si="27"/>
        <v xml:space="preserve"> </v>
      </c>
      <c r="G57" s="7" t="str">
        <f t="shared" si="28"/>
        <v xml:space="preserve"> </v>
      </c>
      <c r="H57" s="7" t="str">
        <f t="shared" si="29"/>
        <v xml:space="preserve"> </v>
      </c>
      <c r="I57" s="38"/>
      <c r="J57" s="8" t="str">
        <f>IF(ISBLANK(I57)," ",IF(I57="np",SpecialScores!$C$3,IF(I57="dnf",SpecialScores!$C$4,MIN( 1000+I57/SpecialScores!$E$3*0.0001,(500*LOG(1+99*I57/SpecialScores!$E$3))))))</f>
        <v xml:space="preserve"> </v>
      </c>
      <c r="K57" s="12" t="str">
        <f t="shared" si="30"/>
        <v/>
      </c>
      <c r="L57" s="38"/>
      <c r="M57" s="8" t="str">
        <f>IF(ISBLANK(L57)," ",IF(L57="np",SpecialScores!$C$3,IF(L57="dnf",SpecialScores!$C$4,MIN( 1000+L57/SpecialScores!$H$3*0.0001,(500*LOG(1+99*L57/SpecialScores!$H$3))))))</f>
        <v xml:space="preserve"> </v>
      </c>
      <c r="N57" s="12" t="str">
        <f t="shared" si="31"/>
        <v/>
      </c>
      <c r="O57" s="38"/>
      <c r="P57" s="8" t="str">
        <f>IF(ISBLANK(O57)," ",IF(O57="np",SpecialScores!$C$3,IF(O57="dnf",SpecialScores!$C$4,MIN(1000,(500*LOG(1+99*O57/SpecialScores!$K$3))))))</f>
        <v xml:space="preserve"> </v>
      </c>
      <c r="Q57" s="12" t="str">
        <f t="shared" si="32"/>
        <v/>
      </c>
      <c r="R57" s="38"/>
      <c r="S57" s="8" t="str">
        <f>IF(ISBLANK(R57)," ",IF(R57="np",SpecialScores!$C$3,IF(R57="dnf",SpecialScores!$C$4,      IF(AND(R57&gt;=0,R57&lt;SpecialScores!$O$12), (500*LOG(1+99*R57/SpecialScores!$O$12*SpecialScores!$O$11/SpecialScores!$O$10)),                         MIN((500*LOG(1+99*SpecialScores!$O$11/R57)))))))</f>
        <v xml:space="preserve"> </v>
      </c>
      <c r="T57" s="12" t="str">
        <f t="shared" si="33"/>
        <v/>
      </c>
      <c r="U57" s="38"/>
      <c r="V57" s="8" t="str">
        <f>IF(ISBLANK(U57)," ",IF(U57="np",SpecialScores!$C$3,IF(U57="dnf",SpecialScores!$C$4,MIN((500*LOG(1+99*U57/SpecialScores!$R$3))))))</f>
        <v xml:space="preserve"> </v>
      </c>
      <c r="W57" s="12" t="str">
        <f t="shared" si="34"/>
        <v/>
      </c>
      <c r="X57" s="38"/>
      <c r="Y57" s="8" t="str">
        <f>IF(ISBLANK(X57)," ",IF(X57="np",SpecialScores!$C$3,IF(X57="dnf",SpecialScores!$C$4,MIN( 1000+X57/SpecialScores!$U$3*0.0001,(500*LOG(1+99*X57/SpecialScores!$U$3))))))</f>
        <v xml:space="preserve"> </v>
      </c>
      <c r="Z57" s="12" t="str">
        <f t="shared" si="35"/>
        <v/>
      </c>
      <c r="AA57" s="38"/>
      <c r="AB57" s="8" t="str">
        <f>IF(ISBLANK(AA57)," ",IF(AA57="np",SpecialScores!$C$3,IF(AA57="dnf",SpecialScores!$C$4,      IF(AND(AA57&gt;=0,AA57&lt;SpecialScores!$X$12), (500*LOG(1+99*AA57/SpecialScores!$X$12*SpecialScores!$X$11/SpecialScores!$X$10)),                         MIN((500*LOG(1+99*SpecialScores!$X$11/AA57)))))))</f>
        <v xml:space="preserve"> </v>
      </c>
      <c r="AC57" s="12" t="str">
        <f t="shared" si="36"/>
        <v/>
      </c>
      <c r="AD57" s="38"/>
      <c r="AE57" s="8" t="str">
        <f>IF(ISBLANK(AD57)," ",IF(AD57="np",SpecialScores!$C$3,IF(AD57="dnf",SpecialScores!$C$4,MIN( 1000+AD57/SpecialScores!$AA$5*0.0001,(500*LOG(1+99*AD57/SpecialScores!$AA$5))))))</f>
        <v xml:space="preserve"> </v>
      </c>
      <c r="AF57" s="12" t="str">
        <f t="shared" si="37"/>
        <v/>
      </c>
      <c r="AG57" s="38"/>
      <c r="AH57" s="8" t="str">
        <f>IF(ISBLANK(AG57)," ",IF(AG57="np",SpecialScores!$C$3,IF(AG57="dnf",SpecialScores!$C$4,MIN(1000,(500*LOG(1+99*AG57/SpecialScores!$E$3))))))</f>
        <v xml:space="preserve"> </v>
      </c>
      <c r="AI57" s="12" t="str">
        <f t="shared" si="38"/>
        <v/>
      </c>
      <c r="AP57" s="49"/>
    </row>
    <row r="58" spans="1:42" x14ac:dyDescent="0.35">
      <c r="A58" s="42"/>
      <c r="E58" s="33" t="str">
        <f t="shared" si="26"/>
        <v xml:space="preserve"> </v>
      </c>
      <c r="F58" s="33" t="str">
        <f t="shared" si="27"/>
        <v xml:space="preserve"> </v>
      </c>
      <c r="G58" s="7" t="str">
        <f t="shared" si="28"/>
        <v xml:space="preserve"> </v>
      </c>
      <c r="H58" s="7" t="str">
        <f t="shared" si="29"/>
        <v xml:space="preserve"> </v>
      </c>
      <c r="I58" s="38"/>
      <c r="J58" s="8" t="str">
        <f>IF(ISBLANK(I58)," ",IF(I58="np",SpecialScores!$C$3,IF(I58="dnf",SpecialScores!$C$4,MIN( 1000+I58/SpecialScores!$E$3*0.0001,(500*LOG(1+99*I58/SpecialScores!$E$3))))))</f>
        <v xml:space="preserve"> </v>
      </c>
      <c r="K58" s="12" t="str">
        <f t="shared" si="30"/>
        <v/>
      </c>
      <c r="L58" s="38"/>
      <c r="M58" s="8" t="str">
        <f>IF(ISBLANK(L58)," ",IF(L58="np",SpecialScores!$C$3,IF(L58="dnf",SpecialScores!$C$4,MIN( 1000+L58/SpecialScores!$H$3*0.0001,(500*LOG(1+99*L58/SpecialScores!$H$3))))))</f>
        <v xml:space="preserve"> </v>
      </c>
      <c r="N58" s="12" t="str">
        <f t="shared" si="31"/>
        <v/>
      </c>
      <c r="O58" s="38"/>
      <c r="P58" s="8" t="str">
        <f>IF(ISBLANK(O58)," ",IF(O58="np",SpecialScores!$C$3,IF(O58="dnf",SpecialScores!$C$4,MIN(1000,(500*LOG(1+99*O58/SpecialScores!$K$3))))))</f>
        <v xml:space="preserve"> </v>
      </c>
      <c r="Q58" s="12" t="str">
        <f t="shared" si="32"/>
        <v/>
      </c>
      <c r="R58" s="38"/>
      <c r="S58" s="8" t="str">
        <f>IF(ISBLANK(R58)," ",IF(R58="np",SpecialScores!$C$3,IF(R58="dnf",SpecialScores!$C$4,      IF(AND(R58&gt;=0,R58&lt;SpecialScores!$O$12), (500*LOG(1+99*R58/SpecialScores!$O$12*SpecialScores!$O$11/SpecialScores!$O$10)),                         MIN((500*LOG(1+99*SpecialScores!$O$11/R58)))))))</f>
        <v xml:space="preserve"> </v>
      </c>
      <c r="T58" s="12" t="str">
        <f t="shared" si="33"/>
        <v/>
      </c>
      <c r="U58" s="38"/>
      <c r="V58" s="8" t="str">
        <f>IF(ISBLANK(U58)," ",IF(U58="np",SpecialScores!$C$3,IF(U58="dnf",SpecialScores!$C$4,MIN((500*LOG(1+99*U58/SpecialScores!$R$3))))))</f>
        <v xml:space="preserve"> </v>
      </c>
      <c r="W58" s="12" t="str">
        <f t="shared" si="34"/>
        <v/>
      </c>
      <c r="X58" s="38"/>
      <c r="Y58" s="8" t="str">
        <f>IF(ISBLANK(X58)," ",IF(X58="np",SpecialScores!$C$3,IF(X58="dnf",SpecialScores!$C$4,MIN( 1000+X58/SpecialScores!$U$3*0.0001,(500*LOG(1+99*X58/SpecialScores!$U$3))))))</f>
        <v xml:space="preserve"> </v>
      </c>
      <c r="Z58" s="12" t="str">
        <f t="shared" si="35"/>
        <v/>
      </c>
      <c r="AA58" s="38"/>
      <c r="AB58" s="8" t="str">
        <f>IF(ISBLANK(AA58)," ",IF(AA58="np",SpecialScores!$C$3,IF(AA58="dnf",SpecialScores!$C$4,      IF(AND(AA58&gt;=0,AA58&lt;SpecialScores!$X$12), (500*LOG(1+99*AA58/SpecialScores!$X$12*SpecialScores!$X$11/SpecialScores!$X$10)),                         MIN((500*LOG(1+99*SpecialScores!$X$11/AA58)))))))</f>
        <v xml:space="preserve"> </v>
      </c>
      <c r="AC58" s="12" t="str">
        <f t="shared" si="36"/>
        <v/>
      </c>
      <c r="AD58" s="38"/>
      <c r="AE58" s="8" t="str">
        <f>IF(ISBLANK(AD58)," ",IF(AD58="np",SpecialScores!$C$3,IF(AD58="dnf",SpecialScores!$C$4,MIN( 1000+AD58/SpecialScores!$AA$5*0.0001,(500*LOG(1+99*AD58/SpecialScores!$AA$5))))))</f>
        <v xml:space="preserve"> </v>
      </c>
      <c r="AF58" s="12" t="str">
        <f t="shared" si="37"/>
        <v/>
      </c>
      <c r="AG58" s="38"/>
      <c r="AH58" s="8" t="str">
        <f>IF(ISBLANK(AG58)," ",IF(AG58="np",SpecialScores!$C$3,IF(AG58="dnf",SpecialScores!$C$4,MIN(1000,(500*LOG(1+99*AG58/SpecialScores!$E$3))))))</f>
        <v xml:space="preserve"> </v>
      </c>
      <c r="AI58" s="12" t="str">
        <f t="shared" si="38"/>
        <v/>
      </c>
      <c r="AP58" s="49"/>
    </row>
    <row r="59" spans="1:42" x14ac:dyDescent="0.35">
      <c r="A59" s="42"/>
      <c r="E59" s="33" t="str">
        <f t="shared" si="26"/>
        <v xml:space="preserve"> </v>
      </c>
      <c r="F59" s="33" t="str">
        <f t="shared" si="27"/>
        <v xml:space="preserve"> </v>
      </c>
      <c r="G59" s="7" t="str">
        <f t="shared" si="28"/>
        <v xml:space="preserve"> </v>
      </c>
      <c r="H59" s="7" t="str">
        <f t="shared" si="29"/>
        <v xml:space="preserve"> </v>
      </c>
      <c r="I59" s="38"/>
      <c r="J59" s="8" t="str">
        <f>IF(ISBLANK(I59)," ",IF(I59="np",SpecialScores!$C$3,IF(I59="dnf",SpecialScores!$C$4,MIN( 1000+I59/SpecialScores!$E$3*0.0001,(500*LOG(1+99*I59/SpecialScores!$E$3))))))</f>
        <v xml:space="preserve"> </v>
      </c>
      <c r="K59" s="12" t="str">
        <f t="shared" ref="K59:K75" si="39">IF(ISBLANK(I59),"",  RANK(J59,J$2:J$202,0)+((COUNTIF(J$2:J$202,J59)-1)*0.5) )</f>
        <v/>
      </c>
      <c r="L59" s="38"/>
      <c r="M59" s="8" t="str">
        <f>IF(ISBLANK(L59)," ",IF(L59="np",SpecialScores!$C$3,IF(L59="dnf",SpecialScores!$C$4,MIN( 1000+L59/SpecialScores!$H$3*0.0001,(500*LOG(1+99*L59/SpecialScores!$H$3))))))</f>
        <v xml:space="preserve"> </v>
      </c>
      <c r="N59" s="12" t="str">
        <f t="shared" ref="N59:N75" si="40">IF(ISBLANK(L59),"",  RANK(M59,M$2:M$202,0)+((COUNTIF(M$2:M$202,M59)-1)*0.5) )</f>
        <v/>
      </c>
      <c r="O59" s="38"/>
      <c r="P59" s="8" t="str">
        <f>IF(ISBLANK(O59)," ",IF(O59="np",SpecialScores!$C$3,IF(O59="dnf",SpecialScores!$C$4,MIN(1000,(500*LOG(1+99*O59/SpecialScores!$K$3))))))</f>
        <v xml:space="preserve"> </v>
      </c>
      <c r="Q59" s="12" t="str">
        <f t="shared" ref="Q59:Q75" si="41">IF(ISBLANK(O59),"",  RANK(P59,P$2:P$202,0)+((COUNTIF(P$2:P$202,P59)-1)*0.5) )</f>
        <v/>
      </c>
      <c r="R59" s="38"/>
      <c r="S59" s="8" t="str">
        <f>IF(ISBLANK(R59)," ",IF(R59="np",SpecialScores!$C$3,IF(R59="dnf",SpecialScores!$C$4,      IF(AND(R59&gt;=0,R59&lt;SpecialScores!$O$12), (500*LOG(1+99*R59/SpecialScores!$O$12*SpecialScores!$O$11/SpecialScores!$O$10)),                         MIN((500*LOG(1+99*SpecialScores!$O$11/R59)))))))</f>
        <v xml:space="preserve"> </v>
      </c>
      <c r="T59" s="12" t="str">
        <f t="shared" ref="T59:T75" si="42">IF(ISBLANK(R59),"",  RANK(S59,S$2:S$202,0)+((COUNTIF(S$2:S$202,S59)-1)*0.5) )</f>
        <v/>
      </c>
      <c r="U59" s="38"/>
      <c r="V59" s="8" t="str">
        <f>IF(ISBLANK(U59)," ",IF(U59="np",SpecialScores!$C$3,IF(U59="dnf",SpecialScores!$C$4,MIN((500*LOG(1+99*U59/SpecialScores!$R$3))))))</f>
        <v xml:space="preserve"> </v>
      </c>
      <c r="W59" s="12" t="str">
        <f t="shared" ref="W59:W75" si="43">IF(ISBLANK(U59),"",  RANK(V59,V$2:V$202,0)+((COUNTIF(V$2:V$202,V59)-1)*0.5) )</f>
        <v/>
      </c>
      <c r="X59" s="38"/>
      <c r="Y59" s="8" t="str">
        <f>IF(ISBLANK(X59)," ",IF(X59="np",SpecialScores!$C$3,IF(X59="dnf",SpecialScores!$C$4,MIN( 1000+X59/SpecialScores!$U$3*0.0001,(500*LOG(1+99*X59/SpecialScores!$U$3))))))</f>
        <v xml:space="preserve"> </v>
      </c>
      <c r="Z59" s="12" t="str">
        <f t="shared" ref="Z59:Z75" si="44">IF(ISBLANK(X59),"",  RANK(Y59,Y$2:Y$202,0)+((COUNTIF(Y$2:Y$202,Y59)-1)*0.5) )</f>
        <v/>
      </c>
      <c r="AA59" s="38"/>
      <c r="AB59" s="8" t="str">
        <f>IF(ISBLANK(AA59)," ",IF(AA59="np",SpecialScores!$C$3,IF(AA59="dnf",SpecialScores!$C$4,      IF(AND(AA59&gt;=0,AA59&lt;SpecialScores!$X$12), (500*LOG(1+99*AA59/SpecialScores!$X$12*SpecialScores!$X$11/SpecialScores!$X$10)),                         MIN((500*LOG(1+99*SpecialScores!$X$11/AA59)))))))</f>
        <v xml:space="preserve"> </v>
      </c>
      <c r="AC59" s="12" t="str">
        <f t="shared" ref="AC59:AC75" si="45">IF(ISBLANK(AA59),"",  RANK(AB59,AB$2:AB$202,0)+((COUNTIF(AB$2:AB$202,AB59)-1)*0.5) )</f>
        <v/>
      </c>
      <c r="AD59" s="38"/>
      <c r="AE59" s="8" t="str">
        <f>IF(ISBLANK(AD59)," ",IF(AD59="np",SpecialScores!$C$3,IF(AD59="dnf",SpecialScores!$C$4,MIN( 1000+AD59/SpecialScores!$AA$5*0.0001,(500*LOG(1+99*AD59/SpecialScores!$AA$5))))))</f>
        <v xml:space="preserve"> </v>
      </c>
      <c r="AF59" s="12" t="str">
        <f t="shared" ref="AF59:AF75" si="46">IF(ISBLANK(AD59),"",  RANK(AE59,AE$2:AE$202,0)+((COUNTIF(AE$2:AE$202,AE59)-1)*0.5) )</f>
        <v/>
      </c>
      <c r="AG59" s="38"/>
      <c r="AH59" s="8" t="str">
        <f>IF(ISBLANK(AG59)," ",IF(AG59="np",SpecialScores!$C$3,IF(AG59="dnf",SpecialScores!$C$4,MIN(1000,(500*LOG(1+99*AG59/SpecialScores!$E$3))))))</f>
        <v xml:space="preserve"> </v>
      </c>
      <c r="AI59" s="12" t="str">
        <f t="shared" ref="AI59:AI75" si="47">IF(ISBLANK(AG59),"",  RANK(AH59,AH$2:AH$202,0)+((COUNTIF(AH$2:AH$202,AH59)-1)*0.5) )</f>
        <v/>
      </c>
      <c r="AP59" s="49"/>
    </row>
    <row r="60" spans="1:42" x14ac:dyDescent="0.35">
      <c r="A60" s="42"/>
      <c r="E60" s="33" t="str">
        <f t="shared" si="26"/>
        <v xml:space="preserve"> </v>
      </c>
      <c r="F60" s="33" t="str">
        <f t="shared" si="27"/>
        <v xml:space="preserve"> </v>
      </c>
      <c r="G60" s="7" t="str">
        <f t="shared" si="28"/>
        <v xml:space="preserve"> </v>
      </c>
      <c r="H60" s="7" t="str">
        <f t="shared" si="29"/>
        <v xml:space="preserve"> </v>
      </c>
      <c r="I60" s="38"/>
      <c r="J60" s="8" t="str">
        <f>IF(ISBLANK(I60)," ",IF(I60="np",SpecialScores!$C$3,IF(I60="dnf",SpecialScores!$C$4,MIN( 1000+I60/SpecialScores!$E$3*0.0001,(500*LOG(1+99*I60/SpecialScores!$E$3))))))</f>
        <v xml:space="preserve"> </v>
      </c>
      <c r="K60" s="12" t="str">
        <f t="shared" si="39"/>
        <v/>
      </c>
      <c r="L60" s="38"/>
      <c r="M60" s="8" t="str">
        <f>IF(ISBLANK(L60)," ",IF(L60="np",SpecialScores!$C$3,IF(L60="dnf",SpecialScores!$C$4,MIN( 1000+L60/SpecialScores!$H$3*0.0001,(500*LOG(1+99*L60/SpecialScores!$H$3))))))</f>
        <v xml:space="preserve"> </v>
      </c>
      <c r="N60" s="12" t="str">
        <f t="shared" si="40"/>
        <v/>
      </c>
      <c r="O60" s="38"/>
      <c r="P60" s="8" t="str">
        <f>IF(ISBLANK(O60)," ",IF(O60="np",SpecialScores!$C$3,IF(O60="dnf",SpecialScores!$C$4,MIN(1000,(500*LOG(1+99*O60/SpecialScores!$K$3))))))</f>
        <v xml:space="preserve"> </v>
      </c>
      <c r="Q60" s="12" t="str">
        <f t="shared" si="41"/>
        <v/>
      </c>
      <c r="R60" s="38"/>
      <c r="S60" s="8" t="str">
        <f>IF(ISBLANK(R60)," ",IF(R60="np",SpecialScores!$C$3,IF(R60="dnf",SpecialScores!$C$4,      IF(AND(R60&gt;=0,R60&lt;SpecialScores!$O$12), (500*LOG(1+99*R60/SpecialScores!$O$12*SpecialScores!$O$11/SpecialScores!$O$10)),                         MIN((500*LOG(1+99*SpecialScores!$O$11/R60)))))))</f>
        <v xml:space="preserve"> </v>
      </c>
      <c r="T60" s="12" t="str">
        <f t="shared" si="42"/>
        <v/>
      </c>
      <c r="U60" s="38"/>
      <c r="V60" s="8" t="str">
        <f>IF(ISBLANK(U60)," ",IF(U60="np",SpecialScores!$C$3,IF(U60="dnf",SpecialScores!$C$4,MIN((500*LOG(1+99*U60/SpecialScores!$R$3))))))</f>
        <v xml:space="preserve"> </v>
      </c>
      <c r="W60" s="12" t="str">
        <f t="shared" si="43"/>
        <v/>
      </c>
      <c r="X60" s="38"/>
      <c r="Y60" s="8" t="str">
        <f>IF(ISBLANK(X60)," ",IF(X60="np",SpecialScores!$C$3,IF(X60="dnf",SpecialScores!$C$4,MIN( 1000+X60/SpecialScores!$U$3*0.0001,(500*LOG(1+99*X60/SpecialScores!$U$3))))))</f>
        <v xml:space="preserve"> </v>
      </c>
      <c r="Z60" s="12" t="str">
        <f t="shared" si="44"/>
        <v/>
      </c>
      <c r="AA60" s="38"/>
      <c r="AB60" s="8" t="str">
        <f>IF(ISBLANK(AA60)," ",IF(AA60="np",SpecialScores!$C$3,IF(AA60="dnf",SpecialScores!$C$4,      IF(AND(AA60&gt;=0,AA60&lt;SpecialScores!$X$12), (500*LOG(1+99*AA60/SpecialScores!$X$12*SpecialScores!$X$11/SpecialScores!$X$10)),                         MIN((500*LOG(1+99*SpecialScores!$X$11/AA60)))))))</f>
        <v xml:space="preserve"> </v>
      </c>
      <c r="AC60" s="12" t="str">
        <f t="shared" si="45"/>
        <v/>
      </c>
      <c r="AD60" s="38"/>
      <c r="AE60" s="8" t="str">
        <f>IF(ISBLANK(AD60)," ",IF(AD60="np",SpecialScores!$C$3,IF(AD60="dnf",SpecialScores!$C$4,MIN( 1000+AD60/SpecialScores!$AA$5*0.0001,(500*LOG(1+99*AD60/SpecialScores!$AA$5))))))</f>
        <v xml:space="preserve"> </v>
      </c>
      <c r="AF60" s="12" t="str">
        <f t="shared" si="46"/>
        <v/>
      </c>
      <c r="AG60" s="38"/>
      <c r="AH60" s="8" t="str">
        <f>IF(ISBLANK(AG60)," ",IF(AG60="np",SpecialScores!$C$3,IF(AG60="dnf",SpecialScores!$C$4,MIN(1000,(500*LOG(1+99*AG60/SpecialScores!$E$3))))))</f>
        <v xml:space="preserve"> </v>
      </c>
      <c r="AI60" s="12" t="str">
        <f t="shared" si="47"/>
        <v/>
      </c>
      <c r="AP60" s="49"/>
    </row>
    <row r="61" spans="1:42" x14ac:dyDescent="0.35">
      <c r="A61" s="42"/>
      <c r="E61" s="33" t="str">
        <f t="shared" si="26"/>
        <v xml:space="preserve"> </v>
      </c>
      <c r="F61" s="33" t="str">
        <f t="shared" si="27"/>
        <v xml:space="preserve"> </v>
      </c>
      <c r="G61" s="7" t="str">
        <f t="shared" si="28"/>
        <v xml:space="preserve"> </v>
      </c>
      <c r="H61" s="7" t="str">
        <f t="shared" si="29"/>
        <v xml:space="preserve"> </v>
      </c>
      <c r="I61" s="38"/>
      <c r="J61" s="8" t="str">
        <f>IF(ISBLANK(I61)," ",IF(I61="np",SpecialScores!$C$3,IF(I61="dnf",SpecialScores!$C$4,MIN( 1000+I61/SpecialScores!$E$3*0.0001,(500*LOG(1+99*I61/SpecialScores!$E$3))))))</f>
        <v xml:space="preserve"> </v>
      </c>
      <c r="K61" s="12" t="str">
        <f t="shared" si="39"/>
        <v/>
      </c>
      <c r="L61" s="38"/>
      <c r="M61" s="8" t="str">
        <f>IF(ISBLANK(L61)," ",IF(L61="np",SpecialScores!$C$3,IF(L61="dnf",SpecialScores!$C$4,MIN( 1000+L61/SpecialScores!$H$3*0.0001,(500*LOG(1+99*L61/SpecialScores!$H$3))))))</f>
        <v xml:space="preserve"> </v>
      </c>
      <c r="N61" s="12" t="str">
        <f t="shared" si="40"/>
        <v/>
      </c>
      <c r="O61" s="38"/>
      <c r="P61" s="8" t="str">
        <f>IF(ISBLANK(O61)," ",IF(O61="np",SpecialScores!$C$3,IF(O61="dnf",SpecialScores!$C$4,MIN(1000,(500*LOG(1+99*O61/SpecialScores!$K$3))))))</f>
        <v xml:space="preserve"> </v>
      </c>
      <c r="Q61" s="12" t="str">
        <f t="shared" si="41"/>
        <v/>
      </c>
      <c r="R61" s="38"/>
      <c r="S61" s="8" t="str">
        <f>IF(ISBLANK(R61)," ",IF(R61="np",SpecialScores!$C$3,IF(R61="dnf",SpecialScores!$C$4,      IF(AND(R61&gt;=0,R61&lt;SpecialScores!$O$12), (500*LOG(1+99*R61/SpecialScores!$O$12*SpecialScores!$O$11/SpecialScores!$O$10)),                         MIN((500*LOG(1+99*SpecialScores!$O$11/R61)))))))</f>
        <v xml:space="preserve"> </v>
      </c>
      <c r="T61" s="12" t="str">
        <f t="shared" si="42"/>
        <v/>
      </c>
      <c r="U61" s="38"/>
      <c r="V61" s="8" t="str">
        <f>IF(ISBLANK(U61)," ",IF(U61="np",SpecialScores!$C$3,IF(U61="dnf",SpecialScores!$C$4,MIN((500*LOG(1+99*U61/SpecialScores!$R$3))))))</f>
        <v xml:space="preserve"> </v>
      </c>
      <c r="W61" s="12" t="str">
        <f t="shared" si="43"/>
        <v/>
      </c>
      <c r="X61" s="38"/>
      <c r="Y61" s="8" t="str">
        <f>IF(ISBLANK(X61)," ",IF(X61="np",SpecialScores!$C$3,IF(X61="dnf",SpecialScores!$C$4,MIN( 1000+X61/SpecialScores!$U$3*0.0001,(500*LOG(1+99*X61/SpecialScores!$U$3))))))</f>
        <v xml:space="preserve"> </v>
      </c>
      <c r="Z61" s="12" t="str">
        <f t="shared" si="44"/>
        <v/>
      </c>
      <c r="AA61" s="38"/>
      <c r="AB61" s="8" t="str">
        <f>IF(ISBLANK(AA61)," ",IF(AA61="np",SpecialScores!$C$3,IF(AA61="dnf",SpecialScores!$C$4,      IF(AND(AA61&gt;=0,AA61&lt;SpecialScores!$X$12), (500*LOG(1+99*AA61/SpecialScores!$X$12*SpecialScores!$X$11/SpecialScores!$X$10)),                         MIN((500*LOG(1+99*SpecialScores!$X$11/AA61)))))))</f>
        <v xml:space="preserve"> </v>
      </c>
      <c r="AC61" s="12" t="str">
        <f t="shared" si="45"/>
        <v/>
      </c>
      <c r="AD61" s="38"/>
      <c r="AE61" s="8" t="str">
        <f>IF(ISBLANK(AD61)," ",IF(AD61="np",SpecialScores!$C$3,IF(AD61="dnf",SpecialScores!$C$4,MIN( 1000+AD61/SpecialScores!$AA$5*0.0001,(500*LOG(1+99*AD61/SpecialScores!$AA$5))))))</f>
        <v xml:space="preserve"> </v>
      </c>
      <c r="AF61" s="12" t="str">
        <f t="shared" si="46"/>
        <v/>
      </c>
      <c r="AG61" s="38"/>
      <c r="AH61" s="8" t="str">
        <f>IF(ISBLANK(AG61)," ",IF(AG61="np",SpecialScores!$C$3,IF(AG61="dnf",SpecialScores!$C$4,MIN(1000,(500*LOG(1+99*AG61/SpecialScores!$E$3))))))</f>
        <v xml:space="preserve"> </v>
      </c>
      <c r="AI61" s="12" t="str">
        <f t="shared" si="47"/>
        <v/>
      </c>
      <c r="AP61" s="49"/>
    </row>
    <row r="62" spans="1:42" x14ac:dyDescent="0.35">
      <c r="A62" s="42"/>
      <c r="E62" s="33" t="str">
        <f t="shared" si="26"/>
        <v xml:space="preserve"> </v>
      </c>
      <c r="F62" s="33" t="str">
        <f t="shared" si="27"/>
        <v xml:space="preserve"> </v>
      </c>
      <c r="G62" s="7" t="str">
        <f t="shared" si="28"/>
        <v xml:space="preserve"> </v>
      </c>
      <c r="H62" s="7" t="str">
        <f t="shared" si="29"/>
        <v xml:space="preserve"> </v>
      </c>
      <c r="I62" s="38"/>
      <c r="J62" s="8" t="str">
        <f>IF(ISBLANK(I62)," ",IF(I62="np",SpecialScores!$C$3,IF(I62="dnf",SpecialScores!$C$4,MIN( 1000+I62/SpecialScores!$E$3*0.0001,(500*LOG(1+99*I62/SpecialScores!$E$3))))))</f>
        <v xml:space="preserve"> </v>
      </c>
      <c r="K62" s="12" t="str">
        <f t="shared" si="39"/>
        <v/>
      </c>
      <c r="L62" s="38"/>
      <c r="M62" s="8" t="str">
        <f>IF(ISBLANK(L62)," ",IF(L62="np",SpecialScores!$C$3,IF(L62="dnf",SpecialScores!$C$4,MIN( 1000+L62/SpecialScores!$H$3*0.0001,(500*LOG(1+99*L62/SpecialScores!$H$3))))))</f>
        <v xml:space="preserve"> </v>
      </c>
      <c r="N62" s="12" t="str">
        <f t="shared" si="40"/>
        <v/>
      </c>
      <c r="O62" s="38"/>
      <c r="P62" s="8" t="str">
        <f>IF(ISBLANK(O62)," ",IF(O62="np",SpecialScores!$C$3,IF(O62="dnf",SpecialScores!$C$4,MIN(1000,(500*LOG(1+99*O62/SpecialScores!$K$3))))))</f>
        <v xml:space="preserve"> </v>
      </c>
      <c r="Q62" s="12" t="str">
        <f t="shared" si="41"/>
        <v/>
      </c>
      <c r="R62" s="38"/>
      <c r="S62" s="8" t="str">
        <f>IF(ISBLANK(R62)," ",IF(R62="np",SpecialScores!$C$3,IF(R62="dnf",SpecialScores!$C$4,      IF(AND(R62&gt;=0,R62&lt;SpecialScores!$O$12), (500*LOG(1+99*R62/SpecialScores!$O$12*SpecialScores!$O$11/SpecialScores!$O$10)),                         MIN((500*LOG(1+99*SpecialScores!$O$11/R62)))))))</f>
        <v xml:space="preserve"> </v>
      </c>
      <c r="T62" s="12" t="str">
        <f t="shared" si="42"/>
        <v/>
      </c>
      <c r="U62" s="38"/>
      <c r="V62" s="8" t="str">
        <f>IF(ISBLANK(U62)," ",IF(U62="np",SpecialScores!$C$3,IF(U62="dnf",SpecialScores!$C$4,MIN((500*LOG(1+99*U62/SpecialScores!$R$3))))))</f>
        <v xml:space="preserve"> </v>
      </c>
      <c r="W62" s="12" t="str">
        <f t="shared" si="43"/>
        <v/>
      </c>
      <c r="X62" s="38"/>
      <c r="Y62" s="8" t="str">
        <f>IF(ISBLANK(X62)," ",IF(X62="np",SpecialScores!$C$3,IF(X62="dnf",SpecialScores!$C$4,MIN( 1000+X62/SpecialScores!$U$3*0.0001,(500*LOG(1+99*X62/SpecialScores!$U$3))))))</f>
        <v xml:space="preserve"> </v>
      </c>
      <c r="Z62" s="12" t="str">
        <f t="shared" si="44"/>
        <v/>
      </c>
      <c r="AA62" s="38"/>
      <c r="AB62" s="8" t="str">
        <f>IF(ISBLANK(AA62)," ",IF(AA62="np",SpecialScores!$C$3,IF(AA62="dnf",SpecialScores!$C$4,      IF(AND(AA62&gt;=0,AA62&lt;SpecialScores!$X$12), (500*LOG(1+99*AA62/SpecialScores!$X$12*SpecialScores!$X$11/SpecialScores!$X$10)),                         MIN((500*LOG(1+99*SpecialScores!$X$11/AA62)))))))</f>
        <v xml:space="preserve"> </v>
      </c>
      <c r="AC62" s="12" t="str">
        <f t="shared" si="45"/>
        <v/>
      </c>
      <c r="AD62" s="38"/>
      <c r="AE62" s="8" t="str">
        <f>IF(ISBLANK(AD62)," ",IF(AD62="np",SpecialScores!$C$3,IF(AD62="dnf",SpecialScores!$C$4,MIN( 1000+AD62/SpecialScores!$AA$5*0.0001,(500*LOG(1+99*AD62/SpecialScores!$AA$5))))))</f>
        <v xml:space="preserve"> </v>
      </c>
      <c r="AF62" s="12" t="str">
        <f t="shared" si="46"/>
        <v/>
      </c>
      <c r="AG62" s="38"/>
      <c r="AH62" s="8" t="str">
        <f>IF(ISBLANK(AG62)," ",IF(AG62="np",SpecialScores!$C$3,IF(AG62="dnf",SpecialScores!$C$4,MIN(1000,(500*LOG(1+99*AG62/SpecialScores!$E$3))))))</f>
        <v xml:space="preserve"> </v>
      </c>
      <c r="AI62" s="12" t="str">
        <f t="shared" si="47"/>
        <v/>
      </c>
      <c r="AP62" s="49"/>
    </row>
    <row r="63" spans="1:42" x14ac:dyDescent="0.35">
      <c r="A63" s="42"/>
      <c r="E63" s="33" t="str">
        <f t="shared" si="26"/>
        <v xml:space="preserve"> </v>
      </c>
      <c r="F63" s="33" t="str">
        <f t="shared" si="27"/>
        <v xml:space="preserve"> </v>
      </c>
      <c r="G63" s="7" t="str">
        <f t="shared" si="28"/>
        <v xml:space="preserve"> </v>
      </c>
      <c r="H63" s="7" t="str">
        <f t="shared" si="29"/>
        <v xml:space="preserve"> </v>
      </c>
      <c r="I63" s="38"/>
      <c r="J63" s="8" t="str">
        <f>IF(ISBLANK(I63)," ",IF(I63="np",SpecialScores!$C$3,IF(I63="dnf",SpecialScores!$C$4,MIN( 1000+I63/SpecialScores!$E$3*0.0001,(500*LOG(1+99*I63/SpecialScores!$E$3))))))</f>
        <v xml:space="preserve"> </v>
      </c>
      <c r="K63" s="12" t="str">
        <f t="shared" si="39"/>
        <v/>
      </c>
      <c r="L63" s="38"/>
      <c r="M63" s="8" t="str">
        <f>IF(ISBLANK(L63)," ",IF(L63="np",SpecialScores!$C$3,IF(L63="dnf",SpecialScores!$C$4,MIN( 1000+L63/SpecialScores!$H$3*0.0001,(500*LOG(1+99*L63/SpecialScores!$H$3))))))</f>
        <v xml:space="preserve"> </v>
      </c>
      <c r="N63" s="12" t="str">
        <f t="shared" si="40"/>
        <v/>
      </c>
      <c r="O63" s="38"/>
      <c r="P63" s="8" t="str">
        <f>IF(ISBLANK(O63)," ",IF(O63="np",SpecialScores!$C$3,IF(O63="dnf",SpecialScores!$C$4,MIN(1000,(500*LOG(1+99*O63/SpecialScores!$K$3))))))</f>
        <v xml:space="preserve"> </v>
      </c>
      <c r="Q63" s="12" t="str">
        <f t="shared" si="41"/>
        <v/>
      </c>
      <c r="R63" s="38"/>
      <c r="S63" s="8" t="str">
        <f>IF(ISBLANK(R63)," ",IF(R63="np",SpecialScores!$C$3,IF(R63="dnf",SpecialScores!$C$4,      IF(AND(R63&gt;=0,R63&lt;SpecialScores!$O$12), (500*LOG(1+99*R63/SpecialScores!$O$12*SpecialScores!$O$11/SpecialScores!$O$10)),                         MIN((500*LOG(1+99*SpecialScores!$O$11/R63)))))))</f>
        <v xml:space="preserve"> </v>
      </c>
      <c r="T63" s="12" t="str">
        <f t="shared" si="42"/>
        <v/>
      </c>
      <c r="U63" s="38"/>
      <c r="V63" s="8" t="str">
        <f>IF(ISBLANK(U63)," ",IF(U63="np",SpecialScores!$C$3,IF(U63="dnf",SpecialScores!$C$4,MIN((500*LOG(1+99*U63/SpecialScores!$R$3))))))</f>
        <v xml:space="preserve"> </v>
      </c>
      <c r="W63" s="12" t="str">
        <f t="shared" si="43"/>
        <v/>
      </c>
      <c r="X63" s="38"/>
      <c r="Y63" s="8" t="str">
        <f>IF(ISBLANK(X63)," ",IF(X63="np",SpecialScores!$C$3,IF(X63="dnf",SpecialScores!$C$4,MIN( 1000+X63/SpecialScores!$U$3*0.0001,(500*LOG(1+99*X63/SpecialScores!$U$3))))))</f>
        <v xml:space="preserve"> </v>
      </c>
      <c r="Z63" s="12" t="str">
        <f t="shared" si="44"/>
        <v/>
      </c>
      <c r="AA63" s="38"/>
      <c r="AB63" s="8" t="str">
        <f>IF(ISBLANK(AA63)," ",IF(AA63="np",SpecialScores!$C$3,IF(AA63="dnf",SpecialScores!$C$4,      IF(AND(AA63&gt;=0,AA63&lt;SpecialScores!$X$12), (500*LOG(1+99*AA63/SpecialScores!$X$12*SpecialScores!$X$11/SpecialScores!$X$10)),                         MIN((500*LOG(1+99*SpecialScores!$X$11/AA63)))))))</f>
        <v xml:space="preserve"> </v>
      </c>
      <c r="AC63" s="12" t="str">
        <f t="shared" si="45"/>
        <v/>
      </c>
      <c r="AD63" s="38"/>
      <c r="AE63" s="8" t="str">
        <f>IF(ISBLANK(AD63)," ",IF(AD63="np",SpecialScores!$C$3,IF(AD63="dnf",SpecialScores!$C$4,MIN( 1000+AD63/SpecialScores!$AA$5*0.0001,(500*LOG(1+99*AD63/SpecialScores!$AA$5))))))</f>
        <v xml:space="preserve"> </v>
      </c>
      <c r="AF63" s="12" t="str">
        <f t="shared" si="46"/>
        <v/>
      </c>
      <c r="AG63" s="38"/>
      <c r="AH63" s="8" t="str">
        <f>IF(ISBLANK(AG63)," ",IF(AG63="np",SpecialScores!$C$3,IF(AG63="dnf",SpecialScores!$C$4,MIN(1000,(500*LOG(1+99*AG63/SpecialScores!$E$3))))))</f>
        <v xml:space="preserve"> </v>
      </c>
      <c r="AI63" s="12" t="str">
        <f t="shared" si="47"/>
        <v/>
      </c>
      <c r="AP63" s="49"/>
    </row>
    <row r="64" spans="1:42" x14ac:dyDescent="0.35">
      <c r="A64" s="42"/>
      <c r="E64" s="33" t="str">
        <f t="shared" si="26"/>
        <v xml:space="preserve"> </v>
      </c>
      <c r="F64" s="33" t="str">
        <f t="shared" si="27"/>
        <v xml:space="preserve"> </v>
      </c>
      <c r="G64" s="7" t="str">
        <f t="shared" si="28"/>
        <v xml:space="preserve"> </v>
      </c>
      <c r="H64" s="7" t="str">
        <f t="shared" si="29"/>
        <v xml:space="preserve"> </v>
      </c>
      <c r="I64" s="38"/>
      <c r="J64" s="8" t="str">
        <f>IF(ISBLANK(I64)," ",IF(I64="np",SpecialScores!$C$3,IF(I64="dnf",SpecialScores!$C$4,MIN( 1000+I64/SpecialScores!$E$3*0.0001,(500*LOG(1+99*I64/SpecialScores!$E$3))))))</f>
        <v xml:space="preserve"> </v>
      </c>
      <c r="K64" s="12" t="str">
        <f t="shared" si="39"/>
        <v/>
      </c>
      <c r="L64" s="38"/>
      <c r="M64" s="8" t="str">
        <f>IF(ISBLANK(L64)," ",IF(L64="np",SpecialScores!$C$3,IF(L64="dnf",SpecialScores!$C$4,MIN( 1000+L64/SpecialScores!$H$3*0.0001,(500*LOG(1+99*L64/SpecialScores!$H$3))))))</f>
        <v xml:space="preserve"> </v>
      </c>
      <c r="N64" s="12" t="str">
        <f t="shared" si="40"/>
        <v/>
      </c>
      <c r="O64" s="38"/>
      <c r="P64" s="8" t="str">
        <f>IF(ISBLANK(O64)," ",IF(O64="np",SpecialScores!$C$3,IF(O64="dnf",SpecialScores!$C$4,MIN(1000,(500*LOG(1+99*O64/SpecialScores!$K$3))))))</f>
        <v xml:space="preserve"> </v>
      </c>
      <c r="Q64" s="12" t="str">
        <f t="shared" si="41"/>
        <v/>
      </c>
      <c r="R64" s="38"/>
      <c r="S64" s="8" t="str">
        <f>IF(ISBLANK(R64)," ",IF(R64="np",SpecialScores!$C$3,IF(R64="dnf",SpecialScores!$C$4,      IF(AND(R64&gt;=0,R64&lt;SpecialScores!$O$12), (500*LOG(1+99*R64/SpecialScores!$O$12*SpecialScores!$O$11/SpecialScores!$O$10)),                         MIN((500*LOG(1+99*SpecialScores!$O$11/R64)))))))</f>
        <v xml:space="preserve"> </v>
      </c>
      <c r="T64" s="12" t="str">
        <f t="shared" si="42"/>
        <v/>
      </c>
      <c r="U64" s="38"/>
      <c r="V64" s="8" t="str">
        <f>IF(ISBLANK(U64)," ",IF(U64="np",SpecialScores!$C$3,IF(U64="dnf",SpecialScores!$C$4,MIN((500*LOG(1+99*U64/SpecialScores!$R$3))))))</f>
        <v xml:space="preserve"> </v>
      </c>
      <c r="W64" s="12" t="str">
        <f t="shared" si="43"/>
        <v/>
      </c>
      <c r="X64" s="38"/>
      <c r="Y64" s="8" t="str">
        <f>IF(ISBLANK(X64)," ",IF(X64="np",SpecialScores!$C$3,IF(X64="dnf",SpecialScores!$C$4,MIN( 1000+X64/SpecialScores!$U$3*0.0001,(500*LOG(1+99*X64/SpecialScores!$U$3))))))</f>
        <v xml:space="preserve"> </v>
      </c>
      <c r="Z64" s="12" t="str">
        <f t="shared" si="44"/>
        <v/>
      </c>
      <c r="AA64" s="38"/>
      <c r="AB64" s="8" t="str">
        <f>IF(ISBLANK(AA64)," ",IF(AA64="np",SpecialScores!$C$3,IF(AA64="dnf",SpecialScores!$C$4,      IF(AND(AA64&gt;=0,AA64&lt;SpecialScores!$X$12), (500*LOG(1+99*AA64/SpecialScores!$X$12*SpecialScores!$X$11/SpecialScores!$X$10)),                         MIN((500*LOG(1+99*SpecialScores!$X$11/AA64)))))))</f>
        <v xml:space="preserve"> </v>
      </c>
      <c r="AC64" s="12" t="str">
        <f t="shared" si="45"/>
        <v/>
      </c>
      <c r="AD64" s="38"/>
      <c r="AE64" s="8" t="str">
        <f>IF(ISBLANK(AD64)," ",IF(AD64="np",SpecialScores!$C$3,IF(AD64="dnf",SpecialScores!$C$4,MIN( 1000+AD64/SpecialScores!$AA$5*0.0001,(500*LOG(1+99*AD64/SpecialScores!$AA$5))))))</f>
        <v xml:space="preserve"> </v>
      </c>
      <c r="AF64" s="12" t="str">
        <f t="shared" si="46"/>
        <v/>
      </c>
      <c r="AG64" s="38"/>
      <c r="AH64" s="8" t="str">
        <f>IF(ISBLANK(AG64)," ",IF(AG64="np",SpecialScores!$C$3,IF(AG64="dnf",SpecialScores!$C$4,MIN(1000,(500*LOG(1+99*AG64/SpecialScores!$E$3))))))</f>
        <v xml:space="preserve"> </v>
      </c>
      <c r="AI64" s="12" t="str">
        <f t="shared" si="47"/>
        <v/>
      </c>
      <c r="AP64" s="49"/>
    </row>
    <row r="65" spans="1:42" x14ac:dyDescent="0.35">
      <c r="A65" s="42"/>
      <c r="E65" s="33" t="str">
        <f t="shared" si="26"/>
        <v xml:space="preserve"> </v>
      </c>
      <c r="F65" s="33" t="str">
        <f t="shared" si="27"/>
        <v xml:space="preserve"> </v>
      </c>
      <c r="G65" s="7" t="str">
        <f t="shared" si="28"/>
        <v xml:space="preserve"> </v>
      </c>
      <c r="H65" s="7" t="str">
        <f t="shared" si="29"/>
        <v xml:space="preserve"> </v>
      </c>
      <c r="I65" s="38"/>
      <c r="J65" s="8" t="str">
        <f>IF(ISBLANK(I65)," ",IF(I65="np",SpecialScores!$C$3,IF(I65="dnf",SpecialScores!$C$4,MIN( 1000+I65/SpecialScores!$E$3*0.0001,(500*LOG(1+99*I65/SpecialScores!$E$3))))))</f>
        <v xml:space="preserve"> </v>
      </c>
      <c r="K65" s="12" t="str">
        <f t="shared" si="39"/>
        <v/>
      </c>
      <c r="L65" s="38"/>
      <c r="M65" s="8" t="str">
        <f>IF(ISBLANK(L65)," ",IF(L65="np",SpecialScores!$C$3,IF(L65="dnf",SpecialScores!$C$4,MIN( 1000+L65/SpecialScores!$H$3*0.0001,(500*LOG(1+99*L65/SpecialScores!$H$3))))))</f>
        <v xml:space="preserve"> </v>
      </c>
      <c r="N65" s="12" t="str">
        <f t="shared" si="40"/>
        <v/>
      </c>
      <c r="O65" s="38"/>
      <c r="P65" s="8" t="str">
        <f>IF(ISBLANK(O65)," ",IF(O65="np",SpecialScores!$C$3,IF(O65="dnf",SpecialScores!$C$4,MIN(1000,(500*LOG(1+99*O65/SpecialScores!$K$3))))))</f>
        <v xml:space="preserve"> </v>
      </c>
      <c r="Q65" s="12" t="str">
        <f t="shared" si="41"/>
        <v/>
      </c>
      <c r="R65" s="38"/>
      <c r="S65" s="8" t="str">
        <f>IF(ISBLANK(R65)," ",IF(R65="np",SpecialScores!$C$3,IF(R65="dnf",SpecialScores!$C$4,      IF(AND(R65&gt;=0,R65&lt;SpecialScores!$O$12), (500*LOG(1+99*R65/SpecialScores!$O$12*SpecialScores!$O$11/SpecialScores!$O$10)),                         MIN((500*LOG(1+99*SpecialScores!$O$11/R65)))))))</f>
        <v xml:space="preserve"> </v>
      </c>
      <c r="T65" s="12" t="str">
        <f t="shared" si="42"/>
        <v/>
      </c>
      <c r="U65" s="38"/>
      <c r="V65" s="8" t="str">
        <f>IF(ISBLANK(U65)," ",IF(U65="np",SpecialScores!$C$3,IF(U65="dnf",SpecialScores!$C$4,MIN((500*LOG(1+99*U65/SpecialScores!$R$3))))))</f>
        <v xml:space="preserve"> </v>
      </c>
      <c r="W65" s="12" t="str">
        <f t="shared" si="43"/>
        <v/>
      </c>
      <c r="X65" s="38"/>
      <c r="Y65" s="8" t="str">
        <f>IF(ISBLANK(X65)," ",IF(X65="np",SpecialScores!$C$3,IF(X65="dnf",SpecialScores!$C$4,MIN( 1000+X65/SpecialScores!$U$3*0.0001,(500*LOG(1+99*X65/SpecialScores!$U$3))))))</f>
        <v xml:space="preserve"> </v>
      </c>
      <c r="Z65" s="12" t="str">
        <f t="shared" si="44"/>
        <v/>
      </c>
      <c r="AA65" s="38"/>
      <c r="AB65" s="8" t="str">
        <f>IF(ISBLANK(AA65)," ",IF(AA65="np",SpecialScores!$C$3,IF(AA65="dnf",SpecialScores!$C$4,      IF(AND(AA65&gt;=0,AA65&lt;SpecialScores!$X$12), (500*LOG(1+99*AA65/SpecialScores!$X$12*SpecialScores!$X$11/SpecialScores!$X$10)),                         MIN((500*LOG(1+99*SpecialScores!$X$11/AA65)))))))</f>
        <v xml:space="preserve"> </v>
      </c>
      <c r="AC65" s="12" t="str">
        <f t="shared" si="45"/>
        <v/>
      </c>
      <c r="AD65" s="38"/>
      <c r="AE65" s="8" t="str">
        <f>IF(ISBLANK(AD65)," ",IF(AD65="np",SpecialScores!$C$3,IF(AD65="dnf",SpecialScores!$C$4,MIN( 1000+AD65/SpecialScores!$AA$5*0.0001,(500*LOG(1+99*AD65/SpecialScores!$AA$5))))))</f>
        <v xml:space="preserve"> </v>
      </c>
      <c r="AF65" s="12" t="str">
        <f t="shared" si="46"/>
        <v/>
      </c>
      <c r="AG65" s="38"/>
      <c r="AH65" s="8" t="str">
        <f>IF(ISBLANK(AG65)," ",IF(AG65="np",SpecialScores!$C$3,IF(AG65="dnf",SpecialScores!$C$4,MIN(1000,(500*LOG(1+99*AG65/SpecialScores!$E$3))))))</f>
        <v xml:space="preserve"> </v>
      </c>
      <c r="AI65" s="12" t="str">
        <f t="shared" si="47"/>
        <v/>
      </c>
      <c r="AP65" s="49"/>
    </row>
    <row r="66" spans="1:42" x14ac:dyDescent="0.35">
      <c r="A66" s="42"/>
      <c r="E66" s="33" t="str">
        <f t="shared" si="26"/>
        <v xml:space="preserve"> </v>
      </c>
      <c r="F66" s="33" t="str">
        <f t="shared" si="27"/>
        <v xml:space="preserve"> </v>
      </c>
      <c r="G66" s="7" t="str">
        <f t="shared" si="28"/>
        <v xml:space="preserve"> </v>
      </c>
      <c r="H66" s="7" t="str">
        <f t="shared" si="29"/>
        <v xml:space="preserve"> </v>
      </c>
      <c r="I66" s="38"/>
      <c r="J66" s="8" t="str">
        <f>IF(ISBLANK(I66)," ",IF(I66="np",SpecialScores!$C$3,IF(I66="dnf",SpecialScores!$C$4,MIN( 1000+I66/SpecialScores!$E$3*0.0001,(500*LOG(1+99*I66/SpecialScores!$E$3))))))</f>
        <v xml:space="preserve"> </v>
      </c>
      <c r="K66" s="12" t="str">
        <f t="shared" si="39"/>
        <v/>
      </c>
      <c r="L66" s="38"/>
      <c r="M66" s="8" t="str">
        <f>IF(ISBLANK(L66)," ",IF(L66="np",SpecialScores!$C$3,IF(L66="dnf",SpecialScores!$C$4,MIN( 1000+L66/SpecialScores!$H$3*0.0001,(500*LOG(1+99*L66/SpecialScores!$H$3))))))</f>
        <v xml:space="preserve"> </v>
      </c>
      <c r="N66" s="12" t="str">
        <f t="shared" si="40"/>
        <v/>
      </c>
      <c r="O66" s="38"/>
      <c r="P66" s="8" t="str">
        <f>IF(ISBLANK(O66)," ",IF(O66="np",SpecialScores!$C$3,IF(O66="dnf",SpecialScores!$C$4,MIN(1000,(500*LOG(1+99*O66/SpecialScores!$K$3))))))</f>
        <v xml:space="preserve"> </v>
      </c>
      <c r="Q66" s="12" t="str">
        <f t="shared" si="41"/>
        <v/>
      </c>
      <c r="R66" s="38"/>
      <c r="S66" s="8" t="str">
        <f>IF(ISBLANK(R66)," ",IF(R66="np",SpecialScores!$C$3,IF(R66="dnf",SpecialScores!$C$4,      IF(AND(R66&gt;=0,R66&lt;SpecialScores!$O$12), (500*LOG(1+99*R66/SpecialScores!$O$12*SpecialScores!$O$11/SpecialScores!$O$10)),                         MIN((500*LOG(1+99*SpecialScores!$O$11/R66)))))))</f>
        <v xml:space="preserve"> </v>
      </c>
      <c r="T66" s="12" t="str">
        <f t="shared" si="42"/>
        <v/>
      </c>
      <c r="U66" s="38"/>
      <c r="V66" s="8" t="str">
        <f>IF(ISBLANK(U66)," ",IF(U66="np",SpecialScores!$C$3,IF(U66="dnf",SpecialScores!$C$4,MIN((500*LOG(1+99*U66/SpecialScores!$R$3))))))</f>
        <v xml:space="preserve"> </v>
      </c>
      <c r="W66" s="12" t="str">
        <f t="shared" si="43"/>
        <v/>
      </c>
      <c r="X66" s="38"/>
      <c r="Y66" s="8" t="str">
        <f>IF(ISBLANK(X66)," ",IF(X66="np",SpecialScores!$C$3,IF(X66="dnf",SpecialScores!$C$4,MIN( 1000+X66/SpecialScores!$U$3*0.0001,(500*LOG(1+99*X66/SpecialScores!$U$3))))))</f>
        <v xml:space="preserve"> </v>
      </c>
      <c r="Z66" s="12" t="str">
        <f t="shared" si="44"/>
        <v/>
      </c>
      <c r="AA66" s="38"/>
      <c r="AB66" s="8" t="str">
        <f>IF(ISBLANK(AA66)," ",IF(AA66="np",SpecialScores!$C$3,IF(AA66="dnf",SpecialScores!$C$4,      IF(AND(AA66&gt;=0,AA66&lt;SpecialScores!$X$12), (500*LOG(1+99*AA66/SpecialScores!$X$12*SpecialScores!$X$11/SpecialScores!$X$10)),                         MIN((500*LOG(1+99*SpecialScores!$X$11/AA66)))))))</f>
        <v xml:space="preserve"> </v>
      </c>
      <c r="AC66" s="12" t="str">
        <f t="shared" si="45"/>
        <v/>
      </c>
      <c r="AD66" s="38"/>
      <c r="AE66" s="8" t="str">
        <f>IF(ISBLANK(AD66)," ",IF(AD66="np",SpecialScores!$C$3,IF(AD66="dnf",SpecialScores!$C$4,MIN( 1000+AD66/SpecialScores!$AA$5*0.0001,(500*LOG(1+99*AD66/SpecialScores!$AA$5))))))</f>
        <v xml:space="preserve"> </v>
      </c>
      <c r="AF66" s="12" t="str">
        <f t="shared" si="46"/>
        <v/>
      </c>
      <c r="AG66" s="38"/>
      <c r="AH66" s="8" t="str">
        <f>IF(ISBLANK(AG66)," ",IF(AG66="np",SpecialScores!$C$3,IF(AG66="dnf",SpecialScores!$C$4,MIN(1000,(500*LOG(1+99*AG66/SpecialScores!$E$3))))))</f>
        <v xml:space="preserve"> </v>
      </c>
      <c r="AI66" s="12" t="str">
        <f t="shared" si="47"/>
        <v/>
      </c>
      <c r="AP66" s="49"/>
    </row>
    <row r="67" spans="1:42" x14ac:dyDescent="0.35">
      <c r="A67" s="42"/>
      <c r="E67" s="33" t="str">
        <f t="shared" si="26"/>
        <v xml:space="preserve"> </v>
      </c>
      <c r="F67" s="33" t="str">
        <f t="shared" si="27"/>
        <v xml:space="preserve"> </v>
      </c>
      <c r="G67" s="7" t="str">
        <f t="shared" si="28"/>
        <v xml:space="preserve"> </v>
      </c>
      <c r="H67" s="7" t="str">
        <f t="shared" si="29"/>
        <v xml:space="preserve"> </v>
      </c>
      <c r="I67" s="38"/>
      <c r="J67" s="8" t="str">
        <f>IF(ISBLANK(I67)," ",IF(I67="np",SpecialScores!$C$3,IF(I67="dnf",SpecialScores!$C$4,MIN( 1000+I67/SpecialScores!$E$3*0.0001,(500*LOG(1+99*I67/SpecialScores!$E$3))))))</f>
        <v xml:space="preserve"> </v>
      </c>
      <c r="K67" s="12" t="str">
        <f t="shared" si="39"/>
        <v/>
      </c>
      <c r="L67" s="38"/>
      <c r="M67" s="8" t="str">
        <f>IF(ISBLANK(L67)," ",IF(L67="np",SpecialScores!$C$3,IF(L67="dnf",SpecialScores!$C$4,MIN( 1000+L67/SpecialScores!$H$3*0.0001,(500*LOG(1+99*L67/SpecialScores!$H$3))))))</f>
        <v xml:space="preserve"> </v>
      </c>
      <c r="N67" s="12" t="str">
        <f t="shared" si="40"/>
        <v/>
      </c>
      <c r="O67" s="38"/>
      <c r="P67" s="8" t="str">
        <f>IF(ISBLANK(O67)," ",IF(O67="np",SpecialScores!$C$3,IF(O67="dnf",SpecialScores!$C$4,MIN(1000,(500*LOG(1+99*O67/SpecialScores!$K$3))))))</f>
        <v xml:space="preserve"> </v>
      </c>
      <c r="Q67" s="12" t="str">
        <f t="shared" si="41"/>
        <v/>
      </c>
      <c r="R67" s="38"/>
      <c r="S67" s="8" t="str">
        <f>IF(ISBLANK(R67)," ",IF(R67="np",SpecialScores!$C$3,IF(R67="dnf",SpecialScores!$C$4,      IF(AND(R67&gt;=0,R67&lt;SpecialScores!$O$12), (500*LOG(1+99*R67/SpecialScores!$O$12*SpecialScores!$O$11/SpecialScores!$O$10)),                         MIN((500*LOG(1+99*SpecialScores!$O$11/R67)))))))</f>
        <v xml:space="preserve"> </v>
      </c>
      <c r="T67" s="12" t="str">
        <f t="shared" si="42"/>
        <v/>
      </c>
      <c r="U67" s="38"/>
      <c r="V67" s="8" t="str">
        <f>IF(ISBLANK(U67)," ",IF(U67="np",SpecialScores!$C$3,IF(U67="dnf",SpecialScores!$C$4,MIN((500*LOG(1+99*U67/SpecialScores!$R$3))))))</f>
        <v xml:space="preserve"> </v>
      </c>
      <c r="W67" s="12" t="str">
        <f t="shared" si="43"/>
        <v/>
      </c>
      <c r="X67" s="38"/>
      <c r="Y67" s="8" t="str">
        <f>IF(ISBLANK(X67)," ",IF(X67="np",SpecialScores!$C$3,IF(X67="dnf",SpecialScores!$C$4,MIN( 1000+X67/SpecialScores!$U$3*0.0001,(500*LOG(1+99*X67/SpecialScores!$U$3))))))</f>
        <v xml:space="preserve"> </v>
      </c>
      <c r="Z67" s="12" t="str">
        <f t="shared" si="44"/>
        <v/>
      </c>
      <c r="AA67" s="38"/>
      <c r="AB67" s="8" t="str">
        <f>IF(ISBLANK(AA67)," ",IF(AA67="np",SpecialScores!$C$3,IF(AA67="dnf",SpecialScores!$C$4,      IF(AND(AA67&gt;=0,AA67&lt;SpecialScores!$X$12), (500*LOG(1+99*AA67/SpecialScores!$X$12*SpecialScores!$X$11/SpecialScores!$X$10)),                         MIN((500*LOG(1+99*SpecialScores!$X$11/AA67)))))))</f>
        <v xml:space="preserve"> </v>
      </c>
      <c r="AC67" s="12" t="str">
        <f t="shared" si="45"/>
        <v/>
      </c>
      <c r="AD67" s="38"/>
      <c r="AE67" s="8" t="str">
        <f>IF(ISBLANK(AD67)," ",IF(AD67="np",SpecialScores!$C$3,IF(AD67="dnf",SpecialScores!$C$4,MIN( 1000+AD67/SpecialScores!$AA$5*0.0001,(500*LOG(1+99*AD67/SpecialScores!$AA$5))))))</f>
        <v xml:space="preserve"> </v>
      </c>
      <c r="AF67" s="12" t="str">
        <f t="shared" si="46"/>
        <v/>
      </c>
      <c r="AG67" s="38"/>
      <c r="AH67" s="8" t="str">
        <f>IF(ISBLANK(AG67)," ",IF(AG67="np",SpecialScores!$C$3,IF(AG67="dnf",SpecialScores!$C$4,MIN(1000,(500*LOG(1+99*AG67/SpecialScores!$E$3))))))</f>
        <v xml:space="preserve"> </v>
      </c>
      <c r="AI67" s="12" t="str">
        <f t="shared" si="47"/>
        <v/>
      </c>
      <c r="AP67" s="49"/>
    </row>
    <row r="68" spans="1:42" x14ac:dyDescent="0.35">
      <c r="A68" s="42"/>
      <c r="E68" s="33" t="str">
        <f t="shared" si="26"/>
        <v xml:space="preserve"> </v>
      </c>
      <c r="F68" s="33" t="str">
        <f t="shared" si="27"/>
        <v xml:space="preserve"> </v>
      </c>
      <c r="G68" s="7" t="str">
        <f t="shared" si="28"/>
        <v xml:space="preserve"> </v>
      </c>
      <c r="H68" s="7" t="str">
        <f t="shared" si="29"/>
        <v xml:space="preserve"> </v>
      </c>
      <c r="I68" s="38"/>
      <c r="J68" s="8" t="str">
        <f>IF(ISBLANK(I68)," ",IF(I68="np",SpecialScores!$C$3,IF(I68="dnf",SpecialScores!$C$4,MIN( 1000+I68/SpecialScores!$E$3*0.0001,(500*LOG(1+99*I68/SpecialScores!$E$3))))))</f>
        <v xml:space="preserve"> </v>
      </c>
      <c r="K68" s="12" t="str">
        <f t="shared" si="39"/>
        <v/>
      </c>
      <c r="L68" s="38"/>
      <c r="M68" s="8" t="str">
        <f>IF(ISBLANK(L68)," ",IF(L68="np",SpecialScores!$C$3,IF(L68="dnf",SpecialScores!$C$4,MIN( 1000+L68/SpecialScores!$H$3*0.0001,(500*LOG(1+99*L68/SpecialScores!$H$3))))))</f>
        <v xml:space="preserve"> </v>
      </c>
      <c r="N68" s="12" t="str">
        <f t="shared" si="40"/>
        <v/>
      </c>
      <c r="O68" s="38"/>
      <c r="P68" s="8" t="str">
        <f>IF(ISBLANK(O68)," ",IF(O68="np",SpecialScores!$C$3,IF(O68="dnf",SpecialScores!$C$4,MIN(1000,(500*LOG(1+99*O68/SpecialScores!$K$3))))))</f>
        <v xml:space="preserve"> </v>
      </c>
      <c r="Q68" s="12" t="str">
        <f t="shared" si="41"/>
        <v/>
      </c>
      <c r="R68" s="38"/>
      <c r="S68" s="8" t="str">
        <f>IF(ISBLANK(R68)," ",IF(R68="np",SpecialScores!$C$3,IF(R68="dnf",SpecialScores!$C$4,      IF(AND(R68&gt;=0,R68&lt;SpecialScores!$O$12), (500*LOG(1+99*R68/SpecialScores!$O$12*SpecialScores!$O$11/SpecialScores!$O$10)),                         MIN((500*LOG(1+99*SpecialScores!$O$11/R68)))))))</f>
        <v xml:space="preserve"> </v>
      </c>
      <c r="T68" s="12" t="str">
        <f t="shared" si="42"/>
        <v/>
      </c>
      <c r="U68" s="38"/>
      <c r="V68" s="8" t="str">
        <f>IF(ISBLANK(U68)," ",IF(U68="np",SpecialScores!$C$3,IF(U68="dnf",SpecialScores!$C$4,MIN((500*LOG(1+99*U68/SpecialScores!$R$3))))))</f>
        <v xml:space="preserve"> </v>
      </c>
      <c r="W68" s="12" t="str">
        <f t="shared" si="43"/>
        <v/>
      </c>
      <c r="X68" s="38"/>
      <c r="Y68" s="8" t="str">
        <f>IF(ISBLANK(X68)," ",IF(X68="np",SpecialScores!$C$3,IF(X68="dnf",SpecialScores!$C$4,MIN( 1000+X68/SpecialScores!$U$3*0.0001,(500*LOG(1+99*X68/SpecialScores!$U$3))))))</f>
        <v xml:space="preserve"> </v>
      </c>
      <c r="Z68" s="12" t="str">
        <f t="shared" si="44"/>
        <v/>
      </c>
      <c r="AA68" s="38"/>
      <c r="AB68" s="8" t="str">
        <f>IF(ISBLANK(AA68)," ",IF(AA68="np",SpecialScores!$C$3,IF(AA68="dnf",SpecialScores!$C$4,      IF(AND(AA68&gt;=0,AA68&lt;SpecialScores!$X$12), (500*LOG(1+99*AA68/SpecialScores!$X$12*SpecialScores!$X$11/SpecialScores!$X$10)),                         MIN((500*LOG(1+99*SpecialScores!$X$11/AA68)))))))</f>
        <v xml:space="preserve"> </v>
      </c>
      <c r="AC68" s="12" t="str">
        <f t="shared" si="45"/>
        <v/>
      </c>
      <c r="AD68" s="38"/>
      <c r="AE68" s="8" t="str">
        <f>IF(ISBLANK(AD68)," ",IF(AD68="np",SpecialScores!$C$3,IF(AD68="dnf",SpecialScores!$C$4,MIN( 1000+AD68/SpecialScores!$AA$5*0.0001,(500*LOG(1+99*AD68/SpecialScores!$AA$5))))))</f>
        <v xml:space="preserve"> </v>
      </c>
      <c r="AF68" s="12" t="str">
        <f t="shared" si="46"/>
        <v/>
      </c>
      <c r="AG68" s="38"/>
      <c r="AH68" s="8" t="str">
        <f>IF(ISBLANK(AG68)," ",IF(AG68="np",SpecialScores!$C$3,IF(AG68="dnf",SpecialScores!$C$4,MIN(1000,(500*LOG(1+99*AG68/SpecialScores!$E$3))))))</f>
        <v xml:space="preserve"> </v>
      </c>
      <c r="AI68" s="12" t="str">
        <f t="shared" si="47"/>
        <v/>
      </c>
      <c r="AP68" s="49"/>
    </row>
    <row r="69" spans="1:42" x14ac:dyDescent="0.35">
      <c r="A69" s="42"/>
      <c r="E69" s="33" t="str">
        <f t="shared" si="26"/>
        <v xml:space="preserve"> </v>
      </c>
      <c r="F69" s="33" t="str">
        <f t="shared" si="27"/>
        <v xml:space="preserve"> </v>
      </c>
      <c r="G69" s="7" t="str">
        <f t="shared" si="28"/>
        <v xml:space="preserve"> </v>
      </c>
      <c r="H69" s="7" t="str">
        <f t="shared" si="29"/>
        <v xml:space="preserve"> </v>
      </c>
      <c r="I69" s="38"/>
      <c r="J69" s="8" t="str">
        <f>IF(ISBLANK(I69)," ",IF(I69="np",SpecialScores!$C$3,IF(I69="dnf",SpecialScores!$C$4,MIN( 1000+I69/SpecialScores!$E$3*0.0001,(500*LOG(1+99*I69/SpecialScores!$E$3))))))</f>
        <v xml:space="preserve"> </v>
      </c>
      <c r="K69" s="12" t="str">
        <f t="shared" si="39"/>
        <v/>
      </c>
      <c r="L69" s="38"/>
      <c r="M69" s="8" t="str">
        <f>IF(ISBLANK(L69)," ",IF(L69="np",SpecialScores!$C$3,IF(L69="dnf",SpecialScores!$C$4,MIN( 1000+L69/SpecialScores!$H$3*0.0001,(500*LOG(1+99*L69/SpecialScores!$H$3))))))</f>
        <v xml:space="preserve"> </v>
      </c>
      <c r="N69" s="12" t="str">
        <f t="shared" si="40"/>
        <v/>
      </c>
      <c r="O69" s="38"/>
      <c r="P69" s="8" t="str">
        <f>IF(ISBLANK(O69)," ",IF(O69="np",SpecialScores!$C$3,IF(O69="dnf",SpecialScores!$C$4,MIN(1000,(500*LOG(1+99*O69/SpecialScores!$K$3))))))</f>
        <v xml:space="preserve"> </v>
      </c>
      <c r="Q69" s="12" t="str">
        <f t="shared" si="41"/>
        <v/>
      </c>
      <c r="R69" s="38"/>
      <c r="S69" s="8" t="str">
        <f>IF(ISBLANK(R69)," ",IF(R69="np",SpecialScores!$C$3,IF(R69="dnf",SpecialScores!$C$4,      IF(AND(R69&gt;=0,R69&lt;SpecialScores!$O$12), (500*LOG(1+99*R69/SpecialScores!$O$12*SpecialScores!$O$11/SpecialScores!$O$10)),                         MIN((500*LOG(1+99*SpecialScores!$O$11/R69)))))))</f>
        <v xml:space="preserve"> </v>
      </c>
      <c r="T69" s="12" t="str">
        <f t="shared" si="42"/>
        <v/>
      </c>
      <c r="U69" s="38"/>
      <c r="V69" s="8" t="str">
        <f>IF(ISBLANK(U69)," ",IF(U69="np",SpecialScores!$C$3,IF(U69="dnf",SpecialScores!$C$4,MIN((500*LOG(1+99*U69/SpecialScores!$R$3))))))</f>
        <v xml:space="preserve"> </v>
      </c>
      <c r="W69" s="12" t="str">
        <f t="shared" si="43"/>
        <v/>
      </c>
      <c r="X69" s="38"/>
      <c r="Y69" s="8" t="str">
        <f>IF(ISBLANK(X69)," ",IF(X69="np",SpecialScores!$C$3,IF(X69="dnf",SpecialScores!$C$4,MIN( 1000+X69/SpecialScores!$U$3*0.0001,(500*LOG(1+99*X69/SpecialScores!$U$3))))))</f>
        <v xml:space="preserve"> </v>
      </c>
      <c r="Z69" s="12" t="str">
        <f t="shared" si="44"/>
        <v/>
      </c>
      <c r="AA69" s="38"/>
      <c r="AB69" s="8" t="str">
        <f>IF(ISBLANK(AA69)," ",IF(AA69="np",SpecialScores!$C$3,IF(AA69="dnf",SpecialScores!$C$4,      IF(AND(AA69&gt;=0,AA69&lt;SpecialScores!$X$12), (500*LOG(1+99*AA69/SpecialScores!$X$12*SpecialScores!$X$11/SpecialScores!$X$10)),                         MIN((500*LOG(1+99*SpecialScores!$X$11/AA69)))))))</f>
        <v xml:space="preserve"> </v>
      </c>
      <c r="AC69" s="12" t="str">
        <f t="shared" si="45"/>
        <v/>
      </c>
      <c r="AD69" s="38"/>
      <c r="AE69" s="8" t="str">
        <f>IF(ISBLANK(AD69)," ",IF(AD69="np",SpecialScores!$C$3,IF(AD69="dnf",SpecialScores!$C$4,MIN( 1000+AD69/SpecialScores!$AA$5*0.0001,(500*LOG(1+99*AD69/SpecialScores!$AA$5))))))</f>
        <v xml:space="preserve"> </v>
      </c>
      <c r="AF69" s="12" t="str">
        <f t="shared" si="46"/>
        <v/>
      </c>
      <c r="AG69" s="38"/>
      <c r="AH69" s="8" t="str">
        <f>IF(ISBLANK(AG69)," ",IF(AG69="np",SpecialScores!$C$3,IF(AG69="dnf",SpecialScores!$C$4,MIN(1000,(500*LOG(1+99*AG69/SpecialScores!$E$3))))))</f>
        <v xml:space="preserve"> </v>
      </c>
      <c r="AI69" s="12" t="str">
        <f t="shared" si="47"/>
        <v/>
      </c>
      <c r="AP69" s="49"/>
    </row>
    <row r="70" spans="1:42" x14ac:dyDescent="0.35">
      <c r="A70" s="42"/>
      <c r="E70" s="33" t="str">
        <f t="shared" si="26"/>
        <v xml:space="preserve"> </v>
      </c>
      <c r="F70" s="33" t="str">
        <f t="shared" si="27"/>
        <v xml:space="preserve"> </v>
      </c>
      <c r="G70" s="7" t="str">
        <f t="shared" si="28"/>
        <v xml:space="preserve"> </v>
      </c>
      <c r="H70" s="7" t="str">
        <f t="shared" si="29"/>
        <v xml:space="preserve"> </v>
      </c>
      <c r="I70" s="38"/>
      <c r="J70" s="8" t="str">
        <f>IF(ISBLANK(I70)," ",IF(I70="np",SpecialScores!$C$3,IF(I70="dnf",SpecialScores!$C$4,MIN( 1000+I70/SpecialScores!$E$3*0.0001,(500*LOG(1+99*I70/SpecialScores!$E$3))))))</f>
        <v xml:space="preserve"> </v>
      </c>
      <c r="K70" s="12" t="str">
        <f t="shared" si="39"/>
        <v/>
      </c>
      <c r="L70" s="38"/>
      <c r="M70" s="8" t="str">
        <f>IF(ISBLANK(L70)," ",IF(L70="np",SpecialScores!$C$3,IF(L70="dnf",SpecialScores!$C$4,MIN( 1000+L70/SpecialScores!$H$3*0.0001,(500*LOG(1+99*L70/SpecialScores!$H$3))))))</f>
        <v xml:space="preserve"> </v>
      </c>
      <c r="N70" s="12" t="str">
        <f t="shared" si="40"/>
        <v/>
      </c>
      <c r="O70" s="38"/>
      <c r="P70" s="8" t="str">
        <f>IF(ISBLANK(O70)," ",IF(O70="np",SpecialScores!$C$3,IF(O70="dnf",SpecialScores!$C$4,MIN(1000,(500*LOG(1+99*O70/SpecialScores!$K$3))))))</f>
        <v xml:space="preserve"> </v>
      </c>
      <c r="Q70" s="12" t="str">
        <f t="shared" si="41"/>
        <v/>
      </c>
      <c r="R70" s="38"/>
      <c r="S70" s="8" t="str">
        <f>IF(ISBLANK(R70)," ",IF(R70="np",SpecialScores!$C$3,IF(R70="dnf",SpecialScores!$C$4,      IF(AND(R70&gt;=0,R70&lt;SpecialScores!$O$12), (500*LOG(1+99*R70/SpecialScores!$O$12*SpecialScores!$O$11/SpecialScores!$O$10)),                         MIN((500*LOG(1+99*SpecialScores!$O$11/R70)))))))</f>
        <v xml:space="preserve"> </v>
      </c>
      <c r="T70" s="12" t="str">
        <f t="shared" si="42"/>
        <v/>
      </c>
      <c r="U70" s="38"/>
      <c r="V70" s="8" t="str">
        <f>IF(ISBLANK(U70)," ",IF(U70="np",SpecialScores!$C$3,IF(U70="dnf",SpecialScores!$C$4,MIN((500*LOG(1+99*U70/SpecialScores!$R$3))))))</f>
        <v xml:space="preserve"> </v>
      </c>
      <c r="W70" s="12" t="str">
        <f t="shared" si="43"/>
        <v/>
      </c>
      <c r="X70" s="38"/>
      <c r="Y70" s="8" t="str">
        <f>IF(ISBLANK(X70)," ",IF(X70="np",SpecialScores!$C$3,IF(X70="dnf",SpecialScores!$C$4,MIN( 1000+X70/SpecialScores!$U$3*0.0001,(500*LOG(1+99*X70/SpecialScores!$U$3))))))</f>
        <v xml:space="preserve"> </v>
      </c>
      <c r="Z70" s="12" t="str">
        <f t="shared" si="44"/>
        <v/>
      </c>
      <c r="AA70" s="38"/>
      <c r="AB70" s="8" t="str">
        <f>IF(ISBLANK(AA70)," ",IF(AA70="np",SpecialScores!$C$3,IF(AA70="dnf",SpecialScores!$C$4,      IF(AND(AA70&gt;=0,AA70&lt;SpecialScores!$X$12), (500*LOG(1+99*AA70/SpecialScores!$X$12*SpecialScores!$X$11/SpecialScores!$X$10)),                         MIN((500*LOG(1+99*SpecialScores!$X$11/AA70)))))))</f>
        <v xml:space="preserve"> </v>
      </c>
      <c r="AC70" s="12" t="str">
        <f t="shared" si="45"/>
        <v/>
      </c>
      <c r="AD70" s="38"/>
      <c r="AE70" s="8" t="str">
        <f>IF(ISBLANK(AD70)," ",IF(AD70="np",SpecialScores!$C$3,IF(AD70="dnf",SpecialScores!$C$4,MIN( 1000+AD70/SpecialScores!$AA$5*0.0001,(500*LOG(1+99*AD70/SpecialScores!$AA$5))))))</f>
        <v xml:space="preserve"> </v>
      </c>
      <c r="AF70" s="12" t="str">
        <f t="shared" si="46"/>
        <v/>
      </c>
      <c r="AG70" s="38"/>
      <c r="AH70" s="8" t="str">
        <f>IF(ISBLANK(AG70)," ",IF(AG70="np",SpecialScores!$C$3,IF(AG70="dnf",SpecialScores!$C$4,MIN(1000,(500*LOG(1+99*AG70/SpecialScores!$E$3))))))</f>
        <v xml:space="preserve"> </v>
      </c>
      <c r="AI70" s="12" t="str">
        <f t="shared" si="47"/>
        <v/>
      </c>
      <c r="AP70" s="49"/>
    </row>
    <row r="71" spans="1:42" x14ac:dyDescent="0.35">
      <c r="A71" s="42"/>
      <c r="E71" s="33" t="str">
        <f t="shared" si="26"/>
        <v xml:space="preserve"> </v>
      </c>
      <c r="F71" s="33" t="str">
        <f t="shared" si="27"/>
        <v xml:space="preserve"> </v>
      </c>
      <c r="G71" s="7" t="str">
        <f t="shared" si="28"/>
        <v xml:space="preserve"> </v>
      </c>
      <c r="H71" s="7" t="str">
        <f t="shared" si="29"/>
        <v xml:space="preserve"> </v>
      </c>
      <c r="I71" s="38"/>
      <c r="J71" s="8" t="str">
        <f>IF(ISBLANK(I71)," ",IF(I71="np",SpecialScores!$C$3,IF(I71="dnf",SpecialScores!$C$4,MIN( 1000+I71/SpecialScores!$E$3*0.0001,(500*LOG(1+99*I71/SpecialScores!$E$3))))))</f>
        <v xml:space="preserve"> </v>
      </c>
      <c r="K71" s="12" t="str">
        <f t="shared" si="39"/>
        <v/>
      </c>
      <c r="L71" s="38"/>
      <c r="M71" s="8" t="str">
        <f>IF(ISBLANK(L71)," ",IF(L71="np",SpecialScores!$C$3,IF(L71="dnf",SpecialScores!$C$4,MIN( 1000+L71/SpecialScores!$H$3*0.0001,(500*LOG(1+99*L71/SpecialScores!$H$3))))))</f>
        <v xml:space="preserve"> </v>
      </c>
      <c r="N71" s="12" t="str">
        <f t="shared" si="40"/>
        <v/>
      </c>
      <c r="O71" s="38"/>
      <c r="P71" s="8" t="str">
        <f>IF(ISBLANK(O71)," ",IF(O71="np",SpecialScores!$C$3,IF(O71="dnf",SpecialScores!$C$4,MIN(1000,(500*LOG(1+99*O71/SpecialScores!$K$3))))))</f>
        <v xml:space="preserve"> </v>
      </c>
      <c r="Q71" s="12" t="str">
        <f t="shared" si="41"/>
        <v/>
      </c>
      <c r="R71" s="38"/>
      <c r="S71" s="8" t="str">
        <f>IF(ISBLANK(R71)," ",IF(R71="np",SpecialScores!$C$3,IF(R71="dnf",SpecialScores!$C$4,      IF(AND(R71&gt;=0,R71&lt;SpecialScores!$O$12), (500*LOG(1+99*R71/SpecialScores!$O$12*SpecialScores!$O$11/SpecialScores!$O$10)),                         MIN((500*LOG(1+99*SpecialScores!$O$11/R71)))))))</f>
        <v xml:space="preserve"> </v>
      </c>
      <c r="T71" s="12" t="str">
        <f t="shared" si="42"/>
        <v/>
      </c>
      <c r="U71" s="38"/>
      <c r="V71" s="8" t="str">
        <f>IF(ISBLANK(U71)," ",IF(U71="np",SpecialScores!$C$3,IF(U71="dnf",SpecialScores!$C$4,MIN((500*LOG(1+99*U71/SpecialScores!$R$3))))))</f>
        <v xml:space="preserve"> </v>
      </c>
      <c r="W71" s="12" t="str">
        <f t="shared" si="43"/>
        <v/>
      </c>
      <c r="X71" s="38"/>
      <c r="Y71" s="8" t="str">
        <f>IF(ISBLANK(X71)," ",IF(X71="np",SpecialScores!$C$3,IF(X71="dnf",SpecialScores!$C$4,MIN( 1000+X71/SpecialScores!$U$3*0.0001,(500*LOG(1+99*X71/SpecialScores!$U$3))))))</f>
        <v xml:space="preserve"> </v>
      </c>
      <c r="Z71" s="12" t="str">
        <f t="shared" si="44"/>
        <v/>
      </c>
      <c r="AA71" s="38"/>
      <c r="AB71" s="8" t="str">
        <f>IF(ISBLANK(AA71)," ",IF(AA71="np",SpecialScores!$C$3,IF(AA71="dnf",SpecialScores!$C$4,      IF(AND(AA71&gt;=0,AA71&lt;SpecialScores!$X$12), (500*LOG(1+99*AA71/SpecialScores!$X$12*SpecialScores!$X$11/SpecialScores!$X$10)),                         MIN((500*LOG(1+99*SpecialScores!$X$11/AA71)))))))</f>
        <v xml:space="preserve"> </v>
      </c>
      <c r="AC71" s="12" t="str">
        <f t="shared" si="45"/>
        <v/>
      </c>
      <c r="AD71" s="38"/>
      <c r="AE71" s="8" t="str">
        <f>IF(ISBLANK(AD71)," ",IF(AD71="np",SpecialScores!$C$3,IF(AD71="dnf",SpecialScores!$C$4,MIN( 1000+AD71/SpecialScores!$AA$5*0.0001,(500*LOG(1+99*AD71/SpecialScores!$AA$5))))))</f>
        <v xml:space="preserve"> </v>
      </c>
      <c r="AF71" s="12" t="str">
        <f t="shared" si="46"/>
        <v/>
      </c>
      <c r="AG71" s="38"/>
      <c r="AH71" s="8" t="str">
        <f>IF(ISBLANK(AG71)," ",IF(AG71="np",SpecialScores!$C$3,IF(AG71="dnf",SpecialScores!$C$4,MIN(1000,(500*LOG(1+99*AG71/SpecialScores!$E$3))))))</f>
        <v xml:space="preserve"> </v>
      </c>
      <c r="AI71" s="12" t="str">
        <f t="shared" si="47"/>
        <v/>
      </c>
      <c r="AP71" s="49"/>
    </row>
    <row r="72" spans="1:42" x14ac:dyDescent="0.35">
      <c r="A72" s="42"/>
      <c r="E72" s="33" t="str">
        <f t="shared" si="26"/>
        <v xml:space="preserve"> </v>
      </c>
      <c r="F72" s="33" t="str">
        <f t="shared" si="27"/>
        <v xml:space="preserve"> </v>
      </c>
      <c r="G72" s="7" t="str">
        <f t="shared" si="28"/>
        <v xml:space="preserve"> </v>
      </c>
      <c r="H72" s="7" t="str">
        <f t="shared" si="29"/>
        <v xml:space="preserve"> </v>
      </c>
      <c r="I72" s="38"/>
      <c r="J72" s="8" t="str">
        <f>IF(ISBLANK(I72)," ",IF(I72="np",SpecialScores!$C$3,IF(I72="dnf",SpecialScores!$C$4,MIN( 1000+I72/SpecialScores!$E$3*0.0001,(500*LOG(1+99*I72/SpecialScores!$E$3))))))</f>
        <v xml:space="preserve"> </v>
      </c>
      <c r="K72" s="12" t="str">
        <f t="shared" si="39"/>
        <v/>
      </c>
      <c r="L72" s="38"/>
      <c r="M72" s="8" t="str">
        <f>IF(ISBLANK(L72)," ",IF(L72="np",SpecialScores!$C$3,IF(L72="dnf",SpecialScores!$C$4,MIN( 1000+L72/SpecialScores!$H$3*0.0001,(500*LOG(1+99*L72/SpecialScores!$H$3))))))</f>
        <v xml:space="preserve"> </v>
      </c>
      <c r="N72" s="12" t="str">
        <f t="shared" si="40"/>
        <v/>
      </c>
      <c r="O72" s="38"/>
      <c r="P72" s="8" t="str">
        <f>IF(ISBLANK(O72)," ",IF(O72="np",SpecialScores!$C$3,IF(O72="dnf",SpecialScores!$C$4,MIN(1000,(500*LOG(1+99*O72/SpecialScores!$K$3))))))</f>
        <v xml:space="preserve"> </v>
      </c>
      <c r="Q72" s="12" t="str">
        <f t="shared" si="41"/>
        <v/>
      </c>
      <c r="R72" s="38"/>
      <c r="S72" s="8" t="str">
        <f>IF(ISBLANK(R72)," ",IF(R72="np",SpecialScores!$C$3,IF(R72="dnf",SpecialScores!$C$4,      IF(AND(R72&gt;=0,R72&lt;SpecialScores!$O$12), (500*LOG(1+99*R72/SpecialScores!$O$12*SpecialScores!$O$11/SpecialScores!$O$10)),                         MIN((500*LOG(1+99*SpecialScores!$O$11/R72)))))))</f>
        <v xml:space="preserve"> </v>
      </c>
      <c r="T72" s="12" t="str">
        <f t="shared" si="42"/>
        <v/>
      </c>
      <c r="U72" s="38"/>
      <c r="V72" s="8" t="str">
        <f>IF(ISBLANK(U72)," ",IF(U72="np",SpecialScores!$C$3,IF(U72="dnf",SpecialScores!$C$4,MIN((500*LOG(1+99*U72/SpecialScores!$R$3))))))</f>
        <v xml:space="preserve"> </v>
      </c>
      <c r="W72" s="12" t="str">
        <f t="shared" si="43"/>
        <v/>
      </c>
      <c r="X72" s="38"/>
      <c r="Y72" s="8" t="str">
        <f>IF(ISBLANK(X72)," ",IF(X72="np",SpecialScores!$C$3,IF(X72="dnf",SpecialScores!$C$4,MIN( 1000+X72/SpecialScores!$U$3*0.0001,(500*LOG(1+99*X72/SpecialScores!$U$3))))))</f>
        <v xml:space="preserve"> </v>
      </c>
      <c r="Z72" s="12" t="str">
        <f t="shared" si="44"/>
        <v/>
      </c>
      <c r="AA72" s="38"/>
      <c r="AB72" s="8" t="str">
        <f>IF(ISBLANK(AA72)," ",IF(AA72="np",SpecialScores!$C$3,IF(AA72="dnf",SpecialScores!$C$4,      IF(AND(AA72&gt;=0,AA72&lt;SpecialScores!$X$12), (500*LOG(1+99*AA72/SpecialScores!$X$12*SpecialScores!$X$11/SpecialScores!$X$10)),                         MIN((500*LOG(1+99*SpecialScores!$X$11/AA72)))))))</f>
        <v xml:space="preserve"> </v>
      </c>
      <c r="AC72" s="12" t="str">
        <f t="shared" si="45"/>
        <v/>
      </c>
      <c r="AD72" s="38"/>
      <c r="AE72" s="8" t="str">
        <f>IF(ISBLANK(AD72)," ",IF(AD72="np",SpecialScores!$C$3,IF(AD72="dnf",SpecialScores!$C$4,MIN( 1000+AD72/SpecialScores!$AA$5*0.0001,(500*LOG(1+99*AD72/SpecialScores!$AA$5))))))</f>
        <v xml:space="preserve"> </v>
      </c>
      <c r="AF72" s="12" t="str">
        <f t="shared" si="46"/>
        <v/>
      </c>
      <c r="AG72" s="38"/>
      <c r="AH72" s="8" t="str">
        <f>IF(ISBLANK(AG72)," ",IF(AG72="np",SpecialScores!$C$3,IF(AG72="dnf",SpecialScores!$C$4,MIN(1000,(500*LOG(1+99*AG72/SpecialScores!$E$3))))))</f>
        <v xml:space="preserve"> </v>
      </c>
      <c r="AI72" s="12" t="str">
        <f t="shared" si="47"/>
        <v/>
      </c>
      <c r="AP72" s="49"/>
    </row>
    <row r="73" spans="1:42" x14ac:dyDescent="0.35">
      <c r="A73" s="42"/>
      <c r="E73" s="33" t="str">
        <f t="shared" si="26"/>
        <v xml:space="preserve"> </v>
      </c>
      <c r="F73" s="33" t="str">
        <f t="shared" si="27"/>
        <v xml:space="preserve"> </v>
      </c>
      <c r="G73" s="7" t="str">
        <f t="shared" si="28"/>
        <v xml:space="preserve"> </v>
      </c>
      <c r="H73" s="7" t="str">
        <f t="shared" si="29"/>
        <v xml:space="preserve"> </v>
      </c>
      <c r="I73" s="38"/>
      <c r="J73" s="8" t="str">
        <f>IF(ISBLANK(I73)," ",IF(I73="np",SpecialScores!$C$3,IF(I73="dnf",SpecialScores!$C$4,MIN( 1000+I73/SpecialScores!$E$3*0.0001,(500*LOG(1+99*I73/SpecialScores!$E$3))))))</f>
        <v xml:space="preserve"> </v>
      </c>
      <c r="K73" s="12" t="str">
        <f t="shared" si="39"/>
        <v/>
      </c>
      <c r="L73" s="38"/>
      <c r="M73" s="8" t="str">
        <f>IF(ISBLANK(L73)," ",IF(L73="np",SpecialScores!$C$3,IF(L73="dnf",SpecialScores!$C$4,MIN( 1000+L73/SpecialScores!$H$3*0.0001,(500*LOG(1+99*L73/SpecialScores!$H$3))))))</f>
        <v xml:space="preserve"> </v>
      </c>
      <c r="N73" s="12" t="str">
        <f t="shared" si="40"/>
        <v/>
      </c>
      <c r="O73" s="38"/>
      <c r="P73" s="8" t="str">
        <f>IF(ISBLANK(O73)," ",IF(O73="np",SpecialScores!$C$3,IF(O73="dnf",SpecialScores!$C$4,MIN(1000,(500*LOG(1+99*O73/SpecialScores!$K$3))))))</f>
        <v xml:space="preserve"> </v>
      </c>
      <c r="Q73" s="12" t="str">
        <f t="shared" si="41"/>
        <v/>
      </c>
      <c r="R73" s="38"/>
      <c r="S73" s="8" t="str">
        <f>IF(ISBLANK(R73)," ",IF(R73="np",SpecialScores!$C$3,IF(R73="dnf",SpecialScores!$C$4,      IF(AND(R73&gt;=0,R73&lt;SpecialScores!$O$12), (500*LOG(1+99*R73/SpecialScores!$O$12*SpecialScores!$O$11/SpecialScores!$O$10)),                         MIN((500*LOG(1+99*SpecialScores!$O$11/R73)))))))</f>
        <v xml:space="preserve"> </v>
      </c>
      <c r="T73" s="12" t="str">
        <f t="shared" si="42"/>
        <v/>
      </c>
      <c r="U73" s="38"/>
      <c r="V73" s="8" t="str">
        <f>IF(ISBLANK(U73)," ",IF(U73="np",SpecialScores!$C$3,IF(U73="dnf",SpecialScores!$C$4,MIN((500*LOG(1+99*U73/SpecialScores!$R$3))))))</f>
        <v xml:space="preserve"> </v>
      </c>
      <c r="W73" s="12" t="str">
        <f t="shared" si="43"/>
        <v/>
      </c>
      <c r="X73" s="38"/>
      <c r="Y73" s="8" t="str">
        <f>IF(ISBLANK(X73)," ",IF(X73="np",SpecialScores!$C$3,IF(X73="dnf",SpecialScores!$C$4,MIN( 1000+X73/SpecialScores!$U$3*0.0001,(500*LOG(1+99*X73/SpecialScores!$U$3))))))</f>
        <v xml:space="preserve"> </v>
      </c>
      <c r="Z73" s="12" t="str">
        <f t="shared" si="44"/>
        <v/>
      </c>
      <c r="AA73" s="38"/>
      <c r="AB73" s="8" t="str">
        <f>IF(ISBLANK(AA73)," ",IF(AA73="np",SpecialScores!$C$3,IF(AA73="dnf",SpecialScores!$C$4,      IF(AND(AA73&gt;=0,AA73&lt;SpecialScores!$X$12), (500*LOG(1+99*AA73/SpecialScores!$X$12*SpecialScores!$X$11/SpecialScores!$X$10)),                         MIN((500*LOG(1+99*SpecialScores!$X$11/AA73)))))))</f>
        <v xml:space="preserve"> </v>
      </c>
      <c r="AC73" s="12" t="str">
        <f t="shared" si="45"/>
        <v/>
      </c>
      <c r="AD73" s="38"/>
      <c r="AE73" s="8" t="str">
        <f>IF(ISBLANK(AD73)," ",IF(AD73="np",SpecialScores!$C$3,IF(AD73="dnf",SpecialScores!$C$4,MIN( 1000+AD73/SpecialScores!$AA$5*0.0001,(500*LOG(1+99*AD73/SpecialScores!$AA$5))))))</f>
        <v xml:space="preserve"> </v>
      </c>
      <c r="AF73" s="12" t="str">
        <f t="shared" si="46"/>
        <v/>
      </c>
      <c r="AG73" s="38"/>
      <c r="AH73" s="8" t="str">
        <f>IF(ISBLANK(AG73)," ",IF(AG73="np",SpecialScores!$C$3,IF(AG73="dnf",SpecialScores!$C$4,MIN(1000,(500*LOG(1+99*AG73/SpecialScores!$E$3))))))</f>
        <v xml:space="preserve"> </v>
      </c>
      <c r="AI73" s="12" t="str">
        <f t="shared" si="47"/>
        <v/>
      </c>
      <c r="AP73" s="49"/>
    </row>
    <row r="74" spans="1:42" x14ac:dyDescent="0.35">
      <c r="A74" s="42"/>
      <c r="E74" s="33" t="str">
        <f t="shared" si="26"/>
        <v xml:space="preserve"> </v>
      </c>
      <c r="F74" s="33" t="str">
        <f t="shared" si="27"/>
        <v xml:space="preserve"> </v>
      </c>
      <c r="G74" s="7" t="str">
        <f t="shared" si="28"/>
        <v xml:space="preserve"> </v>
      </c>
      <c r="H74" s="7" t="str">
        <f t="shared" si="29"/>
        <v xml:space="preserve"> </v>
      </c>
      <c r="I74" s="38"/>
      <c r="J74" s="8" t="str">
        <f>IF(ISBLANK(I74)," ",IF(I74="np",SpecialScores!$C$3,IF(I74="dnf",SpecialScores!$C$4,MIN( 1000+I74/SpecialScores!$E$3*0.0001,(500*LOG(1+99*I74/SpecialScores!$E$3))))))</f>
        <v xml:space="preserve"> </v>
      </c>
      <c r="K74" s="12" t="str">
        <f t="shared" si="39"/>
        <v/>
      </c>
      <c r="L74" s="38"/>
      <c r="M74" s="8" t="str">
        <f>IF(ISBLANK(L74)," ",IF(L74="np",SpecialScores!$C$3,IF(L74="dnf",SpecialScores!$C$4,MIN( 1000+L74/SpecialScores!$H$3*0.0001,(500*LOG(1+99*L74/SpecialScores!$H$3))))))</f>
        <v xml:space="preserve"> </v>
      </c>
      <c r="N74" s="12" t="str">
        <f t="shared" si="40"/>
        <v/>
      </c>
      <c r="O74" s="38"/>
      <c r="P74" s="8" t="str">
        <f>IF(ISBLANK(O74)," ",IF(O74="np",SpecialScores!$C$3,IF(O74="dnf",SpecialScores!$C$4,MIN(1000,(500*LOG(1+99*O74/SpecialScores!$K$3))))))</f>
        <v xml:space="preserve"> </v>
      </c>
      <c r="Q74" s="12" t="str">
        <f t="shared" si="41"/>
        <v/>
      </c>
      <c r="R74" s="38"/>
      <c r="S74" s="8" t="str">
        <f>IF(ISBLANK(R74)," ",IF(R74="np",SpecialScores!$C$3,IF(R74="dnf",SpecialScores!$C$4,      IF(AND(R74&gt;=0,R74&lt;SpecialScores!$O$12), (500*LOG(1+99*R74/SpecialScores!$O$12*SpecialScores!$O$11/SpecialScores!$O$10)),                         MIN((500*LOG(1+99*SpecialScores!$O$11/R74)))))))</f>
        <v xml:space="preserve"> </v>
      </c>
      <c r="T74" s="12" t="str">
        <f t="shared" si="42"/>
        <v/>
      </c>
      <c r="U74" s="38"/>
      <c r="V74" s="8" t="str">
        <f>IF(ISBLANK(U74)," ",IF(U74="np",SpecialScores!$C$3,IF(U74="dnf",SpecialScores!$C$4,MIN((500*LOG(1+99*U74/SpecialScores!$R$3))))))</f>
        <v xml:space="preserve"> </v>
      </c>
      <c r="W74" s="12" t="str">
        <f t="shared" si="43"/>
        <v/>
      </c>
      <c r="X74" s="38"/>
      <c r="Y74" s="8" t="str">
        <f>IF(ISBLANK(X74)," ",IF(X74="np",SpecialScores!$C$3,IF(X74="dnf",SpecialScores!$C$4,MIN( 1000+X74/SpecialScores!$U$3*0.0001,(500*LOG(1+99*X74/SpecialScores!$U$3))))))</f>
        <v xml:space="preserve"> </v>
      </c>
      <c r="Z74" s="12" t="str">
        <f t="shared" si="44"/>
        <v/>
      </c>
      <c r="AA74" s="38"/>
      <c r="AB74" s="8" t="str">
        <f>IF(ISBLANK(AA74)," ",IF(AA74="np",SpecialScores!$C$3,IF(AA74="dnf",SpecialScores!$C$4,      IF(AND(AA74&gt;=0,AA74&lt;SpecialScores!$X$12), (500*LOG(1+99*AA74/SpecialScores!$X$12*SpecialScores!$X$11/SpecialScores!$X$10)),                         MIN((500*LOG(1+99*SpecialScores!$X$11/AA74)))))))</f>
        <v xml:space="preserve"> </v>
      </c>
      <c r="AC74" s="12" t="str">
        <f t="shared" si="45"/>
        <v/>
      </c>
      <c r="AD74" s="38"/>
      <c r="AE74" s="8" t="str">
        <f>IF(ISBLANK(AD74)," ",IF(AD74="np",SpecialScores!$C$3,IF(AD74="dnf",SpecialScores!$C$4,MIN( 1000+AD74/SpecialScores!$AA$5*0.0001,(500*LOG(1+99*AD74/SpecialScores!$AA$5))))))</f>
        <v xml:space="preserve"> </v>
      </c>
      <c r="AF74" s="12" t="str">
        <f t="shared" si="46"/>
        <v/>
      </c>
      <c r="AG74" s="38"/>
      <c r="AH74" s="8" t="str">
        <f>IF(ISBLANK(AG74)," ",IF(AG74="np",SpecialScores!$C$3,IF(AG74="dnf",SpecialScores!$C$4,MIN(1000,(500*LOG(1+99*AG74/SpecialScores!$E$3))))))</f>
        <v xml:space="preserve"> </v>
      </c>
      <c r="AI74" s="12" t="str">
        <f t="shared" si="47"/>
        <v/>
      </c>
      <c r="AP74" s="49"/>
    </row>
    <row r="75" spans="1:42" x14ac:dyDescent="0.35">
      <c r="A75" s="42"/>
      <c r="E75" s="33" t="str">
        <f t="shared" si="26"/>
        <v xml:space="preserve"> </v>
      </c>
      <c r="F75" s="33" t="str">
        <f t="shared" si="27"/>
        <v xml:space="preserve"> </v>
      </c>
      <c r="G75" s="7" t="str">
        <f t="shared" si="28"/>
        <v xml:space="preserve"> </v>
      </c>
      <c r="H75" s="7" t="str">
        <f t="shared" si="29"/>
        <v xml:space="preserve"> </v>
      </c>
      <c r="I75" s="38"/>
      <c r="J75" s="8" t="str">
        <f>IF(ISBLANK(I75)," ",IF(I75="np",SpecialScores!$C$3,IF(I75="dnf",SpecialScores!$C$4,MIN( 1000+I75/SpecialScores!$E$3*0.0001,(500*LOG(1+99*I75/SpecialScores!$E$3))))))</f>
        <v xml:space="preserve"> </v>
      </c>
      <c r="K75" s="12" t="str">
        <f t="shared" si="39"/>
        <v/>
      </c>
      <c r="L75" s="38"/>
      <c r="M75" s="8" t="str">
        <f>IF(ISBLANK(L75)," ",IF(L75="np",SpecialScores!$C$3,IF(L75="dnf",SpecialScores!$C$4,MIN( 1000+L75/SpecialScores!$H$3*0.0001,(500*LOG(1+99*L75/SpecialScores!$H$3))))))</f>
        <v xml:space="preserve"> </v>
      </c>
      <c r="N75" s="12" t="str">
        <f t="shared" si="40"/>
        <v/>
      </c>
      <c r="O75" s="38"/>
      <c r="P75" s="8" t="str">
        <f>IF(ISBLANK(O75)," ",IF(O75="np",SpecialScores!$C$3,IF(O75="dnf",SpecialScores!$C$4,MIN(1000,(500*LOG(1+99*O75/SpecialScores!$K$3))))))</f>
        <v xml:space="preserve"> </v>
      </c>
      <c r="Q75" s="12" t="str">
        <f t="shared" si="41"/>
        <v/>
      </c>
      <c r="R75" s="38"/>
      <c r="S75" s="8" t="str">
        <f>IF(ISBLANK(R75)," ",IF(R75="np",SpecialScores!$C$3,IF(R75="dnf",SpecialScores!$C$4,      IF(AND(R75&gt;=0,R75&lt;SpecialScores!$O$12), (500*LOG(1+99*R75/SpecialScores!$O$12*SpecialScores!$O$11/SpecialScores!$O$10)),                         MIN((500*LOG(1+99*SpecialScores!$O$11/R75)))))))</f>
        <v xml:space="preserve"> </v>
      </c>
      <c r="T75" s="12" t="str">
        <f t="shared" si="42"/>
        <v/>
      </c>
      <c r="U75" s="38"/>
      <c r="V75" s="8" t="str">
        <f>IF(ISBLANK(U75)," ",IF(U75="np",SpecialScores!$C$3,IF(U75="dnf",SpecialScores!$C$4,MIN((500*LOG(1+99*U75/SpecialScores!$R$3))))))</f>
        <v xml:space="preserve"> </v>
      </c>
      <c r="W75" s="12" t="str">
        <f t="shared" si="43"/>
        <v/>
      </c>
      <c r="X75" s="38"/>
      <c r="Y75" s="8" t="str">
        <f>IF(ISBLANK(X75)," ",IF(X75="np",SpecialScores!$C$3,IF(X75="dnf",SpecialScores!$C$4,MIN( 1000+X75/SpecialScores!$U$3*0.0001,(500*LOG(1+99*X75/SpecialScores!$U$3))))))</f>
        <v xml:space="preserve"> </v>
      </c>
      <c r="Z75" s="12" t="str">
        <f t="shared" si="44"/>
        <v/>
      </c>
      <c r="AA75" s="38"/>
      <c r="AB75" s="8" t="str">
        <f>IF(ISBLANK(AA75)," ",IF(AA75="np",SpecialScores!$C$3,IF(AA75="dnf",SpecialScores!$C$4,      IF(AND(AA75&gt;=0,AA75&lt;SpecialScores!$X$12), (500*LOG(1+99*AA75/SpecialScores!$X$12*SpecialScores!$X$11/SpecialScores!$X$10)),                         MIN((500*LOG(1+99*SpecialScores!$X$11/AA75)))))))</f>
        <v xml:space="preserve"> </v>
      </c>
      <c r="AC75" s="12" t="str">
        <f t="shared" si="45"/>
        <v/>
      </c>
      <c r="AD75" s="38"/>
      <c r="AE75" s="8" t="str">
        <f>IF(ISBLANK(AD75)," ",IF(AD75="np",SpecialScores!$C$3,IF(AD75="dnf",SpecialScores!$C$4,MIN( 1000+AD75/SpecialScores!$AA$5*0.0001,(500*LOG(1+99*AD75/SpecialScores!$AA$5))))))</f>
        <v xml:space="preserve"> </v>
      </c>
      <c r="AF75" s="12" t="str">
        <f t="shared" si="46"/>
        <v/>
      </c>
      <c r="AG75" s="38"/>
      <c r="AH75" s="8" t="str">
        <f>IF(ISBLANK(AG75)," ",IF(AG75="np",SpecialScores!$C$3,IF(AG75="dnf",SpecialScores!$C$4,MIN(1000,(500*LOG(1+99*AG75/SpecialScores!$E$3))))))</f>
        <v xml:space="preserve"> </v>
      </c>
      <c r="AI75" s="12" t="str">
        <f t="shared" si="47"/>
        <v/>
      </c>
      <c r="AP75" s="49"/>
    </row>
    <row r="76" spans="1:42" x14ac:dyDescent="0.35">
      <c r="A76" s="42"/>
      <c r="E76" s="33" t="str">
        <f t="shared" si="26"/>
        <v xml:space="preserve"> </v>
      </c>
      <c r="F76" s="33" t="str">
        <f t="shared" si="27"/>
        <v xml:space="preserve"> </v>
      </c>
      <c r="G76" s="7" t="str">
        <f t="shared" si="28"/>
        <v xml:space="preserve"> </v>
      </c>
      <c r="H76" s="7" t="str">
        <f t="shared" si="29"/>
        <v xml:space="preserve"> </v>
      </c>
      <c r="I76" s="38"/>
      <c r="J76" s="8" t="str">
        <f>IF(ISBLANK(I76)," ",IF(I76="np",SpecialScores!$C$3,IF(I76="dnf",SpecialScores!$C$4,MIN( 1000+I76/SpecialScores!$E$3*0.0001,(500*LOG(1+99*I76/SpecialScores!$E$3))))))</f>
        <v xml:space="preserve"> </v>
      </c>
      <c r="K76" s="12" t="str">
        <f t="shared" ref="K76:K139" si="48">IF(ISBLANK(I76),"",  RANK(J76,J$2:J$202,0)+((COUNTIF(J$2:J$202,J76)-1)*0.5) )</f>
        <v/>
      </c>
      <c r="L76" s="38"/>
      <c r="M76" s="8" t="str">
        <f>IF(ISBLANK(L76)," ",IF(L76="np",SpecialScores!$C$3,IF(L76="dnf",SpecialScores!$C$4,MIN( 1000+L76/SpecialScores!$H$3*0.0001,(500*LOG(1+99*L76/SpecialScores!$H$3))))))</f>
        <v xml:space="preserve"> </v>
      </c>
      <c r="N76" s="12" t="str">
        <f t="shared" ref="N76:N139" si="49">IF(ISBLANK(L76),"",  RANK(M76,M$2:M$202,0)+((COUNTIF(M$2:M$202,M76)-1)*0.5) )</f>
        <v/>
      </c>
      <c r="O76" s="38"/>
      <c r="P76" s="8" t="str">
        <f>IF(ISBLANK(O76)," ",IF(O76="np",SpecialScores!$C$3,IF(O76="dnf",SpecialScores!$C$4,MIN(1000,(500*LOG(1+99*O76/SpecialScores!$K$3))))))</f>
        <v xml:space="preserve"> </v>
      </c>
      <c r="Q76" s="12" t="str">
        <f t="shared" ref="Q76:Q139" si="50">IF(ISBLANK(O76),"",  RANK(P76,P$2:P$202,0)+((COUNTIF(P$2:P$202,P76)-1)*0.5) )</f>
        <v/>
      </c>
      <c r="R76" s="38"/>
      <c r="S76" s="8" t="str">
        <f>IF(ISBLANK(R76)," ",IF(R76="np",SpecialScores!$C$3,IF(R76="dnf",SpecialScores!$C$4,      IF(AND(R76&gt;=0,R76&lt;SpecialScores!$O$12), (500*LOG(1+99*R76/SpecialScores!$O$12*SpecialScores!$O$11/SpecialScores!$O$10)),                         MIN((500*LOG(1+99*SpecialScores!$O$11/R76)))))))</f>
        <v xml:space="preserve"> </v>
      </c>
      <c r="T76" s="12" t="str">
        <f t="shared" ref="T76:T139" si="51">IF(ISBLANK(R76),"",  RANK(S76,S$2:S$202,0)+((COUNTIF(S$2:S$202,S76)-1)*0.5) )</f>
        <v/>
      </c>
      <c r="U76" s="38"/>
      <c r="V76" s="8" t="str">
        <f>IF(ISBLANK(U76)," ",IF(U76="np",SpecialScores!$C$3,IF(U76="dnf",SpecialScores!$C$4,MIN((500*LOG(1+99*U76/SpecialScores!$R$3))))))</f>
        <v xml:space="preserve"> </v>
      </c>
      <c r="W76" s="12" t="str">
        <f t="shared" ref="W76:W139" si="52">IF(ISBLANK(U76),"",  RANK(V76,V$2:V$202,0)+((COUNTIF(V$2:V$202,V76)-1)*0.5) )</f>
        <v/>
      </c>
      <c r="X76" s="38"/>
      <c r="Y76" s="8" t="str">
        <f>IF(ISBLANK(X76)," ",IF(X76="np",SpecialScores!$C$3,IF(X76="dnf",SpecialScores!$C$4,MIN( 1000+X76/SpecialScores!$U$3*0.0001,(500*LOG(1+99*X76/SpecialScores!$U$3))))))</f>
        <v xml:space="preserve"> </v>
      </c>
      <c r="Z76" s="12" t="str">
        <f t="shared" ref="Z76:Z139" si="53">IF(ISBLANK(X76),"",  RANK(Y76,Y$2:Y$202,0)+((COUNTIF(Y$2:Y$202,Y76)-1)*0.5) )</f>
        <v/>
      </c>
      <c r="AA76" s="38"/>
      <c r="AB76" s="8" t="str">
        <f>IF(ISBLANK(AA76)," ",IF(AA76="np",SpecialScores!$C$3,IF(AA76="dnf",SpecialScores!$C$4,      IF(AND(AA76&gt;=0,AA76&lt;SpecialScores!$X$12), (500*LOG(1+99*AA76/SpecialScores!$X$12*SpecialScores!$X$11/SpecialScores!$X$10)),                         MIN((500*LOG(1+99*SpecialScores!$X$11/AA76)))))))</f>
        <v xml:space="preserve"> </v>
      </c>
      <c r="AC76" s="12" t="str">
        <f t="shared" ref="AC76:AC139" si="54">IF(ISBLANK(AA76),"",  RANK(AB76,AB$2:AB$202,0)+((COUNTIF(AB$2:AB$202,AB76)-1)*0.5) )</f>
        <v/>
      </c>
      <c r="AD76" s="38"/>
      <c r="AE76" s="8" t="str">
        <f>IF(ISBLANK(AD76)," ",IF(AD76="np",SpecialScores!$C$3,IF(AD76="dnf",SpecialScores!$C$4,MIN( 1000+AD76/SpecialScores!$AA$5*0.0001,(500*LOG(1+99*AD76/SpecialScores!$AA$5))))))</f>
        <v xml:space="preserve"> </v>
      </c>
      <c r="AF76" s="12" t="str">
        <f t="shared" ref="AF76:AF139" si="55">IF(ISBLANK(AD76),"",  RANK(AE76,AE$2:AE$202,0)+((COUNTIF(AE$2:AE$202,AE76)-1)*0.5) )</f>
        <v/>
      </c>
      <c r="AG76" s="38"/>
      <c r="AH76" s="8" t="str">
        <f>IF(ISBLANK(AG76)," ",IF(AG76="np",SpecialScores!$C$3,IF(AG76="dnf",SpecialScores!$C$4,MIN(1000,(500*LOG(1+99*AG76/SpecialScores!$E$3))))))</f>
        <v xml:space="preserve"> </v>
      </c>
      <c r="AI76" s="12" t="str">
        <f t="shared" ref="AI76:AI139" si="56">IF(ISBLANK(AG76),"",  RANK(AH76,AH$2:AH$202,0)+((COUNTIF(AH$2:AH$202,AH76)-1)*0.5) )</f>
        <v/>
      </c>
      <c r="AP76" s="49"/>
    </row>
    <row r="77" spans="1:42" x14ac:dyDescent="0.35">
      <c r="A77" s="42"/>
      <c r="E77" s="33" t="str">
        <f t="shared" si="26"/>
        <v xml:space="preserve"> </v>
      </c>
      <c r="F77" s="33" t="str">
        <f t="shared" si="27"/>
        <v xml:space="preserve"> </v>
      </c>
      <c r="G77" s="7" t="str">
        <f t="shared" si="28"/>
        <v xml:space="preserve"> </v>
      </c>
      <c r="H77" s="7" t="str">
        <f t="shared" si="29"/>
        <v xml:space="preserve"> </v>
      </c>
      <c r="I77" s="38"/>
      <c r="J77" s="8" t="str">
        <f>IF(ISBLANK(I77)," ",IF(I77="np",SpecialScores!$C$3,IF(I77="dnf",SpecialScores!$C$4,MIN( 1000+I77/SpecialScores!$E$3*0.0001,(500*LOG(1+99*I77/SpecialScores!$E$3))))))</f>
        <v xml:space="preserve"> </v>
      </c>
      <c r="K77" s="12" t="str">
        <f t="shared" si="48"/>
        <v/>
      </c>
      <c r="L77" s="38"/>
      <c r="M77" s="8" t="str">
        <f>IF(ISBLANK(L77)," ",IF(L77="np",SpecialScores!$C$3,IF(L77="dnf",SpecialScores!$C$4,MIN( 1000+L77/SpecialScores!$H$3*0.0001,(500*LOG(1+99*L77/SpecialScores!$H$3))))))</f>
        <v xml:space="preserve"> </v>
      </c>
      <c r="N77" s="12" t="str">
        <f t="shared" si="49"/>
        <v/>
      </c>
      <c r="O77" s="38"/>
      <c r="P77" s="8" t="str">
        <f>IF(ISBLANK(O77)," ",IF(O77="np",SpecialScores!$C$3,IF(O77="dnf",SpecialScores!$C$4,MIN(1000,(500*LOG(1+99*O77/SpecialScores!$K$3))))))</f>
        <v xml:space="preserve"> </v>
      </c>
      <c r="Q77" s="12" t="str">
        <f t="shared" si="50"/>
        <v/>
      </c>
      <c r="R77" s="38"/>
      <c r="S77" s="8" t="str">
        <f>IF(ISBLANK(R77)," ",IF(R77="np",SpecialScores!$C$3,IF(R77="dnf",SpecialScores!$C$4,      IF(AND(R77&gt;=0,R77&lt;SpecialScores!$O$12), (500*LOG(1+99*R77/SpecialScores!$O$12*SpecialScores!$O$11/SpecialScores!$O$10)),                         MIN((500*LOG(1+99*SpecialScores!$O$11/R77)))))))</f>
        <v xml:space="preserve"> </v>
      </c>
      <c r="T77" s="12" t="str">
        <f t="shared" si="51"/>
        <v/>
      </c>
      <c r="U77" s="38"/>
      <c r="V77" s="8" t="str">
        <f>IF(ISBLANK(U77)," ",IF(U77="np",SpecialScores!$C$3,IF(U77="dnf",SpecialScores!$C$4,MIN((500*LOG(1+99*U77/SpecialScores!$R$3))))))</f>
        <v xml:space="preserve"> </v>
      </c>
      <c r="W77" s="12" t="str">
        <f t="shared" si="52"/>
        <v/>
      </c>
      <c r="X77" s="38"/>
      <c r="Y77" s="8" t="str">
        <f>IF(ISBLANK(X77)," ",IF(X77="np",SpecialScores!$C$3,IF(X77="dnf",SpecialScores!$C$4,MIN( 1000+X77/SpecialScores!$U$3*0.0001,(500*LOG(1+99*X77/SpecialScores!$U$3))))))</f>
        <v xml:space="preserve"> </v>
      </c>
      <c r="Z77" s="12" t="str">
        <f t="shared" si="53"/>
        <v/>
      </c>
      <c r="AA77" s="38"/>
      <c r="AB77" s="8" t="str">
        <f>IF(ISBLANK(AA77)," ",IF(AA77="np",SpecialScores!$C$3,IF(AA77="dnf",SpecialScores!$C$4,      IF(AND(AA77&gt;=0,AA77&lt;SpecialScores!$X$12), (500*LOG(1+99*AA77/SpecialScores!$X$12*SpecialScores!$X$11/SpecialScores!$X$10)),                         MIN((500*LOG(1+99*SpecialScores!$X$11/AA77)))))))</f>
        <v xml:space="preserve"> </v>
      </c>
      <c r="AC77" s="12" t="str">
        <f t="shared" si="54"/>
        <v/>
      </c>
      <c r="AD77" s="38"/>
      <c r="AE77" s="8" t="str">
        <f>IF(ISBLANK(AD77)," ",IF(AD77="np",SpecialScores!$C$3,IF(AD77="dnf",SpecialScores!$C$4,MIN( 1000+AD77/SpecialScores!$AA$5*0.0001,(500*LOG(1+99*AD77/SpecialScores!$AA$5))))))</f>
        <v xml:space="preserve"> </v>
      </c>
      <c r="AF77" s="12" t="str">
        <f t="shared" si="55"/>
        <v/>
      </c>
      <c r="AG77" s="38"/>
      <c r="AH77" s="8" t="str">
        <f>IF(ISBLANK(AG77)," ",IF(AG77="np",SpecialScores!$C$3,IF(AG77="dnf",SpecialScores!$C$4,MIN(1000,(500*LOG(1+99*AG77/SpecialScores!$E$3))))))</f>
        <v xml:space="preserve"> </v>
      </c>
      <c r="AI77" s="12" t="str">
        <f t="shared" si="56"/>
        <v/>
      </c>
      <c r="AP77" s="49"/>
    </row>
    <row r="78" spans="1:42" x14ac:dyDescent="0.35">
      <c r="A78" s="42"/>
      <c r="E78" s="33" t="str">
        <f t="shared" si="26"/>
        <v xml:space="preserve"> </v>
      </c>
      <c r="F78" s="33" t="str">
        <f t="shared" si="27"/>
        <v xml:space="preserve"> </v>
      </c>
      <c r="G78" s="7" t="str">
        <f t="shared" si="28"/>
        <v xml:space="preserve"> </v>
      </c>
      <c r="H78" s="7" t="str">
        <f t="shared" si="29"/>
        <v xml:space="preserve"> </v>
      </c>
      <c r="I78" s="38"/>
      <c r="J78" s="8" t="str">
        <f>IF(ISBLANK(I78)," ",IF(I78="np",SpecialScores!$C$3,IF(I78="dnf",SpecialScores!$C$4,MIN( 1000+I78/SpecialScores!$E$3*0.0001,(500*LOG(1+99*I78/SpecialScores!$E$3))))))</f>
        <v xml:space="preserve"> </v>
      </c>
      <c r="K78" s="12" t="str">
        <f t="shared" si="48"/>
        <v/>
      </c>
      <c r="L78" s="38"/>
      <c r="M78" s="8" t="str">
        <f>IF(ISBLANK(L78)," ",IF(L78="np",SpecialScores!$C$3,IF(L78="dnf",SpecialScores!$C$4,MIN( 1000+L78/SpecialScores!$H$3*0.0001,(500*LOG(1+99*L78/SpecialScores!$H$3))))))</f>
        <v xml:space="preserve"> </v>
      </c>
      <c r="N78" s="12" t="str">
        <f t="shared" si="49"/>
        <v/>
      </c>
      <c r="O78" s="38"/>
      <c r="P78" s="8" t="str">
        <f>IF(ISBLANK(O78)," ",IF(O78="np",SpecialScores!$C$3,IF(O78="dnf",SpecialScores!$C$4,MIN(1000,(500*LOG(1+99*O78/SpecialScores!$K$3))))))</f>
        <v xml:space="preserve"> </v>
      </c>
      <c r="Q78" s="12" t="str">
        <f t="shared" si="50"/>
        <v/>
      </c>
      <c r="R78" s="38"/>
      <c r="S78" s="8" t="str">
        <f>IF(ISBLANK(R78)," ",IF(R78="np",SpecialScores!$C$3,IF(R78="dnf",SpecialScores!$C$4,      IF(AND(R78&gt;=0,R78&lt;SpecialScores!$O$12), (500*LOG(1+99*R78/SpecialScores!$O$12*SpecialScores!$O$11/SpecialScores!$O$10)),                         MIN((500*LOG(1+99*SpecialScores!$O$11/R78)))))))</f>
        <v xml:space="preserve"> </v>
      </c>
      <c r="T78" s="12" t="str">
        <f t="shared" si="51"/>
        <v/>
      </c>
      <c r="U78" s="38"/>
      <c r="V78" s="8" t="str">
        <f>IF(ISBLANK(U78)," ",IF(U78="np",SpecialScores!$C$3,IF(U78="dnf",SpecialScores!$C$4,MIN((500*LOG(1+99*U78/SpecialScores!$R$3))))))</f>
        <v xml:space="preserve"> </v>
      </c>
      <c r="W78" s="12" t="str">
        <f t="shared" si="52"/>
        <v/>
      </c>
      <c r="X78" s="38"/>
      <c r="Y78" s="8" t="str">
        <f>IF(ISBLANK(X78)," ",IF(X78="np",SpecialScores!$C$3,IF(X78="dnf",SpecialScores!$C$4,MIN( 1000+X78/SpecialScores!$U$3*0.0001,(500*LOG(1+99*X78/SpecialScores!$U$3))))))</f>
        <v xml:space="preserve"> </v>
      </c>
      <c r="Z78" s="12" t="str">
        <f t="shared" si="53"/>
        <v/>
      </c>
      <c r="AA78" s="38"/>
      <c r="AB78" s="8" t="str">
        <f>IF(ISBLANK(AA78)," ",IF(AA78="np",SpecialScores!$C$3,IF(AA78="dnf",SpecialScores!$C$4,      IF(AND(AA78&gt;=0,AA78&lt;SpecialScores!$X$12), (500*LOG(1+99*AA78/SpecialScores!$X$12*SpecialScores!$X$11/SpecialScores!$X$10)),                         MIN((500*LOG(1+99*SpecialScores!$X$11/AA78)))))))</f>
        <v xml:space="preserve"> </v>
      </c>
      <c r="AC78" s="12" t="str">
        <f t="shared" si="54"/>
        <v/>
      </c>
      <c r="AD78" s="38"/>
      <c r="AE78" s="8" t="str">
        <f>IF(ISBLANK(AD78)," ",IF(AD78="np",SpecialScores!$C$3,IF(AD78="dnf",SpecialScores!$C$4,MIN( 1000+AD78/SpecialScores!$AA$5*0.0001,(500*LOG(1+99*AD78/SpecialScores!$AA$5))))))</f>
        <v xml:space="preserve"> </v>
      </c>
      <c r="AF78" s="12" t="str">
        <f t="shared" si="55"/>
        <v/>
      </c>
      <c r="AG78" s="38"/>
      <c r="AH78" s="8" t="str">
        <f>IF(ISBLANK(AG78)," ",IF(AG78="np",SpecialScores!$C$3,IF(AG78="dnf",SpecialScores!$C$4,MIN(1000,(500*LOG(1+99*AG78/SpecialScores!$E$3))))))</f>
        <v xml:space="preserve"> </v>
      </c>
      <c r="AI78" s="12" t="str">
        <f t="shared" si="56"/>
        <v/>
      </c>
      <c r="AP78" s="49"/>
    </row>
    <row r="79" spans="1:42" x14ac:dyDescent="0.35">
      <c r="A79" s="42"/>
      <c r="E79" s="33" t="str">
        <f t="shared" si="26"/>
        <v xml:space="preserve"> </v>
      </c>
      <c r="F79" s="33" t="str">
        <f t="shared" si="27"/>
        <v xml:space="preserve"> </v>
      </c>
      <c r="G79" s="7" t="str">
        <f t="shared" si="28"/>
        <v xml:space="preserve"> </v>
      </c>
      <c r="H79" s="7" t="str">
        <f t="shared" si="29"/>
        <v xml:space="preserve"> </v>
      </c>
      <c r="I79" s="38"/>
      <c r="J79" s="8" t="str">
        <f>IF(ISBLANK(I79)," ",IF(I79="np",SpecialScores!$C$3,IF(I79="dnf",SpecialScores!$C$4,MIN( 1000+I79/SpecialScores!$E$3*0.0001,(500*LOG(1+99*I79/SpecialScores!$E$3))))))</f>
        <v xml:space="preserve"> </v>
      </c>
      <c r="K79" s="12" t="str">
        <f t="shared" si="48"/>
        <v/>
      </c>
      <c r="L79" s="38"/>
      <c r="M79" s="8" t="str">
        <f>IF(ISBLANK(L79)," ",IF(L79="np",SpecialScores!$C$3,IF(L79="dnf",SpecialScores!$C$4,MIN( 1000+L79/SpecialScores!$H$3*0.0001,(500*LOG(1+99*L79/SpecialScores!$H$3))))))</f>
        <v xml:space="preserve"> </v>
      </c>
      <c r="N79" s="12" t="str">
        <f t="shared" si="49"/>
        <v/>
      </c>
      <c r="O79" s="38"/>
      <c r="P79" s="8" t="str">
        <f>IF(ISBLANK(O79)," ",IF(O79="np",SpecialScores!$C$3,IF(O79="dnf",SpecialScores!$C$4,MIN(1000,(500*LOG(1+99*O79/SpecialScores!$K$3))))))</f>
        <v xml:space="preserve"> </v>
      </c>
      <c r="Q79" s="12" t="str">
        <f t="shared" si="50"/>
        <v/>
      </c>
      <c r="R79" s="38"/>
      <c r="S79" s="8" t="str">
        <f>IF(ISBLANK(R79)," ",IF(R79="np",SpecialScores!$C$3,IF(R79="dnf",SpecialScores!$C$4,      IF(AND(R79&gt;=0,R79&lt;SpecialScores!$O$12), (500*LOG(1+99*R79/SpecialScores!$O$12*SpecialScores!$O$11/SpecialScores!$O$10)),                         MIN((500*LOG(1+99*SpecialScores!$O$11/R79)))))))</f>
        <v xml:space="preserve"> </v>
      </c>
      <c r="T79" s="12" t="str">
        <f t="shared" si="51"/>
        <v/>
      </c>
      <c r="U79" s="38"/>
      <c r="V79" s="8" t="str">
        <f>IF(ISBLANK(U79)," ",IF(U79="np",SpecialScores!$C$3,IF(U79="dnf",SpecialScores!$C$4,MIN((500*LOG(1+99*U79/SpecialScores!$R$3))))))</f>
        <v xml:space="preserve"> </v>
      </c>
      <c r="W79" s="12" t="str">
        <f t="shared" si="52"/>
        <v/>
      </c>
      <c r="X79" s="38"/>
      <c r="Y79" s="8" t="str">
        <f>IF(ISBLANK(X79)," ",IF(X79="np",SpecialScores!$C$3,IF(X79="dnf",SpecialScores!$C$4,MIN( 1000+X79/SpecialScores!$U$3*0.0001,(500*LOG(1+99*X79/SpecialScores!$U$3))))))</f>
        <v xml:space="preserve"> </v>
      </c>
      <c r="Z79" s="12" t="str">
        <f t="shared" si="53"/>
        <v/>
      </c>
      <c r="AA79" s="38"/>
      <c r="AB79" s="8" t="str">
        <f>IF(ISBLANK(AA79)," ",IF(AA79="np",SpecialScores!$C$3,IF(AA79="dnf",SpecialScores!$C$4,      IF(AND(AA79&gt;=0,AA79&lt;SpecialScores!$X$12), (500*LOG(1+99*AA79/SpecialScores!$X$12*SpecialScores!$X$11/SpecialScores!$X$10)),                         MIN((500*LOG(1+99*SpecialScores!$X$11/AA79)))))))</f>
        <v xml:space="preserve"> </v>
      </c>
      <c r="AC79" s="12" t="str">
        <f t="shared" si="54"/>
        <v/>
      </c>
      <c r="AD79" s="38"/>
      <c r="AE79" s="8" t="str">
        <f>IF(ISBLANK(AD79)," ",IF(AD79="np",SpecialScores!$C$3,IF(AD79="dnf",SpecialScores!$C$4,MIN( 1000+AD79/SpecialScores!$AA$5*0.0001,(500*LOG(1+99*AD79/SpecialScores!$AA$5))))))</f>
        <v xml:space="preserve"> </v>
      </c>
      <c r="AF79" s="12" t="str">
        <f t="shared" si="55"/>
        <v/>
      </c>
      <c r="AG79" s="38"/>
      <c r="AH79" s="8" t="str">
        <f>IF(ISBLANK(AG79)," ",IF(AG79="np",SpecialScores!$C$3,IF(AG79="dnf",SpecialScores!$C$4,MIN(1000,(500*LOG(1+99*AG79/SpecialScores!$E$3))))))</f>
        <v xml:space="preserve"> </v>
      </c>
      <c r="AI79" s="12" t="str">
        <f t="shared" si="56"/>
        <v/>
      </c>
      <c r="AP79" s="49"/>
    </row>
    <row r="80" spans="1:42" x14ac:dyDescent="0.35">
      <c r="A80" s="42"/>
      <c r="E80" s="33" t="str">
        <f t="shared" si="26"/>
        <v xml:space="preserve"> </v>
      </c>
      <c r="F80" s="33" t="str">
        <f t="shared" si="27"/>
        <v xml:space="preserve"> </v>
      </c>
      <c r="G80" s="7" t="str">
        <f t="shared" si="28"/>
        <v xml:space="preserve"> </v>
      </c>
      <c r="H80" s="7" t="str">
        <f t="shared" si="29"/>
        <v xml:space="preserve"> </v>
      </c>
      <c r="I80" s="38"/>
      <c r="J80" s="8" t="str">
        <f>IF(ISBLANK(I80)," ",IF(I80="np",SpecialScores!$C$3,IF(I80="dnf",SpecialScores!$C$4,MIN( 1000+I80/SpecialScores!$E$3*0.0001,(500*LOG(1+99*I80/SpecialScores!$E$3))))))</f>
        <v xml:space="preserve"> </v>
      </c>
      <c r="K80" s="12" t="str">
        <f t="shared" si="48"/>
        <v/>
      </c>
      <c r="L80" s="38"/>
      <c r="M80" s="8" t="str">
        <f>IF(ISBLANK(L80)," ",IF(L80="np",SpecialScores!$C$3,IF(L80="dnf",SpecialScores!$C$4,MIN( 1000+L80/SpecialScores!$H$3*0.0001,(500*LOG(1+99*L80/SpecialScores!$H$3))))))</f>
        <v xml:space="preserve"> </v>
      </c>
      <c r="N80" s="12" t="str">
        <f t="shared" si="49"/>
        <v/>
      </c>
      <c r="O80" s="38"/>
      <c r="P80" s="8" t="str">
        <f>IF(ISBLANK(O80)," ",IF(O80="np",SpecialScores!$C$3,IF(O80="dnf",SpecialScores!$C$4,MIN(1000,(500*LOG(1+99*O80/SpecialScores!$K$3))))))</f>
        <v xml:space="preserve"> </v>
      </c>
      <c r="Q80" s="12" t="str">
        <f t="shared" si="50"/>
        <v/>
      </c>
      <c r="R80" s="38"/>
      <c r="S80" s="8" t="str">
        <f>IF(ISBLANK(R80)," ",IF(R80="np",SpecialScores!$C$3,IF(R80="dnf",SpecialScores!$C$4,      IF(AND(R80&gt;=0,R80&lt;SpecialScores!$O$12), (500*LOG(1+99*R80/SpecialScores!$O$12*SpecialScores!$O$11/SpecialScores!$O$10)),                         MIN((500*LOG(1+99*SpecialScores!$O$11/R80)))))))</f>
        <v xml:space="preserve"> </v>
      </c>
      <c r="T80" s="12" t="str">
        <f t="shared" si="51"/>
        <v/>
      </c>
      <c r="U80" s="38"/>
      <c r="V80" s="8" t="str">
        <f>IF(ISBLANK(U80)," ",IF(U80="np",SpecialScores!$C$3,IF(U80="dnf",SpecialScores!$C$4,MIN((500*LOG(1+99*U80/SpecialScores!$R$3))))))</f>
        <v xml:space="preserve"> </v>
      </c>
      <c r="W80" s="12" t="str">
        <f t="shared" si="52"/>
        <v/>
      </c>
      <c r="X80" s="38"/>
      <c r="Y80" s="8" t="str">
        <f>IF(ISBLANK(X80)," ",IF(X80="np",SpecialScores!$C$3,IF(X80="dnf",SpecialScores!$C$4,MIN( 1000+X80/SpecialScores!$U$3*0.0001,(500*LOG(1+99*X80/SpecialScores!$U$3))))))</f>
        <v xml:space="preserve"> </v>
      </c>
      <c r="Z80" s="12" t="str">
        <f t="shared" si="53"/>
        <v/>
      </c>
      <c r="AA80" s="38"/>
      <c r="AB80" s="8" t="str">
        <f>IF(ISBLANK(AA80)," ",IF(AA80="np",SpecialScores!$C$3,IF(AA80="dnf",SpecialScores!$C$4,      IF(AND(AA80&gt;=0,AA80&lt;SpecialScores!$X$12), (500*LOG(1+99*AA80/SpecialScores!$X$12*SpecialScores!$X$11/SpecialScores!$X$10)),                         MIN((500*LOG(1+99*SpecialScores!$X$11/AA80)))))))</f>
        <v xml:space="preserve"> </v>
      </c>
      <c r="AC80" s="12" t="str">
        <f t="shared" si="54"/>
        <v/>
      </c>
      <c r="AD80" s="38"/>
      <c r="AE80" s="8" t="str">
        <f>IF(ISBLANK(AD80)," ",IF(AD80="np",SpecialScores!$C$3,IF(AD80="dnf",SpecialScores!$C$4,MIN( 1000+AD80/SpecialScores!$AA$5*0.0001,(500*LOG(1+99*AD80/SpecialScores!$AA$5))))))</f>
        <v xml:space="preserve"> </v>
      </c>
      <c r="AF80" s="12" t="str">
        <f t="shared" si="55"/>
        <v/>
      </c>
      <c r="AG80" s="38"/>
      <c r="AH80" s="8" t="str">
        <f>IF(ISBLANK(AG80)," ",IF(AG80="np",SpecialScores!$C$3,IF(AG80="dnf",SpecialScores!$C$4,MIN(1000,(500*LOG(1+99*AG80/SpecialScores!$E$3))))))</f>
        <v xml:space="preserve"> </v>
      </c>
      <c r="AI80" s="12" t="str">
        <f t="shared" si="56"/>
        <v/>
      </c>
      <c r="AP80" s="49"/>
    </row>
    <row r="81" spans="1:42" x14ac:dyDescent="0.35">
      <c r="A81" s="42"/>
      <c r="E81" s="33" t="str">
        <f t="shared" si="26"/>
        <v xml:space="preserve"> </v>
      </c>
      <c r="F81" s="33" t="str">
        <f t="shared" si="27"/>
        <v xml:space="preserve"> </v>
      </c>
      <c r="G81" s="7" t="str">
        <f t="shared" si="28"/>
        <v xml:space="preserve"> </v>
      </c>
      <c r="H81" s="7" t="str">
        <f t="shared" si="29"/>
        <v xml:space="preserve"> </v>
      </c>
      <c r="I81" s="38"/>
      <c r="J81" s="8" t="str">
        <f>IF(ISBLANK(I81)," ",IF(I81="np",SpecialScores!$C$3,IF(I81="dnf",SpecialScores!$C$4,MIN( 1000+I81/SpecialScores!$E$3*0.0001,(500*LOG(1+99*I81/SpecialScores!$E$3))))))</f>
        <v xml:space="preserve"> </v>
      </c>
      <c r="K81" s="12" t="str">
        <f t="shared" si="48"/>
        <v/>
      </c>
      <c r="L81" s="38"/>
      <c r="M81" s="8" t="str">
        <f>IF(ISBLANK(L81)," ",IF(L81="np",SpecialScores!$C$3,IF(L81="dnf",SpecialScores!$C$4,MIN( 1000+L81/SpecialScores!$H$3*0.0001,(500*LOG(1+99*L81/SpecialScores!$H$3))))))</f>
        <v xml:space="preserve"> </v>
      </c>
      <c r="N81" s="12" t="str">
        <f t="shared" si="49"/>
        <v/>
      </c>
      <c r="O81" s="38"/>
      <c r="P81" s="8" t="str">
        <f>IF(ISBLANK(O81)," ",IF(O81="np",SpecialScores!$C$3,IF(O81="dnf",SpecialScores!$C$4,MIN(1000,(500*LOG(1+99*O81/SpecialScores!$K$3))))))</f>
        <v xml:space="preserve"> </v>
      </c>
      <c r="Q81" s="12" t="str">
        <f t="shared" si="50"/>
        <v/>
      </c>
      <c r="R81" s="38"/>
      <c r="S81" s="8" t="str">
        <f>IF(ISBLANK(R81)," ",IF(R81="np",SpecialScores!$C$3,IF(R81="dnf",SpecialScores!$C$4,      IF(AND(R81&gt;=0,R81&lt;SpecialScores!$O$12), (500*LOG(1+99*R81/SpecialScores!$O$12*SpecialScores!$O$11/SpecialScores!$O$10)),                         MIN((500*LOG(1+99*SpecialScores!$O$11/R81)))))))</f>
        <v xml:space="preserve"> </v>
      </c>
      <c r="T81" s="12" t="str">
        <f t="shared" si="51"/>
        <v/>
      </c>
      <c r="U81" s="38"/>
      <c r="V81" s="8" t="str">
        <f>IF(ISBLANK(U81)," ",IF(U81="np",SpecialScores!$C$3,IF(U81="dnf",SpecialScores!$C$4,MIN((500*LOG(1+99*U81/SpecialScores!$R$3))))))</f>
        <v xml:space="preserve"> </v>
      </c>
      <c r="W81" s="12" t="str">
        <f t="shared" si="52"/>
        <v/>
      </c>
      <c r="X81" s="38"/>
      <c r="Y81" s="8" t="str">
        <f>IF(ISBLANK(X81)," ",IF(X81="np",SpecialScores!$C$3,IF(X81="dnf",SpecialScores!$C$4,MIN( 1000+X81/SpecialScores!$U$3*0.0001,(500*LOG(1+99*X81/SpecialScores!$U$3))))))</f>
        <v xml:space="preserve"> </v>
      </c>
      <c r="Z81" s="12" t="str">
        <f t="shared" si="53"/>
        <v/>
      </c>
      <c r="AA81" s="38"/>
      <c r="AB81" s="8" t="str">
        <f>IF(ISBLANK(AA81)," ",IF(AA81="np",SpecialScores!$C$3,IF(AA81="dnf",SpecialScores!$C$4,      IF(AND(AA81&gt;=0,AA81&lt;SpecialScores!$X$12), (500*LOG(1+99*AA81/SpecialScores!$X$12*SpecialScores!$X$11/SpecialScores!$X$10)),                         MIN((500*LOG(1+99*SpecialScores!$X$11/AA81)))))))</f>
        <v xml:space="preserve"> </v>
      </c>
      <c r="AC81" s="12" t="str">
        <f t="shared" si="54"/>
        <v/>
      </c>
      <c r="AD81" s="38"/>
      <c r="AE81" s="8" t="str">
        <f>IF(ISBLANK(AD81)," ",IF(AD81="np",SpecialScores!$C$3,IF(AD81="dnf",SpecialScores!$C$4,MIN( 1000+AD81/SpecialScores!$AA$5*0.0001,(500*LOG(1+99*AD81/SpecialScores!$AA$5))))))</f>
        <v xml:space="preserve"> </v>
      </c>
      <c r="AF81" s="12" t="str">
        <f t="shared" si="55"/>
        <v/>
      </c>
      <c r="AG81" s="38"/>
      <c r="AH81" s="8" t="str">
        <f>IF(ISBLANK(AG81)," ",IF(AG81="np",SpecialScores!$C$3,IF(AG81="dnf",SpecialScores!$C$4,MIN(1000,(500*LOG(1+99*AG81/SpecialScores!$E$3))))))</f>
        <v xml:space="preserve"> </v>
      </c>
      <c r="AI81" s="12" t="str">
        <f t="shared" si="56"/>
        <v/>
      </c>
      <c r="AP81" s="49"/>
    </row>
    <row r="82" spans="1:42" x14ac:dyDescent="0.35">
      <c r="A82" s="42"/>
      <c r="E82" s="33" t="str">
        <f t="shared" si="26"/>
        <v xml:space="preserve"> </v>
      </c>
      <c r="F82" s="33" t="str">
        <f t="shared" si="27"/>
        <v xml:space="preserve"> </v>
      </c>
      <c r="G82" s="7" t="str">
        <f t="shared" si="28"/>
        <v xml:space="preserve"> </v>
      </c>
      <c r="H82" s="7" t="str">
        <f t="shared" si="29"/>
        <v xml:space="preserve"> </v>
      </c>
      <c r="I82" s="38"/>
      <c r="J82" s="8" t="str">
        <f>IF(ISBLANK(I82)," ",IF(I82="np",SpecialScores!$C$3,IF(I82="dnf",SpecialScores!$C$4,MIN( 1000+I82/SpecialScores!$E$3*0.0001,(500*LOG(1+99*I82/SpecialScores!$E$3))))))</f>
        <v xml:space="preserve"> </v>
      </c>
      <c r="K82" s="12" t="str">
        <f t="shared" si="48"/>
        <v/>
      </c>
      <c r="L82" s="38"/>
      <c r="M82" s="8" t="str">
        <f>IF(ISBLANK(L82)," ",IF(L82="np",SpecialScores!$C$3,IF(L82="dnf",SpecialScores!$C$4,MIN( 1000+L82/SpecialScores!$H$3*0.0001,(500*LOG(1+99*L82/SpecialScores!$H$3))))))</f>
        <v xml:space="preserve"> </v>
      </c>
      <c r="N82" s="12" t="str">
        <f t="shared" si="49"/>
        <v/>
      </c>
      <c r="O82" s="38"/>
      <c r="P82" s="8" t="str">
        <f>IF(ISBLANK(O82)," ",IF(O82="np",SpecialScores!$C$3,IF(O82="dnf",SpecialScores!$C$4,MIN(1000,(500*LOG(1+99*O82/SpecialScores!$K$3))))))</f>
        <v xml:space="preserve"> </v>
      </c>
      <c r="Q82" s="12" t="str">
        <f t="shared" si="50"/>
        <v/>
      </c>
      <c r="R82" s="38"/>
      <c r="S82" s="8" t="str">
        <f>IF(ISBLANK(R82)," ",IF(R82="np",SpecialScores!$C$3,IF(R82="dnf",SpecialScores!$C$4,      IF(AND(R82&gt;=0,R82&lt;SpecialScores!$O$12), (500*LOG(1+99*R82/SpecialScores!$O$12*SpecialScores!$O$11/SpecialScores!$O$10)),                         MIN((500*LOG(1+99*SpecialScores!$O$11/R82)))))))</f>
        <v xml:space="preserve"> </v>
      </c>
      <c r="T82" s="12" t="str">
        <f t="shared" si="51"/>
        <v/>
      </c>
      <c r="U82" s="38"/>
      <c r="V82" s="8" t="str">
        <f>IF(ISBLANK(U82)," ",IF(U82="np",SpecialScores!$C$3,IF(U82="dnf",SpecialScores!$C$4,MIN((500*LOG(1+99*U82/SpecialScores!$R$3))))))</f>
        <v xml:space="preserve"> </v>
      </c>
      <c r="W82" s="12" t="str">
        <f t="shared" si="52"/>
        <v/>
      </c>
      <c r="X82" s="38"/>
      <c r="Y82" s="8" t="str">
        <f>IF(ISBLANK(X82)," ",IF(X82="np",SpecialScores!$C$3,IF(X82="dnf",SpecialScores!$C$4,MIN( 1000+X82/SpecialScores!$U$3*0.0001,(500*LOG(1+99*X82/SpecialScores!$U$3))))))</f>
        <v xml:space="preserve"> </v>
      </c>
      <c r="Z82" s="12" t="str">
        <f t="shared" si="53"/>
        <v/>
      </c>
      <c r="AA82" s="38"/>
      <c r="AB82" s="8" t="str">
        <f>IF(ISBLANK(AA82)," ",IF(AA82="np",SpecialScores!$C$3,IF(AA82="dnf",SpecialScores!$C$4,      IF(AND(AA82&gt;=0,AA82&lt;SpecialScores!$X$12), (500*LOG(1+99*AA82/SpecialScores!$X$12*SpecialScores!$X$11/SpecialScores!$X$10)),                         MIN((500*LOG(1+99*SpecialScores!$X$11/AA82)))))))</f>
        <v xml:space="preserve"> </v>
      </c>
      <c r="AC82" s="12" t="str">
        <f t="shared" si="54"/>
        <v/>
      </c>
      <c r="AD82" s="38"/>
      <c r="AE82" s="8" t="str">
        <f>IF(ISBLANK(AD82)," ",IF(AD82="np",SpecialScores!$C$3,IF(AD82="dnf",SpecialScores!$C$4,MIN( 1000+AD82/SpecialScores!$AA$5*0.0001,(500*LOG(1+99*AD82/SpecialScores!$AA$5))))))</f>
        <v xml:space="preserve"> </v>
      </c>
      <c r="AF82" s="12" t="str">
        <f t="shared" si="55"/>
        <v/>
      </c>
      <c r="AG82" s="38"/>
      <c r="AH82" s="8" t="str">
        <f>IF(ISBLANK(AG82)," ",IF(AG82="np",SpecialScores!$C$3,IF(AG82="dnf",SpecialScores!$C$4,MIN(1000,(500*LOG(1+99*AG82/SpecialScores!$E$3))))))</f>
        <v xml:space="preserve"> </v>
      </c>
      <c r="AI82" s="12" t="str">
        <f t="shared" si="56"/>
        <v/>
      </c>
      <c r="AP82" s="49"/>
    </row>
    <row r="83" spans="1:42" x14ac:dyDescent="0.35">
      <c r="A83" s="42"/>
      <c r="E83" s="33" t="str">
        <f t="shared" si="26"/>
        <v xml:space="preserve"> </v>
      </c>
      <c r="F83" s="33" t="str">
        <f t="shared" si="27"/>
        <v xml:space="preserve"> </v>
      </c>
      <c r="G83" s="7" t="str">
        <f t="shared" si="28"/>
        <v xml:space="preserve"> </v>
      </c>
      <c r="H83" s="7" t="str">
        <f t="shared" si="29"/>
        <v xml:space="preserve"> </v>
      </c>
      <c r="I83" s="38"/>
      <c r="J83" s="8" t="str">
        <f>IF(ISBLANK(I83)," ",IF(I83="np",SpecialScores!$C$3,IF(I83="dnf",SpecialScores!$C$4,MIN( 1000+I83/SpecialScores!$E$3*0.0001,(500*LOG(1+99*I83/SpecialScores!$E$3))))))</f>
        <v xml:space="preserve"> </v>
      </c>
      <c r="K83" s="12" t="str">
        <f t="shared" si="48"/>
        <v/>
      </c>
      <c r="L83" s="38"/>
      <c r="M83" s="8" t="str">
        <f>IF(ISBLANK(L83)," ",IF(L83="np",SpecialScores!$C$3,IF(L83="dnf",SpecialScores!$C$4,MIN( 1000+L83/SpecialScores!$H$3*0.0001,(500*LOG(1+99*L83/SpecialScores!$H$3))))))</f>
        <v xml:space="preserve"> </v>
      </c>
      <c r="N83" s="12" t="str">
        <f t="shared" si="49"/>
        <v/>
      </c>
      <c r="O83" s="38"/>
      <c r="P83" s="8" t="str">
        <f>IF(ISBLANK(O83)," ",IF(O83="np",SpecialScores!$C$3,IF(O83="dnf",SpecialScores!$C$4,MIN(1000,(500*LOG(1+99*O83/SpecialScores!$K$3))))))</f>
        <v xml:space="preserve"> </v>
      </c>
      <c r="Q83" s="12" t="str">
        <f t="shared" si="50"/>
        <v/>
      </c>
      <c r="R83" s="38"/>
      <c r="S83" s="8" t="str">
        <f>IF(ISBLANK(R83)," ",IF(R83="np",SpecialScores!$C$3,IF(R83="dnf",SpecialScores!$C$4,      IF(AND(R83&gt;=0,R83&lt;SpecialScores!$O$12), (500*LOG(1+99*R83/SpecialScores!$O$12*SpecialScores!$O$11/SpecialScores!$O$10)),                         MIN((500*LOG(1+99*SpecialScores!$O$11/R83)))))))</f>
        <v xml:space="preserve"> </v>
      </c>
      <c r="T83" s="12" t="str">
        <f t="shared" si="51"/>
        <v/>
      </c>
      <c r="U83" s="38"/>
      <c r="V83" s="8" t="str">
        <f>IF(ISBLANK(U83)," ",IF(U83="np",SpecialScores!$C$3,IF(U83="dnf",SpecialScores!$C$4,MIN((500*LOG(1+99*U83/SpecialScores!$R$3))))))</f>
        <v xml:space="preserve"> </v>
      </c>
      <c r="W83" s="12" t="str">
        <f t="shared" si="52"/>
        <v/>
      </c>
      <c r="X83" s="38"/>
      <c r="Y83" s="8" t="str">
        <f>IF(ISBLANK(X83)," ",IF(X83="np",SpecialScores!$C$3,IF(X83="dnf",SpecialScores!$C$4,MIN( 1000+X83/SpecialScores!$U$3*0.0001,(500*LOG(1+99*X83/SpecialScores!$U$3))))))</f>
        <v xml:space="preserve"> </v>
      </c>
      <c r="Z83" s="12" t="str">
        <f t="shared" si="53"/>
        <v/>
      </c>
      <c r="AA83" s="38"/>
      <c r="AB83" s="8" t="str">
        <f>IF(ISBLANK(AA83)," ",IF(AA83="np",SpecialScores!$C$3,IF(AA83="dnf",SpecialScores!$C$4,      IF(AND(AA83&gt;=0,AA83&lt;SpecialScores!$X$12), (500*LOG(1+99*AA83/SpecialScores!$X$12*SpecialScores!$X$11/SpecialScores!$X$10)),                         MIN((500*LOG(1+99*SpecialScores!$X$11/AA83)))))))</f>
        <v xml:space="preserve"> </v>
      </c>
      <c r="AC83" s="12" t="str">
        <f t="shared" si="54"/>
        <v/>
      </c>
      <c r="AD83" s="38"/>
      <c r="AE83" s="8" t="str">
        <f>IF(ISBLANK(AD83)," ",IF(AD83="np",SpecialScores!$C$3,IF(AD83="dnf",SpecialScores!$C$4,MIN( 1000+AD83/SpecialScores!$AA$5*0.0001,(500*LOG(1+99*AD83/SpecialScores!$AA$5))))))</f>
        <v xml:space="preserve"> </v>
      </c>
      <c r="AF83" s="12" t="str">
        <f t="shared" si="55"/>
        <v/>
      </c>
      <c r="AG83" s="38"/>
      <c r="AH83" s="8" t="str">
        <f>IF(ISBLANK(AG83)," ",IF(AG83="np",SpecialScores!$C$3,IF(AG83="dnf",SpecialScores!$C$4,MIN(1000,(500*LOG(1+99*AG83/SpecialScores!$E$3))))))</f>
        <v xml:space="preserve"> </v>
      </c>
      <c r="AI83" s="12" t="str">
        <f t="shared" si="56"/>
        <v/>
      </c>
      <c r="AP83" s="49"/>
    </row>
    <row r="84" spans="1:42" x14ac:dyDescent="0.35">
      <c r="A84" s="42"/>
      <c r="E84" s="33" t="str">
        <f t="shared" si="26"/>
        <v xml:space="preserve"> </v>
      </c>
      <c r="F84" s="33" t="str">
        <f t="shared" si="27"/>
        <v xml:space="preserve"> </v>
      </c>
      <c r="G84" s="7" t="str">
        <f t="shared" si="28"/>
        <v xml:space="preserve"> </v>
      </c>
      <c r="H84" s="7" t="str">
        <f t="shared" si="29"/>
        <v xml:space="preserve"> </v>
      </c>
      <c r="I84" s="38"/>
      <c r="J84" s="8" t="str">
        <f>IF(ISBLANK(I84)," ",IF(I84="np",SpecialScores!$C$3,IF(I84="dnf",SpecialScores!$C$4,MIN( 1000+I84/SpecialScores!$E$3*0.0001,(500*LOG(1+99*I84/SpecialScores!$E$3))))))</f>
        <v xml:space="preserve"> </v>
      </c>
      <c r="K84" s="12" t="str">
        <f t="shared" si="48"/>
        <v/>
      </c>
      <c r="L84" s="38"/>
      <c r="M84" s="8" t="str">
        <f>IF(ISBLANK(L84)," ",IF(L84="np",SpecialScores!$C$3,IF(L84="dnf",SpecialScores!$C$4,MIN( 1000+L84/SpecialScores!$H$3*0.0001,(500*LOG(1+99*L84/SpecialScores!$H$3))))))</f>
        <v xml:space="preserve"> </v>
      </c>
      <c r="N84" s="12" t="str">
        <f t="shared" si="49"/>
        <v/>
      </c>
      <c r="O84" s="38"/>
      <c r="P84" s="8" t="str">
        <f>IF(ISBLANK(O84)," ",IF(O84="np",SpecialScores!$C$3,IF(O84="dnf",SpecialScores!$C$4,MIN(1000,(500*LOG(1+99*O84/SpecialScores!$K$3))))))</f>
        <v xml:space="preserve"> </v>
      </c>
      <c r="Q84" s="12" t="str">
        <f t="shared" si="50"/>
        <v/>
      </c>
      <c r="R84" s="38"/>
      <c r="S84" s="8" t="str">
        <f>IF(ISBLANK(R84)," ",IF(R84="np",SpecialScores!$C$3,IF(R84="dnf",SpecialScores!$C$4,      IF(AND(R84&gt;=0,R84&lt;SpecialScores!$O$12), (500*LOG(1+99*R84/SpecialScores!$O$12*SpecialScores!$O$11/SpecialScores!$O$10)),                         MIN((500*LOG(1+99*SpecialScores!$O$11/R84)))))))</f>
        <v xml:space="preserve"> </v>
      </c>
      <c r="T84" s="12" t="str">
        <f t="shared" si="51"/>
        <v/>
      </c>
      <c r="U84" s="38"/>
      <c r="V84" s="8" t="str">
        <f>IF(ISBLANK(U84)," ",IF(U84="np",SpecialScores!$C$3,IF(U84="dnf",SpecialScores!$C$4,MIN((500*LOG(1+99*U84/SpecialScores!$R$3))))))</f>
        <v xml:space="preserve"> </v>
      </c>
      <c r="W84" s="12" t="str">
        <f t="shared" si="52"/>
        <v/>
      </c>
      <c r="X84" s="38"/>
      <c r="Y84" s="8" t="str">
        <f>IF(ISBLANK(X84)," ",IF(X84="np",SpecialScores!$C$3,IF(X84="dnf",SpecialScores!$C$4,MIN( 1000+X84/SpecialScores!$U$3*0.0001,(500*LOG(1+99*X84/SpecialScores!$U$3))))))</f>
        <v xml:space="preserve"> </v>
      </c>
      <c r="Z84" s="12" t="str">
        <f t="shared" si="53"/>
        <v/>
      </c>
      <c r="AA84" s="38"/>
      <c r="AB84" s="8" t="str">
        <f>IF(ISBLANK(AA84)," ",IF(AA84="np",SpecialScores!$C$3,IF(AA84="dnf",SpecialScores!$C$4,      IF(AND(AA84&gt;=0,AA84&lt;SpecialScores!$X$12), (500*LOG(1+99*AA84/SpecialScores!$X$12*SpecialScores!$X$11/SpecialScores!$X$10)),                         MIN((500*LOG(1+99*SpecialScores!$X$11/AA84)))))))</f>
        <v xml:space="preserve"> </v>
      </c>
      <c r="AC84" s="12" t="str">
        <f t="shared" si="54"/>
        <v/>
      </c>
      <c r="AD84" s="38"/>
      <c r="AE84" s="8" t="str">
        <f>IF(ISBLANK(AD84)," ",IF(AD84="np",SpecialScores!$C$3,IF(AD84="dnf",SpecialScores!$C$4,MIN( 1000+AD84/SpecialScores!$AA$5*0.0001,(500*LOG(1+99*AD84/SpecialScores!$AA$5))))))</f>
        <v xml:space="preserve"> </v>
      </c>
      <c r="AF84" s="12" t="str">
        <f t="shared" si="55"/>
        <v/>
      </c>
      <c r="AG84" s="38"/>
      <c r="AH84" s="8" t="str">
        <f>IF(ISBLANK(AG84)," ",IF(AG84="np",SpecialScores!$C$3,IF(AG84="dnf",SpecialScores!$C$4,MIN(1000,(500*LOG(1+99*AG84/SpecialScores!$E$3))))))</f>
        <v xml:space="preserve"> </v>
      </c>
      <c r="AI84" s="12" t="str">
        <f t="shared" si="56"/>
        <v/>
      </c>
      <c r="AP84" s="49"/>
    </row>
    <row r="85" spans="1:42" x14ac:dyDescent="0.35">
      <c r="A85" s="42"/>
      <c r="E85" s="33" t="str">
        <f t="shared" si="26"/>
        <v xml:space="preserve"> </v>
      </c>
      <c r="F85" s="33" t="str">
        <f t="shared" si="27"/>
        <v xml:space="preserve"> </v>
      </c>
      <c r="G85" s="7" t="str">
        <f t="shared" si="28"/>
        <v xml:space="preserve"> </v>
      </c>
      <c r="H85" s="7" t="str">
        <f t="shared" si="29"/>
        <v xml:space="preserve"> </v>
      </c>
      <c r="I85" s="38"/>
      <c r="J85" s="8" t="str">
        <f>IF(ISBLANK(I85)," ",IF(I85="np",SpecialScores!$C$3,IF(I85="dnf",SpecialScores!$C$4,MIN( 1000+I85/SpecialScores!$E$3*0.0001,(500*LOG(1+99*I85/SpecialScores!$E$3))))))</f>
        <v xml:space="preserve"> </v>
      </c>
      <c r="K85" s="12" t="str">
        <f t="shared" si="48"/>
        <v/>
      </c>
      <c r="L85" s="38"/>
      <c r="M85" s="8" t="str">
        <f>IF(ISBLANK(L85)," ",IF(L85="np",SpecialScores!$C$3,IF(L85="dnf",SpecialScores!$C$4,MIN( 1000+L85/SpecialScores!$H$3*0.0001,(500*LOG(1+99*L85/SpecialScores!$H$3))))))</f>
        <v xml:space="preserve"> </v>
      </c>
      <c r="N85" s="12" t="str">
        <f t="shared" si="49"/>
        <v/>
      </c>
      <c r="O85" s="38"/>
      <c r="P85" s="8" t="str">
        <f>IF(ISBLANK(O85)," ",IF(O85="np",SpecialScores!$C$3,IF(O85="dnf",SpecialScores!$C$4,MIN(1000,(500*LOG(1+99*O85/SpecialScores!$K$3))))))</f>
        <v xml:space="preserve"> </v>
      </c>
      <c r="Q85" s="12" t="str">
        <f t="shared" si="50"/>
        <v/>
      </c>
      <c r="R85" s="38"/>
      <c r="S85" s="8" t="str">
        <f>IF(ISBLANK(R85)," ",IF(R85="np",SpecialScores!$C$3,IF(R85="dnf",SpecialScores!$C$4,      IF(AND(R85&gt;=0,R85&lt;SpecialScores!$O$12), (500*LOG(1+99*R85/SpecialScores!$O$12*SpecialScores!$O$11/SpecialScores!$O$10)),                         MIN((500*LOG(1+99*SpecialScores!$O$11/R85)))))))</f>
        <v xml:space="preserve"> </v>
      </c>
      <c r="T85" s="12" t="str">
        <f t="shared" si="51"/>
        <v/>
      </c>
      <c r="U85" s="38"/>
      <c r="V85" s="8" t="str">
        <f>IF(ISBLANK(U85)," ",IF(U85="np",SpecialScores!$C$3,IF(U85="dnf",SpecialScores!$C$4,MIN((500*LOG(1+99*U85/SpecialScores!$R$3))))))</f>
        <v xml:space="preserve"> </v>
      </c>
      <c r="W85" s="12" t="str">
        <f t="shared" si="52"/>
        <v/>
      </c>
      <c r="X85" s="38"/>
      <c r="Y85" s="8" t="str">
        <f>IF(ISBLANK(X85)," ",IF(X85="np",SpecialScores!$C$3,IF(X85="dnf",SpecialScores!$C$4,MIN( 1000+X85/SpecialScores!$U$3*0.0001,(500*LOG(1+99*X85/SpecialScores!$U$3))))))</f>
        <v xml:space="preserve"> </v>
      </c>
      <c r="Z85" s="12" t="str">
        <f t="shared" si="53"/>
        <v/>
      </c>
      <c r="AA85" s="38"/>
      <c r="AB85" s="8" t="str">
        <f>IF(ISBLANK(AA85)," ",IF(AA85="np",SpecialScores!$C$3,IF(AA85="dnf",SpecialScores!$C$4,      IF(AND(AA85&gt;=0,AA85&lt;SpecialScores!$X$12), (500*LOG(1+99*AA85/SpecialScores!$X$12*SpecialScores!$X$11/SpecialScores!$X$10)),                         MIN((500*LOG(1+99*SpecialScores!$X$11/AA85)))))))</f>
        <v xml:space="preserve"> </v>
      </c>
      <c r="AC85" s="12" t="str">
        <f t="shared" si="54"/>
        <v/>
      </c>
      <c r="AD85" s="38"/>
      <c r="AE85" s="8" t="str">
        <f>IF(ISBLANK(AD85)," ",IF(AD85="np",SpecialScores!$C$3,IF(AD85="dnf",SpecialScores!$C$4,MIN( 1000+AD85/SpecialScores!$AA$5*0.0001,(500*LOG(1+99*AD85/SpecialScores!$AA$5))))))</f>
        <v xml:space="preserve"> </v>
      </c>
      <c r="AF85" s="12" t="str">
        <f t="shared" si="55"/>
        <v/>
      </c>
      <c r="AG85" s="38"/>
      <c r="AH85" s="8" t="str">
        <f>IF(ISBLANK(AG85)," ",IF(AG85="np",SpecialScores!$C$3,IF(AG85="dnf",SpecialScores!$C$4,MIN(1000,(500*LOG(1+99*AG85/SpecialScores!$E$3))))))</f>
        <v xml:space="preserve"> </v>
      </c>
      <c r="AI85" s="12" t="str">
        <f t="shared" si="56"/>
        <v/>
      </c>
      <c r="AP85" s="49"/>
    </row>
    <row r="86" spans="1:42" x14ac:dyDescent="0.35">
      <c r="A86" s="42"/>
      <c r="E86" s="33" t="str">
        <f t="shared" ref="E86:E149" si="57">IF(ISBLANK($A86)," ",  RANK(F86,F$2:F$202,1)+((COUNTIF(F$2:F$202,F86)-1)*0.5) )</f>
        <v xml:space="preserve"> </v>
      </c>
      <c r="F86" s="33" t="str">
        <f t="shared" ref="F86:F149" si="58">IF(ISBLANK(A86)," ",SUM(K86,N86,Q86,T86,W86,Z86,AC86,AF86,AI86))</f>
        <v xml:space="preserve"> </v>
      </c>
      <c r="G86" s="7" t="str">
        <f t="shared" ref="G86:G149" si="59">IF(ISBLANK($A86)," ",  RANK(H86,H$2:H$202,0)+((COUNTIF(H$2:H$202,H86)-1)*0.5) )</f>
        <v xml:space="preserve"> </v>
      </c>
      <c r="H86" s="7" t="str">
        <f t="shared" ref="H86:H149" si="60">IF(ISBLANK(A86)," ",SUM(  IF(ISBLANK(I86),0,ROUNDDOWN(J86,0)),  IF(ISBLANK(L86),0,ROUNDDOWN(M86,0)),  IF(ISBLANK(O86),0,ROUNDDOWN(P86,0)),IF(ISBLANK(R86),0,ROUNDDOWN(S86,0)),IF(ISBLANK(U86),0,ROUNDDOWN(V86,0)), IF(ISBLANK(X86),0,ROUNDDOWN(Y86,0)),IF(ISBLANK(AA86),0,ROUNDDOWN(AB86,0)),IF(ISBLANK(AD86),0,ROUNDDOWN(AE86,0)),IF(ISBLANK(AG86),0,ROUNDDOWN(AH86,0))
 ))</f>
        <v xml:space="preserve"> </v>
      </c>
      <c r="I86" s="38"/>
      <c r="J86" s="8" t="str">
        <f>IF(ISBLANK(I86)," ",IF(I86="np",SpecialScores!$C$3,IF(I86="dnf",SpecialScores!$C$4,MIN( 1000+I86/SpecialScores!$E$3*0.0001,(500*LOG(1+99*I86/SpecialScores!$E$3))))))</f>
        <v xml:space="preserve"> </v>
      </c>
      <c r="K86" s="12" t="str">
        <f t="shared" si="48"/>
        <v/>
      </c>
      <c r="L86" s="38"/>
      <c r="M86" s="8" t="str">
        <f>IF(ISBLANK(L86)," ",IF(L86="np",SpecialScores!$C$3,IF(L86="dnf",SpecialScores!$C$4,MIN( 1000+L86/SpecialScores!$H$3*0.0001,(500*LOG(1+99*L86/SpecialScores!$H$3))))))</f>
        <v xml:space="preserve"> </v>
      </c>
      <c r="N86" s="12" t="str">
        <f t="shared" si="49"/>
        <v/>
      </c>
      <c r="O86" s="38"/>
      <c r="P86" s="8" t="str">
        <f>IF(ISBLANK(O86)," ",IF(O86="np",SpecialScores!$C$3,IF(O86="dnf",SpecialScores!$C$4,MIN(1000,(500*LOG(1+99*O86/SpecialScores!$K$3))))))</f>
        <v xml:space="preserve"> </v>
      </c>
      <c r="Q86" s="12" t="str">
        <f t="shared" si="50"/>
        <v/>
      </c>
      <c r="R86" s="38"/>
      <c r="S86" s="8" t="str">
        <f>IF(ISBLANK(R86)," ",IF(R86="np",SpecialScores!$C$3,IF(R86="dnf",SpecialScores!$C$4,      IF(AND(R86&gt;=0,R86&lt;SpecialScores!$O$12), (500*LOG(1+99*R86/SpecialScores!$O$12*SpecialScores!$O$11/SpecialScores!$O$10)),                         MIN((500*LOG(1+99*SpecialScores!$O$11/R86)))))))</f>
        <v xml:space="preserve"> </v>
      </c>
      <c r="T86" s="12" t="str">
        <f t="shared" si="51"/>
        <v/>
      </c>
      <c r="U86" s="38"/>
      <c r="V86" s="8" t="str">
        <f>IF(ISBLANK(U86)," ",IF(U86="np",SpecialScores!$C$3,IF(U86="dnf",SpecialScores!$C$4,MIN((500*LOG(1+99*U86/SpecialScores!$R$3))))))</f>
        <v xml:space="preserve"> </v>
      </c>
      <c r="W86" s="12" t="str">
        <f t="shared" si="52"/>
        <v/>
      </c>
      <c r="X86" s="38"/>
      <c r="Y86" s="8" t="str">
        <f>IF(ISBLANK(X86)," ",IF(X86="np",SpecialScores!$C$3,IF(X86="dnf",SpecialScores!$C$4,MIN( 1000+X86/SpecialScores!$U$3*0.0001,(500*LOG(1+99*X86/SpecialScores!$U$3))))))</f>
        <v xml:space="preserve"> </v>
      </c>
      <c r="Z86" s="12" t="str">
        <f t="shared" si="53"/>
        <v/>
      </c>
      <c r="AA86" s="38"/>
      <c r="AB86" s="8" t="str">
        <f>IF(ISBLANK(AA86)," ",IF(AA86="np",SpecialScores!$C$3,IF(AA86="dnf",SpecialScores!$C$4,      IF(AND(AA86&gt;=0,AA86&lt;SpecialScores!$X$12), (500*LOG(1+99*AA86/SpecialScores!$X$12*SpecialScores!$X$11/SpecialScores!$X$10)),                         MIN((500*LOG(1+99*SpecialScores!$X$11/AA86)))))))</f>
        <v xml:space="preserve"> </v>
      </c>
      <c r="AC86" s="12" t="str">
        <f t="shared" si="54"/>
        <v/>
      </c>
      <c r="AD86" s="38"/>
      <c r="AE86" s="8" t="str">
        <f>IF(ISBLANK(AD86)," ",IF(AD86="np",SpecialScores!$C$3,IF(AD86="dnf",SpecialScores!$C$4,MIN( 1000+AD86/SpecialScores!$AA$5*0.0001,(500*LOG(1+99*AD86/SpecialScores!$AA$5))))))</f>
        <v xml:space="preserve"> </v>
      </c>
      <c r="AF86" s="12" t="str">
        <f t="shared" si="55"/>
        <v/>
      </c>
      <c r="AG86" s="38"/>
      <c r="AH86" s="8" t="str">
        <f>IF(ISBLANK(AG86)," ",IF(AG86="np",SpecialScores!$C$3,IF(AG86="dnf",SpecialScores!$C$4,MIN(1000,(500*LOG(1+99*AG86/SpecialScores!$E$3))))))</f>
        <v xml:space="preserve"> </v>
      </c>
      <c r="AI86" s="12" t="str">
        <f t="shared" si="56"/>
        <v/>
      </c>
      <c r="AP86" s="49"/>
    </row>
    <row r="87" spans="1:42" x14ac:dyDescent="0.35">
      <c r="A87" s="42"/>
      <c r="E87" s="33" t="str">
        <f t="shared" si="57"/>
        <v xml:space="preserve"> </v>
      </c>
      <c r="F87" s="33" t="str">
        <f t="shared" si="58"/>
        <v xml:space="preserve"> </v>
      </c>
      <c r="G87" s="7" t="str">
        <f t="shared" si="59"/>
        <v xml:space="preserve"> </v>
      </c>
      <c r="H87" s="7" t="str">
        <f t="shared" si="60"/>
        <v xml:space="preserve"> </v>
      </c>
      <c r="I87" s="38"/>
      <c r="J87" s="8" t="str">
        <f>IF(ISBLANK(I87)," ",IF(I87="np",SpecialScores!$C$3,IF(I87="dnf",SpecialScores!$C$4,MIN( 1000+I87/SpecialScores!$E$3*0.0001,(500*LOG(1+99*I87/SpecialScores!$E$3))))))</f>
        <v xml:space="preserve"> </v>
      </c>
      <c r="K87" s="12" t="str">
        <f t="shared" si="48"/>
        <v/>
      </c>
      <c r="L87" s="38"/>
      <c r="M87" s="8" t="str">
        <f>IF(ISBLANK(L87)," ",IF(L87="np",SpecialScores!$C$3,IF(L87="dnf",SpecialScores!$C$4,MIN( 1000+L87/SpecialScores!$H$3*0.0001,(500*LOG(1+99*L87/SpecialScores!$H$3))))))</f>
        <v xml:space="preserve"> </v>
      </c>
      <c r="N87" s="12" t="str">
        <f t="shared" si="49"/>
        <v/>
      </c>
      <c r="O87" s="38"/>
      <c r="P87" s="8" t="str">
        <f>IF(ISBLANK(O87)," ",IF(O87="np",SpecialScores!$C$3,IF(O87="dnf",SpecialScores!$C$4,MIN(1000,(500*LOG(1+99*O87/SpecialScores!$K$3))))))</f>
        <v xml:space="preserve"> </v>
      </c>
      <c r="Q87" s="12" t="str">
        <f t="shared" si="50"/>
        <v/>
      </c>
      <c r="R87" s="38"/>
      <c r="S87" s="8" t="str">
        <f>IF(ISBLANK(R87)," ",IF(R87="np",SpecialScores!$C$3,IF(R87="dnf",SpecialScores!$C$4,      IF(AND(R87&gt;=0,R87&lt;SpecialScores!$O$12), (500*LOG(1+99*R87/SpecialScores!$O$12*SpecialScores!$O$11/SpecialScores!$O$10)),                         MIN((500*LOG(1+99*SpecialScores!$O$11/R87)))))))</f>
        <v xml:space="preserve"> </v>
      </c>
      <c r="T87" s="12" t="str">
        <f t="shared" si="51"/>
        <v/>
      </c>
      <c r="U87" s="38"/>
      <c r="V87" s="8" t="str">
        <f>IF(ISBLANK(U87)," ",IF(U87="np",SpecialScores!$C$3,IF(U87="dnf",SpecialScores!$C$4,MIN((500*LOG(1+99*U87/SpecialScores!$R$3))))))</f>
        <v xml:space="preserve"> </v>
      </c>
      <c r="W87" s="12" t="str">
        <f t="shared" si="52"/>
        <v/>
      </c>
      <c r="X87" s="38"/>
      <c r="Y87" s="8" t="str">
        <f>IF(ISBLANK(X87)," ",IF(X87="np",SpecialScores!$C$3,IF(X87="dnf",SpecialScores!$C$4,MIN( 1000+X87/SpecialScores!$U$3*0.0001,(500*LOG(1+99*X87/SpecialScores!$U$3))))))</f>
        <v xml:space="preserve"> </v>
      </c>
      <c r="Z87" s="12" t="str">
        <f t="shared" si="53"/>
        <v/>
      </c>
      <c r="AA87" s="38"/>
      <c r="AB87" s="8" t="str">
        <f>IF(ISBLANK(AA87)," ",IF(AA87="np",SpecialScores!$C$3,IF(AA87="dnf",SpecialScores!$C$4,      IF(AND(AA87&gt;=0,AA87&lt;SpecialScores!$X$12), (500*LOG(1+99*AA87/SpecialScores!$X$12*SpecialScores!$X$11/SpecialScores!$X$10)),                         MIN((500*LOG(1+99*SpecialScores!$X$11/AA87)))))))</f>
        <v xml:space="preserve"> </v>
      </c>
      <c r="AC87" s="12" t="str">
        <f t="shared" si="54"/>
        <v/>
      </c>
      <c r="AD87" s="38"/>
      <c r="AE87" s="8" t="str">
        <f>IF(ISBLANK(AD87)," ",IF(AD87="np",SpecialScores!$C$3,IF(AD87="dnf",SpecialScores!$C$4,MIN( 1000+AD87/SpecialScores!$AA$5*0.0001,(500*LOG(1+99*AD87/SpecialScores!$AA$5))))))</f>
        <v xml:space="preserve"> </v>
      </c>
      <c r="AF87" s="12" t="str">
        <f t="shared" si="55"/>
        <v/>
      </c>
      <c r="AG87" s="38"/>
      <c r="AH87" s="8" t="str">
        <f>IF(ISBLANK(AG87)," ",IF(AG87="np",SpecialScores!$C$3,IF(AG87="dnf",SpecialScores!$C$4,MIN(1000,(500*LOG(1+99*AG87/SpecialScores!$E$3))))))</f>
        <v xml:space="preserve"> </v>
      </c>
      <c r="AI87" s="12" t="str">
        <f t="shared" si="56"/>
        <v/>
      </c>
      <c r="AP87" s="49"/>
    </row>
    <row r="88" spans="1:42" x14ac:dyDescent="0.35">
      <c r="A88" s="42"/>
      <c r="E88" s="33" t="str">
        <f t="shared" si="57"/>
        <v xml:space="preserve"> </v>
      </c>
      <c r="F88" s="33" t="str">
        <f t="shared" si="58"/>
        <v xml:space="preserve"> </v>
      </c>
      <c r="G88" s="7" t="str">
        <f t="shared" si="59"/>
        <v xml:space="preserve"> </v>
      </c>
      <c r="H88" s="7" t="str">
        <f t="shared" si="60"/>
        <v xml:space="preserve"> </v>
      </c>
      <c r="I88" s="38"/>
      <c r="J88" s="8" t="str">
        <f>IF(ISBLANK(I88)," ",IF(I88="np",SpecialScores!$C$3,IF(I88="dnf",SpecialScores!$C$4,MIN( 1000+I88/SpecialScores!$E$3*0.0001,(500*LOG(1+99*I88/SpecialScores!$E$3))))))</f>
        <v xml:space="preserve"> </v>
      </c>
      <c r="K88" s="12" t="str">
        <f t="shared" si="48"/>
        <v/>
      </c>
      <c r="L88" s="38"/>
      <c r="M88" s="8" t="str">
        <f>IF(ISBLANK(L88)," ",IF(L88="np",SpecialScores!$C$3,IF(L88="dnf",SpecialScores!$C$4,MIN( 1000+L88/SpecialScores!$H$3*0.0001,(500*LOG(1+99*L88/SpecialScores!$H$3))))))</f>
        <v xml:space="preserve"> </v>
      </c>
      <c r="N88" s="12" t="str">
        <f t="shared" si="49"/>
        <v/>
      </c>
      <c r="O88" s="38"/>
      <c r="P88" s="8" t="str">
        <f>IF(ISBLANK(O88)," ",IF(O88="np",SpecialScores!$C$3,IF(O88="dnf",SpecialScores!$C$4,MIN(1000,(500*LOG(1+99*O88/SpecialScores!$K$3))))))</f>
        <v xml:space="preserve"> </v>
      </c>
      <c r="Q88" s="12" t="str">
        <f t="shared" si="50"/>
        <v/>
      </c>
      <c r="R88" s="38"/>
      <c r="S88" s="8" t="str">
        <f>IF(ISBLANK(R88)," ",IF(R88="np",SpecialScores!$C$3,IF(R88="dnf",SpecialScores!$C$4,      IF(AND(R88&gt;=0,R88&lt;SpecialScores!$O$12), (500*LOG(1+99*R88/SpecialScores!$O$12*SpecialScores!$O$11/SpecialScores!$O$10)),                         MIN((500*LOG(1+99*SpecialScores!$O$11/R88)))))))</f>
        <v xml:space="preserve"> </v>
      </c>
      <c r="T88" s="12" t="str">
        <f t="shared" si="51"/>
        <v/>
      </c>
      <c r="U88" s="38"/>
      <c r="V88" s="8" t="str">
        <f>IF(ISBLANK(U88)," ",IF(U88="np",SpecialScores!$C$3,IF(U88="dnf",SpecialScores!$C$4,MIN((500*LOG(1+99*U88/SpecialScores!$R$3))))))</f>
        <v xml:space="preserve"> </v>
      </c>
      <c r="W88" s="12" t="str">
        <f t="shared" si="52"/>
        <v/>
      </c>
      <c r="X88" s="38"/>
      <c r="Y88" s="8" t="str">
        <f>IF(ISBLANK(X88)," ",IF(X88="np",SpecialScores!$C$3,IF(X88="dnf",SpecialScores!$C$4,MIN( 1000+X88/SpecialScores!$U$3*0.0001,(500*LOG(1+99*X88/SpecialScores!$U$3))))))</f>
        <v xml:space="preserve"> </v>
      </c>
      <c r="Z88" s="12" t="str">
        <f t="shared" si="53"/>
        <v/>
      </c>
      <c r="AA88" s="38"/>
      <c r="AB88" s="8" t="str">
        <f>IF(ISBLANK(AA88)," ",IF(AA88="np",SpecialScores!$C$3,IF(AA88="dnf",SpecialScores!$C$4,      IF(AND(AA88&gt;=0,AA88&lt;SpecialScores!$X$12), (500*LOG(1+99*AA88/SpecialScores!$X$12*SpecialScores!$X$11/SpecialScores!$X$10)),                         MIN((500*LOG(1+99*SpecialScores!$X$11/AA88)))))))</f>
        <v xml:space="preserve"> </v>
      </c>
      <c r="AC88" s="12" t="str">
        <f t="shared" si="54"/>
        <v/>
      </c>
      <c r="AD88" s="38"/>
      <c r="AE88" s="8" t="str">
        <f>IF(ISBLANK(AD88)," ",IF(AD88="np",SpecialScores!$C$3,IF(AD88="dnf",SpecialScores!$C$4,MIN( 1000+AD88/SpecialScores!$AA$5*0.0001,(500*LOG(1+99*AD88/SpecialScores!$AA$5))))))</f>
        <v xml:space="preserve"> </v>
      </c>
      <c r="AF88" s="12" t="str">
        <f t="shared" si="55"/>
        <v/>
      </c>
      <c r="AG88" s="38"/>
      <c r="AH88" s="8" t="str">
        <f>IF(ISBLANK(AG88)," ",IF(AG88="np",SpecialScores!$C$3,IF(AG88="dnf",SpecialScores!$C$4,MIN(1000,(500*LOG(1+99*AG88/SpecialScores!$E$3))))))</f>
        <v xml:space="preserve"> </v>
      </c>
      <c r="AI88" s="12" t="str">
        <f t="shared" si="56"/>
        <v/>
      </c>
      <c r="AP88" s="49"/>
    </row>
    <row r="89" spans="1:42" x14ac:dyDescent="0.35">
      <c r="A89" s="42"/>
      <c r="E89" s="33" t="str">
        <f t="shared" si="57"/>
        <v xml:space="preserve"> </v>
      </c>
      <c r="F89" s="33" t="str">
        <f t="shared" si="58"/>
        <v xml:space="preserve"> </v>
      </c>
      <c r="G89" s="7" t="str">
        <f t="shared" si="59"/>
        <v xml:space="preserve"> </v>
      </c>
      <c r="H89" s="7" t="str">
        <f t="shared" si="60"/>
        <v xml:space="preserve"> </v>
      </c>
      <c r="I89" s="38"/>
      <c r="J89" s="8" t="str">
        <f>IF(ISBLANK(I89)," ",IF(I89="np",SpecialScores!$C$3,IF(I89="dnf",SpecialScores!$C$4,MIN( 1000+I89/SpecialScores!$E$3*0.0001,(500*LOG(1+99*I89/SpecialScores!$E$3))))))</f>
        <v xml:space="preserve"> </v>
      </c>
      <c r="K89" s="12" t="str">
        <f t="shared" si="48"/>
        <v/>
      </c>
      <c r="L89" s="38"/>
      <c r="M89" s="8" t="str">
        <f>IF(ISBLANK(L89)," ",IF(L89="np",SpecialScores!$C$3,IF(L89="dnf",SpecialScores!$C$4,MIN( 1000+L89/SpecialScores!$H$3*0.0001,(500*LOG(1+99*L89/SpecialScores!$H$3))))))</f>
        <v xml:space="preserve"> </v>
      </c>
      <c r="N89" s="12" t="str">
        <f t="shared" si="49"/>
        <v/>
      </c>
      <c r="O89" s="38"/>
      <c r="P89" s="8" t="str">
        <f>IF(ISBLANK(O89)," ",IF(O89="np",SpecialScores!$C$3,IF(O89="dnf",SpecialScores!$C$4,MIN(1000,(500*LOG(1+99*O89/SpecialScores!$K$3))))))</f>
        <v xml:space="preserve"> </v>
      </c>
      <c r="Q89" s="12" t="str">
        <f t="shared" si="50"/>
        <v/>
      </c>
      <c r="R89" s="38"/>
      <c r="S89" s="8" t="str">
        <f>IF(ISBLANK(R89)," ",IF(R89="np",SpecialScores!$C$3,IF(R89="dnf",SpecialScores!$C$4,      IF(AND(R89&gt;=0,R89&lt;SpecialScores!$O$12), (500*LOG(1+99*R89/SpecialScores!$O$12*SpecialScores!$O$11/SpecialScores!$O$10)),                         MIN((500*LOG(1+99*SpecialScores!$O$11/R89)))))))</f>
        <v xml:space="preserve"> </v>
      </c>
      <c r="T89" s="12" t="str">
        <f t="shared" si="51"/>
        <v/>
      </c>
      <c r="U89" s="38"/>
      <c r="V89" s="8" t="str">
        <f>IF(ISBLANK(U89)," ",IF(U89="np",SpecialScores!$C$3,IF(U89="dnf",SpecialScores!$C$4,MIN((500*LOG(1+99*U89/SpecialScores!$R$3))))))</f>
        <v xml:space="preserve"> </v>
      </c>
      <c r="W89" s="12" t="str">
        <f t="shared" si="52"/>
        <v/>
      </c>
      <c r="X89" s="38"/>
      <c r="Y89" s="8" t="str">
        <f>IF(ISBLANK(X89)," ",IF(X89="np",SpecialScores!$C$3,IF(X89="dnf",SpecialScores!$C$4,MIN( 1000+X89/SpecialScores!$U$3*0.0001,(500*LOG(1+99*X89/SpecialScores!$U$3))))))</f>
        <v xml:space="preserve"> </v>
      </c>
      <c r="Z89" s="12" t="str">
        <f t="shared" si="53"/>
        <v/>
      </c>
      <c r="AA89" s="38"/>
      <c r="AB89" s="8" t="str">
        <f>IF(ISBLANK(AA89)," ",IF(AA89="np",SpecialScores!$C$3,IF(AA89="dnf",SpecialScores!$C$4,      IF(AND(AA89&gt;=0,AA89&lt;SpecialScores!$X$12), (500*LOG(1+99*AA89/SpecialScores!$X$12*SpecialScores!$X$11/SpecialScores!$X$10)),                         MIN((500*LOG(1+99*SpecialScores!$X$11/AA89)))))))</f>
        <v xml:space="preserve"> </v>
      </c>
      <c r="AC89" s="12" t="str">
        <f t="shared" si="54"/>
        <v/>
      </c>
      <c r="AD89" s="38"/>
      <c r="AE89" s="8" t="str">
        <f>IF(ISBLANK(AD89)," ",IF(AD89="np",SpecialScores!$C$3,IF(AD89="dnf",SpecialScores!$C$4,MIN( 1000+AD89/SpecialScores!$AA$5*0.0001,(500*LOG(1+99*AD89/SpecialScores!$AA$5))))))</f>
        <v xml:space="preserve"> </v>
      </c>
      <c r="AF89" s="12" t="str">
        <f t="shared" si="55"/>
        <v/>
      </c>
      <c r="AG89" s="38"/>
      <c r="AH89" s="8" t="str">
        <f>IF(ISBLANK(AG89)," ",IF(AG89="np",SpecialScores!$C$3,IF(AG89="dnf",SpecialScores!$C$4,MIN(1000,(500*LOG(1+99*AG89/SpecialScores!$E$3))))))</f>
        <v xml:space="preserve"> </v>
      </c>
      <c r="AI89" s="12" t="str">
        <f t="shared" si="56"/>
        <v/>
      </c>
      <c r="AP89" s="49"/>
    </row>
    <row r="90" spans="1:42" x14ac:dyDescent="0.35">
      <c r="A90" s="42"/>
      <c r="E90" s="33" t="str">
        <f t="shared" si="57"/>
        <v xml:space="preserve"> </v>
      </c>
      <c r="F90" s="33" t="str">
        <f t="shared" si="58"/>
        <v xml:space="preserve"> </v>
      </c>
      <c r="G90" s="7" t="str">
        <f t="shared" si="59"/>
        <v xml:space="preserve"> </v>
      </c>
      <c r="H90" s="7" t="str">
        <f t="shared" si="60"/>
        <v xml:space="preserve"> </v>
      </c>
      <c r="I90" s="38"/>
      <c r="J90" s="8" t="str">
        <f>IF(ISBLANK(I90)," ",IF(I90="np",SpecialScores!$C$3,IF(I90="dnf",SpecialScores!$C$4,MIN( 1000+I90/SpecialScores!$E$3*0.0001,(500*LOG(1+99*I90/SpecialScores!$E$3))))))</f>
        <v xml:space="preserve"> </v>
      </c>
      <c r="K90" s="12" t="str">
        <f t="shared" si="48"/>
        <v/>
      </c>
      <c r="L90" s="38"/>
      <c r="M90" s="8" t="str">
        <f>IF(ISBLANK(L90)," ",IF(L90="np",SpecialScores!$C$3,IF(L90="dnf",SpecialScores!$C$4,MIN( 1000+L90/SpecialScores!$H$3*0.0001,(500*LOG(1+99*L90/SpecialScores!$H$3))))))</f>
        <v xml:space="preserve"> </v>
      </c>
      <c r="N90" s="12" t="str">
        <f t="shared" si="49"/>
        <v/>
      </c>
      <c r="O90" s="38"/>
      <c r="P90" s="8" t="str">
        <f>IF(ISBLANK(O90)," ",IF(O90="np",SpecialScores!$C$3,IF(O90="dnf",SpecialScores!$C$4,MIN(1000,(500*LOG(1+99*O90/SpecialScores!$K$3))))))</f>
        <v xml:space="preserve"> </v>
      </c>
      <c r="Q90" s="12" t="str">
        <f t="shared" si="50"/>
        <v/>
      </c>
      <c r="R90" s="38"/>
      <c r="S90" s="8" t="str">
        <f>IF(ISBLANK(R90)," ",IF(R90="np",SpecialScores!$C$3,IF(R90="dnf",SpecialScores!$C$4,      IF(AND(R90&gt;=0,R90&lt;SpecialScores!$O$12), (500*LOG(1+99*R90/SpecialScores!$O$12*SpecialScores!$O$11/SpecialScores!$O$10)),                         MIN((500*LOG(1+99*SpecialScores!$O$11/R90)))))))</f>
        <v xml:space="preserve"> </v>
      </c>
      <c r="T90" s="12" t="str">
        <f t="shared" si="51"/>
        <v/>
      </c>
      <c r="U90" s="38"/>
      <c r="V90" s="8" t="str">
        <f>IF(ISBLANK(U90)," ",IF(U90="np",SpecialScores!$C$3,IF(U90="dnf",SpecialScores!$C$4,MIN((500*LOG(1+99*U90/SpecialScores!$R$3))))))</f>
        <v xml:space="preserve"> </v>
      </c>
      <c r="W90" s="12" t="str">
        <f t="shared" si="52"/>
        <v/>
      </c>
      <c r="X90" s="38"/>
      <c r="Y90" s="8" t="str">
        <f>IF(ISBLANK(X90)," ",IF(X90="np",SpecialScores!$C$3,IF(X90="dnf",SpecialScores!$C$4,MIN( 1000+X90/SpecialScores!$U$3*0.0001,(500*LOG(1+99*X90/SpecialScores!$U$3))))))</f>
        <v xml:space="preserve"> </v>
      </c>
      <c r="Z90" s="12" t="str">
        <f t="shared" si="53"/>
        <v/>
      </c>
      <c r="AA90" s="38"/>
      <c r="AB90" s="8" t="str">
        <f>IF(ISBLANK(AA90)," ",IF(AA90="np",SpecialScores!$C$3,IF(AA90="dnf",SpecialScores!$C$4,      IF(AND(AA90&gt;=0,AA90&lt;SpecialScores!$X$12), (500*LOG(1+99*AA90/SpecialScores!$X$12*SpecialScores!$X$11/SpecialScores!$X$10)),                         MIN((500*LOG(1+99*SpecialScores!$X$11/AA90)))))))</f>
        <v xml:space="preserve"> </v>
      </c>
      <c r="AC90" s="12" t="str">
        <f t="shared" si="54"/>
        <v/>
      </c>
      <c r="AD90" s="38"/>
      <c r="AE90" s="8" t="str">
        <f>IF(ISBLANK(AD90)," ",IF(AD90="np",SpecialScores!$C$3,IF(AD90="dnf",SpecialScores!$C$4,MIN( 1000+AD90/SpecialScores!$AA$5*0.0001,(500*LOG(1+99*AD90/SpecialScores!$AA$5))))))</f>
        <v xml:space="preserve"> </v>
      </c>
      <c r="AF90" s="12" t="str">
        <f t="shared" si="55"/>
        <v/>
      </c>
      <c r="AG90" s="38"/>
      <c r="AH90" s="8" t="str">
        <f>IF(ISBLANK(AG90)," ",IF(AG90="np",SpecialScores!$C$3,IF(AG90="dnf",SpecialScores!$C$4,MIN(1000,(500*LOG(1+99*AG90/SpecialScores!$E$3))))))</f>
        <v xml:space="preserve"> </v>
      </c>
      <c r="AI90" s="12" t="str">
        <f t="shared" si="56"/>
        <v/>
      </c>
      <c r="AP90" s="49"/>
    </row>
    <row r="91" spans="1:42" x14ac:dyDescent="0.35">
      <c r="A91" s="42"/>
      <c r="E91" s="33" t="str">
        <f t="shared" si="57"/>
        <v xml:space="preserve"> </v>
      </c>
      <c r="F91" s="33" t="str">
        <f t="shared" si="58"/>
        <v xml:space="preserve"> </v>
      </c>
      <c r="G91" s="7" t="str">
        <f t="shared" si="59"/>
        <v xml:space="preserve"> </v>
      </c>
      <c r="H91" s="7" t="str">
        <f t="shared" si="60"/>
        <v xml:space="preserve"> </v>
      </c>
      <c r="I91" s="38"/>
      <c r="J91" s="8" t="str">
        <f>IF(ISBLANK(I91)," ",IF(I91="np",SpecialScores!$C$3,IF(I91="dnf",SpecialScores!$C$4,MIN( 1000+I91/SpecialScores!$E$3*0.0001,(500*LOG(1+99*I91/SpecialScores!$E$3))))))</f>
        <v xml:space="preserve"> </v>
      </c>
      <c r="K91" s="12" t="str">
        <f t="shared" si="48"/>
        <v/>
      </c>
      <c r="L91" s="38"/>
      <c r="M91" s="8" t="str">
        <f>IF(ISBLANK(L91)," ",IF(L91="np",SpecialScores!$C$3,IF(L91="dnf",SpecialScores!$C$4,MIN( 1000+L91/SpecialScores!$H$3*0.0001,(500*LOG(1+99*L91/SpecialScores!$H$3))))))</f>
        <v xml:space="preserve"> </v>
      </c>
      <c r="N91" s="12" t="str">
        <f t="shared" si="49"/>
        <v/>
      </c>
      <c r="O91" s="38"/>
      <c r="P91" s="8" t="str">
        <f>IF(ISBLANK(O91)," ",IF(O91="np",SpecialScores!$C$3,IF(O91="dnf",SpecialScores!$C$4,MIN(1000,(500*LOG(1+99*O91/SpecialScores!$K$3))))))</f>
        <v xml:space="preserve"> </v>
      </c>
      <c r="Q91" s="12" t="str">
        <f t="shared" si="50"/>
        <v/>
      </c>
      <c r="R91" s="38"/>
      <c r="S91" s="8" t="str">
        <f>IF(ISBLANK(R91)," ",IF(R91="np",SpecialScores!$C$3,IF(R91="dnf",SpecialScores!$C$4,      IF(AND(R91&gt;=0,R91&lt;SpecialScores!$O$12), (500*LOG(1+99*R91/SpecialScores!$O$12*SpecialScores!$O$11/SpecialScores!$O$10)),                         MIN((500*LOG(1+99*SpecialScores!$O$11/R91)))))))</f>
        <v xml:space="preserve"> </v>
      </c>
      <c r="T91" s="12" t="str">
        <f t="shared" si="51"/>
        <v/>
      </c>
      <c r="U91" s="38"/>
      <c r="V91" s="8" t="str">
        <f>IF(ISBLANK(U91)," ",IF(U91="np",SpecialScores!$C$3,IF(U91="dnf",SpecialScores!$C$4,MIN((500*LOG(1+99*U91/SpecialScores!$R$3))))))</f>
        <v xml:space="preserve"> </v>
      </c>
      <c r="W91" s="12" t="str">
        <f t="shared" si="52"/>
        <v/>
      </c>
      <c r="X91" s="38"/>
      <c r="Y91" s="8" t="str">
        <f>IF(ISBLANK(X91)," ",IF(X91="np",SpecialScores!$C$3,IF(X91="dnf",SpecialScores!$C$4,MIN( 1000+X91/SpecialScores!$U$3*0.0001,(500*LOG(1+99*X91/SpecialScores!$U$3))))))</f>
        <v xml:space="preserve"> </v>
      </c>
      <c r="Z91" s="12" t="str">
        <f t="shared" si="53"/>
        <v/>
      </c>
      <c r="AA91" s="38"/>
      <c r="AB91" s="8" t="str">
        <f>IF(ISBLANK(AA91)," ",IF(AA91="np",SpecialScores!$C$3,IF(AA91="dnf",SpecialScores!$C$4,      IF(AND(AA91&gt;=0,AA91&lt;SpecialScores!$X$12), (500*LOG(1+99*AA91/SpecialScores!$X$12*SpecialScores!$X$11/SpecialScores!$X$10)),                         MIN((500*LOG(1+99*SpecialScores!$X$11/AA91)))))))</f>
        <v xml:space="preserve"> </v>
      </c>
      <c r="AC91" s="12" t="str">
        <f t="shared" si="54"/>
        <v/>
      </c>
      <c r="AD91" s="38"/>
      <c r="AE91" s="8" t="str">
        <f>IF(ISBLANK(AD91)," ",IF(AD91="np",SpecialScores!$C$3,IF(AD91="dnf",SpecialScores!$C$4,MIN( 1000+AD91/SpecialScores!$AA$5*0.0001,(500*LOG(1+99*AD91/SpecialScores!$AA$5))))))</f>
        <v xml:space="preserve"> </v>
      </c>
      <c r="AF91" s="12" t="str">
        <f t="shared" si="55"/>
        <v/>
      </c>
      <c r="AG91" s="38"/>
      <c r="AH91" s="8" t="str">
        <f>IF(ISBLANK(AG91)," ",IF(AG91="np",SpecialScores!$C$3,IF(AG91="dnf",SpecialScores!$C$4,MIN(1000,(500*LOG(1+99*AG91/SpecialScores!$E$3))))))</f>
        <v xml:space="preserve"> </v>
      </c>
      <c r="AI91" s="12" t="str">
        <f t="shared" si="56"/>
        <v/>
      </c>
      <c r="AP91" s="49"/>
    </row>
    <row r="92" spans="1:42" x14ac:dyDescent="0.35">
      <c r="A92" s="42"/>
      <c r="E92" s="33" t="str">
        <f t="shared" si="57"/>
        <v xml:space="preserve"> </v>
      </c>
      <c r="F92" s="33" t="str">
        <f t="shared" si="58"/>
        <v xml:space="preserve"> </v>
      </c>
      <c r="G92" s="7" t="str">
        <f t="shared" si="59"/>
        <v xml:space="preserve"> </v>
      </c>
      <c r="H92" s="7" t="str">
        <f t="shared" si="60"/>
        <v xml:space="preserve"> </v>
      </c>
      <c r="I92" s="38"/>
      <c r="J92" s="8" t="str">
        <f>IF(ISBLANK(I92)," ",IF(I92="np",SpecialScores!$C$3,IF(I92="dnf",SpecialScores!$C$4,MIN( 1000+I92/SpecialScores!$E$3*0.0001,(500*LOG(1+99*I92/SpecialScores!$E$3))))))</f>
        <v xml:space="preserve"> </v>
      </c>
      <c r="K92" s="12" t="str">
        <f t="shared" si="48"/>
        <v/>
      </c>
      <c r="L92" s="38"/>
      <c r="M92" s="8" t="str">
        <f>IF(ISBLANK(L92)," ",IF(L92="np",SpecialScores!$C$3,IF(L92="dnf",SpecialScores!$C$4,MIN( 1000+L92/SpecialScores!$H$3*0.0001,(500*LOG(1+99*L92/SpecialScores!$H$3))))))</f>
        <v xml:space="preserve"> </v>
      </c>
      <c r="N92" s="12" t="str">
        <f t="shared" si="49"/>
        <v/>
      </c>
      <c r="O92" s="38"/>
      <c r="P92" s="8" t="str">
        <f>IF(ISBLANK(O92)," ",IF(O92="np",SpecialScores!$C$3,IF(O92="dnf",SpecialScores!$C$4,MIN(1000,(500*LOG(1+99*O92/SpecialScores!$K$3))))))</f>
        <v xml:space="preserve"> </v>
      </c>
      <c r="Q92" s="12" t="str">
        <f t="shared" si="50"/>
        <v/>
      </c>
      <c r="R92" s="38"/>
      <c r="S92" s="8" t="str">
        <f>IF(ISBLANK(R92)," ",IF(R92="np",SpecialScores!$C$3,IF(R92="dnf",SpecialScores!$C$4,      IF(AND(R92&gt;=0,R92&lt;SpecialScores!$O$12), (500*LOG(1+99*R92/SpecialScores!$O$12*SpecialScores!$O$11/SpecialScores!$O$10)),                         MIN((500*LOG(1+99*SpecialScores!$O$11/R92)))))))</f>
        <v xml:space="preserve"> </v>
      </c>
      <c r="T92" s="12" t="str">
        <f t="shared" si="51"/>
        <v/>
      </c>
      <c r="U92" s="38"/>
      <c r="V92" s="8" t="str">
        <f>IF(ISBLANK(U92)," ",IF(U92="np",SpecialScores!$C$3,IF(U92="dnf",SpecialScores!$C$4,MIN((500*LOG(1+99*U92/SpecialScores!$R$3))))))</f>
        <v xml:space="preserve"> </v>
      </c>
      <c r="W92" s="12" t="str">
        <f t="shared" si="52"/>
        <v/>
      </c>
      <c r="X92" s="38"/>
      <c r="Y92" s="8" t="str">
        <f>IF(ISBLANK(X92)," ",IF(X92="np",SpecialScores!$C$3,IF(X92="dnf",SpecialScores!$C$4,MIN( 1000+X92/SpecialScores!$U$3*0.0001,(500*LOG(1+99*X92/SpecialScores!$U$3))))))</f>
        <v xml:space="preserve"> </v>
      </c>
      <c r="Z92" s="12" t="str">
        <f t="shared" si="53"/>
        <v/>
      </c>
      <c r="AA92" s="38"/>
      <c r="AB92" s="8" t="str">
        <f>IF(ISBLANK(AA92)," ",IF(AA92="np",SpecialScores!$C$3,IF(AA92="dnf",SpecialScores!$C$4,      IF(AND(AA92&gt;=0,AA92&lt;SpecialScores!$X$12), (500*LOG(1+99*AA92/SpecialScores!$X$12*SpecialScores!$X$11/SpecialScores!$X$10)),                         MIN((500*LOG(1+99*SpecialScores!$X$11/AA92)))))))</f>
        <v xml:space="preserve"> </v>
      </c>
      <c r="AC92" s="12" t="str">
        <f t="shared" si="54"/>
        <v/>
      </c>
      <c r="AD92" s="38"/>
      <c r="AE92" s="8" t="str">
        <f>IF(ISBLANK(AD92)," ",IF(AD92="np",SpecialScores!$C$3,IF(AD92="dnf",SpecialScores!$C$4,MIN( 1000+AD92/SpecialScores!$AA$5*0.0001,(500*LOG(1+99*AD92/SpecialScores!$AA$5))))))</f>
        <v xml:space="preserve"> </v>
      </c>
      <c r="AF92" s="12" t="str">
        <f t="shared" si="55"/>
        <v/>
      </c>
      <c r="AG92" s="38"/>
      <c r="AH92" s="8" t="str">
        <f>IF(ISBLANK(AG92)," ",IF(AG92="np",SpecialScores!$C$3,IF(AG92="dnf",SpecialScores!$C$4,MIN(1000,(500*LOG(1+99*AG92/SpecialScores!$E$3))))))</f>
        <v xml:space="preserve"> </v>
      </c>
      <c r="AI92" s="12" t="str">
        <f t="shared" si="56"/>
        <v/>
      </c>
      <c r="AP92" s="49"/>
    </row>
    <row r="93" spans="1:42" x14ac:dyDescent="0.35">
      <c r="A93" s="42"/>
      <c r="E93" s="33" t="str">
        <f t="shared" si="57"/>
        <v xml:space="preserve"> </v>
      </c>
      <c r="F93" s="33" t="str">
        <f t="shared" si="58"/>
        <v xml:space="preserve"> </v>
      </c>
      <c r="G93" s="7" t="str">
        <f t="shared" si="59"/>
        <v xml:space="preserve"> </v>
      </c>
      <c r="H93" s="7" t="str">
        <f t="shared" si="60"/>
        <v xml:space="preserve"> </v>
      </c>
      <c r="I93" s="38"/>
      <c r="J93" s="8" t="str">
        <f>IF(ISBLANK(I93)," ",IF(I93="np",SpecialScores!$C$3,IF(I93="dnf",SpecialScores!$C$4,MIN( 1000+I93/SpecialScores!$E$3*0.0001,(500*LOG(1+99*I93/SpecialScores!$E$3))))))</f>
        <v xml:space="preserve"> </v>
      </c>
      <c r="K93" s="12" t="str">
        <f t="shared" si="48"/>
        <v/>
      </c>
      <c r="L93" s="38"/>
      <c r="M93" s="8" t="str">
        <f>IF(ISBLANK(L93)," ",IF(L93="np",SpecialScores!$C$3,IF(L93="dnf",SpecialScores!$C$4,MIN( 1000+L93/SpecialScores!$H$3*0.0001,(500*LOG(1+99*L93/SpecialScores!$H$3))))))</f>
        <v xml:space="preserve"> </v>
      </c>
      <c r="N93" s="12" t="str">
        <f t="shared" si="49"/>
        <v/>
      </c>
      <c r="O93" s="38"/>
      <c r="P93" s="8" t="str">
        <f>IF(ISBLANK(O93)," ",IF(O93="np",SpecialScores!$C$3,IF(O93="dnf",SpecialScores!$C$4,MIN(1000,(500*LOG(1+99*O93/SpecialScores!$K$3))))))</f>
        <v xml:space="preserve"> </v>
      </c>
      <c r="Q93" s="12" t="str">
        <f t="shared" si="50"/>
        <v/>
      </c>
      <c r="R93" s="38"/>
      <c r="S93" s="8" t="str">
        <f>IF(ISBLANK(R93)," ",IF(R93="np",SpecialScores!$C$3,IF(R93="dnf",SpecialScores!$C$4,      IF(AND(R93&gt;=0,R93&lt;SpecialScores!$O$12), (500*LOG(1+99*R93/SpecialScores!$O$12*SpecialScores!$O$11/SpecialScores!$O$10)),                         MIN((500*LOG(1+99*SpecialScores!$O$11/R93)))))))</f>
        <v xml:space="preserve"> </v>
      </c>
      <c r="T93" s="12" t="str">
        <f t="shared" si="51"/>
        <v/>
      </c>
      <c r="U93" s="38"/>
      <c r="V93" s="8" t="str">
        <f>IF(ISBLANK(U93)," ",IF(U93="np",SpecialScores!$C$3,IF(U93="dnf",SpecialScores!$C$4,MIN((500*LOG(1+99*U93/SpecialScores!$R$3))))))</f>
        <v xml:space="preserve"> </v>
      </c>
      <c r="W93" s="12" t="str">
        <f t="shared" si="52"/>
        <v/>
      </c>
      <c r="X93" s="38"/>
      <c r="Y93" s="8" t="str">
        <f>IF(ISBLANK(X93)," ",IF(X93="np",SpecialScores!$C$3,IF(X93="dnf",SpecialScores!$C$4,MIN( 1000+X93/SpecialScores!$U$3*0.0001,(500*LOG(1+99*X93/SpecialScores!$U$3))))))</f>
        <v xml:space="preserve"> </v>
      </c>
      <c r="Z93" s="12" t="str">
        <f t="shared" si="53"/>
        <v/>
      </c>
      <c r="AA93" s="38"/>
      <c r="AB93" s="8" t="str">
        <f>IF(ISBLANK(AA93)," ",IF(AA93="np",SpecialScores!$C$3,IF(AA93="dnf",SpecialScores!$C$4,      IF(AND(AA93&gt;=0,AA93&lt;SpecialScores!$X$12), (500*LOG(1+99*AA93/SpecialScores!$X$12*SpecialScores!$X$11/SpecialScores!$X$10)),                         MIN((500*LOG(1+99*SpecialScores!$X$11/AA93)))))))</f>
        <v xml:space="preserve"> </v>
      </c>
      <c r="AC93" s="12" t="str">
        <f t="shared" si="54"/>
        <v/>
      </c>
      <c r="AD93" s="38"/>
      <c r="AE93" s="8" t="str">
        <f>IF(ISBLANK(AD93)," ",IF(AD93="np",SpecialScores!$C$3,IF(AD93="dnf",SpecialScores!$C$4,MIN( 1000+AD93/SpecialScores!$AA$5*0.0001,(500*LOG(1+99*AD93/SpecialScores!$AA$5))))))</f>
        <v xml:space="preserve"> </v>
      </c>
      <c r="AF93" s="12" t="str">
        <f t="shared" si="55"/>
        <v/>
      </c>
      <c r="AG93" s="38"/>
      <c r="AH93" s="8" t="str">
        <f>IF(ISBLANK(AG93)," ",IF(AG93="np",SpecialScores!$C$3,IF(AG93="dnf",SpecialScores!$C$4,MIN(1000,(500*LOG(1+99*AG93/SpecialScores!$E$3))))))</f>
        <v xml:space="preserve"> </v>
      </c>
      <c r="AI93" s="12" t="str">
        <f t="shared" si="56"/>
        <v/>
      </c>
      <c r="AP93" s="49"/>
    </row>
    <row r="94" spans="1:42" x14ac:dyDescent="0.35">
      <c r="A94" s="42"/>
      <c r="E94" s="33" t="str">
        <f t="shared" si="57"/>
        <v xml:space="preserve"> </v>
      </c>
      <c r="F94" s="33" t="str">
        <f t="shared" si="58"/>
        <v xml:space="preserve"> </v>
      </c>
      <c r="G94" s="7" t="str">
        <f t="shared" si="59"/>
        <v xml:space="preserve"> </v>
      </c>
      <c r="H94" s="7" t="str">
        <f t="shared" si="60"/>
        <v xml:space="preserve"> </v>
      </c>
      <c r="I94" s="38"/>
      <c r="J94" s="8" t="str">
        <f>IF(ISBLANK(I94)," ",IF(I94="np",SpecialScores!$C$3,IF(I94="dnf",SpecialScores!$C$4,MIN( 1000+I94/SpecialScores!$E$3*0.0001,(500*LOG(1+99*I94/SpecialScores!$E$3))))))</f>
        <v xml:space="preserve"> </v>
      </c>
      <c r="K94" s="12" t="str">
        <f t="shared" si="48"/>
        <v/>
      </c>
      <c r="L94" s="38"/>
      <c r="M94" s="8" t="str">
        <f>IF(ISBLANK(L94)," ",IF(L94="np",SpecialScores!$C$3,IF(L94="dnf",SpecialScores!$C$4,MIN( 1000+L94/SpecialScores!$H$3*0.0001,(500*LOG(1+99*L94/SpecialScores!$H$3))))))</f>
        <v xml:space="preserve"> </v>
      </c>
      <c r="N94" s="12" t="str">
        <f t="shared" si="49"/>
        <v/>
      </c>
      <c r="O94" s="38"/>
      <c r="P94" s="8" t="str">
        <f>IF(ISBLANK(O94)," ",IF(O94="np",SpecialScores!$C$3,IF(O94="dnf",SpecialScores!$C$4,MIN(1000,(500*LOG(1+99*O94/SpecialScores!$K$3))))))</f>
        <v xml:space="preserve"> </v>
      </c>
      <c r="Q94" s="12" t="str">
        <f t="shared" si="50"/>
        <v/>
      </c>
      <c r="R94" s="38"/>
      <c r="S94" s="8" t="str">
        <f>IF(ISBLANK(R94)," ",IF(R94="np",SpecialScores!$C$3,IF(R94="dnf",SpecialScores!$C$4,      IF(AND(R94&gt;=0,R94&lt;SpecialScores!$O$12), (500*LOG(1+99*R94/SpecialScores!$O$12*SpecialScores!$O$11/SpecialScores!$O$10)),                         MIN((500*LOG(1+99*SpecialScores!$O$11/R94)))))))</f>
        <v xml:space="preserve"> </v>
      </c>
      <c r="T94" s="12" t="str">
        <f t="shared" si="51"/>
        <v/>
      </c>
      <c r="U94" s="38"/>
      <c r="V94" s="8" t="str">
        <f>IF(ISBLANK(U94)," ",IF(U94="np",SpecialScores!$C$3,IF(U94="dnf",SpecialScores!$C$4,MIN((500*LOG(1+99*U94/SpecialScores!$R$3))))))</f>
        <v xml:space="preserve"> </v>
      </c>
      <c r="W94" s="12" t="str">
        <f t="shared" si="52"/>
        <v/>
      </c>
      <c r="X94" s="38"/>
      <c r="Y94" s="8" t="str">
        <f>IF(ISBLANK(X94)," ",IF(X94="np",SpecialScores!$C$3,IF(X94="dnf",SpecialScores!$C$4,MIN( 1000+X94/SpecialScores!$U$3*0.0001,(500*LOG(1+99*X94/SpecialScores!$U$3))))))</f>
        <v xml:space="preserve"> </v>
      </c>
      <c r="Z94" s="12" t="str">
        <f t="shared" si="53"/>
        <v/>
      </c>
      <c r="AA94" s="38"/>
      <c r="AB94" s="8" t="str">
        <f>IF(ISBLANK(AA94)," ",IF(AA94="np",SpecialScores!$C$3,IF(AA94="dnf",SpecialScores!$C$4,      IF(AND(AA94&gt;=0,AA94&lt;SpecialScores!$X$12), (500*LOG(1+99*AA94/SpecialScores!$X$12*SpecialScores!$X$11/SpecialScores!$X$10)),                         MIN((500*LOG(1+99*SpecialScores!$X$11/AA94)))))))</f>
        <v xml:space="preserve"> </v>
      </c>
      <c r="AC94" s="12" t="str">
        <f t="shared" si="54"/>
        <v/>
      </c>
      <c r="AD94" s="38"/>
      <c r="AE94" s="8" t="str">
        <f>IF(ISBLANK(AD94)," ",IF(AD94="np",SpecialScores!$C$3,IF(AD94="dnf",SpecialScores!$C$4,MIN( 1000+AD94/SpecialScores!$AA$5*0.0001,(500*LOG(1+99*AD94/SpecialScores!$AA$5))))))</f>
        <v xml:space="preserve"> </v>
      </c>
      <c r="AF94" s="12" t="str">
        <f t="shared" si="55"/>
        <v/>
      </c>
      <c r="AG94" s="38"/>
      <c r="AH94" s="8" t="str">
        <f>IF(ISBLANK(AG94)," ",IF(AG94="np",SpecialScores!$C$3,IF(AG94="dnf",SpecialScores!$C$4,MIN(1000,(500*LOG(1+99*AG94/SpecialScores!$E$3))))))</f>
        <v xml:space="preserve"> </v>
      </c>
      <c r="AI94" s="12" t="str">
        <f t="shared" si="56"/>
        <v/>
      </c>
      <c r="AP94" s="49"/>
    </row>
    <row r="95" spans="1:42" x14ac:dyDescent="0.35">
      <c r="A95" s="42"/>
      <c r="E95" s="33" t="str">
        <f t="shared" si="57"/>
        <v xml:space="preserve"> </v>
      </c>
      <c r="F95" s="33" t="str">
        <f t="shared" si="58"/>
        <v xml:space="preserve"> </v>
      </c>
      <c r="G95" s="7" t="str">
        <f t="shared" si="59"/>
        <v xml:space="preserve"> </v>
      </c>
      <c r="H95" s="7" t="str">
        <f t="shared" si="60"/>
        <v xml:space="preserve"> </v>
      </c>
      <c r="I95" s="38"/>
      <c r="J95" s="8" t="str">
        <f>IF(ISBLANK(I95)," ",IF(I95="np",SpecialScores!$C$3,IF(I95="dnf",SpecialScores!$C$4,MIN( 1000+I95/SpecialScores!$E$3*0.0001,(500*LOG(1+99*I95/SpecialScores!$E$3))))))</f>
        <v xml:space="preserve"> </v>
      </c>
      <c r="K95" s="12" t="str">
        <f t="shared" si="48"/>
        <v/>
      </c>
      <c r="L95" s="38"/>
      <c r="M95" s="8" t="str">
        <f>IF(ISBLANK(L95)," ",IF(L95="np",SpecialScores!$C$3,IF(L95="dnf",SpecialScores!$C$4,MIN( 1000+L95/SpecialScores!$H$3*0.0001,(500*LOG(1+99*L95/SpecialScores!$H$3))))))</f>
        <v xml:space="preserve"> </v>
      </c>
      <c r="N95" s="12" t="str">
        <f t="shared" si="49"/>
        <v/>
      </c>
      <c r="O95" s="38"/>
      <c r="P95" s="8" t="str">
        <f>IF(ISBLANK(O95)," ",IF(O95="np",SpecialScores!$C$3,IF(O95="dnf",SpecialScores!$C$4,MIN(1000,(500*LOG(1+99*O95/SpecialScores!$K$3))))))</f>
        <v xml:space="preserve"> </v>
      </c>
      <c r="Q95" s="12" t="str">
        <f t="shared" si="50"/>
        <v/>
      </c>
      <c r="R95" s="38"/>
      <c r="S95" s="8" t="str">
        <f>IF(ISBLANK(R95)," ",IF(R95="np",SpecialScores!$C$3,IF(R95="dnf",SpecialScores!$C$4,      IF(AND(R95&gt;=0,R95&lt;SpecialScores!$O$12), (500*LOG(1+99*R95/SpecialScores!$O$12*SpecialScores!$O$11/SpecialScores!$O$10)),                         MIN((500*LOG(1+99*SpecialScores!$O$11/R95)))))))</f>
        <v xml:space="preserve"> </v>
      </c>
      <c r="T95" s="12" t="str">
        <f t="shared" si="51"/>
        <v/>
      </c>
      <c r="U95" s="38"/>
      <c r="V95" s="8" t="str">
        <f>IF(ISBLANK(U95)," ",IF(U95="np",SpecialScores!$C$3,IF(U95="dnf",SpecialScores!$C$4,MIN((500*LOG(1+99*U95/SpecialScores!$R$3))))))</f>
        <v xml:space="preserve"> </v>
      </c>
      <c r="W95" s="12" t="str">
        <f t="shared" si="52"/>
        <v/>
      </c>
      <c r="X95" s="38"/>
      <c r="Y95" s="8" t="str">
        <f>IF(ISBLANK(X95)," ",IF(X95="np",SpecialScores!$C$3,IF(X95="dnf",SpecialScores!$C$4,MIN( 1000+X95/SpecialScores!$U$3*0.0001,(500*LOG(1+99*X95/SpecialScores!$U$3))))))</f>
        <v xml:space="preserve"> </v>
      </c>
      <c r="Z95" s="12" t="str">
        <f t="shared" si="53"/>
        <v/>
      </c>
      <c r="AA95" s="38"/>
      <c r="AB95" s="8" t="str">
        <f>IF(ISBLANK(AA95)," ",IF(AA95="np",SpecialScores!$C$3,IF(AA95="dnf",SpecialScores!$C$4,      IF(AND(AA95&gt;=0,AA95&lt;SpecialScores!$X$12), (500*LOG(1+99*AA95/SpecialScores!$X$12*SpecialScores!$X$11/SpecialScores!$X$10)),                         MIN((500*LOG(1+99*SpecialScores!$X$11/AA95)))))))</f>
        <v xml:space="preserve"> </v>
      </c>
      <c r="AC95" s="12" t="str">
        <f t="shared" si="54"/>
        <v/>
      </c>
      <c r="AD95" s="38"/>
      <c r="AE95" s="8" t="str">
        <f>IF(ISBLANK(AD95)," ",IF(AD95="np",SpecialScores!$C$3,IF(AD95="dnf",SpecialScores!$C$4,MIN( 1000+AD95/SpecialScores!$AA$5*0.0001,(500*LOG(1+99*AD95/SpecialScores!$AA$5))))))</f>
        <v xml:space="preserve"> </v>
      </c>
      <c r="AF95" s="12" t="str">
        <f t="shared" si="55"/>
        <v/>
      </c>
      <c r="AG95" s="38"/>
      <c r="AH95" s="8" t="str">
        <f>IF(ISBLANK(AG95)," ",IF(AG95="np",SpecialScores!$C$3,IF(AG95="dnf",SpecialScores!$C$4,MIN(1000,(500*LOG(1+99*AG95/SpecialScores!$E$3))))))</f>
        <v xml:space="preserve"> </v>
      </c>
      <c r="AI95" s="12" t="str">
        <f t="shared" si="56"/>
        <v/>
      </c>
      <c r="AP95" s="49"/>
    </row>
    <row r="96" spans="1:42" x14ac:dyDescent="0.35">
      <c r="A96" s="42"/>
      <c r="E96" s="33" t="str">
        <f t="shared" si="57"/>
        <v xml:space="preserve"> </v>
      </c>
      <c r="F96" s="33" t="str">
        <f t="shared" si="58"/>
        <v xml:space="preserve"> </v>
      </c>
      <c r="G96" s="7" t="str">
        <f t="shared" si="59"/>
        <v xml:space="preserve"> </v>
      </c>
      <c r="H96" s="7" t="str">
        <f t="shared" si="60"/>
        <v xml:space="preserve"> </v>
      </c>
      <c r="I96" s="38"/>
      <c r="J96" s="8" t="str">
        <f>IF(ISBLANK(I96)," ",IF(I96="np",SpecialScores!$C$3,IF(I96="dnf",SpecialScores!$C$4,MIN( 1000+I96/SpecialScores!$E$3*0.0001,(500*LOG(1+99*I96/SpecialScores!$E$3))))))</f>
        <v xml:space="preserve"> </v>
      </c>
      <c r="K96" s="12" t="str">
        <f t="shared" si="48"/>
        <v/>
      </c>
      <c r="L96" s="38"/>
      <c r="M96" s="8" t="str">
        <f>IF(ISBLANK(L96)," ",IF(L96="np",SpecialScores!$C$3,IF(L96="dnf",SpecialScores!$C$4,MIN( 1000+L96/SpecialScores!$H$3*0.0001,(500*LOG(1+99*L96/SpecialScores!$H$3))))))</f>
        <v xml:space="preserve"> </v>
      </c>
      <c r="N96" s="12" t="str">
        <f t="shared" si="49"/>
        <v/>
      </c>
      <c r="O96" s="38"/>
      <c r="P96" s="8" t="str">
        <f>IF(ISBLANK(O96)," ",IF(O96="np",SpecialScores!$C$3,IF(O96="dnf",SpecialScores!$C$4,MIN(1000,(500*LOG(1+99*O96/SpecialScores!$K$3))))))</f>
        <v xml:space="preserve"> </v>
      </c>
      <c r="Q96" s="12" t="str">
        <f t="shared" si="50"/>
        <v/>
      </c>
      <c r="R96" s="38"/>
      <c r="S96" s="8" t="str">
        <f>IF(ISBLANK(R96)," ",IF(R96="np",SpecialScores!$C$3,IF(R96="dnf",SpecialScores!$C$4,      IF(AND(R96&gt;=0,R96&lt;SpecialScores!$O$12), (500*LOG(1+99*R96/SpecialScores!$O$12*SpecialScores!$O$11/SpecialScores!$O$10)),                         MIN((500*LOG(1+99*SpecialScores!$O$11/R96)))))))</f>
        <v xml:space="preserve"> </v>
      </c>
      <c r="T96" s="12" t="str">
        <f t="shared" si="51"/>
        <v/>
      </c>
      <c r="U96" s="38"/>
      <c r="V96" s="8" t="str">
        <f>IF(ISBLANK(U96)," ",IF(U96="np",SpecialScores!$C$3,IF(U96="dnf",SpecialScores!$C$4,MIN((500*LOG(1+99*U96/SpecialScores!$R$3))))))</f>
        <v xml:space="preserve"> </v>
      </c>
      <c r="W96" s="12" t="str">
        <f t="shared" si="52"/>
        <v/>
      </c>
      <c r="X96" s="38"/>
      <c r="Y96" s="8" t="str">
        <f>IF(ISBLANK(X96)," ",IF(X96="np",SpecialScores!$C$3,IF(X96="dnf",SpecialScores!$C$4,MIN( 1000+X96/SpecialScores!$U$3*0.0001,(500*LOG(1+99*X96/SpecialScores!$U$3))))))</f>
        <v xml:space="preserve"> </v>
      </c>
      <c r="Z96" s="12" t="str">
        <f t="shared" si="53"/>
        <v/>
      </c>
      <c r="AA96" s="38"/>
      <c r="AB96" s="8" t="str">
        <f>IF(ISBLANK(AA96)," ",IF(AA96="np",SpecialScores!$C$3,IF(AA96="dnf",SpecialScores!$C$4,      IF(AND(AA96&gt;=0,AA96&lt;SpecialScores!$X$12), (500*LOG(1+99*AA96/SpecialScores!$X$12*SpecialScores!$X$11/SpecialScores!$X$10)),                         MIN((500*LOG(1+99*SpecialScores!$X$11/AA96)))))))</f>
        <v xml:space="preserve"> </v>
      </c>
      <c r="AC96" s="12" t="str">
        <f t="shared" si="54"/>
        <v/>
      </c>
      <c r="AD96" s="38"/>
      <c r="AE96" s="8" t="str">
        <f>IF(ISBLANK(AD96)," ",IF(AD96="np",SpecialScores!$C$3,IF(AD96="dnf",SpecialScores!$C$4,MIN( 1000+AD96/SpecialScores!$AA$5*0.0001,(500*LOG(1+99*AD96/SpecialScores!$AA$5))))))</f>
        <v xml:space="preserve"> </v>
      </c>
      <c r="AF96" s="12" t="str">
        <f t="shared" si="55"/>
        <v/>
      </c>
      <c r="AG96" s="38"/>
      <c r="AH96" s="8" t="str">
        <f>IF(ISBLANK(AG96)," ",IF(AG96="np",SpecialScores!$C$3,IF(AG96="dnf",SpecialScores!$C$4,MIN(1000,(500*LOG(1+99*AG96/SpecialScores!$E$3))))))</f>
        <v xml:space="preserve"> </v>
      </c>
      <c r="AI96" s="12" t="str">
        <f t="shared" si="56"/>
        <v/>
      </c>
      <c r="AP96" s="49"/>
    </row>
    <row r="97" spans="1:42" x14ac:dyDescent="0.35">
      <c r="A97" s="42"/>
      <c r="E97" s="33" t="str">
        <f t="shared" si="57"/>
        <v xml:space="preserve"> </v>
      </c>
      <c r="F97" s="33" t="str">
        <f t="shared" si="58"/>
        <v xml:space="preserve"> </v>
      </c>
      <c r="G97" s="7" t="str">
        <f t="shared" si="59"/>
        <v xml:space="preserve"> </v>
      </c>
      <c r="H97" s="7" t="str">
        <f t="shared" si="60"/>
        <v xml:space="preserve"> </v>
      </c>
      <c r="I97" s="38"/>
      <c r="J97" s="8" t="str">
        <f>IF(ISBLANK(I97)," ",IF(I97="np",SpecialScores!$C$3,IF(I97="dnf",SpecialScores!$C$4,MIN( 1000+I97/SpecialScores!$E$3*0.0001,(500*LOG(1+99*I97/SpecialScores!$E$3))))))</f>
        <v xml:space="preserve"> </v>
      </c>
      <c r="K97" s="12" t="str">
        <f t="shared" si="48"/>
        <v/>
      </c>
      <c r="L97" s="38"/>
      <c r="M97" s="8" t="str">
        <f>IF(ISBLANK(L97)," ",IF(L97="np",SpecialScores!$C$3,IF(L97="dnf",SpecialScores!$C$4,MIN( 1000+L97/SpecialScores!$H$3*0.0001,(500*LOG(1+99*L97/SpecialScores!$H$3))))))</f>
        <v xml:space="preserve"> </v>
      </c>
      <c r="N97" s="12" t="str">
        <f t="shared" si="49"/>
        <v/>
      </c>
      <c r="O97" s="38"/>
      <c r="P97" s="8" t="str">
        <f>IF(ISBLANK(O97)," ",IF(O97="np",SpecialScores!$C$3,IF(O97="dnf",SpecialScores!$C$4,MIN(1000,(500*LOG(1+99*O97/SpecialScores!$K$3))))))</f>
        <v xml:space="preserve"> </v>
      </c>
      <c r="Q97" s="12" t="str">
        <f t="shared" si="50"/>
        <v/>
      </c>
      <c r="R97" s="38"/>
      <c r="S97" s="8" t="str">
        <f>IF(ISBLANK(R97)," ",IF(R97="np",SpecialScores!$C$3,IF(R97="dnf",SpecialScores!$C$4,      IF(AND(R97&gt;=0,R97&lt;SpecialScores!$O$12), (500*LOG(1+99*R97/SpecialScores!$O$12*SpecialScores!$O$11/SpecialScores!$O$10)),                         MIN((500*LOG(1+99*SpecialScores!$O$11/R97)))))))</f>
        <v xml:space="preserve"> </v>
      </c>
      <c r="T97" s="12" t="str">
        <f t="shared" si="51"/>
        <v/>
      </c>
      <c r="U97" s="38"/>
      <c r="V97" s="8" t="str">
        <f>IF(ISBLANK(U97)," ",IF(U97="np",SpecialScores!$C$3,IF(U97="dnf",SpecialScores!$C$4,MIN((500*LOG(1+99*U97/SpecialScores!$R$3))))))</f>
        <v xml:space="preserve"> </v>
      </c>
      <c r="W97" s="12" t="str">
        <f t="shared" si="52"/>
        <v/>
      </c>
      <c r="X97" s="38"/>
      <c r="Y97" s="8" t="str">
        <f>IF(ISBLANK(X97)," ",IF(X97="np",SpecialScores!$C$3,IF(X97="dnf",SpecialScores!$C$4,MIN( 1000+X97/SpecialScores!$U$3*0.0001,(500*LOG(1+99*X97/SpecialScores!$U$3))))))</f>
        <v xml:space="preserve"> </v>
      </c>
      <c r="Z97" s="12" t="str">
        <f t="shared" si="53"/>
        <v/>
      </c>
      <c r="AA97" s="38"/>
      <c r="AB97" s="8" t="str">
        <f>IF(ISBLANK(AA97)," ",IF(AA97="np",SpecialScores!$C$3,IF(AA97="dnf",SpecialScores!$C$4,      IF(AND(AA97&gt;=0,AA97&lt;SpecialScores!$X$12), (500*LOG(1+99*AA97/SpecialScores!$X$12*SpecialScores!$X$11/SpecialScores!$X$10)),                         MIN((500*LOG(1+99*SpecialScores!$X$11/AA97)))))))</f>
        <v xml:space="preserve"> </v>
      </c>
      <c r="AC97" s="12" t="str">
        <f t="shared" si="54"/>
        <v/>
      </c>
      <c r="AD97" s="38"/>
      <c r="AE97" s="8" t="str">
        <f>IF(ISBLANK(AD97)," ",IF(AD97="np",SpecialScores!$C$3,IF(AD97="dnf",SpecialScores!$C$4,MIN( 1000+AD97/SpecialScores!$AA$5*0.0001,(500*LOG(1+99*AD97/SpecialScores!$AA$5))))))</f>
        <v xml:space="preserve"> </v>
      </c>
      <c r="AF97" s="12" t="str">
        <f t="shared" si="55"/>
        <v/>
      </c>
      <c r="AG97" s="38"/>
      <c r="AH97" s="8" t="str">
        <f>IF(ISBLANK(AG97)," ",IF(AG97="np",SpecialScores!$C$3,IF(AG97="dnf",SpecialScores!$C$4,MIN(1000,(500*LOG(1+99*AG97/SpecialScores!$E$3))))))</f>
        <v xml:space="preserve"> </v>
      </c>
      <c r="AI97" s="12" t="str">
        <f t="shared" si="56"/>
        <v/>
      </c>
      <c r="AP97" s="49"/>
    </row>
    <row r="98" spans="1:42" x14ac:dyDescent="0.35">
      <c r="A98" s="42"/>
      <c r="E98" s="33" t="str">
        <f t="shared" si="57"/>
        <v xml:space="preserve"> </v>
      </c>
      <c r="F98" s="33" t="str">
        <f t="shared" si="58"/>
        <v xml:space="preserve"> </v>
      </c>
      <c r="G98" s="7" t="str">
        <f t="shared" si="59"/>
        <v xml:space="preserve"> </v>
      </c>
      <c r="H98" s="7" t="str">
        <f t="shared" si="60"/>
        <v xml:space="preserve"> </v>
      </c>
      <c r="I98" s="38"/>
      <c r="J98" s="8" t="str">
        <f>IF(ISBLANK(I98)," ",IF(I98="np",SpecialScores!$C$3,IF(I98="dnf",SpecialScores!$C$4,MIN( 1000+I98/SpecialScores!$E$3*0.0001,(500*LOG(1+99*I98/SpecialScores!$E$3))))))</f>
        <v xml:space="preserve"> </v>
      </c>
      <c r="K98" s="12" t="str">
        <f t="shared" si="48"/>
        <v/>
      </c>
      <c r="L98" s="38"/>
      <c r="M98" s="8" t="str">
        <f>IF(ISBLANK(L98)," ",IF(L98="np",SpecialScores!$C$3,IF(L98="dnf",SpecialScores!$C$4,MIN( 1000+L98/SpecialScores!$H$3*0.0001,(500*LOG(1+99*L98/SpecialScores!$H$3))))))</f>
        <v xml:space="preserve"> </v>
      </c>
      <c r="N98" s="12" t="str">
        <f t="shared" si="49"/>
        <v/>
      </c>
      <c r="O98" s="38"/>
      <c r="P98" s="8" t="str">
        <f>IF(ISBLANK(O98)," ",IF(O98="np",SpecialScores!$C$3,IF(O98="dnf",SpecialScores!$C$4,MIN(1000,(500*LOG(1+99*O98/SpecialScores!$K$3))))))</f>
        <v xml:space="preserve"> </v>
      </c>
      <c r="Q98" s="12" t="str">
        <f t="shared" si="50"/>
        <v/>
      </c>
      <c r="R98" s="38"/>
      <c r="S98" s="8" t="str">
        <f>IF(ISBLANK(R98)," ",IF(R98="np",SpecialScores!$C$3,IF(R98="dnf",SpecialScores!$C$4,      IF(AND(R98&gt;=0,R98&lt;SpecialScores!$O$12), (500*LOG(1+99*R98/SpecialScores!$O$12*SpecialScores!$O$11/SpecialScores!$O$10)),                         MIN((500*LOG(1+99*SpecialScores!$O$11/R98)))))))</f>
        <v xml:space="preserve"> </v>
      </c>
      <c r="T98" s="12" t="str">
        <f t="shared" si="51"/>
        <v/>
      </c>
      <c r="U98" s="38"/>
      <c r="V98" s="8" t="str">
        <f>IF(ISBLANK(U98)," ",IF(U98="np",SpecialScores!$C$3,IF(U98="dnf",SpecialScores!$C$4,MIN((500*LOG(1+99*U98/SpecialScores!$R$3))))))</f>
        <v xml:space="preserve"> </v>
      </c>
      <c r="W98" s="12" t="str">
        <f t="shared" si="52"/>
        <v/>
      </c>
      <c r="X98" s="38"/>
      <c r="Y98" s="8" t="str">
        <f>IF(ISBLANK(X98)," ",IF(X98="np",SpecialScores!$C$3,IF(X98="dnf",SpecialScores!$C$4,MIN( 1000+X98/SpecialScores!$U$3*0.0001,(500*LOG(1+99*X98/SpecialScores!$U$3))))))</f>
        <v xml:space="preserve"> </v>
      </c>
      <c r="Z98" s="12" t="str">
        <f t="shared" si="53"/>
        <v/>
      </c>
      <c r="AA98" s="38"/>
      <c r="AB98" s="8" t="str">
        <f>IF(ISBLANK(AA98)," ",IF(AA98="np",SpecialScores!$C$3,IF(AA98="dnf",SpecialScores!$C$4,      IF(AND(AA98&gt;=0,AA98&lt;SpecialScores!$X$12), (500*LOG(1+99*AA98/SpecialScores!$X$12*SpecialScores!$X$11/SpecialScores!$X$10)),                         MIN((500*LOG(1+99*SpecialScores!$X$11/AA98)))))))</f>
        <v xml:space="preserve"> </v>
      </c>
      <c r="AC98" s="12" t="str">
        <f t="shared" si="54"/>
        <v/>
      </c>
      <c r="AD98" s="38"/>
      <c r="AE98" s="8" t="str">
        <f>IF(ISBLANK(AD98)," ",IF(AD98="np",SpecialScores!$C$3,IF(AD98="dnf",SpecialScores!$C$4,MIN( 1000+AD98/SpecialScores!$AA$5*0.0001,(500*LOG(1+99*AD98/SpecialScores!$AA$5))))))</f>
        <v xml:space="preserve"> </v>
      </c>
      <c r="AF98" s="12" t="str">
        <f t="shared" si="55"/>
        <v/>
      </c>
      <c r="AG98" s="38"/>
      <c r="AH98" s="8" t="str">
        <f>IF(ISBLANK(AG98)," ",IF(AG98="np",SpecialScores!$C$3,IF(AG98="dnf",SpecialScores!$C$4,MIN(1000,(500*LOG(1+99*AG98/SpecialScores!$E$3))))))</f>
        <v xml:space="preserve"> </v>
      </c>
      <c r="AI98" s="12" t="str">
        <f t="shared" si="56"/>
        <v/>
      </c>
      <c r="AP98" s="49"/>
    </row>
    <row r="99" spans="1:42" x14ac:dyDescent="0.35">
      <c r="A99" s="42"/>
      <c r="E99" s="33" t="str">
        <f t="shared" si="57"/>
        <v xml:space="preserve"> </v>
      </c>
      <c r="F99" s="33" t="str">
        <f t="shared" si="58"/>
        <v xml:space="preserve"> </v>
      </c>
      <c r="G99" s="7" t="str">
        <f t="shared" si="59"/>
        <v xml:space="preserve"> </v>
      </c>
      <c r="H99" s="7" t="str">
        <f t="shared" si="60"/>
        <v xml:space="preserve"> </v>
      </c>
      <c r="I99" s="38"/>
      <c r="J99" s="8" t="str">
        <f>IF(ISBLANK(I99)," ",IF(I99="np",SpecialScores!$C$3,IF(I99="dnf",SpecialScores!$C$4,MIN( 1000+I99/SpecialScores!$E$3*0.0001,(500*LOG(1+99*I99/SpecialScores!$E$3))))))</f>
        <v xml:space="preserve"> </v>
      </c>
      <c r="K99" s="12" t="str">
        <f t="shared" si="48"/>
        <v/>
      </c>
      <c r="L99" s="38"/>
      <c r="M99" s="8" t="str">
        <f>IF(ISBLANK(L99)," ",IF(L99="np",SpecialScores!$C$3,IF(L99="dnf",SpecialScores!$C$4,MIN( 1000+L99/SpecialScores!$H$3*0.0001,(500*LOG(1+99*L99/SpecialScores!$H$3))))))</f>
        <v xml:space="preserve"> </v>
      </c>
      <c r="N99" s="12" t="str">
        <f t="shared" si="49"/>
        <v/>
      </c>
      <c r="O99" s="38"/>
      <c r="P99" s="8" t="str">
        <f>IF(ISBLANK(O99)," ",IF(O99="np",SpecialScores!$C$3,IF(O99="dnf",SpecialScores!$C$4,MIN(1000,(500*LOG(1+99*O99/SpecialScores!$K$3))))))</f>
        <v xml:space="preserve"> </v>
      </c>
      <c r="Q99" s="12" t="str">
        <f t="shared" si="50"/>
        <v/>
      </c>
      <c r="R99" s="38"/>
      <c r="S99" s="8" t="str">
        <f>IF(ISBLANK(R99)," ",IF(R99="np",SpecialScores!$C$3,IF(R99="dnf",SpecialScores!$C$4,      IF(AND(R99&gt;=0,R99&lt;SpecialScores!$O$12), (500*LOG(1+99*R99/SpecialScores!$O$12*SpecialScores!$O$11/SpecialScores!$O$10)),                         MIN((500*LOG(1+99*SpecialScores!$O$11/R99)))))))</f>
        <v xml:space="preserve"> </v>
      </c>
      <c r="T99" s="12" t="str">
        <f t="shared" si="51"/>
        <v/>
      </c>
      <c r="U99" s="38"/>
      <c r="V99" s="8" t="str">
        <f>IF(ISBLANK(U99)," ",IF(U99="np",SpecialScores!$C$3,IF(U99="dnf",SpecialScores!$C$4,MIN((500*LOG(1+99*U99/SpecialScores!$R$3))))))</f>
        <v xml:space="preserve"> </v>
      </c>
      <c r="W99" s="12" t="str">
        <f t="shared" si="52"/>
        <v/>
      </c>
      <c r="X99" s="38"/>
      <c r="Y99" s="8" t="str">
        <f>IF(ISBLANK(X99)," ",IF(X99="np",SpecialScores!$C$3,IF(X99="dnf",SpecialScores!$C$4,MIN( 1000+X99/SpecialScores!$U$3*0.0001,(500*LOG(1+99*X99/SpecialScores!$U$3))))))</f>
        <v xml:space="preserve"> </v>
      </c>
      <c r="Z99" s="12" t="str">
        <f t="shared" si="53"/>
        <v/>
      </c>
      <c r="AA99" s="38"/>
      <c r="AB99" s="8" t="str">
        <f>IF(ISBLANK(AA99)," ",IF(AA99="np",SpecialScores!$C$3,IF(AA99="dnf",SpecialScores!$C$4,      IF(AND(AA99&gt;=0,AA99&lt;SpecialScores!$X$12), (500*LOG(1+99*AA99/SpecialScores!$X$12*SpecialScores!$X$11/SpecialScores!$X$10)),                         MIN((500*LOG(1+99*SpecialScores!$X$11/AA99)))))))</f>
        <v xml:space="preserve"> </v>
      </c>
      <c r="AC99" s="12" t="str">
        <f t="shared" si="54"/>
        <v/>
      </c>
      <c r="AD99" s="38"/>
      <c r="AE99" s="8" t="str">
        <f>IF(ISBLANK(AD99)," ",IF(AD99="np",SpecialScores!$C$3,IF(AD99="dnf",SpecialScores!$C$4,MIN( 1000+AD99/SpecialScores!$AA$5*0.0001,(500*LOG(1+99*AD99/SpecialScores!$AA$5))))))</f>
        <v xml:space="preserve"> </v>
      </c>
      <c r="AF99" s="12" t="str">
        <f t="shared" si="55"/>
        <v/>
      </c>
      <c r="AG99" s="38"/>
      <c r="AH99" s="8" t="str">
        <f>IF(ISBLANK(AG99)," ",IF(AG99="np",SpecialScores!$C$3,IF(AG99="dnf",SpecialScores!$C$4,MIN(1000,(500*LOG(1+99*AG99/SpecialScores!$E$3))))))</f>
        <v xml:space="preserve"> </v>
      </c>
      <c r="AI99" s="12" t="str">
        <f t="shared" si="56"/>
        <v/>
      </c>
      <c r="AP99" s="49"/>
    </row>
    <row r="100" spans="1:42" x14ac:dyDescent="0.35">
      <c r="A100" s="42"/>
      <c r="E100" s="33" t="str">
        <f t="shared" si="57"/>
        <v xml:space="preserve"> </v>
      </c>
      <c r="F100" s="33" t="str">
        <f t="shared" si="58"/>
        <v xml:space="preserve"> </v>
      </c>
      <c r="G100" s="7" t="str">
        <f t="shared" si="59"/>
        <v xml:space="preserve"> </v>
      </c>
      <c r="H100" s="7" t="str">
        <f t="shared" si="60"/>
        <v xml:space="preserve"> </v>
      </c>
      <c r="I100" s="38"/>
      <c r="J100" s="8" t="str">
        <f>IF(ISBLANK(I100)," ",IF(I100="np",SpecialScores!$C$3,IF(I100="dnf",SpecialScores!$C$4,MIN( 1000+I100/SpecialScores!$E$3*0.0001,(500*LOG(1+99*I100/SpecialScores!$E$3))))))</f>
        <v xml:space="preserve"> </v>
      </c>
      <c r="K100" s="12" t="str">
        <f t="shared" si="48"/>
        <v/>
      </c>
      <c r="L100" s="38"/>
      <c r="M100" s="8" t="str">
        <f>IF(ISBLANK(L100)," ",IF(L100="np",SpecialScores!$C$3,IF(L100="dnf",SpecialScores!$C$4,MIN( 1000+L100/SpecialScores!$H$3*0.0001,(500*LOG(1+99*L100/SpecialScores!$H$3))))))</f>
        <v xml:space="preserve"> </v>
      </c>
      <c r="N100" s="12" t="str">
        <f t="shared" si="49"/>
        <v/>
      </c>
      <c r="O100" s="38"/>
      <c r="P100" s="8" t="str">
        <f>IF(ISBLANK(O100)," ",IF(O100="np",SpecialScores!$C$3,IF(O100="dnf",SpecialScores!$C$4,MIN(1000,(500*LOG(1+99*O100/SpecialScores!$K$3))))))</f>
        <v xml:space="preserve"> </v>
      </c>
      <c r="Q100" s="12" t="str">
        <f t="shared" si="50"/>
        <v/>
      </c>
      <c r="R100" s="38"/>
      <c r="S100" s="8" t="str">
        <f>IF(ISBLANK(R100)," ",IF(R100="np",SpecialScores!$C$3,IF(R100="dnf",SpecialScores!$C$4,      IF(AND(R100&gt;=0,R100&lt;SpecialScores!$O$12), (500*LOG(1+99*R100/SpecialScores!$O$12*SpecialScores!$O$11/SpecialScores!$O$10)),                         MIN((500*LOG(1+99*SpecialScores!$O$11/R100)))))))</f>
        <v xml:space="preserve"> </v>
      </c>
      <c r="T100" s="12" t="str">
        <f t="shared" si="51"/>
        <v/>
      </c>
      <c r="U100" s="38"/>
      <c r="V100" s="8" t="str">
        <f>IF(ISBLANK(U100)," ",IF(U100="np",SpecialScores!$C$3,IF(U100="dnf",SpecialScores!$C$4,MIN((500*LOG(1+99*U100/SpecialScores!$R$3))))))</f>
        <v xml:space="preserve"> </v>
      </c>
      <c r="W100" s="12" t="str">
        <f t="shared" si="52"/>
        <v/>
      </c>
      <c r="X100" s="38"/>
      <c r="Y100" s="8" t="str">
        <f>IF(ISBLANK(X100)," ",IF(X100="np",SpecialScores!$C$3,IF(X100="dnf",SpecialScores!$C$4,MIN( 1000+X100/SpecialScores!$U$3*0.0001,(500*LOG(1+99*X100/SpecialScores!$U$3))))))</f>
        <v xml:space="preserve"> </v>
      </c>
      <c r="Z100" s="12" t="str">
        <f t="shared" si="53"/>
        <v/>
      </c>
      <c r="AA100" s="38"/>
      <c r="AB100" s="8" t="str">
        <f>IF(ISBLANK(AA100)," ",IF(AA100="np",SpecialScores!$C$3,IF(AA100="dnf",SpecialScores!$C$4,      IF(AND(AA100&gt;=0,AA100&lt;SpecialScores!$X$12), (500*LOG(1+99*AA100/SpecialScores!$X$12*SpecialScores!$X$11/SpecialScores!$X$10)),                         MIN((500*LOG(1+99*SpecialScores!$X$11/AA100)))))))</f>
        <v xml:space="preserve"> </v>
      </c>
      <c r="AC100" s="12" t="str">
        <f t="shared" si="54"/>
        <v/>
      </c>
      <c r="AD100" s="38"/>
      <c r="AE100" s="8" t="str">
        <f>IF(ISBLANK(AD100)," ",IF(AD100="np",SpecialScores!$C$3,IF(AD100="dnf",SpecialScores!$C$4,MIN( 1000+AD100/SpecialScores!$AA$5*0.0001,(500*LOG(1+99*AD100/SpecialScores!$AA$5))))))</f>
        <v xml:space="preserve"> </v>
      </c>
      <c r="AF100" s="12" t="str">
        <f t="shared" si="55"/>
        <v/>
      </c>
      <c r="AG100" s="38"/>
      <c r="AH100" s="8" t="str">
        <f>IF(ISBLANK(AG100)," ",IF(AG100="np",SpecialScores!$C$3,IF(AG100="dnf",SpecialScores!$C$4,MIN(1000,(500*LOG(1+99*AG100/SpecialScores!$E$3))))))</f>
        <v xml:space="preserve"> </v>
      </c>
      <c r="AI100" s="12" t="str">
        <f t="shared" si="56"/>
        <v/>
      </c>
      <c r="AP100" s="49"/>
    </row>
    <row r="101" spans="1:42" x14ac:dyDescent="0.35">
      <c r="A101" s="42"/>
      <c r="E101" s="33" t="str">
        <f t="shared" si="57"/>
        <v xml:space="preserve"> </v>
      </c>
      <c r="F101" s="33" t="str">
        <f t="shared" si="58"/>
        <v xml:space="preserve"> </v>
      </c>
      <c r="G101" s="7" t="str">
        <f t="shared" si="59"/>
        <v xml:space="preserve"> </v>
      </c>
      <c r="H101" s="7" t="str">
        <f t="shared" si="60"/>
        <v xml:space="preserve"> </v>
      </c>
      <c r="I101" s="38"/>
      <c r="J101" s="8" t="str">
        <f>IF(ISBLANK(I101)," ",IF(I101="np",SpecialScores!$C$3,IF(I101="dnf",SpecialScores!$C$4,MIN( 1000+I101/SpecialScores!$E$3*0.0001,(500*LOG(1+99*I101/SpecialScores!$E$3))))))</f>
        <v xml:space="preserve"> </v>
      </c>
      <c r="K101" s="12" t="str">
        <f t="shared" si="48"/>
        <v/>
      </c>
      <c r="L101" s="38"/>
      <c r="M101" s="8" t="str">
        <f>IF(ISBLANK(L101)," ",IF(L101="np",SpecialScores!$C$3,IF(L101="dnf",SpecialScores!$C$4,MIN( 1000+L101/SpecialScores!$H$3*0.0001,(500*LOG(1+99*L101/SpecialScores!$H$3))))))</f>
        <v xml:space="preserve"> </v>
      </c>
      <c r="N101" s="12" t="str">
        <f t="shared" si="49"/>
        <v/>
      </c>
      <c r="O101" s="38"/>
      <c r="P101" s="8" t="str">
        <f>IF(ISBLANK(O101)," ",IF(O101="np",SpecialScores!$C$3,IF(O101="dnf",SpecialScores!$C$4,MIN(1000,(500*LOG(1+99*O101/SpecialScores!$K$3))))))</f>
        <v xml:space="preserve"> </v>
      </c>
      <c r="Q101" s="12" t="str">
        <f t="shared" si="50"/>
        <v/>
      </c>
      <c r="R101" s="38"/>
      <c r="S101" s="8" t="str">
        <f>IF(ISBLANK(R101)," ",IF(R101="np",SpecialScores!$C$3,IF(R101="dnf",SpecialScores!$C$4,      IF(AND(R101&gt;=0,R101&lt;SpecialScores!$O$12), (500*LOG(1+99*R101/SpecialScores!$O$12*SpecialScores!$O$11/SpecialScores!$O$10)),                         MIN((500*LOG(1+99*SpecialScores!$O$11/R101)))))))</f>
        <v xml:space="preserve"> </v>
      </c>
      <c r="T101" s="12" t="str">
        <f t="shared" si="51"/>
        <v/>
      </c>
      <c r="U101" s="38"/>
      <c r="V101" s="8" t="str">
        <f>IF(ISBLANK(U101)," ",IF(U101="np",SpecialScores!$C$3,IF(U101="dnf",SpecialScores!$C$4,MIN((500*LOG(1+99*U101/SpecialScores!$R$3))))))</f>
        <v xml:space="preserve"> </v>
      </c>
      <c r="W101" s="12" t="str">
        <f t="shared" si="52"/>
        <v/>
      </c>
      <c r="X101" s="38"/>
      <c r="Y101" s="8" t="str">
        <f>IF(ISBLANK(X101)," ",IF(X101="np",SpecialScores!$C$3,IF(X101="dnf",SpecialScores!$C$4,MIN( 1000+X101/SpecialScores!$U$3*0.0001,(500*LOG(1+99*X101/SpecialScores!$U$3))))))</f>
        <v xml:space="preserve"> </v>
      </c>
      <c r="Z101" s="12" t="str">
        <f t="shared" si="53"/>
        <v/>
      </c>
      <c r="AA101" s="38"/>
      <c r="AB101" s="8" t="str">
        <f>IF(ISBLANK(AA101)," ",IF(AA101="np",SpecialScores!$C$3,IF(AA101="dnf",SpecialScores!$C$4,      IF(AND(AA101&gt;=0,AA101&lt;SpecialScores!$X$12), (500*LOG(1+99*AA101/SpecialScores!$X$12*SpecialScores!$X$11/SpecialScores!$X$10)),                         MIN((500*LOG(1+99*SpecialScores!$X$11/AA101)))))))</f>
        <v xml:space="preserve"> </v>
      </c>
      <c r="AC101" s="12" t="str">
        <f t="shared" si="54"/>
        <v/>
      </c>
      <c r="AD101" s="38"/>
      <c r="AE101" s="8" t="str">
        <f>IF(ISBLANK(AD101)," ",IF(AD101="np",SpecialScores!$C$3,IF(AD101="dnf",SpecialScores!$C$4,MIN( 1000+AD101/SpecialScores!$AA$5*0.0001,(500*LOG(1+99*AD101/SpecialScores!$AA$5))))))</f>
        <v xml:space="preserve"> </v>
      </c>
      <c r="AF101" s="12" t="str">
        <f t="shared" si="55"/>
        <v/>
      </c>
      <c r="AG101" s="38"/>
      <c r="AH101" s="8" t="str">
        <f>IF(ISBLANK(AG101)," ",IF(AG101="np",SpecialScores!$C$3,IF(AG101="dnf",SpecialScores!$C$4,MIN(1000,(500*LOG(1+99*AG101/SpecialScores!$E$3))))))</f>
        <v xml:space="preserve"> </v>
      </c>
      <c r="AI101" s="12" t="str">
        <f t="shared" si="56"/>
        <v/>
      </c>
      <c r="AP101" s="49"/>
    </row>
    <row r="102" spans="1:42" x14ac:dyDescent="0.35">
      <c r="A102" s="42"/>
      <c r="E102" s="33" t="str">
        <f t="shared" si="57"/>
        <v xml:space="preserve"> </v>
      </c>
      <c r="F102" s="33" t="str">
        <f t="shared" si="58"/>
        <v xml:space="preserve"> </v>
      </c>
      <c r="G102" s="7" t="str">
        <f t="shared" si="59"/>
        <v xml:space="preserve"> </v>
      </c>
      <c r="H102" s="7" t="str">
        <f t="shared" si="60"/>
        <v xml:space="preserve"> </v>
      </c>
      <c r="I102" s="38"/>
      <c r="J102" s="8" t="str">
        <f>IF(ISBLANK(I102)," ",IF(I102="np",SpecialScores!$C$3,IF(I102="dnf",SpecialScores!$C$4,MIN( 1000+I102/SpecialScores!$E$3*0.0001,(500*LOG(1+99*I102/SpecialScores!$E$3))))))</f>
        <v xml:space="preserve"> </v>
      </c>
      <c r="K102" s="12" t="str">
        <f t="shared" si="48"/>
        <v/>
      </c>
      <c r="L102" s="38"/>
      <c r="M102" s="8" t="str">
        <f>IF(ISBLANK(L102)," ",IF(L102="np",SpecialScores!$C$3,IF(L102="dnf",SpecialScores!$C$4,MIN( 1000+L102/SpecialScores!$H$3*0.0001,(500*LOG(1+99*L102/SpecialScores!$H$3))))))</f>
        <v xml:space="preserve"> </v>
      </c>
      <c r="N102" s="12" t="str">
        <f t="shared" si="49"/>
        <v/>
      </c>
      <c r="O102" s="38"/>
      <c r="P102" s="8" t="str">
        <f>IF(ISBLANK(O102)," ",IF(O102="np",SpecialScores!$C$3,IF(O102="dnf",SpecialScores!$C$4,MIN(1000,(500*LOG(1+99*O102/SpecialScores!$K$3))))))</f>
        <v xml:space="preserve"> </v>
      </c>
      <c r="Q102" s="12" t="str">
        <f t="shared" si="50"/>
        <v/>
      </c>
      <c r="R102" s="38"/>
      <c r="S102" s="8" t="str">
        <f>IF(ISBLANK(R102)," ",IF(R102="np",SpecialScores!$C$3,IF(R102="dnf",SpecialScores!$C$4,      IF(AND(R102&gt;=0,R102&lt;SpecialScores!$O$12), (500*LOG(1+99*R102/SpecialScores!$O$12*SpecialScores!$O$11/SpecialScores!$O$10)),                         MIN((500*LOG(1+99*SpecialScores!$O$11/R102)))))))</f>
        <v xml:space="preserve"> </v>
      </c>
      <c r="T102" s="12" t="str">
        <f t="shared" si="51"/>
        <v/>
      </c>
      <c r="U102" s="38"/>
      <c r="V102" s="8" t="str">
        <f>IF(ISBLANK(U102)," ",IF(U102="np",SpecialScores!$C$3,IF(U102="dnf",SpecialScores!$C$4,MIN((500*LOG(1+99*U102/SpecialScores!$R$3))))))</f>
        <v xml:space="preserve"> </v>
      </c>
      <c r="W102" s="12" t="str">
        <f t="shared" si="52"/>
        <v/>
      </c>
      <c r="X102" s="38"/>
      <c r="Y102" s="8" t="str">
        <f>IF(ISBLANK(X102)," ",IF(X102="np",SpecialScores!$C$3,IF(X102="dnf",SpecialScores!$C$4,MIN( 1000+X102/SpecialScores!$U$3*0.0001,(500*LOG(1+99*X102/SpecialScores!$U$3))))))</f>
        <v xml:space="preserve"> </v>
      </c>
      <c r="Z102" s="12" t="str">
        <f t="shared" si="53"/>
        <v/>
      </c>
      <c r="AA102" s="38"/>
      <c r="AB102" s="8" t="str">
        <f>IF(ISBLANK(AA102)," ",IF(AA102="np",SpecialScores!$C$3,IF(AA102="dnf",SpecialScores!$C$4,      IF(AND(AA102&gt;=0,AA102&lt;SpecialScores!$X$12), (500*LOG(1+99*AA102/SpecialScores!$X$12*SpecialScores!$X$11/SpecialScores!$X$10)),                         MIN((500*LOG(1+99*SpecialScores!$X$11/AA102)))))))</f>
        <v xml:space="preserve"> </v>
      </c>
      <c r="AC102" s="12" t="str">
        <f t="shared" si="54"/>
        <v/>
      </c>
      <c r="AD102" s="38"/>
      <c r="AE102" s="8" t="str">
        <f>IF(ISBLANK(AD102)," ",IF(AD102="np",SpecialScores!$C$3,IF(AD102="dnf",SpecialScores!$C$4,MIN( 1000+AD102/SpecialScores!$AA$5*0.0001,(500*LOG(1+99*AD102/SpecialScores!$AA$5))))))</f>
        <v xml:space="preserve"> </v>
      </c>
      <c r="AF102" s="12" t="str">
        <f t="shared" si="55"/>
        <v/>
      </c>
      <c r="AG102" s="38"/>
      <c r="AH102" s="8" t="str">
        <f>IF(ISBLANK(AG102)," ",IF(AG102="np",SpecialScores!$C$3,IF(AG102="dnf",SpecialScores!$C$4,MIN(1000,(500*LOG(1+99*AG102/SpecialScores!$E$3))))))</f>
        <v xml:space="preserve"> </v>
      </c>
      <c r="AI102" s="12" t="str">
        <f t="shared" si="56"/>
        <v/>
      </c>
      <c r="AP102" s="49"/>
    </row>
    <row r="103" spans="1:42" x14ac:dyDescent="0.35">
      <c r="A103" s="42"/>
      <c r="E103" s="33" t="str">
        <f t="shared" si="57"/>
        <v xml:space="preserve"> </v>
      </c>
      <c r="F103" s="33" t="str">
        <f t="shared" si="58"/>
        <v xml:space="preserve"> </v>
      </c>
      <c r="G103" s="7" t="str">
        <f t="shared" si="59"/>
        <v xml:space="preserve"> </v>
      </c>
      <c r="H103" s="7" t="str">
        <f t="shared" si="60"/>
        <v xml:space="preserve"> </v>
      </c>
      <c r="I103" s="38"/>
      <c r="J103" s="8" t="str">
        <f>IF(ISBLANK(I103)," ",IF(I103="np",SpecialScores!$C$3,IF(I103="dnf",SpecialScores!$C$4,MIN( 1000+I103/SpecialScores!$E$3*0.0001,(500*LOG(1+99*I103/SpecialScores!$E$3))))))</f>
        <v xml:space="preserve"> </v>
      </c>
      <c r="K103" s="12" t="str">
        <f t="shared" si="48"/>
        <v/>
      </c>
      <c r="L103" s="38"/>
      <c r="M103" s="8" t="str">
        <f>IF(ISBLANK(L103)," ",IF(L103="np",SpecialScores!$C$3,IF(L103="dnf",SpecialScores!$C$4,MIN( 1000+L103/SpecialScores!$H$3*0.0001,(500*LOG(1+99*L103/SpecialScores!$H$3))))))</f>
        <v xml:space="preserve"> </v>
      </c>
      <c r="N103" s="12" t="str">
        <f t="shared" si="49"/>
        <v/>
      </c>
      <c r="O103" s="38"/>
      <c r="P103" s="8" t="str">
        <f>IF(ISBLANK(O103)," ",IF(O103="np",SpecialScores!$C$3,IF(O103="dnf",SpecialScores!$C$4,MIN(1000,(500*LOG(1+99*O103/SpecialScores!$K$3))))))</f>
        <v xml:space="preserve"> </v>
      </c>
      <c r="Q103" s="12" t="str">
        <f t="shared" si="50"/>
        <v/>
      </c>
      <c r="R103" s="38"/>
      <c r="S103" s="8" t="str">
        <f>IF(ISBLANK(R103)," ",IF(R103="np",SpecialScores!$C$3,IF(R103="dnf",SpecialScores!$C$4,      IF(AND(R103&gt;=0,R103&lt;SpecialScores!$O$12), (500*LOG(1+99*R103/SpecialScores!$O$12*SpecialScores!$O$11/SpecialScores!$O$10)),                         MIN((500*LOG(1+99*SpecialScores!$O$11/R103)))))))</f>
        <v xml:space="preserve"> </v>
      </c>
      <c r="T103" s="12" t="str">
        <f t="shared" si="51"/>
        <v/>
      </c>
      <c r="U103" s="38"/>
      <c r="V103" s="8" t="str">
        <f>IF(ISBLANK(U103)," ",IF(U103="np",SpecialScores!$C$3,IF(U103="dnf",SpecialScores!$C$4,MIN((500*LOG(1+99*U103/SpecialScores!$R$3))))))</f>
        <v xml:space="preserve"> </v>
      </c>
      <c r="W103" s="12" t="str">
        <f t="shared" si="52"/>
        <v/>
      </c>
      <c r="X103" s="38"/>
      <c r="Y103" s="8" t="str">
        <f>IF(ISBLANK(X103)," ",IF(X103="np",SpecialScores!$C$3,IF(X103="dnf",SpecialScores!$C$4,MIN( 1000+X103/SpecialScores!$U$3*0.0001,(500*LOG(1+99*X103/SpecialScores!$U$3))))))</f>
        <v xml:space="preserve"> </v>
      </c>
      <c r="Z103" s="12" t="str">
        <f t="shared" si="53"/>
        <v/>
      </c>
      <c r="AA103" s="38"/>
      <c r="AB103" s="8" t="str">
        <f>IF(ISBLANK(AA103)," ",IF(AA103="np",SpecialScores!$C$3,IF(AA103="dnf",SpecialScores!$C$4,      IF(AND(AA103&gt;=0,AA103&lt;SpecialScores!$X$12), (500*LOG(1+99*AA103/SpecialScores!$X$12*SpecialScores!$X$11/SpecialScores!$X$10)),                         MIN((500*LOG(1+99*SpecialScores!$X$11/AA103)))))))</f>
        <v xml:space="preserve"> </v>
      </c>
      <c r="AC103" s="12" t="str">
        <f t="shared" si="54"/>
        <v/>
      </c>
      <c r="AD103" s="38"/>
      <c r="AE103" s="8" t="str">
        <f>IF(ISBLANK(AD103)," ",IF(AD103="np",SpecialScores!$C$3,IF(AD103="dnf",SpecialScores!$C$4,MIN( 1000+AD103/SpecialScores!$AA$5*0.0001,(500*LOG(1+99*AD103/SpecialScores!$AA$5))))))</f>
        <v xml:space="preserve"> </v>
      </c>
      <c r="AF103" s="12" t="str">
        <f t="shared" si="55"/>
        <v/>
      </c>
      <c r="AG103" s="38"/>
      <c r="AH103" s="8" t="str">
        <f>IF(ISBLANK(AG103)," ",IF(AG103="np",SpecialScores!$C$3,IF(AG103="dnf",SpecialScores!$C$4,MIN(1000,(500*LOG(1+99*AG103/SpecialScores!$E$3))))))</f>
        <v xml:space="preserve"> </v>
      </c>
      <c r="AI103" s="12" t="str">
        <f t="shared" si="56"/>
        <v/>
      </c>
      <c r="AP103" s="49"/>
    </row>
    <row r="104" spans="1:42" x14ac:dyDescent="0.35">
      <c r="A104" s="42"/>
      <c r="E104" s="33" t="str">
        <f t="shared" si="57"/>
        <v xml:space="preserve"> </v>
      </c>
      <c r="F104" s="33" t="str">
        <f t="shared" si="58"/>
        <v xml:space="preserve"> </v>
      </c>
      <c r="G104" s="7" t="str">
        <f t="shared" si="59"/>
        <v xml:space="preserve"> </v>
      </c>
      <c r="H104" s="7" t="str">
        <f t="shared" si="60"/>
        <v xml:space="preserve"> </v>
      </c>
      <c r="I104" s="38"/>
      <c r="J104" s="8" t="str">
        <f>IF(ISBLANK(I104)," ",IF(I104="np",SpecialScores!$C$3,IF(I104="dnf",SpecialScores!$C$4,MIN( 1000+I104/SpecialScores!$E$3*0.0001,(500*LOG(1+99*I104/SpecialScores!$E$3))))))</f>
        <v xml:space="preserve"> </v>
      </c>
      <c r="K104" s="12" t="str">
        <f t="shared" si="48"/>
        <v/>
      </c>
      <c r="L104" s="38"/>
      <c r="M104" s="8" t="str">
        <f>IF(ISBLANK(L104)," ",IF(L104="np",SpecialScores!$C$3,IF(L104="dnf",SpecialScores!$C$4,MIN( 1000+L104/SpecialScores!$H$3*0.0001,(500*LOG(1+99*L104/SpecialScores!$H$3))))))</f>
        <v xml:space="preserve"> </v>
      </c>
      <c r="N104" s="12" t="str">
        <f t="shared" si="49"/>
        <v/>
      </c>
      <c r="O104" s="38"/>
      <c r="P104" s="8" t="str">
        <f>IF(ISBLANK(O104)," ",IF(O104="np",SpecialScores!$C$3,IF(O104="dnf",SpecialScores!$C$4,MIN(1000,(500*LOG(1+99*O104/SpecialScores!$K$3))))))</f>
        <v xml:space="preserve"> </v>
      </c>
      <c r="Q104" s="12" t="str">
        <f t="shared" si="50"/>
        <v/>
      </c>
      <c r="R104" s="38"/>
      <c r="S104" s="8" t="str">
        <f>IF(ISBLANK(R104)," ",IF(R104="np",SpecialScores!$C$3,IF(R104="dnf",SpecialScores!$C$4,      IF(AND(R104&gt;=0,R104&lt;SpecialScores!$O$12), (500*LOG(1+99*R104/SpecialScores!$O$12*SpecialScores!$O$11/SpecialScores!$O$10)),                         MIN((500*LOG(1+99*SpecialScores!$O$11/R104)))))))</f>
        <v xml:space="preserve"> </v>
      </c>
      <c r="T104" s="12" t="str">
        <f t="shared" si="51"/>
        <v/>
      </c>
      <c r="U104" s="38"/>
      <c r="V104" s="8" t="str">
        <f>IF(ISBLANK(U104)," ",IF(U104="np",SpecialScores!$C$3,IF(U104="dnf",SpecialScores!$C$4,MIN((500*LOG(1+99*U104/SpecialScores!$R$3))))))</f>
        <v xml:space="preserve"> </v>
      </c>
      <c r="W104" s="12" t="str">
        <f t="shared" si="52"/>
        <v/>
      </c>
      <c r="X104" s="38"/>
      <c r="Y104" s="8" t="str">
        <f>IF(ISBLANK(X104)," ",IF(X104="np",SpecialScores!$C$3,IF(X104="dnf",SpecialScores!$C$4,MIN( 1000+X104/SpecialScores!$U$3*0.0001,(500*LOG(1+99*X104/SpecialScores!$U$3))))))</f>
        <v xml:space="preserve"> </v>
      </c>
      <c r="Z104" s="12" t="str">
        <f t="shared" si="53"/>
        <v/>
      </c>
      <c r="AA104" s="38"/>
      <c r="AB104" s="8" t="str">
        <f>IF(ISBLANK(AA104)," ",IF(AA104="np",SpecialScores!$C$3,IF(AA104="dnf",SpecialScores!$C$4,      IF(AND(AA104&gt;=0,AA104&lt;SpecialScores!$X$12), (500*LOG(1+99*AA104/SpecialScores!$X$12*SpecialScores!$X$11/SpecialScores!$X$10)),                         MIN((500*LOG(1+99*SpecialScores!$X$11/AA104)))))))</f>
        <v xml:space="preserve"> </v>
      </c>
      <c r="AC104" s="12" t="str">
        <f t="shared" si="54"/>
        <v/>
      </c>
      <c r="AD104" s="38"/>
      <c r="AE104" s="8" t="str">
        <f>IF(ISBLANK(AD104)," ",IF(AD104="np",SpecialScores!$C$3,IF(AD104="dnf",SpecialScores!$C$4,MIN( 1000+AD104/SpecialScores!$AA$5*0.0001,(500*LOG(1+99*AD104/SpecialScores!$AA$5))))))</f>
        <v xml:space="preserve"> </v>
      </c>
      <c r="AF104" s="12" t="str">
        <f t="shared" si="55"/>
        <v/>
      </c>
      <c r="AG104" s="38"/>
      <c r="AH104" s="8" t="str">
        <f>IF(ISBLANK(AG104)," ",IF(AG104="np",SpecialScores!$C$3,IF(AG104="dnf",SpecialScores!$C$4,MIN(1000,(500*LOG(1+99*AG104/SpecialScores!$E$3))))))</f>
        <v xml:space="preserve"> </v>
      </c>
      <c r="AI104" s="12" t="str">
        <f t="shared" si="56"/>
        <v/>
      </c>
      <c r="AP104" s="49"/>
    </row>
    <row r="105" spans="1:42" x14ac:dyDescent="0.35">
      <c r="A105" s="42"/>
      <c r="E105" s="33" t="str">
        <f t="shared" si="57"/>
        <v xml:space="preserve"> </v>
      </c>
      <c r="F105" s="33" t="str">
        <f t="shared" si="58"/>
        <v xml:space="preserve"> </v>
      </c>
      <c r="G105" s="7" t="str">
        <f t="shared" si="59"/>
        <v xml:space="preserve"> </v>
      </c>
      <c r="H105" s="7" t="str">
        <f t="shared" si="60"/>
        <v xml:space="preserve"> </v>
      </c>
      <c r="I105" s="38"/>
      <c r="J105" s="8" t="str">
        <f>IF(ISBLANK(I105)," ",IF(I105="np",SpecialScores!$C$3,IF(I105="dnf",SpecialScores!$C$4,MIN( 1000+I105/SpecialScores!$E$3*0.0001,(500*LOG(1+99*I105/SpecialScores!$E$3))))))</f>
        <v xml:space="preserve"> </v>
      </c>
      <c r="K105" s="12" t="str">
        <f t="shared" si="48"/>
        <v/>
      </c>
      <c r="L105" s="38"/>
      <c r="M105" s="8" t="str">
        <f>IF(ISBLANK(L105)," ",IF(L105="np",SpecialScores!$C$3,IF(L105="dnf",SpecialScores!$C$4,MIN( 1000+L105/SpecialScores!$H$3*0.0001,(500*LOG(1+99*L105/SpecialScores!$H$3))))))</f>
        <v xml:space="preserve"> </v>
      </c>
      <c r="N105" s="12" t="str">
        <f t="shared" si="49"/>
        <v/>
      </c>
      <c r="O105" s="38"/>
      <c r="P105" s="8" t="str">
        <f>IF(ISBLANK(O105)," ",IF(O105="np",SpecialScores!$C$3,IF(O105="dnf",SpecialScores!$C$4,MIN(1000,(500*LOG(1+99*O105/SpecialScores!$K$3))))))</f>
        <v xml:space="preserve"> </v>
      </c>
      <c r="Q105" s="12" t="str">
        <f t="shared" si="50"/>
        <v/>
      </c>
      <c r="R105" s="38"/>
      <c r="S105" s="8" t="str">
        <f>IF(ISBLANK(R105)," ",IF(R105="np",SpecialScores!$C$3,IF(R105="dnf",SpecialScores!$C$4,      IF(AND(R105&gt;=0,R105&lt;SpecialScores!$O$12), (500*LOG(1+99*R105/SpecialScores!$O$12*SpecialScores!$O$11/SpecialScores!$O$10)),                         MIN((500*LOG(1+99*SpecialScores!$O$11/R105)))))))</f>
        <v xml:space="preserve"> </v>
      </c>
      <c r="T105" s="12" t="str">
        <f t="shared" si="51"/>
        <v/>
      </c>
      <c r="U105" s="38"/>
      <c r="V105" s="8" t="str">
        <f>IF(ISBLANK(U105)," ",IF(U105="np",SpecialScores!$C$3,IF(U105="dnf",SpecialScores!$C$4,MIN((500*LOG(1+99*U105/SpecialScores!$R$3))))))</f>
        <v xml:space="preserve"> </v>
      </c>
      <c r="W105" s="12" t="str">
        <f t="shared" si="52"/>
        <v/>
      </c>
      <c r="X105" s="38"/>
      <c r="Y105" s="8" t="str">
        <f>IF(ISBLANK(X105)," ",IF(X105="np",SpecialScores!$C$3,IF(X105="dnf",SpecialScores!$C$4,MIN( 1000+X105/SpecialScores!$U$3*0.0001,(500*LOG(1+99*X105/SpecialScores!$U$3))))))</f>
        <v xml:space="preserve"> </v>
      </c>
      <c r="Z105" s="12" t="str">
        <f t="shared" si="53"/>
        <v/>
      </c>
      <c r="AA105" s="38"/>
      <c r="AB105" s="8" t="str">
        <f>IF(ISBLANK(AA105)," ",IF(AA105="np",SpecialScores!$C$3,IF(AA105="dnf",SpecialScores!$C$4,      IF(AND(AA105&gt;=0,AA105&lt;SpecialScores!$X$12), (500*LOG(1+99*AA105/SpecialScores!$X$12*SpecialScores!$X$11/SpecialScores!$X$10)),                         MIN((500*LOG(1+99*SpecialScores!$X$11/AA105)))))))</f>
        <v xml:space="preserve"> </v>
      </c>
      <c r="AC105" s="12" t="str">
        <f t="shared" si="54"/>
        <v/>
      </c>
      <c r="AD105" s="38"/>
      <c r="AE105" s="8" t="str">
        <f>IF(ISBLANK(AD105)," ",IF(AD105="np",SpecialScores!$C$3,IF(AD105="dnf",SpecialScores!$C$4,MIN( 1000+AD105/SpecialScores!$AA$5*0.0001,(500*LOG(1+99*AD105/SpecialScores!$AA$5))))))</f>
        <v xml:space="preserve"> </v>
      </c>
      <c r="AF105" s="12" t="str">
        <f t="shared" si="55"/>
        <v/>
      </c>
      <c r="AG105" s="38"/>
      <c r="AH105" s="8" t="str">
        <f>IF(ISBLANK(AG105)," ",IF(AG105="np",SpecialScores!$C$3,IF(AG105="dnf",SpecialScores!$C$4,MIN(1000,(500*LOG(1+99*AG105/SpecialScores!$E$3))))))</f>
        <v xml:space="preserve"> </v>
      </c>
      <c r="AI105" s="12" t="str">
        <f t="shared" si="56"/>
        <v/>
      </c>
      <c r="AP105" s="49"/>
    </row>
    <row r="106" spans="1:42" x14ac:dyDescent="0.35">
      <c r="A106" s="42"/>
      <c r="E106" s="33" t="str">
        <f t="shared" si="57"/>
        <v xml:space="preserve"> </v>
      </c>
      <c r="F106" s="33" t="str">
        <f t="shared" si="58"/>
        <v xml:space="preserve"> </v>
      </c>
      <c r="G106" s="7" t="str">
        <f t="shared" si="59"/>
        <v xml:space="preserve"> </v>
      </c>
      <c r="H106" s="7" t="str">
        <f t="shared" si="60"/>
        <v xml:space="preserve"> </v>
      </c>
      <c r="I106" s="38"/>
      <c r="J106" s="8" t="str">
        <f>IF(ISBLANK(I106)," ",IF(I106="np",SpecialScores!$C$3,IF(I106="dnf",SpecialScores!$C$4,MIN( 1000+I106/SpecialScores!$E$3*0.0001,(500*LOG(1+99*I106/SpecialScores!$E$3))))))</f>
        <v xml:space="preserve"> </v>
      </c>
      <c r="K106" s="12" t="str">
        <f t="shared" si="48"/>
        <v/>
      </c>
      <c r="L106" s="38"/>
      <c r="M106" s="8" t="str">
        <f>IF(ISBLANK(L106)," ",IF(L106="np",SpecialScores!$C$3,IF(L106="dnf",SpecialScores!$C$4,MIN( 1000+L106/SpecialScores!$H$3*0.0001,(500*LOG(1+99*L106/SpecialScores!$H$3))))))</f>
        <v xml:space="preserve"> </v>
      </c>
      <c r="N106" s="12" t="str">
        <f t="shared" si="49"/>
        <v/>
      </c>
      <c r="O106" s="38"/>
      <c r="P106" s="8" t="str">
        <f>IF(ISBLANK(O106)," ",IF(O106="np",SpecialScores!$C$3,IF(O106="dnf",SpecialScores!$C$4,MIN(1000,(500*LOG(1+99*O106/SpecialScores!$K$3))))))</f>
        <v xml:space="preserve"> </v>
      </c>
      <c r="Q106" s="12" t="str">
        <f t="shared" si="50"/>
        <v/>
      </c>
      <c r="R106" s="38"/>
      <c r="S106" s="8" t="str">
        <f>IF(ISBLANK(R106)," ",IF(R106="np",SpecialScores!$C$3,IF(R106="dnf",SpecialScores!$C$4,      IF(AND(R106&gt;=0,R106&lt;SpecialScores!$O$12), (500*LOG(1+99*R106/SpecialScores!$O$12*SpecialScores!$O$11/SpecialScores!$O$10)),                         MIN((500*LOG(1+99*SpecialScores!$O$11/R106)))))))</f>
        <v xml:space="preserve"> </v>
      </c>
      <c r="T106" s="12" t="str">
        <f t="shared" si="51"/>
        <v/>
      </c>
      <c r="U106" s="38"/>
      <c r="V106" s="8" t="str">
        <f>IF(ISBLANK(U106)," ",IF(U106="np",SpecialScores!$C$3,IF(U106="dnf",SpecialScores!$C$4,MIN((500*LOG(1+99*U106/SpecialScores!$R$3))))))</f>
        <v xml:space="preserve"> </v>
      </c>
      <c r="W106" s="12" t="str">
        <f t="shared" si="52"/>
        <v/>
      </c>
      <c r="X106" s="38"/>
      <c r="Y106" s="8" t="str">
        <f>IF(ISBLANK(X106)," ",IF(X106="np",SpecialScores!$C$3,IF(X106="dnf",SpecialScores!$C$4,MIN( 1000+X106/SpecialScores!$U$3*0.0001,(500*LOG(1+99*X106/SpecialScores!$U$3))))))</f>
        <v xml:space="preserve"> </v>
      </c>
      <c r="Z106" s="12" t="str">
        <f t="shared" si="53"/>
        <v/>
      </c>
      <c r="AA106" s="38"/>
      <c r="AB106" s="8" t="str">
        <f>IF(ISBLANK(AA106)," ",IF(AA106="np",SpecialScores!$C$3,IF(AA106="dnf",SpecialScores!$C$4,      IF(AND(AA106&gt;=0,AA106&lt;SpecialScores!$X$12), (500*LOG(1+99*AA106/SpecialScores!$X$12*SpecialScores!$X$11/SpecialScores!$X$10)),                         MIN((500*LOG(1+99*SpecialScores!$X$11/AA106)))))))</f>
        <v xml:space="preserve"> </v>
      </c>
      <c r="AC106" s="12" t="str">
        <f t="shared" si="54"/>
        <v/>
      </c>
      <c r="AD106" s="38"/>
      <c r="AE106" s="8" t="str">
        <f>IF(ISBLANK(AD106)," ",IF(AD106="np",SpecialScores!$C$3,IF(AD106="dnf",SpecialScores!$C$4,MIN( 1000+AD106/SpecialScores!$AA$5*0.0001,(500*LOG(1+99*AD106/SpecialScores!$AA$5))))))</f>
        <v xml:space="preserve"> </v>
      </c>
      <c r="AF106" s="12" t="str">
        <f t="shared" si="55"/>
        <v/>
      </c>
      <c r="AG106" s="38"/>
      <c r="AH106" s="8" t="str">
        <f>IF(ISBLANK(AG106)," ",IF(AG106="np",SpecialScores!$C$3,IF(AG106="dnf",SpecialScores!$C$4,MIN(1000,(500*LOG(1+99*AG106/SpecialScores!$E$3))))))</f>
        <v xml:space="preserve"> </v>
      </c>
      <c r="AI106" s="12" t="str">
        <f t="shared" si="56"/>
        <v/>
      </c>
      <c r="AP106" s="49"/>
    </row>
    <row r="107" spans="1:42" x14ac:dyDescent="0.35">
      <c r="A107" s="42"/>
      <c r="E107" s="33" t="str">
        <f t="shared" si="57"/>
        <v xml:space="preserve"> </v>
      </c>
      <c r="F107" s="33" t="str">
        <f t="shared" si="58"/>
        <v xml:space="preserve"> </v>
      </c>
      <c r="G107" s="7" t="str">
        <f t="shared" si="59"/>
        <v xml:space="preserve"> </v>
      </c>
      <c r="H107" s="7" t="str">
        <f t="shared" si="60"/>
        <v xml:space="preserve"> </v>
      </c>
      <c r="I107" s="38"/>
      <c r="J107" s="8" t="str">
        <f>IF(ISBLANK(I107)," ",IF(I107="np",SpecialScores!$C$3,IF(I107="dnf",SpecialScores!$C$4,MIN( 1000+I107/SpecialScores!$E$3*0.0001,(500*LOG(1+99*I107/SpecialScores!$E$3))))))</f>
        <v xml:space="preserve"> </v>
      </c>
      <c r="K107" s="12" t="str">
        <f t="shared" si="48"/>
        <v/>
      </c>
      <c r="L107" s="38"/>
      <c r="M107" s="8" t="str">
        <f>IF(ISBLANK(L107)," ",IF(L107="np",SpecialScores!$C$3,IF(L107="dnf",SpecialScores!$C$4,MIN( 1000+L107/SpecialScores!$H$3*0.0001,(500*LOG(1+99*L107/SpecialScores!$H$3))))))</f>
        <v xml:space="preserve"> </v>
      </c>
      <c r="N107" s="12" t="str">
        <f t="shared" si="49"/>
        <v/>
      </c>
      <c r="O107" s="38"/>
      <c r="P107" s="8" t="str">
        <f>IF(ISBLANK(O107)," ",IF(O107="np",SpecialScores!$C$3,IF(O107="dnf",SpecialScores!$C$4,MIN(1000,(500*LOG(1+99*O107/SpecialScores!$K$3))))))</f>
        <v xml:space="preserve"> </v>
      </c>
      <c r="Q107" s="12" t="str">
        <f t="shared" si="50"/>
        <v/>
      </c>
      <c r="R107" s="38"/>
      <c r="S107" s="8" t="str">
        <f>IF(ISBLANK(R107)," ",IF(R107="np",SpecialScores!$C$3,IF(R107="dnf",SpecialScores!$C$4,      IF(AND(R107&gt;=0,R107&lt;SpecialScores!$O$12), (500*LOG(1+99*R107/SpecialScores!$O$12*SpecialScores!$O$11/SpecialScores!$O$10)),                         MIN((500*LOG(1+99*SpecialScores!$O$11/R107)))))))</f>
        <v xml:space="preserve"> </v>
      </c>
      <c r="T107" s="12" t="str">
        <f t="shared" si="51"/>
        <v/>
      </c>
      <c r="U107" s="38"/>
      <c r="V107" s="8" t="str">
        <f>IF(ISBLANK(U107)," ",IF(U107="np",SpecialScores!$C$3,IF(U107="dnf",SpecialScores!$C$4,MIN((500*LOG(1+99*U107/SpecialScores!$R$3))))))</f>
        <v xml:space="preserve"> </v>
      </c>
      <c r="W107" s="12" t="str">
        <f t="shared" si="52"/>
        <v/>
      </c>
      <c r="X107" s="38"/>
      <c r="Y107" s="8" t="str">
        <f>IF(ISBLANK(X107)," ",IF(X107="np",SpecialScores!$C$3,IF(X107="dnf",SpecialScores!$C$4,MIN( 1000+X107/SpecialScores!$U$3*0.0001,(500*LOG(1+99*X107/SpecialScores!$U$3))))))</f>
        <v xml:space="preserve"> </v>
      </c>
      <c r="Z107" s="12" t="str">
        <f t="shared" si="53"/>
        <v/>
      </c>
      <c r="AA107" s="38"/>
      <c r="AB107" s="8" t="str">
        <f>IF(ISBLANK(AA107)," ",IF(AA107="np",SpecialScores!$C$3,IF(AA107="dnf",SpecialScores!$C$4,      IF(AND(AA107&gt;=0,AA107&lt;SpecialScores!$X$12), (500*LOG(1+99*AA107/SpecialScores!$X$12*SpecialScores!$X$11/SpecialScores!$X$10)),                         MIN((500*LOG(1+99*SpecialScores!$X$11/AA107)))))))</f>
        <v xml:space="preserve"> </v>
      </c>
      <c r="AC107" s="12" t="str">
        <f t="shared" si="54"/>
        <v/>
      </c>
      <c r="AD107" s="38"/>
      <c r="AE107" s="8" t="str">
        <f>IF(ISBLANK(AD107)," ",IF(AD107="np",SpecialScores!$C$3,IF(AD107="dnf",SpecialScores!$C$4,MIN( 1000+AD107/SpecialScores!$AA$5*0.0001,(500*LOG(1+99*AD107/SpecialScores!$AA$5))))))</f>
        <v xml:space="preserve"> </v>
      </c>
      <c r="AF107" s="12" t="str">
        <f t="shared" si="55"/>
        <v/>
      </c>
      <c r="AG107" s="38"/>
      <c r="AH107" s="8" t="str">
        <f>IF(ISBLANK(AG107)," ",IF(AG107="np",SpecialScores!$C$3,IF(AG107="dnf",SpecialScores!$C$4,MIN(1000,(500*LOG(1+99*AG107/SpecialScores!$E$3))))))</f>
        <v xml:space="preserve"> </v>
      </c>
      <c r="AI107" s="12" t="str">
        <f t="shared" si="56"/>
        <v/>
      </c>
      <c r="AP107" s="49"/>
    </row>
    <row r="108" spans="1:42" x14ac:dyDescent="0.35">
      <c r="A108" s="42"/>
      <c r="E108" s="33" t="str">
        <f t="shared" si="57"/>
        <v xml:space="preserve"> </v>
      </c>
      <c r="F108" s="33" t="str">
        <f t="shared" si="58"/>
        <v xml:space="preserve"> </v>
      </c>
      <c r="G108" s="7" t="str">
        <f t="shared" si="59"/>
        <v xml:space="preserve"> </v>
      </c>
      <c r="H108" s="7" t="str">
        <f t="shared" si="60"/>
        <v xml:space="preserve"> </v>
      </c>
      <c r="I108" s="38"/>
      <c r="J108" s="8" t="str">
        <f>IF(ISBLANK(I108)," ",IF(I108="np",SpecialScores!$C$3,IF(I108="dnf",SpecialScores!$C$4,MIN( 1000+I108/SpecialScores!$E$3*0.0001,(500*LOG(1+99*I108/SpecialScores!$E$3))))))</f>
        <v xml:space="preserve"> </v>
      </c>
      <c r="K108" s="12" t="str">
        <f t="shared" si="48"/>
        <v/>
      </c>
      <c r="L108" s="38"/>
      <c r="M108" s="8" t="str">
        <f>IF(ISBLANK(L108)," ",IF(L108="np",SpecialScores!$C$3,IF(L108="dnf",SpecialScores!$C$4,MIN( 1000+L108/SpecialScores!$H$3*0.0001,(500*LOG(1+99*L108/SpecialScores!$H$3))))))</f>
        <v xml:space="preserve"> </v>
      </c>
      <c r="N108" s="12" t="str">
        <f t="shared" si="49"/>
        <v/>
      </c>
      <c r="O108" s="38"/>
      <c r="P108" s="8" t="str">
        <f>IF(ISBLANK(O108)," ",IF(O108="np",SpecialScores!$C$3,IF(O108="dnf",SpecialScores!$C$4,MIN(1000,(500*LOG(1+99*O108/SpecialScores!$K$3))))))</f>
        <v xml:space="preserve"> </v>
      </c>
      <c r="Q108" s="12" t="str">
        <f t="shared" si="50"/>
        <v/>
      </c>
      <c r="R108" s="38"/>
      <c r="S108" s="8" t="str">
        <f>IF(ISBLANK(R108)," ",IF(R108="np",SpecialScores!$C$3,IF(R108="dnf",SpecialScores!$C$4,      IF(AND(R108&gt;=0,R108&lt;SpecialScores!$O$12), (500*LOG(1+99*R108/SpecialScores!$O$12*SpecialScores!$O$11/SpecialScores!$O$10)),                         MIN((500*LOG(1+99*SpecialScores!$O$11/R108)))))))</f>
        <v xml:space="preserve"> </v>
      </c>
      <c r="T108" s="12" t="str">
        <f t="shared" si="51"/>
        <v/>
      </c>
      <c r="U108" s="38"/>
      <c r="V108" s="8" t="str">
        <f>IF(ISBLANK(U108)," ",IF(U108="np",SpecialScores!$C$3,IF(U108="dnf",SpecialScores!$C$4,MIN((500*LOG(1+99*U108/SpecialScores!$R$3))))))</f>
        <v xml:space="preserve"> </v>
      </c>
      <c r="W108" s="12" t="str">
        <f t="shared" si="52"/>
        <v/>
      </c>
      <c r="X108" s="38"/>
      <c r="Y108" s="8" t="str">
        <f>IF(ISBLANK(X108)," ",IF(X108="np",SpecialScores!$C$3,IF(X108="dnf",SpecialScores!$C$4,MIN( 1000+X108/SpecialScores!$U$3*0.0001,(500*LOG(1+99*X108/SpecialScores!$U$3))))))</f>
        <v xml:space="preserve"> </v>
      </c>
      <c r="Z108" s="12" t="str">
        <f t="shared" si="53"/>
        <v/>
      </c>
      <c r="AA108" s="38"/>
      <c r="AB108" s="8" t="str">
        <f>IF(ISBLANK(AA108)," ",IF(AA108="np",SpecialScores!$C$3,IF(AA108="dnf",SpecialScores!$C$4,      IF(AND(AA108&gt;=0,AA108&lt;SpecialScores!$X$12), (500*LOG(1+99*AA108/SpecialScores!$X$12*SpecialScores!$X$11/SpecialScores!$X$10)),                         MIN((500*LOG(1+99*SpecialScores!$X$11/AA108)))))))</f>
        <v xml:space="preserve"> </v>
      </c>
      <c r="AC108" s="12" t="str">
        <f t="shared" si="54"/>
        <v/>
      </c>
      <c r="AD108" s="38"/>
      <c r="AE108" s="8" t="str">
        <f>IF(ISBLANK(AD108)," ",IF(AD108="np",SpecialScores!$C$3,IF(AD108="dnf",SpecialScores!$C$4,MIN( 1000+AD108/SpecialScores!$AA$5*0.0001,(500*LOG(1+99*AD108/SpecialScores!$AA$5))))))</f>
        <v xml:space="preserve"> </v>
      </c>
      <c r="AF108" s="12" t="str">
        <f t="shared" si="55"/>
        <v/>
      </c>
      <c r="AG108" s="38"/>
      <c r="AH108" s="8" t="str">
        <f>IF(ISBLANK(AG108)," ",IF(AG108="np",SpecialScores!$C$3,IF(AG108="dnf",SpecialScores!$C$4,MIN(1000,(500*LOG(1+99*AG108/SpecialScores!$E$3))))))</f>
        <v xml:space="preserve"> </v>
      </c>
      <c r="AI108" s="12" t="str">
        <f t="shared" si="56"/>
        <v/>
      </c>
      <c r="AP108" s="49"/>
    </row>
    <row r="109" spans="1:42" x14ac:dyDescent="0.35">
      <c r="A109" s="42"/>
      <c r="E109" s="33" t="str">
        <f t="shared" si="57"/>
        <v xml:space="preserve"> </v>
      </c>
      <c r="F109" s="33" t="str">
        <f t="shared" si="58"/>
        <v xml:space="preserve"> </v>
      </c>
      <c r="G109" s="7" t="str">
        <f t="shared" si="59"/>
        <v xml:space="preserve"> </v>
      </c>
      <c r="H109" s="7" t="str">
        <f t="shared" si="60"/>
        <v xml:space="preserve"> </v>
      </c>
      <c r="I109" s="38"/>
      <c r="J109" s="8" t="str">
        <f>IF(ISBLANK(I109)," ",IF(I109="np",SpecialScores!$C$3,IF(I109="dnf",SpecialScores!$C$4,MIN( 1000+I109/SpecialScores!$E$3*0.0001,(500*LOG(1+99*I109/SpecialScores!$E$3))))))</f>
        <v xml:space="preserve"> </v>
      </c>
      <c r="K109" s="12" t="str">
        <f t="shared" si="48"/>
        <v/>
      </c>
      <c r="L109" s="38"/>
      <c r="M109" s="8" t="str">
        <f>IF(ISBLANK(L109)," ",IF(L109="np",SpecialScores!$C$3,IF(L109="dnf",SpecialScores!$C$4,MIN( 1000+L109/SpecialScores!$H$3*0.0001,(500*LOG(1+99*L109/SpecialScores!$H$3))))))</f>
        <v xml:space="preserve"> </v>
      </c>
      <c r="N109" s="12" t="str">
        <f t="shared" si="49"/>
        <v/>
      </c>
      <c r="O109" s="38"/>
      <c r="P109" s="8" t="str">
        <f>IF(ISBLANK(O109)," ",IF(O109="np",SpecialScores!$C$3,IF(O109="dnf",SpecialScores!$C$4,MIN(1000,(500*LOG(1+99*O109/SpecialScores!$K$3))))))</f>
        <v xml:space="preserve"> </v>
      </c>
      <c r="Q109" s="12" t="str">
        <f t="shared" si="50"/>
        <v/>
      </c>
      <c r="R109" s="38"/>
      <c r="S109" s="8" t="str">
        <f>IF(ISBLANK(R109)," ",IF(R109="np",SpecialScores!$C$3,IF(R109="dnf",SpecialScores!$C$4,      IF(AND(R109&gt;=0,R109&lt;SpecialScores!$O$12), (500*LOG(1+99*R109/SpecialScores!$O$12*SpecialScores!$O$11/SpecialScores!$O$10)),                         MIN((500*LOG(1+99*SpecialScores!$O$11/R109)))))))</f>
        <v xml:space="preserve"> </v>
      </c>
      <c r="T109" s="12" t="str">
        <f t="shared" si="51"/>
        <v/>
      </c>
      <c r="U109" s="38"/>
      <c r="V109" s="8" t="str">
        <f>IF(ISBLANK(U109)," ",IF(U109="np",SpecialScores!$C$3,IF(U109="dnf",SpecialScores!$C$4,MIN((500*LOG(1+99*U109/SpecialScores!$R$3))))))</f>
        <v xml:space="preserve"> </v>
      </c>
      <c r="W109" s="12" t="str">
        <f t="shared" si="52"/>
        <v/>
      </c>
      <c r="X109" s="38"/>
      <c r="Y109" s="8" t="str">
        <f>IF(ISBLANK(X109)," ",IF(X109="np",SpecialScores!$C$3,IF(X109="dnf",SpecialScores!$C$4,MIN( 1000+X109/SpecialScores!$U$3*0.0001,(500*LOG(1+99*X109/SpecialScores!$U$3))))))</f>
        <v xml:space="preserve"> </v>
      </c>
      <c r="Z109" s="12" t="str">
        <f t="shared" si="53"/>
        <v/>
      </c>
      <c r="AA109" s="38"/>
      <c r="AB109" s="8" t="str">
        <f>IF(ISBLANK(AA109)," ",IF(AA109="np",SpecialScores!$C$3,IF(AA109="dnf",SpecialScores!$C$4,      IF(AND(AA109&gt;=0,AA109&lt;SpecialScores!$X$12), (500*LOG(1+99*AA109/SpecialScores!$X$12*SpecialScores!$X$11/SpecialScores!$X$10)),                         MIN((500*LOG(1+99*SpecialScores!$X$11/AA109)))))))</f>
        <v xml:space="preserve"> </v>
      </c>
      <c r="AC109" s="12" t="str">
        <f t="shared" si="54"/>
        <v/>
      </c>
      <c r="AD109" s="38"/>
      <c r="AE109" s="8" t="str">
        <f>IF(ISBLANK(AD109)," ",IF(AD109="np",SpecialScores!$C$3,IF(AD109="dnf",SpecialScores!$C$4,MIN( 1000+AD109/SpecialScores!$AA$5*0.0001,(500*LOG(1+99*AD109/SpecialScores!$AA$5))))))</f>
        <v xml:space="preserve"> </v>
      </c>
      <c r="AF109" s="12" t="str">
        <f t="shared" si="55"/>
        <v/>
      </c>
      <c r="AG109" s="38"/>
      <c r="AH109" s="8" t="str">
        <f>IF(ISBLANK(AG109)," ",IF(AG109="np",SpecialScores!$C$3,IF(AG109="dnf",SpecialScores!$C$4,MIN(1000,(500*LOG(1+99*AG109/SpecialScores!$E$3))))))</f>
        <v xml:space="preserve"> </v>
      </c>
      <c r="AI109" s="12" t="str">
        <f t="shared" si="56"/>
        <v/>
      </c>
      <c r="AP109" s="49"/>
    </row>
    <row r="110" spans="1:42" x14ac:dyDescent="0.35">
      <c r="A110" s="42"/>
      <c r="E110" s="33" t="str">
        <f t="shared" si="57"/>
        <v xml:space="preserve"> </v>
      </c>
      <c r="F110" s="33" t="str">
        <f t="shared" si="58"/>
        <v xml:space="preserve"> </v>
      </c>
      <c r="G110" s="7" t="str">
        <f t="shared" si="59"/>
        <v xml:space="preserve"> </v>
      </c>
      <c r="H110" s="7" t="str">
        <f t="shared" si="60"/>
        <v xml:space="preserve"> </v>
      </c>
      <c r="I110" s="38"/>
      <c r="J110" s="8" t="str">
        <f>IF(ISBLANK(I110)," ",IF(I110="np",SpecialScores!$C$3,IF(I110="dnf",SpecialScores!$C$4,MIN( 1000+I110/SpecialScores!$E$3*0.0001,(500*LOG(1+99*I110/SpecialScores!$E$3))))))</f>
        <v xml:space="preserve"> </v>
      </c>
      <c r="K110" s="12" t="str">
        <f t="shared" si="48"/>
        <v/>
      </c>
      <c r="L110" s="38"/>
      <c r="M110" s="8" t="str">
        <f>IF(ISBLANK(L110)," ",IF(L110="np",SpecialScores!$C$3,IF(L110="dnf",SpecialScores!$C$4,MIN( 1000+L110/SpecialScores!$H$3*0.0001,(500*LOG(1+99*L110/SpecialScores!$H$3))))))</f>
        <v xml:space="preserve"> </v>
      </c>
      <c r="N110" s="12" t="str">
        <f t="shared" si="49"/>
        <v/>
      </c>
      <c r="O110" s="38"/>
      <c r="P110" s="8" t="str">
        <f>IF(ISBLANK(O110)," ",IF(O110="np",SpecialScores!$C$3,IF(O110="dnf",SpecialScores!$C$4,MIN(1000,(500*LOG(1+99*O110/SpecialScores!$K$3))))))</f>
        <v xml:space="preserve"> </v>
      </c>
      <c r="Q110" s="12" t="str">
        <f t="shared" si="50"/>
        <v/>
      </c>
      <c r="R110" s="38"/>
      <c r="S110" s="8" t="str">
        <f>IF(ISBLANK(R110)," ",IF(R110="np",SpecialScores!$C$3,IF(R110="dnf",SpecialScores!$C$4,      IF(AND(R110&gt;=0,R110&lt;SpecialScores!$O$12), (500*LOG(1+99*R110/SpecialScores!$O$12*SpecialScores!$O$11/SpecialScores!$O$10)),                         MIN((500*LOG(1+99*SpecialScores!$O$11/R110)))))))</f>
        <v xml:space="preserve"> </v>
      </c>
      <c r="T110" s="12" t="str">
        <f t="shared" si="51"/>
        <v/>
      </c>
      <c r="U110" s="38"/>
      <c r="V110" s="8" t="str">
        <f>IF(ISBLANK(U110)," ",IF(U110="np",SpecialScores!$C$3,IF(U110="dnf",SpecialScores!$C$4,MIN((500*LOG(1+99*U110/SpecialScores!$R$3))))))</f>
        <v xml:space="preserve"> </v>
      </c>
      <c r="W110" s="12" t="str">
        <f t="shared" si="52"/>
        <v/>
      </c>
      <c r="X110" s="38"/>
      <c r="Y110" s="8" t="str">
        <f>IF(ISBLANK(X110)," ",IF(X110="np",SpecialScores!$C$3,IF(X110="dnf",SpecialScores!$C$4,MIN( 1000+X110/SpecialScores!$U$3*0.0001,(500*LOG(1+99*X110/SpecialScores!$U$3))))))</f>
        <v xml:space="preserve"> </v>
      </c>
      <c r="Z110" s="12" t="str">
        <f t="shared" si="53"/>
        <v/>
      </c>
      <c r="AA110" s="38"/>
      <c r="AB110" s="8" t="str">
        <f>IF(ISBLANK(AA110)," ",IF(AA110="np",SpecialScores!$C$3,IF(AA110="dnf",SpecialScores!$C$4,      IF(AND(AA110&gt;=0,AA110&lt;SpecialScores!$X$12), (500*LOG(1+99*AA110/SpecialScores!$X$12*SpecialScores!$X$11/SpecialScores!$X$10)),                         MIN((500*LOG(1+99*SpecialScores!$X$11/AA110)))))))</f>
        <v xml:space="preserve"> </v>
      </c>
      <c r="AC110" s="12" t="str">
        <f t="shared" si="54"/>
        <v/>
      </c>
      <c r="AD110" s="38"/>
      <c r="AE110" s="8" t="str">
        <f>IF(ISBLANK(AD110)," ",IF(AD110="np",SpecialScores!$C$3,IF(AD110="dnf",SpecialScores!$C$4,MIN( 1000+AD110/SpecialScores!$AA$5*0.0001,(500*LOG(1+99*AD110/SpecialScores!$AA$5))))))</f>
        <v xml:space="preserve"> </v>
      </c>
      <c r="AF110" s="12" t="str">
        <f t="shared" si="55"/>
        <v/>
      </c>
      <c r="AG110" s="38"/>
      <c r="AH110" s="8" t="str">
        <f>IF(ISBLANK(AG110)," ",IF(AG110="np",SpecialScores!$C$3,IF(AG110="dnf",SpecialScores!$C$4,MIN(1000,(500*LOG(1+99*AG110/SpecialScores!$E$3))))))</f>
        <v xml:space="preserve"> </v>
      </c>
      <c r="AI110" s="12" t="str">
        <f t="shared" si="56"/>
        <v/>
      </c>
      <c r="AP110" s="49"/>
    </row>
    <row r="111" spans="1:42" x14ac:dyDescent="0.35">
      <c r="A111" s="42"/>
      <c r="E111" s="33" t="str">
        <f t="shared" si="57"/>
        <v xml:space="preserve"> </v>
      </c>
      <c r="F111" s="33" t="str">
        <f t="shared" si="58"/>
        <v xml:space="preserve"> </v>
      </c>
      <c r="G111" s="7" t="str">
        <f t="shared" si="59"/>
        <v xml:space="preserve"> </v>
      </c>
      <c r="H111" s="7" t="str">
        <f t="shared" si="60"/>
        <v xml:space="preserve"> </v>
      </c>
      <c r="I111" s="38"/>
      <c r="J111" s="8" t="str">
        <f>IF(ISBLANK(I111)," ",IF(I111="np",SpecialScores!$C$3,IF(I111="dnf",SpecialScores!$C$4,MIN( 1000+I111/SpecialScores!$E$3*0.0001,(500*LOG(1+99*I111/SpecialScores!$E$3))))))</f>
        <v xml:space="preserve"> </v>
      </c>
      <c r="K111" s="12" t="str">
        <f t="shared" si="48"/>
        <v/>
      </c>
      <c r="L111" s="38"/>
      <c r="M111" s="8" t="str">
        <f>IF(ISBLANK(L111)," ",IF(L111="np",SpecialScores!$C$3,IF(L111="dnf",SpecialScores!$C$4,MIN( 1000+L111/SpecialScores!$H$3*0.0001,(500*LOG(1+99*L111/SpecialScores!$H$3))))))</f>
        <v xml:space="preserve"> </v>
      </c>
      <c r="N111" s="12" t="str">
        <f t="shared" si="49"/>
        <v/>
      </c>
      <c r="O111" s="38"/>
      <c r="P111" s="8" t="str">
        <f>IF(ISBLANK(O111)," ",IF(O111="np",SpecialScores!$C$3,IF(O111="dnf",SpecialScores!$C$4,MIN(1000,(500*LOG(1+99*O111/SpecialScores!$K$3))))))</f>
        <v xml:space="preserve"> </v>
      </c>
      <c r="Q111" s="12" t="str">
        <f t="shared" si="50"/>
        <v/>
      </c>
      <c r="R111" s="38"/>
      <c r="S111" s="8" t="str">
        <f>IF(ISBLANK(R111)," ",IF(R111="np",SpecialScores!$C$3,IF(R111="dnf",SpecialScores!$C$4,      IF(AND(R111&gt;=0,R111&lt;SpecialScores!$O$12), (500*LOG(1+99*R111/SpecialScores!$O$12*SpecialScores!$O$11/SpecialScores!$O$10)),                         MIN((500*LOG(1+99*SpecialScores!$O$11/R111)))))))</f>
        <v xml:space="preserve"> </v>
      </c>
      <c r="T111" s="12" t="str">
        <f t="shared" si="51"/>
        <v/>
      </c>
      <c r="U111" s="38"/>
      <c r="V111" s="8" t="str">
        <f>IF(ISBLANK(U111)," ",IF(U111="np",SpecialScores!$C$3,IF(U111="dnf",SpecialScores!$C$4,MIN((500*LOG(1+99*U111/SpecialScores!$R$3))))))</f>
        <v xml:space="preserve"> </v>
      </c>
      <c r="W111" s="12" t="str">
        <f t="shared" si="52"/>
        <v/>
      </c>
      <c r="X111" s="38"/>
      <c r="Y111" s="8" t="str">
        <f>IF(ISBLANK(X111)," ",IF(X111="np",SpecialScores!$C$3,IF(X111="dnf",SpecialScores!$C$4,MIN( 1000+X111/SpecialScores!$U$3*0.0001,(500*LOG(1+99*X111/SpecialScores!$U$3))))))</f>
        <v xml:space="preserve"> </v>
      </c>
      <c r="Z111" s="12" t="str">
        <f t="shared" si="53"/>
        <v/>
      </c>
      <c r="AA111" s="38"/>
      <c r="AB111" s="8" t="str">
        <f>IF(ISBLANK(AA111)," ",IF(AA111="np",SpecialScores!$C$3,IF(AA111="dnf",SpecialScores!$C$4,      IF(AND(AA111&gt;=0,AA111&lt;SpecialScores!$X$12), (500*LOG(1+99*AA111/SpecialScores!$X$12*SpecialScores!$X$11/SpecialScores!$X$10)),                         MIN((500*LOG(1+99*SpecialScores!$X$11/AA111)))))))</f>
        <v xml:space="preserve"> </v>
      </c>
      <c r="AC111" s="12" t="str">
        <f t="shared" si="54"/>
        <v/>
      </c>
      <c r="AD111" s="38"/>
      <c r="AE111" s="8" t="str">
        <f>IF(ISBLANK(AD111)," ",IF(AD111="np",SpecialScores!$C$3,IF(AD111="dnf",SpecialScores!$C$4,MIN( 1000+AD111/SpecialScores!$AA$5*0.0001,(500*LOG(1+99*AD111/SpecialScores!$AA$5))))))</f>
        <v xml:space="preserve"> </v>
      </c>
      <c r="AF111" s="12" t="str">
        <f t="shared" si="55"/>
        <v/>
      </c>
      <c r="AG111" s="38"/>
      <c r="AH111" s="8" t="str">
        <f>IF(ISBLANK(AG111)," ",IF(AG111="np",SpecialScores!$C$3,IF(AG111="dnf",SpecialScores!$C$4,MIN(1000,(500*LOG(1+99*AG111/SpecialScores!$E$3))))))</f>
        <v xml:space="preserve"> </v>
      </c>
      <c r="AI111" s="12" t="str">
        <f t="shared" si="56"/>
        <v/>
      </c>
      <c r="AP111" s="49"/>
    </row>
    <row r="112" spans="1:42" x14ac:dyDescent="0.35">
      <c r="A112" s="42"/>
      <c r="E112" s="33" t="str">
        <f t="shared" si="57"/>
        <v xml:space="preserve"> </v>
      </c>
      <c r="F112" s="33" t="str">
        <f t="shared" si="58"/>
        <v xml:space="preserve"> </v>
      </c>
      <c r="G112" s="7" t="str">
        <f t="shared" si="59"/>
        <v xml:space="preserve"> </v>
      </c>
      <c r="H112" s="7" t="str">
        <f t="shared" si="60"/>
        <v xml:space="preserve"> </v>
      </c>
      <c r="I112" s="38"/>
      <c r="J112" s="8" t="str">
        <f>IF(ISBLANK(I112)," ",IF(I112="np",SpecialScores!$C$3,IF(I112="dnf",SpecialScores!$C$4,MIN( 1000+I112/SpecialScores!$E$3*0.0001,(500*LOG(1+99*I112/SpecialScores!$E$3))))))</f>
        <v xml:space="preserve"> </v>
      </c>
      <c r="K112" s="12" t="str">
        <f t="shared" si="48"/>
        <v/>
      </c>
      <c r="L112" s="38"/>
      <c r="M112" s="8" t="str">
        <f>IF(ISBLANK(L112)," ",IF(L112="np",SpecialScores!$C$3,IF(L112="dnf",SpecialScores!$C$4,MIN( 1000+L112/SpecialScores!$H$3*0.0001,(500*LOG(1+99*L112/SpecialScores!$H$3))))))</f>
        <v xml:space="preserve"> </v>
      </c>
      <c r="N112" s="12" t="str">
        <f t="shared" si="49"/>
        <v/>
      </c>
      <c r="O112" s="38"/>
      <c r="P112" s="8" t="str">
        <f>IF(ISBLANK(O112)," ",IF(O112="np",SpecialScores!$C$3,IF(O112="dnf",SpecialScores!$C$4,MIN(1000,(500*LOG(1+99*O112/SpecialScores!$K$3))))))</f>
        <v xml:space="preserve"> </v>
      </c>
      <c r="Q112" s="12" t="str">
        <f t="shared" si="50"/>
        <v/>
      </c>
      <c r="R112" s="38"/>
      <c r="S112" s="8" t="str">
        <f>IF(ISBLANK(R112)," ",IF(R112="np",SpecialScores!$C$3,IF(R112="dnf",SpecialScores!$C$4,      IF(AND(R112&gt;=0,R112&lt;SpecialScores!$O$12), (500*LOG(1+99*R112/SpecialScores!$O$12*SpecialScores!$O$11/SpecialScores!$O$10)),                         MIN((500*LOG(1+99*SpecialScores!$O$11/R112)))))))</f>
        <v xml:space="preserve"> </v>
      </c>
      <c r="T112" s="12" t="str">
        <f t="shared" si="51"/>
        <v/>
      </c>
      <c r="U112" s="38"/>
      <c r="V112" s="8" t="str">
        <f>IF(ISBLANK(U112)," ",IF(U112="np",SpecialScores!$C$3,IF(U112="dnf",SpecialScores!$C$4,MIN((500*LOG(1+99*U112/SpecialScores!$R$3))))))</f>
        <v xml:space="preserve"> </v>
      </c>
      <c r="W112" s="12" t="str">
        <f t="shared" si="52"/>
        <v/>
      </c>
      <c r="X112" s="38"/>
      <c r="Y112" s="8" t="str">
        <f>IF(ISBLANK(X112)," ",IF(X112="np",SpecialScores!$C$3,IF(X112="dnf",SpecialScores!$C$4,MIN( 1000+X112/SpecialScores!$U$3*0.0001,(500*LOG(1+99*X112/SpecialScores!$U$3))))))</f>
        <v xml:space="preserve"> </v>
      </c>
      <c r="Z112" s="12" t="str">
        <f t="shared" si="53"/>
        <v/>
      </c>
      <c r="AA112" s="38"/>
      <c r="AB112" s="8" t="str">
        <f>IF(ISBLANK(AA112)," ",IF(AA112="np",SpecialScores!$C$3,IF(AA112="dnf",SpecialScores!$C$4,      IF(AND(AA112&gt;=0,AA112&lt;SpecialScores!$X$12), (500*LOG(1+99*AA112/SpecialScores!$X$12*SpecialScores!$X$11/SpecialScores!$X$10)),                         MIN((500*LOG(1+99*SpecialScores!$X$11/AA112)))))))</f>
        <v xml:space="preserve"> </v>
      </c>
      <c r="AC112" s="12" t="str">
        <f t="shared" si="54"/>
        <v/>
      </c>
      <c r="AD112" s="38"/>
      <c r="AE112" s="8" t="str">
        <f>IF(ISBLANK(AD112)," ",IF(AD112="np",SpecialScores!$C$3,IF(AD112="dnf",SpecialScores!$C$4,MIN( 1000+AD112/SpecialScores!$AA$5*0.0001,(500*LOG(1+99*AD112/SpecialScores!$AA$5))))))</f>
        <v xml:space="preserve"> </v>
      </c>
      <c r="AF112" s="12" t="str">
        <f t="shared" si="55"/>
        <v/>
      </c>
      <c r="AG112" s="38"/>
      <c r="AH112" s="8" t="str">
        <f>IF(ISBLANK(AG112)," ",IF(AG112="np",SpecialScores!$C$3,IF(AG112="dnf",SpecialScores!$C$4,MIN(1000,(500*LOG(1+99*AG112/SpecialScores!$E$3))))))</f>
        <v xml:space="preserve"> </v>
      </c>
      <c r="AI112" s="12" t="str">
        <f t="shared" si="56"/>
        <v/>
      </c>
      <c r="AP112" s="49"/>
    </row>
    <row r="113" spans="1:42" x14ac:dyDescent="0.35">
      <c r="A113" s="42"/>
      <c r="E113" s="33" t="str">
        <f t="shared" si="57"/>
        <v xml:space="preserve"> </v>
      </c>
      <c r="F113" s="33" t="str">
        <f t="shared" si="58"/>
        <v xml:space="preserve"> </v>
      </c>
      <c r="G113" s="7" t="str">
        <f t="shared" si="59"/>
        <v xml:space="preserve"> </v>
      </c>
      <c r="H113" s="7" t="str">
        <f t="shared" si="60"/>
        <v xml:space="preserve"> </v>
      </c>
      <c r="I113" s="38"/>
      <c r="J113" s="8" t="str">
        <f>IF(ISBLANK(I113)," ",IF(I113="np",SpecialScores!$C$3,IF(I113="dnf",SpecialScores!$C$4,MIN( 1000+I113/SpecialScores!$E$3*0.0001,(500*LOG(1+99*I113/SpecialScores!$E$3))))))</f>
        <v xml:space="preserve"> </v>
      </c>
      <c r="K113" s="12" t="str">
        <f t="shared" si="48"/>
        <v/>
      </c>
      <c r="L113" s="38"/>
      <c r="M113" s="8" t="str">
        <f>IF(ISBLANK(L113)," ",IF(L113="np",SpecialScores!$C$3,IF(L113="dnf",SpecialScores!$C$4,MIN( 1000+L113/SpecialScores!$H$3*0.0001,(500*LOG(1+99*L113/SpecialScores!$H$3))))))</f>
        <v xml:space="preserve"> </v>
      </c>
      <c r="N113" s="12" t="str">
        <f t="shared" si="49"/>
        <v/>
      </c>
      <c r="O113" s="38"/>
      <c r="P113" s="8" t="str">
        <f>IF(ISBLANK(O113)," ",IF(O113="np",SpecialScores!$C$3,IF(O113="dnf",SpecialScores!$C$4,MIN(1000,(500*LOG(1+99*O113/SpecialScores!$K$3))))))</f>
        <v xml:space="preserve"> </v>
      </c>
      <c r="Q113" s="12" t="str">
        <f t="shared" si="50"/>
        <v/>
      </c>
      <c r="R113" s="38"/>
      <c r="S113" s="8" t="str">
        <f>IF(ISBLANK(R113)," ",IF(R113="np",SpecialScores!$C$3,IF(R113="dnf",SpecialScores!$C$4,      IF(AND(R113&gt;=0,R113&lt;SpecialScores!$O$12), (500*LOG(1+99*R113/SpecialScores!$O$12*SpecialScores!$O$11/SpecialScores!$O$10)),                         MIN((500*LOG(1+99*SpecialScores!$O$11/R113)))))))</f>
        <v xml:space="preserve"> </v>
      </c>
      <c r="T113" s="12" t="str">
        <f t="shared" si="51"/>
        <v/>
      </c>
      <c r="U113" s="38"/>
      <c r="V113" s="8" t="str">
        <f>IF(ISBLANK(U113)," ",IF(U113="np",SpecialScores!$C$3,IF(U113="dnf",SpecialScores!$C$4,MIN((500*LOG(1+99*U113/SpecialScores!$R$3))))))</f>
        <v xml:space="preserve"> </v>
      </c>
      <c r="W113" s="12" t="str">
        <f t="shared" si="52"/>
        <v/>
      </c>
      <c r="X113" s="38"/>
      <c r="Y113" s="8" t="str">
        <f>IF(ISBLANK(X113)," ",IF(X113="np",SpecialScores!$C$3,IF(X113="dnf",SpecialScores!$C$4,MIN( 1000+X113/SpecialScores!$U$3*0.0001,(500*LOG(1+99*X113/SpecialScores!$U$3))))))</f>
        <v xml:space="preserve"> </v>
      </c>
      <c r="Z113" s="12" t="str">
        <f t="shared" si="53"/>
        <v/>
      </c>
      <c r="AA113" s="38"/>
      <c r="AB113" s="8" t="str">
        <f>IF(ISBLANK(AA113)," ",IF(AA113="np",SpecialScores!$C$3,IF(AA113="dnf",SpecialScores!$C$4,      IF(AND(AA113&gt;=0,AA113&lt;SpecialScores!$X$12), (500*LOG(1+99*AA113/SpecialScores!$X$12*SpecialScores!$X$11/SpecialScores!$X$10)),                         MIN((500*LOG(1+99*SpecialScores!$X$11/AA113)))))))</f>
        <v xml:space="preserve"> </v>
      </c>
      <c r="AC113" s="12" t="str">
        <f t="shared" si="54"/>
        <v/>
      </c>
      <c r="AD113" s="38"/>
      <c r="AE113" s="8" t="str">
        <f>IF(ISBLANK(AD113)," ",IF(AD113="np",SpecialScores!$C$3,IF(AD113="dnf",SpecialScores!$C$4,MIN( 1000+AD113/SpecialScores!$AA$5*0.0001,(500*LOG(1+99*AD113/SpecialScores!$AA$5))))))</f>
        <v xml:space="preserve"> </v>
      </c>
      <c r="AF113" s="12" t="str">
        <f t="shared" si="55"/>
        <v/>
      </c>
      <c r="AG113" s="38"/>
      <c r="AH113" s="8" t="str">
        <f>IF(ISBLANK(AG113)," ",IF(AG113="np",SpecialScores!$C$3,IF(AG113="dnf",SpecialScores!$C$4,MIN(1000,(500*LOG(1+99*AG113/SpecialScores!$E$3))))))</f>
        <v xml:space="preserve"> </v>
      </c>
      <c r="AI113" s="12" t="str">
        <f t="shared" si="56"/>
        <v/>
      </c>
      <c r="AP113" s="49"/>
    </row>
    <row r="114" spans="1:42" x14ac:dyDescent="0.35">
      <c r="A114" s="42"/>
      <c r="E114" s="33" t="str">
        <f t="shared" si="57"/>
        <v xml:space="preserve"> </v>
      </c>
      <c r="F114" s="33" t="str">
        <f t="shared" si="58"/>
        <v xml:space="preserve"> </v>
      </c>
      <c r="G114" s="7" t="str">
        <f t="shared" si="59"/>
        <v xml:space="preserve"> </v>
      </c>
      <c r="H114" s="7" t="str">
        <f t="shared" si="60"/>
        <v xml:space="preserve"> </v>
      </c>
      <c r="I114" s="38"/>
      <c r="J114" s="8" t="str">
        <f>IF(ISBLANK(I114)," ",IF(I114="np",SpecialScores!$C$3,IF(I114="dnf",SpecialScores!$C$4,MIN( 1000+I114/SpecialScores!$E$3*0.0001,(500*LOG(1+99*I114/SpecialScores!$E$3))))))</f>
        <v xml:space="preserve"> </v>
      </c>
      <c r="K114" s="12" t="str">
        <f t="shared" si="48"/>
        <v/>
      </c>
      <c r="L114" s="38"/>
      <c r="M114" s="8" t="str">
        <f>IF(ISBLANK(L114)," ",IF(L114="np",SpecialScores!$C$3,IF(L114="dnf",SpecialScores!$C$4,MIN( 1000+L114/SpecialScores!$H$3*0.0001,(500*LOG(1+99*L114/SpecialScores!$H$3))))))</f>
        <v xml:space="preserve"> </v>
      </c>
      <c r="N114" s="12" t="str">
        <f t="shared" si="49"/>
        <v/>
      </c>
      <c r="O114" s="38"/>
      <c r="P114" s="8" t="str">
        <f>IF(ISBLANK(O114)," ",IF(O114="np",SpecialScores!$C$3,IF(O114="dnf",SpecialScores!$C$4,MIN(1000,(500*LOG(1+99*O114/SpecialScores!$K$3))))))</f>
        <v xml:space="preserve"> </v>
      </c>
      <c r="Q114" s="12" t="str">
        <f t="shared" si="50"/>
        <v/>
      </c>
      <c r="R114" s="38"/>
      <c r="S114" s="8" t="str">
        <f>IF(ISBLANK(R114)," ",IF(R114="np",SpecialScores!$C$3,IF(R114="dnf",SpecialScores!$C$4,      IF(AND(R114&gt;=0,R114&lt;SpecialScores!$O$12), (500*LOG(1+99*R114/SpecialScores!$O$12*SpecialScores!$O$11/SpecialScores!$O$10)),                         MIN((500*LOG(1+99*SpecialScores!$O$11/R114)))))))</f>
        <v xml:space="preserve"> </v>
      </c>
      <c r="T114" s="12" t="str">
        <f t="shared" si="51"/>
        <v/>
      </c>
      <c r="U114" s="38"/>
      <c r="V114" s="8" t="str">
        <f>IF(ISBLANK(U114)," ",IF(U114="np",SpecialScores!$C$3,IF(U114="dnf",SpecialScores!$C$4,MIN((500*LOG(1+99*U114/SpecialScores!$R$3))))))</f>
        <v xml:space="preserve"> </v>
      </c>
      <c r="W114" s="12" t="str">
        <f t="shared" si="52"/>
        <v/>
      </c>
      <c r="X114" s="38"/>
      <c r="Y114" s="8" t="str">
        <f>IF(ISBLANK(X114)," ",IF(X114="np",SpecialScores!$C$3,IF(X114="dnf",SpecialScores!$C$4,MIN( 1000+X114/SpecialScores!$U$3*0.0001,(500*LOG(1+99*X114/SpecialScores!$U$3))))))</f>
        <v xml:space="preserve"> </v>
      </c>
      <c r="Z114" s="12" t="str">
        <f t="shared" si="53"/>
        <v/>
      </c>
      <c r="AA114" s="38"/>
      <c r="AB114" s="8" t="str">
        <f>IF(ISBLANK(AA114)," ",IF(AA114="np",SpecialScores!$C$3,IF(AA114="dnf",SpecialScores!$C$4,      IF(AND(AA114&gt;=0,AA114&lt;SpecialScores!$X$12), (500*LOG(1+99*AA114/SpecialScores!$X$12*SpecialScores!$X$11/SpecialScores!$X$10)),                         MIN((500*LOG(1+99*SpecialScores!$X$11/AA114)))))))</f>
        <v xml:space="preserve"> </v>
      </c>
      <c r="AC114" s="12" t="str">
        <f t="shared" si="54"/>
        <v/>
      </c>
      <c r="AD114" s="38"/>
      <c r="AE114" s="8" t="str">
        <f>IF(ISBLANK(AD114)," ",IF(AD114="np",SpecialScores!$C$3,IF(AD114="dnf",SpecialScores!$C$4,MIN( 1000+AD114/SpecialScores!$AA$5*0.0001,(500*LOG(1+99*AD114/SpecialScores!$AA$5))))))</f>
        <v xml:space="preserve"> </v>
      </c>
      <c r="AF114" s="12" t="str">
        <f t="shared" si="55"/>
        <v/>
      </c>
      <c r="AG114" s="38"/>
      <c r="AH114" s="8" t="str">
        <f>IF(ISBLANK(AG114)," ",IF(AG114="np",SpecialScores!$C$3,IF(AG114="dnf",SpecialScores!$C$4,MIN(1000,(500*LOG(1+99*AG114/SpecialScores!$E$3))))))</f>
        <v xml:space="preserve"> </v>
      </c>
      <c r="AI114" s="12" t="str">
        <f t="shared" si="56"/>
        <v/>
      </c>
      <c r="AP114" s="49"/>
    </row>
    <row r="115" spans="1:42" x14ac:dyDescent="0.35">
      <c r="A115" s="42"/>
      <c r="E115" s="33" t="str">
        <f t="shared" si="57"/>
        <v xml:space="preserve"> </v>
      </c>
      <c r="F115" s="33" t="str">
        <f t="shared" si="58"/>
        <v xml:space="preserve"> </v>
      </c>
      <c r="G115" s="7" t="str">
        <f t="shared" si="59"/>
        <v xml:space="preserve"> </v>
      </c>
      <c r="H115" s="7" t="str">
        <f t="shared" si="60"/>
        <v xml:space="preserve"> </v>
      </c>
      <c r="I115" s="38"/>
      <c r="J115" s="8" t="str">
        <f>IF(ISBLANK(I115)," ",IF(I115="np",SpecialScores!$C$3,IF(I115="dnf",SpecialScores!$C$4,MIN( 1000+I115/SpecialScores!$E$3*0.0001,(500*LOG(1+99*I115/SpecialScores!$E$3))))))</f>
        <v xml:space="preserve"> </v>
      </c>
      <c r="K115" s="12" t="str">
        <f t="shared" si="48"/>
        <v/>
      </c>
      <c r="L115" s="38"/>
      <c r="M115" s="8" t="str">
        <f>IF(ISBLANK(L115)," ",IF(L115="np",SpecialScores!$C$3,IF(L115="dnf",SpecialScores!$C$4,MIN( 1000+L115/SpecialScores!$H$3*0.0001,(500*LOG(1+99*L115/SpecialScores!$H$3))))))</f>
        <v xml:space="preserve"> </v>
      </c>
      <c r="N115" s="12" t="str">
        <f t="shared" si="49"/>
        <v/>
      </c>
      <c r="O115" s="38"/>
      <c r="P115" s="8" t="str">
        <f>IF(ISBLANK(O115)," ",IF(O115="np",SpecialScores!$C$3,IF(O115="dnf",SpecialScores!$C$4,MIN(1000,(500*LOG(1+99*O115/SpecialScores!$K$3))))))</f>
        <v xml:space="preserve"> </v>
      </c>
      <c r="Q115" s="12" t="str">
        <f t="shared" si="50"/>
        <v/>
      </c>
      <c r="R115" s="38"/>
      <c r="S115" s="8" t="str">
        <f>IF(ISBLANK(R115)," ",IF(R115="np",SpecialScores!$C$3,IF(R115="dnf",SpecialScores!$C$4,      IF(AND(R115&gt;=0,R115&lt;SpecialScores!$O$12), (500*LOG(1+99*R115/SpecialScores!$O$12*SpecialScores!$O$11/SpecialScores!$O$10)),                         MIN((500*LOG(1+99*SpecialScores!$O$11/R115)))))))</f>
        <v xml:space="preserve"> </v>
      </c>
      <c r="T115" s="12" t="str">
        <f t="shared" si="51"/>
        <v/>
      </c>
      <c r="U115" s="38"/>
      <c r="V115" s="8" t="str">
        <f>IF(ISBLANK(U115)," ",IF(U115="np",SpecialScores!$C$3,IF(U115="dnf",SpecialScores!$C$4,MIN((500*LOG(1+99*U115/SpecialScores!$R$3))))))</f>
        <v xml:space="preserve"> </v>
      </c>
      <c r="W115" s="12" t="str">
        <f t="shared" si="52"/>
        <v/>
      </c>
      <c r="X115" s="38"/>
      <c r="Y115" s="8" t="str">
        <f>IF(ISBLANK(X115)," ",IF(X115="np",SpecialScores!$C$3,IF(X115="dnf",SpecialScores!$C$4,MIN( 1000+X115/SpecialScores!$U$3*0.0001,(500*LOG(1+99*X115/SpecialScores!$U$3))))))</f>
        <v xml:space="preserve"> </v>
      </c>
      <c r="Z115" s="12" t="str">
        <f t="shared" si="53"/>
        <v/>
      </c>
      <c r="AA115" s="38"/>
      <c r="AB115" s="8" t="str">
        <f>IF(ISBLANK(AA115)," ",IF(AA115="np",SpecialScores!$C$3,IF(AA115="dnf",SpecialScores!$C$4,      IF(AND(AA115&gt;=0,AA115&lt;SpecialScores!$X$12), (500*LOG(1+99*AA115/SpecialScores!$X$12*SpecialScores!$X$11/SpecialScores!$X$10)),                         MIN((500*LOG(1+99*SpecialScores!$X$11/AA115)))))))</f>
        <v xml:space="preserve"> </v>
      </c>
      <c r="AC115" s="12" t="str">
        <f t="shared" si="54"/>
        <v/>
      </c>
      <c r="AD115" s="38"/>
      <c r="AE115" s="8" t="str">
        <f>IF(ISBLANK(AD115)," ",IF(AD115="np",SpecialScores!$C$3,IF(AD115="dnf",SpecialScores!$C$4,MIN( 1000+AD115/SpecialScores!$AA$5*0.0001,(500*LOG(1+99*AD115/SpecialScores!$AA$5))))))</f>
        <v xml:space="preserve"> </v>
      </c>
      <c r="AF115" s="12" t="str">
        <f t="shared" si="55"/>
        <v/>
      </c>
      <c r="AG115" s="38"/>
      <c r="AH115" s="8" t="str">
        <f>IF(ISBLANK(AG115)," ",IF(AG115="np",SpecialScores!$C$3,IF(AG115="dnf",SpecialScores!$C$4,MIN(1000,(500*LOG(1+99*AG115/SpecialScores!$E$3))))))</f>
        <v xml:space="preserve"> </v>
      </c>
      <c r="AI115" s="12" t="str">
        <f t="shared" si="56"/>
        <v/>
      </c>
      <c r="AP115" s="49"/>
    </row>
    <row r="116" spans="1:42" x14ac:dyDescent="0.35">
      <c r="A116" s="42"/>
      <c r="E116" s="33" t="str">
        <f t="shared" si="57"/>
        <v xml:space="preserve"> </v>
      </c>
      <c r="F116" s="33" t="str">
        <f t="shared" si="58"/>
        <v xml:space="preserve"> </v>
      </c>
      <c r="G116" s="7" t="str">
        <f t="shared" si="59"/>
        <v xml:space="preserve"> </v>
      </c>
      <c r="H116" s="7" t="str">
        <f t="shared" si="60"/>
        <v xml:space="preserve"> </v>
      </c>
      <c r="I116" s="38"/>
      <c r="J116" s="8" t="str">
        <f>IF(ISBLANK(I116)," ",IF(I116="np",SpecialScores!$C$3,IF(I116="dnf",SpecialScores!$C$4,MIN( 1000+I116/SpecialScores!$E$3*0.0001,(500*LOG(1+99*I116/SpecialScores!$E$3))))))</f>
        <v xml:space="preserve"> </v>
      </c>
      <c r="K116" s="12" t="str">
        <f t="shared" si="48"/>
        <v/>
      </c>
      <c r="L116" s="38"/>
      <c r="M116" s="8" t="str">
        <f>IF(ISBLANK(L116)," ",IF(L116="np",SpecialScores!$C$3,IF(L116="dnf",SpecialScores!$C$4,MIN( 1000+L116/SpecialScores!$H$3*0.0001,(500*LOG(1+99*L116/SpecialScores!$H$3))))))</f>
        <v xml:space="preserve"> </v>
      </c>
      <c r="N116" s="12" t="str">
        <f t="shared" si="49"/>
        <v/>
      </c>
      <c r="O116" s="38"/>
      <c r="P116" s="8" t="str">
        <f>IF(ISBLANK(O116)," ",IF(O116="np",SpecialScores!$C$3,IF(O116="dnf",SpecialScores!$C$4,MIN(1000,(500*LOG(1+99*O116/SpecialScores!$K$3))))))</f>
        <v xml:space="preserve"> </v>
      </c>
      <c r="Q116" s="12" t="str">
        <f t="shared" si="50"/>
        <v/>
      </c>
      <c r="R116" s="38"/>
      <c r="S116" s="8" t="str">
        <f>IF(ISBLANK(R116)," ",IF(R116="np",SpecialScores!$C$3,IF(R116="dnf",SpecialScores!$C$4,      IF(AND(R116&gt;=0,R116&lt;SpecialScores!$O$12), (500*LOG(1+99*R116/SpecialScores!$O$12*SpecialScores!$O$11/SpecialScores!$O$10)),                         MIN((500*LOG(1+99*SpecialScores!$O$11/R116)))))))</f>
        <v xml:space="preserve"> </v>
      </c>
      <c r="T116" s="12" t="str">
        <f t="shared" si="51"/>
        <v/>
      </c>
      <c r="U116" s="38"/>
      <c r="V116" s="8" t="str">
        <f>IF(ISBLANK(U116)," ",IF(U116="np",SpecialScores!$C$3,IF(U116="dnf",SpecialScores!$C$4,MIN((500*LOG(1+99*U116/SpecialScores!$R$3))))))</f>
        <v xml:space="preserve"> </v>
      </c>
      <c r="W116" s="12" t="str">
        <f t="shared" si="52"/>
        <v/>
      </c>
      <c r="X116" s="38"/>
      <c r="Y116" s="8" t="str">
        <f>IF(ISBLANK(X116)," ",IF(X116="np",SpecialScores!$C$3,IF(X116="dnf",SpecialScores!$C$4,MIN( 1000+X116/SpecialScores!$U$3*0.0001,(500*LOG(1+99*X116/SpecialScores!$U$3))))))</f>
        <v xml:space="preserve"> </v>
      </c>
      <c r="Z116" s="12" t="str">
        <f t="shared" si="53"/>
        <v/>
      </c>
      <c r="AA116" s="38"/>
      <c r="AB116" s="8" t="str">
        <f>IF(ISBLANK(AA116)," ",IF(AA116="np",SpecialScores!$C$3,IF(AA116="dnf",SpecialScores!$C$4,      IF(AND(AA116&gt;=0,AA116&lt;SpecialScores!$X$12), (500*LOG(1+99*AA116/SpecialScores!$X$12*SpecialScores!$X$11/SpecialScores!$X$10)),                         MIN((500*LOG(1+99*SpecialScores!$X$11/AA116)))))))</f>
        <v xml:space="preserve"> </v>
      </c>
      <c r="AC116" s="12" t="str">
        <f t="shared" si="54"/>
        <v/>
      </c>
      <c r="AD116" s="38"/>
      <c r="AE116" s="8" t="str">
        <f>IF(ISBLANK(AD116)," ",IF(AD116="np",SpecialScores!$C$3,IF(AD116="dnf",SpecialScores!$C$4,MIN( 1000+AD116/SpecialScores!$AA$5*0.0001,(500*LOG(1+99*AD116/SpecialScores!$AA$5))))))</f>
        <v xml:space="preserve"> </v>
      </c>
      <c r="AF116" s="12" t="str">
        <f t="shared" si="55"/>
        <v/>
      </c>
      <c r="AG116" s="38"/>
      <c r="AH116" s="8" t="str">
        <f>IF(ISBLANK(AG116)," ",IF(AG116="np",SpecialScores!$C$3,IF(AG116="dnf",SpecialScores!$C$4,MIN(1000,(500*LOG(1+99*AG116/SpecialScores!$E$3))))))</f>
        <v xml:space="preserve"> </v>
      </c>
      <c r="AI116" s="12" t="str">
        <f t="shared" si="56"/>
        <v/>
      </c>
      <c r="AP116" s="49"/>
    </row>
    <row r="117" spans="1:42" x14ac:dyDescent="0.35">
      <c r="A117" s="42"/>
      <c r="E117" s="33" t="str">
        <f t="shared" si="57"/>
        <v xml:space="preserve"> </v>
      </c>
      <c r="F117" s="33" t="str">
        <f t="shared" si="58"/>
        <v xml:space="preserve"> </v>
      </c>
      <c r="G117" s="7" t="str">
        <f t="shared" si="59"/>
        <v xml:space="preserve"> </v>
      </c>
      <c r="H117" s="7" t="str">
        <f t="shared" si="60"/>
        <v xml:space="preserve"> </v>
      </c>
      <c r="I117" s="38"/>
      <c r="J117" s="8" t="str">
        <f>IF(ISBLANK(I117)," ",IF(I117="np",SpecialScores!$C$3,IF(I117="dnf",SpecialScores!$C$4,MIN( 1000+I117/SpecialScores!$E$3*0.0001,(500*LOG(1+99*I117/SpecialScores!$E$3))))))</f>
        <v xml:space="preserve"> </v>
      </c>
      <c r="K117" s="12" t="str">
        <f t="shared" si="48"/>
        <v/>
      </c>
      <c r="L117" s="38"/>
      <c r="M117" s="8" t="str">
        <f>IF(ISBLANK(L117)," ",IF(L117="np",SpecialScores!$C$3,IF(L117="dnf",SpecialScores!$C$4,MIN( 1000+L117/SpecialScores!$H$3*0.0001,(500*LOG(1+99*L117/SpecialScores!$H$3))))))</f>
        <v xml:space="preserve"> </v>
      </c>
      <c r="N117" s="12" t="str">
        <f t="shared" si="49"/>
        <v/>
      </c>
      <c r="O117" s="38"/>
      <c r="P117" s="8" t="str">
        <f>IF(ISBLANK(O117)," ",IF(O117="np",SpecialScores!$C$3,IF(O117="dnf",SpecialScores!$C$4,MIN(1000,(500*LOG(1+99*O117/SpecialScores!$K$3))))))</f>
        <v xml:space="preserve"> </v>
      </c>
      <c r="Q117" s="12" t="str">
        <f t="shared" si="50"/>
        <v/>
      </c>
      <c r="R117" s="38"/>
      <c r="S117" s="8" t="str">
        <f>IF(ISBLANK(R117)," ",IF(R117="np",SpecialScores!$C$3,IF(R117="dnf",SpecialScores!$C$4,      IF(AND(R117&gt;=0,R117&lt;SpecialScores!$O$12), (500*LOG(1+99*R117/SpecialScores!$O$12*SpecialScores!$O$11/SpecialScores!$O$10)),                         MIN((500*LOG(1+99*SpecialScores!$O$11/R117)))))))</f>
        <v xml:space="preserve"> </v>
      </c>
      <c r="T117" s="12" t="str">
        <f t="shared" si="51"/>
        <v/>
      </c>
      <c r="U117" s="38"/>
      <c r="V117" s="8" t="str">
        <f>IF(ISBLANK(U117)," ",IF(U117="np",SpecialScores!$C$3,IF(U117="dnf",SpecialScores!$C$4,MIN((500*LOG(1+99*U117/SpecialScores!$R$3))))))</f>
        <v xml:space="preserve"> </v>
      </c>
      <c r="W117" s="12" t="str">
        <f t="shared" si="52"/>
        <v/>
      </c>
      <c r="X117" s="38"/>
      <c r="Y117" s="8" t="str">
        <f>IF(ISBLANK(X117)," ",IF(X117="np",SpecialScores!$C$3,IF(X117="dnf",SpecialScores!$C$4,MIN( 1000+X117/SpecialScores!$U$3*0.0001,(500*LOG(1+99*X117/SpecialScores!$U$3))))))</f>
        <v xml:space="preserve"> </v>
      </c>
      <c r="Z117" s="12" t="str">
        <f t="shared" si="53"/>
        <v/>
      </c>
      <c r="AA117" s="38"/>
      <c r="AB117" s="8" t="str">
        <f>IF(ISBLANK(AA117)," ",IF(AA117="np",SpecialScores!$C$3,IF(AA117="dnf",SpecialScores!$C$4,      IF(AND(AA117&gt;=0,AA117&lt;SpecialScores!$X$12), (500*LOG(1+99*AA117/SpecialScores!$X$12*SpecialScores!$X$11/SpecialScores!$X$10)),                         MIN((500*LOG(1+99*SpecialScores!$X$11/AA117)))))))</f>
        <v xml:space="preserve"> </v>
      </c>
      <c r="AC117" s="12" t="str">
        <f t="shared" si="54"/>
        <v/>
      </c>
      <c r="AD117" s="38"/>
      <c r="AE117" s="8" t="str">
        <f>IF(ISBLANK(AD117)," ",IF(AD117="np",SpecialScores!$C$3,IF(AD117="dnf",SpecialScores!$C$4,MIN( 1000+AD117/SpecialScores!$AA$5*0.0001,(500*LOG(1+99*AD117/SpecialScores!$AA$5))))))</f>
        <v xml:space="preserve"> </v>
      </c>
      <c r="AF117" s="12" t="str">
        <f t="shared" si="55"/>
        <v/>
      </c>
      <c r="AG117" s="38"/>
      <c r="AH117" s="8" t="str">
        <f>IF(ISBLANK(AG117)," ",IF(AG117="np",SpecialScores!$C$3,IF(AG117="dnf",SpecialScores!$C$4,MIN(1000,(500*LOG(1+99*AG117/SpecialScores!$E$3))))))</f>
        <v xml:space="preserve"> </v>
      </c>
      <c r="AI117" s="12" t="str">
        <f t="shared" si="56"/>
        <v/>
      </c>
      <c r="AP117" s="49"/>
    </row>
    <row r="118" spans="1:42" x14ac:dyDescent="0.35">
      <c r="A118" s="42"/>
      <c r="E118" s="33" t="str">
        <f t="shared" si="57"/>
        <v xml:space="preserve"> </v>
      </c>
      <c r="F118" s="33" t="str">
        <f t="shared" si="58"/>
        <v xml:space="preserve"> </v>
      </c>
      <c r="G118" s="7" t="str">
        <f t="shared" si="59"/>
        <v xml:space="preserve"> </v>
      </c>
      <c r="H118" s="7" t="str">
        <f t="shared" si="60"/>
        <v xml:space="preserve"> </v>
      </c>
      <c r="I118" s="38"/>
      <c r="J118" s="8" t="str">
        <f>IF(ISBLANK(I118)," ",IF(I118="np",SpecialScores!$C$3,IF(I118="dnf",SpecialScores!$C$4,MIN( 1000+I118/SpecialScores!$E$3*0.0001,(500*LOG(1+99*I118/SpecialScores!$E$3))))))</f>
        <v xml:space="preserve"> </v>
      </c>
      <c r="K118" s="12" t="str">
        <f t="shared" si="48"/>
        <v/>
      </c>
      <c r="L118" s="38"/>
      <c r="M118" s="8" t="str">
        <f>IF(ISBLANK(L118)," ",IF(L118="np",SpecialScores!$C$3,IF(L118="dnf",SpecialScores!$C$4,MIN( 1000+L118/SpecialScores!$H$3*0.0001,(500*LOG(1+99*L118/SpecialScores!$H$3))))))</f>
        <v xml:space="preserve"> </v>
      </c>
      <c r="N118" s="12" t="str">
        <f t="shared" si="49"/>
        <v/>
      </c>
      <c r="O118" s="38"/>
      <c r="P118" s="8" t="str">
        <f>IF(ISBLANK(O118)," ",IF(O118="np",SpecialScores!$C$3,IF(O118="dnf",SpecialScores!$C$4,MIN(1000,(500*LOG(1+99*O118/SpecialScores!$K$3))))))</f>
        <v xml:space="preserve"> </v>
      </c>
      <c r="Q118" s="12" t="str">
        <f t="shared" si="50"/>
        <v/>
      </c>
      <c r="R118" s="38"/>
      <c r="S118" s="8" t="str">
        <f>IF(ISBLANK(R118)," ",IF(R118="np",SpecialScores!$C$3,IF(R118="dnf",SpecialScores!$C$4,      IF(AND(R118&gt;=0,R118&lt;SpecialScores!$O$12), (500*LOG(1+99*R118/SpecialScores!$O$12*SpecialScores!$O$11/SpecialScores!$O$10)),                         MIN((500*LOG(1+99*SpecialScores!$O$11/R118)))))))</f>
        <v xml:space="preserve"> </v>
      </c>
      <c r="T118" s="12" t="str">
        <f t="shared" si="51"/>
        <v/>
      </c>
      <c r="U118" s="38"/>
      <c r="V118" s="8" t="str">
        <f>IF(ISBLANK(U118)," ",IF(U118="np",SpecialScores!$C$3,IF(U118="dnf",SpecialScores!$C$4,MIN((500*LOG(1+99*U118/SpecialScores!$R$3))))))</f>
        <v xml:space="preserve"> </v>
      </c>
      <c r="W118" s="12" t="str">
        <f t="shared" si="52"/>
        <v/>
      </c>
      <c r="X118" s="38"/>
      <c r="Y118" s="8" t="str">
        <f>IF(ISBLANK(X118)," ",IF(X118="np",SpecialScores!$C$3,IF(X118="dnf",SpecialScores!$C$4,MIN( 1000+X118/SpecialScores!$U$3*0.0001,(500*LOG(1+99*X118/SpecialScores!$U$3))))))</f>
        <v xml:space="preserve"> </v>
      </c>
      <c r="Z118" s="12" t="str">
        <f t="shared" si="53"/>
        <v/>
      </c>
      <c r="AA118" s="38"/>
      <c r="AB118" s="8" t="str">
        <f>IF(ISBLANK(AA118)," ",IF(AA118="np",SpecialScores!$C$3,IF(AA118="dnf",SpecialScores!$C$4,      IF(AND(AA118&gt;=0,AA118&lt;SpecialScores!$X$12), (500*LOG(1+99*AA118/SpecialScores!$X$12*SpecialScores!$X$11/SpecialScores!$X$10)),                         MIN((500*LOG(1+99*SpecialScores!$X$11/AA118)))))))</f>
        <v xml:space="preserve"> </v>
      </c>
      <c r="AC118" s="12" t="str">
        <f t="shared" si="54"/>
        <v/>
      </c>
      <c r="AD118" s="38"/>
      <c r="AE118" s="8" t="str">
        <f>IF(ISBLANK(AD118)," ",IF(AD118="np",SpecialScores!$C$3,IF(AD118="dnf",SpecialScores!$C$4,MIN( 1000+AD118/SpecialScores!$AA$5*0.0001,(500*LOG(1+99*AD118/SpecialScores!$AA$5))))))</f>
        <v xml:space="preserve"> </v>
      </c>
      <c r="AF118" s="12" t="str">
        <f t="shared" si="55"/>
        <v/>
      </c>
      <c r="AG118" s="38"/>
      <c r="AH118" s="8" t="str">
        <f>IF(ISBLANK(AG118)," ",IF(AG118="np",SpecialScores!$C$3,IF(AG118="dnf",SpecialScores!$C$4,MIN(1000,(500*LOG(1+99*AG118/SpecialScores!$E$3))))))</f>
        <v xml:space="preserve"> </v>
      </c>
      <c r="AI118" s="12" t="str">
        <f t="shared" si="56"/>
        <v/>
      </c>
      <c r="AP118" s="49"/>
    </row>
    <row r="119" spans="1:42" x14ac:dyDescent="0.35">
      <c r="A119" s="42"/>
      <c r="E119" s="33" t="str">
        <f t="shared" si="57"/>
        <v xml:space="preserve"> </v>
      </c>
      <c r="F119" s="33" t="str">
        <f t="shared" si="58"/>
        <v xml:space="preserve"> </v>
      </c>
      <c r="G119" s="7" t="str">
        <f t="shared" si="59"/>
        <v xml:space="preserve"> </v>
      </c>
      <c r="H119" s="7" t="str">
        <f t="shared" si="60"/>
        <v xml:space="preserve"> </v>
      </c>
      <c r="I119" s="38"/>
      <c r="J119" s="8" t="str">
        <f>IF(ISBLANK(I119)," ",IF(I119="np",SpecialScores!$C$3,IF(I119="dnf",SpecialScores!$C$4,MIN( 1000+I119/SpecialScores!$E$3*0.0001,(500*LOG(1+99*I119/SpecialScores!$E$3))))))</f>
        <v xml:space="preserve"> </v>
      </c>
      <c r="K119" s="12" t="str">
        <f t="shared" si="48"/>
        <v/>
      </c>
      <c r="L119" s="38"/>
      <c r="M119" s="8" t="str">
        <f>IF(ISBLANK(L119)," ",IF(L119="np",SpecialScores!$C$3,IF(L119="dnf",SpecialScores!$C$4,MIN( 1000+L119/SpecialScores!$H$3*0.0001,(500*LOG(1+99*L119/SpecialScores!$H$3))))))</f>
        <v xml:space="preserve"> </v>
      </c>
      <c r="N119" s="12" t="str">
        <f t="shared" si="49"/>
        <v/>
      </c>
      <c r="O119" s="38"/>
      <c r="P119" s="8" t="str">
        <f>IF(ISBLANK(O119)," ",IF(O119="np",SpecialScores!$C$3,IF(O119="dnf",SpecialScores!$C$4,MIN(1000,(500*LOG(1+99*O119/SpecialScores!$K$3))))))</f>
        <v xml:space="preserve"> </v>
      </c>
      <c r="Q119" s="12" t="str">
        <f t="shared" si="50"/>
        <v/>
      </c>
      <c r="R119" s="38"/>
      <c r="S119" s="8" t="str">
        <f>IF(ISBLANK(R119)," ",IF(R119="np",SpecialScores!$C$3,IF(R119="dnf",SpecialScores!$C$4,      IF(AND(R119&gt;=0,R119&lt;SpecialScores!$O$12), (500*LOG(1+99*R119/SpecialScores!$O$12*SpecialScores!$O$11/SpecialScores!$O$10)),                         MIN((500*LOG(1+99*SpecialScores!$O$11/R119)))))))</f>
        <v xml:space="preserve"> </v>
      </c>
      <c r="T119" s="12" t="str">
        <f t="shared" si="51"/>
        <v/>
      </c>
      <c r="U119" s="38"/>
      <c r="V119" s="8" t="str">
        <f>IF(ISBLANK(U119)," ",IF(U119="np",SpecialScores!$C$3,IF(U119="dnf",SpecialScores!$C$4,MIN((500*LOG(1+99*U119/SpecialScores!$R$3))))))</f>
        <v xml:space="preserve"> </v>
      </c>
      <c r="W119" s="12" t="str">
        <f t="shared" si="52"/>
        <v/>
      </c>
      <c r="X119" s="38"/>
      <c r="Y119" s="8" t="str">
        <f>IF(ISBLANK(X119)," ",IF(X119="np",SpecialScores!$C$3,IF(X119="dnf",SpecialScores!$C$4,MIN( 1000+X119/SpecialScores!$U$3*0.0001,(500*LOG(1+99*X119/SpecialScores!$U$3))))))</f>
        <v xml:space="preserve"> </v>
      </c>
      <c r="Z119" s="12" t="str">
        <f t="shared" si="53"/>
        <v/>
      </c>
      <c r="AA119" s="38"/>
      <c r="AB119" s="8" t="str">
        <f>IF(ISBLANK(AA119)," ",IF(AA119="np",SpecialScores!$C$3,IF(AA119="dnf",SpecialScores!$C$4,      IF(AND(AA119&gt;=0,AA119&lt;SpecialScores!$X$12), (500*LOG(1+99*AA119/SpecialScores!$X$12*SpecialScores!$X$11/SpecialScores!$X$10)),                         MIN((500*LOG(1+99*SpecialScores!$X$11/AA119)))))))</f>
        <v xml:space="preserve"> </v>
      </c>
      <c r="AC119" s="12" t="str">
        <f t="shared" si="54"/>
        <v/>
      </c>
      <c r="AD119" s="38"/>
      <c r="AE119" s="8" t="str">
        <f>IF(ISBLANK(AD119)," ",IF(AD119="np",SpecialScores!$C$3,IF(AD119="dnf",SpecialScores!$C$4,MIN( 1000+AD119/SpecialScores!$AA$5*0.0001,(500*LOG(1+99*AD119/SpecialScores!$AA$5))))))</f>
        <v xml:space="preserve"> </v>
      </c>
      <c r="AF119" s="12" t="str">
        <f t="shared" si="55"/>
        <v/>
      </c>
      <c r="AG119" s="38"/>
      <c r="AH119" s="8" t="str">
        <f>IF(ISBLANK(AG119)," ",IF(AG119="np",SpecialScores!$C$3,IF(AG119="dnf",SpecialScores!$C$4,MIN(1000,(500*LOG(1+99*AG119/SpecialScores!$E$3))))))</f>
        <v xml:space="preserve"> </v>
      </c>
      <c r="AI119" s="12" t="str">
        <f t="shared" si="56"/>
        <v/>
      </c>
      <c r="AP119" s="49"/>
    </row>
    <row r="120" spans="1:42" x14ac:dyDescent="0.35">
      <c r="A120" s="42"/>
      <c r="E120" s="33" t="str">
        <f t="shared" si="57"/>
        <v xml:space="preserve"> </v>
      </c>
      <c r="F120" s="33" t="str">
        <f t="shared" si="58"/>
        <v xml:space="preserve"> </v>
      </c>
      <c r="G120" s="7" t="str">
        <f t="shared" si="59"/>
        <v xml:space="preserve"> </v>
      </c>
      <c r="H120" s="7" t="str">
        <f t="shared" si="60"/>
        <v xml:space="preserve"> </v>
      </c>
      <c r="I120" s="38"/>
      <c r="J120" s="8" t="str">
        <f>IF(ISBLANK(I120)," ",IF(I120="np",SpecialScores!$C$3,IF(I120="dnf",SpecialScores!$C$4,MIN( 1000+I120/SpecialScores!$E$3*0.0001,(500*LOG(1+99*I120/SpecialScores!$E$3))))))</f>
        <v xml:space="preserve"> </v>
      </c>
      <c r="K120" s="12" t="str">
        <f t="shared" si="48"/>
        <v/>
      </c>
      <c r="L120" s="38"/>
      <c r="M120" s="8" t="str">
        <f>IF(ISBLANK(L120)," ",IF(L120="np",SpecialScores!$C$3,IF(L120="dnf",SpecialScores!$C$4,MIN( 1000+L120/SpecialScores!$H$3*0.0001,(500*LOG(1+99*L120/SpecialScores!$H$3))))))</f>
        <v xml:space="preserve"> </v>
      </c>
      <c r="N120" s="12" t="str">
        <f t="shared" si="49"/>
        <v/>
      </c>
      <c r="O120" s="38"/>
      <c r="P120" s="8" t="str">
        <f>IF(ISBLANK(O120)," ",IF(O120="np",SpecialScores!$C$3,IF(O120="dnf",SpecialScores!$C$4,MIN(1000,(500*LOG(1+99*O120/SpecialScores!$K$3))))))</f>
        <v xml:space="preserve"> </v>
      </c>
      <c r="Q120" s="12" t="str">
        <f t="shared" si="50"/>
        <v/>
      </c>
      <c r="R120" s="38"/>
      <c r="S120" s="8" t="str">
        <f>IF(ISBLANK(R120)," ",IF(R120="np",SpecialScores!$C$3,IF(R120="dnf",SpecialScores!$C$4,      IF(AND(R120&gt;=0,R120&lt;SpecialScores!$O$12), (500*LOG(1+99*R120/SpecialScores!$O$12*SpecialScores!$O$11/SpecialScores!$O$10)),                         MIN((500*LOG(1+99*SpecialScores!$O$11/R120)))))))</f>
        <v xml:space="preserve"> </v>
      </c>
      <c r="T120" s="12" t="str">
        <f t="shared" si="51"/>
        <v/>
      </c>
      <c r="U120" s="38"/>
      <c r="V120" s="8" t="str">
        <f>IF(ISBLANK(U120)," ",IF(U120="np",SpecialScores!$C$3,IF(U120="dnf",SpecialScores!$C$4,MIN((500*LOG(1+99*U120/SpecialScores!$R$3))))))</f>
        <v xml:space="preserve"> </v>
      </c>
      <c r="W120" s="12" t="str">
        <f t="shared" si="52"/>
        <v/>
      </c>
      <c r="X120" s="38"/>
      <c r="Y120" s="8" t="str">
        <f>IF(ISBLANK(X120)," ",IF(X120="np",SpecialScores!$C$3,IF(X120="dnf",SpecialScores!$C$4,MIN( 1000+X120/SpecialScores!$U$3*0.0001,(500*LOG(1+99*X120/SpecialScores!$U$3))))))</f>
        <v xml:space="preserve"> </v>
      </c>
      <c r="Z120" s="12" t="str">
        <f t="shared" si="53"/>
        <v/>
      </c>
      <c r="AA120" s="38"/>
      <c r="AB120" s="8" t="str">
        <f>IF(ISBLANK(AA120)," ",IF(AA120="np",SpecialScores!$C$3,IF(AA120="dnf",SpecialScores!$C$4,      IF(AND(AA120&gt;=0,AA120&lt;SpecialScores!$X$12), (500*LOG(1+99*AA120/SpecialScores!$X$12*SpecialScores!$X$11/SpecialScores!$X$10)),                         MIN((500*LOG(1+99*SpecialScores!$X$11/AA120)))))))</f>
        <v xml:space="preserve"> </v>
      </c>
      <c r="AC120" s="12" t="str">
        <f t="shared" si="54"/>
        <v/>
      </c>
      <c r="AD120" s="38"/>
      <c r="AE120" s="8" t="str">
        <f>IF(ISBLANK(AD120)," ",IF(AD120="np",SpecialScores!$C$3,IF(AD120="dnf",SpecialScores!$C$4,MIN( 1000+AD120/SpecialScores!$AA$5*0.0001,(500*LOG(1+99*AD120/SpecialScores!$AA$5))))))</f>
        <v xml:space="preserve"> </v>
      </c>
      <c r="AF120" s="12" t="str">
        <f t="shared" si="55"/>
        <v/>
      </c>
      <c r="AG120" s="38"/>
      <c r="AH120" s="8" t="str">
        <f>IF(ISBLANK(AG120)," ",IF(AG120="np",SpecialScores!$C$3,IF(AG120="dnf",SpecialScores!$C$4,MIN(1000,(500*LOG(1+99*AG120/SpecialScores!$E$3))))))</f>
        <v xml:space="preserve"> </v>
      </c>
      <c r="AI120" s="12" t="str">
        <f t="shared" si="56"/>
        <v/>
      </c>
      <c r="AP120" s="49"/>
    </row>
    <row r="121" spans="1:42" x14ac:dyDescent="0.35">
      <c r="A121" s="42"/>
      <c r="E121" s="33" t="str">
        <f t="shared" si="57"/>
        <v xml:space="preserve"> </v>
      </c>
      <c r="F121" s="33" t="str">
        <f t="shared" si="58"/>
        <v xml:space="preserve"> </v>
      </c>
      <c r="G121" s="7" t="str">
        <f t="shared" si="59"/>
        <v xml:space="preserve"> </v>
      </c>
      <c r="H121" s="7" t="str">
        <f t="shared" si="60"/>
        <v xml:space="preserve"> </v>
      </c>
      <c r="I121" s="38"/>
      <c r="J121" s="8" t="str">
        <f>IF(ISBLANK(I121)," ",IF(I121="np",SpecialScores!$C$3,IF(I121="dnf",SpecialScores!$C$4,MIN( 1000+I121/SpecialScores!$E$3*0.0001,(500*LOG(1+99*I121/SpecialScores!$E$3))))))</f>
        <v xml:space="preserve"> </v>
      </c>
      <c r="K121" s="12" t="str">
        <f t="shared" si="48"/>
        <v/>
      </c>
      <c r="L121" s="38"/>
      <c r="M121" s="8" t="str">
        <f>IF(ISBLANK(L121)," ",IF(L121="np",SpecialScores!$C$3,IF(L121="dnf",SpecialScores!$C$4,MIN( 1000+L121/SpecialScores!$H$3*0.0001,(500*LOG(1+99*L121/SpecialScores!$H$3))))))</f>
        <v xml:space="preserve"> </v>
      </c>
      <c r="N121" s="12" t="str">
        <f t="shared" si="49"/>
        <v/>
      </c>
      <c r="O121" s="38"/>
      <c r="P121" s="8" t="str">
        <f>IF(ISBLANK(O121)," ",IF(O121="np",SpecialScores!$C$3,IF(O121="dnf",SpecialScores!$C$4,MIN(1000,(500*LOG(1+99*O121/SpecialScores!$K$3))))))</f>
        <v xml:space="preserve"> </v>
      </c>
      <c r="Q121" s="12" t="str">
        <f t="shared" si="50"/>
        <v/>
      </c>
      <c r="R121" s="38"/>
      <c r="S121" s="8" t="str">
        <f>IF(ISBLANK(R121)," ",IF(R121="np",SpecialScores!$C$3,IF(R121="dnf",SpecialScores!$C$4,      IF(AND(R121&gt;=0,R121&lt;SpecialScores!$O$12), (500*LOG(1+99*R121/SpecialScores!$O$12*SpecialScores!$O$11/SpecialScores!$O$10)),                         MIN((500*LOG(1+99*SpecialScores!$O$11/R121)))))))</f>
        <v xml:space="preserve"> </v>
      </c>
      <c r="T121" s="12" t="str">
        <f t="shared" si="51"/>
        <v/>
      </c>
      <c r="U121" s="38"/>
      <c r="V121" s="8" t="str">
        <f>IF(ISBLANK(U121)," ",IF(U121="np",SpecialScores!$C$3,IF(U121="dnf",SpecialScores!$C$4,MIN((500*LOG(1+99*U121/SpecialScores!$R$3))))))</f>
        <v xml:space="preserve"> </v>
      </c>
      <c r="W121" s="12" t="str">
        <f t="shared" si="52"/>
        <v/>
      </c>
      <c r="X121" s="38"/>
      <c r="Y121" s="8" t="str">
        <f>IF(ISBLANK(X121)," ",IF(X121="np",SpecialScores!$C$3,IF(X121="dnf",SpecialScores!$C$4,MIN( 1000+X121/SpecialScores!$U$3*0.0001,(500*LOG(1+99*X121/SpecialScores!$U$3))))))</f>
        <v xml:space="preserve"> </v>
      </c>
      <c r="Z121" s="12" t="str">
        <f t="shared" si="53"/>
        <v/>
      </c>
      <c r="AA121" s="38"/>
      <c r="AB121" s="8" t="str">
        <f>IF(ISBLANK(AA121)," ",IF(AA121="np",SpecialScores!$C$3,IF(AA121="dnf",SpecialScores!$C$4,      IF(AND(AA121&gt;=0,AA121&lt;SpecialScores!$X$12), (500*LOG(1+99*AA121/SpecialScores!$X$12*SpecialScores!$X$11/SpecialScores!$X$10)),                         MIN((500*LOG(1+99*SpecialScores!$X$11/AA121)))))))</f>
        <v xml:space="preserve"> </v>
      </c>
      <c r="AC121" s="12" t="str">
        <f t="shared" si="54"/>
        <v/>
      </c>
      <c r="AD121" s="38"/>
      <c r="AE121" s="8" t="str">
        <f>IF(ISBLANK(AD121)," ",IF(AD121="np",SpecialScores!$C$3,IF(AD121="dnf",SpecialScores!$C$4,MIN( 1000+AD121/SpecialScores!$AA$5*0.0001,(500*LOG(1+99*AD121/SpecialScores!$AA$5))))))</f>
        <v xml:space="preserve"> </v>
      </c>
      <c r="AF121" s="12" t="str">
        <f t="shared" si="55"/>
        <v/>
      </c>
      <c r="AG121" s="38"/>
      <c r="AH121" s="8" t="str">
        <f>IF(ISBLANK(AG121)," ",IF(AG121="np",SpecialScores!$C$3,IF(AG121="dnf",SpecialScores!$C$4,MIN(1000,(500*LOG(1+99*AG121/SpecialScores!$E$3))))))</f>
        <v xml:space="preserve"> </v>
      </c>
      <c r="AI121" s="12" t="str">
        <f t="shared" si="56"/>
        <v/>
      </c>
      <c r="AP121" s="49"/>
    </row>
    <row r="122" spans="1:42" x14ac:dyDescent="0.35">
      <c r="A122" s="42"/>
      <c r="E122" s="33" t="str">
        <f t="shared" si="57"/>
        <v xml:space="preserve"> </v>
      </c>
      <c r="F122" s="33" t="str">
        <f t="shared" si="58"/>
        <v xml:space="preserve"> </v>
      </c>
      <c r="G122" s="7" t="str">
        <f t="shared" si="59"/>
        <v xml:space="preserve"> </v>
      </c>
      <c r="H122" s="7" t="str">
        <f t="shared" si="60"/>
        <v xml:space="preserve"> </v>
      </c>
      <c r="I122" s="38"/>
      <c r="J122" s="8" t="str">
        <f>IF(ISBLANK(I122)," ",IF(I122="np",SpecialScores!$C$3,IF(I122="dnf",SpecialScores!$C$4,MIN( 1000+I122/SpecialScores!$E$3*0.0001,(500*LOG(1+99*I122/SpecialScores!$E$3))))))</f>
        <v xml:space="preserve"> </v>
      </c>
      <c r="K122" s="12" t="str">
        <f t="shared" si="48"/>
        <v/>
      </c>
      <c r="L122" s="38"/>
      <c r="M122" s="8" t="str">
        <f>IF(ISBLANK(L122)," ",IF(L122="np",SpecialScores!$C$3,IF(L122="dnf",SpecialScores!$C$4,MIN( 1000+L122/SpecialScores!$H$3*0.0001,(500*LOG(1+99*L122/SpecialScores!$H$3))))))</f>
        <v xml:space="preserve"> </v>
      </c>
      <c r="N122" s="12" t="str">
        <f t="shared" si="49"/>
        <v/>
      </c>
      <c r="O122" s="38"/>
      <c r="P122" s="8" t="str">
        <f>IF(ISBLANK(O122)," ",IF(O122="np",SpecialScores!$C$3,IF(O122="dnf",SpecialScores!$C$4,MIN(1000,(500*LOG(1+99*O122/SpecialScores!$K$3))))))</f>
        <v xml:space="preserve"> </v>
      </c>
      <c r="Q122" s="12" t="str">
        <f t="shared" si="50"/>
        <v/>
      </c>
      <c r="R122" s="38"/>
      <c r="S122" s="8" t="str">
        <f>IF(ISBLANK(R122)," ",IF(R122="np",SpecialScores!$C$3,IF(R122="dnf",SpecialScores!$C$4,      IF(AND(R122&gt;=0,R122&lt;SpecialScores!$O$12), (500*LOG(1+99*R122/SpecialScores!$O$12*SpecialScores!$O$11/SpecialScores!$O$10)),                         MIN((500*LOG(1+99*SpecialScores!$O$11/R122)))))))</f>
        <v xml:space="preserve"> </v>
      </c>
      <c r="T122" s="12" t="str">
        <f t="shared" si="51"/>
        <v/>
      </c>
      <c r="U122" s="38"/>
      <c r="V122" s="8" t="str">
        <f>IF(ISBLANK(U122)," ",IF(U122="np",SpecialScores!$C$3,IF(U122="dnf",SpecialScores!$C$4,MIN((500*LOG(1+99*U122/SpecialScores!$R$3))))))</f>
        <v xml:space="preserve"> </v>
      </c>
      <c r="W122" s="12" t="str">
        <f t="shared" si="52"/>
        <v/>
      </c>
      <c r="X122" s="38"/>
      <c r="Y122" s="8" t="str">
        <f>IF(ISBLANK(X122)," ",IF(X122="np",SpecialScores!$C$3,IF(X122="dnf",SpecialScores!$C$4,MIN( 1000+X122/SpecialScores!$U$3*0.0001,(500*LOG(1+99*X122/SpecialScores!$U$3))))))</f>
        <v xml:space="preserve"> </v>
      </c>
      <c r="Z122" s="12" t="str">
        <f t="shared" si="53"/>
        <v/>
      </c>
      <c r="AA122" s="38"/>
      <c r="AB122" s="8" t="str">
        <f>IF(ISBLANK(AA122)," ",IF(AA122="np",SpecialScores!$C$3,IF(AA122="dnf",SpecialScores!$C$4,      IF(AND(AA122&gt;=0,AA122&lt;SpecialScores!$X$12), (500*LOG(1+99*AA122/SpecialScores!$X$12*SpecialScores!$X$11/SpecialScores!$X$10)),                         MIN((500*LOG(1+99*SpecialScores!$X$11/AA122)))))))</f>
        <v xml:space="preserve"> </v>
      </c>
      <c r="AC122" s="12" t="str">
        <f t="shared" si="54"/>
        <v/>
      </c>
      <c r="AD122" s="38"/>
      <c r="AE122" s="8" t="str">
        <f>IF(ISBLANK(AD122)," ",IF(AD122="np",SpecialScores!$C$3,IF(AD122="dnf",SpecialScores!$C$4,MIN( 1000+AD122/SpecialScores!$AA$5*0.0001,(500*LOG(1+99*AD122/SpecialScores!$AA$5))))))</f>
        <v xml:space="preserve"> </v>
      </c>
      <c r="AF122" s="12" t="str">
        <f t="shared" si="55"/>
        <v/>
      </c>
      <c r="AG122" s="38"/>
      <c r="AH122" s="8" t="str">
        <f>IF(ISBLANK(AG122)," ",IF(AG122="np",SpecialScores!$C$3,IF(AG122="dnf",SpecialScores!$C$4,MIN(1000,(500*LOG(1+99*AG122/SpecialScores!$E$3))))))</f>
        <v xml:space="preserve"> </v>
      </c>
      <c r="AI122" s="12" t="str">
        <f t="shared" si="56"/>
        <v/>
      </c>
      <c r="AP122" s="49"/>
    </row>
    <row r="123" spans="1:42" x14ac:dyDescent="0.35">
      <c r="A123" s="42"/>
      <c r="E123" s="33" t="str">
        <f t="shared" si="57"/>
        <v xml:space="preserve"> </v>
      </c>
      <c r="F123" s="33" t="str">
        <f t="shared" si="58"/>
        <v xml:space="preserve"> </v>
      </c>
      <c r="G123" s="7" t="str">
        <f t="shared" si="59"/>
        <v xml:space="preserve"> </v>
      </c>
      <c r="H123" s="7" t="str">
        <f t="shared" si="60"/>
        <v xml:space="preserve"> </v>
      </c>
      <c r="I123" s="38"/>
      <c r="J123" s="8" t="str">
        <f>IF(ISBLANK(I123)," ",IF(I123="np",SpecialScores!$C$3,IF(I123="dnf",SpecialScores!$C$4,MIN( 1000+I123/SpecialScores!$E$3*0.0001,(500*LOG(1+99*I123/SpecialScores!$E$3))))))</f>
        <v xml:space="preserve"> </v>
      </c>
      <c r="K123" s="12" t="str">
        <f t="shared" si="48"/>
        <v/>
      </c>
      <c r="L123" s="38"/>
      <c r="M123" s="8" t="str">
        <f>IF(ISBLANK(L123)," ",IF(L123="np",SpecialScores!$C$3,IF(L123="dnf",SpecialScores!$C$4,MIN( 1000+L123/SpecialScores!$H$3*0.0001,(500*LOG(1+99*L123/SpecialScores!$H$3))))))</f>
        <v xml:space="preserve"> </v>
      </c>
      <c r="N123" s="12" t="str">
        <f t="shared" si="49"/>
        <v/>
      </c>
      <c r="O123" s="38"/>
      <c r="P123" s="8" t="str">
        <f>IF(ISBLANK(O123)," ",IF(O123="np",SpecialScores!$C$3,IF(O123="dnf",SpecialScores!$C$4,MIN(1000,(500*LOG(1+99*O123/SpecialScores!$K$3))))))</f>
        <v xml:space="preserve"> </v>
      </c>
      <c r="Q123" s="12" t="str">
        <f t="shared" si="50"/>
        <v/>
      </c>
      <c r="R123" s="38"/>
      <c r="S123" s="8" t="str">
        <f>IF(ISBLANK(R123)," ",IF(R123="np",SpecialScores!$C$3,IF(R123="dnf",SpecialScores!$C$4,      IF(AND(R123&gt;=0,R123&lt;SpecialScores!$O$12), (500*LOG(1+99*R123/SpecialScores!$O$12*SpecialScores!$O$11/SpecialScores!$O$10)),                         MIN((500*LOG(1+99*SpecialScores!$O$11/R123)))))))</f>
        <v xml:space="preserve"> </v>
      </c>
      <c r="T123" s="12" t="str">
        <f t="shared" si="51"/>
        <v/>
      </c>
      <c r="U123" s="38"/>
      <c r="V123" s="8" t="str">
        <f>IF(ISBLANK(U123)," ",IF(U123="np",SpecialScores!$C$3,IF(U123="dnf",SpecialScores!$C$4,MIN((500*LOG(1+99*U123/SpecialScores!$R$3))))))</f>
        <v xml:space="preserve"> </v>
      </c>
      <c r="W123" s="12" t="str">
        <f t="shared" si="52"/>
        <v/>
      </c>
      <c r="X123" s="38"/>
      <c r="Y123" s="8" t="str">
        <f>IF(ISBLANK(X123)," ",IF(X123="np",SpecialScores!$C$3,IF(X123="dnf",SpecialScores!$C$4,MIN( 1000+X123/SpecialScores!$U$3*0.0001,(500*LOG(1+99*X123/SpecialScores!$U$3))))))</f>
        <v xml:space="preserve"> </v>
      </c>
      <c r="Z123" s="12" t="str">
        <f t="shared" si="53"/>
        <v/>
      </c>
      <c r="AA123" s="38"/>
      <c r="AB123" s="8" t="str">
        <f>IF(ISBLANK(AA123)," ",IF(AA123="np",SpecialScores!$C$3,IF(AA123="dnf",SpecialScores!$C$4,      IF(AND(AA123&gt;=0,AA123&lt;SpecialScores!$X$12), (500*LOG(1+99*AA123/SpecialScores!$X$12*SpecialScores!$X$11/SpecialScores!$X$10)),                         MIN((500*LOG(1+99*SpecialScores!$X$11/AA123)))))))</f>
        <v xml:space="preserve"> </v>
      </c>
      <c r="AC123" s="12" t="str">
        <f t="shared" si="54"/>
        <v/>
      </c>
      <c r="AD123" s="38"/>
      <c r="AE123" s="8" t="str">
        <f>IF(ISBLANK(AD123)," ",IF(AD123="np",SpecialScores!$C$3,IF(AD123="dnf",SpecialScores!$C$4,MIN( 1000+AD123/SpecialScores!$AA$5*0.0001,(500*LOG(1+99*AD123/SpecialScores!$AA$5))))))</f>
        <v xml:space="preserve"> </v>
      </c>
      <c r="AF123" s="12" t="str">
        <f t="shared" si="55"/>
        <v/>
      </c>
      <c r="AG123" s="38"/>
      <c r="AH123" s="8" t="str">
        <f>IF(ISBLANK(AG123)," ",IF(AG123="np",SpecialScores!$C$3,IF(AG123="dnf",SpecialScores!$C$4,MIN(1000,(500*LOG(1+99*AG123/SpecialScores!$E$3))))))</f>
        <v xml:space="preserve"> </v>
      </c>
      <c r="AI123" s="12" t="str">
        <f t="shared" si="56"/>
        <v/>
      </c>
      <c r="AP123" s="49"/>
    </row>
    <row r="124" spans="1:42" x14ac:dyDescent="0.35">
      <c r="A124" s="42"/>
      <c r="E124" s="33" t="str">
        <f t="shared" si="57"/>
        <v xml:space="preserve"> </v>
      </c>
      <c r="F124" s="33" t="str">
        <f t="shared" si="58"/>
        <v xml:space="preserve"> </v>
      </c>
      <c r="G124" s="7" t="str">
        <f t="shared" si="59"/>
        <v xml:space="preserve"> </v>
      </c>
      <c r="H124" s="7" t="str">
        <f t="shared" si="60"/>
        <v xml:space="preserve"> </v>
      </c>
      <c r="I124" s="38"/>
      <c r="J124" s="8" t="str">
        <f>IF(ISBLANK(I124)," ",IF(I124="np",SpecialScores!$C$3,IF(I124="dnf",SpecialScores!$C$4,MIN( 1000+I124/SpecialScores!$E$3*0.0001,(500*LOG(1+99*I124/SpecialScores!$E$3))))))</f>
        <v xml:space="preserve"> </v>
      </c>
      <c r="K124" s="12" t="str">
        <f t="shared" si="48"/>
        <v/>
      </c>
      <c r="L124" s="38"/>
      <c r="M124" s="8" t="str">
        <f>IF(ISBLANK(L124)," ",IF(L124="np",SpecialScores!$C$3,IF(L124="dnf",SpecialScores!$C$4,MIN( 1000+L124/SpecialScores!$H$3*0.0001,(500*LOG(1+99*L124/SpecialScores!$H$3))))))</f>
        <v xml:space="preserve"> </v>
      </c>
      <c r="N124" s="12" t="str">
        <f t="shared" si="49"/>
        <v/>
      </c>
      <c r="O124" s="38"/>
      <c r="P124" s="8" t="str">
        <f>IF(ISBLANK(O124)," ",IF(O124="np",SpecialScores!$C$3,IF(O124="dnf",SpecialScores!$C$4,MIN(1000,(500*LOG(1+99*O124/SpecialScores!$K$3))))))</f>
        <v xml:space="preserve"> </v>
      </c>
      <c r="Q124" s="12" t="str">
        <f t="shared" si="50"/>
        <v/>
      </c>
      <c r="R124" s="38"/>
      <c r="S124" s="8" t="str">
        <f>IF(ISBLANK(R124)," ",IF(R124="np",SpecialScores!$C$3,IF(R124="dnf",SpecialScores!$C$4,      IF(AND(R124&gt;=0,R124&lt;SpecialScores!$O$12), (500*LOG(1+99*R124/SpecialScores!$O$12*SpecialScores!$O$11/SpecialScores!$O$10)),                         MIN((500*LOG(1+99*SpecialScores!$O$11/R124)))))))</f>
        <v xml:space="preserve"> </v>
      </c>
      <c r="T124" s="12" t="str">
        <f t="shared" si="51"/>
        <v/>
      </c>
      <c r="U124" s="38"/>
      <c r="V124" s="8" t="str">
        <f>IF(ISBLANK(U124)," ",IF(U124="np",SpecialScores!$C$3,IF(U124="dnf",SpecialScores!$C$4,MIN((500*LOG(1+99*U124/SpecialScores!$R$3))))))</f>
        <v xml:space="preserve"> </v>
      </c>
      <c r="W124" s="12" t="str">
        <f t="shared" si="52"/>
        <v/>
      </c>
      <c r="X124" s="38"/>
      <c r="Y124" s="8" t="str">
        <f>IF(ISBLANK(X124)," ",IF(X124="np",SpecialScores!$C$3,IF(X124="dnf",SpecialScores!$C$4,MIN( 1000+X124/SpecialScores!$U$3*0.0001,(500*LOG(1+99*X124/SpecialScores!$U$3))))))</f>
        <v xml:space="preserve"> </v>
      </c>
      <c r="Z124" s="12" t="str">
        <f t="shared" si="53"/>
        <v/>
      </c>
      <c r="AA124" s="38"/>
      <c r="AB124" s="8" t="str">
        <f>IF(ISBLANK(AA124)," ",IF(AA124="np",SpecialScores!$C$3,IF(AA124="dnf",SpecialScores!$C$4,      IF(AND(AA124&gt;=0,AA124&lt;SpecialScores!$X$12), (500*LOG(1+99*AA124/SpecialScores!$X$12*SpecialScores!$X$11/SpecialScores!$X$10)),                         MIN((500*LOG(1+99*SpecialScores!$X$11/AA124)))))))</f>
        <v xml:space="preserve"> </v>
      </c>
      <c r="AC124" s="12" t="str">
        <f t="shared" si="54"/>
        <v/>
      </c>
      <c r="AD124" s="38"/>
      <c r="AE124" s="8" t="str">
        <f>IF(ISBLANK(AD124)," ",IF(AD124="np",SpecialScores!$C$3,IF(AD124="dnf",SpecialScores!$C$4,MIN( 1000+AD124/SpecialScores!$AA$5*0.0001,(500*LOG(1+99*AD124/SpecialScores!$AA$5))))))</f>
        <v xml:space="preserve"> </v>
      </c>
      <c r="AF124" s="12" t="str">
        <f t="shared" si="55"/>
        <v/>
      </c>
      <c r="AG124" s="38"/>
      <c r="AH124" s="8" t="str">
        <f>IF(ISBLANK(AG124)," ",IF(AG124="np",SpecialScores!$C$3,IF(AG124="dnf",SpecialScores!$C$4,MIN(1000,(500*LOG(1+99*AG124/SpecialScores!$E$3))))))</f>
        <v xml:space="preserve"> </v>
      </c>
      <c r="AI124" s="12" t="str">
        <f t="shared" si="56"/>
        <v/>
      </c>
      <c r="AP124" s="49"/>
    </row>
    <row r="125" spans="1:42" x14ac:dyDescent="0.35">
      <c r="A125" s="42"/>
      <c r="E125" s="33" t="str">
        <f t="shared" si="57"/>
        <v xml:space="preserve"> </v>
      </c>
      <c r="F125" s="33" t="str">
        <f t="shared" si="58"/>
        <v xml:space="preserve"> </v>
      </c>
      <c r="G125" s="7" t="str">
        <f t="shared" si="59"/>
        <v xml:space="preserve"> </v>
      </c>
      <c r="H125" s="7" t="str">
        <f t="shared" si="60"/>
        <v xml:space="preserve"> </v>
      </c>
      <c r="I125" s="38"/>
      <c r="J125" s="8" t="str">
        <f>IF(ISBLANK(I125)," ",IF(I125="np",SpecialScores!$C$3,IF(I125="dnf",SpecialScores!$C$4,MIN( 1000+I125/SpecialScores!$E$3*0.0001,(500*LOG(1+99*I125/SpecialScores!$E$3))))))</f>
        <v xml:space="preserve"> </v>
      </c>
      <c r="K125" s="12" t="str">
        <f t="shared" si="48"/>
        <v/>
      </c>
      <c r="L125" s="38"/>
      <c r="M125" s="8" t="str">
        <f>IF(ISBLANK(L125)," ",IF(L125="np",SpecialScores!$C$3,IF(L125="dnf",SpecialScores!$C$4,MIN( 1000+L125/SpecialScores!$H$3*0.0001,(500*LOG(1+99*L125/SpecialScores!$H$3))))))</f>
        <v xml:space="preserve"> </v>
      </c>
      <c r="N125" s="12" t="str">
        <f t="shared" si="49"/>
        <v/>
      </c>
      <c r="O125" s="38"/>
      <c r="P125" s="8" t="str">
        <f>IF(ISBLANK(O125)," ",IF(O125="np",SpecialScores!$C$3,IF(O125="dnf",SpecialScores!$C$4,MIN(1000,(500*LOG(1+99*O125/SpecialScores!$K$3))))))</f>
        <v xml:space="preserve"> </v>
      </c>
      <c r="Q125" s="12" t="str">
        <f t="shared" si="50"/>
        <v/>
      </c>
      <c r="R125" s="38"/>
      <c r="S125" s="8" t="str">
        <f>IF(ISBLANK(R125)," ",IF(R125="np",SpecialScores!$C$3,IF(R125="dnf",SpecialScores!$C$4,      IF(AND(R125&gt;=0,R125&lt;SpecialScores!$O$12), (500*LOG(1+99*R125/SpecialScores!$O$12*SpecialScores!$O$11/SpecialScores!$O$10)),                         MIN((500*LOG(1+99*SpecialScores!$O$11/R125)))))))</f>
        <v xml:space="preserve"> </v>
      </c>
      <c r="T125" s="12" t="str">
        <f t="shared" si="51"/>
        <v/>
      </c>
      <c r="U125" s="38"/>
      <c r="V125" s="8" t="str">
        <f>IF(ISBLANK(U125)," ",IF(U125="np",SpecialScores!$C$3,IF(U125="dnf",SpecialScores!$C$4,MIN((500*LOG(1+99*U125/SpecialScores!$R$3))))))</f>
        <v xml:space="preserve"> </v>
      </c>
      <c r="W125" s="12" t="str">
        <f t="shared" si="52"/>
        <v/>
      </c>
      <c r="X125" s="38"/>
      <c r="Y125" s="8" t="str">
        <f>IF(ISBLANK(X125)," ",IF(X125="np",SpecialScores!$C$3,IF(X125="dnf",SpecialScores!$C$4,MIN( 1000+X125/SpecialScores!$U$3*0.0001,(500*LOG(1+99*X125/SpecialScores!$U$3))))))</f>
        <v xml:space="preserve"> </v>
      </c>
      <c r="Z125" s="12" t="str">
        <f t="shared" si="53"/>
        <v/>
      </c>
      <c r="AA125" s="38"/>
      <c r="AB125" s="8" t="str">
        <f>IF(ISBLANK(AA125)," ",IF(AA125="np",SpecialScores!$C$3,IF(AA125="dnf",SpecialScores!$C$4,      IF(AND(AA125&gt;=0,AA125&lt;SpecialScores!$X$12), (500*LOG(1+99*AA125/SpecialScores!$X$12*SpecialScores!$X$11/SpecialScores!$X$10)),                         MIN((500*LOG(1+99*SpecialScores!$X$11/AA125)))))))</f>
        <v xml:space="preserve"> </v>
      </c>
      <c r="AC125" s="12" t="str">
        <f t="shared" si="54"/>
        <v/>
      </c>
      <c r="AD125" s="38"/>
      <c r="AE125" s="8" t="str">
        <f>IF(ISBLANK(AD125)," ",IF(AD125="np",SpecialScores!$C$3,IF(AD125="dnf",SpecialScores!$C$4,MIN( 1000+AD125/SpecialScores!$AA$5*0.0001,(500*LOG(1+99*AD125/SpecialScores!$AA$5))))))</f>
        <v xml:space="preserve"> </v>
      </c>
      <c r="AF125" s="12" t="str">
        <f t="shared" si="55"/>
        <v/>
      </c>
      <c r="AG125" s="38"/>
      <c r="AH125" s="8" t="str">
        <f>IF(ISBLANK(AG125)," ",IF(AG125="np",SpecialScores!$C$3,IF(AG125="dnf",SpecialScores!$C$4,MIN(1000,(500*LOG(1+99*AG125/SpecialScores!$E$3))))))</f>
        <v xml:space="preserve"> </v>
      </c>
      <c r="AI125" s="12" t="str">
        <f t="shared" si="56"/>
        <v/>
      </c>
      <c r="AP125" s="49"/>
    </row>
    <row r="126" spans="1:42" x14ac:dyDescent="0.35">
      <c r="A126" s="42"/>
      <c r="E126" s="33" t="str">
        <f t="shared" si="57"/>
        <v xml:space="preserve"> </v>
      </c>
      <c r="F126" s="33" t="str">
        <f t="shared" si="58"/>
        <v xml:space="preserve"> </v>
      </c>
      <c r="G126" s="7" t="str">
        <f t="shared" si="59"/>
        <v xml:space="preserve"> </v>
      </c>
      <c r="H126" s="7" t="str">
        <f t="shared" si="60"/>
        <v xml:space="preserve"> </v>
      </c>
      <c r="I126" s="38"/>
      <c r="J126" s="8" t="str">
        <f>IF(ISBLANK(I126)," ",IF(I126="np",SpecialScores!$C$3,IF(I126="dnf",SpecialScores!$C$4,MIN( 1000+I126/SpecialScores!$E$3*0.0001,(500*LOG(1+99*I126/SpecialScores!$E$3))))))</f>
        <v xml:space="preserve"> </v>
      </c>
      <c r="K126" s="12" t="str">
        <f t="shared" si="48"/>
        <v/>
      </c>
      <c r="L126" s="38"/>
      <c r="M126" s="8" t="str">
        <f>IF(ISBLANK(L126)," ",IF(L126="np",SpecialScores!$C$3,IF(L126="dnf",SpecialScores!$C$4,MIN( 1000+L126/SpecialScores!$H$3*0.0001,(500*LOG(1+99*L126/SpecialScores!$H$3))))))</f>
        <v xml:space="preserve"> </v>
      </c>
      <c r="N126" s="12" t="str">
        <f t="shared" si="49"/>
        <v/>
      </c>
      <c r="O126" s="38"/>
      <c r="P126" s="8" t="str">
        <f>IF(ISBLANK(O126)," ",IF(O126="np",SpecialScores!$C$3,IF(O126="dnf",SpecialScores!$C$4,MIN(1000,(500*LOG(1+99*O126/SpecialScores!$K$3))))))</f>
        <v xml:space="preserve"> </v>
      </c>
      <c r="Q126" s="12" t="str">
        <f t="shared" si="50"/>
        <v/>
      </c>
      <c r="R126" s="38"/>
      <c r="S126" s="8" t="str">
        <f>IF(ISBLANK(R126)," ",IF(R126="np",SpecialScores!$C$3,IF(R126="dnf",SpecialScores!$C$4,      IF(AND(R126&gt;=0,R126&lt;SpecialScores!$O$12), (500*LOG(1+99*R126/SpecialScores!$O$12*SpecialScores!$O$11/SpecialScores!$O$10)),                         MIN((500*LOG(1+99*SpecialScores!$O$11/R126)))))))</f>
        <v xml:space="preserve"> </v>
      </c>
      <c r="T126" s="12" t="str">
        <f t="shared" si="51"/>
        <v/>
      </c>
      <c r="U126" s="38"/>
      <c r="V126" s="8" t="str">
        <f>IF(ISBLANK(U126)," ",IF(U126="np",SpecialScores!$C$3,IF(U126="dnf",SpecialScores!$C$4,MIN((500*LOG(1+99*U126/SpecialScores!$R$3))))))</f>
        <v xml:space="preserve"> </v>
      </c>
      <c r="W126" s="12" t="str">
        <f t="shared" si="52"/>
        <v/>
      </c>
      <c r="X126" s="38"/>
      <c r="Y126" s="8" t="str">
        <f>IF(ISBLANK(X126)," ",IF(X126="np",SpecialScores!$C$3,IF(X126="dnf",SpecialScores!$C$4,MIN( 1000+X126/SpecialScores!$U$3*0.0001,(500*LOG(1+99*X126/SpecialScores!$U$3))))))</f>
        <v xml:space="preserve"> </v>
      </c>
      <c r="Z126" s="12" t="str">
        <f t="shared" si="53"/>
        <v/>
      </c>
      <c r="AA126" s="38"/>
      <c r="AB126" s="8" t="str">
        <f>IF(ISBLANK(AA126)," ",IF(AA126="np",SpecialScores!$C$3,IF(AA126="dnf",SpecialScores!$C$4,      IF(AND(AA126&gt;=0,AA126&lt;SpecialScores!$X$12), (500*LOG(1+99*AA126/SpecialScores!$X$12*SpecialScores!$X$11/SpecialScores!$X$10)),                         MIN((500*LOG(1+99*SpecialScores!$X$11/AA126)))))))</f>
        <v xml:space="preserve"> </v>
      </c>
      <c r="AC126" s="12" t="str">
        <f t="shared" si="54"/>
        <v/>
      </c>
      <c r="AD126" s="38"/>
      <c r="AE126" s="8" t="str">
        <f>IF(ISBLANK(AD126)," ",IF(AD126="np",SpecialScores!$C$3,IF(AD126="dnf",SpecialScores!$C$4,MIN( 1000+AD126/SpecialScores!$AA$5*0.0001,(500*LOG(1+99*AD126/SpecialScores!$AA$5))))))</f>
        <v xml:space="preserve"> </v>
      </c>
      <c r="AF126" s="12" t="str">
        <f t="shared" si="55"/>
        <v/>
      </c>
      <c r="AG126" s="38"/>
      <c r="AH126" s="8" t="str">
        <f>IF(ISBLANK(AG126)," ",IF(AG126="np",SpecialScores!$C$3,IF(AG126="dnf",SpecialScores!$C$4,MIN(1000,(500*LOG(1+99*AG126/SpecialScores!$E$3))))))</f>
        <v xml:space="preserve"> </v>
      </c>
      <c r="AI126" s="12" t="str">
        <f t="shared" si="56"/>
        <v/>
      </c>
      <c r="AP126" s="49"/>
    </row>
    <row r="127" spans="1:42" x14ac:dyDescent="0.35">
      <c r="A127" s="42"/>
      <c r="E127" s="33" t="str">
        <f t="shared" si="57"/>
        <v xml:space="preserve"> </v>
      </c>
      <c r="F127" s="33" t="str">
        <f t="shared" si="58"/>
        <v xml:space="preserve"> </v>
      </c>
      <c r="G127" s="7" t="str">
        <f t="shared" si="59"/>
        <v xml:space="preserve"> </v>
      </c>
      <c r="H127" s="7" t="str">
        <f t="shared" si="60"/>
        <v xml:space="preserve"> </v>
      </c>
      <c r="I127" s="38"/>
      <c r="J127" s="8" t="str">
        <f>IF(ISBLANK(I127)," ",IF(I127="np",SpecialScores!$C$3,IF(I127="dnf",SpecialScores!$C$4,MIN( 1000+I127/SpecialScores!$E$3*0.0001,(500*LOG(1+99*I127/SpecialScores!$E$3))))))</f>
        <v xml:space="preserve"> </v>
      </c>
      <c r="K127" s="12" t="str">
        <f t="shared" si="48"/>
        <v/>
      </c>
      <c r="L127" s="38"/>
      <c r="M127" s="8" t="str">
        <f>IF(ISBLANK(L127)," ",IF(L127="np",SpecialScores!$C$3,IF(L127="dnf",SpecialScores!$C$4,MIN( 1000+L127/SpecialScores!$H$3*0.0001,(500*LOG(1+99*L127/SpecialScores!$H$3))))))</f>
        <v xml:space="preserve"> </v>
      </c>
      <c r="N127" s="12" t="str">
        <f t="shared" si="49"/>
        <v/>
      </c>
      <c r="O127" s="38"/>
      <c r="P127" s="8" t="str">
        <f>IF(ISBLANK(O127)," ",IF(O127="np",SpecialScores!$C$3,IF(O127="dnf",SpecialScores!$C$4,MIN(1000,(500*LOG(1+99*O127/SpecialScores!$K$3))))))</f>
        <v xml:space="preserve"> </v>
      </c>
      <c r="Q127" s="12" t="str">
        <f t="shared" si="50"/>
        <v/>
      </c>
      <c r="R127" s="38"/>
      <c r="S127" s="8" t="str">
        <f>IF(ISBLANK(R127)," ",IF(R127="np",SpecialScores!$C$3,IF(R127="dnf",SpecialScores!$C$4,      IF(AND(R127&gt;=0,R127&lt;SpecialScores!$O$12), (500*LOG(1+99*R127/SpecialScores!$O$12*SpecialScores!$O$11/SpecialScores!$O$10)),                         MIN((500*LOG(1+99*SpecialScores!$O$11/R127)))))))</f>
        <v xml:space="preserve"> </v>
      </c>
      <c r="T127" s="12" t="str">
        <f t="shared" si="51"/>
        <v/>
      </c>
      <c r="U127" s="38"/>
      <c r="V127" s="8" t="str">
        <f>IF(ISBLANK(U127)," ",IF(U127="np",SpecialScores!$C$3,IF(U127="dnf",SpecialScores!$C$4,MIN((500*LOG(1+99*U127/SpecialScores!$R$3))))))</f>
        <v xml:space="preserve"> </v>
      </c>
      <c r="W127" s="12" t="str">
        <f t="shared" si="52"/>
        <v/>
      </c>
      <c r="X127" s="38"/>
      <c r="Y127" s="8" t="str">
        <f>IF(ISBLANK(X127)," ",IF(X127="np",SpecialScores!$C$3,IF(X127="dnf",SpecialScores!$C$4,MIN( 1000+X127/SpecialScores!$U$3*0.0001,(500*LOG(1+99*X127/SpecialScores!$U$3))))))</f>
        <v xml:space="preserve"> </v>
      </c>
      <c r="Z127" s="12" t="str">
        <f t="shared" si="53"/>
        <v/>
      </c>
      <c r="AA127" s="38"/>
      <c r="AB127" s="8" t="str">
        <f>IF(ISBLANK(AA127)," ",IF(AA127="np",SpecialScores!$C$3,IF(AA127="dnf",SpecialScores!$C$4,      IF(AND(AA127&gt;=0,AA127&lt;SpecialScores!$X$12), (500*LOG(1+99*AA127/SpecialScores!$X$12*SpecialScores!$X$11/SpecialScores!$X$10)),                         MIN((500*LOG(1+99*SpecialScores!$X$11/AA127)))))))</f>
        <v xml:space="preserve"> </v>
      </c>
      <c r="AC127" s="12" t="str">
        <f t="shared" si="54"/>
        <v/>
      </c>
      <c r="AD127" s="38"/>
      <c r="AE127" s="8" t="str">
        <f>IF(ISBLANK(AD127)," ",IF(AD127="np",SpecialScores!$C$3,IF(AD127="dnf",SpecialScores!$C$4,MIN( 1000+AD127/SpecialScores!$AA$5*0.0001,(500*LOG(1+99*AD127/SpecialScores!$AA$5))))))</f>
        <v xml:space="preserve"> </v>
      </c>
      <c r="AF127" s="12" t="str">
        <f t="shared" si="55"/>
        <v/>
      </c>
      <c r="AG127" s="38"/>
      <c r="AH127" s="8" t="str">
        <f>IF(ISBLANK(AG127)," ",IF(AG127="np",SpecialScores!$C$3,IF(AG127="dnf",SpecialScores!$C$4,MIN(1000,(500*LOG(1+99*AG127/SpecialScores!$E$3))))))</f>
        <v xml:space="preserve"> </v>
      </c>
      <c r="AI127" s="12" t="str">
        <f t="shared" si="56"/>
        <v/>
      </c>
      <c r="AP127" s="49"/>
    </row>
    <row r="128" spans="1:42" x14ac:dyDescent="0.35">
      <c r="A128" s="42"/>
      <c r="E128" s="33" t="str">
        <f t="shared" si="57"/>
        <v xml:space="preserve"> </v>
      </c>
      <c r="F128" s="33" t="str">
        <f t="shared" si="58"/>
        <v xml:space="preserve"> </v>
      </c>
      <c r="G128" s="7" t="str">
        <f t="shared" si="59"/>
        <v xml:space="preserve"> </v>
      </c>
      <c r="H128" s="7" t="str">
        <f t="shared" si="60"/>
        <v xml:space="preserve"> </v>
      </c>
      <c r="I128" s="38"/>
      <c r="J128" s="8" t="str">
        <f>IF(ISBLANK(I128)," ",IF(I128="np",SpecialScores!$C$3,IF(I128="dnf",SpecialScores!$C$4,MIN( 1000+I128/SpecialScores!$E$3*0.0001,(500*LOG(1+99*I128/SpecialScores!$E$3))))))</f>
        <v xml:space="preserve"> </v>
      </c>
      <c r="K128" s="12" t="str">
        <f t="shared" si="48"/>
        <v/>
      </c>
      <c r="L128" s="38"/>
      <c r="M128" s="8" t="str">
        <f>IF(ISBLANK(L128)," ",IF(L128="np",SpecialScores!$C$3,IF(L128="dnf",SpecialScores!$C$4,MIN( 1000+L128/SpecialScores!$H$3*0.0001,(500*LOG(1+99*L128/SpecialScores!$H$3))))))</f>
        <v xml:space="preserve"> </v>
      </c>
      <c r="N128" s="12" t="str">
        <f t="shared" si="49"/>
        <v/>
      </c>
      <c r="O128" s="38"/>
      <c r="P128" s="8" t="str">
        <f>IF(ISBLANK(O128)," ",IF(O128="np",SpecialScores!$C$3,IF(O128="dnf",SpecialScores!$C$4,MIN(1000,(500*LOG(1+99*O128/SpecialScores!$K$3))))))</f>
        <v xml:space="preserve"> </v>
      </c>
      <c r="Q128" s="12" t="str">
        <f t="shared" si="50"/>
        <v/>
      </c>
      <c r="R128" s="38"/>
      <c r="S128" s="8" t="str">
        <f>IF(ISBLANK(R128)," ",IF(R128="np",SpecialScores!$C$3,IF(R128="dnf",SpecialScores!$C$4,      IF(AND(R128&gt;=0,R128&lt;SpecialScores!$O$12), (500*LOG(1+99*R128/SpecialScores!$O$12*SpecialScores!$O$11/SpecialScores!$O$10)),                         MIN((500*LOG(1+99*SpecialScores!$O$11/R128)))))))</f>
        <v xml:space="preserve"> </v>
      </c>
      <c r="T128" s="12" t="str">
        <f t="shared" si="51"/>
        <v/>
      </c>
      <c r="U128" s="38"/>
      <c r="V128" s="8" t="str">
        <f>IF(ISBLANK(U128)," ",IF(U128="np",SpecialScores!$C$3,IF(U128="dnf",SpecialScores!$C$4,MIN((500*LOG(1+99*U128/SpecialScores!$R$3))))))</f>
        <v xml:space="preserve"> </v>
      </c>
      <c r="W128" s="12" t="str">
        <f t="shared" si="52"/>
        <v/>
      </c>
      <c r="X128" s="38"/>
      <c r="Y128" s="8" t="str">
        <f>IF(ISBLANK(X128)," ",IF(X128="np",SpecialScores!$C$3,IF(X128="dnf",SpecialScores!$C$4,MIN( 1000+X128/SpecialScores!$U$3*0.0001,(500*LOG(1+99*X128/SpecialScores!$U$3))))))</f>
        <v xml:space="preserve"> </v>
      </c>
      <c r="Z128" s="12" t="str">
        <f t="shared" si="53"/>
        <v/>
      </c>
      <c r="AA128" s="38"/>
      <c r="AB128" s="8" t="str">
        <f>IF(ISBLANK(AA128)," ",IF(AA128="np",SpecialScores!$C$3,IF(AA128="dnf",SpecialScores!$C$4,      IF(AND(AA128&gt;=0,AA128&lt;SpecialScores!$X$12), (500*LOG(1+99*AA128/SpecialScores!$X$12*SpecialScores!$X$11/SpecialScores!$X$10)),                         MIN((500*LOG(1+99*SpecialScores!$X$11/AA128)))))))</f>
        <v xml:space="preserve"> </v>
      </c>
      <c r="AC128" s="12" t="str">
        <f t="shared" si="54"/>
        <v/>
      </c>
      <c r="AD128" s="38"/>
      <c r="AE128" s="8" t="str">
        <f>IF(ISBLANK(AD128)," ",IF(AD128="np",SpecialScores!$C$3,IF(AD128="dnf",SpecialScores!$C$4,MIN( 1000+AD128/SpecialScores!$AA$5*0.0001,(500*LOG(1+99*AD128/SpecialScores!$AA$5))))))</f>
        <v xml:space="preserve"> </v>
      </c>
      <c r="AF128" s="12" t="str">
        <f t="shared" si="55"/>
        <v/>
      </c>
      <c r="AG128" s="38"/>
      <c r="AH128" s="8" t="str">
        <f>IF(ISBLANK(AG128)," ",IF(AG128="np",SpecialScores!$C$3,IF(AG128="dnf",SpecialScores!$C$4,MIN(1000,(500*LOG(1+99*AG128/SpecialScores!$E$3))))))</f>
        <v xml:space="preserve"> </v>
      </c>
      <c r="AI128" s="12" t="str">
        <f t="shared" si="56"/>
        <v/>
      </c>
      <c r="AP128" s="49"/>
    </row>
    <row r="129" spans="1:42" x14ac:dyDescent="0.35">
      <c r="A129" s="42"/>
      <c r="E129" s="33" t="str">
        <f t="shared" si="57"/>
        <v xml:space="preserve"> </v>
      </c>
      <c r="F129" s="33" t="str">
        <f t="shared" si="58"/>
        <v xml:space="preserve"> </v>
      </c>
      <c r="G129" s="7" t="str">
        <f t="shared" si="59"/>
        <v xml:space="preserve"> </v>
      </c>
      <c r="H129" s="7" t="str">
        <f t="shared" si="60"/>
        <v xml:space="preserve"> </v>
      </c>
      <c r="I129" s="38"/>
      <c r="J129" s="8" t="str">
        <f>IF(ISBLANK(I129)," ",IF(I129="np",SpecialScores!$C$3,IF(I129="dnf",SpecialScores!$C$4,MIN( 1000+I129/SpecialScores!$E$3*0.0001,(500*LOG(1+99*I129/SpecialScores!$E$3))))))</f>
        <v xml:space="preserve"> </v>
      </c>
      <c r="K129" s="12" t="str">
        <f t="shared" si="48"/>
        <v/>
      </c>
      <c r="L129" s="38"/>
      <c r="M129" s="8" t="str">
        <f>IF(ISBLANK(L129)," ",IF(L129="np",SpecialScores!$C$3,IF(L129="dnf",SpecialScores!$C$4,MIN( 1000+L129/SpecialScores!$H$3*0.0001,(500*LOG(1+99*L129/SpecialScores!$H$3))))))</f>
        <v xml:space="preserve"> </v>
      </c>
      <c r="N129" s="12" t="str">
        <f t="shared" si="49"/>
        <v/>
      </c>
      <c r="O129" s="38"/>
      <c r="P129" s="8" t="str">
        <f>IF(ISBLANK(O129)," ",IF(O129="np",SpecialScores!$C$3,IF(O129="dnf",SpecialScores!$C$4,MIN(1000,(500*LOG(1+99*O129/SpecialScores!$K$3))))))</f>
        <v xml:space="preserve"> </v>
      </c>
      <c r="Q129" s="12" t="str">
        <f t="shared" si="50"/>
        <v/>
      </c>
      <c r="R129" s="38"/>
      <c r="S129" s="8" t="str">
        <f>IF(ISBLANK(R129)," ",IF(R129="np",SpecialScores!$C$3,IF(R129="dnf",SpecialScores!$C$4,      IF(AND(R129&gt;=0,R129&lt;SpecialScores!$O$12), (500*LOG(1+99*R129/SpecialScores!$O$12*SpecialScores!$O$11/SpecialScores!$O$10)),                         MIN((500*LOG(1+99*SpecialScores!$O$11/R129)))))))</f>
        <v xml:space="preserve"> </v>
      </c>
      <c r="T129" s="12" t="str">
        <f t="shared" si="51"/>
        <v/>
      </c>
      <c r="U129" s="38"/>
      <c r="V129" s="8" t="str">
        <f>IF(ISBLANK(U129)," ",IF(U129="np",SpecialScores!$C$3,IF(U129="dnf",SpecialScores!$C$4,MIN((500*LOG(1+99*U129/SpecialScores!$R$3))))))</f>
        <v xml:space="preserve"> </v>
      </c>
      <c r="W129" s="12" t="str">
        <f t="shared" si="52"/>
        <v/>
      </c>
      <c r="X129" s="38"/>
      <c r="Y129" s="8" t="str">
        <f>IF(ISBLANK(X129)," ",IF(X129="np",SpecialScores!$C$3,IF(X129="dnf",SpecialScores!$C$4,MIN( 1000+X129/SpecialScores!$U$3*0.0001,(500*LOG(1+99*X129/SpecialScores!$U$3))))))</f>
        <v xml:space="preserve"> </v>
      </c>
      <c r="Z129" s="12" t="str">
        <f t="shared" si="53"/>
        <v/>
      </c>
      <c r="AA129" s="38"/>
      <c r="AB129" s="8" t="str">
        <f>IF(ISBLANK(AA129)," ",IF(AA129="np",SpecialScores!$C$3,IF(AA129="dnf",SpecialScores!$C$4,      IF(AND(AA129&gt;=0,AA129&lt;SpecialScores!$X$12), (500*LOG(1+99*AA129/SpecialScores!$X$12*SpecialScores!$X$11/SpecialScores!$X$10)),                         MIN((500*LOG(1+99*SpecialScores!$X$11/AA129)))))))</f>
        <v xml:space="preserve"> </v>
      </c>
      <c r="AC129" s="12" t="str">
        <f t="shared" si="54"/>
        <v/>
      </c>
      <c r="AD129" s="38"/>
      <c r="AE129" s="8" t="str">
        <f>IF(ISBLANK(AD129)," ",IF(AD129="np",SpecialScores!$C$3,IF(AD129="dnf",SpecialScores!$C$4,MIN( 1000+AD129/SpecialScores!$AA$5*0.0001,(500*LOG(1+99*AD129/SpecialScores!$AA$5))))))</f>
        <v xml:space="preserve"> </v>
      </c>
      <c r="AF129" s="12" t="str">
        <f t="shared" si="55"/>
        <v/>
      </c>
      <c r="AG129" s="38"/>
      <c r="AH129" s="8" t="str">
        <f>IF(ISBLANK(AG129)," ",IF(AG129="np",SpecialScores!$C$3,IF(AG129="dnf",SpecialScores!$C$4,MIN(1000,(500*LOG(1+99*AG129/SpecialScores!$E$3))))))</f>
        <v xml:space="preserve"> </v>
      </c>
      <c r="AI129" s="12" t="str">
        <f t="shared" si="56"/>
        <v/>
      </c>
      <c r="AP129" s="49"/>
    </row>
    <row r="130" spans="1:42" x14ac:dyDescent="0.35">
      <c r="A130" s="42"/>
      <c r="E130" s="33" t="str">
        <f t="shared" si="57"/>
        <v xml:space="preserve"> </v>
      </c>
      <c r="F130" s="33" t="str">
        <f t="shared" si="58"/>
        <v xml:space="preserve"> </v>
      </c>
      <c r="G130" s="7" t="str">
        <f t="shared" si="59"/>
        <v xml:space="preserve"> </v>
      </c>
      <c r="H130" s="7" t="str">
        <f t="shared" si="60"/>
        <v xml:space="preserve"> </v>
      </c>
      <c r="I130" s="38"/>
      <c r="J130" s="8" t="str">
        <f>IF(ISBLANK(I130)," ",IF(I130="np",SpecialScores!$C$3,IF(I130="dnf",SpecialScores!$C$4,MIN( 1000+I130/SpecialScores!$E$3*0.0001,(500*LOG(1+99*I130/SpecialScores!$E$3))))))</f>
        <v xml:space="preserve"> </v>
      </c>
      <c r="K130" s="12" t="str">
        <f t="shared" si="48"/>
        <v/>
      </c>
      <c r="L130" s="38"/>
      <c r="M130" s="8" t="str">
        <f>IF(ISBLANK(L130)," ",IF(L130="np",SpecialScores!$C$3,IF(L130="dnf",SpecialScores!$C$4,MIN( 1000+L130/SpecialScores!$H$3*0.0001,(500*LOG(1+99*L130/SpecialScores!$H$3))))))</f>
        <v xml:space="preserve"> </v>
      </c>
      <c r="N130" s="12" t="str">
        <f t="shared" si="49"/>
        <v/>
      </c>
      <c r="O130" s="38"/>
      <c r="P130" s="8" t="str">
        <f>IF(ISBLANK(O130)," ",IF(O130="np",SpecialScores!$C$3,IF(O130="dnf",SpecialScores!$C$4,MIN(1000,(500*LOG(1+99*O130/SpecialScores!$K$3))))))</f>
        <v xml:space="preserve"> </v>
      </c>
      <c r="Q130" s="12" t="str">
        <f t="shared" si="50"/>
        <v/>
      </c>
      <c r="R130" s="38"/>
      <c r="S130" s="8" t="str">
        <f>IF(ISBLANK(R130)," ",IF(R130="np",SpecialScores!$C$3,IF(R130="dnf",SpecialScores!$C$4,      IF(AND(R130&gt;=0,R130&lt;SpecialScores!$O$12), (500*LOG(1+99*R130/SpecialScores!$O$12*SpecialScores!$O$11/SpecialScores!$O$10)),                         MIN((500*LOG(1+99*SpecialScores!$O$11/R130)))))))</f>
        <v xml:space="preserve"> </v>
      </c>
      <c r="T130" s="12" t="str">
        <f t="shared" si="51"/>
        <v/>
      </c>
      <c r="U130" s="38"/>
      <c r="V130" s="8" t="str">
        <f>IF(ISBLANK(U130)," ",IF(U130="np",SpecialScores!$C$3,IF(U130="dnf",SpecialScores!$C$4,MIN((500*LOG(1+99*U130/SpecialScores!$R$3))))))</f>
        <v xml:space="preserve"> </v>
      </c>
      <c r="W130" s="12" t="str">
        <f t="shared" si="52"/>
        <v/>
      </c>
      <c r="X130" s="38"/>
      <c r="Y130" s="8" t="str">
        <f>IF(ISBLANK(X130)," ",IF(X130="np",SpecialScores!$C$3,IF(X130="dnf",SpecialScores!$C$4,MIN( 1000+X130/SpecialScores!$U$3*0.0001,(500*LOG(1+99*X130/SpecialScores!$U$3))))))</f>
        <v xml:space="preserve"> </v>
      </c>
      <c r="Z130" s="12" t="str">
        <f t="shared" si="53"/>
        <v/>
      </c>
      <c r="AA130" s="38"/>
      <c r="AB130" s="8" t="str">
        <f>IF(ISBLANK(AA130)," ",IF(AA130="np",SpecialScores!$C$3,IF(AA130="dnf",SpecialScores!$C$4,      IF(AND(AA130&gt;=0,AA130&lt;SpecialScores!$X$12), (500*LOG(1+99*AA130/SpecialScores!$X$12*SpecialScores!$X$11/SpecialScores!$X$10)),                         MIN((500*LOG(1+99*SpecialScores!$X$11/AA130)))))))</f>
        <v xml:space="preserve"> </v>
      </c>
      <c r="AC130" s="12" t="str">
        <f t="shared" si="54"/>
        <v/>
      </c>
      <c r="AD130" s="38"/>
      <c r="AE130" s="8" t="str">
        <f>IF(ISBLANK(AD130)," ",IF(AD130="np",SpecialScores!$C$3,IF(AD130="dnf",SpecialScores!$C$4,MIN( 1000+AD130/SpecialScores!$AA$5*0.0001,(500*LOG(1+99*AD130/SpecialScores!$AA$5))))))</f>
        <v xml:space="preserve"> </v>
      </c>
      <c r="AF130" s="12" t="str">
        <f t="shared" si="55"/>
        <v/>
      </c>
      <c r="AG130" s="38"/>
      <c r="AH130" s="8" t="str">
        <f>IF(ISBLANK(AG130)," ",IF(AG130="np",SpecialScores!$C$3,IF(AG130="dnf",SpecialScores!$C$4,MIN(1000,(500*LOG(1+99*AG130/SpecialScores!$E$3))))))</f>
        <v xml:space="preserve"> </v>
      </c>
      <c r="AI130" s="12" t="str">
        <f t="shared" si="56"/>
        <v/>
      </c>
      <c r="AP130" s="49"/>
    </row>
    <row r="131" spans="1:42" x14ac:dyDescent="0.35">
      <c r="A131" s="42"/>
      <c r="E131" s="33" t="str">
        <f t="shared" si="57"/>
        <v xml:space="preserve"> </v>
      </c>
      <c r="F131" s="33" t="str">
        <f t="shared" si="58"/>
        <v xml:space="preserve"> </v>
      </c>
      <c r="G131" s="7" t="str">
        <f t="shared" si="59"/>
        <v xml:space="preserve"> </v>
      </c>
      <c r="H131" s="7" t="str">
        <f t="shared" si="60"/>
        <v xml:space="preserve"> </v>
      </c>
      <c r="I131" s="38"/>
      <c r="J131" s="8" t="str">
        <f>IF(ISBLANK(I131)," ",IF(I131="np",SpecialScores!$C$3,IF(I131="dnf",SpecialScores!$C$4,MIN( 1000+I131/SpecialScores!$E$3*0.0001,(500*LOG(1+99*I131/SpecialScores!$E$3))))))</f>
        <v xml:space="preserve"> </v>
      </c>
      <c r="K131" s="12" t="str">
        <f t="shared" si="48"/>
        <v/>
      </c>
      <c r="L131" s="38"/>
      <c r="M131" s="8" t="str">
        <f>IF(ISBLANK(L131)," ",IF(L131="np",SpecialScores!$C$3,IF(L131="dnf",SpecialScores!$C$4,MIN( 1000+L131/SpecialScores!$H$3*0.0001,(500*LOG(1+99*L131/SpecialScores!$H$3))))))</f>
        <v xml:space="preserve"> </v>
      </c>
      <c r="N131" s="12" t="str">
        <f t="shared" si="49"/>
        <v/>
      </c>
      <c r="O131" s="38"/>
      <c r="P131" s="8" t="str">
        <f>IF(ISBLANK(O131)," ",IF(O131="np",SpecialScores!$C$3,IF(O131="dnf",SpecialScores!$C$4,MIN(1000,(500*LOG(1+99*O131/SpecialScores!$K$3))))))</f>
        <v xml:space="preserve"> </v>
      </c>
      <c r="Q131" s="12" t="str">
        <f t="shared" si="50"/>
        <v/>
      </c>
      <c r="R131" s="38"/>
      <c r="S131" s="8" t="str">
        <f>IF(ISBLANK(R131)," ",IF(R131="np",SpecialScores!$C$3,IF(R131="dnf",SpecialScores!$C$4,      IF(AND(R131&gt;=0,R131&lt;SpecialScores!$O$12), (500*LOG(1+99*R131/SpecialScores!$O$12*SpecialScores!$O$11/SpecialScores!$O$10)),                         MIN((500*LOG(1+99*SpecialScores!$O$11/R131)))))))</f>
        <v xml:space="preserve"> </v>
      </c>
      <c r="T131" s="12" t="str">
        <f t="shared" si="51"/>
        <v/>
      </c>
      <c r="U131" s="38"/>
      <c r="V131" s="8" t="str">
        <f>IF(ISBLANK(U131)," ",IF(U131="np",SpecialScores!$C$3,IF(U131="dnf",SpecialScores!$C$4,MIN((500*LOG(1+99*U131/SpecialScores!$R$3))))))</f>
        <v xml:space="preserve"> </v>
      </c>
      <c r="W131" s="12" t="str">
        <f t="shared" si="52"/>
        <v/>
      </c>
      <c r="X131" s="38"/>
      <c r="Y131" s="8" t="str">
        <f>IF(ISBLANK(X131)," ",IF(X131="np",SpecialScores!$C$3,IF(X131="dnf",SpecialScores!$C$4,MIN( 1000+X131/SpecialScores!$U$3*0.0001,(500*LOG(1+99*X131/SpecialScores!$U$3))))))</f>
        <v xml:space="preserve"> </v>
      </c>
      <c r="Z131" s="12" t="str">
        <f t="shared" si="53"/>
        <v/>
      </c>
      <c r="AA131" s="38"/>
      <c r="AB131" s="8" t="str">
        <f>IF(ISBLANK(AA131)," ",IF(AA131="np",SpecialScores!$C$3,IF(AA131="dnf",SpecialScores!$C$4,      IF(AND(AA131&gt;=0,AA131&lt;SpecialScores!$X$12), (500*LOG(1+99*AA131/SpecialScores!$X$12*SpecialScores!$X$11/SpecialScores!$X$10)),                         MIN((500*LOG(1+99*SpecialScores!$X$11/AA131)))))))</f>
        <v xml:space="preserve"> </v>
      </c>
      <c r="AC131" s="12" t="str">
        <f t="shared" si="54"/>
        <v/>
      </c>
      <c r="AD131" s="38"/>
      <c r="AE131" s="8" t="str">
        <f>IF(ISBLANK(AD131)," ",IF(AD131="np",SpecialScores!$C$3,IF(AD131="dnf",SpecialScores!$C$4,MIN( 1000+AD131/SpecialScores!$AA$5*0.0001,(500*LOG(1+99*AD131/SpecialScores!$AA$5))))))</f>
        <v xml:space="preserve"> </v>
      </c>
      <c r="AF131" s="12" t="str">
        <f t="shared" si="55"/>
        <v/>
      </c>
      <c r="AG131" s="38"/>
      <c r="AH131" s="8" t="str">
        <f>IF(ISBLANK(AG131)," ",IF(AG131="np",SpecialScores!$C$3,IF(AG131="dnf",SpecialScores!$C$4,MIN(1000,(500*LOG(1+99*AG131/SpecialScores!$E$3))))))</f>
        <v xml:space="preserve"> </v>
      </c>
      <c r="AI131" s="12" t="str">
        <f t="shared" si="56"/>
        <v/>
      </c>
      <c r="AP131" s="49"/>
    </row>
    <row r="132" spans="1:42" x14ac:dyDescent="0.35">
      <c r="A132" s="42"/>
      <c r="E132" s="33" t="str">
        <f t="shared" si="57"/>
        <v xml:space="preserve"> </v>
      </c>
      <c r="F132" s="33" t="str">
        <f t="shared" si="58"/>
        <v xml:space="preserve"> </v>
      </c>
      <c r="G132" s="7" t="str">
        <f t="shared" si="59"/>
        <v xml:space="preserve"> </v>
      </c>
      <c r="H132" s="7" t="str">
        <f t="shared" si="60"/>
        <v xml:space="preserve"> </v>
      </c>
      <c r="I132" s="38"/>
      <c r="J132" s="8" t="str">
        <f>IF(ISBLANK(I132)," ",IF(I132="np",SpecialScores!$C$3,IF(I132="dnf",SpecialScores!$C$4,MIN( 1000+I132/SpecialScores!$E$3*0.0001,(500*LOG(1+99*I132/SpecialScores!$E$3))))))</f>
        <v xml:space="preserve"> </v>
      </c>
      <c r="K132" s="12" t="str">
        <f t="shared" si="48"/>
        <v/>
      </c>
      <c r="L132" s="38"/>
      <c r="M132" s="8" t="str">
        <f>IF(ISBLANK(L132)," ",IF(L132="np",SpecialScores!$C$3,IF(L132="dnf",SpecialScores!$C$4,MIN( 1000+L132/SpecialScores!$H$3*0.0001,(500*LOG(1+99*L132/SpecialScores!$H$3))))))</f>
        <v xml:space="preserve"> </v>
      </c>
      <c r="N132" s="12" t="str">
        <f t="shared" si="49"/>
        <v/>
      </c>
      <c r="O132" s="38"/>
      <c r="P132" s="8" t="str">
        <f>IF(ISBLANK(O132)," ",IF(O132="np",SpecialScores!$C$3,IF(O132="dnf",SpecialScores!$C$4,MIN(1000,(500*LOG(1+99*O132/SpecialScores!$K$3))))))</f>
        <v xml:space="preserve"> </v>
      </c>
      <c r="Q132" s="12" t="str">
        <f t="shared" si="50"/>
        <v/>
      </c>
      <c r="R132" s="38"/>
      <c r="S132" s="8" t="str">
        <f>IF(ISBLANK(R132)," ",IF(R132="np",SpecialScores!$C$3,IF(R132="dnf",SpecialScores!$C$4,      IF(AND(R132&gt;=0,R132&lt;SpecialScores!$O$12), (500*LOG(1+99*R132/SpecialScores!$O$12*SpecialScores!$O$11/SpecialScores!$O$10)),                         MIN((500*LOG(1+99*SpecialScores!$O$11/R132)))))))</f>
        <v xml:space="preserve"> </v>
      </c>
      <c r="T132" s="12" t="str">
        <f t="shared" si="51"/>
        <v/>
      </c>
      <c r="U132" s="38"/>
      <c r="V132" s="8" t="str">
        <f>IF(ISBLANK(U132)," ",IF(U132="np",SpecialScores!$C$3,IF(U132="dnf",SpecialScores!$C$4,MIN((500*LOG(1+99*U132/SpecialScores!$R$3))))))</f>
        <v xml:space="preserve"> </v>
      </c>
      <c r="W132" s="12" t="str">
        <f t="shared" si="52"/>
        <v/>
      </c>
      <c r="X132" s="38"/>
      <c r="Y132" s="8" t="str">
        <f>IF(ISBLANK(X132)," ",IF(X132="np",SpecialScores!$C$3,IF(X132="dnf",SpecialScores!$C$4,MIN( 1000+X132/SpecialScores!$U$3*0.0001,(500*LOG(1+99*X132/SpecialScores!$U$3))))))</f>
        <v xml:space="preserve"> </v>
      </c>
      <c r="Z132" s="12" t="str">
        <f t="shared" si="53"/>
        <v/>
      </c>
      <c r="AA132" s="38"/>
      <c r="AB132" s="8" t="str">
        <f>IF(ISBLANK(AA132)," ",IF(AA132="np",SpecialScores!$C$3,IF(AA132="dnf",SpecialScores!$C$4,      IF(AND(AA132&gt;=0,AA132&lt;SpecialScores!$X$12), (500*LOG(1+99*AA132/SpecialScores!$X$12*SpecialScores!$X$11/SpecialScores!$X$10)),                         MIN((500*LOG(1+99*SpecialScores!$X$11/AA132)))))))</f>
        <v xml:space="preserve"> </v>
      </c>
      <c r="AC132" s="12" t="str">
        <f t="shared" si="54"/>
        <v/>
      </c>
      <c r="AD132" s="38"/>
      <c r="AE132" s="8" t="str">
        <f>IF(ISBLANK(AD132)," ",IF(AD132="np",SpecialScores!$C$3,IF(AD132="dnf",SpecialScores!$C$4,MIN( 1000+AD132/SpecialScores!$AA$5*0.0001,(500*LOG(1+99*AD132/SpecialScores!$AA$5))))))</f>
        <v xml:space="preserve"> </v>
      </c>
      <c r="AF132" s="12" t="str">
        <f t="shared" si="55"/>
        <v/>
      </c>
      <c r="AG132" s="38"/>
      <c r="AH132" s="8" t="str">
        <f>IF(ISBLANK(AG132)," ",IF(AG132="np",SpecialScores!$C$3,IF(AG132="dnf",SpecialScores!$C$4,MIN(1000,(500*LOG(1+99*AG132/SpecialScores!$E$3))))))</f>
        <v xml:space="preserve"> </v>
      </c>
      <c r="AI132" s="12" t="str">
        <f t="shared" si="56"/>
        <v/>
      </c>
      <c r="AP132" s="49"/>
    </row>
    <row r="133" spans="1:42" x14ac:dyDescent="0.35">
      <c r="A133" s="42"/>
      <c r="E133" s="33" t="str">
        <f t="shared" si="57"/>
        <v xml:space="preserve"> </v>
      </c>
      <c r="F133" s="33" t="str">
        <f t="shared" si="58"/>
        <v xml:space="preserve"> </v>
      </c>
      <c r="G133" s="7" t="str">
        <f t="shared" si="59"/>
        <v xml:space="preserve"> </v>
      </c>
      <c r="H133" s="7" t="str">
        <f t="shared" si="60"/>
        <v xml:space="preserve"> </v>
      </c>
      <c r="I133" s="38"/>
      <c r="J133" s="8" t="str">
        <f>IF(ISBLANK(I133)," ",IF(I133="np",SpecialScores!$C$3,IF(I133="dnf",SpecialScores!$C$4,MIN( 1000+I133/SpecialScores!$E$3*0.0001,(500*LOG(1+99*I133/SpecialScores!$E$3))))))</f>
        <v xml:space="preserve"> </v>
      </c>
      <c r="K133" s="12" t="str">
        <f t="shared" si="48"/>
        <v/>
      </c>
      <c r="L133" s="38"/>
      <c r="M133" s="8" t="str">
        <f>IF(ISBLANK(L133)," ",IF(L133="np",SpecialScores!$C$3,IF(L133="dnf",SpecialScores!$C$4,MIN( 1000+L133/SpecialScores!$H$3*0.0001,(500*LOG(1+99*L133/SpecialScores!$H$3))))))</f>
        <v xml:space="preserve"> </v>
      </c>
      <c r="N133" s="12" t="str">
        <f t="shared" si="49"/>
        <v/>
      </c>
      <c r="O133" s="38"/>
      <c r="P133" s="8" t="str">
        <f>IF(ISBLANK(O133)," ",IF(O133="np",SpecialScores!$C$3,IF(O133="dnf",SpecialScores!$C$4,MIN(1000,(500*LOG(1+99*O133/SpecialScores!$K$3))))))</f>
        <v xml:space="preserve"> </v>
      </c>
      <c r="Q133" s="12" t="str">
        <f t="shared" si="50"/>
        <v/>
      </c>
      <c r="R133" s="38"/>
      <c r="S133" s="8" t="str">
        <f>IF(ISBLANK(R133)," ",IF(R133="np",SpecialScores!$C$3,IF(R133="dnf",SpecialScores!$C$4,      IF(AND(R133&gt;=0,R133&lt;SpecialScores!$O$12), (500*LOG(1+99*R133/SpecialScores!$O$12*SpecialScores!$O$11/SpecialScores!$O$10)),                         MIN((500*LOG(1+99*SpecialScores!$O$11/R133)))))))</f>
        <v xml:space="preserve"> </v>
      </c>
      <c r="T133" s="12" t="str">
        <f t="shared" si="51"/>
        <v/>
      </c>
      <c r="U133" s="38"/>
      <c r="V133" s="8" t="str">
        <f>IF(ISBLANK(U133)," ",IF(U133="np",SpecialScores!$C$3,IF(U133="dnf",SpecialScores!$C$4,MIN((500*LOG(1+99*U133/SpecialScores!$R$3))))))</f>
        <v xml:space="preserve"> </v>
      </c>
      <c r="W133" s="12" t="str">
        <f t="shared" si="52"/>
        <v/>
      </c>
      <c r="X133" s="38"/>
      <c r="Y133" s="8" t="str">
        <f>IF(ISBLANK(X133)," ",IF(X133="np",SpecialScores!$C$3,IF(X133="dnf",SpecialScores!$C$4,MIN( 1000+X133/SpecialScores!$U$3*0.0001,(500*LOG(1+99*X133/SpecialScores!$U$3))))))</f>
        <v xml:space="preserve"> </v>
      </c>
      <c r="Z133" s="12" t="str">
        <f t="shared" si="53"/>
        <v/>
      </c>
      <c r="AA133" s="38"/>
      <c r="AB133" s="8" t="str">
        <f>IF(ISBLANK(AA133)," ",IF(AA133="np",SpecialScores!$C$3,IF(AA133="dnf",SpecialScores!$C$4,      IF(AND(AA133&gt;=0,AA133&lt;SpecialScores!$X$12), (500*LOG(1+99*AA133/SpecialScores!$X$12*SpecialScores!$X$11/SpecialScores!$X$10)),                         MIN((500*LOG(1+99*SpecialScores!$X$11/AA133)))))))</f>
        <v xml:space="preserve"> </v>
      </c>
      <c r="AC133" s="12" t="str">
        <f t="shared" si="54"/>
        <v/>
      </c>
      <c r="AD133" s="38"/>
      <c r="AE133" s="8" t="str">
        <f>IF(ISBLANK(AD133)," ",IF(AD133="np",SpecialScores!$C$3,IF(AD133="dnf",SpecialScores!$C$4,MIN( 1000+AD133/SpecialScores!$AA$5*0.0001,(500*LOG(1+99*AD133/SpecialScores!$AA$5))))))</f>
        <v xml:space="preserve"> </v>
      </c>
      <c r="AF133" s="12" t="str">
        <f t="shared" si="55"/>
        <v/>
      </c>
      <c r="AG133" s="38"/>
      <c r="AH133" s="8" t="str">
        <f>IF(ISBLANK(AG133)," ",IF(AG133="np",SpecialScores!$C$3,IF(AG133="dnf",SpecialScores!$C$4,MIN(1000,(500*LOG(1+99*AG133/SpecialScores!$E$3))))))</f>
        <v xml:space="preserve"> </v>
      </c>
      <c r="AI133" s="12" t="str">
        <f t="shared" si="56"/>
        <v/>
      </c>
      <c r="AP133" s="49"/>
    </row>
    <row r="134" spans="1:42" x14ac:dyDescent="0.35">
      <c r="A134" s="42"/>
      <c r="E134" s="33" t="str">
        <f t="shared" si="57"/>
        <v xml:space="preserve"> </v>
      </c>
      <c r="F134" s="33" t="str">
        <f t="shared" si="58"/>
        <v xml:space="preserve"> </v>
      </c>
      <c r="G134" s="7" t="str">
        <f t="shared" si="59"/>
        <v xml:space="preserve"> </v>
      </c>
      <c r="H134" s="7" t="str">
        <f t="shared" si="60"/>
        <v xml:space="preserve"> </v>
      </c>
      <c r="I134" s="38"/>
      <c r="J134" s="8" t="str">
        <f>IF(ISBLANK(I134)," ",IF(I134="np",SpecialScores!$C$3,IF(I134="dnf",SpecialScores!$C$4,MIN( 1000+I134/SpecialScores!$E$3*0.0001,(500*LOG(1+99*I134/SpecialScores!$E$3))))))</f>
        <v xml:space="preserve"> </v>
      </c>
      <c r="K134" s="12" t="str">
        <f t="shared" si="48"/>
        <v/>
      </c>
      <c r="L134" s="38"/>
      <c r="M134" s="8" t="str">
        <f>IF(ISBLANK(L134)," ",IF(L134="np",SpecialScores!$C$3,IF(L134="dnf",SpecialScores!$C$4,MIN( 1000+L134/SpecialScores!$H$3*0.0001,(500*LOG(1+99*L134/SpecialScores!$H$3))))))</f>
        <v xml:space="preserve"> </v>
      </c>
      <c r="N134" s="12" t="str">
        <f t="shared" si="49"/>
        <v/>
      </c>
      <c r="O134" s="38"/>
      <c r="P134" s="8" t="str">
        <f>IF(ISBLANK(O134)," ",IF(O134="np",SpecialScores!$C$3,IF(O134="dnf",SpecialScores!$C$4,MIN(1000,(500*LOG(1+99*O134/SpecialScores!$K$3))))))</f>
        <v xml:space="preserve"> </v>
      </c>
      <c r="Q134" s="12" t="str">
        <f t="shared" si="50"/>
        <v/>
      </c>
      <c r="R134" s="38"/>
      <c r="S134" s="8" t="str">
        <f>IF(ISBLANK(R134)," ",IF(R134="np",SpecialScores!$C$3,IF(R134="dnf",SpecialScores!$C$4,      IF(AND(R134&gt;=0,R134&lt;SpecialScores!$O$12), (500*LOG(1+99*R134/SpecialScores!$O$12*SpecialScores!$O$11/SpecialScores!$O$10)),                         MIN((500*LOG(1+99*SpecialScores!$O$11/R134)))))))</f>
        <v xml:space="preserve"> </v>
      </c>
      <c r="T134" s="12" t="str">
        <f t="shared" si="51"/>
        <v/>
      </c>
      <c r="U134" s="38"/>
      <c r="V134" s="8" t="str">
        <f>IF(ISBLANK(U134)," ",IF(U134="np",SpecialScores!$C$3,IF(U134="dnf",SpecialScores!$C$4,MIN((500*LOG(1+99*U134/SpecialScores!$R$3))))))</f>
        <v xml:space="preserve"> </v>
      </c>
      <c r="W134" s="12" t="str">
        <f t="shared" si="52"/>
        <v/>
      </c>
      <c r="X134" s="38"/>
      <c r="Y134" s="8" t="str">
        <f>IF(ISBLANK(X134)," ",IF(X134="np",SpecialScores!$C$3,IF(X134="dnf",SpecialScores!$C$4,MIN( 1000+X134/SpecialScores!$U$3*0.0001,(500*LOG(1+99*X134/SpecialScores!$U$3))))))</f>
        <v xml:space="preserve"> </v>
      </c>
      <c r="Z134" s="12" t="str">
        <f t="shared" si="53"/>
        <v/>
      </c>
      <c r="AA134" s="38"/>
      <c r="AB134" s="8" t="str">
        <f>IF(ISBLANK(AA134)," ",IF(AA134="np",SpecialScores!$C$3,IF(AA134="dnf",SpecialScores!$C$4,      IF(AND(AA134&gt;=0,AA134&lt;SpecialScores!$X$12), (500*LOG(1+99*AA134/SpecialScores!$X$12*SpecialScores!$X$11/SpecialScores!$X$10)),                         MIN((500*LOG(1+99*SpecialScores!$X$11/AA134)))))))</f>
        <v xml:space="preserve"> </v>
      </c>
      <c r="AC134" s="12" t="str">
        <f t="shared" si="54"/>
        <v/>
      </c>
      <c r="AD134" s="38"/>
      <c r="AE134" s="8" t="str">
        <f>IF(ISBLANK(AD134)," ",IF(AD134="np",SpecialScores!$C$3,IF(AD134="dnf",SpecialScores!$C$4,MIN( 1000+AD134/SpecialScores!$AA$5*0.0001,(500*LOG(1+99*AD134/SpecialScores!$AA$5))))))</f>
        <v xml:space="preserve"> </v>
      </c>
      <c r="AF134" s="12" t="str">
        <f t="shared" si="55"/>
        <v/>
      </c>
      <c r="AG134" s="38"/>
      <c r="AH134" s="8" t="str">
        <f>IF(ISBLANK(AG134)," ",IF(AG134="np",SpecialScores!$C$3,IF(AG134="dnf",SpecialScores!$C$4,MIN(1000,(500*LOG(1+99*AG134/SpecialScores!$E$3))))))</f>
        <v xml:space="preserve"> </v>
      </c>
      <c r="AI134" s="12" t="str">
        <f t="shared" si="56"/>
        <v/>
      </c>
      <c r="AP134" s="49"/>
    </row>
    <row r="135" spans="1:42" x14ac:dyDescent="0.35">
      <c r="A135" s="42"/>
      <c r="E135" s="33" t="str">
        <f t="shared" si="57"/>
        <v xml:space="preserve"> </v>
      </c>
      <c r="F135" s="33" t="str">
        <f t="shared" si="58"/>
        <v xml:space="preserve"> </v>
      </c>
      <c r="G135" s="7" t="str">
        <f t="shared" si="59"/>
        <v xml:space="preserve"> </v>
      </c>
      <c r="H135" s="7" t="str">
        <f t="shared" si="60"/>
        <v xml:space="preserve"> </v>
      </c>
      <c r="I135" s="38"/>
      <c r="J135" s="8" t="str">
        <f>IF(ISBLANK(I135)," ",IF(I135="np",SpecialScores!$C$3,IF(I135="dnf",SpecialScores!$C$4,MIN( 1000+I135/SpecialScores!$E$3*0.0001,(500*LOG(1+99*I135/SpecialScores!$E$3))))))</f>
        <v xml:space="preserve"> </v>
      </c>
      <c r="K135" s="12" t="str">
        <f t="shared" si="48"/>
        <v/>
      </c>
      <c r="L135" s="38"/>
      <c r="M135" s="8" t="str">
        <f>IF(ISBLANK(L135)," ",IF(L135="np",SpecialScores!$C$3,IF(L135="dnf",SpecialScores!$C$4,MIN( 1000+L135/SpecialScores!$H$3*0.0001,(500*LOG(1+99*L135/SpecialScores!$H$3))))))</f>
        <v xml:space="preserve"> </v>
      </c>
      <c r="N135" s="12" t="str">
        <f t="shared" si="49"/>
        <v/>
      </c>
      <c r="O135" s="38"/>
      <c r="P135" s="8" t="str">
        <f>IF(ISBLANK(O135)," ",IF(O135="np",SpecialScores!$C$3,IF(O135="dnf",SpecialScores!$C$4,MIN(1000,(500*LOG(1+99*O135/SpecialScores!$K$3))))))</f>
        <v xml:space="preserve"> </v>
      </c>
      <c r="Q135" s="12" t="str">
        <f t="shared" si="50"/>
        <v/>
      </c>
      <c r="R135" s="38"/>
      <c r="S135" s="8" t="str">
        <f>IF(ISBLANK(R135)," ",IF(R135="np",SpecialScores!$C$3,IF(R135="dnf",SpecialScores!$C$4,      IF(AND(R135&gt;=0,R135&lt;SpecialScores!$O$12), (500*LOG(1+99*R135/SpecialScores!$O$12*SpecialScores!$O$11/SpecialScores!$O$10)),                         MIN((500*LOG(1+99*SpecialScores!$O$11/R135)))))))</f>
        <v xml:space="preserve"> </v>
      </c>
      <c r="T135" s="12" t="str">
        <f t="shared" si="51"/>
        <v/>
      </c>
      <c r="U135" s="38"/>
      <c r="V135" s="8" t="str">
        <f>IF(ISBLANK(U135)," ",IF(U135="np",SpecialScores!$C$3,IF(U135="dnf",SpecialScores!$C$4,MIN((500*LOG(1+99*U135/SpecialScores!$R$3))))))</f>
        <v xml:space="preserve"> </v>
      </c>
      <c r="W135" s="12" t="str">
        <f t="shared" si="52"/>
        <v/>
      </c>
      <c r="X135" s="38"/>
      <c r="Y135" s="8" t="str">
        <f>IF(ISBLANK(X135)," ",IF(X135="np",SpecialScores!$C$3,IF(X135="dnf",SpecialScores!$C$4,MIN( 1000+X135/SpecialScores!$U$3*0.0001,(500*LOG(1+99*X135/SpecialScores!$U$3))))))</f>
        <v xml:space="preserve"> </v>
      </c>
      <c r="Z135" s="12" t="str">
        <f t="shared" si="53"/>
        <v/>
      </c>
      <c r="AA135" s="38"/>
      <c r="AB135" s="8" t="str">
        <f>IF(ISBLANK(AA135)," ",IF(AA135="np",SpecialScores!$C$3,IF(AA135="dnf",SpecialScores!$C$4,      IF(AND(AA135&gt;=0,AA135&lt;SpecialScores!$X$12), (500*LOG(1+99*AA135/SpecialScores!$X$12*SpecialScores!$X$11/SpecialScores!$X$10)),                         MIN((500*LOG(1+99*SpecialScores!$X$11/AA135)))))))</f>
        <v xml:space="preserve"> </v>
      </c>
      <c r="AC135" s="12" t="str">
        <f t="shared" si="54"/>
        <v/>
      </c>
      <c r="AD135" s="38"/>
      <c r="AE135" s="8" t="str">
        <f>IF(ISBLANK(AD135)," ",IF(AD135="np",SpecialScores!$C$3,IF(AD135="dnf",SpecialScores!$C$4,MIN( 1000+AD135/SpecialScores!$AA$5*0.0001,(500*LOG(1+99*AD135/SpecialScores!$AA$5))))))</f>
        <v xml:space="preserve"> </v>
      </c>
      <c r="AF135" s="12" t="str">
        <f t="shared" si="55"/>
        <v/>
      </c>
      <c r="AG135" s="38"/>
      <c r="AH135" s="8" t="str">
        <f>IF(ISBLANK(AG135)," ",IF(AG135="np",SpecialScores!$C$3,IF(AG135="dnf",SpecialScores!$C$4,MIN(1000,(500*LOG(1+99*AG135/SpecialScores!$E$3))))))</f>
        <v xml:space="preserve"> </v>
      </c>
      <c r="AI135" s="12" t="str">
        <f t="shared" si="56"/>
        <v/>
      </c>
      <c r="AP135" s="49"/>
    </row>
    <row r="136" spans="1:42" x14ac:dyDescent="0.35">
      <c r="A136" s="42"/>
      <c r="E136" s="33" t="str">
        <f t="shared" si="57"/>
        <v xml:space="preserve"> </v>
      </c>
      <c r="F136" s="33" t="str">
        <f t="shared" si="58"/>
        <v xml:space="preserve"> </v>
      </c>
      <c r="G136" s="7" t="str">
        <f t="shared" si="59"/>
        <v xml:space="preserve"> </v>
      </c>
      <c r="H136" s="7" t="str">
        <f t="shared" si="60"/>
        <v xml:space="preserve"> </v>
      </c>
      <c r="I136" s="38"/>
      <c r="J136" s="8" t="str">
        <f>IF(ISBLANK(I136)," ",IF(I136="np",SpecialScores!$C$3,IF(I136="dnf",SpecialScores!$C$4,MIN( 1000+I136/SpecialScores!$E$3*0.0001,(500*LOG(1+99*I136/SpecialScores!$E$3))))))</f>
        <v xml:space="preserve"> </v>
      </c>
      <c r="K136" s="12" t="str">
        <f t="shared" si="48"/>
        <v/>
      </c>
      <c r="L136" s="38"/>
      <c r="M136" s="8" t="str">
        <f>IF(ISBLANK(L136)," ",IF(L136="np",SpecialScores!$C$3,IF(L136="dnf",SpecialScores!$C$4,MIN( 1000+L136/SpecialScores!$H$3*0.0001,(500*LOG(1+99*L136/SpecialScores!$H$3))))))</f>
        <v xml:space="preserve"> </v>
      </c>
      <c r="N136" s="12" t="str">
        <f t="shared" si="49"/>
        <v/>
      </c>
      <c r="O136" s="38"/>
      <c r="P136" s="8" t="str">
        <f>IF(ISBLANK(O136)," ",IF(O136="np",SpecialScores!$C$3,IF(O136="dnf",SpecialScores!$C$4,MIN(1000,(500*LOG(1+99*O136/SpecialScores!$K$3))))))</f>
        <v xml:space="preserve"> </v>
      </c>
      <c r="Q136" s="12" t="str">
        <f t="shared" si="50"/>
        <v/>
      </c>
      <c r="R136" s="38"/>
      <c r="S136" s="8" t="str">
        <f>IF(ISBLANK(R136)," ",IF(R136="np",SpecialScores!$C$3,IF(R136="dnf",SpecialScores!$C$4,      IF(AND(R136&gt;=0,R136&lt;SpecialScores!$O$12), (500*LOG(1+99*R136/SpecialScores!$O$12*SpecialScores!$O$11/SpecialScores!$O$10)),                         MIN((500*LOG(1+99*SpecialScores!$O$11/R136)))))))</f>
        <v xml:space="preserve"> </v>
      </c>
      <c r="T136" s="12" t="str">
        <f t="shared" si="51"/>
        <v/>
      </c>
      <c r="U136" s="38"/>
      <c r="V136" s="8" t="str">
        <f>IF(ISBLANK(U136)," ",IF(U136="np",SpecialScores!$C$3,IF(U136="dnf",SpecialScores!$C$4,MIN((500*LOG(1+99*U136/SpecialScores!$R$3))))))</f>
        <v xml:space="preserve"> </v>
      </c>
      <c r="W136" s="12" t="str">
        <f t="shared" si="52"/>
        <v/>
      </c>
      <c r="X136" s="38"/>
      <c r="Y136" s="8" t="str">
        <f>IF(ISBLANK(X136)," ",IF(X136="np",SpecialScores!$C$3,IF(X136="dnf",SpecialScores!$C$4,MIN( 1000+X136/SpecialScores!$U$3*0.0001,(500*LOG(1+99*X136/SpecialScores!$U$3))))))</f>
        <v xml:space="preserve"> </v>
      </c>
      <c r="Z136" s="12" t="str">
        <f t="shared" si="53"/>
        <v/>
      </c>
      <c r="AA136" s="38"/>
      <c r="AB136" s="8" t="str">
        <f>IF(ISBLANK(AA136)," ",IF(AA136="np",SpecialScores!$C$3,IF(AA136="dnf",SpecialScores!$C$4,      IF(AND(AA136&gt;=0,AA136&lt;SpecialScores!$X$12), (500*LOG(1+99*AA136/SpecialScores!$X$12*SpecialScores!$X$11/SpecialScores!$X$10)),                         MIN((500*LOG(1+99*SpecialScores!$X$11/AA136)))))))</f>
        <v xml:space="preserve"> </v>
      </c>
      <c r="AC136" s="12" t="str">
        <f t="shared" si="54"/>
        <v/>
      </c>
      <c r="AD136" s="38"/>
      <c r="AE136" s="8" t="str">
        <f>IF(ISBLANK(AD136)," ",IF(AD136="np",SpecialScores!$C$3,IF(AD136="dnf",SpecialScores!$C$4,MIN( 1000+AD136/SpecialScores!$AA$5*0.0001,(500*LOG(1+99*AD136/SpecialScores!$AA$5))))))</f>
        <v xml:space="preserve"> </v>
      </c>
      <c r="AF136" s="12" t="str">
        <f t="shared" si="55"/>
        <v/>
      </c>
      <c r="AG136" s="38"/>
      <c r="AH136" s="8" t="str">
        <f>IF(ISBLANK(AG136)," ",IF(AG136="np",SpecialScores!$C$3,IF(AG136="dnf",SpecialScores!$C$4,MIN(1000,(500*LOG(1+99*AG136/SpecialScores!$E$3))))))</f>
        <v xml:space="preserve"> </v>
      </c>
      <c r="AI136" s="12" t="str">
        <f t="shared" si="56"/>
        <v/>
      </c>
      <c r="AP136" s="49"/>
    </row>
    <row r="137" spans="1:42" x14ac:dyDescent="0.35">
      <c r="A137" s="42"/>
      <c r="E137" s="33" t="str">
        <f t="shared" si="57"/>
        <v xml:space="preserve"> </v>
      </c>
      <c r="F137" s="33" t="str">
        <f t="shared" si="58"/>
        <v xml:space="preserve"> </v>
      </c>
      <c r="G137" s="7" t="str">
        <f t="shared" si="59"/>
        <v xml:space="preserve"> </v>
      </c>
      <c r="H137" s="7" t="str">
        <f t="shared" si="60"/>
        <v xml:space="preserve"> </v>
      </c>
      <c r="I137" s="38"/>
      <c r="J137" s="8" t="str">
        <f>IF(ISBLANK(I137)," ",IF(I137="np",SpecialScores!$C$3,IF(I137="dnf",SpecialScores!$C$4,MIN( 1000+I137/SpecialScores!$E$3*0.0001,(500*LOG(1+99*I137/SpecialScores!$E$3))))))</f>
        <v xml:space="preserve"> </v>
      </c>
      <c r="K137" s="12" t="str">
        <f t="shared" si="48"/>
        <v/>
      </c>
      <c r="L137" s="38"/>
      <c r="M137" s="8" t="str">
        <f>IF(ISBLANK(L137)," ",IF(L137="np",SpecialScores!$C$3,IF(L137="dnf",SpecialScores!$C$4,MIN( 1000+L137/SpecialScores!$H$3*0.0001,(500*LOG(1+99*L137/SpecialScores!$H$3))))))</f>
        <v xml:space="preserve"> </v>
      </c>
      <c r="N137" s="12" t="str">
        <f t="shared" si="49"/>
        <v/>
      </c>
      <c r="O137" s="38"/>
      <c r="P137" s="8" t="str">
        <f>IF(ISBLANK(O137)," ",IF(O137="np",SpecialScores!$C$3,IF(O137="dnf",SpecialScores!$C$4,MIN(1000,(500*LOG(1+99*O137/SpecialScores!$K$3))))))</f>
        <v xml:space="preserve"> </v>
      </c>
      <c r="Q137" s="12" t="str">
        <f t="shared" si="50"/>
        <v/>
      </c>
      <c r="R137" s="38"/>
      <c r="S137" s="8" t="str">
        <f>IF(ISBLANK(R137)," ",IF(R137="np",SpecialScores!$C$3,IF(R137="dnf",SpecialScores!$C$4,      IF(AND(R137&gt;=0,R137&lt;SpecialScores!$O$12), (500*LOG(1+99*R137/SpecialScores!$O$12*SpecialScores!$O$11/SpecialScores!$O$10)),                         MIN((500*LOG(1+99*SpecialScores!$O$11/R137)))))))</f>
        <v xml:space="preserve"> </v>
      </c>
      <c r="T137" s="12" t="str">
        <f t="shared" si="51"/>
        <v/>
      </c>
      <c r="U137" s="38"/>
      <c r="V137" s="8" t="str">
        <f>IF(ISBLANK(U137)," ",IF(U137="np",SpecialScores!$C$3,IF(U137="dnf",SpecialScores!$C$4,MIN((500*LOG(1+99*U137/SpecialScores!$R$3))))))</f>
        <v xml:space="preserve"> </v>
      </c>
      <c r="W137" s="12" t="str">
        <f t="shared" si="52"/>
        <v/>
      </c>
      <c r="X137" s="38"/>
      <c r="Y137" s="8" t="str">
        <f>IF(ISBLANK(X137)," ",IF(X137="np",SpecialScores!$C$3,IF(X137="dnf",SpecialScores!$C$4,MIN( 1000+X137/SpecialScores!$U$3*0.0001,(500*LOG(1+99*X137/SpecialScores!$U$3))))))</f>
        <v xml:space="preserve"> </v>
      </c>
      <c r="Z137" s="12" t="str">
        <f t="shared" si="53"/>
        <v/>
      </c>
      <c r="AA137" s="38"/>
      <c r="AB137" s="8" t="str">
        <f>IF(ISBLANK(AA137)," ",IF(AA137="np",SpecialScores!$C$3,IF(AA137="dnf",SpecialScores!$C$4,      IF(AND(AA137&gt;=0,AA137&lt;SpecialScores!$X$12), (500*LOG(1+99*AA137/SpecialScores!$X$12*SpecialScores!$X$11/SpecialScores!$X$10)),                         MIN((500*LOG(1+99*SpecialScores!$X$11/AA137)))))))</f>
        <v xml:space="preserve"> </v>
      </c>
      <c r="AC137" s="12" t="str">
        <f t="shared" si="54"/>
        <v/>
      </c>
      <c r="AD137" s="38"/>
      <c r="AE137" s="8" t="str">
        <f>IF(ISBLANK(AD137)," ",IF(AD137="np",SpecialScores!$C$3,IF(AD137="dnf",SpecialScores!$C$4,MIN( 1000+AD137/SpecialScores!$AA$5*0.0001,(500*LOG(1+99*AD137/SpecialScores!$AA$5))))))</f>
        <v xml:space="preserve"> </v>
      </c>
      <c r="AF137" s="12" t="str">
        <f t="shared" si="55"/>
        <v/>
      </c>
      <c r="AG137" s="38"/>
      <c r="AH137" s="8" t="str">
        <f>IF(ISBLANK(AG137)," ",IF(AG137="np",SpecialScores!$C$3,IF(AG137="dnf",SpecialScores!$C$4,MIN(1000,(500*LOG(1+99*AG137/SpecialScores!$E$3))))))</f>
        <v xml:space="preserve"> </v>
      </c>
      <c r="AI137" s="12" t="str">
        <f t="shared" si="56"/>
        <v/>
      </c>
      <c r="AP137" s="49"/>
    </row>
    <row r="138" spans="1:42" x14ac:dyDescent="0.35">
      <c r="A138" s="42"/>
      <c r="E138" s="33" t="str">
        <f t="shared" si="57"/>
        <v xml:space="preserve"> </v>
      </c>
      <c r="F138" s="33" t="str">
        <f t="shared" si="58"/>
        <v xml:space="preserve"> </v>
      </c>
      <c r="G138" s="7" t="str">
        <f t="shared" si="59"/>
        <v xml:space="preserve"> </v>
      </c>
      <c r="H138" s="7" t="str">
        <f t="shared" si="60"/>
        <v xml:space="preserve"> </v>
      </c>
      <c r="I138" s="38"/>
      <c r="J138" s="8" t="str">
        <f>IF(ISBLANK(I138)," ",IF(I138="np",SpecialScores!$C$3,IF(I138="dnf",SpecialScores!$C$4,MIN( 1000+I138/SpecialScores!$E$3*0.0001,(500*LOG(1+99*I138/SpecialScores!$E$3))))))</f>
        <v xml:space="preserve"> </v>
      </c>
      <c r="K138" s="12" t="str">
        <f t="shared" si="48"/>
        <v/>
      </c>
      <c r="L138" s="38"/>
      <c r="M138" s="8" t="str">
        <f>IF(ISBLANK(L138)," ",IF(L138="np",SpecialScores!$C$3,IF(L138="dnf",SpecialScores!$C$4,MIN( 1000+L138/SpecialScores!$H$3*0.0001,(500*LOG(1+99*L138/SpecialScores!$H$3))))))</f>
        <v xml:space="preserve"> </v>
      </c>
      <c r="N138" s="12" t="str">
        <f t="shared" si="49"/>
        <v/>
      </c>
      <c r="O138" s="38"/>
      <c r="P138" s="8" t="str">
        <f>IF(ISBLANK(O138)," ",IF(O138="np",SpecialScores!$C$3,IF(O138="dnf",SpecialScores!$C$4,MIN(1000,(500*LOG(1+99*O138/SpecialScores!$K$3))))))</f>
        <v xml:space="preserve"> </v>
      </c>
      <c r="Q138" s="12" t="str">
        <f t="shared" si="50"/>
        <v/>
      </c>
      <c r="R138" s="38"/>
      <c r="S138" s="8" t="str">
        <f>IF(ISBLANK(R138)," ",IF(R138="np",SpecialScores!$C$3,IF(R138="dnf",SpecialScores!$C$4,      IF(AND(R138&gt;=0,R138&lt;SpecialScores!$O$12), (500*LOG(1+99*R138/SpecialScores!$O$12*SpecialScores!$O$11/SpecialScores!$O$10)),                         MIN((500*LOG(1+99*SpecialScores!$O$11/R138)))))))</f>
        <v xml:space="preserve"> </v>
      </c>
      <c r="T138" s="12" t="str">
        <f t="shared" si="51"/>
        <v/>
      </c>
      <c r="U138" s="38"/>
      <c r="V138" s="8" t="str">
        <f>IF(ISBLANK(U138)," ",IF(U138="np",SpecialScores!$C$3,IF(U138="dnf",SpecialScores!$C$4,MIN((500*LOG(1+99*U138/SpecialScores!$R$3))))))</f>
        <v xml:space="preserve"> </v>
      </c>
      <c r="W138" s="12" t="str">
        <f t="shared" si="52"/>
        <v/>
      </c>
      <c r="X138" s="38"/>
      <c r="Y138" s="8" t="str">
        <f>IF(ISBLANK(X138)," ",IF(X138="np",SpecialScores!$C$3,IF(X138="dnf",SpecialScores!$C$4,MIN( 1000+X138/SpecialScores!$U$3*0.0001,(500*LOG(1+99*X138/SpecialScores!$U$3))))))</f>
        <v xml:space="preserve"> </v>
      </c>
      <c r="Z138" s="12" t="str">
        <f t="shared" si="53"/>
        <v/>
      </c>
      <c r="AA138" s="38"/>
      <c r="AB138" s="8" t="str">
        <f>IF(ISBLANK(AA138)," ",IF(AA138="np",SpecialScores!$C$3,IF(AA138="dnf",SpecialScores!$C$4,      IF(AND(AA138&gt;=0,AA138&lt;SpecialScores!$X$12), (500*LOG(1+99*AA138/SpecialScores!$X$12*SpecialScores!$X$11/SpecialScores!$X$10)),                         MIN((500*LOG(1+99*SpecialScores!$X$11/AA138)))))))</f>
        <v xml:space="preserve"> </v>
      </c>
      <c r="AC138" s="12" t="str">
        <f t="shared" si="54"/>
        <v/>
      </c>
      <c r="AD138" s="38"/>
      <c r="AE138" s="8" t="str">
        <f>IF(ISBLANK(AD138)," ",IF(AD138="np",SpecialScores!$C$3,IF(AD138="dnf",SpecialScores!$C$4,MIN( 1000+AD138/SpecialScores!$AA$5*0.0001,(500*LOG(1+99*AD138/SpecialScores!$AA$5))))))</f>
        <v xml:space="preserve"> </v>
      </c>
      <c r="AF138" s="12" t="str">
        <f t="shared" si="55"/>
        <v/>
      </c>
      <c r="AG138" s="38"/>
      <c r="AH138" s="8" t="str">
        <f>IF(ISBLANK(AG138)," ",IF(AG138="np",SpecialScores!$C$3,IF(AG138="dnf",SpecialScores!$C$4,MIN(1000,(500*LOG(1+99*AG138/SpecialScores!$E$3))))))</f>
        <v xml:space="preserve"> </v>
      </c>
      <c r="AI138" s="12" t="str">
        <f t="shared" si="56"/>
        <v/>
      </c>
      <c r="AP138" s="49"/>
    </row>
    <row r="139" spans="1:42" x14ac:dyDescent="0.35">
      <c r="A139" s="42"/>
      <c r="E139" s="33" t="str">
        <f t="shared" si="57"/>
        <v xml:space="preserve"> </v>
      </c>
      <c r="F139" s="33" t="str">
        <f t="shared" si="58"/>
        <v xml:space="preserve"> </v>
      </c>
      <c r="G139" s="7" t="str">
        <f t="shared" si="59"/>
        <v xml:space="preserve"> </v>
      </c>
      <c r="H139" s="7" t="str">
        <f t="shared" si="60"/>
        <v xml:space="preserve"> </v>
      </c>
      <c r="I139" s="38"/>
      <c r="J139" s="8" t="str">
        <f>IF(ISBLANK(I139)," ",IF(I139="np",SpecialScores!$C$3,IF(I139="dnf",SpecialScores!$C$4,MIN( 1000+I139/SpecialScores!$E$3*0.0001,(500*LOG(1+99*I139/SpecialScores!$E$3))))))</f>
        <v xml:space="preserve"> </v>
      </c>
      <c r="K139" s="12" t="str">
        <f t="shared" si="48"/>
        <v/>
      </c>
      <c r="L139" s="38"/>
      <c r="M139" s="8" t="str">
        <f>IF(ISBLANK(L139)," ",IF(L139="np",SpecialScores!$C$3,IF(L139="dnf",SpecialScores!$C$4,MIN( 1000+L139/SpecialScores!$H$3*0.0001,(500*LOG(1+99*L139/SpecialScores!$H$3))))))</f>
        <v xml:space="preserve"> </v>
      </c>
      <c r="N139" s="12" t="str">
        <f t="shared" si="49"/>
        <v/>
      </c>
      <c r="O139" s="38"/>
      <c r="P139" s="8" t="str">
        <f>IF(ISBLANK(O139)," ",IF(O139="np",SpecialScores!$C$3,IF(O139="dnf",SpecialScores!$C$4,MIN(1000,(500*LOG(1+99*O139/SpecialScores!$K$3))))))</f>
        <v xml:space="preserve"> </v>
      </c>
      <c r="Q139" s="12" t="str">
        <f t="shared" si="50"/>
        <v/>
      </c>
      <c r="R139" s="38"/>
      <c r="S139" s="8" t="str">
        <f>IF(ISBLANK(R139)," ",IF(R139="np",SpecialScores!$C$3,IF(R139="dnf",SpecialScores!$C$4,      IF(AND(R139&gt;=0,R139&lt;SpecialScores!$O$12), (500*LOG(1+99*R139/SpecialScores!$O$12*SpecialScores!$O$11/SpecialScores!$O$10)),                         MIN((500*LOG(1+99*SpecialScores!$O$11/R139)))))))</f>
        <v xml:space="preserve"> </v>
      </c>
      <c r="T139" s="12" t="str">
        <f t="shared" si="51"/>
        <v/>
      </c>
      <c r="U139" s="38"/>
      <c r="V139" s="8" t="str">
        <f>IF(ISBLANK(U139)," ",IF(U139="np",SpecialScores!$C$3,IF(U139="dnf",SpecialScores!$C$4,MIN((500*LOG(1+99*U139/SpecialScores!$R$3))))))</f>
        <v xml:space="preserve"> </v>
      </c>
      <c r="W139" s="12" t="str">
        <f t="shared" si="52"/>
        <v/>
      </c>
      <c r="X139" s="38"/>
      <c r="Y139" s="8" t="str">
        <f>IF(ISBLANK(X139)," ",IF(X139="np",SpecialScores!$C$3,IF(X139="dnf",SpecialScores!$C$4,MIN( 1000+X139/SpecialScores!$U$3*0.0001,(500*LOG(1+99*X139/SpecialScores!$U$3))))))</f>
        <v xml:space="preserve"> </v>
      </c>
      <c r="Z139" s="12" t="str">
        <f t="shared" si="53"/>
        <v/>
      </c>
      <c r="AA139" s="38"/>
      <c r="AB139" s="8" t="str">
        <f>IF(ISBLANK(AA139)," ",IF(AA139="np",SpecialScores!$C$3,IF(AA139="dnf",SpecialScores!$C$4,      IF(AND(AA139&gt;=0,AA139&lt;SpecialScores!$X$12), (500*LOG(1+99*AA139/SpecialScores!$X$12*SpecialScores!$X$11/SpecialScores!$X$10)),                         MIN((500*LOG(1+99*SpecialScores!$X$11/AA139)))))))</f>
        <v xml:space="preserve"> </v>
      </c>
      <c r="AC139" s="12" t="str">
        <f t="shared" si="54"/>
        <v/>
      </c>
      <c r="AD139" s="38"/>
      <c r="AE139" s="8" t="str">
        <f>IF(ISBLANK(AD139)," ",IF(AD139="np",SpecialScores!$C$3,IF(AD139="dnf",SpecialScores!$C$4,MIN( 1000+AD139/SpecialScores!$AA$5*0.0001,(500*LOG(1+99*AD139/SpecialScores!$AA$5))))))</f>
        <v xml:space="preserve"> </v>
      </c>
      <c r="AF139" s="12" t="str">
        <f t="shared" si="55"/>
        <v/>
      </c>
      <c r="AG139" s="38"/>
      <c r="AH139" s="8" t="str">
        <f>IF(ISBLANK(AG139)," ",IF(AG139="np",SpecialScores!$C$3,IF(AG139="dnf",SpecialScores!$C$4,MIN(1000,(500*LOG(1+99*AG139/SpecialScores!$E$3))))))</f>
        <v xml:space="preserve"> </v>
      </c>
      <c r="AI139" s="12" t="str">
        <f t="shared" si="56"/>
        <v/>
      </c>
      <c r="AP139" s="49"/>
    </row>
    <row r="140" spans="1:42" x14ac:dyDescent="0.35">
      <c r="A140" s="42"/>
      <c r="E140" s="33" t="str">
        <f t="shared" si="57"/>
        <v xml:space="preserve"> </v>
      </c>
      <c r="F140" s="33" t="str">
        <f t="shared" si="58"/>
        <v xml:space="preserve"> </v>
      </c>
      <c r="G140" s="7" t="str">
        <f t="shared" si="59"/>
        <v xml:space="preserve"> </v>
      </c>
      <c r="H140" s="7" t="str">
        <f t="shared" si="60"/>
        <v xml:space="preserve"> </v>
      </c>
      <c r="I140" s="38"/>
      <c r="J140" s="8" t="str">
        <f>IF(ISBLANK(I140)," ",IF(I140="np",SpecialScores!$C$3,IF(I140="dnf",SpecialScores!$C$4,MIN( 1000+I140/SpecialScores!$E$3*0.0001,(500*LOG(1+99*I140/SpecialScores!$E$3))))))</f>
        <v xml:space="preserve"> </v>
      </c>
      <c r="K140" s="12" t="str">
        <f t="shared" ref="K140:K201" si="61">IF(ISBLANK(I140),"",  RANK(J140,J$2:J$202,0)+((COUNTIF(J$2:J$202,J140)-1)*0.5) )</f>
        <v/>
      </c>
      <c r="L140" s="38"/>
      <c r="M140" s="8" t="str">
        <f>IF(ISBLANK(L140)," ",IF(L140="np",SpecialScores!$C$3,IF(L140="dnf",SpecialScores!$C$4,MIN( 1000+L140/SpecialScores!$H$3*0.0001,(500*LOG(1+99*L140/SpecialScores!$H$3))))))</f>
        <v xml:space="preserve"> </v>
      </c>
      <c r="N140" s="12" t="str">
        <f t="shared" ref="N140:N201" si="62">IF(ISBLANK(L140),"",  RANK(M140,M$2:M$202,0)+((COUNTIF(M$2:M$202,M140)-1)*0.5) )</f>
        <v/>
      </c>
      <c r="O140" s="38"/>
      <c r="P140" s="8" t="str">
        <f>IF(ISBLANK(O140)," ",IF(O140="np",SpecialScores!$C$3,IF(O140="dnf",SpecialScores!$C$4,MIN(1000,(500*LOG(1+99*O140/SpecialScores!$K$3))))))</f>
        <v xml:space="preserve"> </v>
      </c>
      <c r="Q140" s="12" t="str">
        <f t="shared" ref="Q140:Q201" si="63">IF(ISBLANK(O140),"",  RANK(P140,P$2:P$202,0)+((COUNTIF(P$2:P$202,P140)-1)*0.5) )</f>
        <v/>
      </c>
      <c r="R140" s="38"/>
      <c r="S140" s="8" t="str">
        <f>IF(ISBLANK(R140)," ",IF(R140="np",SpecialScores!$C$3,IF(R140="dnf",SpecialScores!$C$4,      IF(AND(R140&gt;=0,R140&lt;SpecialScores!$O$12), (500*LOG(1+99*R140/SpecialScores!$O$12*SpecialScores!$O$11/SpecialScores!$O$10)),                         MIN((500*LOG(1+99*SpecialScores!$O$11/R140)))))))</f>
        <v xml:space="preserve"> </v>
      </c>
      <c r="T140" s="12" t="str">
        <f t="shared" ref="T140:T201" si="64">IF(ISBLANK(R140),"",  RANK(S140,S$2:S$202,0)+((COUNTIF(S$2:S$202,S140)-1)*0.5) )</f>
        <v/>
      </c>
      <c r="U140" s="38"/>
      <c r="V140" s="8" t="str">
        <f>IF(ISBLANK(U140)," ",IF(U140="np",SpecialScores!$C$3,IF(U140="dnf",SpecialScores!$C$4,MIN((500*LOG(1+99*U140/SpecialScores!$R$3))))))</f>
        <v xml:space="preserve"> </v>
      </c>
      <c r="W140" s="12" t="str">
        <f t="shared" ref="W140:W201" si="65">IF(ISBLANK(U140),"",  RANK(V140,V$2:V$202,0)+((COUNTIF(V$2:V$202,V140)-1)*0.5) )</f>
        <v/>
      </c>
      <c r="X140" s="38"/>
      <c r="Y140" s="8" t="str">
        <f>IF(ISBLANK(X140)," ",IF(X140="np",SpecialScores!$C$3,IF(X140="dnf",SpecialScores!$C$4,MIN( 1000+X140/SpecialScores!$U$3*0.0001,(500*LOG(1+99*X140/SpecialScores!$U$3))))))</f>
        <v xml:space="preserve"> </v>
      </c>
      <c r="Z140" s="12" t="str">
        <f t="shared" ref="Z140:Z201" si="66">IF(ISBLANK(X140),"",  RANK(Y140,Y$2:Y$202,0)+((COUNTIF(Y$2:Y$202,Y140)-1)*0.5) )</f>
        <v/>
      </c>
      <c r="AA140" s="38"/>
      <c r="AB140" s="8" t="str">
        <f>IF(ISBLANK(AA140)," ",IF(AA140="np",SpecialScores!$C$3,IF(AA140="dnf",SpecialScores!$C$4,      IF(AND(AA140&gt;=0,AA140&lt;SpecialScores!$X$12), (500*LOG(1+99*AA140/SpecialScores!$X$12*SpecialScores!$X$11/SpecialScores!$X$10)),                         MIN((500*LOG(1+99*SpecialScores!$X$11/AA140)))))))</f>
        <v xml:space="preserve"> </v>
      </c>
      <c r="AC140" s="12" t="str">
        <f t="shared" ref="AC140:AC201" si="67">IF(ISBLANK(AA140),"",  RANK(AB140,AB$2:AB$202,0)+((COUNTIF(AB$2:AB$202,AB140)-1)*0.5) )</f>
        <v/>
      </c>
      <c r="AD140" s="38"/>
      <c r="AE140" s="8" t="str">
        <f>IF(ISBLANK(AD140)," ",IF(AD140="np",SpecialScores!$C$3,IF(AD140="dnf",SpecialScores!$C$4,MIN( 1000+AD140/SpecialScores!$AA$5*0.0001,(500*LOG(1+99*AD140/SpecialScores!$AA$5))))))</f>
        <v xml:space="preserve"> </v>
      </c>
      <c r="AF140" s="12" t="str">
        <f t="shared" ref="AF140:AF201" si="68">IF(ISBLANK(AD140),"",  RANK(AE140,AE$2:AE$202,0)+((COUNTIF(AE$2:AE$202,AE140)-1)*0.5) )</f>
        <v/>
      </c>
      <c r="AG140" s="38"/>
      <c r="AH140" s="8" t="str">
        <f>IF(ISBLANK(AG140)," ",IF(AG140="np",SpecialScores!$C$3,IF(AG140="dnf",SpecialScores!$C$4,MIN(1000,(500*LOG(1+99*AG140/SpecialScores!$E$3))))))</f>
        <v xml:space="preserve"> </v>
      </c>
      <c r="AI140" s="12" t="str">
        <f t="shared" ref="AI140:AI201" si="69">IF(ISBLANK(AG140),"",  RANK(AH140,AH$2:AH$202,0)+((COUNTIF(AH$2:AH$202,AH140)-1)*0.5) )</f>
        <v/>
      </c>
      <c r="AP140" s="49"/>
    </row>
    <row r="141" spans="1:42" x14ac:dyDescent="0.35">
      <c r="A141" s="42"/>
      <c r="E141" s="33" t="str">
        <f t="shared" si="57"/>
        <v xml:space="preserve"> </v>
      </c>
      <c r="F141" s="33" t="str">
        <f t="shared" si="58"/>
        <v xml:space="preserve"> </v>
      </c>
      <c r="G141" s="7" t="str">
        <f t="shared" si="59"/>
        <v xml:space="preserve"> </v>
      </c>
      <c r="H141" s="7" t="str">
        <f t="shared" si="60"/>
        <v xml:space="preserve"> </v>
      </c>
      <c r="I141" s="38"/>
      <c r="J141" s="8" t="str">
        <f>IF(ISBLANK(I141)," ",IF(I141="np",SpecialScores!$C$3,IF(I141="dnf",SpecialScores!$C$4,MIN( 1000+I141/SpecialScores!$E$3*0.0001,(500*LOG(1+99*I141/SpecialScores!$E$3))))))</f>
        <v xml:space="preserve"> </v>
      </c>
      <c r="K141" s="12" t="str">
        <f t="shared" si="61"/>
        <v/>
      </c>
      <c r="L141" s="38"/>
      <c r="M141" s="8" t="str">
        <f>IF(ISBLANK(L141)," ",IF(L141="np",SpecialScores!$C$3,IF(L141="dnf",SpecialScores!$C$4,MIN( 1000+L141/SpecialScores!$H$3*0.0001,(500*LOG(1+99*L141/SpecialScores!$H$3))))))</f>
        <v xml:space="preserve"> </v>
      </c>
      <c r="N141" s="12" t="str">
        <f t="shared" si="62"/>
        <v/>
      </c>
      <c r="O141" s="38"/>
      <c r="P141" s="8" t="str">
        <f>IF(ISBLANK(O141)," ",IF(O141="np",SpecialScores!$C$3,IF(O141="dnf",SpecialScores!$C$4,MIN(1000,(500*LOG(1+99*O141/SpecialScores!$K$3))))))</f>
        <v xml:space="preserve"> </v>
      </c>
      <c r="Q141" s="12" t="str">
        <f t="shared" si="63"/>
        <v/>
      </c>
      <c r="R141" s="38"/>
      <c r="S141" s="8" t="str">
        <f>IF(ISBLANK(R141)," ",IF(R141="np",SpecialScores!$C$3,IF(R141="dnf",SpecialScores!$C$4,      IF(AND(R141&gt;=0,R141&lt;SpecialScores!$O$12), (500*LOG(1+99*R141/SpecialScores!$O$12*SpecialScores!$O$11/SpecialScores!$O$10)),                         MIN((500*LOG(1+99*SpecialScores!$O$11/R141)))))))</f>
        <v xml:space="preserve"> </v>
      </c>
      <c r="T141" s="12" t="str">
        <f t="shared" si="64"/>
        <v/>
      </c>
      <c r="U141" s="38"/>
      <c r="V141" s="8" t="str">
        <f>IF(ISBLANK(U141)," ",IF(U141="np",SpecialScores!$C$3,IF(U141="dnf",SpecialScores!$C$4,MIN((500*LOG(1+99*U141/SpecialScores!$R$3))))))</f>
        <v xml:space="preserve"> </v>
      </c>
      <c r="W141" s="12" t="str">
        <f t="shared" si="65"/>
        <v/>
      </c>
      <c r="X141" s="38"/>
      <c r="Y141" s="8" t="str">
        <f>IF(ISBLANK(X141)," ",IF(X141="np",SpecialScores!$C$3,IF(X141="dnf",SpecialScores!$C$4,MIN( 1000+X141/SpecialScores!$U$3*0.0001,(500*LOG(1+99*X141/SpecialScores!$U$3))))))</f>
        <v xml:space="preserve"> </v>
      </c>
      <c r="Z141" s="12" t="str">
        <f t="shared" si="66"/>
        <v/>
      </c>
      <c r="AA141" s="38"/>
      <c r="AB141" s="8" t="str">
        <f>IF(ISBLANK(AA141)," ",IF(AA141="np",SpecialScores!$C$3,IF(AA141="dnf",SpecialScores!$C$4,      IF(AND(AA141&gt;=0,AA141&lt;SpecialScores!$X$12), (500*LOG(1+99*AA141/SpecialScores!$X$12*SpecialScores!$X$11/SpecialScores!$X$10)),                         MIN((500*LOG(1+99*SpecialScores!$X$11/AA141)))))))</f>
        <v xml:space="preserve"> </v>
      </c>
      <c r="AC141" s="12" t="str">
        <f t="shared" si="67"/>
        <v/>
      </c>
      <c r="AD141" s="38"/>
      <c r="AE141" s="8" t="str">
        <f>IF(ISBLANK(AD141)," ",IF(AD141="np",SpecialScores!$C$3,IF(AD141="dnf",SpecialScores!$C$4,MIN( 1000+AD141/SpecialScores!$AA$5*0.0001,(500*LOG(1+99*AD141/SpecialScores!$AA$5))))))</f>
        <v xml:space="preserve"> </v>
      </c>
      <c r="AF141" s="12" t="str">
        <f t="shared" si="68"/>
        <v/>
      </c>
      <c r="AG141" s="38"/>
      <c r="AH141" s="8" t="str">
        <f>IF(ISBLANK(AG141)," ",IF(AG141="np",SpecialScores!$C$3,IF(AG141="dnf",SpecialScores!$C$4,MIN(1000,(500*LOG(1+99*AG141/SpecialScores!$E$3))))))</f>
        <v xml:space="preserve"> </v>
      </c>
      <c r="AI141" s="12" t="str">
        <f t="shared" si="69"/>
        <v/>
      </c>
      <c r="AP141" s="49"/>
    </row>
    <row r="142" spans="1:42" x14ac:dyDescent="0.35">
      <c r="A142" s="42"/>
      <c r="E142" s="33" t="str">
        <f t="shared" si="57"/>
        <v xml:space="preserve"> </v>
      </c>
      <c r="F142" s="33" t="str">
        <f t="shared" si="58"/>
        <v xml:space="preserve"> </v>
      </c>
      <c r="G142" s="7" t="str">
        <f t="shared" si="59"/>
        <v xml:space="preserve"> </v>
      </c>
      <c r="H142" s="7" t="str">
        <f t="shared" si="60"/>
        <v xml:space="preserve"> </v>
      </c>
      <c r="I142" s="38"/>
      <c r="J142" s="8" t="str">
        <f>IF(ISBLANK(I142)," ",IF(I142="np",SpecialScores!$C$3,IF(I142="dnf",SpecialScores!$C$4,MIN( 1000+I142/SpecialScores!$E$3*0.0001,(500*LOG(1+99*I142/SpecialScores!$E$3))))))</f>
        <v xml:space="preserve"> </v>
      </c>
      <c r="K142" s="12" t="str">
        <f t="shared" si="61"/>
        <v/>
      </c>
      <c r="L142" s="38"/>
      <c r="M142" s="8" t="str">
        <f>IF(ISBLANK(L142)," ",IF(L142="np",SpecialScores!$C$3,IF(L142="dnf",SpecialScores!$C$4,MIN( 1000+L142/SpecialScores!$H$3*0.0001,(500*LOG(1+99*L142/SpecialScores!$H$3))))))</f>
        <v xml:space="preserve"> </v>
      </c>
      <c r="N142" s="12" t="str">
        <f t="shared" si="62"/>
        <v/>
      </c>
      <c r="O142" s="38"/>
      <c r="P142" s="8" t="str">
        <f>IF(ISBLANK(O142)," ",IF(O142="np",SpecialScores!$C$3,IF(O142="dnf",SpecialScores!$C$4,MIN(1000,(500*LOG(1+99*O142/SpecialScores!$K$3))))))</f>
        <v xml:space="preserve"> </v>
      </c>
      <c r="Q142" s="12" t="str">
        <f t="shared" si="63"/>
        <v/>
      </c>
      <c r="R142" s="38"/>
      <c r="S142" s="8" t="str">
        <f>IF(ISBLANK(R142)," ",IF(R142="np",SpecialScores!$C$3,IF(R142="dnf",SpecialScores!$C$4,      IF(AND(R142&gt;=0,R142&lt;SpecialScores!$O$12), (500*LOG(1+99*R142/SpecialScores!$O$12*SpecialScores!$O$11/SpecialScores!$O$10)),                         MIN((500*LOG(1+99*SpecialScores!$O$11/R142)))))))</f>
        <v xml:space="preserve"> </v>
      </c>
      <c r="T142" s="12" t="str">
        <f t="shared" si="64"/>
        <v/>
      </c>
      <c r="U142" s="38"/>
      <c r="V142" s="8" t="str">
        <f>IF(ISBLANK(U142)," ",IF(U142="np",SpecialScores!$C$3,IF(U142="dnf",SpecialScores!$C$4,MIN((500*LOG(1+99*U142/SpecialScores!$R$3))))))</f>
        <v xml:space="preserve"> </v>
      </c>
      <c r="W142" s="12" t="str">
        <f t="shared" si="65"/>
        <v/>
      </c>
      <c r="X142" s="38"/>
      <c r="Y142" s="8" t="str">
        <f>IF(ISBLANK(X142)," ",IF(X142="np",SpecialScores!$C$3,IF(X142="dnf",SpecialScores!$C$4,MIN( 1000+X142/SpecialScores!$U$3*0.0001,(500*LOG(1+99*X142/SpecialScores!$U$3))))))</f>
        <v xml:space="preserve"> </v>
      </c>
      <c r="Z142" s="12" t="str">
        <f t="shared" si="66"/>
        <v/>
      </c>
      <c r="AA142" s="38"/>
      <c r="AB142" s="8" t="str">
        <f>IF(ISBLANK(AA142)," ",IF(AA142="np",SpecialScores!$C$3,IF(AA142="dnf",SpecialScores!$C$4,      IF(AND(AA142&gt;=0,AA142&lt;SpecialScores!$X$12), (500*LOG(1+99*AA142/SpecialScores!$X$12*SpecialScores!$X$11/SpecialScores!$X$10)),                         MIN((500*LOG(1+99*SpecialScores!$X$11/AA142)))))))</f>
        <v xml:space="preserve"> </v>
      </c>
      <c r="AC142" s="12" t="str">
        <f t="shared" si="67"/>
        <v/>
      </c>
      <c r="AD142" s="38"/>
      <c r="AE142" s="8" t="str">
        <f>IF(ISBLANK(AD142)," ",IF(AD142="np",SpecialScores!$C$3,IF(AD142="dnf",SpecialScores!$C$4,MIN( 1000+AD142/SpecialScores!$AA$5*0.0001,(500*LOG(1+99*AD142/SpecialScores!$AA$5))))))</f>
        <v xml:space="preserve"> </v>
      </c>
      <c r="AF142" s="12" t="str">
        <f t="shared" si="68"/>
        <v/>
      </c>
      <c r="AG142" s="38"/>
      <c r="AH142" s="8" t="str">
        <f>IF(ISBLANK(AG142)," ",IF(AG142="np",SpecialScores!$C$3,IF(AG142="dnf",SpecialScores!$C$4,MIN(1000,(500*LOG(1+99*AG142/SpecialScores!$E$3))))))</f>
        <v xml:space="preserve"> </v>
      </c>
      <c r="AI142" s="12" t="str">
        <f t="shared" si="69"/>
        <v/>
      </c>
      <c r="AP142" s="49"/>
    </row>
    <row r="143" spans="1:42" x14ac:dyDescent="0.35">
      <c r="A143" s="42"/>
      <c r="E143" s="33" t="str">
        <f t="shared" si="57"/>
        <v xml:space="preserve"> </v>
      </c>
      <c r="F143" s="33" t="str">
        <f t="shared" si="58"/>
        <v xml:space="preserve"> </v>
      </c>
      <c r="G143" s="7" t="str">
        <f t="shared" si="59"/>
        <v xml:space="preserve"> </v>
      </c>
      <c r="H143" s="7" t="str">
        <f t="shared" si="60"/>
        <v xml:space="preserve"> </v>
      </c>
      <c r="I143" s="38"/>
      <c r="J143" s="8" t="str">
        <f>IF(ISBLANK(I143)," ",IF(I143="np",SpecialScores!$C$3,IF(I143="dnf",SpecialScores!$C$4,MIN( 1000+I143/SpecialScores!$E$3*0.0001,(500*LOG(1+99*I143/SpecialScores!$E$3))))))</f>
        <v xml:space="preserve"> </v>
      </c>
      <c r="K143" s="12" t="str">
        <f t="shared" si="61"/>
        <v/>
      </c>
      <c r="L143" s="38"/>
      <c r="M143" s="8" t="str">
        <f>IF(ISBLANK(L143)," ",IF(L143="np",SpecialScores!$C$3,IF(L143="dnf",SpecialScores!$C$4,MIN( 1000+L143/SpecialScores!$H$3*0.0001,(500*LOG(1+99*L143/SpecialScores!$H$3))))))</f>
        <v xml:space="preserve"> </v>
      </c>
      <c r="N143" s="12" t="str">
        <f t="shared" si="62"/>
        <v/>
      </c>
      <c r="O143" s="38"/>
      <c r="P143" s="8" t="str">
        <f>IF(ISBLANK(O143)," ",IF(O143="np",SpecialScores!$C$3,IF(O143="dnf",SpecialScores!$C$4,MIN(1000,(500*LOG(1+99*O143/SpecialScores!$K$3))))))</f>
        <v xml:space="preserve"> </v>
      </c>
      <c r="Q143" s="12" t="str">
        <f t="shared" si="63"/>
        <v/>
      </c>
      <c r="R143" s="38"/>
      <c r="S143" s="8" t="str">
        <f>IF(ISBLANK(R143)," ",IF(R143="np",SpecialScores!$C$3,IF(R143="dnf",SpecialScores!$C$4,      IF(AND(R143&gt;=0,R143&lt;SpecialScores!$O$12), (500*LOG(1+99*R143/SpecialScores!$O$12*SpecialScores!$O$11/SpecialScores!$O$10)),                         MIN((500*LOG(1+99*SpecialScores!$O$11/R143)))))))</f>
        <v xml:space="preserve"> </v>
      </c>
      <c r="T143" s="12" t="str">
        <f t="shared" si="64"/>
        <v/>
      </c>
      <c r="U143" s="38"/>
      <c r="V143" s="8" t="str">
        <f>IF(ISBLANK(U143)," ",IF(U143="np",SpecialScores!$C$3,IF(U143="dnf",SpecialScores!$C$4,MIN((500*LOG(1+99*U143/SpecialScores!$R$3))))))</f>
        <v xml:space="preserve"> </v>
      </c>
      <c r="W143" s="12" t="str">
        <f t="shared" si="65"/>
        <v/>
      </c>
      <c r="X143" s="38"/>
      <c r="Y143" s="8" t="str">
        <f>IF(ISBLANK(X143)," ",IF(X143="np",SpecialScores!$C$3,IF(X143="dnf",SpecialScores!$C$4,MIN( 1000+X143/SpecialScores!$U$3*0.0001,(500*LOG(1+99*X143/SpecialScores!$U$3))))))</f>
        <v xml:space="preserve"> </v>
      </c>
      <c r="Z143" s="12" t="str">
        <f t="shared" si="66"/>
        <v/>
      </c>
      <c r="AA143" s="38"/>
      <c r="AB143" s="8" t="str">
        <f>IF(ISBLANK(AA143)," ",IF(AA143="np",SpecialScores!$C$3,IF(AA143="dnf",SpecialScores!$C$4,      IF(AND(AA143&gt;=0,AA143&lt;SpecialScores!$X$12), (500*LOG(1+99*AA143/SpecialScores!$X$12*SpecialScores!$X$11/SpecialScores!$X$10)),                         MIN((500*LOG(1+99*SpecialScores!$X$11/AA143)))))))</f>
        <v xml:space="preserve"> </v>
      </c>
      <c r="AC143" s="12" t="str">
        <f t="shared" si="67"/>
        <v/>
      </c>
      <c r="AD143" s="38"/>
      <c r="AE143" s="8" t="str">
        <f>IF(ISBLANK(AD143)," ",IF(AD143="np",SpecialScores!$C$3,IF(AD143="dnf",SpecialScores!$C$4,MIN( 1000+AD143/SpecialScores!$AA$5*0.0001,(500*LOG(1+99*AD143/SpecialScores!$AA$5))))))</f>
        <v xml:space="preserve"> </v>
      </c>
      <c r="AF143" s="12" t="str">
        <f t="shared" si="68"/>
        <v/>
      </c>
      <c r="AG143" s="38"/>
      <c r="AH143" s="8" t="str">
        <f>IF(ISBLANK(AG143)," ",IF(AG143="np",SpecialScores!$C$3,IF(AG143="dnf",SpecialScores!$C$4,MIN(1000,(500*LOG(1+99*AG143/SpecialScores!$E$3))))))</f>
        <v xml:space="preserve"> </v>
      </c>
      <c r="AI143" s="12" t="str">
        <f t="shared" si="69"/>
        <v/>
      </c>
      <c r="AP143" s="49"/>
    </row>
    <row r="144" spans="1:42" x14ac:dyDescent="0.35">
      <c r="A144" s="42"/>
      <c r="E144" s="33" t="str">
        <f t="shared" si="57"/>
        <v xml:space="preserve"> </v>
      </c>
      <c r="F144" s="33" t="str">
        <f t="shared" si="58"/>
        <v xml:space="preserve"> </v>
      </c>
      <c r="G144" s="7" t="str">
        <f t="shared" si="59"/>
        <v xml:space="preserve"> </v>
      </c>
      <c r="H144" s="7" t="str">
        <f t="shared" si="60"/>
        <v xml:space="preserve"> </v>
      </c>
      <c r="I144" s="38"/>
      <c r="J144" s="8" t="str">
        <f>IF(ISBLANK(I144)," ",IF(I144="np",SpecialScores!$C$3,IF(I144="dnf",SpecialScores!$C$4,MIN( 1000+I144/SpecialScores!$E$3*0.0001,(500*LOG(1+99*I144/SpecialScores!$E$3))))))</f>
        <v xml:space="preserve"> </v>
      </c>
      <c r="K144" s="12" t="str">
        <f t="shared" si="61"/>
        <v/>
      </c>
      <c r="L144" s="38"/>
      <c r="M144" s="8" t="str">
        <f>IF(ISBLANK(L144)," ",IF(L144="np",SpecialScores!$C$3,IF(L144="dnf",SpecialScores!$C$4,MIN( 1000+L144/SpecialScores!$H$3*0.0001,(500*LOG(1+99*L144/SpecialScores!$H$3))))))</f>
        <v xml:space="preserve"> </v>
      </c>
      <c r="N144" s="12" t="str">
        <f t="shared" si="62"/>
        <v/>
      </c>
      <c r="O144" s="38"/>
      <c r="P144" s="8" t="str">
        <f>IF(ISBLANK(O144)," ",IF(O144="np",SpecialScores!$C$3,IF(O144="dnf",SpecialScores!$C$4,MIN(1000,(500*LOG(1+99*O144/SpecialScores!$K$3))))))</f>
        <v xml:space="preserve"> </v>
      </c>
      <c r="Q144" s="12" t="str">
        <f t="shared" si="63"/>
        <v/>
      </c>
      <c r="R144" s="38"/>
      <c r="S144" s="8" t="str">
        <f>IF(ISBLANK(R144)," ",IF(R144="np",SpecialScores!$C$3,IF(R144="dnf",SpecialScores!$C$4,      IF(AND(R144&gt;=0,R144&lt;SpecialScores!$O$12), (500*LOG(1+99*R144/SpecialScores!$O$12*SpecialScores!$O$11/SpecialScores!$O$10)),                         MIN((500*LOG(1+99*SpecialScores!$O$11/R144)))))))</f>
        <v xml:space="preserve"> </v>
      </c>
      <c r="T144" s="12" t="str">
        <f t="shared" si="64"/>
        <v/>
      </c>
      <c r="U144" s="38"/>
      <c r="V144" s="8" t="str">
        <f>IF(ISBLANK(U144)," ",IF(U144="np",SpecialScores!$C$3,IF(U144="dnf",SpecialScores!$C$4,MIN((500*LOG(1+99*U144/SpecialScores!$R$3))))))</f>
        <v xml:space="preserve"> </v>
      </c>
      <c r="W144" s="12" t="str">
        <f t="shared" si="65"/>
        <v/>
      </c>
      <c r="X144" s="38"/>
      <c r="Y144" s="8" t="str">
        <f>IF(ISBLANK(X144)," ",IF(X144="np",SpecialScores!$C$3,IF(X144="dnf",SpecialScores!$C$4,MIN( 1000+X144/SpecialScores!$U$3*0.0001,(500*LOG(1+99*X144/SpecialScores!$U$3))))))</f>
        <v xml:space="preserve"> </v>
      </c>
      <c r="Z144" s="12" t="str">
        <f t="shared" si="66"/>
        <v/>
      </c>
      <c r="AA144" s="38"/>
      <c r="AB144" s="8" t="str">
        <f>IF(ISBLANK(AA144)," ",IF(AA144="np",SpecialScores!$C$3,IF(AA144="dnf",SpecialScores!$C$4,      IF(AND(AA144&gt;=0,AA144&lt;SpecialScores!$X$12), (500*LOG(1+99*AA144/SpecialScores!$X$12*SpecialScores!$X$11/SpecialScores!$X$10)),                         MIN((500*LOG(1+99*SpecialScores!$X$11/AA144)))))))</f>
        <v xml:space="preserve"> </v>
      </c>
      <c r="AC144" s="12" t="str">
        <f t="shared" si="67"/>
        <v/>
      </c>
      <c r="AD144" s="38"/>
      <c r="AE144" s="8" t="str">
        <f>IF(ISBLANK(AD144)," ",IF(AD144="np",SpecialScores!$C$3,IF(AD144="dnf",SpecialScores!$C$4,MIN( 1000+AD144/SpecialScores!$AA$5*0.0001,(500*LOG(1+99*AD144/SpecialScores!$AA$5))))))</f>
        <v xml:space="preserve"> </v>
      </c>
      <c r="AF144" s="12" t="str">
        <f t="shared" si="68"/>
        <v/>
      </c>
      <c r="AG144" s="38"/>
      <c r="AH144" s="8" t="str">
        <f>IF(ISBLANK(AG144)," ",IF(AG144="np",SpecialScores!$C$3,IF(AG144="dnf",SpecialScores!$C$4,MIN(1000,(500*LOG(1+99*AG144/SpecialScores!$E$3))))))</f>
        <v xml:space="preserve"> </v>
      </c>
      <c r="AI144" s="12" t="str">
        <f t="shared" si="69"/>
        <v/>
      </c>
      <c r="AP144" s="49"/>
    </row>
    <row r="145" spans="1:42" x14ac:dyDescent="0.35">
      <c r="A145" s="42"/>
      <c r="E145" s="33" t="str">
        <f t="shared" si="57"/>
        <v xml:space="preserve"> </v>
      </c>
      <c r="F145" s="33" t="str">
        <f t="shared" si="58"/>
        <v xml:space="preserve"> </v>
      </c>
      <c r="G145" s="7" t="str">
        <f t="shared" si="59"/>
        <v xml:space="preserve"> </v>
      </c>
      <c r="H145" s="7" t="str">
        <f t="shared" si="60"/>
        <v xml:space="preserve"> </v>
      </c>
      <c r="I145" s="38"/>
      <c r="J145" s="8" t="str">
        <f>IF(ISBLANK(I145)," ",IF(I145="np",SpecialScores!$C$3,IF(I145="dnf",SpecialScores!$C$4,MIN( 1000+I145/SpecialScores!$E$3*0.0001,(500*LOG(1+99*I145/SpecialScores!$E$3))))))</f>
        <v xml:space="preserve"> </v>
      </c>
      <c r="K145" s="12" t="str">
        <f t="shared" si="61"/>
        <v/>
      </c>
      <c r="L145" s="38"/>
      <c r="M145" s="8" t="str">
        <f>IF(ISBLANK(L145)," ",IF(L145="np",SpecialScores!$C$3,IF(L145="dnf",SpecialScores!$C$4,MIN( 1000+L145/SpecialScores!$H$3*0.0001,(500*LOG(1+99*L145/SpecialScores!$H$3))))))</f>
        <v xml:space="preserve"> </v>
      </c>
      <c r="N145" s="12" t="str">
        <f t="shared" si="62"/>
        <v/>
      </c>
      <c r="O145" s="38"/>
      <c r="P145" s="8" t="str">
        <f>IF(ISBLANK(O145)," ",IF(O145="np",SpecialScores!$C$3,IF(O145="dnf",SpecialScores!$C$4,MIN(1000,(500*LOG(1+99*O145/SpecialScores!$K$3))))))</f>
        <v xml:space="preserve"> </v>
      </c>
      <c r="Q145" s="12" t="str">
        <f t="shared" si="63"/>
        <v/>
      </c>
      <c r="R145" s="38"/>
      <c r="S145" s="8" t="str">
        <f>IF(ISBLANK(R145)," ",IF(R145="np",SpecialScores!$C$3,IF(R145="dnf",SpecialScores!$C$4,      IF(AND(R145&gt;=0,R145&lt;SpecialScores!$O$12), (500*LOG(1+99*R145/SpecialScores!$O$12*SpecialScores!$O$11/SpecialScores!$O$10)),                         MIN((500*LOG(1+99*SpecialScores!$O$11/R145)))))))</f>
        <v xml:space="preserve"> </v>
      </c>
      <c r="T145" s="12" t="str">
        <f t="shared" si="64"/>
        <v/>
      </c>
      <c r="U145" s="38"/>
      <c r="V145" s="8" t="str">
        <f>IF(ISBLANK(U145)," ",IF(U145="np",SpecialScores!$C$3,IF(U145="dnf",SpecialScores!$C$4,MIN((500*LOG(1+99*U145/SpecialScores!$R$3))))))</f>
        <v xml:space="preserve"> </v>
      </c>
      <c r="W145" s="12" t="str">
        <f t="shared" si="65"/>
        <v/>
      </c>
      <c r="X145" s="38"/>
      <c r="Y145" s="8" t="str">
        <f>IF(ISBLANK(X145)," ",IF(X145="np",SpecialScores!$C$3,IF(X145="dnf",SpecialScores!$C$4,MIN( 1000+X145/SpecialScores!$U$3*0.0001,(500*LOG(1+99*X145/SpecialScores!$U$3))))))</f>
        <v xml:space="preserve"> </v>
      </c>
      <c r="Z145" s="12" t="str">
        <f t="shared" si="66"/>
        <v/>
      </c>
      <c r="AA145" s="38"/>
      <c r="AB145" s="8" t="str">
        <f>IF(ISBLANK(AA145)," ",IF(AA145="np",SpecialScores!$C$3,IF(AA145="dnf",SpecialScores!$C$4,      IF(AND(AA145&gt;=0,AA145&lt;SpecialScores!$X$12), (500*LOG(1+99*AA145/SpecialScores!$X$12*SpecialScores!$X$11/SpecialScores!$X$10)),                         MIN((500*LOG(1+99*SpecialScores!$X$11/AA145)))))))</f>
        <v xml:space="preserve"> </v>
      </c>
      <c r="AC145" s="12" t="str">
        <f t="shared" si="67"/>
        <v/>
      </c>
      <c r="AD145" s="38"/>
      <c r="AE145" s="8" t="str">
        <f>IF(ISBLANK(AD145)," ",IF(AD145="np",SpecialScores!$C$3,IF(AD145="dnf",SpecialScores!$C$4,MIN( 1000+AD145/SpecialScores!$AA$5*0.0001,(500*LOG(1+99*AD145/SpecialScores!$AA$5))))))</f>
        <v xml:space="preserve"> </v>
      </c>
      <c r="AF145" s="12" t="str">
        <f t="shared" si="68"/>
        <v/>
      </c>
      <c r="AG145" s="38"/>
      <c r="AH145" s="8" t="str">
        <f>IF(ISBLANK(AG145)," ",IF(AG145="np",SpecialScores!$C$3,IF(AG145="dnf",SpecialScores!$C$4,MIN(1000,(500*LOG(1+99*AG145/SpecialScores!$E$3))))))</f>
        <v xml:space="preserve"> </v>
      </c>
      <c r="AI145" s="12" t="str">
        <f t="shared" si="69"/>
        <v/>
      </c>
      <c r="AP145" s="49"/>
    </row>
    <row r="146" spans="1:42" x14ac:dyDescent="0.35">
      <c r="A146" s="42"/>
      <c r="E146" s="33" t="str">
        <f t="shared" si="57"/>
        <v xml:space="preserve"> </v>
      </c>
      <c r="F146" s="33" t="str">
        <f t="shared" si="58"/>
        <v xml:space="preserve"> </v>
      </c>
      <c r="G146" s="7" t="str">
        <f t="shared" si="59"/>
        <v xml:space="preserve"> </v>
      </c>
      <c r="H146" s="7" t="str">
        <f t="shared" si="60"/>
        <v xml:space="preserve"> </v>
      </c>
      <c r="I146" s="38"/>
      <c r="J146" s="8" t="str">
        <f>IF(ISBLANK(I146)," ",IF(I146="np",SpecialScores!$C$3,IF(I146="dnf",SpecialScores!$C$4,MIN( 1000+I146/SpecialScores!$E$3*0.0001,(500*LOG(1+99*I146/SpecialScores!$E$3))))))</f>
        <v xml:space="preserve"> </v>
      </c>
      <c r="K146" s="12" t="str">
        <f t="shared" si="61"/>
        <v/>
      </c>
      <c r="L146" s="38"/>
      <c r="M146" s="8" t="str">
        <f>IF(ISBLANK(L146)," ",IF(L146="np",SpecialScores!$C$3,IF(L146="dnf",SpecialScores!$C$4,MIN( 1000+L146/SpecialScores!$H$3*0.0001,(500*LOG(1+99*L146/SpecialScores!$H$3))))))</f>
        <v xml:space="preserve"> </v>
      </c>
      <c r="N146" s="12" t="str">
        <f t="shared" si="62"/>
        <v/>
      </c>
      <c r="O146" s="38"/>
      <c r="P146" s="8" t="str">
        <f>IF(ISBLANK(O146)," ",IF(O146="np",SpecialScores!$C$3,IF(O146="dnf",SpecialScores!$C$4,MIN(1000,(500*LOG(1+99*O146/SpecialScores!$K$3))))))</f>
        <v xml:space="preserve"> </v>
      </c>
      <c r="Q146" s="12" t="str">
        <f t="shared" si="63"/>
        <v/>
      </c>
      <c r="R146" s="38"/>
      <c r="S146" s="8" t="str">
        <f>IF(ISBLANK(R146)," ",IF(R146="np",SpecialScores!$C$3,IF(R146="dnf",SpecialScores!$C$4,      IF(AND(R146&gt;=0,R146&lt;SpecialScores!$O$12), (500*LOG(1+99*R146/SpecialScores!$O$12*SpecialScores!$O$11/SpecialScores!$O$10)),                         MIN((500*LOG(1+99*SpecialScores!$O$11/R146)))))))</f>
        <v xml:space="preserve"> </v>
      </c>
      <c r="T146" s="12" t="str">
        <f t="shared" si="64"/>
        <v/>
      </c>
      <c r="U146" s="38"/>
      <c r="V146" s="8" t="str">
        <f>IF(ISBLANK(U146)," ",IF(U146="np",SpecialScores!$C$3,IF(U146="dnf",SpecialScores!$C$4,MIN((500*LOG(1+99*U146/SpecialScores!$R$3))))))</f>
        <v xml:space="preserve"> </v>
      </c>
      <c r="W146" s="12" t="str">
        <f t="shared" si="65"/>
        <v/>
      </c>
      <c r="X146" s="38"/>
      <c r="Y146" s="8" t="str">
        <f>IF(ISBLANK(X146)," ",IF(X146="np",SpecialScores!$C$3,IF(X146="dnf",SpecialScores!$C$4,MIN( 1000+X146/SpecialScores!$U$3*0.0001,(500*LOG(1+99*X146/SpecialScores!$U$3))))))</f>
        <v xml:space="preserve"> </v>
      </c>
      <c r="Z146" s="12" t="str">
        <f t="shared" si="66"/>
        <v/>
      </c>
      <c r="AA146" s="38"/>
      <c r="AB146" s="8" t="str">
        <f>IF(ISBLANK(AA146)," ",IF(AA146="np",SpecialScores!$C$3,IF(AA146="dnf",SpecialScores!$C$4,      IF(AND(AA146&gt;=0,AA146&lt;SpecialScores!$X$12), (500*LOG(1+99*AA146/SpecialScores!$X$12*SpecialScores!$X$11/SpecialScores!$X$10)),                         MIN((500*LOG(1+99*SpecialScores!$X$11/AA146)))))))</f>
        <v xml:space="preserve"> </v>
      </c>
      <c r="AC146" s="12" t="str">
        <f t="shared" si="67"/>
        <v/>
      </c>
      <c r="AD146" s="38"/>
      <c r="AE146" s="8" t="str">
        <f>IF(ISBLANK(AD146)," ",IF(AD146="np",SpecialScores!$C$3,IF(AD146="dnf",SpecialScores!$C$4,MIN( 1000+AD146/SpecialScores!$AA$5*0.0001,(500*LOG(1+99*AD146/SpecialScores!$AA$5))))))</f>
        <v xml:space="preserve"> </v>
      </c>
      <c r="AF146" s="12" t="str">
        <f t="shared" si="68"/>
        <v/>
      </c>
      <c r="AG146" s="38"/>
      <c r="AH146" s="8" t="str">
        <f>IF(ISBLANK(AG146)," ",IF(AG146="np",SpecialScores!$C$3,IF(AG146="dnf",SpecialScores!$C$4,MIN(1000,(500*LOG(1+99*AG146/SpecialScores!$E$3))))))</f>
        <v xml:space="preserve"> </v>
      </c>
      <c r="AI146" s="12" t="str">
        <f t="shared" si="69"/>
        <v/>
      </c>
      <c r="AP146" s="49"/>
    </row>
    <row r="147" spans="1:42" x14ac:dyDescent="0.35">
      <c r="A147" s="42"/>
      <c r="E147" s="33" t="str">
        <f t="shared" si="57"/>
        <v xml:space="preserve"> </v>
      </c>
      <c r="F147" s="33" t="str">
        <f t="shared" si="58"/>
        <v xml:space="preserve"> </v>
      </c>
      <c r="G147" s="7" t="str">
        <f t="shared" si="59"/>
        <v xml:space="preserve"> </v>
      </c>
      <c r="H147" s="7" t="str">
        <f t="shared" si="60"/>
        <v xml:space="preserve"> </v>
      </c>
      <c r="I147" s="38"/>
      <c r="J147" s="8" t="str">
        <f>IF(ISBLANK(I147)," ",IF(I147="np",SpecialScores!$C$3,IF(I147="dnf",SpecialScores!$C$4,MIN( 1000+I147/SpecialScores!$E$3*0.0001,(500*LOG(1+99*I147/SpecialScores!$E$3))))))</f>
        <v xml:space="preserve"> </v>
      </c>
      <c r="K147" s="12" t="str">
        <f t="shared" si="61"/>
        <v/>
      </c>
      <c r="L147" s="38"/>
      <c r="M147" s="8" t="str">
        <f>IF(ISBLANK(L147)," ",IF(L147="np",SpecialScores!$C$3,IF(L147="dnf",SpecialScores!$C$4,MIN( 1000+L147/SpecialScores!$H$3*0.0001,(500*LOG(1+99*L147/SpecialScores!$H$3))))))</f>
        <v xml:space="preserve"> </v>
      </c>
      <c r="N147" s="12" t="str">
        <f t="shared" si="62"/>
        <v/>
      </c>
      <c r="O147" s="38"/>
      <c r="P147" s="8" t="str">
        <f>IF(ISBLANK(O147)," ",IF(O147="np",SpecialScores!$C$3,IF(O147="dnf",SpecialScores!$C$4,MIN(1000,(500*LOG(1+99*O147/SpecialScores!$K$3))))))</f>
        <v xml:space="preserve"> </v>
      </c>
      <c r="Q147" s="12" t="str">
        <f t="shared" si="63"/>
        <v/>
      </c>
      <c r="R147" s="38"/>
      <c r="S147" s="8" t="str">
        <f>IF(ISBLANK(R147)," ",IF(R147="np",SpecialScores!$C$3,IF(R147="dnf",SpecialScores!$C$4,      IF(AND(R147&gt;=0,R147&lt;SpecialScores!$O$12), (500*LOG(1+99*R147/SpecialScores!$O$12*SpecialScores!$O$11/SpecialScores!$O$10)),                         MIN((500*LOG(1+99*SpecialScores!$O$11/R147)))))))</f>
        <v xml:space="preserve"> </v>
      </c>
      <c r="T147" s="12" t="str">
        <f t="shared" si="64"/>
        <v/>
      </c>
      <c r="U147" s="38"/>
      <c r="V147" s="8" t="str">
        <f>IF(ISBLANK(U147)," ",IF(U147="np",SpecialScores!$C$3,IF(U147="dnf",SpecialScores!$C$4,MIN((500*LOG(1+99*U147/SpecialScores!$R$3))))))</f>
        <v xml:space="preserve"> </v>
      </c>
      <c r="W147" s="12" t="str">
        <f t="shared" si="65"/>
        <v/>
      </c>
      <c r="X147" s="38"/>
      <c r="Y147" s="8" t="str">
        <f>IF(ISBLANK(X147)," ",IF(X147="np",SpecialScores!$C$3,IF(X147="dnf",SpecialScores!$C$4,MIN( 1000+X147/SpecialScores!$U$3*0.0001,(500*LOG(1+99*X147/SpecialScores!$U$3))))))</f>
        <v xml:space="preserve"> </v>
      </c>
      <c r="Z147" s="12" t="str">
        <f t="shared" si="66"/>
        <v/>
      </c>
      <c r="AA147" s="38"/>
      <c r="AB147" s="8" t="str">
        <f>IF(ISBLANK(AA147)," ",IF(AA147="np",SpecialScores!$C$3,IF(AA147="dnf",SpecialScores!$C$4,      IF(AND(AA147&gt;=0,AA147&lt;SpecialScores!$X$12), (500*LOG(1+99*AA147/SpecialScores!$X$12*SpecialScores!$X$11/SpecialScores!$X$10)),                         MIN((500*LOG(1+99*SpecialScores!$X$11/AA147)))))))</f>
        <v xml:space="preserve"> </v>
      </c>
      <c r="AC147" s="12" t="str">
        <f t="shared" si="67"/>
        <v/>
      </c>
      <c r="AD147" s="38"/>
      <c r="AE147" s="8" t="str">
        <f>IF(ISBLANK(AD147)," ",IF(AD147="np",SpecialScores!$C$3,IF(AD147="dnf",SpecialScores!$C$4,MIN( 1000+AD147/SpecialScores!$AA$5*0.0001,(500*LOG(1+99*AD147/SpecialScores!$AA$5))))))</f>
        <v xml:space="preserve"> </v>
      </c>
      <c r="AF147" s="12" t="str">
        <f t="shared" si="68"/>
        <v/>
      </c>
      <c r="AG147" s="38"/>
      <c r="AH147" s="8" t="str">
        <f>IF(ISBLANK(AG147)," ",IF(AG147="np",SpecialScores!$C$3,IF(AG147="dnf",SpecialScores!$C$4,MIN(1000,(500*LOG(1+99*AG147/SpecialScores!$E$3))))))</f>
        <v xml:space="preserve"> </v>
      </c>
      <c r="AI147" s="12" t="str">
        <f t="shared" si="69"/>
        <v/>
      </c>
      <c r="AP147" s="49"/>
    </row>
    <row r="148" spans="1:42" x14ac:dyDescent="0.35">
      <c r="A148" s="42"/>
      <c r="E148" s="33" t="str">
        <f t="shared" si="57"/>
        <v xml:space="preserve"> </v>
      </c>
      <c r="F148" s="33" t="str">
        <f t="shared" si="58"/>
        <v xml:space="preserve"> </v>
      </c>
      <c r="G148" s="7" t="str">
        <f t="shared" si="59"/>
        <v xml:space="preserve"> </v>
      </c>
      <c r="H148" s="7" t="str">
        <f t="shared" si="60"/>
        <v xml:space="preserve"> </v>
      </c>
      <c r="I148" s="38"/>
      <c r="J148" s="8" t="str">
        <f>IF(ISBLANK(I148)," ",IF(I148="np",SpecialScores!$C$3,IF(I148="dnf",SpecialScores!$C$4,MIN( 1000+I148/SpecialScores!$E$3*0.0001,(500*LOG(1+99*I148/SpecialScores!$E$3))))))</f>
        <v xml:space="preserve"> </v>
      </c>
      <c r="K148" s="12" t="str">
        <f t="shared" si="61"/>
        <v/>
      </c>
      <c r="L148" s="38"/>
      <c r="M148" s="8" t="str">
        <f>IF(ISBLANK(L148)," ",IF(L148="np",SpecialScores!$C$3,IF(L148="dnf",SpecialScores!$C$4,MIN( 1000+L148/SpecialScores!$H$3*0.0001,(500*LOG(1+99*L148/SpecialScores!$H$3))))))</f>
        <v xml:space="preserve"> </v>
      </c>
      <c r="N148" s="12" t="str">
        <f t="shared" si="62"/>
        <v/>
      </c>
      <c r="O148" s="38"/>
      <c r="P148" s="8" t="str">
        <f>IF(ISBLANK(O148)," ",IF(O148="np",SpecialScores!$C$3,IF(O148="dnf",SpecialScores!$C$4,MIN(1000,(500*LOG(1+99*O148/SpecialScores!$K$3))))))</f>
        <v xml:space="preserve"> </v>
      </c>
      <c r="Q148" s="12" t="str">
        <f t="shared" si="63"/>
        <v/>
      </c>
      <c r="R148" s="38"/>
      <c r="S148" s="8" t="str">
        <f>IF(ISBLANK(R148)," ",IF(R148="np",SpecialScores!$C$3,IF(R148="dnf",SpecialScores!$C$4,      IF(AND(R148&gt;=0,R148&lt;SpecialScores!$O$12), (500*LOG(1+99*R148/SpecialScores!$O$12*SpecialScores!$O$11/SpecialScores!$O$10)),                         MIN((500*LOG(1+99*SpecialScores!$O$11/R148)))))))</f>
        <v xml:space="preserve"> </v>
      </c>
      <c r="T148" s="12" t="str">
        <f t="shared" si="64"/>
        <v/>
      </c>
      <c r="U148" s="38"/>
      <c r="V148" s="8" t="str">
        <f>IF(ISBLANK(U148)," ",IF(U148="np",SpecialScores!$C$3,IF(U148="dnf",SpecialScores!$C$4,MIN((500*LOG(1+99*U148/SpecialScores!$R$3))))))</f>
        <v xml:space="preserve"> </v>
      </c>
      <c r="W148" s="12" t="str">
        <f t="shared" si="65"/>
        <v/>
      </c>
      <c r="X148" s="38"/>
      <c r="Y148" s="8" t="str">
        <f>IF(ISBLANK(X148)," ",IF(X148="np",SpecialScores!$C$3,IF(X148="dnf",SpecialScores!$C$4,MIN( 1000+X148/SpecialScores!$U$3*0.0001,(500*LOG(1+99*X148/SpecialScores!$U$3))))))</f>
        <v xml:space="preserve"> </v>
      </c>
      <c r="Z148" s="12" t="str">
        <f t="shared" si="66"/>
        <v/>
      </c>
      <c r="AA148" s="38"/>
      <c r="AB148" s="8" t="str">
        <f>IF(ISBLANK(AA148)," ",IF(AA148="np",SpecialScores!$C$3,IF(AA148="dnf",SpecialScores!$C$4,      IF(AND(AA148&gt;=0,AA148&lt;SpecialScores!$X$12), (500*LOG(1+99*AA148/SpecialScores!$X$12*SpecialScores!$X$11/SpecialScores!$X$10)),                         MIN((500*LOG(1+99*SpecialScores!$X$11/AA148)))))))</f>
        <v xml:space="preserve"> </v>
      </c>
      <c r="AC148" s="12" t="str">
        <f t="shared" si="67"/>
        <v/>
      </c>
      <c r="AD148" s="38"/>
      <c r="AE148" s="8" t="str">
        <f>IF(ISBLANK(AD148)," ",IF(AD148="np",SpecialScores!$C$3,IF(AD148="dnf",SpecialScores!$C$4,MIN( 1000+AD148/SpecialScores!$AA$5*0.0001,(500*LOG(1+99*AD148/SpecialScores!$AA$5))))))</f>
        <v xml:space="preserve"> </v>
      </c>
      <c r="AF148" s="12" t="str">
        <f t="shared" si="68"/>
        <v/>
      </c>
      <c r="AG148" s="38"/>
      <c r="AH148" s="8" t="str">
        <f>IF(ISBLANK(AG148)," ",IF(AG148="np",SpecialScores!$C$3,IF(AG148="dnf",SpecialScores!$C$4,MIN(1000,(500*LOG(1+99*AG148/SpecialScores!$E$3))))))</f>
        <v xml:space="preserve"> </v>
      </c>
      <c r="AI148" s="12" t="str">
        <f t="shared" si="69"/>
        <v/>
      </c>
      <c r="AP148" s="49"/>
    </row>
    <row r="149" spans="1:42" x14ac:dyDescent="0.35">
      <c r="A149" s="42"/>
      <c r="E149" s="33" t="str">
        <f t="shared" si="57"/>
        <v xml:space="preserve"> </v>
      </c>
      <c r="F149" s="33" t="str">
        <f t="shared" si="58"/>
        <v xml:space="preserve"> </v>
      </c>
      <c r="G149" s="7" t="str">
        <f t="shared" si="59"/>
        <v xml:space="preserve"> </v>
      </c>
      <c r="H149" s="7" t="str">
        <f t="shared" si="60"/>
        <v xml:space="preserve"> </v>
      </c>
      <c r="I149" s="38"/>
      <c r="J149" s="8" t="str">
        <f>IF(ISBLANK(I149)," ",IF(I149="np",SpecialScores!$C$3,IF(I149="dnf",SpecialScores!$C$4,MIN( 1000+I149/SpecialScores!$E$3*0.0001,(500*LOG(1+99*I149/SpecialScores!$E$3))))))</f>
        <v xml:space="preserve"> </v>
      </c>
      <c r="K149" s="12" t="str">
        <f t="shared" si="61"/>
        <v/>
      </c>
      <c r="L149" s="38"/>
      <c r="M149" s="8" t="str">
        <f>IF(ISBLANK(L149)," ",IF(L149="np",SpecialScores!$C$3,IF(L149="dnf",SpecialScores!$C$4,MIN( 1000+L149/SpecialScores!$H$3*0.0001,(500*LOG(1+99*L149/SpecialScores!$H$3))))))</f>
        <v xml:space="preserve"> </v>
      </c>
      <c r="N149" s="12" t="str">
        <f t="shared" si="62"/>
        <v/>
      </c>
      <c r="O149" s="38"/>
      <c r="P149" s="8" t="str">
        <f>IF(ISBLANK(O149)," ",IF(O149="np",SpecialScores!$C$3,IF(O149="dnf",SpecialScores!$C$4,MIN(1000,(500*LOG(1+99*O149/SpecialScores!$K$3))))))</f>
        <v xml:space="preserve"> </v>
      </c>
      <c r="Q149" s="12" t="str">
        <f t="shared" si="63"/>
        <v/>
      </c>
      <c r="R149" s="38"/>
      <c r="S149" s="8" t="str">
        <f>IF(ISBLANK(R149)," ",IF(R149="np",SpecialScores!$C$3,IF(R149="dnf",SpecialScores!$C$4,      IF(AND(R149&gt;=0,R149&lt;SpecialScores!$O$12), (500*LOG(1+99*R149/SpecialScores!$O$12*SpecialScores!$O$11/SpecialScores!$O$10)),                         MIN((500*LOG(1+99*SpecialScores!$O$11/R149)))))))</f>
        <v xml:space="preserve"> </v>
      </c>
      <c r="T149" s="12" t="str">
        <f t="shared" si="64"/>
        <v/>
      </c>
      <c r="U149" s="38"/>
      <c r="V149" s="8" t="str">
        <f>IF(ISBLANK(U149)," ",IF(U149="np",SpecialScores!$C$3,IF(U149="dnf",SpecialScores!$C$4,MIN((500*LOG(1+99*U149/SpecialScores!$R$3))))))</f>
        <v xml:space="preserve"> </v>
      </c>
      <c r="W149" s="12" t="str">
        <f t="shared" si="65"/>
        <v/>
      </c>
      <c r="X149" s="38"/>
      <c r="Y149" s="8" t="str">
        <f>IF(ISBLANK(X149)," ",IF(X149="np",SpecialScores!$C$3,IF(X149="dnf",SpecialScores!$C$4,MIN( 1000+X149/SpecialScores!$U$3*0.0001,(500*LOG(1+99*X149/SpecialScores!$U$3))))))</f>
        <v xml:space="preserve"> </v>
      </c>
      <c r="Z149" s="12" t="str">
        <f t="shared" si="66"/>
        <v/>
      </c>
      <c r="AA149" s="38"/>
      <c r="AB149" s="8" t="str">
        <f>IF(ISBLANK(AA149)," ",IF(AA149="np",SpecialScores!$C$3,IF(AA149="dnf",SpecialScores!$C$4,      IF(AND(AA149&gt;=0,AA149&lt;SpecialScores!$X$12), (500*LOG(1+99*AA149/SpecialScores!$X$12*SpecialScores!$X$11/SpecialScores!$X$10)),                         MIN((500*LOG(1+99*SpecialScores!$X$11/AA149)))))))</f>
        <v xml:space="preserve"> </v>
      </c>
      <c r="AC149" s="12" t="str">
        <f t="shared" si="67"/>
        <v/>
      </c>
      <c r="AD149" s="38"/>
      <c r="AE149" s="8" t="str">
        <f>IF(ISBLANK(AD149)," ",IF(AD149="np",SpecialScores!$C$3,IF(AD149="dnf",SpecialScores!$C$4,MIN( 1000+AD149/SpecialScores!$AA$5*0.0001,(500*LOG(1+99*AD149/SpecialScores!$AA$5))))))</f>
        <v xml:space="preserve"> </v>
      </c>
      <c r="AF149" s="12" t="str">
        <f t="shared" si="68"/>
        <v/>
      </c>
      <c r="AG149" s="38"/>
      <c r="AH149" s="8" t="str">
        <f>IF(ISBLANK(AG149)," ",IF(AG149="np",SpecialScores!$C$3,IF(AG149="dnf",SpecialScores!$C$4,MIN(1000,(500*LOG(1+99*AG149/SpecialScores!$E$3))))))</f>
        <v xml:space="preserve"> </v>
      </c>
      <c r="AI149" s="12" t="str">
        <f t="shared" si="69"/>
        <v/>
      </c>
      <c r="AP149" s="49"/>
    </row>
    <row r="150" spans="1:42" x14ac:dyDescent="0.35">
      <c r="A150" s="42"/>
      <c r="E150" s="33" t="str">
        <f t="shared" ref="E150:E201" si="70">IF(ISBLANK($A150)," ",  RANK(F150,F$2:F$202,1)+((COUNTIF(F$2:F$202,F150)-1)*0.5) )</f>
        <v xml:space="preserve"> </v>
      </c>
      <c r="F150" s="33" t="str">
        <f t="shared" ref="F150:F201" si="71">IF(ISBLANK(A150)," ",SUM(K150,N150,Q150,T150,W150,Z150,AC150,AF150,AI150))</f>
        <v xml:space="preserve"> </v>
      </c>
      <c r="G150" s="7" t="str">
        <f t="shared" ref="G150:G201" si="72">IF(ISBLANK($A150)," ",  RANK(H150,H$2:H$202,0)+((COUNTIF(H$2:H$202,H150)-1)*0.5) )</f>
        <v xml:space="preserve"> </v>
      </c>
      <c r="H150" s="7" t="str">
        <f t="shared" ref="H150:H201" si="73">IF(ISBLANK(A150)," ",SUM(  IF(ISBLANK(I150),0,ROUNDDOWN(J150,0)),  IF(ISBLANK(L150),0,ROUNDDOWN(M150,0)),  IF(ISBLANK(O150),0,ROUNDDOWN(P150,0)),IF(ISBLANK(R150),0,ROUNDDOWN(S150,0)),IF(ISBLANK(U150),0,ROUNDDOWN(V150,0)), IF(ISBLANK(X150),0,ROUNDDOWN(Y150,0)),IF(ISBLANK(AA150),0,ROUNDDOWN(AB150,0)),IF(ISBLANK(AD150),0,ROUNDDOWN(AE150,0)),IF(ISBLANK(AG150),0,ROUNDDOWN(AH150,0))
 ))</f>
        <v xml:space="preserve"> </v>
      </c>
      <c r="I150" s="38"/>
      <c r="J150" s="8" t="str">
        <f>IF(ISBLANK(I150)," ",IF(I150="np",SpecialScores!$C$3,IF(I150="dnf",SpecialScores!$C$4,MIN( 1000+I150/SpecialScores!$E$3*0.0001,(500*LOG(1+99*I150/SpecialScores!$E$3))))))</f>
        <v xml:space="preserve"> </v>
      </c>
      <c r="K150" s="12" t="str">
        <f t="shared" si="61"/>
        <v/>
      </c>
      <c r="L150" s="38"/>
      <c r="M150" s="8" t="str">
        <f>IF(ISBLANK(L150)," ",IF(L150="np",SpecialScores!$C$3,IF(L150="dnf",SpecialScores!$C$4,MIN( 1000+L150/SpecialScores!$H$3*0.0001,(500*LOG(1+99*L150/SpecialScores!$H$3))))))</f>
        <v xml:space="preserve"> </v>
      </c>
      <c r="N150" s="12" t="str">
        <f t="shared" si="62"/>
        <v/>
      </c>
      <c r="O150" s="38"/>
      <c r="P150" s="8" t="str">
        <f>IF(ISBLANK(O150)," ",IF(O150="np",SpecialScores!$C$3,IF(O150="dnf",SpecialScores!$C$4,MIN(1000,(500*LOG(1+99*O150/SpecialScores!$K$3))))))</f>
        <v xml:space="preserve"> </v>
      </c>
      <c r="Q150" s="12" t="str">
        <f t="shared" si="63"/>
        <v/>
      </c>
      <c r="R150" s="38"/>
      <c r="S150" s="8" t="str">
        <f>IF(ISBLANK(R150)," ",IF(R150="np",SpecialScores!$C$3,IF(R150="dnf",SpecialScores!$C$4,      IF(AND(R150&gt;=0,R150&lt;SpecialScores!$O$12), (500*LOG(1+99*R150/SpecialScores!$O$12*SpecialScores!$O$11/SpecialScores!$O$10)),                         MIN((500*LOG(1+99*SpecialScores!$O$11/R150)))))))</f>
        <v xml:space="preserve"> </v>
      </c>
      <c r="T150" s="12" t="str">
        <f t="shared" si="64"/>
        <v/>
      </c>
      <c r="U150" s="38"/>
      <c r="V150" s="8" t="str">
        <f>IF(ISBLANK(U150)," ",IF(U150="np",SpecialScores!$C$3,IF(U150="dnf",SpecialScores!$C$4,MIN((500*LOG(1+99*U150/SpecialScores!$R$3))))))</f>
        <v xml:space="preserve"> </v>
      </c>
      <c r="W150" s="12" t="str">
        <f t="shared" si="65"/>
        <v/>
      </c>
      <c r="X150" s="38"/>
      <c r="Y150" s="8" t="str">
        <f>IF(ISBLANK(X150)," ",IF(X150="np",SpecialScores!$C$3,IF(X150="dnf",SpecialScores!$C$4,MIN( 1000+X150/SpecialScores!$U$3*0.0001,(500*LOG(1+99*X150/SpecialScores!$U$3))))))</f>
        <v xml:space="preserve"> </v>
      </c>
      <c r="Z150" s="12" t="str">
        <f t="shared" si="66"/>
        <v/>
      </c>
      <c r="AA150" s="38"/>
      <c r="AB150" s="8" t="str">
        <f>IF(ISBLANK(AA150)," ",IF(AA150="np",SpecialScores!$C$3,IF(AA150="dnf",SpecialScores!$C$4,      IF(AND(AA150&gt;=0,AA150&lt;SpecialScores!$X$12), (500*LOG(1+99*AA150/SpecialScores!$X$12*SpecialScores!$X$11/SpecialScores!$X$10)),                         MIN((500*LOG(1+99*SpecialScores!$X$11/AA150)))))))</f>
        <v xml:space="preserve"> </v>
      </c>
      <c r="AC150" s="12" t="str">
        <f t="shared" si="67"/>
        <v/>
      </c>
      <c r="AD150" s="38"/>
      <c r="AE150" s="8" t="str">
        <f>IF(ISBLANK(AD150)," ",IF(AD150="np",SpecialScores!$C$3,IF(AD150="dnf",SpecialScores!$C$4,MIN( 1000+AD150/SpecialScores!$AA$5*0.0001,(500*LOG(1+99*AD150/SpecialScores!$AA$5))))))</f>
        <v xml:space="preserve"> </v>
      </c>
      <c r="AF150" s="12" t="str">
        <f t="shared" si="68"/>
        <v/>
      </c>
      <c r="AG150" s="38"/>
      <c r="AH150" s="8" t="str">
        <f>IF(ISBLANK(AG150)," ",IF(AG150="np",SpecialScores!$C$3,IF(AG150="dnf",SpecialScores!$C$4,MIN(1000,(500*LOG(1+99*AG150/SpecialScores!$E$3))))))</f>
        <v xml:space="preserve"> </v>
      </c>
      <c r="AI150" s="12" t="str">
        <f t="shared" si="69"/>
        <v/>
      </c>
      <c r="AP150" s="49"/>
    </row>
    <row r="151" spans="1:42" x14ac:dyDescent="0.35">
      <c r="A151" s="42"/>
      <c r="E151" s="33" t="str">
        <f t="shared" si="70"/>
        <v xml:space="preserve"> </v>
      </c>
      <c r="F151" s="33" t="str">
        <f t="shared" si="71"/>
        <v xml:space="preserve"> </v>
      </c>
      <c r="G151" s="7" t="str">
        <f t="shared" si="72"/>
        <v xml:space="preserve"> </v>
      </c>
      <c r="H151" s="7" t="str">
        <f t="shared" si="73"/>
        <v xml:space="preserve"> </v>
      </c>
      <c r="I151" s="38"/>
      <c r="J151" s="8" t="str">
        <f>IF(ISBLANK(I151)," ",IF(I151="np",SpecialScores!$C$3,IF(I151="dnf",SpecialScores!$C$4,MIN( 1000+I151/SpecialScores!$E$3*0.0001,(500*LOG(1+99*I151/SpecialScores!$E$3))))))</f>
        <v xml:space="preserve"> </v>
      </c>
      <c r="K151" s="12" t="str">
        <f t="shared" si="61"/>
        <v/>
      </c>
      <c r="L151" s="38"/>
      <c r="M151" s="8" t="str">
        <f>IF(ISBLANK(L151)," ",IF(L151="np",SpecialScores!$C$3,IF(L151="dnf",SpecialScores!$C$4,MIN( 1000+L151/SpecialScores!$H$3*0.0001,(500*LOG(1+99*L151/SpecialScores!$H$3))))))</f>
        <v xml:space="preserve"> </v>
      </c>
      <c r="N151" s="12" t="str">
        <f t="shared" si="62"/>
        <v/>
      </c>
      <c r="O151" s="38"/>
      <c r="P151" s="8" t="str">
        <f>IF(ISBLANK(O151)," ",IF(O151="np",SpecialScores!$C$3,IF(O151="dnf",SpecialScores!$C$4,MIN(1000,(500*LOG(1+99*O151/SpecialScores!$K$3))))))</f>
        <v xml:space="preserve"> </v>
      </c>
      <c r="Q151" s="12" t="str">
        <f t="shared" si="63"/>
        <v/>
      </c>
      <c r="R151" s="38"/>
      <c r="S151" s="8" t="str">
        <f>IF(ISBLANK(R151)," ",IF(R151="np",SpecialScores!$C$3,IF(R151="dnf",SpecialScores!$C$4,      IF(AND(R151&gt;=0,R151&lt;SpecialScores!$O$12), (500*LOG(1+99*R151/SpecialScores!$O$12*SpecialScores!$O$11/SpecialScores!$O$10)),                         MIN((500*LOG(1+99*SpecialScores!$O$11/R151)))))))</f>
        <v xml:space="preserve"> </v>
      </c>
      <c r="T151" s="12" t="str">
        <f t="shared" si="64"/>
        <v/>
      </c>
      <c r="U151" s="38"/>
      <c r="V151" s="8" t="str">
        <f>IF(ISBLANK(U151)," ",IF(U151="np",SpecialScores!$C$3,IF(U151="dnf",SpecialScores!$C$4,MIN((500*LOG(1+99*U151/SpecialScores!$R$3))))))</f>
        <v xml:space="preserve"> </v>
      </c>
      <c r="W151" s="12" t="str">
        <f t="shared" si="65"/>
        <v/>
      </c>
      <c r="X151" s="38"/>
      <c r="Y151" s="8" t="str">
        <f>IF(ISBLANK(X151)," ",IF(X151="np",SpecialScores!$C$3,IF(X151="dnf",SpecialScores!$C$4,MIN( 1000+X151/SpecialScores!$U$3*0.0001,(500*LOG(1+99*X151/SpecialScores!$U$3))))))</f>
        <v xml:space="preserve"> </v>
      </c>
      <c r="Z151" s="12" t="str">
        <f t="shared" si="66"/>
        <v/>
      </c>
      <c r="AA151" s="38"/>
      <c r="AB151" s="8" t="str">
        <f>IF(ISBLANK(AA151)," ",IF(AA151="np",SpecialScores!$C$3,IF(AA151="dnf",SpecialScores!$C$4,      IF(AND(AA151&gt;=0,AA151&lt;SpecialScores!$X$12), (500*LOG(1+99*AA151/SpecialScores!$X$12*SpecialScores!$X$11/SpecialScores!$X$10)),                         MIN((500*LOG(1+99*SpecialScores!$X$11/AA151)))))))</f>
        <v xml:space="preserve"> </v>
      </c>
      <c r="AC151" s="12" t="str">
        <f t="shared" si="67"/>
        <v/>
      </c>
      <c r="AD151" s="38"/>
      <c r="AE151" s="8" t="str">
        <f>IF(ISBLANK(AD151)," ",IF(AD151="np",SpecialScores!$C$3,IF(AD151="dnf",SpecialScores!$C$4,MIN( 1000+AD151/SpecialScores!$AA$5*0.0001,(500*LOG(1+99*AD151/SpecialScores!$AA$5))))))</f>
        <v xml:space="preserve"> </v>
      </c>
      <c r="AF151" s="12" t="str">
        <f t="shared" si="68"/>
        <v/>
      </c>
      <c r="AG151" s="38"/>
      <c r="AH151" s="8" t="str">
        <f>IF(ISBLANK(AG151)," ",IF(AG151="np",SpecialScores!$C$3,IF(AG151="dnf",SpecialScores!$C$4,MIN(1000,(500*LOG(1+99*AG151/SpecialScores!$E$3))))))</f>
        <v xml:space="preserve"> </v>
      </c>
      <c r="AI151" s="12" t="str">
        <f t="shared" si="69"/>
        <v/>
      </c>
      <c r="AP151" s="49"/>
    </row>
    <row r="152" spans="1:42" x14ac:dyDescent="0.35">
      <c r="A152" s="42"/>
      <c r="E152" s="33" t="str">
        <f t="shared" si="70"/>
        <v xml:space="preserve"> </v>
      </c>
      <c r="F152" s="33" t="str">
        <f t="shared" si="71"/>
        <v xml:space="preserve"> </v>
      </c>
      <c r="G152" s="7" t="str">
        <f t="shared" si="72"/>
        <v xml:space="preserve"> </v>
      </c>
      <c r="H152" s="7" t="str">
        <f t="shared" si="73"/>
        <v xml:space="preserve"> </v>
      </c>
      <c r="I152" s="38"/>
      <c r="J152" s="8" t="str">
        <f>IF(ISBLANK(I152)," ",IF(I152="np",SpecialScores!$C$3,IF(I152="dnf",SpecialScores!$C$4,MIN( 1000+I152/SpecialScores!$E$3*0.0001,(500*LOG(1+99*I152/SpecialScores!$E$3))))))</f>
        <v xml:space="preserve"> </v>
      </c>
      <c r="K152" s="12" t="str">
        <f t="shared" si="61"/>
        <v/>
      </c>
      <c r="L152" s="38"/>
      <c r="M152" s="8" t="str">
        <f>IF(ISBLANK(L152)," ",IF(L152="np",SpecialScores!$C$3,IF(L152="dnf",SpecialScores!$C$4,MIN( 1000+L152/SpecialScores!$H$3*0.0001,(500*LOG(1+99*L152/SpecialScores!$H$3))))))</f>
        <v xml:space="preserve"> </v>
      </c>
      <c r="N152" s="12" t="str">
        <f t="shared" si="62"/>
        <v/>
      </c>
      <c r="O152" s="38"/>
      <c r="P152" s="8" t="str">
        <f>IF(ISBLANK(O152)," ",IF(O152="np",SpecialScores!$C$3,IF(O152="dnf",SpecialScores!$C$4,MIN(1000,(500*LOG(1+99*O152/SpecialScores!$K$3))))))</f>
        <v xml:space="preserve"> </v>
      </c>
      <c r="Q152" s="12" t="str">
        <f t="shared" si="63"/>
        <v/>
      </c>
      <c r="R152" s="38"/>
      <c r="S152" s="8" t="str">
        <f>IF(ISBLANK(R152)," ",IF(R152="np",SpecialScores!$C$3,IF(R152="dnf",SpecialScores!$C$4,      IF(AND(R152&gt;=0,R152&lt;SpecialScores!$O$12), (500*LOG(1+99*R152/SpecialScores!$O$12*SpecialScores!$O$11/SpecialScores!$O$10)),                         MIN((500*LOG(1+99*SpecialScores!$O$11/R152)))))))</f>
        <v xml:space="preserve"> </v>
      </c>
      <c r="T152" s="12" t="str">
        <f t="shared" si="64"/>
        <v/>
      </c>
      <c r="U152" s="38"/>
      <c r="V152" s="8" t="str">
        <f>IF(ISBLANK(U152)," ",IF(U152="np",SpecialScores!$C$3,IF(U152="dnf",SpecialScores!$C$4,MIN((500*LOG(1+99*U152/SpecialScores!$R$3))))))</f>
        <v xml:space="preserve"> </v>
      </c>
      <c r="W152" s="12" t="str">
        <f t="shared" si="65"/>
        <v/>
      </c>
      <c r="X152" s="38"/>
      <c r="Y152" s="8" t="str">
        <f>IF(ISBLANK(X152)," ",IF(X152="np",SpecialScores!$C$3,IF(X152="dnf",SpecialScores!$C$4,MIN( 1000+X152/SpecialScores!$U$3*0.0001,(500*LOG(1+99*X152/SpecialScores!$U$3))))))</f>
        <v xml:space="preserve"> </v>
      </c>
      <c r="Z152" s="12" t="str">
        <f t="shared" si="66"/>
        <v/>
      </c>
      <c r="AA152" s="38"/>
      <c r="AB152" s="8" t="str">
        <f>IF(ISBLANK(AA152)," ",IF(AA152="np",SpecialScores!$C$3,IF(AA152="dnf",SpecialScores!$C$4,      IF(AND(AA152&gt;=0,AA152&lt;SpecialScores!$X$12), (500*LOG(1+99*AA152/SpecialScores!$X$12*SpecialScores!$X$11/SpecialScores!$X$10)),                         MIN((500*LOG(1+99*SpecialScores!$X$11/AA152)))))))</f>
        <v xml:space="preserve"> </v>
      </c>
      <c r="AC152" s="12" t="str">
        <f t="shared" si="67"/>
        <v/>
      </c>
      <c r="AD152" s="38"/>
      <c r="AE152" s="8" t="str">
        <f>IF(ISBLANK(AD152)," ",IF(AD152="np",SpecialScores!$C$3,IF(AD152="dnf",SpecialScores!$C$4,MIN( 1000+AD152/SpecialScores!$AA$5*0.0001,(500*LOG(1+99*AD152/SpecialScores!$AA$5))))))</f>
        <v xml:space="preserve"> </v>
      </c>
      <c r="AF152" s="12" t="str">
        <f t="shared" si="68"/>
        <v/>
      </c>
      <c r="AG152" s="38"/>
      <c r="AH152" s="8" t="str">
        <f>IF(ISBLANK(AG152)," ",IF(AG152="np",SpecialScores!$C$3,IF(AG152="dnf",SpecialScores!$C$4,MIN(1000,(500*LOG(1+99*AG152/SpecialScores!$E$3))))))</f>
        <v xml:space="preserve"> </v>
      </c>
      <c r="AI152" s="12" t="str">
        <f t="shared" si="69"/>
        <v/>
      </c>
      <c r="AP152" s="49"/>
    </row>
    <row r="153" spans="1:42" x14ac:dyDescent="0.35">
      <c r="A153" s="42"/>
      <c r="E153" s="33" t="str">
        <f t="shared" si="70"/>
        <v xml:space="preserve"> </v>
      </c>
      <c r="F153" s="33" t="str">
        <f t="shared" si="71"/>
        <v xml:space="preserve"> </v>
      </c>
      <c r="G153" s="7" t="str">
        <f t="shared" si="72"/>
        <v xml:space="preserve"> </v>
      </c>
      <c r="H153" s="7" t="str">
        <f t="shared" si="73"/>
        <v xml:space="preserve"> </v>
      </c>
      <c r="I153" s="38"/>
      <c r="J153" s="8" t="str">
        <f>IF(ISBLANK(I153)," ",IF(I153="np",SpecialScores!$C$3,IF(I153="dnf",SpecialScores!$C$4,MIN( 1000+I153/SpecialScores!$E$3*0.0001,(500*LOG(1+99*I153/SpecialScores!$E$3))))))</f>
        <v xml:space="preserve"> </v>
      </c>
      <c r="K153" s="12" t="str">
        <f t="shared" si="61"/>
        <v/>
      </c>
      <c r="L153" s="38"/>
      <c r="M153" s="8" t="str">
        <f>IF(ISBLANK(L153)," ",IF(L153="np",SpecialScores!$C$3,IF(L153="dnf",SpecialScores!$C$4,MIN( 1000+L153/SpecialScores!$H$3*0.0001,(500*LOG(1+99*L153/SpecialScores!$H$3))))))</f>
        <v xml:space="preserve"> </v>
      </c>
      <c r="N153" s="12" t="str">
        <f t="shared" si="62"/>
        <v/>
      </c>
      <c r="O153" s="38"/>
      <c r="P153" s="8" t="str">
        <f>IF(ISBLANK(O153)," ",IF(O153="np",SpecialScores!$C$3,IF(O153="dnf",SpecialScores!$C$4,MIN(1000,(500*LOG(1+99*O153/SpecialScores!$K$3))))))</f>
        <v xml:space="preserve"> </v>
      </c>
      <c r="Q153" s="12" t="str">
        <f t="shared" si="63"/>
        <v/>
      </c>
      <c r="R153" s="38"/>
      <c r="S153" s="8" t="str">
        <f>IF(ISBLANK(R153)," ",IF(R153="np",SpecialScores!$C$3,IF(R153="dnf",SpecialScores!$C$4,      IF(AND(R153&gt;=0,R153&lt;SpecialScores!$O$12), (500*LOG(1+99*R153/SpecialScores!$O$12*SpecialScores!$O$11/SpecialScores!$O$10)),                         MIN((500*LOG(1+99*SpecialScores!$O$11/R153)))))))</f>
        <v xml:space="preserve"> </v>
      </c>
      <c r="T153" s="12" t="str">
        <f t="shared" si="64"/>
        <v/>
      </c>
      <c r="U153" s="38"/>
      <c r="V153" s="8" t="str">
        <f>IF(ISBLANK(U153)," ",IF(U153="np",SpecialScores!$C$3,IF(U153="dnf",SpecialScores!$C$4,MIN((500*LOG(1+99*U153/SpecialScores!$R$3))))))</f>
        <v xml:space="preserve"> </v>
      </c>
      <c r="W153" s="12" t="str">
        <f t="shared" si="65"/>
        <v/>
      </c>
      <c r="X153" s="38"/>
      <c r="Y153" s="8" t="str">
        <f>IF(ISBLANK(X153)," ",IF(X153="np",SpecialScores!$C$3,IF(X153="dnf",SpecialScores!$C$4,MIN( 1000+X153/SpecialScores!$U$3*0.0001,(500*LOG(1+99*X153/SpecialScores!$U$3))))))</f>
        <v xml:space="preserve"> </v>
      </c>
      <c r="Z153" s="12" t="str">
        <f t="shared" si="66"/>
        <v/>
      </c>
      <c r="AA153" s="38"/>
      <c r="AB153" s="8" t="str">
        <f>IF(ISBLANK(AA153)," ",IF(AA153="np",SpecialScores!$C$3,IF(AA153="dnf",SpecialScores!$C$4,      IF(AND(AA153&gt;=0,AA153&lt;SpecialScores!$X$12), (500*LOG(1+99*AA153/SpecialScores!$X$12*SpecialScores!$X$11/SpecialScores!$X$10)),                         MIN((500*LOG(1+99*SpecialScores!$X$11/AA153)))))))</f>
        <v xml:space="preserve"> </v>
      </c>
      <c r="AC153" s="12" t="str">
        <f t="shared" si="67"/>
        <v/>
      </c>
      <c r="AD153" s="38"/>
      <c r="AE153" s="8" t="str">
        <f>IF(ISBLANK(AD153)," ",IF(AD153="np",SpecialScores!$C$3,IF(AD153="dnf",SpecialScores!$C$4,MIN( 1000+AD153/SpecialScores!$AA$5*0.0001,(500*LOG(1+99*AD153/SpecialScores!$AA$5))))))</f>
        <v xml:space="preserve"> </v>
      </c>
      <c r="AF153" s="12" t="str">
        <f t="shared" si="68"/>
        <v/>
      </c>
      <c r="AG153" s="38"/>
      <c r="AH153" s="8" t="str">
        <f>IF(ISBLANK(AG153)," ",IF(AG153="np",SpecialScores!$C$3,IF(AG153="dnf",SpecialScores!$C$4,MIN(1000,(500*LOG(1+99*AG153/SpecialScores!$E$3))))))</f>
        <v xml:space="preserve"> </v>
      </c>
      <c r="AI153" s="12" t="str">
        <f t="shared" si="69"/>
        <v/>
      </c>
      <c r="AP153" s="49"/>
    </row>
    <row r="154" spans="1:42" x14ac:dyDescent="0.35">
      <c r="A154" s="42"/>
      <c r="E154" s="33" t="str">
        <f t="shared" si="70"/>
        <v xml:space="preserve"> </v>
      </c>
      <c r="F154" s="33" t="str">
        <f t="shared" si="71"/>
        <v xml:space="preserve"> </v>
      </c>
      <c r="G154" s="7" t="str">
        <f t="shared" si="72"/>
        <v xml:space="preserve"> </v>
      </c>
      <c r="H154" s="7" t="str">
        <f t="shared" si="73"/>
        <v xml:space="preserve"> </v>
      </c>
      <c r="I154" s="38"/>
      <c r="J154" s="8" t="str">
        <f>IF(ISBLANK(I154)," ",IF(I154="np",SpecialScores!$C$3,IF(I154="dnf",SpecialScores!$C$4,MIN( 1000+I154/SpecialScores!$E$3*0.0001,(500*LOG(1+99*I154/SpecialScores!$E$3))))))</f>
        <v xml:space="preserve"> </v>
      </c>
      <c r="K154" s="12" t="str">
        <f t="shared" si="61"/>
        <v/>
      </c>
      <c r="L154" s="38"/>
      <c r="M154" s="8" t="str">
        <f>IF(ISBLANK(L154)," ",IF(L154="np",SpecialScores!$C$3,IF(L154="dnf",SpecialScores!$C$4,MIN( 1000+L154/SpecialScores!$H$3*0.0001,(500*LOG(1+99*L154/SpecialScores!$H$3))))))</f>
        <v xml:space="preserve"> </v>
      </c>
      <c r="N154" s="12" t="str">
        <f t="shared" si="62"/>
        <v/>
      </c>
      <c r="O154" s="38"/>
      <c r="P154" s="8" t="str">
        <f>IF(ISBLANK(O154)," ",IF(O154="np",SpecialScores!$C$3,IF(O154="dnf",SpecialScores!$C$4,MIN(1000,(500*LOG(1+99*O154/SpecialScores!$K$3))))))</f>
        <v xml:space="preserve"> </v>
      </c>
      <c r="Q154" s="12" t="str">
        <f t="shared" si="63"/>
        <v/>
      </c>
      <c r="R154" s="38"/>
      <c r="S154" s="8" t="str">
        <f>IF(ISBLANK(R154)," ",IF(R154="np",SpecialScores!$C$3,IF(R154="dnf",SpecialScores!$C$4,      IF(AND(R154&gt;=0,R154&lt;SpecialScores!$O$12), (500*LOG(1+99*R154/SpecialScores!$O$12*SpecialScores!$O$11/SpecialScores!$O$10)),                         MIN((500*LOG(1+99*SpecialScores!$O$11/R154)))))))</f>
        <v xml:space="preserve"> </v>
      </c>
      <c r="T154" s="12" t="str">
        <f t="shared" si="64"/>
        <v/>
      </c>
      <c r="U154" s="38"/>
      <c r="V154" s="8" t="str">
        <f>IF(ISBLANK(U154)," ",IF(U154="np",SpecialScores!$C$3,IF(U154="dnf",SpecialScores!$C$4,MIN((500*LOG(1+99*U154/SpecialScores!$R$3))))))</f>
        <v xml:space="preserve"> </v>
      </c>
      <c r="W154" s="12" t="str">
        <f t="shared" si="65"/>
        <v/>
      </c>
      <c r="X154" s="38"/>
      <c r="Y154" s="8" t="str">
        <f>IF(ISBLANK(X154)," ",IF(X154="np",SpecialScores!$C$3,IF(X154="dnf",SpecialScores!$C$4,MIN( 1000+X154/SpecialScores!$U$3*0.0001,(500*LOG(1+99*X154/SpecialScores!$U$3))))))</f>
        <v xml:space="preserve"> </v>
      </c>
      <c r="Z154" s="12" t="str">
        <f t="shared" si="66"/>
        <v/>
      </c>
      <c r="AA154" s="38"/>
      <c r="AB154" s="8" t="str">
        <f>IF(ISBLANK(AA154)," ",IF(AA154="np",SpecialScores!$C$3,IF(AA154="dnf",SpecialScores!$C$4,      IF(AND(AA154&gt;=0,AA154&lt;SpecialScores!$X$12), (500*LOG(1+99*AA154/SpecialScores!$X$12*SpecialScores!$X$11/SpecialScores!$X$10)),                         MIN((500*LOG(1+99*SpecialScores!$X$11/AA154)))))))</f>
        <v xml:space="preserve"> </v>
      </c>
      <c r="AC154" s="12" t="str">
        <f t="shared" si="67"/>
        <v/>
      </c>
      <c r="AD154" s="38"/>
      <c r="AE154" s="8" t="str">
        <f>IF(ISBLANK(AD154)," ",IF(AD154="np",SpecialScores!$C$3,IF(AD154="dnf",SpecialScores!$C$4,MIN( 1000+AD154/SpecialScores!$AA$5*0.0001,(500*LOG(1+99*AD154/SpecialScores!$AA$5))))))</f>
        <v xml:space="preserve"> </v>
      </c>
      <c r="AF154" s="12" t="str">
        <f t="shared" si="68"/>
        <v/>
      </c>
      <c r="AG154" s="38"/>
      <c r="AH154" s="8" t="str">
        <f>IF(ISBLANK(AG154)," ",IF(AG154="np",SpecialScores!$C$3,IF(AG154="dnf",SpecialScores!$C$4,MIN(1000,(500*LOG(1+99*AG154/SpecialScores!$E$3))))))</f>
        <v xml:space="preserve"> </v>
      </c>
      <c r="AI154" s="12" t="str">
        <f t="shared" si="69"/>
        <v/>
      </c>
      <c r="AP154" s="49"/>
    </row>
    <row r="155" spans="1:42" x14ac:dyDescent="0.35">
      <c r="A155" s="42"/>
      <c r="E155" s="33" t="str">
        <f t="shared" si="70"/>
        <v xml:space="preserve"> </v>
      </c>
      <c r="F155" s="33" t="str">
        <f t="shared" si="71"/>
        <v xml:space="preserve"> </v>
      </c>
      <c r="G155" s="7" t="str">
        <f t="shared" si="72"/>
        <v xml:space="preserve"> </v>
      </c>
      <c r="H155" s="7" t="str">
        <f t="shared" si="73"/>
        <v xml:space="preserve"> </v>
      </c>
      <c r="I155" s="38"/>
      <c r="J155" s="8" t="str">
        <f>IF(ISBLANK(I155)," ",IF(I155="np",SpecialScores!$C$3,IF(I155="dnf",SpecialScores!$C$4,MIN( 1000+I155/SpecialScores!$E$3*0.0001,(500*LOG(1+99*I155/SpecialScores!$E$3))))))</f>
        <v xml:space="preserve"> </v>
      </c>
      <c r="K155" s="12" t="str">
        <f t="shared" si="61"/>
        <v/>
      </c>
      <c r="L155" s="38"/>
      <c r="M155" s="8" t="str">
        <f>IF(ISBLANK(L155)," ",IF(L155="np",SpecialScores!$C$3,IF(L155="dnf",SpecialScores!$C$4,MIN( 1000+L155/SpecialScores!$H$3*0.0001,(500*LOG(1+99*L155/SpecialScores!$H$3))))))</f>
        <v xml:space="preserve"> </v>
      </c>
      <c r="N155" s="12" t="str">
        <f t="shared" si="62"/>
        <v/>
      </c>
      <c r="O155" s="38"/>
      <c r="P155" s="8" t="str">
        <f>IF(ISBLANK(O155)," ",IF(O155="np",SpecialScores!$C$3,IF(O155="dnf",SpecialScores!$C$4,MIN(1000,(500*LOG(1+99*O155/SpecialScores!$K$3))))))</f>
        <v xml:space="preserve"> </v>
      </c>
      <c r="Q155" s="12" t="str">
        <f t="shared" si="63"/>
        <v/>
      </c>
      <c r="R155" s="38"/>
      <c r="S155" s="8" t="str">
        <f>IF(ISBLANK(R155)," ",IF(R155="np",SpecialScores!$C$3,IF(R155="dnf",SpecialScores!$C$4,      IF(AND(R155&gt;=0,R155&lt;SpecialScores!$O$12), (500*LOG(1+99*R155/SpecialScores!$O$12*SpecialScores!$O$11/SpecialScores!$O$10)),                         MIN((500*LOG(1+99*SpecialScores!$O$11/R155)))))))</f>
        <v xml:space="preserve"> </v>
      </c>
      <c r="T155" s="12" t="str">
        <f t="shared" si="64"/>
        <v/>
      </c>
      <c r="U155" s="38"/>
      <c r="V155" s="8" t="str">
        <f>IF(ISBLANK(U155)," ",IF(U155="np",SpecialScores!$C$3,IF(U155="dnf",SpecialScores!$C$4,MIN((500*LOG(1+99*U155/SpecialScores!$R$3))))))</f>
        <v xml:space="preserve"> </v>
      </c>
      <c r="W155" s="12" t="str">
        <f t="shared" si="65"/>
        <v/>
      </c>
      <c r="X155" s="38"/>
      <c r="Y155" s="8" t="str">
        <f>IF(ISBLANK(X155)," ",IF(X155="np",SpecialScores!$C$3,IF(X155="dnf",SpecialScores!$C$4,MIN( 1000+X155/SpecialScores!$U$3*0.0001,(500*LOG(1+99*X155/SpecialScores!$U$3))))))</f>
        <v xml:space="preserve"> </v>
      </c>
      <c r="Z155" s="12" t="str">
        <f t="shared" si="66"/>
        <v/>
      </c>
      <c r="AA155" s="38"/>
      <c r="AB155" s="8" t="str">
        <f>IF(ISBLANK(AA155)," ",IF(AA155="np",SpecialScores!$C$3,IF(AA155="dnf",SpecialScores!$C$4,      IF(AND(AA155&gt;=0,AA155&lt;SpecialScores!$X$12), (500*LOG(1+99*AA155/SpecialScores!$X$12*SpecialScores!$X$11/SpecialScores!$X$10)),                         MIN((500*LOG(1+99*SpecialScores!$X$11/AA155)))))))</f>
        <v xml:space="preserve"> </v>
      </c>
      <c r="AC155" s="12" t="str">
        <f t="shared" si="67"/>
        <v/>
      </c>
      <c r="AD155" s="38"/>
      <c r="AE155" s="8" t="str">
        <f>IF(ISBLANK(AD155)," ",IF(AD155="np",SpecialScores!$C$3,IF(AD155="dnf",SpecialScores!$C$4,MIN( 1000+AD155/SpecialScores!$AA$5*0.0001,(500*LOG(1+99*AD155/SpecialScores!$AA$5))))))</f>
        <v xml:space="preserve"> </v>
      </c>
      <c r="AF155" s="12" t="str">
        <f t="shared" si="68"/>
        <v/>
      </c>
      <c r="AG155" s="38"/>
      <c r="AH155" s="8" t="str">
        <f>IF(ISBLANK(AG155)," ",IF(AG155="np",SpecialScores!$C$3,IF(AG155="dnf",SpecialScores!$C$4,MIN(1000,(500*LOG(1+99*AG155/SpecialScores!$E$3))))))</f>
        <v xml:space="preserve"> </v>
      </c>
      <c r="AI155" s="12" t="str">
        <f t="shared" si="69"/>
        <v/>
      </c>
      <c r="AP155" s="49"/>
    </row>
    <row r="156" spans="1:42" x14ac:dyDescent="0.35">
      <c r="A156" s="42"/>
      <c r="E156" s="33" t="str">
        <f t="shared" si="70"/>
        <v xml:space="preserve"> </v>
      </c>
      <c r="F156" s="33" t="str">
        <f t="shared" si="71"/>
        <v xml:space="preserve"> </v>
      </c>
      <c r="G156" s="7" t="str">
        <f t="shared" si="72"/>
        <v xml:space="preserve"> </v>
      </c>
      <c r="H156" s="7" t="str">
        <f t="shared" si="73"/>
        <v xml:space="preserve"> </v>
      </c>
      <c r="I156" s="38"/>
      <c r="J156" s="8" t="str">
        <f>IF(ISBLANK(I156)," ",IF(I156="np",SpecialScores!$C$3,IF(I156="dnf",SpecialScores!$C$4,MIN( 1000+I156/SpecialScores!$E$3*0.0001,(500*LOG(1+99*I156/SpecialScores!$E$3))))))</f>
        <v xml:space="preserve"> </v>
      </c>
      <c r="K156" s="12" t="str">
        <f t="shared" si="61"/>
        <v/>
      </c>
      <c r="L156" s="38"/>
      <c r="M156" s="8" t="str">
        <f>IF(ISBLANK(L156)," ",IF(L156="np",SpecialScores!$C$3,IF(L156="dnf",SpecialScores!$C$4,MIN( 1000+L156/SpecialScores!$H$3*0.0001,(500*LOG(1+99*L156/SpecialScores!$H$3))))))</f>
        <v xml:space="preserve"> </v>
      </c>
      <c r="N156" s="12" t="str">
        <f t="shared" si="62"/>
        <v/>
      </c>
      <c r="O156" s="38"/>
      <c r="P156" s="8" t="str">
        <f>IF(ISBLANK(O156)," ",IF(O156="np",SpecialScores!$C$3,IF(O156="dnf",SpecialScores!$C$4,MIN(1000,(500*LOG(1+99*O156/SpecialScores!$K$3))))))</f>
        <v xml:space="preserve"> </v>
      </c>
      <c r="Q156" s="12" t="str">
        <f t="shared" si="63"/>
        <v/>
      </c>
      <c r="R156" s="38"/>
      <c r="S156" s="8" t="str">
        <f>IF(ISBLANK(R156)," ",IF(R156="np",SpecialScores!$C$3,IF(R156="dnf",SpecialScores!$C$4,      IF(AND(R156&gt;=0,R156&lt;SpecialScores!$O$12), (500*LOG(1+99*R156/SpecialScores!$O$12*SpecialScores!$O$11/SpecialScores!$O$10)),                         MIN((500*LOG(1+99*SpecialScores!$O$11/R156)))))))</f>
        <v xml:space="preserve"> </v>
      </c>
      <c r="T156" s="12" t="str">
        <f t="shared" si="64"/>
        <v/>
      </c>
      <c r="U156" s="38"/>
      <c r="V156" s="8" t="str">
        <f>IF(ISBLANK(U156)," ",IF(U156="np",SpecialScores!$C$3,IF(U156="dnf",SpecialScores!$C$4,MIN((500*LOG(1+99*U156/SpecialScores!$R$3))))))</f>
        <v xml:space="preserve"> </v>
      </c>
      <c r="W156" s="12" t="str">
        <f t="shared" si="65"/>
        <v/>
      </c>
      <c r="X156" s="38"/>
      <c r="Y156" s="8" t="str">
        <f>IF(ISBLANK(X156)," ",IF(X156="np",SpecialScores!$C$3,IF(X156="dnf",SpecialScores!$C$4,MIN( 1000+X156/SpecialScores!$U$3*0.0001,(500*LOG(1+99*X156/SpecialScores!$U$3))))))</f>
        <v xml:space="preserve"> </v>
      </c>
      <c r="Z156" s="12" t="str">
        <f t="shared" si="66"/>
        <v/>
      </c>
      <c r="AA156" s="38"/>
      <c r="AB156" s="8" t="str">
        <f>IF(ISBLANK(AA156)," ",IF(AA156="np",SpecialScores!$C$3,IF(AA156="dnf",SpecialScores!$C$4,      IF(AND(AA156&gt;=0,AA156&lt;SpecialScores!$X$12), (500*LOG(1+99*AA156/SpecialScores!$X$12*SpecialScores!$X$11/SpecialScores!$X$10)),                         MIN((500*LOG(1+99*SpecialScores!$X$11/AA156)))))))</f>
        <v xml:space="preserve"> </v>
      </c>
      <c r="AC156" s="12" t="str">
        <f t="shared" si="67"/>
        <v/>
      </c>
      <c r="AD156" s="38"/>
      <c r="AE156" s="8" t="str">
        <f>IF(ISBLANK(AD156)," ",IF(AD156="np",SpecialScores!$C$3,IF(AD156="dnf",SpecialScores!$C$4,MIN( 1000+AD156/SpecialScores!$AA$5*0.0001,(500*LOG(1+99*AD156/SpecialScores!$AA$5))))))</f>
        <v xml:space="preserve"> </v>
      </c>
      <c r="AF156" s="12" t="str">
        <f t="shared" si="68"/>
        <v/>
      </c>
      <c r="AG156" s="38"/>
      <c r="AH156" s="8" t="str">
        <f>IF(ISBLANK(AG156)," ",IF(AG156="np",SpecialScores!$C$3,IF(AG156="dnf",SpecialScores!$C$4,MIN(1000,(500*LOG(1+99*AG156/SpecialScores!$E$3))))))</f>
        <v xml:space="preserve"> </v>
      </c>
      <c r="AI156" s="12" t="str">
        <f t="shared" si="69"/>
        <v/>
      </c>
      <c r="AP156" s="49"/>
    </row>
    <row r="157" spans="1:42" x14ac:dyDescent="0.35">
      <c r="A157" s="42"/>
      <c r="E157" s="33" t="str">
        <f t="shared" si="70"/>
        <v xml:space="preserve"> </v>
      </c>
      <c r="F157" s="33" t="str">
        <f t="shared" si="71"/>
        <v xml:space="preserve"> </v>
      </c>
      <c r="G157" s="7" t="str">
        <f t="shared" si="72"/>
        <v xml:space="preserve"> </v>
      </c>
      <c r="H157" s="7" t="str">
        <f t="shared" si="73"/>
        <v xml:space="preserve"> </v>
      </c>
      <c r="I157" s="38"/>
      <c r="J157" s="8" t="str">
        <f>IF(ISBLANK(I157)," ",IF(I157="np",SpecialScores!$C$3,IF(I157="dnf",SpecialScores!$C$4,MIN( 1000+I157/SpecialScores!$E$3*0.0001,(500*LOG(1+99*I157/SpecialScores!$E$3))))))</f>
        <v xml:space="preserve"> </v>
      </c>
      <c r="K157" s="12" t="str">
        <f t="shared" si="61"/>
        <v/>
      </c>
      <c r="L157" s="38"/>
      <c r="M157" s="8" t="str">
        <f>IF(ISBLANK(L157)," ",IF(L157="np",SpecialScores!$C$3,IF(L157="dnf",SpecialScores!$C$4,MIN( 1000+L157/SpecialScores!$H$3*0.0001,(500*LOG(1+99*L157/SpecialScores!$H$3))))))</f>
        <v xml:space="preserve"> </v>
      </c>
      <c r="N157" s="12" t="str">
        <f t="shared" si="62"/>
        <v/>
      </c>
      <c r="O157" s="38"/>
      <c r="P157" s="8" t="str">
        <f>IF(ISBLANK(O157)," ",IF(O157="np",SpecialScores!$C$3,IF(O157="dnf",SpecialScores!$C$4,MIN(1000,(500*LOG(1+99*O157/SpecialScores!$K$3))))))</f>
        <v xml:space="preserve"> </v>
      </c>
      <c r="Q157" s="12" t="str">
        <f t="shared" si="63"/>
        <v/>
      </c>
      <c r="R157" s="38"/>
      <c r="S157" s="8" t="str">
        <f>IF(ISBLANK(R157)," ",IF(R157="np",SpecialScores!$C$3,IF(R157="dnf",SpecialScores!$C$4,      IF(AND(R157&gt;=0,R157&lt;SpecialScores!$O$12), (500*LOG(1+99*R157/SpecialScores!$O$12*SpecialScores!$O$11/SpecialScores!$O$10)),                         MIN((500*LOG(1+99*SpecialScores!$O$11/R157)))))))</f>
        <v xml:space="preserve"> </v>
      </c>
      <c r="T157" s="12" t="str">
        <f t="shared" si="64"/>
        <v/>
      </c>
      <c r="U157" s="38"/>
      <c r="V157" s="8" t="str">
        <f>IF(ISBLANK(U157)," ",IF(U157="np",SpecialScores!$C$3,IF(U157="dnf",SpecialScores!$C$4,MIN((500*LOG(1+99*U157/SpecialScores!$R$3))))))</f>
        <v xml:space="preserve"> </v>
      </c>
      <c r="W157" s="12" t="str">
        <f t="shared" si="65"/>
        <v/>
      </c>
      <c r="X157" s="38"/>
      <c r="Y157" s="8" t="str">
        <f>IF(ISBLANK(X157)," ",IF(X157="np",SpecialScores!$C$3,IF(X157="dnf",SpecialScores!$C$4,MIN( 1000+X157/SpecialScores!$U$3*0.0001,(500*LOG(1+99*X157/SpecialScores!$U$3))))))</f>
        <v xml:space="preserve"> </v>
      </c>
      <c r="Z157" s="12" t="str">
        <f t="shared" si="66"/>
        <v/>
      </c>
      <c r="AA157" s="38"/>
      <c r="AB157" s="8" t="str">
        <f>IF(ISBLANK(AA157)," ",IF(AA157="np",SpecialScores!$C$3,IF(AA157="dnf",SpecialScores!$C$4,      IF(AND(AA157&gt;=0,AA157&lt;SpecialScores!$X$12), (500*LOG(1+99*AA157/SpecialScores!$X$12*SpecialScores!$X$11/SpecialScores!$X$10)),                         MIN((500*LOG(1+99*SpecialScores!$X$11/AA157)))))))</f>
        <v xml:space="preserve"> </v>
      </c>
      <c r="AC157" s="12" t="str">
        <f t="shared" si="67"/>
        <v/>
      </c>
      <c r="AD157" s="38"/>
      <c r="AE157" s="8" t="str">
        <f>IF(ISBLANK(AD157)," ",IF(AD157="np",SpecialScores!$C$3,IF(AD157="dnf",SpecialScores!$C$4,MIN( 1000+AD157/SpecialScores!$AA$5*0.0001,(500*LOG(1+99*AD157/SpecialScores!$AA$5))))))</f>
        <v xml:space="preserve"> </v>
      </c>
      <c r="AF157" s="12" t="str">
        <f t="shared" si="68"/>
        <v/>
      </c>
      <c r="AG157" s="38"/>
      <c r="AH157" s="8" t="str">
        <f>IF(ISBLANK(AG157)," ",IF(AG157="np",SpecialScores!$C$3,IF(AG157="dnf",SpecialScores!$C$4,MIN(1000,(500*LOG(1+99*AG157/SpecialScores!$E$3))))))</f>
        <v xml:space="preserve"> </v>
      </c>
      <c r="AI157" s="12" t="str">
        <f t="shared" si="69"/>
        <v/>
      </c>
      <c r="AP157" s="49"/>
    </row>
    <row r="158" spans="1:42" x14ac:dyDescent="0.35">
      <c r="A158" s="42"/>
      <c r="E158" s="33" t="str">
        <f t="shared" si="70"/>
        <v xml:space="preserve"> </v>
      </c>
      <c r="F158" s="33" t="str">
        <f t="shared" si="71"/>
        <v xml:space="preserve"> </v>
      </c>
      <c r="G158" s="7" t="str">
        <f t="shared" si="72"/>
        <v xml:space="preserve"> </v>
      </c>
      <c r="H158" s="7" t="str">
        <f t="shared" si="73"/>
        <v xml:space="preserve"> </v>
      </c>
      <c r="I158" s="38"/>
      <c r="J158" s="8" t="str">
        <f>IF(ISBLANK(I158)," ",IF(I158="np",SpecialScores!$C$3,IF(I158="dnf",SpecialScores!$C$4,MIN( 1000+I158/SpecialScores!$E$3*0.0001,(500*LOG(1+99*I158/SpecialScores!$E$3))))))</f>
        <v xml:space="preserve"> </v>
      </c>
      <c r="K158" s="12" t="str">
        <f t="shared" si="61"/>
        <v/>
      </c>
      <c r="L158" s="38"/>
      <c r="M158" s="8" t="str">
        <f>IF(ISBLANK(L158)," ",IF(L158="np",SpecialScores!$C$3,IF(L158="dnf",SpecialScores!$C$4,MIN( 1000+L158/SpecialScores!$H$3*0.0001,(500*LOG(1+99*L158/SpecialScores!$H$3))))))</f>
        <v xml:space="preserve"> </v>
      </c>
      <c r="N158" s="12" t="str">
        <f t="shared" si="62"/>
        <v/>
      </c>
      <c r="O158" s="38"/>
      <c r="P158" s="8" t="str">
        <f>IF(ISBLANK(O158)," ",IF(O158="np",SpecialScores!$C$3,IF(O158="dnf",SpecialScores!$C$4,MIN(1000,(500*LOG(1+99*O158/SpecialScores!$K$3))))))</f>
        <v xml:space="preserve"> </v>
      </c>
      <c r="Q158" s="12" t="str">
        <f t="shared" si="63"/>
        <v/>
      </c>
      <c r="R158" s="38"/>
      <c r="S158" s="8" t="str">
        <f>IF(ISBLANK(R158)," ",IF(R158="np",SpecialScores!$C$3,IF(R158="dnf",SpecialScores!$C$4,      IF(AND(R158&gt;=0,R158&lt;SpecialScores!$O$12), (500*LOG(1+99*R158/SpecialScores!$O$12*SpecialScores!$O$11/SpecialScores!$O$10)),                         MIN((500*LOG(1+99*SpecialScores!$O$11/R158)))))))</f>
        <v xml:space="preserve"> </v>
      </c>
      <c r="T158" s="12" t="str">
        <f t="shared" si="64"/>
        <v/>
      </c>
      <c r="U158" s="38"/>
      <c r="V158" s="8" t="str">
        <f>IF(ISBLANK(U158)," ",IF(U158="np",SpecialScores!$C$3,IF(U158="dnf",SpecialScores!$C$4,MIN((500*LOG(1+99*U158/SpecialScores!$R$3))))))</f>
        <v xml:space="preserve"> </v>
      </c>
      <c r="W158" s="12" t="str">
        <f t="shared" si="65"/>
        <v/>
      </c>
      <c r="X158" s="38"/>
      <c r="Y158" s="8" t="str">
        <f>IF(ISBLANK(X158)," ",IF(X158="np",SpecialScores!$C$3,IF(X158="dnf",SpecialScores!$C$4,MIN( 1000+X158/SpecialScores!$U$3*0.0001,(500*LOG(1+99*X158/SpecialScores!$U$3))))))</f>
        <v xml:space="preserve"> </v>
      </c>
      <c r="Z158" s="12" t="str">
        <f t="shared" si="66"/>
        <v/>
      </c>
      <c r="AA158" s="38"/>
      <c r="AB158" s="8" t="str">
        <f>IF(ISBLANK(AA158)," ",IF(AA158="np",SpecialScores!$C$3,IF(AA158="dnf",SpecialScores!$C$4,      IF(AND(AA158&gt;=0,AA158&lt;SpecialScores!$X$12), (500*LOG(1+99*AA158/SpecialScores!$X$12*SpecialScores!$X$11/SpecialScores!$X$10)),                         MIN((500*LOG(1+99*SpecialScores!$X$11/AA158)))))))</f>
        <v xml:space="preserve"> </v>
      </c>
      <c r="AC158" s="12" t="str">
        <f t="shared" si="67"/>
        <v/>
      </c>
      <c r="AD158" s="38"/>
      <c r="AE158" s="8" t="str">
        <f>IF(ISBLANK(AD158)," ",IF(AD158="np",SpecialScores!$C$3,IF(AD158="dnf",SpecialScores!$C$4,MIN( 1000+AD158/SpecialScores!$AA$5*0.0001,(500*LOG(1+99*AD158/SpecialScores!$AA$5))))))</f>
        <v xml:space="preserve"> </v>
      </c>
      <c r="AF158" s="12" t="str">
        <f t="shared" si="68"/>
        <v/>
      </c>
      <c r="AG158" s="38"/>
      <c r="AH158" s="8" t="str">
        <f>IF(ISBLANK(AG158)," ",IF(AG158="np",SpecialScores!$C$3,IF(AG158="dnf",SpecialScores!$C$4,MIN(1000,(500*LOG(1+99*AG158/SpecialScores!$E$3))))))</f>
        <v xml:space="preserve"> </v>
      </c>
      <c r="AI158" s="12" t="str">
        <f t="shared" si="69"/>
        <v/>
      </c>
      <c r="AP158" s="49"/>
    </row>
    <row r="159" spans="1:42" x14ac:dyDescent="0.35">
      <c r="A159" s="42"/>
      <c r="E159" s="33" t="str">
        <f t="shared" si="70"/>
        <v xml:space="preserve"> </v>
      </c>
      <c r="F159" s="33" t="str">
        <f t="shared" si="71"/>
        <v xml:space="preserve"> </v>
      </c>
      <c r="G159" s="7" t="str">
        <f t="shared" si="72"/>
        <v xml:space="preserve"> </v>
      </c>
      <c r="H159" s="7" t="str">
        <f t="shared" si="73"/>
        <v xml:space="preserve"> </v>
      </c>
      <c r="I159" s="38"/>
      <c r="J159" s="8" t="str">
        <f>IF(ISBLANK(I159)," ",IF(I159="np",SpecialScores!$C$3,IF(I159="dnf",SpecialScores!$C$4,MIN( 1000+I159/SpecialScores!$E$3*0.0001,(500*LOG(1+99*I159/SpecialScores!$E$3))))))</f>
        <v xml:space="preserve"> </v>
      </c>
      <c r="K159" s="12" t="str">
        <f t="shared" si="61"/>
        <v/>
      </c>
      <c r="L159" s="38"/>
      <c r="M159" s="8" t="str">
        <f>IF(ISBLANK(L159)," ",IF(L159="np",SpecialScores!$C$3,IF(L159="dnf",SpecialScores!$C$4,MIN( 1000+L159/SpecialScores!$H$3*0.0001,(500*LOG(1+99*L159/SpecialScores!$H$3))))))</f>
        <v xml:space="preserve"> </v>
      </c>
      <c r="N159" s="12" t="str">
        <f t="shared" si="62"/>
        <v/>
      </c>
      <c r="O159" s="38"/>
      <c r="P159" s="8" t="str">
        <f>IF(ISBLANK(O159)," ",IF(O159="np",SpecialScores!$C$3,IF(O159="dnf",SpecialScores!$C$4,MIN(1000,(500*LOG(1+99*O159/SpecialScores!$K$3))))))</f>
        <v xml:space="preserve"> </v>
      </c>
      <c r="Q159" s="12" t="str">
        <f t="shared" si="63"/>
        <v/>
      </c>
      <c r="R159" s="38"/>
      <c r="S159" s="8" t="str">
        <f>IF(ISBLANK(R159)," ",IF(R159="np",SpecialScores!$C$3,IF(R159="dnf",SpecialScores!$C$4,      IF(AND(R159&gt;=0,R159&lt;SpecialScores!$O$12), (500*LOG(1+99*R159/SpecialScores!$O$12*SpecialScores!$O$11/SpecialScores!$O$10)),                         MIN((500*LOG(1+99*SpecialScores!$O$11/R159)))))))</f>
        <v xml:space="preserve"> </v>
      </c>
      <c r="T159" s="12" t="str">
        <f t="shared" si="64"/>
        <v/>
      </c>
      <c r="U159" s="38"/>
      <c r="V159" s="8" t="str">
        <f>IF(ISBLANK(U159)," ",IF(U159="np",SpecialScores!$C$3,IF(U159="dnf",SpecialScores!$C$4,MIN((500*LOG(1+99*U159/SpecialScores!$R$3))))))</f>
        <v xml:space="preserve"> </v>
      </c>
      <c r="W159" s="12" t="str">
        <f t="shared" si="65"/>
        <v/>
      </c>
      <c r="X159" s="38"/>
      <c r="Y159" s="8" t="str">
        <f>IF(ISBLANK(X159)," ",IF(X159="np",SpecialScores!$C$3,IF(X159="dnf",SpecialScores!$C$4,MIN( 1000+X159/SpecialScores!$U$3*0.0001,(500*LOG(1+99*X159/SpecialScores!$U$3))))))</f>
        <v xml:space="preserve"> </v>
      </c>
      <c r="Z159" s="12" t="str">
        <f t="shared" si="66"/>
        <v/>
      </c>
      <c r="AA159" s="38"/>
      <c r="AB159" s="8" t="str">
        <f>IF(ISBLANK(AA159)," ",IF(AA159="np",SpecialScores!$C$3,IF(AA159="dnf",SpecialScores!$C$4,      IF(AND(AA159&gt;=0,AA159&lt;SpecialScores!$X$12), (500*LOG(1+99*AA159/SpecialScores!$X$12*SpecialScores!$X$11/SpecialScores!$X$10)),                         MIN((500*LOG(1+99*SpecialScores!$X$11/AA159)))))))</f>
        <v xml:space="preserve"> </v>
      </c>
      <c r="AC159" s="12" t="str">
        <f t="shared" si="67"/>
        <v/>
      </c>
      <c r="AD159" s="38"/>
      <c r="AE159" s="8" t="str">
        <f>IF(ISBLANK(AD159)," ",IF(AD159="np",SpecialScores!$C$3,IF(AD159="dnf",SpecialScores!$C$4,MIN( 1000+AD159/SpecialScores!$AA$5*0.0001,(500*LOG(1+99*AD159/SpecialScores!$AA$5))))))</f>
        <v xml:space="preserve"> </v>
      </c>
      <c r="AF159" s="12" t="str">
        <f t="shared" si="68"/>
        <v/>
      </c>
      <c r="AG159" s="38"/>
      <c r="AH159" s="8" t="str">
        <f>IF(ISBLANK(AG159)," ",IF(AG159="np",SpecialScores!$C$3,IF(AG159="dnf",SpecialScores!$C$4,MIN(1000,(500*LOG(1+99*AG159/SpecialScores!$E$3))))))</f>
        <v xml:space="preserve"> </v>
      </c>
      <c r="AI159" s="12" t="str">
        <f t="shared" si="69"/>
        <v/>
      </c>
      <c r="AP159" s="49"/>
    </row>
    <row r="160" spans="1:42" x14ac:dyDescent="0.35">
      <c r="A160" s="42"/>
      <c r="E160" s="33" t="str">
        <f t="shared" si="70"/>
        <v xml:space="preserve"> </v>
      </c>
      <c r="F160" s="33" t="str">
        <f t="shared" si="71"/>
        <v xml:space="preserve"> </v>
      </c>
      <c r="G160" s="7" t="str">
        <f t="shared" si="72"/>
        <v xml:space="preserve"> </v>
      </c>
      <c r="H160" s="7" t="str">
        <f t="shared" si="73"/>
        <v xml:space="preserve"> </v>
      </c>
      <c r="I160" s="38"/>
      <c r="J160" s="8" t="str">
        <f>IF(ISBLANK(I160)," ",IF(I160="np",SpecialScores!$C$3,IF(I160="dnf",SpecialScores!$C$4,MIN( 1000+I160/SpecialScores!$E$3*0.0001,(500*LOG(1+99*I160/SpecialScores!$E$3))))))</f>
        <v xml:space="preserve"> </v>
      </c>
      <c r="K160" s="12" t="str">
        <f t="shared" si="61"/>
        <v/>
      </c>
      <c r="L160" s="38"/>
      <c r="M160" s="8" t="str">
        <f>IF(ISBLANK(L160)," ",IF(L160="np",SpecialScores!$C$3,IF(L160="dnf",SpecialScores!$C$4,MIN( 1000+L160/SpecialScores!$H$3*0.0001,(500*LOG(1+99*L160/SpecialScores!$H$3))))))</f>
        <v xml:space="preserve"> </v>
      </c>
      <c r="N160" s="12" t="str">
        <f t="shared" si="62"/>
        <v/>
      </c>
      <c r="O160" s="38"/>
      <c r="P160" s="8" t="str">
        <f>IF(ISBLANK(O160)," ",IF(O160="np",SpecialScores!$C$3,IF(O160="dnf",SpecialScores!$C$4,MIN(1000,(500*LOG(1+99*O160/SpecialScores!$K$3))))))</f>
        <v xml:space="preserve"> </v>
      </c>
      <c r="Q160" s="12" t="str">
        <f t="shared" si="63"/>
        <v/>
      </c>
      <c r="R160" s="38"/>
      <c r="S160" s="8" t="str">
        <f>IF(ISBLANK(R160)," ",IF(R160="np",SpecialScores!$C$3,IF(R160="dnf",SpecialScores!$C$4,      IF(AND(R160&gt;=0,R160&lt;SpecialScores!$O$12), (500*LOG(1+99*R160/SpecialScores!$O$12*SpecialScores!$O$11/SpecialScores!$O$10)),                         MIN((500*LOG(1+99*SpecialScores!$O$11/R160)))))))</f>
        <v xml:space="preserve"> </v>
      </c>
      <c r="T160" s="12" t="str">
        <f t="shared" si="64"/>
        <v/>
      </c>
      <c r="U160" s="38"/>
      <c r="V160" s="8" t="str">
        <f>IF(ISBLANK(U160)," ",IF(U160="np",SpecialScores!$C$3,IF(U160="dnf",SpecialScores!$C$4,MIN((500*LOG(1+99*U160/SpecialScores!$R$3))))))</f>
        <v xml:space="preserve"> </v>
      </c>
      <c r="W160" s="12" t="str">
        <f t="shared" si="65"/>
        <v/>
      </c>
      <c r="X160" s="38"/>
      <c r="Y160" s="8" t="str">
        <f>IF(ISBLANK(X160)," ",IF(X160="np",SpecialScores!$C$3,IF(X160="dnf",SpecialScores!$C$4,MIN( 1000+X160/SpecialScores!$U$3*0.0001,(500*LOG(1+99*X160/SpecialScores!$U$3))))))</f>
        <v xml:space="preserve"> </v>
      </c>
      <c r="Z160" s="12" t="str">
        <f t="shared" si="66"/>
        <v/>
      </c>
      <c r="AA160" s="38"/>
      <c r="AB160" s="8" t="str">
        <f>IF(ISBLANK(AA160)," ",IF(AA160="np",SpecialScores!$C$3,IF(AA160="dnf",SpecialScores!$C$4,      IF(AND(AA160&gt;=0,AA160&lt;SpecialScores!$X$12), (500*LOG(1+99*AA160/SpecialScores!$X$12*SpecialScores!$X$11/SpecialScores!$X$10)),                         MIN((500*LOG(1+99*SpecialScores!$X$11/AA160)))))))</f>
        <v xml:space="preserve"> </v>
      </c>
      <c r="AC160" s="12" t="str">
        <f t="shared" si="67"/>
        <v/>
      </c>
      <c r="AD160" s="38"/>
      <c r="AE160" s="8" t="str">
        <f>IF(ISBLANK(AD160)," ",IF(AD160="np",SpecialScores!$C$3,IF(AD160="dnf",SpecialScores!$C$4,MIN( 1000+AD160/SpecialScores!$AA$5*0.0001,(500*LOG(1+99*AD160/SpecialScores!$AA$5))))))</f>
        <v xml:space="preserve"> </v>
      </c>
      <c r="AF160" s="12" t="str">
        <f t="shared" si="68"/>
        <v/>
      </c>
      <c r="AG160" s="38"/>
      <c r="AH160" s="8" t="str">
        <f>IF(ISBLANK(AG160)," ",IF(AG160="np",SpecialScores!$C$3,IF(AG160="dnf",SpecialScores!$C$4,MIN(1000,(500*LOG(1+99*AG160/SpecialScores!$E$3))))))</f>
        <v xml:space="preserve"> </v>
      </c>
      <c r="AI160" s="12" t="str">
        <f t="shared" si="69"/>
        <v/>
      </c>
      <c r="AP160" s="49"/>
    </row>
    <row r="161" spans="1:42" x14ac:dyDescent="0.35">
      <c r="A161" s="42"/>
      <c r="E161" s="33" t="str">
        <f t="shared" si="70"/>
        <v xml:space="preserve"> </v>
      </c>
      <c r="F161" s="33" t="str">
        <f t="shared" si="71"/>
        <v xml:space="preserve"> </v>
      </c>
      <c r="G161" s="7" t="str">
        <f t="shared" si="72"/>
        <v xml:space="preserve"> </v>
      </c>
      <c r="H161" s="7" t="str">
        <f t="shared" si="73"/>
        <v xml:space="preserve"> </v>
      </c>
      <c r="I161" s="38"/>
      <c r="J161" s="8" t="str">
        <f>IF(ISBLANK(I161)," ",IF(I161="np",SpecialScores!$C$3,IF(I161="dnf",SpecialScores!$C$4,MIN( 1000+I161/SpecialScores!$E$3*0.0001,(500*LOG(1+99*I161/SpecialScores!$E$3))))))</f>
        <v xml:space="preserve"> </v>
      </c>
      <c r="K161" s="12" t="str">
        <f t="shared" si="61"/>
        <v/>
      </c>
      <c r="L161" s="38"/>
      <c r="M161" s="8" t="str">
        <f>IF(ISBLANK(L161)," ",IF(L161="np",SpecialScores!$C$3,IF(L161="dnf",SpecialScores!$C$4,MIN( 1000+L161/SpecialScores!$H$3*0.0001,(500*LOG(1+99*L161/SpecialScores!$H$3))))))</f>
        <v xml:space="preserve"> </v>
      </c>
      <c r="N161" s="12" t="str">
        <f t="shared" si="62"/>
        <v/>
      </c>
      <c r="O161" s="38"/>
      <c r="P161" s="8" t="str">
        <f>IF(ISBLANK(O161)," ",IF(O161="np",SpecialScores!$C$3,IF(O161="dnf",SpecialScores!$C$4,MIN(1000,(500*LOG(1+99*O161/SpecialScores!$K$3))))))</f>
        <v xml:space="preserve"> </v>
      </c>
      <c r="Q161" s="12" t="str">
        <f t="shared" si="63"/>
        <v/>
      </c>
      <c r="R161" s="38"/>
      <c r="S161" s="8" t="str">
        <f>IF(ISBLANK(R161)," ",IF(R161="np",SpecialScores!$C$3,IF(R161="dnf",SpecialScores!$C$4,      IF(AND(R161&gt;=0,R161&lt;SpecialScores!$O$12), (500*LOG(1+99*R161/SpecialScores!$O$12*SpecialScores!$O$11/SpecialScores!$O$10)),                         MIN((500*LOG(1+99*SpecialScores!$O$11/R161)))))))</f>
        <v xml:space="preserve"> </v>
      </c>
      <c r="T161" s="12" t="str">
        <f t="shared" si="64"/>
        <v/>
      </c>
      <c r="U161" s="38"/>
      <c r="V161" s="8" t="str">
        <f>IF(ISBLANK(U161)," ",IF(U161="np",SpecialScores!$C$3,IF(U161="dnf",SpecialScores!$C$4,MIN((500*LOG(1+99*U161/SpecialScores!$R$3))))))</f>
        <v xml:space="preserve"> </v>
      </c>
      <c r="W161" s="12" t="str">
        <f t="shared" si="65"/>
        <v/>
      </c>
      <c r="X161" s="38"/>
      <c r="Y161" s="8" t="str">
        <f>IF(ISBLANK(X161)," ",IF(X161="np",SpecialScores!$C$3,IF(X161="dnf",SpecialScores!$C$4,MIN( 1000+X161/SpecialScores!$U$3*0.0001,(500*LOG(1+99*X161/SpecialScores!$U$3))))))</f>
        <v xml:space="preserve"> </v>
      </c>
      <c r="Z161" s="12" t="str">
        <f t="shared" si="66"/>
        <v/>
      </c>
      <c r="AA161" s="38"/>
      <c r="AB161" s="8" t="str">
        <f>IF(ISBLANK(AA161)," ",IF(AA161="np",SpecialScores!$C$3,IF(AA161="dnf",SpecialScores!$C$4,      IF(AND(AA161&gt;=0,AA161&lt;SpecialScores!$X$12), (500*LOG(1+99*AA161/SpecialScores!$X$12*SpecialScores!$X$11/SpecialScores!$X$10)),                         MIN((500*LOG(1+99*SpecialScores!$X$11/AA161)))))))</f>
        <v xml:space="preserve"> </v>
      </c>
      <c r="AC161" s="12" t="str">
        <f t="shared" si="67"/>
        <v/>
      </c>
      <c r="AD161" s="38"/>
      <c r="AE161" s="8" t="str">
        <f>IF(ISBLANK(AD161)," ",IF(AD161="np",SpecialScores!$C$3,IF(AD161="dnf",SpecialScores!$C$4,MIN( 1000+AD161/SpecialScores!$AA$5*0.0001,(500*LOG(1+99*AD161/SpecialScores!$AA$5))))))</f>
        <v xml:space="preserve"> </v>
      </c>
      <c r="AF161" s="12" t="str">
        <f t="shared" si="68"/>
        <v/>
      </c>
      <c r="AG161" s="38"/>
      <c r="AH161" s="8" t="str">
        <f>IF(ISBLANK(AG161)," ",IF(AG161="np",SpecialScores!$C$3,IF(AG161="dnf",SpecialScores!$C$4,MIN(1000,(500*LOG(1+99*AG161/SpecialScores!$E$3))))))</f>
        <v xml:space="preserve"> </v>
      </c>
      <c r="AI161" s="12" t="str">
        <f t="shared" si="69"/>
        <v/>
      </c>
      <c r="AP161" s="49"/>
    </row>
    <row r="162" spans="1:42" x14ac:dyDescent="0.35">
      <c r="A162" s="42"/>
      <c r="E162" s="33" t="str">
        <f t="shared" si="70"/>
        <v xml:space="preserve"> </v>
      </c>
      <c r="F162" s="33" t="str">
        <f t="shared" si="71"/>
        <v xml:space="preserve"> </v>
      </c>
      <c r="G162" s="7" t="str">
        <f t="shared" si="72"/>
        <v xml:space="preserve"> </v>
      </c>
      <c r="H162" s="7" t="str">
        <f t="shared" si="73"/>
        <v xml:space="preserve"> </v>
      </c>
      <c r="I162" s="38"/>
      <c r="J162" s="8" t="str">
        <f>IF(ISBLANK(I162)," ",IF(I162="np",SpecialScores!$C$3,IF(I162="dnf",SpecialScores!$C$4,MIN( 1000+I162/SpecialScores!$E$3*0.0001,(500*LOG(1+99*I162/SpecialScores!$E$3))))))</f>
        <v xml:space="preserve"> </v>
      </c>
      <c r="K162" s="12" t="str">
        <f t="shared" si="61"/>
        <v/>
      </c>
      <c r="L162" s="38"/>
      <c r="M162" s="8" t="str">
        <f>IF(ISBLANK(L162)," ",IF(L162="np",SpecialScores!$C$3,IF(L162="dnf",SpecialScores!$C$4,MIN( 1000+L162/SpecialScores!$H$3*0.0001,(500*LOG(1+99*L162/SpecialScores!$H$3))))))</f>
        <v xml:space="preserve"> </v>
      </c>
      <c r="N162" s="12" t="str">
        <f t="shared" si="62"/>
        <v/>
      </c>
      <c r="O162" s="38"/>
      <c r="P162" s="8" t="str">
        <f>IF(ISBLANK(O162)," ",IF(O162="np",SpecialScores!$C$3,IF(O162="dnf",SpecialScores!$C$4,MIN(1000,(500*LOG(1+99*O162/SpecialScores!$K$3))))))</f>
        <v xml:space="preserve"> </v>
      </c>
      <c r="Q162" s="12" t="str">
        <f t="shared" si="63"/>
        <v/>
      </c>
      <c r="R162" s="38"/>
      <c r="S162" s="8" t="str">
        <f>IF(ISBLANK(R162)," ",IF(R162="np",SpecialScores!$C$3,IF(R162="dnf",SpecialScores!$C$4,      IF(AND(R162&gt;=0,R162&lt;SpecialScores!$O$12), (500*LOG(1+99*R162/SpecialScores!$O$12*SpecialScores!$O$11/SpecialScores!$O$10)),                         MIN((500*LOG(1+99*SpecialScores!$O$11/R162)))))))</f>
        <v xml:space="preserve"> </v>
      </c>
      <c r="T162" s="12" t="str">
        <f t="shared" si="64"/>
        <v/>
      </c>
      <c r="U162" s="38"/>
      <c r="V162" s="8" t="str">
        <f>IF(ISBLANK(U162)," ",IF(U162="np",SpecialScores!$C$3,IF(U162="dnf",SpecialScores!$C$4,MIN((500*LOG(1+99*U162/SpecialScores!$R$3))))))</f>
        <v xml:space="preserve"> </v>
      </c>
      <c r="W162" s="12" t="str">
        <f t="shared" si="65"/>
        <v/>
      </c>
      <c r="X162" s="38"/>
      <c r="Y162" s="8" t="str">
        <f>IF(ISBLANK(X162)," ",IF(X162="np",SpecialScores!$C$3,IF(X162="dnf",SpecialScores!$C$4,MIN( 1000+X162/SpecialScores!$U$3*0.0001,(500*LOG(1+99*X162/SpecialScores!$U$3))))))</f>
        <v xml:space="preserve"> </v>
      </c>
      <c r="Z162" s="12" t="str">
        <f t="shared" si="66"/>
        <v/>
      </c>
      <c r="AA162" s="38"/>
      <c r="AB162" s="8" t="str">
        <f>IF(ISBLANK(AA162)," ",IF(AA162="np",SpecialScores!$C$3,IF(AA162="dnf",SpecialScores!$C$4,      IF(AND(AA162&gt;=0,AA162&lt;SpecialScores!$X$12), (500*LOG(1+99*AA162/SpecialScores!$X$12*SpecialScores!$X$11/SpecialScores!$X$10)),                         MIN((500*LOG(1+99*SpecialScores!$X$11/AA162)))))))</f>
        <v xml:space="preserve"> </v>
      </c>
      <c r="AC162" s="12" t="str">
        <f t="shared" si="67"/>
        <v/>
      </c>
      <c r="AD162" s="38"/>
      <c r="AE162" s="8" t="str">
        <f>IF(ISBLANK(AD162)," ",IF(AD162="np",SpecialScores!$C$3,IF(AD162="dnf",SpecialScores!$C$4,MIN( 1000+AD162/SpecialScores!$AA$5*0.0001,(500*LOG(1+99*AD162/SpecialScores!$AA$5))))))</f>
        <v xml:space="preserve"> </v>
      </c>
      <c r="AF162" s="12" t="str">
        <f t="shared" si="68"/>
        <v/>
      </c>
      <c r="AG162" s="38"/>
      <c r="AH162" s="8" t="str">
        <f>IF(ISBLANK(AG162)," ",IF(AG162="np",SpecialScores!$C$3,IF(AG162="dnf",SpecialScores!$C$4,MIN(1000,(500*LOG(1+99*AG162/SpecialScores!$E$3))))))</f>
        <v xml:space="preserve"> </v>
      </c>
      <c r="AI162" s="12" t="str">
        <f t="shared" si="69"/>
        <v/>
      </c>
      <c r="AP162" s="49"/>
    </row>
    <row r="163" spans="1:42" x14ac:dyDescent="0.35">
      <c r="A163" s="42"/>
      <c r="E163" s="33" t="str">
        <f t="shared" si="70"/>
        <v xml:space="preserve"> </v>
      </c>
      <c r="F163" s="33" t="str">
        <f t="shared" si="71"/>
        <v xml:space="preserve"> </v>
      </c>
      <c r="G163" s="7" t="str">
        <f t="shared" si="72"/>
        <v xml:space="preserve"> </v>
      </c>
      <c r="H163" s="7" t="str">
        <f t="shared" si="73"/>
        <v xml:space="preserve"> </v>
      </c>
      <c r="I163" s="38"/>
      <c r="J163" s="8" t="str">
        <f>IF(ISBLANK(I163)," ",IF(I163="np",SpecialScores!$C$3,IF(I163="dnf",SpecialScores!$C$4,MIN( 1000+I163/SpecialScores!$E$3*0.0001,(500*LOG(1+99*I163/SpecialScores!$E$3))))))</f>
        <v xml:space="preserve"> </v>
      </c>
      <c r="K163" s="12" t="str">
        <f t="shared" si="61"/>
        <v/>
      </c>
      <c r="L163" s="38"/>
      <c r="M163" s="8" t="str">
        <f>IF(ISBLANK(L163)," ",IF(L163="np",SpecialScores!$C$3,IF(L163="dnf",SpecialScores!$C$4,MIN( 1000+L163/SpecialScores!$H$3*0.0001,(500*LOG(1+99*L163/SpecialScores!$H$3))))))</f>
        <v xml:space="preserve"> </v>
      </c>
      <c r="N163" s="12" t="str">
        <f t="shared" si="62"/>
        <v/>
      </c>
      <c r="O163" s="38"/>
      <c r="P163" s="8" t="str">
        <f>IF(ISBLANK(O163)," ",IF(O163="np",SpecialScores!$C$3,IF(O163="dnf",SpecialScores!$C$4,MIN(1000,(500*LOG(1+99*O163/SpecialScores!$K$3))))))</f>
        <v xml:space="preserve"> </v>
      </c>
      <c r="Q163" s="12" t="str">
        <f t="shared" si="63"/>
        <v/>
      </c>
      <c r="R163" s="38"/>
      <c r="S163" s="8" t="str">
        <f>IF(ISBLANK(R163)," ",IF(R163="np",SpecialScores!$C$3,IF(R163="dnf",SpecialScores!$C$4,      IF(AND(R163&gt;=0,R163&lt;SpecialScores!$O$12), (500*LOG(1+99*R163/SpecialScores!$O$12*SpecialScores!$O$11/SpecialScores!$O$10)),                         MIN((500*LOG(1+99*SpecialScores!$O$11/R163)))))))</f>
        <v xml:space="preserve"> </v>
      </c>
      <c r="T163" s="12" t="str">
        <f t="shared" si="64"/>
        <v/>
      </c>
      <c r="U163" s="38"/>
      <c r="V163" s="8" t="str">
        <f>IF(ISBLANK(U163)," ",IF(U163="np",SpecialScores!$C$3,IF(U163="dnf",SpecialScores!$C$4,MIN((500*LOG(1+99*U163/SpecialScores!$R$3))))))</f>
        <v xml:space="preserve"> </v>
      </c>
      <c r="W163" s="12" t="str">
        <f t="shared" si="65"/>
        <v/>
      </c>
      <c r="X163" s="38"/>
      <c r="Y163" s="8" t="str">
        <f>IF(ISBLANK(X163)," ",IF(X163="np",SpecialScores!$C$3,IF(X163="dnf",SpecialScores!$C$4,MIN( 1000+X163/SpecialScores!$U$3*0.0001,(500*LOG(1+99*X163/SpecialScores!$U$3))))))</f>
        <v xml:space="preserve"> </v>
      </c>
      <c r="Z163" s="12" t="str">
        <f t="shared" si="66"/>
        <v/>
      </c>
      <c r="AA163" s="38"/>
      <c r="AB163" s="8" t="str">
        <f>IF(ISBLANK(AA163)," ",IF(AA163="np",SpecialScores!$C$3,IF(AA163="dnf",SpecialScores!$C$4,      IF(AND(AA163&gt;=0,AA163&lt;SpecialScores!$X$12), (500*LOG(1+99*AA163/SpecialScores!$X$12*SpecialScores!$X$11/SpecialScores!$X$10)),                         MIN((500*LOG(1+99*SpecialScores!$X$11/AA163)))))))</f>
        <v xml:space="preserve"> </v>
      </c>
      <c r="AC163" s="12" t="str">
        <f t="shared" si="67"/>
        <v/>
      </c>
      <c r="AD163" s="38"/>
      <c r="AE163" s="8" t="str">
        <f>IF(ISBLANK(AD163)," ",IF(AD163="np",SpecialScores!$C$3,IF(AD163="dnf",SpecialScores!$C$4,MIN( 1000+AD163/SpecialScores!$AA$5*0.0001,(500*LOG(1+99*AD163/SpecialScores!$AA$5))))))</f>
        <v xml:space="preserve"> </v>
      </c>
      <c r="AF163" s="12" t="str">
        <f t="shared" si="68"/>
        <v/>
      </c>
      <c r="AG163" s="38"/>
      <c r="AH163" s="8" t="str">
        <f>IF(ISBLANK(AG163)," ",IF(AG163="np",SpecialScores!$C$3,IF(AG163="dnf",SpecialScores!$C$4,MIN(1000,(500*LOG(1+99*AG163/SpecialScores!$E$3))))))</f>
        <v xml:space="preserve"> </v>
      </c>
      <c r="AI163" s="12" t="str">
        <f t="shared" si="69"/>
        <v/>
      </c>
      <c r="AP163" s="49"/>
    </row>
    <row r="164" spans="1:42" x14ac:dyDescent="0.35">
      <c r="A164" s="42"/>
      <c r="E164" s="33" t="str">
        <f t="shared" si="70"/>
        <v xml:space="preserve"> </v>
      </c>
      <c r="F164" s="33" t="str">
        <f t="shared" si="71"/>
        <v xml:space="preserve"> </v>
      </c>
      <c r="G164" s="7" t="str">
        <f t="shared" si="72"/>
        <v xml:space="preserve"> </v>
      </c>
      <c r="H164" s="7" t="str">
        <f t="shared" si="73"/>
        <v xml:space="preserve"> </v>
      </c>
      <c r="I164" s="38"/>
      <c r="J164" s="8" t="str">
        <f>IF(ISBLANK(I164)," ",IF(I164="np",SpecialScores!$C$3,IF(I164="dnf",SpecialScores!$C$4,MIN( 1000+I164/SpecialScores!$E$3*0.0001,(500*LOG(1+99*I164/SpecialScores!$E$3))))))</f>
        <v xml:space="preserve"> </v>
      </c>
      <c r="K164" s="12" t="str">
        <f t="shared" si="61"/>
        <v/>
      </c>
      <c r="L164" s="38"/>
      <c r="M164" s="8" t="str">
        <f>IF(ISBLANK(L164)," ",IF(L164="np",SpecialScores!$C$3,IF(L164="dnf",SpecialScores!$C$4,MIN( 1000+L164/SpecialScores!$H$3*0.0001,(500*LOG(1+99*L164/SpecialScores!$H$3))))))</f>
        <v xml:space="preserve"> </v>
      </c>
      <c r="N164" s="12" t="str">
        <f t="shared" si="62"/>
        <v/>
      </c>
      <c r="O164" s="38"/>
      <c r="P164" s="8" t="str">
        <f>IF(ISBLANK(O164)," ",IF(O164="np",SpecialScores!$C$3,IF(O164="dnf",SpecialScores!$C$4,MIN(1000,(500*LOG(1+99*O164/SpecialScores!$K$3))))))</f>
        <v xml:space="preserve"> </v>
      </c>
      <c r="Q164" s="12" t="str">
        <f t="shared" si="63"/>
        <v/>
      </c>
      <c r="R164" s="38"/>
      <c r="S164" s="8" t="str">
        <f>IF(ISBLANK(R164)," ",IF(R164="np",SpecialScores!$C$3,IF(R164="dnf",SpecialScores!$C$4,      IF(AND(R164&gt;=0,R164&lt;SpecialScores!$O$12), (500*LOG(1+99*R164/SpecialScores!$O$12*SpecialScores!$O$11/SpecialScores!$O$10)),                         MIN((500*LOG(1+99*SpecialScores!$O$11/R164)))))))</f>
        <v xml:space="preserve"> </v>
      </c>
      <c r="T164" s="12" t="str">
        <f t="shared" si="64"/>
        <v/>
      </c>
      <c r="U164" s="38"/>
      <c r="V164" s="8" t="str">
        <f>IF(ISBLANK(U164)," ",IF(U164="np",SpecialScores!$C$3,IF(U164="dnf",SpecialScores!$C$4,MIN((500*LOG(1+99*U164/SpecialScores!$R$3))))))</f>
        <v xml:space="preserve"> </v>
      </c>
      <c r="W164" s="12" t="str">
        <f t="shared" si="65"/>
        <v/>
      </c>
      <c r="X164" s="38"/>
      <c r="Y164" s="8" t="str">
        <f>IF(ISBLANK(X164)," ",IF(X164="np",SpecialScores!$C$3,IF(X164="dnf",SpecialScores!$C$4,MIN( 1000+X164/SpecialScores!$U$3*0.0001,(500*LOG(1+99*X164/SpecialScores!$U$3))))))</f>
        <v xml:space="preserve"> </v>
      </c>
      <c r="Z164" s="12" t="str">
        <f t="shared" si="66"/>
        <v/>
      </c>
      <c r="AA164" s="38"/>
      <c r="AB164" s="8" t="str">
        <f>IF(ISBLANK(AA164)," ",IF(AA164="np",SpecialScores!$C$3,IF(AA164="dnf",SpecialScores!$C$4,      IF(AND(AA164&gt;=0,AA164&lt;SpecialScores!$X$12), (500*LOG(1+99*AA164/SpecialScores!$X$12*SpecialScores!$X$11/SpecialScores!$X$10)),                         MIN((500*LOG(1+99*SpecialScores!$X$11/AA164)))))))</f>
        <v xml:space="preserve"> </v>
      </c>
      <c r="AC164" s="12" t="str">
        <f t="shared" si="67"/>
        <v/>
      </c>
      <c r="AD164" s="38"/>
      <c r="AE164" s="8" t="str">
        <f>IF(ISBLANK(AD164)," ",IF(AD164="np",SpecialScores!$C$3,IF(AD164="dnf",SpecialScores!$C$4,MIN( 1000+AD164/SpecialScores!$AA$5*0.0001,(500*LOG(1+99*AD164/SpecialScores!$AA$5))))))</f>
        <v xml:space="preserve"> </v>
      </c>
      <c r="AF164" s="12" t="str">
        <f t="shared" si="68"/>
        <v/>
      </c>
      <c r="AG164" s="38"/>
      <c r="AH164" s="8" t="str">
        <f>IF(ISBLANK(AG164)," ",IF(AG164="np",SpecialScores!$C$3,IF(AG164="dnf",SpecialScores!$C$4,MIN(1000,(500*LOG(1+99*AG164/SpecialScores!$E$3))))))</f>
        <v xml:space="preserve"> </v>
      </c>
      <c r="AI164" s="12" t="str">
        <f t="shared" si="69"/>
        <v/>
      </c>
      <c r="AP164" s="49"/>
    </row>
    <row r="165" spans="1:42" x14ac:dyDescent="0.35">
      <c r="A165" s="42"/>
      <c r="E165" s="33" t="str">
        <f t="shared" si="70"/>
        <v xml:space="preserve"> </v>
      </c>
      <c r="F165" s="33" t="str">
        <f t="shared" si="71"/>
        <v xml:space="preserve"> </v>
      </c>
      <c r="G165" s="7" t="str">
        <f t="shared" si="72"/>
        <v xml:space="preserve"> </v>
      </c>
      <c r="H165" s="7" t="str">
        <f t="shared" si="73"/>
        <v xml:space="preserve"> </v>
      </c>
      <c r="I165" s="38"/>
      <c r="J165" s="8" t="str">
        <f>IF(ISBLANK(I165)," ",IF(I165="np",SpecialScores!$C$3,IF(I165="dnf",SpecialScores!$C$4,MIN( 1000+I165/SpecialScores!$E$3*0.0001,(500*LOG(1+99*I165/SpecialScores!$E$3))))))</f>
        <v xml:space="preserve"> </v>
      </c>
      <c r="K165" s="12" t="str">
        <f t="shared" si="61"/>
        <v/>
      </c>
      <c r="L165" s="38"/>
      <c r="M165" s="8" t="str">
        <f>IF(ISBLANK(L165)," ",IF(L165="np",SpecialScores!$C$3,IF(L165="dnf",SpecialScores!$C$4,MIN( 1000+L165/SpecialScores!$H$3*0.0001,(500*LOG(1+99*L165/SpecialScores!$H$3))))))</f>
        <v xml:space="preserve"> </v>
      </c>
      <c r="N165" s="12" t="str">
        <f t="shared" si="62"/>
        <v/>
      </c>
      <c r="O165" s="38"/>
      <c r="P165" s="8" t="str">
        <f>IF(ISBLANK(O165)," ",IF(O165="np",SpecialScores!$C$3,IF(O165="dnf",SpecialScores!$C$4,MIN(1000,(500*LOG(1+99*O165/SpecialScores!$K$3))))))</f>
        <v xml:space="preserve"> </v>
      </c>
      <c r="Q165" s="12" t="str">
        <f t="shared" si="63"/>
        <v/>
      </c>
      <c r="R165" s="38"/>
      <c r="S165" s="8" t="str">
        <f>IF(ISBLANK(R165)," ",IF(R165="np",SpecialScores!$C$3,IF(R165="dnf",SpecialScores!$C$4,      IF(AND(R165&gt;=0,R165&lt;SpecialScores!$O$12), (500*LOG(1+99*R165/SpecialScores!$O$12*SpecialScores!$O$11/SpecialScores!$O$10)),                         MIN((500*LOG(1+99*SpecialScores!$O$11/R165)))))))</f>
        <v xml:space="preserve"> </v>
      </c>
      <c r="T165" s="12" t="str">
        <f t="shared" si="64"/>
        <v/>
      </c>
      <c r="U165" s="38"/>
      <c r="V165" s="8" t="str">
        <f>IF(ISBLANK(U165)," ",IF(U165="np",SpecialScores!$C$3,IF(U165="dnf",SpecialScores!$C$4,MIN((500*LOG(1+99*U165/SpecialScores!$R$3))))))</f>
        <v xml:space="preserve"> </v>
      </c>
      <c r="W165" s="12" t="str">
        <f t="shared" si="65"/>
        <v/>
      </c>
      <c r="X165" s="38"/>
      <c r="Y165" s="8" t="str">
        <f>IF(ISBLANK(X165)," ",IF(X165="np",SpecialScores!$C$3,IF(X165="dnf",SpecialScores!$C$4,MIN( 1000+X165/SpecialScores!$U$3*0.0001,(500*LOG(1+99*X165/SpecialScores!$U$3))))))</f>
        <v xml:space="preserve"> </v>
      </c>
      <c r="Z165" s="12" t="str">
        <f t="shared" si="66"/>
        <v/>
      </c>
      <c r="AA165" s="38"/>
      <c r="AB165" s="8" t="str">
        <f>IF(ISBLANK(AA165)," ",IF(AA165="np",SpecialScores!$C$3,IF(AA165="dnf",SpecialScores!$C$4,      IF(AND(AA165&gt;=0,AA165&lt;SpecialScores!$X$12), (500*LOG(1+99*AA165/SpecialScores!$X$12*SpecialScores!$X$11/SpecialScores!$X$10)),                         MIN((500*LOG(1+99*SpecialScores!$X$11/AA165)))))))</f>
        <v xml:space="preserve"> </v>
      </c>
      <c r="AC165" s="12" t="str">
        <f t="shared" si="67"/>
        <v/>
      </c>
      <c r="AD165" s="38"/>
      <c r="AE165" s="8" t="str">
        <f>IF(ISBLANK(AD165)," ",IF(AD165="np",SpecialScores!$C$3,IF(AD165="dnf",SpecialScores!$C$4,MIN( 1000+AD165/SpecialScores!$AA$5*0.0001,(500*LOG(1+99*AD165/SpecialScores!$AA$5))))))</f>
        <v xml:space="preserve"> </v>
      </c>
      <c r="AF165" s="12" t="str">
        <f t="shared" si="68"/>
        <v/>
      </c>
      <c r="AG165" s="38"/>
      <c r="AH165" s="8" t="str">
        <f>IF(ISBLANK(AG165)," ",IF(AG165="np",SpecialScores!$C$3,IF(AG165="dnf",SpecialScores!$C$4,MIN(1000,(500*LOG(1+99*AG165/SpecialScores!$E$3))))))</f>
        <v xml:space="preserve"> </v>
      </c>
      <c r="AI165" s="12" t="str">
        <f t="shared" si="69"/>
        <v/>
      </c>
      <c r="AP165" s="49"/>
    </row>
    <row r="166" spans="1:42" x14ac:dyDescent="0.35">
      <c r="A166" s="42"/>
      <c r="E166" s="33" t="str">
        <f t="shared" si="70"/>
        <v xml:space="preserve"> </v>
      </c>
      <c r="F166" s="33" t="str">
        <f t="shared" si="71"/>
        <v xml:space="preserve"> </v>
      </c>
      <c r="G166" s="7" t="str">
        <f t="shared" si="72"/>
        <v xml:space="preserve"> </v>
      </c>
      <c r="H166" s="7" t="str">
        <f t="shared" si="73"/>
        <v xml:space="preserve"> </v>
      </c>
      <c r="I166" s="38"/>
      <c r="J166" s="8" t="str">
        <f>IF(ISBLANK(I166)," ",IF(I166="np",SpecialScores!$C$3,IF(I166="dnf",SpecialScores!$C$4,MIN( 1000+I166/SpecialScores!$E$3*0.0001,(500*LOG(1+99*I166/SpecialScores!$E$3))))))</f>
        <v xml:space="preserve"> </v>
      </c>
      <c r="K166" s="12" t="str">
        <f t="shared" si="61"/>
        <v/>
      </c>
      <c r="L166" s="38"/>
      <c r="M166" s="8" t="str">
        <f>IF(ISBLANK(L166)," ",IF(L166="np",SpecialScores!$C$3,IF(L166="dnf",SpecialScores!$C$4,MIN( 1000+L166/SpecialScores!$H$3*0.0001,(500*LOG(1+99*L166/SpecialScores!$H$3))))))</f>
        <v xml:space="preserve"> </v>
      </c>
      <c r="N166" s="12" t="str">
        <f t="shared" si="62"/>
        <v/>
      </c>
      <c r="O166" s="38"/>
      <c r="P166" s="8" t="str">
        <f>IF(ISBLANK(O166)," ",IF(O166="np",SpecialScores!$C$3,IF(O166="dnf",SpecialScores!$C$4,MIN(1000,(500*LOG(1+99*O166/SpecialScores!$K$3))))))</f>
        <v xml:space="preserve"> </v>
      </c>
      <c r="Q166" s="12" t="str">
        <f t="shared" si="63"/>
        <v/>
      </c>
      <c r="R166" s="38"/>
      <c r="S166" s="8" t="str">
        <f>IF(ISBLANK(R166)," ",IF(R166="np",SpecialScores!$C$3,IF(R166="dnf",SpecialScores!$C$4,      IF(AND(R166&gt;=0,R166&lt;SpecialScores!$O$12), (500*LOG(1+99*R166/SpecialScores!$O$12*SpecialScores!$O$11/SpecialScores!$O$10)),                         MIN((500*LOG(1+99*SpecialScores!$O$11/R166)))))))</f>
        <v xml:space="preserve"> </v>
      </c>
      <c r="T166" s="12" t="str">
        <f t="shared" si="64"/>
        <v/>
      </c>
      <c r="U166" s="38"/>
      <c r="V166" s="8" t="str">
        <f>IF(ISBLANK(U166)," ",IF(U166="np",SpecialScores!$C$3,IF(U166="dnf",SpecialScores!$C$4,MIN((500*LOG(1+99*U166/SpecialScores!$R$3))))))</f>
        <v xml:space="preserve"> </v>
      </c>
      <c r="W166" s="12" t="str">
        <f t="shared" si="65"/>
        <v/>
      </c>
      <c r="X166" s="38"/>
      <c r="Y166" s="8" t="str">
        <f>IF(ISBLANK(X166)," ",IF(X166="np",SpecialScores!$C$3,IF(X166="dnf",SpecialScores!$C$4,MIN( 1000+X166/SpecialScores!$U$3*0.0001,(500*LOG(1+99*X166/SpecialScores!$U$3))))))</f>
        <v xml:space="preserve"> </v>
      </c>
      <c r="Z166" s="12" t="str">
        <f t="shared" si="66"/>
        <v/>
      </c>
      <c r="AA166" s="38"/>
      <c r="AB166" s="8" t="str">
        <f>IF(ISBLANK(AA166)," ",IF(AA166="np",SpecialScores!$C$3,IF(AA166="dnf",SpecialScores!$C$4,      IF(AND(AA166&gt;=0,AA166&lt;SpecialScores!$X$12), (500*LOG(1+99*AA166/SpecialScores!$X$12*SpecialScores!$X$11/SpecialScores!$X$10)),                         MIN((500*LOG(1+99*SpecialScores!$X$11/AA166)))))))</f>
        <v xml:space="preserve"> </v>
      </c>
      <c r="AC166" s="12" t="str">
        <f t="shared" si="67"/>
        <v/>
      </c>
      <c r="AD166" s="38"/>
      <c r="AE166" s="8" t="str">
        <f>IF(ISBLANK(AD166)," ",IF(AD166="np",SpecialScores!$C$3,IF(AD166="dnf",SpecialScores!$C$4,MIN( 1000+AD166/SpecialScores!$AA$5*0.0001,(500*LOG(1+99*AD166/SpecialScores!$AA$5))))))</f>
        <v xml:space="preserve"> </v>
      </c>
      <c r="AF166" s="12" t="str">
        <f t="shared" si="68"/>
        <v/>
      </c>
      <c r="AG166" s="38"/>
      <c r="AH166" s="8" t="str">
        <f>IF(ISBLANK(AG166)," ",IF(AG166="np",SpecialScores!$C$3,IF(AG166="dnf",SpecialScores!$C$4,MIN(1000,(500*LOG(1+99*AG166/SpecialScores!$E$3))))))</f>
        <v xml:space="preserve"> </v>
      </c>
      <c r="AI166" s="12" t="str">
        <f t="shared" si="69"/>
        <v/>
      </c>
      <c r="AP166" s="49"/>
    </row>
    <row r="167" spans="1:42" x14ac:dyDescent="0.35">
      <c r="A167" s="42"/>
      <c r="E167" s="33" t="str">
        <f t="shared" si="70"/>
        <v xml:space="preserve"> </v>
      </c>
      <c r="F167" s="33" t="str">
        <f t="shared" si="71"/>
        <v xml:space="preserve"> </v>
      </c>
      <c r="G167" s="7" t="str">
        <f t="shared" si="72"/>
        <v xml:space="preserve"> </v>
      </c>
      <c r="H167" s="7" t="str">
        <f t="shared" si="73"/>
        <v xml:space="preserve"> </v>
      </c>
      <c r="I167" s="38"/>
      <c r="J167" s="8" t="str">
        <f>IF(ISBLANK(I167)," ",IF(I167="np",SpecialScores!$C$3,IF(I167="dnf",SpecialScores!$C$4,MIN( 1000+I167/SpecialScores!$E$3*0.0001,(500*LOG(1+99*I167/SpecialScores!$E$3))))))</f>
        <v xml:space="preserve"> </v>
      </c>
      <c r="K167" s="12" t="str">
        <f t="shared" si="61"/>
        <v/>
      </c>
      <c r="L167" s="38"/>
      <c r="M167" s="8" t="str">
        <f>IF(ISBLANK(L167)," ",IF(L167="np",SpecialScores!$C$3,IF(L167="dnf",SpecialScores!$C$4,MIN( 1000+L167/SpecialScores!$H$3*0.0001,(500*LOG(1+99*L167/SpecialScores!$H$3))))))</f>
        <v xml:space="preserve"> </v>
      </c>
      <c r="N167" s="12" t="str">
        <f t="shared" si="62"/>
        <v/>
      </c>
      <c r="O167" s="38"/>
      <c r="P167" s="8" t="str">
        <f>IF(ISBLANK(O167)," ",IF(O167="np",SpecialScores!$C$3,IF(O167="dnf",SpecialScores!$C$4,MIN(1000,(500*LOG(1+99*O167/SpecialScores!$K$3))))))</f>
        <v xml:space="preserve"> </v>
      </c>
      <c r="Q167" s="12" t="str">
        <f t="shared" si="63"/>
        <v/>
      </c>
      <c r="R167" s="38"/>
      <c r="S167" s="8" t="str">
        <f>IF(ISBLANK(R167)," ",IF(R167="np",SpecialScores!$C$3,IF(R167="dnf",SpecialScores!$C$4,      IF(AND(R167&gt;=0,R167&lt;SpecialScores!$O$12), (500*LOG(1+99*R167/SpecialScores!$O$12*SpecialScores!$O$11/SpecialScores!$O$10)),                         MIN((500*LOG(1+99*SpecialScores!$O$11/R167)))))))</f>
        <v xml:space="preserve"> </v>
      </c>
      <c r="T167" s="12" t="str">
        <f t="shared" si="64"/>
        <v/>
      </c>
      <c r="U167" s="38"/>
      <c r="V167" s="8" t="str">
        <f>IF(ISBLANK(U167)," ",IF(U167="np",SpecialScores!$C$3,IF(U167="dnf",SpecialScores!$C$4,MIN((500*LOG(1+99*U167/SpecialScores!$R$3))))))</f>
        <v xml:space="preserve"> </v>
      </c>
      <c r="W167" s="12" t="str">
        <f t="shared" si="65"/>
        <v/>
      </c>
      <c r="X167" s="38"/>
      <c r="Y167" s="8" t="str">
        <f>IF(ISBLANK(X167)," ",IF(X167="np",SpecialScores!$C$3,IF(X167="dnf",SpecialScores!$C$4,MIN( 1000+X167/SpecialScores!$U$3*0.0001,(500*LOG(1+99*X167/SpecialScores!$U$3))))))</f>
        <v xml:space="preserve"> </v>
      </c>
      <c r="Z167" s="12" t="str">
        <f t="shared" si="66"/>
        <v/>
      </c>
      <c r="AA167" s="38"/>
      <c r="AB167" s="8" t="str">
        <f>IF(ISBLANK(AA167)," ",IF(AA167="np",SpecialScores!$C$3,IF(AA167="dnf",SpecialScores!$C$4,      IF(AND(AA167&gt;=0,AA167&lt;SpecialScores!$X$12), (500*LOG(1+99*AA167/SpecialScores!$X$12*SpecialScores!$X$11/SpecialScores!$X$10)),                         MIN((500*LOG(1+99*SpecialScores!$X$11/AA167)))))))</f>
        <v xml:space="preserve"> </v>
      </c>
      <c r="AC167" s="12" t="str">
        <f t="shared" si="67"/>
        <v/>
      </c>
      <c r="AD167" s="38"/>
      <c r="AE167" s="8" t="str">
        <f>IF(ISBLANK(AD167)," ",IF(AD167="np",SpecialScores!$C$3,IF(AD167="dnf",SpecialScores!$C$4,MIN( 1000+AD167/SpecialScores!$AA$5*0.0001,(500*LOG(1+99*AD167/SpecialScores!$AA$5))))))</f>
        <v xml:space="preserve"> </v>
      </c>
      <c r="AF167" s="12" t="str">
        <f t="shared" si="68"/>
        <v/>
      </c>
      <c r="AG167" s="38"/>
      <c r="AH167" s="8" t="str">
        <f>IF(ISBLANK(AG167)," ",IF(AG167="np",SpecialScores!$C$3,IF(AG167="dnf",SpecialScores!$C$4,MIN(1000,(500*LOG(1+99*AG167/SpecialScores!$E$3))))))</f>
        <v xml:space="preserve"> </v>
      </c>
      <c r="AI167" s="12" t="str">
        <f t="shared" si="69"/>
        <v/>
      </c>
      <c r="AP167" s="49"/>
    </row>
    <row r="168" spans="1:42" x14ac:dyDescent="0.35">
      <c r="A168" s="42"/>
      <c r="E168" s="33" t="str">
        <f t="shared" si="70"/>
        <v xml:space="preserve"> </v>
      </c>
      <c r="F168" s="33" t="str">
        <f t="shared" si="71"/>
        <v xml:space="preserve"> </v>
      </c>
      <c r="G168" s="7" t="str">
        <f t="shared" si="72"/>
        <v xml:space="preserve"> </v>
      </c>
      <c r="H168" s="7" t="str">
        <f t="shared" si="73"/>
        <v xml:space="preserve"> </v>
      </c>
      <c r="I168" s="38"/>
      <c r="J168" s="8" t="str">
        <f>IF(ISBLANK(I168)," ",IF(I168="np",SpecialScores!$C$3,IF(I168="dnf",SpecialScores!$C$4,MIN( 1000+I168/SpecialScores!$E$3*0.0001,(500*LOG(1+99*I168/SpecialScores!$E$3))))))</f>
        <v xml:space="preserve"> </v>
      </c>
      <c r="K168" s="12" t="str">
        <f t="shared" si="61"/>
        <v/>
      </c>
      <c r="L168" s="38"/>
      <c r="M168" s="8" t="str">
        <f>IF(ISBLANK(L168)," ",IF(L168="np",SpecialScores!$C$3,IF(L168="dnf",SpecialScores!$C$4,MIN( 1000+L168/SpecialScores!$H$3*0.0001,(500*LOG(1+99*L168/SpecialScores!$H$3))))))</f>
        <v xml:space="preserve"> </v>
      </c>
      <c r="N168" s="12" t="str">
        <f t="shared" si="62"/>
        <v/>
      </c>
      <c r="O168" s="38"/>
      <c r="P168" s="8" t="str">
        <f>IF(ISBLANK(O168)," ",IF(O168="np",SpecialScores!$C$3,IF(O168="dnf",SpecialScores!$C$4,MIN(1000,(500*LOG(1+99*O168/SpecialScores!$K$3))))))</f>
        <v xml:space="preserve"> </v>
      </c>
      <c r="Q168" s="12" t="str">
        <f t="shared" si="63"/>
        <v/>
      </c>
      <c r="R168" s="38"/>
      <c r="S168" s="8" t="str">
        <f>IF(ISBLANK(R168)," ",IF(R168="np",SpecialScores!$C$3,IF(R168="dnf",SpecialScores!$C$4,      IF(AND(R168&gt;=0,R168&lt;SpecialScores!$O$12), (500*LOG(1+99*R168/SpecialScores!$O$12*SpecialScores!$O$11/SpecialScores!$O$10)),                         MIN((500*LOG(1+99*SpecialScores!$O$11/R168)))))))</f>
        <v xml:space="preserve"> </v>
      </c>
      <c r="T168" s="12" t="str">
        <f t="shared" si="64"/>
        <v/>
      </c>
      <c r="U168" s="38"/>
      <c r="V168" s="8" t="str">
        <f>IF(ISBLANK(U168)," ",IF(U168="np",SpecialScores!$C$3,IF(U168="dnf",SpecialScores!$C$4,MIN((500*LOG(1+99*U168/SpecialScores!$R$3))))))</f>
        <v xml:space="preserve"> </v>
      </c>
      <c r="W168" s="12" t="str">
        <f t="shared" si="65"/>
        <v/>
      </c>
      <c r="X168" s="38"/>
      <c r="Y168" s="8" t="str">
        <f>IF(ISBLANK(X168)," ",IF(X168="np",SpecialScores!$C$3,IF(X168="dnf",SpecialScores!$C$4,MIN( 1000+X168/SpecialScores!$U$3*0.0001,(500*LOG(1+99*X168/SpecialScores!$U$3))))))</f>
        <v xml:space="preserve"> </v>
      </c>
      <c r="Z168" s="12" t="str">
        <f t="shared" si="66"/>
        <v/>
      </c>
      <c r="AA168" s="38"/>
      <c r="AB168" s="8" t="str">
        <f>IF(ISBLANK(AA168)," ",IF(AA168="np",SpecialScores!$C$3,IF(AA168="dnf",SpecialScores!$C$4,      IF(AND(AA168&gt;=0,AA168&lt;SpecialScores!$X$12), (500*LOG(1+99*AA168/SpecialScores!$X$12*SpecialScores!$X$11/SpecialScores!$X$10)),                         MIN((500*LOG(1+99*SpecialScores!$X$11/AA168)))))))</f>
        <v xml:space="preserve"> </v>
      </c>
      <c r="AC168" s="12" t="str">
        <f t="shared" si="67"/>
        <v/>
      </c>
      <c r="AD168" s="38"/>
      <c r="AE168" s="8" t="str">
        <f>IF(ISBLANK(AD168)," ",IF(AD168="np",SpecialScores!$C$3,IF(AD168="dnf",SpecialScores!$C$4,MIN( 1000+AD168/SpecialScores!$AA$5*0.0001,(500*LOG(1+99*AD168/SpecialScores!$AA$5))))))</f>
        <v xml:space="preserve"> </v>
      </c>
      <c r="AF168" s="12" t="str">
        <f t="shared" si="68"/>
        <v/>
      </c>
      <c r="AG168" s="38"/>
      <c r="AH168" s="8" t="str">
        <f>IF(ISBLANK(AG168)," ",IF(AG168="np",SpecialScores!$C$3,IF(AG168="dnf",SpecialScores!$C$4,MIN(1000,(500*LOG(1+99*AG168/SpecialScores!$E$3))))))</f>
        <v xml:space="preserve"> </v>
      </c>
      <c r="AI168" s="12" t="str">
        <f t="shared" si="69"/>
        <v/>
      </c>
      <c r="AP168" s="49"/>
    </row>
    <row r="169" spans="1:42" x14ac:dyDescent="0.35">
      <c r="A169" s="42"/>
      <c r="E169" s="33" t="str">
        <f t="shared" si="70"/>
        <v xml:space="preserve"> </v>
      </c>
      <c r="F169" s="33" t="str">
        <f t="shared" si="71"/>
        <v xml:space="preserve"> </v>
      </c>
      <c r="G169" s="7" t="str">
        <f t="shared" si="72"/>
        <v xml:space="preserve"> </v>
      </c>
      <c r="H169" s="7" t="str">
        <f t="shared" si="73"/>
        <v xml:space="preserve"> </v>
      </c>
      <c r="I169" s="38"/>
      <c r="J169" s="8" t="str">
        <f>IF(ISBLANK(I169)," ",IF(I169="np",SpecialScores!$C$3,IF(I169="dnf",SpecialScores!$C$4,MIN( 1000+I169/SpecialScores!$E$3*0.0001,(500*LOG(1+99*I169/SpecialScores!$E$3))))))</f>
        <v xml:space="preserve"> </v>
      </c>
      <c r="K169" s="12" t="str">
        <f t="shared" si="61"/>
        <v/>
      </c>
      <c r="L169" s="38"/>
      <c r="M169" s="8" t="str">
        <f>IF(ISBLANK(L169)," ",IF(L169="np",SpecialScores!$C$3,IF(L169="dnf",SpecialScores!$C$4,MIN( 1000+L169/SpecialScores!$H$3*0.0001,(500*LOG(1+99*L169/SpecialScores!$H$3))))))</f>
        <v xml:space="preserve"> </v>
      </c>
      <c r="N169" s="12" t="str">
        <f t="shared" si="62"/>
        <v/>
      </c>
      <c r="O169" s="38"/>
      <c r="P169" s="8" t="str">
        <f>IF(ISBLANK(O169)," ",IF(O169="np",SpecialScores!$C$3,IF(O169="dnf",SpecialScores!$C$4,MIN(1000,(500*LOG(1+99*O169/SpecialScores!$K$3))))))</f>
        <v xml:space="preserve"> </v>
      </c>
      <c r="Q169" s="12" t="str">
        <f t="shared" si="63"/>
        <v/>
      </c>
      <c r="R169" s="38"/>
      <c r="S169" s="8" t="str">
        <f>IF(ISBLANK(R169)," ",IF(R169="np",SpecialScores!$C$3,IF(R169="dnf",SpecialScores!$C$4,      IF(AND(R169&gt;=0,R169&lt;SpecialScores!$O$12), (500*LOG(1+99*R169/SpecialScores!$O$12*SpecialScores!$O$11/SpecialScores!$O$10)),                         MIN((500*LOG(1+99*SpecialScores!$O$11/R169)))))))</f>
        <v xml:space="preserve"> </v>
      </c>
      <c r="T169" s="12" t="str">
        <f t="shared" si="64"/>
        <v/>
      </c>
      <c r="U169" s="38"/>
      <c r="V169" s="8" t="str">
        <f>IF(ISBLANK(U169)," ",IF(U169="np",SpecialScores!$C$3,IF(U169="dnf",SpecialScores!$C$4,MIN((500*LOG(1+99*U169/SpecialScores!$R$3))))))</f>
        <v xml:space="preserve"> </v>
      </c>
      <c r="W169" s="12" t="str">
        <f t="shared" si="65"/>
        <v/>
      </c>
      <c r="X169" s="38"/>
      <c r="Y169" s="8" t="str">
        <f>IF(ISBLANK(X169)," ",IF(X169="np",SpecialScores!$C$3,IF(X169="dnf",SpecialScores!$C$4,MIN( 1000+X169/SpecialScores!$U$3*0.0001,(500*LOG(1+99*X169/SpecialScores!$U$3))))))</f>
        <v xml:space="preserve"> </v>
      </c>
      <c r="Z169" s="12" t="str">
        <f t="shared" si="66"/>
        <v/>
      </c>
      <c r="AA169" s="38"/>
      <c r="AB169" s="8" t="str">
        <f>IF(ISBLANK(AA169)," ",IF(AA169="np",SpecialScores!$C$3,IF(AA169="dnf",SpecialScores!$C$4,      IF(AND(AA169&gt;=0,AA169&lt;SpecialScores!$X$12), (500*LOG(1+99*AA169/SpecialScores!$X$12*SpecialScores!$X$11/SpecialScores!$X$10)),                         MIN((500*LOG(1+99*SpecialScores!$X$11/AA169)))))))</f>
        <v xml:space="preserve"> </v>
      </c>
      <c r="AC169" s="12" t="str">
        <f t="shared" si="67"/>
        <v/>
      </c>
      <c r="AD169" s="38"/>
      <c r="AE169" s="8" t="str">
        <f>IF(ISBLANK(AD169)," ",IF(AD169="np",SpecialScores!$C$3,IF(AD169="dnf",SpecialScores!$C$4,MIN( 1000+AD169/SpecialScores!$AA$5*0.0001,(500*LOG(1+99*AD169/SpecialScores!$AA$5))))))</f>
        <v xml:space="preserve"> </v>
      </c>
      <c r="AF169" s="12" t="str">
        <f t="shared" si="68"/>
        <v/>
      </c>
      <c r="AG169" s="38"/>
      <c r="AH169" s="8" t="str">
        <f>IF(ISBLANK(AG169)," ",IF(AG169="np",SpecialScores!$C$3,IF(AG169="dnf",SpecialScores!$C$4,MIN(1000,(500*LOG(1+99*AG169/SpecialScores!$E$3))))))</f>
        <v xml:space="preserve"> </v>
      </c>
      <c r="AI169" s="12" t="str">
        <f t="shared" si="69"/>
        <v/>
      </c>
      <c r="AP169" s="49"/>
    </row>
    <row r="170" spans="1:42" x14ac:dyDescent="0.35">
      <c r="A170" s="42"/>
      <c r="E170" s="33" t="str">
        <f t="shared" si="70"/>
        <v xml:space="preserve"> </v>
      </c>
      <c r="F170" s="33" t="str">
        <f t="shared" si="71"/>
        <v xml:space="preserve"> </v>
      </c>
      <c r="G170" s="7" t="str">
        <f t="shared" si="72"/>
        <v xml:space="preserve"> </v>
      </c>
      <c r="H170" s="7" t="str">
        <f t="shared" si="73"/>
        <v xml:space="preserve"> </v>
      </c>
      <c r="I170" s="38"/>
      <c r="J170" s="8" t="str">
        <f>IF(ISBLANK(I170)," ",IF(I170="np",SpecialScores!$C$3,IF(I170="dnf",SpecialScores!$C$4,MIN( 1000+I170/SpecialScores!$E$3*0.0001,(500*LOG(1+99*I170/SpecialScores!$E$3))))))</f>
        <v xml:space="preserve"> </v>
      </c>
      <c r="K170" s="12" t="str">
        <f t="shared" si="61"/>
        <v/>
      </c>
      <c r="L170" s="38"/>
      <c r="M170" s="8" t="str">
        <f>IF(ISBLANK(L170)," ",IF(L170="np",SpecialScores!$C$3,IF(L170="dnf",SpecialScores!$C$4,MIN( 1000+L170/SpecialScores!$H$3*0.0001,(500*LOG(1+99*L170/SpecialScores!$H$3))))))</f>
        <v xml:space="preserve"> </v>
      </c>
      <c r="N170" s="12" t="str">
        <f t="shared" si="62"/>
        <v/>
      </c>
      <c r="O170" s="38"/>
      <c r="P170" s="8" t="str">
        <f>IF(ISBLANK(O170)," ",IF(O170="np",SpecialScores!$C$3,IF(O170="dnf",SpecialScores!$C$4,MIN(1000,(500*LOG(1+99*O170/SpecialScores!$K$3))))))</f>
        <v xml:space="preserve"> </v>
      </c>
      <c r="Q170" s="12" t="str">
        <f t="shared" si="63"/>
        <v/>
      </c>
      <c r="R170" s="38"/>
      <c r="S170" s="8" t="str">
        <f>IF(ISBLANK(R170)," ",IF(R170="np",SpecialScores!$C$3,IF(R170="dnf",SpecialScores!$C$4,      IF(AND(R170&gt;=0,R170&lt;SpecialScores!$O$12), (500*LOG(1+99*R170/SpecialScores!$O$12*SpecialScores!$O$11/SpecialScores!$O$10)),                         MIN((500*LOG(1+99*SpecialScores!$O$11/R170)))))))</f>
        <v xml:space="preserve"> </v>
      </c>
      <c r="T170" s="12" t="str">
        <f t="shared" si="64"/>
        <v/>
      </c>
      <c r="U170" s="38"/>
      <c r="V170" s="8" t="str">
        <f>IF(ISBLANK(U170)," ",IF(U170="np",SpecialScores!$C$3,IF(U170="dnf",SpecialScores!$C$4,MIN((500*LOG(1+99*U170/SpecialScores!$R$3))))))</f>
        <v xml:space="preserve"> </v>
      </c>
      <c r="W170" s="12" t="str">
        <f t="shared" si="65"/>
        <v/>
      </c>
      <c r="X170" s="38"/>
      <c r="Y170" s="8" t="str">
        <f>IF(ISBLANK(X170)," ",IF(X170="np",SpecialScores!$C$3,IF(X170="dnf",SpecialScores!$C$4,MIN( 1000+X170/SpecialScores!$U$3*0.0001,(500*LOG(1+99*X170/SpecialScores!$U$3))))))</f>
        <v xml:space="preserve"> </v>
      </c>
      <c r="Z170" s="12" t="str">
        <f t="shared" si="66"/>
        <v/>
      </c>
      <c r="AA170" s="38"/>
      <c r="AB170" s="8" t="str">
        <f>IF(ISBLANK(AA170)," ",IF(AA170="np",SpecialScores!$C$3,IF(AA170="dnf",SpecialScores!$C$4,      IF(AND(AA170&gt;=0,AA170&lt;SpecialScores!$X$12), (500*LOG(1+99*AA170/SpecialScores!$X$12*SpecialScores!$X$11/SpecialScores!$X$10)),                         MIN((500*LOG(1+99*SpecialScores!$X$11/AA170)))))))</f>
        <v xml:space="preserve"> </v>
      </c>
      <c r="AC170" s="12" t="str">
        <f t="shared" si="67"/>
        <v/>
      </c>
      <c r="AD170" s="38"/>
      <c r="AE170" s="8" t="str">
        <f>IF(ISBLANK(AD170)," ",IF(AD170="np",SpecialScores!$C$3,IF(AD170="dnf",SpecialScores!$C$4,MIN( 1000+AD170/SpecialScores!$AA$5*0.0001,(500*LOG(1+99*AD170/SpecialScores!$AA$5))))))</f>
        <v xml:space="preserve"> </v>
      </c>
      <c r="AF170" s="12" t="str">
        <f t="shared" si="68"/>
        <v/>
      </c>
      <c r="AG170" s="38"/>
      <c r="AH170" s="8" t="str">
        <f>IF(ISBLANK(AG170)," ",IF(AG170="np",SpecialScores!$C$3,IF(AG170="dnf",SpecialScores!$C$4,MIN(1000,(500*LOG(1+99*AG170/SpecialScores!$E$3))))))</f>
        <v xml:space="preserve"> </v>
      </c>
      <c r="AI170" s="12" t="str">
        <f t="shared" si="69"/>
        <v/>
      </c>
      <c r="AP170" s="49"/>
    </row>
    <row r="171" spans="1:42" x14ac:dyDescent="0.35">
      <c r="A171" s="42"/>
      <c r="E171" s="33" t="str">
        <f t="shared" si="70"/>
        <v xml:space="preserve"> </v>
      </c>
      <c r="F171" s="33" t="str">
        <f t="shared" si="71"/>
        <v xml:space="preserve"> </v>
      </c>
      <c r="G171" s="7" t="str">
        <f t="shared" si="72"/>
        <v xml:space="preserve"> </v>
      </c>
      <c r="H171" s="7" t="str">
        <f t="shared" si="73"/>
        <v xml:space="preserve"> </v>
      </c>
      <c r="I171" s="38"/>
      <c r="J171" s="8" t="str">
        <f>IF(ISBLANK(I171)," ",IF(I171="np",SpecialScores!$C$3,IF(I171="dnf",SpecialScores!$C$4,MIN( 1000+I171/SpecialScores!$E$3*0.0001,(500*LOG(1+99*I171/SpecialScores!$E$3))))))</f>
        <v xml:space="preserve"> </v>
      </c>
      <c r="K171" s="12" t="str">
        <f t="shared" si="61"/>
        <v/>
      </c>
      <c r="L171" s="38"/>
      <c r="M171" s="8" t="str">
        <f>IF(ISBLANK(L171)," ",IF(L171="np",SpecialScores!$C$3,IF(L171="dnf",SpecialScores!$C$4,MIN( 1000+L171/SpecialScores!$H$3*0.0001,(500*LOG(1+99*L171/SpecialScores!$H$3))))))</f>
        <v xml:space="preserve"> </v>
      </c>
      <c r="N171" s="12" t="str">
        <f t="shared" si="62"/>
        <v/>
      </c>
      <c r="O171" s="38"/>
      <c r="P171" s="8" t="str">
        <f>IF(ISBLANK(O171)," ",IF(O171="np",SpecialScores!$C$3,IF(O171="dnf",SpecialScores!$C$4,MIN(1000,(500*LOG(1+99*O171/SpecialScores!$K$3))))))</f>
        <v xml:space="preserve"> </v>
      </c>
      <c r="Q171" s="12" t="str">
        <f t="shared" si="63"/>
        <v/>
      </c>
      <c r="R171" s="38"/>
      <c r="S171" s="8" t="str">
        <f>IF(ISBLANK(R171)," ",IF(R171="np",SpecialScores!$C$3,IF(R171="dnf",SpecialScores!$C$4,      IF(AND(R171&gt;=0,R171&lt;SpecialScores!$O$12), (500*LOG(1+99*R171/SpecialScores!$O$12*SpecialScores!$O$11/SpecialScores!$O$10)),                         MIN((500*LOG(1+99*SpecialScores!$O$11/R171)))))))</f>
        <v xml:space="preserve"> </v>
      </c>
      <c r="T171" s="12" t="str">
        <f t="shared" si="64"/>
        <v/>
      </c>
      <c r="U171" s="38"/>
      <c r="V171" s="8" t="str">
        <f>IF(ISBLANK(U171)," ",IF(U171="np",SpecialScores!$C$3,IF(U171="dnf",SpecialScores!$C$4,MIN((500*LOG(1+99*U171/SpecialScores!$R$3))))))</f>
        <v xml:space="preserve"> </v>
      </c>
      <c r="W171" s="12" t="str">
        <f t="shared" si="65"/>
        <v/>
      </c>
      <c r="X171" s="38"/>
      <c r="Y171" s="8" t="str">
        <f>IF(ISBLANK(X171)," ",IF(X171="np",SpecialScores!$C$3,IF(X171="dnf",SpecialScores!$C$4,MIN( 1000+X171/SpecialScores!$U$3*0.0001,(500*LOG(1+99*X171/SpecialScores!$U$3))))))</f>
        <v xml:space="preserve"> </v>
      </c>
      <c r="Z171" s="12" t="str">
        <f t="shared" si="66"/>
        <v/>
      </c>
      <c r="AA171" s="38"/>
      <c r="AB171" s="8" t="str">
        <f>IF(ISBLANK(AA171)," ",IF(AA171="np",SpecialScores!$C$3,IF(AA171="dnf",SpecialScores!$C$4,      IF(AND(AA171&gt;=0,AA171&lt;SpecialScores!$X$12), (500*LOG(1+99*AA171/SpecialScores!$X$12*SpecialScores!$X$11/SpecialScores!$X$10)),                         MIN((500*LOG(1+99*SpecialScores!$X$11/AA171)))))))</f>
        <v xml:space="preserve"> </v>
      </c>
      <c r="AC171" s="12" t="str">
        <f t="shared" si="67"/>
        <v/>
      </c>
      <c r="AD171" s="38"/>
      <c r="AE171" s="8" t="str">
        <f>IF(ISBLANK(AD171)," ",IF(AD171="np",SpecialScores!$C$3,IF(AD171="dnf",SpecialScores!$C$4,MIN( 1000+AD171/SpecialScores!$AA$5*0.0001,(500*LOG(1+99*AD171/SpecialScores!$AA$5))))))</f>
        <v xml:space="preserve"> </v>
      </c>
      <c r="AF171" s="12" t="str">
        <f t="shared" si="68"/>
        <v/>
      </c>
      <c r="AG171" s="38"/>
      <c r="AH171" s="8" t="str">
        <f>IF(ISBLANK(AG171)," ",IF(AG171="np",SpecialScores!$C$3,IF(AG171="dnf",SpecialScores!$C$4,MIN(1000,(500*LOG(1+99*AG171/SpecialScores!$E$3))))))</f>
        <v xml:space="preserve"> </v>
      </c>
      <c r="AI171" s="12" t="str">
        <f t="shared" si="69"/>
        <v/>
      </c>
      <c r="AP171" s="49"/>
    </row>
    <row r="172" spans="1:42" x14ac:dyDescent="0.35">
      <c r="A172" s="42"/>
      <c r="E172" s="33" t="str">
        <f t="shared" si="70"/>
        <v xml:space="preserve"> </v>
      </c>
      <c r="F172" s="33" t="str">
        <f t="shared" si="71"/>
        <v xml:space="preserve"> </v>
      </c>
      <c r="G172" s="7" t="str">
        <f t="shared" si="72"/>
        <v xml:space="preserve"> </v>
      </c>
      <c r="H172" s="7" t="str">
        <f t="shared" si="73"/>
        <v xml:space="preserve"> </v>
      </c>
      <c r="I172" s="38"/>
      <c r="J172" s="8" t="str">
        <f>IF(ISBLANK(I172)," ",IF(I172="np",SpecialScores!$C$3,IF(I172="dnf",SpecialScores!$C$4,MIN( 1000+I172/SpecialScores!$E$3*0.0001,(500*LOG(1+99*I172/SpecialScores!$E$3))))))</f>
        <v xml:space="preserve"> </v>
      </c>
      <c r="K172" s="12" t="str">
        <f t="shared" si="61"/>
        <v/>
      </c>
      <c r="L172" s="38"/>
      <c r="M172" s="8" t="str">
        <f>IF(ISBLANK(L172)," ",IF(L172="np",SpecialScores!$C$3,IF(L172="dnf",SpecialScores!$C$4,MIN( 1000+L172/SpecialScores!$H$3*0.0001,(500*LOG(1+99*L172/SpecialScores!$H$3))))))</f>
        <v xml:space="preserve"> </v>
      </c>
      <c r="N172" s="12" t="str">
        <f t="shared" si="62"/>
        <v/>
      </c>
      <c r="O172" s="38"/>
      <c r="P172" s="8" t="str">
        <f>IF(ISBLANK(O172)," ",IF(O172="np",SpecialScores!$C$3,IF(O172="dnf",SpecialScores!$C$4,MIN(1000,(500*LOG(1+99*O172/SpecialScores!$K$3))))))</f>
        <v xml:space="preserve"> </v>
      </c>
      <c r="Q172" s="12" t="str">
        <f t="shared" si="63"/>
        <v/>
      </c>
      <c r="R172" s="38"/>
      <c r="S172" s="8" t="str">
        <f>IF(ISBLANK(R172)," ",IF(R172="np",SpecialScores!$C$3,IF(R172="dnf",SpecialScores!$C$4,      IF(AND(R172&gt;=0,R172&lt;SpecialScores!$O$12), (500*LOG(1+99*R172/SpecialScores!$O$12*SpecialScores!$O$11/SpecialScores!$O$10)),                         MIN((500*LOG(1+99*SpecialScores!$O$11/R172)))))))</f>
        <v xml:space="preserve"> </v>
      </c>
      <c r="T172" s="12" t="str">
        <f t="shared" si="64"/>
        <v/>
      </c>
      <c r="U172" s="38"/>
      <c r="V172" s="8" t="str">
        <f>IF(ISBLANK(U172)," ",IF(U172="np",SpecialScores!$C$3,IF(U172="dnf",SpecialScores!$C$4,MIN((500*LOG(1+99*U172/SpecialScores!$R$3))))))</f>
        <v xml:space="preserve"> </v>
      </c>
      <c r="W172" s="12" t="str">
        <f t="shared" si="65"/>
        <v/>
      </c>
      <c r="X172" s="38"/>
      <c r="Y172" s="8" t="str">
        <f>IF(ISBLANK(X172)," ",IF(X172="np",SpecialScores!$C$3,IF(X172="dnf",SpecialScores!$C$4,MIN( 1000+X172/SpecialScores!$U$3*0.0001,(500*LOG(1+99*X172/SpecialScores!$U$3))))))</f>
        <v xml:space="preserve"> </v>
      </c>
      <c r="Z172" s="12" t="str">
        <f t="shared" si="66"/>
        <v/>
      </c>
      <c r="AA172" s="38"/>
      <c r="AB172" s="8" t="str">
        <f>IF(ISBLANK(AA172)," ",IF(AA172="np",SpecialScores!$C$3,IF(AA172="dnf",SpecialScores!$C$4,      IF(AND(AA172&gt;=0,AA172&lt;SpecialScores!$X$12), (500*LOG(1+99*AA172/SpecialScores!$X$12*SpecialScores!$X$11/SpecialScores!$X$10)),                         MIN((500*LOG(1+99*SpecialScores!$X$11/AA172)))))))</f>
        <v xml:space="preserve"> </v>
      </c>
      <c r="AC172" s="12" t="str">
        <f t="shared" si="67"/>
        <v/>
      </c>
      <c r="AD172" s="38"/>
      <c r="AE172" s="8" t="str">
        <f>IF(ISBLANK(AD172)," ",IF(AD172="np",SpecialScores!$C$3,IF(AD172="dnf",SpecialScores!$C$4,MIN( 1000+AD172/SpecialScores!$AA$5*0.0001,(500*LOG(1+99*AD172/SpecialScores!$AA$5))))))</f>
        <v xml:space="preserve"> </v>
      </c>
      <c r="AF172" s="12" t="str">
        <f t="shared" si="68"/>
        <v/>
      </c>
      <c r="AG172" s="38"/>
      <c r="AH172" s="8" t="str">
        <f>IF(ISBLANK(AG172)," ",IF(AG172="np",SpecialScores!$C$3,IF(AG172="dnf",SpecialScores!$C$4,MIN(1000,(500*LOG(1+99*AG172/SpecialScores!$E$3))))))</f>
        <v xml:space="preserve"> </v>
      </c>
      <c r="AI172" s="12" t="str">
        <f t="shared" si="69"/>
        <v/>
      </c>
      <c r="AP172" s="49"/>
    </row>
    <row r="173" spans="1:42" x14ac:dyDescent="0.35">
      <c r="A173" s="42"/>
      <c r="E173" s="33" t="str">
        <f t="shared" si="70"/>
        <v xml:space="preserve"> </v>
      </c>
      <c r="F173" s="33" t="str">
        <f t="shared" si="71"/>
        <v xml:space="preserve"> </v>
      </c>
      <c r="G173" s="7" t="str">
        <f t="shared" si="72"/>
        <v xml:space="preserve"> </v>
      </c>
      <c r="H173" s="7" t="str">
        <f t="shared" si="73"/>
        <v xml:space="preserve"> </v>
      </c>
      <c r="I173" s="38"/>
      <c r="J173" s="8" t="str">
        <f>IF(ISBLANK(I173)," ",IF(I173="np",SpecialScores!$C$3,IF(I173="dnf",SpecialScores!$C$4,MIN( 1000+I173/SpecialScores!$E$3*0.0001,(500*LOG(1+99*I173/SpecialScores!$E$3))))))</f>
        <v xml:space="preserve"> </v>
      </c>
      <c r="K173" s="12" t="str">
        <f t="shared" si="61"/>
        <v/>
      </c>
      <c r="L173" s="38"/>
      <c r="M173" s="8" t="str">
        <f>IF(ISBLANK(L173)," ",IF(L173="np",SpecialScores!$C$3,IF(L173="dnf",SpecialScores!$C$4,MIN( 1000+L173/SpecialScores!$H$3*0.0001,(500*LOG(1+99*L173/SpecialScores!$H$3))))))</f>
        <v xml:space="preserve"> </v>
      </c>
      <c r="N173" s="12" t="str">
        <f t="shared" si="62"/>
        <v/>
      </c>
      <c r="O173" s="38"/>
      <c r="P173" s="8" t="str">
        <f>IF(ISBLANK(O173)," ",IF(O173="np",SpecialScores!$C$3,IF(O173="dnf",SpecialScores!$C$4,MIN(1000,(500*LOG(1+99*O173/SpecialScores!$K$3))))))</f>
        <v xml:space="preserve"> </v>
      </c>
      <c r="Q173" s="12" t="str">
        <f t="shared" si="63"/>
        <v/>
      </c>
      <c r="R173" s="38"/>
      <c r="S173" s="8" t="str">
        <f>IF(ISBLANK(R173)," ",IF(R173="np",SpecialScores!$C$3,IF(R173="dnf",SpecialScores!$C$4,      IF(AND(R173&gt;=0,R173&lt;SpecialScores!$O$12), (500*LOG(1+99*R173/SpecialScores!$O$12*SpecialScores!$O$11/SpecialScores!$O$10)),                         MIN((500*LOG(1+99*SpecialScores!$O$11/R173)))))))</f>
        <v xml:space="preserve"> </v>
      </c>
      <c r="T173" s="12" t="str">
        <f t="shared" si="64"/>
        <v/>
      </c>
      <c r="U173" s="38"/>
      <c r="V173" s="8" t="str">
        <f>IF(ISBLANK(U173)," ",IF(U173="np",SpecialScores!$C$3,IF(U173="dnf",SpecialScores!$C$4,MIN((500*LOG(1+99*U173/SpecialScores!$R$3))))))</f>
        <v xml:space="preserve"> </v>
      </c>
      <c r="W173" s="12" t="str">
        <f t="shared" si="65"/>
        <v/>
      </c>
      <c r="X173" s="38"/>
      <c r="Y173" s="8" t="str">
        <f>IF(ISBLANK(X173)," ",IF(X173="np",SpecialScores!$C$3,IF(X173="dnf",SpecialScores!$C$4,MIN( 1000+X173/SpecialScores!$U$3*0.0001,(500*LOG(1+99*X173/SpecialScores!$U$3))))))</f>
        <v xml:space="preserve"> </v>
      </c>
      <c r="Z173" s="12" t="str">
        <f t="shared" si="66"/>
        <v/>
      </c>
      <c r="AA173" s="38"/>
      <c r="AB173" s="8" t="str">
        <f>IF(ISBLANK(AA173)," ",IF(AA173="np",SpecialScores!$C$3,IF(AA173="dnf",SpecialScores!$C$4,      IF(AND(AA173&gt;=0,AA173&lt;SpecialScores!$X$12), (500*LOG(1+99*AA173/SpecialScores!$X$12*SpecialScores!$X$11/SpecialScores!$X$10)),                         MIN((500*LOG(1+99*SpecialScores!$X$11/AA173)))))))</f>
        <v xml:space="preserve"> </v>
      </c>
      <c r="AC173" s="12" t="str">
        <f t="shared" si="67"/>
        <v/>
      </c>
      <c r="AD173" s="38"/>
      <c r="AE173" s="8" t="str">
        <f>IF(ISBLANK(AD173)," ",IF(AD173="np",SpecialScores!$C$3,IF(AD173="dnf",SpecialScores!$C$4,MIN( 1000+AD173/SpecialScores!$AA$5*0.0001,(500*LOG(1+99*AD173/SpecialScores!$AA$5))))))</f>
        <v xml:space="preserve"> </v>
      </c>
      <c r="AF173" s="12" t="str">
        <f t="shared" si="68"/>
        <v/>
      </c>
      <c r="AG173" s="38"/>
      <c r="AH173" s="8" t="str">
        <f>IF(ISBLANK(AG173)," ",IF(AG173="np",SpecialScores!$C$3,IF(AG173="dnf",SpecialScores!$C$4,MIN(1000,(500*LOG(1+99*AG173/SpecialScores!$E$3))))))</f>
        <v xml:space="preserve"> </v>
      </c>
      <c r="AI173" s="12" t="str">
        <f t="shared" si="69"/>
        <v/>
      </c>
    </row>
    <row r="174" spans="1:42" x14ac:dyDescent="0.35">
      <c r="A174" s="42"/>
      <c r="E174" s="33" t="str">
        <f t="shared" si="70"/>
        <v xml:space="preserve"> </v>
      </c>
      <c r="F174" s="33" t="str">
        <f t="shared" si="71"/>
        <v xml:space="preserve"> </v>
      </c>
      <c r="G174" s="7" t="str">
        <f t="shared" si="72"/>
        <v xml:space="preserve"> </v>
      </c>
      <c r="H174" s="7" t="str">
        <f t="shared" si="73"/>
        <v xml:space="preserve"> </v>
      </c>
      <c r="I174" s="38"/>
      <c r="J174" s="8" t="str">
        <f>IF(ISBLANK(I174)," ",IF(I174="np",SpecialScores!$C$3,IF(I174="dnf",SpecialScores!$C$4,MIN( 1000+I174/SpecialScores!$E$3*0.0001,(500*LOG(1+99*I174/SpecialScores!$E$3))))))</f>
        <v xml:space="preserve"> </v>
      </c>
      <c r="K174" s="12" t="str">
        <f t="shared" si="61"/>
        <v/>
      </c>
      <c r="L174" s="38"/>
      <c r="M174" s="8" t="str">
        <f>IF(ISBLANK(L174)," ",IF(L174="np",SpecialScores!$C$3,IF(L174="dnf",SpecialScores!$C$4,MIN( 1000+L174/SpecialScores!$H$3*0.0001,(500*LOG(1+99*L174/SpecialScores!$H$3))))))</f>
        <v xml:space="preserve"> </v>
      </c>
      <c r="N174" s="12" t="str">
        <f t="shared" si="62"/>
        <v/>
      </c>
      <c r="O174" s="38"/>
      <c r="P174" s="8" t="str">
        <f>IF(ISBLANK(O174)," ",IF(O174="np",SpecialScores!$C$3,IF(O174="dnf",SpecialScores!$C$4,MIN(1000,(500*LOG(1+99*O174/SpecialScores!$K$3))))))</f>
        <v xml:space="preserve"> </v>
      </c>
      <c r="Q174" s="12" t="str">
        <f t="shared" si="63"/>
        <v/>
      </c>
      <c r="R174" s="38"/>
      <c r="S174" s="8" t="str">
        <f>IF(ISBLANK(R174)," ",IF(R174="np",SpecialScores!$C$3,IF(R174="dnf",SpecialScores!$C$4,      IF(AND(R174&gt;=0,R174&lt;SpecialScores!$O$12), (500*LOG(1+99*R174/SpecialScores!$O$12*SpecialScores!$O$11/SpecialScores!$O$10)),                         MIN((500*LOG(1+99*SpecialScores!$O$11/R174)))))))</f>
        <v xml:space="preserve"> </v>
      </c>
      <c r="T174" s="12" t="str">
        <f t="shared" si="64"/>
        <v/>
      </c>
      <c r="U174" s="38"/>
      <c r="V174" s="8" t="str">
        <f>IF(ISBLANK(U174)," ",IF(U174="np",SpecialScores!$C$3,IF(U174="dnf",SpecialScores!$C$4,MIN((500*LOG(1+99*U174/SpecialScores!$R$3))))))</f>
        <v xml:space="preserve"> </v>
      </c>
      <c r="W174" s="12" t="str">
        <f t="shared" si="65"/>
        <v/>
      </c>
      <c r="X174" s="38"/>
      <c r="Y174" s="8" t="str">
        <f>IF(ISBLANK(X174)," ",IF(X174="np",SpecialScores!$C$3,IF(X174="dnf",SpecialScores!$C$4,MIN( 1000+X174/SpecialScores!$U$3*0.0001,(500*LOG(1+99*X174/SpecialScores!$U$3))))))</f>
        <v xml:space="preserve"> </v>
      </c>
      <c r="Z174" s="12" t="str">
        <f t="shared" si="66"/>
        <v/>
      </c>
      <c r="AA174" s="38"/>
      <c r="AB174" s="8" t="str">
        <f>IF(ISBLANK(AA174)," ",IF(AA174="np",SpecialScores!$C$3,IF(AA174="dnf",SpecialScores!$C$4,      IF(AND(AA174&gt;=0,AA174&lt;SpecialScores!$X$12), (500*LOG(1+99*AA174/SpecialScores!$X$12*SpecialScores!$X$11/SpecialScores!$X$10)),                         MIN((500*LOG(1+99*SpecialScores!$X$11/AA174)))))))</f>
        <v xml:space="preserve"> </v>
      </c>
      <c r="AC174" s="12" t="str">
        <f t="shared" si="67"/>
        <v/>
      </c>
      <c r="AD174" s="38"/>
      <c r="AE174" s="8" t="str">
        <f>IF(ISBLANK(AD174)," ",IF(AD174="np",SpecialScores!$C$3,IF(AD174="dnf",SpecialScores!$C$4,MIN( 1000+AD174/SpecialScores!$AA$5*0.0001,(500*LOG(1+99*AD174/SpecialScores!$AA$5))))))</f>
        <v xml:space="preserve"> </v>
      </c>
      <c r="AF174" s="12" t="str">
        <f t="shared" si="68"/>
        <v/>
      </c>
      <c r="AG174" s="38"/>
      <c r="AH174" s="8" t="str">
        <f>IF(ISBLANK(AG174)," ",IF(AG174="np",SpecialScores!$C$3,IF(AG174="dnf",SpecialScores!$C$4,MIN(1000,(500*LOG(1+99*AG174/SpecialScores!$E$3))))))</f>
        <v xml:space="preserve"> </v>
      </c>
      <c r="AI174" s="12" t="str">
        <f t="shared" si="69"/>
        <v/>
      </c>
    </row>
    <row r="175" spans="1:42" x14ac:dyDescent="0.35">
      <c r="A175" s="42"/>
      <c r="E175" s="33" t="str">
        <f t="shared" si="70"/>
        <v xml:space="preserve"> </v>
      </c>
      <c r="F175" s="33" t="str">
        <f t="shared" si="71"/>
        <v xml:space="preserve"> </v>
      </c>
      <c r="G175" s="7" t="str">
        <f t="shared" si="72"/>
        <v xml:space="preserve"> </v>
      </c>
      <c r="H175" s="7" t="str">
        <f t="shared" si="73"/>
        <v xml:space="preserve"> </v>
      </c>
      <c r="I175" s="38"/>
      <c r="J175" s="8" t="str">
        <f>IF(ISBLANK(I175)," ",IF(I175="np",SpecialScores!$C$3,IF(I175="dnf",SpecialScores!$C$4,MIN( 1000+I175/SpecialScores!$E$3*0.0001,(500*LOG(1+99*I175/SpecialScores!$E$3))))))</f>
        <v xml:space="preserve"> </v>
      </c>
      <c r="K175" s="12" t="str">
        <f t="shared" si="61"/>
        <v/>
      </c>
      <c r="L175" s="38"/>
      <c r="M175" s="8" t="str">
        <f>IF(ISBLANK(L175)," ",IF(L175="np",SpecialScores!$C$3,IF(L175="dnf",SpecialScores!$C$4,MIN( 1000+L175/SpecialScores!$H$3*0.0001,(500*LOG(1+99*L175/SpecialScores!$H$3))))))</f>
        <v xml:space="preserve"> </v>
      </c>
      <c r="N175" s="12" t="str">
        <f t="shared" si="62"/>
        <v/>
      </c>
      <c r="O175" s="38"/>
      <c r="P175" s="8" t="str">
        <f>IF(ISBLANK(O175)," ",IF(O175="np",SpecialScores!$C$3,IF(O175="dnf",SpecialScores!$C$4,MIN(1000,(500*LOG(1+99*O175/SpecialScores!$K$3))))))</f>
        <v xml:space="preserve"> </v>
      </c>
      <c r="Q175" s="12" t="str">
        <f t="shared" si="63"/>
        <v/>
      </c>
      <c r="R175" s="38"/>
      <c r="S175" s="8" t="str">
        <f>IF(ISBLANK(R175)," ",IF(R175="np",SpecialScores!$C$3,IF(R175="dnf",SpecialScores!$C$4,      IF(AND(R175&gt;=0,R175&lt;SpecialScores!$O$12), (500*LOG(1+99*R175/SpecialScores!$O$12*SpecialScores!$O$11/SpecialScores!$O$10)),                         MIN((500*LOG(1+99*SpecialScores!$O$11/R175)))))))</f>
        <v xml:space="preserve"> </v>
      </c>
      <c r="T175" s="12" t="str">
        <f t="shared" si="64"/>
        <v/>
      </c>
      <c r="U175" s="38"/>
      <c r="V175" s="8" t="str">
        <f>IF(ISBLANK(U175)," ",IF(U175="np",SpecialScores!$C$3,IF(U175="dnf",SpecialScores!$C$4,MIN((500*LOG(1+99*U175/SpecialScores!$R$3))))))</f>
        <v xml:space="preserve"> </v>
      </c>
      <c r="W175" s="12" t="str">
        <f t="shared" si="65"/>
        <v/>
      </c>
      <c r="X175" s="38"/>
      <c r="Y175" s="8" t="str">
        <f>IF(ISBLANK(X175)," ",IF(X175="np",SpecialScores!$C$3,IF(X175="dnf",SpecialScores!$C$4,MIN( 1000+X175/SpecialScores!$U$3*0.0001,(500*LOG(1+99*X175/SpecialScores!$U$3))))))</f>
        <v xml:space="preserve"> </v>
      </c>
      <c r="Z175" s="12" t="str">
        <f t="shared" si="66"/>
        <v/>
      </c>
      <c r="AA175" s="38"/>
      <c r="AB175" s="8" t="str">
        <f>IF(ISBLANK(AA175)," ",IF(AA175="np",SpecialScores!$C$3,IF(AA175="dnf",SpecialScores!$C$4,      IF(AND(AA175&gt;=0,AA175&lt;SpecialScores!$X$12), (500*LOG(1+99*AA175/SpecialScores!$X$12*SpecialScores!$X$11/SpecialScores!$X$10)),                         MIN((500*LOG(1+99*SpecialScores!$X$11/AA175)))))))</f>
        <v xml:space="preserve"> </v>
      </c>
      <c r="AC175" s="12" t="str">
        <f t="shared" si="67"/>
        <v/>
      </c>
      <c r="AD175" s="38"/>
      <c r="AE175" s="8" t="str">
        <f>IF(ISBLANK(AD175)," ",IF(AD175="np",SpecialScores!$C$3,IF(AD175="dnf",SpecialScores!$C$4,MIN( 1000+AD175/SpecialScores!$AA$5*0.0001,(500*LOG(1+99*AD175/SpecialScores!$AA$5))))))</f>
        <v xml:space="preserve"> </v>
      </c>
      <c r="AF175" s="12" t="str">
        <f t="shared" si="68"/>
        <v/>
      </c>
      <c r="AG175" s="38"/>
      <c r="AH175" s="8" t="str">
        <f>IF(ISBLANK(AG175)," ",IF(AG175="np",SpecialScores!$C$3,IF(AG175="dnf",SpecialScores!$C$4,MIN(1000,(500*LOG(1+99*AG175/SpecialScores!$E$3))))))</f>
        <v xml:space="preserve"> </v>
      </c>
      <c r="AI175" s="12" t="str">
        <f t="shared" si="69"/>
        <v/>
      </c>
    </row>
    <row r="176" spans="1:42" x14ac:dyDescent="0.35">
      <c r="A176" s="42"/>
      <c r="E176" s="33" t="str">
        <f t="shared" si="70"/>
        <v xml:space="preserve"> </v>
      </c>
      <c r="F176" s="33" t="str">
        <f t="shared" si="71"/>
        <v xml:space="preserve"> </v>
      </c>
      <c r="G176" s="7" t="str">
        <f t="shared" si="72"/>
        <v xml:space="preserve"> </v>
      </c>
      <c r="H176" s="7" t="str">
        <f t="shared" si="73"/>
        <v xml:space="preserve"> </v>
      </c>
      <c r="I176" s="38"/>
      <c r="J176" s="8" t="str">
        <f>IF(ISBLANK(I176)," ",IF(I176="np",SpecialScores!$C$3,IF(I176="dnf",SpecialScores!$C$4,MIN( 1000+I176/SpecialScores!$E$3*0.0001,(500*LOG(1+99*I176/SpecialScores!$E$3))))))</f>
        <v xml:space="preserve"> </v>
      </c>
      <c r="K176" s="12" t="str">
        <f t="shared" si="61"/>
        <v/>
      </c>
      <c r="L176" s="38"/>
      <c r="M176" s="8" t="str">
        <f>IF(ISBLANK(L176)," ",IF(L176="np",SpecialScores!$C$3,IF(L176="dnf",SpecialScores!$C$4,MIN( 1000+L176/SpecialScores!$H$3*0.0001,(500*LOG(1+99*L176/SpecialScores!$H$3))))))</f>
        <v xml:space="preserve"> </v>
      </c>
      <c r="N176" s="12" t="str">
        <f t="shared" si="62"/>
        <v/>
      </c>
      <c r="O176" s="38"/>
      <c r="P176" s="8" t="str">
        <f>IF(ISBLANK(O176)," ",IF(O176="np",SpecialScores!$C$3,IF(O176="dnf",SpecialScores!$C$4,MIN(1000,(500*LOG(1+99*O176/SpecialScores!$K$3))))))</f>
        <v xml:space="preserve"> </v>
      </c>
      <c r="Q176" s="12" t="str">
        <f t="shared" si="63"/>
        <v/>
      </c>
      <c r="R176" s="38"/>
      <c r="S176" s="8" t="str">
        <f>IF(ISBLANK(R176)," ",IF(R176="np",SpecialScores!$C$3,IF(R176="dnf",SpecialScores!$C$4,      IF(AND(R176&gt;=0,R176&lt;SpecialScores!$O$12), (500*LOG(1+99*R176/SpecialScores!$O$12*SpecialScores!$O$11/SpecialScores!$O$10)),                         MIN((500*LOG(1+99*SpecialScores!$O$11/R176)))))))</f>
        <v xml:space="preserve"> </v>
      </c>
      <c r="T176" s="12" t="str">
        <f t="shared" si="64"/>
        <v/>
      </c>
      <c r="U176" s="38"/>
      <c r="V176" s="8" t="str">
        <f>IF(ISBLANK(U176)," ",IF(U176="np",SpecialScores!$C$3,IF(U176="dnf",SpecialScores!$C$4,MIN((500*LOG(1+99*U176/SpecialScores!$R$3))))))</f>
        <v xml:space="preserve"> </v>
      </c>
      <c r="W176" s="12" t="str">
        <f t="shared" si="65"/>
        <v/>
      </c>
      <c r="X176" s="38"/>
      <c r="Y176" s="8" t="str">
        <f>IF(ISBLANK(X176)," ",IF(X176="np",SpecialScores!$C$3,IF(X176="dnf",SpecialScores!$C$4,MIN( 1000+X176/SpecialScores!$U$3*0.0001,(500*LOG(1+99*X176/SpecialScores!$U$3))))))</f>
        <v xml:space="preserve"> </v>
      </c>
      <c r="Z176" s="12" t="str">
        <f t="shared" si="66"/>
        <v/>
      </c>
      <c r="AA176" s="38"/>
      <c r="AB176" s="8" t="str">
        <f>IF(ISBLANK(AA176)," ",IF(AA176="np",SpecialScores!$C$3,IF(AA176="dnf",SpecialScores!$C$4,      IF(AND(AA176&gt;=0,AA176&lt;SpecialScores!$X$12), (500*LOG(1+99*AA176/SpecialScores!$X$12*SpecialScores!$X$11/SpecialScores!$X$10)),                         MIN((500*LOG(1+99*SpecialScores!$X$11/AA176)))))))</f>
        <v xml:space="preserve"> </v>
      </c>
      <c r="AC176" s="12" t="str">
        <f t="shared" si="67"/>
        <v/>
      </c>
      <c r="AD176" s="38"/>
      <c r="AE176" s="8" t="str">
        <f>IF(ISBLANK(AD176)," ",IF(AD176="np",SpecialScores!$C$3,IF(AD176="dnf",SpecialScores!$C$4,MIN( 1000+AD176/SpecialScores!$AA$5*0.0001,(500*LOG(1+99*AD176/SpecialScores!$AA$5))))))</f>
        <v xml:space="preserve"> </v>
      </c>
      <c r="AF176" s="12" t="str">
        <f t="shared" si="68"/>
        <v/>
      </c>
      <c r="AG176" s="38"/>
      <c r="AH176" s="8" t="str">
        <f>IF(ISBLANK(AG176)," ",IF(AG176="np",SpecialScores!$C$3,IF(AG176="dnf",SpecialScores!$C$4,MIN(1000,(500*LOG(1+99*AG176/SpecialScores!$E$3))))))</f>
        <v xml:space="preserve"> </v>
      </c>
      <c r="AI176" s="12" t="str">
        <f t="shared" si="69"/>
        <v/>
      </c>
    </row>
    <row r="177" spans="1:35" x14ac:dyDescent="0.35">
      <c r="A177" s="42"/>
      <c r="E177" s="33" t="str">
        <f t="shared" si="70"/>
        <v xml:space="preserve"> </v>
      </c>
      <c r="F177" s="33" t="str">
        <f t="shared" si="71"/>
        <v xml:space="preserve"> </v>
      </c>
      <c r="G177" s="7" t="str">
        <f t="shared" si="72"/>
        <v xml:space="preserve"> </v>
      </c>
      <c r="H177" s="7" t="str">
        <f t="shared" si="73"/>
        <v xml:space="preserve"> </v>
      </c>
      <c r="I177" s="38"/>
      <c r="J177" s="8" t="str">
        <f>IF(ISBLANK(I177)," ",IF(I177="np",SpecialScores!$C$3,IF(I177="dnf",SpecialScores!$C$4,MIN( 1000+I177/SpecialScores!$E$3*0.0001,(500*LOG(1+99*I177/SpecialScores!$E$3))))))</f>
        <v xml:space="preserve"> </v>
      </c>
      <c r="K177" s="12" t="str">
        <f t="shared" si="61"/>
        <v/>
      </c>
      <c r="L177" s="38"/>
      <c r="M177" s="8" t="str">
        <f>IF(ISBLANK(L177)," ",IF(L177="np",SpecialScores!$C$3,IF(L177="dnf",SpecialScores!$C$4,MIN( 1000+L177/SpecialScores!$H$3*0.0001,(500*LOG(1+99*L177/SpecialScores!$H$3))))))</f>
        <v xml:space="preserve"> </v>
      </c>
      <c r="N177" s="12" t="str">
        <f t="shared" si="62"/>
        <v/>
      </c>
      <c r="O177" s="38"/>
      <c r="P177" s="8" t="str">
        <f>IF(ISBLANK(O177)," ",IF(O177="np",SpecialScores!$C$3,IF(O177="dnf",SpecialScores!$C$4,MIN(1000,(500*LOG(1+99*O177/SpecialScores!$K$3))))))</f>
        <v xml:space="preserve"> </v>
      </c>
      <c r="Q177" s="12" t="str">
        <f t="shared" si="63"/>
        <v/>
      </c>
      <c r="R177" s="38"/>
      <c r="S177" s="8" t="str">
        <f>IF(ISBLANK(R177)," ",IF(R177="np",SpecialScores!$C$3,IF(R177="dnf",SpecialScores!$C$4,      IF(AND(R177&gt;=0,R177&lt;SpecialScores!$O$12), (500*LOG(1+99*R177/SpecialScores!$O$12*SpecialScores!$O$11/SpecialScores!$O$10)),                         MIN((500*LOG(1+99*SpecialScores!$O$11/R177)))))))</f>
        <v xml:space="preserve"> </v>
      </c>
      <c r="T177" s="12" t="str">
        <f t="shared" si="64"/>
        <v/>
      </c>
      <c r="U177" s="38"/>
      <c r="V177" s="8" t="str">
        <f>IF(ISBLANK(U177)," ",IF(U177="np",SpecialScores!$C$3,IF(U177="dnf",SpecialScores!$C$4,MIN((500*LOG(1+99*U177/SpecialScores!$R$3))))))</f>
        <v xml:space="preserve"> </v>
      </c>
      <c r="W177" s="12" t="str">
        <f t="shared" si="65"/>
        <v/>
      </c>
      <c r="X177" s="38"/>
      <c r="Y177" s="8" t="str">
        <f>IF(ISBLANK(X177)," ",IF(X177="np",SpecialScores!$C$3,IF(X177="dnf",SpecialScores!$C$4,MIN( 1000+X177/SpecialScores!$U$3*0.0001,(500*LOG(1+99*X177/SpecialScores!$U$3))))))</f>
        <v xml:space="preserve"> </v>
      </c>
      <c r="Z177" s="12" t="str">
        <f t="shared" si="66"/>
        <v/>
      </c>
      <c r="AA177" s="38"/>
      <c r="AB177" s="8" t="str">
        <f>IF(ISBLANK(AA177)," ",IF(AA177="np",SpecialScores!$C$3,IF(AA177="dnf",SpecialScores!$C$4,      IF(AND(AA177&gt;=0,AA177&lt;SpecialScores!$X$12), (500*LOG(1+99*AA177/SpecialScores!$X$12*SpecialScores!$X$11/SpecialScores!$X$10)),                         MIN((500*LOG(1+99*SpecialScores!$X$11/AA177)))))))</f>
        <v xml:space="preserve"> </v>
      </c>
      <c r="AC177" s="12" t="str">
        <f t="shared" si="67"/>
        <v/>
      </c>
      <c r="AD177" s="38"/>
      <c r="AE177" s="8" t="str">
        <f>IF(ISBLANK(AD177)," ",IF(AD177="np",SpecialScores!$C$3,IF(AD177="dnf",SpecialScores!$C$4,MIN( 1000+AD177/SpecialScores!$AA$5*0.0001,(500*LOG(1+99*AD177/SpecialScores!$AA$5))))))</f>
        <v xml:space="preserve"> </v>
      </c>
      <c r="AF177" s="12" t="str">
        <f t="shared" si="68"/>
        <v/>
      </c>
      <c r="AG177" s="38"/>
      <c r="AH177" s="8" t="str">
        <f>IF(ISBLANK(AG177)," ",IF(AG177="np",SpecialScores!$C$3,IF(AG177="dnf",SpecialScores!$C$4,MIN(1000,(500*LOG(1+99*AG177/SpecialScores!$E$3))))))</f>
        <v xml:space="preserve"> </v>
      </c>
      <c r="AI177" s="12" t="str">
        <f t="shared" si="69"/>
        <v/>
      </c>
    </row>
    <row r="178" spans="1:35" x14ac:dyDescent="0.35">
      <c r="A178" s="42"/>
      <c r="E178" s="33" t="str">
        <f t="shared" si="70"/>
        <v xml:space="preserve"> </v>
      </c>
      <c r="F178" s="33" t="str">
        <f t="shared" si="71"/>
        <v xml:space="preserve"> </v>
      </c>
      <c r="G178" s="7" t="str">
        <f t="shared" si="72"/>
        <v xml:space="preserve"> </v>
      </c>
      <c r="H178" s="7" t="str">
        <f t="shared" si="73"/>
        <v xml:space="preserve"> </v>
      </c>
      <c r="I178" s="38"/>
      <c r="J178" s="8" t="str">
        <f>IF(ISBLANK(I178)," ",IF(I178="np",SpecialScores!$C$3,IF(I178="dnf",SpecialScores!$C$4,MIN( 1000+I178/SpecialScores!$E$3*0.0001,(500*LOG(1+99*I178/SpecialScores!$E$3))))))</f>
        <v xml:space="preserve"> </v>
      </c>
      <c r="K178" s="12" t="str">
        <f t="shared" si="61"/>
        <v/>
      </c>
      <c r="L178" s="38"/>
      <c r="M178" s="8" t="str">
        <f>IF(ISBLANK(L178)," ",IF(L178="np",SpecialScores!$C$3,IF(L178="dnf",SpecialScores!$C$4,MIN( 1000+L178/SpecialScores!$H$3*0.0001,(500*LOG(1+99*L178/SpecialScores!$H$3))))))</f>
        <v xml:space="preserve"> </v>
      </c>
      <c r="N178" s="12" t="str">
        <f t="shared" si="62"/>
        <v/>
      </c>
      <c r="O178" s="38"/>
      <c r="P178" s="8" t="str">
        <f>IF(ISBLANK(O178)," ",IF(O178="np",SpecialScores!$C$3,IF(O178="dnf",SpecialScores!$C$4,MIN(1000,(500*LOG(1+99*O178/SpecialScores!$K$3))))))</f>
        <v xml:space="preserve"> </v>
      </c>
      <c r="Q178" s="12" t="str">
        <f t="shared" si="63"/>
        <v/>
      </c>
      <c r="R178" s="38"/>
      <c r="S178" s="8" t="str">
        <f>IF(ISBLANK(R178)," ",IF(R178="np",SpecialScores!$C$3,IF(R178="dnf",SpecialScores!$C$4,      IF(AND(R178&gt;=0,R178&lt;SpecialScores!$O$12), (500*LOG(1+99*R178/SpecialScores!$O$12*SpecialScores!$O$11/SpecialScores!$O$10)),                         MIN((500*LOG(1+99*SpecialScores!$O$11/R178)))))))</f>
        <v xml:space="preserve"> </v>
      </c>
      <c r="T178" s="12" t="str">
        <f t="shared" si="64"/>
        <v/>
      </c>
      <c r="U178" s="38"/>
      <c r="V178" s="8" t="str">
        <f>IF(ISBLANK(U178)," ",IF(U178="np",SpecialScores!$C$3,IF(U178="dnf",SpecialScores!$C$4,MIN((500*LOG(1+99*U178/SpecialScores!$R$3))))))</f>
        <v xml:space="preserve"> </v>
      </c>
      <c r="W178" s="12" t="str">
        <f t="shared" si="65"/>
        <v/>
      </c>
      <c r="X178" s="38"/>
      <c r="Y178" s="8" t="str">
        <f>IF(ISBLANK(X178)," ",IF(X178="np",SpecialScores!$C$3,IF(X178="dnf",SpecialScores!$C$4,MIN( 1000+X178/SpecialScores!$U$3*0.0001,(500*LOG(1+99*X178/SpecialScores!$U$3))))))</f>
        <v xml:space="preserve"> </v>
      </c>
      <c r="Z178" s="12" t="str">
        <f t="shared" si="66"/>
        <v/>
      </c>
      <c r="AA178" s="38"/>
      <c r="AB178" s="8" t="str">
        <f>IF(ISBLANK(AA178)," ",IF(AA178="np",SpecialScores!$C$3,IF(AA178="dnf",SpecialScores!$C$4,      IF(AND(AA178&gt;=0,AA178&lt;SpecialScores!$X$12), (500*LOG(1+99*AA178/SpecialScores!$X$12*SpecialScores!$X$11/SpecialScores!$X$10)),                         MIN((500*LOG(1+99*SpecialScores!$X$11/AA178)))))))</f>
        <v xml:space="preserve"> </v>
      </c>
      <c r="AC178" s="12" t="str">
        <f t="shared" si="67"/>
        <v/>
      </c>
      <c r="AD178" s="38"/>
      <c r="AE178" s="8" t="str">
        <f>IF(ISBLANK(AD178)," ",IF(AD178="np",SpecialScores!$C$3,IF(AD178="dnf",SpecialScores!$C$4,MIN( 1000+AD178/SpecialScores!$AA$5*0.0001,(500*LOG(1+99*AD178/SpecialScores!$AA$5))))))</f>
        <v xml:space="preserve"> </v>
      </c>
      <c r="AF178" s="12" t="str">
        <f t="shared" si="68"/>
        <v/>
      </c>
      <c r="AG178" s="38"/>
      <c r="AH178" s="8" t="str">
        <f>IF(ISBLANK(AG178)," ",IF(AG178="np",SpecialScores!$C$3,IF(AG178="dnf",SpecialScores!$C$4,MIN(1000,(500*LOG(1+99*AG178/SpecialScores!$E$3))))))</f>
        <v xml:space="preserve"> </v>
      </c>
      <c r="AI178" s="12" t="str">
        <f t="shared" si="69"/>
        <v/>
      </c>
    </row>
    <row r="179" spans="1:35" x14ac:dyDescent="0.35">
      <c r="A179" s="42"/>
      <c r="E179" s="33" t="str">
        <f t="shared" si="70"/>
        <v xml:space="preserve"> </v>
      </c>
      <c r="F179" s="33" t="str">
        <f t="shared" si="71"/>
        <v xml:space="preserve"> </v>
      </c>
      <c r="G179" s="7" t="str">
        <f t="shared" si="72"/>
        <v xml:space="preserve"> </v>
      </c>
      <c r="H179" s="7" t="str">
        <f t="shared" si="73"/>
        <v xml:space="preserve"> </v>
      </c>
      <c r="I179" s="38"/>
      <c r="J179" s="8" t="str">
        <f>IF(ISBLANK(I179)," ",IF(I179="np",SpecialScores!$C$3,IF(I179="dnf",SpecialScores!$C$4,MIN( 1000+I179/SpecialScores!$E$3*0.0001,(500*LOG(1+99*I179/SpecialScores!$E$3))))))</f>
        <v xml:space="preserve"> </v>
      </c>
      <c r="K179" s="12" t="str">
        <f t="shared" si="61"/>
        <v/>
      </c>
      <c r="L179" s="38"/>
      <c r="M179" s="8" t="str">
        <f>IF(ISBLANK(L179)," ",IF(L179="np",SpecialScores!$C$3,IF(L179="dnf",SpecialScores!$C$4,MIN( 1000+L179/SpecialScores!$H$3*0.0001,(500*LOG(1+99*L179/SpecialScores!$H$3))))))</f>
        <v xml:space="preserve"> </v>
      </c>
      <c r="N179" s="12" t="str">
        <f t="shared" si="62"/>
        <v/>
      </c>
      <c r="O179" s="38"/>
      <c r="P179" s="8" t="str">
        <f>IF(ISBLANK(O179)," ",IF(O179="np",SpecialScores!$C$3,IF(O179="dnf",SpecialScores!$C$4,MIN(1000,(500*LOG(1+99*O179/SpecialScores!$K$3))))))</f>
        <v xml:space="preserve"> </v>
      </c>
      <c r="Q179" s="12" t="str">
        <f t="shared" si="63"/>
        <v/>
      </c>
      <c r="R179" s="38"/>
      <c r="S179" s="8" t="str">
        <f>IF(ISBLANK(R179)," ",IF(R179="np",SpecialScores!$C$3,IF(R179="dnf",SpecialScores!$C$4,      IF(AND(R179&gt;=0,R179&lt;SpecialScores!$O$12), (500*LOG(1+99*R179/SpecialScores!$O$12*SpecialScores!$O$11/SpecialScores!$O$10)),                         MIN((500*LOG(1+99*SpecialScores!$O$11/R179)))))))</f>
        <v xml:space="preserve"> </v>
      </c>
      <c r="T179" s="12" t="str">
        <f t="shared" si="64"/>
        <v/>
      </c>
      <c r="U179" s="38"/>
      <c r="V179" s="8" t="str">
        <f>IF(ISBLANK(U179)," ",IF(U179="np",SpecialScores!$C$3,IF(U179="dnf",SpecialScores!$C$4,MIN((500*LOG(1+99*U179/SpecialScores!$R$3))))))</f>
        <v xml:space="preserve"> </v>
      </c>
      <c r="W179" s="12" t="str">
        <f t="shared" si="65"/>
        <v/>
      </c>
      <c r="X179" s="38"/>
      <c r="Y179" s="8" t="str">
        <f>IF(ISBLANK(X179)," ",IF(X179="np",SpecialScores!$C$3,IF(X179="dnf",SpecialScores!$C$4,MIN( 1000+X179/SpecialScores!$U$3*0.0001,(500*LOG(1+99*X179/SpecialScores!$U$3))))))</f>
        <v xml:space="preserve"> </v>
      </c>
      <c r="Z179" s="12" t="str">
        <f t="shared" si="66"/>
        <v/>
      </c>
      <c r="AA179" s="38"/>
      <c r="AB179" s="8" t="str">
        <f>IF(ISBLANK(AA179)," ",IF(AA179="np",SpecialScores!$C$3,IF(AA179="dnf",SpecialScores!$C$4,      IF(AND(AA179&gt;=0,AA179&lt;SpecialScores!$X$12), (500*LOG(1+99*AA179/SpecialScores!$X$12*SpecialScores!$X$11/SpecialScores!$X$10)),                         MIN((500*LOG(1+99*SpecialScores!$X$11/AA179)))))))</f>
        <v xml:space="preserve"> </v>
      </c>
      <c r="AC179" s="12" t="str">
        <f t="shared" si="67"/>
        <v/>
      </c>
      <c r="AD179" s="38"/>
      <c r="AE179" s="8" t="str">
        <f>IF(ISBLANK(AD179)," ",IF(AD179="np",SpecialScores!$C$3,IF(AD179="dnf",SpecialScores!$C$4,MIN( 1000+AD179/SpecialScores!$AA$5*0.0001,(500*LOG(1+99*AD179/SpecialScores!$AA$5))))))</f>
        <v xml:space="preserve"> </v>
      </c>
      <c r="AF179" s="12" t="str">
        <f t="shared" si="68"/>
        <v/>
      </c>
      <c r="AG179" s="38"/>
      <c r="AH179" s="8" t="str">
        <f>IF(ISBLANK(AG179)," ",IF(AG179="np",SpecialScores!$C$3,IF(AG179="dnf",SpecialScores!$C$4,MIN(1000,(500*LOG(1+99*AG179/SpecialScores!$E$3))))))</f>
        <v xml:space="preserve"> </v>
      </c>
      <c r="AI179" s="12" t="str">
        <f t="shared" si="69"/>
        <v/>
      </c>
    </row>
    <row r="180" spans="1:35" x14ac:dyDescent="0.35">
      <c r="A180" s="42"/>
      <c r="E180" s="33" t="str">
        <f t="shared" si="70"/>
        <v xml:space="preserve"> </v>
      </c>
      <c r="F180" s="33" t="str">
        <f t="shared" si="71"/>
        <v xml:space="preserve"> </v>
      </c>
      <c r="G180" s="7" t="str">
        <f t="shared" si="72"/>
        <v xml:space="preserve"> </v>
      </c>
      <c r="H180" s="7" t="str">
        <f t="shared" si="73"/>
        <v xml:space="preserve"> </v>
      </c>
      <c r="I180" s="38"/>
      <c r="J180" s="8" t="str">
        <f>IF(ISBLANK(I180)," ",IF(I180="np",SpecialScores!$C$3,IF(I180="dnf",SpecialScores!$C$4,MIN( 1000+I180/SpecialScores!$E$3*0.0001,(500*LOG(1+99*I180/SpecialScores!$E$3))))))</f>
        <v xml:space="preserve"> </v>
      </c>
      <c r="K180" s="12" t="str">
        <f t="shared" si="61"/>
        <v/>
      </c>
      <c r="L180" s="38"/>
      <c r="M180" s="8" t="str">
        <f>IF(ISBLANK(L180)," ",IF(L180="np",SpecialScores!$C$3,IF(L180="dnf",SpecialScores!$C$4,MIN( 1000+L180/SpecialScores!$H$3*0.0001,(500*LOG(1+99*L180/SpecialScores!$H$3))))))</f>
        <v xml:space="preserve"> </v>
      </c>
      <c r="N180" s="12" t="str">
        <f t="shared" si="62"/>
        <v/>
      </c>
      <c r="O180" s="38"/>
      <c r="P180" s="8" t="str">
        <f>IF(ISBLANK(O180)," ",IF(O180="np",SpecialScores!$C$3,IF(O180="dnf",SpecialScores!$C$4,MIN(1000,(500*LOG(1+99*O180/SpecialScores!$K$3))))))</f>
        <v xml:space="preserve"> </v>
      </c>
      <c r="Q180" s="12" t="str">
        <f t="shared" si="63"/>
        <v/>
      </c>
      <c r="R180" s="38"/>
      <c r="S180" s="8" t="str">
        <f>IF(ISBLANK(R180)," ",IF(R180="np",SpecialScores!$C$3,IF(R180="dnf",SpecialScores!$C$4,      IF(AND(R180&gt;=0,R180&lt;SpecialScores!$O$12), (500*LOG(1+99*R180/SpecialScores!$O$12*SpecialScores!$O$11/SpecialScores!$O$10)),                         MIN((500*LOG(1+99*SpecialScores!$O$11/R180)))))))</f>
        <v xml:space="preserve"> </v>
      </c>
      <c r="T180" s="12" t="str">
        <f t="shared" si="64"/>
        <v/>
      </c>
      <c r="U180" s="38"/>
      <c r="V180" s="8" t="str">
        <f>IF(ISBLANK(U180)," ",IF(U180="np",SpecialScores!$C$3,IF(U180="dnf",SpecialScores!$C$4,MIN((500*LOG(1+99*U180/SpecialScores!$R$3))))))</f>
        <v xml:space="preserve"> </v>
      </c>
      <c r="W180" s="12" t="str">
        <f t="shared" si="65"/>
        <v/>
      </c>
      <c r="X180" s="38"/>
      <c r="Y180" s="8" t="str">
        <f>IF(ISBLANK(X180)," ",IF(X180="np",SpecialScores!$C$3,IF(X180="dnf",SpecialScores!$C$4,MIN( 1000+X180/SpecialScores!$U$3*0.0001,(500*LOG(1+99*X180/SpecialScores!$U$3))))))</f>
        <v xml:space="preserve"> </v>
      </c>
      <c r="Z180" s="12" t="str">
        <f t="shared" si="66"/>
        <v/>
      </c>
      <c r="AA180" s="38"/>
      <c r="AB180" s="8" t="str">
        <f>IF(ISBLANK(AA180)," ",IF(AA180="np",SpecialScores!$C$3,IF(AA180="dnf",SpecialScores!$C$4,      IF(AND(AA180&gt;=0,AA180&lt;SpecialScores!$X$12), (500*LOG(1+99*AA180/SpecialScores!$X$12*SpecialScores!$X$11/SpecialScores!$X$10)),                         MIN((500*LOG(1+99*SpecialScores!$X$11/AA180)))))))</f>
        <v xml:space="preserve"> </v>
      </c>
      <c r="AC180" s="12" t="str">
        <f t="shared" si="67"/>
        <v/>
      </c>
      <c r="AD180" s="38"/>
      <c r="AE180" s="8" t="str">
        <f>IF(ISBLANK(AD180)," ",IF(AD180="np",SpecialScores!$C$3,IF(AD180="dnf",SpecialScores!$C$4,MIN( 1000+AD180/SpecialScores!$AA$5*0.0001,(500*LOG(1+99*AD180/SpecialScores!$AA$5))))))</f>
        <v xml:space="preserve"> </v>
      </c>
      <c r="AF180" s="12" t="str">
        <f t="shared" si="68"/>
        <v/>
      </c>
      <c r="AG180" s="38"/>
      <c r="AH180" s="8" t="str">
        <f>IF(ISBLANK(AG180)," ",IF(AG180="np",SpecialScores!$C$3,IF(AG180="dnf",SpecialScores!$C$4,MIN(1000,(500*LOG(1+99*AG180/SpecialScores!$E$3))))))</f>
        <v xml:space="preserve"> </v>
      </c>
      <c r="AI180" s="12" t="str">
        <f t="shared" si="69"/>
        <v/>
      </c>
    </row>
    <row r="181" spans="1:35" x14ac:dyDescent="0.35">
      <c r="A181" s="42"/>
      <c r="E181" s="33" t="str">
        <f t="shared" si="70"/>
        <v xml:space="preserve"> </v>
      </c>
      <c r="F181" s="33" t="str">
        <f t="shared" si="71"/>
        <v xml:space="preserve"> </v>
      </c>
      <c r="G181" s="7" t="str">
        <f t="shared" si="72"/>
        <v xml:space="preserve"> </v>
      </c>
      <c r="H181" s="7" t="str">
        <f t="shared" si="73"/>
        <v xml:space="preserve"> </v>
      </c>
      <c r="I181" s="38"/>
      <c r="J181" s="8" t="str">
        <f>IF(ISBLANK(I181)," ",IF(I181="np",SpecialScores!$C$3,IF(I181="dnf",SpecialScores!$C$4,MIN( 1000+I181/SpecialScores!$E$3*0.0001,(500*LOG(1+99*I181/SpecialScores!$E$3))))))</f>
        <v xml:space="preserve"> </v>
      </c>
      <c r="K181" s="12" t="str">
        <f t="shared" si="61"/>
        <v/>
      </c>
      <c r="L181" s="38"/>
      <c r="M181" s="8" t="str">
        <f>IF(ISBLANK(L181)," ",IF(L181="np",SpecialScores!$C$3,IF(L181="dnf",SpecialScores!$C$4,MIN( 1000+L181/SpecialScores!$H$3*0.0001,(500*LOG(1+99*L181/SpecialScores!$H$3))))))</f>
        <v xml:space="preserve"> </v>
      </c>
      <c r="N181" s="12" t="str">
        <f t="shared" si="62"/>
        <v/>
      </c>
      <c r="O181" s="38"/>
      <c r="P181" s="8" t="str">
        <f>IF(ISBLANK(O181)," ",IF(O181="np",SpecialScores!$C$3,IF(O181="dnf",SpecialScores!$C$4,MIN(1000,(500*LOG(1+99*O181/SpecialScores!$K$3))))))</f>
        <v xml:space="preserve"> </v>
      </c>
      <c r="Q181" s="12" t="str">
        <f t="shared" si="63"/>
        <v/>
      </c>
      <c r="R181" s="38"/>
      <c r="S181" s="8" t="str">
        <f>IF(ISBLANK(R181)," ",IF(R181="np",SpecialScores!$C$3,IF(R181="dnf",SpecialScores!$C$4,      IF(AND(R181&gt;=0,R181&lt;SpecialScores!$O$12), (500*LOG(1+99*R181/SpecialScores!$O$12*SpecialScores!$O$11/SpecialScores!$O$10)),                         MIN((500*LOG(1+99*SpecialScores!$O$11/R181)))))))</f>
        <v xml:space="preserve"> </v>
      </c>
      <c r="T181" s="12" t="str">
        <f t="shared" si="64"/>
        <v/>
      </c>
      <c r="U181" s="38"/>
      <c r="V181" s="8" t="str">
        <f>IF(ISBLANK(U181)," ",IF(U181="np",SpecialScores!$C$3,IF(U181="dnf",SpecialScores!$C$4,MIN((500*LOG(1+99*U181/SpecialScores!$R$3))))))</f>
        <v xml:space="preserve"> </v>
      </c>
      <c r="W181" s="12" t="str">
        <f t="shared" si="65"/>
        <v/>
      </c>
      <c r="X181" s="38"/>
      <c r="Y181" s="8" t="str">
        <f>IF(ISBLANK(X181)," ",IF(X181="np",SpecialScores!$C$3,IF(X181="dnf",SpecialScores!$C$4,MIN( 1000+X181/SpecialScores!$U$3*0.0001,(500*LOG(1+99*X181/SpecialScores!$U$3))))))</f>
        <v xml:space="preserve"> </v>
      </c>
      <c r="Z181" s="12" t="str">
        <f t="shared" si="66"/>
        <v/>
      </c>
      <c r="AA181" s="38"/>
      <c r="AB181" s="8" t="str">
        <f>IF(ISBLANK(AA181)," ",IF(AA181="np",SpecialScores!$C$3,IF(AA181="dnf",SpecialScores!$C$4,      IF(AND(AA181&gt;=0,AA181&lt;SpecialScores!$X$12), (500*LOG(1+99*AA181/SpecialScores!$X$12*SpecialScores!$X$11/SpecialScores!$X$10)),                         MIN((500*LOG(1+99*SpecialScores!$X$11/AA181)))))))</f>
        <v xml:space="preserve"> </v>
      </c>
      <c r="AC181" s="12" t="str">
        <f t="shared" si="67"/>
        <v/>
      </c>
      <c r="AD181" s="38"/>
      <c r="AE181" s="8" t="str">
        <f>IF(ISBLANK(AD181)," ",IF(AD181="np",SpecialScores!$C$3,IF(AD181="dnf",SpecialScores!$C$4,MIN( 1000+AD181/SpecialScores!$AA$5*0.0001,(500*LOG(1+99*AD181/SpecialScores!$AA$5))))))</f>
        <v xml:space="preserve"> </v>
      </c>
      <c r="AF181" s="12" t="str">
        <f t="shared" si="68"/>
        <v/>
      </c>
      <c r="AG181" s="38"/>
      <c r="AH181" s="8" t="str">
        <f>IF(ISBLANK(AG181)," ",IF(AG181="np",SpecialScores!$C$3,IF(AG181="dnf",SpecialScores!$C$4,MIN(1000,(500*LOG(1+99*AG181/SpecialScores!$E$3))))))</f>
        <v xml:space="preserve"> </v>
      </c>
      <c r="AI181" s="12" t="str">
        <f t="shared" si="69"/>
        <v/>
      </c>
    </row>
    <row r="182" spans="1:35" x14ac:dyDescent="0.35">
      <c r="A182" s="42"/>
      <c r="E182" s="33" t="str">
        <f t="shared" si="70"/>
        <v xml:space="preserve"> </v>
      </c>
      <c r="F182" s="33" t="str">
        <f t="shared" si="71"/>
        <v xml:space="preserve"> </v>
      </c>
      <c r="G182" s="7" t="str">
        <f t="shared" si="72"/>
        <v xml:space="preserve"> </v>
      </c>
      <c r="H182" s="7" t="str">
        <f t="shared" si="73"/>
        <v xml:space="preserve"> </v>
      </c>
      <c r="I182" s="38"/>
      <c r="J182" s="8" t="str">
        <f>IF(ISBLANK(I182)," ",IF(I182="np",SpecialScores!$C$3,IF(I182="dnf",SpecialScores!$C$4,MIN( 1000+I182/SpecialScores!$E$3*0.0001,(500*LOG(1+99*I182/SpecialScores!$E$3))))))</f>
        <v xml:space="preserve"> </v>
      </c>
      <c r="K182" s="12" t="str">
        <f t="shared" si="61"/>
        <v/>
      </c>
      <c r="L182" s="38"/>
      <c r="M182" s="8" t="str">
        <f>IF(ISBLANK(L182)," ",IF(L182="np",SpecialScores!$C$3,IF(L182="dnf",SpecialScores!$C$4,MIN( 1000+L182/SpecialScores!$H$3*0.0001,(500*LOG(1+99*L182/SpecialScores!$H$3))))))</f>
        <v xml:space="preserve"> </v>
      </c>
      <c r="N182" s="12" t="str">
        <f t="shared" si="62"/>
        <v/>
      </c>
      <c r="O182" s="38"/>
      <c r="P182" s="8" t="str">
        <f>IF(ISBLANK(O182)," ",IF(O182="np",SpecialScores!$C$3,IF(O182="dnf",SpecialScores!$C$4,MIN(1000,(500*LOG(1+99*O182/SpecialScores!$K$3))))))</f>
        <v xml:space="preserve"> </v>
      </c>
      <c r="Q182" s="12" t="str">
        <f t="shared" si="63"/>
        <v/>
      </c>
      <c r="R182" s="38"/>
      <c r="S182" s="8" t="str">
        <f>IF(ISBLANK(R182)," ",IF(R182="np",SpecialScores!$C$3,IF(R182="dnf",SpecialScores!$C$4,      IF(AND(R182&gt;=0,R182&lt;SpecialScores!$O$12), (500*LOG(1+99*R182/SpecialScores!$O$12*SpecialScores!$O$11/SpecialScores!$O$10)),                         MIN((500*LOG(1+99*SpecialScores!$O$11/R182)))))))</f>
        <v xml:space="preserve"> </v>
      </c>
      <c r="T182" s="12" t="str">
        <f t="shared" si="64"/>
        <v/>
      </c>
      <c r="U182" s="38"/>
      <c r="V182" s="8" t="str">
        <f>IF(ISBLANK(U182)," ",IF(U182="np",SpecialScores!$C$3,IF(U182="dnf",SpecialScores!$C$4,MIN((500*LOG(1+99*U182/SpecialScores!$R$3))))))</f>
        <v xml:space="preserve"> </v>
      </c>
      <c r="W182" s="12" t="str">
        <f t="shared" si="65"/>
        <v/>
      </c>
      <c r="X182" s="38"/>
      <c r="Y182" s="8" t="str">
        <f>IF(ISBLANK(X182)," ",IF(X182="np",SpecialScores!$C$3,IF(X182="dnf",SpecialScores!$C$4,MIN( 1000+X182/SpecialScores!$U$3*0.0001,(500*LOG(1+99*X182/SpecialScores!$U$3))))))</f>
        <v xml:space="preserve"> </v>
      </c>
      <c r="Z182" s="12" t="str">
        <f t="shared" si="66"/>
        <v/>
      </c>
      <c r="AA182" s="38"/>
      <c r="AB182" s="8" t="str">
        <f>IF(ISBLANK(AA182)," ",IF(AA182="np",SpecialScores!$C$3,IF(AA182="dnf",SpecialScores!$C$4,      IF(AND(AA182&gt;=0,AA182&lt;SpecialScores!$X$12), (500*LOG(1+99*AA182/SpecialScores!$X$12*SpecialScores!$X$11/SpecialScores!$X$10)),                         MIN((500*LOG(1+99*SpecialScores!$X$11/AA182)))))))</f>
        <v xml:space="preserve"> </v>
      </c>
      <c r="AC182" s="12" t="str">
        <f t="shared" si="67"/>
        <v/>
      </c>
      <c r="AD182" s="38"/>
      <c r="AE182" s="8" t="str">
        <f>IF(ISBLANK(AD182)," ",IF(AD182="np",SpecialScores!$C$3,IF(AD182="dnf",SpecialScores!$C$4,MIN( 1000+AD182/SpecialScores!$AA$5*0.0001,(500*LOG(1+99*AD182/SpecialScores!$AA$5))))))</f>
        <v xml:space="preserve"> </v>
      </c>
      <c r="AF182" s="12" t="str">
        <f t="shared" si="68"/>
        <v/>
      </c>
      <c r="AG182" s="38"/>
      <c r="AH182" s="8" t="str">
        <f>IF(ISBLANK(AG182)," ",IF(AG182="np",SpecialScores!$C$3,IF(AG182="dnf",SpecialScores!$C$4,MIN(1000,(500*LOG(1+99*AG182/SpecialScores!$E$3))))))</f>
        <v xml:space="preserve"> </v>
      </c>
      <c r="AI182" s="12" t="str">
        <f t="shared" si="69"/>
        <v/>
      </c>
    </row>
    <row r="183" spans="1:35" x14ac:dyDescent="0.35">
      <c r="A183" s="42"/>
      <c r="E183" s="33" t="str">
        <f t="shared" si="70"/>
        <v xml:space="preserve"> </v>
      </c>
      <c r="F183" s="33" t="str">
        <f t="shared" si="71"/>
        <v xml:space="preserve"> </v>
      </c>
      <c r="G183" s="7" t="str">
        <f t="shared" si="72"/>
        <v xml:space="preserve"> </v>
      </c>
      <c r="H183" s="7" t="str">
        <f t="shared" si="73"/>
        <v xml:space="preserve"> </v>
      </c>
      <c r="I183" s="38"/>
      <c r="J183" s="8" t="str">
        <f>IF(ISBLANK(I183)," ",IF(I183="np",SpecialScores!$C$3,IF(I183="dnf",SpecialScores!$C$4,MIN( 1000+I183/SpecialScores!$E$3*0.0001,(500*LOG(1+99*I183/SpecialScores!$E$3))))))</f>
        <v xml:space="preserve"> </v>
      </c>
      <c r="K183" s="12" t="str">
        <f t="shared" si="61"/>
        <v/>
      </c>
      <c r="L183" s="38"/>
      <c r="M183" s="8" t="str">
        <f>IF(ISBLANK(L183)," ",IF(L183="np",SpecialScores!$C$3,IF(L183="dnf",SpecialScores!$C$4,MIN( 1000+L183/SpecialScores!$H$3*0.0001,(500*LOG(1+99*L183/SpecialScores!$H$3))))))</f>
        <v xml:space="preserve"> </v>
      </c>
      <c r="N183" s="12" t="str">
        <f t="shared" si="62"/>
        <v/>
      </c>
      <c r="O183" s="38"/>
      <c r="P183" s="8" t="str">
        <f>IF(ISBLANK(O183)," ",IF(O183="np",SpecialScores!$C$3,IF(O183="dnf",SpecialScores!$C$4,MIN(1000,(500*LOG(1+99*O183/SpecialScores!$K$3))))))</f>
        <v xml:space="preserve"> </v>
      </c>
      <c r="Q183" s="12" t="str">
        <f t="shared" si="63"/>
        <v/>
      </c>
      <c r="R183" s="38"/>
      <c r="S183" s="8" t="str">
        <f>IF(ISBLANK(R183)," ",IF(R183="np",SpecialScores!$C$3,IF(R183="dnf",SpecialScores!$C$4,      IF(AND(R183&gt;=0,R183&lt;SpecialScores!$O$12), (500*LOG(1+99*R183/SpecialScores!$O$12*SpecialScores!$O$11/SpecialScores!$O$10)),                         MIN((500*LOG(1+99*SpecialScores!$O$11/R183)))))))</f>
        <v xml:space="preserve"> </v>
      </c>
      <c r="T183" s="12" t="str">
        <f t="shared" si="64"/>
        <v/>
      </c>
      <c r="U183" s="38"/>
      <c r="V183" s="8" t="str">
        <f>IF(ISBLANK(U183)," ",IF(U183="np",SpecialScores!$C$3,IF(U183="dnf",SpecialScores!$C$4,MIN((500*LOG(1+99*U183/SpecialScores!$R$3))))))</f>
        <v xml:space="preserve"> </v>
      </c>
      <c r="W183" s="12" t="str">
        <f t="shared" si="65"/>
        <v/>
      </c>
      <c r="X183" s="38"/>
      <c r="Y183" s="8" t="str">
        <f>IF(ISBLANK(X183)," ",IF(X183="np",SpecialScores!$C$3,IF(X183="dnf",SpecialScores!$C$4,MIN( 1000+X183/SpecialScores!$U$3*0.0001,(500*LOG(1+99*X183/SpecialScores!$U$3))))))</f>
        <v xml:space="preserve"> </v>
      </c>
      <c r="Z183" s="12" t="str">
        <f t="shared" si="66"/>
        <v/>
      </c>
      <c r="AA183" s="38"/>
      <c r="AB183" s="8" t="str">
        <f>IF(ISBLANK(AA183)," ",IF(AA183="np",SpecialScores!$C$3,IF(AA183="dnf",SpecialScores!$C$4,      IF(AND(AA183&gt;=0,AA183&lt;SpecialScores!$X$12), (500*LOG(1+99*AA183/SpecialScores!$X$12*SpecialScores!$X$11/SpecialScores!$X$10)),                         MIN((500*LOG(1+99*SpecialScores!$X$11/AA183)))))))</f>
        <v xml:space="preserve"> </v>
      </c>
      <c r="AC183" s="12" t="str">
        <f t="shared" si="67"/>
        <v/>
      </c>
      <c r="AD183" s="38"/>
      <c r="AE183" s="8" t="str">
        <f>IF(ISBLANK(AD183)," ",IF(AD183="np",SpecialScores!$C$3,IF(AD183="dnf",SpecialScores!$C$4,MIN( 1000+AD183/SpecialScores!$AA$5*0.0001,(500*LOG(1+99*AD183/SpecialScores!$AA$5))))))</f>
        <v xml:space="preserve"> </v>
      </c>
      <c r="AF183" s="12" t="str">
        <f t="shared" si="68"/>
        <v/>
      </c>
      <c r="AG183" s="38"/>
      <c r="AH183" s="8" t="str">
        <f>IF(ISBLANK(AG183)," ",IF(AG183="np",SpecialScores!$C$3,IF(AG183="dnf",SpecialScores!$C$4,MIN(1000,(500*LOG(1+99*AG183/SpecialScores!$E$3))))))</f>
        <v xml:space="preserve"> </v>
      </c>
      <c r="AI183" s="12" t="str">
        <f t="shared" si="69"/>
        <v/>
      </c>
    </row>
    <row r="184" spans="1:35" x14ac:dyDescent="0.35">
      <c r="A184" s="42"/>
      <c r="E184" s="33" t="str">
        <f t="shared" si="70"/>
        <v xml:space="preserve"> </v>
      </c>
      <c r="F184" s="33" t="str">
        <f t="shared" si="71"/>
        <v xml:space="preserve"> </v>
      </c>
      <c r="G184" s="7" t="str">
        <f t="shared" si="72"/>
        <v xml:space="preserve"> </v>
      </c>
      <c r="H184" s="7" t="str">
        <f t="shared" si="73"/>
        <v xml:space="preserve"> </v>
      </c>
      <c r="I184" s="38"/>
      <c r="J184" s="8" t="str">
        <f>IF(ISBLANK(I184)," ",IF(I184="np",SpecialScores!$C$3,IF(I184="dnf",SpecialScores!$C$4,MIN( 1000+I184/SpecialScores!$E$3*0.0001,(500*LOG(1+99*I184/SpecialScores!$E$3))))))</f>
        <v xml:space="preserve"> </v>
      </c>
      <c r="K184" s="12" t="str">
        <f t="shared" si="61"/>
        <v/>
      </c>
      <c r="L184" s="38"/>
      <c r="M184" s="8" t="str">
        <f>IF(ISBLANK(L184)," ",IF(L184="np",SpecialScores!$C$3,IF(L184="dnf",SpecialScores!$C$4,MIN( 1000+L184/SpecialScores!$H$3*0.0001,(500*LOG(1+99*L184/SpecialScores!$H$3))))))</f>
        <v xml:space="preserve"> </v>
      </c>
      <c r="N184" s="12" t="str">
        <f t="shared" si="62"/>
        <v/>
      </c>
      <c r="O184" s="38"/>
      <c r="P184" s="8" t="str">
        <f>IF(ISBLANK(O184)," ",IF(O184="np",SpecialScores!$C$3,IF(O184="dnf",SpecialScores!$C$4,MIN(1000,(500*LOG(1+99*O184/SpecialScores!$K$3))))))</f>
        <v xml:space="preserve"> </v>
      </c>
      <c r="Q184" s="12" t="str">
        <f t="shared" si="63"/>
        <v/>
      </c>
      <c r="R184" s="38"/>
      <c r="S184" s="8" t="str">
        <f>IF(ISBLANK(R184)," ",IF(R184="np",SpecialScores!$C$3,IF(R184="dnf",SpecialScores!$C$4,      IF(AND(R184&gt;=0,R184&lt;SpecialScores!$O$12), (500*LOG(1+99*R184/SpecialScores!$O$12*SpecialScores!$O$11/SpecialScores!$O$10)),                         MIN((500*LOG(1+99*SpecialScores!$O$11/R184)))))))</f>
        <v xml:space="preserve"> </v>
      </c>
      <c r="T184" s="12" t="str">
        <f t="shared" si="64"/>
        <v/>
      </c>
      <c r="U184" s="38"/>
      <c r="V184" s="8" t="str">
        <f>IF(ISBLANK(U184)," ",IF(U184="np",SpecialScores!$C$3,IF(U184="dnf",SpecialScores!$C$4,MIN((500*LOG(1+99*U184/SpecialScores!$R$3))))))</f>
        <v xml:space="preserve"> </v>
      </c>
      <c r="W184" s="12" t="str">
        <f t="shared" si="65"/>
        <v/>
      </c>
      <c r="X184" s="38"/>
      <c r="Y184" s="8" t="str">
        <f>IF(ISBLANK(X184)," ",IF(X184="np",SpecialScores!$C$3,IF(X184="dnf",SpecialScores!$C$4,MIN( 1000+X184/SpecialScores!$U$3*0.0001,(500*LOG(1+99*X184/SpecialScores!$U$3))))))</f>
        <v xml:space="preserve"> </v>
      </c>
      <c r="Z184" s="12" t="str">
        <f t="shared" si="66"/>
        <v/>
      </c>
      <c r="AA184" s="38"/>
      <c r="AB184" s="8" t="str">
        <f>IF(ISBLANK(AA184)," ",IF(AA184="np",SpecialScores!$C$3,IF(AA184="dnf",SpecialScores!$C$4,      IF(AND(AA184&gt;=0,AA184&lt;SpecialScores!$X$12), (500*LOG(1+99*AA184/SpecialScores!$X$12*SpecialScores!$X$11/SpecialScores!$X$10)),                         MIN((500*LOG(1+99*SpecialScores!$X$11/AA184)))))))</f>
        <v xml:space="preserve"> </v>
      </c>
      <c r="AC184" s="12" t="str">
        <f t="shared" si="67"/>
        <v/>
      </c>
      <c r="AD184" s="38"/>
      <c r="AE184" s="8" t="str">
        <f>IF(ISBLANK(AD184)," ",IF(AD184="np",SpecialScores!$C$3,IF(AD184="dnf",SpecialScores!$C$4,MIN( 1000+AD184/SpecialScores!$AA$5*0.0001,(500*LOG(1+99*AD184/SpecialScores!$AA$5))))))</f>
        <v xml:space="preserve"> </v>
      </c>
      <c r="AF184" s="12" t="str">
        <f t="shared" si="68"/>
        <v/>
      </c>
      <c r="AG184" s="38"/>
      <c r="AH184" s="8" t="str">
        <f>IF(ISBLANK(AG184)," ",IF(AG184="np",SpecialScores!$C$3,IF(AG184="dnf",SpecialScores!$C$4,MIN(1000,(500*LOG(1+99*AG184/SpecialScores!$E$3))))))</f>
        <v xml:space="preserve"> </v>
      </c>
      <c r="AI184" s="12" t="str">
        <f t="shared" si="69"/>
        <v/>
      </c>
    </row>
    <row r="185" spans="1:35" x14ac:dyDescent="0.35">
      <c r="A185" s="42"/>
      <c r="E185" s="33" t="str">
        <f t="shared" si="70"/>
        <v xml:space="preserve"> </v>
      </c>
      <c r="F185" s="33" t="str">
        <f t="shared" si="71"/>
        <v xml:space="preserve"> </v>
      </c>
      <c r="G185" s="7" t="str">
        <f t="shared" si="72"/>
        <v xml:space="preserve"> </v>
      </c>
      <c r="H185" s="7" t="str">
        <f t="shared" si="73"/>
        <v xml:space="preserve"> </v>
      </c>
      <c r="I185" s="38"/>
      <c r="J185" s="8" t="str">
        <f>IF(ISBLANK(I185)," ",IF(I185="np",SpecialScores!$C$3,IF(I185="dnf",SpecialScores!$C$4,MIN( 1000+I185/SpecialScores!$E$3*0.0001,(500*LOG(1+99*I185/SpecialScores!$E$3))))))</f>
        <v xml:space="preserve"> </v>
      </c>
      <c r="K185" s="12" t="str">
        <f t="shared" si="61"/>
        <v/>
      </c>
      <c r="L185" s="38"/>
      <c r="M185" s="8" t="str">
        <f>IF(ISBLANK(L185)," ",IF(L185="np",SpecialScores!$C$3,IF(L185="dnf",SpecialScores!$C$4,MIN( 1000+L185/SpecialScores!$H$3*0.0001,(500*LOG(1+99*L185/SpecialScores!$H$3))))))</f>
        <v xml:space="preserve"> </v>
      </c>
      <c r="N185" s="12" t="str">
        <f t="shared" si="62"/>
        <v/>
      </c>
      <c r="O185" s="38"/>
      <c r="P185" s="8" t="str">
        <f>IF(ISBLANK(O185)," ",IF(O185="np",SpecialScores!$C$3,IF(O185="dnf",SpecialScores!$C$4,MIN(1000,(500*LOG(1+99*O185/SpecialScores!$K$3))))))</f>
        <v xml:space="preserve"> </v>
      </c>
      <c r="Q185" s="12" t="str">
        <f t="shared" si="63"/>
        <v/>
      </c>
      <c r="R185" s="38"/>
      <c r="S185" s="8" t="str">
        <f>IF(ISBLANK(R185)," ",IF(R185="np",SpecialScores!$C$3,IF(R185="dnf",SpecialScores!$C$4,      IF(AND(R185&gt;=0,R185&lt;SpecialScores!$O$12), (500*LOG(1+99*R185/SpecialScores!$O$12*SpecialScores!$O$11/SpecialScores!$O$10)),                         MIN((500*LOG(1+99*SpecialScores!$O$11/R185)))))))</f>
        <v xml:space="preserve"> </v>
      </c>
      <c r="T185" s="12" t="str">
        <f t="shared" si="64"/>
        <v/>
      </c>
      <c r="U185" s="38"/>
      <c r="V185" s="8" t="str">
        <f>IF(ISBLANK(U185)," ",IF(U185="np",SpecialScores!$C$3,IF(U185="dnf",SpecialScores!$C$4,MIN((500*LOG(1+99*U185/SpecialScores!$R$3))))))</f>
        <v xml:space="preserve"> </v>
      </c>
      <c r="W185" s="12" t="str">
        <f t="shared" si="65"/>
        <v/>
      </c>
      <c r="X185" s="38"/>
      <c r="Y185" s="8" t="str">
        <f>IF(ISBLANK(X185)," ",IF(X185="np",SpecialScores!$C$3,IF(X185="dnf",SpecialScores!$C$4,MIN( 1000+X185/SpecialScores!$U$3*0.0001,(500*LOG(1+99*X185/SpecialScores!$U$3))))))</f>
        <v xml:space="preserve"> </v>
      </c>
      <c r="Z185" s="12" t="str">
        <f t="shared" si="66"/>
        <v/>
      </c>
      <c r="AA185" s="38"/>
      <c r="AB185" s="8" t="str">
        <f>IF(ISBLANK(AA185)," ",IF(AA185="np",SpecialScores!$C$3,IF(AA185="dnf",SpecialScores!$C$4,      IF(AND(AA185&gt;=0,AA185&lt;SpecialScores!$X$12), (500*LOG(1+99*AA185/SpecialScores!$X$12*SpecialScores!$X$11/SpecialScores!$X$10)),                         MIN((500*LOG(1+99*SpecialScores!$X$11/AA185)))))))</f>
        <v xml:space="preserve"> </v>
      </c>
      <c r="AC185" s="12" t="str">
        <f t="shared" si="67"/>
        <v/>
      </c>
      <c r="AD185" s="38"/>
      <c r="AE185" s="8" t="str">
        <f>IF(ISBLANK(AD185)," ",IF(AD185="np",SpecialScores!$C$3,IF(AD185="dnf",SpecialScores!$C$4,MIN( 1000+AD185/SpecialScores!$AA$5*0.0001,(500*LOG(1+99*AD185/SpecialScores!$AA$5))))))</f>
        <v xml:space="preserve"> </v>
      </c>
      <c r="AF185" s="12" t="str">
        <f t="shared" si="68"/>
        <v/>
      </c>
      <c r="AG185" s="38"/>
      <c r="AH185" s="8" t="str">
        <f>IF(ISBLANK(AG185)," ",IF(AG185="np",SpecialScores!$C$3,IF(AG185="dnf",SpecialScores!$C$4,MIN(1000,(500*LOG(1+99*AG185/SpecialScores!$E$3))))))</f>
        <v xml:space="preserve"> </v>
      </c>
      <c r="AI185" s="12" t="str">
        <f t="shared" si="69"/>
        <v/>
      </c>
    </row>
    <row r="186" spans="1:35" x14ac:dyDescent="0.35">
      <c r="A186" s="42"/>
      <c r="E186" s="33" t="str">
        <f t="shared" si="70"/>
        <v xml:space="preserve"> </v>
      </c>
      <c r="F186" s="33" t="str">
        <f t="shared" si="71"/>
        <v xml:space="preserve"> </v>
      </c>
      <c r="G186" s="7" t="str">
        <f t="shared" si="72"/>
        <v xml:space="preserve"> </v>
      </c>
      <c r="H186" s="7" t="str">
        <f t="shared" si="73"/>
        <v xml:space="preserve"> </v>
      </c>
      <c r="I186" s="38"/>
      <c r="J186" s="8" t="str">
        <f>IF(ISBLANK(I186)," ",IF(I186="np",SpecialScores!$C$3,IF(I186="dnf",SpecialScores!$C$4,MIN( 1000+I186/SpecialScores!$E$3*0.0001,(500*LOG(1+99*I186/SpecialScores!$E$3))))))</f>
        <v xml:space="preserve"> </v>
      </c>
      <c r="K186" s="12" t="str">
        <f t="shared" si="61"/>
        <v/>
      </c>
      <c r="L186" s="38"/>
      <c r="M186" s="8" t="str">
        <f>IF(ISBLANK(L186)," ",IF(L186="np",SpecialScores!$C$3,IF(L186="dnf",SpecialScores!$C$4,MIN( 1000+L186/SpecialScores!$H$3*0.0001,(500*LOG(1+99*L186/SpecialScores!$H$3))))))</f>
        <v xml:space="preserve"> </v>
      </c>
      <c r="N186" s="12" t="str">
        <f t="shared" si="62"/>
        <v/>
      </c>
      <c r="O186" s="38"/>
      <c r="P186" s="8" t="str">
        <f>IF(ISBLANK(O186)," ",IF(O186="np",SpecialScores!$C$3,IF(O186="dnf",SpecialScores!$C$4,MIN(1000,(500*LOG(1+99*O186/SpecialScores!$K$3))))))</f>
        <v xml:space="preserve"> </v>
      </c>
      <c r="Q186" s="12" t="str">
        <f t="shared" si="63"/>
        <v/>
      </c>
      <c r="R186" s="38"/>
      <c r="S186" s="8" t="str">
        <f>IF(ISBLANK(R186)," ",IF(R186="np",SpecialScores!$C$3,IF(R186="dnf",SpecialScores!$C$4,      IF(AND(R186&gt;=0,R186&lt;SpecialScores!$O$12), (500*LOG(1+99*R186/SpecialScores!$O$12*SpecialScores!$O$11/SpecialScores!$O$10)),                         MIN((500*LOG(1+99*SpecialScores!$O$11/R186)))))))</f>
        <v xml:space="preserve"> </v>
      </c>
      <c r="T186" s="12" t="str">
        <f t="shared" si="64"/>
        <v/>
      </c>
      <c r="U186" s="38"/>
      <c r="V186" s="8" t="str">
        <f>IF(ISBLANK(U186)," ",IF(U186="np",SpecialScores!$C$3,IF(U186="dnf",SpecialScores!$C$4,MIN((500*LOG(1+99*U186/SpecialScores!$R$3))))))</f>
        <v xml:space="preserve"> </v>
      </c>
      <c r="W186" s="12" t="str">
        <f t="shared" si="65"/>
        <v/>
      </c>
      <c r="X186" s="38"/>
      <c r="Y186" s="8" t="str">
        <f>IF(ISBLANK(X186)," ",IF(X186="np",SpecialScores!$C$3,IF(X186="dnf",SpecialScores!$C$4,MIN( 1000+X186/SpecialScores!$U$3*0.0001,(500*LOG(1+99*X186/SpecialScores!$U$3))))))</f>
        <v xml:space="preserve"> </v>
      </c>
      <c r="Z186" s="12" t="str">
        <f t="shared" si="66"/>
        <v/>
      </c>
      <c r="AA186" s="38"/>
      <c r="AB186" s="8" t="str">
        <f>IF(ISBLANK(AA186)," ",IF(AA186="np",SpecialScores!$C$3,IF(AA186="dnf",SpecialScores!$C$4,      IF(AND(AA186&gt;=0,AA186&lt;SpecialScores!$X$12), (500*LOG(1+99*AA186/SpecialScores!$X$12*SpecialScores!$X$11/SpecialScores!$X$10)),                         MIN((500*LOG(1+99*SpecialScores!$X$11/AA186)))))))</f>
        <v xml:space="preserve"> </v>
      </c>
      <c r="AC186" s="12" t="str">
        <f t="shared" si="67"/>
        <v/>
      </c>
      <c r="AD186" s="38"/>
      <c r="AE186" s="8" t="str">
        <f>IF(ISBLANK(AD186)," ",IF(AD186="np",SpecialScores!$C$3,IF(AD186="dnf",SpecialScores!$C$4,MIN( 1000+AD186/SpecialScores!$AA$5*0.0001,(500*LOG(1+99*AD186/SpecialScores!$AA$5))))))</f>
        <v xml:space="preserve"> </v>
      </c>
      <c r="AF186" s="12" t="str">
        <f t="shared" si="68"/>
        <v/>
      </c>
      <c r="AG186" s="38"/>
      <c r="AH186" s="8" t="str">
        <f>IF(ISBLANK(AG186)," ",IF(AG186="np",SpecialScores!$C$3,IF(AG186="dnf",SpecialScores!$C$4,MIN(1000,(500*LOG(1+99*AG186/SpecialScores!$E$3))))))</f>
        <v xml:space="preserve"> </v>
      </c>
      <c r="AI186" s="12" t="str">
        <f t="shared" si="69"/>
        <v/>
      </c>
    </row>
    <row r="187" spans="1:35" x14ac:dyDescent="0.35">
      <c r="A187" s="42"/>
      <c r="E187" s="33" t="str">
        <f t="shared" si="70"/>
        <v xml:space="preserve"> </v>
      </c>
      <c r="F187" s="33" t="str">
        <f t="shared" si="71"/>
        <v xml:space="preserve"> </v>
      </c>
      <c r="G187" s="7" t="str">
        <f t="shared" si="72"/>
        <v xml:space="preserve"> </v>
      </c>
      <c r="H187" s="7" t="str">
        <f t="shared" si="73"/>
        <v xml:space="preserve"> </v>
      </c>
      <c r="I187" s="38"/>
      <c r="J187" s="8" t="str">
        <f>IF(ISBLANK(I187)," ",IF(I187="np",SpecialScores!$C$3,IF(I187="dnf",SpecialScores!$C$4,MIN( 1000+I187/SpecialScores!$E$3*0.0001,(500*LOG(1+99*I187/SpecialScores!$E$3))))))</f>
        <v xml:space="preserve"> </v>
      </c>
      <c r="K187" s="12" t="str">
        <f t="shared" si="61"/>
        <v/>
      </c>
      <c r="L187" s="38"/>
      <c r="M187" s="8" t="str">
        <f>IF(ISBLANK(L187)," ",IF(L187="np",SpecialScores!$C$3,IF(L187="dnf",SpecialScores!$C$4,MIN( 1000+L187/SpecialScores!$H$3*0.0001,(500*LOG(1+99*L187/SpecialScores!$H$3))))))</f>
        <v xml:space="preserve"> </v>
      </c>
      <c r="N187" s="12" t="str">
        <f t="shared" si="62"/>
        <v/>
      </c>
      <c r="O187" s="38"/>
      <c r="P187" s="8" t="str">
        <f>IF(ISBLANK(O187)," ",IF(O187="np",SpecialScores!$C$3,IF(O187="dnf",SpecialScores!$C$4,MIN(1000,(500*LOG(1+99*O187/SpecialScores!$K$3))))))</f>
        <v xml:space="preserve"> </v>
      </c>
      <c r="Q187" s="12" t="str">
        <f t="shared" si="63"/>
        <v/>
      </c>
      <c r="R187" s="38"/>
      <c r="S187" s="8" t="str">
        <f>IF(ISBLANK(R187)," ",IF(R187="np",SpecialScores!$C$3,IF(R187="dnf",SpecialScores!$C$4,      IF(AND(R187&gt;=0,R187&lt;SpecialScores!$O$12), (500*LOG(1+99*R187/SpecialScores!$O$12*SpecialScores!$O$11/SpecialScores!$O$10)),                         MIN((500*LOG(1+99*SpecialScores!$O$11/R187)))))))</f>
        <v xml:space="preserve"> </v>
      </c>
      <c r="T187" s="12" t="str">
        <f t="shared" si="64"/>
        <v/>
      </c>
      <c r="U187" s="38"/>
      <c r="V187" s="8" t="str">
        <f>IF(ISBLANK(U187)," ",IF(U187="np",SpecialScores!$C$3,IF(U187="dnf",SpecialScores!$C$4,MIN((500*LOG(1+99*U187/SpecialScores!$R$3))))))</f>
        <v xml:space="preserve"> </v>
      </c>
      <c r="W187" s="12" t="str">
        <f t="shared" si="65"/>
        <v/>
      </c>
      <c r="X187" s="38"/>
      <c r="Y187" s="8" t="str">
        <f>IF(ISBLANK(X187)," ",IF(X187="np",SpecialScores!$C$3,IF(X187="dnf",SpecialScores!$C$4,MIN( 1000+X187/SpecialScores!$U$3*0.0001,(500*LOG(1+99*X187/SpecialScores!$U$3))))))</f>
        <v xml:space="preserve"> </v>
      </c>
      <c r="Z187" s="12" t="str">
        <f t="shared" si="66"/>
        <v/>
      </c>
      <c r="AA187" s="38"/>
      <c r="AB187" s="8" t="str">
        <f>IF(ISBLANK(AA187)," ",IF(AA187="np",SpecialScores!$C$3,IF(AA187="dnf",SpecialScores!$C$4,      IF(AND(AA187&gt;=0,AA187&lt;SpecialScores!$X$12), (500*LOG(1+99*AA187/SpecialScores!$X$12*SpecialScores!$X$11/SpecialScores!$X$10)),                         MIN((500*LOG(1+99*SpecialScores!$X$11/AA187)))))))</f>
        <v xml:space="preserve"> </v>
      </c>
      <c r="AC187" s="12" t="str">
        <f t="shared" si="67"/>
        <v/>
      </c>
      <c r="AD187" s="38"/>
      <c r="AE187" s="8" t="str">
        <f>IF(ISBLANK(AD187)," ",IF(AD187="np",SpecialScores!$C$3,IF(AD187="dnf",SpecialScores!$C$4,MIN( 1000+AD187/SpecialScores!$AA$5*0.0001,(500*LOG(1+99*AD187/SpecialScores!$AA$5))))))</f>
        <v xml:space="preserve"> </v>
      </c>
      <c r="AF187" s="12" t="str">
        <f t="shared" si="68"/>
        <v/>
      </c>
      <c r="AG187" s="38"/>
      <c r="AH187" s="8" t="str">
        <f>IF(ISBLANK(AG187)," ",IF(AG187="np",SpecialScores!$C$3,IF(AG187="dnf",SpecialScores!$C$4,MIN(1000,(500*LOG(1+99*AG187/SpecialScores!$E$3))))))</f>
        <v xml:space="preserve"> </v>
      </c>
      <c r="AI187" s="12" t="str">
        <f t="shared" si="69"/>
        <v/>
      </c>
    </row>
    <row r="188" spans="1:35" x14ac:dyDescent="0.35">
      <c r="A188" s="42"/>
      <c r="E188" s="33" t="str">
        <f t="shared" si="70"/>
        <v xml:space="preserve"> </v>
      </c>
      <c r="F188" s="33" t="str">
        <f t="shared" si="71"/>
        <v xml:space="preserve"> </v>
      </c>
      <c r="G188" s="7" t="str">
        <f t="shared" si="72"/>
        <v xml:space="preserve"> </v>
      </c>
      <c r="H188" s="7" t="str">
        <f t="shared" si="73"/>
        <v xml:space="preserve"> </v>
      </c>
      <c r="I188" s="38"/>
      <c r="J188" s="8" t="str">
        <f>IF(ISBLANK(I188)," ",IF(I188="np",SpecialScores!$C$3,IF(I188="dnf",SpecialScores!$C$4,MIN( 1000+I188/SpecialScores!$E$3*0.0001,(500*LOG(1+99*I188/SpecialScores!$E$3))))))</f>
        <v xml:space="preserve"> </v>
      </c>
      <c r="K188" s="12" t="str">
        <f t="shared" si="61"/>
        <v/>
      </c>
      <c r="L188" s="38"/>
      <c r="M188" s="8" t="str">
        <f>IF(ISBLANK(L188)," ",IF(L188="np",SpecialScores!$C$3,IF(L188="dnf",SpecialScores!$C$4,MIN( 1000+L188/SpecialScores!$H$3*0.0001,(500*LOG(1+99*L188/SpecialScores!$H$3))))))</f>
        <v xml:space="preserve"> </v>
      </c>
      <c r="N188" s="12" t="str">
        <f t="shared" si="62"/>
        <v/>
      </c>
      <c r="O188" s="38"/>
      <c r="P188" s="8" t="str">
        <f>IF(ISBLANK(O188)," ",IF(O188="np",SpecialScores!$C$3,IF(O188="dnf",SpecialScores!$C$4,MIN(1000,(500*LOG(1+99*O188/SpecialScores!$K$3))))))</f>
        <v xml:space="preserve"> </v>
      </c>
      <c r="Q188" s="12" t="str">
        <f t="shared" si="63"/>
        <v/>
      </c>
      <c r="R188" s="38"/>
      <c r="S188" s="8" t="str">
        <f>IF(ISBLANK(R188)," ",IF(R188="np",SpecialScores!$C$3,IF(R188="dnf",SpecialScores!$C$4,      IF(AND(R188&gt;=0,R188&lt;SpecialScores!$O$12), (500*LOG(1+99*R188/SpecialScores!$O$12*SpecialScores!$O$11/SpecialScores!$O$10)),                         MIN((500*LOG(1+99*SpecialScores!$O$11/R188)))))))</f>
        <v xml:space="preserve"> </v>
      </c>
      <c r="T188" s="12" t="str">
        <f t="shared" si="64"/>
        <v/>
      </c>
      <c r="U188" s="38"/>
      <c r="V188" s="8" t="str">
        <f>IF(ISBLANK(U188)," ",IF(U188="np",SpecialScores!$C$3,IF(U188="dnf",SpecialScores!$C$4,MIN((500*LOG(1+99*U188/SpecialScores!$R$3))))))</f>
        <v xml:space="preserve"> </v>
      </c>
      <c r="W188" s="12" t="str">
        <f t="shared" si="65"/>
        <v/>
      </c>
      <c r="X188" s="38"/>
      <c r="Y188" s="8" t="str">
        <f>IF(ISBLANK(X188)," ",IF(X188="np",SpecialScores!$C$3,IF(X188="dnf",SpecialScores!$C$4,MIN( 1000+X188/SpecialScores!$U$3*0.0001,(500*LOG(1+99*X188/SpecialScores!$U$3))))))</f>
        <v xml:space="preserve"> </v>
      </c>
      <c r="Z188" s="12" t="str">
        <f t="shared" si="66"/>
        <v/>
      </c>
      <c r="AA188" s="38"/>
      <c r="AB188" s="8" t="str">
        <f>IF(ISBLANK(AA188)," ",IF(AA188="np",SpecialScores!$C$3,IF(AA188="dnf",SpecialScores!$C$4,      IF(AND(AA188&gt;=0,AA188&lt;SpecialScores!$X$12), (500*LOG(1+99*AA188/SpecialScores!$X$12*SpecialScores!$X$11/SpecialScores!$X$10)),                         MIN((500*LOG(1+99*SpecialScores!$X$11/AA188)))))))</f>
        <v xml:space="preserve"> </v>
      </c>
      <c r="AC188" s="12" t="str">
        <f t="shared" si="67"/>
        <v/>
      </c>
      <c r="AD188" s="38"/>
      <c r="AE188" s="8" t="str">
        <f>IF(ISBLANK(AD188)," ",IF(AD188="np",SpecialScores!$C$3,IF(AD188="dnf",SpecialScores!$C$4,MIN( 1000+AD188/SpecialScores!$AA$5*0.0001,(500*LOG(1+99*AD188/SpecialScores!$AA$5))))))</f>
        <v xml:space="preserve"> </v>
      </c>
      <c r="AF188" s="12" t="str">
        <f t="shared" si="68"/>
        <v/>
      </c>
      <c r="AG188" s="38"/>
      <c r="AH188" s="8" t="str">
        <f>IF(ISBLANK(AG188)," ",IF(AG188="np",SpecialScores!$C$3,IF(AG188="dnf",SpecialScores!$C$4,MIN(1000,(500*LOG(1+99*AG188/SpecialScores!$E$3))))))</f>
        <v xml:space="preserve"> </v>
      </c>
      <c r="AI188" s="12" t="str">
        <f t="shared" si="69"/>
        <v/>
      </c>
    </row>
    <row r="189" spans="1:35" x14ac:dyDescent="0.35">
      <c r="A189" s="42"/>
      <c r="E189" s="33" t="str">
        <f t="shared" si="70"/>
        <v xml:space="preserve"> </v>
      </c>
      <c r="F189" s="33" t="str">
        <f t="shared" si="71"/>
        <v xml:space="preserve"> </v>
      </c>
      <c r="G189" s="7" t="str">
        <f t="shared" si="72"/>
        <v xml:space="preserve"> </v>
      </c>
      <c r="H189" s="7" t="str">
        <f t="shared" si="73"/>
        <v xml:space="preserve"> </v>
      </c>
      <c r="I189" s="38"/>
      <c r="J189" s="8" t="str">
        <f>IF(ISBLANK(I189)," ",IF(I189="np",SpecialScores!$C$3,IF(I189="dnf",SpecialScores!$C$4,MIN( 1000+I189/SpecialScores!$E$3*0.0001,(500*LOG(1+99*I189/SpecialScores!$E$3))))))</f>
        <v xml:space="preserve"> </v>
      </c>
      <c r="K189" s="12" t="str">
        <f t="shared" si="61"/>
        <v/>
      </c>
      <c r="L189" s="38"/>
      <c r="M189" s="8" t="str">
        <f>IF(ISBLANK(L189)," ",IF(L189="np",SpecialScores!$C$3,IF(L189="dnf",SpecialScores!$C$4,MIN( 1000+L189/SpecialScores!$H$3*0.0001,(500*LOG(1+99*L189/SpecialScores!$H$3))))))</f>
        <v xml:space="preserve"> </v>
      </c>
      <c r="N189" s="12" t="str">
        <f t="shared" si="62"/>
        <v/>
      </c>
      <c r="O189" s="38"/>
      <c r="P189" s="8" t="str">
        <f>IF(ISBLANK(O189)," ",IF(O189="np",SpecialScores!$C$3,IF(O189="dnf",SpecialScores!$C$4,MIN(1000,(500*LOG(1+99*O189/SpecialScores!$K$3))))))</f>
        <v xml:space="preserve"> </v>
      </c>
      <c r="Q189" s="12" t="str">
        <f t="shared" si="63"/>
        <v/>
      </c>
      <c r="R189" s="38"/>
      <c r="S189" s="8" t="str">
        <f>IF(ISBLANK(R189)," ",IF(R189="np",SpecialScores!$C$3,IF(R189="dnf",SpecialScores!$C$4,      IF(AND(R189&gt;=0,R189&lt;SpecialScores!$O$12), (500*LOG(1+99*R189/SpecialScores!$O$12*SpecialScores!$O$11/SpecialScores!$O$10)),                         MIN((500*LOG(1+99*SpecialScores!$O$11/R189)))))))</f>
        <v xml:space="preserve"> </v>
      </c>
      <c r="T189" s="12" t="str">
        <f t="shared" si="64"/>
        <v/>
      </c>
      <c r="U189" s="38"/>
      <c r="V189" s="8" t="str">
        <f>IF(ISBLANK(U189)," ",IF(U189="np",SpecialScores!$C$3,IF(U189="dnf",SpecialScores!$C$4,MIN((500*LOG(1+99*U189/SpecialScores!$R$3))))))</f>
        <v xml:space="preserve"> </v>
      </c>
      <c r="W189" s="12" t="str">
        <f t="shared" si="65"/>
        <v/>
      </c>
      <c r="X189" s="38"/>
      <c r="Y189" s="8" t="str">
        <f>IF(ISBLANK(X189)," ",IF(X189="np",SpecialScores!$C$3,IF(X189="dnf",SpecialScores!$C$4,MIN( 1000+X189/SpecialScores!$U$3*0.0001,(500*LOG(1+99*X189/SpecialScores!$U$3))))))</f>
        <v xml:space="preserve"> </v>
      </c>
      <c r="Z189" s="12" t="str">
        <f t="shared" si="66"/>
        <v/>
      </c>
      <c r="AA189" s="38"/>
      <c r="AB189" s="8" t="str">
        <f>IF(ISBLANK(AA189)," ",IF(AA189="np",SpecialScores!$C$3,IF(AA189="dnf",SpecialScores!$C$4,      IF(AND(AA189&gt;=0,AA189&lt;SpecialScores!$X$12), (500*LOG(1+99*AA189/SpecialScores!$X$12*SpecialScores!$X$11/SpecialScores!$X$10)),                         MIN((500*LOG(1+99*SpecialScores!$X$11/AA189)))))))</f>
        <v xml:space="preserve"> </v>
      </c>
      <c r="AC189" s="12" t="str">
        <f t="shared" si="67"/>
        <v/>
      </c>
      <c r="AD189" s="38"/>
      <c r="AE189" s="8" t="str">
        <f>IF(ISBLANK(AD189)," ",IF(AD189="np",SpecialScores!$C$3,IF(AD189="dnf",SpecialScores!$C$4,MIN( 1000+AD189/SpecialScores!$AA$5*0.0001,(500*LOG(1+99*AD189/SpecialScores!$AA$5))))))</f>
        <v xml:space="preserve"> </v>
      </c>
      <c r="AF189" s="12" t="str">
        <f t="shared" si="68"/>
        <v/>
      </c>
      <c r="AG189" s="38"/>
      <c r="AH189" s="8" t="str">
        <f>IF(ISBLANK(AG189)," ",IF(AG189="np",SpecialScores!$C$3,IF(AG189="dnf",SpecialScores!$C$4,MIN(1000,(500*LOG(1+99*AG189/SpecialScores!$E$3))))))</f>
        <v xml:space="preserve"> </v>
      </c>
      <c r="AI189" s="12" t="str">
        <f t="shared" si="69"/>
        <v/>
      </c>
    </row>
    <row r="190" spans="1:35" x14ac:dyDescent="0.35">
      <c r="A190" s="42"/>
      <c r="E190" s="33" t="str">
        <f t="shared" si="70"/>
        <v xml:space="preserve"> </v>
      </c>
      <c r="F190" s="33" t="str">
        <f t="shared" si="71"/>
        <v xml:space="preserve"> </v>
      </c>
      <c r="G190" s="7" t="str">
        <f t="shared" si="72"/>
        <v xml:space="preserve"> </v>
      </c>
      <c r="H190" s="7" t="str">
        <f t="shared" si="73"/>
        <v xml:space="preserve"> </v>
      </c>
      <c r="I190" s="38"/>
      <c r="J190" s="8" t="str">
        <f>IF(ISBLANK(I190)," ",IF(I190="np",SpecialScores!$C$3,IF(I190="dnf",SpecialScores!$C$4,MIN( 1000+I190/SpecialScores!$E$3*0.0001,(500*LOG(1+99*I190/SpecialScores!$E$3))))))</f>
        <v xml:space="preserve"> </v>
      </c>
      <c r="K190" s="12" t="str">
        <f t="shared" si="61"/>
        <v/>
      </c>
      <c r="L190" s="38"/>
      <c r="M190" s="8" t="str">
        <f>IF(ISBLANK(L190)," ",IF(L190="np",SpecialScores!$C$3,IF(L190="dnf",SpecialScores!$C$4,MIN( 1000+L190/SpecialScores!$H$3*0.0001,(500*LOG(1+99*L190/SpecialScores!$H$3))))))</f>
        <v xml:space="preserve"> </v>
      </c>
      <c r="N190" s="12" t="str">
        <f t="shared" si="62"/>
        <v/>
      </c>
      <c r="O190" s="38"/>
      <c r="P190" s="8" t="str">
        <f>IF(ISBLANK(O190)," ",IF(O190="np",SpecialScores!$C$3,IF(O190="dnf",SpecialScores!$C$4,MIN(1000,(500*LOG(1+99*O190/SpecialScores!$K$3))))))</f>
        <v xml:space="preserve"> </v>
      </c>
      <c r="Q190" s="12" t="str">
        <f t="shared" si="63"/>
        <v/>
      </c>
      <c r="R190" s="38"/>
      <c r="S190" s="8" t="str">
        <f>IF(ISBLANK(R190)," ",IF(R190="np",SpecialScores!$C$3,IF(R190="dnf",SpecialScores!$C$4,      IF(AND(R190&gt;=0,R190&lt;SpecialScores!$O$12), (500*LOG(1+99*R190/SpecialScores!$O$12*SpecialScores!$O$11/SpecialScores!$O$10)),                         MIN((500*LOG(1+99*SpecialScores!$O$11/R190)))))))</f>
        <v xml:space="preserve"> </v>
      </c>
      <c r="T190" s="12" t="str">
        <f t="shared" si="64"/>
        <v/>
      </c>
      <c r="U190" s="38"/>
      <c r="V190" s="8" t="str">
        <f>IF(ISBLANK(U190)," ",IF(U190="np",SpecialScores!$C$3,IF(U190="dnf",SpecialScores!$C$4,MIN((500*LOG(1+99*U190/SpecialScores!$R$3))))))</f>
        <v xml:space="preserve"> </v>
      </c>
      <c r="W190" s="12" t="str">
        <f t="shared" si="65"/>
        <v/>
      </c>
      <c r="X190" s="38"/>
      <c r="Y190" s="8" t="str">
        <f>IF(ISBLANK(X190)," ",IF(X190="np",SpecialScores!$C$3,IF(X190="dnf",SpecialScores!$C$4,MIN( 1000+X190/SpecialScores!$U$3*0.0001,(500*LOG(1+99*X190/SpecialScores!$U$3))))))</f>
        <v xml:space="preserve"> </v>
      </c>
      <c r="Z190" s="12" t="str">
        <f t="shared" si="66"/>
        <v/>
      </c>
      <c r="AA190" s="38"/>
      <c r="AB190" s="8" t="str">
        <f>IF(ISBLANK(AA190)," ",IF(AA190="np",SpecialScores!$C$3,IF(AA190="dnf",SpecialScores!$C$4,      IF(AND(AA190&gt;=0,AA190&lt;SpecialScores!$X$12), (500*LOG(1+99*AA190/SpecialScores!$X$12*SpecialScores!$X$11/SpecialScores!$X$10)),                         MIN((500*LOG(1+99*SpecialScores!$X$11/AA190)))))))</f>
        <v xml:space="preserve"> </v>
      </c>
      <c r="AC190" s="12" t="str">
        <f t="shared" si="67"/>
        <v/>
      </c>
      <c r="AD190" s="38"/>
      <c r="AE190" s="8" t="str">
        <f>IF(ISBLANK(AD190)," ",IF(AD190="np",SpecialScores!$C$3,IF(AD190="dnf",SpecialScores!$C$4,MIN( 1000+AD190/SpecialScores!$AA$5*0.0001,(500*LOG(1+99*AD190/SpecialScores!$AA$5))))))</f>
        <v xml:space="preserve"> </v>
      </c>
      <c r="AF190" s="12" t="str">
        <f t="shared" si="68"/>
        <v/>
      </c>
      <c r="AG190" s="38"/>
      <c r="AH190" s="8" t="str">
        <f>IF(ISBLANK(AG190)," ",IF(AG190="np",SpecialScores!$C$3,IF(AG190="dnf",SpecialScores!$C$4,MIN(1000,(500*LOG(1+99*AG190/SpecialScores!$E$3))))))</f>
        <v xml:space="preserve"> </v>
      </c>
      <c r="AI190" s="12" t="str">
        <f t="shared" si="69"/>
        <v/>
      </c>
    </row>
    <row r="191" spans="1:35" x14ac:dyDescent="0.35">
      <c r="A191" s="42"/>
      <c r="E191" s="33" t="str">
        <f t="shared" si="70"/>
        <v xml:space="preserve"> </v>
      </c>
      <c r="F191" s="33" t="str">
        <f t="shared" si="71"/>
        <v xml:space="preserve"> </v>
      </c>
      <c r="G191" s="7" t="str">
        <f t="shared" si="72"/>
        <v xml:space="preserve"> </v>
      </c>
      <c r="H191" s="7" t="str">
        <f t="shared" si="73"/>
        <v xml:space="preserve"> </v>
      </c>
      <c r="I191" s="38"/>
      <c r="J191" s="8" t="str">
        <f>IF(ISBLANK(I191)," ",IF(I191="np",SpecialScores!$C$3,IF(I191="dnf",SpecialScores!$C$4,MIN( 1000+I191/SpecialScores!$E$3*0.0001,(500*LOG(1+99*I191/SpecialScores!$E$3))))))</f>
        <v xml:space="preserve"> </v>
      </c>
      <c r="K191" s="12" t="str">
        <f t="shared" si="61"/>
        <v/>
      </c>
      <c r="L191" s="38"/>
      <c r="M191" s="8" t="str">
        <f>IF(ISBLANK(L191)," ",IF(L191="np",SpecialScores!$C$3,IF(L191="dnf",SpecialScores!$C$4,MIN( 1000+L191/SpecialScores!$H$3*0.0001,(500*LOG(1+99*L191/SpecialScores!$H$3))))))</f>
        <v xml:space="preserve"> </v>
      </c>
      <c r="N191" s="12" t="str">
        <f t="shared" si="62"/>
        <v/>
      </c>
      <c r="O191" s="38"/>
      <c r="P191" s="8" t="str">
        <f>IF(ISBLANK(O191)," ",IF(O191="np",SpecialScores!$C$3,IF(O191="dnf",SpecialScores!$C$4,MIN(1000,(500*LOG(1+99*O191/SpecialScores!$K$3))))))</f>
        <v xml:space="preserve"> </v>
      </c>
      <c r="Q191" s="12" t="str">
        <f t="shared" si="63"/>
        <v/>
      </c>
      <c r="R191" s="38"/>
      <c r="S191" s="8" t="str">
        <f>IF(ISBLANK(R191)," ",IF(R191="np",SpecialScores!$C$3,IF(R191="dnf",SpecialScores!$C$4,      IF(AND(R191&gt;=0,R191&lt;SpecialScores!$O$12), (500*LOG(1+99*R191/SpecialScores!$O$12*SpecialScores!$O$11/SpecialScores!$O$10)),                         MIN((500*LOG(1+99*SpecialScores!$O$11/R191)))))))</f>
        <v xml:space="preserve"> </v>
      </c>
      <c r="T191" s="12" t="str">
        <f t="shared" si="64"/>
        <v/>
      </c>
      <c r="U191" s="38"/>
      <c r="V191" s="8" t="str">
        <f>IF(ISBLANK(U191)," ",IF(U191="np",SpecialScores!$C$3,IF(U191="dnf",SpecialScores!$C$4,MIN((500*LOG(1+99*U191/SpecialScores!$R$3))))))</f>
        <v xml:space="preserve"> </v>
      </c>
      <c r="W191" s="12" t="str">
        <f t="shared" si="65"/>
        <v/>
      </c>
      <c r="X191" s="38"/>
      <c r="Y191" s="8" t="str">
        <f>IF(ISBLANK(X191)," ",IF(X191="np",SpecialScores!$C$3,IF(X191="dnf",SpecialScores!$C$4,MIN( 1000+X191/SpecialScores!$U$3*0.0001,(500*LOG(1+99*X191/SpecialScores!$U$3))))))</f>
        <v xml:space="preserve"> </v>
      </c>
      <c r="Z191" s="12" t="str">
        <f t="shared" si="66"/>
        <v/>
      </c>
      <c r="AA191" s="38"/>
      <c r="AB191" s="8" t="str">
        <f>IF(ISBLANK(AA191)," ",IF(AA191="np",SpecialScores!$C$3,IF(AA191="dnf",SpecialScores!$C$4,      IF(AND(AA191&gt;=0,AA191&lt;SpecialScores!$X$12), (500*LOG(1+99*AA191/SpecialScores!$X$12*SpecialScores!$X$11/SpecialScores!$X$10)),                         MIN((500*LOG(1+99*SpecialScores!$X$11/AA191)))))))</f>
        <v xml:space="preserve"> </v>
      </c>
      <c r="AC191" s="12" t="str">
        <f t="shared" si="67"/>
        <v/>
      </c>
      <c r="AD191" s="38"/>
      <c r="AE191" s="8" t="str">
        <f>IF(ISBLANK(AD191)," ",IF(AD191="np",SpecialScores!$C$3,IF(AD191="dnf",SpecialScores!$C$4,MIN( 1000+AD191/SpecialScores!$AA$5*0.0001,(500*LOG(1+99*AD191/SpecialScores!$AA$5))))))</f>
        <v xml:space="preserve"> </v>
      </c>
      <c r="AF191" s="12" t="str">
        <f t="shared" si="68"/>
        <v/>
      </c>
      <c r="AG191" s="38"/>
      <c r="AH191" s="8" t="str">
        <f>IF(ISBLANK(AG191)," ",IF(AG191="np",SpecialScores!$C$3,IF(AG191="dnf",SpecialScores!$C$4,MIN(1000,(500*LOG(1+99*AG191/SpecialScores!$E$3))))))</f>
        <v xml:space="preserve"> </v>
      </c>
      <c r="AI191" s="12" t="str">
        <f t="shared" si="69"/>
        <v/>
      </c>
    </row>
    <row r="192" spans="1:35" x14ac:dyDescent="0.35">
      <c r="A192" s="42"/>
      <c r="E192" s="33" t="str">
        <f t="shared" si="70"/>
        <v xml:space="preserve"> </v>
      </c>
      <c r="F192" s="33" t="str">
        <f t="shared" si="71"/>
        <v xml:space="preserve"> </v>
      </c>
      <c r="G192" s="7" t="str">
        <f t="shared" si="72"/>
        <v xml:space="preserve"> </v>
      </c>
      <c r="H192" s="7" t="str">
        <f t="shared" si="73"/>
        <v xml:space="preserve"> </v>
      </c>
      <c r="I192" s="38"/>
      <c r="J192" s="8" t="str">
        <f>IF(ISBLANK(I192)," ",IF(I192="np",SpecialScores!$C$3,IF(I192="dnf",SpecialScores!$C$4,MIN( 1000+I192/SpecialScores!$E$3*0.0001,(500*LOG(1+99*I192/SpecialScores!$E$3))))))</f>
        <v xml:space="preserve"> </v>
      </c>
      <c r="K192" s="12" t="str">
        <f t="shared" si="61"/>
        <v/>
      </c>
      <c r="L192" s="38"/>
      <c r="M192" s="8" t="str">
        <f>IF(ISBLANK(L192)," ",IF(L192="np",SpecialScores!$C$3,IF(L192="dnf",SpecialScores!$C$4,MIN( 1000+L192/SpecialScores!$H$3*0.0001,(500*LOG(1+99*L192/SpecialScores!$H$3))))))</f>
        <v xml:space="preserve"> </v>
      </c>
      <c r="N192" s="12" t="str">
        <f t="shared" si="62"/>
        <v/>
      </c>
      <c r="O192" s="38"/>
      <c r="P192" s="8" t="str">
        <f>IF(ISBLANK(O192)," ",IF(O192="np",SpecialScores!$C$3,IF(O192="dnf",SpecialScores!$C$4,MIN(1000,(500*LOG(1+99*O192/SpecialScores!$K$3))))))</f>
        <v xml:space="preserve"> </v>
      </c>
      <c r="Q192" s="12" t="str">
        <f t="shared" si="63"/>
        <v/>
      </c>
      <c r="R192" s="38"/>
      <c r="S192" s="8" t="str">
        <f>IF(ISBLANK(R192)," ",IF(R192="np",SpecialScores!$C$3,IF(R192="dnf",SpecialScores!$C$4,      IF(AND(R192&gt;=0,R192&lt;SpecialScores!$O$12), (500*LOG(1+99*R192/SpecialScores!$O$12*SpecialScores!$O$11/SpecialScores!$O$10)),                         MIN((500*LOG(1+99*SpecialScores!$O$11/R192)))))))</f>
        <v xml:space="preserve"> </v>
      </c>
      <c r="T192" s="12" t="str">
        <f t="shared" si="64"/>
        <v/>
      </c>
      <c r="U192" s="38"/>
      <c r="V192" s="8" t="str">
        <f>IF(ISBLANK(U192)," ",IF(U192="np",SpecialScores!$C$3,IF(U192="dnf",SpecialScores!$C$4,MIN((500*LOG(1+99*U192/SpecialScores!$R$3))))))</f>
        <v xml:space="preserve"> </v>
      </c>
      <c r="W192" s="12" t="str">
        <f t="shared" si="65"/>
        <v/>
      </c>
      <c r="X192" s="38"/>
      <c r="Y192" s="8" t="str">
        <f>IF(ISBLANK(X192)," ",IF(X192="np",SpecialScores!$C$3,IF(X192="dnf",SpecialScores!$C$4,MIN( 1000+X192/SpecialScores!$U$3*0.0001,(500*LOG(1+99*X192/SpecialScores!$U$3))))))</f>
        <v xml:space="preserve"> </v>
      </c>
      <c r="Z192" s="12" t="str">
        <f t="shared" si="66"/>
        <v/>
      </c>
      <c r="AA192" s="38"/>
      <c r="AB192" s="8" t="str">
        <f>IF(ISBLANK(AA192)," ",IF(AA192="np",SpecialScores!$C$3,IF(AA192="dnf",SpecialScores!$C$4,      IF(AND(AA192&gt;=0,AA192&lt;SpecialScores!$X$12), (500*LOG(1+99*AA192/SpecialScores!$X$12*SpecialScores!$X$11/SpecialScores!$X$10)),                         MIN((500*LOG(1+99*SpecialScores!$X$11/AA192)))))))</f>
        <v xml:space="preserve"> </v>
      </c>
      <c r="AC192" s="12" t="str">
        <f t="shared" si="67"/>
        <v/>
      </c>
      <c r="AD192" s="38"/>
      <c r="AE192" s="8" t="str">
        <f>IF(ISBLANK(AD192)," ",IF(AD192="np",SpecialScores!$C$3,IF(AD192="dnf",SpecialScores!$C$4,MIN( 1000+AD192/SpecialScores!$AA$5*0.0001,(500*LOG(1+99*AD192/SpecialScores!$AA$5))))))</f>
        <v xml:space="preserve"> </v>
      </c>
      <c r="AF192" s="12" t="str">
        <f t="shared" si="68"/>
        <v/>
      </c>
      <c r="AG192" s="38"/>
      <c r="AH192" s="8" t="str">
        <f>IF(ISBLANK(AG192)," ",IF(AG192="np",SpecialScores!$C$3,IF(AG192="dnf",SpecialScores!$C$4,MIN(1000,(500*LOG(1+99*AG192/SpecialScores!$E$3))))))</f>
        <v xml:space="preserve"> </v>
      </c>
      <c r="AI192" s="12" t="str">
        <f t="shared" si="69"/>
        <v/>
      </c>
    </row>
    <row r="193" spans="1:42" x14ac:dyDescent="0.35">
      <c r="A193" s="42"/>
      <c r="E193" s="33" t="str">
        <f t="shared" si="70"/>
        <v xml:space="preserve"> </v>
      </c>
      <c r="F193" s="33" t="str">
        <f t="shared" si="71"/>
        <v xml:space="preserve"> </v>
      </c>
      <c r="G193" s="7" t="str">
        <f t="shared" si="72"/>
        <v xml:space="preserve"> </v>
      </c>
      <c r="H193" s="7" t="str">
        <f t="shared" si="73"/>
        <v xml:space="preserve"> </v>
      </c>
      <c r="I193" s="38"/>
      <c r="J193" s="8" t="str">
        <f>IF(ISBLANK(I193)," ",IF(I193="np",SpecialScores!$C$3,IF(I193="dnf",SpecialScores!$C$4,MIN( 1000+I193/SpecialScores!$E$3*0.0001,(500*LOG(1+99*I193/SpecialScores!$E$3))))))</f>
        <v xml:space="preserve"> </v>
      </c>
      <c r="K193" s="12" t="str">
        <f t="shared" si="61"/>
        <v/>
      </c>
      <c r="L193" s="38"/>
      <c r="M193" s="8" t="str">
        <f>IF(ISBLANK(L193)," ",IF(L193="np",SpecialScores!$C$3,IF(L193="dnf",SpecialScores!$C$4,MIN( 1000+L193/SpecialScores!$H$3*0.0001,(500*LOG(1+99*L193/SpecialScores!$H$3))))))</f>
        <v xml:space="preserve"> </v>
      </c>
      <c r="N193" s="12" t="str">
        <f t="shared" si="62"/>
        <v/>
      </c>
      <c r="O193" s="38"/>
      <c r="P193" s="8" t="str">
        <f>IF(ISBLANK(O193)," ",IF(O193="np",SpecialScores!$C$3,IF(O193="dnf",SpecialScores!$C$4,MIN(1000,(500*LOG(1+99*O193/SpecialScores!$K$3))))))</f>
        <v xml:space="preserve"> </v>
      </c>
      <c r="Q193" s="12" t="str">
        <f t="shared" si="63"/>
        <v/>
      </c>
      <c r="R193" s="38"/>
      <c r="S193" s="8" t="str">
        <f>IF(ISBLANK(R193)," ",IF(R193="np",SpecialScores!$C$3,IF(R193="dnf",SpecialScores!$C$4,      IF(AND(R193&gt;=0,R193&lt;SpecialScores!$O$12), (500*LOG(1+99*R193/SpecialScores!$O$12*SpecialScores!$O$11/SpecialScores!$O$10)),                         MIN((500*LOG(1+99*SpecialScores!$O$11/R193)))))))</f>
        <v xml:space="preserve"> </v>
      </c>
      <c r="T193" s="12" t="str">
        <f t="shared" si="64"/>
        <v/>
      </c>
      <c r="U193" s="38"/>
      <c r="V193" s="8" t="str">
        <f>IF(ISBLANK(U193)," ",IF(U193="np",SpecialScores!$C$3,IF(U193="dnf",SpecialScores!$C$4,MIN((500*LOG(1+99*U193/SpecialScores!$R$3))))))</f>
        <v xml:space="preserve"> </v>
      </c>
      <c r="W193" s="12" t="str">
        <f t="shared" si="65"/>
        <v/>
      </c>
      <c r="X193" s="38"/>
      <c r="Y193" s="8" t="str">
        <f>IF(ISBLANK(X193)," ",IF(X193="np",SpecialScores!$C$3,IF(X193="dnf",SpecialScores!$C$4,MIN( 1000+X193/SpecialScores!$U$3*0.0001,(500*LOG(1+99*X193/SpecialScores!$U$3))))))</f>
        <v xml:space="preserve"> </v>
      </c>
      <c r="Z193" s="12" t="str">
        <f t="shared" si="66"/>
        <v/>
      </c>
      <c r="AA193" s="38"/>
      <c r="AB193" s="8" t="str">
        <f>IF(ISBLANK(AA193)," ",IF(AA193="np",SpecialScores!$C$3,IF(AA193="dnf",SpecialScores!$C$4,      IF(AND(AA193&gt;=0,AA193&lt;SpecialScores!$X$12), (500*LOG(1+99*AA193/SpecialScores!$X$12*SpecialScores!$X$11/SpecialScores!$X$10)),                         MIN((500*LOG(1+99*SpecialScores!$X$11/AA193)))))))</f>
        <v xml:space="preserve"> </v>
      </c>
      <c r="AC193" s="12" t="str">
        <f t="shared" si="67"/>
        <v/>
      </c>
      <c r="AD193" s="38"/>
      <c r="AE193" s="8" t="str">
        <f>IF(ISBLANK(AD193)," ",IF(AD193="np",SpecialScores!$C$3,IF(AD193="dnf",SpecialScores!$C$4,MIN( 1000+AD193/SpecialScores!$AA$5*0.0001,(500*LOG(1+99*AD193/SpecialScores!$AA$5))))))</f>
        <v xml:space="preserve"> </v>
      </c>
      <c r="AF193" s="12" t="str">
        <f t="shared" si="68"/>
        <v/>
      </c>
      <c r="AG193" s="38"/>
      <c r="AH193" s="8" t="str">
        <f>IF(ISBLANK(AG193)," ",IF(AG193="np",SpecialScores!$C$3,IF(AG193="dnf",SpecialScores!$C$4,MIN(1000,(500*LOG(1+99*AG193/SpecialScores!$E$3))))))</f>
        <v xml:space="preserve"> </v>
      </c>
      <c r="AI193" s="12" t="str">
        <f t="shared" si="69"/>
        <v/>
      </c>
    </row>
    <row r="194" spans="1:42" x14ac:dyDescent="0.35">
      <c r="A194" s="42"/>
      <c r="E194" s="33" t="str">
        <f t="shared" si="70"/>
        <v xml:space="preserve"> </v>
      </c>
      <c r="F194" s="33" t="str">
        <f t="shared" si="71"/>
        <v xml:space="preserve"> </v>
      </c>
      <c r="G194" s="7" t="str">
        <f t="shared" si="72"/>
        <v xml:space="preserve"> </v>
      </c>
      <c r="H194" s="7" t="str">
        <f t="shared" si="73"/>
        <v xml:space="preserve"> </v>
      </c>
      <c r="I194" s="38"/>
      <c r="J194" s="8" t="str">
        <f>IF(ISBLANK(I194)," ",IF(I194="np",SpecialScores!$C$3,IF(I194="dnf",SpecialScores!$C$4,MIN( 1000+I194/SpecialScores!$E$3*0.0001,(500*LOG(1+99*I194/SpecialScores!$E$3))))))</f>
        <v xml:space="preserve"> </v>
      </c>
      <c r="K194" s="12" t="str">
        <f t="shared" si="61"/>
        <v/>
      </c>
      <c r="L194" s="38"/>
      <c r="M194" s="8" t="str">
        <f>IF(ISBLANK(L194)," ",IF(L194="np",SpecialScores!$C$3,IF(L194="dnf",SpecialScores!$C$4,MIN( 1000+L194/SpecialScores!$H$3*0.0001,(500*LOG(1+99*L194/SpecialScores!$H$3))))))</f>
        <v xml:space="preserve"> </v>
      </c>
      <c r="N194" s="12" t="str">
        <f t="shared" si="62"/>
        <v/>
      </c>
      <c r="O194" s="38"/>
      <c r="P194" s="8" t="str">
        <f>IF(ISBLANK(O194)," ",IF(O194="np",SpecialScores!$C$3,IF(O194="dnf",SpecialScores!$C$4,MIN(1000,(500*LOG(1+99*O194/SpecialScores!$K$3))))))</f>
        <v xml:space="preserve"> </v>
      </c>
      <c r="Q194" s="12" t="str">
        <f t="shared" si="63"/>
        <v/>
      </c>
      <c r="R194" s="38"/>
      <c r="S194" s="8" t="str">
        <f>IF(ISBLANK(R194)," ",IF(R194="np",SpecialScores!$C$3,IF(R194="dnf",SpecialScores!$C$4,      IF(AND(R194&gt;=0,R194&lt;SpecialScores!$O$12), (500*LOG(1+99*R194/SpecialScores!$O$12*SpecialScores!$O$11/SpecialScores!$O$10)),                         MIN((500*LOG(1+99*SpecialScores!$O$11/R194)))))))</f>
        <v xml:space="preserve"> </v>
      </c>
      <c r="T194" s="12" t="str">
        <f t="shared" si="64"/>
        <v/>
      </c>
      <c r="U194" s="38"/>
      <c r="V194" s="8" t="str">
        <f>IF(ISBLANK(U194)," ",IF(U194="np",SpecialScores!$C$3,IF(U194="dnf",SpecialScores!$C$4,MIN((500*LOG(1+99*U194/SpecialScores!$R$3))))))</f>
        <v xml:space="preserve"> </v>
      </c>
      <c r="W194" s="12" t="str">
        <f t="shared" si="65"/>
        <v/>
      </c>
      <c r="X194" s="38"/>
      <c r="Y194" s="8" t="str">
        <f>IF(ISBLANK(X194)," ",IF(X194="np",SpecialScores!$C$3,IF(X194="dnf",SpecialScores!$C$4,MIN( 1000+X194/SpecialScores!$U$3*0.0001,(500*LOG(1+99*X194/SpecialScores!$U$3))))))</f>
        <v xml:space="preserve"> </v>
      </c>
      <c r="Z194" s="12" t="str">
        <f t="shared" si="66"/>
        <v/>
      </c>
      <c r="AA194" s="38"/>
      <c r="AB194" s="8" t="str">
        <f>IF(ISBLANK(AA194)," ",IF(AA194="np",SpecialScores!$C$3,IF(AA194="dnf",SpecialScores!$C$4,      IF(AND(AA194&gt;=0,AA194&lt;SpecialScores!$X$12), (500*LOG(1+99*AA194/SpecialScores!$X$12*SpecialScores!$X$11/SpecialScores!$X$10)),                         MIN((500*LOG(1+99*SpecialScores!$X$11/AA194)))))))</f>
        <v xml:space="preserve"> </v>
      </c>
      <c r="AC194" s="12" t="str">
        <f t="shared" si="67"/>
        <v/>
      </c>
      <c r="AD194" s="38"/>
      <c r="AE194" s="8" t="str">
        <f>IF(ISBLANK(AD194)," ",IF(AD194="np",SpecialScores!$C$3,IF(AD194="dnf",SpecialScores!$C$4,MIN( 1000+AD194/SpecialScores!$AA$5*0.0001,(500*LOG(1+99*AD194/SpecialScores!$AA$5))))))</f>
        <v xml:space="preserve"> </v>
      </c>
      <c r="AF194" s="12" t="str">
        <f t="shared" si="68"/>
        <v/>
      </c>
      <c r="AG194" s="38"/>
      <c r="AH194" s="8" t="str">
        <f>IF(ISBLANK(AG194)," ",IF(AG194="np",SpecialScores!$C$3,IF(AG194="dnf",SpecialScores!$C$4,MIN(1000,(500*LOG(1+99*AG194/SpecialScores!$E$3))))))</f>
        <v xml:space="preserve"> </v>
      </c>
      <c r="AI194" s="12" t="str">
        <f t="shared" si="69"/>
        <v/>
      </c>
    </row>
    <row r="195" spans="1:42" x14ac:dyDescent="0.35">
      <c r="A195" s="42"/>
      <c r="E195" s="33" t="str">
        <f t="shared" si="70"/>
        <v xml:space="preserve"> </v>
      </c>
      <c r="F195" s="33" t="str">
        <f t="shared" si="71"/>
        <v xml:space="preserve"> </v>
      </c>
      <c r="G195" s="7" t="str">
        <f t="shared" si="72"/>
        <v xml:space="preserve"> </v>
      </c>
      <c r="H195" s="7" t="str">
        <f t="shared" si="73"/>
        <v xml:space="preserve"> </v>
      </c>
      <c r="I195" s="38"/>
      <c r="J195" s="8" t="str">
        <f>IF(ISBLANK(I195)," ",IF(I195="np",SpecialScores!$C$3,IF(I195="dnf",SpecialScores!$C$4,MIN( 1000+I195/SpecialScores!$E$3*0.0001,(500*LOG(1+99*I195/SpecialScores!$E$3))))))</f>
        <v xml:space="preserve"> </v>
      </c>
      <c r="K195" s="12" t="str">
        <f t="shared" si="61"/>
        <v/>
      </c>
      <c r="L195" s="38"/>
      <c r="M195" s="8" t="str">
        <f>IF(ISBLANK(L195)," ",IF(L195="np",SpecialScores!$C$3,IF(L195="dnf",SpecialScores!$C$4,MIN( 1000+L195/SpecialScores!$H$3*0.0001,(500*LOG(1+99*L195/SpecialScores!$H$3))))))</f>
        <v xml:space="preserve"> </v>
      </c>
      <c r="N195" s="12" t="str">
        <f t="shared" si="62"/>
        <v/>
      </c>
      <c r="O195" s="38"/>
      <c r="P195" s="8" t="str">
        <f>IF(ISBLANK(O195)," ",IF(O195="np",SpecialScores!$C$3,IF(O195="dnf",SpecialScores!$C$4,MIN(1000,(500*LOG(1+99*O195/SpecialScores!$K$3))))))</f>
        <v xml:space="preserve"> </v>
      </c>
      <c r="Q195" s="12" t="str">
        <f t="shared" si="63"/>
        <v/>
      </c>
      <c r="R195" s="38"/>
      <c r="S195" s="8" t="str">
        <f>IF(ISBLANK(R195)," ",IF(R195="np",SpecialScores!$C$3,IF(R195="dnf",SpecialScores!$C$4,      IF(AND(R195&gt;=0,R195&lt;SpecialScores!$O$12), (500*LOG(1+99*R195/SpecialScores!$O$12*SpecialScores!$O$11/SpecialScores!$O$10)),                         MIN((500*LOG(1+99*SpecialScores!$O$11/R195)))))))</f>
        <v xml:space="preserve"> </v>
      </c>
      <c r="T195" s="12" t="str">
        <f t="shared" si="64"/>
        <v/>
      </c>
      <c r="U195" s="38"/>
      <c r="V195" s="8" t="str">
        <f>IF(ISBLANK(U195)," ",IF(U195="np",SpecialScores!$C$3,IF(U195="dnf",SpecialScores!$C$4,MIN((500*LOG(1+99*U195/SpecialScores!$R$3))))))</f>
        <v xml:space="preserve"> </v>
      </c>
      <c r="W195" s="12" t="str">
        <f t="shared" si="65"/>
        <v/>
      </c>
      <c r="X195" s="38"/>
      <c r="Y195" s="8" t="str">
        <f>IF(ISBLANK(X195)," ",IF(X195="np",SpecialScores!$C$3,IF(X195="dnf",SpecialScores!$C$4,MIN( 1000+X195/SpecialScores!$U$3*0.0001,(500*LOG(1+99*X195/SpecialScores!$U$3))))))</f>
        <v xml:space="preserve"> </v>
      </c>
      <c r="Z195" s="12" t="str">
        <f t="shared" si="66"/>
        <v/>
      </c>
      <c r="AA195" s="38"/>
      <c r="AB195" s="8" t="str">
        <f>IF(ISBLANK(AA195)," ",IF(AA195="np",SpecialScores!$C$3,IF(AA195="dnf",SpecialScores!$C$4,      IF(AND(AA195&gt;=0,AA195&lt;SpecialScores!$X$12), (500*LOG(1+99*AA195/SpecialScores!$X$12*SpecialScores!$X$11/SpecialScores!$X$10)),                         MIN((500*LOG(1+99*SpecialScores!$X$11/AA195)))))))</f>
        <v xml:space="preserve"> </v>
      </c>
      <c r="AC195" s="12" t="str">
        <f t="shared" si="67"/>
        <v/>
      </c>
      <c r="AD195" s="38"/>
      <c r="AE195" s="8" t="str">
        <f>IF(ISBLANK(AD195)," ",IF(AD195="np",SpecialScores!$C$3,IF(AD195="dnf",SpecialScores!$C$4,MIN( 1000+AD195/SpecialScores!$AA$5*0.0001,(500*LOG(1+99*AD195/SpecialScores!$AA$5))))))</f>
        <v xml:space="preserve"> </v>
      </c>
      <c r="AF195" s="12" t="str">
        <f t="shared" si="68"/>
        <v/>
      </c>
      <c r="AG195" s="38"/>
      <c r="AH195" s="8" t="str">
        <f>IF(ISBLANK(AG195)," ",IF(AG195="np",SpecialScores!$C$3,IF(AG195="dnf",SpecialScores!$C$4,MIN(1000,(500*LOG(1+99*AG195/SpecialScores!$E$3))))))</f>
        <v xml:space="preserve"> </v>
      </c>
      <c r="AI195" s="12" t="str">
        <f t="shared" si="69"/>
        <v/>
      </c>
    </row>
    <row r="196" spans="1:42" x14ac:dyDescent="0.35">
      <c r="A196" s="42"/>
      <c r="E196" s="33" t="str">
        <f t="shared" si="70"/>
        <v xml:space="preserve"> </v>
      </c>
      <c r="F196" s="33" t="str">
        <f t="shared" si="71"/>
        <v xml:space="preserve"> </v>
      </c>
      <c r="G196" s="7" t="str">
        <f t="shared" si="72"/>
        <v xml:space="preserve"> </v>
      </c>
      <c r="H196" s="7" t="str">
        <f t="shared" si="73"/>
        <v xml:space="preserve"> </v>
      </c>
      <c r="I196" s="38"/>
      <c r="J196" s="8" t="str">
        <f>IF(ISBLANK(I196)," ",IF(I196="np",SpecialScores!$C$3,IF(I196="dnf",SpecialScores!$C$4,MIN( 1000+I196/SpecialScores!$E$3*0.0001,(500*LOG(1+99*I196/SpecialScores!$E$3))))))</f>
        <v xml:space="preserve"> </v>
      </c>
      <c r="K196" s="12" t="str">
        <f t="shared" si="61"/>
        <v/>
      </c>
      <c r="L196" s="38"/>
      <c r="M196" s="8" t="str">
        <f>IF(ISBLANK(L196)," ",IF(L196="np",SpecialScores!$C$3,IF(L196="dnf",SpecialScores!$C$4,MIN( 1000+L196/SpecialScores!$H$3*0.0001,(500*LOG(1+99*L196/SpecialScores!$H$3))))))</f>
        <v xml:space="preserve"> </v>
      </c>
      <c r="N196" s="12" t="str">
        <f t="shared" si="62"/>
        <v/>
      </c>
      <c r="O196" s="38"/>
      <c r="P196" s="8" t="str">
        <f>IF(ISBLANK(O196)," ",IF(O196="np",SpecialScores!$C$3,IF(O196="dnf",SpecialScores!$C$4,MIN(1000,(500*LOG(1+99*O196/SpecialScores!$K$3))))))</f>
        <v xml:space="preserve"> </v>
      </c>
      <c r="Q196" s="12" t="str">
        <f t="shared" si="63"/>
        <v/>
      </c>
      <c r="R196" s="38"/>
      <c r="S196" s="8" t="str">
        <f>IF(ISBLANK(R196)," ",IF(R196="np",SpecialScores!$C$3,IF(R196="dnf",SpecialScores!$C$4,      IF(AND(R196&gt;=0,R196&lt;SpecialScores!$O$12), (500*LOG(1+99*R196/SpecialScores!$O$12*SpecialScores!$O$11/SpecialScores!$O$10)),                         MIN((500*LOG(1+99*SpecialScores!$O$11/R196)))))))</f>
        <v xml:space="preserve"> </v>
      </c>
      <c r="T196" s="12" t="str">
        <f t="shared" si="64"/>
        <v/>
      </c>
      <c r="U196" s="38"/>
      <c r="V196" s="8" t="str">
        <f>IF(ISBLANK(U196)," ",IF(U196="np",SpecialScores!$C$3,IF(U196="dnf",SpecialScores!$C$4,MIN((500*LOG(1+99*U196/SpecialScores!$R$3))))))</f>
        <v xml:space="preserve"> </v>
      </c>
      <c r="W196" s="12" t="str">
        <f t="shared" si="65"/>
        <v/>
      </c>
      <c r="X196" s="38"/>
      <c r="Y196" s="8" t="str">
        <f>IF(ISBLANK(X196)," ",IF(X196="np",SpecialScores!$C$3,IF(X196="dnf",SpecialScores!$C$4,MIN( 1000+X196/SpecialScores!$U$3*0.0001,(500*LOG(1+99*X196/SpecialScores!$U$3))))))</f>
        <v xml:space="preserve"> </v>
      </c>
      <c r="Z196" s="12" t="str">
        <f t="shared" si="66"/>
        <v/>
      </c>
      <c r="AA196" s="38"/>
      <c r="AB196" s="8" t="str">
        <f>IF(ISBLANK(AA196)," ",IF(AA196="np",SpecialScores!$C$3,IF(AA196="dnf",SpecialScores!$C$4,      IF(AND(AA196&gt;=0,AA196&lt;SpecialScores!$X$12), (500*LOG(1+99*AA196/SpecialScores!$X$12*SpecialScores!$X$11/SpecialScores!$X$10)),                         MIN((500*LOG(1+99*SpecialScores!$X$11/AA196)))))))</f>
        <v xml:space="preserve"> </v>
      </c>
      <c r="AC196" s="12" t="str">
        <f t="shared" si="67"/>
        <v/>
      </c>
      <c r="AD196" s="38"/>
      <c r="AE196" s="8" t="str">
        <f>IF(ISBLANK(AD196)," ",IF(AD196="np",SpecialScores!$C$3,IF(AD196="dnf",SpecialScores!$C$4,MIN( 1000+AD196/SpecialScores!$AA$5*0.0001,(500*LOG(1+99*AD196/SpecialScores!$AA$5))))))</f>
        <v xml:space="preserve"> </v>
      </c>
      <c r="AF196" s="12" t="str">
        <f t="shared" si="68"/>
        <v/>
      </c>
      <c r="AG196" s="38"/>
      <c r="AH196" s="8" t="str">
        <f>IF(ISBLANK(AG196)," ",IF(AG196="np",SpecialScores!$C$3,IF(AG196="dnf",SpecialScores!$C$4,MIN(1000,(500*LOG(1+99*AG196/SpecialScores!$E$3))))))</f>
        <v xml:space="preserve"> </v>
      </c>
      <c r="AI196" s="12" t="str">
        <f t="shared" si="69"/>
        <v/>
      </c>
    </row>
    <row r="197" spans="1:42" x14ac:dyDescent="0.35">
      <c r="A197" s="42"/>
      <c r="E197" s="33" t="str">
        <f t="shared" si="70"/>
        <v xml:space="preserve"> </v>
      </c>
      <c r="F197" s="33" t="str">
        <f t="shared" si="71"/>
        <v xml:space="preserve"> </v>
      </c>
      <c r="G197" s="7" t="str">
        <f t="shared" si="72"/>
        <v xml:space="preserve"> </v>
      </c>
      <c r="H197" s="7" t="str">
        <f t="shared" si="73"/>
        <v xml:space="preserve"> </v>
      </c>
      <c r="I197" s="38"/>
      <c r="J197" s="8" t="str">
        <f>IF(ISBLANK(I197)," ",IF(I197="np",SpecialScores!$C$3,IF(I197="dnf",SpecialScores!$C$4,MIN( 1000+I197/SpecialScores!$E$3*0.0001,(500*LOG(1+99*I197/SpecialScores!$E$3))))))</f>
        <v xml:space="preserve"> </v>
      </c>
      <c r="K197" s="12" t="str">
        <f t="shared" si="61"/>
        <v/>
      </c>
      <c r="L197" s="38"/>
      <c r="M197" s="8" t="str">
        <f>IF(ISBLANK(L197)," ",IF(L197="np",SpecialScores!$C$3,IF(L197="dnf",SpecialScores!$C$4,MIN( 1000+L197/SpecialScores!$H$3*0.0001,(500*LOG(1+99*L197/SpecialScores!$H$3))))))</f>
        <v xml:space="preserve"> </v>
      </c>
      <c r="N197" s="12" t="str">
        <f t="shared" si="62"/>
        <v/>
      </c>
      <c r="O197" s="38"/>
      <c r="P197" s="8" t="str">
        <f>IF(ISBLANK(O197)," ",IF(O197="np",SpecialScores!$C$3,IF(O197="dnf",SpecialScores!$C$4,MIN(1000,(500*LOG(1+99*O197/SpecialScores!$K$3))))))</f>
        <v xml:space="preserve"> </v>
      </c>
      <c r="Q197" s="12" t="str">
        <f t="shared" si="63"/>
        <v/>
      </c>
      <c r="R197" s="38"/>
      <c r="S197" s="8" t="str">
        <f>IF(ISBLANK(R197)," ",IF(R197="np",SpecialScores!$C$3,IF(R197="dnf",SpecialScores!$C$4,      IF(AND(R197&gt;=0,R197&lt;SpecialScores!$O$12), (500*LOG(1+99*R197/SpecialScores!$O$12*SpecialScores!$O$11/SpecialScores!$O$10)),                         MIN((500*LOG(1+99*SpecialScores!$O$11/R197)))))))</f>
        <v xml:space="preserve"> </v>
      </c>
      <c r="T197" s="12" t="str">
        <f t="shared" si="64"/>
        <v/>
      </c>
      <c r="U197" s="38"/>
      <c r="V197" s="8" t="str">
        <f>IF(ISBLANK(U197)," ",IF(U197="np",SpecialScores!$C$3,IF(U197="dnf",SpecialScores!$C$4,MIN((500*LOG(1+99*U197/SpecialScores!$R$3))))))</f>
        <v xml:space="preserve"> </v>
      </c>
      <c r="W197" s="12" t="str">
        <f t="shared" si="65"/>
        <v/>
      </c>
      <c r="X197" s="38"/>
      <c r="Y197" s="8" t="str">
        <f>IF(ISBLANK(X197)," ",IF(X197="np",SpecialScores!$C$3,IF(X197="dnf",SpecialScores!$C$4,MIN( 1000+X197/SpecialScores!$U$3*0.0001,(500*LOG(1+99*X197/SpecialScores!$U$3))))))</f>
        <v xml:space="preserve"> </v>
      </c>
      <c r="Z197" s="12" t="str">
        <f t="shared" si="66"/>
        <v/>
      </c>
      <c r="AA197" s="38"/>
      <c r="AB197" s="8" t="str">
        <f>IF(ISBLANK(AA197)," ",IF(AA197="np",SpecialScores!$C$3,IF(AA197="dnf",SpecialScores!$C$4,      IF(AND(AA197&gt;=0,AA197&lt;SpecialScores!$X$12), (500*LOG(1+99*AA197/SpecialScores!$X$12*SpecialScores!$X$11/SpecialScores!$X$10)),                         MIN((500*LOG(1+99*SpecialScores!$X$11/AA197)))))))</f>
        <v xml:space="preserve"> </v>
      </c>
      <c r="AC197" s="12" t="str">
        <f t="shared" si="67"/>
        <v/>
      </c>
      <c r="AD197" s="38"/>
      <c r="AE197" s="8" t="str">
        <f>IF(ISBLANK(AD197)," ",IF(AD197="np",SpecialScores!$C$3,IF(AD197="dnf",SpecialScores!$C$4,MIN( 1000+AD197/SpecialScores!$AA$5*0.0001,(500*LOG(1+99*AD197/SpecialScores!$AA$5))))))</f>
        <v xml:space="preserve"> </v>
      </c>
      <c r="AF197" s="12" t="str">
        <f t="shared" si="68"/>
        <v/>
      </c>
      <c r="AG197" s="38"/>
      <c r="AH197" s="8" t="str">
        <f>IF(ISBLANK(AG197)," ",IF(AG197="np",SpecialScores!$C$3,IF(AG197="dnf",SpecialScores!$C$4,MIN(1000,(500*LOG(1+99*AG197/SpecialScores!$E$3))))))</f>
        <v xml:space="preserve"> </v>
      </c>
      <c r="AI197" s="12" t="str">
        <f t="shared" si="69"/>
        <v/>
      </c>
    </row>
    <row r="198" spans="1:42" x14ac:dyDescent="0.35">
      <c r="A198" s="42"/>
      <c r="E198" s="33" t="str">
        <f t="shared" si="70"/>
        <v xml:space="preserve"> </v>
      </c>
      <c r="F198" s="33" t="str">
        <f t="shared" si="71"/>
        <v xml:space="preserve"> </v>
      </c>
      <c r="G198" s="7" t="str">
        <f t="shared" si="72"/>
        <v xml:space="preserve"> </v>
      </c>
      <c r="H198" s="7" t="str">
        <f t="shared" si="73"/>
        <v xml:space="preserve"> </v>
      </c>
      <c r="I198" s="38"/>
      <c r="J198" s="8" t="str">
        <f>IF(ISBLANK(I198)," ",IF(I198="np",SpecialScores!$C$3,IF(I198="dnf",SpecialScores!$C$4,MIN( 1000+I198/SpecialScores!$E$3*0.0001,(500*LOG(1+99*I198/SpecialScores!$E$3))))))</f>
        <v xml:space="preserve"> </v>
      </c>
      <c r="K198" s="12" t="str">
        <f t="shared" si="61"/>
        <v/>
      </c>
      <c r="L198" s="38"/>
      <c r="M198" s="8" t="str">
        <f>IF(ISBLANK(L198)," ",IF(L198="np",SpecialScores!$C$3,IF(L198="dnf",SpecialScores!$C$4,MIN( 1000+L198/SpecialScores!$H$3*0.0001,(500*LOG(1+99*L198/SpecialScores!$H$3))))))</f>
        <v xml:space="preserve"> </v>
      </c>
      <c r="N198" s="12" t="str">
        <f t="shared" si="62"/>
        <v/>
      </c>
      <c r="O198" s="38"/>
      <c r="P198" s="8" t="str">
        <f>IF(ISBLANK(O198)," ",IF(O198="np",SpecialScores!$C$3,IF(O198="dnf",SpecialScores!$C$4,MIN(1000,(500*LOG(1+99*O198/SpecialScores!$K$3))))))</f>
        <v xml:space="preserve"> </v>
      </c>
      <c r="Q198" s="12" t="str">
        <f t="shared" si="63"/>
        <v/>
      </c>
      <c r="R198" s="38"/>
      <c r="S198" s="8" t="str">
        <f>IF(ISBLANK(R198)," ",IF(R198="np",SpecialScores!$C$3,IF(R198="dnf",SpecialScores!$C$4,      IF(AND(R198&gt;=0,R198&lt;SpecialScores!$O$12), (500*LOG(1+99*R198/SpecialScores!$O$12*SpecialScores!$O$11/SpecialScores!$O$10)),                         MIN((500*LOG(1+99*SpecialScores!$O$11/R198)))))))</f>
        <v xml:space="preserve"> </v>
      </c>
      <c r="T198" s="12" t="str">
        <f t="shared" si="64"/>
        <v/>
      </c>
      <c r="U198" s="38"/>
      <c r="V198" s="8" t="str">
        <f>IF(ISBLANK(U198)," ",IF(U198="np",SpecialScores!$C$3,IF(U198="dnf",SpecialScores!$C$4,MIN((500*LOG(1+99*U198/SpecialScores!$R$3))))))</f>
        <v xml:space="preserve"> </v>
      </c>
      <c r="W198" s="12" t="str">
        <f t="shared" si="65"/>
        <v/>
      </c>
      <c r="X198" s="38"/>
      <c r="Y198" s="8" t="str">
        <f>IF(ISBLANK(X198)," ",IF(X198="np",SpecialScores!$C$3,IF(X198="dnf",SpecialScores!$C$4,MIN( 1000+X198/SpecialScores!$U$3*0.0001,(500*LOG(1+99*X198/SpecialScores!$U$3))))))</f>
        <v xml:space="preserve"> </v>
      </c>
      <c r="Z198" s="12" t="str">
        <f t="shared" si="66"/>
        <v/>
      </c>
      <c r="AA198" s="38"/>
      <c r="AB198" s="8" t="str">
        <f>IF(ISBLANK(AA198)," ",IF(AA198="np",SpecialScores!$C$3,IF(AA198="dnf",SpecialScores!$C$4,      IF(AND(AA198&gt;=0,AA198&lt;SpecialScores!$X$12), (500*LOG(1+99*AA198/SpecialScores!$X$12*SpecialScores!$X$11/SpecialScores!$X$10)),                         MIN((500*LOG(1+99*SpecialScores!$X$11/AA198)))))))</f>
        <v xml:space="preserve"> </v>
      </c>
      <c r="AC198" s="12" t="str">
        <f t="shared" si="67"/>
        <v/>
      </c>
      <c r="AD198" s="38"/>
      <c r="AE198" s="8" t="str">
        <f>IF(ISBLANK(AD198)," ",IF(AD198="np",SpecialScores!$C$3,IF(AD198="dnf",SpecialScores!$C$4,MIN( 1000+AD198/SpecialScores!$AA$5*0.0001,(500*LOG(1+99*AD198/SpecialScores!$AA$5))))))</f>
        <v xml:space="preserve"> </v>
      </c>
      <c r="AF198" s="12" t="str">
        <f t="shared" si="68"/>
        <v/>
      </c>
      <c r="AG198" s="38"/>
      <c r="AH198" s="8" t="str">
        <f>IF(ISBLANK(AG198)," ",IF(AG198="np",SpecialScores!$C$3,IF(AG198="dnf",SpecialScores!$C$4,MIN(1000,(500*LOG(1+99*AG198/SpecialScores!$E$3))))))</f>
        <v xml:space="preserve"> </v>
      </c>
      <c r="AI198" s="12" t="str">
        <f t="shared" si="69"/>
        <v/>
      </c>
    </row>
    <row r="199" spans="1:42" x14ac:dyDescent="0.35">
      <c r="A199" s="42"/>
      <c r="E199" s="33" t="str">
        <f t="shared" si="70"/>
        <v xml:space="preserve"> </v>
      </c>
      <c r="F199" s="33" t="str">
        <f t="shared" si="71"/>
        <v xml:space="preserve"> </v>
      </c>
      <c r="G199" s="7" t="str">
        <f t="shared" si="72"/>
        <v xml:space="preserve"> </v>
      </c>
      <c r="H199" s="7" t="str">
        <f t="shared" si="73"/>
        <v xml:space="preserve"> </v>
      </c>
      <c r="I199" s="38"/>
      <c r="J199" s="8" t="str">
        <f>IF(ISBLANK(I199)," ",IF(I199="np",SpecialScores!$C$3,IF(I199="dnf",SpecialScores!$C$4,MIN( 1000+I199/SpecialScores!$E$3*0.0001,(500*LOG(1+99*I199/SpecialScores!$E$3))))))</f>
        <v xml:space="preserve"> </v>
      </c>
      <c r="K199" s="12" t="str">
        <f t="shared" si="61"/>
        <v/>
      </c>
      <c r="L199" s="38"/>
      <c r="M199" s="8" t="str">
        <f>IF(ISBLANK(L199)," ",IF(L199="np",SpecialScores!$C$3,IF(L199="dnf",SpecialScores!$C$4,MIN( 1000+L199/SpecialScores!$H$3*0.0001,(500*LOG(1+99*L199/SpecialScores!$H$3))))))</f>
        <v xml:space="preserve"> </v>
      </c>
      <c r="N199" s="12" t="str">
        <f t="shared" si="62"/>
        <v/>
      </c>
      <c r="O199" s="38"/>
      <c r="P199" s="8" t="str">
        <f>IF(ISBLANK(O199)," ",IF(O199="np",SpecialScores!$C$3,IF(O199="dnf",SpecialScores!$C$4,MIN(1000,(500*LOG(1+99*O199/SpecialScores!$K$3))))))</f>
        <v xml:space="preserve"> </v>
      </c>
      <c r="Q199" s="12" t="str">
        <f t="shared" si="63"/>
        <v/>
      </c>
      <c r="R199" s="38"/>
      <c r="S199" s="8" t="str">
        <f>IF(ISBLANK(R199)," ",IF(R199="np",SpecialScores!$C$3,IF(R199="dnf",SpecialScores!$C$4,      IF(AND(R199&gt;=0,R199&lt;SpecialScores!$O$12), (500*LOG(1+99*R199/SpecialScores!$O$12*SpecialScores!$O$11/SpecialScores!$O$10)),                         MIN((500*LOG(1+99*SpecialScores!$O$11/R199)))))))</f>
        <v xml:space="preserve"> </v>
      </c>
      <c r="T199" s="12" t="str">
        <f t="shared" si="64"/>
        <v/>
      </c>
      <c r="U199" s="38"/>
      <c r="V199" s="8" t="str">
        <f>IF(ISBLANK(U199)," ",IF(U199="np",SpecialScores!$C$3,IF(U199="dnf",SpecialScores!$C$4,MIN((500*LOG(1+99*U199/SpecialScores!$R$3))))))</f>
        <v xml:space="preserve"> </v>
      </c>
      <c r="W199" s="12" t="str">
        <f t="shared" si="65"/>
        <v/>
      </c>
      <c r="X199" s="38"/>
      <c r="Y199" s="8" t="str">
        <f>IF(ISBLANK(X199)," ",IF(X199="np",SpecialScores!$C$3,IF(X199="dnf",SpecialScores!$C$4,MIN( 1000+X199/SpecialScores!$U$3*0.0001,(500*LOG(1+99*X199/SpecialScores!$U$3))))))</f>
        <v xml:space="preserve"> </v>
      </c>
      <c r="Z199" s="12" t="str">
        <f t="shared" si="66"/>
        <v/>
      </c>
      <c r="AA199" s="38"/>
      <c r="AB199" s="8" t="str">
        <f>IF(ISBLANK(AA199)," ",IF(AA199="np",SpecialScores!$C$3,IF(AA199="dnf",SpecialScores!$C$4,      IF(AND(AA199&gt;=0,AA199&lt;SpecialScores!$X$12), (500*LOG(1+99*AA199/SpecialScores!$X$12*SpecialScores!$X$11/SpecialScores!$X$10)),                         MIN((500*LOG(1+99*SpecialScores!$X$11/AA199)))))))</f>
        <v xml:space="preserve"> </v>
      </c>
      <c r="AC199" s="12" t="str">
        <f t="shared" si="67"/>
        <v/>
      </c>
      <c r="AD199" s="38"/>
      <c r="AE199" s="8" t="str">
        <f>IF(ISBLANK(AD199)," ",IF(AD199="np",SpecialScores!$C$3,IF(AD199="dnf",SpecialScores!$C$4,MIN( 1000+AD199/SpecialScores!$AA$5*0.0001,(500*LOG(1+99*AD199/SpecialScores!$AA$5))))))</f>
        <v xml:space="preserve"> </v>
      </c>
      <c r="AF199" s="12" t="str">
        <f t="shared" si="68"/>
        <v/>
      </c>
      <c r="AG199" s="38"/>
      <c r="AH199" s="8" t="str">
        <f>IF(ISBLANK(AG199)," ",IF(AG199="np",SpecialScores!$C$3,IF(AG199="dnf",SpecialScores!$C$4,MIN(1000,(500*LOG(1+99*AG199/SpecialScores!$E$3))))))</f>
        <v xml:space="preserve"> </v>
      </c>
      <c r="AI199" s="12" t="str">
        <f t="shared" si="69"/>
        <v/>
      </c>
    </row>
    <row r="200" spans="1:42" x14ac:dyDescent="0.35">
      <c r="A200" s="42"/>
      <c r="E200" s="33" t="str">
        <f t="shared" si="70"/>
        <v xml:space="preserve"> </v>
      </c>
      <c r="F200" s="33" t="str">
        <f t="shared" si="71"/>
        <v xml:space="preserve"> </v>
      </c>
      <c r="G200" s="7" t="str">
        <f t="shared" si="72"/>
        <v xml:space="preserve"> </v>
      </c>
      <c r="H200" s="7" t="str">
        <f t="shared" si="73"/>
        <v xml:space="preserve"> </v>
      </c>
      <c r="I200" s="38"/>
      <c r="J200" s="8" t="str">
        <f>IF(ISBLANK(I200)," ",IF(I200="np",SpecialScores!$C$3,IF(I200="dnf",SpecialScores!$C$4,MIN( 1000+I200/SpecialScores!$E$3*0.0001,(500*LOG(1+99*I200/SpecialScores!$E$3))))))</f>
        <v xml:space="preserve"> </v>
      </c>
      <c r="K200" s="12" t="str">
        <f t="shared" si="61"/>
        <v/>
      </c>
      <c r="L200" s="38"/>
      <c r="M200" s="8" t="str">
        <f>IF(ISBLANK(L200)," ",IF(L200="np",SpecialScores!$C$3,IF(L200="dnf",SpecialScores!$C$4,MIN( 1000+L200/SpecialScores!$H$3*0.0001,(500*LOG(1+99*L200/SpecialScores!$H$3))))))</f>
        <v xml:space="preserve"> </v>
      </c>
      <c r="N200" s="12" t="str">
        <f t="shared" si="62"/>
        <v/>
      </c>
      <c r="O200" s="38"/>
      <c r="P200" s="8" t="str">
        <f>IF(ISBLANK(O200)," ",IF(O200="np",SpecialScores!$C$3,IF(O200="dnf",SpecialScores!$C$4,MIN(1000,(500*LOG(1+99*O200/SpecialScores!$K$3))))))</f>
        <v xml:space="preserve"> </v>
      </c>
      <c r="Q200" s="12" t="str">
        <f t="shared" si="63"/>
        <v/>
      </c>
      <c r="R200" s="38"/>
      <c r="S200" s="8" t="str">
        <f>IF(ISBLANK(R200)," ",IF(R200="np",SpecialScores!$C$3,IF(R200="dnf",SpecialScores!$C$4,      IF(AND(R200&gt;=0,R200&lt;SpecialScores!$O$12), (500*LOG(1+99*R200/SpecialScores!$O$12*SpecialScores!$O$11/SpecialScores!$O$10)),                         MIN((500*LOG(1+99*SpecialScores!$O$11/R200)))))))</f>
        <v xml:space="preserve"> </v>
      </c>
      <c r="T200" s="12" t="str">
        <f t="shared" si="64"/>
        <v/>
      </c>
      <c r="U200" s="38"/>
      <c r="V200" s="8" t="str">
        <f>IF(ISBLANK(U200)," ",IF(U200="np",SpecialScores!$C$3,IF(U200="dnf",SpecialScores!$C$4,MIN((500*LOG(1+99*U200/SpecialScores!$R$3))))))</f>
        <v xml:space="preserve"> </v>
      </c>
      <c r="W200" s="12" t="str">
        <f t="shared" si="65"/>
        <v/>
      </c>
      <c r="X200" s="38"/>
      <c r="Y200" s="8" t="str">
        <f>IF(ISBLANK(X200)," ",IF(X200="np",SpecialScores!$C$3,IF(X200="dnf",SpecialScores!$C$4,MIN( 1000+X200/SpecialScores!$U$3*0.0001,(500*LOG(1+99*X200/SpecialScores!$U$3))))))</f>
        <v xml:space="preserve"> </v>
      </c>
      <c r="Z200" s="12" t="str">
        <f t="shared" si="66"/>
        <v/>
      </c>
      <c r="AA200" s="38"/>
      <c r="AB200" s="8" t="str">
        <f>IF(ISBLANK(AA200)," ",IF(AA200="np",SpecialScores!$C$3,IF(AA200="dnf",SpecialScores!$C$4,      IF(AND(AA200&gt;=0,AA200&lt;SpecialScores!$X$12), (500*LOG(1+99*AA200/SpecialScores!$X$12*SpecialScores!$X$11/SpecialScores!$X$10)),                         MIN((500*LOG(1+99*SpecialScores!$X$11/AA200)))))))</f>
        <v xml:space="preserve"> </v>
      </c>
      <c r="AC200" s="12" t="str">
        <f t="shared" si="67"/>
        <v/>
      </c>
      <c r="AD200" s="38"/>
      <c r="AE200" s="8" t="str">
        <f>IF(ISBLANK(AD200)," ",IF(AD200="np",SpecialScores!$C$3,IF(AD200="dnf",SpecialScores!$C$4,MIN( 1000+AD200/SpecialScores!$AA$5*0.0001,(500*LOG(1+99*AD200/SpecialScores!$AA$5))))))</f>
        <v xml:space="preserve"> </v>
      </c>
      <c r="AF200" s="12" t="str">
        <f t="shared" si="68"/>
        <v/>
      </c>
      <c r="AG200" s="38"/>
      <c r="AH200" s="8" t="str">
        <f>IF(ISBLANK(AG200)," ",IF(AG200="np",SpecialScores!$C$3,IF(AG200="dnf",SpecialScores!$C$4,MIN(1000,(500*LOG(1+99*AG200/SpecialScores!$E$3))))))</f>
        <v xml:space="preserve"> </v>
      </c>
      <c r="AI200" s="12" t="str">
        <f t="shared" si="69"/>
        <v/>
      </c>
    </row>
    <row r="201" spans="1:42" s="54" customFormat="1" ht="16" thickBot="1" x14ac:dyDescent="0.4">
      <c r="A201" s="52"/>
      <c r="B201" s="52"/>
      <c r="C201" s="52"/>
      <c r="D201" s="52"/>
      <c r="E201" s="33" t="str">
        <f t="shared" si="70"/>
        <v xml:space="preserve"> </v>
      </c>
      <c r="F201" s="33" t="str">
        <f t="shared" si="71"/>
        <v xml:space="preserve"> </v>
      </c>
      <c r="G201" s="7" t="str">
        <f t="shared" si="72"/>
        <v xml:space="preserve"> </v>
      </c>
      <c r="H201" s="7" t="str">
        <f t="shared" si="73"/>
        <v xml:space="preserve"> </v>
      </c>
      <c r="I201" s="38"/>
      <c r="J201" s="8" t="str">
        <f>IF(ISBLANK(I201)," ",IF(I201="np",SpecialScores!$C$3,IF(I201="dnf",SpecialScores!$C$4,MIN( 1000+I201/SpecialScores!$E$3*0.0001,(500*LOG(1+99*I201/SpecialScores!$E$3))))))</f>
        <v xml:space="preserve"> </v>
      </c>
      <c r="K201" s="12" t="str">
        <f t="shared" si="61"/>
        <v/>
      </c>
      <c r="L201" s="38"/>
      <c r="M201" s="8" t="str">
        <f>IF(ISBLANK(L201)," ",IF(L201="np",SpecialScores!$C$3,IF(L201="dnf",SpecialScores!$C$4,MIN( 1000+L201/SpecialScores!$H$3*0.0001,(500*LOG(1+99*L201/SpecialScores!$H$3))))))</f>
        <v xml:space="preserve"> </v>
      </c>
      <c r="N201" s="12" t="str">
        <f t="shared" si="62"/>
        <v/>
      </c>
      <c r="O201" s="38"/>
      <c r="P201" s="8" t="str">
        <f>IF(ISBLANK(O201)," ",IF(O201="np",SpecialScores!$C$3,IF(O201="dnf",SpecialScores!$C$4,MIN(1000,(500*LOG(1+99*O201/SpecialScores!$K$3))))))</f>
        <v xml:space="preserve"> </v>
      </c>
      <c r="Q201" s="12" t="str">
        <f t="shared" si="63"/>
        <v/>
      </c>
      <c r="R201" s="38"/>
      <c r="S201" s="8" t="str">
        <f>IF(ISBLANK(R201)," ",IF(R201="np",SpecialScores!$C$3,IF(R201="dnf",SpecialScores!$C$4,      IF(AND(R201&gt;=0,R201&lt;SpecialScores!$O$12), (500*LOG(1+99*R201/SpecialScores!$O$12*SpecialScores!$O$11/SpecialScores!$O$10)),                         MIN((500*LOG(1+99*SpecialScores!$O$11/R201)))))))</f>
        <v xml:space="preserve"> </v>
      </c>
      <c r="T201" s="12" t="str">
        <f t="shared" si="64"/>
        <v/>
      </c>
      <c r="U201" s="38"/>
      <c r="V201" s="8" t="str">
        <f>IF(ISBLANK(U201)," ",IF(U201="np",SpecialScores!$C$3,IF(U201="dnf",SpecialScores!$C$4,MIN((500*LOG(1+99*U201/SpecialScores!$R$3))))))</f>
        <v xml:space="preserve"> </v>
      </c>
      <c r="W201" s="12" t="str">
        <f t="shared" si="65"/>
        <v/>
      </c>
      <c r="X201" s="38"/>
      <c r="Y201" s="8" t="str">
        <f>IF(ISBLANK(X201)," ",IF(X201="np",SpecialScores!$C$3,IF(X201="dnf",SpecialScores!$C$4,MIN( 1000+X201/SpecialScores!$U$3*0.0001,(500*LOG(1+99*X201/SpecialScores!$U$3))))))</f>
        <v xml:space="preserve"> </v>
      </c>
      <c r="Z201" s="12" t="str">
        <f t="shared" si="66"/>
        <v/>
      </c>
      <c r="AA201" s="38"/>
      <c r="AB201" s="8" t="str">
        <f>IF(ISBLANK(AA201)," ",IF(AA201="np",SpecialScores!$C$3,IF(AA201="dnf",SpecialScores!$C$4,      IF(AND(AA201&gt;=0,AA201&lt;SpecialScores!$X$12), (500*LOG(1+99*AA201/SpecialScores!$X$12*SpecialScores!$X$11/SpecialScores!$X$10)),                         MIN((500*LOG(1+99*SpecialScores!$X$11/AA201)))))))</f>
        <v xml:space="preserve"> </v>
      </c>
      <c r="AC201" s="12" t="str">
        <f t="shared" si="67"/>
        <v/>
      </c>
      <c r="AD201" s="38"/>
      <c r="AE201" s="8" t="str">
        <f>IF(ISBLANK(AD201)," ",IF(AD201="np",SpecialScores!$C$3,IF(AD201="dnf",SpecialScores!$C$4,MIN( 1000+AD201/SpecialScores!$AA$5*0.0001,(500*LOG(1+99*AD201/SpecialScores!$AA$5))))))</f>
        <v xml:space="preserve"> </v>
      </c>
      <c r="AF201" s="12" t="str">
        <f t="shared" si="68"/>
        <v/>
      </c>
      <c r="AG201" s="38"/>
      <c r="AH201" s="8" t="str">
        <f>IF(ISBLANK(AG201)," ",IF(AG201="np",SpecialScores!$C$3,IF(AG201="dnf",SpecialScores!$C$4,MIN(1000,(500*LOG(1+99*AG201/SpecialScores!$E$3))))))</f>
        <v xml:space="preserve"> </v>
      </c>
      <c r="AI201" s="12" t="str">
        <f t="shared" si="69"/>
        <v/>
      </c>
      <c r="AJ201" s="87"/>
      <c r="AP201" s="53"/>
    </row>
    <row r="202" spans="1:42" s="21" customFormat="1" ht="16" thickTop="1" x14ac:dyDescent="0.35">
      <c r="A202" s="41"/>
      <c r="B202" s="41"/>
      <c r="C202" s="41"/>
      <c r="D202" s="41"/>
      <c r="E202" s="32"/>
      <c r="F202" s="32"/>
      <c r="G202" s="29"/>
      <c r="H202" s="29"/>
      <c r="I202" s="55"/>
      <c r="J202" s="30"/>
      <c r="K202" s="31"/>
      <c r="L202" s="55"/>
      <c r="M202" s="30"/>
      <c r="N202" s="31"/>
      <c r="O202" s="55"/>
      <c r="P202" s="30"/>
      <c r="Q202" s="31"/>
      <c r="R202" s="55"/>
      <c r="S202" s="30"/>
      <c r="T202" s="31"/>
      <c r="U202" s="55"/>
      <c r="V202" s="30"/>
      <c r="W202" s="31"/>
      <c r="X202" s="55"/>
      <c r="Y202" s="30"/>
      <c r="Z202" s="31"/>
      <c r="AA202" s="55"/>
      <c r="AB202" s="30"/>
      <c r="AC202" s="31"/>
      <c r="AD202" s="55"/>
      <c r="AE202" s="30"/>
      <c r="AF202" s="31"/>
      <c r="AG202" s="55"/>
      <c r="AJ202" s="20"/>
      <c r="AP202" s="56"/>
    </row>
    <row r="203" spans="1:42" x14ac:dyDescent="0.35">
      <c r="A203" s="42"/>
      <c r="G203" s="7"/>
      <c r="H203" s="7"/>
    </row>
    <row r="204" spans="1:42" x14ac:dyDescent="0.35">
      <c r="A204" s="42"/>
      <c r="G204" s="7"/>
      <c r="H204" s="7"/>
    </row>
    <row r="205" spans="1:42" x14ac:dyDescent="0.35">
      <c r="A205" s="42"/>
      <c r="G205" s="7"/>
      <c r="H205" s="7"/>
    </row>
    <row r="206" spans="1:42" x14ac:dyDescent="0.35">
      <c r="A206" s="42"/>
      <c r="G206" s="7"/>
      <c r="H206" s="7"/>
    </row>
    <row r="207" spans="1:42" x14ac:dyDescent="0.35">
      <c r="A207" s="42"/>
      <c r="G207" s="7"/>
      <c r="H207" s="7"/>
    </row>
    <row r="208" spans="1:42" x14ac:dyDescent="0.35">
      <c r="A208" s="42"/>
      <c r="G208" s="7"/>
      <c r="H208" s="7"/>
    </row>
    <row r="209" spans="1:8" x14ac:dyDescent="0.35">
      <c r="A209" s="42"/>
      <c r="G209" s="7"/>
      <c r="H209" s="7"/>
    </row>
    <row r="210" spans="1:8" x14ac:dyDescent="0.35">
      <c r="A210" s="42"/>
      <c r="G210" s="7"/>
      <c r="H210" s="7"/>
    </row>
    <row r="211" spans="1:8" x14ac:dyDescent="0.35">
      <c r="A211" s="42"/>
      <c r="G211" s="7"/>
      <c r="H211" s="7"/>
    </row>
    <row r="212" spans="1:8" x14ac:dyDescent="0.35">
      <c r="A212" s="42"/>
      <c r="G212" s="7"/>
      <c r="H212" s="7"/>
    </row>
    <row r="213" spans="1:8" x14ac:dyDescent="0.35">
      <c r="A213" s="42"/>
      <c r="G213" s="7"/>
      <c r="H213" s="7"/>
    </row>
    <row r="214" spans="1:8" x14ac:dyDescent="0.35">
      <c r="A214" s="42"/>
      <c r="G214" s="7"/>
      <c r="H214" s="7"/>
    </row>
    <row r="215" spans="1:8" x14ac:dyDescent="0.35">
      <c r="A215" s="42"/>
      <c r="G215" s="7"/>
      <c r="H215" s="7"/>
    </row>
    <row r="216" spans="1:8" x14ac:dyDescent="0.35">
      <c r="A216" s="42"/>
      <c r="G216" s="7"/>
      <c r="H216" s="7"/>
    </row>
    <row r="217" spans="1:8" x14ac:dyDescent="0.35">
      <c r="A217" s="42"/>
      <c r="G217" s="7"/>
      <c r="H217" s="7"/>
    </row>
    <row r="218" spans="1:8" x14ac:dyDescent="0.35">
      <c r="A218" s="42"/>
      <c r="G218" s="7"/>
      <c r="H218" s="7"/>
    </row>
    <row r="219" spans="1:8" x14ac:dyDescent="0.35">
      <c r="A219" s="42"/>
      <c r="G219" s="7"/>
      <c r="H219" s="7"/>
    </row>
    <row r="220" spans="1:8" x14ac:dyDescent="0.35">
      <c r="A220" s="42"/>
      <c r="G220" s="7"/>
      <c r="H220" s="7"/>
    </row>
    <row r="221" spans="1:8" x14ac:dyDescent="0.35">
      <c r="A221" s="42"/>
      <c r="G221" s="7"/>
      <c r="H221" s="7"/>
    </row>
    <row r="222" spans="1:8" x14ac:dyDescent="0.35">
      <c r="A222" s="42"/>
      <c r="G222" s="7"/>
      <c r="H222" s="7"/>
    </row>
    <row r="223" spans="1:8" x14ac:dyDescent="0.35">
      <c r="A223" s="42"/>
      <c r="G223" s="7"/>
      <c r="H223" s="7"/>
    </row>
    <row r="224" spans="1:8" x14ac:dyDescent="0.35">
      <c r="A224" s="42"/>
      <c r="G224" s="7"/>
      <c r="H224" s="7"/>
    </row>
    <row r="225" spans="1:8" x14ac:dyDescent="0.35">
      <c r="A225" s="42"/>
      <c r="G225" s="7"/>
      <c r="H225" s="7"/>
    </row>
    <row r="226" spans="1:8" x14ac:dyDescent="0.35">
      <c r="A226" s="42"/>
      <c r="G226" s="7"/>
      <c r="H226" s="7"/>
    </row>
    <row r="227" spans="1:8" x14ac:dyDescent="0.35">
      <c r="A227" s="42"/>
      <c r="G227" s="7"/>
      <c r="H227" s="7"/>
    </row>
    <row r="228" spans="1:8" x14ac:dyDescent="0.35">
      <c r="A228" s="42"/>
      <c r="G228" s="7"/>
      <c r="H228" s="7"/>
    </row>
    <row r="229" spans="1:8" x14ac:dyDescent="0.35">
      <c r="A229" s="42"/>
      <c r="G229" s="7"/>
      <c r="H229" s="7"/>
    </row>
    <row r="230" spans="1:8" x14ac:dyDescent="0.35">
      <c r="A230" s="42"/>
      <c r="G230" s="7"/>
      <c r="H230" s="7"/>
    </row>
    <row r="231" spans="1:8" x14ac:dyDescent="0.35">
      <c r="A231" s="42"/>
      <c r="G231" s="7"/>
      <c r="H231" s="7"/>
    </row>
    <row r="232" spans="1:8" x14ac:dyDescent="0.35">
      <c r="A232" s="42"/>
      <c r="G232" s="7"/>
      <c r="H232" s="7"/>
    </row>
    <row r="233" spans="1:8" x14ac:dyDescent="0.35">
      <c r="A233" s="42"/>
      <c r="G233" s="7"/>
      <c r="H233" s="7"/>
    </row>
    <row r="234" spans="1:8" x14ac:dyDescent="0.35">
      <c r="A234" s="42"/>
      <c r="G234" s="7"/>
      <c r="H234" s="7"/>
    </row>
    <row r="235" spans="1:8" x14ac:dyDescent="0.35">
      <c r="A235" s="42"/>
      <c r="G235" s="7"/>
      <c r="H235" s="7"/>
    </row>
    <row r="236" spans="1:8" x14ac:dyDescent="0.35">
      <c r="A236" s="42"/>
      <c r="G236" s="7"/>
      <c r="H236" s="7"/>
    </row>
    <row r="237" spans="1:8" x14ac:dyDescent="0.35">
      <c r="A237" s="42"/>
      <c r="G237" s="7"/>
      <c r="H237" s="7"/>
    </row>
    <row r="238" spans="1:8" x14ac:dyDescent="0.35">
      <c r="A238" s="42"/>
      <c r="G238" s="7"/>
      <c r="H238" s="7"/>
    </row>
    <row r="239" spans="1:8" x14ac:dyDescent="0.35">
      <c r="A239" s="42"/>
      <c r="G239" s="7"/>
      <c r="H239" s="7"/>
    </row>
    <row r="240" spans="1:8" x14ac:dyDescent="0.35">
      <c r="A240" s="42"/>
      <c r="G240" s="7"/>
      <c r="H240" s="7"/>
    </row>
    <row r="241" spans="1:8" x14ac:dyDescent="0.35">
      <c r="A241" s="42"/>
      <c r="G241" s="7"/>
      <c r="H241" s="7"/>
    </row>
    <row r="242" spans="1:8" x14ac:dyDescent="0.35">
      <c r="A242" s="42"/>
      <c r="G242" s="7"/>
      <c r="H242" s="7"/>
    </row>
    <row r="243" spans="1:8" x14ac:dyDescent="0.35">
      <c r="A243" s="42"/>
      <c r="G243" s="7"/>
      <c r="H243" s="7"/>
    </row>
    <row r="244" spans="1:8" x14ac:dyDescent="0.35">
      <c r="A244" s="42"/>
      <c r="G244" s="7"/>
      <c r="H244" s="7"/>
    </row>
    <row r="245" spans="1:8" x14ac:dyDescent="0.35">
      <c r="A245" s="42"/>
      <c r="G245" s="7"/>
      <c r="H245" s="7"/>
    </row>
    <row r="246" spans="1:8" x14ac:dyDescent="0.35">
      <c r="A246" s="42"/>
      <c r="G246" s="7"/>
      <c r="H246" s="7"/>
    </row>
    <row r="247" spans="1:8" x14ac:dyDescent="0.35">
      <c r="A247" s="42"/>
      <c r="G247" s="7"/>
      <c r="H247" s="7"/>
    </row>
    <row r="248" spans="1:8" x14ac:dyDescent="0.35">
      <c r="A248" s="42"/>
      <c r="G248" s="7"/>
      <c r="H248" s="7"/>
    </row>
    <row r="249" spans="1:8" x14ac:dyDescent="0.35">
      <c r="A249" s="42"/>
      <c r="G249" s="7"/>
      <c r="H249" s="7"/>
    </row>
    <row r="250" spans="1:8" x14ac:dyDescent="0.35">
      <c r="A250" s="42"/>
      <c r="G250" s="7"/>
      <c r="H250" s="7"/>
    </row>
    <row r="251" spans="1:8" x14ac:dyDescent="0.35">
      <c r="A251" s="42"/>
      <c r="G251" s="7"/>
      <c r="H251" s="7"/>
    </row>
    <row r="252" spans="1:8" x14ac:dyDescent="0.35">
      <c r="A252" s="42"/>
      <c r="G252" s="7"/>
      <c r="H252" s="7"/>
    </row>
    <row r="253" spans="1:8" x14ac:dyDescent="0.35">
      <c r="A253" s="42"/>
      <c r="G253" s="7"/>
      <c r="H253" s="7"/>
    </row>
    <row r="254" spans="1:8" x14ac:dyDescent="0.35">
      <c r="A254" s="42"/>
      <c r="G254" s="7"/>
      <c r="H254" s="7"/>
    </row>
    <row r="255" spans="1:8" x14ac:dyDescent="0.35">
      <c r="A255" s="42"/>
      <c r="G255" s="7"/>
      <c r="H255" s="7"/>
    </row>
    <row r="256" spans="1:8" x14ac:dyDescent="0.35">
      <c r="A256" s="42"/>
      <c r="G256" s="7"/>
      <c r="H256" s="7"/>
    </row>
    <row r="257" spans="1:8" x14ac:dyDescent="0.35">
      <c r="A257" s="42"/>
      <c r="G257" s="7"/>
      <c r="H257" s="7"/>
    </row>
    <row r="258" spans="1:8" x14ac:dyDescent="0.35">
      <c r="A258" s="42"/>
      <c r="G258" s="7"/>
      <c r="H258" s="7"/>
    </row>
    <row r="259" spans="1:8" x14ac:dyDescent="0.35">
      <c r="A259" s="42"/>
      <c r="G259" s="7"/>
      <c r="H259" s="7"/>
    </row>
    <row r="260" spans="1:8" x14ac:dyDescent="0.35">
      <c r="A260" s="42"/>
      <c r="G260" s="7"/>
      <c r="H260" s="7"/>
    </row>
    <row r="261" spans="1:8" x14ac:dyDescent="0.35">
      <c r="A261" s="42"/>
      <c r="G261" s="7"/>
      <c r="H261" s="7"/>
    </row>
    <row r="262" spans="1:8" x14ac:dyDescent="0.35">
      <c r="A262" s="42"/>
      <c r="G262" s="7"/>
      <c r="H262" s="7"/>
    </row>
    <row r="263" spans="1:8" x14ac:dyDescent="0.35">
      <c r="A263" s="42"/>
      <c r="G263" s="7"/>
      <c r="H263" s="7"/>
    </row>
    <row r="264" spans="1:8" x14ac:dyDescent="0.35">
      <c r="A264" s="42"/>
      <c r="G264" s="7"/>
      <c r="H264" s="7"/>
    </row>
    <row r="265" spans="1:8" x14ac:dyDescent="0.35">
      <c r="A265" s="42"/>
      <c r="G265" s="7"/>
      <c r="H265" s="7"/>
    </row>
    <row r="266" spans="1:8" x14ac:dyDescent="0.35">
      <c r="A266" s="42"/>
      <c r="G266" s="7"/>
      <c r="H266" s="7"/>
    </row>
    <row r="267" spans="1:8" x14ac:dyDescent="0.35">
      <c r="A267" s="42"/>
      <c r="G267" s="7"/>
      <c r="H267" s="7"/>
    </row>
    <row r="268" spans="1:8" x14ac:dyDescent="0.35">
      <c r="A268" s="42"/>
      <c r="G268" s="7"/>
      <c r="H268" s="7"/>
    </row>
    <row r="269" spans="1:8" x14ac:dyDescent="0.35">
      <c r="A269" s="42"/>
      <c r="G269" s="7"/>
      <c r="H269" s="7"/>
    </row>
    <row r="270" spans="1:8" x14ac:dyDescent="0.35">
      <c r="A270" s="42"/>
      <c r="G270" s="7"/>
      <c r="H270" s="7"/>
    </row>
    <row r="271" spans="1:8" x14ac:dyDescent="0.35">
      <c r="A271" s="42"/>
      <c r="G271" s="7"/>
      <c r="H271" s="7"/>
    </row>
    <row r="272" spans="1:8" x14ac:dyDescent="0.35">
      <c r="A272" s="42"/>
      <c r="G272" s="7"/>
      <c r="H272" s="7"/>
    </row>
    <row r="273" spans="1:8" x14ac:dyDescent="0.35">
      <c r="A273" s="42"/>
      <c r="G273" s="7"/>
      <c r="H273" s="7"/>
    </row>
    <row r="274" spans="1:8" x14ac:dyDescent="0.35">
      <c r="A274" s="42"/>
      <c r="G274" s="7"/>
      <c r="H274" s="7"/>
    </row>
    <row r="275" spans="1:8" x14ac:dyDescent="0.35">
      <c r="A275" s="42"/>
      <c r="G275" s="7"/>
      <c r="H275" s="7"/>
    </row>
    <row r="276" spans="1:8" x14ac:dyDescent="0.35">
      <c r="A276" s="42"/>
      <c r="G276" s="7"/>
      <c r="H276" s="7"/>
    </row>
    <row r="277" spans="1:8" x14ac:dyDescent="0.35">
      <c r="A277" s="42"/>
      <c r="G277" s="7"/>
      <c r="H277" s="7"/>
    </row>
    <row r="278" spans="1:8" x14ac:dyDescent="0.35">
      <c r="A278" s="42"/>
      <c r="G278" s="7"/>
      <c r="H278" s="7"/>
    </row>
    <row r="279" spans="1:8" x14ac:dyDescent="0.35">
      <c r="A279" s="42"/>
      <c r="G279" s="7"/>
      <c r="H279" s="7"/>
    </row>
    <row r="280" spans="1:8" x14ac:dyDescent="0.35">
      <c r="A280" s="42"/>
      <c r="G280" s="7"/>
      <c r="H280" s="7"/>
    </row>
    <row r="281" spans="1:8" x14ac:dyDescent="0.35">
      <c r="A281" s="42"/>
      <c r="G281" s="7"/>
      <c r="H281" s="7"/>
    </row>
    <row r="282" spans="1:8" x14ac:dyDescent="0.35">
      <c r="A282" s="42"/>
      <c r="G282" s="7"/>
      <c r="H282" s="7"/>
    </row>
    <row r="283" spans="1:8" x14ac:dyDescent="0.35">
      <c r="A283" s="42"/>
      <c r="G283" s="7"/>
      <c r="H283" s="7"/>
    </row>
    <row r="284" spans="1:8" x14ac:dyDescent="0.35">
      <c r="A284" s="42"/>
      <c r="G284" s="7"/>
      <c r="H284" s="7"/>
    </row>
    <row r="285" spans="1:8" x14ac:dyDescent="0.35">
      <c r="A285" s="42"/>
      <c r="G285" s="7"/>
      <c r="H285" s="7"/>
    </row>
    <row r="286" spans="1:8" x14ac:dyDescent="0.35">
      <c r="A286" s="42"/>
      <c r="G286" s="7"/>
      <c r="H286" s="7"/>
    </row>
    <row r="287" spans="1:8" x14ac:dyDescent="0.35">
      <c r="A287" s="42"/>
      <c r="G287" s="7"/>
      <c r="H287" s="7"/>
    </row>
    <row r="288" spans="1:8" x14ac:dyDescent="0.35">
      <c r="A288" s="42"/>
      <c r="G288" s="7"/>
      <c r="H288" s="7"/>
    </row>
    <row r="289" spans="1:8" x14ac:dyDescent="0.35">
      <c r="A289" s="42"/>
      <c r="G289" s="7"/>
      <c r="H289" s="7"/>
    </row>
    <row r="290" spans="1:8" x14ac:dyDescent="0.35">
      <c r="A290" s="42"/>
      <c r="G290" s="7"/>
      <c r="H290" s="7"/>
    </row>
    <row r="291" spans="1:8" x14ac:dyDescent="0.35">
      <c r="A291" s="42"/>
      <c r="G291" s="7"/>
      <c r="H291" s="7"/>
    </row>
    <row r="292" spans="1:8" x14ac:dyDescent="0.35">
      <c r="A292" s="42"/>
      <c r="G292" s="7"/>
      <c r="H292" s="7"/>
    </row>
    <row r="293" spans="1:8" x14ac:dyDescent="0.35">
      <c r="A293" s="42"/>
      <c r="G293" s="7"/>
      <c r="H293" s="7"/>
    </row>
    <row r="294" spans="1:8" x14ac:dyDescent="0.35">
      <c r="A294" s="42"/>
      <c r="G294" s="7"/>
      <c r="H294" s="7"/>
    </row>
    <row r="295" spans="1:8" x14ac:dyDescent="0.35">
      <c r="A295" s="42"/>
      <c r="G295" s="7"/>
      <c r="H295" s="7"/>
    </row>
    <row r="296" spans="1:8" x14ac:dyDescent="0.35">
      <c r="A296" s="42"/>
      <c r="G296" s="7"/>
      <c r="H296" s="7"/>
    </row>
    <row r="297" spans="1:8" x14ac:dyDescent="0.35">
      <c r="A297" s="42"/>
      <c r="G297" s="7"/>
      <c r="H297" s="7"/>
    </row>
    <row r="298" spans="1:8" x14ac:dyDescent="0.35">
      <c r="A298" s="42"/>
      <c r="G298" s="7"/>
      <c r="H298" s="7"/>
    </row>
    <row r="299" spans="1:8" x14ac:dyDescent="0.35">
      <c r="A299" s="42"/>
      <c r="G299" s="7"/>
      <c r="H299" s="7"/>
    </row>
    <row r="300" spans="1:8" x14ac:dyDescent="0.35">
      <c r="A300" s="42"/>
      <c r="G300" s="7"/>
      <c r="H300" s="7"/>
    </row>
    <row r="301" spans="1:8" x14ac:dyDescent="0.35">
      <c r="A301" s="42"/>
      <c r="G301" s="7"/>
      <c r="H301" s="7"/>
    </row>
    <row r="302" spans="1:8" x14ac:dyDescent="0.35">
      <c r="A302" s="42"/>
      <c r="G302" s="7"/>
      <c r="H302" s="7"/>
    </row>
    <row r="303" spans="1:8" x14ac:dyDescent="0.35">
      <c r="A303" s="42"/>
      <c r="G303" s="7"/>
      <c r="H303" s="7"/>
    </row>
    <row r="304" spans="1:8" x14ac:dyDescent="0.35">
      <c r="A304" s="42"/>
      <c r="G304" s="7"/>
      <c r="H304" s="7"/>
    </row>
    <row r="305" spans="1:8" x14ac:dyDescent="0.35">
      <c r="A305" s="42"/>
      <c r="G305" s="7"/>
      <c r="H305" s="7"/>
    </row>
    <row r="306" spans="1:8" x14ac:dyDescent="0.35">
      <c r="A306" s="42"/>
      <c r="G306" s="7"/>
      <c r="H306" s="7"/>
    </row>
    <row r="307" spans="1:8" x14ac:dyDescent="0.35">
      <c r="A307" s="42"/>
      <c r="G307" s="7"/>
      <c r="H307" s="7"/>
    </row>
    <row r="308" spans="1:8" x14ac:dyDescent="0.35">
      <c r="A308" s="42"/>
      <c r="G308" s="7"/>
      <c r="H308" s="7"/>
    </row>
    <row r="309" spans="1:8" x14ac:dyDescent="0.35">
      <c r="A309" s="42"/>
      <c r="G309" s="7"/>
      <c r="H309" s="7"/>
    </row>
    <row r="310" spans="1:8" x14ac:dyDescent="0.35">
      <c r="A310" s="42"/>
      <c r="G310" s="7"/>
      <c r="H310" s="7"/>
    </row>
    <row r="311" spans="1:8" x14ac:dyDescent="0.35">
      <c r="A311" s="42"/>
      <c r="G311" s="7"/>
      <c r="H311" s="7"/>
    </row>
    <row r="312" spans="1:8" x14ac:dyDescent="0.35">
      <c r="A312" s="42"/>
      <c r="G312" s="7"/>
      <c r="H312" s="7"/>
    </row>
    <row r="313" spans="1:8" x14ac:dyDescent="0.35">
      <c r="A313" s="42"/>
      <c r="G313" s="7"/>
      <c r="H313" s="7"/>
    </row>
    <row r="314" spans="1:8" x14ac:dyDescent="0.35">
      <c r="A314" s="42"/>
      <c r="G314" s="7"/>
      <c r="H314" s="7"/>
    </row>
    <row r="315" spans="1:8" x14ac:dyDescent="0.35">
      <c r="A315" s="42"/>
      <c r="G315" s="7"/>
      <c r="H315" s="7"/>
    </row>
    <row r="316" spans="1:8" x14ac:dyDescent="0.35">
      <c r="A316" s="42"/>
      <c r="G316" s="7"/>
      <c r="H316" s="7"/>
    </row>
    <row r="317" spans="1:8" x14ac:dyDescent="0.35">
      <c r="A317" s="42"/>
      <c r="G317" s="7"/>
      <c r="H317" s="7"/>
    </row>
    <row r="318" spans="1:8" x14ac:dyDescent="0.35">
      <c r="A318" s="42"/>
      <c r="G318" s="7"/>
      <c r="H318" s="7"/>
    </row>
    <row r="319" spans="1:8" x14ac:dyDescent="0.35">
      <c r="A319" s="42"/>
      <c r="G319" s="7"/>
      <c r="H319" s="7"/>
    </row>
    <row r="320" spans="1:8" x14ac:dyDescent="0.35">
      <c r="A320" s="42"/>
      <c r="G320" s="7"/>
      <c r="H320" s="7"/>
    </row>
    <row r="321" spans="1:8" x14ac:dyDescent="0.35">
      <c r="A321" s="42"/>
      <c r="G321" s="7"/>
      <c r="H321" s="7"/>
    </row>
    <row r="322" spans="1:8" x14ac:dyDescent="0.35">
      <c r="A322" s="42"/>
      <c r="G322" s="7"/>
      <c r="H322" s="7"/>
    </row>
    <row r="323" spans="1:8" x14ac:dyDescent="0.35">
      <c r="A323" s="42"/>
      <c r="G323" s="7"/>
      <c r="H323" s="7"/>
    </row>
    <row r="324" spans="1:8" x14ac:dyDescent="0.35">
      <c r="A324" s="42"/>
      <c r="G324" s="7"/>
      <c r="H324" s="7"/>
    </row>
    <row r="325" spans="1:8" x14ac:dyDescent="0.35">
      <c r="A325" s="42"/>
      <c r="G325" s="7"/>
      <c r="H325" s="7"/>
    </row>
    <row r="326" spans="1:8" x14ac:dyDescent="0.35">
      <c r="A326" s="42"/>
      <c r="G326" s="7"/>
      <c r="H326" s="7"/>
    </row>
    <row r="327" spans="1:8" x14ac:dyDescent="0.35">
      <c r="A327" s="42"/>
      <c r="G327" s="7"/>
      <c r="H327" s="7"/>
    </row>
    <row r="328" spans="1:8" x14ac:dyDescent="0.35">
      <c r="A328" s="42"/>
      <c r="G328" s="7"/>
      <c r="H328" s="7"/>
    </row>
    <row r="329" spans="1:8" x14ac:dyDescent="0.35">
      <c r="A329" s="42"/>
      <c r="G329" s="7"/>
      <c r="H329" s="7"/>
    </row>
    <row r="330" spans="1:8" x14ac:dyDescent="0.35">
      <c r="A330" s="42"/>
      <c r="G330" s="7"/>
      <c r="H330" s="7"/>
    </row>
    <row r="331" spans="1:8" x14ac:dyDescent="0.35">
      <c r="A331" s="42"/>
      <c r="G331" s="7"/>
      <c r="H331" s="7"/>
    </row>
    <row r="332" spans="1:8" x14ac:dyDescent="0.35">
      <c r="A332" s="42"/>
      <c r="G332" s="7"/>
      <c r="H332" s="7"/>
    </row>
    <row r="333" spans="1:8" x14ac:dyDescent="0.35">
      <c r="A333" s="42"/>
      <c r="G333" s="7"/>
      <c r="H333" s="7"/>
    </row>
    <row r="334" spans="1:8" x14ac:dyDescent="0.35">
      <c r="A334" s="42"/>
      <c r="G334" s="7"/>
      <c r="H334" s="7"/>
    </row>
    <row r="335" spans="1:8" x14ac:dyDescent="0.35">
      <c r="A335" s="42"/>
      <c r="G335" s="7"/>
      <c r="H335" s="7"/>
    </row>
    <row r="336" spans="1:8" x14ac:dyDescent="0.35">
      <c r="A336" s="42"/>
      <c r="G336" s="7"/>
      <c r="H336" s="7"/>
    </row>
    <row r="337" spans="1:8" x14ac:dyDescent="0.35">
      <c r="A337" s="42"/>
      <c r="G337" s="7"/>
      <c r="H337" s="7"/>
    </row>
    <row r="338" spans="1:8" x14ac:dyDescent="0.35">
      <c r="A338" s="42"/>
      <c r="G338" s="7"/>
      <c r="H338" s="7"/>
    </row>
    <row r="339" spans="1:8" x14ac:dyDescent="0.35">
      <c r="A339" s="42"/>
      <c r="G339" s="7"/>
      <c r="H339" s="7"/>
    </row>
    <row r="340" spans="1:8" x14ac:dyDescent="0.35">
      <c r="A340" s="42"/>
      <c r="G340" s="7"/>
      <c r="H340" s="7"/>
    </row>
    <row r="341" spans="1:8" x14ac:dyDescent="0.35">
      <c r="A341" s="42"/>
      <c r="G341" s="7"/>
      <c r="H341" s="7"/>
    </row>
    <row r="342" spans="1:8" x14ac:dyDescent="0.35">
      <c r="A342" s="42"/>
      <c r="G342" s="7"/>
      <c r="H342" s="7"/>
    </row>
    <row r="343" spans="1:8" x14ac:dyDescent="0.35">
      <c r="A343" s="42"/>
      <c r="G343" s="7"/>
      <c r="H343" s="7"/>
    </row>
    <row r="344" spans="1:8" x14ac:dyDescent="0.35">
      <c r="A344" s="42"/>
      <c r="G344" s="7"/>
      <c r="H344" s="7"/>
    </row>
    <row r="345" spans="1:8" x14ac:dyDescent="0.35">
      <c r="A345" s="42"/>
      <c r="G345" s="7"/>
      <c r="H345" s="7"/>
    </row>
    <row r="346" spans="1:8" x14ac:dyDescent="0.35">
      <c r="A346" s="42"/>
      <c r="G346" s="7"/>
      <c r="H346" s="7"/>
    </row>
    <row r="347" spans="1:8" x14ac:dyDescent="0.35">
      <c r="A347" s="42"/>
      <c r="G347" s="7"/>
      <c r="H347" s="7"/>
    </row>
    <row r="348" spans="1:8" x14ac:dyDescent="0.35">
      <c r="A348" s="42"/>
      <c r="G348" s="7"/>
      <c r="H348" s="7"/>
    </row>
    <row r="349" spans="1:8" x14ac:dyDescent="0.35">
      <c r="A349" s="42"/>
      <c r="G349" s="7"/>
      <c r="H349" s="7"/>
    </row>
    <row r="350" spans="1:8" x14ac:dyDescent="0.35">
      <c r="A350" s="42"/>
      <c r="G350" s="7"/>
      <c r="H350" s="7"/>
    </row>
    <row r="351" spans="1:8" x14ac:dyDescent="0.35">
      <c r="A351" s="42"/>
      <c r="G351" s="7"/>
      <c r="H351" s="7"/>
    </row>
    <row r="352" spans="1:8" x14ac:dyDescent="0.35">
      <c r="A352" s="42"/>
      <c r="G352" s="7"/>
      <c r="H352" s="7"/>
    </row>
    <row r="353" spans="1:8" x14ac:dyDescent="0.35">
      <c r="A353" s="42"/>
      <c r="G353" s="7"/>
      <c r="H353" s="7"/>
    </row>
    <row r="354" spans="1:8" x14ac:dyDescent="0.35">
      <c r="A354" s="42"/>
      <c r="G354" s="7"/>
      <c r="H354" s="7"/>
    </row>
    <row r="355" spans="1:8" x14ac:dyDescent="0.35">
      <c r="A355" s="42"/>
      <c r="G355" s="7"/>
      <c r="H355" s="7"/>
    </row>
    <row r="356" spans="1:8" x14ac:dyDescent="0.35">
      <c r="A356" s="42"/>
      <c r="G356" s="7"/>
      <c r="H356" s="7"/>
    </row>
    <row r="357" spans="1:8" x14ac:dyDescent="0.35">
      <c r="A357" s="42"/>
      <c r="G357" s="7"/>
      <c r="H357" s="7"/>
    </row>
    <row r="358" spans="1:8" x14ac:dyDescent="0.35">
      <c r="A358" s="42"/>
      <c r="G358" s="7"/>
      <c r="H358" s="7"/>
    </row>
    <row r="359" spans="1:8" x14ac:dyDescent="0.35">
      <c r="A359" s="42"/>
      <c r="G359" s="7"/>
      <c r="H359" s="7"/>
    </row>
    <row r="360" spans="1:8" x14ac:dyDescent="0.35">
      <c r="A360" s="42"/>
      <c r="G360" s="7"/>
      <c r="H360" s="7"/>
    </row>
    <row r="361" spans="1:8" x14ac:dyDescent="0.35">
      <c r="A361" s="42"/>
      <c r="G361" s="7"/>
      <c r="H361" s="7"/>
    </row>
    <row r="362" spans="1:8" x14ac:dyDescent="0.35">
      <c r="A362" s="42"/>
      <c r="G362" s="7"/>
      <c r="H362" s="7"/>
    </row>
    <row r="363" spans="1:8" x14ac:dyDescent="0.35">
      <c r="A363" s="42"/>
      <c r="G363" s="7"/>
      <c r="H363" s="7"/>
    </row>
    <row r="364" spans="1:8" x14ac:dyDescent="0.35">
      <c r="A364" s="42"/>
      <c r="G364" s="7"/>
      <c r="H364" s="7"/>
    </row>
    <row r="365" spans="1:8" x14ac:dyDescent="0.35">
      <c r="A365" s="42"/>
      <c r="G365" s="7"/>
      <c r="H365" s="7"/>
    </row>
    <row r="366" spans="1:8" x14ac:dyDescent="0.35">
      <c r="A366" s="42"/>
      <c r="G366" s="7"/>
      <c r="H366" s="7"/>
    </row>
    <row r="367" spans="1:8" x14ac:dyDescent="0.35">
      <c r="A367" s="42"/>
      <c r="G367" s="7"/>
      <c r="H367" s="7"/>
    </row>
    <row r="368" spans="1:8" x14ac:dyDescent="0.35">
      <c r="A368" s="42"/>
      <c r="G368" s="7"/>
      <c r="H368" s="7"/>
    </row>
    <row r="369" spans="1:8" x14ac:dyDescent="0.35">
      <c r="A369" s="42"/>
      <c r="G369" s="7"/>
      <c r="H369" s="7"/>
    </row>
    <row r="370" spans="1:8" x14ac:dyDescent="0.35">
      <c r="A370" s="42"/>
      <c r="G370" s="7"/>
      <c r="H370" s="7"/>
    </row>
    <row r="371" spans="1:8" x14ac:dyDescent="0.35">
      <c r="A371" s="42"/>
      <c r="G371" s="7"/>
      <c r="H371" s="7"/>
    </row>
    <row r="372" spans="1:8" x14ac:dyDescent="0.35">
      <c r="A372" s="42"/>
      <c r="G372" s="7"/>
      <c r="H372" s="7"/>
    </row>
    <row r="373" spans="1:8" x14ac:dyDescent="0.35">
      <c r="A373" s="42"/>
      <c r="G373" s="7"/>
      <c r="H373" s="7"/>
    </row>
    <row r="374" spans="1:8" x14ac:dyDescent="0.35">
      <c r="A374" s="42"/>
      <c r="G374" s="7"/>
      <c r="H374" s="7"/>
    </row>
    <row r="375" spans="1:8" x14ac:dyDescent="0.35">
      <c r="A375" s="42"/>
      <c r="G375" s="7"/>
      <c r="H375" s="7"/>
    </row>
    <row r="376" spans="1:8" x14ac:dyDescent="0.35">
      <c r="A376" s="42"/>
      <c r="G376" s="7"/>
      <c r="H376" s="7"/>
    </row>
    <row r="377" spans="1:8" x14ac:dyDescent="0.35">
      <c r="A377" s="42"/>
      <c r="G377" s="7"/>
      <c r="H377" s="7"/>
    </row>
    <row r="378" spans="1:8" x14ac:dyDescent="0.35">
      <c r="A378" s="42"/>
      <c r="G378" s="7"/>
      <c r="H378" s="7"/>
    </row>
    <row r="379" spans="1:8" x14ac:dyDescent="0.35">
      <c r="A379" s="42"/>
      <c r="G379" s="7"/>
      <c r="H379" s="7"/>
    </row>
    <row r="380" spans="1:8" x14ac:dyDescent="0.35">
      <c r="A380" s="42"/>
      <c r="G380" s="7"/>
      <c r="H380" s="7"/>
    </row>
    <row r="381" spans="1:8" x14ac:dyDescent="0.35">
      <c r="A381" s="42"/>
      <c r="G381" s="7"/>
      <c r="H381" s="7"/>
    </row>
    <row r="382" spans="1:8" x14ac:dyDescent="0.35">
      <c r="A382" s="42"/>
      <c r="G382" s="7"/>
      <c r="H382" s="7"/>
    </row>
    <row r="383" spans="1:8" x14ac:dyDescent="0.35">
      <c r="A383" s="42"/>
      <c r="G383" s="7"/>
      <c r="H383" s="7"/>
    </row>
    <row r="384" spans="1:8" x14ac:dyDescent="0.35">
      <c r="A384" s="42"/>
      <c r="G384" s="7"/>
      <c r="H384" s="7"/>
    </row>
    <row r="385" spans="1:8" x14ac:dyDescent="0.35">
      <c r="A385" s="42"/>
      <c r="G385" s="7"/>
      <c r="H385" s="7"/>
    </row>
    <row r="386" spans="1:8" x14ac:dyDescent="0.35">
      <c r="A386" s="42"/>
      <c r="G386" s="7"/>
      <c r="H386" s="7"/>
    </row>
    <row r="387" spans="1:8" x14ac:dyDescent="0.35">
      <c r="A387" s="42"/>
      <c r="G387" s="7"/>
      <c r="H387" s="7"/>
    </row>
    <row r="388" spans="1:8" x14ac:dyDescent="0.35">
      <c r="A388" s="42"/>
      <c r="G388" s="7"/>
      <c r="H388" s="7"/>
    </row>
    <row r="389" spans="1:8" x14ac:dyDescent="0.35">
      <c r="A389" s="42"/>
      <c r="G389" s="7"/>
      <c r="H389" s="7"/>
    </row>
    <row r="390" spans="1:8" x14ac:dyDescent="0.35">
      <c r="A390" s="42"/>
      <c r="G390" s="7"/>
      <c r="H390" s="7"/>
    </row>
    <row r="391" spans="1:8" x14ac:dyDescent="0.35">
      <c r="A391" s="42"/>
      <c r="G391" s="7"/>
      <c r="H391" s="7"/>
    </row>
    <row r="392" spans="1:8" x14ac:dyDescent="0.35">
      <c r="A392" s="42"/>
      <c r="G392" s="7"/>
      <c r="H392" s="7"/>
    </row>
    <row r="393" spans="1:8" x14ac:dyDescent="0.35">
      <c r="A393" s="42"/>
      <c r="G393" s="7"/>
      <c r="H393" s="7"/>
    </row>
    <row r="394" spans="1:8" x14ac:dyDescent="0.35">
      <c r="A394" s="42"/>
      <c r="G394" s="7"/>
      <c r="H394" s="7"/>
    </row>
    <row r="395" spans="1:8" x14ac:dyDescent="0.35">
      <c r="A395" s="42"/>
      <c r="G395" s="7"/>
      <c r="H395" s="7"/>
    </row>
    <row r="396" spans="1:8" x14ac:dyDescent="0.35">
      <c r="A396" s="42"/>
      <c r="G396" s="7"/>
      <c r="H396" s="7"/>
    </row>
    <row r="397" spans="1:8" x14ac:dyDescent="0.35">
      <c r="A397" s="42"/>
      <c r="G397" s="7"/>
      <c r="H397" s="7"/>
    </row>
    <row r="398" spans="1:8" x14ac:dyDescent="0.35">
      <c r="A398" s="42"/>
      <c r="G398" s="7"/>
      <c r="H398" s="7"/>
    </row>
    <row r="399" spans="1:8" x14ac:dyDescent="0.35">
      <c r="A399" s="42"/>
      <c r="G399" s="7"/>
      <c r="H399" s="7"/>
    </row>
    <row r="400" spans="1:8" x14ac:dyDescent="0.35">
      <c r="A400" s="42"/>
      <c r="G400" s="7"/>
      <c r="H400" s="7"/>
    </row>
    <row r="401" spans="1:8" x14ac:dyDescent="0.35">
      <c r="A401" s="42"/>
      <c r="G401" s="7"/>
      <c r="H401" s="7"/>
    </row>
    <row r="402" spans="1:8" x14ac:dyDescent="0.35">
      <c r="A402" s="42"/>
      <c r="G402" s="7"/>
      <c r="H402" s="7"/>
    </row>
    <row r="403" spans="1:8" x14ac:dyDescent="0.35">
      <c r="A403" s="42"/>
      <c r="G403" s="7"/>
      <c r="H403" s="7"/>
    </row>
    <row r="404" spans="1:8" x14ac:dyDescent="0.35">
      <c r="A404" s="42"/>
      <c r="G404" s="7"/>
      <c r="H404" s="7"/>
    </row>
    <row r="405" spans="1:8" x14ac:dyDescent="0.35">
      <c r="A405" s="42"/>
      <c r="G405" s="7"/>
      <c r="H405" s="7"/>
    </row>
    <row r="406" spans="1:8" x14ac:dyDescent="0.35">
      <c r="A406" s="42"/>
      <c r="G406" s="7"/>
      <c r="H406" s="7"/>
    </row>
    <row r="407" spans="1:8" x14ac:dyDescent="0.35">
      <c r="A407" s="42"/>
      <c r="G407" s="7"/>
      <c r="H407" s="7"/>
    </row>
    <row r="408" spans="1:8" x14ac:dyDescent="0.35">
      <c r="A408" s="42"/>
      <c r="G408" s="7"/>
      <c r="H408" s="7"/>
    </row>
    <row r="409" spans="1:8" x14ac:dyDescent="0.35">
      <c r="A409" s="42"/>
      <c r="G409" s="7"/>
      <c r="H409" s="7"/>
    </row>
    <row r="410" spans="1:8" x14ac:dyDescent="0.35">
      <c r="A410" s="42"/>
      <c r="G410" s="7"/>
      <c r="H410" s="7"/>
    </row>
    <row r="411" spans="1:8" x14ac:dyDescent="0.35">
      <c r="A411" s="42"/>
      <c r="G411" s="7"/>
      <c r="H411" s="7"/>
    </row>
    <row r="412" spans="1:8" x14ac:dyDescent="0.35">
      <c r="A412" s="42"/>
      <c r="G412" s="7"/>
      <c r="H412" s="7"/>
    </row>
    <row r="413" spans="1:8" x14ac:dyDescent="0.35">
      <c r="A413" s="42"/>
      <c r="G413" s="7"/>
      <c r="H413" s="7"/>
    </row>
    <row r="414" spans="1:8" x14ac:dyDescent="0.35">
      <c r="A414" s="42"/>
      <c r="G414" s="7"/>
      <c r="H414" s="7"/>
    </row>
    <row r="415" spans="1:8" x14ac:dyDescent="0.35">
      <c r="A415" s="42"/>
      <c r="G415" s="7"/>
      <c r="H415" s="7"/>
    </row>
    <row r="416" spans="1:8" x14ac:dyDescent="0.35">
      <c r="A416" s="42"/>
      <c r="G416" s="7"/>
      <c r="H416" s="7"/>
    </row>
    <row r="417" spans="1:8" x14ac:dyDescent="0.35">
      <c r="A417" s="42"/>
      <c r="G417" s="7"/>
      <c r="H417" s="7"/>
    </row>
    <row r="418" spans="1:8" x14ac:dyDescent="0.35">
      <c r="A418" s="42"/>
      <c r="G418" s="7"/>
      <c r="H418" s="7"/>
    </row>
    <row r="419" spans="1:8" x14ac:dyDescent="0.35">
      <c r="A419" s="42"/>
      <c r="G419" s="7"/>
      <c r="H419" s="7"/>
    </row>
    <row r="420" spans="1:8" x14ac:dyDescent="0.35">
      <c r="A420" s="42"/>
      <c r="G420" s="7"/>
      <c r="H420" s="7"/>
    </row>
    <row r="421" spans="1:8" x14ac:dyDescent="0.35">
      <c r="A421" s="42"/>
      <c r="G421" s="7"/>
      <c r="H421" s="7"/>
    </row>
    <row r="422" spans="1:8" x14ac:dyDescent="0.35">
      <c r="A422" s="42"/>
      <c r="G422" s="7"/>
      <c r="H422" s="7"/>
    </row>
    <row r="423" spans="1:8" x14ac:dyDescent="0.35">
      <c r="A423" s="42"/>
      <c r="G423" s="7"/>
      <c r="H423" s="7"/>
    </row>
    <row r="424" spans="1:8" x14ac:dyDescent="0.35">
      <c r="A424" s="42"/>
      <c r="G424" s="7"/>
      <c r="H424" s="7"/>
    </row>
    <row r="425" spans="1:8" x14ac:dyDescent="0.35">
      <c r="A425" s="42"/>
      <c r="G425" s="7"/>
      <c r="H425" s="7"/>
    </row>
    <row r="426" spans="1:8" x14ac:dyDescent="0.35">
      <c r="A426" s="42"/>
      <c r="G426" s="7"/>
      <c r="H426" s="7"/>
    </row>
    <row r="427" spans="1:8" x14ac:dyDescent="0.35">
      <c r="A427" s="42"/>
      <c r="G427" s="7"/>
      <c r="H427" s="7"/>
    </row>
    <row r="428" spans="1:8" x14ac:dyDescent="0.35">
      <c r="A428" s="42"/>
      <c r="G428" s="7"/>
      <c r="H428" s="7"/>
    </row>
    <row r="429" spans="1:8" x14ac:dyDescent="0.35">
      <c r="A429" s="42"/>
      <c r="G429" s="7"/>
      <c r="H429" s="7"/>
    </row>
    <row r="430" spans="1:8" x14ac:dyDescent="0.35">
      <c r="A430" s="42"/>
      <c r="G430" s="7"/>
      <c r="H430" s="7"/>
    </row>
    <row r="431" spans="1:8" x14ac:dyDescent="0.35">
      <c r="A431" s="42"/>
      <c r="G431" s="7"/>
      <c r="H431" s="7"/>
    </row>
    <row r="432" spans="1:8" x14ac:dyDescent="0.35">
      <c r="A432" s="42"/>
      <c r="G432" s="7"/>
      <c r="H432" s="7"/>
    </row>
    <row r="433" spans="1:8" x14ac:dyDescent="0.35">
      <c r="A433" s="42"/>
      <c r="G433" s="7"/>
      <c r="H433" s="7"/>
    </row>
    <row r="434" spans="1:8" x14ac:dyDescent="0.35">
      <c r="A434" s="42"/>
      <c r="G434" s="7"/>
      <c r="H434" s="7"/>
    </row>
    <row r="435" spans="1:8" x14ac:dyDescent="0.35">
      <c r="A435" s="42"/>
      <c r="G435" s="7"/>
      <c r="H435" s="7"/>
    </row>
    <row r="436" spans="1:8" x14ac:dyDescent="0.35">
      <c r="A436" s="42"/>
      <c r="G436" s="7"/>
      <c r="H436" s="7"/>
    </row>
    <row r="437" spans="1:8" x14ac:dyDescent="0.35">
      <c r="A437" s="42"/>
      <c r="G437" s="7"/>
      <c r="H437" s="7"/>
    </row>
    <row r="438" spans="1:8" x14ac:dyDescent="0.35">
      <c r="A438" s="42"/>
      <c r="G438" s="7"/>
      <c r="H438" s="7"/>
    </row>
    <row r="439" spans="1:8" x14ac:dyDescent="0.35">
      <c r="A439" s="42"/>
      <c r="G439" s="7"/>
      <c r="H439" s="7"/>
    </row>
    <row r="440" spans="1:8" x14ac:dyDescent="0.35">
      <c r="A440" s="42"/>
      <c r="G440" s="7"/>
      <c r="H440" s="7"/>
    </row>
    <row r="441" spans="1:8" x14ac:dyDescent="0.35">
      <c r="A441" s="42"/>
      <c r="G441" s="7"/>
      <c r="H441" s="7"/>
    </row>
    <row r="442" spans="1:8" x14ac:dyDescent="0.35">
      <c r="A442" s="42"/>
      <c r="G442" s="7"/>
      <c r="H442" s="7"/>
    </row>
    <row r="443" spans="1:8" x14ac:dyDescent="0.35">
      <c r="A443" s="42"/>
      <c r="G443" s="7"/>
      <c r="H443" s="7"/>
    </row>
    <row r="444" spans="1:8" x14ac:dyDescent="0.35">
      <c r="A444" s="42"/>
      <c r="G444" s="7"/>
      <c r="H444" s="7"/>
    </row>
    <row r="445" spans="1:8" x14ac:dyDescent="0.35">
      <c r="A445" s="42"/>
      <c r="G445" s="7"/>
      <c r="H445" s="7"/>
    </row>
    <row r="446" spans="1:8" x14ac:dyDescent="0.35">
      <c r="A446" s="42"/>
      <c r="G446" s="7"/>
      <c r="H446" s="7"/>
    </row>
    <row r="447" spans="1:8" x14ac:dyDescent="0.35">
      <c r="A447" s="42"/>
      <c r="G447" s="7"/>
      <c r="H447" s="7"/>
    </row>
    <row r="448" spans="1:8" x14ac:dyDescent="0.35">
      <c r="A448" s="42"/>
      <c r="G448" s="7"/>
      <c r="H448" s="7"/>
    </row>
    <row r="449" spans="1:8" x14ac:dyDescent="0.35">
      <c r="A449" s="42"/>
      <c r="G449" s="7"/>
      <c r="H449" s="7"/>
    </row>
    <row r="450" spans="1:8" x14ac:dyDescent="0.35">
      <c r="A450" s="42"/>
      <c r="G450" s="7"/>
      <c r="H450" s="7"/>
    </row>
    <row r="451" spans="1:8" x14ac:dyDescent="0.35">
      <c r="A451" s="42"/>
      <c r="G451" s="7"/>
      <c r="H451" s="7"/>
    </row>
    <row r="452" spans="1:8" x14ac:dyDescent="0.35">
      <c r="A452" s="42"/>
      <c r="G452" s="7"/>
      <c r="H452" s="7"/>
    </row>
    <row r="453" spans="1:8" x14ac:dyDescent="0.35">
      <c r="A453" s="42"/>
      <c r="G453" s="7"/>
      <c r="H453" s="7"/>
    </row>
    <row r="454" spans="1:8" x14ac:dyDescent="0.35">
      <c r="A454" s="42"/>
      <c r="G454" s="7"/>
      <c r="H454" s="7"/>
    </row>
    <row r="455" spans="1:8" x14ac:dyDescent="0.35">
      <c r="A455" s="42"/>
      <c r="G455" s="7"/>
      <c r="H455" s="7"/>
    </row>
    <row r="456" spans="1:8" x14ac:dyDescent="0.35">
      <c r="A456" s="42"/>
      <c r="G456" s="7"/>
      <c r="H456" s="7"/>
    </row>
    <row r="457" spans="1:8" x14ac:dyDescent="0.35">
      <c r="A457" s="42"/>
      <c r="G457" s="7"/>
      <c r="H457" s="7"/>
    </row>
    <row r="458" spans="1:8" x14ac:dyDescent="0.35">
      <c r="A458" s="42"/>
      <c r="G458" s="7"/>
      <c r="H458" s="7"/>
    </row>
    <row r="459" spans="1:8" x14ac:dyDescent="0.35">
      <c r="A459" s="42"/>
      <c r="G459" s="7"/>
      <c r="H459" s="7"/>
    </row>
    <row r="460" spans="1:8" x14ac:dyDescent="0.35">
      <c r="A460" s="42"/>
      <c r="G460" s="7"/>
      <c r="H460" s="7"/>
    </row>
    <row r="461" spans="1:8" x14ac:dyDescent="0.35">
      <c r="A461" s="42"/>
      <c r="G461" s="7"/>
      <c r="H461" s="7"/>
    </row>
    <row r="462" spans="1:8" x14ac:dyDescent="0.35">
      <c r="A462" s="42"/>
      <c r="G462" s="7"/>
      <c r="H462" s="7"/>
    </row>
    <row r="463" spans="1:8" x14ac:dyDescent="0.35">
      <c r="A463" s="42"/>
      <c r="G463" s="7"/>
      <c r="H463" s="7"/>
    </row>
    <row r="464" spans="1:8" x14ac:dyDescent="0.35">
      <c r="A464" s="42"/>
      <c r="G464" s="7"/>
      <c r="H464" s="7"/>
    </row>
    <row r="465" spans="1:8" x14ac:dyDescent="0.35">
      <c r="A465" s="42"/>
      <c r="G465" s="7"/>
      <c r="H465" s="7"/>
    </row>
    <row r="466" spans="1:8" x14ac:dyDescent="0.35">
      <c r="A466" s="42"/>
      <c r="G466" s="7"/>
      <c r="H466" s="7"/>
    </row>
    <row r="467" spans="1:8" x14ac:dyDescent="0.35">
      <c r="A467" s="42"/>
      <c r="G467" s="7"/>
      <c r="H467" s="7"/>
    </row>
    <row r="468" spans="1:8" x14ac:dyDescent="0.35">
      <c r="A468" s="42"/>
      <c r="G468" s="7"/>
      <c r="H468" s="7"/>
    </row>
    <row r="469" spans="1:8" x14ac:dyDescent="0.35">
      <c r="A469" s="42"/>
      <c r="G469" s="7"/>
      <c r="H469" s="7"/>
    </row>
    <row r="470" spans="1:8" x14ac:dyDescent="0.35">
      <c r="A470" s="42"/>
      <c r="G470" s="7"/>
      <c r="H470" s="7"/>
    </row>
    <row r="471" spans="1:8" x14ac:dyDescent="0.35">
      <c r="A471" s="42"/>
      <c r="G471" s="7"/>
      <c r="H471" s="7"/>
    </row>
    <row r="472" spans="1:8" x14ac:dyDescent="0.35">
      <c r="A472" s="42"/>
      <c r="G472" s="7"/>
      <c r="H472" s="7"/>
    </row>
    <row r="473" spans="1:8" x14ac:dyDescent="0.35">
      <c r="A473" s="42"/>
      <c r="G473" s="7"/>
      <c r="H473" s="7"/>
    </row>
    <row r="474" spans="1:8" x14ac:dyDescent="0.35">
      <c r="A474" s="42"/>
      <c r="G474" s="7"/>
      <c r="H474" s="7"/>
    </row>
    <row r="475" spans="1:8" x14ac:dyDescent="0.35">
      <c r="A475" s="42"/>
      <c r="G475" s="7"/>
      <c r="H475" s="7"/>
    </row>
    <row r="476" spans="1:8" x14ac:dyDescent="0.35">
      <c r="A476" s="42"/>
      <c r="G476" s="7"/>
      <c r="H476" s="7"/>
    </row>
    <row r="477" spans="1:8" x14ac:dyDescent="0.35">
      <c r="A477" s="42"/>
      <c r="G477" s="7"/>
      <c r="H477" s="7"/>
    </row>
    <row r="478" spans="1:8" x14ac:dyDescent="0.35">
      <c r="A478" s="42"/>
      <c r="G478" s="7"/>
      <c r="H478" s="7"/>
    </row>
    <row r="479" spans="1:8" x14ac:dyDescent="0.35">
      <c r="A479" s="42"/>
      <c r="G479" s="7"/>
      <c r="H479" s="7"/>
    </row>
    <row r="480" spans="1:8" x14ac:dyDescent="0.35">
      <c r="A480" s="42"/>
      <c r="G480" s="7"/>
      <c r="H480" s="7"/>
    </row>
    <row r="481" spans="1:8" x14ac:dyDescent="0.35">
      <c r="A481" s="42"/>
      <c r="G481" s="7"/>
      <c r="H481" s="7"/>
    </row>
    <row r="482" spans="1:8" x14ac:dyDescent="0.35">
      <c r="A482" s="42"/>
      <c r="G482" s="7"/>
      <c r="H482" s="7"/>
    </row>
    <row r="483" spans="1:8" x14ac:dyDescent="0.35">
      <c r="A483" s="42"/>
      <c r="G483" s="7"/>
      <c r="H483" s="7"/>
    </row>
    <row r="484" spans="1:8" x14ac:dyDescent="0.35">
      <c r="A484" s="42"/>
      <c r="G484" s="7"/>
      <c r="H484" s="7"/>
    </row>
    <row r="485" spans="1:8" x14ac:dyDescent="0.35">
      <c r="A485" s="42"/>
      <c r="G485" s="7"/>
      <c r="H485" s="7"/>
    </row>
    <row r="486" spans="1:8" x14ac:dyDescent="0.35">
      <c r="A486" s="42"/>
      <c r="G486" s="7"/>
      <c r="H486" s="7"/>
    </row>
    <row r="487" spans="1:8" x14ac:dyDescent="0.35">
      <c r="A487" s="42"/>
      <c r="G487" s="7"/>
      <c r="H487" s="7"/>
    </row>
    <row r="488" spans="1:8" x14ac:dyDescent="0.35">
      <c r="A488" s="42"/>
      <c r="G488" s="7"/>
      <c r="H488" s="7"/>
    </row>
    <row r="489" spans="1:8" x14ac:dyDescent="0.35">
      <c r="A489" s="42"/>
      <c r="G489" s="7"/>
      <c r="H489" s="7"/>
    </row>
    <row r="490" spans="1:8" x14ac:dyDescent="0.35">
      <c r="A490" s="42"/>
      <c r="G490" s="7"/>
      <c r="H490" s="7"/>
    </row>
    <row r="491" spans="1:8" x14ac:dyDescent="0.35">
      <c r="A491" s="42"/>
      <c r="G491" s="7"/>
      <c r="H491" s="7"/>
    </row>
    <row r="492" spans="1:8" x14ac:dyDescent="0.35">
      <c r="A492" s="42"/>
      <c r="G492" s="7"/>
      <c r="H492" s="7"/>
    </row>
    <row r="493" spans="1:8" x14ac:dyDescent="0.35">
      <c r="A493" s="42"/>
      <c r="G493" s="7"/>
      <c r="H493" s="7"/>
    </row>
    <row r="494" spans="1:8" x14ac:dyDescent="0.35">
      <c r="A494" s="42"/>
      <c r="G494" s="7"/>
      <c r="H494" s="7"/>
    </row>
    <row r="495" spans="1:8" x14ac:dyDescent="0.35">
      <c r="A495" s="42"/>
      <c r="G495" s="7"/>
      <c r="H495" s="7"/>
    </row>
    <row r="496" spans="1:8" x14ac:dyDescent="0.35">
      <c r="A496" s="42"/>
      <c r="G496" s="7"/>
      <c r="H496" s="7"/>
    </row>
    <row r="497" spans="1:8" x14ac:dyDescent="0.35">
      <c r="A497" s="42"/>
      <c r="G497" s="7"/>
      <c r="H497" s="7"/>
    </row>
    <row r="498" spans="1:8" x14ac:dyDescent="0.35">
      <c r="A498" s="42"/>
      <c r="G498" s="7"/>
      <c r="H498" s="7"/>
    </row>
    <row r="499" spans="1:8" x14ac:dyDescent="0.35">
      <c r="A499" s="42"/>
      <c r="G499" s="7"/>
      <c r="H499" s="7"/>
    </row>
    <row r="500" spans="1:8" x14ac:dyDescent="0.35">
      <c r="A500" s="42"/>
      <c r="G500" s="7"/>
      <c r="H500" s="7"/>
    </row>
    <row r="501" spans="1:8" x14ac:dyDescent="0.35">
      <c r="A501" s="42"/>
      <c r="G501" s="7"/>
      <c r="H501" s="7"/>
    </row>
    <row r="502" spans="1:8" x14ac:dyDescent="0.35">
      <c r="A502" s="42"/>
      <c r="G502" s="7"/>
      <c r="H502" s="7"/>
    </row>
    <row r="503" spans="1:8" x14ac:dyDescent="0.35">
      <c r="A503" s="42"/>
      <c r="G503" s="7"/>
      <c r="H503" s="7"/>
    </row>
    <row r="504" spans="1:8" x14ac:dyDescent="0.35">
      <c r="A504" s="42"/>
      <c r="G504" s="7"/>
      <c r="H504" s="7"/>
    </row>
    <row r="505" spans="1:8" x14ac:dyDescent="0.35">
      <c r="A505" s="42"/>
      <c r="G505" s="7"/>
      <c r="H505" s="7"/>
    </row>
    <row r="506" spans="1:8" x14ac:dyDescent="0.35">
      <c r="A506" s="42"/>
      <c r="G506" s="7"/>
      <c r="H506" s="7"/>
    </row>
    <row r="507" spans="1:8" x14ac:dyDescent="0.35">
      <c r="A507" s="42"/>
      <c r="G507" s="7"/>
      <c r="H507" s="7"/>
    </row>
    <row r="508" spans="1:8" x14ac:dyDescent="0.35">
      <c r="A508" s="42"/>
      <c r="G508" s="7"/>
      <c r="H508" s="7"/>
    </row>
    <row r="509" spans="1:8" x14ac:dyDescent="0.35">
      <c r="A509" s="42"/>
      <c r="G509" s="7"/>
      <c r="H509" s="7"/>
    </row>
    <row r="510" spans="1:8" x14ac:dyDescent="0.35">
      <c r="A510" s="42"/>
      <c r="G510" s="7"/>
      <c r="H510" s="7"/>
    </row>
    <row r="511" spans="1:8" x14ac:dyDescent="0.35">
      <c r="A511" s="42"/>
      <c r="G511" s="7"/>
      <c r="H511" s="7"/>
    </row>
    <row r="512" spans="1:8" x14ac:dyDescent="0.35">
      <c r="A512" s="42"/>
      <c r="G512" s="7"/>
      <c r="H512" s="7"/>
    </row>
    <row r="513" spans="1:8" x14ac:dyDescent="0.35">
      <c r="A513" s="42"/>
      <c r="G513" s="7"/>
      <c r="H513" s="7"/>
    </row>
    <row r="514" spans="1:8" x14ac:dyDescent="0.35">
      <c r="A514" s="42"/>
      <c r="G514" s="7"/>
      <c r="H514" s="7"/>
    </row>
    <row r="515" spans="1:8" x14ac:dyDescent="0.35">
      <c r="A515" s="42"/>
      <c r="G515" s="7"/>
      <c r="H515" s="7"/>
    </row>
    <row r="516" spans="1:8" x14ac:dyDescent="0.35">
      <c r="A516" s="42"/>
      <c r="G516" s="7"/>
      <c r="H516" s="7"/>
    </row>
    <row r="517" spans="1:8" x14ac:dyDescent="0.35">
      <c r="A517" s="42"/>
      <c r="G517" s="7"/>
      <c r="H517" s="7"/>
    </row>
    <row r="518" spans="1:8" x14ac:dyDescent="0.35">
      <c r="A518" s="42"/>
      <c r="G518" s="7"/>
      <c r="H518" s="7"/>
    </row>
    <row r="519" spans="1:8" x14ac:dyDescent="0.35">
      <c r="A519" s="42"/>
      <c r="G519" s="7"/>
      <c r="H519" s="7"/>
    </row>
    <row r="520" spans="1:8" x14ac:dyDescent="0.35">
      <c r="A520" s="42"/>
      <c r="G520" s="7"/>
      <c r="H520" s="7"/>
    </row>
    <row r="521" spans="1:8" x14ac:dyDescent="0.35">
      <c r="A521" s="42"/>
      <c r="G521" s="7"/>
      <c r="H521" s="7"/>
    </row>
    <row r="522" spans="1:8" x14ac:dyDescent="0.35">
      <c r="A522" s="42"/>
      <c r="G522" s="7"/>
      <c r="H522" s="7"/>
    </row>
    <row r="523" spans="1:8" x14ac:dyDescent="0.35">
      <c r="A523" s="42"/>
      <c r="G523" s="7"/>
      <c r="H523" s="7"/>
    </row>
    <row r="524" spans="1:8" x14ac:dyDescent="0.35">
      <c r="A524" s="42"/>
      <c r="G524" s="7"/>
      <c r="H524" s="7"/>
    </row>
    <row r="525" spans="1:8" x14ac:dyDescent="0.35">
      <c r="A525" s="42"/>
      <c r="G525" s="7"/>
      <c r="H525" s="7"/>
    </row>
    <row r="526" spans="1:8" x14ac:dyDescent="0.35">
      <c r="A526" s="42"/>
      <c r="G526" s="7"/>
      <c r="H526" s="7"/>
    </row>
    <row r="527" spans="1:8" x14ac:dyDescent="0.35">
      <c r="A527" s="42"/>
      <c r="G527" s="7"/>
      <c r="H527" s="7"/>
    </row>
    <row r="528" spans="1:8" x14ac:dyDescent="0.35">
      <c r="A528" s="42"/>
      <c r="G528" s="7"/>
      <c r="H528" s="7"/>
    </row>
    <row r="529" spans="1:8" x14ac:dyDescent="0.35">
      <c r="A529" s="42"/>
      <c r="G529" s="7"/>
      <c r="H529" s="7"/>
    </row>
    <row r="530" spans="1:8" x14ac:dyDescent="0.35">
      <c r="A530" s="42"/>
      <c r="G530" s="7"/>
      <c r="H530" s="7"/>
    </row>
    <row r="531" spans="1:8" x14ac:dyDescent="0.35">
      <c r="A531" s="42"/>
      <c r="G531" s="7"/>
      <c r="H531" s="7"/>
    </row>
    <row r="532" spans="1:8" x14ac:dyDescent="0.35">
      <c r="A532" s="42"/>
      <c r="G532" s="7"/>
      <c r="H532" s="7"/>
    </row>
    <row r="533" spans="1:8" x14ac:dyDescent="0.35">
      <c r="A533" s="42"/>
      <c r="G533" s="7"/>
      <c r="H533" s="7"/>
    </row>
    <row r="534" spans="1:8" x14ac:dyDescent="0.35">
      <c r="A534" s="42"/>
      <c r="G534" s="7"/>
      <c r="H534" s="7"/>
    </row>
    <row r="535" spans="1:8" x14ac:dyDescent="0.35">
      <c r="A535" s="42"/>
      <c r="G535" s="7"/>
      <c r="H535" s="7"/>
    </row>
    <row r="536" spans="1:8" x14ac:dyDescent="0.35">
      <c r="A536" s="42"/>
      <c r="G536" s="7"/>
      <c r="H536" s="7"/>
    </row>
    <row r="537" spans="1:8" x14ac:dyDescent="0.35">
      <c r="A537" s="42"/>
      <c r="G537" s="7"/>
      <c r="H537" s="7"/>
    </row>
    <row r="538" spans="1:8" x14ac:dyDescent="0.35">
      <c r="A538" s="42"/>
      <c r="G538" s="7"/>
      <c r="H538" s="7"/>
    </row>
    <row r="539" spans="1:8" x14ac:dyDescent="0.35">
      <c r="A539" s="42"/>
      <c r="G539" s="7"/>
      <c r="H539" s="7"/>
    </row>
    <row r="540" spans="1:8" x14ac:dyDescent="0.35">
      <c r="A540" s="42"/>
      <c r="G540" s="7"/>
      <c r="H540" s="7"/>
    </row>
    <row r="541" spans="1:8" x14ac:dyDescent="0.35">
      <c r="A541" s="42"/>
      <c r="G541" s="7"/>
      <c r="H541" s="7"/>
    </row>
    <row r="542" spans="1:8" x14ac:dyDescent="0.35">
      <c r="A542" s="42"/>
      <c r="G542" s="7"/>
      <c r="H542" s="7"/>
    </row>
    <row r="543" spans="1:8" x14ac:dyDescent="0.35">
      <c r="A543" s="42"/>
      <c r="G543" s="7"/>
      <c r="H543" s="7"/>
    </row>
    <row r="544" spans="1:8" x14ac:dyDescent="0.35">
      <c r="A544" s="42"/>
      <c r="G544" s="7"/>
      <c r="H544" s="7"/>
    </row>
    <row r="545" spans="1:8" x14ac:dyDescent="0.35">
      <c r="A545" s="42"/>
      <c r="G545" s="7"/>
      <c r="H545" s="7"/>
    </row>
    <row r="546" spans="1:8" x14ac:dyDescent="0.35">
      <c r="A546" s="42"/>
      <c r="G546" s="7"/>
      <c r="H546" s="7"/>
    </row>
    <row r="547" spans="1:8" x14ac:dyDescent="0.35">
      <c r="A547" s="42"/>
      <c r="G547" s="7"/>
      <c r="H547" s="7"/>
    </row>
    <row r="548" spans="1:8" x14ac:dyDescent="0.35">
      <c r="A548" s="42"/>
      <c r="G548" s="7"/>
      <c r="H548" s="7"/>
    </row>
    <row r="549" spans="1:8" x14ac:dyDescent="0.35">
      <c r="A549" s="42"/>
      <c r="G549" s="7"/>
      <c r="H549" s="7"/>
    </row>
    <row r="550" spans="1:8" x14ac:dyDescent="0.35">
      <c r="A550" s="42"/>
      <c r="G550" s="7"/>
      <c r="H550" s="7"/>
    </row>
    <row r="551" spans="1:8" x14ac:dyDescent="0.35">
      <c r="A551" s="42"/>
      <c r="G551" s="7"/>
      <c r="H551" s="7"/>
    </row>
    <row r="552" spans="1:8" x14ac:dyDescent="0.35">
      <c r="A552" s="42"/>
      <c r="G552" s="7"/>
      <c r="H552" s="7"/>
    </row>
    <row r="553" spans="1:8" x14ac:dyDescent="0.35">
      <c r="A553" s="42"/>
      <c r="G553" s="7"/>
      <c r="H553" s="7"/>
    </row>
    <row r="554" spans="1:8" x14ac:dyDescent="0.35">
      <c r="A554" s="42"/>
      <c r="G554" s="7"/>
      <c r="H554" s="7"/>
    </row>
    <row r="555" spans="1:8" x14ac:dyDescent="0.35">
      <c r="A555" s="42"/>
      <c r="G555" s="7"/>
      <c r="H555" s="7"/>
    </row>
    <row r="556" spans="1:8" x14ac:dyDescent="0.35">
      <c r="A556" s="42"/>
      <c r="G556" s="7"/>
      <c r="H556" s="7"/>
    </row>
    <row r="557" spans="1:8" x14ac:dyDescent="0.35">
      <c r="A557" s="42"/>
      <c r="G557" s="7"/>
      <c r="H557" s="7"/>
    </row>
    <row r="558" spans="1:8" x14ac:dyDescent="0.35">
      <c r="A558" s="42"/>
      <c r="G558" s="7"/>
      <c r="H558" s="7"/>
    </row>
    <row r="559" spans="1:8" x14ac:dyDescent="0.35">
      <c r="A559" s="42"/>
      <c r="G559" s="7"/>
      <c r="H559" s="7"/>
    </row>
    <row r="560" spans="1:8" x14ac:dyDescent="0.35">
      <c r="A560" s="42"/>
      <c r="G560" s="7"/>
      <c r="H560" s="7"/>
    </row>
    <row r="561" spans="1:8" x14ac:dyDescent="0.35">
      <c r="A561" s="42"/>
      <c r="G561" s="7"/>
      <c r="H561" s="7"/>
    </row>
    <row r="562" spans="1:8" x14ac:dyDescent="0.35">
      <c r="A562" s="42"/>
      <c r="G562" s="7"/>
      <c r="H562" s="7"/>
    </row>
    <row r="563" spans="1:8" x14ac:dyDescent="0.35">
      <c r="A563" s="42"/>
      <c r="G563" s="7"/>
      <c r="H563" s="7"/>
    </row>
    <row r="564" spans="1:8" x14ac:dyDescent="0.35">
      <c r="A564" s="42"/>
      <c r="G564" s="7"/>
      <c r="H564" s="7"/>
    </row>
    <row r="565" spans="1:8" x14ac:dyDescent="0.35">
      <c r="A565" s="42"/>
      <c r="G565" s="7"/>
      <c r="H565" s="7"/>
    </row>
    <row r="566" spans="1:8" x14ac:dyDescent="0.35">
      <c r="A566" s="42"/>
      <c r="G566" s="7"/>
      <c r="H566" s="7"/>
    </row>
    <row r="567" spans="1:8" x14ac:dyDescent="0.35">
      <c r="A567" s="42"/>
      <c r="G567" s="7"/>
      <c r="H567" s="7"/>
    </row>
    <row r="568" spans="1:8" x14ac:dyDescent="0.35">
      <c r="A568" s="42"/>
      <c r="G568" s="7"/>
      <c r="H568" s="7"/>
    </row>
    <row r="569" spans="1:8" x14ac:dyDescent="0.35">
      <c r="A569" s="42"/>
      <c r="G569" s="7"/>
      <c r="H569" s="7"/>
    </row>
    <row r="570" spans="1:8" x14ac:dyDescent="0.35">
      <c r="A570" s="42"/>
      <c r="G570" s="7"/>
      <c r="H570" s="7"/>
    </row>
    <row r="571" spans="1:8" x14ac:dyDescent="0.35">
      <c r="A571" s="42"/>
      <c r="G571" s="7"/>
      <c r="H571" s="7"/>
    </row>
    <row r="572" spans="1:8" x14ac:dyDescent="0.35">
      <c r="A572" s="42"/>
      <c r="G572" s="7"/>
      <c r="H572" s="7"/>
    </row>
    <row r="573" spans="1:8" x14ac:dyDescent="0.35">
      <c r="A573" s="42"/>
      <c r="G573" s="7"/>
      <c r="H573" s="7"/>
    </row>
    <row r="574" spans="1:8" x14ac:dyDescent="0.35">
      <c r="A574" s="42"/>
      <c r="G574" s="7"/>
      <c r="H574" s="7"/>
    </row>
    <row r="575" spans="1:8" x14ac:dyDescent="0.35">
      <c r="A575" s="42"/>
      <c r="G575" s="7"/>
      <c r="H575" s="7"/>
    </row>
    <row r="576" spans="1:8" x14ac:dyDescent="0.35">
      <c r="A576" s="42"/>
      <c r="G576" s="7"/>
      <c r="H576" s="7"/>
    </row>
    <row r="577" spans="1:8" x14ac:dyDescent="0.35">
      <c r="A577" s="42"/>
      <c r="G577" s="7"/>
      <c r="H577" s="7"/>
    </row>
    <row r="578" spans="1:8" x14ac:dyDescent="0.35">
      <c r="A578" s="42"/>
      <c r="G578" s="7"/>
      <c r="H578" s="7"/>
    </row>
    <row r="579" spans="1:8" x14ac:dyDescent="0.35">
      <c r="A579" s="42"/>
      <c r="G579" s="7"/>
      <c r="H579" s="7"/>
    </row>
    <row r="580" spans="1:8" x14ac:dyDescent="0.35">
      <c r="A580" s="42"/>
      <c r="G580" s="7"/>
      <c r="H580" s="7"/>
    </row>
    <row r="581" spans="1:8" x14ac:dyDescent="0.35">
      <c r="A581" s="42"/>
      <c r="G581" s="7"/>
      <c r="H581" s="7"/>
    </row>
    <row r="582" spans="1:8" x14ac:dyDescent="0.35">
      <c r="A582" s="42"/>
      <c r="G582" s="7"/>
      <c r="H582" s="7"/>
    </row>
    <row r="583" spans="1:8" x14ac:dyDescent="0.35">
      <c r="A583" s="42"/>
      <c r="G583" s="7"/>
      <c r="H583" s="7"/>
    </row>
    <row r="584" spans="1:8" x14ac:dyDescent="0.35">
      <c r="A584" s="42"/>
      <c r="G584" s="7"/>
      <c r="H584" s="7"/>
    </row>
    <row r="585" spans="1:8" x14ac:dyDescent="0.35">
      <c r="A585" s="42"/>
      <c r="G585" s="7"/>
      <c r="H585" s="7"/>
    </row>
    <row r="586" spans="1:8" x14ac:dyDescent="0.35">
      <c r="A586" s="42"/>
      <c r="G586" s="7"/>
      <c r="H586" s="7"/>
    </row>
    <row r="587" spans="1:8" x14ac:dyDescent="0.35">
      <c r="A587" s="42"/>
      <c r="G587" s="7"/>
      <c r="H587" s="7"/>
    </row>
    <row r="588" spans="1:8" x14ac:dyDescent="0.35">
      <c r="A588" s="42"/>
      <c r="G588" s="7"/>
      <c r="H588" s="7"/>
    </row>
    <row r="589" spans="1:8" x14ac:dyDescent="0.35">
      <c r="A589" s="42"/>
      <c r="G589" s="7"/>
      <c r="H589" s="7"/>
    </row>
    <row r="590" spans="1:8" x14ac:dyDescent="0.35">
      <c r="A590" s="42"/>
      <c r="G590" s="7"/>
      <c r="H590" s="7"/>
    </row>
    <row r="591" spans="1:8" x14ac:dyDescent="0.35">
      <c r="A591" s="42"/>
      <c r="G591" s="7"/>
      <c r="H591" s="7"/>
    </row>
    <row r="592" spans="1:8" x14ac:dyDescent="0.35">
      <c r="A592" s="42"/>
      <c r="G592" s="7"/>
      <c r="H592" s="7"/>
    </row>
    <row r="593" spans="1:8" x14ac:dyDescent="0.35">
      <c r="A593" s="42"/>
      <c r="G593" s="7"/>
      <c r="H593" s="7"/>
    </row>
    <row r="594" spans="1:8" x14ac:dyDescent="0.35">
      <c r="A594" s="42"/>
      <c r="G594" s="7"/>
      <c r="H594" s="7"/>
    </row>
    <row r="595" spans="1:8" x14ac:dyDescent="0.35">
      <c r="A595" s="42"/>
      <c r="G595" s="7"/>
      <c r="H595" s="7"/>
    </row>
    <row r="596" spans="1:8" x14ac:dyDescent="0.35">
      <c r="A596" s="42"/>
      <c r="G596" s="7"/>
      <c r="H596" s="7"/>
    </row>
    <row r="597" spans="1:8" x14ac:dyDescent="0.35">
      <c r="A597" s="42"/>
      <c r="G597" s="7"/>
      <c r="H597" s="7"/>
    </row>
    <row r="598" spans="1:8" x14ac:dyDescent="0.35">
      <c r="A598" s="42"/>
      <c r="G598" s="7"/>
      <c r="H598" s="7"/>
    </row>
    <row r="599" spans="1:8" x14ac:dyDescent="0.35">
      <c r="A599" s="42"/>
      <c r="G599" s="7"/>
      <c r="H599" s="7"/>
    </row>
    <row r="600" spans="1:8" x14ac:dyDescent="0.35">
      <c r="A600" s="42"/>
      <c r="G600" s="7"/>
      <c r="H600" s="7"/>
    </row>
    <row r="601" spans="1:8" x14ac:dyDescent="0.35">
      <c r="A601" s="42"/>
      <c r="G601" s="7"/>
      <c r="H601" s="7"/>
    </row>
    <row r="602" spans="1:8" x14ac:dyDescent="0.35">
      <c r="A602" s="42"/>
      <c r="G602" s="7"/>
      <c r="H602" s="7"/>
    </row>
    <row r="603" spans="1:8" x14ac:dyDescent="0.35">
      <c r="A603" s="42"/>
      <c r="G603" s="7"/>
      <c r="H603" s="7"/>
    </row>
    <row r="604" spans="1:8" x14ac:dyDescent="0.35">
      <c r="A604" s="42"/>
      <c r="G604" s="7"/>
      <c r="H604" s="7"/>
    </row>
    <row r="605" spans="1:8" x14ac:dyDescent="0.35">
      <c r="A605" s="42"/>
      <c r="G605" s="7"/>
      <c r="H605" s="7"/>
    </row>
    <row r="606" spans="1:8" x14ac:dyDescent="0.35">
      <c r="A606" s="42"/>
      <c r="G606" s="7"/>
      <c r="H606" s="7"/>
    </row>
    <row r="607" spans="1:8" x14ac:dyDescent="0.35">
      <c r="A607" s="42"/>
      <c r="G607" s="7"/>
      <c r="H607" s="7"/>
    </row>
    <row r="608" spans="1:8" x14ac:dyDescent="0.35">
      <c r="A608" s="42"/>
      <c r="G608" s="7"/>
      <c r="H608" s="7"/>
    </row>
    <row r="609" spans="1:8" x14ac:dyDescent="0.35">
      <c r="A609" s="42"/>
      <c r="G609" s="7"/>
      <c r="H609" s="7"/>
    </row>
    <row r="610" spans="1:8" x14ac:dyDescent="0.35">
      <c r="A610" s="42"/>
      <c r="G610" s="7"/>
      <c r="H610" s="7"/>
    </row>
    <row r="611" spans="1:8" x14ac:dyDescent="0.35">
      <c r="A611" s="42"/>
      <c r="G611" s="7"/>
      <c r="H611" s="7"/>
    </row>
    <row r="612" spans="1:8" x14ac:dyDescent="0.35">
      <c r="A612" s="42"/>
      <c r="G612" s="7"/>
      <c r="H612" s="7"/>
    </row>
    <row r="613" spans="1:8" x14ac:dyDescent="0.35">
      <c r="A613" s="42"/>
      <c r="G613" s="7"/>
      <c r="H613" s="7"/>
    </row>
    <row r="614" spans="1:8" x14ac:dyDescent="0.35">
      <c r="A614" s="42"/>
      <c r="G614" s="7"/>
      <c r="H614" s="7"/>
    </row>
    <row r="615" spans="1:8" x14ac:dyDescent="0.35">
      <c r="A615" s="42"/>
      <c r="G615" s="7"/>
      <c r="H615" s="7"/>
    </row>
    <row r="616" spans="1:8" x14ac:dyDescent="0.35">
      <c r="A616" s="42"/>
      <c r="G616" s="7"/>
      <c r="H616" s="7"/>
    </row>
    <row r="617" spans="1:8" x14ac:dyDescent="0.35">
      <c r="A617" s="42"/>
      <c r="G617" s="7"/>
      <c r="H617" s="7"/>
    </row>
    <row r="618" spans="1:8" x14ac:dyDescent="0.35">
      <c r="A618" s="42"/>
      <c r="G618" s="7"/>
      <c r="H618" s="7"/>
    </row>
    <row r="619" spans="1:8" x14ac:dyDescent="0.35">
      <c r="A619" s="42"/>
      <c r="G619" s="7"/>
      <c r="H619" s="7"/>
    </row>
    <row r="620" spans="1:8" x14ac:dyDescent="0.35">
      <c r="A620" s="42"/>
      <c r="G620" s="7"/>
      <c r="H620" s="7"/>
    </row>
    <row r="621" spans="1:8" x14ac:dyDescent="0.35">
      <c r="A621" s="42"/>
      <c r="G621" s="7"/>
      <c r="H621" s="7"/>
    </row>
    <row r="622" spans="1:8" x14ac:dyDescent="0.35">
      <c r="A622" s="42"/>
      <c r="G622" s="7"/>
      <c r="H622" s="7"/>
    </row>
    <row r="623" spans="1:8" x14ac:dyDescent="0.35">
      <c r="A623" s="42"/>
      <c r="G623" s="7"/>
      <c r="H623" s="7"/>
    </row>
    <row r="624" spans="1:8" x14ac:dyDescent="0.35">
      <c r="G624" s="7"/>
      <c r="H624" s="7"/>
    </row>
    <row r="625" spans="7:8" x14ac:dyDescent="0.35">
      <c r="G625" s="7"/>
      <c r="H625" s="7"/>
    </row>
    <row r="626" spans="7:8" x14ac:dyDescent="0.35">
      <c r="G626" s="7"/>
      <c r="H626" s="7"/>
    </row>
    <row r="627" spans="7:8" x14ac:dyDescent="0.35">
      <c r="G627" s="7"/>
      <c r="H627" s="7"/>
    </row>
    <row r="628" spans="7:8" x14ac:dyDescent="0.35">
      <c r="G628" s="7"/>
      <c r="H628" s="7"/>
    </row>
    <row r="629" spans="7:8" x14ac:dyDescent="0.35">
      <c r="G629" s="7"/>
      <c r="H629" s="7"/>
    </row>
    <row r="630" spans="7:8" x14ac:dyDescent="0.35">
      <c r="G630" s="7"/>
      <c r="H630" s="7"/>
    </row>
    <row r="631" spans="7:8" x14ac:dyDescent="0.35">
      <c r="G631" s="7"/>
      <c r="H631" s="7"/>
    </row>
    <row r="632" spans="7:8" x14ac:dyDescent="0.35">
      <c r="G632" s="7"/>
      <c r="H632" s="7"/>
    </row>
    <row r="633" spans="7:8" x14ac:dyDescent="0.35">
      <c r="G633" s="7"/>
      <c r="H633" s="7"/>
    </row>
    <row r="634" spans="7:8" x14ac:dyDescent="0.35">
      <c r="G634" s="7"/>
      <c r="H634" s="7"/>
    </row>
    <row r="635" spans="7:8" x14ac:dyDescent="0.35">
      <c r="G635" s="7"/>
      <c r="H635" s="7"/>
    </row>
    <row r="636" spans="7:8" x14ac:dyDescent="0.35">
      <c r="G636" s="7"/>
      <c r="H636" s="7"/>
    </row>
    <row r="637" spans="7:8" x14ac:dyDescent="0.35">
      <c r="G637" s="7"/>
      <c r="H637" s="7"/>
    </row>
    <row r="638" spans="7:8" x14ac:dyDescent="0.35">
      <c r="G638" s="7"/>
      <c r="H638" s="7"/>
    </row>
    <row r="639" spans="7:8" x14ac:dyDescent="0.35">
      <c r="G639" s="7"/>
      <c r="H639" s="7"/>
    </row>
    <row r="640" spans="7:8" x14ac:dyDescent="0.35">
      <c r="G640" s="7"/>
      <c r="H640" s="7"/>
    </row>
    <row r="641" spans="7:8" x14ac:dyDescent="0.35">
      <c r="G641" s="7"/>
      <c r="H641" s="7"/>
    </row>
    <row r="642" spans="7:8" x14ac:dyDescent="0.35">
      <c r="G642" s="7"/>
      <c r="H642" s="7"/>
    </row>
    <row r="643" spans="7:8" x14ac:dyDescent="0.35">
      <c r="G643" s="7"/>
      <c r="H643" s="7"/>
    </row>
    <row r="644" spans="7:8" x14ac:dyDescent="0.35">
      <c r="G644" s="7"/>
      <c r="H644" s="7"/>
    </row>
    <row r="645" spans="7:8" x14ac:dyDescent="0.35">
      <c r="G645" s="7"/>
      <c r="H645" s="7"/>
    </row>
    <row r="646" spans="7:8" x14ac:dyDescent="0.35">
      <c r="G646" s="7"/>
      <c r="H646" s="7"/>
    </row>
    <row r="647" spans="7:8" x14ac:dyDescent="0.35">
      <c r="G647" s="7"/>
      <c r="H647" s="7"/>
    </row>
    <row r="648" spans="7:8" x14ac:dyDescent="0.35">
      <c r="G648" s="7"/>
      <c r="H648" s="7"/>
    </row>
    <row r="649" spans="7:8" x14ac:dyDescent="0.35">
      <c r="G649" s="7"/>
      <c r="H649" s="7"/>
    </row>
    <row r="650" spans="7:8" x14ac:dyDescent="0.35">
      <c r="G650" s="7"/>
      <c r="H650" s="7"/>
    </row>
    <row r="651" spans="7:8" x14ac:dyDescent="0.35">
      <c r="G651" s="7"/>
      <c r="H651" s="7"/>
    </row>
    <row r="652" spans="7:8" x14ac:dyDescent="0.35">
      <c r="G652" s="7"/>
      <c r="H652" s="7"/>
    </row>
    <row r="653" spans="7:8" x14ac:dyDescent="0.35">
      <c r="G653" s="7"/>
      <c r="H653" s="7"/>
    </row>
    <row r="654" spans="7:8" x14ac:dyDescent="0.35">
      <c r="G654" s="7"/>
      <c r="H654" s="7"/>
    </row>
    <row r="655" spans="7:8" x14ac:dyDescent="0.35">
      <c r="G655" s="7"/>
      <c r="H655" s="7"/>
    </row>
    <row r="656" spans="7:8" x14ac:dyDescent="0.35">
      <c r="G656" s="7"/>
      <c r="H656" s="7"/>
    </row>
    <row r="657" spans="7:8" x14ac:dyDescent="0.35">
      <c r="G657" s="7"/>
      <c r="H657" s="7"/>
    </row>
    <row r="658" spans="7:8" x14ac:dyDescent="0.35">
      <c r="G658" s="7"/>
      <c r="H658" s="7"/>
    </row>
    <row r="659" spans="7:8" x14ac:dyDescent="0.35">
      <c r="G659" s="7"/>
      <c r="H659" s="7"/>
    </row>
    <row r="660" spans="7:8" x14ac:dyDescent="0.35">
      <c r="G660" s="7"/>
      <c r="H660" s="7"/>
    </row>
    <row r="661" spans="7:8" x14ac:dyDescent="0.35">
      <c r="G661" s="7"/>
      <c r="H661" s="7"/>
    </row>
    <row r="662" spans="7:8" x14ac:dyDescent="0.35">
      <c r="G662" s="7"/>
      <c r="H662" s="7"/>
    </row>
    <row r="663" spans="7:8" x14ac:dyDescent="0.35">
      <c r="G663" s="7"/>
      <c r="H663" s="7"/>
    </row>
    <row r="664" spans="7:8" x14ac:dyDescent="0.35">
      <c r="G664" s="7"/>
      <c r="H664" s="7"/>
    </row>
    <row r="665" spans="7:8" x14ac:dyDescent="0.35">
      <c r="G665" s="7"/>
      <c r="H665" s="7"/>
    </row>
    <row r="666" spans="7:8" x14ac:dyDescent="0.35">
      <c r="G666" s="7"/>
      <c r="H666" s="7"/>
    </row>
    <row r="667" spans="7:8" x14ac:dyDescent="0.35">
      <c r="G667" s="7"/>
      <c r="H667" s="7"/>
    </row>
    <row r="668" spans="7:8" x14ac:dyDescent="0.35">
      <c r="G668" s="7"/>
      <c r="H668" s="7"/>
    </row>
    <row r="669" spans="7:8" x14ac:dyDescent="0.35">
      <c r="G669" s="7"/>
      <c r="H669" s="7"/>
    </row>
    <row r="670" spans="7:8" x14ac:dyDescent="0.35">
      <c r="G670" s="7"/>
      <c r="H670" s="7"/>
    </row>
    <row r="671" spans="7:8" x14ac:dyDescent="0.35">
      <c r="G671" s="7"/>
      <c r="H671" s="7"/>
    </row>
    <row r="672" spans="7:8" x14ac:dyDescent="0.35">
      <c r="G672" s="7"/>
      <c r="H672" s="7"/>
    </row>
    <row r="673" spans="7:8" x14ac:dyDescent="0.35">
      <c r="G673" s="7"/>
      <c r="H673" s="7"/>
    </row>
    <row r="674" spans="7:8" x14ac:dyDescent="0.35">
      <c r="G674" s="7"/>
      <c r="H674" s="7"/>
    </row>
    <row r="675" spans="7:8" x14ac:dyDescent="0.35">
      <c r="G675" s="7"/>
      <c r="H675" s="7"/>
    </row>
    <row r="676" spans="7:8" x14ac:dyDescent="0.35">
      <c r="G676" s="7"/>
      <c r="H676" s="7"/>
    </row>
    <row r="677" spans="7:8" x14ac:dyDescent="0.35">
      <c r="G677" s="7"/>
      <c r="H677" s="7"/>
    </row>
    <row r="678" spans="7:8" x14ac:dyDescent="0.35">
      <c r="G678" s="7"/>
      <c r="H678" s="7"/>
    </row>
    <row r="679" spans="7:8" x14ac:dyDescent="0.35">
      <c r="G679" s="7"/>
      <c r="H679" s="7"/>
    </row>
    <row r="680" spans="7:8" x14ac:dyDescent="0.35">
      <c r="G680" s="7"/>
      <c r="H680" s="7"/>
    </row>
    <row r="681" spans="7:8" x14ac:dyDescent="0.35">
      <c r="G681" s="7"/>
      <c r="H681" s="7"/>
    </row>
    <row r="682" spans="7:8" x14ac:dyDescent="0.35">
      <c r="G682" s="7"/>
      <c r="H682" s="7"/>
    </row>
    <row r="683" spans="7:8" x14ac:dyDescent="0.35">
      <c r="G683" s="7"/>
      <c r="H683" s="7"/>
    </row>
    <row r="684" spans="7:8" x14ac:dyDescent="0.35">
      <c r="G684" s="7"/>
      <c r="H684" s="7"/>
    </row>
    <row r="685" spans="7:8" x14ac:dyDescent="0.35">
      <c r="G685" s="7"/>
      <c r="H685" s="7"/>
    </row>
    <row r="686" spans="7:8" x14ac:dyDescent="0.35">
      <c r="G686" s="7"/>
      <c r="H686" s="7"/>
    </row>
    <row r="687" spans="7:8" x14ac:dyDescent="0.35">
      <c r="G687" s="7"/>
      <c r="H687" s="7"/>
    </row>
    <row r="688" spans="7:8" x14ac:dyDescent="0.35">
      <c r="G688" s="7"/>
      <c r="H688" s="7"/>
    </row>
    <row r="689" spans="7:8" x14ac:dyDescent="0.35">
      <c r="G689" s="7"/>
      <c r="H689" s="7"/>
    </row>
    <row r="690" spans="7:8" x14ac:dyDescent="0.35">
      <c r="G690" s="7"/>
      <c r="H690" s="7"/>
    </row>
    <row r="691" spans="7:8" x14ac:dyDescent="0.35">
      <c r="G691" s="7"/>
      <c r="H691" s="7"/>
    </row>
    <row r="692" spans="7:8" x14ac:dyDescent="0.35">
      <c r="G692" s="7"/>
      <c r="H692" s="7"/>
    </row>
    <row r="693" spans="7:8" x14ac:dyDescent="0.35">
      <c r="G693" s="7"/>
      <c r="H693" s="7"/>
    </row>
    <row r="694" spans="7:8" x14ac:dyDescent="0.35">
      <c r="G694" s="7"/>
      <c r="H694" s="7"/>
    </row>
    <row r="695" spans="7:8" x14ac:dyDescent="0.35">
      <c r="G695" s="7"/>
      <c r="H695" s="7"/>
    </row>
    <row r="696" spans="7:8" x14ac:dyDescent="0.35">
      <c r="G696" s="7"/>
      <c r="H696" s="7"/>
    </row>
    <row r="697" spans="7:8" x14ac:dyDescent="0.35">
      <c r="G697" s="7"/>
      <c r="H697" s="7"/>
    </row>
    <row r="698" spans="7:8" x14ac:dyDescent="0.35">
      <c r="G698" s="7"/>
      <c r="H698" s="7"/>
    </row>
    <row r="699" spans="7:8" x14ac:dyDescent="0.35">
      <c r="G699" s="7"/>
      <c r="H699" s="7"/>
    </row>
    <row r="700" spans="7:8" x14ac:dyDescent="0.35">
      <c r="G700" s="7"/>
      <c r="H700" s="7"/>
    </row>
    <row r="701" spans="7:8" x14ac:dyDescent="0.35">
      <c r="G701" s="7"/>
      <c r="H701" s="7"/>
    </row>
    <row r="702" spans="7:8" x14ac:dyDescent="0.35">
      <c r="G702" s="7"/>
      <c r="H702" s="7"/>
    </row>
    <row r="703" spans="7:8" x14ac:dyDescent="0.35">
      <c r="G703" s="7"/>
      <c r="H703" s="7"/>
    </row>
    <row r="704" spans="7:8" x14ac:dyDescent="0.35">
      <c r="G704" s="7"/>
      <c r="H704" s="7"/>
    </row>
    <row r="705" spans="7:8" x14ac:dyDescent="0.35">
      <c r="G705" s="7"/>
      <c r="H705" s="7"/>
    </row>
    <row r="706" spans="7:8" x14ac:dyDescent="0.35">
      <c r="G706" s="7"/>
      <c r="H706" s="7"/>
    </row>
    <row r="707" spans="7:8" x14ac:dyDescent="0.35">
      <c r="G707" s="7"/>
      <c r="H707" s="7"/>
    </row>
    <row r="708" spans="7:8" x14ac:dyDescent="0.35">
      <c r="G708" s="7"/>
      <c r="H708" s="7"/>
    </row>
    <row r="709" spans="7:8" x14ac:dyDescent="0.35">
      <c r="G709" s="7"/>
      <c r="H709" s="7"/>
    </row>
    <row r="710" spans="7:8" x14ac:dyDescent="0.35">
      <c r="G710" s="7"/>
      <c r="H710" s="7"/>
    </row>
    <row r="711" spans="7:8" x14ac:dyDescent="0.35">
      <c r="G711" s="7"/>
      <c r="H711" s="7"/>
    </row>
    <row r="712" spans="7:8" x14ac:dyDescent="0.35">
      <c r="G712" s="7"/>
      <c r="H712" s="7"/>
    </row>
    <row r="713" spans="7:8" x14ac:dyDescent="0.35">
      <c r="G713" s="7"/>
      <c r="H713" s="7"/>
    </row>
    <row r="714" spans="7:8" x14ac:dyDescent="0.35">
      <c r="G714" s="7"/>
      <c r="H714" s="7"/>
    </row>
    <row r="715" spans="7:8" x14ac:dyDescent="0.35">
      <c r="G715" s="7"/>
      <c r="H715" s="7"/>
    </row>
    <row r="716" spans="7:8" x14ac:dyDescent="0.35">
      <c r="G716" s="7"/>
      <c r="H716" s="7"/>
    </row>
    <row r="717" spans="7:8" x14ac:dyDescent="0.35">
      <c r="G717" s="7"/>
      <c r="H717" s="7"/>
    </row>
    <row r="718" spans="7:8" x14ac:dyDescent="0.35">
      <c r="G718" s="7"/>
      <c r="H718" s="7"/>
    </row>
    <row r="719" spans="7:8" x14ac:dyDescent="0.35">
      <c r="G719" s="7"/>
      <c r="H719" s="7"/>
    </row>
    <row r="720" spans="7:8" x14ac:dyDescent="0.35">
      <c r="G720" s="7"/>
      <c r="H720" s="7"/>
    </row>
    <row r="721" spans="7:8" x14ac:dyDescent="0.35">
      <c r="G721" s="7"/>
      <c r="H721" s="7"/>
    </row>
    <row r="722" spans="7:8" x14ac:dyDescent="0.35">
      <c r="G722" s="7"/>
      <c r="H722" s="7"/>
    </row>
    <row r="723" spans="7:8" x14ac:dyDescent="0.35">
      <c r="G723" s="7"/>
      <c r="H723" s="7"/>
    </row>
    <row r="724" spans="7:8" x14ac:dyDescent="0.35">
      <c r="G724" s="7"/>
      <c r="H724" s="7"/>
    </row>
    <row r="725" spans="7:8" x14ac:dyDescent="0.35">
      <c r="G725" s="7"/>
      <c r="H725" s="7"/>
    </row>
    <row r="726" spans="7:8" x14ac:dyDescent="0.35">
      <c r="G726" s="7"/>
      <c r="H726" s="7"/>
    </row>
    <row r="727" spans="7:8" x14ac:dyDescent="0.35">
      <c r="G727" s="7"/>
      <c r="H727" s="7"/>
    </row>
    <row r="728" spans="7:8" x14ac:dyDescent="0.35">
      <c r="G728" s="7"/>
      <c r="H728" s="7"/>
    </row>
    <row r="729" spans="7:8" x14ac:dyDescent="0.35">
      <c r="G729" s="7"/>
      <c r="H729" s="7"/>
    </row>
    <row r="730" spans="7:8" x14ac:dyDescent="0.35">
      <c r="G730" s="7"/>
      <c r="H730" s="7"/>
    </row>
    <row r="731" spans="7:8" x14ac:dyDescent="0.35">
      <c r="G731" s="7"/>
      <c r="H731" s="7"/>
    </row>
    <row r="732" spans="7:8" x14ac:dyDescent="0.35">
      <c r="G732" s="7"/>
      <c r="H732" s="7"/>
    </row>
    <row r="733" spans="7:8" x14ac:dyDescent="0.35">
      <c r="G733" s="7"/>
      <c r="H733" s="7"/>
    </row>
    <row r="734" spans="7:8" x14ac:dyDescent="0.35">
      <c r="G734" s="7"/>
      <c r="H734" s="7"/>
    </row>
    <row r="735" spans="7:8" x14ac:dyDescent="0.35">
      <c r="G735" s="7"/>
      <c r="H735" s="7"/>
    </row>
    <row r="736" spans="7:8" x14ac:dyDescent="0.35">
      <c r="G736" s="7"/>
      <c r="H736" s="7"/>
    </row>
    <row r="737" spans="7:8" x14ac:dyDescent="0.35">
      <c r="G737" s="7"/>
      <c r="H737" s="7"/>
    </row>
    <row r="738" spans="7:8" x14ac:dyDescent="0.35">
      <c r="G738" s="7"/>
      <c r="H738" s="7"/>
    </row>
    <row r="739" spans="7:8" x14ac:dyDescent="0.35">
      <c r="G739" s="7"/>
      <c r="H739" s="7"/>
    </row>
    <row r="740" spans="7:8" x14ac:dyDescent="0.35">
      <c r="G740" s="7"/>
      <c r="H740" s="7"/>
    </row>
    <row r="741" spans="7:8" x14ac:dyDescent="0.35">
      <c r="G741" s="7"/>
      <c r="H741" s="7"/>
    </row>
    <row r="742" spans="7:8" x14ac:dyDescent="0.35">
      <c r="G742" s="7"/>
      <c r="H742" s="7"/>
    </row>
    <row r="743" spans="7:8" x14ac:dyDescent="0.35">
      <c r="G743" s="7"/>
      <c r="H743" s="7"/>
    </row>
    <row r="744" spans="7:8" x14ac:dyDescent="0.35">
      <c r="G744" s="7"/>
      <c r="H744" s="7"/>
    </row>
    <row r="745" spans="7:8" x14ac:dyDescent="0.35">
      <c r="G745" s="7"/>
      <c r="H745" s="7"/>
    </row>
    <row r="746" spans="7:8" x14ac:dyDescent="0.35">
      <c r="G746" s="7"/>
      <c r="H746" s="7"/>
    </row>
    <row r="747" spans="7:8" x14ac:dyDescent="0.35">
      <c r="G747" s="7"/>
      <c r="H747" s="7"/>
    </row>
    <row r="748" spans="7:8" x14ac:dyDescent="0.35">
      <c r="G748" s="7"/>
      <c r="H748" s="7"/>
    </row>
    <row r="749" spans="7:8" x14ac:dyDescent="0.35">
      <c r="G749" s="7"/>
      <c r="H749" s="7"/>
    </row>
    <row r="750" spans="7:8" x14ac:dyDescent="0.35">
      <c r="G750" s="7"/>
      <c r="H750" s="7"/>
    </row>
    <row r="751" spans="7:8" x14ac:dyDescent="0.35">
      <c r="G751" s="7"/>
      <c r="H751" s="7"/>
    </row>
    <row r="752" spans="7:8" x14ac:dyDescent="0.35">
      <c r="G752" s="7"/>
      <c r="H752" s="7"/>
    </row>
    <row r="753" spans="7:8" x14ac:dyDescent="0.35">
      <c r="G753" s="7"/>
      <c r="H753" s="7"/>
    </row>
    <row r="754" spans="7:8" x14ac:dyDescent="0.35">
      <c r="G754" s="7"/>
      <c r="H754" s="7"/>
    </row>
    <row r="755" spans="7:8" x14ac:dyDescent="0.35">
      <c r="G755" s="7"/>
      <c r="H755" s="7"/>
    </row>
    <row r="756" spans="7:8" x14ac:dyDescent="0.35">
      <c r="G756" s="7"/>
      <c r="H756" s="7"/>
    </row>
    <row r="757" spans="7:8" x14ac:dyDescent="0.35">
      <c r="G757" s="7"/>
      <c r="H757" s="7"/>
    </row>
    <row r="758" spans="7:8" x14ac:dyDescent="0.35">
      <c r="G758" s="7"/>
      <c r="H758" s="7"/>
    </row>
    <row r="759" spans="7:8" x14ac:dyDescent="0.35">
      <c r="G759" s="7"/>
      <c r="H759" s="7"/>
    </row>
    <row r="760" spans="7:8" x14ac:dyDescent="0.35">
      <c r="G760" s="7"/>
      <c r="H760" s="7"/>
    </row>
    <row r="761" spans="7:8" x14ac:dyDescent="0.35">
      <c r="G761" s="7"/>
      <c r="H761" s="7"/>
    </row>
    <row r="762" spans="7:8" x14ac:dyDescent="0.35">
      <c r="G762" s="7"/>
      <c r="H762" s="7"/>
    </row>
    <row r="763" spans="7:8" x14ac:dyDescent="0.35">
      <c r="G763" s="7"/>
      <c r="H763" s="7"/>
    </row>
    <row r="764" spans="7:8" x14ac:dyDescent="0.35">
      <c r="G764" s="7"/>
      <c r="H764" s="7"/>
    </row>
    <row r="765" spans="7:8" x14ac:dyDescent="0.35">
      <c r="G765" s="7"/>
      <c r="H765" s="7"/>
    </row>
    <row r="766" spans="7:8" x14ac:dyDescent="0.35">
      <c r="G766" s="7"/>
      <c r="H766" s="7"/>
    </row>
    <row r="767" spans="7:8" x14ac:dyDescent="0.35">
      <c r="G767" s="7"/>
      <c r="H767" s="7"/>
    </row>
    <row r="768" spans="7:8" x14ac:dyDescent="0.35">
      <c r="G768" s="7"/>
      <c r="H768" s="7"/>
    </row>
    <row r="769" spans="7:8" x14ac:dyDescent="0.35">
      <c r="G769" s="7"/>
      <c r="H769" s="7"/>
    </row>
    <row r="770" spans="7:8" x14ac:dyDescent="0.35">
      <c r="G770" s="7"/>
      <c r="H770" s="7"/>
    </row>
    <row r="771" spans="7:8" x14ac:dyDescent="0.35">
      <c r="G771" s="7"/>
      <c r="H771" s="7"/>
    </row>
    <row r="772" spans="7:8" x14ac:dyDescent="0.35">
      <c r="G772" s="7"/>
      <c r="H772" s="7"/>
    </row>
    <row r="773" spans="7:8" x14ac:dyDescent="0.35">
      <c r="G773" s="7"/>
      <c r="H773" s="7"/>
    </row>
    <row r="774" spans="7:8" x14ac:dyDescent="0.35">
      <c r="G774" s="7"/>
      <c r="H774" s="7"/>
    </row>
    <row r="775" spans="7:8" x14ac:dyDescent="0.35">
      <c r="G775" s="7"/>
      <c r="H775" s="7"/>
    </row>
    <row r="776" spans="7:8" x14ac:dyDescent="0.35">
      <c r="G776" s="7"/>
      <c r="H776" s="7"/>
    </row>
    <row r="777" spans="7:8" x14ac:dyDescent="0.35">
      <c r="G777" s="7"/>
      <c r="H777" s="7"/>
    </row>
    <row r="778" spans="7:8" x14ac:dyDescent="0.35">
      <c r="G778" s="7"/>
      <c r="H778" s="7"/>
    </row>
    <row r="779" spans="7:8" x14ac:dyDescent="0.35">
      <c r="G779" s="7"/>
      <c r="H779" s="7"/>
    </row>
    <row r="780" spans="7:8" x14ac:dyDescent="0.35">
      <c r="G780" s="7"/>
      <c r="H780" s="7"/>
    </row>
    <row r="781" spans="7:8" x14ac:dyDescent="0.35">
      <c r="G781" s="7"/>
      <c r="H781" s="7"/>
    </row>
    <row r="782" spans="7:8" x14ac:dyDescent="0.35">
      <c r="G782" s="7"/>
      <c r="H782" s="7"/>
    </row>
    <row r="783" spans="7:8" x14ac:dyDescent="0.35">
      <c r="G783" s="7"/>
      <c r="H783" s="7"/>
    </row>
    <row r="784" spans="7:8" x14ac:dyDescent="0.35">
      <c r="G784" s="7"/>
      <c r="H784" s="7"/>
    </row>
    <row r="785" spans="7:8" x14ac:dyDescent="0.35">
      <c r="G785" s="7"/>
      <c r="H785" s="7"/>
    </row>
    <row r="786" spans="7:8" x14ac:dyDescent="0.35">
      <c r="G786" s="7"/>
      <c r="H786" s="7"/>
    </row>
    <row r="787" spans="7:8" x14ac:dyDescent="0.35">
      <c r="G787" s="7"/>
      <c r="H787" s="7"/>
    </row>
    <row r="788" spans="7:8" x14ac:dyDescent="0.35">
      <c r="G788" s="7"/>
      <c r="H788" s="7"/>
    </row>
    <row r="789" spans="7:8" x14ac:dyDescent="0.35">
      <c r="G789" s="7"/>
      <c r="H789" s="7"/>
    </row>
    <row r="790" spans="7:8" x14ac:dyDescent="0.35">
      <c r="G790" s="7"/>
      <c r="H790" s="7"/>
    </row>
    <row r="791" spans="7:8" x14ac:dyDescent="0.35">
      <c r="G791" s="7"/>
      <c r="H791" s="7"/>
    </row>
    <row r="792" spans="7:8" x14ac:dyDescent="0.35">
      <c r="G792" s="7"/>
      <c r="H792" s="7"/>
    </row>
    <row r="793" spans="7:8" x14ac:dyDescent="0.35">
      <c r="G793" s="7"/>
      <c r="H793" s="7"/>
    </row>
    <row r="794" spans="7:8" x14ac:dyDescent="0.35">
      <c r="G794" s="7"/>
      <c r="H794" s="7"/>
    </row>
    <row r="795" spans="7:8" x14ac:dyDescent="0.35">
      <c r="G795" s="7"/>
      <c r="H795" s="7"/>
    </row>
    <row r="796" spans="7:8" x14ac:dyDescent="0.35">
      <c r="G796" s="7"/>
      <c r="H796" s="7"/>
    </row>
    <row r="797" spans="7:8" x14ac:dyDescent="0.35">
      <c r="G797" s="7"/>
      <c r="H797" s="7"/>
    </row>
    <row r="798" spans="7:8" x14ac:dyDescent="0.35">
      <c r="G798" s="7"/>
      <c r="H798" s="7"/>
    </row>
    <row r="799" spans="7:8" x14ac:dyDescent="0.35">
      <c r="G799" s="7"/>
      <c r="H799" s="7"/>
    </row>
    <row r="800" spans="7:8" x14ac:dyDescent="0.35">
      <c r="G800" s="7"/>
      <c r="H800" s="7"/>
    </row>
    <row r="801" spans="7:8" x14ac:dyDescent="0.35">
      <c r="G801" s="7"/>
      <c r="H801" s="7"/>
    </row>
    <row r="802" spans="7:8" x14ac:dyDescent="0.35">
      <c r="G802" s="7"/>
      <c r="H802" s="7"/>
    </row>
    <row r="803" spans="7:8" x14ac:dyDescent="0.35">
      <c r="G803" s="7"/>
      <c r="H803" s="7"/>
    </row>
    <row r="804" spans="7:8" x14ac:dyDescent="0.35">
      <c r="G804" s="7"/>
      <c r="H804" s="7"/>
    </row>
    <row r="805" spans="7:8" x14ac:dyDescent="0.35">
      <c r="G805" s="7"/>
      <c r="H805" s="7"/>
    </row>
    <row r="806" spans="7:8" x14ac:dyDescent="0.35">
      <c r="G806" s="7"/>
      <c r="H806" s="7"/>
    </row>
    <row r="807" spans="7:8" x14ac:dyDescent="0.35">
      <c r="G807" s="7"/>
      <c r="H807" s="7"/>
    </row>
    <row r="808" spans="7:8" x14ac:dyDescent="0.35">
      <c r="G808" s="7"/>
      <c r="H808" s="7"/>
    </row>
    <row r="809" spans="7:8" x14ac:dyDescent="0.35">
      <c r="G809" s="7"/>
      <c r="H809" s="7"/>
    </row>
    <row r="810" spans="7:8" x14ac:dyDescent="0.35">
      <c r="G810" s="7"/>
      <c r="H810" s="7"/>
    </row>
    <row r="811" spans="7:8" x14ac:dyDescent="0.35">
      <c r="G811" s="7"/>
      <c r="H811" s="7"/>
    </row>
    <row r="812" spans="7:8" x14ac:dyDescent="0.35">
      <c r="G812" s="7"/>
      <c r="H812" s="7"/>
    </row>
    <row r="813" spans="7:8" x14ac:dyDescent="0.35">
      <c r="G813" s="7"/>
      <c r="H813" s="7"/>
    </row>
    <row r="814" spans="7:8" x14ac:dyDescent="0.35">
      <c r="G814" s="7"/>
      <c r="H814" s="7"/>
    </row>
    <row r="815" spans="7:8" x14ac:dyDescent="0.35">
      <c r="G815" s="7"/>
      <c r="H815" s="7"/>
    </row>
    <row r="816" spans="7:8" x14ac:dyDescent="0.35">
      <c r="G816" s="7"/>
      <c r="H816" s="7"/>
    </row>
    <row r="817" spans="7:8" x14ac:dyDescent="0.35">
      <c r="G817" s="7"/>
      <c r="H817" s="7"/>
    </row>
    <row r="818" spans="7:8" x14ac:dyDescent="0.35">
      <c r="G818" s="7"/>
      <c r="H818" s="7"/>
    </row>
    <row r="819" spans="7:8" x14ac:dyDescent="0.35">
      <c r="G819" s="7"/>
      <c r="H819" s="7"/>
    </row>
    <row r="820" spans="7:8" x14ac:dyDescent="0.35">
      <c r="G820" s="7"/>
      <c r="H820" s="7"/>
    </row>
    <row r="821" spans="7:8" x14ac:dyDescent="0.35">
      <c r="G821" s="7"/>
      <c r="H821" s="7"/>
    </row>
    <row r="822" spans="7:8" x14ac:dyDescent="0.35">
      <c r="G822" s="7"/>
      <c r="H822" s="7"/>
    </row>
    <row r="823" spans="7:8" x14ac:dyDescent="0.35">
      <c r="G823" s="7"/>
      <c r="H823" s="7"/>
    </row>
    <row r="824" spans="7:8" x14ac:dyDescent="0.35">
      <c r="G824" s="7"/>
      <c r="H824" s="7"/>
    </row>
    <row r="825" spans="7:8" x14ac:dyDescent="0.35">
      <c r="G825" s="7"/>
      <c r="H825" s="7"/>
    </row>
    <row r="826" spans="7:8" x14ac:dyDescent="0.35">
      <c r="G826" s="7"/>
      <c r="H826" s="7"/>
    </row>
    <row r="827" spans="7:8" x14ac:dyDescent="0.35">
      <c r="G827" s="7"/>
      <c r="H827" s="7"/>
    </row>
    <row r="828" spans="7:8" x14ac:dyDescent="0.35">
      <c r="G828" s="7"/>
      <c r="H828" s="7"/>
    </row>
    <row r="829" spans="7:8" x14ac:dyDescent="0.35">
      <c r="G829" s="7"/>
      <c r="H829" s="7"/>
    </row>
    <row r="830" spans="7:8" x14ac:dyDescent="0.35">
      <c r="G830" s="7"/>
      <c r="H830" s="7"/>
    </row>
    <row r="831" spans="7:8" x14ac:dyDescent="0.35">
      <c r="G831" s="7"/>
      <c r="H831" s="7"/>
    </row>
    <row r="832" spans="7:8" x14ac:dyDescent="0.35">
      <c r="G832" s="7"/>
      <c r="H832" s="7"/>
    </row>
    <row r="833" spans="7:8" x14ac:dyDescent="0.35">
      <c r="G833" s="7"/>
      <c r="H833" s="7"/>
    </row>
    <row r="834" spans="7:8" x14ac:dyDescent="0.35">
      <c r="G834" s="7"/>
      <c r="H834" s="7"/>
    </row>
    <row r="835" spans="7:8" x14ac:dyDescent="0.35">
      <c r="G835" s="7"/>
      <c r="H835" s="7"/>
    </row>
    <row r="836" spans="7:8" x14ac:dyDescent="0.35">
      <c r="G836" s="7"/>
      <c r="H836" s="7"/>
    </row>
    <row r="837" spans="7:8" x14ac:dyDescent="0.35">
      <c r="G837" s="7"/>
      <c r="H837" s="7"/>
    </row>
    <row r="838" spans="7:8" x14ac:dyDescent="0.35">
      <c r="G838" s="7"/>
      <c r="H838" s="7"/>
    </row>
    <row r="839" spans="7:8" x14ac:dyDescent="0.35">
      <c r="G839" s="7"/>
      <c r="H839" s="7"/>
    </row>
    <row r="840" spans="7:8" x14ac:dyDescent="0.35">
      <c r="G840" s="7"/>
      <c r="H840" s="7"/>
    </row>
    <row r="841" spans="7:8" x14ac:dyDescent="0.35">
      <c r="G841" s="7"/>
      <c r="H841" s="7"/>
    </row>
    <row r="842" spans="7:8" x14ac:dyDescent="0.35">
      <c r="G842" s="7"/>
      <c r="H842" s="7"/>
    </row>
    <row r="843" spans="7:8" x14ac:dyDescent="0.35">
      <c r="G843" s="7"/>
      <c r="H843" s="7"/>
    </row>
    <row r="844" spans="7:8" x14ac:dyDescent="0.35">
      <c r="G844" s="7"/>
      <c r="H844" s="7"/>
    </row>
    <row r="845" spans="7:8" x14ac:dyDescent="0.35">
      <c r="G845" s="7"/>
      <c r="H845" s="7"/>
    </row>
    <row r="846" spans="7:8" x14ac:dyDescent="0.35">
      <c r="G846" s="7"/>
      <c r="H846" s="7"/>
    </row>
    <row r="847" spans="7:8" x14ac:dyDescent="0.35">
      <c r="G847" s="7"/>
      <c r="H847" s="7"/>
    </row>
    <row r="848" spans="7:8" x14ac:dyDescent="0.35">
      <c r="G848" s="7"/>
      <c r="H848" s="7"/>
    </row>
    <row r="849" spans="7:8" x14ac:dyDescent="0.35">
      <c r="G849" s="7"/>
      <c r="H849" s="7"/>
    </row>
    <row r="850" spans="7:8" x14ac:dyDescent="0.35">
      <c r="G850" s="7"/>
      <c r="H850" s="7"/>
    </row>
    <row r="851" spans="7:8" x14ac:dyDescent="0.35">
      <c r="G851" s="7"/>
      <c r="H851" s="7"/>
    </row>
    <row r="852" spans="7:8" x14ac:dyDescent="0.35">
      <c r="G852" s="7"/>
      <c r="H852" s="7"/>
    </row>
    <row r="853" spans="7:8" x14ac:dyDescent="0.35">
      <c r="G853" s="7"/>
      <c r="H853" s="7"/>
    </row>
    <row r="854" spans="7:8" x14ac:dyDescent="0.35">
      <c r="G854" s="7"/>
      <c r="H854" s="7"/>
    </row>
    <row r="855" spans="7:8" x14ac:dyDescent="0.35">
      <c r="G855" s="7"/>
      <c r="H855" s="7"/>
    </row>
    <row r="856" spans="7:8" x14ac:dyDescent="0.35">
      <c r="G856" s="7"/>
      <c r="H856" s="7"/>
    </row>
    <row r="857" spans="7:8" x14ac:dyDescent="0.35">
      <c r="G857" s="7"/>
      <c r="H857" s="7"/>
    </row>
    <row r="858" spans="7:8" x14ac:dyDescent="0.35">
      <c r="G858" s="7"/>
      <c r="H858" s="7"/>
    </row>
    <row r="859" spans="7:8" x14ac:dyDescent="0.35">
      <c r="G859" s="7"/>
      <c r="H859" s="7"/>
    </row>
    <row r="860" spans="7:8" x14ac:dyDescent="0.35">
      <c r="G860" s="7"/>
      <c r="H860" s="7"/>
    </row>
    <row r="861" spans="7:8" x14ac:dyDescent="0.35">
      <c r="G861" s="7"/>
      <c r="H861" s="7"/>
    </row>
    <row r="862" spans="7:8" x14ac:dyDescent="0.35">
      <c r="G862" s="7"/>
      <c r="H862" s="7"/>
    </row>
    <row r="863" spans="7:8" x14ac:dyDescent="0.35">
      <c r="G863" s="7"/>
      <c r="H863" s="7"/>
    </row>
    <row r="864" spans="7:8" x14ac:dyDescent="0.35">
      <c r="G864" s="7"/>
      <c r="H864" s="7"/>
    </row>
    <row r="865" spans="7:8" x14ac:dyDescent="0.35">
      <c r="G865" s="7"/>
      <c r="H865" s="7"/>
    </row>
    <row r="866" spans="7:8" x14ac:dyDescent="0.35">
      <c r="G866" s="7"/>
      <c r="H866" s="7"/>
    </row>
    <row r="867" spans="7:8" x14ac:dyDescent="0.35">
      <c r="G867" s="7"/>
      <c r="H867" s="7"/>
    </row>
    <row r="868" spans="7:8" x14ac:dyDescent="0.35">
      <c r="G868" s="7"/>
      <c r="H868" s="7"/>
    </row>
    <row r="869" spans="7:8" x14ac:dyDescent="0.35">
      <c r="G869" s="7"/>
      <c r="H869" s="7"/>
    </row>
    <row r="870" spans="7:8" x14ac:dyDescent="0.35">
      <c r="G870" s="7"/>
      <c r="H870" s="7"/>
    </row>
    <row r="871" spans="7:8" x14ac:dyDescent="0.35">
      <c r="G871" s="7"/>
      <c r="H871" s="7"/>
    </row>
    <row r="872" spans="7:8" x14ac:dyDescent="0.35">
      <c r="G872" s="7"/>
      <c r="H872" s="7"/>
    </row>
    <row r="873" spans="7:8" x14ac:dyDescent="0.35">
      <c r="G873" s="7"/>
      <c r="H873" s="7"/>
    </row>
    <row r="874" spans="7:8" x14ac:dyDescent="0.35">
      <c r="G874" s="7"/>
      <c r="H874" s="7"/>
    </row>
    <row r="875" spans="7:8" x14ac:dyDescent="0.35">
      <c r="G875" s="7"/>
      <c r="H875" s="7"/>
    </row>
    <row r="876" spans="7:8" x14ac:dyDescent="0.35">
      <c r="G876" s="7"/>
      <c r="H876" s="7"/>
    </row>
    <row r="877" spans="7:8" x14ac:dyDescent="0.35">
      <c r="G877" s="7"/>
      <c r="H877" s="7"/>
    </row>
    <row r="878" spans="7:8" x14ac:dyDescent="0.35">
      <c r="G878" s="7"/>
      <c r="H878" s="7"/>
    </row>
    <row r="879" spans="7:8" x14ac:dyDescent="0.35">
      <c r="G879" s="7"/>
      <c r="H879" s="7"/>
    </row>
    <row r="880" spans="7:8" x14ac:dyDescent="0.35">
      <c r="G880" s="7"/>
      <c r="H880" s="7"/>
    </row>
    <row r="881" spans="7:8" x14ac:dyDescent="0.35">
      <c r="G881" s="7"/>
      <c r="H881" s="7"/>
    </row>
    <row r="882" spans="7:8" x14ac:dyDescent="0.35">
      <c r="G882" s="7"/>
      <c r="H882" s="7"/>
    </row>
    <row r="883" spans="7:8" x14ac:dyDescent="0.35">
      <c r="G883" s="7"/>
      <c r="H883" s="7"/>
    </row>
    <row r="884" spans="7:8" x14ac:dyDescent="0.35">
      <c r="G884" s="7"/>
      <c r="H884" s="7"/>
    </row>
    <row r="885" spans="7:8" x14ac:dyDescent="0.35">
      <c r="G885" s="7"/>
      <c r="H885" s="7"/>
    </row>
    <row r="886" spans="7:8" x14ac:dyDescent="0.35">
      <c r="G886" s="7"/>
      <c r="H886" s="7"/>
    </row>
    <row r="887" spans="7:8" x14ac:dyDescent="0.35">
      <c r="G887" s="7"/>
      <c r="H887" s="7"/>
    </row>
    <row r="888" spans="7:8" x14ac:dyDescent="0.35">
      <c r="G888" s="7"/>
      <c r="H888" s="7"/>
    </row>
    <row r="889" spans="7:8" x14ac:dyDescent="0.35">
      <c r="G889" s="7"/>
      <c r="H889" s="7"/>
    </row>
    <row r="890" spans="7:8" x14ac:dyDescent="0.35">
      <c r="G890" s="7"/>
      <c r="H890" s="7"/>
    </row>
    <row r="891" spans="7:8" x14ac:dyDescent="0.35">
      <c r="G891" s="7"/>
      <c r="H891" s="7"/>
    </row>
    <row r="892" spans="7:8" x14ac:dyDescent="0.35">
      <c r="G892" s="7"/>
      <c r="H892" s="7"/>
    </row>
    <row r="893" spans="7:8" x14ac:dyDescent="0.35">
      <c r="G893" s="7"/>
      <c r="H893" s="7"/>
    </row>
    <row r="894" spans="7:8" x14ac:dyDescent="0.35">
      <c r="G894" s="7"/>
      <c r="H894" s="7"/>
    </row>
    <row r="895" spans="7:8" x14ac:dyDescent="0.35">
      <c r="G895" s="7"/>
      <c r="H895" s="7"/>
    </row>
    <row r="896" spans="7:8" x14ac:dyDescent="0.35">
      <c r="G896" s="7"/>
      <c r="H896" s="7"/>
    </row>
    <row r="897" spans="7:8" x14ac:dyDescent="0.35">
      <c r="G897" s="7"/>
      <c r="H897" s="7"/>
    </row>
    <row r="898" spans="7:8" x14ac:dyDescent="0.35">
      <c r="G898" s="7"/>
      <c r="H898" s="7"/>
    </row>
    <row r="899" spans="7:8" x14ac:dyDescent="0.35">
      <c r="G899" s="7"/>
      <c r="H899" s="7"/>
    </row>
    <row r="900" spans="7:8" x14ac:dyDescent="0.35">
      <c r="G900" s="7"/>
      <c r="H900" s="7"/>
    </row>
    <row r="901" spans="7:8" x14ac:dyDescent="0.35">
      <c r="G901" s="7"/>
      <c r="H901" s="7"/>
    </row>
    <row r="902" spans="7:8" x14ac:dyDescent="0.35">
      <c r="G902" s="7"/>
      <c r="H902" s="7"/>
    </row>
    <row r="903" spans="7:8" x14ac:dyDescent="0.35">
      <c r="G903" s="7"/>
      <c r="H903" s="7"/>
    </row>
    <row r="904" spans="7:8" x14ac:dyDescent="0.35">
      <c r="G904" s="7"/>
      <c r="H904" s="7"/>
    </row>
    <row r="905" spans="7:8" x14ac:dyDescent="0.35">
      <c r="G905" s="7"/>
      <c r="H905" s="7"/>
    </row>
    <row r="906" spans="7:8" x14ac:dyDescent="0.35">
      <c r="G906" s="7"/>
      <c r="H906" s="7"/>
    </row>
    <row r="907" spans="7:8" x14ac:dyDescent="0.35">
      <c r="G907" s="7"/>
      <c r="H907" s="7"/>
    </row>
    <row r="908" spans="7:8" x14ac:dyDescent="0.35">
      <c r="G908" s="7"/>
      <c r="H908" s="7"/>
    </row>
    <row r="909" spans="7:8" x14ac:dyDescent="0.35">
      <c r="G909" s="7"/>
      <c r="H909" s="7"/>
    </row>
    <row r="910" spans="7:8" x14ac:dyDescent="0.35">
      <c r="G910" s="7"/>
      <c r="H910" s="7"/>
    </row>
    <row r="911" spans="7:8" x14ac:dyDescent="0.35">
      <c r="G911" s="7"/>
      <c r="H911" s="7"/>
    </row>
    <row r="912" spans="7:8" x14ac:dyDescent="0.35">
      <c r="G912" s="7"/>
      <c r="H912" s="7"/>
    </row>
    <row r="913" spans="7:8" x14ac:dyDescent="0.35">
      <c r="G913" s="7"/>
      <c r="H913" s="7"/>
    </row>
    <row r="914" spans="7:8" x14ac:dyDescent="0.35">
      <c r="G914" s="7"/>
      <c r="H914" s="7"/>
    </row>
    <row r="915" spans="7:8" x14ac:dyDescent="0.35">
      <c r="G915" s="7"/>
      <c r="H915" s="7"/>
    </row>
    <row r="916" spans="7:8" x14ac:dyDescent="0.35">
      <c r="G916" s="7"/>
      <c r="H916" s="7"/>
    </row>
    <row r="917" spans="7:8" x14ac:dyDescent="0.35">
      <c r="G917" s="7"/>
      <c r="H917" s="7"/>
    </row>
    <row r="918" spans="7:8" x14ac:dyDescent="0.35">
      <c r="G918" s="7"/>
      <c r="H918" s="7"/>
    </row>
    <row r="919" spans="7:8" x14ac:dyDescent="0.35">
      <c r="G919" s="7"/>
      <c r="H919" s="7"/>
    </row>
    <row r="920" spans="7:8" x14ac:dyDescent="0.35">
      <c r="G920" s="7"/>
      <c r="H920" s="7"/>
    </row>
    <row r="921" spans="7:8" x14ac:dyDescent="0.35">
      <c r="G921" s="7"/>
      <c r="H921" s="7"/>
    </row>
    <row r="922" spans="7:8" x14ac:dyDescent="0.35">
      <c r="G922" s="7"/>
      <c r="H922" s="7"/>
    </row>
    <row r="923" spans="7:8" x14ac:dyDescent="0.35">
      <c r="G923" s="7"/>
      <c r="H923" s="7"/>
    </row>
    <row r="924" spans="7:8" x14ac:dyDescent="0.35">
      <c r="G924" s="7"/>
      <c r="H924" s="7"/>
    </row>
    <row r="925" spans="7:8" x14ac:dyDescent="0.35">
      <c r="G925" s="7"/>
      <c r="H925" s="7"/>
    </row>
    <row r="926" spans="7:8" x14ac:dyDescent="0.35">
      <c r="G926" s="7"/>
      <c r="H926" s="7"/>
    </row>
    <row r="927" spans="7:8" x14ac:dyDescent="0.35">
      <c r="G927" s="7"/>
      <c r="H927" s="7"/>
    </row>
    <row r="928" spans="7:8" x14ac:dyDescent="0.35">
      <c r="G928" s="7"/>
      <c r="H928" s="7"/>
    </row>
    <row r="929" spans="7:8" x14ac:dyDescent="0.35">
      <c r="G929" s="7"/>
      <c r="H929" s="7"/>
    </row>
    <row r="930" spans="7:8" x14ac:dyDescent="0.35">
      <c r="G930" s="7"/>
      <c r="H930" s="7"/>
    </row>
    <row r="931" spans="7:8" x14ac:dyDescent="0.35">
      <c r="G931" s="7"/>
      <c r="H931" s="7"/>
    </row>
    <row r="932" spans="7:8" x14ac:dyDescent="0.35">
      <c r="G932" s="7"/>
      <c r="H932" s="7"/>
    </row>
    <row r="933" spans="7:8" x14ac:dyDescent="0.35">
      <c r="G933" s="7"/>
      <c r="H933" s="7"/>
    </row>
    <row r="934" spans="7:8" x14ac:dyDescent="0.35">
      <c r="G934" s="7"/>
      <c r="H934" s="7"/>
    </row>
    <row r="935" spans="7:8" x14ac:dyDescent="0.35">
      <c r="G935" s="7"/>
      <c r="H935" s="7"/>
    </row>
    <row r="936" spans="7:8" x14ac:dyDescent="0.35">
      <c r="G936" s="7"/>
      <c r="H936" s="7"/>
    </row>
    <row r="937" spans="7:8" x14ac:dyDescent="0.35">
      <c r="G937" s="7"/>
      <c r="H937" s="7"/>
    </row>
    <row r="938" spans="7:8" x14ac:dyDescent="0.35">
      <c r="G938" s="7"/>
      <c r="H938" s="7"/>
    </row>
    <row r="939" spans="7:8" x14ac:dyDescent="0.35">
      <c r="G939" s="7"/>
      <c r="H939" s="7"/>
    </row>
    <row r="940" spans="7:8" x14ac:dyDescent="0.35">
      <c r="G940" s="7"/>
      <c r="H940" s="7"/>
    </row>
    <row r="941" spans="7:8" x14ac:dyDescent="0.35">
      <c r="G941" s="7"/>
      <c r="H941" s="7"/>
    </row>
    <row r="942" spans="7:8" x14ac:dyDescent="0.35">
      <c r="G942" s="7"/>
      <c r="H942" s="7"/>
    </row>
    <row r="943" spans="7:8" x14ac:dyDescent="0.35">
      <c r="G943" s="7"/>
      <c r="H943" s="7"/>
    </row>
    <row r="944" spans="7:8" x14ac:dyDescent="0.35">
      <c r="G944" s="7"/>
      <c r="H944" s="7"/>
    </row>
    <row r="945" spans="7:8" x14ac:dyDescent="0.35">
      <c r="G945" s="7"/>
      <c r="H945" s="7"/>
    </row>
    <row r="946" spans="7:8" x14ac:dyDescent="0.35">
      <c r="G946" s="7"/>
      <c r="H946" s="7"/>
    </row>
    <row r="947" spans="7:8" x14ac:dyDescent="0.35">
      <c r="G947" s="7"/>
      <c r="H947" s="7"/>
    </row>
    <row r="948" spans="7:8" x14ac:dyDescent="0.35">
      <c r="G948" s="7"/>
      <c r="H948" s="7"/>
    </row>
    <row r="949" spans="7:8" x14ac:dyDescent="0.35">
      <c r="G949" s="7"/>
      <c r="H949" s="7"/>
    </row>
    <row r="950" spans="7:8" x14ac:dyDescent="0.35">
      <c r="G950" s="7"/>
      <c r="H950" s="7"/>
    </row>
    <row r="951" spans="7:8" x14ac:dyDescent="0.35">
      <c r="G951" s="7"/>
      <c r="H951" s="7"/>
    </row>
    <row r="952" spans="7:8" x14ac:dyDescent="0.35">
      <c r="G952" s="7"/>
      <c r="H952" s="7"/>
    </row>
    <row r="953" spans="7:8" x14ac:dyDescent="0.35">
      <c r="G953" s="7"/>
      <c r="H953" s="7"/>
    </row>
    <row r="954" spans="7:8" x14ac:dyDescent="0.35">
      <c r="G954" s="7"/>
      <c r="H954" s="7"/>
    </row>
    <row r="955" spans="7:8" x14ac:dyDescent="0.35">
      <c r="G955" s="7"/>
      <c r="H955" s="7"/>
    </row>
    <row r="956" spans="7:8" x14ac:dyDescent="0.35">
      <c r="G956" s="7"/>
      <c r="H956" s="7"/>
    </row>
    <row r="957" spans="7:8" x14ac:dyDescent="0.35">
      <c r="G957" s="7"/>
      <c r="H957" s="7"/>
    </row>
    <row r="958" spans="7:8" x14ac:dyDescent="0.35">
      <c r="G958" s="7"/>
      <c r="H958" s="7"/>
    </row>
    <row r="959" spans="7:8" x14ac:dyDescent="0.35">
      <c r="G959" s="7"/>
      <c r="H959" s="7"/>
    </row>
    <row r="960" spans="7:8" x14ac:dyDescent="0.35">
      <c r="G960" s="7"/>
      <c r="H960" s="7"/>
    </row>
    <row r="961" spans="7:8" x14ac:dyDescent="0.35">
      <c r="G961" s="7"/>
      <c r="H961" s="7"/>
    </row>
    <row r="962" spans="7:8" x14ac:dyDescent="0.35">
      <c r="G962" s="7"/>
      <c r="H962" s="7"/>
    </row>
    <row r="963" spans="7:8" x14ac:dyDescent="0.35">
      <c r="G963" s="7"/>
      <c r="H963" s="7"/>
    </row>
    <row r="964" spans="7:8" x14ac:dyDescent="0.35">
      <c r="G964" s="7"/>
      <c r="H964" s="7"/>
    </row>
    <row r="965" spans="7:8" x14ac:dyDescent="0.35">
      <c r="G965" s="7"/>
      <c r="H965" s="7"/>
    </row>
    <row r="966" spans="7:8" x14ac:dyDescent="0.35">
      <c r="G966" s="7"/>
      <c r="H966" s="7"/>
    </row>
    <row r="967" spans="7:8" x14ac:dyDescent="0.35">
      <c r="G967" s="7"/>
      <c r="H967" s="7"/>
    </row>
    <row r="968" spans="7:8" x14ac:dyDescent="0.35">
      <c r="G968" s="7"/>
      <c r="H968" s="7"/>
    </row>
    <row r="969" spans="7:8" x14ac:dyDescent="0.35">
      <c r="G969" s="7"/>
      <c r="H969" s="7"/>
    </row>
    <row r="970" spans="7:8" x14ac:dyDescent="0.35">
      <c r="G970" s="7"/>
      <c r="H970" s="7"/>
    </row>
    <row r="971" spans="7:8" x14ac:dyDescent="0.35">
      <c r="G971" s="7"/>
      <c r="H971" s="7"/>
    </row>
    <row r="972" spans="7:8" x14ac:dyDescent="0.35">
      <c r="G972" s="7"/>
      <c r="H972" s="7"/>
    </row>
    <row r="973" spans="7:8" x14ac:dyDescent="0.35">
      <c r="G973" s="7"/>
      <c r="H973" s="7"/>
    </row>
    <row r="974" spans="7:8" x14ac:dyDescent="0.35">
      <c r="G974" s="7"/>
      <c r="H974" s="7"/>
    </row>
    <row r="975" spans="7:8" x14ac:dyDescent="0.35">
      <c r="G975" s="7"/>
      <c r="H975" s="7"/>
    </row>
    <row r="976" spans="7:8" x14ac:dyDescent="0.35">
      <c r="G976" s="7"/>
      <c r="H976" s="7"/>
    </row>
    <row r="977" spans="7:8" x14ac:dyDescent="0.35">
      <c r="G977" s="7"/>
      <c r="H977" s="7"/>
    </row>
    <row r="978" spans="7:8" x14ac:dyDescent="0.35">
      <c r="G978" s="7"/>
      <c r="H978" s="7"/>
    </row>
    <row r="979" spans="7:8" x14ac:dyDescent="0.35">
      <c r="G979" s="7"/>
      <c r="H979" s="7"/>
    </row>
    <row r="980" spans="7:8" x14ac:dyDescent="0.35">
      <c r="G980" s="7"/>
      <c r="H980" s="7"/>
    </row>
    <row r="981" spans="7:8" x14ac:dyDescent="0.35">
      <c r="G981" s="7"/>
      <c r="H981" s="7"/>
    </row>
    <row r="982" spans="7:8" x14ac:dyDescent="0.35">
      <c r="G982" s="7"/>
      <c r="H982" s="7"/>
    </row>
    <row r="983" spans="7:8" x14ac:dyDescent="0.35">
      <c r="G983" s="7"/>
      <c r="H983" s="7"/>
    </row>
    <row r="984" spans="7:8" x14ac:dyDescent="0.35">
      <c r="G984" s="7"/>
      <c r="H984" s="7"/>
    </row>
    <row r="985" spans="7:8" x14ac:dyDescent="0.35">
      <c r="G985" s="7"/>
      <c r="H985" s="7"/>
    </row>
    <row r="986" spans="7:8" x14ac:dyDescent="0.35">
      <c r="G986" s="7"/>
      <c r="H986" s="7"/>
    </row>
    <row r="987" spans="7:8" x14ac:dyDescent="0.35">
      <c r="G987" s="7"/>
      <c r="H987" s="7"/>
    </row>
    <row r="988" spans="7:8" x14ac:dyDescent="0.35">
      <c r="G988" s="7"/>
      <c r="H988" s="7"/>
    </row>
    <row r="989" spans="7:8" x14ac:dyDescent="0.35">
      <c r="G989" s="7"/>
      <c r="H989" s="7"/>
    </row>
    <row r="990" spans="7:8" x14ac:dyDescent="0.35">
      <c r="G990" s="7"/>
      <c r="H990" s="7"/>
    </row>
    <row r="991" spans="7:8" x14ac:dyDescent="0.35">
      <c r="G991" s="7"/>
      <c r="H991" s="7"/>
    </row>
    <row r="992" spans="7:8" x14ac:dyDescent="0.35">
      <c r="G992" s="7"/>
      <c r="H992" s="7"/>
    </row>
    <row r="993" spans="7:8" x14ac:dyDescent="0.35">
      <c r="G993" s="7"/>
      <c r="H993" s="7"/>
    </row>
    <row r="994" spans="7:8" x14ac:dyDescent="0.35">
      <c r="G994" s="7"/>
      <c r="H994" s="7"/>
    </row>
    <row r="995" spans="7:8" x14ac:dyDescent="0.35">
      <c r="G995" s="7"/>
      <c r="H995" s="7"/>
    </row>
    <row r="996" spans="7:8" x14ac:dyDescent="0.35">
      <c r="G996" s="7"/>
      <c r="H996" s="7"/>
    </row>
    <row r="997" spans="7:8" x14ac:dyDescent="0.35">
      <c r="G997" s="7"/>
      <c r="H997" s="7"/>
    </row>
    <row r="998" spans="7:8" x14ac:dyDescent="0.35">
      <c r="G998" s="7"/>
      <c r="H998" s="7"/>
    </row>
    <row r="999" spans="7:8" x14ac:dyDescent="0.35">
      <c r="G999" s="7"/>
      <c r="H999" s="7"/>
    </row>
    <row r="1000" spans="7:8" x14ac:dyDescent="0.35">
      <c r="G1000" s="7"/>
      <c r="H1000" s="7"/>
    </row>
    <row r="1001" spans="7:8" x14ac:dyDescent="0.35">
      <c r="G1001" s="7"/>
      <c r="H1001" s="7"/>
    </row>
    <row r="1002" spans="7:8" x14ac:dyDescent="0.35">
      <c r="G1002" s="7"/>
      <c r="H1002" s="7"/>
    </row>
    <row r="1003" spans="7:8" x14ac:dyDescent="0.35">
      <c r="G1003" s="7"/>
      <c r="H1003" s="7"/>
    </row>
    <row r="1004" spans="7:8" x14ac:dyDescent="0.35">
      <c r="G1004" s="7"/>
      <c r="H1004" s="7"/>
    </row>
    <row r="1005" spans="7:8" x14ac:dyDescent="0.35">
      <c r="G1005" s="7"/>
      <c r="H1005" s="7"/>
    </row>
    <row r="1006" spans="7:8" x14ac:dyDescent="0.35">
      <c r="G1006" s="7"/>
      <c r="H1006" s="7"/>
    </row>
    <row r="1007" spans="7:8" x14ac:dyDescent="0.35">
      <c r="G1007" s="7"/>
      <c r="H1007" s="7"/>
    </row>
    <row r="1008" spans="7:8" x14ac:dyDescent="0.35">
      <c r="G1008" s="7"/>
      <c r="H1008" s="7"/>
    </row>
    <row r="1009" spans="7:8" x14ac:dyDescent="0.35">
      <c r="G1009" s="7"/>
      <c r="H1009" s="7"/>
    </row>
    <row r="1010" spans="7:8" x14ac:dyDescent="0.35">
      <c r="G1010" s="7"/>
      <c r="H1010" s="7"/>
    </row>
    <row r="1011" spans="7:8" x14ac:dyDescent="0.35">
      <c r="G1011" s="7"/>
      <c r="H1011" s="7"/>
    </row>
    <row r="1012" spans="7:8" x14ac:dyDescent="0.35">
      <c r="G1012" s="7"/>
      <c r="H1012" s="7"/>
    </row>
    <row r="1013" spans="7:8" x14ac:dyDescent="0.35">
      <c r="G1013" s="7"/>
      <c r="H1013" s="7"/>
    </row>
    <row r="1014" spans="7:8" x14ac:dyDescent="0.35">
      <c r="G1014" s="7"/>
      <c r="H1014" s="7"/>
    </row>
    <row r="1015" spans="7:8" x14ac:dyDescent="0.35">
      <c r="G1015" s="7"/>
      <c r="H1015" s="7"/>
    </row>
    <row r="1016" spans="7:8" x14ac:dyDescent="0.35">
      <c r="G1016" s="7"/>
      <c r="H1016" s="7"/>
    </row>
    <row r="1017" spans="7:8" x14ac:dyDescent="0.35">
      <c r="G1017" s="7"/>
      <c r="H1017" s="7"/>
    </row>
    <row r="1018" spans="7:8" x14ac:dyDescent="0.35">
      <c r="G1018" s="7"/>
      <c r="H1018" s="7"/>
    </row>
    <row r="1019" spans="7:8" x14ac:dyDescent="0.35">
      <c r="G1019" s="7"/>
      <c r="H1019" s="7"/>
    </row>
    <row r="1020" spans="7:8" x14ac:dyDescent="0.35">
      <c r="G1020" s="7"/>
      <c r="H1020" s="7"/>
    </row>
    <row r="1021" spans="7:8" x14ac:dyDescent="0.35">
      <c r="G1021" s="7"/>
      <c r="H1021" s="7"/>
    </row>
    <row r="1022" spans="7:8" x14ac:dyDescent="0.35">
      <c r="G1022" s="7"/>
      <c r="H1022" s="7"/>
    </row>
    <row r="1023" spans="7:8" x14ac:dyDescent="0.35">
      <c r="G1023" s="7"/>
      <c r="H1023" s="7"/>
    </row>
    <row r="1024" spans="7:8" x14ac:dyDescent="0.35">
      <c r="G1024" s="7"/>
      <c r="H1024" s="7"/>
    </row>
    <row r="1025" spans="7:8" x14ac:dyDescent="0.35">
      <c r="G1025" s="7"/>
      <c r="H1025" s="7"/>
    </row>
    <row r="1026" spans="7:8" x14ac:dyDescent="0.35">
      <c r="G1026" s="7"/>
      <c r="H1026" s="7"/>
    </row>
    <row r="1027" spans="7:8" x14ac:dyDescent="0.35">
      <c r="G1027" s="7"/>
      <c r="H1027" s="7"/>
    </row>
    <row r="1028" spans="7:8" x14ac:dyDescent="0.35">
      <c r="G1028" s="7"/>
      <c r="H1028" s="7"/>
    </row>
    <row r="1029" spans="7:8" x14ac:dyDescent="0.35">
      <c r="G1029" s="7"/>
      <c r="H1029" s="7"/>
    </row>
    <row r="1030" spans="7:8" x14ac:dyDescent="0.35">
      <c r="G1030" s="7"/>
      <c r="H1030" s="7"/>
    </row>
    <row r="1031" spans="7:8" x14ac:dyDescent="0.35">
      <c r="G1031" s="7"/>
      <c r="H1031" s="7"/>
    </row>
    <row r="1032" spans="7:8" x14ac:dyDescent="0.35">
      <c r="G1032" s="7"/>
      <c r="H1032" s="7"/>
    </row>
    <row r="1033" spans="7:8" x14ac:dyDescent="0.35">
      <c r="G1033" s="7"/>
      <c r="H1033" s="7"/>
    </row>
    <row r="1034" spans="7:8" x14ac:dyDescent="0.35">
      <c r="G1034" s="7"/>
      <c r="H1034" s="7"/>
    </row>
    <row r="1035" spans="7:8" x14ac:dyDescent="0.35">
      <c r="G1035" s="7"/>
      <c r="H1035" s="7"/>
    </row>
    <row r="1036" spans="7:8" x14ac:dyDescent="0.35">
      <c r="G1036" s="7"/>
      <c r="H1036" s="7"/>
    </row>
    <row r="1037" spans="7:8" x14ac:dyDescent="0.35">
      <c r="G1037" s="7"/>
      <c r="H1037" s="7"/>
    </row>
    <row r="1038" spans="7:8" x14ac:dyDescent="0.35">
      <c r="G1038" s="7"/>
      <c r="H1038" s="7"/>
    </row>
    <row r="1039" spans="7:8" x14ac:dyDescent="0.35">
      <c r="G1039" s="7"/>
      <c r="H1039" s="7"/>
    </row>
    <row r="1040" spans="7:8" x14ac:dyDescent="0.35">
      <c r="G1040" s="7"/>
      <c r="H1040" s="7"/>
    </row>
    <row r="1041" spans="7:8" x14ac:dyDescent="0.35">
      <c r="G1041" s="7"/>
      <c r="H1041" s="7"/>
    </row>
    <row r="1042" spans="7:8" x14ac:dyDescent="0.35">
      <c r="G1042" s="7"/>
      <c r="H1042" s="7"/>
    </row>
    <row r="1043" spans="7:8" x14ac:dyDescent="0.35">
      <c r="G1043" s="7"/>
      <c r="H1043" s="7"/>
    </row>
    <row r="1044" spans="7:8" x14ac:dyDescent="0.35">
      <c r="G1044" s="7"/>
      <c r="H1044" s="7"/>
    </row>
    <row r="1045" spans="7:8" x14ac:dyDescent="0.35">
      <c r="G1045" s="7"/>
      <c r="H1045" s="7"/>
    </row>
    <row r="1046" spans="7:8" x14ac:dyDescent="0.35">
      <c r="G1046" s="7"/>
      <c r="H1046" s="7"/>
    </row>
    <row r="1047" spans="7:8" x14ac:dyDescent="0.35">
      <c r="G1047" s="7"/>
      <c r="H1047" s="7"/>
    </row>
    <row r="1048" spans="7:8" x14ac:dyDescent="0.35">
      <c r="G1048" s="7"/>
      <c r="H1048" s="7"/>
    </row>
    <row r="1049" spans="7:8" x14ac:dyDescent="0.35">
      <c r="G1049" s="7"/>
      <c r="H1049" s="7"/>
    </row>
    <row r="1050" spans="7:8" x14ac:dyDescent="0.35">
      <c r="G1050" s="7"/>
      <c r="H1050" s="7"/>
    </row>
    <row r="1051" spans="7:8" x14ac:dyDescent="0.35">
      <c r="G1051" s="7"/>
      <c r="H1051" s="7"/>
    </row>
    <row r="1052" spans="7:8" x14ac:dyDescent="0.35">
      <c r="G1052" s="7"/>
      <c r="H1052" s="7"/>
    </row>
    <row r="1053" spans="7:8" x14ac:dyDescent="0.35">
      <c r="G1053" s="7"/>
      <c r="H1053" s="7"/>
    </row>
    <row r="1054" spans="7:8" x14ac:dyDescent="0.35">
      <c r="G1054" s="7"/>
      <c r="H1054" s="7"/>
    </row>
    <row r="1055" spans="7:8" x14ac:dyDescent="0.35">
      <c r="G1055" s="7"/>
      <c r="H1055" s="7"/>
    </row>
    <row r="1056" spans="7:8" x14ac:dyDescent="0.35">
      <c r="G1056" s="7"/>
      <c r="H1056" s="7"/>
    </row>
    <row r="1057" spans="7:8" x14ac:dyDescent="0.35">
      <c r="G1057" s="7"/>
      <c r="H1057" s="7"/>
    </row>
    <row r="1058" spans="7:8" x14ac:dyDescent="0.35">
      <c r="G1058" s="7"/>
      <c r="H1058" s="7"/>
    </row>
    <row r="1059" spans="7:8" x14ac:dyDescent="0.35">
      <c r="G1059" s="7"/>
      <c r="H1059" s="7"/>
    </row>
    <row r="1060" spans="7:8" x14ac:dyDescent="0.35">
      <c r="G1060" s="7"/>
      <c r="H1060" s="7"/>
    </row>
    <row r="1061" spans="7:8" x14ac:dyDescent="0.35">
      <c r="G1061" s="7"/>
      <c r="H1061" s="7"/>
    </row>
    <row r="1062" spans="7:8" x14ac:dyDescent="0.35">
      <c r="G1062" s="7"/>
      <c r="H1062" s="7"/>
    </row>
    <row r="1063" spans="7:8" x14ac:dyDescent="0.35">
      <c r="G1063" s="7"/>
      <c r="H1063" s="7"/>
    </row>
    <row r="1064" spans="7:8" x14ac:dyDescent="0.35">
      <c r="G1064" s="7"/>
      <c r="H1064" s="7"/>
    </row>
    <row r="1065" spans="7:8" x14ac:dyDescent="0.35">
      <c r="G1065" s="7"/>
      <c r="H1065" s="7"/>
    </row>
    <row r="1066" spans="7:8" x14ac:dyDescent="0.35">
      <c r="G1066" s="7"/>
      <c r="H1066" s="7"/>
    </row>
    <row r="1067" spans="7:8" x14ac:dyDescent="0.35">
      <c r="G1067" s="7"/>
      <c r="H1067" s="7"/>
    </row>
    <row r="1068" spans="7:8" x14ac:dyDescent="0.35">
      <c r="G1068" s="7"/>
      <c r="H1068" s="7"/>
    </row>
    <row r="1069" spans="7:8" x14ac:dyDescent="0.35">
      <c r="G1069" s="7"/>
      <c r="H1069" s="7"/>
    </row>
    <row r="1070" spans="7:8" x14ac:dyDescent="0.35">
      <c r="G1070" s="7"/>
      <c r="H1070" s="7"/>
    </row>
    <row r="1071" spans="7:8" x14ac:dyDescent="0.35">
      <c r="G1071" s="7"/>
      <c r="H1071" s="7"/>
    </row>
    <row r="1072" spans="7:8" x14ac:dyDescent="0.35">
      <c r="G1072" s="7"/>
      <c r="H1072" s="7"/>
    </row>
    <row r="1073" spans="7:8" x14ac:dyDescent="0.35">
      <c r="G1073" s="7"/>
      <c r="H1073" s="7"/>
    </row>
    <row r="1074" spans="7:8" x14ac:dyDescent="0.35">
      <c r="G1074" s="7"/>
      <c r="H1074" s="7"/>
    </row>
    <row r="1075" spans="7:8" x14ac:dyDescent="0.35">
      <c r="G1075" s="7"/>
      <c r="H1075" s="7"/>
    </row>
    <row r="1076" spans="7:8" x14ac:dyDescent="0.35">
      <c r="G1076" s="7"/>
      <c r="H1076" s="7"/>
    </row>
    <row r="1077" spans="7:8" x14ac:dyDescent="0.35">
      <c r="G1077" s="7"/>
      <c r="H1077" s="7"/>
    </row>
    <row r="1078" spans="7:8" x14ac:dyDescent="0.35">
      <c r="G1078" s="7"/>
      <c r="H1078" s="7"/>
    </row>
    <row r="1079" spans="7:8" x14ac:dyDescent="0.35">
      <c r="G1079" s="7"/>
      <c r="H1079" s="7"/>
    </row>
    <row r="1080" spans="7:8" x14ac:dyDescent="0.35">
      <c r="G1080" s="7"/>
      <c r="H1080" s="7"/>
    </row>
    <row r="1081" spans="7:8" x14ac:dyDescent="0.35">
      <c r="G1081" s="7"/>
      <c r="H1081" s="7"/>
    </row>
    <row r="1082" spans="7:8" x14ac:dyDescent="0.35">
      <c r="G1082" s="7"/>
      <c r="H1082" s="7"/>
    </row>
    <row r="1083" spans="7:8" x14ac:dyDescent="0.35">
      <c r="G1083" s="7"/>
      <c r="H1083" s="7"/>
    </row>
    <row r="1084" spans="7:8" x14ac:dyDescent="0.35">
      <c r="G1084" s="7"/>
      <c r="H1084" s="7"/>
    </row>
    <row r="1085" spans="7:8" x14ac:dyDescent="0.35">
      <c r="G1085" s="7"/>
      <c r="H1085" s="7"/>
    </row>
    <row r="1086" spans="7:8" x14ac:dyDescent="0.35">
      <c r="G1086" s="7"/>
      <c r="H1086" s="7"/>
    </row>
    <row r="1087" spans="7:8" x14ac:dyDescent="0.35">
      <c r="G1087" s="7"/>
      <c r="H1087" s="7"/>
    </row>
    <row r="1088" spans="7:8" x14ac:dyDescent="0.35">
      <c r="G1088" s="7"/>
      <c r="H1088" s="7"/>
    </row>
    <row r="1089" spans="7:8" x14ac:dyDescent="0.35">
      <c r="G1089" s="7"/>
      <c r="H1089" s="7"/>
    </row>
    <row r="1090" spans="7:8" x14ac:dyDescent="0.35">
      <c r="G1090" s="7"/>
      <c r="H1090" s="7"/>
    </row>
    <row r="1091" spans="7:8" x14ac:dyDescent="0.35">
      <c r="G1091" s="7"/>
      <c r="H1091" s="7"/>
    </row>
    <row r="1092" spans="7:8" x14ac:dyDescent="0.35">
      <c r="G1092" s="7"/>
      <c r="H1092" s="7"/>
    </row>
    <row r="1093" spans="7:8" x14ac:dyDescent="0.35">
      <c r="G1093" s="7"/>
      <c r="H1093" s="7"/>
    </row>
    <row r="1094" spans="7:8" x14ac:dyDescent="0.35">
      <c r="G1094" s="7"/>
      <c r="H1094" s="7"/>
    </row>
    <row r="1095" spans="7:8" x14ac:dyDescent="0.35">
      <c r="G1095" s="7"/>
      <c r="H1095" s="7"/>
    </row>
    <row r="1096" spans="7:8" x14ac:dyDescent="0.35">
      <c r="G1096" s="7"/>
      <c r="H1096" s="7"/>
    </row>
    <row r="1097" spans="7:8" x14ac:dyDescent="0.35">
      <c r="G1097" s="7"/>
      <c r="H1097" s="7"/>
    </row>
    <row r="1098" spans="7:8" x14ac:dyDescent="0.35">
      <c r="G1098" s="7"/>
      <c r="H1098" s="7"/>
    </row>
    <row r="1099" spans="7:8" x14ac:dyDescent="0.35">
      <c r="G1099" s="7"/>
      <c r="H1099" s="7"/>
    </row>
    <row r="1100" spans="7:8" x14ac:dyDescent="0.35">
      <c r="G1100" s="7"/>
      <c r="H1100" s="7"/>
    </row>
    <row r="1101" spans="7:8" x14ac:dyDescent="0.35">
      <c r="G1101" s="7"/>
      <c r="H1101" s="7"/>
    </row>
    <row r="1102" spans="7:8" x14ac:dyDescent="0.35">
      <c r="G1102" s="7"/>
      <c r="H1102" s="7"/>
    </row>
    <row r="1103" spans="7:8" x14ac:dyDescent="0.35">
      <c r="G1103" s="7"/>
      <c r="H1103" s="7"/>
    </row>
    <row r="1104" spans="7:8" x14ac:dyDescent="0.35">
      <c r="G1104" s="7"/>
      <c r="H1104" s="7"/>
    </row>
    <row r="1105" spans="1:8" x14ac:dyDescent="0.35">
      <c r="A1105" s="42"/>
      <c r="G1105" s="7"/>
      <c r="H1105" s="7"/>
    </row>
    <row r="1106" spans="1:8" x14ac:dyDescent="0.35">
      <c r="A1106" s="42"/>
      <c r="G1106" s="7"/>
      <c r="H1106" s="7"/>
    </row>
    <row r="1107" spans="1:8" x14ac:dyDescent="0.35">
      <c r="A1107" s="42"/>
      <c r="G1107" s="7"/>
      <c r="H1107" s="7"/>
    </row>
    <row r="1108" spans="1:8" x14ac:dyDescent="0.35">
      <c r="A1108" s="42"/>
      <c r="G1108" s="7"/>
      <c r="H1108" s="7"/>
    </row>
    <row r="1109" spans="1:8" x14ac:dyDescent="0.35">
      <c r="A1109" s="42"/>
      <c r="G1109" s="7"/>
      <c r="H1109" s="7"/>
    </row>
    <row r="1110" spans="1:8" x14ac:dyDescent="0.35">
      <c r="A1110" s="42"/>
      <c r="G1110" s="7"/>
      <c r="H1110" s="7"/>
    </row>
    <row r="1111" spans="1:8" x14ac:dyDescent="0.35">
      <c r="A1111" s="42"/>
      <c r="G1111" s="7"/>
      <c r="H1111" s="7"/>
    </row>
    <row r="1112" spans="1:8" x14ac:dyDescent="0.35">
      <c r="A1112" s="42"/>
      <c r="G1112" s="7"/>
      <c r="H1112" s="7"/>
    </row>
    <row r="1113" spans="1:8" x14ac:dyDescent="0.35">
      <c r="A1113" s="42"/>
      <c r="G1113" s="7"/>
      <c r="H1113" s="7"/>
    </row>
    <row r="1114" spans="1:8" x14ac:dyDescent="0.35">
      <c r="A1114" s="42"/>
      <c r="G1114" s="7"/>
      <c r="H1114" s="7"/>
    </row>
    <row r="1115" spans="1:8" x14ac:dyDescent="0.35">
      <c r="A1115" s="42"/>
      <c r="G1115" s="7"/>
      <c r="H1115" s="7"/>
    </row>
    <row r="1116" spans="1:8" x14ac:dyDescent="0.35">
      <c r="A1116" s="42"/>
      <c r="G1116" s="7"/>
      <c r="H1116" s="7"/>
    </row>
    <row r="1117" spans="1:8" x14ac:dyDescent="0.35">
      <c r="A1117" s="42"/>
      <c r="G1117" s="7"/>
      <c r="H1117" s="7"/>
    </row>
    <row r="1118" spans="1:8" x14ac:dyDescent="0.35">
      <c r="A1118" s="42"/>
      <c r="G1118" s="7"/>
      <c r="H1118" s="7"/>
    </row>
    <row r="1119" spans="1:8" x14ac:dyDescent="0.35">
      <c r="A1119" s="42"/>
      <c r="G1119" s="7"/>
      <c r="H1119" s="7"/>
    </row>
    <row r="1120" spans="1:8" x14ac:dyDescent="0.35">
      <c r="A1120" s="42"/>
      <c r="G1120" s="7"/>
      <c r="H1120" s="7"/>
    </row>
    <row r="1121" spans="1:8" x14ac:dyDescent="0.35">
      <c r="A1121" s="42"/>
      <c r="G1121" s="7"/>
      <c r="H1121" s="7"/>
    </row>
    <row r="1122" spans="1:8" x14ac:dyDescent="0.35">
      <c r="A1122" s="42"/>
    </row>
    <row r="1123" spans="1:8" x14ac:dyDescent="0.35">
      <c r="A1123" s="42"/>
    </row>
    <row r="1124" spans="1:8" x14ac:dyDescent="0.35">
      <c r="A1124" s="42"/>
    </row>
    <row r="1125" spans="1:8" x14ac:dyDescent="0.35">
      <c r="A1125" s="42"/>
    </row>
    <row r="1126" spans="1:8" x14ac:dyDescent="0.35">
      <c r="A1126" s="42"/>
    </row>
    <row r="1127" spans="1:8" x14ac:dyDescent="0.35">
      <c r="A1127" s="42"/>
    </row>
    <row r="1128" spans="1:8" x14ac:dyDescent="0.35">
      <c r="A1128" s="42"/>
    </row>
    <row r="1129" spans="1:8" x14ac:dyDescent="0.35">
      <c r="A1129" s="42"/>
    </row>
    <row r="1130" spans="1:8" x14ac:dyDescent="0.35">
      <c r="A1130" s="42"/>
    </row>
    <row r="1131" spans="1:8" x14ac:dyDescent="0.35">
      <c r="A1131" s="42"/>
    </row>
    <row r="1132" spans="1:8" x14ac:dyDescent="0.35">
      <c r="A1132" s="42"/>
    </row>
    <row r="1133" spans="1:8" x14ac:dyDescent="0.35">
      <c r="A1133" s="42"/>
    </row>
    <row r="1134" spans="1:8" x14ac:dyDescent="0.35">
      <c r="A1134" s="42"/>
    </row>
    <row r="1135" spans="1:8" x14ac:dyDescent="0.35">
      <c r="A1135" s="42"/>
    </row>
    <row r="1136" spans="1:8" x14ac:dyDescent="0.35">
      <c r="A1136" s="42"/>
    </row>
    <row r="1137" spans="1:9" x14ac:dyDescent="0.35">
      <c r="A1137" s="42"/>
      <c r="G1137"/>
      <c r="H1137"/>
      <c r="I1137" s="38"/>
    </row>
    <row r="1138" spans="1:9" x14ac:dyDescent="0.35">
      <c r="A1138" s="42"/>
      <c r="G1138"/>
      <c r="H1138"/>
      <c r="I1138" s="38"/>
    </row>
    <row r="1139" spans="1:9" x14ac:dyDescent="0.35">
      <c r="A1139" s="42"/>
      <c r="G1139"/>
      <c r="H1139"/>
      <c r="I1139" s="38"/>
    </row>
    <row r="1140" spans="1:9" x14ac:dyDescent="0.35">
      <c r="A1140" s="42"/>
      <c r="G1140"/>
      <c r="H1140"/>
      <c r="I1140" s="38"/>
    </row>
    <row r="1141" spans="1:9" x14ac:dyDescent="0.35">
      <c r="A1141" s="42"/>
      <c r="G1141"/>
      <c r="H1141"/>
      <c r="I1141" s="38"/>
    </row>
    <row r="1142" spans="1:9" x14ac:dyDescent="0.35">
      <c r="A1142" s="42"/>
      <c r="G1142"/>
      <c r="H1142"/>
      <c r="I1142" s="38"/>
    </row>
    <row r="1143" spans="1:9" x14ac:dyDescent="0.35">
      <c r="A1143" s="42"/>
      <c r="G1143"/>
      <c r="H1143"/>
      <c r="I1143" s="38"/>
    </row>
    <row r="1144" spans="1:9" x14ac:dyDescent="0.35">
      <c r="A1144" s="42"/>
      <c r="G1144"/>
      <c r="H1144"/>
      <c r="I1144" s="38"/>
    </row>
    <row r="1145" spans="1:9" x14ac:dyDescent="0.35">
      <c r="A1145" s="42"/>
      <c r="G1145"/>
      <c r="H1145"/>
      <c r="I1145" s="38"/>
    </row>
    <row r="1146" spans="1:9" x14ac:dyDescent="0.35">
      <c r="A1146" s="42"/>
      <c r="G1146"/>
      <c r="H1146"/>
      <c r="I1146" s="38"/>
    </row>
    <row r="1147" spans="1:9" x14ac:dyDescent="0.35">
      <c r="A1147" s="42"/>
      <c r="G1147"/>
      <c r="H1147"/>
      <c r="I1147" s="38"/>
    </row>
    <row r="1148" spans="1:9" x14ac:dyDescent="0.35">
      <c r="A1148" s="42"/>
      <c r="G1148"/>
      <c r="H1148"/>
      <c r="I1148" s="38"/>
    </row>
    <row r="1149" spans="1:9" x14ac:dyDescent="0.35">
      <c r="A1149" s="42"/>
      <c r="G1149"/>
      <c r="H1149"/>
      <c r="I1149" s="38"/>
    </row>
    <row r="1150" spans="1:9" x14ac:dyDescent="0.35">
      <c r="A1150" s="42"/>
      <c r="G1150"/>
      <c r="H1150"/>
      <c r="I1150" s="38"/>
    </row>
    <row r="1151" spans="1:9" x14ac:dyDescent="0.35">
      <c r="A1151" s="42"/>
      <c r="G1151"/>
      <c r="H1151"/>
      <c r="I1151" s="38"/>
    </row>
    <row r="1152" spans="1:9" x14ac:dyDescent="0.35">
      <c r="A1152" s="42"/>
      <c r="G1152"/>
      <c r="H1152"/>
      <c r="I1152" s="38"/>
    </row>
    <row r="1153" spans="1:9" x14ac:dyDescent="0.35">
      <c r="A1153" s="42"/>
      <c r="G1153"/>
      <c r="H1153"/>
      <c r="I1153" s="38"/>
    </row>
    <row r="1154" spans="1:9" x14ac:dyDescent="0.35">
      <c r="A1154" s="42"/>
      <c r="G1154"/>
      <c r="H1154"/>
      <c r="I1154" s="38"/>
    </row>
    <row r="1155" spans="1:9" x14ac:dyDescent="0.35">
      <c r="A1155" s="42"/>
      <c r="G1155"/>
      <c r="H1155"/>
      <c r="I1155" s="38"/>
    </row>
    <row r="1156" spans="1:9" x14ac:dyDescent="0.35">
      <c r="A1156" s="42"/>
      <c r="G1156"/>
      <c r="H1156"/>
      <c r="I1156" s="38"/>
    </row>
    <row r="1157" spans="1:9" x14ac:dyDescent="0.35">
      <c r="A1157" s="42"/>
      <c r="G1157"/>
      <c r="H1157"/>
      <c r="I1157" s="38"/>
    </row>
    <row r="1158" spans="1:9" x14ac:dyDescent="0.35">
      <c r="A1158" s="42"/>
      <c r="G1158"/>
      <c r="H1158"/>
      <c r="I1158" s="38"/>
    </row>
    <row r="1159" spans="1:9" x14ac:dyDescent="0.35">
      <c r="A1159" s="42"/>
      <c r="G1159"/>
      <c r="H1159"/>
      <c r="I1159" s="38"/>
    </row>
    <row r="1160" spans="1:9" x14ac:dyDescent="0.35">
      <c r="A1160" s="42"/>
      <c r="G1160"/>
      <c r="H1160"/>
      <c r="I1160" s="38"/>
    </row>
    <row r="1161" spans="1:9" x14ac:dyDescent="0.35">
      <c r="A1161" s="42"/>
      <c r="G1161"/>
      <c r="H1161"/>
      <c r="I1161" s="38"/>
    </row>
    <row r="1162" spans="1:9" x14ac:dyDescent="0.35">
      <c r="A1162" s="42"/>
      <c r="G1162"/>
      <c r="H1162"/>
      <c r="I1162" s="38"/>
    </row>
    <row r="1163" spans="1:9" x14ac:dyDescent="0.35">
      <c r="A1163" s="42"/>
      <c r="G1163"/>
      <c r="H1163"/>
      <c r="I1163" s="38"/>
    </row>
    <row r="1164" spans="1:9" x14ac:dyDescent="0.35">
      <c r="A1164" s="42"/>
      <c r="G1164"/>
      <c r="H1164"/>
      <c r="I1164" s="38"/>
    </row>
    <row r="1165" spans="1:9" x14ac:dyDescent="0.35">
      <c r="A1165" s="42"/>
      <c r="G1165"/>
      <c r="H1165"/>
      <c r="I1165" s="38"/>
    </row>
    <row r="1166" spans="1:9" x14ac:dyDescent="0.35">
      <c r="A1166" s="42"/>
      <c r="G1166"/>
      <c r="H1166"/>
      <c r="I1166" s="38"/>
    </row>
    <row r="1167" spans="1:9" x14ac:dyDescent="0.35">
      <c r="A1167" s="42"/>
      <c r="G1167"/>
      <c r="H1167"/>
      <c r="I1167" s="38"/>
    </row>
    <row r="1168" spans="1:9" x14ac:dyDescent="0.35">
      <c r="A1168" s="42"/>
      <c r="G1168"/>
      <c r="H1168"/>
      <c r="I1168" s="38"/>
    </row>
    <row r="1169" spans="1:9" x14ac:dyDescent="0.35">
      <c r="A1169" s="42"/>
      <c r="G1169"/>
      <c r="H1169"/>
      <c r="I1169" s="38"/>
    </row>
    <row r="1170" spans="1:9" x14ac:dyDescent="0.35">
      <c r="A1170" s="42"/>
      <c r="G1170"/>
      <c r="H1170"/>
      <c r="I1170" s="38"/>
    </row>
    <row r="1171" spans="1:9" x14ac:dyDescent="0.35">
      <c r="A1171" s="42"/>
      <c r="G1171"/>
      <c r="H1171"/>
      <c r="I1171" s="38"/>
    </row>
    <row r="1172" spans="1:9" x14ac:dyDescent="0.35">
      <c r="A1172" s="42"/>
      <c r="G1172"/>
      <c r="H1172"/>
      <c r="I1172" s="38"/>
    </row>
    <row r="1173" spans="1:9" x14ac:dyDescent="0.35">
      <c r="A1173" s="42"/>
      <c r="G1173"/>
      <c r="H1173"/>
      <c r="I1173" s="38"/>
    </row>
    <row r="1174" spans="1:9" x14ac:dyDescent="0.35">
      <c r="A1174" s="42"/>
      <c r="G1174"/>
      <c r="H1174"/>
      <c r="I1174" s="38"/>
    </row>
    <row r="1175" spans="1:9" x14ac:dyDescent="0.35">
      <c r="A1175" s="42"/>
      <c r="G1175"/>
      <c r="H1175"/>
      <c r="I1175" s="38"/>
    </row>
    <row r="1176" spans="1:9" x14ac:dyDescent="0.35">
      <c r="A1176" s="42"/>
      <c r="G1176"/>
      <c r="H1176"/>
      <c r="I1176" s="38"/>
    </row>
    <row r="1177" spans="1:9" x14ac:dyDescent="0.35">
      <c r="A1177" s="42"/>
      <c r="G1177"/>
      <c r="H1177"/>
      <c r="I1177" s="38"/>
    </row>
    <row r="1178" spans="1:9" x14ac:dyDescent="0.35">
      <c r="A1178" s="42"/>
      <c r="G1178"/>
      <c r="H1178"/>
      <c r="I1178" s="38"/>
    </row>
    <row r="1179" spans="1:9" x14ac:dyDescent="0.35">
      <c r="A1179" s="42"/>
      <c r="G1179"/>
      <c r="H1179"/>
      <c r="I1179" s="38"/>
    </row>
    <row r="1180" spans="1:9" x14ac:dyDescent="0.35">
      <c r="A1180" s="42"/>
      <c r="G1180"/>
      <c r="H1180"/>
      <c r="I1180" s="38"/>
    </row>
    <row r="1181" spans="1:9" x14ac:dyDescent="0.35">
      <c r="A1181" s="42"/>
      <c r="G1181"/>
      <c r="H1181"/>
      <c r="I1181" s="38"/>
    </row>
    <row r="1182" spans="1:9" x14ac:dyDescent="0.35">
      <c r="A1182" s="42"/>
      <c r="G1182"/>
      <c r="H1182"/>
      <c r="I1182" s="38"/>
    </row>
    <row r="1183" spans="1:9" x14ac:dyDescent="0.35">
      <c r="A1183" s="42"/>
      <c r="G1183"/>
      <c r="H1183"/>
      <c r="I1183" s="38"/>
    </row>
    <row r="1184" spans="1:9" x14ac:dyDescent="0.35">
      <c r="A1184" s="42"/>
      <c r="G1184"/>
      <c r="H1184"/>
      <c r="I1184" s="38"/>
    </row>
    <row r="1185" spans="1:9" x14ac:dyDescent="0.35">
      <c r="A1185" s="42"/>
      <c r="G1185"/>
      <c r="H1185"/>
      <c r="I1185" s="38"/>
    </row>
    <row r="1186" spans="1:9" x14ac:dyDescent="0.35">
      <c r="A1186" s="42"/>
      <c r="G1186"/>
      <c r="H1186"/>
      <c r="I1186" s="38"/>
    </row>
    <row r="1187" spans="1:9" x14ac:dyDescent="0.35">
      <c r="A1187" s="42"/>
      <c r="G1187"/>
      <c r="H1187"/>
      <c r="I1187" s="38"/>
    </row>
    <row r="1188" spans="1:9" x14ac:dyDescent="0.35">
      <c r="A1188" s="42"/>
      <c r="G1188"/>
      <c r="H1188"/>
      <c r="I1188" s="38"/>
    </row>
    <row r="1189" spans="1:9" x14ac:dyDescent="0.35">
      <c r="A1189" s="42"/>
      <c r="G1189"/>
      <c r="H1189"/>
      <c r="I1189" s="38"/>
    </row>
    <row r="1190" spans="1:9" x14ac:dyDescent="0.35">
      <c r="A1190" s="42"/>
      <c r="G1190"/>
      <c r="H1190"/>
      <c r="I1190" s="38"/>
    </row>
    <row r="1191" spans="1:9" x14ac:dyDescent="0.35">
      <c r="A1191" s="42"/>
      <c r="G1191"/>
      <c r="H1191"/>
      <c r="I1191" s="38"/>
    </row>
    <row r="1192" spans="1:9" x14ac:dyDescent="0.35">
      <c r="A1192" s="42"/>
      <c r="G1192"/>
      <c r="H1192"/>
      <c r="I1192" s="38"/>
    </row>
    <row r="1193" spans="1:9" x14ac:dyDescent="0.35">
      <c r="A1193" s="42"/>
      <c r="G1193"/>
      <c r="H1193"/>
      <c r="I1193" s="38"/>
    </row>
    <row r="1194" spans="1:9" x14ac:dyDescent="0.35">
      <c r="A1194" s="42"/>
      <c r="G1194"/>
      <c r="H1194"/>
      <c r="I1194" s="38"/>
    </row>
    <row r="1195" spans="1:9" x14ac:dyDescent="0.35">
      <c r="A1195" s="42"/>
      <c r="G1195"/>
      <c r="H1195"/>
      <c r="I1195" s="38"/>
    </row>
    <row r="1196" spans="1:9" x14ac:dyDescent="0.35">
      <c r="A1196" s="42"/>
      <c r="G1196"/>
      <c r="H1196"/>
      <c r="I1196" s="38"/>
    </row>
    <row r="1197" spans="1:9" x14ac:dyDescent="0.35">
      <c r="A1197" s="42"/>
      <c r="G1197"/>
      <c r="H1197"/>
      <c r="I1197" s="38"/>
    </row>
    <row r="1198" spans="1:9" x14ac:dyDescent="0.35">
      <c r="A1198" s="42"/>
      <c r="G1198"/>
      <c r="H1198"/>
      <c r="I1198" s="38"/>
    </row>
    <row r="1199" spans="1:9" x14ac:dyDescent="0.35">
      <c r="A1199" s="42"/>
      <c r="G1199"/>
      <c r="H1199"/>
      <c r="I1199" s="38"/>
    </row>
    <row r="1200" spans="1:9" x14ac:dyDescent="0.35">
      <c r="A1200" s="42"/>
      <c r="G1200"/>
      <c r="H1200"/>
      <c r="I1200" s="38"/>
    </row>
    <row r="1201" spans="1:9" x14ac:dyDescent="0.35">
      <c r="A1201" s="42"/>
      <c r="G1201"/>
      <c r="H1201"/>
      <c r="I1201" s="38"/>
    </row>
    <row r="1202" spans="1:9" x14ac:dyDescent="0.35">
      <c r="A1202" s="42"/>
      <c r="G1202"/>
      <c r="H1202"/>
      <c r="I1202" s="38"/>
    </row>
    <row r="1203" spans="1:9" x14ac:dyDescent="0.35">
      <c r="A1203" s="42"/>
      <c r="G1203"/>
      <c r="H1203"/>
      <c r="I1203" s="38"/>
    </row>
    <row r="1204" spans="1:9" x14ac:dyDescent="0.35">
      <c r="A1204" s="42"/>
      <c r="G1204"/>
      <c r="H1204"/>
      <c r="I1204" s="38"/>
    </row>
    <row r="1205" spans="1:9" x14ac:dyDescent="0.35">
      <c r="A1205" s="42"/>
      <c r="G1205"/>
      <c r="H1205"/>
      <c r="I1205" s="38"/>
    </row>
    <row r="1206" spans="1:9" x14ac:dyDescent="0.35">
      <c r="A1206" s="42"/>
      <c r="G1206"/>
      <c r="H1206"/>
      <c r="I1206" s="38"/>
    </row>
    <row r="1207" spans="1:9" x14ac:dyDescent="0.35">
      <c r="A1207" s="42"/>
      <c r="G1207"/>
      <c r="H1207"/>
      <c r="I1207" s="38"/>
    </row>
    <row r="1208" spans="1:9" x14ac:dyDescent="0.35">
      <c r="A1208" s="42"/>
      <c r="G1208"/>
      <c r="H1208"/>
      <c r="I1208" s="38"/>
    </row>
    <row r="1209" spans="1:9" x14ac:dyDescent="0.35">
      <c r="A1209" s="42"/>
      <c r="G1209"/>
      <c r="H1209"/>
      <c r="I1209" s="38"/>
    </row>
    <row r="1210" spans="1:9" x14ac:dyDescent="0.35">
      <c r="A1210" s="42"/>
      <c r="G1210"/>
      <c r="H1210"/>
      <c r="I1210" s="38"/>
    </row>
    <row r="1211" spans="1:9" x14ac:dyDescent="0.35">
      <c r="A1211" s="42"/>
      <c r="G1211"/>
      <c r="H1211"/>
      <c r="I1211" s="38"/>
    </row>
    <row r="1212" spans="1:9" x14ac:dyDescent="0.35">
      <c r="A1212" s="42"/>
      <c r="G1212"/>
      <c r="H1212"/>
      <c r="I1212" s="38"/>
    </row>
    <row r="1213" spans="1:9" x14ac:dyDescent="0.35">
      <c r="A1213" s="42"/>
      <c r="G1213"/>
      <c r="H1213"/>
      <c r="I1213" s="38"/>
    </row>
    <row r="1214" spans="1:9" x14ac:dyDescent="0.35">
      <c r="A1214" s="42"/>
      <c r="G1214"/>
      <c r="H1214"/>
      <c r="I1214" s="38"/>
    </row>
    <row r="1215" spans="1:9" x14ac:dyDescent="0.35">
      <c r="A1215" s="42"/>
      <c r="G1215"/>
      <c r="H1215"/>
      <c r="I1215" s="38"/>
    </row>
    <row r="1216" spans="1:9" x14ac:dyDescent="0.35">
      <c r="A1216" s="42"/>
      <c r="G1216"/>
      <c r="H1216"/>
      <c r="I1216" s="38"/>
    </row>
    <row r="1217" spans="1:9" x14ac:dyDescent="0.35">
      <c r="A1217" s="42"/>
      <c r="G1217"/>
      <c r="H1217"/>
      <c r="I1217" s="38"/>
    </row>
    <row r="1218" spans="1:9" x14ac:dyDescent="0.35">
      <c r="A1218" s="42"/>
      <c r="G1218"/>
      <c r="H1218"/>
      <c r="I1218" s="38"/>
    </row>
    <row r="1219" spans="1:9" x14ac:dyDescent="0.35">
      <c r="A1219" s="42"/>
      <c r="G1219"/>
      <c r="H1219"/>
      <c r="I1219" s="38"/>
    </row>
    <row r="1220" spans="1:9" x14ac:dyDescent="0.35">
      <c r="A1220" s="42"/>
      <c r="G1220"/>
      <c r="H1220"/>
      <c r="I1220" s="38"/>
    </row>
    <row r="1221" spans="1:9" x14ac:dyDescent="0.35">
      <c r="A1221" s="42"/>
      <c r="G1221"/>
      <c r="H1221"/>
      <c r="I1221" s="38"/>
    </row>
    <row r="1222" spans="1:9" x14ac:dyDescent="0.35">
      <c r="A1222" s="42"/>
      <c r="G1222"/>
      <c r="H1222"/>
      <c r="I1222" s="38"/>
    </row>
    <row r="1223" spans="1:9" x14ac:dyDescent="0.35">
      <c r="A1223" s="42"/>
      <c r="G1223"/>
      <c r="H1223"/>
      <c r="I1223" s="38"/>
    </row>
    <row r="1224" spans="1:9" x14ac:dyDescent="0.35">
      <c r="A1224" s="42"/>
      <c r="G1224"/>
      <c r="H1224"/>
      <c r="I1224" s="38"/>
    </row>
    <row r="1225" spans="1:9" x14ac:dyDescent="0.35">
      <c r="A1225" s="42"/>
      <c r="G1225"/>
      <c r="H1225"/>
      <c r="I1225" s="38"/>
    </row>
    <row r="1226" spans="1:9" x14ac:dyDescent="0.35">
      <c r="A1226" s="42"/>
      <c r="G1226"/>
      <c r="H1226"/>
      <c r="I1226" s="38"/>
    </row>
    <row r="1227" spans="1:9" x14ac:dyDescent="0.35">
      <c r="A1227" s="42"/>
      <c r="G1227"/>
      <c r="H1227"/>
      <c r="I1227" s="38"/>
    </row>
    <row r="1228" spans="1:9" x14ac:dyDescent="0.35">
      <c r="A1228" s="42"/>
      <c r="G1228"/>
      <c r="H1228"/>
      <c r="I1228" s="38"/>
    </row>
    <row r="1229" spans="1:9" x14ac:dyDescent="0.35">
      <c r="A1229" s="42"/>
      <c r="G1229"/>
      <c r="H1229"/>
      <c r="I1229" s="38"/>
    </row>
    <row r="1230" spans="1:9" x14ac:dyDescent="0.35">
      <c r="A1230" s="42"/>
      <c r="G1230"/>
      <c r="H1230"/>
      <c r="I1230" s="38"/>
    </row>
    <row r="1231" spans="1:9" x14ac:dyDescent="0.35">
      <c r="A1231" s="42"/>
      <c r="G1231"/>
      <c r="H1231"/>
      <c r="I1231" s="38"/>
    </row>
    <row r="1232" spans="1:9" x14ac:dyDescent="0.35">
      <c r="A1232" s="42"/>
      <c r="G1232"/>
      <c r="H1232"/>
      <c r="I1232" s="38"/>
    </row>
    <row r="1233" spans="1:9" x14ac:dyDescent="0.35">
      <c r="A1233" s="42"/>
      <c r="G1233"/>
      <c r="H1233"/>
      <c r="I1233" s="38"/>
    </row>
    <row r="1234" spans="1:9" x14ac:dyDescent="0.35">
      <c r="A1234" s="42"/>
      <c r="G1234"/>
      <c r="H1234"/>
      <c r="I1234" s="38"/>
    </row>
    <row r="1235" spans="1:9" x14ac:dyDescent="0.35">
      <c r="A1235" s="42"/>
      <c r="G1235"/>
      <c r="H1235"/>
      <c r="I1235" s="38"/>
    </row>
    <row r="1236" spans="1:9" x14ac:dyDescent="0.35">
      <c r="A1236" s="42"/>
      <c r="G1236"/>
      <c r="H1236"/>
      <c r="I1236" s="38"/>
    </row>
    <row r="1237" spans="1:9" x14ac:dyDescent="0.35">
      <c r="A1237" s="42"/>
      <c r="G1237"/>
      <c r="H1237"/>
      <c r="I1237" s="38"/>
    </row>
    <row r="1238" spans="1:9" x14ac:dyDescent="0.35">
      <c r="A1238" s="42"/>
      <c r="G1238"/>
      <c r="H1238"/>
      <c r="I1238" s="38"/>
    </row>
    <row r="1239" spans="1:9" x14ac:dyDescent="0.35">
      <c r="A1239" s="42"/>
      <c r="G1239"/>
      <c r="H1239"/>
      <c r="I1239" s="38"/>
    </row>
    <row r="1240" spans="1:9" x14ac:dyDescent="0.35">
      <c r="A1240" s="42"/>
      <c r="G1240"/>
      <c r="H1240"/>
      <c r="I1240" s="38"/>
    </row>
    <row r="1241" spans="1:9" x14ac:dyDescent="0.35">
      <c r="A1241" s="42"/>
      <c r="G1241"/>
      <c r="H1241"/>
      <c r="I1241" s="38"/>
    </row>
    <row r="1242" spans="1:9" x14ac:dyDescent="0.35">
      <c r="A1242" s="42"/>
      <c r="G1242"/>
      <c r="H1242"/>
      <c r="I1242" s="38"/>
    </row>
    <row r="1243" spans="1:9" x14ac:dyDescent="0.35">
      <c r="A1243" s="42"/>
      <c r="G1243"/>
      <c r="H1243"/>
      <c r="I1243" s="38"/>
    </row>
    <row r="1244" spans="1:9" x14ac:dyDescent="0.35">
      <c r="A1244" s="42"/>
      <c r="G1244"/>
      <c r="H1244"/>
      <c r="I1244" s="38"/>
    </row>
    <row r="1245" spans="1:9" x14ac:dyDescent="0.35">
      <c r="A1245" s="42"/>
      <c r="G1245"/>
      <c r="H1245"/>
      <c r="I1245" s="38"/>
    </row>
    <row r="1246" spans="1:9" x14ac:dyDescent="0.35">
      <c r="A1246" s="42"/>
      <c r="G1246"/>
      <c r="H1246"/>
      <c r="I1246" s="38"/>
    </row>
    <row r="1247" spans="1:9" x14ac:dyDescent="0.35">
      <c r="A1247" s="42"/>
      <c r="G1247"/>
      <c r="H1247"/>
      <c r="I1247" s="38"/>
    </row>
    <row r="1248" spans="1:9" x14ac:dyDescent="0.35">
      <c r="A1248" s="42"/>
      <c r="G1248"/>
      <c r="H1248"/>
      <c r="I1248" s="38"/>
    </row>
    <row r="1249" spans="1:9" x14ac:dyDescent="0.35">
      <c r="A1249" s="42"/>
      <c r="G1249"/>
      <c r="H1249"/>
      <c r="I1249" s="38"/>
    </row>
    <row r="1250" spans="1:9" x14ac:dyDescent="0.35">
      <c r="A1250" s="42"/>
      <c r="G1250"/>
      <c r="H1250"/>
      <c r="I1250" s="38"/>
    </row>
    <row r="1251" spans="1:9" x14ac:dyDescent="0.35">
      <c r="A1251" s="42"/>
      <c r="G1251"/>
      <c r="H1251"/>
      <c r="I1251" s="38"/>
    </row>
    <row r="1252" spans="1:9" x14ac:dyDescent="0.35">
      <c r="A1252" s="42"/>
      <c r="G1252"/>
      <c r="H1252"/>
      <c r="I1252" s="38"/>
    </row>
    <row r="1253" spans="1:9" x14ac:dyDescent="0.35">
      <c r="A1253" s="42"/>
      <c r="G1253"/>
      <c r="H1253"/>
      <c r="I1253" s="38"/>
    </row>
    <row r="1254" spans="1:9" x14ac:dyDescent="0.35">
      <c r="A1254" s="42"/>
      <c r="G1254"/>
      <c r="H1254"/>
      <c r="I1254" s="38"/>
    </row>
    <row r="1255" spans="1:9" x14ac:dyDescent="0.35">
      <c r="A1255" s="42"/>
      <c r="G1255"/>
      <c r="H1255"/>
      <c r="I1255" s="38"/>
    </row>
    <row r="1256" spans="1:9" x14ac:dyDescent="0.35">
      <c r="A1256" s="42"/>
      <c r="G1256"/>
      <c r="H1256"/>
      <c r="I1256" s="38"/>
    </row>
    <row r="1257" spans="1:9" x14ac:dyDescent="0.35">
      <c r="A1257" s="42"/>
      <c r="G1257"/>
      <c r="H1257"/>
      <c r="I1257" s="38"/>
    </row>
    <row r="1258" spans="1:9" x14ac:dyDescent="0.35">
      <c r="A1258" s="42"/>
      <c r="G1258"/>
      <c r="H1258"/>
      <c r="I1258" s="38"/>
    </row>
    <row r="1259" spans="1:9" x14ac:dyDescent="0.35">
      <c r="A1259" s="42"/>
      <c r="G1259"/>
      <c r="H1259"/>
      <c r="I1259" s="38"/>
    </row>
    <row r="1260" spans="1:9" x14ac:dyDescent="0.35">
      <c r="A1260" s="42"/>
      <c r="G1260"/>
      <c r="H1260"/>
      <c r="I1260" s="38"/>
    </row>
    <row r="1261" spans="1:9" x14ac:dyDescent="0.35">
      <c r="A1261" s="42"/>
      <c r="G1261"/>
      <c r="H1261"/>
      <c r="I1261" s="38"/>
    </row>
    <row r="1262" spans="1:9" x14ac:dyDescent="0.35">
      <c r="A1262" s="42"/>
      <c r="G1262"/>
      <c r="H1262"/>
      <c r="I1262" s="38"/>
    </row>
    <row r="1263" spans="1:9" x14ac:dyDescent="0.35">
      <c r="A1263" s="42"/>
      <c r="G1263"/>
      <c r="H1263"/>
      <c r="I1263" s="38"/>
    </row>
    <row r="1264" spans="1:9" x14ac:dyDescent="0.35">
      <c r="A1264" s="42"/>
      <c r="G1264"/>
      <c r="H1264"/>
      <c r="I1264" s="38"/>
    </row>
    <row r="1265" spans="1:9" x14ac:dyDescent="0.35">
      <c r="A1265" s="42"/>
      <c r="G1265"/>
      <c r="H1265"/>
      <c r="I1265" s="38"/>
    </row>
    <row r="1266" spans="1:9" x14ac:dyDescent="0.35">
      <c r="A1266" s="42"/>
      <c r="G1266"/>
      <c r="H1266"/>
      <c r="I1266" s="38"/>
    </row>
    <row r="1267" spans="1:9" x14ac:dyDescent="0.35">
      <c r="A1267" s="42"/>
      <c r="G1267"/>
      <c r="H1267"/>
      <c r="I1267" s="38"/>
    </row>
    <row r="1268" spans="1:9" x14ac:dyDescent="0.35">
      <c r="A1268" s="42"/>
      <c r="G1268"/>
      <c r="H1268"/>
      <c r="I1268" s="38"/>
    </row>
    <row r="1269" spans="1:9" x14ac:dyDescent="0.35">
      <c r="A1269" s="42"/>
      <c r="G1269"/>
      <c r="H1269"/>
      <c r="I1269" s="38"/>
    </row>
    <row r="1270" spans="1:9" x14ac:dyDescent="0.35">
      <c r="A1270" s="42"/>
      <c r="G1270"/>
      <c r="H1270"/>
      <c r="I1270" s="38"/>
    </row>
    <row r="1271" spans="1:9" x14ac:dyDescent="0.35">
      <c r="A1271" s="42"/>
      <c r="G1271"/>
      <c r="H1271"/>
      <c r="I1271" s="38"/>
    </row>
    <row r="1272" spans="1:9" x14ac:dyDescent="0.35">
      <c r="A1272" s="42"/>
      <c r="G1272"/>
      <c r="H1272"/>
      <c r="I1272" s="38"/>
    </row>
    <row r="1273" spans="1:9" x14ac:dyDescent="0.35">
      <c r="A1273" s="42"/>
      <c r="G1273"/>
      <c r="H1273"/>
      <c r="I1273" s="38"/>
    </row>
    <row r="1274" spans="1:9" x14ac:dyDescent="0.35">
      <c r="A1274" s="42"/>
      <c r="G1274"/>
      <c r="H1274"/>
      <c r="I1274" s="38"/>
    </row>
    <row r="1275" spans="1:9" x14ac:dyDescent="0.35">
      <c r="A1275" s="42"/>
      <c r="G1275"/>
      <c r="H1275"/>
      <c r="I1275" s="38"/>
    </row>
    <row r="1276" spans="1:9" x14ac:dyDescent="0.35">
      <c r="A1276" s="42"/>
      <c r="G1276"/>
      <c r="H1276"/>
      <c r="I1276" s="38"/>
    </row>
    <row r="1277" spans="1:9" x14ac:dyDescent="0.35">
      <c r="A1277" s="42"/>
      <c r="G1277"/>
      <c r="H1277"/>
      <c r="I1277" s="38"/>
    </row>
    <row r="1278" spans="1:9" x14ac:dyDescent="0.35">
      <c r="A1278" s="42"/>
      <c r="G1278"/>
      <c r="H1278"/>
      <c r="I1278" s="38"/>
    </row>
    <row r="1279" spans="1:9" x14ac:dyDescent="0.35">
      <c r="A1279" s="42"/>
      <c r="G1279"/>
      <c r="H1279"/>
      <c r="I1279" s="38"/>
    </row>
    <row r="1280" spans="1:9" x14ac:dyDescent="0.35">
      <c r="A1280" s="42"/>
      <c r="G1280"/>
      <c r="H1280"/>
      <c r="I1280" s="38"/>
    </row>
    <row r="1281" spans="1:9" x14ac:dyDescent="0.35">
      <c r="A1281" s="42"/>
      <c r="G1281"/>
      <c r="H1281"/>
      <c r="I1281" s="38"/>
    </row>
    <row r="1282" spans="1:9" x14ac:dyDescent="0.35">
      <c r="A1282" s="42"/>
      <c r="G1282"/>
      <c r="H1282"/>
      <c r="I1282" s="38"/>
    </row>
    <row r="1283" spans="1:9" x14ac:dyDescent="0.35">
      <c r="A1283" s="42"/>
      <c r="G1283"/>
      <c r="H1283"/>
      <c r="I1283" s="38"/>
    </row>
    <row r="1284" spans="1:9" x14ac:dyDescent="0.35">
      <c r="A1284" s="42"/>
      <c r="G1284"/>
      <c r="H1284"/>
      <c r="I1284" s="38"/>
    </row>
    <row r="1285" spans="1:9" x14ac:dyDescent="0.35">
      <c r="A1285" s="42"/>
      <c r="G1285"/>
      <c r="H1285"/>
      <c r="I1285" s="38"/>
    </row>
    <row r="1286" spans="1:9" x14ac:dyDescent="0.35">
      <c r="A1286" s="42"/>
      <c r="G1286"/>
      <c r="H1286"/>
      <c r="I1286" s="38"/>
    </row>
    <row r="1287" spans="1:9" x14ac:dyDescent="0.35">
      <c r="A1287" s="42"/>
      <c r="G1287"/>
      <c r="H1287"/>
      <c r="I1287" s="38"/>
    </row>
    <row r="1288" spans="1:9" x14ac:dyDescent="0.35">
      <c r="A1288" s="42"/>
      <c r="G1288"/>
      <c r="H1288"/>
      <c r="I1288" s="38"/>
    </row>
    <row r="1289" spans="1:9" x14ac:dyDescent="0.35">
      <c r="A1289" s="42"/>
      <c r="G1289"/>
      <c r="H1289"/>
      <c r="I1289" s="38"/>
    </row>
    <row r="1290" spans="1:9" x14ac:dyDescent="0.35">
      <c r="A1290" s="42"/>
      <c r="G1290"/>
      <c r="H1290"/>
      <c r="I1290" s="38"/>
    </row>
    <row r="1291" spans="1:9" x14ac:dyDescent="0.35">
      <c r="A1291" s="42"/>
      <c r="G1291"/>
      <c r="H1291"/>
      <c r="I1291" s="38"/>
    </row>
    <row r="1292" spans="1:9" x14ac:dyDescent="0.35">
      <c r="A1292" s="42"/>
      <c r="G1292"/>
      <c r="H1292"/>
      <c r="I1292" s="38"/>
    </row>
    <row r="1293" spans="1:9" x14ac:dyDescent="0.35">
      <c r="A1293" s="42"/>
      <c r="G1293"/>
      <c r="H1293"/>
      <c r="I1293" s="38"/>
    </row>
    <row r="1294" spans="1:9" x14ac:dyDescent="0.35">
      <c r="A1294" s="42"/>
      <c r="G1294"/>
      <c r="H1294"/>
      <c r="I1294" s="38"/>
    </row>
    <row r="1295" spans="1:9" x14ac:dyDescent="0.35">
      <c r="A1295" s="42"/>
      <c r="G1295"/>
      <c r="H1295"/>
      <c r="I1295" s="38"/>
    </row>
    <row r="1296" spans="1:9" x14ac:dyDescent="0.35">
      <c r="A1296" s="42"/>
      <c r="G1296"/>
      <c r="H1296"/>
      <c r="I1296" s="38"/>
    </row>
    <row r="1297" spans="1:9" x14ac:dyDescent="0.35">
      <c r="A1297" s="42"/>
      <c r="G1297"/>
      <c r="H1297"/>
      <c r="I1297" s="38"/>
    </row>
    <row r="1298" spans="1:9" x14ac:dyDescent="0.35">
      <c r="A1298" s="42"/>
      <c r="G1298"/>
      <c r="H1298"/>
      <c r="I1298" s="38"/>
    </row>
    <row r="1299" spans="1:9" x14ac:dyDescent="0.35">
      <c r="A1299" s="42"/>
      <c r="G1299"/>
      <c r="H1299"/>
      <c r="I1299" s="38"/>
    </row>
    <row r="1300" spans="1:9" x14ac:dyDescent="0.35">
      <c r="A1300" s="42"/>
      <c r="G1300"/>
      <c r="H1300"/>
      <c r="I1300" s="38"/>
    </row>
    <row r="1301" spans="1:9" x14ac:dyDescent="0.35">
      <c r="A1301" s="42"/>
      <c r="G1301"/>
      <c r="H1301"/>
      <c r="I1301" s="38"/>
    </row>
    <row r="1302" spans="1:9" x14ac:dyDescent="0.35">
      <c r="A1302" s="42"/>
      <c r="G1302"/>
      <c r="H1302"/>
      <c r="I1302" s="38"/>
    </row>
    <row r="1303" spans="1:9" x14ac:dyDescent="0.35">
      <c r="A1303" s="42"/>
      <c r="G1303"/>
      <c r="H1303"/>
      <c r="I1303" s="38"/>
    </row>
    <row r="1304" spans="1:9" x14ac:dyDescent="0.35">
      <c r="A1304" s="42"/>
      <c r="G1304"/>
      <c r="H1304"/>
      <c r="I1304" s="38"/>
    </row>
    <row r="1305" spans="1:9" x14ac:dyDescent="0.35">
      <c r="A1305" s="42"/>
      <c r="G1305"/>
      <c r="H1305"/>
      <c r="I1305" s="38"/>
    </row>
    <row r="1306" spans="1:9" x14ac:dyDescent="0.35">
      <c r="A1306" s="42"/>
      <c r="G1306"/>
      <c r="H1306"/>
      <c r="I1306" s="38"/>
    </row>
    <row r="1307" spans="1:9" x14ac:dyDescent="0.35">
      <c r="A1307" s="42"/>
      <c r="G1307"/>
      <c r="H1307"/>
      <c r="I1307" s="38"/>
    </row>
    <row r="1308" spans="1:9" x14ac:dyDescent="0.35">
      <c r="A1308" s="42"/>
      <c r="G1308"/>
      <c r="H1308"/>
      <c r="I1308" s="38"/>
    </row>
    <row r="1309" spans="1:9" x14ac:dyDescent="0.35">
      <c r="A1309" s="42"/>
      <c r="G1309"/>
      <c r="H1309"/>
      <c r="I1309" s="38"/>
    </row>
    <row r="1310" spans="1:9" x14ac:dyDescent="0.35">
      <c r="A1310" s="42"/>
      <c r="G1310"/>
      <c r="H1310"/>
      <c r="I1310" s="38"/>
    </row>
    <row r="1311" spans="1:9" x14ac:dyDescent="0.35">
      <c r="A1311" s="42"/>
      <c r="G1311"/>
      <c r="H1311"/>
      <c r="I1311" s="38"/>
    </row>
    <row r="1312" spans="1:9" x14ac:dyDescent="0.35">
      <c r="A1312" s="42"/>
      <c r="G1312"/>
      <c r="H1312"/>
      <c r="I1312" s="38"/>
    </row>
    <row r="1313" spans="1:9" x14ac:dyDescent="0.35">
      <c r="A1313" s="42"/>
      <c r="G1313"/>
      <c r="H1313"/>
      <c r="I1313" s="38"/>
    </row>
    <row r="1314" spans="1:9" x14ac:dyDescent="0.35">
      <c r="A1314" s="42"/>
      <c r="G1314"/>
      <c r="H1314"/>
      <c r="I1314" s="38"/>
    </row>
    <row r="1315" spans="1:9" x14ac:dyDescent="0.35">
      <c r="A1315" s="42"/>
      <c r="G1315"/>
      <c r="H1315"/>
      <c r="I1315" s="38"/>
    </row>
    <row r="1316" spans="1:9" x14ac:dyDescent="0.35">
      <c r="A1316" s="42"/>
      <c r="G1316"/>
      <c r="H1316"/>
      <c r="I1316" s="38"/>
    </row>
    <row r="1317" spans="1:9" x14ac:dyDescent="0.35">
      <c r="A1317" s="42"/>
      <c r="G1317"/>
      <c r="H1317"/>
      <c r="I1317" s="38"/>
    </row>
    <row r="1318" spans="1:9" x14ac:dyDescent="0.35">
      <c r="A1318" s="42"/>
      <c r="G1318"/>
      <c r="H1318"/>
      <c r="I1318" s="38"/>
    </row>
    <row r="1319" spans="1:9" x14ac:dyDescent="0.35">
      <c r="A1319" s="42"/>
      <c r="G1319"/>
      <c r="H1319"/>
      <c r="I1319" s="38"/>
    </row>
    <row r="1320" spans="1:9" x14ac:dyDescent="0.35">
      <c r="A1320" s="42"/>
      <c r="G1320"/>
      <c r="H1320"/>
      <c r="I1320" s="38"/>
    </row>
    <row r="1321" spans="1:9" x14ac:dyDescent="0.35">
      <c r="A1321" s="42"/>
      <c r="G1321"/>
      <c r="H1321"/>
      <c r="I1321" s="38"/>
    </row>
    <row r="1322" spans="1:9" x14ac:dyDescent="0.35">
      <c r="A1322" s="42"/>
      <c r="G1322"/>
      <c r="H1322"/>
      <c r="I1322" s="38"/>
    </row>
    <row r="1323" spans="1:9" x14ac:dyDescent="0.35">
      <c r="A1323" s="42"/>
      <c r="G1323"/>
      <c r="H1323"/>
      <c r="I1323" s="38"/>
    </row>
    <row r="1324" spans="1:9" x14ac:dyDescent="0.35">
      <c r="A1324" s="42"/>
      <c r="G1324"/>
      <c r="H1324"/>
      <c r="I1324" s="38"/>
    </row>
    <row r="1325" spans="1:9" x14ac:dyDescent="0.35">
      <c r="A1325" s="42"/>
      <c r="G1325"/>
      <c r="H1325"/>
      <c r="I1325" s="38"/>
    </row>
    <row r="1326" spans="1:9" x14ac:dyDescent="0.35">
      <c r="A1326" s="42"/>
      <c r="G1326"/>
      <c r="H1326"/>
      <c r="I1326" s="38"/>
    </row>
    <row r="1327" spans="1:9" x14ac:dyDescent="0.35">
      <c r="A1327" s="42"/>
      <c r="G1327"/>
      <c r="H1327"/>
      <c r="I1327" s="38"/>
    </row>
    <row r="1328" spans="1:9" x14ac:dyDescent="0.35">
      <c r="A1328" s="42"/>
      <c r="G1328"/>
      <c r="H1328"/>
      <c r="I1328" s="38"/>
    </row>
    <row r="1329" spans="1:9" x14ac:dyDescent="0.35">
      <c r="A1329" s="42"/>
      <c r="G1329"/>
      <c r="H1329"/>
      <c r="I1329" s="38"/>
    </row>
    <row r="1330" spans="1:9" x14ac:dyDescent="0.35">
      <c r="A1330" s="42"/>
      <c r="G1330"/>
      <c r="H1330"/>
      <c r="I1330" s="38"/>
    </row>
    <row r="1331" spans="1:9" x14ac:dyDescent="0.35">
      <c r="A1331" s="42"/>
      <c r="G1331"/>
      <c r="H1331"/>
      <c r="I1331" s="38"/>
    </row>
    <row r="1332" spans="1:9" x14ac:dyDescent="0.35">
      <c r="A1332" s="42"/>
      <c r="G1332"/>
      <c r="H1332"/>
      <c r="I1332" s="38"/>
    </row>
    <row r="1333" spans="1:9" x14ac:dyDescent="0.35">
      <c r="A1333" s="42"/>
      <c r="G1333"/>
      <c r="H1333"/>
      <c r="I1333" s="38"/>
    </row>
    <row r="1334" spans="1:9" x14ac:dyDescent="0.35">
      <c r="A1334" s="42"/>
      <c r="G1334"/>
      <c r="H1334"/>
      <c r="I1334" s="38"/>
    </row>
    <row r="1335" spans="1:9" x14ac:dyDescent="0.35">
      <c r="A1335" s="42"/>
      <c r="G1335"/>
      <c r="H1335"/>
      <c r="I1335" s="38"/>
    </row>
    <row r="1336" spans="1:9" x14ac:dyDescent="0.35">
      <c r="A1336" s="42"/>
      <c r="G1336"/>
      <c r="H1336"/>
      <c r="I1336" s="38"/>
    </row>
    <row r="1337" spans="1:9" x14ac:dyDescent="0.35">
      <c r="A1337" s="42"/>
      <c r="G1337"/>
      <c r="H1337"/>
      <c r="I1337" s="38"/>
    </row>
    <row r="1338" spans="1:9" x14ac:dyDescent="0.35">
      <c r="A1338" s="42"/>
      <c r="G1338"/>
      <c r="H1338"/>
      <c r="I1338" s="38"/>
    </row>
    <row r="1339" spans="1:9" x14ac:dyDescent="0.35">
      <c r="A1339" s="42"/>
      <c r="G1339"/>
      <c r="H1339"/>
      <c r="I1339" s="38"/>
    </row>
    <row r="1340" spans="1:9" x14ac:dyDescent="0.35">
      <c r="A1340" s="42"/>
      <c r="G1340"/>
      <c r="H1340"/>
      <c r="I1340" s="38"/>
    </row>
    <row r="1341" spans="1:9" x14ac:dyDescent="0.35">
      <c r="A1341" s="42"/>
      <c r="G1341"/>
      <c r="H1341"/>
      <c r="I1341" s="38"/>
    </row>
    <row r="1342" spans="1:9" x14ac:dyDescent="0.35">
      <c r="A1342" s="42"/>
      <c r="G1342"/>
      <c r="H1342"/>
      <c r="I1342" s="38"/>
    </row>
    <row r="1343" spans="1:9" x14ac:dyDescent="0.35">
      <c r="A1343" s="42"/>
      <c r="G1343"/>
      <c r="H1343"/>
      <c r="I1343" s="38"/>
    </row>
    <row r="1344" spans="1:9" x14ac:dyDescent="0.35">
      <c r="A1344" s="42"/>
      <c r="G1344"/>
      <c r="H1344"/>
      <c r="I1344" s="38"/>
    </row>
    <row r="1345" spans="1:9" x14ac:dyDescent="0.35">
      <c r="A1345" s="42"/>
      <c r="G1345"/>
      <c r="H1345"/>
      <c r="I1345" s="38"/>
    </row>
    <row r="1346" spans="1:9" x14ac:dyDescent="0.35">
      <c r="A1346" s="42"/>
      <c r="G1346"/>
      <c r="H1346"/>
      <c r="I1346" s="38"/>
    </row>
    <row r="1347" spans="1:9" x14ac:dyDescent="0.35">
      <c r="A1347" s="42"/>
      <c r="G1347"/>
      <c r="H1347"/>
      <c r="I1347" s="38"/>
    </row>
    <row r="1348" spans="1:9" x14ac:dyDescent="0.35">
      <c r="A1348" s="42"/>
      <c r="G1348"/>
      <c r="H1348"/>
      <c r="I1348" s="38"/>
    </row>
    <row r="1349" spans="1:9" x14ac:dyDescent="0.35">
      <c r="A1349" s="42"/>
      <c r="G1349"/>
      <c r="H1349"/>
      <c r="I1349" s="38"/>
    </row>
    <row r="1350" spans="1:9" x14ac:dyDescent="0.35">
      <c r="A1350" s="42"/>
      <c r="G1350"/>
      <c r="H1350"/>
      <c r="I1350" s="38"/>
    </row>
    <row r="1351" spans="1:9" x14ac:dyDescent="0.35">
      <c r="A1351" s="42"/>
      <c r="G1351"/>
      <c r="H1351"/>
      <c r="I1351" s="38"/>
    </row>
    <row r="1352" spans="1:9" x14ac:dyDescent="0.35">
      <c r="A1352" s="42"/>
      <c r="G1352"/>
      <c r="H1352"/>
      <c r="I1352" s="38"/>
    </row>
    <row r="1353" spans="1:9" x14ac:dyDescent="0.35">
      <c r="A1353" s="42"/>
      <c r="G1353"/>
      <c r="H1353"/>
      <c r="I1353" s="38"/>
    </row>
    <row r="1354" spans="1:9" x14ac:dyDescent="0.35">
      <c r="A1354" s="42"/>
      <c r="G1354"/>
      <c r="H1354"/>
      <c r="I1354" s="38"/>
    </row>
    <row r="1355" spans="1:9" x14ac:dyDescent="0.35">
      <c r="A1355" s="42"/>
      <c r="G1355"/>
      <c r="H1355"/>
      <c r="I1355" s="38"/>
    </row>
    <row r="1356" spans="1:9" x14ac:dyDescent="0.35">
      <c r="A1356" s="42"/>
      <c r="G1356"/>
      <c r="H1356"/>
      <c r="I1356" s="38"/>
    </row>
    <row r="1357" spans="1:9" x14ac:dyDescent="0.35">
      <c r="A1357" s="42"/>
      <c r="G1357"/>
      <c r="H1357"/>
      <c r="I1357" s="38"/>
    </row>
    <row r="1358" spans="1:9" x14ac:dyDescent="0.35">
      <c r="A1358" s="42"/>
      <c r="G1358"/>
      <c r="H1358"/>
      <c r="I1358" s="38"/>
    </row>
    <row r="1359" spans="1:9" x14ac:dyDescent="0.35">
      <c r="A1359" s="42"/>
      <c r="G1359"/>
      <c r="H1359"/>
      <c r="I1359" s="38"/>
    </row>
    <row r="1360" spans="1:9" x14ac:dyDescent="0.35">
      <c r="A1360" s="42"/>
      <c r="G1360"/>
      <c r="H1360"/>
      <c r="I1360" s="38"/>
    </row>
    <row r="1361" spans="1:9" x14ac:dyDescent="0.35">
      <c r="A1361" s="42"/>
      <c r="G1361"/>
      <c r="H1361"/>
      <c r="I1361" s="38"/>
    </row>
    <row r="1362" spans="1:9" x14ac:dyDescent="0.35">
      <c r="A1362" s="42"/>
      <c r="G1362"/>
      <c r="H1362"/>
      <c r="I1362" s="38"/>
    </row>
    <row r="1363" spans="1:9" x14ac:dyDescent="0.35">
      <c r="A1363" s="42"/>
      <c r="G1363"/>
      <c r="H1363"/>
      <c r="I1363" s="38"/>
    </row>
    <row r="1364" spans="1:9" x14ac:dyDescent="0.35">
      <c r="A1364" s="42"/>
      <c r="G1364"/>
      <c r="H1364"/>
      <c r="I1364" s="38"/>
    </row>
    <row r="1365" spans="1:9" x14ac:dyDescent="0.35">
      <c r="A1365" s="42"/>
      <c r="G1365"/>
      <c r="H1365"/>
      <c r="I1365" s="38"/>
    </row>
    <row r="1366" spans="1:9" x14ac:dyDescent="0.35">
      <c r="A1366" s="42"/>
      <c r="G1366"/>
      <c r="H1366"/>
      <c r="I1366" s="38"/>
    </row>
    <row r="1367" spans="1:9" x14ac:dyDescent="0.35">
      <c r="A1367" s="42"/>
      <c r="G1367"/>
      <c r="H1367"/>
      <c r="I1367" s="38"/>
    </row>
    <row r="1368" spans="1:9" x14ac:dyDescent="0.35">
      <c r="A1368" s="42"/>
      <c r="G1368"/>
      <c r="H1368"/>
      <c r="I1368" s="38"/>
    </row>
    <row r="1369" spans="1:9" x14ac:dyDescent="0.35">
      <c r="A1369" s="42"/>
      <c r="G1369"/>
      <c r="H1369"/>
      <c r="I1369" s="38"/>
    </row>
    <row r="1370" spans="1:9" x14ac:dyDescent="0.35">
      <c r="A1370" s="42"/>
      <c r="G1370"/>
      <c r="H1370"/>
      <c r="I1370" s="38"/>
    </row>
    <row r="1371" spans="1:9" x14ac:dyDescent="0.35">
      <c r="A1371" s="42"/>
      <c r="G1371"/>
      <c r="H1371"/>
      <c r="I1371" s="38"/>
    </row>
    <row r="1372" spans="1:9" x14ac:dyDescent="0.35">
      <c r="A1372" s="42"/>
      <c r="G1372"/>
      <c r="H1372"/>
      <c r="I1372" s="38"/>
    </row>
    <row r="1373" spans="1:9" x14ac:dyDescent="0.35">
      <c r="A1373" s="42"/>
      <c r="G1373"/>
      <c r="H1373"/>
      <c r="I1373" s="38"/>
    </row>
    <row r="1374" spans="1:9" x14ac:dyDescent="0.35">
      <c r="A1374" s="42"/>
      <c r="G1374"/>
      <c r="H1374"/>
      <c r="I1374" s="38"/>
    </row>
    <row r="1375" spans="1:9" x14ac:dyDescent="0.35">
      <c r="A1375" s="42"/>
      <c r="G1375"/>
      <c r="H1375"/>
      <c r="I1375" s="38"/>
    </row>
    <row r="1376" spans="1:9" x14ac:dyDescent="0.35">
      <c r="A1376" s="42"/>
      <c r="G1376"/>
      <c r="H1376"/>
      <c r="I1376" s="38"/>
    </row>
    <row r="1377" spans="1:9" x14ac:dyDescent="0.35">
      <c r="A1377" s="42"/>
      <c r="G1377"/>
      <c r="H1377"/>
      <c r="I1377" s="38"/>
    </row>
    <row r="1378" spans="1:9" x14ac:dyDescent="0.35">
      <c r="A1378" s="42"/>
      <c r="G1378"/>
      <c r="H1378"/>
      <c r="I1378" s="38"/>
    </row>
    <row r="1379" spans="1:9" x14ac:dyDescent="0.35">
      <c r="A1379" s="42"/>
      <c r="G1379"/>
      <c r="H1379"/>
      <c r="I1379" s="38"/>
    </row>
    <row r="1380" spans="1:9" x14ac:dyDescent="0.35">
      <c r="A1380" s="42"/>
      <c r="G1380"/>
      <c r="H1380"/>
      <c r="I1380" s="38"/>
    </row>
    <row r="1381" spans="1:9" x14ac:dyDescent="0.35">
      <c r="A1381" s="42"/>
      <c r="G1381"/>
      <c r="H1381"/>
      <c r="I1381" s="38"/>
    </row>
    <row r="1382" spans="1:9" x14ac:dyDescent="0.35">
      <c r="A1382" s="42"/>
      <c r="G1382"/>
      <c r="H1382"/>
      <c r="I1382" s="38"/>
    </row>
    <row r="1383" spans="1:9" x14ac:dyDescent="0.35">
      <c r="A1383" s="42"/>
      <c r="G1383"/>
      <c r="H1383"/>
      <c r="I1383" s="38"/>
    </row>
    <row r="1384" spans="1:9" x14ac:dyDescent="0.35">
      <c r="A1384" s="42"/>
      <c r="G1384"/>
      <c r="H1384"/>
      <c r="I1384" s="38"/>
    </row>
    <row r="1385" spans="1:9" x14ac:dyDescent="0.35">
      <c r="A1385" s="42"/>
      <c r="G1385"/>
      <c r="H1385"/>
      <c r="I1385" s="38"/>
    </row>
    <row r="1386" spans="1:9" x14ac:dyDescent="0.35">
      <c r="A1386" s="42"/>
      <c r="G1386"/>
      <c r="H1386"/>
      <c r="I1386" s="38"/>
    </row>
    <row r="1387" spans="1:9" x14ac:dyDescent="0.35">
      <c r="A1387" s="42"/>
      <c r="G1387"/>
      <c r="H1387"/>
      <c r="I1387" s="38"/>
    </row>
    <row r="1388" spans="1:9" x14ac:dyDescent="0.35">
      <c r="A1388" s="42"/>
      <c r="G1388"/>
      <c r="H1388"/>
      <c r="I1388" s="38"/>
    </row>
    <row r="1389" spans="1:9" x14ac:dyDescent="0.35">
      <c r="A1389" s="42"/>
      <c r="G1389"/>
      <c r="H1389"/>
      <c r="I1389" s="38"/>
    </row>
    <row r="1390" spans="1:9" x14ac:dyDescent="0.35">
      <c r="A1390" s="42"/>
      <c r="G1390"/>
      <c r="H1390"/>
      <c r="I1390" s="38"/>
    </row>
    <row r="1391" spans="1:9" x14ac:dyDescent="0.35">
      <c r="A1391" s="42"/>
      <c r="G1391"/>
      <c r="H1391"/>
      <c r="I1391" s="38"/>
    </row>
    <row r="1392" spans="1:9" x14ac:dyDescent="0.35">
      <c r="A1392" s="42"/>
      <c r="G1392"/>
      <c r="H1392"/>
      <c r="I1392" s="38"/>
    </row>
    <row r="1393" spans="1:9" x14ac:dyDescent="0.35">
      <c r="A1393" s="42"/>
      <c r="G1393"/>
      <c r="H1393"/>
      <c r="I1393" s="38"/>
    </row>
    <row r="1394" spans="1:9" x14ac:dyDescent="0.35">
      <c r="A1394" s="42"/>
      <c r="G1394"/>
      <c r="H1394"/>
      <c r="I1394" s="38"/>
    </row>
    <row r="1395" spans="1:9" x14ac:dyDescent="0.35">
      <c r="A1395" s="42"/>
      <c r="G1395"/>
      <c r="H1395"/>
      <c r="I1395" s="38"/>
    </row>
    <row r="1396" spans="1:9" x14ac:dyDescent="0.35">
      <c r="A1396" s="42"/>
      <c r="G1396"/>
      <c r="H1396"/>
      <c r="I1396" s="38"/>
    </row>
    <row r="1397" spans="1:9" x14ac:dyDescent="0.35">
      <c r="A1397" s="42"/>
      <c r="G1397"/>
      <c r="H1397"/>
      <c r="I1397" s="38"/>
    </row>
    <row r="1398" spans="1:9" x14ac:dyDescent="0.35">
      <c r="A1398" s="42"/>
      <c r="G1398"/>
      <c r="H1398"/>
      <c r="I1398" s="38"/>
    </row>
    <row r="1399" spans="1:9" x14ac:dyDescent="0.35">
      <c r="A1399" s="42"/>
      <c r="G1399"/>
      <c r="H1399"/>
      <c r="I1399" s="38"/>
    </row>
    <row r="1400" spans="1:9" x14ac:dyDescent="0.35">
      <c r="A1400" s="42"/>
      <c r="G1400"/>
      <c r="H1400"/>
      <c r="I1400" s="38"/>
    </row>
    <row r="1401" spans="1:9" x14ac:dyDescent="0.35">
      <c r="A1401" s="42"/>
      <c r="G1401"/>
      <c r="H1401"/>
      <c r="I1401" s="38"/>
    </row>
    <row r="1402" spans="1:9" x14ac:dyDescent="0.35">
      <c r="A1402" s="42"/>
      <c r="G1402"/>
      <c r="H1402"/>
      <c r="I1402" s="38"/>
    </row>
    <row r="1403" spans="1:9" x14ac:dyDescent="0.35">
      <c r="A1403" s="42"/>
      <c r="G1403"/>
      <c r="H1403"/>
      <c r="I1403" s="38"/>
    </row>
    <row r="1404" spans="1:9" x14ac:dyDescent="0.35">
      <c r="A1404" s="42"/>
      <c r="G1404"/>
      <c r="H1404"/>
      <c r="I1404" s="38"/>
    </row>
    <row r="1405" spans="1:9" x14ac:dyDescent="0.35">
      <c r="A1405" s="42"/>
      <c r="G1405"/>
      <c r="H1405"/>
      <c r="I1405" s="38"/>
    </row>
    <row r="1406" spans="1:9" x14ac:dyDescent="0.35">
      <c r="A1406" s="42"/>
      <c r="G1406"/>
      <c r="H1406"/>
      <c r="I1406" s="38"/>
    </row>
    <row r="1407" spans="1:9" x14ac:dyDescent="0.35">
      <c r="A1407" s="42"/>
      <c r="G1407"/>
      <c r="H1407"/>
      <c r="I1407" s="38"/>
    </row>
    <row r="1408" spans="1:9" x14ac:dyDescent="0.35">
      <c r="A1408" s="42"/>
      <c r="G1408"/>
      <c r="H1408"/>
      <c r="I1408" s="38"/>
    </row>
    <row r="1409" spans="1:9" x14ac:dyDescent="0.35">
      <c r="A1409" s="42"/>
      <c r="G1409"/>
      <c r="H1409"/>
      <c r="I1409" s="38"/>
    </row>
    <row r="1410" spans="1:9" x14ac:dyDescent="0.35">
      <c r="A1410" s="42"/>
      <c r="G1410"/>
      <c r="H1410"/>
      <c r="I1410" s="38"/>
    </row>
    <row r="1411" spans="1:9" x14ac:dyDescent="0.35">
      <c r="A1411" s="42"/>
      <c r="G1411"/>
      <c r="H1411"/>
      <c r="I1411" s="38"/>
    </row>
    <row r="1412" spans="1:9" x14ac:dyDescent="0.35">
      <c r="A1412" s="42"/>
      <c r="G1412"/>
      <c r="H1412"/>
      <c r="I1412" s="38"/>
    </row>
    <row r="1413" spans="1:9" x14ac:dyDescent="0.35">
      <c r="A1413" s="42"/>
      <c r="G1413"/>
      <c r="H1413"/>
      <c r="I1413" s="38"/>
    </row>
    <row r="1414" spans="1:9" x14ac:dyDescent="0.35">
      <c r="A1414" s="42"/>
      <c r="G1414"/>
      <c r="H1414"/>
      <c r="I1414" s="38"/>
    </row>
    <row r="1415" spans="1:9" x14ac:dyDescent="0.35">
      <c r="A1415" s="42"/>
      <c r="G1415"/>
      <c r="H1415"/>
      <c r="I1415" s="38"/>
    </row>
    <row r="1416" spans="1:9" x14ac:dyDescent="0.35">
      <c r="A1416" s="42"/>
      <c r="G1416"/>
      <c r="H1416"/>
      <c r="I1416" s="38"/>
    </row>
    <row r="1417" spans="1:9" x14ac:dyDescent="0.35">
      <c r="A1417" s="42"/>
      <c r="G1417"/>
      <c r="H1417"/>
      <c r="I1417" s="38"/>
    </row>
    <row r="1418" spans="1:9" x14ac:dyDescent="0.35">
      <c r="A1418" s="42"/>
      <c r="G1418"/>
      <c r="H1418"/>
      <c r="I1418" s="38"/>
    </row>
    <row r="1419" spans="1:9" x14ac:dyDescent="0.35">
      <c r="A1419" s="42"/>
      <c r="G1419"/>
      <c r="H1419"/>
      <c r="I1419" s="38"/>
    </row>
    <row r="1420" spans="1:9" x14ac:dyDescent="0.35">
      <c r="A1420" s="42"/>
      <c r="G1420"/>
      <c r="H1420"/>
      <c r="I1420" s="38"/>
    </row>
    <row r="1421" spans="1:9" x14ac:dyDescent="0.35">
      <c r="A1421" s="42"/>
      <c r="G1421"/>
      <c r="H1421"/>
      <c r="I1421" s="38"/>
    </row>
    <row r="1422" spans="1:9" x14ac:dyDescent="0.35">
      <c r="A1422" s="42"/>
      <c r="G1422"/>
      <c r="H1422"/>
      <c r="I1422" s="38"/>
    </row>
    <row r="1423" spans="1:9" x14ac:dyDescent="0.35">
      <c r="A1423" s="42"/>
      <c r="G1423"/>
      <c r="H1423"/>
      <c r="I1423" s="38"/>
    </row>
    <row r="1424" spans="1:9" x14ac:dyDescent="0.35">
      <c r="A1424" s="42"/>
      <c r="G1424"/>
      <c r="H1424"/>
      <c r="I1424" s="38"/>
    </row>
    <row r="1425" spans="1:9" x14ac:dyDescent="0.35">
      <c r="A1425" s="42"/>
      <c r="G1425"/>
      <c r="H1425"/>
      <c r="I1425" s="38"/>
    </row>
    <row r="1426" spans="1:9" x14ac:dyDescent="0.35">
      <c r="A1426" s="42"/>
      <c r="G1426"/>
      <c r="H1426"/>
      <c r="I1426" s="38"/>
    </row>
    <row r="1427" spans="1:9" x14ac:dyDescent="0.35">
      <c r="A1427" s="42"/>
      <c r="G1427"/>
      <c r="H1427"/>
      <c r="I1427" s="38"/>
    </row>
    <row r="1428" spans="1:9" x14ac:dyDescent="0.35">
      <c r="A1428" s="42"/>
      <c r="G1428"/>
      <c r="H1428"/>
      <c r="I1428" s="38"/>
    </row>
    <row r="1429" spans="1:9" x14ac:dyDescent="0.35">
      <c r="A1429" s="42"/>
      <c r="G1429"/>
      <c r="H1429"/>
      <c r="I1429" s="38"/>
    </row>
    <row r="1430" spans="1:9" x14ac:dyDescent="0.35">
      <c r="A1430" s="42"/>
      <c r="G1430"/>
      <c r="H1430"/>
      <c r="I1430" s="38"/>
    </row>
    <row r="1431" spans="1:9" x14ac:dyDescent="0.35">
      <c r="A1431" s="42"/>
      <c r="G1431"/>
      <c r="H1431"/>
      <c r="I1431" s="38"/>
    </row>
    <row r="1432" spans="1:9" x14ac:dyDescent="0.35">
      <c r="A1432" s="42"/>
      <c r="G1432"/>
      <c r="H1432"/>
      <c r="I1432" s="38"/>
    </row>
    <row r="1433" spans="1:9" x14ac:dyDescent="0.35">
      <c r="A1433" s="42"/>
      <c r="G1433"/>
      <c r="H1433"/>
      <c r="I1433" s="38"/>
    </row>
    <row r="1434" spans="1:9" x14ac:dyDescent="0.35">
      <c r="A1434" s="42"/>
      <c r="G1434"/>
      <c r="H1434"/>
      <c r="I1434" s="38"/>
    </row>
    <row r="1435" spans="1:9" x14ac:dyDescent="0.35">
      <c r="A1435" s="42"/>
      <c r="G1435"/>
      <c r="H1435"/>
      <c r="I1435" s="38"/>
    </row>
    <row r="1436" spans="1:9" x14ac:dyDescent="0.35">
      <c r="A1436" s="42"/>
      <c r="G1436"/>
      <c r="H1436"/>
      <c r="I1436" s="38"/>
    </row>
    <row r="1437" spans="1:9" x14ac:dyDescent="0.35">
      <c r="A1437" s="42"/>
      <c r="G1437"/>
      <c r="H1437"/>
      <c r="I1437" s="38"/>
    </row>
    <row r="1438" spans="1:9" x14ac:dyDescent="0.35">
      <c r="A1438" s="42"/>
      <c r="G1438"/>
      <c r="H1438"/>
      <c r="I1438" s="38"/>
    </row>
    <row r="1439" spans="1:9" x14ac:dyDescent="0.35">
      <c r="A1439" s="42"/>
      <c r="G1439"/>
      <c r="H1439"/>
      <c r="I1439" s="38"/>
    </row>
    <row r="1440" spans="1:9" x14ac:dyDescent="0.35">
      <c r="A1440" s="42"/>
      <c r="G1440"/>
      <c r="H1440"/>
      <c r="I1440" s="38"/>
    </row>
    <row r="1441" spans="1:9" x14ac:dyDescent="0.35">
      <c r="A1441" s="42"/>
      <c r="G1441"/>
      <c r="H1441"/>
      <c r="I1441" s="38"/>
    </row>
    <row r="1442" spans="1:9" x14ac:dyDescent="0.35">
      <c r="A1442" s="42"/>
      <c r="G1442"/>
      <c r="H1442"/>
      <c r="I1442" s="38"/>
    </row>
    <row r="1443" spans="1:9" x14ac:dyDescent="0.35">
      <c r="A1443" s="42"/>
      <c r="G1443"/>
      <c r="H1443"/>
      <c r="I1443" s="38"/>
    </row>
    <row r="1444" spans="1:9" x14ac:dyDescent="0.35">
      <c r="A1444" s="42"/>
      <c r="G1444"/>
      <c r="H1444"/>
      <c r="I1444" s="38"/>
    </row>
    <row r="1445" spans="1:9" x14ac:dyDescent="0.35">
      <c r="A1445" s="42"/>
      <c r="G1445"/>
      <c r="H1445"/>
      <c r="I1445" s="38"/>
    </row>
    <row r="1446" spans="1:9" x14ac:dyDescent="0.35">
      <c r="A1446" s="42"/>
      <c r="G1446"/>
      <c r="H1446"/>
      <c r="I1446" s="38"/>
    </row>
    <row r="1447" spans="1:9" x14ac:dyDescent="0.35">
      <c r="A1447" s="42"/>
      <c r="G1447"/>
      <c r="H1447"/>
      <c r="I1447" s="38"/>
    </row>
    <row r="1448" spans="1:9" x14ac:dyDescent="0.35">
      <c r="A1448" s="42"/>
      <c r="G1448"/>
      <c r="H1448"/>
      <c r="I1448" s="38"/>
    </row>
    <row r="1449" spans="1:9" x14ac:dyDescent="0.35">
      <c r="A1449" s="42"/>
      <c r="G1449"/>
      <c r="H1449"/>
      <c r="I1449" s="38"/>
    </row>
    <row r="1450" spans="1:9" x14ac:dyDescent="0.35">
      <c r="A1450" s="42"/>
      <c r="G1450"/>
      <c r="H1450"/>
      <c r="I1450" s="38"/>
    </row>
    <row r="1451" spans="1:9" x14ac:dyDescent="0.35">
      <c r="A1451" s="42"/>
      <c r="G1451"/>
      <c r="H1451"/>
      <c r="I1451" s="38"/>
    </row>
    <row r="1452" spans="1:9" x14ac:dyDescent="0.35">
      <c r="A1452" s="42"/>
      <c r="G1452"/>
      <c r="H1452"/>
      <c r="I1452" s="38"/>
    </row>
    <row r="1453" spans="1:9" x14ac:dyDescent="0.35">
      <c r="A1453" s="42"/>
      <c r="G1453"/>
      <c r="H1453"/>
      <c r="I1453" s="38"/>
    </row>
    <row r="1454" spans="1:9" x14ac:dyDescent="0.35">
      <c r="A1454" s="42"/>
      <c r="G1454"/>
      <c r="H1454"/>
      <c r="I1454" s="38"/>
    </row>
    <row r="1455" spans="1:9" x14ac:dyDescent="0.35">
      <c r="A1455" s="42"/>
      <c r="G1455"/>
      <c r="H1455"/>
      <c r="I1455" s="38"/>
    </row>
    <row r="1456" spans="1:9" x14ac:dyDescent="0.35">
      <c r="A1456" s="42"/>
      <c r="G1456"/>
      <c r="H1456"/>
      <c r="I1456" s="38"/>
    </row>
    <row r="1457" spans="1:9" x14ac:dyDescent="0.35">
      <c r="A1457" s="42"/>
      <c r="G1457"/>
      <c r="H1457"/>
      <c r="I1457" s="38"/>
    </row>
    <row r="1458" spans="1:9" x14ac:dyDescent="0.35">
      <c r="A1458" s="42"/>
      <c r="G1458"/>
      <c r="H1458"/>
      <c r="I1458" s="38"/>
    </row>
    <row r="1459" spans="1:9" x14ac:dyDescent="0.35">
      <c r="A1459" s="42"/>
      <c r="G1459"/>
      <c r="H1459"/>
      <c r="I1459" s="38"/>
    </row>
    <row r="1460" spans="1:9" x14ac:dyDescent="0.35">
      <c r="A1460" s="42"/>
      <c r="G1460"/>
      <c r="H1460"/>
      <c r="I1460" s="38"/>
    </row>
    <row r="1461" spans="1:9" x14ac:dyDescent="0.35">
      <c r="A1461" s="42"/>
      <c r="G1461"/>
      <c r="H1461"/>
      <c r="I1461" s="38"/>
    </row>
    <row r="1462" spans="1:9" x14ac:dyDescent="0.35">
      <c r="A1462" s="42"/>
      <c r="G1462"/>
      <c r="H1462"/>
      <c r="I1462" s="38"/>
    </row>
    <row r="1463" spans="1:9" x14ac:dyDescent="0.35">
      <c r="A1463" s="42"/>
      <c r="G1463"/>
      <c r="H1463"/>
      <c r="I1463" s="38"/>
    </row>
    <row r="1464" spans="1:9" x14ac:dyDescent="0.35">
      <c r="A1464" s="42"/>
      <c r="G1464"/>
      <c r="H1464"/>
      <c r="I1464" s="38"/>
    </row>
    <row r="1465" spans="1:9" x14ac:dyDescent="0.35">
      <c r="A1465" s="42"/>
      <c r="G1465"/>
      <c r="H1465"/>
      <c r="I1465" s="38"/>
    </row>
    <row r="1466" spans="1:9" x14ac:dyDescent="0.35">
      <c r="A1466" s="42"/>
      <c r="G1466"/>
      <c r="H1466"/>
      <c r="I1466" s="38"/>
    </row>
    <row r="1467" spans="1:9" x14ac:dyDescent="0.35">
      <c r="A1467" s="42"/>
      <c r="G1467"/>
      <c r="H1467"/>
      <c r="I1467" s="38"/>
    </row>
    <row r="1468" spans="1:9" x14ac:dyDescent="0.35">
      <c r="A1468" s="42"/>
      <c r="G1468"/>
      <c r="H1468"/>
      <c r="I1468" s="38"/>
    </row>
    <row r="1469" spans="1:9" x14ac:dyDescent="0.35">
      <c r="A1469" s="42"/>
      <c r="G1469"/>
      <c r="H1469"/>
      <c r="I1469" s="38"/>
    </row>
    <row r="1470" spans="1:9" x14ac:dyDescent="0.35">
      <c r="A1470" s="42"/>
      <c r="G1470"/>
      <c r="H1470"/>
      <c r="I1470" s="38"/>
    </row>
    <row r="1471" spans="1:9" x14ac:dyDescent="0.35">
      <c r="A1471" s="42"/>
      <c r="G1471"/>
      <c r="H1471"/>
      <c r="I1471" s="38"/>
    </row>
    <row r="1472" spans="1:9" x14ac:dyDescent="0.35">
      <c r="A1472" s="42"/>
      <c r="G1472"/>
      <c r="H1472"/>
      <c r="I1472" s="38"/>
    </row>
    <row r="1473" spans="1:9" x14ac:dyDescent="0.35">
      <c r="A1473" s="42"/>
      <c r="G1473"/>
      <c r="H1473"/>
      <c r="I1473" s="38"/>
    </row>
    <row r="1474" spans="1:9" x14ac:dyDescent="0.35">
      <c r="A1474" s="42"/>
      <c r="G1474"/>
      <c r="H1474"/>
      <c r="I1474" s="38"/>
    </row>
    <row r="1475" spans="1:9" x14ac:dyDescent="0.35">
      <c r="A1475" s="42"/>
      <c r="G1475"/>
      <c r="H1475"/>
      <c r="I1475" s="38"/>
    </row>
    <row r="1476" spans="1:9" x14ac:dyDescent="0.35">
      <c r="A1476" s="42"/>
      <c r="G1476"/>
      <c r="H1476"/>
      <c r="I1476" s="38"/>
    </row>
    <row r="1477" spans="1:9" x14ac:dyDescent="0.35">
      <c r="A1477" s="42"/>
      <c r="G1477"/>
      <c r="H1477"/>
      <c r="I1477" s="38"/>
    </row>
    <row r="1478" spans="1:9" x14ac:dyDescent="0.35">
      <c r="A1478" s="42"/>
      <c r="G1478"/>
      <c r="H1478"/>
      <c r="I1478" s="38"/>
    </row>
    <row r="1479" spans="1:9" x14ac:dyDescent="0.35">
      <c r="A1479" s="42"/>
      <c r="G1479"/>
      <c r="H1479"/>
      <c r="I1479" s="38"/>
    </row>
    <row r="1480" spans="1:9" x14ac:dyDescent="0.35">
      <c r="A1480" s="42"/>
      <c r="G1480"/>
      <c r="H1480"/>
      <c r="I1480" s="38"/>
    </row>
    <row r="1481" spans="1:9" x14ac:dyDescent="0.35">
      <c r="A1481" s="42"/>
      <c r="G1481"/>
      <c r="H1481"/>
      <c r="I1481" s="38"/>
    </row>
    <row r="1482" spans="1:9" x14ac:dyDescent="0.35">
      <c r="A1482" s="42"/>
      <c r="G1482"/>
      <c r="H1482"/>
      <c r="I1482" s="38"/>
    </row>
    <row r="1483" spans="1:9" x14ac:dyDescent="0.35">
      <c r="A1483" s="42"/>
      <c r="G1483"/>
      <c r="H1483"/>
      <c r="I1483" s="38"/>
    </row>
    <row r="1484" spans="1:9" x14ac:dyDescent="0.35">
      <c r="A1484" s="42"/>
      <c r="G1484"/>
      <c r="H1484"/>
      <c r="I1484" s="38"/>
    </row>
    <row r="1485" spans="1:9" x14ac:dyDescent="0.35">
      <c r="A1485" s="42"/>
      <c r="G1485"/>
      <c r="H1485"/>
      <c r="I1485" s="38"/>
    </row>
    <row r="1486" spans="1:9" x14ac:dyDescent="0.35">
      <c r="A1486" s="42"/>
      <c r="G1486"/>
      <c r="H1486"/>
      <c r="I1486" s="38"/>
    </row>
    <row r="1487" spans="1:9" x14ac:dyDescent="0.35">
      <c r="A1487" s="42"/>
      <c r="G1487"/>
      <c r="H1487"/>
      <c r="I1487" s="38"/>
    </row>
    <row r="1488" spans="1:9" x14ac:dyDescent="0.35">
      <c r="A1488" s="42"/>
      <c r="G1488"/>
      <c r="H1488"/>
      <c r="I1488" s="38"/>
    </row>
    <row r="1489" spans="1:9" x14ac:dyDescent="0.35">
      <c r="A1489" s="42"/>
      <c r="G1489"/>
      <c r="H1489"/>
      <c r="I1489" s="38"/>
    </row>
    <row r="1490" spans="1:9" x14ac:dyDescent="0.35">
      <c r="A1490" s="42"/>
      <c r="G1490"/>
      <c r="H1490"/>
      <c r="I1490" s="38"/>
    </row>
    <row r="1491" spans="1:9" x14ac:dyDescent="0.35">
      <c r="A1491" s="42"/>
      <c r="G1491"/>
      <c r="H1491"/>
      <c r="I1491" s="38"/>
    </row>
    <row r="1492" spans="1:9" x14ac:dyDescent="0.35">
      <c r="A1492" s="42"/>
      <c r="G1492"/>
      <c r="H1492"/>
      <c r="I1492" s="38"/>
    </row>
    <row r="1493" spans="1:9" x14ac:dyDescent="0.35">
      <c r="A1493" s="42"/>
      <c r="G1493"/>
      <c r="H1493"/>
      <c r="I1493" s="38"/>
    </row>
    <row r="1494" spans="1:9" x14ac:dyDescent="0.35">
      <c r="A1494" s="42"/>
      <c r="G1494"/>
      <c r="H1494"/>
      <c r="I1494" s="38"/>
    </row>
    <row r="1495" spans="1:9" x14ac:dyDescent="0.35">
      <c r="A1495" s="42"/>
      <c r="G1495"/>
      <c r="H1495"/>
      <c r="I1495" s="38"/>
    </row>
    <row r="1496" spans="1:9" x14ac:dyDescent="0.35">
      <c r="A1496" s="42"/>
      <c r="G1496"/>
      <c r="H1496"/>
      <c r="I1496" s="38"/>
    </row>
    <row r="1497" spans="1:9" x14ac:dyDescent="0.35">
      <c r="A1497" s="42"/>
      <c r="G1497"/>
      <c r="H1497"/>
      <c r="I1497" s="38"/>
    </row>
    <row r="1498" spans="1:9" x14ac:dyDescent="0.35">
      <c r="A1498" s="42"/>
      <c r="G1498"/>
      <c r="H1498"/>
      <c r="I1498" s="38"/>
    </row>
    <row r="1499" spans="1:9" x14ac:dyDescent="0.35">
      <c r="A1499" s="42"/>
      <c r="G1499"/>
      <c r="H1499"/>
      <c r="I1499" s="38"/>
    </row>
    <row r="1500" spans="1:9" x14ac:dyDescent="0.35">
      <c r="A1500" s="42"/>
      <c r="G1500"/>
      <c r="H1500"/>
      <c r="I1500" s="38"/>
    </row>
    <row r="1501" spans="1:9" x14ac:dyDescent="0.35">
      <c r="A1501" s="42"/>
      <c r="G1501"/>
      <c r="H1501"/>
      <c r="I1501" s="38"/>
    </row>
    <row r="1502" spans="1:9" x14ac:dyDescent="0.35">
      <c r="A1502" s="42"/>
      <c r="G1502"/>
      <c r="H1502"/>
      <c r="I1502" s="38"/>
    </row>
    <row r="1503" spans="1:9" x14ac:dyDescent="0.35">
      <c r="A1503" s="42"/>
      <c r="G1503"/>
      <c r="H1503"/>
      <c r="I1503" s="38"/>
    </row>
    <row r="1504" spans="1:9" x14ac:dyDescent="0.35">
      <c r="A1504" s="42"/>
      <c r="G1504"/>
      <c r="H1504"/>
      <c r="I1504" s="38"/>
    </row>
    <row r="1505" spans="1:9" x14ac:dyDescent="0.35">
      <c r="A1505" s="42"/>
      <c r="G1505"/>
      <c r="H1505"/>
      <c r="I1505" s="38"/>
    </row>
    <row r="1506" spans="1:9" x14ac:dyDescent="0.35">
      <c r="A1506" s="42"/>
      <c r="G1506"/>
      <c r="H1506"/>
      <c r="I1506" s="38"/>
    </row>
    <row r="1507" spans="1:9" x14ac:dyDescent="0.35">
      <c r="A1507" s="42"/>
      <c r="G1507"/>
      <c r="H1507"/>
      <c r="I1507" s="38"/>
    </row>
    <row r="1508" spans="1:9" x14ac:dyDescent="0.35">
      <c r="A1508" s="42"/>
      <c r="G1508"/>
      <c r="H1508"/>
      <c r="I1508" s="38"/>
    </row>
    <row r="1509" spans="1:9" x14ac:dyDescent="0.35">
      <c r="A1509" s="42"/>
      <c r="G1509"/>
      <c r="H1509"/>
      <c r="I1509" s="38"/>
    </row>
    <row r="1510" spans="1:9" x14ac:dyDescent="0.35">
      <c r="A1510" s="42"/>
      <c r="G1510"/>
      <c r="H1510"/>
      <c r="I1510" s="38"/>
    </row>
    <row r="1511" spans="1:9" x14ac:dyDescent="0.35">
      <c r="A1511" s="42"/>
      <c r="G1511"/>
      <c r="H1511"/>
      <c r="I1511" s="38"/>
    </row>
    <row r="1512" spans="1:9" x14ac:dyDescent="0.35">
      <c r="A1512" s="42"/>
      <c r="G1512"/>
      <c r="H1512"/>
      <c r="I1512" s="38"/>
    </row>
    <row r="1513" spans="1:9" x14ac:dyDescent="0.35">
      <c r="A1513" s="42"/>
      <c r="G1513"/>
      <c r="H1513"/>
      <c r="I1513" s="38"/>
    </row>
    <row r="1514" spans="1:9" x14ac:dyDescent="0.35">
      <c r="A1514" s="42"/>
      <c r="G1514"/>
      <c r="H1514"/>
      <c r="I1514" s="38"/>
    </row>
    <row r="1515" spans="1:9" x14ac:dyDescent="0.35">
      <c r="A1515" s="42"/>
      <c r="G1515"/>
      <c r="H1515"/>
      <c r="I1515" s="38"/>
    </row>
    <row r="1516" spans="1:9" x14ac:dyDescent="0.35">
      <c r="A1516" s="42"/>
      <c r="G1516"/>
      <c r="H1516"/>
      <c r="I1516" s="38"/>
    </row>
    <row r="1517" spans="1:9" x14ac:dyDescent="0.35">
      <c r="A1517" s="42"/>
      <c r="G1517"/>
      <c r="H1517"/>
      <c r="I1517" s="38"/>
    </row>
    <row r="1518" spans="1:9" x14ac:dyDescent="0.35">
      <c r="A1518" s="42"/>
      <c r="G1518"/>
      <c r="H1518"/>
      <c r="I1518" s="38"/>
    </row>
    <row r="1519" spans="1:9" x14ac:dyDescent="0.35">
      <c r="A1519" s="42"/>
      <c r="G1519"/>
      <c r="H1519"/>
      <c r="I1519" s="38"/>
    </row>
    <row r="1520" spans="1:9" x14ac:dyDescent="0.35">
      <c r="A1520" s="42"/>
      <c r="G1520"/>
      <c r="H1520"/>
      <c r="I1520" s="38"/>
    </row>
    <row r="1521" spans="1:9" x14ac:dyDescent="0.35">
      <c r="A1521" s="42"/>
      <c r="G1521"/>
      <c r="H1521"/>
      <c r="I1521" s="38"/>
    </row>
    <row r="1522" spans="1:9" x14ac:dyDescent="0.35">
      <c r="A1522" s="42"/>
      <c r="G1522"/>
      <c r="H1522"/>
      <c r="I1522" s="38"/>
    </row>
    <row r="1523" spans="1:9" x14ac:dyDescent="0.35">
      <c r="A1523" s="42"/>
      <c r="G1523"/>
      <c r="H1523"/>
      <c r="I1523" s="38"/>
    </row>
    <row r="1524" spans="1:9" x14ac:dyDescent="0.35">
      <c r="A1524" s="42"/>
      <c r="G1524"/>
      <c r="H1524"/>
      <c r="I1524" s="38"/>
    </row>
    <row r="1525" spans="1:9" x14ac:dyDescent="0.35">
      <c r="A1525" s="42"/>
      <c r="G1525"/>
      <c r="H1525"/>
      <c r="I1525" s="38"/>
    </row>
    <row r="1526" spans="1:9" x14ac:dyDescent="0.35">
      <c r="A1526" s="42"/>
      <c r="G1526"/>
      <c r="H1526"/>
      <c r="I1526" s="38"/>
    </row>
    <row r="1527" spans="1:9" x14ac:dyDescent="0.35">
      <c r="A1527" s="42"/>
      <c r="G1527"/>
      <c r="H1527"/>
      <c r="I1527" s="38"/>
    </row>
    <row r="1528" spans="1:9" x14ac:dyDescent="0.35">
      <c r="A1528" s="42"/>
      <c r="G1528"/>
      <c r="H1528"/>
      <c r="I1528" s="38"/>
    </row>
    <row r="1529" spans="1:9" x14ac:dyDescent="0.35">
      <c r="A1529" s="42"/>
      <c r="G1529"/>
      <c r="H1529"/>
      <c r="I1529" s="38"/>
    </row>
    <row r="1530" spans="1:9" x14ac:dyDescent="0.35">
      <c r="A1530" s="42"/>
      <c r="G1530"/>
      <c r="H1530"/>
      <c r="I1530" s="38"/>
    </row>
    <row r="1531" spans="1:9" x14ac:dyDescent="0.35">
      <c r="A1531" s="42"/>
      <c r="G1531"/>
      <c r="H1531"/>
      <c r="I1531" s="38"/>
    </row>
    <row r="1532" spans="1:9" x14ac:dyDescent="0.35">
      <c r="A1532" s="42"/>
      <c r="G1532"/>
      <c r="H1532"/>
      <c r="I1532" s="38"/>
    </row>
    <row r="1533" spans="1:9" x14ac:dyDescent="0.35">
      <c r="A1533" s="42"/>
      <c r="G1533"/>
      <c r="H1533"/>
      <c r="I1533" s="38"/>
    </row>
    <row r="1534" spans="1:9" x14ac:dyDescent="0.35">
      <c r="A1534" s="42"/>
      <c r="G1534"/>
      <c r="H1534"/>
      <c r="I1534" s="38"/>
    </row>
    <row r="1535" spans="1:9" x14ac:dyDescent="0.35">
      <c r="A1535" s="42"/>
      <c r="G1535"/>
      <c r="H1535"/>
      <c r="I1535" s="38"/>
    </row>
    <row r="1536" spans="1:9" x14ac:dyDescent="0.35">
      <c r="A1536" s="42"/>
      <c r="G1536"/>
      <c r="H1536"/>
      <c r="I1536" s="38"/>
    </row>
    <row r="1537" spans="1:9" x14ac:dyDescent="0.35">
      <c r="A1537" s="42"/>
      <c r="G1537"/>
      <c r="H1537"/>
      <c r="I1537" s="38"/>
    </row>
    <row r="1538" spans="1:9" x14ac:dyDescent="0.35">
      <c r="A1538" s="42"/>
      <c r="G1538"/>
      <c r="H1538"/>
      <c r="I1538" s="38"/>
    </row>
    <row r="1539" spans="1:9" x14ac:dyDescent="0.35">
      <c r="A1539" s="42"/>
      <c r="G1539"/>
      <c r="H1539"/>
      <c r="I1539" s="38"/>
    </row>
    <row r="1540" spans="1:9" x14ac:dyDescent="0.35">
      <c r="A1540" s="42"/>
      <c r="G1540"/>
      <c r="H1540"/>
      <c r="I1540" s="38"/>
    </row>
    <row r="1541" spans="1:9" x14ac:dyDescent="0.35">
      <c r="A1541" s="42"/>
      <c r="G1541"/>
      <c r="H1541"/>
      <c r="I1541" s="38"/>
    </row>
    <row r="1542" spans="1:9" x14ac:dyDescent="0.35">
      <c r="A1542" s="42"/>
      <c r="G1542"/>
      <c r="H1542"/>
      <c r="I1542" s="38"/>
    </row>
    <row r="1543" spans="1:9" x14ac:dyDescent="0.35">
      <c r="A1543" s="42"/>
      <c r="G1543"/>
      <c r="H1543"/>
      <c r="I1543" s="38"/>
    </row>
    <row r="1544" spans="1:9" x14ac:dyDescent="0.35">
      <c r="A1544" s="42"/>
      <c r="G1544"/>
      <c r="H1544"/>
      <c r="I1544" s="38"/>
    </row>
    <row r="1545" spans="1:9" x14ac:dyDescent="0.35">
      <c r="A1545" s="42"/>
      <c r="G1545"/>
      <c r="H1545"/>
      <c r="I1545" s="38"/>
    </row>
    <row r="1546" spans="1:9" x14ac:dyDescent="0.35">
      <c r="A1546" s="42"/>
      <c r="G1546"/>
      <c r="H1546"/>
      <c r="I1546" s="38"/>
    </row>
    <row r="1547" spans="1:9" x14ac:dyDescent="0.35">
      <c r="A1547" s="42"/>
      <c r="G1547"/>
      <c r="H1547"/>
      <c r="I1547" s="38"/>
    </row>
    <row r="1548" spans="1:9" x14ac:dyDescent="0.35">
      <c r="A1548" s="42"/>
      <c r="G1548"/>
      <c r="H1548"/>
      <c r="I1548" s="38"/>
    </row>
    <row r="1549" spans="1:9" x14ac:dyDescent="0.35">
      <c r="A1549" s="42"/>
      <c r="G1549"/>
      <c r="H1549"/>
      <c r="I1549" s="38"/>
    </row>
    <row r="1550" spans="1:9" x14ac:dyDescent="0.35">
      <c r="A1550" s="42"/>
      <c r="G1550"/>
      <c r="H1550"/>
      <c r="I1550" s="38"/>
    </row>
    <row r="1551" spans="1:9" x14ac:dyDescent="0.35">
      <c r="A1551" s="42"/>
      <c r="G1551"/>
      <c r="H1551"/>
      <c r="I1551" s="38"/>
    </row>
    <row r="1552" spans="1:9" x14ac:dyDescent="0.35">
      <c r="A1552" s="42"/>
      <c r="G1552"/>
      <c r="H1552"/>
      <c r="I1552" s="38"/>
    </row>
    <row r="1553" spans="1:9" x14ac:dyDescent="0.35">
      <c r="A1553" s="42"/>
      <c r="G1553"/>
      <c r="H1553"/>
      <c r="I1553" s="38"/>
    </row>
    <row r="1554" spans="1:9" x14ac:dyDescent="0.35">
      <c r="A1554" s="42"/>
      <c r="G1554"/>
      <c r="H1554"/>
      <c r="I1554" s="38"/>
    </row>
    <row r="1555" spans="1:9" x14ac:dyDescent="0.35">
      <c r="A1555" s="42"/>
      <c r="G1555"/>
      <c r="H1555"/>
      <c r="I1555" s="38"/>
    </row>
    <row r="1556" spans="1:9" x14ac:dyDescent="0.35">
      <c r="A1556" s="42"/>
      <c r="G1556"/>
      <c r="H1556"/>
      <c r="I1556" s="38"/>
    </row>
    <row r="1557" spans="1:9" x14ac:dyDescent="0.35">
      <c r="A1557" s="42"/>
      <c r="G1557"/>
      <c r="H1557"/>
      <c r="I1557" s="38"/>
    </row>
    <row r="1558" spans="1:9" x14ac:dyDescent="0.35">
      <c r="A1558" s="42"/>
      <c r="G1558"/>
      <c r="H1558"/>
      <c r="I1558" s="38"/>
    </row>
    <row r="1559" spans="1:9" x14ac:dyDescent="0.35">
      <c r="A1559" s="42"/>
      <c r="G1559"/>
      <c r="H1559"/>
      <c r="I1559" s="38"/>
    </row>
    <row r="1560" spans="1:9" x14ac:dyDescent="0.35">
      <c r="A1560" s="42"/>
      <c r="G1560"/>
      <c r="H1560"/>
      <c r="I1560" s="38"/>
    </row>
    <row r="1561" spans="1:9" x14ac:dyDescent="0.35">
      <c r="A1561" s="42"/>
      <c r="G1561"/>
      <c r="H1561"/>
      <c r="I1561" s="38"/>
    </row>
    <row r="1562" spans="1:9" x14ac:dyDescent="0.35">
      <c r="A1562" s="42"/>
      <c r="G1562"/>
      <c r="H1562"/>
      <c r="I1562" s="38"/>
    </row>
    <row r="1563" spans="1:9" x14ac:dyDescent="0.35">
      <c r="A1563" s="42"/>
      <c r="G1563"/>
      <c r="H1563"/>
      <c r="I1563" s="38"/>
    </row>
    <row r="1564" spans="1:9" x14ac:dyDescent="0.35">
      <c r="A1564" s="42"/>
      <c r="G1564"/>
      <c r="H1564"/>
      <c r="I1564" s="38"/>
    </row>
    <row r="1565" spans="1:9" x14ac:dyDescent="0.35">
      <c r="A1565" s="42"/>
      <c r="G1565"/>
      <c r="H1565"/>
      <c r="I1565" s="38"/>
    </row>
    <row r="1566" spans="1:9" x14ac:dyDescent="0.35">
      <c r="A1566" s="42"/>
      <c r="G1566"/>
      <c r="H1566"/>
      <c r="I1566" s="38"/>
    </row>
    <row r="1567" spans="1:9" x14ac:dyDescent="0.35">
      <c r="A1567" s="42"/>
      <c r="G1567"/>
      <c r="H1567"/>
      <c r="I1567" s="38"/>
    </row>
    <row r="1568" spans="1:9" x14ac:dyDescent="0.35">
      <c r="A1568" s="42"/>
      <c r="G1568"/>
      <c r="H1568"/>
      <c r="I1568" s="38"/>
    </row>
    <row r="1569" spans="1:9" x14ac:dyDescent="0.35">
      <c r="A1569" s="42"/>
      <c r="G1569"/>
      <c r="H1569"/>
      <c r="I1569" s="38"/>
    </row>
    <row r="1570" spans="1:9" x14ac:dyDescent="0.35">
      <c r="A1570" s="42"/>
      <c r="G1570"/>
      <c r="H1570"/>
      <c r="I1570" s="38"/>
    </row>
    <row r="1571" spans="1:9" x14ac:dyDescent="0.35">
      <c r="A1571" s="42"/>
      <c r="G1571"/>
      <c r="H1571"/>
      <c r="I1571" s="38"/>
    </row>
    <row r="1572" spans="1:9" x14ac:dyDescent="0.35">
      <c r="A1572" s="42"/>
      <c r="G1572"/>
      <c r="H1572"/>
      <c r="I1572" s="38"/>
    </row>
    <row r="1573" spans="1:9" x14ac:dyDescent="0.35">
      <c r="A1573" s="42"/>
      <c r="G1573"/>
      <c r="H1573"/>
      <c r="I1573" s="38"/>
    </row>
    <row r="1574" spans="1:9" x14ac:dyDescent="0.35">
      <c r="A1574" s="42"/>
      <c r="G1574"/>
      <c r="H1574"/>
      <c r="I1574" s="38"/>
    </row>
    <row r="1575" spans="1:9" x14ac:dyDescent="0.35">
      <c r="A1575" s="42"/>
      <c r="G1575"/>
      <c r="H1575"/>
      <c r="I1575" s="38"/>
    </row>
    <row r="1576" spans="1:9" x14ac:dyDescent="0.35">
      <c r="A1576" s="42"/>
      <c r="G1576"/>
      <c r="H1576"/>
      <c r="I1576" s="38"/>
    </row>
    <row r="1577" spans="1:9" x14ac:dyDescent="0.35">
      <c r="A1577" s="42"/>
      <c r="G1577"/>
      <c r="H1577"/>
      <c r="I1577" s="38"/>
    </row>
    <row r="1578" spans="1:9" x14ac:dyDescent="0.35">
      <c r="A1578" s="42"/>
      <c r="G1578"/>
      <c r="H1578"/>
      <c r="I1578" s="38"/>
    </row>
    <row r="1579" spans="1:9" x14ac:dyDescent="0.35">
      <c r="A1579" s="42"/>
      <c r="G1579"/>
      <c r="H1579"/>
      <c r="I1579" s="38"/>
    </row>
    <row r="1580" spans="1:9" x14ac:dyDescent="0.35">
      <c r="A1580" s="42"/>
      <c r="G1580"/>
      <c r="H1580"/>
      <c r="I1580" s="38"/>
    </row>
    <row r="1581" spans="1:9" x14ac:dyDescent="0.35">
      <c r="A1581" s="42"/>
      <c r="G1581"/>
      <c r="H1581"/>
      <c r="I1581" s="38"/>
    </row>
    <row r="1582" spans="1:9" x14ac:dyDescent="0.35">
      <c r="A1582" s="42"/>
      <c r="G1582"/>
      <c r="H1582"/>
      <c r="I1582" s="38"/>
    </row>
    <row r="1583" spans="1:9" x14ac:dyDescent="0.35">
      <c r="A1583" s="42"/>
      <c r="G1583"/>
      <c r="H1583"/>
      <c r="I1583" s="38"/>
    </row>
    <row r="1584" spans="1:9" x14ac:dyDescent="0.35">
      <c r="A1584" s="42"/>
      <c r="G1584"/>
      <c r="H1584"/>
      <c r="I1584" s="38"/>
    </row>
    <row r="1585" spans="1:9" x14ac:dyDescent="0.35">
      <c r="A1585" s="42"/>
      <c r="G1585"/>
      <c r="H1585"/>
      <c r="I1585" s="38"/>
    </row>
    <row r="1586" spans="1:9" x14ac:dyDescent="0.35">
      <c r="A1586" s="42"/>
      <c r="G1586"/>
      <c r="H1586"/>
      <c r="I1586" s="38"/>
    </row>
    <row r="1587" spans="1:9" x14ac:dyDescent="0.35">
      <c r="A1587" s="42"/>
      <c r="G1587"/>
      <c r="H1587"/>
      <c r="I1587" s="38"/>
    </row>
    <row r="1588" spans="1:9" x14ac:dyDescent="0.35">
      <c r="A1588" s="42"/>
      <c r="G1588"/>
      <c r="H1588"/>
      <c r="I1588" s="38"/>
    </row>
    <row r="1589" spans="1:9" x14ac:dyDescent="0.35">
      <c r="A1589" s="42"/>
      <c r="G1589"/>
      <c r="H1589"/>
      <c r="I1589" s="38"/>
    </row>
    <row r="1590" spans="1:9" x14ac:dyDescent="0.35">
      <c r="A1590" s="42"/>
      <c r="G1590"/>
      <c r="H1590"/>
      <c r="I1590" s="38"/>
    </row>
    <row r="1591" spans="1:9" x14ac:dyDescent="0.35">
      <c r="A1591" s="42"/>
      <c r="G1591"/>
      <c r="H1591"/>
      <c r="I1591" s="38"/>
    </row>
    <row r="1592" spans="1:9" x14ac:dyDescent="0.35">
      <c r="A1592" s="42"/>
      <c r="G1592"/>
      <c r="H1592"/>
      <c r="I1592" s="38"/>
    </row>
    <row r="1593" spans="1:9" x14ac:dyDescent="0.35">
      <c r="A1593" s="42"/>
      <c r="G1593"/>
      <c r="H1593"/>
      <c r="I1593" s="38"/>
    </row>
    <row r="1594" spans="1:9" x14ac:dyDescent="0.35">
      <c r="A1594" s="42"/>
      <c r="G1594"/>
      <c r="H1594"/>
      <c r="I1594" s="38"/>
    </row>
    <row r="1595" spans="1:9" x14ac:dyDescent="0.35">
      <c r="A1595" s="42"/>
      <c r="G1595"/>
      <c r="H1595"/>
      <c r="I1595" s="38"/>
    </row>
    <row r="1596" spans="1:9" x14ac:dyDescent="0.35">
      <c r="A1596" s="42"/>
      <c r="G1596"/>
      <c r="H1596"/>
      <c r="I1596" s="38"/>
    </row>
    <row r="1597" spans="1:9" x14ac:dyDescent="0.35">
      <c r="A1597" s="42"/>
      <c r="G1597"/>
      <c r="H1597"/>
      <c r="I1597" s="38"/>
    </row>
    <row r="1598" spans="1:9" x14ac:dyDescent="0.35">
      <c r="A1598" s="42"/>
      <c r="G1598"/>
      <c r="H1598"/>
      <c r="I1598" s="38"/>
    </row>
    <row r="1599" spans="1:9" x14ac:dyDescent="0.35">
      <c r="A1599" s="42"/>
      <c r="G1599"/>
      <c r="H1599"/>
      <c r="I1599" s="38"/>
    </row>
    <row r="1600" spans="1:9" x14ac:dyDescent="0.35">
      <c r="A1600" s="42"/>
      <c r="G1600"/>
      <c r="H1600"/>
      <c r="I1600" s="38"/>
    </row>
    <row r="1601" spans="1:9" x14ac:dyDescent="0.35">
      <c r="A1601" s="42"/>
      <c r="G1601"/>
      <c r="H1601"/>
      <c r="I1601" s="38"/>
    </row>
    <row r="1602" spans="1:9" x14ac:dyDescent="0.35">
      <c r="A1602" s="42"/>
      <c r="G1602"/>
      <c r="H1602"/>
      <c r="I1602" s="38"/>
    </row>
    <row r="1603" spans="1:9" x14ac:dyDescent="0.35">
      <c r="A1603" s="42"/>
      <c r="G1603"/>
      <c r="H1603"/>
      <c r="I1603" s="38"/>
    </row>
    <row r="1604" spans="1:9" x14ac:dyDescent="0.35">
      <c r="A1604" s="42"/>
      <c r="G1604"/>
      <c r="H1604"/>
      <c r="I1604" s="38"/>
    </row>
    <row r="1605" spans="1:9" x14ac:dyDescent="0.35">
      <c r="A1605" s="42"/>
      <c r="G1605"/>
      <c r="H1605"/>
      <c r="I1605" s="38"/>
    </row>
    <row r="1606" spans="1:9" x14ac:dyDescent="0.35">
      <c r="A1606" s="42"/>
      <c r="G1606"/>
      <c r="H1606"/>
      <c r="I1606" s="38"/>
    </row>
    <row r="1607" spans="1:9" x14ac:dyDescent="0.35">
      <c r="A1607" s="42"/>
      <c r="G1607"/>
      <c r="H1607"/>
      <c r="I1607" s="38"/>
    </row>
    <row r="1608" spans="1:9" x14ac:dyDescent="0.35">
      <c r="A1608" s="42"/>
      <c r="G1608"/>
      <c r="H1608"/>
      <c r="I1608" s="38"/>
    </row>
    <row r="1609" spans="1:9" x14ac:dyDescent="0.35">
      <c r="A1609" s="42"/>
      <c r="G1609"/>
      <c r="H1609"/>
      <c r="I1609" s="38"/>
    </row>
    <row r="1610" spans="1:9" x14ac:dyDescent="0.35">
      <c r="A1610" s="42"/>
      <c r="G1610"/>
      <c r="H1610"/>
      <c r="I1610" s="38"/>
    </row>
    <row r="1611" spans="1:9" x14ac:dyDescent="0.35">
      <c r="A1611" s="42"/>
      <c r="G1611"/>
      <c r="H1611"/>
      <c r="I1611" s="38"/>
    </row>
    <row r="1612" spans="1:9" x14ac:dyDescent="0.35">
      <c r="A1612" s="42"/>
      <c r="G1612"/>
      <c r="H1612"/>
      <c r="I1612" s="38"/>
    </row>
    <row r="1613" spans="1:9" x14ac:dyDescent="0.35">
      <c r="A1613" s="42"/>
      <c r="G1613"/>
      <c r="H1613"/>
      <c r="I1613" s="38"/>
    </row>
    <row r="1614" spans="1:9" x14ac:dyDescent="0.35">
      <c r="A1614" s="42"/>
      <c r="G1614"/>
      <c r="H1614"/>
      <c r="I1614" s="38"/>
    </row>
    <row r="1615" spans="1:9" x14ac:dyDescent="0.35">
      <c r="A1615" s="42"/>
      <c r="G1615"/>
      <c r="H1615"/>
      <c r="I1615" s="38"/>
    </row>
    <row r="1616" spans="1:9" x14ac:dyDescent="0.35">
      <c r="A1616" s="42"/>
      <c r="G1616"/>
      <c r="H1616"/>
      <c r="I1616" s="38"/>
    </row>
    <row r="1617" spans="1:9" x14ac:dyDescent="0.35">
      <c r="A1617" s="42"/>
      <c r="G1617"/>
      <c r="H1617"/>
      <c r="I1617" s="38"/>
    </row>
    <row r="1618" spans="1:9" x14ac:dyDescent="0.35">
      <c r="A1618" s="42"/>
      <c r="G1618"/>
      <c r="H1618"/>
      <c r="I1618" s="38"/>
    </row>
    <row r="1619" spans="1:9" x14ac:dyDescent="0.35">
      <c r="A1619" s="42"/>
      <c r="G1619"/>
      <c r="H1619"/>
      <c r="I1619" s="38"/>
    </row>
    <row r="1620" spans="1:9" x14ac:dyDescent="0.35">
      <c r="A1620" s="42"/>
      <c r="G1620"/>
      <c r="H1620"/>
      <c r="I1620" s="38"/>
    </row>
    <row r="1621" spans="1:9" x14ac:dyDescent="0.35">
      <c r="A1621" s="42"/>
      <c r="G1621"/>
      <c r="H1621"/>
      <c r="I1621" s="38"/>
    </row>
    <row r="1622" spans="1:9" x14ac:dyDescent="0.35">
      <c r="A1622" s="42"/>
      <c r="G1622"/>
      <c r="H1622"/>
      <c r="I1622" s="38"/>
    </row>
    <row r="1623" spans="1:9" x14ac:dyDescent="0.35">
      <c r="A1623" s="42"/>
      <c r="G1623"/>
      <c r="H1623"/>
      <c r="I1623" s="38"/>
    </row>
    <row r="1624" spans="1:9" x14ac:dyDescent="0.35">
      <c r="A1624" s="42"/>
      <c r="G1624"/>
      <c r="H1624"/>
      <c r="I1624" s="38"/>
    </row>
    <row r="1625" spans="1:9" x14ac:dyDescent="0.35">
      <c r="A1625" s="42"/>
      <c r="G1625"/>
      <c r="H1625"/>
      <c r="I1625" s="38"/>
    </row>
    <row r="1626" spans="1:9" x14ac:dyDescent="0.35">
      <c r="A1626" s="42"/>
      <c r="G1626"/>
      <c r="H1626"/>
      <c r="I1626" s="38"/>
    </row>
    <row r="1627" spans="1:9" x14ac:dyDescent="0.35">
      <c r="A1627" s="42"/>
      <c r="G1627"/>
      <c r="H1627"/>
      <c r="I1627" s="38"/>
    </row>
    <row r="1628" spans="1:9" x14ac:dyDescent="0.35">
      <c r="A1628" s="42"/>
      <c r="G1628"/>
      <c r="H1628"/>
      <c r="I1628" s="38"/>
    </row>
    <row r="1629" spans="1:9" x14ac:dyDescent="0.35">
      <c r="A1629" s="42"/>
      <c r="G1629"/>
      <c r="H1629"/>
      <c r="I1629" s="38"/>
    </row>
    <row r="1630" spans="1:9" x14ac:dyDescent="0.35">
      <c r="A1630" s="42"/>
      <c r="G1630"/>
      <c r="H1630"/>
      <c r="I1630" s="38"/>
    </row>
    <row r="1631" spans="1:9" x14ac:dyDescent="0.35">
      <c r="A1631" s="42"/>
      <c r="G1631"/>
      <c r="H1631"/>
      <c r="I1631" s="38"/>
    </row>
    <row r="1632" spans="1:9" x14ac:dyDescent="0.35">
      <c r="A1632" s="42"/>
      <c r="G1632"/>
      <c r="H1632"/>
      <c r="I1632" s="38"/>
    </row>
    <row r="1633" spans="1:9" x14ac:dyDescent="0.35">
      <c r="A1633" s="42"/>
      <c r="G1633"/>
      <c r="H1633"/>
      <c r="I1633" s="38"/>
    </row>
    <row r="1634" spans="1:9" x14ac:dyDescent="0.35">
      <c r="A1634" s="42"/>
      <c r="G1634"/>
      <c r="H1634"/>
      <c r="I1634" s="38"/>
    </row>
    <row r="1635" spans="1:9" x14ac:dyDescent="0.35">
      <c r="A1635" s="42"/>
      <c r="G1635"/>
      <c r="H1635"/>
      <c r="I1635" s="38"/>
    </row>
    <row r="1636" spans="1:9" x14ac:dyDescent="0.35">
      <c r="A1636" s="42"/>
      <c r="G1636"/>
      <c r="H1636"/>
      <c r="I1636" s="38"/>
    </row>
    <row r="1637" spans="1:9" x14ac:dyDescent="0.35">
      <c r="A1637" s="42"/>
      <c r="G1637"/>
      <c r="H1637"/>
      <c r="I1637" s="38"/>
    </row>
    <row r="1638" spans="1:9" x14ac:dyDescent="0.35">
      <c r="A1638" s="42"/>
      <c r="G1638"/>
      <c r="H1638"/>
      <c r="I1638" s="38"/>
    </row>
    <row r="1639" spans="1:9" x14ac:dyDescent="0.35">
      <c r="A1639" s="42"/>
      <c r="G1639"/>
      <c r="H1639"/>
      <c r="I1639" s="38"/>
    </row>
    <row r="1640" spans="1:9" x14ac:dyDescent="0.35">
      <c r="A1640" s="42"/>
      <c r="G1640"/>
      <c r="H1640"/>
      <c r="I1640" s="38"/>
    </row>
    <row r="1641" spans="1:9" x14ac:dyDescent="0.35">
      <c r="A1641" s="42"/>
      <c r="G1641"/>
      <c r="H1641"/>
      <c r="I1641" s="38"/>
    </row>
    <row r="1642" spans="1:9" x14ac:dyDescent="0.35">
      <c r="A1642" s="42"/>
      <c r="G1642"/>
      <c r="H1642"/>
      <c r="I1642" s="38"/>
    </row>
    <row r="1643" spans="1:9" x14ac:dyDescent="0.35">
      <c r="A1643" s="42"/>
      <c r="G1643"/>
      <c r="H1643"/>
      <c r="I1643" s="38"/>
    </row>
    <row r="1644" spans="1:9" x14ac:dyDescent="0.35">
      <c r="A1644" s="42"/>
      <c r="G1644"/>
      <c r="H1644"/>
      <c r="I1644" s="38"/>
    </row>
    <row r="1645" spans="1:9" x14ac:dyDescent="0.35">
      <c r="A1645" s="42"/>
      <c r="G1645"/>
      <c r="H1645"/>
      <c r="I1645" s="38"/>
    </row>
    <row r="1646" spans="1:9" x14ac:dyDescent="0.35">
      <c r="A1646" s="42"/>
      <c r="G1646"/>
      <c r="H1646"/>
      <c r="I1646" s="38"/>
    </row>
    <row r="1647" spans="1:9" x14ac:dyDescent="0.35">
      <c r="A1647" s="42"/>
      <c r="G1647"/>
      <c r="H1647"/>
      <c r="I1647" s="38"/>
    </row>
    <row r="1648" spans="1:9" x14ac:dyDescent="0.35">
      <c r="A1648" s="42"/>
      <c r="G1648"/>
      <c r="H1648"/>
      <c r="I1648" s="38"/>
    </row>
    <row r="1649" spans="1:9" x14ac:dyDescent="0.35">
      <c r="A1649" s="42"/>
      <c r="G1649"/>
      <c r="H1649"/>
      <c r="I1649" s="38"/>
    </row>
    <row r="1650" spans="1:9" x14ac:dyDescent="0.35">
      <c r="A1650" s="42"/>
      <c r="G1650"/>
      <c r="H1650"/>
      <c r="I1650" s="38"/>
    </row>
    <row r="1651" spans="1:9" x14ac:dyDescent="0.35">
      <c r="A1651" s="42"/>
      <c r="G1651"/>
      <c r="H1651"/>
      <c r="I1651" s="38"/>
    </row>
    <row r="1652" spans="1:9" x14ac:dyDescent="0.35">
      <c r="A1652" s="42"/>
      <c r="G1652"/>
      <c r="H1652"/>
      <c r="I1652" s="38"/>
    </row>
    <row r="1653" spans="1:9" x14ac:dyDescent="0.35">
      <c r="A1653" s="42"/>
      <c r="G1653"/>
      <c r="H1653"/>
      <c r="I1653" s="38"/>
    </row>
    <row r="1654" spans="1:9" x14ac:dyDescent="0.35">
      <c r="A1654" s="42"/>
      <c r="G1654"/>
      <c r="H1654"/>
      <c r="I1654" s="38"/>
    </row>
    <row r="1655" spans="1:9" x14ac:dyDescent="0.35">
      <c r="A1655" s="42"/>
      <c r="G1655"/>
      <c r="H1655"/>
      <c r="I1655" s="38"/>
    </row>
    <row r="1656" spans="1:9" x14ac:dyDescent="0.35">
      <c r="A1656" s="42"/>
      <c r="G1656"/>
      <c r="H1656"/>
      <c r="I1656" s="38"/>
    </row>
    <row r="1657" spans="1:9" x14ac:dyDescent="0.35">
      <c r="A1657" s="42"/>
      <c r="G1657"/>
      <c r="H1657"/>
      <c r="I1657" s="38"/>
    </row>
    <row r="1658" spans="1:9" x14ac:dyDescent="0.35">
      <c r="A1658" s="42"/>
      <c r="G1658"/>
      <c r="H1658"/>
      <c r="I1658" s="38"/>
    </row>
    <row r="1659" spans="1:9" x14ac:dyDescent="0.35">
      <c r="A1659" s="42"/>
      <c r="G1659"/>
      <c r="H1659"/>
      <c r="I1659" s="38"/>
    </row>
    <row r="1660" spans="1:9" x14ac:dyDescent="0.35">
      <c r="A1660" s="42"/>
      <c r="G1660"/>
      <c r="H1660"/>
      <c r="I1660" s="38"/>
    </row>
    <row r="1661" spans="1:9" x14ac:dyDescent="0.35">
      <c r="A1661" s="42"/>
      <c r="G1661"/>
      <c r="H1661"/>
      <c r="I1661" s="38"/>
    </row>
    <row r="1662" spans="1:9" x14ac:dyDescent="0.35">
      <c r="A1662" s="42"/>
      <c r="G1662"/>
      <c r="H1662"/>
      <c r="I1662" s="38"/>
    </row>
    <row r="1663" spans="1:9" x14ac:dyDescent="0.35">
      <c r="A1663" s="42"/>
      <c r="G1663"/>
      <c r="H1663"/>
      <c r="I1663" s="38"/>
    </row>
    <row r="1664" spans="1:9" x14ac:dyDescent="0.35">
      <c r="A1664" s="42"/>
      <c r="G1664"/>
      <c r="H1664"/>
      <c r="I1664" s="38"/>
    </row>
    <row r="1665" spans="1:9" x14ac:dyDescent="0.35">
      <c r="A1665" s="42"/>
      <c r="G1665"/>
      <c r="H1665"/>
      <c r="I1665" s="38"/>
    </row>
    <row r="1666" spans="1:9" x14ac:dyDescent="0.35">
      <c r="A1666" s="42"/>
      <c r="G1666"/>
      <c r="H1666"/>
      <c r="I1666" s="38"/>
    </row>
    <row r="1667" spans="1:9" x14ac:dyDescent="0.35">
      <c r="A1667" s="42"/>
      <c r="G1667"/>
      <c r="H1667"/>
      <c r="I1667" s="38"/>
    </row>
    <row r="1668" spans="1:9" x14ac:dyDescent="0.35">
      <c r="A1668" s="42"/>
      <c r="G1668"/>
      <c r="H1668"/>
      <c r="I1668" s="38"/>
    </row>
    <row r="1669" spans="1:9" x14ac:dyDescent="0.35">
      <c r="A1669" s="42"/>
      <c r="G1669"/>
      <c r="H1669"/>
      <c r="I1669" s="38"/>
    </row>
    <row r="1670" spans="1:9" x14ac:dyDescent="0.35">
      <c r="A1670" s="42"/>
      <c r="G1670"/>
      <c r="H1670"/>
      <c r="I1670" s="38"/>
    </row>
    <row r="1671" spans="1:9" x14ac:dyDescent="0.35">
      <c r="A1671" s="42"/>
      <c r="G1671"/>
      <c r="H1671"/>
      <c r="I1671" s="38"/>
    </row>
    <row r="1672" spans="1:9" x14ac:dyDescent="0.35">
      <c r="A1672" s="42"/>
      <c r="G1672"/>
      <c r="H1672"/>
      <c r="I1672" s="38"/>
    </row>
    <row r="1673" spans="1:9" x14ac:dyDescent="0.35">
      <c r="A1673" s="42"/>
      <c r="G1673"/>
      <c r="H1673"/>
      <c r="I1673" s="38"/>
    </row>
    <row r="1674" spans="1:9" x14ac:dyDescent="0.35">
      <c r="A1674" s="42"/>
      <c r="G1674"/>
      <c r="H1674"/>
      <c r="I1674" s="38"/>
    </row>
    <row r="1675" spans="1:9" x14ac:dyDescent="0.35">
      <c r="A1675" s="42"/>
      <c r="G1675"/>
      <c r="H1675"/>
      <c r="I1675" s="38"/>
    </row>
    <row r="1676" spans="1:9" x14ac:dyDescent="0.35">
      <c r="A1676" s="42"/>
      <c r="G1676"/>
      <c r="H1676"/>
      <c r="I1676" s="38"/>
    </row>
    <row r="1677" spans="1:9" x14ac:dyDescent="0.35">
      <c r="A1677" s="42"/>
      <c r="G1677"/>
      <c r="H1677"/>
      <c r="I1677" s="38"/>
    </row>
    <row r="1678" spans="1:9" x14ac:dyDescent="0.35">
      <c r="A1678" s="42"/>
      <c r="G1678"/>
      <c r="H1678"/>
      <c r="I1678" s="38"/>
    </row>
    <row r="1679" spans="1:9" x14ac:dyDescent="0.35">
      <c r="A1679" s="42"/>
      <c r="G1679"/>
      <c r="H1679"/>
      <c r="I1679" s="38"/>
    </row>
    <row r="1680" spans="1:9" x14ac:dyDescent="0.35">
      <c r="A1680" s="42"/>
      <c r="G1680"/>
      <c r="H1680"/>
      <c r="I1680" s="38"/>
    </row>
    <row r="1681" spans="1:9" x14ac:dyDescent="0.35">
      <c r="A1681" s="42"/>
      <c r="G1681"/>
      <c r="H1681"/>
      <c r="I1681" s="38"/>
    </row>
    <row r="1682" spans="1:9" x14ac:dyDescent="0.35">
      <c r="A1682" s="42"/>
      <c r="G1682"/>
      <c r="H1682"/>
      <c r="I1682" s="38"/>
    </row>
    <row r="1683" spans="1:9" x14ac:dyDescent="0.35">
      <c r="A1683" s="42"/>
      <c r="G1683"/>
      <c r="H1683"/>
      <c r="I1683" s="38"/>
    </row>
    <row r="1684" spans="1:9" x14ac:dyDescent="0.35">
      <c r="A1684" s="42"/>
      <c r="G1684"/>
      <c r="H1684"/>
      <c r="I1684" s="38"/>
    </row>
    <row r="1685" spans="1:9" x14ac:dyDescent="0.35">
      <c r="A1685" s="42"/>
      <c r="G1685"/>
      <c r="H1685"/>
      <c r="I1685" s="38"/>
    </row>
    <row r="1686" spans="1:9" x14ac:dyDescent="0.35">
      <c r="A1686" s="42"/>
      <c r="G1686"/>
      <c r="H1686"/>
      <c r="I1686" s="38"/>
    </row>
    <row r="1687" spans="1:9" x14ac:dyDescent="0.35">
      <c r="A1687" s="42"/>
      <c r="G1687"/>
      <c r="H1687"/>
      <c r="I1687" s="38"/>
    </row>
    <row r="1688" spans="1:9" x14ac:dyDescent="0.35">
      <c r="A1688" s="42"/>
      <c r="G1688"/>
      <c r="H1688"/>
      <c r="I1688" s="38"/>
    </row>
    <row r="1689" spans="1:9" x14ac:dyDescent="0.35">
      <c r="A1689" s="42"/>
      <c r="G1689"/>
      <c r="H1689"/>
      <c r="I1689" s="38"/>
    </row>
    <row r="1690" spans="1:9" x14ac:dyDescent="0.35">
      <c r="A1690" s="42"/>
      <c r="G1690"/>
      <c r="H1690"/>
      <c r="I1690" s="38"/>
    </row>
    <row r="1691" spans="1:9" x14ac:dyDescent="0.35">
      <c r="A1691" s="42"/>
      <c r="G1691"/>
      <c r="H1691"/>
      <c r="I1691" s="38"/>
    </row>
    <row r="1692" spans="1:9" x14ac:dyDescent="0.35">
      <c r="A1692" s="42"/>
      <c r="G1692"/>
      <c r="H1692"/>
      <c r="I1692" s="38"/>
    </row>
    <row r="1693" spans="1:9" x14ac:dyDescent="0.35">
      <c r="A1693" s="42"/>
      <c r="G1693"/>
      <c r="H1693"/>
      <c r="I1693" s="38"/>
    </row>
    <row r="1694" spans="1:9" x14ac:dyDescent="0.35">
      <c r="A1694" s="42"/>
      <c r="G1694"/>
      <c r="H1694"/>
      <c r="I1694" s="38"/>
    </row>
    <row r="1695" spans="1:9" x14ac:dyDescent="0.35">
      <c r="A1695" s="42"/>
      <c r="G1695"/>
      <c r="H1695"/>
      <c r="I1695" s="38"/>
    </row>
    <row r="1696" spans="1:9" x14ac:dyDescent="0.35">
      <c r="A1696" s="42"/>
      <c r="G1696"/>
      <c r="H1696"/>
      <c r="I1696" s="38"/>
    </row>
    <row r="1697" spans="1:42" x14ac:dyDescent="0.35">
      <c r="A1697" s="42"/>
      <c r="G1697"/>
      <c r="H1697"/>
      <c r="I1697" s="38"/>
      <c r="J1697"/>
      <c r="L1697" s="38"/>
      <c r="O1697" s="38"/>
      <c r="P1697"/>
      <c r="R1697" s="38"/>
      <c r="S1697"/>
      <c r="U1697" s="38"/>
      <c r="V1697"/>
      <c r="X1697" s="38"/>
      <c r="Y1697"/>
      <c r="AA1697" s="38"/>
      <c r="AB1697"/>
      <c r="AD1697" s="38"/>
      <c r="AE1697"/>
      <c r="AG1697" s="38"/>
      <c r="AP1697" s="49"/>
    </row>
    <row r="1698" spans="1:42" x14ac:dyDescent="0.35">
      <c r="A1698" s="42"/>
      <c r="G1698"/>
      <c r="H1698"/>
      <c r="I1698" s="38"/>
      <c r="J1698"/>
      <c r="L1698" s="38"/>
      <c r="O1698" s="38"/>
      <c r="P1698"/>
      <c r="R1698" s="38"/>
      <c r="S1698"/>
      <c r="U1698" s="38"/>
      <c r="V1698"/>
      <c r="X1698" s="38"/>
      <c r="Y1698"/>
      <c r="AA1698" s="38"/>
      <c r="AB1698"/>
      <c r="AD1698" s="38"/>
      <c r="AE1698"/>
      <c r="AG1698" s="38"/>
      <c r="AP1698" s="49"/>
    </row>
    <row r="1699" spans="1:42" x14ac:dyDescent="0.35">
      <c r="A1699" s="42"/>
      <c r="G1699"/>
      <c r="H1699"/>
      <c r="I1699" s="38"/>
      <c r="J1699"/>
      <c r="L1699" s="38"/>
      <c r="O1699" s="38"/>
      <c r="P1699"/>
      <c r="R1699" s="38"/>
      <c r="S1699"/>
      <c r="U1699" s="38"/>
      <c r="V1699"/>
      <c r="X1699" s="38"/>
      <c r="Y1699"/>
      <c r="AA1699" s="38"/>
      <c r="AB1699"/>
      <c r="AD1699" s="38"/>
      <c r="AE1699"/>
      <c r="AG1699" s="38"/>
      <c r="AP1699" s="49"/>
    </row>
    <row r="1700" spans="1:42" x14ac:dyDescent="0.35">
      <c r="A1700" s="42"/>
      <c r="G1700"/>
      <c r="H1700"/>
      <c r="I1700" s="38"/>
      <c r="J1700"/>
      <c r="L1700" s="38"/>
      <c r="O1700" s="38"/>
      <c r="P1700"/>
      <c r="R1700" s="38"/>
      <c r="S1700"/>
      <c r="U1700" s="38"/>
      <c r="V1700"/>
      <c r="X1700" s="38"/>
      <c r="Y1700"/>
      <c r="AA1700" s="38"/>
      <c r="AB1700"/>
      <c r="AD1700" s="38"/>
      <c r="AE1700"/>
      <c r="AG1700" s="38"/>
      <c r="AP1700" s="49"/>
    </row>
    <row r="1701" spans="1:42" x14ac:dyDescent="0.35">
      <c r="A1701" s="42"/>
      <c r="G1701"/>
      <c r="H1701"/>
      <c r="I1701" s="38"/>
      <c r="J1701"/>
      <c r="L1701" s="38"/>
      <c r="O1701" s="38"/>
      <c r="P1701"/>
      <c r="R1701" s="38"/>
      <c r="S1701"/>
      <c r="U1701" s="38"/>
      <c r="V1701"/>
      <c r="X1701" s="38"/>
      <c r="Y1701"/>
      <c r="AA1701" s="38"/>
      <c r="AB1701"/>
      <c r="AD1701" s="38"/>
      <c r="AE1701"/>
      <c r="AG1701" s="38"/>
      <c r="AP1701" s="49"/>
    </row>
    <row r="1702" spans="1:42" x14ac:dyDescent="0.35">
      <c r="A1702" s="42"/>
      <c r="G1702"/>
      <c r="H1702"/>
      <c r="I1702" s="38"/>
      <c r="J1702"/>
      <c r="L1702" s="38"/>
      <c r="O1702" s="38"/>
      <c r="P1702"/>
      <c r="R1702" s="38"/>
      <c r="S1702"/>
      <c r="U1702" s="38"/>
      <c r="V1702"/>
      <c r="X1702" s="38"/>
      <c r="Y1702"/>
      <c r="AA1702" s="38"/>
      <c r="AB1702"/>
      <c r="AD1702" s="38"/>
      <c r="AE1702"/>
      <c r="AG1702" s="38"/>
      <c r="AP1702" s="49"/>
    </row>
    <row r="1703" spans="1:42" x14ac:dyDescent="0.35">
      <c r="A1703" s="42"/>
      <c r="G1703"/>
      <c r="H1703"/>
      <c r="I1703" s="38"/>
      <c r="J1703"/>
      <c r="L1703" s="38"/>
      <c r="O1703" s="38"/>
      <c r="P1703"/>
      <c r="R1703" s="38"/>
      <c r="S1703"/>
      <c r="U1703" s="38"/>
      <c r="V1703"/>
      <c r="X1703" s="38"/>
      <c r="Y1703"/>
      <c r="AA1703" s="38"/>
      <c r="AB1703"/>
      <c r="AD1703" s="38"/>
      <c r="AE1703"/>
      <c r="AG1703" s="38"/>
      <c r="AP1703" s="49"/>
    </row>
    <row r="1704" spans="1:42" x14ac:dyDescent="0.35">
      <c r="A1704" s="42"/>
      <c r="G1704"/>
      <c r="H1704"/>
      <c r="I1704" s="38"/>
      <c r="J1704"/>
      <c r="L1704" s="38"/>
      <c r="O1704" s="38"/>
      <c r="P1704"/>
      <c r="R1704" s="38"/>
      <c r="S1704"/>
      <c r="U1704" s="38"/>
      <c r="V1704"/>
      <c r="X1704" s="38"/>
      <c r="Y1704"/>
      <c r="AA1704" s="38"/>
      <c r="AB1704"/>
      <c r="AD1704" s="38"/>
      <c r="AE1704"/>
      <c r="AG1704" s="38"/>
      <c r="AP1704" s="49"/>
    </row>
    <row r="1705" spans="1:42" x14ac:dyDescent="0.35">
      <c r="A1705" s="42"/>
      <c r="G1705"/>
      <c r="H1705"/>
      <c r="I1705" s="38"/>
      <c r="J1705"/>
      <c r="L1705" s="38"/>
      <c r="O1705" s="38"/>
      <c r="P1705"/>
      <c r="R1705" s="38"/>
      <c r="S1705"/>
      <c r="U1705" s="38"/>
      <c r="V1705"/>
      <c r="X1705" s="38"/>
      <c r="Y1705"/>
      <c r="AA1705" s="38"/>
      <c r="AB1705"/>
      <c r="AD1705" s="38"/>
      <c r="AE1705"/>
      <c r="AG1705" s="38"/>
      <c r="AP1705" s="49"/>
    </row>
    <row r="1706" spans="1:42" x14ac:dyDescent="0.35">
      <c r="A1706" s="42"/>
      <c r="G1706"/>
      <c r="H1706"/>
      <c r="I1706" s="38"/>
      <c r="J1706"/>
      <c r="L1706" s="38"/>
      <c r="O1706" s="38"/>
      <c r="P1706"/>
      <c r="R1706" s="38"/>
      <c r="S1706"/>
      <c r="U1706" s="38"/>
      <c r="V1706"/>
      <c r="X1706" s="38"/>
      <c r="Y1706"/>
      <c r="AA1706" s="38"/>
      <c r="AB1706"/>
      <c r="AD1706" s="38"/>
      <c r="AE1706"/>
      <c r="AG1706" s="38"/>
      <c r="AP1706" s="49"/>
    </row>
    <row r="1707" spans="1:42" x14ac:dyDescent="0.35">
      <c r="A1707" s="42"/>
      <c r="G1707"/>
      <c r="H1707"/>
      <c r="I1707" s="38"/>
      <c r="J1707"/>
      <c r="L1707" s="38"/>
      <c r="O1707" s="38"/>
      <c r="P1707"/>
      <c r="R1707" s="38"/>
      <c r="S1707"/>
      <c r="U1707" s="38"/>
      <c r="V1707"/>
      <c r="X1707" s="38"/>
      <c r="Y1707"/>
      <c r="AA1707" s="38"/>
      <c r="AB1707"/>
      <c r="AD1707" s="38"/>
      <c r="AE1707"/>
      <c r="AG1707" s="38"/>
      <c r="AP1707" s="49"/>
    </row>
    <row r="1708" spans="1:42" x14ac:dyDescent="0.35">
      <c r="A1708" s="42"/>
      <c r="G1708"/>
      <c r="H1708"/>
      <c r="I1708" s="38"/>
      <c r="J1708"/>
      <c r="L1708" s="38"/>
      <c r="O1708" s="38"/>
      <c r="P1708"/>
      <c r="R1708" s="38"/>
      <c r="S1708"/>
      <c r="U1708" s="38"/>
      <c r="V1708"/>
      <c r="X1708" s="38"/>
      <c r="Y1708"/>
      <c r="AA1708" s="38"/>
      <c r="AB1708"/>
      <c r="AD1708" s="38"/>
      <c r="AE1708"/>
      <c r="AG1708" s="38"/>
      <c r="AP1708" s="49"/>
    </row>
    <row r="1709" spans="1:42" x14ac:dyDescent="0.35">
      <c r="A1709" s="42"/>
      <c r="G1709"/>
      <c r="H1709"/>
      <c r="I1709" s="38"/>
      <c r="J1709"/>
      <c r="L1709" s="38"/>
      <c r="O1709" s="38"/>
      <c r="P1709"/>
      <c r="R1709" s="38"/>
      <c r="S1709"/>
      <c r="U1709" s="38"/>
      <c r="V1709"/>
      <c r="X1709" s="38"/>
      <c r="Y1709"/>
      <c r="AA1709" s="38"/>
      <c r="AB1709"/>
      <c r="AD1709" s="38"/>
      <c r="AE1709"/>
      <c r="AG1709" s="38"/>
      <c r="AP1709" s="49"/>
    </row>
    <row r="1710" spans="1:42" x14ac:dyDescent="0.35">
      <c r="A1710" s="42"/>
      <c r="G1710"/>
      <c r="H1710"/>
      <c r="I1710" s="38"/>
      <c r="J1710"/>
      <c r="L1710" s="38"/>
      <c r="O1710" s="38"/>
      <c r="P1710"/>
      <c r="R1710" s="38"/>
      <c r="S1710"/>
      <c r="U1710" s="38"/>
      <c r="V1710"/>
      <c r="X1710" s="38"/>
      <c r="Y1710"/>
      <c r="AA1710" s="38"/>
      <c r="AB1710"/>
      <c r="AD1710" s="38"/>
      <c r="AE1710"/>
      <c r="AG1710" s="38"/>
      <c r="AP1710" s="49"/>
    </row>
    <row r="1711" spans="1:42" x14ac:dyDescent="0.35">
      <c r="A1711" s="42"/>
      <c r="G1711"/>
      <c r="H1711"/>
      <c r="I1711" s="38"/>
      <c r="J1711"/>
      <c r="L1711" s="38"/>
      <c r="O1711" s="38"/>
      <c r="P1711"/>
      <c r="R1711" s="38"/>
      <c r="S1711"/>
      <c r="U1711" s="38"/>
      <c r="V1711"/>
      <c r="X1711" s="38"/>
      <c r="Y1711"/>
      <c r="AA1711" s="38"/>
      <c r="AB1711"/>
      <c r="AD1711" s="38"/>
      <c r="AE1711"/>
      <c r="AG1711" s="38"/>
      <c r="AP1711" s="49"/>
    </row>
    <row r="1712" spans="1:42" x14ac:dyDescent="0.35">
      <c r="A1712" s="42"/>
      <c r="G1712"/>
      <c r="H1712"/>
      <c r="I1712" s="38"/>
      <c r="J1712"/>
      <c r="L1712" s="38"/>
      <c r="O1712" s="38"/>
      <c r="P1712"/>
      <c r="R1712" s="38"/>
      <c r="S1712"/>
      <c r="U1712" s="38"/>
      <c r="V1712"/>
      <c r="X1712" s="38"/>
      <c r="Y1712"/>
      <c r="AA1712" s="38"/>
      <c r="AB1712"/>
      <c r="AD1712" s="38"/>
      <c r="AE1712"/>
      <c r="AG1712" s="38"/>
      <c r="AP1712" s="49"/>
    </row>
    <row r="1713" spans="1:42" x14ac:dyDescent="0.35">
      <c r="A1713" s="42"/>
      <c r="G1713"/>
      <c r="H1713"/>
      <c r="I1713" s="38"/>
      <c r="J1713"/>
      <c r="L1713" s="38"/>
      <c r="O1713" s="38"/>
      <c r="P1713"/>
      <c r="R1713" s="38"/>
      <c r="S1713"/>
      <c r="U1713" s="38"/>
      <c r="V1713"/>
      <c r="X1713" s="38"/>
      <c r="Y1713"/>
      <c r="AA1713" s="38"/>
      <c r="AB1713"/>
      <c r="AD1713" s="38"/>
      <c r="AE1713"/>
      <c r="AG1713" s="38"/>
      <c r="AP1713" s="49"/>
    </row>
    <row r="1714" spans="1:42" x14ac:dyDescent="0.35">
      <c r="A1714" s="42"/>
      <c r="G1714"/>
      <c r="H1714"/>
      <c r="I1714" s="38"/>
      <c r="J1714"/>
      <c r="L1714" s="38"/>
      <c r="O1714" s="38"/>
      <c r="P1714"/>
      <c r="R1714" s="38"/>
      <c r="S1714"/>
      <c r="U1714" s="38"/>
      <c r="V1714"/>
      <c r="X1714" s="38"/>
      <c r="Y1714"/>
      <c r="AA1714" s="38"/>
      <c r="AB1714"/>
      <c r="AD1714" s="38"/>
      <c r="AE1714"/>
      <c r="AG1714" s="38"/>
      <c r="AP1714" s="49"/>
    </row>
    <row r="1715" spans="1:42" x14ac:dyDescent="0.35">
      <c r="A1715" s="42"/>
      <c r="G1715"/>
      <c r="H1715"/>
      <c r="I1715" s="38"/>
      <c r="J1715"/>
      <c r="L1715" s="38"/>
      <c r="O1715" s="38"/>
      <c r="P1715"/>
      <c r="R1715" s="38"/>
      <c r="S1715"/>
      <c r="U1715" s="38"/>
      <c r="V1715"/>
      <c r="X1715" s="38"/>
      <c r="Y1715"/>
      <c r="AA1715" s="38"/>
      <c r="AB1715"/>
      <c r="AD1715" s="38"/>
      <c r="AE1715"/>
      <c r="AG1715" s="38"/>
      <c r="AP1715" s="49"/>
    </row>
    <row r="1716" spans="1:42" x14ac:dyDescent="0.35">
      <c r="A1716" s="42"/>
      <c r="G1716"/>
      <c r="H1716"/>
      <c r="I1716" s="38"/>
      <c r="J1716"/>
      <c r="L1716" s="38"/>
      <c r="O1716" s="38"/>
      <c r="P1716"/>
      <c r="R1716" s="38"/>
      <c r="S1716"/>
      <c r="U1716" s="38"/>
      <c r="V1716"/>
      <c r="X1716" s="38"/>
      <c r="Y1716"/>
      <c r="AA1716" s="38"/>
      <c r="AB1716"/>
      <c r="AD1716" s="38"/>
      <c r="AE1716"/>
      <c r="AG1716" s="38"/>
      <c r="AP1716" s="49"/>
    </row>
    <row r="1717" spans="1:42" x14ac:dyDescent="0.35">
      <c r="A1717" s="42"/>
      <c r="G1717"/>
      <c r="H1717"/>
      <c r="I1717" s="38"/>
      <c r="J1717"/>
      <c r="L1717" s="38"/>
      <c r="O1717" s="38"/>
      <c r="P1717"/>
      <c r="R1717" s="38"/>
      <c r="S1717"/>
      <c r="U1717" s="38"/>
      <c r="V1717"/>
      <c r="X1717" s="38"/>
      <c r="Y1717"/>
      <c r="AA1717" s="38"/>
      <c r="AB1717"/>
      <c r="AD1717" s="38"/>
      <c r="AE1717"/>
      <c r="AG1717" s="38"/>
      <c r="AP1717" s="49"/>
    </row>
    <row r="1718" spans="1:42" x14ac:dyDescent="0.35">
      <c r="A1718" s="42"/>
      <c r="G1718"/>
      <c r="H1718"/>
      <c r="I1718" s="38"/>
      <c r="J1718"/>
      <c r="L1718" s="38"/>
      <c r="O1718" s="38"/>
      <c r="P1718"/>
      <c r="R1718" s="38"/>
      <c r="S1718"/>
      <c r="U1718" s="38"/>
      <c r="V1718"/>
      <c r="X1718" s="38"/>
      <c r="Y1718"/>
      <c r="AA1718" s="38"/>
      <c r="AB1718"/>
      <c r="AD1718" s="38"/>
      <c r="AE1718"/>
      <c r="AG1718" s="38"/>
      <c r="AP1718" s="49"/>
    </row>
    <row r="1719" spans="1:42" x14ac:dyDescent="0.35">
      <c r="A1719" s="42"/>
      <c r="G1719"/>
      <c r="H1719"/>
      <c r="I1719" s="38"/>
      <c r="J1719"/>
      <c r="L1719" s="38"/>
      <c r="O1719" s="38"/>
      <c r="P1719"/>
      <c r="R1719" s="38"/>
      <c r="S1719"/>
      <c r="U1719" s="38"/>
      <c r="V1719"/>
      <c r="X1719" s="38"/>
      <c r="Y1719"/>
      <c r="AA1719" s="38"/>
      <c r="AB1719"/>
      <c r="AD1719" s="38"/>
      <c r="AE1719"/>
      <c r="AG1719" s="38"/>
      <c r="AP1719" s="49"/>
    </row>
    <row r="1720" spans="1:42" x14ac:dyDescent="0.35">
      <c r="A1720" s="42"/>
      <c r="G1720"/>
      <c r="H1720"/>
      <c r="I1720" s="38"/>
      <c r="J1720"/>
      <c r="L1720" s="38"/>
      <c r="O1720" s="38"/>
      <c r="P1720"/>
      <c r="R1720" s="38"/>
      <c r="S1720"/>
      <c r="U1720" s="38"/>
      <c r="V1720"/>
      <c r="X1720" s="38"/>
      <c r="Y1720"/>
      <c r="AA1720" s="38"/>
      <c r="AB1720"/>
      <c r="AD1720" s="38"/>
      <c r="AE1720"/>
      <c r="AG1720" s="38"/>
      <c r="AP1720" s="49"/>
    </row>
  </sheetData>
  <sheetProtection sheet="1" objects="1" scenarios="1"/>
  <sortState xmlns:xlrd2="http://schemas.microsoft.com/office/spreadsheetml/2017/richdata2" ref="A2:DX12">
    <sortCondition ref="H1"/>
  </sortState>
  <dataConsolidate link="1"/>
  <customSheetViews>
    <customSheetView guid="{A9C4060D-48A6-4A71-A108-B3947866F802}">
      <pane xSplit="8" ySplit="1" topLeftCell="I2" activePane="bottomRight" state="frozenSplit"/>
      <selection pane="bottomRight" activeCell="B36" sqref="B36"/>
      <pageMargins left="0.78740157499999996" right="0.78740157499999996" top="0.984251969" bottom="0.984251969" header="0.5" footer="0.5"/>
      <pageSetup paperSize="9" scale="80" orientation="portrait" horizontalDpi="4294967292" verticalDpi="4294967292" r:id="rId1"/>
      <headerFooter alignWithMargins="0"/>
    </customSheetView>
  </customSheetViews>
  <phoneticPr fontId="1" type="noConversion"/>
  <pageMargins left="0.78740157499999996" right="0.78740157499999996" top="0.984251969" bottom="0.984251969" header="0.5" footer="0.5"/>
  <pageSetup paperSize="9" scale="80" orientation="portrait" horizontalDpi="4294967292" verticalDpi="4294967292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SortInput">
                <anchor moveWithCells="1" sizeWithCells="1">
                  <from>
                    <xdr:col>4</xdr:col>
                    <xdr:colOff>95250</xdr:colOff>
                    <xdr:row>0</xdr:row>
                    <xdr:rowOff>88900</xdr:rowOff>
                  </from>
                  <to>
                    <xdr:col>6</xdr:col>
                    <xdr:colOff>463550</xdr:colOff>
                    <xdr:row>0</xdr:row>
                    <xdr:rowOff>908050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6" name="Option Button 22">
              <controlPr defaultSize="0" autoFill="0" autoLine="0" autoPict="0" macro="[0]!Optionsfeld22_Klicken">
                <anchor moveWithCells="1">
                  <from>
                    <xdr:col>2</xdr:col>
                    <xdr:colOff>361950</xdr:colOff>
                    <xdr:row>0</xdr:row>
                    <xdr:rowOff>387350</xdr:rowOff>
                  </from>
                  <to>
                    <xdr:col>4</xdr:col>
                    <xdr:colOff>57150</xdr:colOff>
                    <xdr:row>0</xdr:row>
                    <xdr:rowOff>901700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Option Button 21">
              <controlPr defaultSize="0" autoFill="0" autoLine="0" autoPict="0" macro="[0]!Optionsfeld21_Klicken">
                <anchor moveWithCells="1">
                  <from>
                    <xdr:col>2</xdr:col>
                    <xdr:colOff>368300</xdr:colOff>
                    <xdr:row>0</xdr:row>
                    <xdr:rowOff>279400</xdr:rowOff>
                  </from>
                  <to>
                    <xdr:col>3</xdr:col>
                    <xdr:colOff>488950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>
    <tabColor rgb="FF00B050"/>
  </sheetPr>
  <dimension ref="A1:GY190"/>
  <sheetViews>
    <sheetView showWhiteSpace="0" zoomScale="70" zoomScaleNormal="70" zoomScalePageLayoutView="80" workbookViewId="0">
      <selection activeCell="Z1" sqref="Z1"/>
    </sheetView>
  </sheetViews>
  <sheetFormatPr baseColWidth="10" defaultColWidth="9.58203125" defaultRowHeight="21.4" customHeight="1" x14ac:dyDescent="0.35"/>
  <cols>
    <col min="1" max="12" width="9.58203125" style="121" customWidth="1"/>
    <col min="13" max="13" width="9.58203125" style="121"/>
    <col min="14" max="14" width="9.58203125" style="121" customWidth="1"/>
    <col min="15" max="25" width="9.58203125" style="121"/>
    <col min="26" max="26" width="9.58203125" style="127"/>
    <col min="27" max="16384" width="9.58203125" style="121"/>
  </cols>
  <sheetData>
    <row r="1" spans="1:207" ht="48" customHeight="1" x14ac:dyDescent="0.6">
      <c r="A1" s="119" t="s">
        <v>265</v>
      </c>
      <c r="B1" s="120"/>
      <c r="C1" s="120"/>
      <c r="D1" s="120"/>
      <c r="E1" s="119"/>
      <c r="G1" s="120" t="s">
        <v>36</v>
      </c>
      <c r="H1" s="120">
        <v>1</v>
      </c>
      <c r="I1" s="120" t="s">
        <v>66</v>
      </c>
      <c r="J1" s="120">
        <v>1</v>
      </c>
      <c r="K1" s="120" t="s">
        <v>67</v>
      </c>
      <c r="L1" s="120">
        <v>5</v>
      </c>
      <c r="M1" s="120"/>
      <c r="N1" s="120">
        <v>7</v>
      </c>
      <c r="O1" s="119"/>
      <c r="Q1" s="119"/>
      <c r="S1" s="119"/>
      <c r="U1" s="119"/>
      <c r="W1" s="119"/>
      <c r="Z1" s="122" t="s">
        <v>109</v>
      </c>
      <c r="AA1" s="123">
        <v>1</v>
      </c>
      <c r="AB1" s="123"/>
      <c r="AC1" s="123"/>
      <c r="AD1" s="124"/>
      <c r="AE1" s="125"/>
      <c r="AF1" s="124"/>
      <c r="AG1" s="124"/>
      <c r="AH1" s="124"/>
      <c r="AI1" s="125"/>
      <c r="AJ1" s="124"/>
      <c r="AK1" s="125"/>
      <c r="AL1" s="124"/>
      <c r="AM1" s="125"/>
      <c r="AN1" s="124"/>
      <c r="AO1" s="124"/>
      <c r="AP1" s="124"/>
      <c r="AQ1" s="125"/>
      <c r="AR1" s="124"/>
      <c r="AS1" s="125"/>
      <c r="AT1" s="124"/>
      <c r="AU1" s="125"/>
      <c r="AV1" s="124"/>
      <c r="AW1" s="124"/>
      <c r="AX1" s="124"/>
      <c r="AY1" s="125"/>
      <c r="AZ1" s="124"/>
      <c r="BA1" s="125"/>
      <c r="BB1" s="124"/>
      <c r="BC1" s="125"/>
      <c r="BD1" s="124"/>
      <c r="BE1" s="124"/>
      <c r="BF1" s="124"/>
      <c r="BG1" s="125"/>
      <c r="BH1" s="124"/>
      <c r="BI1" s="125"/>
      <c r="BJ1" s="124"/>
      <c r="BK1" s="125"/>
      <c r="BL1" s="124"/>
      <c r="BM1" s="124"/>
      <c r="BN1" s="124"/>
      <c r="BO1" s="125"/>
      <c r="BP1" s="124"/>
      <c r="BQ1" s="125"/>
      <c r="BR1" s="124"/>
      <c r="BS1" s="125"/>
      <c r="BT1" s="124"/>
      <c r="BU1" s="124"/>
      <c r="BV1" s="124"/>
      <c r="BW1" s="125"/>
      <c r="BX1" s="124"/>
      <c r="BY1" s="125"/>
      <c r="BZ1" s="124"/>
      <c r="CA1" s="125"/>
      <c r="CB1" s="124"/>
      <c r="CC1" s="124"/>
      <c r="CD1" s="124"/>
      <c r="CE1" s="125"/>
      <c r="CF1" s="124"/>
      <c r="CG1" s="125"/>
      <c r="CI1" s="119"/>
      <c r="CM1" s="119"/>
      <c r="CO1" s="119"/>
      <c r="CQ1" s="119"/>
      <c r="CU1" s="119"/>
      <c r="CW1" s="119"/>
      <c r="CY1" s="119"/>
      <c r="DC1" s="119"/>
      <c r="DE1" s="119"/>
      <c r="DG1" s="119"/>
      <c r="DK1" s="119"/>
      <c r="DM1" s="119"/>
      <c r="DO1" s="119"/>
      <c r="DS1" s="119"/>
      <c r="DU1" s="119"/>
      <c r="DW1" s="119"/>
      <c r="EA1" s="119"/>
      <c r="EC1" s="119"/>
      <c r="EE1" s="119"/>
      <c r="EI1" s="119"/>
      <c r="EK1" s="119"/>
      <c r="EM1" s="119"/>
      <c r="EQ1" s="119"/>
      <c r="ES1" s="119"/>
      <c r="EU1" s="119"/>
      <c r="EY1" s="119"/>
      <c r="FA1" s="119"/>
      <c r="FC1" s="119"/>
      <c r="FG1" s="119"/>
      <c r="FI1" s="119"/>
      <c r="FK1" s="119"/>
      <c r="FO1" s="119"/>
      <c r="FQ1" s="119"/>
      <c r="FS1" s="119"/>
      <c r="FW1" s="119"/>
      <c r="FY1" s="119"/>
      <c r="GA1" s="119"/>
      <c r="GE1" s="119"/>
      <c r="GG1" s="119"/>
      <c r="GI1" s="119"/>
      <c r="GM1" s="119"/>
      <c r="GO1" s="119"/>
      <c r="GQ1" s="119"/>
      <c r="GU1" s="119"/>
      <c r="GW1" s="119"/>
      <c r="GY1" s="119"/>
    </row>
    <row r="2" spans="1:207" ht="24" customHeight="1" x14ac:dyDescent="0.45">
      <c r="A2" s="134" t="s">
        <v>226</v>
      </c>
      <c r="B2" s="131"/>
      <c r="C2" s="126"/>
      <c r="D2" s="120"/>
      <c r="E2" s="126"/>
      <c r="F2" s="120"/>
      <c r="G2" s="126"/>
      <c r="H2" s="120"/>
      <c r="I2" s="126"/>
      <c r="J2" s="120"/>
      <c r="K2" s="126"/>
      <c r="L2" s="120"/>
      <c r="M2" s="126"/>
      <c r="N2" s="120"/>
      <c r="O2" s="126"/>
      <c r="P2" s="120"/>
    </row>
    <row r="3" spans="1:207" ht="24" customHeight="1" x14ac:dyDescent="0.35">
      <c r="A3" s="130"/>
      <c r="B3" s="132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</row>
    <row r="4" spans="1:207" ht="24" customHeight="1" x14ac:dyDescent="0.35">
      <c r="A4" s="130"/>
      <c r="B4" s="132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</row>
    <row r="5" spans="1:207" ht="24" customHeight="1" x14ac:dyDescent="0.35">
      <c r="A5" s="130"/>
      <c r="B5" s="132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</row>
    <row r="6" spans="1:207" ht="24" customHeight="1" x14ac:dyDescent="0.35">
      <c r="A6" s="130" t="s">
        <v>204</v>
      </c>
      <c r="B6" s="132"/>
      <c r="C6" s="120"/>
      <c r="D6" s="120"/>
      <c r="E6" s="120"/>
      <c r="G6" s="120"/>
      <c r="H6" s="120"/>
      <c r="I6" s="120"/>
      <c r="J6" s="120"/>
      <c r="K6" s="120"/>
      <c r="L6" s="120"/>
      <c r="M6" s="120"/>
      <c r="N6" s="120"/>
      <c r="O6" s="120"/>
      <c r="P6" s="120"/>
    </row>
    <row r="7" spans="1:207" ht="24" customHeight="1" x14ac:dyDescent="0.35">
      <c r="A7" s="130" t="s">
        <v>204</v>
      </c>
      <c r="B7" s="132"/>
      <c r="C7" s="120"/>
      <c r="D7" s="120"/>
      <c r="E7" s="120"/>
      <c r="G7" s="120"/>
      <c r="H7" s="120"/>
      <c r="I7" s="120"/>
      <c r="J7" s="120"/>
      <c r="K7" s="120"/>
      <c r="L7" s="120"/>
      <c r="M7" s="120"/>
      <c r="N7" s="120"/>
      <c r="O7" s="120"/>
      <c r="P7" s="120"/>
    </row>
    <row r="8" spans="1:207" ht="24" customHeight="1" x14ac:dyDescent="0.35">
      <c r="A8" s="130" t="s">
        <v>204</v>
      </c>
      <c r="B8" s="132"/>
      <c r="C8" s="120"/>
      <c r="D8" s="120"/>
      <c r="E8" s="120"/>
      <c r="G8" s="120"/>
      <c r="H8" s="120"/>
      <c r="I8" s="120"/>
      <c r="J8" s="120"/>
      <c r="K8" s="120"/>
      <c r="L8" s="120"/>
      <c r="M8" s="120"/>
      <c r="N8" s="120"/>
      <c r="O8" s="120"/>
      <c r="P8" s="120"/>
    </row>
    <row r="9" spans="1:207" ht="24" customHeight="1" x14ac:dyDescent="0.35">
      <c r="A9" s="130" t="s">
        <v>204</v>
      </c>
      <c r="B9" s="132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</row>
    <row r="10" spans="1:207" ht="24" customHeight="1" x14ac:dyDescent="0.45">
      <c r="A10" s="130" t="s">
        <v>257</v>
      </c>
      <c r="B10" s="132"/>
      <c r="C10" s="120"/>
      <c r="D10" s="120"/>
      <c r="F10" s="120"/>
      <c r="H10" s="120"/>
      <c r="I10" s="126"/>
      <c r="J10" s="120"/>
      <c r="K10" s="126"/>
      <c r="L10" s="120"/>
      <c r="M10" s="126"/>
      <c r="N10" s="120"/>
      <c r="O10" s="126"/>
      <c r="P10" s="120"/>
    </row>
    <row r="11" spans="1:207" ht="24" customHeight="1" x14ac:dyDescent="0.45">
      <c r="A11" s="133" t="s">
        <v>199</v>
      </c>
      <c r="B11" s="132"/>
      <c r="C11" s="126"/>
      <c r="D11" s="120"/>
      <c r="E11" s="126"/>
      <c r="F11" s="120"/>
      <c r="G11" s="126"/>
      <c r="H11" s="120"/>
      <c r="I11" s="120"/>
      <c r="J11" s="120"/>
      <c r="K11" s="120"/>
      <c r="L11" s="120"/>
      <c r="M11" s="120"/>
      <c r="N11" s="120"/>
      <c r="O11" s="120"/>
      <c r="P11" s="120"/>
    </row>
    <row r="12" spans="1:207" ht="24" customHeight="1" x14ac:dyDescent="0.35">
      <c r="A12" s="130"/>
      <c r="B12" s="132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</row>
    <row r="13" spans="1:207" ht="24" customHeight="1" x14ac:dyDescent="0.35">
      <c r="A13" s="130"/>
      <c r="B13" s="132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</row>
    <row r="14" spans="1:207" ht="24" customHeight="1" x14ac:dyDescent="0.35">
      <c r="A14" s="130"/>
      <c r="B14" s="132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20"/>
    </row>
    <row r="15" spans="1:207" ht="24" customHeight="1" x14ac:dyDescent="0.35">
      <c r="A15" s="130" t="s">
        <v>256</v>
      </c>
      <c r="B15" s="132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</row>
    <row r="16" spans="1:207" ht="24" customHeight="1" x14ac:dyDescent="0.35">
      <c r="A16" s="130" t="s">
        <v>255</v>
      </c>
      <c r="B16" s="132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</row>
    <row r="17" spans="1:16" ht="24" customHeight="1" x14ac:dyDescent="0.35">
      <c r="A17" s="130" t="s">
        <v>254</v>
      </c>
      <c r="B17" s="132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</row>
    <row r="18" spans="1:16" ht="24" customHeight="1" x14ac:dyDescent="0.45">
      <c r="A18" s="130" t="s">
        <v>253</v>
      </c>
      <c r="B18" s="132"/>
      <c r="C18" s="120"/>
      <c r="D18" s="120"/>
      <c r="E18" s="120"/>
      <c r="F18" s="120"/>
      <c r="G18" s="120"/>
      <c r="H18" s="120"/>
      <c r="I18" s="126"/>
      <c r="J18" s="120"/>
      <c r="K18" s="126"/>
      <c r="L18" s="120"/>
      <c r="M18" s="126"/>
      <c r="N18" s="120"/>
    </row>
    <row r="19" spans="1:16" ht="24" customHeight="1" x14ac:dyDescent="0.35">
      <c r="A19" s="130" t="s">
        <v>252</v>
      </c>
      <c r="B19" s="132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</row>
    <row r="20" spans="1:16" ht="24" customHeight="1" x14ac:dyDescent="0.45">
      <c r="A20" s="128"/>
      <c r="B20" s="129"/>
      <c r="C20" s="126"/>
      <c r="D20" s="120"/>
      <c r="E20" s="126"/>
      <c r="F20" s="120"/>
      <c r="G20" s="126"/>
      <c r="H20" s="120"/>
      <c r="I20" s="120"/>
      <c r="J20" s="120"/>
      <c r="K20" s="120"/>
      <c r="L20" s="120"/>
      <c r="M20" s="120"/>
      <c r="N20" s="120"/>
    </row>
    <row r="21" spans="1:16" ht="24" customHeight="1" x14ac:dyDescent="0.35">
      <c r="A21" s="120"/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</row>
    <row r="22" spans="1:16" ht="24" customHeight="1" x14ac:dyDescent="0.35">
      <c r="A22" s="120"/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</row>
    <row r="23" spans="1:16" ht="24" customHeight="1" x14ac:dyDescent="0.35">
      <c r="A23" s="120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</row>
    <row r="24" spans="1:16" ht="24" customHeight="1" x14ac:dyDescent="0.35">
      <c r="A24" s="120"/>
      <c r="B24" s="120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</row>
    <row r="25" spans="1:16" ht="24" customHeight="1" x14ac:dyDescent="0.35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</row>
    <row r="26" spans="1:16" ht="24" customHeight="1" x14ac:dyDescent="0.35">
      <c r="A26" s="120"/>
      <c r="B26" s="120"/>
      <c r="C26" s="120"/>
      <c r="D26" s="120"/>
      <c r="E26" s="120"/>
      <c r="F26" s="120"/>
      <c r="G26" s="120"/>
      <c r="H26" s="120"/>
    </row>
    <row r="27" spans="1:16" ht="24" customHeight="1" x14ac:dyDescent="0.35">
      <c r="A27" s="120"/>
      <c r="B27" s="120"/>
      <c r="C27" s="120"/>
      <c r="D27" s="120"/>
      <c r="E27" s="120"/>
      <c r="F27" s="120"/>
      <c r="G27" s="120"/>
      <c r="H27" s="120"/>
    </row>
    <row r="28" spans="1:16" ht="24" customHeight="1" x14ac:dyDescent="0.35">
      <c r="A28" s="120"/>
      <c r="B28" s="120"/>
      <c r="C28" s="120"/>
      <c r="D28" s="120"/>
      <c r="E28" s="120"/>
      <c r="F28" s="120"/>
      <c r="G28" s="120"/>
      <c r="H28" s="120"/>
    </row>
    <row r="29" spans="1:16" ht="24" customHeight="1" x14ac:dyDescent="0.45">
      <c r="A29" s="126"/>
      <c r="B29" s="120"/>
      <c r="C29" s="126"/>
      <c r="D29" s="120"/>
      <c r="E29" s="126"/>
      <c r="F29" s="120"/>
      <c r="G29" s="120"/>
      <c r="H29" s="120"/>
    </row>
    <row r="30" spans="1:16" ht="24" customHeight="1" x14ac:dyDescent="0.35">
      <c r="A30" s="120"/>
      <c r="B30" s="120"/>
      <c r="C30" s="120"/>
      <c r="D30" s="120"/>
      <c r="E30" s="120"/>
      <c r="F30" s="120"/>
      <c r="G30" s="120"/>
      <c r="H30" s="120"/>
    </row>
    <row r="31" spans="1:16" ht="24" customHeight="1" x14ac:dyDescent="0.35">
      <c r="A31" s="120"/>
      <c r="B31" s="120"/>
      <c r="C31" s="120"/>
      <c r="D31" s="120"/>
      <c r="E31" s="120"/>
      <c r="F31" s="120"/>
      <c r="G31" s="120"/>
      <c r="H31" s="120"/>
    </row>
    <row r="32" spans="1:16" ht="24" customHeight="1" x14ac:dyDescent="0.35">
      <c r="A32" s="120"/>
      <c r="B32" s="120"/>
      <c r="C32" s="120"/>
      <c r="D32" s="120"/>
      <c r="E32" s="120"/>
      <c r="F32" s="120"/>
    </row>
    <row r="33" spans="1:6" ht="24" customHeight="1" x14ac:dyDescent="0.35">
      <c r="A33" s="120"/>
      <c r="B33" s="120"/>
      <c r="C33" s="120"/>
      <c r="D33" s="120"/>
      <c r="E33" s="120"/>
      <c r="F33" s="120"/>
    </row>
    <row r="34" spans="1:6" ht="24" customHeight="1" x14ac:dyDescent="0.35">
      <c r="A34" s="120"/>
      <c r="B34" s="120"/>
      <c r="C34" s="120"/>
      <c r="D34" s="120"/>
      <c r="E34" s="120"/>
      <c r="F34" s="120"/>
    </row>
    <row r="35" spans="1:6" ht="24" customHeight="1" x14ac:dyDescent="0.35">
      <c r="A35" s="120"/>
      <c r="B35" s="120"/>
      <c r="C35" s="120"/>
      <c r="D35" s="120"/>
      <c r="E35" s="120"/>
      <c r="F35" s="120"/>
    </row>
    <row r="36" spans="1:6" ht="24" customHeight="1" x14ac:dyDescent="0.35">
      <c r="A36" s="120"/>
      <c r="B36" s="120"/>
      <c r="C36" s="120"/>
      <c r="D36" s="120"/>
      <c r="E36" s="120"/>
      <c r="F36" s="120"/>
    </row>
    <row r="37" spans="1:6" ht="24" customHeight="1" x14ac:dyDescent="0.35">
      <c r="A37" s="120"/>
      <c r="B37" s="120"/>
      <c r="C37" s="120"/>
      <c r="D37" s="120"/>
      <c r="E37" s="120"/>
      <c r="F37" s="120"/>
    </row>
    <row r="38" spans="1:6" ht="24" customHeight="1" x14ac:dyDescent="0.35">
      <c r="A38" s="120"/>
      <c r="B38" s="120"/>
      <c r="C38" s="120"/>
      <c r="D38" s="120"/>
      <c r="E38" s="120"/>
      <c r="F38" s="120"/>
    </row>
    <row r="39" spans="1:6" ht="24" customHeight="1" x14ac:dyDescent="0.35">
      <c r="A39" s="120"/>
      <c r="B39" s="120"/>
      <c r="C39" s="120"/>
      <c r="D39" s="120"/>
      <c r="E39" s="120"/>
      <c r="F39" s="120"/>
    </row>
    <row r="40" spans="1:6" ht="24" customHeight="1" x14ac:dyDescent="0.35">
      <c r="A40" s="120"/>
      <c r="B40" s="120"/>
      <c r="C40" s="120"/>
      <c r="D40" s="120"/>
      <c r="E40" s="120"/>
      <c r="F40" s="120"/>
    </row>
    <row r="41" spans="1:6" ht="24" customHeight="1" x14ac:dyDescent="0.35">
      <c r="A41" s="120"/>
      <c r="B41" s="120"/>
      <c r="C41" s="120"/>
      <c r="D41" s="120"/>
      <c r="E41" s="120"/>
      <c r="F41" s="120"/>
    </row>
    <row r="42" spans="1:6" ht="24" customHeight="1" x14ac:dyDescent="0.35">
      <c r="A42" s="120"/>
      <c r="B42" s="120"/>
      <c r="C42" s="120"/>
      <c r="D42" s="120"/>
    </row>
    <row r="43" spans="1:6" ht="24" customHeight="1" x14ac:dyDescent="0.35">
      <c r="A43" s="120"/>
      <c r="B43" s="120"/>
      <c r="C43" s="120"/>
      <c r="D43" s="120"/>
    </row>
    <row r="44" spans="1:6" ht="24" customHeight="1" x14ac:dyDescent="0.35">
      <c r="A44" s="120"/>
      <c r="B44" s="120"/>
      <c r="C44" s="120"/>
      <c r="D44" s="120"/>
    </row>
    <row r="45" spans="1:6" ht="24" customHeight="1" x14ac:dyDescent="0.35">
      <c r="A45" s="120"/>
      <c r="B45" s="120"/>
      <c r="C45" s="120"/>
      <c r="D45" s="120"/>
    </row>
    <row r="46" spans="1:6" ht="24" customHeight="1" x14ac:dyDescent="0.35">
      <c r="A46" s="120"/>
      <c r="B46" s="120"/>
      <c r="C46" s="120"/>
      <c r="D46" s="120"/>
    </row>
    <row r="47" spans="1:6" ht="24" customHeight="1" x14ac:dyDescent="0.45">
      <c r="A47" s="126"/>
      <c r="B47" s="120"/>
      <c r="C47" s="126"/>
      <c r="D47" s="120"/>
    </row>
    <row r="48" spans="1:6" ht="24" customHeight="1" x14ac:dyDescent="0.35">
      <c r="A48" s="120"/>
      <c r="B48" s="120"/>
      <c r="C48" s="120"/>
      <c r="D48" s="120"/>
    </row>
    <row r="49" spans="1:4" ht="24" customHeight="1" x14ac:dyDescent="0.35">
      <c r="A49" s="120"/>
      <c r="B49" s="120"/>
      <c r="C49" s="120"/>
      <c r="D49" s="120"/>
    </row>
    <row r="50" spans="1:4" ht="24" customHeight="1" x14ac:dyDescent="0.35">
      <c r="A50" s="120"/>
      <c r="B50" s="120"/>
      <c r="C50" s="120"/>
      <c r="D50" s="120"/>
    </row>
    <row r="51" spans="1:4" ht="24" customHeight="1" x14ac:dyDescent="0.35">
      <c r="A51" s="120"/>
      <c r="B51" s="120"/>
      <c r="C51" s="120"/>
      <c r="D51" s="120"/>
    </row>
    <row r="52" spans="1:4" ht="24" customHeight="1" x14ac:dyDescent="0.35">
      <c r="A52" s="120"/>
      <c r="B52" s="120"/>
      <c r="C52" s="120"/>
      <c r="D52" s="120"/>
    </row>
    <row r="53" spans="1:4" ht="24" customHeight="1" x14ac:dyDescent="0.35">
      <c r="A53" s="120"/>
      <c r="B53" s="120"/>
      <c r="C53" s="120"/>
      <c r="D53" s="120"/>
    </row>
    <row r="54" spans="1:4" ht="24" customHeight="1" x14ac:dyDescent="0.35">
      <c r="A54" s="120"/>
      <c r="B54" s="120"/>
      <c r="C54" s="120"/>
      <c r="D54" s="120"/>
    </row>
    <row r="55" spans="1:4" ht="24" customHeight="1" x14ac:dyDescent="0.35">
      <c r="A55" s="120"/>
      <c r="B55" s="120"/>
      <c r="C55" s="120"/>
      <c r="D55" s="120"/>
    </row>
    <row r="56" spans="1:4" ht="24" customHeight="1" x14ac:dyDescent="0.45">
      <c r="A56" s="126"/>
      <c r="B56" s="120"/>
      <c r="C56" s="126"/>
      <c r="D56" s="120"/>
    </row>
    <row r="57" spans="1:4" ht="24" customHeight="1" x14ac:dyDescent="0.35">
      <c r="A57" s="120"/>
      <c r="B57" s="120"/>
      <c r="C57" s="120"/>
      <c r="D57" s="120"/>
    </row>
    <row r="58" spans="1:4" ht="24" customHeight="1" x14ac:dyDescent="0.35">
      <c r="A58" s="120"/>
      <c r="B58" s="120"/>
      <c r="C58" s="120"/>
      <c r="D58" s="120"/>
    </row>
    <row r="59" spans="1:4" ht="24" customHeight="1" x14ac:dyDescent="0.35">
      <c r="A59" s="120"/>
      <c r="B59" s="120"/>
      <c r="C59" s="120"/>
      <c r="D59" s="120"/>
    </row>
    <row r="60" spans="1:4" ht="24" customHeight="1" x14ac:dyDescent="0.35">
      <c r="A60" s="120"/>
      <c r="B60" s="120"/>
      <c r="C60" s="120"/>
      <c r="D60" s="120"/>
    </row>
    <row r="61" spans="1:4" ht="24" customHeight="1" x14ac:dyDescent="0.35">
      <c r="A61" s="120"/>
      <c r="B61" s="120"/>
      <c r="C61" s="120"/>
      <c r="D61" s="120"/>
    </row>
    <row r="62" spans="1:4" ht="24" customHeight="1" x14ac:dyDescent="0.35">
      <c r="A62" s="120"/>
      <c r="B62" s="120"/>
      <c r="C62" s="120"/>
      <c r="D62" s="120"/>
    </row>
    <row r="63" spans="1:4" ht="24" customHeight="1" x14ac:dyDescent="0.35">
      <c r="A63" s="120"/>
      <c r="B63" s="120"/>
      <c r="C63" s="120"/>
      <c r="D63" s="120"/>
    </row>
    <row r="64" spans="1:4" ht="24" customHeight="1" x14ac:dyDescent="0.35">
      <c r="A64" s="120"/>
      <c r="B64" s="120"/>
      <c r="C64" s="120"/>
      <c r="D64" s="120"/>
    </row>
    <row r="65" spans="1:2" ht="24" customHeight="1" x14ac:dyDescent="0.35">
      <c r="A65" s="120"/>
      <c r="B65" s="120"/>
    </row>
    <row r="66" spans="1:2" ht="24" customHeight="1" x14ac:dyDescent="0.35">
      <c r="A66" s="120"/>
      <c r="B66" s="120"/>
    </row>
    <row r="67" spans="1:2" ht="24" customHeight="1" x14ac:dyDescent="0.35">
      <c r="A67" s="120"/>
      <c r="B67" s="120"/>
    </row>
    <row r="68" spans="1:2" ht="24" customHeight="1" x14ac:dyDescent="0.35">
      <c r="A68" s="120"/>
      <c r="B68" s="120"/>
    </row>
    <row r="69" spans="1:2" ht="24" customHeight="1" x14ac:dyDescent="0.35">
      <c r="A69" s="120"/>
      <c r="B69" s="120"/>
    </row>
    <row r="70" spans="1:2" ht="24" customHeight="1" x14ac:dyDescent="0.35">
      <c r="A70" s="120"/>
      <c r="B70" s="120"/>
    </row>
    <row r="71" spans="1:2" ht="24" customHeight="1" x14ac:dyDescent="0.35">
      <c r="A71" s="120"/>
      <c r="B71" s="120"/>
    </row>
    <row r="72" spans="1:2" ht="24" customHeight="1" x14ac:dyDescent="0.45">
      <c r="A72" s="126"/>
      <c r="B72" s="120"/>
    </row>
    <row r="73" spans="1:2" ht="24" customHeight="1" x14ac:dyDescent="0.35">
      <c r="A73" s="120"/>
      <c r="B73" s="120"/>
    </row>
    <row r="74" spans="1:2" ht="24" customHeight="1" x14ac:dyDescent="0.35">
      <c r="A74" s="120"/>
      <c r="B74" s="120"/>
    </row>
    <row r="75" spans="1:2" ht="24" customHeight="1" x14ac:dyDescent="0.35">
      <c r="A75" s="120"/>
      <c r="B75" s="120"/>
    </row>
    <row r="76" spans="1:2" ht="24" customHeight="1" x14ac:dyDescent="0.35">
      <c r="A76" s="120"/>
      <c r="B76" s="120"/>
    </row>
    <row r="77" spans="1:2" ht="24" customHeight="1" x14ac:dyDescent="0.35">
      <c r="A77" s="120"/>
      <c r="B77" s="120"/>
    </row>
    <row r="78" spans="1:2" ht="24" customHeight="1" x14ac:dyDescent="0.35">
      <c r="A78" s="120"/>
      <c r="B78" s="120"/>
    </row>
    <row r="79" spans="1:2" ht="24" customHeight="1" x14ac:dyDescent="0.35">
      <c r="A79" s="120"/>
      <c r="B79" s="120"/>
    </row>
    <row r="80" spans="1:2" ht="24" customHeight="1" x14ac:dyDescent="0.35">
      <c r="A80" s="120"/>
      <c r="B80" s="120"/>
    </row>
    <row r="81" spans="1:2" ht="24" customHeight="1" x14ac:dyDescent="0.35">
      <c r="A81" s="120"/>
      <c r="B81" s="120"/>
    </row>
    <row r="82" spans="1:2" ht="24" customHeight="1" x14ac:dyDescent="0.45">
      <c r="A82" s="126"/>
      <c r="B82" s="120"/>
    </row>
    <row r="83" spans="1:2" ht="24" customHeight="1" x14ac:dyDescent="0.35">
      <c r="A83" s="120"/>
      <c r="B83" s="120"/>
    </row>
    <row r="84" spans="1:2" ht="24" customHeight="1" x14ac:dyDescent="0.35">
      <c r="A84" s="120"/>
      <c r="B84" s="120"/>
    </row>
    <row r="85" spans="1:2" ht="24" customHeight="1" x14ac:dyDescent="0.35">
      <c r="A85" s="120"/>
      <c r="B85" s="120"/>
    </row>
    <row r="86" spans="1:2" ht="24" customHeight="1" x14ac:dyDescent="0.35">
      <c r="A86" s="120"/>
      <c r="B86" s="120"/>
    </row>
    <row r="87" spans="1:2" ht="24" customHeight="1" x14ac:dyDescent="0.35">
      <c r="A87" s="120"/>
      <c r="B87" s="120"/>
    </row>
    <row r="88" spans="1:2" ht="24" customHeight="1" x14ac:dyDescent="0.35">
      <c r="A88" s="120"/>
      <c r="B88" s="120"/>
    </row>
    <row r="89" spans="1:2" ht="24" customHeight="1" x14ac:dyDescent="0.35">
      <c r="A89" s="120"/>
      <c r="B89" s="120"/>
    </row>
    <row r="90" spans="1:2" ht="24" customHeight="1" x14ac:dyDescent="0.35">
      <c r="A90" s="120"/>
      <c r="B90" s="120"/>
    </row>
    <row r="91" spans="1:2" ht="24" customHeight="1" x14ac:dyDescent="0.35">
      <c r="A91" s="120"/>
      <c r="B91" s="120"/>
    </row>
    <row r="92" spans="1:2" ht="24" customHeight="1" x14ac:dyDescent="0.45">
      <c r="A92" s="126"/>
      <c r="B92" s="120"/>
    </row>
    <row r="93" spans="1:2" ht="24" customHeight="1" x14ac:dyDescent="0.35">
      <c r="A93" s="120"/>
      <c r="B93" s="120"/>
    </row>
    <row r="94" spans="1:2" ht="24" customHeight="1" x14ac:dyDescent="0.35">
      <c r="A94" s="120"/>
      <c r="B94" s="120"/>
    </row>
    <row r="95" spans="1:2" ht="24" customHeight="1" x14ac:dyDescent="0.35">
      <c r="A95" s="120"/>
      <c r="B95" s="120"/>
    </row>
    <row r="96" spans="1:2" ht="24" customHeight="1" x14ac:dyDescent="0.35">
      <c r="A96" s="120"/>
      <c r="B96" s="120"/>
    </row>
    <row r="97" spans="1:2" ht="24" customHeight="1" x14ac:dyDescent="0.35">
      <c r="A97" s="120"/>
      <c r="B97" s="120"/>
    </row>
    <row r="98" spans="1:2" ht="24" customHeight="1" x14ac:dyDescent="0.35">
      <c r="A98" s="120"/>
      <c r="B98" s="120"/>
    </row>
    <row r="99" spans="1:2" ht="24" customHeight="1" x14ac:dyDescent="0.35">
      <c r="A99" s="120"/>
      <c r="B99" s="120"/>
    </row>
    <row r="100" spans="1:2" ht="24" customHeight="1" x14ac:dyDescent="0.35">
      <c r="A100" s="120"/>
      <c r="B100" s="120"/>
    </row>
    <row r="101" spans="1:2" ht="24" customHeight="1" x14ac:dyDescent="0.35">
      <c r="A101" s="120"/>
      <c r="B101" s="120"/>
    </row>
    <row r="102" spans="1:2" ht="24" customHeight="1" x14ac:dyDescent="0.45">
      <c r="A102" s="126"/>
      <c r="B102" s="120"/>
    </row>
    <row r="103" spans="1:2" ht="24" customHeight="1" x14ac:dyDescent="0.35">
      <c r="A103" s="120"/>
      <c r="B103" s="120"/>
    </row>
    <row r="104" spans="1:2" ht="24" customHeight="1" x14ac:dyDescent="0.35">
      <c r="A104" s="120"/>
      <c r="B104" s="120"/>
    </row>
    <row r="105" spans="1:2" ht="24" customHeight="1" x14ac:dyDescent="0.35">
      <c r="A105" s="120"/>
      <c r="B105" s="120"/>
    </row>
    <row r="106" spans="1:2" ht="24" customHeight="1" x14ac:dyDescent="0.35">
      <c r="A106" s="120"/>
      <c r="B106" s="120"/>
    </row>
    <row r="107" spans="1:2" ht="24" customHeight="1" x14ac:dyDescent="0.35">
      <c r="A107" s="120"/>
      <c r="B107" s="120"/>
    </row>
    <row r="108" spans="1:2" ht="24" customHeight="1" x14ac:dyDescent="0.35">
      <c r="A108" s="120"/>
      <c r="B108" s="120"/>
    </row>
    <row r="109" spans="1:2" ht="24" customHeight="1" x14ac:dyDescent="0.35">
      <c r="A109" s="120"/>
      <c r="B109" s="120"/>
    </row>
    <row r="110" spans="1:2" ht="24" customHeight="1" x14ac:dyDescent="0.35">
      <c r="A110" s="120"/>
      <c r="B110" s="120"/>
    </row>
    <row r="111" spans="1:2" ht="24" customHeight="1" x14ac:dyDescent="0.35">
      <c r="A111" s="120"/>
      <c r="B111" s="120"/>
    </row>
    <row r="112" spans="1:2" ht="24" customHeight="1" x14ac:dyDescent="0.35"/>
    <row r="113" ht="24" customHeight="1" x14ac:dyDescent="0.35"/>
    <row r="114" ht="24" customHeight="1" x14ac:dyDescent="0.35"/>
    <row r="115" ht="24" customHeight="1" x14ac:dyDescent="0.35"/>
    <row r="116" ht="24" customHeight="1" x14ac:dyDescent="0.35"/>
    <row r="117" ht="24" customHeight="1" x14ac:dyDescent="0.35"/>
    <row r="118" ht="24" customHeight="1" x14ac:dyDescent="0.35"/>
    <row r="119" ht="24" customHeight="1" x14ac:dyDescent="0.35"/>
    <row r="120" ht="24" customHeight="1" x14ac:dyDescent="0.35"/>
    <row r="121" ht="24" customHeight="1" x14ac:dyDescent="0.35"/>
    <row r="122" ht="24" customHeight="1" x14ac:dyDescent="0.35"/>
    <row r="123" ht="24" customHeight="1" x14ac:dyDescent="0.35"/>
    <row r="124" ht="24" customHeight="1" x14ac:dyDescent="0.35"/>
    <row r="125" ht="24" customHeight="1" x14ac:dyDescent="0.35"/>
    <row r="126" ht="24" customHeight="1" x14ac:dyDescent="0.35"/>
    <row r="127" ht="24" customHeight="1" x14ac:dyDescent="0.35"/>
    <row r="128" ht="24" customHeight="1" x14ac:dyDescent="0.35"/>
    <row r="129" ht="24" customHeight="1" x14ac:dyDescent="0.35"/>
    <row r="130" ht="24" customHeight="1" x14ac:dyDescent="0.35"/>
    <row r="131" ht="24" customHeight="1" x14ac:dyDescent="0.35"/>
    <row r="132" ht="24" customHeight="1" x14ac:dyDescent="0.35"/>
    <row r="133" ht="24" customHeight="1" x14ac:dyDescent="0.35"/>
    <row r="134" ht="24" customHeight="1" x14ac:dyDescent="0.35"/>
    <row r="135" ht="24" customHeight="1" x14ac:dyDescent="0.35"/>
    <row r="136" ht="24" customHeight="1" x14ac:dyDescent="0.35"/>
    <row r="137" ht="24" customHeight="1" x14ac:dyDescent="0.35"/>
    <row r="138" ht="24" customHeight="1" x14ac:dyDescent="0.35"/>
    <row r="139" ht="24" customHeight="1" x14ac:dyDescent="0.35"/>
    <row r="140" ht="24" customHeight="1" x14ac:dyDescent="0.35"/>
    <row r="141" ht="24" customHeight="1" x14ac:dyDescent="0.35"/>
    <row r="142" ht="24" customHeight="1" x14ac:dyDescent="0.35"/>
    <row r="143" ht="24" customHeight="1" x14ac:dyDescent="0.35"/>
    <row r="144" ht="24" customHeight="1" x14ac:dyDescent="0.35"/>
    <row r="145" ht="24" customHeight="1" x14ac:dyDescent="0.35"/>
    <row r="146" ht="24" customHeight="1" x14ac:dyDescent="0.35"/>
    <row r="147" ht="24" customHeight="1" x14ac:dyDescent="0.35"/>
    <row r="148" ht="24" customHeight="1" x14ac:dyDescent="0.35"/>
    <row r="149" ht="24" customHeight="1" x14ac:dyDescent="0.35"/>
    <row r="150" ht="24" customHeight="1" x14ac:dyDescent="0.35"/>
    <row r="151" ht="24" customHeight="1" x14ac:dyDescent="0.35"/>
    <row r="152" ht="24" customHeight="1" x14ac:dyDescent="0.35"/>
    <row r="153" ht="24" customHeight="1" x14ac:dyDescent="0.35"/>
    <row r="154" ht="24" customHeight="1" x14ac:dyDescent="0.35"/>
    <row r="155" ht="24" customHeight="1" x14ac:dyDescent="0.35"/>
    <row r="156" ht="24" customHeight="1" x14ac:dyDescent="0.35"/>
    <row r="157" ht="24" customHeight="1" x14ac:dyDescent="0.35"/>
    <row r="158" ht="24" customHeight="1" x14ac:dyDescent="0.35"/>
    <row r="159" ht="24" customHeight="1" x14ac:dyDescent="0.35"/>
    <row r="160" ht="24" customHeight="1" x14ac:dyDescent="0.35"/>
    <row r="161" ht="24" customHeight="1" x14ac:dyDescent="0.35"/>
    <row r="162" ht="24" customHeight="1" x14ac:dyDescent="0.35"/>
    <row r="163" ht="24" customHeight="1" x14ac:dyDescent="0.35"/>
    <row r="164" ht="24" customHeight="1" x14ac:dyDescent="0.35"/>
    <row r="165" ht="24" customHeight="1" x14ac:dyDescent="0.35"/>
    <row r="166" ht="24" customHeight="1" x14ac:dyDescent="0.35"/>
    <row r="167" ht="24" customHeight="1" x14ac:dyDescent="0.35"/>
    <row r="168" ht="24" customHeight="1" x14ac:dyDescent="0.35"/>
    <row r="169" ht="24" customHeight="1" x14ac:dyDescent="0.35"/>
    <row r="170" ht="24" customHeight="1" x14ac:dyDescent="0.35"/>
    <row r="171" ht="24" customHeight="1" x14ac:dyDescent="0.35"/>
    <row r="172" ht="24" customHeight="1" x14ac:dyDescent="0.35"/>
    <row r="173" ht="24" customHeight="1" x14ac:dyDescent="0.35"/>
    <row r="174" ht="24" customHeight="1" x14ac:dyDescent="0.35"/>
    <row r="175" ht="24" customHeight="1" x14ac:dyDescent="0.35"/>
    <row r="176" ht="24" customHeight="1" x14ac:dyDescent="0.35"/>
    <row r="177" ht="24" customHeight="1" x14ac:dyDescent="0.35"/>
    <row r="178" ht="24" customHeight="1" x14ac:dyDescent="0.35"/>
    <row r="179" ht="24" customHeight="1" x14ac:dyDescent="0.35"/>
    <row r="180" ht="24" customHeight="1" x14ac:dyDescent="0.35"/>
    <row r="181" ht="24" customHeight="1" x14ac:dyDescent="0.35"/>
    <row r="182" ht="24" customHeight="1" x14ac:dyDescent="0.35"/>
    <row r="183" ht="24" customHeight="1" x14ac:dyDescent="0.35"/>
    <row r="184" ht="24" customHeight="1" x14ac:dyDescent="0.35"/>
    <row r="185" ht="24" customHeight="1" x14ac:dyDescent="0.35"/>
    <row r="186" ht="24" customHeight="1" x14ac:dyDescent="0.35"/>
    <row r="187" ht="24" customHeight="1" x14ac:dyDescent="0.35"/>
    <row r="188" ht="24" customHeight="1" x14ac:dyDescent="0.35"/>
    <row r="189" ht="24" customHeight="1" x14ac:dyDescent="0.35"/>
    <row r="190" ht="24" customHeight="1" x14ac:dyDescent="0.35"/>
  </sheetData>
  <sheetProtection sheet="1" objects="1" scenarios="1"/>
  <customSheetViews>
    <customSheetView guid="{A9C4060D-48A6-4A71-A108-B3947866F802}" scale="70" printArea="1">
      <selection activeCell="K30" sqref="K30"/>
      <pageMargins left="0.5" right="0.5" top="0.5" bottom="0.5" header="0.3" footer="0.3"/>
      <printOptions horizontalCentered="1" verticalCentered="1"/>
      <pageSetup paperSize="9" orientation="portrait" horizontalDpi="4294967292" verticalDpi="4294967292" r:id="rId1"/>
      <headerFooter alignWithMargins="0"/>
    </customSheetView>
  </customSheetViews>
  <phoneticPr fontId="9" type="noConversion"/>
  <printOptions horizontalCentered="1" verticalCentered="1"/>
  <pageMargins left="0.5" right="0.5" top="0.5" bottom="0.5" header="0.3" footer="0.3"/>
  <pageSetup paperSize="9" orientation="portrait" horizontalDpi="4294967292" verticalDpi="4294967292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Gruppen">
                <anchor moveWithCells="1" sizeWithCells="1">
                  <from>
                    <xdr:col>6</xdr:col>
                    <xdr:colOff>12700</xdr:colOff>
                    <xdr:row>0</xdr:row>
                    <xdr:rowOff>31750</xdr:rowOff>
                  </from>
                  <to>
                    <xdr:col>12</xdr:col>
                    <xdr:colOff>704850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coresheet_from_assignment">
                <anchor moveWithCells="1" sizeWithCells="1">
                  <from>
                    <xdr:col>13</xdr:col>
                    <xdr:colOff>19050</xdr:colOff>
                    <xdr:row>0</xdr:row>
                    <xdr:rowOff>31750</xdr:rowOff>
                  </from>
                  <to>
                    <xdr:col>19</xdr:col>
                    <xdr:colOff>723900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28C2-3C2E-47B5-A2C5-79B2CB32B2D3}">
  <sheetPr codeName="Tabelle18">
    <tabColor rgb="FFFFC000"/>
  </sheetPr>
  <dimension ref="A1:B2"/>
  <sheetViews>
    <sheetView workbookViewId="0">
      <selection activeCell="A2" sqref="A2:E4"/>
    </sheetView>
  </sheetViews>
  <sheetFormatPr baseColWidth="10" defaultRowHeight="15.5" x14ac:dyDescent="0.35"/>
  <cols>
    <col min="1" max="1" width="10.6640625" style="83"/>
    <col min="2" max="2" width="18.5" style="83" customWidth="1"/>
    <col min="3" max="3" width="10.6640625" style="83"/>
    <col min="4" max="4" width="19.9140625" style="83" customWidth="1"/>
    <col min="5" max="5" width="10.6640625" style="83"/>
    <col min="6" max="6" width="21.1640625" style="83" customWidth="1"/>
    <col min="7" max="7" width="10.6640625" style="83"/>
    <col min="8" max="8" width="14.5" style="83" customWidth="1"/>
    <col min="9" max="16384" width="10.6640625" style="83"/>
  </cols>
  <sheetData>
    <row r="1" spans="1:2" customFormat="1" ht="27" customHeight="1" x14ac:dyDescent="0.35">
      <c r="A1" t="s">
        <v>110</v>
      </c>
    </row>
    <row r="2" spans="1:2" x14ac:dyDescent="0.35">
      <c r="A2" s="83" t="s">
        <v>2</v>
      </c>
      <c r="B2" s="83" t="s">
        <v>264</v>
      </c>
    </row>
  </sheetData>
  <sheetProtection sheet="1" objects="1" scenarios="1"/>
  <customSheetViews>
    <customSheetView guid="{A9C4060D-48A6-4A71-A108-B3947866F802}">
      <selection activeCell="D16" sqref="D16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7">
    <tabColor rgb="FFFFFF00"/>
  </sheetPr>
  <dimension ref="A1"/>
  <sheetViews>
    <sheetView workbookViewId="0">
      <selection activeCell="G2" sqref="G2"/>
    </sheetView>
  </sheetViews>
  <sheetFormatPr baseColWidth="10" defaultRowHeight="15.5" x14ac:dyDescent="0.35"/>
  <sheetData/>
  <customSheetViews>
    <customSheetView guid="{A9C4060D-48A6-4A71-A108-B3947866F802}" topLeftCell="A4">
      <selection activeCell="D12" sqref="D12"/>
      <pageMargins left="0.75" right="0.75" top="1" bottom="1" header="0.5" footer="0.5"/>
    </customSheetView>
  </customSheetView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7030A0"/>
  </sheetPr>
  <dimension ref="A1:AO206"/>
  <sheetViews>
    <sheetView zoomScale="115" zoomScaleNormal="115" workbookViewId="0">
      <pane xSplit="6" ySplit="2" topLeftCell="G3" activePane="bottomRight" state="frozenSplit"/>
      <selection activeCell="AE2" sqref="AE2"/>
      <selection pane="topRight" activeCell="AE1" sqref="AE1"/>
      <selection pane="bottomLeft" activeCell="A2" sqref="A2"/>
      <selection pane="bottomRight" activeCell="L3" sqref="L3"/>
    </sheetView>
  </sheetViews>
  <sheetFormatPr baseColWidth="10" defaultColWidth="10.83203125" defaultRowHeight="15.5" outlineLevelCol="1" x14ac:dyDescent="0.35"/>
  <cols>
    <col min="1" max="1" width="5.4140625" bestFit="1" customWidth="1"/>
    <col min="2" max="2" width="17" bestFit="1" customWidth="1"/>
    <col min="3" max="3" width="9.75" bestFit="1" customWidth="1" outlineLevel="1"/>
    <col min="4" max="4" width="10.25" bestFit="1" customWidth="1"/>
    <col min="5" max="5" width="8.9140625" bestFit="1" customWidth="1" outlineLevel="1"/>
    <col min="6" max="6" width="6.9140625" style="12" bestFit="1" customWidth="1"/>
    <col min="7" max="7" width="9.1640625" style="104" bestFit="1" customWidth="1"/>
    <col min="8" max="8" width="4.83203125" style="2" bestFit="1" customWidth="1"/>
    <col min="9" max="9" width="5.9140625" style="11" bestFit="1" customWidth="1"/>
    <col min="10" max="10" width="8.1640625" style="104" bestFit="1" customWidth="1"/>
    <col min="11" max="11" width="4.83203125" style="2" bestFit="1" customWidth="1"/>
    <col min="12" max="12" width="5.9140625" style="11" bestFit="1" customWidth="1"/>
    <col min="13" max="13" width="12" style="104" bestFit="1" customWidth="1"/>
    <col min="14" max="14" width="4.83203125" style="2" bestFit="1" customWidth="1"/>
    <col min="15" max="15" width="5.9140625" style="11" bestFit="1" customWidth="1"/>
    <col min="16" max="16" width="12" style="104" bestFit="1" customWidth="1"/>
    <col min="17" max="17" width="4.83203125" style="2" bestFit="1" customWidth="1"/>
    <col min="18" max="18" width="5.9140625" style="11" bestFit="1" customWidth="1"/>
    <col min="19" max="19" width="9.83203125" style="104" customWidth="1"/>
    <col min="20" max="20" width="4.83203125" style="2" bestFit="1" customWidth="1"/>
    <col min="21" max="21" width="5.9140625" style="11" bestFit="1" customWidth="1"/>
    <col min="22" max="22" width="9.1640625" style="104" customWidth="1"/>
    <col min="23" max="23" width="4.83203125" style="2" bestFit="1" customWidth="1"/>
    <col min="24" max="24" width="5.9140625" style="11" bestFit="1" customWidth="1"/>
    <col min="25" max="25" width="10.9140625" style="104" customWidth="1"/>
    <col min="26" max="26" width="4.83203125" style="2" bestFit="1" customWidth="1"/>
    <col min="27" max="27" width="5.9140625" style="11" bestFit="1" customWidth="1"/>
    <col min="28" max="28" width="10" style="104" bestFit="1" customWidth="1"/>
    <col min="29" max="29" width="4.83203125" style="2" bestFit="1" customWidth="1"/>
    <col min="30" max="30" width="5.9140625" style="11" bestFit="1" customWidth="1"/>
    <col min="31" max="31" width="10" style="104" bestFit="1" customWidth="1"/>
    <col min="32" max="32" width="4.83203125" style="2" bestFit="1" customWidth="1"/>
    <col min="33" max="33" width="5.9140625" style="11" bestFit="1" customWidth="1"/>
    <col min="34" max="34" width="9.83203125" style="14" customWidth="1"/>
    <col min="35" max="39" width="10.83203125" style="1" customWidth="1" outlineLevel="1"/>
    <col min="40" max="41" width="10.83203125" customWidth="1" outlineLevel="1"/>
  </cols>
  <sheetData>
    <row r="1" spans="1:39" x14ac:dyDescent="0.35">
      <c r="B1" s="6" t="str">
        <f>IF(aux_sheet!G2="old", "OFFICIAL"," ")</f>
        <v xml:space="preserve"> </v>
      </c>
      <c r="C1" s="5" t="str">
        <f>IF(aux_sheet!G2="RRS", "UNOFFICIAL, for comparison only"," ")</f>
        <v>UNOFFICIAL, for comparison only</v>
      </c>
    </row>
    <row r="2" spans="1:39" s="3" customFormat="1" ht="45" customHeight="1" thickBot="1" x14ac:dyDescent="0.4">
      <c r="A2" s="15" t="s">
        <v>26</v>
      </c>
      <c r="B2" s="15" t="s">
        <v>3</v>
      </c>
      <c r="C2" s="16" t="s">
        <v>16</v>
      </c>
      <c r="D2" s="16" t="s">
        <v>17</v>
      </c>
      <c r="E2" s="16" t="s">
        <v>18</v>
      </c>
      <c r="F2" s="17" t="s">
        <v>1</v>
      </c>
      <c r="G2" s="91" t="str">
        <f>Input!I1</f>
        <v>ACC score</v>
      </c>
      <c r="H2" s="92" t="s">
        <v>0</v>
      </c>
      <c r="I2" s="93" t="s">
        <v>6</v>
      </c>
      <c r="J2" s="91" t="str">
        <f>Input!L1</f>
        <v>AR score</v>
      </c>
      <c r="K2" s="92" t="s">
        <v>0</v>
      </c>
      <c r="L2" s="93" t="s">
        <v>6</v>
      </c>
      <c r="M2" s="91" t="str">
        <f>Input!O1</f>
        <v>MTA  score</v>
      </c>
      <c r="N2" s="92" t="s">
        <v>0</v>
      </c>
      <c r="O2" s="93" t="s">
        <v>6</v>
      </c>
      <c r="P2" s="91" t="str">
        <f>Input!R1</f>
        <v>FC score</v>
      </c>
      <c r="Q2" s="92" t="s">
        <v>0</v>
      </c>
      <c r="R2" s="93" t="s">
        <v>6</v>
      </c>
      <c r="S2" s="91" t="str">
        <f>Input!U1</f>
        <v>END score</v>
      </c>
      <c r="T2" s="92" t="s">
        <v>0</v>
      </c>
      <c r="U2" s="93" t="s">
        <v>6</v>
      </c>
      <c r="V2" s="91" t="str">
        <f>Input!X1</f>
        <v>TCD score</v>
      </c>
      <c r="W2" s="92" t="s">
        <v>0</v>
      </c>
      <c r="X2" s="93" t="s">
        <v>6</v>
      </c>
      <c r="Y2" s="91" t="str">
        <f>Input!AA1</f>
        <v>Tapir score</v>
      </c>
      <c r="Z2" s="92" t="s">
        <v>0</v>
      </c>
      <c r="AA2" s="93" t="s">
        <v>6</v>
      </c>
      <c r="AB2" s="91" t="str">
        <f>Input!AD1</f>
        <v>Extra event score</v>
      </c>
      <c r="AC2" s="92" t="s">
        <v>0</v>
      </c>
      <c r="AD2" s="93" t="s">
        <v>6</v>
      </c>
      <c r="AE2" s="91" t="str">
        <f>Input!AG1</f>
        <v>Extra timed event score</v>
      </c>
      <c r="AF2" s="92" t="s">
        <v>0</v>
      </c>
      <c r="AG2" s="93" t="s">
        <v>6</v>
      </c>
      <c r="AH2" s="18" t="s">
        <v>7</v>
      </c>
      <c r="AI2" s="4"/>
      <c r="AJ2" s="4"/>
      <c r="AK2" s="4"/>
      <c r="AL2" s="4"/>
      <c r="AM2" s="4"/>
    </row>
    <row r="3" spans="1:39" ht="16" thickTop="1" x14ac:dyDescent="0.35">
      <c r="A3" s="2">
        <f>IF(ISBLANK(Input!A2),"",ROUNDDOWN(aux_sheet!B2,0))</f>
        <v>1</v>
      </c>
      <c r="B3" s="2" t="str">
        <f ca="1">IF(ISBLANK(Input!A2),"",INDIRECT("Input!A"&amp;1+MATCH(aux_sheet!$B2,aux_sheet!$A$2:$A$202,0)))</f>
        <v>test5</v>
      </c>
      <c r="C3" s="2" t="str">
        <f ca="1">IF(ISBLANK(Input!B2),"",INDIRECT("Input!B"&amp;1+MATCH(aux_sheet!$B2,aux_sheet!$A$2:$A$202,0)))</f>
        <v>a5</v>
      </c>
      <c r="D3" s="2" t="str">
        <f ca="1">IF(ISBLANK(Input!C2),"",INDIRECT("Input!C"&amp;1+MATCH(aux_sheet!$B2,aux_sheet!$A$2:$A$202,0)))</f>
        <v>b5</v>
      </c>
      <c r="E3" s="2" t="str">
        <f ca="1">IF(ISBLANK(Input!D2),"",INDIRECT("Input!D"&amp;1+MATCH(aux_sheet!$B2,aux_sheet!$A$2:$A$202,0)))</f>
        <v>j</v>
      </c>
      <c r="F3" s="11">
        <f ca="1">INDIRECT("Input!F"&amp;1+MATCH(aux_sheet!$B2,aux_sheet!$A$2:$A$202,0))</f>
        <v>9</v>
      </c>
      <c r="G3" s="105">
        <f ca="1">IF($B3="","",INDIRECT("aux_sheet!O"&amp;1+MATCH(aux_sheet!$B2,aux_sheet!$A$2:$A$202,0)))</f>
        <v>1</v>
      </c>
      <c r="H3" s="95">
        <f ca="1">IF($B3="","",INDIRECT("aux_sheet!P"&amp;1+MATCH(aux_sheet!$B2,aux_sheet!$A$2:$A$202,0)))</f>
        <v>6</v>
      </c>
      <c r="I3" s="95">
        <f ca="1">IF($B3="","",INDIRECT("aux_sheet!P"&amp;1+MATCH(aux_sheet!$B2,aux_sheet!$A$2:$A$202,0)))</f>
        <v>6</v>
      </c>
      <c r="J3" s="105">
        <f ca="1">IF($B3="","",INDIRECT("aux_sheet!R"&amp;1+MATCH(aux_sheet!$B2,aux_sheet!$A$2:$A$202,0)))</f>
        <v>6</v>
      </c>
      <c r="K3" s="95">
        <f ca="1">IF($B3="","",INDIRECT("aux_sheet!S"&amp;1+MATCH(aux_sheet!$B2,aux_sheet!$A$2:$A$202,0)))</f>
        <v>1</v>
      </c>
      <c r="L3" s="95">
        <f ca="1">IF($B3="","",INDIRECT("aux_sheet!S"&amp;1+MATCH(aux_sheet!$B2,aux_sheet!$A$2:$A$202,0)))</f>
        <v>1</v>
      </c>
      <c r="M3" s="105">
        <f ca="1">IF($B3="","",INDIRECT("aux_sheet!U"&amp;1+MATCH(aux_sheet!$B2,aux_sheet!$A$2:$A$202,0)))</f>
        <v>10</v>
      </c>
      <c r="N3" s="95">
        <f ca="1">IF($B3="","",INDIRECT("aux_sheet!V"&amp;1+MATCH(aux_sheet!$B2,aux_sheet!$A$2:$A$202,0)))</f>
        <v>1</v>
      </c>
      <c r="O3" s="95">
        <f ca="1">IF($B3="","",INDIRECT("aux_sheet!V"&amp;1+MATCH(aux_sheet!$B2,aux_sheet!$A$2:$A$202,0)))</f>
        <v>1</v>
      </c>
      <c r="P3" s="105">
        <f ca="1">IF($B3="","",INDIRECT("aux_sheet!X"&amp;1+MATCH(aux_sheet!$B2,aux_sheet!$A$2:$A$202,0)))</f>
        <v>74</v>
      </c>
      <c r="Q3" s="95">
        <f ca="1">IF($B3="","",INDIRECT("aux_sheet!Y"&amp;1+MATCH(aux_sheet!$B2,aux_sheet!$A$2:$A$202,0)))</f>
        <v>1</v>
      </c>
      <c r="R3" s="95">
        <f ca="1">IF($B3="","",INDIRECT("aux_sheet!Y"&amp;1+MATCH(aux_sheet!$B2,aux_sheet!$A$2:$A$202,0)))</f>
        <v>1</v>
      </c>
      <c r="S3" s="106" t="str">
        <f ca="1">IF($B3="","",INDIRECT("aux_sheet!AA"&amp;1+MATCH(aux_sheet!$B2,aux_sheet!$A$2:$A$202,0)))</f>
        <v/>
      </c>
      <c r="T3" s="95" t="str">
        <f ca="1">IF($B3="","",INDIRECT("aux_sheet!AB"&amp;1+MATCH(aux_sheet!$B2,aux_sheet!$A$2:$A$202,0)))</f>
        <v/>
      </c>
      <c r="U3" s="95" t="str">
        <f ca="1">IF($B3="","",INDIRECT("aux_sheet!AB"&amp;1+MATCH(aux_sheet!$B2,aux_sheet!$A$2:$A$202,0)))</f>
        <v/>
      </c>
      <c r="V3" s="105" t="str">
        <f ca="1">IF($B3="","",INDIRECT("aux_sheet!AD"&amp;1+MATCH(aux_sheet!$B2,aux_sheet!$A$2:$A$202,0)))</f>
        <v/>
      </c>
      <c r="W3" s="95" t="str">
        <f ca="1">IF($B3="","",INDIRECT("aux_sheet!AE"&amp;1+MATCH(aux_sheet!$B2,aux_sheet!$A$2:$A$202,0)))</f>
        <v/>
      </c>
      <c r="X3" s="95" t="str">
        <f ca="1">IF($B3="","",INDIRECT("aux_sheet!AE"&amp;1+MATCH(aux_sheet!$B2,aux_sheet!$A$2:$A$202,0)))</f>
        <v/>
      </c>
      <c r="Y3" s="105" t="str">
        <f ca="1">IF($B3="","",INDIRECT("aux_sheet!AG"&amp;1+MATCH(aux_sheet!$B2,aux_sheet!$A$2:$A$202,0)))</f>
        <v/>
      </c>
      <c r="Z3" s="95" t="str">
        <f ca="1">IF($B3="","",INDIRECT("aux_sheet!AH"&amp;1+MATCH(aux_sheet!$B2,aux_sheet!$A$2:$A$202,0)))</f>
        <v/>
      </c>
      <c r="AA3" s="95" t="str">
        <f ca="1">IF($B3="","",INDIRECT("aux_sheet!AH"&amp;1+MATCH(aux_sheet!$B2,aux_sheet!$A$2:$A$202,0)))</f>
        <v/>
      </c>
      <c r="AB3" s="105" t="str">
        <f ca="1">IF($B3="","",INDIRECT("aux_sheet!AJ"&amp;1+MATCH(aux_sheet!$B2,aux_sheet!$A$2:$A$202,0)))</f>
        <v/>
      </c>
      <c r="AC3" s="95" t="str">
        <f ca="1">IF($B3="","",INDIRECT("aux_sheet!AK"&amp;1+MATCH(aux_sheet!$B2,aux_sheet!$A$2:$A$202,0)))</f>
        <v/>
      </c>
      <c r="AD3" s="95" t="str">
        <f ca="1">IF($B3="","",INDIRECT("aux_sheet!AK"&amp;1+MATCH(aux_sheet!$B2,aux_sheet!$A$2:$A$202,0)))</f>
        <v/>
      </c>
      <c r="AE3" s="106" t="str">
        <f ca="1">IF($B3="","",INDIRECT("aux_sheet!AM"&amp;1+MATCH(aux_sheet!$B2,aux_sheet!$A$2:$A$202,0)))</f>
        <v/>
      </c>
      <c r="AF3" s="89" t="str">
        <f ca="1">IF($B3="","",INDIRECT("aux_sheet!AN"&amp;1+MATCH(aux_sheet!$B2,aux_sheet!$A$2:$A$202,0)))</f>
        <v/>
      </c>
      <c r="AG3" s="89" t="str">
        <f ca="1">IF($B3="","",INDIRECT("aux_sheet!AN"&amp;1+MATCH(aux_sheet!$B2,aux_sheet!$A$2:$A$202,0)))</f>
        <v/>
      </c>
      <c r="AH3" s="20">
        <v>0</v>
      </c>
    </row>
    <row r="4" spans="1:39" x14ac:dyDescent="0.35">
      <c r="A4" s="2">
        <f>IF(ISBLANK(Input!A3),"",ROUNDDOWN(aux_sheet!B3,0))</f>
        <v>2</v>
      </c>
      <c r="B4" s="2" t="str">
        <f ca="1">IF(ISBLANK(Input!A3),"",INDIRECT("Input!A"&amp;1+MATCH(aux_sheet!$B3,aux_sheet!$A$2:$A$202,0)))</f>
        <v>test4</v>
      </c>
      <c r="C4" s="2" t="str">
        <f ca="1">IF(ISBLANK(Input!B3),"",INDIRECT("Input!B"&amp;1+MATCH(aux_sheet!$B3,aux_sheet!$A$2:$A$202,0)))</f>
        <v>a4</v>
      </c>
      <c r="D4" s="2" t="str">
        <f ca="1">IF(ISBLANK(Input!C3),"",INDIRECT("Input!C"&amp;1+MATCH(aux_sheet!$B3,aux_sheet!$A$2:$A$202,0)))</f>
        <v>b4</v>
      </c>
      <c r="E4" s="2" t="str">
        <f ca="1">IF(ISBLANK(Input!D3),"",INDIRECT("Input!D"&amp;1+MATCH(aux_sheet!$B3,aux_sheet!$A$2:$A$202,0)))</f>
        <v>j</v>
      </c>
      <c r="F4" s="11">
        <f ca="1">INDIRECT("Input!F"&amp;1+MATCH(aux_sheet!$B3,aux_sheet!$A$2:$A$202,0))</f>
        <v>11</v>
      </c>
      <c r="G4" s="106">
        <f ca="1">IF($B4="","",INDIRECT("aux_sheet!O"&amp;1+MATCH(aux_sheet!$B3,aux_sheet!$A$2:$A$202,0)))</f>
        <v>2</v>
      </c>
      <c r="H4" s="89">
        <f ca="1">IF($B4="","",INDIRECT("aux_sheet!P"&amp;1+MATCH(aux_sheet!$B3,aux_sheet!$A$2:$A$202,0)))</f>
        <v>5</v>
      </c>
      <c r="I4" s="89">
        <f ca="1">IF($B4="","",INDIRECT("aux_sheet!P"&amp;1+MATCH(aux_sheet!$B3,aux_sheet!$A$2:$A$202,0)))</f>
        <v>5</v>
      </c>
      <c r="J4" s="106">
        <f ca="1">IF($B4="","",INDIRECT("aux_sheet!R"&amp;1+MATCH(aux_sheet!$B3,aux_sheet!$A$2:$A$202,0)))</f>
        <v>5</v>
      </c>
      <c r="K4" s="89">
        <f ca="1">IF($B4="","",INDIRECT("aux_sheet!S"&amp;1+MATCH(aux_sheet!$B3,aux_sheet!$A$2:$A$202,0)))</f>
        <v>2</v>
      </c>
      <c r="L4" s="89">
        <f ca="1">IF($B4="","",INDIRECT("aux_sheet!S"&amp;1+MATCH(aux_sheet!$B3,aux_sheet!$A$2:$A$202,0)))</f>
        <v>2</v>
      </c>
      <c r="M4" s="106">
        <f ca="1">IF($B4="","",INDIRECT("aux_sheet!U"&amp;1+MATCH(aux_sheet!$B3,aux_sheet!$A$2:$A$202,0)))</f>
        <v>9</v>
      </c>
      <c r="N4" s="89">
        <f ca="1">IF($B4="","",INDIRECT("aux_sheet!V"&amp;1+MATCH(aux_sheet!$B3,aux_sheet!$A$2:$A$202,0)))</f>
        <v>2</v>
      </c>
      <c r="O4" s="89">
        <f ca="1">IF($B4="","",INDIRECT("aux_sheet!V"&amp;1+MATCH(aux_sheet!$B3,aux_sheet!$A$2:$A$202,0)))</f>
        <v>2</v>
      </c>
      <c r="P4" s="106">
        <f ca="1">IF($B4="","",INDIRECT("aux_sheet!X"&amp;1+MATCH(aux_sheet!$B3,aux_sheet!$A$2:$A$202,0)))</f>
        <v>4</v>
      </c>
      <c r="Q4" s="89">
        <f ca="1">IF($B4="","",INDIRECT("aux_sheet!Y"&amp;1+MATCH(aux_sheet!$B3,aux_sheet!$A$2:$A$202,0)))</f>
        <v>2</v>
      </c>
      <c r="R4" s="89">
        <f ca="1">IF($B4="","",INDIRECT("aux_sheet!Y"&amp;1+MATCH(aux_sheet!$B3,aux_sheet!$A$2:$A$202,0)))</f>
        <v>2</v>
      </c>
      <c r="S4" s="106" t="str">
        <f ca="1">IF($B4="","",INDIRECT("aux_sheet!AA"&amp;1+MATCH(aux_sheet!$B3,aux_sheet!$A$2:$A$202,0)))</f>
        <v/>
      </c>
      <c r="T4" s="89" t="str">
        <f ca="1">IF($B4="","",INDIRECT("aux_sheet!AB"&amp;1+MATCH(aux_sheet!$B3,aux_sheet!$A$2:$A$202,0)))</f>
        <v/>
      </c>
      <c r="U4" s="89" t="str">
        <f ca="1">IF($B4="","",INDIRECT("aux_sheet!AB"&amp;1+MATCH(aux_sheet!$B3,aux_sheet!$A$2:$A$202,0)))</f>
        <v/>
      </c>
      <c r="V4" s="106" t="str">
        <f ca="1">IF($B4="","",INDIRECT("aux_sheet!AD"&amp;1+MATCH(aux_sheet!$B3,aux_sheet!$A$2:$A$202,0)))</f>
        <v/>
      </c>
      <c r="W4" s="89" t="str">
        <f ca="1">IF($B4="","",INDIRECT("aux_sheet!AE"&amp;1+MATCH(aux_sheet!$B3,aux_sheet!$A$2:$A$202,0)))</f>
        <v/>
      </c>
      <c r="X4" s="89" t="str">
        <f ca="1">IF($B4="","",INDIRECT("aux_sheet!AE"&amp;1+MATCH(aux_sheet!$B3,aux_sheet!$A$2:$A$202,0)))</f>
        <v/>
      </c>
      <c r="Y4" s="106" t="str">
        <f ca="1">IF($B4="","",INDIRECT("aux_sheet!AG"&amp;1+MATCH(aux_sheet!$B3,aux_sheet!$A$2:$A$202,0)))</f>
        <v/>
      </c>
      <c r="Z4" s="89" t="str">
        <f ca="1">IF($B4="","",INDIRECT("aux_sheet!AH"&amp;1+MATCH(aux_sheet!$B3,aux_sheet!$A$2:$A$202,0)))</f>
        <v/>
      </c>
      <c r="AA4" s="89" t="str">
        <f ca="1">IF($B4="","",INDIRECT("aux_sheet!AH"&amp;1+MATCH(aux_sheet!$B3,aux_sheet!$A$2:$A$202,0)))</f>
        <v/>
      </c>
      <c r="AB4" s="106" t="str">
        <f ca="1">IF($B4="","",INDIRECT("aux_sheet!AJ"&amp;1+MATCH(aux_sheet!$B3,aux_sheet!$A$2:$A$202,0)))</f>
        <v/>
      </c>
      <c r="AC4" s="89" t="str">
        <f ca="1">IF($B4="","",INDIRECT("aux_sheet!AK"&amp;1+MATCH(aux_sheet!$B3,aux_sheet!$A$2:$A$202,0)))</f>
        <v/>
      </c>
      <c r="AD4" s="89" t="str">
        <f ca="1">IF($B4="","",INDIRECT("aux_sheet!AK"&amp;1+MATCH(aux_sheet!$B3,aux_sheet!$A$2:$A$202,0)))</f>
        <v/>
      </c>
      <c r="AE4" s="106" t="str">
        <f ca="1">IF($B4="","",INDIRECT("aux_sheet!AM"&amp;1+MATCH(aux_sheet!$B3,aux_sheet!$A$2:$A$202,0)))</f>
        <v/>
      </c>
      <c r="AF4" s="89" t="str">
        <f ca="1">IF($B4="","",INDIRECT("aux_sheet!AN"&amp;1+MATCH(aux_sheet!$B3,aux_sheet!$A$2:$A$202,0)))</f>
        <v/>
      </c>
      <c r="AG4" s="89" t="str">
        <f ca="1">IF($B4="","",INDIRECT("aux_sheet!AN"&amp;1+MATCH(aux_sheet!$B3,aux_sheet!$A$2:$A$202,0)))</f>
        <v/>
      </c>
      <c r="AH4" s="14">
        <f ca="1">IF(ISBLANK(Input!A3)," ",F3-F4)</f>
        <v>-2</v>
      </c>
    </row>
    <row r="5" spans="1:39" x14ac:dyDescent="0.35">
      <c r="A5" s="2">
        <f>IF(ISBLANK(Input!A4),"",ROUNDDOWN(aux_sheet!B4,0))</f>
        <v>3</v>
      </c>
      <c r="B5" s="2" t="str">
        <f ca="1">IF(ISBLANK(Input!A4),"",INDIRECT("Input!A"&amp;1+MATCH(aux_sheet!$B4,aux_sheet!$A$2:$A$202,0)))</f>
        <v>test3</v>
      </c>
      <c r="C5" s="2" t="str">
        <f ca="1">IF(ISBLANK(Input!B4),"",INDIRECT("Input!B"&amp;1+MATCH(aux_sheet!$B4,aux_sheet!$A$2:$A$202,0)))</f>
        <v>a3</v>
      </c>
      <c r="D5" s="2" t="str">
        <f ca="1">IF(ISBLANK(Input!C4),"",INDIRECT("Input!C"&amp;1+MATCH(aux_sheet!$B4,aux_sheet!$A$2:$A$202,0)))</f>
        <v>b3</v>
      </c>
      <c r="E5" s="2" t="str">
        <f ca="1">IF(ISBLANK(Input!D4),"",INDIRECT("Input!D"&amp;1+MATCH(aux_sheet!$B4,aux_sheet!$A$2:$A$202,0)))</f>
        <v>j</v>
      </c>
      <c r="F5" s="11">
        <f ca="1">INDIRECT("Input!F"&amp;1+MATCH(aux_sheet!$B4,aux_sheet!$A$2:$A$202,0))</f>
        <v>13</v>
      </c>
      <c r="G5" s="106">
        <f ca="1">IF($B5="","",INDIRECT("aux_sheet!O"&amp;1+MATCH(aux_sheet!$B4,aux_sheet!$A$2:$A$202,0)))</f>
        <v>3</v>
      </c>
      <c r="H5" s="89">
        <f ca="1">IF($B5="","",INDIRECT("aux_sheet!P"&amp;1+MATCH(aux_sheet!$B4,aux_sheet!$A$2:$A$202,0)))</f>
        <v>4</v>
      </c>
      <c r="I5" s="89">
        <f ca="1">IF($B5="","",INDIRECT("aux_sheet!P"&amp;1+MATCH(aux_sheet!$B4,aux_sheet!$A$2:$A$202,0)))</f>
        <v>4</v>
      </c>
      <c r="J5" s="106">
        <f ca="1">IF($B5="","",INDIRECT("aux_sheet!R"&amp;1+MATCH(aux_sheet!$B4,aux_sheet!$A$2:$A$202,0)))</f>
        <v>4</v>
      </c>
      <c r="K5" s="89">
        <f ca="1">IF($B5="","",INDIRECT("aux_sheet!S"&amp;1+MATCH(aux_sheet!$B4,aux_sheet!$A$2:$A$202,0)))</f>
        <v>3</v>
      </c>
      <c r="L5" s="89">
        <f ca="1">IF($B5="","",INDIRECT("aux_sheet!S"&amp;1+MATCH(aux_sheet!$B4,aux_sheet!$A$2:$A$202,0)))</f>
        <v>3</v>
      </c>
      <c r="M5" s="106">
        <f ca="1">IF($B5="","",INDIRECT("aux_sheet!U"&amp;1+MATCH(aux_sheet!$B4,aux_sheet!$A$2:$A$202,0)))</f>
        <v>8</v>
      </c>
      <c r="N5" s="89">
        <f ca="1">IF($B5="","",INDIRECT("aux_sheet!V"&amp;1+MATCH(aux_sheet!$B4,aux_sheet!$A$2:$A$202,0)))</f>
        <v>3</v>
      </c>
      <c r="O5" s="89">
        <f ca="1">IF($B5="","",INDIRECT("aux_sheet!V"&amp;1+MATCH(aux_sheet!$B4,aux_sheet!$A$2:$A$202,0)))</f>
        <v>3</v>
      </c>
      <c r="P5" s="106">
        <f ca="1">IF($B5="","",INDIRECT("aux_sheet!X"&amp;1+MATCH(aux_sheet!$B4,aux_sheet!$A$2:$A$202,0)))</f>
        <v>2</v>
      </c>
      <c r="Q5" s="89">
        <f ca="1">IF($B5="","",INDIRECT("aux_sheet!Y"&amp;1+MATCH(aux_sheet!$B4,aux_sheet!$A$2:$A$202,0)))</f>
        <v>3</v>
      </c>
      <c r="R5" s="89">
        <f ca="1">IF($B5="","",INDIRECT("aux_sheet!Y"&amp;1+MATCH(aux_sheet!$B4,aux_sheet!$A$2:$A$202,0)))</f>
        <v>3</v>
      </c>
      <c r="S5" s="106" t="str">
        <f ca="1">IF($B5="","",INDIRECT("aux_sheet!AA"&amp;1+MATCH(aux_sheet!$B4,aux_sheet!$A$2:$A$202,0)))</f>
        <v/>
      </c>
      <c r="T5" s="89" t="str">
        <f ca="1">IF($B5="","",INDIRECT("aux_sheet!AB"&amp;1+MATCH(aux_sheet!$B4,aux_sheet!$A$2:$A$202,0)))</f>
        <v/>
      </c>
      <c r="U5" s="89" t="str">
        <f ca="1">IF($B5="","",INDIRECT("aux_sheet!AB"&amp;1+MATCH(aux_sheet!$B4,aux_sheet!$A$2:$A$202,0)))</f>
        <v/>
      </c>
      <c r="V5" s="106" t="str">
        <f ca="1">IF($B5="","",INDIRECT("aux_sheet!AD"&amp;1+MATCH(aux_sheet!$B4,aux_sheet!$A$2:$A$202,0)))</f>
        <v/>
      </c>
      <c r="W5" s="89" t="str">
        <f ca="1">IF($B5="","",INDIRECT("aux_sheet!AE"&amp;1+MATCH(aux_sheet!$B4,aux_sheet!$A$2:$A$202,0)))</f>
        <v/>
      </c>
      <c r="X5" s="89" t="str">
        <f ca="1">IF($B5="","",INDIRECT("aux_sheet!AE"&amp;1+MATCH(aux_sheet!$B4,aux_sheet!$A$2:$A$202,0)))</f>
        <v/>
      </c>
      <c r="Y5" s="106" t="str">
        <f ca="1">IF($B5="","",INDIRECT("aux_sheet!AG"&amp;1+MATCH(aux_sheet!$B4,aux_sheet!$A$2:$A$202,0)))</f>
        <v/>
      </c>
      <c r="Z5" s="89" t="str">
        <f ca="1">IF($B5="","",INDIRECT("aux_sheet!AH"&amp;1+MATCH(aux_sheet!$B4,aux_sheet!$A$2:$A$202,0)))</f>
        <v/>
      </c>
      <c r="AA5" s="89" t="str">
        <f ca="1">IF($B5="","",INDIRECT("aux_sheet!AH"&amp;1+MATCH(aux_sheet!$B4,aux_sheet!$A$2:$A$202,0)))</f>
        <v/>
      </c>
      <c r="AB5" s="106" t="str">
        <f ca="1">IF($B5="","",INDIRECT("aux_sheet!AJ"&amp;1+MATCH(aux_sheet!$B4,aux_sheet!$A$2:$A$202,0)))</f>
        <v/>
      </c>
      <c r="AC5" s="89" t="str">
        <f ca="1">IF($B5="","",INDIRECT("aux_sheet!AK"&amp;1+MATCH(aux_sheet!$B4,aux_sheet!$A$2:$A$202,0)))</f>
        <v/>
      </c>
      <c r="AD5" s="89" t="str">
        <f ca="1">IF($B5="","",INDIRECT("aux_sheet!AK"&amp;1+MATCH(aux_sheet!$B4,aux_sheet!$A$2:$A$202,0)))</f>
        <v/>
      </c>
      <c r="AE5" s="106" t="str">
        <f ca="1">IF($B5="","",INDIRECT("aux_sheet!AM"&amp;1+MATCH(aux_sheet!$B4,aux_sheet!$A$2:$A$202,0)))</f>
        <v/>
      </c>
      <c r="AF5" s="89" t="str">
        <f ca="1">IF($B5="","",INDIRECT("aux_sheet!AN"&amp;1+MATCH(aux_sheet!$B4,aux_sheet!$A$2:$A$202,0)))</f>
        <v/>
      </c>
      <c r="AG5" s="89" t="str">
        <f ca="1">IF($B5="","",INDIRECT("aux_sheet!AN"&amp;1+MATCH(aux_sheet!$B4,aux_sheet!$A$2:$A$202,0)))</f>
        <v/>
      </c>
      <c r="AH5" s="14">
        <f ca="1">IF(ISBLANK(Input!A4)," ",F4-F5)</f>
        <v>-2</v>
      </c>
    </row>
    <row r="6" spans="1:39" x14ac:dyDescent="0.35">
      <c r="A6" s="2">
        <f>IF(ISBLANK(Input!A5),"",ROUNDDOWN(aux_sheet!B5,0))</f>
        <v>4</v>
      </c>
      <c r="B6" s="2" t="str">
        <f ca="1">IF(ISBLANK(Input!A5),"",INDIRECT("Input!A"&amp;1+MATCH(aux_sheet!$B5,aux_sheet!$A$2:$A$202,0)))</f>
        <v>test2</v>
      </c>
      <c r="C6" s="2" t="str">
        <f ca="1">IF(ISBLANK(Input!B5),"",INDIRECT("Input!B"&amp;1+MATCH(aux_sheet!$B5,aux_sheet!$A$2:$A$202,0)))</f>
        <v>a2</v>
      </c>
      <c r="D6" s="2" t="str">
        <f ca="1">IF(ISBLANK(Input!C5),"",INDIRECT("Input!C"&amp;1+MATCH(aux_sheet!$B5,aux_sheet!$A$2:$A$202,0)))</f>
        <v>b2</v>
      </c>
      <c r="E6" s="2" t="str">
        <f ca="1">IF(ISBLANK(Input!D5),"",INDIRECT("Input!D"&amp;1+MATCH(aux_sheet!$B5,aux_sheet!$A$2:$A$202,0)))</f>
        <v>j</v>
      </c>
      <c r="F6" s="11">
        <f ca="1">INDIRECT("Input!F"&amp;1+MATCH(aux_sheet!$B5,aux_sheet!$A$2:$A$202,0))</f>
        <v>15</v>
      </c>
      <c r="G6" s="106">
        <f ca="1">IF($B6="","",INDIRECT("aux_sheet!O"&amp;1+MATCH(aux_sheet!$B5,aux_sheet!$A$2:$A$202,0)))</f>
        <v>4</v>
      </c>
      <c r="H6" s="89">
        <f ca="1">IF($B6="","",INDIRECT("aux_sheet!P"&amp;1+MATCH(aux_sheet!$B5,aux_sheet!$A$2:$A$202,0)))</f>
        <v>3</v>
      </c>
      <c r="I6" s="89">
        <f ca="1">IF($B6="","",INDIRECT("aux_sheet!P"&amp;1+MATCH(aux_sheet!$B5,aux_sheet!$A$2:$A$202,0)))</f>
        <v>3</v>
      </c>
      <c r="J6" s="106">
        <f ca="1">IF($B6="","",INDIRECT("aux_sheet!R"&amp;1+MATCH(aux_sheet!$B5,aux_sheet!$A$2:$A$202,0)))</f>
        <v>3</v>
      </c>
      <c r="K6" s="89">
        <f ca="1">IF($B6="","",INDIRECT("aux_sheet!S"&amp;1+MATCH(aux_sheet!$B5,aux_sheet!$A$2:$A$202,0)))</f>
        <v>4</v>
      </c>
      <c r="L6" s="89">
        <f ca="1">IF($B6="","",INDIRECT("aux_sheet!S"&amp;1+MATCH(aux_sheet!$B5,aux_sheet!$A$2:$A$202,0)))</f>
        <v>4</v>
      </c>
      <c r="M6" s="106">
        <f ca="1">IF($B6="","",INDIRECT("aux_sheet!U"&amp;1+MATCH(aux_sheet!$B5,aux_sheet!$A$2:$A$202,0)))</f>
        <v>7</v>
      </c>
      <c r="N6" s="89">
        <f ca="1">IF($B6="","",INDIRECT("aux_sheet!V"&amp;1+MATCH(aux_sheet!$B5,aux_sheet!$A$2:$A$202,0)))</f>
        <v>4</v>
      </c>
      <c r="O6" s="89">
        <f ca="1">IF($B6="","",INDIRECT("aux_sheet!V"&amp;1+MATCH(aux_sheet!$B5,aux_sheet!$A$2:$A$202,0)))</f>
        <v>4</v>
      </c>
      <c r="P6" s="106">
        <f ca="1">IF($B6="","",INDIRECT("aux_sheet!X"&amp;1+MATCH(aux_sheet!$B5,aux_sheet!$A$2:$A$202,0)))</f>
        <v>1</v>
      </c>
      <c r="Q6" s="89">
        <f ca="1">IF($B6="","",INDIRECT("aux_sheet!Y"&amp;1+MATCH(aux_sheet!$B5,aux_sheet!$A$2:$A$202,0)))</f>
        <v>4</v>
      </c>
      <c r="R6" s="89">
        <f ca="1">IF($B6="","",INDIRECT("aux_sheet!Y"&amp;1+MATCH(aux_sheet!$B5,aux_sheet!$A$2:$A$202,0)))</f>
        <v>4</v>
      </c>
      <c r="S6" s="106" t="str">
        <f ca="1">IF($B6="","",INDIRECT("aux_sheet!AA"&amp;1+MATCH(aux_sheet!$B5,aux_sheet!$A$2:$A$202,0)))</f>
        <v/>
      </c>
      <c r="T6" s="89" t="str">
        <f ca="1">IF($B6="","",INDIRECT("aux_sheet!AB"&amp;1+MATCH(aux_sheet!$B5,aux_sheet!$A$2:$A$202,0)))</f>
        <v/>
      </c>
      <c r="U6" s="89" t="str">
        <f ca="1">IF($B6="","",INDIRECT("aux_sheet!AB"&amp;1+MATCH(aux_sheet!$B5,aux_sheet!$A$2:$A$202,0)))</f>
        <v/>
      </c>
      <c r="V6" s="106" t="str">
        <f ca="1">IF($B6="","",INDIRECT("aux_sheet!AD"&amp;1+MATCH(aux_sheet!$B5,aux_sheet!$A$2:$A$202,0)))</f>
        <v/>
      </c>
      <c r="W6" s="89" t="str">
        <f ca="1">IF($B6="","",INDIRECT("aux_sheet!AE"&amp;1+MATCH(aux_sheet!$B5,aux_sheet!$A$2:$A$202,0)))</f>
        <v/>
      </c>
      <c r="X6" s="89" t="str">
        <f ca="1">IF($B6="","",INDIRECT("aux_sheet!AE"&amp;1+MATCH(aux_sheet!$B5,aux_sheet!$A$2:$A$202,0)))</f>
        <v/>
      </c>
      <c r="Y6" s="106" t="str">
        <f ca="1">IF($B6="","",INDIRECT("aux_sheet!AG"&amp;1+MATCH(aux_sheet!$B5,aux_sheet!$A$2:$A$202,0)))</f>
        <v/>
      </c>
      <c r="Z6" s="89" t="str">
        <f ca="1">IF($B6="","",INDIRECT("aux_sheet!AH"&amp;1+MATCH(aux_sheet!$B5,aux_sheet!$A$2:$A$202,0)))</f>
        <v/>
      </c>
      <c r="AA6" s="89" t="str">
        <f ca="1">IF($B6="","",INDIRECT("aux_sheet!AH"&amp;1+MATCH(aux_sheet!$B5,aux_sheet!$A$2:$A$202,0)))</f>
        <v/>
      </c>
      <c r="AB6" s="106" t="str">
        <f ca="1">IF($B6="","",INDIRECT("aux_sheet!AJ"&amp;1+MATCH(aux_sheet!$B5,aux_sheet!$A$2:$A$202,0)))</f>
        <v/>
      </c>
      <c r="AC6" s="89" t="str">
        <f ca="1">IF($B6="","",INDIRECT("aux_sheet!AK"&amp;1+MATCH(aux_sheet!$B5,aux_sheet!$A$2:$A$202,0)))</f>
        <v/>
      </c>
      <c r="AD6" s="89" t="str">
        <f ca="1">IF($B6="","",INDIRECT("aux_sheet!AK"&amp;1+MATCH(aux_sheet!$B5,aux_sheet!$A$2:$A$202,0)))</f>
        <v/>
      </c>
      <c r="AE6" s="106" t="str">
        <f ca="1">IF($B6="","",INDIRECT("aux_sheet!AM"&amp;1+MATCH(aux_sheet!$B5,aux_sheet!$A$2:$A$202,0)))</f>
        <v/>
      </c>
      <c r="AF6" s="89" t="str">
        <f ca="1">IF($B6="","",INDIRECT("aux_sheet!AN"&amp;1+MATCH(aux_sheet!$B5,aux_sheet!$A$2:$A$202,0)))</f>
        <v/>
      </c>
      <c r="AG6" s="89" t="str">
        <f ca="1">IF($B6="","",INDIRECT("aux_sheet!AN"&amp;1+MATCH(aux_sheet!$B5,aux_sheet!$A$2:$A$202,0)))</f>
        <v/>
      </c>
      <c r="AH6" s="14">
        <f ca="1">IF(ISBLANK(Input!A5)," ",F5-F6)</f>
        <v>-2</v>
      </c>
    </row>
    <row r="7" spans="1:39" x14ac:dyDescent="0.35">
      <c r="A7" s="2">
        <f>IF(ISBLANK(Input!A6),"",ROUNDDOWN(aux_sheet!B6,0))</f>
        <v>5</v>
      </c>
      <c r="B7" s="2" t="str">
        <f ca="1">IF(ISBLANK(Input!A6),"",INDIRECT("Input!A"&amp;1+MATCH(aux_sheet!$B6,aux_sheet!$A$2:$A$202,0)))</f>
        <v>test1</v>
      </c>
      <c r="C7" s="2" t="str">
        <f ca="1">IF(ISBLANK(Input!B6),"",INDIRECT("Input!B"&amp;1+MATCH(aux_sheet!$B6,aux_sheet!$A$2:$A$202,0)))</f>
        <v>a1</v>
      </c>
      <c r="D7" s="2" t="str">
        <f ca="1">IF(ISBLANK(Input!C6),"",INDIRECT("Input!C"&amp;1+MATCH(aux_sheet!$B6,aux_sheet!$A$2:$A$202,0)))</f>
        <v>b1</v>
      </c>
      <c r="E7" s="2" t="str">
        <f ca="1">IF(ISBLANK(Input!D6),"",INDIRECT("Input!D"&amp;1+MATCH(aux_sheet!$B6,aux_sheet!$A$2:$A$202,0)))</f>
        <v>j</v>
      </c>
      <c r="F7" s="11">
        <f ca="1">INDIRECT("Input!F"&amp;1+MATCH(aux_sheet!$B6,aux_sheet!$A$2:$A$202,0))</f>
        <v>17</v>
      </c>
      <c r="G7" s="106">
        <f ca="1">IF($B7="","",INDIRECT("aux_sheet!O"&amp;1+MATCH(aux_sheet!$B6,aux_sheet!$A$2:$A$202,0)))</f>
        <v>5</v>
      </c>
      <c r="H7" s="89">
        <f ca="1">IF($B7="","",INDIRECT("aux_sheet!P"&amp;1+MATCH(aux_sheet!$B6,aux_sheet!$A$2:$A$202,0)))</f>
        <v>2</v>
      </c>
      <c r="I7" s="89">
        <f ca="1">IF($B7="","",INDIRECT("aux_sheet!P"&amp;1+MATCH(aux_sheet!$B6,aux_sheet!$A$2:$A$202,0)))</f>
        <v>2</v>
      </c>
      <c r="J7" s="106">
        <f ca="1">IF($B7="","",INDIRECT("aux_sheet!R"&amp;1+MATCH(aux_sheet!$B6,aux_sheet!$A$2:$A$202,0)))</f>
        <v>2</v>
      </c>
      <c r="K7" s="89">
        <f ca="1">IF($B7="","",INDIRECT("aux_sheet!S"&amp;1+MATCH(aux_sheet!$B6,aux_sheet!$A$2:$A$202,0)))</f>
        <v>5</v>
      </c>
      <c r="L7" s="89">
        <f ca="1">IF($B7="","",INDIRECT("aux_sheet!S"&amp;1+MATCH(aux_sheet!$B6,aux_sheet!$A$2:$A$202,0)))</f>
        <v>5</v>
      </c>
      <c r="M7" s="106">
        <f ca="1">IF($B7="","",INDIRECT("aux_sheet!U"&amp;1+MATCH(aux_sheet!$B6,aux_sheet!$A$2:$A$202,0)))</f>
        <v>6</v>
      </c>
      <c r="N7" s="89">
        <f ca="1">IF($B7="","",INDIRECT("aux_sheet!V"&amp;1+MATCH(aux_sheet!$B6,aux_sheet!$A$2:$A$202,0)))</f>
        <v>5</v>
      </c>
      <c r="O7" s="89">
        <f ca="1">IF($B7="","",INDIRECT("aux_sheet!V"&amp;1+MATCH(aux_sheet!$B6,aux_sheet!$A$2:$A$202,0)))</f>
        <v>5</v>
      </c>
      <c r="P7" s="106">
        <f ca="1">IF($B7="","",INDIRECT("aux_sheet!X"&amp;1+MATCH(aux_sheet!$B6,aux_sheet!$A$2:$A$202,0)))</f>
        <v>0</v>
      </c>
      <c r="Q7" s="89">
        <f ca="1">IF($B7="","",INDIRECT("aux_sheet!Y"&amp;1+MATCH(aux_sheet!$B6,aux_sheet!$A$2:$A$202,0)))</f>
        <v>5</v>
      </c>
      <c r="R7" s="89">
        <f ca="1">IF($B7="","",INDIRECT("aux_sheet!Y"&amp;1+MATCH(aux_sheet!$B6,aux_sheet!$A$2:$A$202,0)))</f>
        <v>5</v>
      </c>
      <c r="S7" s="106" t="str">
        <f ca="1">IF($B7="","",INDIRECT("aux_sheet!AA"&amp;1+MATCH(aux_sheet!$B6,aux_sheet!$A$2:$A$202,0)))</f>
        <v/>
      </c>
      <c r="T7" s="89" t="str">
        <f ca="1">IF($B7="","",INDIRECT("aux_sheet!AB"&amp;1+MATCH(aux_sheet!$B6,aux_sheet!$A$2:$A$202,0)))</f>
        <v/>
      </c>
      <c r="U7" s="89" t="str">
        <f ca="1">IF($B7="","",INDIRECT("aux_sheet!AB"&amp;1+MATCH(aux_sheet!$B6,aux_sheet!$A$2:$A$202,0)))</f>
        <v/>
      </c>
      <c r="V7" s="106" t="str">
        <f ca="1">IF($B7="","",INDIRECT("aux_sheet!AD"&amp;1+MATCH(aux_sheet!$B6,aux_sheet!$A$2:$A$202,0)))</f>
        <v/>
      </c>
      <c r="W7" s="89" t="str">
        <f ca="1">IF($B7="","",INDIRECT("aux_sheet!AE"&amp;1+MATCH(aux_sheet!$B6,aux_sheet!$A$2:$A$202,0)))</f>
        <v/>
      </c>
      <c r="X7" s="89" t="str">
        <f ca="1">IF($B7="","",INDIRECT("aux_sheet!AE"&amp;1+MATCH(aux_sheet!$B6,aux_sheet!$A$2:$A$202,0)))</f>
        <v/>
      </c>
      <c r="Y7" s="106" t="str">
        <f ca="1">IF($B7="","",INDIRECT("aux_sheet!AG"&amp;1+MATCH(aux_sheet!$B6,aux_sheet!$A$2:$A$202,0)))</f>
        <v/>
      </c>
      <c r="Z7" s="89" t="str">
        <f ca="1">IF($B7="","",INDIRECT("aux_sheet!AH"&amp;1+MATCH(aux_sheet!$B6,aux_sheet!$A$2:$A$202,0)))</f>
        <v/>
      </c>
      <c r="AA7" s="89" t="str">
        <f ca="1">IF($B7="","",INDIRECT("aux_sheet!AH"&amp;1+MATCH(aux_sheet!$B6,aux_sheet!$A$2:$A$202,0)))</f>
        <v/>
      </c>
      <c r="AB7" s="106" t="str">
        <f ca="1">IF($B7="","",INDIRECT("aux_sheet!AJ"&amp;1+MATCH(aux_sheet!$B6,aux_sheet!$A$2:$A$202,0)))</f>
        <v/>
      </c>
      <c r="AC7" s="89" t="str">
        <f ca="1">IF($B7="","",INDIRECT("aux_sheet!AK"&amp;1+MATCH(aux_sheet!$B6,aux_sheet!$A$2:$A$202,0)))</f>
        <v/>
      </c>
      <c r="AD7" s="89" t="str">
        <f ca="1">IF($B7="","",INDIRECT("aux_sheet!AK"&amp;1+MATCH(aux_sheet!$B6,aux_sheet!$A$2:$A$202,0)))</f>
        <v/>
      </c>
      <c r="AE7" s="106" t="str">
        <f ca="1">IF($B7="","",INDIRECT("aux_sheet!AM"&amp;1+MATCH(aux_sheet!$B6,aux_sheet!$A$2:$A$202,0)))</f>
        <v/>
      </c>
      <c r="AF7" s="89" t="str">
        <f ca="1">IF($B7="","",INDIRECT("aux_sheet!AN"&amp;1+MATCH(aux_sheet!$B6,aux_sheet!$A$2:$A$202,0)))</f>
        <v/>
      </c>
      <c r="AG7" s="89" t="str">
        <f ca="1">IF($B7="","",INDIRECT("aux_sheet!AN"&amp;1+MATCH(aux_sheet!$B6,aux_sheet!$A$2:$A$202,0)))</f>
        <v/>
      </c>
      <c r="AH7" s="14">
        <f ca="1">IF(ISBLANK(Input!A6)," ",F6-F7)</f>
        <v>-2</v>
      </c>
    </row>
    <row r="8" spans="1:39" x14ac:dyDescent="0.35">
      <c r="A8" s="2">
        <f>IF(ISBLANK(Input!A7),"",ROUNDDOWN(aux_sheet!B7,0))</f>
        <v>6</v>
      </c>
      <c r="B8" s="2" t="str">
        <f ca="1">IF(ISBLANK(Input!A7),"",INDIRECT("Input!A"&amp;1+MATCH(aux_sheet!$B7,aux_sheet!$A$2:$A$202,0)))</f>
        <v>test</v>
      </c>
      <c r="C8" s="2" t="str">
        <f ca="1">IF(ISBLANK(Input!B7),"",INDIRECT("Input!B"&amp;1+MATCH(aux_sheet!$B7,aux_sheet!$A$2:$A$202,0)))</f>
        <v>a</v>
      </c>
      <c r="D8" s="2" t="str">
        <f ca="1">IF(ISBLANK(Input!C7),"",INDIRECT("Input!C"&amp;1+MATCH(aux_sheet!$B7,aux_sheet!$A$2:$A$202,0)))</f>
        <v>b</v>
      </c>
      <c r="E8" s="2" t="str">
        <f ca="1">IF(ISBLANK(Input!D7),"",INDIRECT("Input!D"&amp;1+MATCH(aux_sheet!$B7,aux_sheet!$A$2:$A$202,0)))</f>
        <v>j</v>
      </c>
      <c r="F8" s="11">
        <f ca="1">INDIRECT("Input!F"&amp;1+MATCH(aux_sheet!$B7,aux_sheet!$A$2:$A$202,0))</f>
        <v>19</v>
      </c>
      <c r="G8" s="106">
        <f ca="1">IF($B8="","",INDIRECT("aux_sheet!O"&amp;1+MATCH(aux_sheet!$B7,aux_sheet!$A$2:$A$202,0)))</f>
        <v>6</v>
      </c>
      <c r="H8" s="89">
        <f ca="1">IF($B8="","",INDIRECT("aux_sheet!P"&amp;1+MATCH(aux_sheet!$B7,aux_sheet!$A$2:$A$202,0)))</f>
        <v>1</v>
      </c>
      <c r="I8" s="89">
        <f ca="1">IF($B8="","",INDIRECT("aux_sheet!P"&amp;1+MATCH(aux_sheet!$B7,aux_sheet!$A$2:$A$202,0)))</f>
        <v>1</v>
      </c>
      <c r="J8" s="106">
        <f ca="1">IF($B8="","",INDIRECT("aux_sheet!R"&amp;1+MATCH(aux_sheet!$B7,aux_sheet!$A$2:$A$202,0)))</f>
        <v>1</v>
      </c>
      <c r="K8" s="89">
        <f ca="1">IF($B8="","",INDIRECT("aux_sheet!S"&amp;1+MATCH(aux_sheet!$B7,aux_sheet!$A$2:$A$202,0)))</f>
        <v>6</v>
      </c>
      <c r="L8" s="89">
        <f ca="1">IF($B8="","",INDIRECT("aux_sheet!S"&amp;1+MATCH(aux_sheet!$B7,aux_sheet!$A$2:$A$202,0)))</f>
        <v>6</v>
      </c>
      <c r="M8" s="106">
        <f ca="1">IF($B8="","",INDIRECT("aux_sheet!U"&amp;1+MATCH(aux_sheet!$B7,aux_sheet!$A$2:$A$202,0)))</f>
        <v>5</v>
      </c>
      <c r="N8" s="89">
        <f ca="1">IF($B8="","",INDIRECT("aux_sheet!V"&amp;1+MATCH(aux_sheet!$B7,aux_sheet!$A$2:$A$202,0)))</f>
        <v>6</v>
      </c>
      <c r="O8" s="89">
        <f ca="1">IF($B8="","",INDIRECT("aux_sheet!V"&amp;1+MATCH(aux_sheet!$B7,aux_sheet!$A$2:$A$202,0)))</f>
        <v>6</v>
      </c>
      <c r="P8" s="106" t="str">
        <f ca="1">IF($B8="","",INDIRECT("aux_sheet!X"&amp;1+MATCH(aux_sheet!$B7,aux_sheet!$A$2:$A$202,0)))</f>
        <v>np</v>
      </c>
      <c r="Q8" s="89">
        <f ca="1">IF($B8="","",INDIRECT("aux_sheet!Y"&amp;1+MATCH(aux_sheet!$B7,aux_sheet!$A$2:$A$202,0)))</f>
        <v>6</v>
      </c>
      <c r="R8" s="89">
        <f ca="1">IF($B8="","",INDIRECT("aux_sheet!Y"&amp;1+MATCH(aux_sheet!$B7,aux_sheet!$A$2:$A$202,0)))</f>
        <v>6</v>
      </c>
      <c r="S8" s="106" t="str">
        <f ca="1">IF($B8="","",INDIRECT("aux_sheet!AA"&amp;1+MATCH(aux_sheet!$B7,aux_sheet!$A$2:$A$202,0)))</f>
        <v/>
      </c>
      <c r="T8" s="89" t="str">
        <f ca="1">IF($B8="","",INDIRECT("aux_sheet!AB"&amp;1+MATCH(aux_sheet!$B7,aux_sheet!$A$2:$A$202,0)))</f>
        <v/>
      </c>
      <c r="U8" s="89" t="str">
        <f ca="1">IF($B8="","",INDIRECT("aux_sheet!AB"&amp;1+MATCH(aux_sheet!$B7,aux_sheet!$A$2:$A$202,0)))</f>
        <v/>
      </c>
      <c r="V8" s="106" t="str">
        <f ca="1">IF($B8="","",INDIRECT("aux_sheet!AD"&amp;1+MATCH(aux_sheet!$B7,aux_sheet!$A$2:$A$202,0)))</f>
        <v/>
      </c>
      <c r="W8" s="89" t="str">
        <f ca="1">IF($B8="","",INDIRECT("aux_sheet!AE"&amp;1+MATCH(aux_sheet!$B7,aux_sheet!$A$2:$A$202,0)))</f>
        <v/>
      </c>
      <c r="X8" s="89" t="str">
        <f ca="1">IF($B8="","",INDIRECT("aux_sheet!AE"&amp;1+MATCH(aux_sheet!$B7,aux_sheet!$A$2:$A$202,0)))</f>
        <v/>
      </c>
      <c r="Y8" s="106" t="str">
        <f ca="1">IF($B8="","",INDIRECT("aux_sheet!AG"&amp;1+MATCH(aux_sheet!$B7,aux_sheet!$A$2:$A$202,0)))</f>
        <v/>
      </c>
      <c r="Z8" s="89" t="str">
        <f ca="1">IF($B8="","",INDIRECT("aux_sheet!AH"&amp;1+MATCH(aux_sheet!$B7,aux_sheet!$A$2:$A$202,0)))</f>
        <v/>
      </c>
      <c r="AA8" s="89" t="str">
        <f ca="1">IF($B8="","",INDIRECT("aux_sheet!AH"&amp;1+MATCH(aux_sheet!$B7,aux_sheet!$A$2:$A$202,0)))</f>
        <v/>
      </c>
      <c r="AB8" s="106" t="str">
        <f ca="1">IF($B8="","",INDIRECT("aux_sheet!AJ"&amp;1+MATCH(aux_sheet!$B7,aux_sheet!$A$2:$A$202,0)))</f>
        <v/>
      </c>
      <c r="AC8" s="89" t="str">
        <f ca="1">IF($B8="","",INDIRECT("aux_sheet!AK"&amp;1+MATCH(aux_sheet!$B7,aux_sheet!$A$2:$A$202,0)))</f>
        <v/>
      </c>
      <c r="AD8" s="89" t="str">
        <f ca="1">IF($B8="","",INDIRECT("aux_sheet!AK"&amp;1+MATCH(aux_sheet!$B7,aux_sheet!$A$2:$A$202,0)))</f>
        <v/>
      </c>
      <c r="AE8" s="106" t="str">
        <f ca="1">IF($B8="","",INDIRECT("aux_sheet!AM"&amp;1+MATCH(aux_sheet!$B7,aux_sheet!$A$2:$A$202,0)))</f>
        <v/>
      </c>
      <c r="AF8" s="89" t="str">
        <f ca="1">IF($B8="","",INDIRECT("aux_sheet!AN"&amp;1+MATCH(aux_sheet!$B7,aux_sheet!$A$2:$A$202,0)))</f>
        <v/>
      </c>
      <c r="AG8" s="89" t="str">
        <f ca="1">IF($B8="","",INDIRECT("aux_sheet!AN"&amp;1+MATCH(aux_sheet!$B7,aux_sheet!$A$2:$A$202,0)))</f>
        <v/>
      </c>
      <c r="AH8" s="14">
        <f ca="1">IF(ISBLANK(Input!A7)," ",F7-F8)</f>
        <v>-2</v>
      </c>
    </row>
    <row r="9" spans="1:39" x14ac:dyDescent="0.35">
      <c r="A9" s="2" t="str">
        <f>IF(ISBLANK(Input!A8),"",ROUNDDOWN(aux_sheet!B8,0))</f>
        <v/>
      </c>
      <c r="B9" s="2" t="str">
        <f ca="1">IF(ISBLANK(Input!A8),"",INDIRECT("Input!A"&amp;1+MATCH(aux_sheet!$B8,aux_sheet!$A$2:$A$202,0)))</f>
        <v/>
      </c>
      <c r="C9" s="2" t="str">
        <f ca="1">IF(ISBLANK(Input!B8),"",INDIRECT("Input!B"&amp;1+MATCH(aux_sheet!$B8,aux_sheet!$A$2:$A$202,0)))</f>
        <v/>
      </c>
      <c r="D9" s="2" t="str">
        <f ca="1">IF(ISBLANK(Input!C8),"",INDIRECT("Input!C"&amp;1+MATCH(aux_sheet!$B8,aux_sheet!$A$2:$A$202,0)))</f>
        <v/>
      </c>
      <c r="E9" s="2" t="str">
        <f ca="1">IF(ISBLANK(Input!D8),"",INDIRECT("Input!D"&amp;1+MATCH(aux_sheet!$B8,aux_sheet!$A$2:$A$202,0)))</f>
        <v/>
      </c>
      <c r="F9" s="11" t="str">
        <f ca="1">INDIRECT("Input!F"&amp;1+MATCH(aux_sheet!$B8,aux_sheet!$A$2:$A$202,0))</f>
        <v xml:space="preserve"> </v>
      </c>
      <c r="G9" s="106" t="str">
        <f ca="1">IF($B9="","",INDIRECT("aux_sheet!O"&amp;1+MATCH(aux_sheet!$B8,aux_sheet!$A$2:$A$202,0)))</f>
        <v/>
      </c>
      <c r="H9" s="89" t="str">
        <f ca="1">IF($B9="","",INDIRECT("aux_sheet!P"&amp;1+MATCH(aux_sheet!$B8,aux_sheet!$A$2:$A$202,0)))</f>
        <v/>
      </c>
      <c r="I9" s="89" t="str">
        <f ca="1">IF($B9="","",INDIRECT("aux_sheet!P"&amp;1+MATCH(aux_sheet!$B8,aux_sheet!$A$2:$A$202,0)))</f>
        <v/>
      </c>
      <c r="J9" s="106" t="str">
        <f ca="1">IF($B9="","",INDIRECT("aux_sheet!R"&amp;1+MATCH(aux_sheet!$B8,aux_sheet!$A$2:$A$202,0)))</f>
        <v/>
      </c>
      <c r="K9" s="89" t="str">
        <f ca="1">IF($B9="","",INDIRECT("aux_sheet!S"&amp;1+MATCH(aux_sheet!$B8,aux_sheet!$A$2:$A$202,0)))</f>
        <v/>
      </c>
      <c r="L9" s="89" t="str">
        <f ca="1">IF($B9="","",INDIRECT("aux_sheet!S"&amp;1+MATCH(aux_sheet!$B8,aux_sheet!$A$2:$A$202,0)))</f>
        <v/>
      </c>
      <c r="M9" s="106" t="str">
        <f ca="1">IF($B9="","",INDIRECT("aux_sheet!U"&amp;1+MATCH(aux_sheet!$B8,aux_sheet!$A$2:$A$202,0)))</f>
        <v/>
      </c>
      <c r="N9" s="89" t="str">
        <f ca="1">IF($B9="","",INDIRECT("aux_sheet!V"&amp;1+MATCH(aux_sheet!$B8,aux_sheet!$A$2:$A$202,0)))</f>
        <v/>
      </c>
      <c r="O9" s="89" t="str">
        <f ca="1">IF($B9="","",INDIRECT("aux_sheet!V"&amp;1+MATCH(aux_sheet!$B8,aux_sheet!$A$2:$A$202,0)))</f>
        <v/>
      </c>
      <c r="P9" s="106" t="str">
        <f ca="1">IF($B9="","",INDIRECT("aux_sheet!X"&amp;1+MATCH(aux_sheet!$B8,aux_sheet!$A$2:$A$202,0)))</f>
        <v/>
      </c>
      <c r="Q9" s="89" t="str">
        <f ca="1">IF($B9="","",INDIRECT("aux_sheet!Y"&amp;1+MATCH(aux_sheet!$B8,aux_sheet!$A$2:$A$202,0)))</f>
        <v/>
      </c>
      <c r="R9" s="89" t="str">
        <f ca="1">IF($B9="","",INDIRECT("aux_sheet!Y"&amp;1+MATCH(aux_sheet!$B8,aux_sheet!$A$2:$A$202,0)))</f>
        <v/>
      </c>
      <c r="S9" s="106" t="str">
        <f ca="1">IF($B9="","",INDIRECT("aux_sheet!AA"&amp;1+MATCH(aux_sheet!$B8,aux_sheet!$A$2:$A$202,0)))</f>
        <v/>
      </c>
      <c r="T9" s="89" t="str">
        <f ca="1">IF($B9="","",INDIRECT("aux_sheet!AB"&amp;1+MATCH(aux_sheet!$B8,aux_sheet!$A$2:$A$202,0)))</f>
        <v/>
      </c>
      <c r="U9" s="89" t="str">
        <f ca="1">IF($B9="","",INDIRECT("aux_sheet!AB"&amp;1+MATCH(aux_sheet!$B8,aux_sheet!$A$2:$A$202,0)))</f>
        <v/>
      </c>
      <c r="V9" s="106" t="str">
        <f ca="1">IF($B9="","",INDIRECT("aux_sheet!AD"&amp;1+MATCH(aux_sheet!$B8,aux_sheet!$A$2:$A$202,0)))</f>
        <v/>
      </c>
      <c r="W9" s="89" t="str">
        <f ca="1">IF($B9="","",INDIRECT("aux_sheet!AE"&amp;1+MATCH(aux_sheet!$B8,aux_sheet!$A$2:$A$202,0)))</f>
        <v/>
      </c>
      <c r="X9" s="89" t="str">
        <f ca="1">IF($B9="","",INDIRECT("aux_sheet!AE"&amp;1+MATCH(aux_sheet!$B8,aux_sheet!$A$2:$A$202,0)))</f>
        <v/>
      </c>
      <c r="Y9" s="106" t="str">
        <f ca="1">IF($B9="","",INDIRECT("aux_sheet!AG"&amp;1+MATCH(aux_sheet!$B8,aux_sheet!$A$2:$A$202,0)))</f>
        <v/>
      </c>
      <c r="Z9" s="89" t="str">
        <f ca="1">IF($B9="","",INDIRECT("aux_sheet!AH"&amp;1+MATCH(aux_sheet!$B8,aux_sheet!$A$2:$A$202,0)))</f>
        <v/>
      </c>
      <c r="AA9" s="89" t="str">
        <f ca="1">IF($B9="","",INDIRECT("aux_sheet!AH"&amp;1+MATCH(aux_sheet!$B8,aux_sheet!$A$2:$A$202,0)))</f>
        <v/>
      </c>
      <c r="AB9" s="106" t="str">
        <f ca="1">IF($B9="","",INDIRECT("aux_sheet!AJ"&amp;1+MATCH(aux_sheet!$B8,aux_sheet!$A$2:$A$202,0)))</f>
        <v/>
      </c>
      <c r="AC9" s="89" t="str">
        <f ca="1">IF($B9="","",INDIRECT("aux_sheet!AK"&amp;1+MATCH(aux_sheet!$B8,aux_sheet!$A$2:$A$202,0)))</f>
        <v/>
      </c>
      <c r="AD9" s="89" t="str">
        <f ca="1">IF($B9="","",INDIRECT("aux_sheet!AK"&amp;1+MATCH(aux_sheet!$B8,aux_sheet!$A$2:$A$202,0)))</f>
        <v/>
      </c>
      <c r="AE9" s="106" t="str">
        <f ca="1">IF($B9="","",INDIRECT("aux_sheet!AM"&amp;1+MATCH(aux_sheet!$B8,aux_sheet!$A$2:$A$202,0)))</f>
        <v/>
      </c>
      <c r="AF9" s="89" t="str">
        <f ca="1">IF($B9="","",INDIRECT("aux_sheet!AN"&amp;1+MATCH(aux_sheet!$B8,aux_sheet!$A$2:$A$202,0)))</f>
        <v/>
      </c>
      <c r="AG9" s="89" t="str">
        <f ca="1">IF($B9="","",INDIRECT("aux_sheet!AN"&amp;1+MATCH(aux_sheet!$B8,aux_sheet!$A$2:$A$202,0)))</f>
        <v/>
      </c>
      <c r="AH9" s="14" t="str">
        <f>IF(ISBLANK(Input!A8)," ",F8-F9)</f>
        <v xml:space="preserve"> </v>
      </c>
    </row>
    <row r="10" spans="1:39" x14ac:dyDescent="0.35">
      <c r="A10" s="2" t="str">
        <f>IF(ISBLANK(Input!A9),"",ROUNDDOWN(aux_sheet!B9,0))</f>
        <v/>
      </c>
      <c r="B10" s="2" t="str">
        <f ca="1">IF(ISBLANK(Input!A9),"",INDIRECT("Input!A"&amp;1+MATCH(aux_sheet!$B9,aux_sheet!$A$2:$A$202,0)))</f>
        <v/>
      </c>
      <c r="C10" s="2" t="str">
        <f ca="1">IF(ISBLANK(Input!B9),"",INDIRECT("Input!B"&amp;1+MATCH(aux_sheet!$B9,aux_sheet!$A$2:$A$202,0)))</f>
        <v/>
      </c>
      <c r="D10" s="2" t="str">
        <f ca="1">IF(ISBLANK(Input!C9),"",INDIRECT("Input!C"&amp;1+MATCH(aux_sheet!$B9,aux_sheet!$A$2:$A$202,0)))</f>
        <v/>
      </c>
      <c r="E10" s="2" t="str">
        <f ca="1">IF(ISBLANK(Input!D9),"",INDIRECT("Input!D"&amp;1+MATCH(aux_sheet!$B9,aux_sheet!$A$2:$A$202,0)))</f>
        <v/>
      </c>
      <c r="F10" s="11" t="str">
        <f ca="1">INDIRECT("Input!F"&amp;1+MATCH(aux_sheet!$B9,aux_sheet!$A$2:$A$202,0))</f>
        <v xml:space="preserve"> </v>
      </c>
      <c r="G10" s="106" t="str">
        <f ca="1">IF($B10="","",INDIRECT("aux_sheet!O"&amp;1+MATCH(aux_sheet!$B9,aux_sheet!$A$2:$A$202,0)))</f>
        <v/>
      </c>
      <c r="H10" s="89" t="str">
        <f ca="1">IF($B10="","",INDIRECT("aux_sheet!P"&amp;1+MATCH(aux_sheet!$B9,aux_sheet!$A$2:$A$202,0)))</f>
        <v/>
      </c>
      <c r="I10" s="89" t="str">
        <f ca="1">IF($B10="","",INDIRECT("aux_sheet!P"&amp;1+MATCH(aux_sheet!$B9,aux_sheet!$A$2:$A$202,0)))</f>
        <v/>
      </c>
      <c r="J10" s="106" t="str">
        <f ca="1">IF($B10="","",INDIRECT("aux_sheet!R"&amp;1+MATCH(aux_sheet!$B9,aux_sheet!$A$2:$A$202,0)))</f>
        <v/>
      </c>
      <c r="K10" s="89" t="str">
        <f ca="1">IF($B10="","",INDIRECT("aux_sheet!S"&amp;1+MATCH(aux_sheet!$B9,aux_sheet!$A$2:$A$202,0)))</f>
        <v/>
      </c>
      <c r="L10" s="89" t="str">
        <f ca="1">IF($B10="","",INDIRECT("aux_sheet!S"&amp;1+MATCH(aux_sheet!$B9,aux_sheet!$A$2:$A$202,0)))</f>
        <v/>
      </c>
      <c r="M10" s="106" t="str">
        <f ca="1">IF($B10="","",INDIRECT("aux_sheet!U"&amp;1+MATCH(aux_sheet!$B9,aux_sheet!$A$2:$A$202,0)))</f>
        <v/>
      </c>
      <c r="N10" s="89" t="str">
        <f ca="1">IF($B10="","",INDIRECT("aux_sheet!V"&amp;1+MATCH(aux_sheet!$B9,aux_sheet!$A$2:$A$202,0)))</f>
        <v/>
      </c>
      <c r="O10" s="89" t="str">
        <f ca="1">IF($B10="","",INDIRECT("aux_sheet!V"&amp;1+MATCH(aux_sheet!$B9,aux_sheet!$A$2:$A$202,0)))</f>
        <v/>
      </c>
      <c r="P10" s="106" t="str">
        <f ca="1">IF($B10="","",INDIRECT("aux_sheet!X"&amp;1+MATCH(aux_sheet!$B9,aux_sheet!$A$2:$A$202,0)))</f>
        <v/>
      </c>
      <c r="Q10" s="89" t="str">
        <f ca="1">IF($B10="","",INDIRECT("aux_sheet!Y"&amp;1+MATCH(aux_sheet!$B9,aux_sheet!$A$2:$A$202,0)))</f>
        <v/>
      </c>
      <c r="R10" s="89" t="str">
        <f ca="1">IF($B10="","",INDIRECT("aux_sheet!Y"&amp;1+MATCH(aux_sheet!$B9,aux_sheet!$A$2:$A$202,0)))</f>
        <v/>
      </c>
      <c r="S10" s="106" t="str">
        <f ca="1">IF($B10="","",INDIRECT("aux_sheet!AA"&amp;1+MATCH(aux_sheet!$B9,aux_sheet!$A$2:$A$202,0)))</f>
        <v/>
      </c>
      <c r="T10" s="89" t="str">
        <f ca="1">IF($B10="","",INDIRECT("aux_sheet!AB"&amp;1+MATCH(aux_sheet!$B9,aux_sheet!$A$2:$A$202,0)))</f>
        <v/>
      </c>
      <c r="U10" s="89" t="str">
        <f ca="1">IF($B10="","",INDIRECT("aux_sheet!AB"&amp;1+MATCH(aux_sheet!$B9,aux_sheet!$A$2:$A$202,0)))</f>
        <v/>
      </c>
      <c r="V10" s="106" t="str">
        <f ca="1">IF($B10="","",INDIRECT("aux_sheet!AD"&amp;1+MATCH(aux_sheet!$B9,aux_sheet!$A$2:$A$202,0)))</f>
        <v/>
      </c>
      <c r="W10" s="89" t="str">
        <f ca="1">IF($B10="","",INDIRECT("aux_sheet!AE"&amp;1+MATCH(aux_sheet!$B9,aux_sheet!$A$2:$A$202,0)))</f>
        <v/>
      </c>
      <c r="X10" s="89" t="str">
        <f ca="1">IF($B10="","",INDIRECT("aux_sheet!AE"&amp;1+MATCH(aux_sheet!$B9,aux_sheet!$A$2:$A$202,0)))</f>
        <v/>
      </c>
      <c r="Y10" s="106" t="str">
        <f ca="1">IF($B10="","",INDIRECT("aux_sheet!AG"&amp;1+MATCH(aux_sheet!$B9,aux_sheet!$A$2:$A$202,0)))</f>
        <v/>
      </c>
      <c r="Z10" s="89" t="str">
        <f ca="1">IF($B10="","",INDIRECT("aux_sheet!AH"&amp;1+MATCH(aux_sheet!$B9,aux_sheet!$A$2:$A$202,0)))</f>
        <v/>
      </c>
      <c r="AA10" s="89" t="str">
        <f ca="1">IF($B10="","",INDIRECT("aux_sheet!AH"&amp;1+MATCH(aux_sheet!$B9,aux_sheet!$A$2:$A$202,0)))</f>
        <v/>
      </c>
      <c r="AB10" s="106" t="str">
        <f ca="1">IF($B10="","",INDIRECT("aux_sheet!AJ"&amp;1+MATCH(aux_sheet!$B9,aux_sheet!$A$2:$A$202,0)))</f>
        <v/>
      </c>
      <c r="AC10" s="89" t="str">
        <f ca="1">IF($B10="","",INDIRECT("aux_sheet!AK"&amp;1+MATCH(aux_sheet!$B9,aux_sheet!$A$2:$A$202,0)))</f>
        <v/>
      </c>
      <c r="AD10" s="89" t="str">
        <f ca="1">IF($B10="","",INDIRECT("aux_sheet!AK"&amp;1+MATCH(aux_sheet!$B9,aux_sheet!$A$2:$A$202,0)))</f>
        <v/>
      </c>
      <c r="AE10" s="106" t="str">
        <f ca="1">IF($B10="","",INDIRECT("aux_sheet!AM"&amp;1+MATCH(aux_sheet!$B9,aux_sheet!$A$2:$A$202,0)))</f>
        <v/>
      </c>
      <c r="AF10" s="89" t="str">
        <f ca="1">IF($B10="","",INDIRECT("aux_sheet!AN"&amp;1+MATCH(aux_sheet!$B9,aux_sheet!$A$2:$A$202,0)))</f>
        <v/>
      </c>
      <c r="AG10" s="89" t="str">
        <f ca="1">IF($B10="","",INDIRECT("aux_sheet!AN"&amp;1+MATCH(aux_sheet!$B9,aux_sheet!$A$2:$A$202,0)))</f>
        <v/>
      </c>
      <c r="AH10" s="14" t="str">
        <f>IF(ISBLANK(Input!A9)," ",F9-F10)</f>
        <v xml:space="preserve"> </v>
      </c>
    </row>
    <row r="11" spans="1:39" x14ac:dyDescent="0.35">
      <c r="A11" s="2" t="str">
        <f>IF(ISBLANK(Input!A10),"",ROUNDDOWN(aux_sheet!B10,0))</f>
        <v/>
      </c>
      <c r="B11" s="2" t="str">
        <f ca="1">IF(ISBLANK(Input!A10),"",INDIRECT("Input!A"&amp;1+MATCH(aux_sheet!$B10,aux_sheet!$A$2:$A$202,0)))</f>
        <v/>
      </c>
      <c r="C11" s="2" t="str">
        <f ca="1">IF(ISBLANK(Input!B10),"",INDIRECT("Input!B"&amp;1+MATCH(aux_sheet!$B10,aux_sheet!$A$2:$A$202,0)))</f>
        <v/>
      </c>
      <c r="D11" s="2" t="str">
        <f ca="1">IF(ISBLANK(Input!C10),"",INDIRECT("Input!C"&amp;1+MATCH(aux_sheet!$B10,aux_sheet!$A$2:$A$202,0)))</f>
        <v/>
      </c>
      <c r="E11" s="2" t="str">
        <f ca="1">IF(ISBLANK(Input!D10),"",INDIRECT("Input!D"&amp;1+MATCH(aux_sheet!$B10,aux_sheet!$A$2:$A$202,0)))</f>
        <v/>
      </c>
      <c r="F11" s="11" t="str">
        <f ca="1">INDIRECT("Input!F"&amp;1+MATCH(aux_sheet!$B10,aux_sheet!$A$2:$A$202,0))</f>
        <v xml:space="preserve"> </v>
      </c>
      <c r="G11" s="106" t="str">
        <f ca="1">IF($B11="","",INDIRECT("aux_sheet!O"&amp;1+MATCH(aux_sheet!$B10,aux_sheet!$A$2:$A$202,0)))</f>
        <v/>
      </c>
      <c r="H11" s="89" t="str">
        <f ca="1">IF($B11="","",INDIRECT("aux_sheet!P"&amp;1+MATCH(aux_sheet!$B10,aux_sheet!$A$2:$A$202,0)))</f>
        <v/>
      </c>
      <c r="I11" s="89" t="str">
        <f ca="1">IF($B11="","",INDIRECT("aux_sheet!P"&amp;1+MATCH(aux_sheet!$B10,aux_sheet!$A$2:$A$202,0)))</f>
        <v/>
      </c>
      <c r="J11" s="106" t="str">
        <f ca="1">IF($B11="","",INDIRECT("aux_sheet!R"&amp;1+MATCH(aux_sheet!$B10,aux_sheet!$A$2:$A$202,0)))</f>
        <v/>
      </c>
      <c r="K11" s="89" t="str">
        <f ca="1">IF($B11="","",INDIRECT("aux_sheet!S"&amp;1+MATCH(aux_sheet!$B10,aux_sheet!$A$2:$A$202,0)))</f>
        <v/>
      </c>
      <c r="L11" s="89" t="str">
        <f ca="1">IF($B11="","",INDIRECT("aux_sheet!S"&amp;1+MATCH(aux_sheet!$B10,aux_sheet!$A$2:$A$202,0)))</f>
        <v/>
      </c>
      <c r="M11" s="106" t="str">
        <f ca="1">IF($B11="","",INDIRECT("aux_sheet!U"&amp;1+MATCH(aux_sheet!$B10,aux_sheet!$A$2:$A$202,0)))</f>
        <v/>
      </c>
      <c r="N11" s="89" t="str">
        <f ca="1">IF($B11="","",INDIRECT("aux_sheet!V"&amp;1+MATCH(aux_sheet!$B10,aux_sheet!$A$2:$A$202,0)))</f>
        <v/>
      </c>
      <c r="O11" s="89" t="str">
        <f ca="1">IF($B11="","",INDIRECT("aux_sheet!V"&amp;1+MATCH(aux_sheet!$B10,aux_sheet!$A$2:$A$202,0)))</f>
        <v/>
      </c>
      <c r="P11" s="106" t="str">
        <f ca="1">IF($B11="","",INDIRECT("aux_sheet!X"&amp;1+MATCH(aux_sheet!$B10,aux_sheet!$A$2:$A$202,0)))</f>
        <v/>
      </c>
      <c r="Q11" s="89" t="str">
        <f ca="1">IF($B11="","",INDIRECT("aux_sheet!Y"&amp;1+MATCH(aux_sheet!$B10,aux_sheet!$A$2:$A$202,0)))</f>
        <v/>
      </c>
      <c r="R11" s="89" t="str">
        <f ca="1">IF($B11="","",INDIRECT("aux_sheet!Y"&amp;1+MATCH(aux_sheet!$B10,aux_sheet!$A$2:$A$202,0)))</f>
        <v/>
      </c>
      <c r="S11" s="106" t="str">
        <f ca="1">IF($B11="","",INDIRECT("aux_sheet!AA"&amp;1+MATCH(aux_sheet!$B10,aux_sheet!$A$2:$A$202,0)))</f>
        <v/>
      </c>
      <c r="T11" s="89" t="str">
        <f ca="1">IF($B11="","",INDIRECT("aux_sheet!AB"&amp;1+MATCH(aux_sheet!$B10,aux_sheet!$A$2:$A$202,0)))</f>
        <v/>
      </c>
      <c r="U11" s="89" t="str">
        <f ca="1">IF($B11="","",INDIRECT("aux_sheet!AB"&amp;1+MATCH(aux_sheet!$B10,aux_sheet!$A$2:$A$202,0)))</f>
        <v/>
      </c>
      <c r="V11" s="106" t="str">
        <f ca="1">IF($B11="","",INDIRECT("aux_sheet!AD"&amp;1+MATCH(aux_sheet!$B10,aux_sheet!$A$2:$A$202,0)))</f>
        <v/>
      </c>
      <c r="W11" s="89" t="str">
        <f ca="1">IF($B11="","",INDIRECT("aux_sheet!AE"&amp;1+MATCH(aux_sheet!$B10,aux_sheet!$A$2:$A$202,0)))</f>
        <v/>
      </c>
      <c r="X11" s="89" t="str">
        <f ca="1">IF($B11="","",INDIRECT("aux_sheet!AE"&amp;1+MATCH(aux_sheet!$B10,aux_sheet!$A$2:$A$202,0)))</f>
        <v/>
      </c>
      <c r="Y11" s="106" t="str">
        <f ca="1">IF($B11="","",INDIRECT("aux_sheet!AG"&amp;1+MATCH(aux_sheet!$B10,aux_sheet!$A$2:$A$202,0)))</f>
        <v/>
      </c>
      <c r="Z11" s="89" t="str">
        <f ca="1">IF($B11="","",INDIRECT("aux_sheet!AH"&amp;1+MATCH(aux_sheet!$B10,aux_sheet!$A$2:$A$202,0)))</f>
        <v/>
      </c>
      <c r="AA11" s="89" t="str">
        <f ca="1">IF($B11="","",INDIRECT("aux_sheet!AH"&amp;1+MATCH(aux_sheet!$B10,aux_sheet!$A$2:$A$202,0)))</f>
        <v/>
      </c>
      <c r="AB11" s="106" t="str">
        <f ca="1">IF($B11="","",INDIRECT("aux_sheet!AJ"&amp;1+MATCH(aux_sheet!$B10,aux_sheet!$A$2:$A$202,0)))</f>
        <v/>
      </c>
      <c r="AC11" s="89" t="str">
        <f ca="1">IF($B11="","",INDIRECT("aux_sheet!AK"&amp;1+MATCH(aux_sheet!$B10,aux_sheet!$A$2:$A$202,0)))</f>
        <v/>
      </c>
      <c r="AD11" s="89" t="str">
        <f ca="1">IF($B11="","",INDIRECT("aux_sheet!AK"&amp;1+MATCH(aux_sheet!$B10,aux_sheet!$A$2:$A$202,0)))</f>
        <v/>
      </c>
      <c r="AE11" s="106" t="str">
        <f ca="1">IF($B11="","",INDIRECT("aux_sheet!AM"&amp;1+MATCH(aux_sheet!$B10,aux_sheet!$A$2:$A$202,0)))</f>
        <v/>
      </c>
      <c r="AF11" s="89" t="str">
        <f ca="1">IF($B11="","",INDIRECT("aux_sheet!AN"&amp;1+MATCH(aux_sheet!$B10,aux_sheet!$A$2:$A$202,0)))</f>
        <v/>
      </c>
      <c r="AG11" s="89" t="str">
        <f ca="1">IF($B11="","",INDIRECT("aux_sheet!AN"&amp;1+MATCH(aux_sheet!$B10,aux_sheet!$A$2:$A$202,0)))</f>
        <v/>
      </c>
      <c r="AH11" s="14" t="str">
        <f>IF(ISBLANK(Input!A10)," ",F10-F11)</f>
        <v xml:space="preserve"> </v>
      </c>
    </row>
    <row r="12" spans="1:39" x14ac:dyDescent="0.35">
      <c r="A12" s="2" t="str">
        <f>IF(ISBLANK(Input!A11),"",ROUNDDOWN(aux_sheet!B11,0))</f>
        <v/>
      </c>
      <c r="B12" s="2" t="str">
        <f ca="1">IF(ISBLANK(Input!A11),"",INDIRECT("Input!A"&amp;1+MATCH(aux_sheet!$B11,aux_sheet!$A$2:$A$202,0)))</f>
        <v/>
      </c>
      <c r="C12" s="2" t="str">
        <f ca="1">IF(ISBLANK(Input!B11),"",INDIRECT("Input!B"&amp;1+MATCH(aux_sheet!$B11,aux_sheet!$A$2:$A$202,0)))</f>
        <v/>
      </c>
      <c r="D12" s="2" t="str">
        <f ca="1">IF(ISBLANK(Input!C11),"",INDIRECT("Input!C"&amp;1+MATCH(aux_sheet!$B11,aux_sheet!$A$2:$A$202,0)))</f>
        <v/>
      </c>
      <c r="E12" s="2" t="str">
        <f ca="1">IF(ISBLANK(Input!D11),"",INDIRECT("Input!D"&amp;1+MATCH(aux_sheet!$B11,aux_sheet!$A$2:$A$202,0)))</f>
        <v/>
      </c>
      <c r="F12" s="11" t="str">
        <f ca="1">INDIRECT("Input!F"&amp;1+MATCH(aux_sheet!$B11,aux_sheet!$A$2:$A$202,0))</f>
        <v xml:space="preserve"> </v>
      </c>
      <c r="G12" s="106" t="str">
        <f ca="1">IF($B12="","",INDIRECT("aux_sheet!O"&amp;1+MATCH(aux_sheet!$B11,aux_sheet!$A$2:$A$202,0)))</f>
        <v/>
      </c>
      <c r="H12" s="89" t="str">
        <f ca="1">IF($B12="","",INDIRECT("aux_sheet!P"&amp;1+MATCH(aux_sheet!$B11,aux_sheet!$A$2:$A$202,0)))</f>
        <v/>
      </c>
      <c r="I12" s="89" t="str">
        <f ca="1">IF($B12="","",INDIRECT("aux_sheet!P"&amp;1+MATCH(aux_sheet!$B11,aux_sheet!$A$2:$A$202,0)))</f>
        <v/>
      </c>
      <c r="J12" s="106" t="str">
        <f ca="1">IF($B12="","",INDIRECT("aux_sheet!R"&amp;1+MATCH(aux_sheet!$B11,aux_sheet!$A$2:$A$202,0)))</f>
        <v/>
      </c>
      <c r="K12" s="89" t="str">
        <f ca="1">IF($B12="","",INDIRECT("aux_sheet!S"&amp;1+MATCH(aux_sheet!$B11,aux_sheet!$A$2:$A$202,0)))</f>
        <v/>
      </c>
      <c r="L12" s="89" t="str">
        <f ca="1">IF($B12="","",INDIRECT("aux_sheet!S"&amp;1+MATCH(aux_sheet!$B11,aux_sheet!$A$2:$A$202,0)))</f>
        <v/>
      </c>
      <c r="M12" s="106" t="str">
        <f ca="1">IF($B12="","",INDIRECT("aux_sheet!U"&amp;1+MATCH(aux_sheet!$B11,aux_sheet!$A$2:$A$202,0)))</f>
        <v/>
      </c>
      <c r="N12" s="89" t="str">
        <f ca="1">IF($B12="","",INDIRECT("aux_sheet!V"&amp;1+MATCH(aux_sheet!$B11,aux_sheet!$A$2:$A$202,0)))</f>
        <v/>
      </c>
      <c r="O12" s="89" t="str">
        <f ca="1">IF($B12="","",INDIRECT("aux_sheet!V"&amp;1+MATCH(aux_sheet!$B11,aux_sheet!$A$2:$A$202,0)))</f>
        <v/>
      </c>
      <c r="P12" s="106" t="str">
        <f ca="1">IF($B12="","",INDIRECT("aux_sheet!X"&amp;1+MATCH(aux_sheet!$B11,aux_sheet!$A$2:$A$202,0)))</f>
        <v/>
      </c>
      <c r="Q12" s="89" t="str">
        <f ca="1">IF($B12="","",INDIRECT("aux_sheet!Y"&amp;1+MATCH(aux_sheet!$B11,aux_sheet!$A$2:$A$202,0)))</f>
        <v/>
      </c>
      <c r="R12" s="89" t="str">
        <f ca="1">IF($B12="","",INDIRECT("aux_sheet!Y"&amp;1+MATCH(aux_sheet!$B11,aux_sheet!$A$2:$A$202,0)))</f>
        <v/>
      </c>
      <c r="S12" s="106" t="str">
        <f ca="1">IF($B12="","",INDIRECT("aux_sheet!AA"&amp;1+MATCH(aux_sheet!$B11,aux_sheet!$A$2:$A$202,0)))</f>
        <v/>
      </c>
      <c r="T12" s="89" t="str">
        <f ca="1">IF($B12="","",INDIRECT("aux_sheet!AB"&amp;1+MATCH(aux_sheet!$B11,aux_sheet!$A$2:$A$202,0)))</f>
        <v/>
      </c>
      <c r="U12" s="89" t="str">
        <f ca="1">IF($B12="","",INDIRECT("aux_sheet!AB"&amp;1+MATCH(aux_sheet!$B11,aux_sheet!$A$2:$A$202,0)))</f>
        <v/>
      </c>
      <c r="V12" s="106" t="str">
        <f ca="1">IF($B12="","",INDIRECT("aux_sheet!AD"&amp;1+MATCH(aux_sheet!$B11,aux_sheet!$A$2:$A$202,0)))</f>
        <v/>
      </c>
      <c r="W12" s="89" t="str">
        <f ca="1">IF($B12="","",INDIRECT("aux_sheet!AE"&amp;1+MATCH(aux_sheet!$B11,aux_sheet!$A$2:$A$202,0)))</f>
        <v/>
      </c>
      <c r="X12" s="89" t="str">
        <f ca="1">IF($B12="","",INDIRECT("aux_sheet!AE"&amp;1+MATCH(aux_sheet!$B11,aux_sheet!$A$2:$A$202,0)))</f>
        <v/>
      </c>
      <c r="Y12" s="106" t="str">
        <f ca="1">IF($B12="","",INDIRECT("aux_sheet!AG"&amp;1+MATCH(aux_sheet!$B11,aux_sheet!$A$2:$A$202,0)))</f>
        <v/>
      </c>
      <c r="Z12" s="89" t="str">
        <f ca="1">IF($B12="","",INDIRECT("aux_sheet!AH"&amp;1+MATCH(aux_sheet!$B11,aux_sheet!$A$2:$A$202,0)))</f>
        <v/>
      </c>
      <c r="AA12" s="89" t="str">
        <f ca="1">IF($B12="","",INDIRECT("aux_sheet!AH"&amp;1+MATCH(aux_sheet!$B11,aux_sheet!$A$2:$A$202,0)))</f>
        <v/>
      </c>
      <c r="AB12" s="106" t="str">
        <f ca="1">IF($B12="","",INDIRECT("aux_sheet!AJ"&amp;1+MATCH(aux_sheet!$B11,aux_sheet!$A$2:$A$202,0)))</f>
        <v/>
      </c>
      <c r="AC12" s="89" t="str">
        <f ca="1">IF($B12="","",INDIRECT("aux_sheet!AK"&amp;1+MATCH(aux_sheet!$B11,aux_sheet!$A$2:$A$202,0)))</f>
        <v/>
      </c>
      <c r="AD12" s="89" t="str">
        <f ca="1">IF($B12="","",INDIRECT("aux_sheet!AK"&amp;1+MATCH(aux_sheet!$B11,aux_sheet!$A$2:$A$202,0)))</f>
        <v/>
      </c>
      <c r="AE12" s="106" t="str">
        <f ca="1">IF($B12="","",INDIRECT("aux_sheet!AM"&amp;1+MATCH(aux_sheet!$B11,aux_sheet!$A$2:$A$202,0)))</f>
        <v/>
      </c>
      <c r="AF12" s="89" t="str">
        <f ca="1">IF($B12="","",INDIRECT("aux_sheet!AN"&amp;1+MATCH(aux_sheet!$B11,aux_sheet!$A$2:$A$202,0)))</f>
        <v/>
      </c>
      <c r="AG12" s="89" t="str">
        <f ca="1">IF($B12="","",INDIRECT("aux_sheet!AN"&amp;1+MATCH(aux_sheet!$B11,aux_sheet!$A$2:$A$202,0)))</f>
        <v/>
      </c>
      <c r="AH12" s="14" t="str">
        <f>IF(ISBLANK(Input!A11)," ",F11-F12)</f>
        <v xml:space="preserve"> </v>
      </c>
    </row>
    <row r="13" spans="1:39" x14ac:dyDescent="0.35">
      <c r="A13" s="2" t="str">
        <f>IF(ISBLANK(Input!A12),"",ROUNDDOWN(aux_sheet!B12,0))</f>
        <v/>
      </c>
      <c r="B13" s="2" t="str">
        <f ca="1">IF(ISBLANK(Input!A12),"",INDIRECT("Input!A"&amp;1+MATCH(aux_sheet!$B12,aux_sheet!$A$2:$A$202,0)))</f>
        <v/>
      </c>
      <c r="C13" s="2" t="str">
        <f ca="1">IF(ISBLANK(Input!B12),"",INDIRECT("Input!B"&amp;1+MATCH(aux_sheet!$B12,aux_sheet!$A$2:$A$202,0)))</f>
        <v/>
      </c>
      <c r="D13" s="2" t="str">
        <f ca="1">IF(ISBLANK(Input!C12),"",INDIRECT("Input!C"&amp;1+MATCH(aux_sheet!$B12,aux_sheet!$A$2:$A$202,0)))</f>
        <v/>
      </c>
      <c r="E13" s="2" t="str">
        <f ca="1">IF(ISBLANK(Input!D12),"",INDIRECT("Input!D"&amp;1+MATCH(aux_sheet!$B12,aux_sheet!$A$2:$A$202,0)))</f>
        <v/>
      </c>
      <c r="F13" s="11" t="str">
        <f ca="1">INDIRECT("Input!F"&amp;1+MATCH(aux_sheet!$B12,aux_sheet!$A$2:$A$202,0))</f>
        <v xml:space="preserve"> </v>
      </c>
      <c r="G13" s="106" t="str">
        <f ca="1">IF($B13="","",INDIRECT("aux_sheet!O"&amp;1+MATCH(aux_sheet!$B12,aux_sheet!$A$2:$A$202,0)))</f>
        <v/>
      </c>
      <c r="H13" s="89" t="str">
        <f ca="1">IF($B13="","",INDIRECT("aux_sheet!P"&amp;1+MATCH(aux_sheet!$B12,aux_sheet!$A$2:$A$202,0)))</f>
        <v/>
      </c>
      <c r="I13" s="89" t="str">
        <f ca="1">IF($B13="","",INDIRECT("aux_sheet!P"&amp;1+MATCH(aux_sheet!$B12,aux_sheet!$A$2:$A$202,0)))</f>
        <v/>
      </c>
      <c r="J13" s="106" t="str">
        <f ca="1">IF($B13="","",INDIRECT("aux_sheet!R"&amp;1+MATCH(aux_sheet!$B12,aux_sheet!$A$2:$A$202,0)))</f>
        <v/>
      </c>
      <c r="K13" s="89" t="str">
        <f ca="1">IF($B13="","",INDIRECT("aux_sheet!S"&amp;1+MATCH(aux_sheet!$B12,aux_sheet!$A$2:$A$202,0)))</f>
        <v/>
      </c>
      <c r="L13" s="89" t="str">
        <f ca="1">IF($B13="","",INDIRECT("aux_sheet!S"&amp;1+MATCH(aux_sheet!$B12,aux_sheet!$A$2:$A$202,0)))</f>
        <v/>
      </c>
      <c r="M13" s="106" t="str">
        <f ca="1">IF($B13="","",INDIRECT("aux_sheet!U"&amp;1+MATCH(aux_sheet!$B12,aux_sheet!$A$2:$A$202,0)))</f>
        <v/>
      </c>
      <c r="N13" s="89" t="str">
        <f ca="1">IF($B13="","",INDIRECT("aux_sheet!V"&amp;1+MATCH(aux_sheet!$B12,aux_sheet!$A$2:$A$202,0)))</f>
        <v/>
      </c>
      <c r="O13" s="89" t="str">
        <f ca="1">IF($B13="","",INDIRECT("aux_sheet!V"&amp;1+MATCH(aux_sheet!$B12,aux_sheet!$A$2:$A$202,0)))</f>
        <v/>
      </c>
      <c r="P13" s="106" t="str">
        <f ca="1">IF($B13="","",INDIRECT("aux_sheet!X"&amp;1+MATCH(aux_sheet!$B12,aux_sheet!$A$2:$A$202,0)))</f>
        <v/>
      </c>
      <c r="Q13" s="89" t="str">
        <f ca="1">IF($B13="","",INDIRECT("aux_sheet!Y"&amp;1+MATCH(aux_sheet!$B12,aux_sheet!$A$2:$A$202,0)))</f>
        <v/>
      </c>
      <c r="R13" s="89" t="str">
        <f ca="1">IF($B13="","",INDIRECT("aux_sheet!Y"&amp;1+MATCH(aux_sheet!$B12,aux_sheet!$A$2:$A$202,0)))</f>
        <v/>
      </c>
      <c r="S13" s="106" t="str">
        <f ca="1">IF($B13="","",INDIRECT("aux_sheet!AA"&amp;1+MATCH(aux_sheet!$B12,aux_sheet!$A$2:$A$202,0)))</f>
        <v/>
      </c>
      <c r="T13" s="89" t="str">
        <f ca="1">IF($B13="","",INDIRECT("aux_sheet!AB"&amp;1+MATCH(aux_sheet!$B12,aux_sheet!$A$2:$A$202,0)))</f>
        <v/>
      </c>
      <c r="U13" s="89" t="str">
        <f ca="1">IF($B13="","",INDIRECT("aux_sheet!AB"&amp;1+MATCH(aux_sheet!$B12,aux_sheet!$A$2:$A$202,0)))</f>
        <v/>
      </c>
      <c r="V13" s="106" t="str">
        <f ca="1">IF($B13="","",INDIRECT("aux_sheet!AD"&amp;1+MATCH(aux_sheet!$B12,aux_sheet!$A$2:$A$202,0)))</f>
        <v/>
      </c>
      <c r="W13" s="89" t="str">
        <f ca="1">IF($B13="","",INDIRECT("aux_sheet!AE"&amp;1+MATCH(aux_sheet!$B12,aux_sheet!$A$2:$A$202,0)))</f>
        <v/>
      </c>
      <c r="X13" s="89" t="str">
        <f ca="1">IF($B13="","",INDIRECT("aux_sheet!AE"&amp;1+MATCH(aux_sheet!$B12,aux_sheet!$A$2:$A$202,0)))</f>
        <v/>
      </c>
      <c r="Y13" s="106" t="str">
        <f ca="1">IF($B13="","",INDIRECT("aux_sheet!AG"&amp;1+MATCH(aux_sheet!$B12,aux_sheet!$A$2:$A$202,0)))</f>
        <v/>
      </c>
      <c r="Z13" s="89" t="str">
        <f ca="1">IF($B13="","",INDIRECT("aux_sheet!AH"&amp;1+MATCH(aux_sheet!$B12,aux_sheet!$A$2:$A$202,0)))</f>
        <v/>
      </c>
      <c r="AA13" s="89" t="str">
        <f ca="1">IF($B13="","",INDIRECT("aux_sheet!AH"&amp;1+MATCH(aux_sheet!$B12,aux_sheet!$A$2:$A$202,0)))</f>
        <v/>
      </c>
      <c r="AB13" s="106" t="str">
        <f ca="1">IF($B13="","",INDIRECT("aux_sheet!AJ"&amp;1+MATCH(aux_sheet!$B12,aux_sheet!$A$2:$A$202,0)))</f>
        <v/>
      </c>
      <c r="AC13" s="89" t="str">
        <f ca="1">IF($B13="","",INDIRECT("aux_sheet!AK"&amp;1+MATCH(aux_sheet!$B12,aux_sheet!$A$2:$A$202,0)))</f>
        <v/>
      </c>
      <c r="AD13" s="89" t="str">
        <f ca="1">IF($B13="","",INDIRECT("aux_sheet!AK"&amp;1+MATCH(aux_sheet!$B12,aux_sheet!$A$2:$A$202,0)))</f>
        <v/>
      </c>
      <c r="AE13" s="106" t="str">
        <f ca="1">IF($B13="","",INDIRECT("aux_sheet!AM"&amp;1+MATCH(aux_sheet!$B12,aux_sheet!$A$2:$A$202,0)))</f>
        <v/>
      </c>
      <c r="AF13" s="89" t="str">
        <f ca="1">IF($B13="","",INDIRECT("aux_sheet!AN"&amp;1+MATCH(aux_sheet!$B12,aux_sheet!$A$2:$A$202,0)))</f>
        <v/>
      </c>
      <c r="AG13" s="89" t="str">
        <f ca="1">IF($B13="","",INDIRECT("aux_sheet!AN"&amp;1+MATCH(aux_sheet!$B12,aux_sheet!$A$2:$A$202,0)))</f>
        <v/>
      </c>
      <c r="AH13" s="14" t="str">
        <f>IF(ISBLANK(Input!A12)," ",F12-F13)</f>
        <v xml:space="preserve"> </v>
      </c>
    </row>
    <row r="14" spans="1:39" x14ac:dyDescent="0.35">
      <c r="A14" s="2" t="str">
        <f>IF(ISBLANK(Input!A13),"",ROUNDDOWN(aux_sheet!B13,0))</f>
        <v/>
      </c>
      <c r="B14" s="2" t="str">
        <f ca="1">IF(ISBLANK(Input!A13),"",INDIRECT("Input!A"&amp;1+MATCH(aux_sheet!$B13,aux_sheet!$A$2:$A$202,0)))</f>
        <v/>
      </c>
      <c r="C14" s="2" t="str">
        <f ca="1">IF(ISBLANK(Input!B13),"",INDIRECT("Input!B"&amp;1+MATCH(aux_sheet!$B13,aux_sheet!$A$2:$A$202,0)))</f>
        <v/>
      </c>
      <c r="D14" s="2" t="str">
        <f ca="1">IF(ISBLANK(Input!C13),"",INDIRECT("Input!C"&amp;1+MATCH(aux_sheet!$B13,aux_sheet!$A$2:$A$202,0)))</f>
        <v/>
      </c>
      <c r="E14" s="2" t="str">
        <f ca="1">IF(ISBLANK(Input!D13),"",INDIRECT("Input!D"&amp;1+MATCH(aux_sheet!$B13,aux_sheet!$A$2:$A$202,0)))</f>
        <v/>
      </c>
      <c r="F14" s="11" t="str">
        <f ca="1">INDIRECT("Input!F"&amp;1+MATCH(aux_sheet!$B13,aux_sheet!$A$2:$A$202,0))</f>
        <v xml:space="preserve"> </v>
      </c>
      <c r="G14" s="106" t="str">
        <f ca="1">IF($B14="","",INDIRECT("aux_sheet!O"&amp;1+MATCH(aux_sheet!$B13,aux_sheet!$A$2:$A$202,0)))</f>
        <v/>
      </c>
      <c r="H14" s="89" t="str">
        <f ca="1">IF($B14="","",INDIRECT("aux_sheet!P"&amp;1+MATCH(aux_sheet!$B13,aux_sheet!$A$2:$A$202,0)))</f>
        <v/>
      </c>
      <c r="I14" s="89" t="str">
        <f ca="1">IF($B14="","",INDIRECT("aux_sheet!P"&amp;1+MATCH(aux_sheet!$B13,aux_sheet!$A$2:$A$202,0)))</f>
        <v/>
      </c>
      <c r="J14" s="106" t="str">
        <f ca="1">IF($B14="","",INDIRECT("aux_sheet!R"&amp;1+MATCH(aux_sheet!$B13,aux_sheet!$A$2:$A$202,0)))</f>
        <v/>
      </c>
      <c r="K14" s="89" t="str">
        <f ca="1">IF($B14="","",INDIRECT("aux_sheet!S"&amp;1+MATCH(aux_sheet!$B13,aux_sheet!$A$2:$A$202,0)))</f>
        <v/>
      </c>
      <c r="L14" s="89" t="str">
        <f ca="1">IF($B14="","",INDIRECT("aux_sheet!S"&amp;1+MATCH(aux_sheet!$B13,aux_sheet!$A$2:$A$202,0)))</f>
        <v/>
      </c>
      <c r="M14" s="106" t="str">
        <f ca="1">IF($B14="","",INDIRECT("aux_sheet!U"&amp;1+MATCH(aux_sheet!$B13,aux_sheet!$A$2:$A$202,0)))</f>
        <v/>
      </c>
      <c r="N14" s="89" t="str">
        <f ca="1">IF($B14="","",INDIRECT("aux_sheet!V"&amp;1+MATCH(aux_sheet!$B13,aux_sheet!$A$2:$A$202,0)))</f>
        <v/>
      </c>
      <c r="O14" s="89" t="str">
        <f ca="1">IF($B14="","",INDIRECT("aux_sheet!V"&amp;1+MATCH(aux_sheet!$B13,aux_sheet!$A$2:$A$202,0)))</f>
        <v/>
      </c>
      <c r="P14" s="106" t="str">
        <f ca="1">IF($B14="","",INDIRECT("aux_sheet!X"&amp;1+MATCH(aux_sheet!$B13,aux_sheet!$A$2:$A$202,0)))</f>
        <v/>
      </c>
      <c r="Q14" s="89" t="str">
        <f ca="1">IF($B14="","",INDIRECT("aux_sheet!Y"&amp;1+MATCH(aux_sheet!$B13,aux_sheet!$A$2:$A$202,0)))</f>
        <v/>
      </c>
      <c r="R14" s="89" t="str">
        <f ca="1">IF($B14="","",INDIRECT("aux_sheet!Y"&amp;1+MATCH(aux_sheet!$B13,aux_sheet!$A$2:$A$202,0)))</f>
        <v/>
      </c>
      <c r="S14" s="106" t="str">
        <f ca="1">IF($B14="","",INDIRECT("aux_sheet!AA"&amp;1+MATCH(aux_sheet!$B13,aux_sheet!$A$2:$A$202,0)))</f>
        <v/>
      </c>
      <c r="T14" s="89" t="str">
        <f ca="1">IF($B14="","",INDIRECT("aux_sheet!AB"&amp;1+MATCH(aux_sheet!$B13,aux_sheet!$A$2:$A$202,0)))</f>
        <v/>
      </c>
      <c r="U14" s="89" t="str">
        <f ca="1">IF($B14="","",INDIRECT("aux_sheet!AB"&amp;1+MATCH(aux_sheet!$B13,aux_sheet!$A$2:$A$202,0)))</f>
        <v/>
      </c>
      <c r="V14" s="106" t="str">
        <f ca="1">IF($B14="","",INDIRECT("aux_sheet!AD"&amp;1+MATCH(aux_sheet!$B13,aux_sheet!$A$2:$A$202,0)))</f>
        <v/>
      </c>
      <c r="W14" s="89" t="str">
        <f ca="1">IF($B14="","",INDIRECT("aux_sheet!AE"&amp;1+MATCH(aux_sheet!$B13,aux_sheet!$A$2:$A$202,0)))</f>
        <v/>
      </c>
      <c r="X14" s="89" t="str">
        <f ca="1">IF($B14="","",INDIRECT("aux_sheet!AE"&amp;1+MATCH(aux_sheet!$B13,aux_sheet!$A$2:$A$202,0)))</f>
        <v/>
      </c>
      <c r="Y14" s="106" t="str">
        <f ca="1">IF($B14="","",INDIRECT("aux_sheet!AG"&amp;1+MATCH(aux_sheet!$B13,aux_sheet!$A$2:$A$202,0)))</f>
        <v/>
      </c>
      <c r="Z14" s="89" t="str">
        <f ca="1">IF($B14="","",INDIRECT("aux_sheet!AH"&amp;1+MATCH(aux_sheet!$B13,aux_sheet!$A$2:$A$202,0)))</f>
        <v/>
      </c>
      <c r="AA14" s="89" t="str">
        <f ca="1">IF($B14="","",INDIRECT("aux_sheet!AH"&amp;1+MATCH(aux_sheet!$B13,aux_sheet!$A$2:$A$202,0)))</f>
        <v/>
      </c>
      <c r="AB14" s="106" t="str">
        <f ca="1">IF($B14="","",INDIRECT("aux_sheet!AJ"&amp;1+MATCH(aux_sheet!$B13,aux_sheet!$A$2:$A$202,0)))</f>
        <v/>
      </c>
      <c r="AC14" s="89" t="str">
        <f ca="1">IF($B14="","",INDIRECT("aux_sheet!AK"&amp;1+MATCH(aux_sheet!$B13,aux_sheet!$A$2:$A$202,0)))</f>
        <v/>
      </c>
      <c r="AD14" s="89" t="str">
        <f ca="1">IF($B14="","",INDIRECT("aux_sheet!AK"&amp;1+MATCH(aux_sheet!$B13,aux_sheet!$A$2:$A$202,0)))</f>
        <v/>
      </c>
      <c r="AE14" s="106" t="str">
        <f ca="1">IF($B14="","",INDIRECT("aux_sheet!AM"&amp;1+MATCH(aux_sheet!$B13,aux_sheet!$A$2:$A$202,0)))</f>
        <v/>
      </c>
      <c r="AF14" s="89" t="str">
        <f ca="1">IF($B14="","",INDIRECT("aux_sheet!AN"&amp;1+MATCH(aux_sheet!$B13,aux_sheet!$A$2:$A$202,0)))</f>
        <v/>
      </c>
      <c r="AG14" s="89" t="str">
        <f ca="1">IF($B14="","",INDIRECT("aux_sheet!AN"&amp;1+MATCH(aux_sheet!$B13,aux_sheet!$A$2:$A$202,0)))</f>
        <v/>
      </c>
      <c r="AH14" s="14" t="str">
        <f>IF(ISBLANK(Input!A13)," ",F13-F14)</f>
        <v xml:space="preserve"> </v>
      </c>
    </row>
    <row r="15" spans="1:39" x14ac:dyDescent="0.35">
      <c r="A15" s="2" t="str">
        <f>IF(ISBLANK(Input!A14),"",ROUNDDOWN(aux_sheet!B14,0))</f>
        <v/>
      </c>
      <c r="B15" s="2" t="str">
        <f ca="1">IF(ISBLANK(Input!A14),"",INDIRECT("Input!A"&amp;1+MATCH(aux_sheet!$B14,aux_sheet!$A$2:$A$202,0)))</f>
        <v/>
      </c>
      <c r="C15" s="2" t="str">
        <f ca="1">IF(ISBLANK(Input!B14),"",INDIRECT("Input!B"&amp;1+MATCH(aux_sheet!$B14,aux_sheet!$A$2:$A$202,0)))</f>
        <v/>
      </c>
      <c r="D15" s="2" t="str">
        <f ca="1">IF(ISBLANK(Input!C14),"",INDIRECT("Input!C"&amp;1+MATCH(aux_sheet!$B14,aux_sheet!$A$2:$A$202,0)))</f>
        <v/>
      </c>
      <c r="E15" s="2" t="str">
        <f ca="1">IF(ISBLANK(Input!D14),"",INDIRECT("Input!D"&amp;1+MATCH(aux_sheet!$B14,aux_sheet!$A$2:$A$202,0)))</f>
        <v/>
      </c>
      <c r="F15" s="11" t="str">
        <f ca="1">INDIRECT("Input!F"&amp;1+MATCH(aux_sheet!$B14,aux_sheet!$A$2:$A$202,0))</f>
        <v xml:space="preserve"> </v>
      </c>
      <c r="G15" s="106" t="str">
        <f ca="1">IF($B15="","",INDIRECT("aux_sheet!O"&amp;1+MATCH(aux_sheet!$B14,aux_sheet!$A$2:$A$202,0)))</f>
        <v/>
      </c>
      <c r="H15" s="89" t="str">
        <f ca="1">IF($B15="","",INDIRECT("aux_sheet!P"&amp;1+MATCH(aux_sheet!$B14,aux_sheet!$A$2:$A$202,0)))</f>
        <v/>
      </c>
      <c r="I15" s="89" t="str">
        <f ca="1">IF($B15="","",INDIRECT("aux_sheet!P"&amp;1+MATCH(aux_sheet!$B14,aux_sheet!$A$2:$A$202,0)))</f>
        <v/>
      </c>
      <c r="J15" s="106" t="str">
        <f ca="1">IF($B15="","",INDIRECT("aux_sheet!R"&amp;1+MATCH(aux_sheet!$B14,aux_sheet!$A$2:$A$202,0)))</f>
        <v/>
      </c>
      <c r="K15" s="89" t="str">
        <f ca="1">IF($B15="","",INDIRECT("aux_sheet!S"&amp;1+MATCH(aux_sheet!$B14,aux_sheet!$A$2:$A$202,0)))</f>
        <v/>
      </c>
      <c r="L15" s="89" t="str">
        <f ca="1">IF($B15="","",INDIRECT("aux_sheet!S"&amp;1+MATCH(aux_sheet!$B14,aux_sheet!$A$2:$A$202,0)))</f>
        <v/>
      </c>
      <c r="M15" s="106" t="str">
        <f ca="1">IF($B15="","",INDIRECT("aux_sheet!U"&amp;1+MATCH(aux_sheet!$B14,aux_sheet!$A$2:$A$202,0)))</f>
        <v/>
      </c>
      <c r="N15" s="89" t="str">
        <f ca="1">IF($B15="","",INDIRECT("aux_sheet!V"&amp;1+MATCH(aux_sheet!$B14,aux_sheet!$A$2:$A$202,0)))</f>
        <v/>
      </c>
      <c r="O15" s="89" t="str">
        <f ca="1">IF($B15="","",INDIRECT("aux_sheet!V"&amp;1+MATCH(aux_sheet!$B14,aux_sheet!$A$2:$A$202,0)))</f>
        <v/>
      </c>
      <c r="P15" s="106" t="str">
        <f ca="1">IF($B15="","",INDIRECT("aux_sheet!X"&amp;1+MATCH(aux_sheet!$B14,aux_sheet!$A$2:$A$202,0)))</f>
        <v/>
      </c>
      <c r="Q15" s="89" t="str">
        <f ca="1">IF($B15="","",INDIRECT("aux_sheet!Y"&amp;1+MATCH(aux_sheet!$B14,aux_sheet!$A$2:$A$202,0)))</f>
        <v/>
      </c>
      <c r="R15" s="89" t="str">
        <f ca="1">IF($B15="","",INDIRECT("aux_sheet!Y"&amp;1+MATCH(aux_sheet!$B14,aux_sheet!$A$2:$A$202,0)))</f>
        <v/>
      </c>
      <c r="S15" s="106" t="str">
        <f ca="1">IF($B15="","",INDIRECT("aux_sheet!AA"&amp;1+MATCH(aux_sheet!$B14,aux_sheet!$A$2:$A$202,0)))</f>
        <v/>
      </c>
      <c r="T15" s="89" t="str">
        <f ca="1">IF($B15="","",INDIRECT("aux_sheet!AB"&amp;1+MATCH(aux_sheet!$B14,aux_sheet!$A$2:$A$202,0)))</f>
        <v/>
      </c>
      <c r="U15" s="89" t="str">
        <f ca="1">IF($B15="","",INDIRECT("aux_sheet!AB"&amp;1+MATCH(aux_sheet!$B14,aux_sheet!$A$2:$A$202,0)))</f>
        <v/>
      </c>
      <c r="V15" s="106" t="str">
        <f ca="1">IF($B15="","",INDIRECT("aux_sheet!AD"&amp;1+MATCH(aux_sheet!$B14,aux_sheet!$A$2:$A$202,0)))</f>
        <v/>
      </c>
      <c r="W15" s="89" t="str">
        <f ca="1">IF($B15="","",INDIRECT("aux_sheet!AE"&amp;1+MATCH(aux_sheet!$B14,aux_sheet!$A$2:$A$202,0)))</f>
        <v/>
      </c>
      <c r="X15" s="89" t="str">
        <f ca="1">IF($B15="","",INDIRECT("aux_sheet!AE"&amp;1+MATCH(aux_sheet!$B14,aux_sheet!$A$2:$A$202,0)))</f>
        <v/>
      </c>
      <c r="Y15" s="106" t="str">
        <f ca="1">IF($B15="","",INDIRECT("aux_sheet!AG"&amp;1+MATCH(aux_sheet!$B14,aux_sheet!$A$2:$A$202,0)))</f>
        <v/>
      </c>
      <c r="Z15" s="89" t="str">
        <f ca="1">IF($B15="","",INDIRECT("aux_sheet!AH"&amp;1+MATCH(aux_sheet!$B14,aux_sheet!$A$2:$A$202,0)))</f>
        <v/>
      </c>
      <c r="AA15" s="89" t="str">
        <f ca="1">IF($B15="","",INDIRECT("aux_sheet!AH"&amp;1+MATCH(aux_sheet!$B14,aux_sheet!$A$2:$A$202,0)))</f>
        <v/>
      </c>
      <c r="AB15" s="106" t="str">
        <f ca="1">IF($B15="","",INDIRECT("aux_sheet!AJ"&amp;1+MATCH(aux_sheet!$B14,aux_sheet!$A$2:$A$202,0)))</f>
        <v/>
      </c>
      <c r="AC15" s="89" t="str">
        <f ca="1">IF($B15="","",INDIRECT("aux_sheet!AK"&amp;1+MATCH(aux_sheet!$B14,aux_sheet!$A$2:$A$202,0)))</f>
        <v/>
      </c>
      <c r="AD15" s="89" t="str">
        <f ca="1">IF($B15="","",INDIRECT("aux_sheet!AK"&amp;1+MATCH(aux_sheet!$B14,aux_sheet!$A$2:$A$202,0)))</f>
        <v/>
      </c>
      <c r="AE15" s="106" t="str">
        <f ca="1">IF($B15="","",INDIRECT("aux_sheet!AM"&amp;1+MATCH(aux_sheet!$B14,aux_sheet!$A$2:$A$202,0)))</f>
        <v/>
      </c>
      <c r="AF15" s="89" t="str">
        <f ca="1">IF($B15="","",INDIRECT("aux_sheet!AN"&amp;1+MATCH(aux_sheet!$B14,aux_sheet!$A$2:$A$202,0)))</f>
        <v/>
      </c>
      <c r="AG15" s="89" t="str">
        <f ca="1">IF($B15="","",INDIRECT("aux_sheet!AN"&amp;1+MATCH(aux_sheet!$B14,aux_sheet!$A$2:$A$202,0)))</f>
        <v/>
      </c>
      <c r="AH15" s="14" t="str">
        <f>IF(ISBLANK(Input!A14)," ",F14-F15)</f>
        <v xml:space="preserve"> </v>
      </c>
    </row>
    <row r="16" spans="1:39" x14ac:dyDescent="0.35">
      <c r="A16" s="2" t="str">
        <f>IF(ISBLANK(Input!A15),"",ROUNDDOWN(aux_sheet!B15,0))</f>
        <v/>
      </c>
      <c r="B16" s="2" t="str">
        <f ca="1">IF(ISBLANK(Input!A15),"",INDIRECT("Input!A"&amp;1+MATCH(aux_sheet!$B15,aux_sheet!$A$2:$A$202,0)))</f>
        <v/>
      </c>
      <c r="C16" s="2" t="str">
        <f ca="1">IF(ISBLANK(Input!B15),"",INDIRECT("Input!B"&amp;1+MATCH(aux_sheet!$B15,aux_sheet!$A$2:$A$202,0)))</f>
        <v/>
      </c>
      <c r="D16" s="2" t="str">
        <f ca="1">IF(ISBLANK(Input!C15),"",INDIRECT("Input!C"&amp;1+MATCH(aux_sheet!$B15,aux_sheet!$A$2:$A$202,0)))</f>
        <v/>
      </c>
      <c r="E16" s="2" t="str">
        <f ca="1">IF(ISBLANK(Input!D15),"",INDIRECT("Input!D"&amp;1+MATCH(aux_sheet!$B15,aux_sheet!$A$2:$A$202,0)))</f>
        <v/>
      </c>
      <c r="F16" s="11" t="str">
        <f ca="1">INDIRECT("Input!F"&amp;1+MATCH(aux_sheet!$B15,aux_sheet!$A$2:$A$202,0))</f>
        <v xml:space="preserve"> </v>
      </c>
      <c r="G16" s="106" t="str">
        <f ca="1">IF($B16="","",INDIRECT("aux_sheet!O"&amp;1+MATCH(aux_sheet!$B15,aux_sheet!$A$2:$A$202,0)))</f>
        <v/>
      </c>
      <c r="H16" s="89" t="str">
        <f ca="1">IF($B16="","",INDIRECT("aux_sheet!P"&amp;1+MATCH(aux_sheet!$B15,aux_sheet!$A$2:$A$202,0)))</f>
        <v/>
      </c>
      <c r="I16" s="89" t="str">
        <f ca="1">IF($B16="","",INDIRECT("aux_sheet!P"&amp;1+MATCH(aux_sheet!$B15,aux_sheet!$A$2:$A$202,0)))</f>
        <v/>
      </c>
      <c r="J16" s="106" t="str">
        <f ca="1">IF($B16="","",INDIRECT("aux_sheet!R"&amp;1+MATCH(aux_sheet!$B15,aux_sheet!$A$2:$A$202,0)))</f>
        <v/>
      </c>
      <c r="K16" s="89" t="str">
        <f ca="1">IF($B16="","",INDIRECT("aux_sheet!S"&amp;1+MATCH(aux_sheet!$B15,aux_sheet!$A$2:$A$202,0)))</f>
        <v/>
      </c>
      <c r="L16" s="89" t="str">
        <f ca="1">IF($B16="","",INDIRECT("aux_sheet!S"&amp;1+MATCH(aux_sheet!$B15,aux_sheet!$A$2:$A$202,0)))</f>
        <v/>
      </c>
      <c r="M16" s="106" t="str">
        <f ca="1">IF($B16="","",INDIRECT("aux_sheet!U"&amp;1+MATCH(aux_sheet!$B15,aux_sheet!$A$2:$A$202,0)))</f>
        <v/>
      </c>
      <c r="N16" s="89" t="str">
        <f ca="1">IF($B16="","",INDIRECT("aux_sheet!V"&amp;1+MATCH(aux_sheet!$B15,aux_sheet!$A$2:$A$202,0)))</f>
        <v/>
      </c>
      <c r="O16" s="89" t="str">
        <f ca="1">IF($B16="","",INDIRECT("aux_sheet!V"&amp;1+MATCH(aux_sheet!$B15,aux_sheet!$A$2:$A$202,0)))</f>
        <v/>
      </c>
      <c r="P16" s="106" t="str">
        <f ca="1">IF($B16="","",INDIRECT("aux_sheet!X"&amp;1+MATCH(aux_sheet!$B15,aux_sheet!$A$2:$A$202,0)))</f>
        <v/>
      </c>
      <c r="Q16" s="89" t="str">
        <f ca="1">IF($B16="","",INDIRECT("aux_sheet!Y"&amp;1+MATCH(aux_sheet!$B15,aux_sheet!$A$2:$A$202,0)))</f>
        <v/>
      </c>
      <c r="R16" s="89" t="str">
        <f ca="1">IF($B16="","",INDIRECT("aux_sheet!Y"&amp;1+MATCH(aux_sheet!$B15,aux_sheet!$A$2:$A$202,0)))</f>
        <v/>
      </c>
      <c r="S16" s="106" t="str">
        <f ca="1">IF($B16="","",INDIRECT("aux_sheet!AA"&amp;1+MATCH(aux_sheet!$B15,aux_sheet!$A$2:$A$202,0)))</f>
        <v/>
      </c>
      <c r="T16" s="89" t="str">
        <f ca="1">IF($B16="","",INDIRECT("aux_sheet!AB"&amp;1+MATCH(aux_sheet!$B15,aux_sheet!$A$2:$A$202,0)))</f>
        <v/>
      </c>
      <c r="U16" s="89" t="str">
        <f ca="1">IF($B16="","",INDIRECT("aux_sheet!AB"&amp;1+MATCH(aux_sheet!$B15,aux_sheet!$A$2:$A$202,0)))</f>
        <v/>
      </c>
      <c r="V16" s="106" t="str">
        <f ca="1">IF($B16="","",INDIRECT("aux_sheet!AD"&amp;1+MATCH(aux_sheet!$B15,aux_sheet!$A$2:$A$202,0)))</f>
        <v/>
      </c>
      <c r="W16" s="89" t="str">
        <f ca="1">IF($B16="","",INDIRECT("aux_sheet!AE"&amp;1+MATCH(aux_sheet!$B15,aux_sheet!$A$2:$A$202,0)))</f>
        <v/>
      </c>
      <c r="X16" s="89" t="str">
        <f ca="1">IF($B16="","",INDIRECT("aux_sheet!AE"&amp;1+MATCH(aux_sheet!$B15,aux_sheet!$A$2:$A$202,0)))</f>
        <v/>
      </c>
      <c r="Y16" s="106" t="str">
        <f ca="1">IF($B16="","",INDIRECT("aux_sheet!AG"&amp;1+MATCH(aux_sheet!$B15,aux_sheet!$A$2:$A$202,0)))</f>
        <v/>
      </c>
      <c r="Z16" s="89" t="str">
        <f ca="1">IF($B16="","",INDIRECT("aux_sheet!AH"&amp;1+MATCH(aux_sheet!$B15,aux_sheet!$A$2:$A$202,0)))</f>
        <v/>
      </c>
      <c r="AA16" s="89" t="str">
        <f ca="1">IF($B16="","",INDIRECT("aux_sheet!AH"&amp;1+MATCH(aux_sheet!$B15,aux_sheet!$A$2:$A$202,0)))</f>
        <v/>
      </c>
      <c r="AB16" s="106" t="str">
        <f ca="1">IF($B16="","",INDIRECT("aux_sheet!AJ"&amp;1+MATCH(aux_sheet!$B15,aux_sheet!$A$2:$A$202,0)))</f>
        <v/>
      </c>
      <c r="AC16" s="89" t="str">
        <f ca="1">IF($B16="","",INDIRECT("aux_sheet!AK"&amp;1+MATCH(aux_sheet!$B15,aux_sheet!$A$2:$A$202,0)))</f>
        <v/>
      </c>
      <c r="AD16" s="89" t="str">
        <f ca="1">IF($B16="","",INDIRECT("aux_sheet!AK"&amp;1+MATCH(aux_sheet!$B15,aux_sheet!$A$2:$A$202,0)))</f>
        <v/>
      </c>
      <c r="AE16" s="106" t="str">
        <f ca="1">IF($B16="","",INDIRECT("aux_sheet!AM"&amp;1+MATCH(aux_sheet!$B15,aux_sheet!$A$2:$A$202,0)))</f>
        <v/>
      </c>
      <c r="AF16" s="89" t="str">
        <f ca="1">IF($B16="","",INDIRECT("aux_sheet!AN"&amp;1+MATCH(aux_sheet!$B15,aux_sheet!$A$2:$A$202,0)))</f>
        <v/>
      </c>
      <c r="AG16" s="89" t="str">
        <f ca="1">IF($B16="","",INDIRECT("aux_sheet!AN"&amp;1+MATCH(aux_sheet!$B15,aux_sheet!$A$2:$A$202,0)))</f>
        <v/>
      </c>
      <c r="AH16" s="14" t="str">
        <f>IF(ISBLANK(Input!A15)," ",F15-F16)</f>
        <v xml:space="preserve"> </v>
      </c>
    </row>
    <row r="17" spans="1:34" x14ac:dyDescent="0.35">
      <c r="A17" s="2" t="str">
        <f>IF(ISBLANK(Input!A16),"",ROUNDDOWN(aux_sheet!B16,0))</f>
        <v/>
      </c>
      <c r="B17" s="2" t="str">
        <f ca="1">IF(ISBLANK(Input!A16),"",INDIRECT("Input!A"&amp;1+MATCH(aux_sheet!$B16,aux_sheet!$A$2:$A$202,0)))</f>
        <v/>
      </c>
      <c r="C17" s="2" t="str">
        <f ca="1">IF(ISBLANK(Input!B16),"",INDIRECT("Input!B"&amp;1+MATCH(aux_sheet!$B16,aux_sheet!$A$2:$A$202,0)))</f>
        <v/>
      </c>
      <c r="D17" s="2" t="str">
        <f ca="1">IF(ISBLANK(Input!C16),"",INDIRECT("Input!C"&amp;1+MATCH(aux_sheet!$B16,aux_sheet!$A$2:$A$202,0)))</f>
        <v/>
      </c>
      <c r="E17" s="2" t="str">
        <f ca="1">IF(ISBLANK(Input!D16),"",INDIRECT("Input!D"&amp;1+MATCH(aux_sheet!$B16,aux_sheet!$A$2:$A$202,0)))</f>
        <v/>
      </c>
      <c r="F17" s="11" t="str">
        <f ca="1">INDIRECT("Input!F"&amp;1+MATCH(aux_sheet!$B16,aux_sheet!$A$2:$A$202,0))</f>
        <v xml:space="preserve"> </v>
      </c>
      <c r="G17" s="106" t="str">
        <f ca="1">IF($B17="","",INDIRECT("aux_sheet!O"&amp;1+MATCH(aux_sheet!$B16,aux_sheet!$A$2:$A$202,0)))</f>
        <v/>
      </c>
      <c r="H17" s="89" t="str">
        <f ca="1">IF($B17="","",INDIRECT("aux_sheet!P"&amp;1+MATCH(aux_sheet!$B16,aux_sheet!$A$2:$A$202,0)))</f>
        <v/>
      </c>
      <c r="I17" s="89" t="str">
        <f ca="1">IF($B17="","",INDIRECT("aux_sheet!P"&amp;1+MATCH(aux_sheet!$B16,aux_sheet!$A$2:$A$202,0)))</f>
        <v/>
      </c>
      <c r="J17" s="106" t="str">
        <f ca="1">IF($B17="","",INDIRECT("aux_sheet!R"&amp;1+MATCH(aux_sheet!$B16,aux_sheet!$A$2:$A$202,0)))</f>
        <v/>
      </c>
      <c r="K17" s="89" t="str">
        <f ca="1">IF($B17="","",INDIRECT("aux_sheet!S"&amp;1+MATCH(aux_sheet!$B16,aux_sheet!$A$2:$A$202,0)))</f>
        <v/>
      </c>
      <c r="L17" s="89" t="str">
        <f ca="1">IF($B17="","",INDIRECT("aux_sheet!S"&amp;1+MATCH(aux_sheet!$B16,aux_sheet!$A$2:$A$202,0)))</f>
        <v/>
      </c>
      <c r="M17" s="106" t="str">
        <f ca="1">IF($B17="","",INDIRECT("aux_sheet!U"&amp;1+MATCH(aux_sheet!$B16,aux_sheet!$A$2:$A$202,0)))</f>
        <v/>
      </c>
      <c r="N17" s="89" t="str">
        <f ca="1">IF($B17="","",INDIRECT("aux_sheet!V"&amp;1+MATCH(aux_sheet!$B16,aux_sheet!$A$2:$A$202,0)))</f>
        <v/>
      </c>
      <c r="O17" s="89" t="str">
        <f ca="1">IF($B17="","",INDIRECT("aux_sheet!V"&amp;1+MATCH(aux_sheet!$B16,aux_sheet!$A$2:$A$202,0)))</f>
        <v/>
      </c>
      <c r="P17" s="106" t="str">
        <f ca="1">IF($B17="","",INDIRECT("aux_sheet!X"&amp;1+MATCH(aux_sheet!$B16,aux_sheet!$A$2:$A$202,0)))</f>
        <v/>
      </c>
      <c r="Q17" s="89" t="str">
        <f ca="1">IF($B17="","",INDIRECT("aux_sheet!Y"&amp;1+MATCH(aux_sheet!$B16,aux_sheet!$A$2:$A$202,0)))</f>
        <v/>
      </c>
      <c r="R17" s="89" t="str">
        <f ca="1">IF($B17="","",INDIRECT("aux_sheet!Y"&amp;1+MATCH(aux_sheet!$B16,aux_sheet!$A$2:$A$202,0)))</f>
        <v/>
      </c>
      <c r="S17" s="106" t="str">
        <f ca="1">IF($B17="","",INDIRECT("aux_sheet!AA"&amp;1+MATCH(aux_sheet!$B16,aux_sheet!$A$2:$A$202,0)))</f>
        <v/>
      </c>
      <c r="T17" s="89" t="str">
        <f ca="1">IF($B17="","",INDIRECT("aux_sheet!AB"&amp;1+MATCH(aux_sheet!$B16,aux_sheet!$A$2:$A$202,0)))</f>
        <v/>
      </c>
      <c r="U17" s="89" t="str">
        <f ca="1">IF($B17="","",INDIRECT("aux_sheet!AB"&amp;1+MATCH(aux_sheet!$B16,aux_sheet!$A$2:$A$202,0)))</f>
        <v/>
      </c>
      <c r="V17" s="106" t="str">
        <f ca="1">IF($B17="","",INDIRECT("aux_sheet!AD"&amp;1+MATCH(aux_sheet!$B16,aux_sheet!$A$2:$A$202,0)))</f>
        <v/>
      </c>
      <c r="W17" s="89" t="str">
        <f ca="1">IF($B17="","",INDIRECT("aux_sheet!AE"&amp;1+MATCH(aux_sheet!$B16,aux_sheet!$A$2:$A$202,0)))</f>
        <v/>
      </c>
      <c r="X17" s="89" t="str">
        <f ca="1">IF($B17="","",INDIRECT("aux_sheet!AE"&amp;1+MATCH(aux_sheet!$B16,aux_sheet!$A$2:$A$202,0)))</f>
        <v/>
      </c>
      <c r="Y17" s="106" t="str">
        <f ca="1">IF($B17="","",INDIRECT("aux_sheet!AG"&amp;1+MATCH(aux_sheet!$B16,aux_sheet!$A$2:$A$202,0)))</f>
        <v/>
      </c>
      <c r="Z17" s="89" t="str">
        <f ca="1">IF($B17="","",INDIRECT("aux_sheet!AH"&amp;1+MATCH(aux_sheet!$B16,aux_sheet!$A$2:$A$202,0)))</f>
        <v/>
      </c>
      <c r="AA17" s="89" t="str">
        <f ca="1">IF($B17="","",INDIRECT("aux_sheet!AH"&amp;1+MATCH(aux_sheet!$B16,aux_sheet!$A$2:$A$202,0)))</f>
        <v/>
      </c>
      <c r="AB17" s="106" t="str">
        <f ca="1">IF($B17="","",INDIRECT("aux_sheet!AJ"&amp;1+MATCH(aux_sheet!$B16,aux_sheet!$A$2:$A$202,0)))</f>
        <v/>
      </c>
      <c r="AC17" s="89" t="str">
        <f ca="1">IF($B17="","",INDIRECT("aux_sheet!AK"&amp;1+MATCH(aux_sheet!$B16,aux_sheet!$A$2:$A$202,0)))</f>
        <v/>
      </c>
      <c r="AD17" s="89" t="str">
        <f ca="1">IF($B17="","",INDIRECT("aux_sheet!AK"&amp;1+MATCH(aux_sheet!$B16,aux_sheet!$A$2:$A$202,0)))</f>
        <v/>
      </c>
      <c r="AE17" s="106" t="str">
        <f ca="1">IF($B17="","",INDIRECT("aux_sheet!AM"&amp;1+MATCH(aux_sheet!$B16,aux_sheet!$A$2:$A$202,0)))</f>
        <v/>
      </c>
      <c r="AF17" s="89" t="str">
        <f ca="1">IF($B17="","",INDIRECT("aux_sheet!AN"&amp;1+MATCH(aux_sheet!$B16,aux_sheet!$A$2:$A$202,0)))</f>
        <v/>
      </c>
      <c r="AG17" s="89" t="str">
        <f ca="1">IF($B17="","",INDIRECT("aux_sheet!AN"&amp;1+MATCH(aux_sheet!$B16,aux_sheet!$A$2:$A$202,0)))</f>
        <v/>
      </c>
      <c r="AH17" s="14" t="str">
        <f>IF(ISBLANK(Input!A16)," ",F16-F17)</f>
        <v xml:space="preserve"> </v>
      </c>
    </row>
    <row r="18" spans="1:34" x14ac:dyDescent="0.35">
      <c r="A18" s="2" t="str">
        <f>IF(ISBLANK(Input!A17),"",ROUNDDOWN(aux_sheet!B17,0))</f>
        <v/>
      </c>
      <c r="B18" s="2" t="str">
        <f ca="1">IF(ISBLANK(Input!A17),"",INDIRECT("Input!A"&amp;1+MATCH(aux_sheet!$B17,aux_sheet!$A$2:$A$202,0)))</f>
        <v/>
      </c>
      <c r="C18" s="2" t="str">
        <f ca="1">IF(ISBLANK(Input!B17),"",INDIRECT("Input!B"&amp;1+MATCH(aux_sheet!$B17,aux_sheet!$A$2:$A$202,0)))</f>
        <v/>
      </c>
      <c r="D18" s="2" t="str">
        <f ca="1">IF(ISBLANK(Input!C17),"",INDIRECT("Input!C"&amp;1+MATCH(aux_sheet!$B17,aux_sheet!$A$2:$A$202,0)))</f>
        <v/>
      </c>
      <c r="E18" s="2" t="str">
        <f ca="1">IF(ISBLANK(Input!D17),"",INDIRECT("Input!D"&amp;1+MATCH(aux_sheet!$B17,aux_sheet!$A$2:$A$202,0)))</f>
        <v/>
      </c>
      <c r="F18" s="11" t="str">
        <f ca="1">INDIRECT("Input!F"&amp;1+MATCH(aux_sheet!$B17,aux_sheet!$A$2:$A$202,0))</f>
        <v xml:space="preserve"> </v>
      </c>
      <c r="G18" s="106" t="str">
        <f ca="1">IF($B18="","",INDIRECT("aux_sheet!O"&amp;1+MATCH(aux_sheet!$B17,aux_sheet!$A$2:$A$202,0)))</f>
        <v/>
      </c>
      <c r="H18" s="89" t="str">
        <f ca="1">IF($B18="","",INDIRECT("aux_sheet!P"&amp;1+MATCH(aux_sheet!$B17,aux_sheet!$A$2:$A$202,0)))</f>
        <v/>
      </c>
      <c r="I18" s="89" t="str">
        <f ca="1">IF($B18="","",INDIRECT("aux_sheet!P"&amp;1+MATCH(aux_sheet!$B17,aux_sheet!$A$2:$A$202,0)))</f>
        <v/>
      </c>
      <c r="J18" s="106" t="str">
        <f ca="1">IF($B18="","",INDIRECT("aux_sheet!R"&amp;1+MATCH(aux_sheet!$B17,aux_sheet!$A$2:$A$202,0)))</f>
        <v/>
      </c>
      <c r="K18" s="89" t="str">
        <f ca="1">IF($B18="","",INDIRECT("aux_sheet!S"&amp;1+MATCH(aux_sheet!$B17,aux_sheet!$A$2:$A$202,0)))</f>
        <v/>
      </c>
      <c r="L18" s="89" t="str">
        <f ca="1">IF($B18="","",INDIRECT("aux_sheet!S"&amp;1+MATCH(aux_sheet!$B17,aux_sheet!$A$2:$A$202,0)))</f>
        <v/>
      </c>
      <c r="M18" s="106" t="str">
        <f ca="1">IF($B18="","",INDIRECT("aux_sheet!U"&amp;1+MATCH(aux_sheet!$B17,aux_sheet!$A$2:$A$202,0)))</f>
        <v/>
      </c>
      <c r="N18" s="89" t="str">
        <f ca="1">IF($B18="","",INDIRECT("aux_sheet!V"&amp;1+MATCH(aux_sheet!$B17,aux_sheet!$A$2:$A$202,0)))</f>
        <v/>
      </c>
      <c r="O18" s="89" t="str">
        <f ca="1">IF($B18="","",INDIRECT("aux_sheet!V"&amp;1+MATCH(aux_sheet!$B17,aux_sheet!$A$2:$A$202,0)))</f>
        <v/>
      </c>
      <c r="P18" s="106" t="str">
        <f ca="1">IF($B18="","",INDIRECT("aux_sheet!X"&amp;1+MATCH(aux_sheet!$B17,aux_sheet!$A$2:$A$202,0)))</f>
        <v/>
      </c>
      <c r="Q18" s="89" t="str">
        <f ca="1">IF($B18="","",INDIRECT("aux_sheet!Y"&amp;1+MATCH(aux_sheet!$B17,aux_sheet!$A$2:$A$202,0)))</f>
        <v/>
      </c>
      <c r="R18" s="89" t="str">
        <f ca="1">IF($B18="","",INDIRECT("aux_sheet!Y"&amp;1+MATCH(aux_sheet!$B17,aux_sheet!$A$2:$A$202,0)))</f>
        <v/>
      </c>
      <c r="S18" s="106" t="str">
        <f ca="1">IF($B18="","",INDIRECT("aux_sheet!AA"&amp;1+MATCH(aux_sheet!$B17,aux_sheet!$A$2:$A$202,0)))</f>
        <v/>
      </c>
      <c r="T18" s="89" t="str">
        <f ca="1">IF($B18="","",INDIRECT("aux_sheet!AB"&amp;1+MATCH(aux_sheet!$B17,aux_sheet!$A$2:$A$202,0)))</f>
        <v/>
      </c>
      <c r="U18" s="89" t="str">
        <f ca="1">IF($B18="","",INDIRECT("aux_sheet!AB"&amp;1+MATCH(aux_sheet!$B17,aux_sheet!$A$2:$A$202,0)))</f>
        <v/>
      </c>
      <c r="V18" s="106" t="str">
        <f ca="1">IF($B18="","",INDIRECT("aux_sheet!AD"&amp;1+MATCH(aux_sheet!$B17,aux_sheet!$A$2:$A$202,0)))</f>
        <v/>
      </c>
      <c r="W18" s="89" t="str">
        <f ca="1">IF($B18="","",INDIRECT("aux_sheet!AE"&amp;1+MATCH(aux_sheet!$B17,aux_sheet!$A$2:$A$202,0)))</f>
        <v/>
      </c>
      <c r="X18" s="89" t="str">
        <f ca="1">IF($B18="","",INDIRECT("aux_sheet!AE"&amp;1+MATCH(aux_sheet!$B17,aux_sheet!$A$2:$A$202,0)))</f>
        <v/>
      </c>
      <c r="Y18" s="106" t="str">
        <f ca="1">IF($B18="","",INDIRECT("aux_sheet!AG"&amp;1+MATCH(aux_sheet!$B17,aux_sheet!$A$2:$A$202,0)))</f>
        <v/>
      </c>
      <c r="Z18" s="89" t="str">
        <f ca="1">IF($B18="","",INDIRECT("aux_sheet!AH"&amp;1+MATCH(aux_sheet!$B17,aux_sheet!$A$2:$A$202,0)))</f>
        <v/>
      </c>
      <c r="AA18" s="89" t="str">
        <f ca="1">IF($B18="","",INDIRECT("aux_sheet!AH"&amp;1+MATCH(aux_sheet!$B17,aux_sheet!$A$2:$A$202,0)))</f>
        <v/>
      </c>
      <c r="AB18" s="106" t="str">
        <f ca="1">IF($B18="","",INDIRECT("aux_sheet!AJ"&amp;1+MATCH(aux_sheet!$B17,aux_sheet!$A$2:$A$202,0)))</f>
        <v/>
      </c>
      <c r="AC18" s="89" t="str">
        <f ca="1">IF($B18="","",INDIRECT("aux_sheet!AK"&amp;1+MATCH(aux_sheet!$B17,aux_sheet!$A$2:$A$202,0)))</f>
        <v/>
      </c>
      <c r="AD18" s="89" t="str">
        <f ca="1">IF($B18="","",INDIRECT("aux_sheet!AK"&amp;1+MATCH(aux_sheet!$B17,aux_sheet!$A$2:$A$202,0)))</f>
        <v/>
      </c>
      <c r="AE18" s="106" t="str">
        <f ca="1">IF($B18="","",INDIRECT("aux_sheet!AM"&amp;1+MATCH(aux_sheet!$B17,aux_sheet!$A$2:$A$202,0)))</f>
        <v/>
      </c>
      <c r="AF18" s="89" t="str">
        <f ca="1">IF($B18="","",INDIRECT("aux_sheet!AN"&amp;1+MATCH(aux_sheet!$B17,aux_sheet!$A$2:$A$202,0)))</f>
        <v/>
      </c>
      <c r="AG18" s="89" t="str">
        <f ca="1">IF($B18="","",INDIRECT("aux_sheet!AN"&amp;1+MATCH(aux_sheet!$B17,aux_sheet!$A$2:$A$202,0)))</f>
        <v/>
      </c>
      <c r="AH18" s="14" t="str">
        <f>IF(ISBLANK(Input!A17)," ",F17-F18)</f>
        <v xml:space="preserve"> </v>
      </c>
    </row>
    <row r="19" spans="1:34" x14ac:dyDescent="0.35">
      <c r="A19" s="2" t="str">
        <f>IF(ISBLANK(Input!A18),"",ROUNDDOWN(aux_sheet!B18,0))</f>
        <v/>
      </c>
      <c r="B19" s="2" t="str">
        <f ca="1">IF(ISBLANK(Input!A18),"",INDIRECT("Input!A"&amp;1+MATCH(aux_sheet!$B18,aux_sheet!$A$2:$A$202,0)))</f>
        <v/>
      </c>
      <c r="C19" s="2" t="str">
        <f ca="1">IF(ISBLANK(Input!B18),"",INDIRECT("Input!B"&amp;1+MATCH(aux_sheet!$B18,aux_sheet!$A$2:$A$202,0)))</f>
        <v/>
      </c>
      <c r="D19" s="2" t="str">
        <f ca="1">IF(ISBLANK(Input!C18),"",INDIRECT("Input!C"&amp;1+MATCH(aux_sheet!$B18,aux_sheet!$A$2:$A$202,0)))</f>
        <v/>
      </c>
      <c r="E19" s="2" t="str">
        <f ca="1">IF(ISBLANK(Input!D18),"",INDIRECT("Input!D"&amp;1+MATCH(aux_sheet!$B18,aux_sheet!$A$2:$A$202,0)))</f>
        <v/>
      </c>
      <c r="F19" s="11" t="str">
        <f ca="1">INDIRECT("Input!F"&amp;1+MATCH(aux_sheet!$B18,aux_sheet!$A$2:$A$202,0))</f>
        <v xml:space="preserve"> </v>
      </c>
      <c r="G19" s="106" t="str">
        <f ca="1">IF($B19="","",INDIRECT("aux_sheet!O"&amp;1+MATCH(aux_sheet!$B18,aux_sheet!$A$2:$A$202,0)))</f>
        <v/>
      </c>
      <c r="H19" s="89" t="str">
        <f ca="1">IF($B19="","",INDIRECT("aux_sheet!P"&amp;1+MATCH(aux_sheet!$B18,aux_sheet!$A$2:$A$202,0)))</f>
        <v/>
      </c>
      <c r="I19" s="89" t="str">
        <f ca="1">IF($B19="","",INDIRECT("aux_sheet!P"&amp;1+MATCH(aux_sheet!$B18,aux_sheet!$A$2:$A$202,0)))</f>
        <v/>
      </c>
      <c r="J19" s="106" t="str">
        <f ca="1">IF($B19="","",INDIRECT("aux_sheet!R"&amp;1+MATCH(aux_sheet!$B18,aux_sheet!$A$2:$A$202,0)))</f>
        <v/>
      </c>
      <c r="K19" s="89" t="str">
        <f ca="1">IF($B19="","",INDIRECT("aux_sheet!S"&amp;1+MATCH(aux_sheet!$B18,aux_sheet!$A$2:$A$202,0)))</f>
        <v/>
      </c>
      <c r="L19" s="89" t="str">
        <f ca="1">IF($B19="","",INDIRECT("aux_sheet!S"&amp;1+MATCH(aux_sheet!$B18,aux_sheet!$A$2:$A$202,0)))</f>
        <v/>
      </c>
      <c r="M19" s="106" t="str">
        <f ca="1">IF($B19="","",INDIRECT("aux_sheet!U"&amp;1+MATCH(aux_sheet!$B18,aux_sheet!$A$2:$A$202,0)))</f>
        <v/>
      </c>
      <c r="N19" s="89" t="str">
        <f ca="1">IF($B19="","",INDIRECT("aux_sheet!V"&amp;1+MATCH(aux_sheet!$B18,aux_sheet!$A$2:$A$202,0)))</f>
        <v/>
      </c>
      <c r="O19" s="89" t="str">
        <f ca="1">IF($B19="","",INDIRECT("aux_sheet!V"&amp;1+MATCH(aux_sheet!$B18,aux_sheet!$A$2:$A$202,0)))</f>
        <v/>
      </c>
      <c r="P19" s="106" t="str">
        <f ca="1">IF($B19="","",INDIRECT("aux_sheet!X"&amp;1+MATCH(aux_sheet!$B18,aux_sheet!$A$2:$A$202,0)))</f>
        <v/>
      </c>
      <c r="Q19" s="89" t="str">
        <f ca="1">IF($B19="","",INDIRECT("aux_sheet!Y"&amp;1+MATCH(aux_sheet!$B18,aux_sheet!$A$2:$A$202,0)))</f>
        <v/>
      </c>
      <c r="R19" s="89" t="str">
        <f ca="1">IF($B19="","",INDIRECT("aux_sheet!Y"&amp;1+MATCH(aux_sheet!$B18,aux_sheet!$A$2:$A$202,0)))</f>
        <v/>
      </c>
      <c r="S19" s="106" t="str">
        <f ca="1">IF($B19="","",INDIRECT("aux_sheet!AA"&amp;1+MATCH(aux_sheet!$B18,aux_sheet!$A$2:$A$202,0)))</f>
        <v/>
      </c>
      <c r="T19" s="89" t="str">
        <f ca="1">IF($B19="","",INDIRECT("aux_sheet!AB"&amp;1+MATCH(aux_sheet!$B18,aux_sheet!$A$2:$A$202,0)))</f>
        <v/>
      </c>
      <c r="U19" s="89" t="str">
        <f ca="1">IF($B19="","",INDIRECT("aux_sheet!AB"&amp;1+MATCH(aux_sheet!$B18,aux_sheet!$A$2:$A$202,0)))</f>
        <v/>
      </c>
      <c r="V19" s="106" t="str">
        <f ca="1">IF($B19="","",INDIRECT("aux_sheet!AD"&amp;1+MATCH(aux_sheet!$B18,aux_sheet!$A$2:$A$202,0)))</f>
        <v/>
      </c>
      <c r="W19" s="89" t="str">
        <f ca="1">IF($B19="","",INDIRECT("aux_sheet!AE"&amp;1+MATCH(aux_sheet!$B18,aux_sheet!$A$2:$A$202,0)))</f>
        <v/>
      </c>
      <c r="X19" s="89" t="str">
        <f ca="1">IF($B19="","",INDIRECT("aux_sheet!AE"&amp;1+MATCH(aux_sheet!$B18,aux_sheet!$A$2:$A$202,0)))</f>
        <v/>
      </c>
      <c r="Y19" s="106" t="str">
        <f ca="1">IF($B19="","",INDIRECT("aux_sheet!AG"&amp;1+MATCH(aux_sheet!$B18,aux_sheet!$A$2:$A$202,0)))</f>
        <v/>
      </c>
      <c r="Z19" s="89" t="str">
        <f ca="1">IF($B19="","",INDIRECT("aux_sheet!AH"&amp;1+MATCH(aux_sheet!$B18,aux_sheet!$A$2:$A$202,0)))</f>
        <v/>
      </c>
      <c r="AA19" s="89" t="str">
        <f ca="1">IF($B19="","",INDIRECT("aux_sheet!AH"&amp;1+MATCH(aux_sheet!$B18,aux_sheet!$A$2:$A$202,0)))</f>
        <v/>
      </c>
      <c r="AB19" s="106" t="str">
        <f ca="1">IF($B19="","",INDIRECT("aux_sheet!AJ"&amp;1+MATCH(aux_sheet!$B18,aux_sheet!$A$2:$A$202,0)))</f>
        <v/>
      </c>
      <c r="AC19" s="89" t="str">
        <f ca="1">IF($B19="","",INDIRECT("aux_sheet!AK"&amp;1+MATCH(aux_sheet!$B18,aux_sheet!$A$2:$A$202,0)))</f>
        <v/>
      </c>
      <c r="AD19" s="89" t="str">
        <f ca="1">IF($B19="","",INDIRECT("aux_sheet!AK"&amp;1+MATCH(aux_sheet!$B18,aux_sheet!$A$2:$A$202,0)))</f>
        <v/>
      </c>
      <c r="AE19" s="106" t="str">
        <f ca="1">IF($B19="","",INDIRECT("aux_sheet!AM"&amp;1+MATCH(aux_sheet!$B18,aux_sheet!$A$2:$A$202,0)))</f>
        <v/>
      </c>
      <c r="AF19" s="89" t="str">
        <f ca="1">IF($B19="","",INDIRECT("aux_sheet!AN"&amp;1+MATCH(aux_sheet!$B18,aux_sheet!$A$2:$A$202,0)))</f>
        <v/>
      </c>
      <c r="AG19" s="89" t="str">
        <f ca="1">IF($B19="","",INDIRECT("aux_sheet!AN"&amp;1+MATCH(aux_sheet!$B18,aux_sheet!$A$2:$A$202,0)))</f>
        <v/>
      </c>
      <c r="AH19" s="14" t="str">
        <f>IF(ISBLANK(Input!A18)," ",F18-F19)</f>
        <v xml:space="preserve"> </v>
      </c>
    </row>
    <row r="20" spans="1:34" x14ac:dyDescent="0.35">
      <c r="A20" s="2" t="str">
        <f>IF(ISBLANK(Input!A19),"",ROUNDDOWN(aux_sheet!B19,0))</f>
        <v/>
      </c>
      <c r="B20" s="2" t="str">
        <f ca="1">IF(ISBLANK(Input!A19),"",INDIRECT("Input!A"&amp;1+MATCH(aux_sheet!$B19,aux_sheet!$A$2:$A$202,0)))</f>
        <v/>
      </c>
      <c r="C20" s="2" t="str">
        <f ca="1">IF(ISBLANK(Input!B19),"",INDIRECT("Input!B"&amp;1+MATCH(aux_sheet!$B19,aux_sheet!$A$2:$A$202,0)))</f>
        <v/>
      </c>
      <c r="D20" s="2" t="str">
        <f ca="1">IF(ISBLANK(Input!C19),"",INDIRECT("Input!C"&amp;1+MATCH(aux_sheet!$B19,aux_sheet!$A$2:$A$202,0)))</f>
        <v/>
      </c>
      <c r="E20" s="2" t="str">
        <f ca="1">IF(ISBLANK(Input!D19),"",INDIRECT("Input!D"&amp;1+MATCH(aux_sheet!$B19,aux_sheet!$A$2:$A$202,0)))</f>
        <v/>
      </c>
      <c r="F20" s="11" t="str">
        <f ca="1">INDIRECT("Input!F"&amp;1+MATCH(aux_sheet!$B19,aux_sheet!$A$2:$A$202,0))</f>
        <v xml:space="preserve"> </v>
      </c>
      <c r="G20" s="106" t="str">
        <f ca="1">IF($B20="","",INDIRECT("aux_sheet!O"&amp;1+MATCH(aux_sheet!$B19,aux_sheet!$A$2:$A$202,0)))</f>
        <v/>
      </c>
      <c r="H20" s="89" t="str">
        <f ca="1">IF($B20="","",INDIRECT("aux_sheet!P"&amp;1+MATCH(aux_sheet!$B19,aux_sheet!$A$2:$A$202,0)))</f>
        <v/>
      </c>
      <c r="I20" s="89" t="str">
        <f ca="1">IF($B20="","",INDIRECT("aux_sheet!P"&amp;1+MATCH(aux_sheet!$B19,aux_sheet!$A$2:$A$202,0)))</f>
        <v/>
      </c>
      <c r="J20" s="106" t="str">
        <f ca="1">IF($B20="","",INDIRECT("aux_sheet!R"&amp;1+MATCH(aux_sheet!$B19,aux_sheet!$A$2:$A$202,0)))</f>
        <v/>
      </c>
      <c r="K20" s="89" t="str">
        <f ca="1">IF($B20="","",INDIRECT("aux_sheet!S"&amp;1+MATCH(aux_sheet!$B19,aux_sheet!$A$2:$A$202,0)))</f>
        <v/>
      </c>
      <c r="L20" s="89" t="str">
        <f ca="1">IF($B20="","",INDIRECT("aux_sheet!S"&amp;1+MATCH(aux_sheet!$B19,aux_sheet!$A$2:$A$202,0)))</f>
        <v/>
      </c>
      <c r="M20" s="106" t="str">
        <f ca="1">IF($B20="","",INDIRECT("aux_sheet!U"&amp;1+MATCH(aux_sheet!$B19,aux_sheet!$A$2:$A$202,0)))</f>
        <v/>
      </c>
      <c r="N20" s="89" t="str">
        <f ca="1">IF($B20="","",INDIRECT("aux_sheet!V"&amp;1+MATCH(aux_sheet!$B19,aux_sheet!$A$2:$A$202,0)))</f>
        <v/>
      </c>
      <c r="O20" s="89" t="str">
        <f ca="1">IF($B20="","",INDIRECT("aux_sheet!V"&amp;1+MATCH(aux_sheet!$B19,aux_sheet!$A$2:$A$202,0)))</f>
        <v/>
      </c>
      <c r="P20" s="106" t="str">
        <f ca="1">IF($B20="","",INDIRECT("aux_sheet!X"&amp;1+MATCH(aux_sheet!$B19,aux_sheet!$A$2:$A$202,0)))</f>
        <v/>
      </c>
      <c r="Q20" s="89" t="str">
        <f ca="1">IF($B20="","",INDIRECT("aux_sheet!Y"&amp;1+MATCH(aux_sheet!$B19,aux_sheet!$A$2:$A$202,0)))</f>
        <v/>
      </c>
      <c r="R20" s="89" t="str">
        <f ca="1">IF($B20="","",INDIRECT("aux_sheet!Y"&amp;1+MATCH(aux_sheet!$B19,aux_sheet!$A$2:$A$202,0)))</f>
        <v/>
      </c>
      <c r="S20" s="106" t="str">
        <f ca="1">IF($B20="","",INDIRECT("aux_sheet!AA"&amp;1+MATCH(aux_sheet!$B19,aux_sheet!$A$2:$A$202,0)))</f>
        <v/>
      </c>
      <c r="T20" s="89" t="str">
        <f ca="1">IF($B20="","",INDIRECT("aux_sheet!AB"&amp;1+MATCH(aux_sheet!$B19,aux_sheet!$A$2:$A$202,0)))</f>
        <v/>
      </c>
      <c r="U20" s="89" t="str">
        <f ca="1">IF($B20="","",INDIRECT("aux_sheet!AB"&amp;1+MATCH(aux_sheet!$B19,aux_sheet!$A$2:$A$202,0)))</f>
        <v/>
      </c>
      <c r="V20" s="106" t="str">
        <f ca="1">IF($B20="","",INDIRECT("aux_sheet!AD"&amp;1+MATCH(aux_sheet!$B19,aux_sheet!$A$2:$A$202,0)))</f>
        <v/>
      </c>
      <c r="W20" s="89" t="str">
        <f ca="1">IF($B20="","",INDIRECT("aux_sheet!AE"&amp;1+MATCH(aux_sheet!$B19,aux_sheet!$A$2:$A$202,0)))</f>
        <v/>
      </c>
      <c r="X20" s="89" t="str">
        <f ca="1">IF($B20="","",INDIRECT("aux_sheet!AE"&amp;1+MATCH(aux_sheet!$B19,aux_sheet!$A$2:$A$202,0)))</f>
        <v/>
      </c>
      <c r="Y20" s="106" t="str">
        <f ca="1">IF($B20="","",INDIRECT("aux_sheet!AG"&amp;1+MATCH(aux_sheet!$B19,aux_sheet!$A$2:$A$202,0)))</f>
        <v/>
      </c>
      <c r="Z20" s="89" t="str">
        <f ca="1">IF($B20="","",INDIRECT("aux_sheet!AH"&amp;1+MATCH(aux_sheet!$B19,aux_sheet!$A$2:$A$202,0)))</f>
        <v/>
      </c>
      <c r="AA20" s="89" t="str">
        <f ca="1">IF($B20="","",INDIRECT("aux_sheet!AH"&amp;1+MATCH(aux_sheet!$B19,aux_sheet!$A$2:$A$202,0)))</f>
        <v/>
      </c>
      <c r="AB20" s="106" t="str">
        <f ca="1">IF($B20="","",INDIRECT("aux_sheet!AJ"&amp;1+MATCH(aux_sheet!$B19,aux_sheet!$A$2:$A$202,0)))</f>
        <v/>
      </c>
      <c r="AC20" s="89" t="str">
        <f ca="1">IF($B20="","",INDIRECT("aux_sheet!AK"&amp;1+MATCH(aux_sheet!$B19,aux_sheet!$A$2:$A$202,0)))</f>
        <v/>
      </c>
      <c r="AD20" s="89" t="str">
        <f ca="1">IF($B20="","",INDIRECT("aux_sheet!AK"&amp;1+MATCH(aux_sheet!$B19,aux_sheet!$A$2:$A$202,0)))</f>
        <v/>
      </c>
      <c r="AE20" s="106" t="str">
        <f ca="1">IF($B20="","",INDIRECT("aux_sheet!AM"&amp;1+MATCH(aux_sheet!$B19,aux_sheet!$A$2:$A$202,0)))</f>
        <v/>
      </c>
      <c r="AF20" s="89" t="str">
        <f ca="1">IF($B20="","",INDIRECT("aux_sheet!AN"&amp;1+MATCH(aux_sheet!$B19,aux_sheet!$A$2:$A$202,0)))</f>
        <v/>
      </c>
      <c r="AG20" s="89" t="str">
        <f ca="1">IF($B20="","",INDIRECT("aux_sheet!AN"&amp;1+MATCH(aux_sheet!$B19,aux_sheet!$A$2:$A$202,0)))</f>
        <v/>
      </c>
      <c r="AH20" s="14" t="str">
        <f>IF(ISBLANK(Input!A19)," ",F19-F20)</f>
        <v xml:space="preserve"> </v>
      </c>
    </row>
    <row r="21" spans="1:34" x14ac:dyDescent="0.35">
      <c r="A21" s="2" t="str">
        <f>IF(ISBLANK(Input!A20),"",ROUNDDOWN(aux_sheet!B20,0))</f>
        <v/>
      </c>
      <c r="B21" s="2" t="str">
        <f ca="1">IF(ISBLANK(Input!A20),"",INDIRECT("Input!A"&amp;1+MATCH(aux_sheet!$B20,aux_sheet!$A$2:$A$202,0)))</f>
        <v/>
      </c>
      <c r="C21" s="2" t="str">
        <f ca="1">IF(ISBLANK(Input!B20),"",INDIRECT("Input!B"&amp;1+MATCH(aux_sheet!$B20,aux_sheet!$A$2:$A$202,0)))</f>
        <v/>
      </c>
      <c r="D21" s="2" t="str">
        <f ca="1">IF(ISBLANK(Input!C20),"",INDIRECT("Input!C"&amp;1+MATCH(aux_sheet!$B20,aux_sheet!$A$2:$A$202,0)))</f>
        <v/>
      </c>
      <c r="E21" s="2" t="str">
        <f ca="1">IF(ISBLANK(Input!D20),"",INDIRECT("Input!D"&amp;1+MATCH(aux_sheet!$B20,aux_sheet!$A$2:$A$202,0)))</f>
        <v/>
      </c>
      <c r="F21" s="11" t="str">
        <f ca="1">INDIRECT("Input!F"&amp;1+MATCH(aux_sheet!$B20,aux_sheet!$A$2:$A$202,0))</f>
        <v xml:space="preserve"> </v>
      </c>
      <c r="G21" s="106" t="str">
        <f ca="1">IF($B21="","",INDIRECT("aux_sheet!O"&amp;1+MATCH(aux_sheet!$B20,aux_sheet!$A$2:$A$202,0)))</f>
        <v/>
      </c>
      <c r="H21" s="89" t="str">
        <f ca="1">IF($B21="","",INDIRECT("aux_sheet!P"&amp;1+MATCH(aux_sheet!$B20,aux_sheet!$A$2:$A$202,0)))</f>
        <v/>
      </c>
      <c r="I21" s="89" t="str">
        <f ca="1">IF($B21="","",INDIRECT("aux_sheet!P"&amp;1+MATCH(aux_sheet!$B20,aux_sheet!$A$2:$A$202,0)))</f>
        <v/>
      </c>
      <c r="J21" s="106" t="str">
        <f ca="1">IF($B21="","",INDIRECT("aux_sheet!R"&amp;1+MATCH(aux_sheet!$B20,aux_sheet!$A$2:$A$202,0)))</f>
        <v/>
      </c>
      <c r="K21" s="89" t="str">
        <f ca="1">IF($B21="","",INDIRECT("aux_sheet!S"&amp;1+MATCH(aux_sheet!$B20,aux_sheet!$A$2:$A$202,0)))</f>
        <v/>
      </c>
      <c r="L21" s="89" t="str">
        <f ca="1">IF($B21="","",INDIRECT("aux_sheet!S"&amp;1+MATCH(aux_sheet!$B20,aux_sheet!$A$2:$A$202,0)))</f>
        <v/>
      </c>
      <c r="M21" s="106" t="str">
        <f ca="1">IF($B21="","",INDIRECT("aux_sheet!U"&amp;1+MATCH(aux_sheet!$B20,aux_sheet!$A$2:$A$202,0)))</f>
        <v/>
      </c>
      <c r="N21" s="89" t="str">
        <f ca="1">IF($B21="","",INDIRECT("aux_sheet!V"&amp;1+MATCH(aux_sheet!$B20,aux_sheet!$A$2:$A$202,0)))</f>
        <v/>
      </c>
      <c r="O21" s="89" t="str">
        <f ca="1">IF($B21="","",INDIRECT("aux_sheet!V"&amp;1+MATCH(aux_sheet!$B20,aux_sheet!$A$2:$A$202,0)))</f>
        <v/>
      </c>
      <c r="P21" s="106" t="str">
        <f ca="1">IF($B21="","",INDIRECT("aux_sheet!X"&amp;1+MATCH(aux_sheet!$B20,aux_sheet!$A$2:$A$202,0)))</f>
        <v/>
      </c>
      <c r="Q21" s="89" t="str">
        <f ca="1">IF($B21="","",INDIRECT("aux_sheet!Y"&amp;1+MATCH(aux_sheet!$B20,aux_sheet!$A$2:$A$202,0)))</f>
        <v/>
      </c>
      <c r="R21" s="89" t="str">
        <f ca="1">IF($B21="","",INDIRECT("aux_sheet!Y"&amp;1+MATCH(aux_sheet!$B20,aux_sheet!$A$2:$A$202,0)))</f>
        <v/>
      </c>
      <c r="S21" s="106" t="str">
        <f ca="1">IF($B21="","",INDIRECT("aux_sheet!AA"&amp;1+MATCH(aux_sheet!$B20,aux_sheet!$A$2:$A$202,0)))</f>
        <v/>
      </c>
      <c r="T21" s="89" t="str">
        <f ca="1">IF($B21="","",INDIRECT("aux_sheet!AB"&amp;1+MATCH(aux_sheet!$B20,aux_sheet!$A$2:$A$202,0)))</f>
        <v/>
      </c>
      <c r="U21" s="89" t="str">
        <f ca="1">IF($B21="","",INDIRECT("aux_sheet!AB"&amp;1+MATCH(aux_sheet!$B20,aux_sheet!$A$2:$A$202,0)))</f>
        <v/>
      </c>
      <c r="V21" s="106" t="str">
        <f ca="1">IF($B21="","",INDIRECT("aux_sheet!AD"&amp;1+MATCH(aux_sheet!$B20,aux_sheet!$A$2:$A$202,0)))</f>
        <v/>
      </c>
      <c r="W21" s="89" t="str">
        <f ca="1">IF($B21="","",INDIRECT("aux_sheet!AE"&amp;1+MATCH(aux_sheet!$B20,aux_sheet!$A$2:$A$202,0)))</f>
        <v/>
      </c>
      <c r="X21" s="89" t="str">
        <f ca="1">IF($B21="","",INDIRECT("aux_sheet!AE"&amp;1+MATCH(aux_sheet!$B20,aux_sheet!$A$2:$A$202,0)))</f>
        <v/>
      </c>
      <c r="Y21" s="106" t="str">
        <f ca="1">IF($B21="","",INDIRECT("aux_sheet!AG"&amp;1+MATCH(aux_sheet!$B20,aux_sheet!$A$2:$A$202,0)))</f>
        <v/>
      </c>
      <c r="Z21" s="89" t="str">
        <f ca="1">IF($B21="","",INDIRECT("aux_sheet!AH"&amp;1+MATCH(aux_sheet!$B20,aux_sheet!$A$2:$A$202,0)))</f>
        <v/>
      </c>
      <c r="AA21" s="89" t="str">
        <f ca="1">IF($B21="","",INDIRECT("aux_sheet!AH"&amp;1+MATCH(aux_sheet!$B20,aux_sheet!$A$2:$A$202,0)))</f>
        <v/>
      </c>
      <c r="AB21" s="106" t="str">
        <f ca="1">IF($B21="","",INDIRECT("aux_sheet!AJ"&amp;1+MATCH(aux_sheet!$B20,aux_sheet!$A$2:$A$202,0)))</f>
        <v/>
      </c>
      <c r="AC21" s="89" t="str">
        <f ca="1">IF($B21="","",INDIRECT("aux_sheet!AK"&amp;1+MATCH(aux_sheet!$B20,aux_sheet!$A$2:$A$202,0)))</f>
        <v/>
      </c>
      <c r="AD21" s="89" t="str">
        <f ca="1">IF($B21="","",INDIRECT("aux_sheet!AK"&amp;1+MATCH(aux_sheet!$B20,aux_sheet!$A$2:$A$202,0)))</f>
        <v/>
      </c>
      <c r="AE21" s="106" t="str">
        <f ca="1">IF($B21="","",INDIRECT("aux_sheet!AM"&amp;1+MATCH(aux_sheet!$B20,aux_sheet!$A$2:$A$202,0)))</f>
        <v/>
      </c>
      <c r="AF21" s="89" t="str">
        <f ca="1">IF($B21="","",INDIRECT("aux_sheet!AN"&amp;1+MATCH(aux_sheet!$B20,aux_sheet!$A$2:$A$202,0)))</f>
        <v/>
      </c>
      <c r="AG21" s="89" t="str">
        <f ca="1">IF($B21="","",INDIRECT("aux_sheet!AN"&amp;1+MATCH(aux_sheet!$B20,aux_sheet!$A$2:$A$202,0)))</f>
        <v/>
      </c>
      <c r="AH21" s="14" t="str">
        <f>IF(ISBLANK(Input!A20)," ",F20-F21)</f>
        <v xml:space="preserve"> </v>
      </c>
    </row>
    <row r="22" spans="1:34" x14ac:dyDescent="0.35">
      <c r="A22" s="2" t="str">
        <f>IF(ISBLANK(Input!A21),"",ROUNDDOWN(aux_sheet!B21,0))</f>
        <v/>
      </c>
      <c r="B22" s="2" t="str">
        <f ca="1">IF(ISBLANK(Input!A21),"",INDIRECT("Input!A"&amp;1+MATCH(aux_sheet!$B21,aux_sheet!$A$2:$A$202,0)))</f>
        <v/>
      </c>
      <c r="C22" s="2" t="str">
        <f ca="1">IF(ISBLANK(Input!B21),"",INDIRECT("Input!B"&amp;1+MATCH(aux_sheet!$B21,aux_sheet!$A$2:$A$202,0)))</f>
        <v/>
      </c>
      <c r="D22" s="2" t="str">
        <f ca="1">IF(ISBLANK(Input!C21),"",INDIRECT("Input!C"&amp;1+MATCH(aux_sheet!$B21,aux_sheet!$A$2:$A$202,0)))</f>
        <v/>
      </c>
      <c r="E22" s="2" t="str">
        <f ca="1">IF(ISBLANK(Input!D21),"",INDIRECT("Input!D"&amp;1+MATCH(aux_sheet!$B21,aux_sheet!$A$2:$A$202,0)))</f>
        <v/>
      </c>
      <c r="F22" s="11" t="str">
        <f ca="1">INDIRECT("Input!F"&amp;1+MATCH(aux_sheet!$B21,aux_sheet!$A$2:$A$202,0))</f>
        <v xml:space="preserve"> </v>
      </c>
      <c r="G22" s="106" t="str">
        <f ca="1">IF($B22="","",INDIRECT("aux_sheet!O"&amp;1+MATCH(aux_sheet!$B21,aux_sheet!$A$2:$A$202,0)))</f>
        <v/>
      </c>
      <c r="H22" s="89" t="str">
        <f ca="1">IF($B22="","",INDIRECT("aux_sheet!P"&amp;1+MATCH(aux_sheet!$B21,aux_sheet!$A$2:$A$202,0)))</f>
        <v/>
      </c>
      <c r="I22" s="89" t="str">
        <f ca="1">IF($B22="","",INDIRECT("aux_sheet!P"&amp;1+MATCH(aux_sheet!$B21,aux_sheet!$A$2:$A$202,0)))</f>
        <v/>
      </c>
      <c r="J22" s="106" t="str">
        <f ca="1">IF($B22="","",INDIRECT("aux_sheet!R"&amp;1+MATCH(aux_sheet!$B21,aux_sheet!$A$2:$A$202,0)))</f>
        <v/>
      </c>
      <c r="K22" s="89" t="str">
        <f ca="1">IF($B22="","",INDIRECT("aux_sheet!S"&amp;1+MATCH(aux_sheet!$B21,aux_sheet!$A$2:$A$202,0)))</f>
        <v/>
      </c>
      <c r="L22" s="89" t="str">
        <f ca="1">IF($B22="","",INDIRECT("aux_sheet!S"&amp;1+MATCH(aux_sheet!$B21,aux_sheet!$A$2:$A$202,0)))</f>
        <v/>
      </c>
      <c r="M22" s="106" t="str">
        <f ca="1">IF($B22="","",INDIRECT("aux_sheet!U"&amp;1+MATCH(aux_sheet!$B21,aux_sheet!$A$2:$A$202,0)))</f>
        <v/>
      </c>
      <c r="N22" s="89" t="str">
        <f ca="1">IF($B22="","",INDIRECT("aux_sheet!V"&amp;1+MATCH(aux_sheet!$B21,aux_sheet!$A$2:$A$202,0)))</f>
        <v/>
      </c>
      <c r="O22" s="89" t="str">
        <f ca="1">IF($B22="","",INDIRECT("aux_sheet!V"&amp;1+MATCH(aux_sheet!$B21,aux_sheet!$A$2:$A$202,0)))</f>
        <v/>
      </c>
      <c r="P22" s="106" t="str">
        <f ca="1">IF($B22="","",INDIRECT("aux_sheet!X"&amp;1+MATCH(aux_sheet!$B21,aux_sheet!$A$2:$A$202,0)))</f>
        <v/>
      </c>
      <c r="Q22" s="89" t="str">
        <f ca="1">IF($B22="","",INDIRECT("aux_sheet!Y"&amp;1+MATCH(aux_sheet!$B21,aux_sheet!$A$2:$A$202,0)))</f>
        <v/>
      </c>
      <c r="R22" s="89" t="str">
        <f ca="1">IF($B22="","",INDIRECT("aux_sheet!Y"&amp;1+MATCH(aux_sheet!$B21,aux_sheet!$A$2:$A$202,0)))</f>
        <v/>
      </c>
      <c r="S22" s="106" t="str">
        <f ca="1">IF($B22="","",INDIRECT("aux_sheet!AA"&amp;1+MATCH(aux_sheet!$B21,aux_sheet!$A$2:$A$202,0)))</f>
        <v/>
      </c>
      <c r="T22" s="89" t="str">
        <f ca="1">IF($B22="","",INDIRECT("aux_sheet!AB"&amp;1+MATCH(aux_sheet!$B21,aux_sheet!$A$2:$A$202,0)))</f>
        <v/>
      </c>
      <c r="U22" s="89" t="str">
        <f ca="1">IF($B22="","",INDIRECT("aux_sheet!AB"&amp;1+MATCH(aux_sheet!$B21,aux_sheet!$A$2:$A$202,0)))</f>
        <v/>
      </c>
      <c r="V22" s="106" t="str">
        <f ca="1">IF($B22="","",INDIRECT("aux_sheet!AD"&amp;1+MATCH(aux_sheet!$B21,aux_sheet!$A$2:$A$202,0)))</f>
        <v/>
      </c>
      <c r="W22" s="89" t="str">
        <f ca="1">IF($B22="","",INDIRECT("aux_sheet!AE"&amp;1+MATCH(aux_sheet!$B21,aux_sheet!$A$2:$A$202,0)))</f>
        <v/>
      </c>
      <c r="X22" s="89" t="str">
        <f ca="1">IF($B22="","",INDIRECT("aux_sheet!AE"&amp;1+MATCH(aux_sheet!$B21,aux_sheet!$A$2:$A$202,0)))</f>
        <v/>
      </c>
      <c r="Y22" s="106" t="str">
        <f ca="1">IF($B22="","",INDIRECT("aux_sheet!AG"&amp;1+MATCH(aux_sheet!$B21,aux_sheet!$A$2:$A$202,0)))</f>
        <v/>
      </c>
      <c r="Z22" s="89" t="str">
        <f ca="1">IF($B22="","",INDIRECT("aux_sheet!AH"&amp;1+MATCH(aux_sheet!$B21,aux_sheet!$A$2:$A$202,0)))</f>
        <v/>
      </c>
      <c r="AA22" s="89" t="str">
        <f ca="1">IF($B22="","",INDIRECT("aux_sheet!AH"&amp;1+MATCH(aux_sheet!$B21,aux_sheet!$A$2:$A$202,0)))</f>
        <v/>
      </c>
      <c r="AB22" s="106" t="str">
        <f ca="1">IF($B22="","",INDIRECT("aux_sheet!AJ"&amp;1+MATCH(aux_sheet!$B21,aux_sheet!$A$2:$A$202,0)))</f>
        <v/>
      </c>
      <c r="AC22" s="89" t="str">
        <f ca="1">IF($B22="","",INDIRECT("aux_sheet!AK"&amp;1+MATCH(aux_sheet!$B21,aux_sheet!$A$2:$A$202,0)))</f>
        <v/>
      </c>
      <c r="AD22" s="89" t="str">
        <f ca="1">IF($B22="","",INDIRECT("aux_sheet!AK"&amp;1+MATCH(aux_sheet!$B21,aux_sheet!$A$2:$A$202,0)))</f>
        <v/>
      </c>
      <c r="AE22" s="106" t="str">
        <f ca="1">IF($B22="","",INDIRECT("aux_sheet!AM"&amp;1+MATCH(aux_sheet!$B21,aux_sheet!$A$2:$A$202,0)))</f>
        <v/>
      </c>
      <c r="AF22" s="89" t="str">
        <f ca="1">IF($B22="","",INDIRECT("aux_sheet!AN"&amp;1+MATCH(aux_sheet!$B21,aux_sheet!$A$2:$A$202,0)))</f>
        <v/>
      </c>
      <c r="AG22" s="89" t="str">
        <f ca="1">IF($B22="","",INDIRECT("aux_sheet!AN"&amp;1+MATCH(aux_sheet!$B21,aux_sheet!$A$2:$A$202,0)))</f>
        <v/>
      </c>
      <c r="AH22" s="14" t="str">
        <f>IF(ISBLANK(Input!A21)," ",F21-F22)</f>
        <v xml:space="preserve"> </v>
      </c>
    </row>
    <row r="23" spans="1:34" x14ac:dyDescent="0.35">
      <c r="A23" s="2" t="str">
        <f>IF(ISBLANK(Input!A22),"",ROUNDDOWN(aux_sheet!B22,0))</f>
        <v/>
      </c>
      <c r="B23" s="2" t="str">
        <f ca="1">IF(ISBLANK(Input!A22),"",INDIRECT("Input!A"&amp;1+MATCH(aux_sheet!$B22,aux_sheet!$A$2:$A$202,0)))</f>
        <v/>
      </c>
      <c r="C23" s="2" t="str">
        <f ca="1">IF(ISBLANK(Input!B22),"",INDIRECT("Input!B"&amp;1+MATCH(aux_sheet!$B22,aux_sheet!$A$2:$A$202,0)))</f>
        <v/>
      </c>
      <c r="D23" s="2" t="str">
        <f ca="1">IF(ISBLANK(Input!C22),"",INDIRECT("Input!C"&amp;1+MATCH(aux_sheet!$B22,aux_sheet!$A$2:$A$202,0)))</f>
        <v/>
      </c>
      <c r="E23" s="2" t="str">
        <f ca="1">IF(ISBLANK(Input!D22),"",INDIRECT("Input!D"&amp;1+MATCH(aux_sheet!$B22,aux_sheet!$A$2:$A$202,0)))</f>
        <v/>
      </c>
      <c r="F23" s="11" t="str">
        <f ca="1">INDIRECT("Input!F"&amp;1+MATCH(aux_sheet!$B22,aux_sheet!$A$2:$A$202,0))</f>
        <v xml:space="preserve"> </v>
      </c>
      <c r="G23" s="106" t="str">
        <f ca="1">IF($B23="","",INDIRECT("aux_sheet!O"&amp;1+MATCH(aux_sheet!$B22,aux_sheet!$A$2:$A$202,0)))</f>
        <v/>
      </c>
      <c r="H23" s="89" t="str">
        <f ca="1">IF($B23="","",INDIRECT("aux_sheet!P"&amp;1+MATCH(aux_sheet!$B22,aux_sheet!$A$2:$A$202,0)))</f>
        <v/>
      </c>
      <c r="I23" s="89" t="str">
        <f ca="1">IF($B23="","",INDIRECT("aux_sheet!P"&amp;1+MATCH(aux_sheet!$B22,aux_sheet!$A$2:$A$202,0)))</f>
        <v/>
      </c>
      <c r="J23" s="106" t="str">
        <f ca="1">IF($B23="","",INDIRECT("aux_sheet!R"&amp;1+MATCH(aux_sheet!$B22,aux_sheet!$A$2:$A$202,0)))</f>
        <v/>
      </c>
      <c r="K23" s="89" t="str">
        <f ca="1">IF($B23="","",INDIRECT("aux_sheet!S"&amp;1+MATCH(aux_sheet!$B22,aux_sheet!$A$2:$A$202,0)))</f>
        <v/>
      </c>
      <c r="L23" s="89" t="str">
        <f ca="1">IF($B23="","",INDIRECT("aux_sheet!S"&amp;1+MATCH(aux_sheet!$B22,aux_sheet!$A$2:$A$202,0)))</f>
        <v/>
      </c>
      <c r="M23" s="106" t="str">
        <f ca="1">IF($B23="","",INDIRECT("aux_sheet!U"&amp;1+MATCH(aux_sheet!$B22,aux_sheet!$A$2:$A$202,0)))</f>
        <v/>
      </c>
      <c r="N23" s="89" t="str">
        <f ca="1">IF($B23="","",INDIRECT("aux_sheet!V"&amp;1+MATCH(aux_sheet!$B22,aux_sheet!$A$2:$A$202,0)))</f>
        <v/>
      </c>
      <c r="O23" s="89" t="str">
        <f ca="1">IF($B23="","",INDIRECT("aux_sheet!V"&amp;1+MATCH(aux_sheet!$B22,aux_sheet!$A$2:$A$202,0)))</f>
        <v/>
      </c>
      <c r="P23" s="106" t="str">
        <f ca="1">IF($B23="","",INDIRECT("aux_sheet!X"&amp;1+MATCH(aux_sheet!$B22,aux_sheet!$A$2:$A$202,0)))</f>
        <v/>
      </c>
      <c r="Q23" s="89" t="str">
        <f ca="1">IF($B23="","",INDIRECT("aux_sheet!Y"&amp;1+MATCH(aux_sheet!$B22,aux_sheet!$A$2:$A$202,0)))</f>
        <v/>
      </c>
      <c r="R23" s="89" t="str">
        <f ca="1">IF($B23="","",INDIRECT("aux_sheet!Y"&amp;1+MATCH(aux_sheet!$B22,aux_sheet!$A$2:$A$202,0)))</f>
        <v/>
      </c>
      <c r="S23" s="106" t="str">
        <f ca="1">IF($B23="","",INDIRECT("aux_sheet!AA"&amp;1+MATCH(aux_sheet!$B22,aux_sheet!$A$2:$A$202,0)))</f>
        <v/>
      </c>
      <c r="T23" s="89" t="str">
        <f ca="1">IF($B23="","",INDIRECT("aux_sheet!AB"&amp;1+MATCH(aux_sheet!$B22,aux_sheet!$A$2:$A$202,0)))</f>
        <v/>
      </c>
      <c r="U23" s="89" t="str">
        <f ca="1">IF($B23="","",INDIRECT("aux_sheet!AB"&amp;1+MATCH(aux_sheet!$B22,aux_sheet!$A$2:$A$202,0)))</f>
        <v/>
      </c>
      <c r="V23" s="106" t="str">
        <f ca="1">IF($B23="","",INDIRECT("aux_sheet!AD"&amp;1+MATCH(aux_sheet!$B22,aux_sheet!$A$2:$A$202,0)))</f>
        <v/>
      </c>
      <c r="W23" s="89" t="str">
        <f ca="1">IF($B23="","",INDIRECT("aux_sheet!AE"&amp;1+MATCH(aux_sheet!$B22,aux_sheet!$A$2:$A$202,0)))</f>
        <v/>
      </c>
      <c r="X23" s="89" t="str">
        <f ca="1">IF($B23="","",INDIRECT("aux_sheet!AE"&amp;1+MATCH(aux_sheet!$B22,aux_sheet!$A$2:$A$202,0)))</f>
        <v/>
      </c>
      <c r="Y23" s="106" t="str">
        <f ca="1">IF($B23="","",INDIRECT("aux_sheet!AG"&amp;1+MATCH(aux_sheet!$B22,aux_sheet!$A$2:$A$202,0)))</f>
        <v/>
      </c>
      <c r="Z23" s="89" t="str">
        <f ca="1">IF($B23="","",INDIRECT("aux_sheet!AH"&amp;1+MATCH(aux_sheet!$B22,aux_sheet!$A$2:$A$202,0)))</f>
        <v/>
      </c>
      <c r="AA23" s="89" t="str">
        <f ca="1">IF($B23="","",INDIRECT("aux_sheet!AH"&amp;1+MATCH(aux_sheet!$B22,aux_sheet!$A$2:$A$202,0)))</f>
        <v/>
      </c>
      <c r="AB23" s="106" t="str">
        <f ca="1">IF($B23="","",INDIRECT("aux_sheet!AJ"&amp;1+MATCH(aux_sheet!$B22,aux_sheet!$A$2:$A$202,0)))</f>
        <v/>
      </c>
      <c r="AC23" s="89" t="str">
        <f ca="1">IF($B23="","",INDIRECT("aux_sheet!AK"&amp;1+MATCH(aux_sheet!$B22,aux_sheet!$A$2:$A$202,0)))</f>
        <v/>
      </c>
      <c r="AD23" s="89" t="str">
        <f ca="1">IF($B23="","",INDIRECT("aux_sheet!AK"&amp;1+MATCH(aux_sheet!$B22,aux_sheet!$A$2:$A$202,0)))</f>
        <v/>
      </c>
      <c r="AE23" s="106" t="str">
        <f ca="1">IF($B23="","",INDIRECT("aux_sheet!AM"&amp;1+MATCH(aux_sheet!$B22,aux_sheet!$A$2:$A$202,0)))</f>
        <v/>
      </c>
      <c r="AF23" s="89" t="str">
        <f ca="1">IF($B23="","",INDIRECT("aux_sheet!AN"&amp;1+MATCH(aux_sheet!$B22,aux_sheet!$A$2:$A$202,0)))</f>
        <v/>
      </c>
      <c r="AG23" s="89" t="str">
        <f ca="1">IF($B23="","",INDIRECT("aux_sheet!AN"&amp;1+MATCH(aux_sheet!$B22,aux_sheet!$A$2:$A$202,0)))</f>
        <v/>
      </c>
      <c r="AH23" s="14" t="str">
        <f>IF(ISBLANK(Input!A22)," ",F22-F23)</f>
        <v xml:space="preserve"> </v>
      </c>
    </row>
    <row r="24" spans="1:34" x14ac:dyDescent="0.35">
      <c r="A24" s="2" t="str">
        <f>IF(ISBLANK(Input!A23),"",ROUNDDOWN(aux_sheet!B23,0))</f>
        <v/>
      </c>
      <c r="B24" s="2" t="str">
        <f ca="1">IF(ISBLANK(Input!A23),"",INDIRECT("Input!A"&amp;1+MATCH(aux_sheet!$B23,aux_sheet!$A$2:$A$202,0)))</f>
        <v/>
      </c>
      <c r="C24" s="2" t="str">
        <f ca="1">IF(ISBLANK(Input!B23),"",INDIRECT("Input!B"&amp;1+MATCH(aux_sheet!$B23,aux_sheet!$A$2:$A$202,0)))</f>
        <v/>
      </c>
      <c r="D24" s="2" t="str">
        <f ca="1">IF(ISBLANK(Input!C23),"",INDIRECT("Input!C"&amp;1+MATCH(aux_sheet!$B23,aux_sheet!$A$2:$A$202,0)))</f>
        <v/>
      </c>
      <c r="E24" s="2" t="str">
        <f ca="1">IF(ISBLANK(Input!D23),"",INDIRECT("Input!D"&amp;1+MATCH(aux_sheet!$B23,aux_sheet!$A$2:$A$202,0)))</f>
        <v/>
      </c>
      <c r="F24" s="11" t="str">
        <f ca="1">INDIRECT("Input!F"&amp;1+MATCH(aux_sheet!$B23,aux_sheet!$A$2:$A$202,0))</f>
        <v xml:space="preserve"> </v>
      </c>
      <c r="G24" s="106" t="str">
        <f ca="1">IF($B24="","",INDIRECT("aux_sheet!O"&amp;1+MATCH(aux_sheet!$B23,aux_sheet!$A$2:$A$202,0)))</f>
        <v/>
      </c>
      <c r="H24" s="89" t="str">
        <f ca="1">IF($B24="","",INDIRECT("aux_sheet!P"&amp;1+MATCH(aux_sheet!$B23,aux_sheet!$A$2:$A$202,0)))</f>
        <v/>
      </c>
      <c r="I24" s="89" t="str">
        <f ca="1">IF($B24="","",INDIRECT("aux_sheet!P"&amp;1+MATCH(aux_sheet!$B23,aux_sheet!$A$2:$A$202,0)))</f>
        <v/>
      </c>
      <c r="J24" s="106" t="str">
        <f ca="1">IF($B24="","",INDIRECT("aux_sheet!R"&amp;1+MATCH(aux_sheet!$B23,aux_sheet!$A$2:$A$202,0)))</f>
        <v/>
      </c>
      <c r="K24" s="89" t="str">
        <f ca="1">IF($B24="","",INDIRECT("aux_sheet!S"&amp;1+MATCH(aux_sheet!$B23,aux_sheet!$A$2:$A$202,0)))</f>
        <v/>
      </c>
      <c r="L24" s="89" t="str">
        <f ca="1">IF($B24="","",INDIRECT("aux_sheet!S"&amp;1+MATCH(aux_sheet!$B23,aux_sheet!$A$2:$A$202,0)))</f>
        <v/>
      </c>
      <c r="M24" s="106" t="str">
        <f ca="1">IF($B24="","",INDIRECT("aux_sheet!U"&amp;1+MATCH(aux_sheet!$B23,aux_sheet!$A$2:$A$202,0)))</f>
        <v/>
      </c>
      <c r="N24" s="89" t="str">
        <f ca="1">IF($B24="","",INDIRECT("aux_sheet!V"&amp;1+MATCH(aux_sheet!$B23,aux_sheet!$A$2:$A$202,0)))</f>
        <v/>
      </c>
      <c r="O24" s="89" t="str">
        <f ca="1">IF($B24="","",INDIRECT("aux_sheet!V"&amp;1+MATCH(aux_sheet!$B23,aux_sheet!$A$2:$A$202,0)))</f>
        <v/>
      </c>
      <c r="P24" s="106" t="str">
        <f ca="1">IF($B24="","",INDIRECT("aux_sheet!X"&amp;1+MATCH(aux_sheet!$B23,aux_sheet!$A$2:$A$202,0)))</f>
        <v/>
      </c>
      <c r="Q24" s="89" t="str">
        <f ca="1">IF($B24="","",INDIRECT("aux_sheet!Y"&amp;1+MATCH(aux_sheet!$B23,aux_sheet!$A$2:$A$202,0)))</f>
        <v/>
      </c>
      <c r="R24" s="89" t="str">
        <f ca="1">IF($B24="","",INDIRECT("aux_sheet!Y"&amp;1+MATCH(aux_sheet!$B23,aux_sheet!$A$2:$A$202,0)))</f>
        <v/>
      </c>
      <c r="S24" s="106" t="str">
        <f ca="1">IF($B24="","",INDIRECT("aux_sheet!AA"&amp;1+MATCH(aux_sheet!$B23,aux_sheet!$A$2:$A$202,0)))</f>
        <v/>
      </c>
      <c r="T24" s="89" t="str">
        <f ca="1">IF($B24="","",INDIRECT("aux_sheet!AB"&amp;1+MATCH(aux_sheet!$B23,aux_sheet!$A$2:$A$202,0)))</f>
        <v/>
      </c>
      <c r="U24" s="89" t="str">
        <f ca="1">IF($B24="","",INDIRECT("aux_sheet!AB"&amp;1+MATCH(aux_sheet!$B23,aux_sheet!$A$2:$A$202,0)))</f>
        <v/>
      </c>
      <c r="V24" s="106" t="str">
        <f ca="1">IF($B24="","",INDIRECT("aux_sheet!AD"&amp;1+MATCH(aux_sheet!$B23,aux_sheet!$A$2:$A$202,0)))</f>
        <v/>
      </c>
      <c r="W24" s="89" t="str">
        <f ca="1">IF($B24="","",INDIRECT("aux_sheet!AE"&amp;1+MATCH(aux_sheet!$B23,aux_sheet!$A$2:$A$202,0)))</f>
        <v/>
      </c>
      <c r="X24" s="89" t="str">
        <f ca="1">IF($B24="","",INDIRECT("aux_sheet!AE"&amp;1+MATCH(aux_sheet!$B23,aux_sheet!$A$2:$A$202,0)))</f>
        <v/>
      </c>
      <c r="Y24" s="106" t="str">
        <f ca="1">IF($B24="","",INDIRECT("aux_sheet!AG"&amp;1+MATCH(aux_sheet!$B23,aux_sheet!$A$2:$A$202,0)))</f>
        <v/>
      </c>
      <c r="Z24" s="89" t="str">
        <f ca="1">IF($B24="","",INDIRECT("aux_sheet!AH"&amp;1+MATCH(aux_sheet!$B23,aux_sheet!$A$2:$A$202,0)))</f>
        <v/>
      </c>
      <c r="AA24" s="89" t="str">
        <f ca="1">IF($B24="","",INDIRECT("aux_sheet!AH"&amp;1+MATCH(aux_sheet!$B23,aux_sheet!$A$2:$A$202,0)))</f>
        <v/>
      </c>
      <c r="AB24" s="106" t="str">
        <f ca="1">IF($B24="","",INDIRECT("aux_sheet!AJ"&amp;1+MATCH(aux_sheet!$B23,aux_sheet!$A$2:$A$202,0)))</f>
        <v/>
      </c>
      <c r="AC24" s="89" t="str">
        <f ca="1">IF($B24="","",INDIRECT("aux_sheet!AK"&amp;1+MATCH(aux_sheet!$B23,aux_sheet!$A$2:$A$202,0)))</f>
        <v/>
      </c>
      <c r="AD24" s="89" t="str">
        <f ca="1">IF($B24="","",INDIRECT("aux_sheet!AK"&amp;1+MATCH(aux_sheet!$B23,aux_sheet!$A$2:$A$202,0)))</f>
        <v/>
      </c>
      <c r="AE24" s="106" t="str">
        <f ca="1">IF($B24="","",INDIRECT("aux_sheet!AM"&amp;1+MATCH(aux_sheet!$B23,aux_sheet!$A$2:$A$202,0)))</f>
        <v/>
      </c>
      <c r="AF24" s="89" t="str">
        <f ca="1">IF($B24="","",INDIRECT("aux_sheet!AN"&amp;1+MATCH(aux_sheet!$B23,aux_sheet!$A$2:$A$202,0)))</f>
        <v/>
      </c>
      <c r="AG24" s="89" t="str">
        <f ca="1">IF($B24="","",INDIRECT("aux_sheet!AN"&amp;1+MATCH(aux_sheet!$B23,aux_sheet!$A$2:$A$202,0)))</f>
        <v/>
      </c>
      <c r="AH24" s="14" t="str">
        <f>IF(ISBLANK(Input!A23)," ",F23-F24)</f>
        <v xml:space="preserve"> </v>
      </c>
    </row>
    <row r="25" spans="1:34" x14ac:dyDescent="0.35">
      <c r="A25" s="2" t="str">
        <f>IF(ISBLANK(Input!A24),"",ROUNDDOWN(aux_sheet!B24,0))</f>
        <v/>
      </c>
      <c r="B25" s="2" t="str">
        <f ca="1">IF(ISBLANK(Input!A24),"",INDIRECT("Input!A"&amp;1+MATCH(aux_sheet!$B24,aux_sheet!$A$2:$A$202,0)))</f>
        <v/>
      </c>
      <c r="C25" s="2" t="str">
        <f ca="1">IF(ISBLANK(Input!B24),"",INDIRECT("Input!B"&amp;1+MATCH(aux_sheet!$B24,aux_sheet!$A$2:$A$202,0)))</f>
        <v/>
      </c>
      <c r="D25" s="2" t="str">
        <f ca="1">IF(ISBLANK(Input!C24),"",INDIRECT("Input!C"&amp;1+MATCH(aux_sheet!$B24,aux_sheet!$A$2:$A$202,0)))</f>
        <v/>
      </c>
      <c r="E25" s="2" t="str">
        <f ca="1">IF(ISBLANK(Input!D24),"",INDIRECT("Input!D"&amp;1+MATCH(aux_sheet!$B24,aux_sheet!$A$2:$A$202,0)))</f>
        <v/>
      </c>
      <c r="F25" s="11" t="str">
        <f ca="1">INDIRECT("Input!F"&amp;1+MATCH(aux_sheet!$B24,aux_sheet!$A$2:$A$202,0))</f>
        <v xml:space="preserve"> </v>
      </c>
      <c r="G25" s="106" t="str">
        <f ca="1">IF($B25="","",INDIRECT("aux_sheet!O"&amp;1+MATCH(aux_sheet!$B24,aux_sheet!$A$2:$A$202,0)))</f>
        <v/>
      </c>
      <c r="H25" s="89" t="str">
        <f ca="1">IF($B25="","",INDIRECT("aux_sheet!P"&amp;1+MATCH(aux_sheet!$B24,aux_sheet!$A$2:$A$202,0)))</f>
        <v/>
      </c>
      <c r="I25" s="89" t="str">
        <f ca="1">IF($B25="","",INDIRECT("aux_sheet!P"&amp;1+MATCH(aux_sheet!$B24,aux_sheet!$A$2:$A$202,0)))</f>
        <v/>
      </c>
      <c r="J25" s="106" t="str">
        <f ca="1">IF($B25="","",INDIRECT("aux_sheet!R"&amp;1+MATCH(aux_sheet!$B24,aux_sheet!$A$2:$A$202,0)))</f>
        <v/>
      </c>
      <c r="K25" s="89" t="str">
        <f ca="1">IF($B25="","",INDIRECT("aux_sheet!S"&amp;1+MATCH(aux_sheet!$B24,aux_sheet!$A$2:$A$202,0)))</f>
        <v/>
      </c>
      <c r="L25" s="89" t="str">
        <f ca="1">IF($B25="","",INDIRECT("aux_sheet!S"&amp;1+MATCH(aux_sheet!$B24,aux_sheet!$A$2:$A$202,0)))</f>
        <v/>
      </c>
      <c r="M25" s="106" t="str">
        <f ca="1">IF($B25="","",INDIRECT("aux_sheet!U"&amp;1+MATCH(aux_sheet!$B24,aux_sheet!$A$2:$A$202,0)))</f>
        <v/>
      </c>
      <c r="N25" s="89" t="str">
        <f ca="1">IF($B25="","",INDIRECT("aux_sheet!V"&amp;1+MATCH(aux_sheet!$B24,aux_sheet!$A$2:$A$202,0)))</f>
        <v/>
      </c>
      <c r="O25" s="89" t="str">
        <f ca="1">IF($B25="","",INDIRECT("aux_sheet!V"&amp;1+MATCH(aux_sheet!$B24,aux_sheet!$A$2:$A$202,0)))</f>
        <v/>
      </c>
      <c r="P25" s="106" t="str">
        <f ca="1">IF($B25="","",INDIRECT("aux_sheet!X"&amp;1+MATCH(aux_sheet!$B24,aux_sheet!$A$2:$A$202,0)))</f>
        <v/>
      </c>
      <c r="Q25" s="89" t="str">
        <f ca="1">IF($B25="","",INDIRECT("aux_sheet!Y"&amp;1+MATCH(aux_sheet!$B24,aux_sheet!$A$2:$A$202,0)))</f>
        <v/>
      </c>
      <c r="R25" s="89" t="str">
        <f ca="1">IF($B25="","",INDIRECT("aux_sheet!Y"&amp;1+MATCH(aux_sheet!$B24,aux_sheet!$A$2:$A$202,0)))</f>
        <v/>
      </c>
      <c r="S25" s="106" t="str">
        <f ca="1">IF($B25="","",INDIRECT("aux_sheet!AA"&amp;1+MATCH(aux_sheet!$B24,aux_sheet!$A$2:$A$202,0)))</f>
        <v/>
      </c>
      <c r="T25" s="89" t="str">
        <f ca="1">IF($B25="","",INDIRECT("aux_sheet!AB"&amp;1+MATCH(aux_sheet!$B24,aux_sheet!$A$2:$A$202,0)))</f>
        <v/>
      </c>
      <c r="U25" s="89" t="str">
        <f ca="1">IF($B25="","",INDIRECT("aux_sheet!AB"&amp;1+MATCH(aux_sheet!$B24,aux_sheet!$A$2:$A$202,0)))</f>
        <v/>
      </c>
      <c r="V25" s="106" t="str">
        <f ca="1">IF($B25="","",INDIRECT("aux_sheet!AD"&amp;1+MATCH(aux_sheet!$B24,aux_sheet!$A$2:$A$202,0)))</f>
        <v/>
      </c>
      <c r="W25" s="89" t="str">
        <f ca="1">IF($B25="","",INDIRECT("aux_sheet!AE"&amp;1+MATCH(aux_sheet!$B24,aux_sheet!$A$2:$A$202,0)))</f>
        <v/>
      </c>
      <c r="X25" s="89" t="str">
        <f ca="1">IF($B25="","",INDIRECT("aux_sheet!AE"&amp;1+MATCH(aux_sheet!$B24,aux_sheet!$A$2:$A$202,0)))</f>
        <v/>
      </c>
      <c r="Y25" s="106" t="str">
        <f ca="1">IF($B25="","",INDIRECT("aux_sheet!AG"&amp;1+MATCH(aux_sheet!$B24,aux_sheet!$A$2:$A$202,0)))</f>
        <v/>
      </c>
      <c r="Z25" s="89" t="str">
        <f ca="1">IF($B25="","",INDIRECT("aux_sheet!AH"&amp;1+MATCH(aux_sheet!$B24,aux_sheet!$A$2:$A$202,0)))</f>
        <v/>
      </c>
      <c r="AA25" s="89" t="str">
        <f ca="1">IF($B25="","",INDIRECT("aux_sheet!AH"&amp;1+MATCH(aux_sheet!$B24,aux_sheet!$A$2:$A$202,0)))</f>
        <v/>
      </c>
      <c r="AB25" s="106" t="str">
        <f ca="1">IF($B25="","",INDIRECT("aux_sheet!AJ"&amp;1+MATCH(aux_sheet!$B24,aux_sheet!$A$2:$A$202,0)))</f>
        <v/>
      </c>
      <c r="AC25" s="89" t="str">
        <f ca="1">IF($B25="","",INDIRECT("aux_sheet!AK"&amp;1+MATCH(aux_sheet!$B24,aux_sheet!$A$2:$A$202,0)))</f>
        <v/>
      </c>
      <c r="AD25" s="89" t="str">
        <f ca="1">IF($B25="","",INDIRECT("aux_sheet!AK"&amp;1+MATCH(aux_sheet!$B24,aux_sheet!$A$2:$A$202,0)))</f>
        <v/>
      </c>
      <c r="AE25" s="106" t="str">
        <f ca="1">IF($B25="","",INDIRECT("aux_sheet!AM"&amp;1+MATCH(aux_sheet!$B24,aux_sheet!$A$2:$A$202,0)))</f>
        <v/>
      </c>
      <c r="AF25" s="89" t="str">
        <f ca="1">IF($B25="","",INDIRECT("aux_sheet!AN"&amp;1+MATCH(aux_sheet!$B24,aux_sheet!$A$2:$A$202,0)))</f>
        <v/>
      </c>
      <c r="AG25" s="89" t="str">
        <f ca="1">IF($B25="","",INDIRECT("aux_sheet!AN"&amp;1+MATCH(aux_sheet!$B24,aux_sheet!$A$2:$A$202,0)))</f>
        <v/>
      </c>
      <c r="AH25" s="14" t="str">
        <f>IF(ISBLANK(Input!A24)," ",F24-F25)</f>
        <v xml:space="preserve"> </v>
      </c>
    </row>
    <row r="26" spans="1:34" x14ac:dyDescent="0.35">
      <c r="A26" s="2" t="str">
        <f>IF(ISBLANK(Input!A25),"",ROUNDDOWN(aux_sheet!B25,0))</f>
        <v/>
      </c>
      <c r="B26" s="2" t="str">
        <f ca="1">IF(ISBLANK(Input!A25),"",INDIRECT("Input!A"&amp;1+MATCH(aux_sheet!$B25,aux_sheet!$A$2:$A$202,0)))</f>
        <v/>
      </c>
      <c r="C26" s="2" t="str">
        <f ca="1">IF(ISBLANK(Input!B25),"",INDIRECT("Input!B"&amp;1+MATCH(aux_sheet!$B25,aux_sheet!$A$2:$A$202,0)))</f>
        <v/>
      </c>
      <c r="D26" s="2" t="str">
        <f ca="1">IF(ISBLANK(Input!C25),"",INDIRECT("Input!C"&amp;1+MATCH(aux_sheet!$B25,aux_sheet!$A$2:$A$202,0)))</f>
        <v/>
      </c>
      <c r="E26" s="2" t="str">
        <f ca="1">IF(ISBLANK(Input!D25),"",INDIRECT("Input!D"&amp;1+MATCH(aux_sheet!$B25,aux_sheet!$A$2:$A$202,0)))</f>
        <v/>
      </c>
      <c r="F26" s="11" t="str">
        <f ca="1">INDIRECT("Input!F"&amp;1+MATCH(aux_sheet!$B25,aux_sheet!$A$2:$A$202,0))</f>
        <v xml:space="preserve"> </v>
      </c>
      <c r="G26" s="106" t="str">
        <f ca="1">IF($B26="","",INDIRECT("aux_sheet!O"&amp;1+MATCH(aux_sheet!$B25,aux_sheet!$A$2:$A$202,0)))</f>
        <v/>
      </c>
      <c r="H26" s="89" t="str">
        <f ca="1">IF($B26="","",INDIRECT("aux_sheet!P"&amp;1+MATCH(aux_sheet!$B25,aux_sheet!$A$2:$A$202,0)))</f>
        <v/>
      </c>
      <c r="I26" s="89" t="str">
        <f ca="1">IF($B26="","",INDIRECT("aux_sheet!P"&amp;1+MATCH(aux_sheet!$B25,aux_sheet!$A$2:$A$202,0)))</f>
        <v/>
      </c>
      <c r="J26" s="106" t="str">
        <f ca="1">IF($B26="","",INDIRECT("aux_sheet!R"&amp;1+MATCH(aux_sheet!$B25,aux_sheet!$A$2:$A$202,0)))</f>
        <v/>
      </c>
      <c r="K26" s="89" t="str">
        <f ca="1">IF($B26="","",INDIRECT("aux_sheet!S"&amp;1+MATCH(aux_sheet!$B25,aux_sheet!$A$2:$A$202,0)))</f>
        <v/>
      </c>
      <c r="L26" s="89" t="str">
        <f ca="1">IF($B26="","",INDIRECT("aux_sheet!S"&amp;1+MATCH(aux_sheet!$B25,aux_sheet!$A$2:$A$202,0)))</f>
        <v/>
      </c>
      <c r="M26" s="106" t="str">
        <f ca="1">IF($B26="","",INDIRECT("aux_sheet!U"&amp;1+MATCH(aux_sheet!$B25,aux_sheet!$A$2:$A$202,0)))</f>
        <v/>
      </c>
      <c r="N26" s="89" t="str">
        <f ca="1">IF($B26="","",INDIRECT("aux_sheet!V"&amp;1+MATCH(aux_sheet!$B25,aux_sheet!$A$2:$A$202,0)))</f>
        <v/>
      </c>
      <c r="O26" s="89" t="str">
        <f ca="1">IF($B26="","",INDIRECT("aux_sheet!V"&amp;1+MATCH(aux_sheet!$B25,aux_sheet!$A$2:$A$202,0)))</f>
        <v/>
      </c>
      <c r="P26" s="106" t="str">
        <f ca="1">IF($B26="","",INDIRECT("aux_sheet!X"&amp;1+MATCH(aux_sheet!$B25,aux_sheet!$A$2:$A$202,0)))</f>
        <v/>
      </c>
      <c r="Q26" s="89" t="str">
        <f ca="1">IF($B26="","",INDIRECT("aux_sheet!Y"&amp;1+MATCH(aux_sheet!$B25,aux_sheet!$A$2:$A$202,0)))</f>
        <v/>
      </c>
      <c r="R26" s="89" t="str">
        <f ca="1">IF($B26="","",INDIRECT("aux_sheet!Y"&amp;1+MATCH(aux_sheet!$B25,aux_sheet!$A$2:$A$202,0)))</f>
        <v/>
      </c>
      <c r="S26" s="106" t="str">
        <f ca="1">IF($B26="","",INDIRECT("aux_sheet!AA"&amp;1+MATCH(aux_sheet!$B25,aux_sheet!$A$2:$A$202,0)))</f>
        <v/>
      </c>
      <c r="T26" s="89" t="str">
        <f ca="1">IF($B26="","",INDIRECT("aux_sheet!AB"&amp;1+MATCH(aux_sheet!$B25,aux_sheet!$A$2:$A$202,0)))</f>
        <v/>
      </c>
      <c r="U26" s="89" t="str">
        <f ca="1">IF($B26="","",INDIRECT("aux_sheet!AB"&amp;1+MATCH(aux_sheet!$B25,aux_sheet!$A$2:$A$202,0)))</f>
        <v/>
      </c>
      <c r="V26" s="106" t="str">
        <f ca="1">IF($B26="","",INDIRECT("aux_sheet!AD"&amp;1+MATCH(aux_sheet!$B25,aux_sheet!$A$2:$A$202,0)))</f>
        <v/>
      </c>
      <c r="W26" s="89" t="str">
        <f ca="1">IF($B26="","",INDIRECT("aux_sheet!AE"&amp;1+MATCH(aux_sheet!$B25,aux_sheet!$A$2:$A$202,0)))</f>
        <v/>
      </c>
      <c r="X26" s="89" t="str">
        <f ca="1">IF($B26="","",INDIRECT("aux_sheet!AE"&amp;1+MATCH(aux_sheet!$B25,aux_sheet!$A$2:$A$202,0)))</f>
        <v/>
      </c>
      <c r="Y26" s="106" t="str">
        <f ca="1">IF($B26="","",INDIRECT("aux_sheet!AG"&amp;1+MATCH(aux_sheet!$B25,aux_sheet!$A$2:$A$202,0)))</f>
        <v/>
      </c>
      <c r="Z26" s="89" t="str">
        <f ca="1">IF($B26="","",INDIRECT("aux_sheet!AH"&amp;1+MATCH(aux_sheet!$B25,aux_sheet!$A$2:$A$202,0)))</f>
        <v/>
      </c>
      <c r="AA26" s="89" t="str">
        <f ca="1">IF($B26="","",INDIRECT("aux_sheet!AH"&amp;1+MATCH(aux_sheet!$B25,aux_sheet!$A$2:$A$202,0)))</f>
        <v/>
      </c>
      <c r="AB26" s="106" t="str">
        <f ca="1">IF($B26="","",INDIRECT("aux_sheet!AJ"&amp;1+MATCH(aux_sheet!$B25,aux_sheet!$A$2:$A$202,0)))</f>
        <v/>
      </c>
      <c r="AC26" s="89" t="str">
        <f ca="1">IF($B26="","",INDIRECT("aux_sheet!AK"&amp;1+MATCH(aux_sheet!$B25,aux_sheet!$A$2:$A$202,0)))</f>
        <v/>
      </c>
      <c r="AD26" s="89" t="str">
        <f ca="1">IF($B26="","",INDIRECT("aux_sheet!AK"&amp;1+MATCH(aux_sheet!$B25,aux_sheet!$A$2:$A$202,0)))</f>
        <v/>
      </c>
      <c r="AE26" s="106" t="str">
        <f ca="1">IF($B26="","",INDIRECT("aux_sheet!AM"&amp;1+MATCH(aux_sheet!$B25,aux_sheet!$A$2:$A$202,0)))</f>
        <v/>
      </c>
      <c r="AF26" s="89" t="str">
        <f ca="1">IF($B26="","",INDIRECT("aux_sheet!AN"&amp;1+MATCH(aux_sheet!$B25,aux_sheet!$A$2:$A$202,0)))</f>
        <v/>
      </c>
      <c r="AG26" s="89" t="str">
        <f ca="1">IF($B26="","",INDIRECT("aux_sheet!AN"&amp;1+MATCH(aux_sheet!$B25,aux_sheet!$A$2:$A$202,0)))</f>
        <v/>
      </c>
      <c r="AH26" s="14" t="str">
        <f>IF(ISBLANK(Input!A25)," ",F25-F26)</f>
        <v xml:space="preserve"> </v>
      </c>
    </row>
    <row r="27" spans="1:34" x14ac:dyDescent="0.35">
      <c r="A27" s="2" t="str">
        <f>IF(ISBLANK(Input!A26),"",ROUNDDOWN(aux_sheet!B26,0))</f>
        <v/>
      </c>
      <c r="B27" s="2" t="str">
        <f ca="1">IF(ISBLANK(Input!A26),"",INDIRECT("Input!A"&amp;1+MATCH(aux_sheet!$B26,aux_sheet!$A$2:$A$202,0)))</f>
        <v/>
      </c>
      <c r="C27" s="2" t="str">
        <f ca="1">IF(ISBLANK(Input!B26),"",INDIRECT("Input!B"&amp;1+MATCH(aux_sheet!$B26,aux_sheet!$A$2:$A$202,0)))</f>
        <v/>
      </c>
      <c r="D27" s="2" t="str">
        <f ca="1">IF(ISBLANK(Input!C26),"",INDIRECT("Input!C"&amp;1+MATCH(aux_sheet!$B26,aux_sheet!$A$2:$A$202,0)))</f>
        <v/>
      </c>
      <c r="E27" s="2" t="str">
        <f ca="1">IF(ISBLANK(Input!D26),"",INDIRECT("Input!D"&amp;1+MATCH(aux_sheet!$B26,aux_sheet!$A$2:$A$202,0)))</f>
        <v/>
      </c>
      <c r="F27" s="11" t="str">
        <f ca="1">INDIRECT("Input!F"&amp;1+MATCH(aux_sheet!$B26,aux_sheet!$A$2:$A$202,0))</f>
        <v xml:space="preserve"> </v>
      </c>
      <c r="G27" s="106" t="str">
        <f ca="1">IF($B27="","",INDIRECT("aux_sheet!O"&amp;1+MATCH(aux_sheet!$B26,aux_sheet!$A$2:$A$202,0)))</f>
        <v/>
      </c>
      <c r="H27" s="89" t="str">
        <f ca="1">IF($B27="","",INDIRECT("aux_sheet!P"&amp;1+MATCH(aux_sheet!$B26,aux_sheet!$A$2:$A$202,0)))</f>
        <v/>
      </c>
      <c r="I27" s="89" t="str">
        <f ca="1">IF($B27="","",INDIRECT("aux_sheet!P"&amp;1+MATCH(aux_sheet!$B26,aux_sheet!$A$2:$A$202,0)))</f>
        <v/>
      </c>
      <c r="J27" s="106" t="str">
        <f ca="1">IF($B27="","",INDIRECT("aux_sheet!R"&amp;1+MATCH(aux_sheet!$B26,aux_sheet!$A$2:$A$202,0)))</f>
        <v/>
      </c>
      <c r="K27" s="89" t="str">
        <f ca="1">IF($B27="","",INDIRECT("aux_sheet!S"&amp;1+MATCH(aux_sheet!$B26,aux_sheet!$A$2:$A$202,0)))</f>
        <v/>
      </c>
      <c r="L27" s="89" t="str">
        <f ca="1">IF($B27="","",INDIRECT("aux_sheet!S"&amp;1+MATCH(aux_sheet!$B26,aux_sheet!$A$2:$A$202,0)))</f>
        <v/>
      </c>
      <c r="M27" s="106" t="str">
        <f ca="1">IF($B27="","",INDIRECT("aux_sheet!U"&amp;1+MATCH(aux_sheet!$B26,aux_sheet!$A$2:$A$202,0)))</f>
        <v/>
      </c>
      <c r="N27" s="89" t="str">
        <f ca="1">IF($B27="","",INDIRECT("aux_sheet!V"&amp;1+MATCH(aux_sheet!$B26,aux_sheet!$A$2:$A$202,0)))</f>
        <v/>
      </c>
      <c r="O27" s="89" t="str">
        <f ca="1">IF($B27="","",INDIRECT("aux_sheet!V"&amp;1+MATCH(aux_sheet!$B26,aux_sheet!$A$2:$A$202,0)))</f>
        <v/>
      </c>
      <c r="P27" s="106" t="str">
        <f ca="1">IF($B27="","",INDIRECT("aux_sheet!X"&amp;1+MATCH(aux_sheet!$B26,aux_sheet!$A$2:$A$202,0)))</f>
        <v/>
      </c>
      <c r="Q27" s="89" t="str">
        <f ca="1">IF($B27="","",INDIRECT("aux_sheet!Y"&amp;1+MATCH(aux_sheet!$B26,aux_sheet!$A$2:$A$202,0)))</f>
        <v/>
      </c>
      <c r="R27" s="89" t="str">
        <f ca="1">IF($B27="","",INDIRECT("aux_sheet!Y"&amp;1+MATCH(aux_sheet!$B26,aux_sheet!$A$2:$A$202,0)))</f>
        <v/>
      </c>
      <c r="S27" s="106" t="str">
        <f ca="1">IF($B27="","",INDIRECT("aux_sheet!AA"&amp;1+MATCH(aux_sheet!$B26,aux_sheet!$A$2:$A$202,0)))</f>
        <v/>
      </c>
      <c r="T27" s="89" t="str">
        <f ca="1">IF($B27="","",INDIRECT("aux_sheet!AB"&amp;1+MATCH(aux_sheet!$B26,aux_sheet!$A$2:$A$202,0)))</f>
        <v/>
      </c>
      <c r="U27" s="89" t="str">
        <f ca="1">IF($B27="","",INDIRECT("aux_sheet!AB"&amp;1+MATCH(aux_sheet!$B26,aux_sheet!$A$2:$A$202,0)))</f>
        <v/>
      </c>
      <c r="V27" s="106" t="str">
        <f ca="1">IF($B27="","",INDIRECT("aux_sheet!AD"&amp;1+MATCH(aux_sheet!$B26,aux_sheet!$A$2:$A$202,0)))</f>
        <v/>
      </c>
      <c r="W27" s="89" t="str">
        <f ca="1">IF($B27="","",INDIRECT("aux_sheet!AE"&amp;1+MATCH(aux_sheet!$B26,aux_sheet!$A$2:$A$202,0)))</f>
        <v/>
      </c>
      <c r="X27" s="89" t="str">
        <f ca="1">IF($B27="","",INDIRECT("aux_sheet!AE"&amp;1+MATCH(aux_sheet!$B26,aux_sheet!$A$2:$A$202,0)))</f>
        <v/>
      </c>
      <c r="Y27" s="106" t="str">
        <f ca="1">IF($B27="","",INDIRECT("aux_sheet!AG"&amp;1+MATCH(aux_sheet!$B26,aux_sheet!$A$2:$A$202,0)))</f>
        <v/>
      </c>
      <c r="Z27" s="89" t="str">
        <f ca="1">IF($B27="","",INDIRECT("aux_sheet!AH"&amp;1+MATCH(aux_sheet!$B26,aux_sheet!$A$2:$A$202,0)))</f>
        <v/>
      </c>
      <c r="AA27" s="89" t="str">
        <f ca="1">IF($B27="","",INDIRECT("aux_sheet!AH"&amp;1+MATCH(aux_sheet!$B26,aux_sheet!$A$2:$A$202,0)))</f>
        <v/>
      </c>
      <c r="AB27" s="106" t="str">
        <f ca="1">IF($B27="","",INDIRECT("aux_sheet!AJ"&amp;1+MATCH(aux_sheet!$B26,aux_sheet!$A$2:$A$202,0)))</f>
        <v/>
      </c>
      <c r="AC27" s="89" t="str">
        <f ca="1">IF($B27="","",INDIRECT("aux_sheet!AK"&amp;1+MATCH(aux_sheet!$B26,aux_sheet!$A$2:$A$202,0)))</f>
        <v/>
      </c>
      <c r="AD27" s="89" t="str">
        <f ca="1">IF($B27="","",INDIRECT("aux_sheet!AK"&amp;1+MATCH(aux_sheet!$B26,aux_sheet!$A$2:$A$202,0)))</f>
        <v/>
      </c>
      <c r="AE27" s="106" t="str">
        <f ca="1">IF($B27="","",INDIRECT("aux_sheet!AM"&amp;1+MATCH(aux_sheet!$B26,aux_sheet!$A$2:$A$202,0)))</f>
        <v/>
      </c>
      <c r="AF27" s="89" t="str">
        <f ca="1">IF($B27="","",INDIRECT("aux_sheet!AN"&amp;1+MATCH(aux_sheet!$B26,aux_sheet!$A$2:$A$202,0)))</f>
        <v/>
      </c>
      <c r="AG27" s="89" t="str">
        <f ca="1">IF($B27="","",INDIRECT("aux_sheet!AN"&amp;1+MATCH(aux_sheet!$B26,aux_sheet!$A$2:$A$202,0)))</f>
        <v/>
      </c>
      <c r="AH27" s="14" t="str">
        <f>IF(ISBLANK(Input!A26)," ",F26-F27)</f>
        <v xml:space="preserve"> </v>
      </c>
    </row>
    <row r="28" spans="1:34" x14ac:dyDescent="0.35">
      <c r="A28" s="2" t="str">
        <f>IF(ISBLANK(Input!A27),"",ROUNDDOWN(aux_sheet!B27,0))</f>
        <v/>
      </c>
      <c r="B28" s="2" t="str">
        <f ca="1">IF(ISBLANK(Input!A27),"",INDIRECT("Input!A"&amp;1+MATCH(aux_sheet!$B27,aux_sheet!$A$2:$A$202,0)))</f>
        <v/>
      </c>
      <c r="C28" s="2" t="str">
        <f ca="1">IF(ISBLANK(Input!B27),"",INDIRECT("Input!B"&amp;1+MATCH(aux_sheet!$B27,aux_sheet!$A$2:$A$202,0)))</f>
        <v/>
      </c>
      <c r="D28" s="2" t="str">
        <f ca="1">IF(ISBLANK(Input!C27),"",INDIRECT("Input!C"&amp;1+MATCH(aux_sheet!$B27,aux_sheet!$A$2:$A$202,0)))</f>
        <v/>
      </c>
      <c r="E28" s="2" t="str">
        <f ca="1">IF(ISBLANK(Input!D27),"",INDIRECT("Input!D"&amp;1+MATCH(aux_sheet!$B27,aux_sheet!$A$2:$A$202,0)))</f>
        <v/>
      </c>
      <c r="F28" s="11" t="str">
        <f ca="1">INDIRECT("Input!F"&amp;1+MATCH(aux_sheet!$B27,aux_sheet!$A$2:$A$202,0))</f>
        <v xml:space="preserve"> </v>
      </c>
      <c r="G28" s="106" t="str">
        <f ca="1">IF($B28="","",INDIRECT("aux_sheet!O"&amp;1+MATCH(aux_sheet!$B27,aux_sheet!$A$2:$A$202,0)))</f>
        <v/>
      </c>
      <c r="H28" s="89" t="str">
        <f ca="1">IF($B28="","",INDIRECT("aux_sheet!P"&amp;1+MATCH(aux_sheet!$B27,aux_sheet!$A$2:$A$202,0)))</f>
        <v/>
      </c>
      <c r="I28" s="89" t="str">
        <f ca="1">IF($B28="","",INDIRECT("aux_sheet!P"&amp;1+MATCH(aux_sheet!$B27,aux_sheet!$A$2:$A$202,0)))</f>
        <v/>
      </c>
      <c r="J28" s="106" t="str">
        <f ca="1">IF($B28="","",INDIRECT("aux_sheet!R"&amp;1+MATCH(aux_sheet!$B27,aux_sheet!$A$2:$A$202,0)))</f>
        <v/>
      </c>
      <c r="K28" s="89" t="str">
        <f ca="1">IF($B28="","",INDIRECT("aux_sheet!S"&amp;1+MATCH(aux_sheet!$B27,aux_sheet!$A$2:$A$202,0)))</f>
        <v/>
      </c>
      <c r="L28" s="89" t="str">
        <f ca="1">IF($B28="","",INDIRECT("aux_sheet!S"&amp;1+MATCH(aux_sheet!$B27,aux_sheet!$A$2:$A$202,0)))</f>
        <v/>
      </c>
      <c r="M28" s="106" t="str">
        <f ca="1">IF($B28="","",INDIRECT("aux_sheet!U"&amp;1+MATCH(aux_sheet!$B27,aux_sheet!$A$2:$A$202,0)))</f>
        <v/>
      </c>
      <c r="N28" s="89" t="str">
        <f ca="1">IF($B28="","",INDIRECT("aux_sheet!V"&amp;1+MATCH(aux_sheet!$B27,aux_sheet!$A$2:$A$202,0)))</f>
        <v/>
      </c>
      <c r="O28" s="89" t="str">
        <f ca="1">IF($B28="","",INDIRECT("aux_sheet!V"&amp;1+MATCH(aux_sheet!$B27,aux_sheet!$A$2:$A$202,0)))</f>
        <v/>
      </c>
      <c r="P28" s="106" t="str">
        <f ca="1">IF($B28="","",INDIRECT("aux_sheet!X"&amp;1+MATCH(aux_sheet!$B27,aux_sheet!$A$2:$A$202,0)))</f>
        <v/>
      </c>
      <c r="Q28" s="89" t="str">
        <f ca="1">IF($B28="","",INDIRECT("aux_sheet!Y"&amp;1+MATCH(aux_sheet!$B27,aux_sheet!$A$2:$A$202,0)))</f>
        <v/>
      </c>
      <c r="R28" s="89" t="str">
        <f ca="1">IF($B28="","",INDIRECT("aux_sheet!Y"&amp;1+MATCH(aux_sheet!$B27,aux_sheet!$A$2:$A$202,0)))</f>
        <v/>
      </c>
      <c r="S28" s="106" t="str">
        <f ca="1">IF($B28="","",INDIRECT("aux_sheet!AA"&amp;1+MATCH(aux_sheet!$B27,aux_sheet!$A$2:$A$202,0)))</f>
        <v/>
      </c>
      <c r="T28" s="89" t="str">
        <f ca="1">IF($B28="","",INDIRECT("aux_sheet!AB"&amp;1+MATCH(aux_sheet!$B27,aux_sheet!$A$2:$A$202,0)))</f>
        <v/>
      </c>
      <c r="U28" s="89" t="str">
        <f ca="1">IF($B28="","",INDIRECT("aux_sheet!AB"&amp;1+MATCH(aux_sheet!$B27,aux_sheet!$A$2:$A$202,0)))</f>
        <v/>
      </c>
      <c r="V28" s="106" t="str">
        <f ca="1">IF($B28="","",INDIRECT("aux_sheet!AD"&amp;1+MATCH(aux_sheet!$B27,aux_sheet!$A$2:$A$202,0)))</f>
        <v/>
      </c>
      <c r="W28" s="89" t="str">
        <f ca="1">IF($B28="","",INDIRECT("aux_sheet!AE"&amp;1+MATCH(aux_sheet!$B27,aux_sheet!$A$2:$A$202,0)))</f>
        <v/>
      </c>
      <c r="X28" s="89" t="str">
        <f ca="1">IF($B28="","",INDIRECT("aux_sheet!AE"&amp;1+MATCH(aux_sheet!$B27,aux_sheet!$A$2:$A$202,0)))</f>
        <v/>
      </c>
      <c r="Y28" s="106" t="str">
        <f ca="1">IF($B28="","",INDIRECT("aux_sheet!AG"&amp;1+MATCH(aux_sheet!$B27,aux_sheet!$A$2:$A$202,0)))</f>
        <v/>
      </c>
      <c r="Z28" s="89" t="str">
        <f ca="1">IF($B28="","",INDIRECT("aux_sheet!AH"&amp;1+MATCH(aux_sheet!$B27,aux_sheet!$A$2:$A$202,0)))</f>
        <v/>
      </c>
      <c r="AA28" s="89" t="str">
        <f ca="1">IF($B28="","",INDIRECT("aux_sheet!AH"&amp;1+MATCH(aux_sheet!$B27,aux_sheet!$A$2:$A$202,0)))</f>
        <v/>
      </c>
      <c r="AB28" s="106" t="str">
        <f ca="1">IF($B28="","",INDIRECT("aux_sheet!AJ"&amp;1+MATCH(aux_sheet!$B27,aux_sheet!$A$2:$A$202,0)))</f>
        <v/>
      </c>
      <c r="AC28" s="89" t="str">
        <f ca="1">IF($B28="","",INDIRECT("aux_sheet!AK"&amp;1+MATCH(aux_sheet!$B27,aux_sheet!$A$2:$A$202,0)))</f>
        <v/>
      </c>
      <c r="AD28" s="89" t="str">
        <f ca="1">IF($B28="","",INDIRECT("aux_sheet!AK"&amp;1+MATCH(aux_sheet!$B27,aux_sheet!$A$2:$A$202,0)))</f>
        <v/>
      </c>
      <c r="AE28" s="106" t="str">
        <f ca="1">IF($B28="","",INDIRECT("aux_sheet!AM"&amp;1+MATCH(aux_sheet!$B27,aux_sheet!$A$2:$A$202,0)))</f>
        <v/>
      </c>
      <c r="AF28" s="89" t="str">
        <f ca="1">IF($B28="","",INDIRECT("aux_sheet!AN"&amp;1+MATCH(aux_sheet!$B27,aux_sheet!$A$2:$A$202,0)))</f>
        <v/>
      </c>
      <c r="AG28" s="89" t="str">
        <f ca="1">IF($B28="","",INDIRECT("aux_sheet!AN"&amp;1+MATCH(aux_sheet!$B27,aux_sheet!$A$2:$A$202,0)))</f>
        <v/>
      </c>
      <c r="AH28" s="14" t="str">
        <f>IF(ISBLANK(Input!A27)," ",F27-F28)</f>
        <v xml:space="preserve"> </v>
      </c>
    </row>
    <row r="29" spans="1:34" x14ac:dyDescent="0.35">
      <c r="A29" s="2" t="str">
        <f>IF(ISBLANK(Input!A28),"",ROUNDDOWN(aux_sheet!B28,0))</f>
        <v/>
      </c>
      <c r="B29" s="2" t="str">
        <f ca="1">IF(ISBLANK(Input!A28),"",INDIRECT("Input!A"&amp;1+MATCH(aux_sheet!$B28,aux_sheet!$A$2:$A$202,0)))</f>
        <v/>
      </c>
      <c r="C29" s="2" t="str">
        <f ca="1">IF(ISBLANK(Input!B28),"",INDIRECT("Input!B"&amp;1+MATCH(aux_sheet!$B28,aux_sheet!$A$2:$A$202,0)))</f>
        <v/>
      </c>
      <c r="D29" s="2" t="str">
        <f ca="1">IF(ISBLANK(Input!C28),"",INDIRECT("Input!C"&amp;1+MATCH(aux_sheet!$B28,aux_sheet!$A$2:$A$202,0)))</f>
        <v/>
      </c>
      <c r="E29" s="2" t="str">
        <f ca="1">IF(ISBLANK(Input!D28),"",INDIRECT("Input!D"&amp;1+MATCH(aux_sheet!$B28,aux_sheet!$A$2:$A$202,0)))</f>
        <v/>
      </c>
      <c r="F29" s="11" t="str">
        <f ca="1">INDIRECT("Input!F"&amp;1+MATCH(aux_sheet!$B28,aux_sheet!$A$2:$A$202,0))</f>
        <v xml:space="preserve"> </v>
      </c>
      <c r="G29" s="106" t="str">
        <f ca="1">IF($B29="","",INDIRECT("aux_sheet!O"&amp;1+MATCH(aux_sheet!$B28,aux_sheet!$A$2:$A$202,0)))</f>
        <v/>
      </c>
      <c r="H29" s="89" t="str">
        <f ca="1">IF($B29="","",INDIRECT("aux_sheet!P"&amp;1+MATCH(aux_sheet!$B28,aux_sheet!$A$2:$A$202,0)))</f>
        <v/>
      </c>
      <c r="I29" s="89" t="str">
        <f ca="1">IF($B29="","",INDIRECT("aux_sheet!P"&amp;1+MATCH(aux_sheet!$B28,aux_sheet!$A$2:$A$202,0)))</f>
        <v/>
      </c>
      <c r="J29" s="106" t="str">
        <f ca="1">IF($B29="","",INDIRECT("aux_sheet!R"&amp;1+MATCH(aux_sheet!$B28,aux_sheet!$A$2:$A$202,0)))</f>
        <v/>
      </c>
      <c r="K29" s="89" t="str">
        <f ca="1">IF($B29="","",INDIRECT("aux_sheet!S"&amp;1+MATCH(aux_sheet!$B28,aux_sheet!$A$2:$A$202,0)))</f>
        <v/>
      </c>
      <c r="L29" s="89" t="str">
        <f ca="1">IF($B29="","",INDIRECT("aux_sheet!S"&amp;1+MATCH(aux_sheet!$B28,aux_sheet!$A$2:$A$202,0)))</f>
        <v/>
      </c>
      <c r="M29" s="106" t="str">
        <f ca="1">IF($B29="","",INDIRECT("aux_sheet!U"&amp;1+MATCH(aux_sheet!$B28,aux_sheet!$A$2:$A$202,0)))</f>
        <v/>
      </c>
      <c r="N29" s="89" t="str">
        <f ca="1">IF($B29="","",INDIRECT("aux_sheet!V"&amp;1+MATCH(aux_sheet!$B28,aux_sheet!$A$2:$A$202,0)))</f>
        <v/>
      </c>
      <c r="O29" s="89" t="str">
        <f ca="1">IF($B29="","",INDIRECT("aux_sheet!V"&amp;1+MATCH(aux_sheet!$B28,aux_sheet!$A$2:$A$202,0)))</f>
        <v/>
      </c>
      <c r="P29" s="106" t="str">
        <f ca="1">IF($B29="","",INDIRECT("aux_sheet!X"&amp;1+MATCH(aux_sheet!$B28,aux_sheet!$A$2:$A$202,0)))</f>
        <v/>
      </c>
      <c r="Q29" s="89" t="str">
        <f ca="1">IF($B29="","",INDIRECT("aux_sheet!Y"&amp;1+MATCH(aux_sheet!$B28,aux_sheet!$A$2:$A$202,0)))</f>
        <v/>
      </c>
      <c r="R29" s="89" t="str">
        <f ca="1">IF($B29="","",INDIRECT("aux_sheet!Y"&amp;1+MATCH(aux_sheet!$B28,aux_sheet!$A$2:$A$202,0)))</f>
        <v/>
      </c>
      <c r="S29" s="106" t="str">
        <f ca="1">IF($B29="","",INDIRECT("aux_sheet!AA"&amp;1+MATCH(aux_sheet!$B28,aux_sheet!$A$2:$A$202,0)))</f>
        <v/>
      </c>
      <c r="T29" s="89" t="str">
        <f ca="1">IF($B29="","",INDIRECT("aux_sheet!AB"&amp;1+MATCH(aux_sheet!$B28,aux_sheet!$A$2:$A$202,0)))</f>
        <v/>
      </c>
      <c r="U29" s="89" t="str">
        <f ca="1">IF($B29="","",INDIRECT("aux_sheet!AB"&amp;1+MATCH(aux_sheet!$B28,aux_sheet!$A$2:$A$202,0)))</f>
        <v/>
      </c>
      <c r="V29" s="106" t="str">
        <f ca="1">IF($B29="","",INDIRECT("aux_sheet!AD"&amp;1+MATCH(aux_sheet!$B28,aux_sheet!$A$2:$A$202,0)))</f>
        <v/>
      </c>
      <c r="W29" s="89" t="str">
        <f ca="1">IF($B29="","",INDIRECT("aux_sheet!AE"&amp;1+MATCH(aux_sheet!$B28,aux_sheet!$A$2:$A$202,0)))</f>
        <v/>
      </c>
      <c r="X29" s="89" t="str">
        <f ca="1">IF($B29="","",INDIRECT("aux_sheet!AE"&amp;1+MATCH(aux_sheet!$B28,aux_sheet!$A$2:$A$202,0)))</f>
        <v/>
      </c>
      <c r="Y29" s="106" t="str">
        <f ca="1">IF($B29="","",INDIRECT("aux_sheet!AG"&amp;1+MATCH(aux_sheet!$B28,aux_sheet!$A$2:$A$202,0)))</f>
        <v/>
      </c>
      <c r="Z29" s="89" t="str">
        <f ca="1">IF($B29="","",INDIRECT("aux_sheet!AH"&amp;1+MATCH(aux_sheet!$B28,aux_sheet!$A$2:$A$202,0)))</f>
        <v/>
      </c>
      <c r="AA29" s="89" t="str">
        <f ca="1">IF($B29="","",INDIRECT("aux_sheet!AH"&amp;1+MATCH(aux_sheet!$B28,aux_sheet!$A$2:$A$202,0)))</f>
        <v/>
      </c>
      <c r="AB29" s="106" t="str">
        <f ca="1">IF($B29="","",INDIRECT("aux_sheet!AJ"&amp;1+MATCH(aux_sheet!$B28,aux_sheet!$A$2:$A$202,0)))</f>
        <v/>
      </c>
      <c r="AC29" s="89" t="str">
        <f ca="1">IF($B29="","",INDIRECT("aux_sheet!AK"&amp;1+MATCH(aux_sheet!$B28,aux_sheet!$A$2:$A$202,0)))</f>
        <v/>
      </c>
      <c r="AD29" s="89" t="str">
        <f ca="1">IF($B29="","",INDIRECT("aux_sheet!AK"&amp;1+MATCH(aux_sheet!$B28,aux_sheet!$A$2:$A$202,0)))</f>
        <v/>
      </c>
      <c r="AE29" s="106" t="str">
        <f ca="1">IF($B29="","",INDIRECT("aux_sheet!AM"&amp;1+MATCH(aux_sheet!$B28,aux_sheet!$A$2:$A$202,0)))</f>
        <v/>
      </c>
      <c r="AF29" s="89" t="str">
        <f ca="1">IF($B29="","",INDIRECT("aux_sheet!AN"&amp;1+MATCH(aux_sheet!$B28,aux_sheet!$A$2:$A$202,0)))</f>
        <v/>
      </c>
      <c r="AG29" s="89" t="str">
        <f ca="1">IF($B29="","",INDIRECT("aux_sheet!AN"&amp;1+MATCH(aux_sheet!$B28,aux_sheet!$A$2:$A$202,0)))</f>
        <v/>
      </c>
      <c r="AH29" s="14" t="str">
        <f>IF(ISBLANK(Input!A28)," ",F28-F29)</f>
        <v xml:space="preserve"> </v>
      </c>
    </row>
    <row r="30" spans="1:34" x14ac:dyDescent="0.35">
      <c r="A30" s="2" t="str">
        <f>IF(ISBLANK(Input!A29),"",ROUNDDOWN(aux_sheet!B29,0))</f>
        <v/>
      </c>
      <c r="B30" s="2" t="str">
        <f ca="1">IF(ISBLANK(Input!A29),"",INDIRECT("Input!A"&amp;1+MATCH(aux_sheet!$B29,aux_sheet!$A$2:$A$202,0)))</f>
        <v/>
      </c>
      <c r="C30" s="2" t="str">
        <f ca="1">IF(ISBLANK(Input!B29),"",INDIRECT("Input!B"&amp;1+MATCH(aux_sheet!$B29,aux_sheet!$A$2:$A$202,0)))</f>
        <v/>
      </c>
      <c r="D30" s="2" t="str">
        <f ca="1">IF(ISBLANK(Input!C29),"",INDIRECT("Input!C"&amp;1+MATCH(aux_sheet!$B29,aux_sheet!$A$2:$A$202,0)))</f>
        <v/>
      </c>
      <c r="E30" s="2" t="str">
        <f ca="1">IF(ISBLANK(Input!D29),"",INDIRECT("Input!D"&amp;1+MATCH(aux_sheet!$B29,aux_sheet!$A$2:$A$202,0)))</f>
        <v/>
      </c>
      <c r="F30" s="11" t="str">
        <f ca="1">INDIRECT("Input!F"&amp;1+MATCH(aux_sheet!$B29,aux_sheet!$A$2:$A$202,0))</f>
        <v xml:space="preserve"> </v>
      </c>
      <c r="G30" s="106" t="str">
        <f ca="1">IF($B30="","",INDIRECT("aux_sheet!O"&amp;1+MATCH(aux_sheet!$B29,aux_sheet!$A$2:$A$202,0)))</f>
        <v/>
      </c>
      <c r="H30" s="89" t="str">
        <f ca="1">IF($B30="","",INDIRECT("aux_sheet!P"&amp;1+MATCH(aux_sheet!$B29,aux_sheet!$A$2:$A$202,0)))</f>
        <v/>
      </c>
      <c r="I30" s="89" t="str">
        <f ca="1">IF($B30="","",INDIRECT("aux_sheet!P"&amp;1+MATCH(aux_sheet!$B29,aux_sheet!$A$2:$A$202,0)))</f>
        <v/>
      </c>
      <c r="J30" s="106" t="str">
        <f ca="1">IF($B30="","",INDIRECT("aux_sheet!R"&amp;1+MATCH(aux_sheet!$B29,aux_sheet!$A$2:$A$202,0)))</f>
        <v/>
      </c>
      <c r="K30" s="89" t="str">
        <f ca="1">IF($B30="","",INDIRECT("aux_sheet!S"&amp;1+MATCH(aux_sheet!$B29,aux_sheet!$A$2:$A$202,0)))</f>
        <v/>
      </c>
      <c r="L30" s="89" t="str">
        <f ca="1">IF($B30="","",INDIRECT("aux_sheet!S"&amp;1+MATCH(aux_sheet!$B29,aux_sheet!$A$2:$A$202,0)))</f>
        <v/>
      </c>
      <c r="M30" s="106" t="str">
        <f ca="1">IF($B30="","",INDIRECT("aux_sheet!U"&amp;1+MATCH(aux_sheet!$B29,aux_sheet!$A$2:$A$202,0)))</f>
        <v/>
      </c>
      <c r="N30" s="89" t="str">
        <f ca="1">IF($B30="","",INDIRECT("aux_sheet!V"&amp;1+MATCH(aux_sheet!$B29,aux_sheet!$A$2:$A$202,0)))</f>
        <v/>
      </c>
      <c r="O30" s="89" t="str">
        <f ca="1">IF($B30="","",INDIRECT("aux_sheet!V"&amp;1+MATCH(aux_sheet!$B29,aux_sheet!$A$2:$A$202,0)))</f>
        <v/>
      </c>
      <c r="P30" s="106" t="str">
        <f ca="1">IF($B30="","",INDIRECT("aux_sheet!X"&amp;1+MATCH(aux_sheet!$B29,aux_sheet!$A$2:$A$202,0)))</f>
        <v/>
      </c>
      <c r="Q30" s="89" t="str">
        <f ca="1">IF($B30="","",INDIRECT("aux_sheet!Y"&amp;1+MATCH(aux_sheet!$B29,aux_sheet!$A$2:$A$202,0)))</f>
        <v/>
      </c>
      <c r="R30" s="89" t="str">
        <f ca="1">IF($B30="","",INDIRECT("aux_sheet!Y"&amp;1+MATCH(aux_sheet!$B29,aux_sheet!$A$2:$A$202,0)))</f>
        <v/>
      </c>
      <c r="S30" s="106" t="str">
        <f ca="1">IF($B30="","",INDIRECT("aux_sheet!AA"&amp;1+MATCH(aux_sheet!$B29,aux_sheet!$A$2:$A$202,0)))</f>
        <v/>
      </c>
      <c r="T30" s="89" t="str">
        <f ca="1">IF($B30="","",INDIRECT("aux_sheet!AB"&amp;1+MATCH(aux_sheet!$B29,aux_sheet!$A$2:$A$202,0)))</f>
        <v/>
      </c>
      <c r="U30" s="89" t="str">
        <f ca="1">IF($B30="","",INDIRECT("aux_sheet!AB"&amp;1+MATCH(aux_sheet!$B29,aux_sheet!$A$2:$A$202,0)))</f>
        <v/>
      </c>
      <c r="V30" s="106" t="str">
        <f ca="1">IF($B30="","",INDIRECT("aux_sheet!AD"&amp;1+MATCH(aux_sheet!$B29,aux_sheet!$A$2:$A$202,0)))</f>
        <v/>
      </c>
      <c r="W30" s="89" t="str">
        <f ca="1">IF($B30="","",INDIRECT("aux_sheet!AE"&amp;1+MATCH(aux_sheet!$B29,aux_sheet!$A$2:$A$202,0)))</f>
        <v/>
      </c>
      <c r="X30" s="89" t="str">
        <f ca="1">IF($B30="","",INDIRECT("aux_sheet!AE"&amp;1+MATCH(aux_sheet!$B29,aux_sheet!$A$2:$A$202,0)))</f>
        <v/>
      </c>
      <c r="Y30" s="106" t="str">
        <f ca="1">IF($B30="","",INDIRECT("aux_sheet!AG"&amp;1+MATCH(aux_sheet!$B29,aux_sheet!$A$2:$A$202,0)))</f>
        <v/>
      </c>
      <c r="Z30" s="89" t="str">
        <f ca="1">IF($B30="","",INDIRECT("aux_sheet!AH"&amp;1+MATCH(aux_sheet!$B29,aux_sheet!$A$2:$A$202,0)))</f>
        <v/>
      </c>
      <c r="AA30" s="89" t="str">
        <f ca="1">IF($B30="","",INDIRECT("aux_sheet!AH"&amp;1+MATCH(aux_sheet!$B29,aux_sheet!$A$2:$A$202,0)))</f>
        <v/>
      </c>
      <c r="AB30" s="106" t="str">
        <f ca="1">IF($B30="","",INDIRECT("aux_sheet!AJ"&amp;1+MATCH(aux_sheet!$B29,aux_sheet!$A$2:$A$202,0)))</f>
        <v/>
      </c>
      <c r="AC30" s="89" t="str">
        <f ca="1">IF($B30="","",INDIRECT("aux_sheet!AK"&amp;1+MATCH(aux_sheet!$B29,aux_sheet!$A$2:$A$202,0)))</f>
        <v/>
      </c>
      <c r="AD30" s="89" t="str">
        <f ca="1">IF($B30="","",INDIRECT("aux_sheet!AK"&amp;1+MATCH(aux_sheet!$B29,aux_sheet!$A$2:$A$202,0)))</f>
        <v/>
      </c>
      <c r="AE30" s="106" t="str">
        <f ca="1">IF($B30="","",INDIRECT("aux_sheet!AM"&amp;1+MATCH(aux_sheet!$B29,aux_sheet!$A$2:$A$202,0)))</f>
        <v/>
      </c>
      <c r="AF30" s="89" t="str">
        <f ca="1">IF($B30="","",INDIRECT("aux_sheet!AN"&amp;1+MATCH(aux_sheet!$B29,aux_sheet!$A$2:$A$202,0)))</f>
        <v/>
      </c>
      <c r="AG30" s="89" t="str">
        <f ca="1">IF($B30="","",INDIRECT("aux_sheet!AN"&amp;1+MATCH(aux_sheet!$B29,aux_sheet!$A$2:$A$202,0)))</f>
        <v/>
      </c>
      <c r="AH30" s="14" t="str">
        <f>IF(ISBLANK(Input!A29)," ",F29-F30)</f>
        <v xml:space="preserve"> </v>
      </c>
    </row>
    <row r="31" spans="1:34" x14ac:dyDescent="0.35">
      <c r="A31" s="2" t="str">
        <f>IF(ISBLANK(Input!A30),"",ROUNDDOWN(aux_sheet!B30,0))</f>
        <v/>
      </c>
      <c r="B31" s="2" t="str">
        <f ca="1">IF(ISBLANK(Input!A30),"",INDIRECT("Input!A"&amp;1+MATCH(aux_sheet!$B30,aux_sheet!$A$2:$A$202,0)))</f>
        <v/>
      </c>
      <c r="C31" s="2" t="str">
        <f ca="1">IF(ISBLANK(Input!B30),"",INDIRECT("Input!B"&amp;1+MATCH(aux_sheet!$B30,aux_sheet!$A$2:$A$202,0)))</f>
        <v/>
      </c>
      <c r="D31" s="2" t="str">
        <f ca="1">IF(ISBLANK(Input!C30),"",INDIRECT("Input!C"&amp;1+MATCH(aux_sheet!$B30,aux_sheet!$A$2:$A$202,0)))</f>
        <v/>
      </c>
      <c r="E31" s="2" t="str">
        <f ca="1">IF(ISBLANK(Input!D30),"",INDIRECT("Input!D"&amp;1+MATCH(aux_sheet!$B30,aux_sheet!$A$2:$A$202,0)))</f>
        <v/>
      </c>
      <c r="F31" s="11" t="str">
        <f ca="1">INDIRECT("Input!F"&amp;1+MATCH(aux_sheet!$B30,aux_sheet!$A$2:$A$202,0))</f>
        <v xml:space="preserve"> </v>
      </c>
      <c r="G31" s="106" t="str">
        <f ca="1">IF($B31="","",INDIRECT("aux_sheet!O"&amp;1+MATCH(aux_sheet!$B30,aux_sheet!$A$2:$A$202,0)))</f>
        <v/>
      </c>
      <c r="H31" s="89" t="str">
        <f ca="1">IF($B31="","",INDIRECT("aux_sheet!P"&amp;1+MATCH(aux_sheet!$B30,aux_sheet!$A$2:$A$202,0)))</f>
        <v/>
      </c>
      <c r="I31" s="89" t="str">
        <f ca="1">IF($B31="","",INDIRECT("aux_sheet!P"&amp;1+MATCH(aux_sheet!$B30,aux_sheet!$A$2:$A$202,0)))</f>
        <v/>
      </c>
      <c r="J31" s="106" t="str">
        <f ca="1">IF($B31="","",INDIRECT("aux_sheet!R"&amp;1+MATCH(aux_sheet!$B30,aux_sheet!$A$2:$A$202,0)))</f>
        <v/>
      </c>
      <c r="K31" s="89" t="str">
        <f ca="1">IF($B31="","",INDIRECT("aux_sheet!S"&amp;1+MATCH(aux_sheet!$B30,aux_sheet!$A$2:$A$202,0)))</f>
        <v/>
      </c>
      <c r="L31" s="89" t="str">
        <f ca="1">IF($B31="","",INDIRECT("aux_sheet!S"&amp;1+MATCH(aux_sheet!$B30,aux_sheet!$A$2:$A$202,0)))</f>
        <v/>
      </c>
      <c r="M31" s="106" t="str">
        <f ca="1">IF($B31="","",INDIRECT("aux_sheet!U"&amp;1+MATCH(aux_sheet!$B30,aux_sheet!$A$2:$A$202,0)))</f>
        <v/>
      </c>
      <c r="N31" s="89" t="str">
        <f ca="1">IF($B31="","",INDIRECT("aux_sheet!V"&amp;1+MATCH(aux_sheet!$B30,aux_sheet!$A$2:$A$202,0)))</f>
        <v/>
      </c>
      <c r="O31" s="89" t="str">
        <f ca="1">IF($B31="","",INDIRECT("aux_sheet!V"&amp;1+MATCH(aux_sheet!$B30,aux_sheet!$A$2:$A$202,0)))</f>
        <v/>
      </c>
      <c r="P31" s="106" t="str">
        <f ca="1">IF($B31="","",INDIRECT("aux_sheet!X"&amp;1+MATCH(aux_sheet!$B30,aux_sheet!$A$2:$A$202,0)))</f>
        <v/>
      </c>
      <c r="Q31" s="89" t="str">
        <f ca="1">IF($B31="","",INDIRECT("aux_sheet!Y"&amp;1+MATCH(aux_sheet!$B30,aux_sheet!$A$2:$A$202,0)))</f>
        <v/>
      </c>
      <c r="R31" s="89" t="str">
        <f ca="1">IF($B31="","",INDIRECT("aux_sheet!Y"&amp;1+MATCH(aux_sheet!$B30,aux_sheet!$A$2:$A$202,0)))</f>
        <v/>
      </c>
      <c r="S31" s="106" t="str">
        <f ca="1">IF($B31="","",INDIRECT("aux_sheet!AA"&amp;1+MATCH(aux_sheet!$B30,aux_sheet!$A$2:$A$202,0)))</f>
        <v/>
      </c>
      <c r="T31" s="89" t="str">
        <f ca="1">IF($B31="","",INDIRECT("aux_sheet!AB"&amp;1+MATCH(aux_sheet!$B30,aux_sheet!$A$2:$A$202,0)))</f>
        <v/>
      </c>
      <c r="U31" s="89" t="str">
        <f ca="1">IF($B31="","",INDIRECT("aux_sheet!AB"&amp;1+MATCH(aux_sheet!$B30,aux_sheet!$A$2:$A$202,0)))</f>
        <v/>
      </c>
      <c r="V31" s="106" t="str">
        <f ca="1">IF($B31="","",INDIRECT("aux_sheet!AD"&amp;1+MATCH(aux_sheet!$B30,aux_sheet!$A$2:$A$202,0)))</f>
        <v/>
      </c>
      <c r="W31" s="89" t="str">
        <f ca="1">IF($B31="","",INDIRECT("aux_sheet!AE"&amp;1+MATCH(aux_sheet!$B30,aux_sheet!$A$2:$A$202,0)))</f>
        <v/>
      </c>
      <c r="X31" s="89" t="str">
        <f ca="1">IF($B31="","",INDIRECT("aux_sheet!AE"&amp;1+MATCH(aux_sheet!$B30,aux_sheet!$A$2:$A$202,0)))</f>
        <v/>
      </c>
      <c r="Y31" s="106" t="str">
        <f ca="1">IF($B31="","",INDIRECT("aux_sheet!AG"&amp;1+MATCH(aux_sheet!$B30,aux_sheet!$A$2:$A$202,0)))</f>
        <v/>
      </c>
      <c r="Z31" s="89" t="str">
        <f ca="1">IF($B31="","",INDIRECT("aux_sheet!AH"&amp;1+MATCH(aux_sheet!$B30,aux_sheet!$A$2:$A$202,0)))</f>
        <v/>
      </c>
      <c r="AA31" s="89" t="str">
        <f ca="1">IF($B31="","",INDIRECT("aux_sheet!AH"&amp;1+MATCH(aux_sheet!$B30,aux_sheet!$A$2:$A$202,0)))</f>
        <v/>
      </c>
      <c r="AB31" s="106" t="str">
        <f ca="1">IF($B31="","",INDIRECT("aux_sheet!AJ"&amp;1+MATCH(aux_sheet!$B30,aux_sheet!$A$2:$A$202,0)))</f>
        <v/>
      </c>
      <c r="AC31" s="89" t="str">
        <f ca="1">IF($B31="","",INDIRECT("aux_sheet!AK"&amp;1+MATCH(aux_sheet!$B30,aux_sheet!$A$2:$A$202,0)))</f>
        <v/>
      </c>
      <c r="AD31" s="89" t="str">
        <f ca="1">IF($B31="","",INDIRECT("aux_sheet!AK"&amp;1+MATCH(aux_sheet!$B30,aux_sheet!$A$2:$A$202,0)))</f>
        <v/>
      </c>
      <c r="AE31" s="106" t="str">
        <f ca="1">IF($B31="","",INDIRECT("aux_sheet!AM"&amp;1+MATCH(aux_sheet!$B30,aux_sheet!$A$2:$A$202,0)))</f>
        <v/>
      </c>
      <c r="AF31" s="89" t="str">
        <f ca="1">IF($B31="","",INDIRECT("aux_sheet!AN"&amp;1+MATCH(aux_sheet!$B30,aux_sheet!$A$2:$A$202,0)))</f>
        <v/>
      </c>
      <c r="AG31" s="89" t="str">
        <f ca="1">IF($B31="","",INDIRECT("aux_sheet!AN"&amp;1+MATCH(aux_sheet!$B30,aux_sheet!$A$2:$A$202,0)))</f>
        <v/>
      </c>
      <c r="AH31" s="14" t="str">
        <f>IF(ISBLANK(Input!A30)," ",F30-F31)</f>
        <v xml:space="preserve"> </v>
      </c>
    </row>
    <row r="32" spans="1:34" x14ac:dyDescent="0.35">
      <c r="A32" s="2" t="str">
        <f>IF(ISBLANK(Input!A31),"",ROUNDDOWN(aux_sheet!B31,0))</f>
        <v/>
      </c>
      <c r="B32" s="2" t="str">
        <f ca="1">IF(ISBLANK(Input!A31),"",INDIRECT("Input!A"&amp;1+MATCH(aux_sheet!$B31,aux_sheet!$A$2:$A$202,0)))</f>
        <v/>
      </c>
      <c r="C32" s="2" t="str">
        <f ca="1">IF(ISBLANK(Input!B31),"",INDIRECT("Input!B"&amp;1+MATCH(aux_sheet!$B31,aux_sheet!$A$2:$A$202,0)))</f>
        <v/>
      </c>
      <c r="D32" s="2" t="str">
        <f ca="1">IF(ISBLANK(Input!C31),"",INDIRECT("Input!C"&amp;1+MATCH(aux_sheet!$B31,aux_sheet!$A$2:$A$202,0)))</f>
        <v/>
      </c>
      <c r="E32" s="2" t="str">
        <f ca="1">IF(ISBLANK(Input!D31),"",INDIRECT("Input!D"&amp;1+MATCH(aux_sheet!$B31,aux_sheet!$A$2:$A$202,0)))</f>
        <v/>
      </c>
      <c r="F32" s="11" t="str">
        <f ca="1">INDIRECT("Input!F"&amp;1+MATCH(aux_sheet!$B31,aux_sheet!$A$2:$A$202,0))</f>
        <v xml:space="preserve"> </v>
      </c>
      <c r="G32" s="106" t="str">
        <f ca="1">IF($B32="","",INDIRECT("aux_sheet!O"&amp;1+MATCH(aux_sheet!$B31,aux_sheet!$A$2:$A$202,0)))</f>
        <v/>
      </c>
      <c r="H32" s="89" t="str">
        <f ca="1">IF($B32="","",INDIRECT("aux_sheet!P"&amp;1+MATCH(aux_sheet!$B31,aux_sheet!$A$2:$A$202,0)))</f>
        <v/>
      </c>
      <c r="I32" s="89" t="str">
        <f ca="1">IF($B32="","",INDIRECT("aux_sheet!P"&amp;1+MATCH(aux_sheet!$B31,aux_sheet!$A$2:$A$202,0)))</f>
        <v/>
      </c>
      <c r="J32" s="106" t="str">
        <f ca="1">IF($B32="","",INDIRECT("aux_sheet!R"&amp;1+MATCH(aux_sheet!$B31,aux_sheet!$A$2:$A$202,0)))</f>
        <v/>
      </c>
      <c r="K32" s="89" t="str">
        <f ca="1">IF($B32="","",INDIRECT("aux_sheet!S"&amp;1+MATCH(aux_sheet!$B31,aux_sheet!$A$2:$A$202,0)))</f>
        <v/>
      </c>
      <c r="L32" s="89" t="str">
        <f ca="1">IF($B32="","",INDIRECT("aux_sheet!S"&amp;1+MATCH(aux_sheet!$B31,aux_sheet!$A$2:$A$202,0)))</f>
        <v/>
      </c>
      <c r="M32" s="106" t="str">
        <f ca="1">IF($B32="","",INDIRECT("aux_sheet!U"&amp;1+MATCH(aux_sheet!$B31,aux_sheet!$A$2:$A$202,0)))</f>
        <v/>
      </c>
      <c r="N32" s="89" t="str">
        <f ca="1">IF($B32="","",INDIRECT("aux_sheet!V"&amp;1+MATCH(aux_sheet!$B31,aux_sheet!$A$2:$A$202,0)))</f>
        <v/>
      </c>
      <c r="O32" s="89" t="str">
        <f ca="1">IF($B32="","",INDIRECT("aux_sheet!V"&amp;1+MATCH(aux_sheet!$B31,aux_sheet!$A$2:$A$202,0)))</f>
        <v/>
      </c>
      <c r="P32" s="106" t="str">
        <f ca="1">IF($B32="","",INDIRECT("aux_sheet!X"&amp;1+MATCH(aux_sheet!$B31,aux_sheet!$A$2:$A$202,0)))</f>
        <v/>
      </c>
      <c r="Q32" s="89" t="str">
        <f ca="1">IF($B32="","",INDIRECT("aux_sheet!Y"&amp;1+MATCH(aux_sheet!$B31,aux_sheet!$A$2:$A$202,0)))</f>
        <v/>
      </c>
      <c r="R32" s="89" t="str">
        <f ca="1">IF($B32="","",INDIRECT("aux_sheet!Y"&amp;1+MATCH(aux_sheet!$B31,aux_sheet!$A$2:$A$202,0)))</f>
        <v/>
      </c>
      <c r="S32" s="106" t="str">
        <f ca="1">IF($B32="","",INDIRECT("aux_sheet!AA"&amp;1+MATCH(aux_sheet!$B31,aux_sheet!$A$2:$A$202,0)))</f>
        <v/>
      </c>
      <c r="T32" s="89" t="str">
        <f ca="1">IF($B32="","",INDIRECT("aux_sheet!AB"&amp;1+MATCH(aux_sheet!$B31,aux_sheet!$A$2:$A$202,0)))</f>
        <v/>
      </c>
      <c r="U32" s="89" t="str">
        <f ca="1">IF($B32="","",INDIRECT("aux_sheet!AB"&amp;1+MATCH(aux_sheet!$B31,aux_sheet!$A$2:$A$202,0)))</f>
        <v/>
      </c>
      <c r="V32" s="106" t="str">
        <f ca="1">IF($B32="","",INDIRECT("aux_sheet!AD"&amp;1+MATCH(aux_sheet!$B31,aux_sheet!$A$2:$A$202,0)))</f>
        <v/>
      </c>
      <c r="W32" s="89" t="str">
        <f ca="1">IF($B32="","",INDIRECT("aux_sheet!AE"&amp;1+MATCH(aux_sheet!$B31,aux_sheet!$A$2:$A$202,0)))</f>
        <v/>
      </c>
      <c r="X32" s="89" t="str">
        <f ca="1">IF($B32="","",INDIRECT("aux_sheet!AE"&amp;1+MATCH(aux_sheet!$B31,aux_sheet!$A$2:$A$202,0)))</f>
        <v/>
      </c>
      <c r="Y32" s="106" t="str">
        <f ca="1">IF($B32="","",INDIRECT("aux_sheet!AG"&amp;1+MATCH(aux_sheet!$B31,aux_sheet!$A$2:$A$202,0)))</f>
        <v/>
      </c>
      <c r="Z32" s="89" t="str">
        <f ca="1">IF($B32="","",INDIRECT("aux_sheet!AH"&amp;1+MATCH(aux_sheet!$B31,aux_sheet!$A$2:$A$202,0)))</f>
        <v/>
      </c>
      <c r="AA32" s="89" t="str">
        <f ca="1">IF($B32="","",INDIRECT("aux_sheet!AH"&amp;1+MATCH(aux_sheet!$B31,aux_sheet!$A$2:$A$202,0)))</f>
        <v/>
      </c>
      <c r="AB32" s="106" t="str">
        <f ca="1">IF($B32="","",INDIRECT("aux_sheet!AJ"&amp;1+MATCH(aux_sheet!$B31,aux_sheet!$A$2:$A$202,0)))</f>
        <v/>
      </c>
      <c r="AC32" s="89" t="str">
        <f ca="1">IF($B32="","",INDIRECT("aux_sheet!AK"&amp;1+MATCH(aux_sheet!$B31,aux_sheet!$A$2:$A$202,0)))</f>
        <v/>
      </c>
      <c r="AD32" s="89" t="str">
        <f ca="1">IF($B32="","",INDIRECT("aux_sheet!AK"&amp;1+MATCH(aux_sheet!$B31,aux_sheet!$A$2:$A$202,0)))</f>
        <v/>
      </c>
      <c r="AE32" s="106" t="str">
        <f ca="1">IF($B32="","",INDIRECT("aux_sheet!AM"&amp;1+MATCH(aux_sheet!$B31,aux_sheet!$A$2:$A$202,0)))</f>
        <v/>
      </c>
      <c r="AF32" s="89" t="str">
        <f ca="1">IF($B32="","",INDIRECT("aux_sheet!AN"&amp;1+MATCH(aux_sheet!$B31,aux_sheet!$A$2:$A$202,0)))</f>
        <v/>
      </c>
      <c r="AG32" s="89" t="str">
        <f ca="1">IF($B32="","",INDIRECT("aux_sheet!AN"&amp;1+MATCH(aux_sheet!$B31,aux_sheet!$A$2:$A$202,0)))</f>
        <v/>
      </c>
      <c r="AH32" s="14" t="str">
        <f>IF(ISBLANK(Input!A31)," ",F31-F32)</f>
        <v xml:space="preserve"> </v>
      </c>
    </row>
    <row r="33" spans="1:34" x14ac:dyDescent="0.35">
      <c r="A33" s="2" t="str">
        <f>IF(ISBLANK(Input!A32),"",ROUNDDOWN(aux_sheet!B32,0))</f>
        <v/>
      </c>
      <c r="B33" s="2" t="str">
        <f ca="1">IF(ISBLANK(Input!A32),"",INDIRECT("Input!A"&amp;1+MATCH(aux_sheet!$B32,aux_sheet!$A$2:$A$202,0)))</f>
        <v/>
      </c>
      <c r="C33" s="2" t="str">
        <f ca="1">IF(ISBLANK(Input!B32),"",INDIRECT("Input!B"&amp;1+MATCH(aux_sheet!$B32,aux_sheet!$A$2:$A$202,0)))</f>
        <v/>
      </c>
      <c r="D33" s="2" t="str">
        <f ca="1">IF(ISBLANK(Input!C32),"",INDIRECT("Input!C"&amp;1+MATCH(aux_sheet!$B32,aux_sheet!$A$2:$A$202,0)))</f>
        <v/>
      </c>
      <c r="E33" s="2" t="str">
        <f ca="1">IF(ISBLANK(Input!D32),"",INDIRECT("Input!D"&amp;1+MATCH(aux_sheet!$B32,aux_sheet!$A$2:$A$202,0)))</f>
        <v/>
      </c>
      <c r="F33" s="11" t="str">
        <f ca="1">INDIRECT("Input!F"&amp;1+MATCH(aux_sheet!$B32,aux_sheet!$A$2:$A$202,0))</f>
        <v xml:space="preserve"> </v>
      </c>
      <c r="G33" s="106" t="str">
        <f ca="1">IF($B33="","",INDIRECT("aux_sheet!O"&amp;1+MATCH(aux_sheet!$B32,aux_sheet!$A$2:$A$202,0)))</f>
        <v/>
      </c>
      <c r="H33" s="89" t="str">
        <f ca="1">IF($B33="","",INDIRECT("aux_sheet!P"&amp;1+MATCH(aux_sheet!$B32,aux_sheet!$A$2:$A$202,0)))</f>
        <v/>
      </c>
      <c r="I33" s="89" t="str">
        <f ca="1">IF($B33="","",INDIRECT("aux_sheet!P"&amp;1+MATCH(aux_sheet!$B32,aux_sheet!$A$2:$A$202,0)))</f>
        <v/>
      </c>
      <c r="J33" s="106" t="str">
        <f ca="1">IF($B33="","",INDIRECT("aux_sheet!R"&amp;1+MATCH(aux_sheet!$B32,aux_sheet!$A$2:$A$202,0)))</f>
        <v/>
      </c>
      <c r="K33" s="89" t="str">
        <f ca="1">IF($B33="","",INDIRECT("aux_sheet!S"&amp;1+MATCH(aux_sheet!$B32,aux_sheet!$A$2:$A$202,0)))</f>
        <v/>
      </c>
      <c r="L33" s="89" t="str">
        <f ca="1">IF($B33="","",INDIRECT("aux_sheet!S"&amp;1+MATCH(aux_sheet!$B32,aux_sheet!$A$2:$A$202,0)))</f>
        <v/>
      </c>
      <c r="M33" s="106" t="str">
        <f ca="1">IF($B33="","",INDIRECT("aux_sheet!U"&amp;1+MATCH(aux_sheet!$B32,aux_sheet!$A$2:$A$202,0)))</f>
        <v/>
      </c>
      <c r="N33" s="89" t="str">
        <f ca="1">IF($B33="","",INDIRECT("aux_sheet!V"&amp;1+MATCH(aux_sheet!$B32,aux_sheet!$A$2:$A$202,0)))</f>
        <v/>
      </c>
      <c r="O33" s="89" t="str">
        <f ca="1">IF($B33="","",INDIRECT("aux_sheet!V"&amp;1+MATCH(aux_sheet!$B32,aux_sheet!$A$2:$A$202,0)))</f>
        <v/>
      </c>
      <c r="P33" s="106" t="str">
        <f ca="1">IF($B33="","",INDIRECT("aux_sheet!X"&amp;1+MATCH(aux_sheet!$B32,aux_sheet!$A$2:$A$202,0)))</f>
        <v/>
      </c>
      <c r="Q33" s="89" t="str">
        <f ca="1">IF($B33="","",INDIRECT("aux_sheet!Y"&amp;1+MATCH(aux_sheet!$B32,aux_sheet!$A$2:$A$202,0)))</f>
        <v/>
      </c>
      <c r="R33" s="89" t="str">
        <f ca="1">IF($B33="","",INDIRECT("aux_sheet!Y"&amp;1+MATCH(aux_sheet!$B32,aux_sheet!$A$2:$A$202,0)))</f>
        <v/>
      </c>
      <c r="S33" s="106" t="str">
        <f ca="1">IF($B33="","",INDIRECT("aux_sheet!AA"&amp;1+MATCH(aux_sheet!$B32,aux_sheet!$A$2:$A$202,0)))</f>
        <v/>
      </c>
      <c r="T33" s="89" t="str">
        <f ca="1">IF($B33="","",INDIRECT("aux_sheet!AB"&amp;1+MATCH(aux_sheet!$B32,aux_sheet!$A$2:$A$202,0)))</f>
        <v/>
      </c>
      <c r="U33" s="89" t="str">
        <f ca="1">IF($B33="","",INDIRECT("aux_sheet!AB"&amp;1+MATCH(aux_sheet!$B32,aux_sheet!$A$2:$A$202,0)))</f>
        <v/>
      </c>
      <c r="V33" s="106" t="str">
        <f ca="1">IF($B33="","",INDIRECT("aux_sheet!AD"&amp;1+MATCH(aux_sheet!$B32,aux_sheet!$A$2:$A$202,0)))</f>
        <v/>
      </c>
      <c r="W33" s="89" t="str">
        <f ca="1">IF($B33="","",INDIRECT("aux_sheet!AE"&amp;1+MATCH(aux_sheet!$B32,aux_sheet!$A$2:$A$202,0)))</f>
        <v/>
      </c>
      <c r="X33" s="89" t="str">
        <f ca="1">IF($B33="","",INDIRECT("aux_sheet!AE"&amp;1+MATCH(aux_sheet!$B32,aux_sheet!$A$2:$A$202,0)))</f>
        <v/>
      </c>
      <c r="Y33" s="106" t="str">
        <f ca="1">IF($B33="","",INDIRECT("aux_sheet!AG"&amp;1+MATCH(aux_sheet!$B32,aux_sheet!$A$2:$A$202,0)))</f>
        <v/>
      </c>
      <c r="Z33" s="89" t="str">
        <f ca="1">IF($B33="","",INDIRECT("aux_sheet!AH"&amp;1+MATCH(aux_sheet!$B32,aux_sheet!$A$2:$A$202,0)))</f>
        <v/>
      </c>
      <c r="AA33" s="89" t="str">
        <f ca="1">IF($B33="","",INDIRECT("aux_sheet!AH"&amp;1+MATCH(aux_sheet!$B32,aux_sheet!$A$2:$A$202,0)))</f>
        <v/>
      </c>
      <c r="AB33" s="106" t="str">
        <f ca="1">IF($B33="","",INDIRECT("aux_sheet!AJ"&amp;1+MATCH(aux_sheet!$B32,aux_sheet!$A$2:$A$202,0)))</f>
        <v/>
      </c>
      <c r="AC33" s="89" t="str">
        <f ca="1">IF($B33="","",INDIRECT("aux_sheet!AK"&amp;1+MATCH(aux_sheet!$B32,aux_sheet!$A$2:$A$202,0)))</f>
        <v/>
      </c>
      <c r="AD33" s="89" t="str">
        <f ca="1">IF($B33="","",INDIRECT("aux_sheet!AK"&amp;1+MATCH(aux_sheet!$B32,aux_sheet!$A$2:$A$202,0)))</f>
        <v/>
      </c>
      <c r="AE33" s="106" t="str">
        <f ca="1">IF($B33="","",INDIRECT("aux_sheet!AM"&amp;1+MATCH(aux_sheet!$B32,aux_sheet!$A$2:$A$202,0)))</f>
        <v/>
      </c>
      <c r="AF33" s="89" t="str">
        <f ca="1">IF($B33="","",INDIRECT("aux_sheet!AN"&amp;1+MATCH(aux_sheet!$B32,aux_sheet!$A$2:$A$202,0)))</f>
        <v/>
      </c>
      <c r="AG33" s="89" t="str">
        <f ca="1">IF($B33="","",INDIRECT("aux_sheet!AN"&amp;1+MATCH(aux_sheet!$B32,aux_sheet!$A$2:$A$202,0)))</f>
        <v/>
      </c>
      <c r="AH33" s="14" t="str">
        <f>IF(ISBLANK(Input!A32)," ",F32-F33)</f>
        <v xml:space="preserve"> </v>
      </c>
    </row>
    <row r="34" spans="1:34" x14ac:dyDescent="0.35">
      <c r="A34" s="2" t="str">
        <f>IF(ISBLANK(Input!A33),"",ROUNDDOWN(aux_sheet!B33,0))</f>
        <v/>
      </c>
      <c r="B34" s="2" t="str">
        <f ca="1">IF(ISBLANK(Input!A33),"",INDIRECT("Input!A"&amp;1+MATCH(aux_sheet!$B33,aux_sheet!$A$2:$A$202,0)))</f>
        <v/>
      </c>
      <c r="C34" s="2" t="str">
        <f ca="1">IF(ISBLANK(Input!B33),"",INDIRECT("Input!B"&amp;1+MATCH(aux_sheet!$B33,aux_sheet!$A$2:$A$202,0)))</f>
        <v/>
      </c>
      <c r="D34" s="2" t="str">
        <f ca="1">IF(ISBLANK(Input!C33),"",INDIRECT("Input!C"&amp;1+MATCH(aux_sheet!$B33,aux_sheet!$A$2:$A$202,0)))</f>
        <v/>
      </c>
      <c r="E34" s="2" t="str">
        <f ca="1">IF(ISBLANK(Input!D33),"",INDIRECT("Input!D"&amp;1+MATCH(aux_sheet!$B33,aux_sheet!$A$2:$A$202,0)))</f>
        <v/>
      </c>
      <c r="F34" s="11" t="str">
        <f ca="1">INDIRECT("Input!F"&amp;1+MATCH(aux_sheet!$B33,aux_sheet!$A$2:$A$202,0))</f>
        <v xml:space="preserve"> </v>
      </c>
      <c r="G34" s="106" t="str">
        <f ca="1">IF($B34="","",INDIRECT("aux_sheet!O"&amp;1+MATCH(aux_sheet!$B33,aux_sheet!$A$2:$A$202,0)))</f>
        <v/>
      </c>
      <c r="H34" s="89" t="str">
        <f ca="1">IF($B34="","",INDIRECT("aux_sheet!P"&amp;1+MATCH(aux_sheet!$B33,aux_sheet!$A$2:$A$202,0)))</f>
        <v/>
      </c>
      <c r="I34" s="89" t="str">
        <f ca="1">IF($B34="","",INDIRECT("aux_sheet!P"&amp;1+MATCH(aux_sheet!$B33,aux_sheet!$A$2:$A$202,0)))</f>
        <v/>
      </c>
      <c r="J34" s="106" t="str">
        <f ca="1">IF($B34="","",INDIRECT("aux_sheet!R"&amp;1+MATCH(aux_sheet!$B33,aux_sheet!$A$2:$A$202,0)))</f>
        <v/>
      </c>
      <c r="K34" s="89" t="str">
        <f ca="1">IF($B34="","",INDIRECT("aux_sheet!S"&amp;1+MATCH(aux_sheet!$B33,aux_sheet!$A$2:$A$202,0)))</f>
        <v/>
      </c>
      <c r="L34" s="89" t="str">
        <f ca="1">IF($B34="","",INDIRECT("aux_sheet!S"&amp;1+MATCH(aux_sheet!$B33,aux_sheet!$A$2:$A$202,0)))</f>
        <v/>
      </c>
      <c r="M34" s="106" t="str">
        <f ca="1">IF($B34="","",INDIRECT("aux_sheet!U"&amp;1+MATCH(aux_sheet!$B33,aux_sheet!$A$2:$A$202,0)))</f>
        <v/>
      </c>
      <c r="N34" s="89" t="str">
        <f ca="1">IF($B34="","",INDIRECT("aux_sheet!V"&amp;1+MATCH(aux_sheet!$B33,aux_sheet!$A$2:$A$202,0)))</f>
        <v/>
      </c>
      <c r="O34" s="89" t="str">
        <f ca="1">IF($B34="","",INDIRECT("aux_sheet!V"&amp;1+MATCH(aux_sheet!$B33,aux_sheet!$A$2:$A$202,0)))</f>
        <v/>
      </c>
      <c r="P34" s="106" t="str">
        <f ca="1">IF($B34="","",INDIRECT("aux_sheet!X"&amp;1+MATCH(aux_sheet!$B33,aux_sheet!$A$2:$A$202,0)))</f>
        <v/>
      </c>
      <c r="Q34" s="89" t="str">
        <f ca="1">IF($B34="","",INDIRECT("aux_sheet!Y"&amp;1+MATCH(aux_sheet!$B33,aux_sheet!$A$2:$A$202,0)))</f>
        <v/>
      </c>
      <c r="R34" s="89" t="str">
        <f ca="1">IF($B34="","",INDIRECT("aux_sheet!Y"&amp;1+MATCH(aux_sheet!$B33,aux_sheet!$A$2:$A$202,0)))</f>
        <v/>
      </c>
      <c r="S34" s="106" t="str">
        <f ca="1">IF($B34="","",INDIRECT("aux_sheet!AA"&amp;1+MATCH(aux_sheet!$B33,aux_sheet!$A$2:$A$202,0)))</f>
        <v/>
      </c>
      <c r="T34" s="89" t="str">
        <f ca="1">IF($B34="","",INDIRECT("aux_sheet!AB"&amp;1+MATCH(aux_sheet!$B33,aux_sheet!$A$2:$A$202,0)))</f>
        <v/>
      </c>
      <c r="U34" s="89" t="str">
        <f ca="1">IF($B34="","",INDIRECT("aux_sheet!AB"&amp;1+MATCH(aux_sheet!$B33,aux_sheet!$A$2:$A$202,0)))</f>
        <v/>
      </c>
      <c r="V34" s="106" t="str">
        <f ca="1">IF($B34="","",INDIRECT("aux_sheet!AD"&amp;1+MATCH(aux_sheet!$B33,aux_sheet!$A$2:$A$202,0)))</f>
        <v/>
      </c>
      <c r="W34" s="89" t="str">
        <f ca="1">IF($B34="","",INDIRECT("aux_sheet!AE"&amp;1+MATCH(aux_sheet!$B33,aux_sheet!$A$2:$A$202,0)))</f>
        <v/>
      </c>
      <c r="X34" s="89" t="str">
        <f ca="1">IF($B34="","",INDIRECT("aux_sheet!AE"&amp;1+MATCH(aux_sheet!$B33,aux_sheet!$A$2:$A$202,0)))</f>
        <v/>
      </c>
      <c r="Y34" s="106" t="str">
        <f ca="1">IF($B34="","",INDIRECT("aux_sheet!AG"&amp;1+MATCH(aux_sheet!$B33,aux_sheet!$A$2:$A$202,0)))</f>
        <v/>
      </c>
      <c r="Z34" s="89" t="str">
        <f ca="1">IF($B34="","",INDIRECT("aux_sheet!AH"&amp;1+MATCH(aux_sheet!$B33,aux_sheet!$A$2:$A$202,0)))</f>
        <v/>
      </c>
      <c r="AA34" s="89" t="str">
        <f ca="1">IF($B34="","",INDIRECT("aux_sheet!AH"&amp;1+MATCH(aux_sheet!$B33,aux_sheet!$A$2:$A$202,0)))</f>
        <v/>
      </c>
      <c r="AB34" s="106" t="str">
        <f ca="1">IF($B34="","",INDIRECT("aux_sheet!AJ"&amp;1+MATCH(aux_sheet!$B33,aux_sheet!$A$2:$A$202,0)))</f>
        <v/>
      </c>
      <c r="AC34" s="89" t="str">
        <f ca="1">IF($B34="","",INDIRECT("aux_sheet!AK"&amp;1+MATCH(aux_sheet!$B33,aux_sheet!$A$2:$A$202,0)))</f>
        <v/>
      </c>
      <c r="AD34" s="89" t="str">
        <f ca="1">IF($B34="","",INDIRECT("aux_sheet!AK"&amp;1+MATCH(aux_sheet!$B33,aux_sheet!$A$2:$A$202,0)))</f>
        <v/>
      </c>
      <c r="AE34" s="106" t="str">
        <f ca="1">IF($B34="","",INDIRECT("aux_sheet!AM"&amp;1+MATCH(aux_sheet!$B33,aux_sheet!$A$2:$A$202,0)))</f>
        <v/>
      </c>
      <c r="AF34" s="89" t="str">
        <f ca="1">IF($B34="","",INDIRECT("aux_sheet!AN"&amp;1+MATCH(aux_sheet!$B33,aux_sheet!$A$2:$A$202,0)))</f>
        <v/>
      </c>
      <c r="AG34" s="89" t="str">
        <f ca="1">IF($B34="","",INDIRECT("aux_sheet!AN"&amp;1+MATCH(aux_sheet!$B33,aux_sheet!$A$2:$A$202,0)))</f>
        <v/>
      </c>
      <c r="AH34" s="14" t="str">
        <f>IF(ISBLANK(Input!A33)," ",F33-F34)</f>
        <v xml:space="preserve"> </v>
      </c>
    </row>
    <row r="35" spans="1:34" x14ac:dyDescent="0.35">
      <c r="A35" s="2" t="str">
        <f>IF(ISBLANK(Input!A34),"",ROUNDDOWN(aux_sheet!B34,0))</f>
        <v/>
      </c>
      <c r="B35" s="2" t="str">
        <f ca="1">IF(ISBLANK(Input!A34),"",INDIRECT("Input!A"&amp;1+MATCH(aux_sheet!$B34,aux_sheet!$A$2:$A$202,0)))</f>
        <v/>
      </c>
      <c r="C35" s="2" t="str">
        <f ca="1">IF(ISBLANK(Input!B34),"",INDIRECT("Input!B"&amp;1+MATCH(aux_sheet!$B34,aux_sheet!$A$2:$A$202,0)))</f>
        <v/>
      </c>
      <c r="D35" s="2" t="str">
        <f ca="1">IF(ISBLANK(Input!C34),"",INDIRECT("Input!C"&amp;1+MATCH(aux_sheet!$B34,aux_sheet!$A$2:$A$202,0)))</f>
        <v/>
      </c>
      <c r="E35" s="2" t="str">
        <f ca="1">IF(ISBLANK(Input!D34),"",INDIRECT("Input!D"&amp;1+MATCH(aux_sheet!$B34,aux_sheet!$A$2:$A$202,0)))</f>
        <v/>
      </c>
      <c r="F35" s="11" t="str">
        <f ca="1">INDIRECT("Input!F"&amp;1+MATCH(aux_sheet!$B34,aux_sheet!$A$2:$A$202,0))</f>
        <v xml:space="preserve"> </v>
      </c>
      <c r="G35" s="106" t="str">
        <f ca="1">IF($B35="","",INDIRECT("aux_sheet!O"&amp;1+MATCH(aux_sheet!$B34,aux_sheet!$A$2:$A$202,0)))</f>
        <v/>
      </c>
      <c r="H35" s="89" t="str">
        <f ca="1">IF($B35="","",INDIRECT("aux_sheet!P"&amp;1+MATCH(aux_sheet!$B34,aux_sheet!$A$2:$A$202,0)))</f>
        <v/>
      </c>
      <c r="I35" s="89" t="str">
        <f ca="1">IF($B35="","",INDIRECT("aux_sheet!P"&amp;1+MATCH(aux_sheet!$B34,aux_sheet!$A$2:$A$202,0)))</f>
        <v/>
      </c>
      <c r="J35" s="106" t="str">
        <f ca="1">IF($B35="","",INDIRECT("aux_sheet!R"&amp;1+MATCH(aux_sheet!$B34,aux_sheet!$A$2:$A$202,0)))</f>
        <v/>
      </c>
      <c r="K35" s="89" t="str">
        <f ca="1">IF($B35="","",INDIRECT("aux_sheet!S"&amp;1+MATCH(aux_sheet!$B34,aux_sheet!$A$2:$A$202,0)))</f>
        <v/>
      </c>
      <c r="L35" s="89" t="str">
        <f ca="1">IF($B35="","",INDIRECT("aux_sheet!S"&amp;1+MATCH(aux_sheet!$B34,aux_sheet!$A$2:$A$202,0)))</f>
        <v/>
      </c>
      <c r="M35" s="106" t="str">
        <f ca="1">IF($B35="","",INDIRECT("aux_sheet!U"&amp;1+MATCH(aux_sheet!$B34,aux_sheet!$A$2:$A$202,0)))</f>
        <v/>
      </c>
      <c r="N35" s="89" t="str">
        <f ca="1">IF($B35="","",INDIRECT("aux_sheet!V"&amp;1+MATCH(aux_sheet!$B34,aux_sheet!$A$2:$A$202,0)))</f>
        <v/>
      </c>
      <c r="O35" s="89" t="str">
        <f ca="1">IF($B35="","",INDIRECT("aux_sheet!V"&amp;1+MATCH(aux_sheet!$B34,aux_sheet!$A$2:$A$202,0)))</f>
        <v/>
      </c>
      <c r="P35" s="106" t="str">
        <f ca="1">IF($B35="","",INDIRECT("aux_sheet!X"&amp;1+MATCH(aux_sheet!$B34,aux_sheet!$A$2:$A$202,0)))</f>
        <v/>
      </c>
      <c r="Q35" s="89" t="str">
        <f ca="1">IF($B35="","",INDIRECT("aux_sheet!Y"&amp;1+MATCH(aux_sheet!$B34,aux_sheet!$A$2:$A$202,0)))</f>
        <v/>
      </c>
      <c r="R35" s="89" t="str">
        <f ca="1">IF($B35="","",INDIRECT("aux_sheet!Y"&amp;1+MATCH(aux_sheet!$B34,aux_sheet!$A$2:$A$202,0)))</f>
        <v/>
      </c>
      <c r="S35" s="106" t="str">
        <f ca="1">IF($B35="","",INDIRECT("aux_sheet!AA"&amp;1+MATCH(aux_sheet!$B34,aux_sheet!$A$2:$A$202,0)))</f>
        <v/>
      </c>
      <c r="T35" s="89" t="str">
        <f ca="1">IF($B35="","",INDIRECT("aux_sheet!AB"&amp;1+MATCH(aux_sheet!$B34,aux_sheet!$A$2:$A$202,0)))</f>
        <v/>
      </c>
      <c r="U35" s="89" t="str">
        <f ca="1">IF($B35="","",INDIRECT("aux_sheet!AB"&amp;1+MATCH(aux_sheet!$B34,aux_sheet!$A$2:$A$202,0)))</f>
        <v/>
      </c>
      <c r="V35" s="106" t="str">
        <f ca="1">IF($B35="","",INDIRECT("aux_sheet!AD"&amp;1+MATCH(aux_sheet!$B34,aux_sheet!$A$2:$A$202,0)))</f>
        <v/>
      </c>
      <c r="W35" s="89" t="str">
        <f ca="1">IF($B35="","",INDIRECT("aux_sheet!AE"&amp;1+MATCH(aux_sheet!$B34,aux_sheet!$A$2:$A$202,0)))</f>
        <v/>
      </c>
      <c r="X35" s="89" t="str">
        <f ca="1">IF($B35="","",INDIRECT("aux_sheet!AE"&amp;1+MATCH(aux_sheet!$B34,aux_sheet!$A$2:$A$202,0)))</f>
        <v/>
      </c>
      <c r="Y35" s="106" t="str">
        <f ca="1">IF($B35="","",INDIRECT("aux_sheet!AG"&amp;1+MATCH(aux_sheet!$B34,aux_sheet!$A$2:$A$202,0)))</f>
        <v/>
      </c>
      <c r="Z35" s="89" t="str">
        <f ca="1">IF($B35="","",INDIRECT("aux_sheet!AH"&amp;1+MATCH(aux_sheet!$B34,aux_sheet!$A$2:$A$202,0)))</f>
        <v/>
      </c>
      <c r="AA35" s="89" t="str">
        <f ca="1">IF($B35="","",INDIRECT("aux_sheet!AH"&amp;1+MATCH(aux_sheet!$B34,aux_sheet!$A$2:$A$202,0)))</f>
        <v/>
      </c>
      <c r="AB35" s="106" t="str">
        <f ca="1">IF($B35="","",INDIRECT("aux_sheet!AJ"&amp;1+MATCH(aux_sheet!$B34,aux_sheet!$A$2:$A$202,0)))</f>
        <v/>
      </c>
      <c r="AC35" s="89" t="str">
        <f ca="1">IF($B35="","",INDIRECT("aux_sheet!AK"&amp;1+MATCH(aux_sheet!$B34,aux_sheet!$A$2:$A$202,0)))</f>
        <v/>
      </c>
      <c r="AD35" s="89" t="str">
        <f ca="1">IF($B35="","",INDIRECT("aux_sheet!AK"&amp;1+MATCH(aux_sheet!$B34,aux_sheet!$A$2:$A$202,0)))</f>
        <v/>
      </c>
      <c r="AE35" s="106" t="str">
        <f ca="1">IF($B35="","",INDIRECT("aux_sheet!AM"&amp;1+MATCH(aux_sheet!$B34,aux_sheet!$A$2:$A$202,0)))</f>
        <v/>
      </c>
      <c r="AF35" s="89" t="str">
        <f ca="1">IF($B35="","",INDIRECT("aux_sheet!AN"&amp;1+MATCH(aux_sheet!$B34,aux_sheet!$A$2:$A$202,0)))</f>
        <v/>
      </c>
      <c r="AG35" s="89" t="str">
        <f ca="1">IF($B35="","",INDIRECT("aux_sheet!AN"&amp;1+MATCH(aux_sheet!$B34,aux_sheet!$A$2:$A$202,0)))</f>
        <v/>
      </c>
      <c r="AH35" s="14" t="str">
        <f>IF(ISBLANK(Input!A34)," ",F34-F35)</f>
        <v xml:space="preserve"> </v>
      </c>
    </row>
    <row r="36" spans="1:34" x14ac:dyDescent="0.35">
      <c r="A36" s="2" t="str">
        <f>IF(ISBLANK(Input!A35),"",ROUNDDOWN(aux_sheet!B35,0))</f>
        <v/>
      </c>
      <c r="B36" s="2" t="str">
        <f ca="1">IF(ISBLANK(Input!A35),"",INDIRECT("Input!A"&amp;1+MATCH(aux_sheet!$B35,aux_sheet!$A$2:$A$202,0)))</f>
        <v/>
      </c>
      <c r="C36" s="2" t="str">
        <f ca="1">IF(ISBLANK(Input!B35),"",INDIRECT("Input!B"&amp;1+MATCH(aux_sheet!$B35,aux_sheet!$A$2:$A$202,0)))</f>
        <v/>
      </c>
      <c r="D36" s="2" t="str">
        <f ca="1">IF(ISBLANK(Input!C35),"",INDIRECT("Input!C"&amp;1+MATCH(aux_sheet!$B35,aux_sheet!$A$2:$A$202,0)))</f>
        <v/>
      </c>
      <c r="E36" s="2" t="str">
        <f ca="1">IF(ISBLANK(Input!D35),"",INDIRECT("Input!D"&amp;1+MATCH(aux_sheet!$B35,aux_sheet!$A$2:$A$202,0)))</f>
        <v/>
      </c>
      <c r="F36" s="11" t="str">
        <f ca="1">INDIRECT("Input!F"&amp;1+MATCH(aux_sheet!$B35,aux_sheet!$A$2:$A$202,0))</f>
        <v xml:space="preserve"> </v>
      </c>
      <c r="G36" s="106" t="str">
        <f ca="1">IF($B36="","",INDIRECT("aux_sheet!O"&amp;1+MATCH(aux_sheet!$B35,aux_sheet!$A$2:$A$202,0)))</f>
        <v/>
      </c>
      <c r="H36" s="89" t="str">
        <f ca="1">IF($B36="","",INDIRECT("aux_sheet!P"&amp;1+MATCH(aux_sheet!$B35,aux_sheet!$A$2:$A$202,0)))</f>
        <v/>
      </c>
      <c r="I36" s="89" t="str">
        <f ca="1">IF($B36="","",INDIRECT("aux_sheet!P"&amp;1+MATCH(aux_sheet!$B35,aux_sheet!$A$2:$A$202,0)))</f>
        <v/>
      </c>
      <c r="J36" s="106" t="str">
        <f ca="1">IF($B36="","",INDIRECT("aux_sheet!R"&amp;1+MATCH(aux_sheet!$B35,aux_sheet!$A$2:$A$202,0)))</f>
        <v/>
      </c>
      <c r="K36" s="89" t="str">
        <f ca="1">IF($B36="","",INDIRECT("aux_sheet!S"&amp;1+MATCH(aux_sheet!$B35,aux_sheet!$A$2:$A$202,0)))</f>
        <v/>
      </c>
      <c r="L36" s="89" t="str">
        <f ca="1">IF($B36="","",INDIRECT("aux_sheet!S"&amp;1+MATCH(aux_sheet!$B35,aux_sheet!$A$2:$A$202,0)))</f>
        <v/>
      </c>
      <c r="M36" s="106" t="str">
        <f ca="1">IF($B36="","",INDIRECT("aux_sheet!U"&amp;1+MATCH(aux_sheet!$B35,aux_sheet!$A$2:$A$202,0)))</f>
        <v/>
      </c>
      <c r="N36" s="89" t="str">
        <f ca="1">IF($B36="","",INDIRECT("aux_sheet!V"&amp;1+MATCH(aux_sheet!$B35,aux_sheet!$A$2:$A$202,0)))</f>
        <v/>
      </c>
      <c r="O36" s="89" t="str">
        <f ca="1">IF($B36="","",INDIRECT("aux_sheet!V"&amp;1+MATCH(aux_sheet!$B35,aux_sheet!$A$2:$A$202,0)))</f>
        <v/>
      </c>
      <c r="P36" s="106" t="str">
        <f ca="1">IF($B36="","",INDIRECT("aux_sheet!X"&amp;1+MATCH(aux_sheet!$B35,aux_sheet!$A$2:$A$202,0)))</f>
        <v/>
      </c>
      <c r="Q36" s="89" t="str">
        <f ca="1">IF($B36="","",INDIRECT("aux_sheet!Y"&amp;1+MATCH(aux_sheet!$B35,aux_sheet!$A$2:$A$202,0)))</f>
        <v/>
      </c>
      <c r="R36" s="89" t="str">
        <f ca="1">IF($B36="","",INDIRECT("aux_sheet!Y"&amp;1+MATCH(aux_sheet!$B35,aux_sheet!$A$2:$A$202,0)))</f>
        <v/>
      </c>
      <c r="S36" s="106" t="str">
        <f ca="1">IF($B36="","",INDIRECT("aux_sheet!AA"&amp;1+MATCH(aux_sheet!$B35,aux_sheet!$A$2:$A$202,0)))</f>
        <v/>
      </c>
      <c r="T36" s="89" t="str">
        <f ca="1">IF($B36="","",INDIRECT("aux_sheet!AB"&amp;1+MATCH(aux_sheet!$B35,aux_sheet!$A$2:$A$202,0)))</f>
        <v/>
      </c>
      <c r="U36" s="89" t="str">
        <f ca="1">IF($B36="","",INDIRECT("aux_sheet!AB"&amp;1+MATCH(aux_sheet!$B35,aux_sheet!$A$2:$A$202,0)))</f>
        <v/>
      </c>
      <c r="V36" s="106" t="str">
        <f ca="1">IF($B36="","",INDIRECT("aux_sheet!AD"&amp;1+MATCH(aux_sheet!$B35,aux_sheet!$A$2:$A$202,0)))</f>
        <v/>
      </c>
      <c r="W36" s="89" t="str">
        <f ca="1">IF($B36="","",INDIRECT("aux_sheet!AE"&amp;1+MATCH(aux_sheet!$B35,aux_sheet!$A$2:$A$202,0)))</f>
        <v/>
      </c>
      <c r="X36" s="89" t="str">
        <f ca="1">IF($B36="","",INDIRECT("aux_sheet!AE"&amp;1+MATCH(aux_sheet!$B35,aux_sheet!$A$2:$A$202,0)))</f>
        <v/>
      </c>
      <c r="Y36" s="106" t="str">
        <f ca="1">IF($B36="","",INDIRECT("aux_sheet!AG"&amp;1+MATCH(aux_sheet!$B35,aux_sheet!$A$2:$A$202,0)))</f>
        <v/>
      </c>
      <c r="Z36" s="89" t="str">
        <f ca="1">IF($B36="","",INDIRECT("aux_sheet!AH"&amp;1+MATCH(aux_sheet!$B35,aux_sheet!$A$2:$A$202,0)))</f>
        <v/>
      </c>
      <c r="AA36" s="89" t="str">
        <f ca="1">IF($B36="","",INDIRECT("aux_sheet!AH"&amp;1+MATCH(aux_sheet!$B35,aux_sheet!$A$2:$A$202,0)))</f>
        <v/>
      </c>
      <c r="AB36" s="106" t="str">
        <f ca="1">IF($B36="","",INDIRECT("aux_sheet!AJ"&amp;1+MATCH(aux_sheet!$B35,aux_sheet!$A$2:$A$202,0)))</f>
        <v/>
      </c>
      <c r="AC36" s="89" t="str">
        <f ca="1">IF($B36="","",INDIRECT("aux_sheet!AK"&amp;1+MATCH(aux_sheet!$B35,aux_sheet!$A$2:$A$202,0)))</f>
        <v/>
      </c>
      <c r="AD36" s="89" t="str">
        <f ca="1">IF($B36="","",INDIRECT("aux_sheet!AK"&amp;1+MATCH(aux_sheet!$B35,aux_sheet!$A$2:$A$202,0)))</f>
        <v/>
      </c>
      <c r="AE36" s="106" t="str">
        <f ca="1">IF($B36="","",INDIRECT("aux_sheet!AM"&amp;1+MATCH(aux_sheet!$B35,aux_sheet!$A$2:$A$202,0)))</f>
        <v/>
      </c>
      <c r="AF36" s="89" t="str">
        <f ca="1">IF($B36="","",INDIRECT("aux_sheet!AN"&amp;1+MATCH(aux_sheet!$B35,aux_sheet!$A$2:$A$202,0)))</f>
        <v/>
      </c>
      <c r="AG36" s="89" t="str">
        <f ca="1">IF($B36="","",INDIRECT("aux_sheet!AN"&amp;1+MATCH(aux_sheet!$B35,aux_sheet!$A$2:$A$202,0)))</f>
        <v/>
      </c>
      <c r="AH36" s="14" t="str">
        <f>IF(ISBLANK(Input!A35)," ",F35-F36)</f>
        <v xml:space="preserve"> </v>
      </c>
    </row>
    <row r="37" spans="1:34" x14ac:dyDescent="0.35">
      <c r="A37" s="2" t="str">
        <f>IF(ISBLANK(Input!A36),"",ROUNDDOWN(aux_sheet!B36,0))</f>
        <v/>
      </c>
      <c r="B37" s="2" t="str">
        <f ca="1">IF(ISBLANK(Input!A36),"",INDIRECT("Input!A"&amp;1+MATCH(aux_sheet!$B36,aux_sheet!$A$2:$A$202,0)))</f>
        <v/>
      </c>
      <c r="C37" s="2" t="str">
        <f ca="1">IF(ISBLANK(Input!B36),"",INDIRECT("Input!B"&amp;1+MATCH(aux_sheet!$B36,aux_sheet!$A$2:$A$202,0)))</f>
        <v/>
      </c>
      <c r="D37" s="2" t="str">
        <f ca="1">IF(ISBLANK(Input!C36),"",INDIRECT("Input!C"&amp;1+MATCH(aux_sheet!$B36,aux_sheet!$A$2:$A$202,0)))</f>
        <v/>
      </c>
      <c r="E37" s="2" t="str">
        <f ca="1">IF(ISBLANK(Input!D36),"",INDIRECT("Input!D"&amp;1+MATCH(aux_sheet!$B36,aux_sheet!$A$2:$A$202,0)))</f>
        <v/>
      </c>
      <c r="F37" s="11" t="str">
        <f ca="1">INDIRECT("Input!F"&amp;1+MATCH(aux_sheet!$B36,aux_sheet!$A$2:$A$202,0))</f>
        <v xml:space="preserve"> </v>
      </c>
      <c r="G37" s="106" t="str">
        <f ca="1">IF($B37="","",INDIRECT("aux_sheet!O"&amp;1+MATCH(aux_sheet!$B36,aux_sheet!$A$2:$A$202,0)))</f>
        <v/>
      </c>
      <c r="H37" s="89" t="str">
        <f ca="1">IF($B37="","",INDIRECT("aux_sheet!P"&amp;1+MATCH(aux_sheet!$B36,aux_sheet!$A$2:$A$202,0)))</f>
        <v/>
      </c>
      <c r="I37" s="89" t="str">
        <f ca="1">IF($B37="","",INDIRECT("aux_sheet!P"&amp;1+MATCH(aux_sheet!$B36,aux_sheet!$A$2:$A$202,0)))</f>
        <v/>
      </c>
      <c r="J37" s="106" t="str">
        <f ca="1">IF($B37="","",INDIRECT("aux_sheet!R"&amp;1+MATCH(aux_sheet!$B36,aux_sheet!$A$2:$A$202,0)))</f>
        <v/>
      </c>
      <c r="K37" s="89" t="str">
        <f ca="1">IF($B37="","",INDIRECT("aux_sheet!S"&amp;1+MATCH(aux_sheet!$B36,aux_sheet!$A$2:$A$202,0)))</f>
        <v/>
      </c>
      <c r="L37" s="89" t="str">
        <f ca="1">IF($B37="","",INDIRECT("aux_sheet!S"&amp;1+MATCH(aux_sheet!$B36,aux_sheet!$A$2:$A$202,0)))</f>
        <v/>
      </c>
      <c r="M37" s="106" t="str">
        <f ca="1">IF($B37="","",INDIRECT("aux_sheet!U"&amp;1+MATCH(aux_sheet!$B36,aux_sheet!$A$2:$A$202,0)))</f>
        <v/>
      </c>
      <c r="N37" s="89" t="str">
        <f ca="1">IF($B37="","",INDIRECT("aux_sheet!V"&amp;1+MATCH(aux_sheet!$B36,aux_sheet!$A$2:$A$202,0)))</f>
        <v/>
      </c>
      <c r="O37" s="89" t="str">
        <f ca="1">IF($B37="","",INDIRECT("aux_sheet!V"&amp;1+MATCH(aux_sheet!$B36,aux_sheet!$A$2:$A$202,0)))</f>
        <v/>
      </c>
      <c r="P37" s="106" t="str">
        <f ca="1">IF($B37="","",INDIRECT("aux_sheet!X"&amp;1+MATCH(aux_sheet!$B36,aux_sheet!$A$2:$A$202,0)))</f>
        <v/>
      </c>
      <c r="Q37" s="89" t="str">
        <f ca="1">IF($B37="","",INDIRECT("aux_sheet!Y"&amp;1+MATCH(aux_sheet!$B36,aux_sheet!$A$2:$A$202,0)))</f>
        <v/>
      </c>
      <c r="R37" s="89" t="str">
        <f ca="1">IF($B37="","",INDIRECT("aux_sheet!Y"&amp;1+MATCH(aux_sheet!$B36,aux_sheet!$A$2:$A$202,0)))</f>
        <v/>
      </c>
      <c r="S37" s="106" t="str">
        <f ca="1">IF($B37="","",INDIRECT("aux_sheet!AA"&amp;1+MATCH(aux_sheet!$B36,aux_sheet!$A$2:$A$202,0)))</f>
        <v/>
      </c>
      <c r="T37" s="89" t="str">
        <f ca="1">IF($B37="","",INDIRECT("aux_sheet!AB"&amp;1+MATCH(aux_sheet!$B36,aux_sheet!$A$2:$A$202,0)))</f>
        <v/>
      </c>
      <c r="U37" s="89" t="str">
        <f ca="1">IF($B37="","",INDIRECT("aux_sheet!AB"&amp;1+MATCH(aux_sheet!$B36,aux_sheet!$A$2:$A$202,0)))</f>
        <v/>
      </c>
      <c r="V37" s="106" t="str">
        <f ca="1">IF($B37="","",INDIRECT("aux_sheet!AD"&amp;1+MATCH(aux_sheet!$B36,aux_sheet!$A$2:$A$202,0)))</f>
        <v/>
      </c>
      <c r="W37" s="89" t="str">
        <f ca="1">IF($B37="","",INDIRECT("aux_sheet!AE"&amp;1+MATCH(aux_sheet!$B36,aux_sheet!$A$2:$A$202,0)))</f>
        <v/>
      </c>
      <c r="X37" s="89" t="str">
        <f ca="1">IF($B37="","",INDIRECT("aux_sheet!AE"&amp;1+MATCH(aux_sheet!$B36,aux_sheet!$A$2:$A$202,0)))</f>
        <v/>
      </c>
      <c r="Y37" s="106" t="str">
        <f ca="1">IF($B37="","",INDIRECT("aux_sheet!AG"&amp;1+MATCH(aux_sheet!$B36,aux_sheet!$A$2:$A$202,0)))</f>
        <v/>
      </c>
      <c r="Z37" s="89" t="str">
        <f ca="1">IF($B37="","",INDIRECT("aux_sheet!AH"&amp;1+MATCH(aux_sheet!$B36,aux_sheet!$A$2:$A$202,0)))</f>
        <v/>
      </c>
      <c r="AA37" s="89" t="str">
        <f ca="1">IF($B37="","",INDIRECT("aux_sheet!AH"&amp;1+MATCH(aux_sheet!$B36,aux_sheet!$A$2:$A$202,0)))</f>
        <v/>
      </c>
      <c r="AB37" s="106" t="str">
        <f ca="1">IF($B37="","",INDIRECT("aux_sheet!AJ"&amp;1+MATCH(aux_sheet!$B36,aux_sheet!$A$2:$A$202,0)))</f>
        <v/>
      </c>
      <c r="AC37" s="89" t="str">
        <f ca="1">IF($B37="","",INDIRECT("aux_sheet!AK"&amp;1+MATCH(aux_sheet!$B36,aux_sheet!$A$2:$A$202,0)))</f>
        <v/>
      </c>
      <c r="AD37" s="89" t="str">
        <f ca="1">IF($B37="","",INDIRECT("aux_sheet!AK"&amp;1+MATCH(aux_sheet!$B36,aux_sheet!$A$2:$A$202,0)))</f>
        <v/>
      </c>
      <c r="AE37" s="106" t="str">
        <f ca="1">IF($B37="","",INDIRECT("aux_sheet!AM"&amp;1+MATCH(aux_sheet!$B36,aux_sheet!$A$2:$A$202,0)))</f>
        <v/>
      </c>
      <c r="AF37" s="89" t="str">
        <f ca="1">IF($B37="","",INDIRECT("aux_sheet!AN"&amp;1+MATCH(aux_sheet!$B36,aux_sheet!$A$2:$A$202,0)))</f>
        <v/>
      </c>
      <c r="AG37" s="89" t="str">
        <f ca="1">IF($B37="","",INDIRECT("aux_sheet!AN"&amp;1+MATCH(aux_sheet!$B36,aux_sheet!$A$2:$A$202,0)))</f>
        <v/>
      </c>
      <c r="AH37" s="14" t="str">
        <f>IF(ISBLANK(Input!A36)," ",F36-F37)</f>
        <v xml:space="preserve"> </v>
      </c>
    </row>
    <row r="38" spans="1:34" x14ac:dyDescent="0.35">
      <c r="A38" s="2" t="str">
        <f>IF(ISBLANK(Input!A37),"",ROUNDDOWN(aux_sheet!B37,0))</f>
        <v/>
      </c>
      <c r="B38" s="2" t="str">
        <f ca="1">IF(ISBLANK(Input!A37),"",INDIRECT("Input!A"&amp;1+MATCH(aux_sheet!$B37,aux_sheet!$A$2:$A$202,0)))</f>
        <v/>
      </c>
      <c r="C38" s="2" t="str">
        <f ca="1">IF(ISBLANK(Input!B37),"",INDIRECT("Input!B"&amp;1+MATCH(aux_sheet!$B37,aux_sheet!$A$2:$A$202,0)))</f>
        <v/>
      </c>
      <c r="D38" s="2" t="str">
        <f ca="1">IF(ISBLANK(Input!C37),"",INDIRECT("Input!C"&amp;1+MATCH(aux_sheet!$B37,aux_sheet!$A$2:$A$202,0)))</f>
        <v/>
      </c>
      <c r="E38" s="2" t="str">
        <f ca="1">IF(ISBLANK(Input!D37),"",INDIRECT("Input!D"&amp;1+MATCH(aux_sheet!$B37,aux_sheet!$A$2:$A$202,0)))</f>
        <v/>
      </c>
      <c r="F38" s="11" t="str">
        <f ca="1">INDIRECT("Input!F"&amp;1+MATCH(aux_sheet!$B37,aux_sheet!$A$2:$A$202,0))</f>
        <v xml:space="preserve"> </v>
      </c>
      <c r="G38" s="106" t="str">
        <f ca="1">IF($B38="","",INDIRECT("aux_sheet!O"&amp;1+MATCH(aux_sheet!$B37,aux_sheet!$A$2:$A$202,0)))</f>
        <v/>
      </c>
      <c r="H38" s="89" t="str">
        <f ca="1">IF($B38="","",INDIRECT("aux_sheet!P"&amp;1+MATCH(aux_sheet!$B37,aux_sheet!$A$2:$A$202,0)))</f>
        <v/>
      </c>
      <c r="I38" s="89" t="str">
        <f ca="1">IF($B38="","",INDIRECT("aux_sheet!P"&amp;1+MATCH(aux_sheet!$B37,aux_sheet!$A$2:$A$202,0)))</f>
        <v/>
      </c>
      <c r="J38" s="106" t="str">
        <f ca="1">IF($B38="","",INDIRECT("aux_sheet!R"&amp;1+MATCH(aux_sheet!$B37,aux_sheet!$A$2:$A$202,0)))</f>
        <v/>
      </c>
      <c r="K38" s="89" t="str">
        <f ca="1">IF($B38="","",INDIRECT("aux_sheet!S"&amp;1+MATCH(aux_sheet!$B37,aux_sheet!$A$2:$A$202,0)))</f>
        <v/>
      </c>
      <c r="L38" s="89" t="str">
        <f ca="1">IF($B38="","",INDIRECT("aux_sheet!S"&amp;1+MATCH(aux_sheet!$B37,aux_sheet!$A$2:$A$202,0)))</f>
        <v/>
      </c>
      <c r="M38" s="106" t="str">
        <f ca="1">IF($B38="","",INDIRECT("aux_sheet!U"&amp;1+MATCH(aux_sheet!$B37,aux_sheet!$A$2:$A$202,0)))</f>
        <v/>
      </c>
      <c r="N38" s="89" t="str">
        <f ca="1">IF($B38="","",INDIRECT("aux_sheet!V"&amp;1+MATCH(aux_sheet!$B37,aux_sheet!$A$2:$A$202,0)))</f>
        <v/>
      </c>
      <c r="O38" s="89" t="str">
        <f ca="1">IF($B38="","",INDIRECT("aux_sheet!V"&amp;1+MATCH(aux_sheet!$B37,aux_sheet!$A$2:$A$202,0)))</f>
        <v/>
      </c>
      <c r="P38" s="106" t="str">
        <f ca="1">IF($B38="","",INDIRECT("aux_sheet!X"&amp;1+MATCH(aux_sheet!$B37,aux_sheet!$A$2:$A$202,0)))</f>
        <v/>
      </c>
      <c r="Q38" s="89" t="str">
        <f ca="1">IF($B38="","",INDIRECT("aux_sheet!Y"&amp;1+MATCH(aux_sheet!$B37,aux_sheet!$A$2:$A$202,0)))</f>
        <v/>
      </c>
      <c r="R38" s="89" t="str">
        <f ca="1">IF($B38="","",INDIRECT("aux_sheet!Y"&amp;1+MATCH(aux_sheet!$B37,aux_sheet!$A$2:$A$202,0)))</f>
        <v/>
      </c>
      <c r="S38" s="106" t="str">
        <f ca="1">IF($B38="","",INDIRECT("aux_sheet!AA"&amp;1+MATCH(aux_sheet!$B37,aux_sheet!$A$2:$A$202,0)))</f>
        <v/>
      </c>
      <c r="T38" s="89" t="str">
        <f ca="1">IF($B38="","",INDIRECT("aux_sheet!AB"&amp;1+MATCH(aux_sheet!$B37,aux_sheet!$A$2:$A$202,0)))</f>
        <v/>
      </c>
      <c r="U38" s="89" t="str">
        <f ca="1">IF($B38="","",INDIRECT("aux_sheet!AB"&amp;1+MATCH(aux_sheet!$B37,aux_sheet!$A$2:$A$202,0)))</f>
        <v/>
      </c>
      <c r="V38" s="106" t="str">
        <f ca="1">IF($B38="","",INDIRECT("aux_sheet!AD"&amp;1+MATCH(aux_sheet!$B37,aux_sheet!$A$2:$A$202,0)))</f>
        <v/>
      </c>
      <c r="W38" s="89" t="str">
        <f ca="1">IF($B38="","",INDIRECT("aux_sheet!AE"&amp;1+MATCH(aux_sheet!$B37,aux_sheet!$A$2:$A$202,0)))</f>
        <v/>
      </c>
      <c r="X38" s="89" t="str">
        <f ca="1">IF($B38="","",INDIRECT("aux_sheet!AE"&amp;1+MATCH(aux_sheet!$B37,aux_sheet!$A$2:$A$202,0)))</f>
        <v/>
      </c>
      <c r="Y38" s="106" t="str">
        <f ca="1">IF($B38="","",INDIRECT("aux_sheet!AG"&amp;1+MATCH(aux_sheet!$B37,aux_sheet!$A$2:$A$202,0)))</f>
        <v/>
      </c>
      <c r="Z38" s="89" t="str">
        <f ca="1">IF($B38="","",INDIRECT("aux_sheet!AH"&amp;1+MATCH(aux_sheet!$B37,aux_sheet!$A$2:$A$202,0)))</f>
        <v/>
      </c>
      <c r="AA38" s="89" t="str">
        <f ca="1">IF($B38="","",INDIRECT("aux_sheet!AH"&amp;1+MATCH(aux_sheet!$B37,aux_sheet!$A$2:$A$202,0)))</f>
        <v/>
      </c>
      <c r="AB38" s="106" t="str">
        <f ca="1">IF($B38="","",INDIRECT("aux_sheet!AJ"&amp;1+MATCH(aux_sheet!$B37,aux_sheet!$A$2:$A$202,0)))</f>
        <v/>
      </c>
      <c r="AC38" s="89" t="str">
        <f ca="1">IF($B38="","",INDIRECT("aux_sheet!AK"&amp;1+MATCH(aux_sheet!$B37,aux_sheet!$A$2:$A$202,0)))</f>
        <v/>
      </c>
      <c r="AD38" s="89" t="str">
        <f ca="1">IF($B38="","",INDIRECT("aux_sheet!AK"&amp;1+MATCH(aux_sheet!$B37,aux_sheet!$A$2:$A$202,0)))</f>
        <v/>
      </c>
      <c r="AE38" s="106" t="str">
        <f ca="1">IF($B38="","",INDIRECT("aux_sheet!AM"&amp;1+MATCH(aux_sheet!$B37,aux_sheet!$A$2:$A$202,0)))</f>
        <v/>
      </c>
      <c r="AF38" s="89" t="str">
        <f ca="1">IF($B38="","",INDIRECT("aux_sheet!AN"&amp;1+MATCH(aux_sheet!$B37,aux_sheet!$A$2:$A$202,0)))</f>
        <v/>
      </c>
      <c r="AG38" s="89" t="str">
        <f ca="1">IF($B38="","",INDIRECT("aux_sheet!AN"&amp;1+MATCH(aux_sheet!$B37,aux_sheet!$A$2:$A$202,0)))</f>
        <v/>
      </c>
      <c r="AH38" s="14" t="str">
        <f>IF(ISBLANK(Input!A37)," ",F37-F38)</f>
        <v xml:space="preserve"> </v>
      </c>
    </row>
    <row r="39" spans="1:34" x14ac:dyDescent="0.35">
      <c r="A39" s="2" t="str">
        <f>IF(ISBLANK(Input!A38),"",ROUNDDOWN(aux_sheet!B38,0))</f>
        <v/>
      </c>
      <c r="B39" s="2" t="str">
        <f ca="1">IF(ISBLANK(Input!A38),"",INDIRECT("Input!A"&amp;1+MATCH(aux_sheet!$B38,aux_sheet!$A$2:$A$202,0)))</f>
        <v/>
      </c>
      <c r="C39" s="2" t="str">
        <f ca="1">IF(ISBLANK(Input!B38),"",INDIRECT("Input!B"&amp;1+MATCH(aux_sheet!$B38,aux_sheet!$A$2:$A$202,0)))</f>
        <v/>
      </c>
      <c r="D39" s="2" t="str">
        <f ca="1">IF(ISBLANK(Input!C38),"",INDIRECT("Input!C"&amp;1+MATCH(aux_sheet!$B38,aux_sheet!$A$2:$A$202,0)))</f>
        <v/>
      </c>
      <c r="E39" s="2" t="str">
        <f ca="1">IF(ISBLANK(Input!D38),"",INDIRECT("Input!D"&amp;1+MATCH(aux_sheet!$B38,aux_sheet!$A$2:$A$202,0)))</f>
        <v/>
      </c>
      <c r="F39" s="11" t="str">
        <f ca="1">INDIRECT("Input!F"&amp;1+MATCH(aux_sheet!$B38,aux_sheet!$A$2:$A$202,0))</f>
        <v xml:space="preserve"> </v>
      </c>
      <c r="G39" s="106" t="str">
        <f ca="1">IF($B39="","",INDIRECT("aux_sheet!O"&amp;1+MATCH(aux_sheet!$B38,aux_sheet!$A$2:$A$202,0)))</f>
        <v/>
      </c>
      <c r="H39" s="89" t="str">
        <f ca="1">IF($B39="","",INDIRECT("aux_sheet!P"&amp;1+MATCH(aux_sheet!$B38,aux_sheet!$A$2:$A$202,0)))</f>
        <v/>
      </c>
      <c r="I39" s="89" t="str">
        <f ca="1">IF($B39="","",INDIRECT("aux_sheet!P"&amp;1+MATCH(aux_sheet!$B38,aux_sheet!$A$2:$A$202,0)))</f>
        <v/>
      </c>
      <c r="J39" s="106" t="str">
        <f ca="1">IF($B39="","",INDIRECT("aux_sheet!R"&amp;1+MATCH(aux_sheet!$B38,aux_sheet!$A$2:$A$202,0)))</f>
        <v/>
      </c>
      <c r="K39" s="89" t="str">
        <f ca="1">IF($B39="","",INDIRECT("aux_sheet!S"&amp;1+MATCH(aux_sheet!$B38,aux_sheet!$A$2:$A$202,0)))</f>
        <v/>
      </c>
      <c r="L39" s="89" t="str">
        <f ca="1">IF($B39="","",INDIRECT("aux_sheet!S"&amp;1+MATCH(aux_sheet!$B38,aux_sheet!$A$2:$A$202,0)))</f>
        <v/>
      </c>
      <c r="M39" s="106" t="str">
        <f ca="1">IF($B39="","",INDIRECT("aux_sheet!U"&amp;1+MATCH(aux_sheet!$B38,aux_sheet!$A$2:$A$202,0)))</f>
        <v/>
      </c>
      <c r="N39" s="89" t="str">
        <f ca="1">IF($B39="","",INDIRECT("aux_sheet!V"&amp;1+MATCH(aux_sheet!$B38,aux_sheet!$A$2:$A$202,0)))</f>
        <v/>
      </c>
      <c r="O39" s="89" t="str">
        <f ca="1">IF($B39="","",INDIRECT("aux_sheet!V"&amp;1+MATCH(aux_sheet!$B38,aux_sheet!$A$2:$A$202,0)))</f>
        <v/>
      </c>
      <c r="P39" s="106" t="str">
        <f ca="1">IF($B39="","",INDIRECT("aux_sheet!X"&amp;1+MATCH(aux_sheet!$B38,aux_sheet!$A$2:$A$202,0)))</f>
        <v/>
      </c>
      <c r="Q39" s="89" t="str">
        <f ca="1">IF($B39="","",INDIRECT("aux_sheet!Y"&amp;1+MATCH(aux_sheet!$B38,aux_sheet!$A$2:$A$202,0)))</f>
        <v/>
      </c>
      <c r="R39" s="89" t="str">
        <f ca="1">IF($B39="","",INDIRECT("aux_sheet!Y"&amp;1+MATCH(aux_sheet!$B38,aux_sheet!$A$2:$A$202,0)))</f>
        <v/>
      </c>
      <c r="S39" s="106" t="str">
        <f ca="1">IF($B39="","",INDIRECT("aux_sheet!AA"&amp;1+MATCH(aux_sheet!$B38,aux_sheet!$A$2:$A$202,0)))</f>
        <v/>
      </c>
      <c r="T39" s="89" t="str">
        <f ca="1">IF($B39="","",INDIRECT("aux_sheet!AB"&amp;1+MATCH(aux_sheet!$B38,aux_sheet!$A$2:$A$202,0)))</f>
        <v/>
      </c>
      <c r="U39" s="89" t="str">
        <f ca="1">IF($B39="","",INDIRECT("aux_sheet!AB"&amp;1+MATCH(aux_sheet!$B38,aux_sheet!$A$2:$A$202,0)))</f>
        <v/>
      </c>
      <c r="V39" s="106" t="str">
        <f ca="1">IF($B39="","",INDIRECT("aux_sheet!AD"&amp;1+MATCH(aux_sheet!$B38,aux_sheet!$A$2:$A$202,0)))</f>
        <v/>
      </c>
      <c r="W39" s="89" t="str">
        <f ca="1">IF($B39="","",INDIRECT("aux_sheet!AE"&amp;1+MATCH(aux_sheet!$B38,aux_sheet!$A$2:$A$202,0)))</f>
        <v/>
      </c>
      <c r="X39" s="89" t="str">
        <f ca="1">IF($B39="","",INDIRECT("aux_sheet!AE"&amp;1+MATCH(aux_sheet!$B38,aux_sheet!$A$2:$A$202,0)))</f>
        <v/>
      </c>
      <c r="Y39" s="106" t="str">
        <f ca="1">IF($B39="","",INDIRECT("aux_sheet!AG"&amp;1+MATCH(aux_sheet!$B38,aux_sheet!$A$2:$A$202,0)))</f>
        <v/>
      </c>
      <c r="Z39" s="89" t="str">
        <f ca="1">IF($B39="","",INDIRECT("aux_sheet!AH"&amp;1+MATCH(aux_sheet!$B38,aux_sheet!$A$2:$A$202,0)))</f>
        <v/>
      </c>
      <c r="AA39" s="89" t="str">
        <f ca="1">IF($B39="","",INDIRECT("aux_sheet!AH"&amp;1+MATCH(aux_sheet!$B38,aux_sheet!$A$2:$A$202,0)))</f>
        <v/>
      </c>
      <c r="AB39" s="106" t="str">
        <f ca="1">IF($B39="","",INDIRECT("aux_sheet!AJ"&amp;1+MATCH(aux_sheet!$B38,aux_sheet!$A$2:$A$202,0)))</f>
        <v/>
      </c>
      <c r="AC39" s="89" t="str">
        <f ca="1">IF($B39="","",INDIRECT("aux_sheet!AK"&amp;1+MATCH(aux_sheet!$B38,aux_sheet!$A$2:$A$202,0)))</f>
        <v/>
      </c>
      <c r="AD39" s="89" t="str">
        <f ca="1">IF($B39="","",INDIRECT("aux_sheet!AK"&amp;1+MATCH(aux_sheet!$B38,aux_sheet!$A$2:$A$202,0)))</f>
        <v/>
      </c>
      <c r="AE39" s="106" t="str">
        <f ca="1">IF($B39="","",INDIRECT("aux_sheet!AM"&amp;1+MATCH(aux_sheet!$B38,aux_sheet!$A$2:$A$202,0)))</f>
        <v/>
      </c>
      <c r="AF39" s="89" t="str">
        <f ca="1">IF($B39="","",INDIRECT("aux_sheet!AN"&amp;1+MATCH(aux_sheet!$B38,aux_sheet!$A$2:$A$202,0)))</f>
        <v/>
      </c>
      <c r="AG39" s="89" t="str">
        <f ca="1">IF($B39="","",INDIRECT("aux_sheet!AN"&amp;1+MATCH(aux_sheet!$B38,aux_sheet!$A$2:$A$202,0)))</f>
        <v/>
      </c>
      <c r="AH39" s="14" t="str">
        <f>IF(ISBLANK(Input!A38)," ",F38-F39)</f>
        <v xml:space="preserve"> </v>
      </c>
    </row>
    <row r="40" spans="1:34" x14ac:dyDescent="0.35">
      <c r="A40" s="2" t="str">
        <f>IF(ISBLANK(Input!A39),"",ROUNDDOWN(aux_sheet!B39,0))</f>
        <v/>
      </c>
      <c r="B40" s="2" t="str">
        <f ca="1">IF(ISBLANK(Input!A39),"",INDIRECT("Input!A"&amp;1+MATCH(aux_sheet!$B39,aux_sheet!$A$2:$A$202,0)))</f>
        <v/>
      </c>
      <c r="C40" s="2" t="str">
        <f ca="1">IF(ISBLANK(Input!B39),"",INDIRECT("Input!B"&amp;1+MATCH(aux_sheet!$B39,aux_sheet!$A$2:$A$202,0)))</f>
        <v/>
      </c>
      <c r="D40" s="2" t="str">
        <f ca="1">IF(ISBLANK(Input!C39),"",INDIRECT("Input!C"&amp;1+MATCH(aux_sheet!$B39,aux_sheet!$A$2:$A$202,0)))</f>
        <v/>
      </c>
      <c r="E40" s="2" t="str">
        <f ca="1">IF(ISBLANK(Input!D39),"",INDIRECT("Input!D"&amp;1+MATCH(aux_sheet!$B39,aux_sheet!$A$2:$A$202,0)))</f>
        <v/>
      </c>
      <c r="F40" s="11" t="str">
        <f ca="1">INDIRECT("Input!F"&amp;1+MATCH(aux_sheet!$B39,aux_sheet!$A$2:$A$202,0))</f>
        <v xml:space="preserve"> </v>
      </c>
      <c r="G40" s="106" t="str">
        <f ca="1">IF($B40="","",INDIRECT("aux_sheet!O"&amp;1+MATCH(aux_sheet!$B39,aux_sheet!$A$2:$A$202,0)))</f>
        <v/>
      </c>
      <c r="H40" s="89" t="str">
        <f ca="1">IF($B40="","",INDIRECT("aux_sheet!P"&amp;1+MATCH(aux_sheet!$B39,aux_sheet!$A$2:$A$202,0)))</f>
        <v/>
      </c>
      <c r="I40" s="89" t="str">
        <f ca="1">IF($B40="","",INDIRECT("aux_sheet!P"&amp;1+MATCH(aux_sheet!$B39,aux_sheet!$A$2:$A$202,0)))</f>
        <v/>
      </c>
      <c r="J40" s="106" t="str">
        <f ca="1">IF($B40="","",INDIRECT("aux_sheet!R"&amp;1+MATCH(aux_sheet!$B39,aux_sheet!$A$2:$A$202,0)))</f>
        <v/>
      </c>
      <c r="K40" s="89" t="str">
        <f ca="1">IF($B40="","",INDIRECT("aux_sheet!S"&amp;1+MATCH(aux_sheet!$B39,aux_sheet!$A$2:$A$202,0)))</f>
        <v/>
      </c>
      <c r="L40" s="89" t="str">
        <f ca="1">IF($B40="","",INDIRECT("aux_sheet!S"&amp;1+MATCH(aux_sheet!$B39,aux_sheet!$A$2:$A$202,0)))</f>
        <v/>
      </c>
      <c r="M40" s="106" t="str">
        <f ca="1">IF($B40="","",INDIRECT("aux_sheet!U"&amp;1+MATCH(aux_sheet!$B39,aux_sheet!$A$2:$A$202,0)))</f>
        <v/>
      </c>
      <c r="N40" s="89" t="str">
        <f ca="1">IF($B40="","",INDIRECT("aux_sheet!V"&amp;1+MATCH(aux_sheet!$B39,aux_sheet!$A$2:$A$202,0)))</f>
        <v/>
      </c>
      <c r="O40" s="89" t="str">
        <f ca="1">IF($B40="","",INDIRECT("aux_sheet!V"&amp;1+MATCH(aux_sheet!$B39,aux_sheet!$A$2:$A$202,0)))</f>
        <v/>
      </c>
      <c r="P40" s="106" t="str">
        <f ca="1">IF($B40="","",INDIRECT("aux_sheet!X"&amp;1+MATCH(aux_sheet!$B39,aux_sheet!$A$2:$A$202,0)))</f>
        <v/>
      </c>
      <c r="Q40" s="89" t="str">
        <f ca="1">IF($B40="","",INDIRECT("aux_sheet!Y"&amp;1+MATCH(aux_sheet!$B39,aux_sheet!$A$2:$A$202,0)))</f>
        <v/>
      </c>
      <c r="R40" s="89" t="str">
        <f ca="1">IF($B40="","",INDIRECT("aux_sheet!Y"&amp;1+MATCH(aux_sheet!$B39,aux_sheet!$A$2:$A$202,0)))</f>
        <v/>
      </c>
      <c r="S40" s="106" t="str">
        <f ca="1">IF($B40="","",INDIRECT("aux_sheet!AA"&amp;1+MATCH(aux_sheet!$B39,aux_sheet!$A$2:$A$202,0)))</f>
        <v/>
      </c>
      <c r="T40" s="89" t="str">
        <f ca="1">IF($B40="","",INDIRECT("aux_sheet!AB"&amp;1+MATCH(aux_sheet!$B39,aux_sheet!$A$2:$A$202,0)))</f>
        <v/>
      </c>
      <c r="U40" s="89" t="str">
        <f ca="1">IF($B40="","",INDIRECT("aux_sheet!AB"&amp;1+MATCH(aux_sheet!$B39,aux_sheet!$A$2:$A$202,0)))</f>
        <v/>
      </c>
      <c r="V40" s="106" t="str">
        <f ca="1">IF($B40="","",INDIRECT("aux_sheet!AD"&amp;1+MATCH(aux_sheet!$B39,aux_sheet!$A$2:$A$202,0)))</f>
        <v/>
      </c>
      <c r="W40" s="89" t="str">
        <f ca="1">IF($B40="","",INDIRECT("aux_sheet!AE"&amp;1+MATCH(aux_sheet!$B39,aux_sheet!$A$2:$A$202,0)))</f>
        <v/>
      </c>
      <c r="X40" s="89" t="str">
        <f ca="1">IF($B40="","",INDIRECT("aux_sheet!AE"&amp;1+MATCH(aux_sheet!$B39,aux_sheet!$A$2:$A$202,0)))</f>
        <v/>
      </c>
      <c r="Y40" s="106" t="str">
        <f ca="1">IF($B40="","",INDIRECT("aux_sheet!AG"&amp;1+MATCH(aux_sheet!$B39,aux_sheet!$A$2:$A$202,0)))</f>
        <v/>
      </c>
      <c r="Z40" s="89" t="str">
        <f ca="1">IF($B40="","",INDIRECT("aux_sheet!AH"&amp;1+MATCH(aux_sheet!$B39,aux_sheet!$A$2:$A$202,0)))</f>
        <v/>
      </c>
      <c r="AA40" s="89" t="str">
        <f ca="1">IF($B40="","",INDIRECT("aux_sheet!AH"&amp;1+MATCH(aux_sheet!$B39,aux_sheet!$A$2:$A$202,0)))</f>
        <v/>
      </c>
      <c r="AB40" s="106" t="str">
        <f ca="1">IF($B40="","",INDIRECT("aux_sheet!AJ"&amp;1+MATCH(aux_sheet!$B39,aux_sheet!$A$2:$A$202,0)))</f>
        <v/>
      </c>
      <c r="AC40" s="89" t="str">
        <f ca="1">IF($B40="","",INDIRECT("aux_sheet!AK"&amp;1+MATCH(aux_sheet!$B39,aux_sheet!$A$2:$A$202,0)))</f>
        <v/>
      </c>
      <c r="AD40" s="89" t="str">
        <f ca="1">IF($B40="","",INDIRECT("aux_sheet!AK"&amp;1+MATCH(aux_sheet!$B39,aux_sheet!$A$2:$A$202,0)))</f>
        <v/>
      </c>
      <c r="AE40" s="106" t="str">
        <f ca="1">IF($B40="","",INDIRECT("aux_sheet!AM"&amp;1+MATCH(aux_sheet!$B39,aux_sheet!$A$2:$A$202,0)))</f>
        <v/>
      </c>
      <c r="AF40" s="89" t="str">
        <f ca="1">IF($B40="","",INDIRECT("aux_sheet!AN"&amp;1+MATCH(aux_sheet!$B39,aux_sheet!$A$2:$A$202,0)))</f>
        <v/>
      </c>
      <c r="AG40" s="89" t="str">
        <f ca="1">IF($B40="","",INDIRECT("aux_sheet!AN"&amp;1+MATCH(aux_sheet!$B39,aux_sheet!$A$2:$A$202,0)))</f>
        <v/>
      </c>
      <c r="AH40" s="14" t="str">
        <f>IF(ISBLANK(Input!A39)," ",F39-F40)</f>
        <v xml:space="preserve"> </v>
      </c>
    </row>
    <row r="41" spans="1:34" x14ac:dyDescent="0.35">
      <c r="A41" s="2" t="str">
        <f>IF(ISBLANK(Input!A40),"",ROUNDDOWN(aux_sheet!B40,0))</f>
        <v/>
      </c>
      <c r="B41" s="2" t="str">
        <f ca="1">IF(ISBLANK(Input!A40),"",INDIRECT("Input!A"&amp;1+MATCH(aux_sheet!$B40,aux_sheet!$A$2:$A$202,0)))</f>
        <v/>
      </c>
      <c r="C41" s="2" t="str">
        <f ca="1">IF(ISBLANK(Input!B40),"",INDIRECT("Input!B"&amp;1+MATCH(aux_sheet!$B40,aux_sheet!$A$2:$A$202,0)))</f>
        <v/>
      </c>
      <c r="D41" s="2" t="str">
        <f ca="1">IF(ISBLANK(Input!C40),"",INDIRECT("Input!C"&amp;1+MATCH(aux_sheet!$B40,aux_sheet!$A$2:$A$202,0)))</f>
        <v/>
      </c>
      <c r="E41" s="2" t="str">
        <f ca="1">IF(ISBLANK(Input!D40),"",INDIRECT("Input!D"&amp;1+MATCH(aux_sheet!$B40,aux_sheet!$A$2:$A$202,0)))</f>
        <v/>
      </c>
      <c r="F41" s="11" t="str">
        <f ca="1">INDIRECT("Input!F"&amp;1+MATCH(aux_sheet!$B40,aux_sheet!$A$2:$A$202,0))</f>
        <v xml:space="preserve"> </v>
      </c>
      <c r="G41" s="106" t="str">
        <f ca="1">IF($B41="","",INDIRECT("aux_sheet!O"&amp;1+MATCH(aux_sheet!$B40,aux_sheet!$A$2:$A$202,0)))</f>
        <v/>
      </c>
      <c r="H41" s="89" t="str">
        <f ca="1">IF($B41="","",INDIRECT("aux_sheet!P"&amp;1+MATCH(aux_sheet!$B40,aux_sheet!$A$2:$A$202,0)))</f>
        <v/>
      </c>
      <c r="I41" s="89" t="str">
        <f ca="1">IF($B41="","",INDIRECT("aux_sheet!P"&amp;1+MATCH(aux_sheet!$B40,aux_sheet!$A$2:$A$202,0)))</f>
        <v/>
      </c>
      <c r="J41" s="106" t="str">
        <f ca="1">IF($B41="","",INDIRECT("aux_sheet!R"&amp;1+MATCH(aux_sheet!$B40,aux_sheet!$A$2:$A$202,0)))</f>
        <v/>
      </c>
      <c r="K41" s="89" t="str">
        <f ca="1">IF($B41="","",INDIRECT("aux_sheet!S"&amp;1+MATCH(aux_sheet!$B40,aux_sheet!$A$2:$A$202,0)))</f>
        <v/>
      </c>
      <c r="L41" s="89" t="str">
        <f ca="1">IF($B41="","",INDIRECT("aux_sheet!S"&amp;1+MATCH(aux_sheet!$B40,aux_sheet!$A$2:$A$202,0)))</f>
        <v/>
      </c>
      <c r="M41" s="106" t="str">
        <f ca="1">IF($B41="","",INDIRECT("aux_sheet!U"&amp;1+MATCH(aux_sheet!$B40,aux_sheet!$A$2:$A$202,0)))</f>
        <v/>
      </c>
      <c r="N41" s="89" t="str">
        <f ca="1">IF($B41="","",INDIRECT("aux_sheet!V"&amp;1+MATCH(aux_sheet!$B40,aux_sheet!$A$2:$A$202,0)))</f>
        <v/>
      </c>
      <c r="O41" s="89" t="str">
        <f ca="1">IF($B41="","",INDIRECT("aux_sheet!V"&amp;1+MATCH(aux_sheet!$B40,aux_sheet!$A$2:$A$202,0)))</f>
        <v/>
      </c>
      <c r="P41" s="106" t="str">
        <f ca="1">IF($B41="","",INDIRECT("aux_sheet!X"&amp;1+MATCH(aux_sheet!$B40,aux_sheet!$A$2:$A$202,0)))</f>
        <v/>
      </c>
      <c r="Q41" s="89" t="str">
        <f ca="1">IF($B41="","",INDIRECT("aux_sheet!Y"&amp;1+MATCH(aux_sheet!$B40,aux_sheet!$A$2:$A$202,0)))</f>
        <v/>
      </c>
      <c r="R41" s="89" t="str">
        <f ca="1">IF($B41="","",INDIRECT("aux_sheet!Y"&amp;1+MATCH(aux_sheet!$B40,aux_sheet!$A$2:$A$202,0)))</f>
        <v/>
      </c>
      <c r="S41" s="106" t="str">
        <f ca="1">IF($B41="","",INDIRECT("aux_sheet!AA"&amp;1+MATCH(aux_sheet!$B40,aux_sheet!$A$2:$A$202,0)))</f>
        <v/>
      </c>
      <c r="T41" s="89" t="str">
        <f ca="1">IF($B41="","",INDIRECT("aux_sheet!AB"&amp;1+MATCH(aux_sheet!$B40,aux_sheet!$A$2:$A$202,0)))</f>
        <v/>
      </c>
      <c r="U41" s="89" t="str">
        <f ca="1">IF($B41="","",INDIRECT("aux_sheet!AB"&amp;1+MATCH(aux_sheet!$B40,aux_sheet!$A$2:$A$202,0)))</f>
        <v/>
      </c>
      <c r="V41" s="106" t="str">
        <f ca="1">IF($B41="","",INDIRECT("aux_sheet!AD"&amp;1+MATCH(aux_sheet!$B40,aux_sheet!$A$2:$A$202,0)))</f>
        <v/>
      </c>
      <c r="W41" s="89" t="str">
        <f ca="1">IF($B41="","",INDIRECT("aux_sheet!AE"&amp;1+MATCH(aux_sheet!$B40,aux_sheet!$A$2:$A$202,0)))</f>
        <v/>
      </c>
      <c r="X41" s="89" t="str">
        <f ca="1">IF($B41="","",INDIRECT("aux_sheet!AE"&amp;1+MATCH(aux_sheet!$B40,aux_sheet!$A$2:$A$202,0)))</f>
        <v/>
      </c>
      <c r="Y41" s="106" t="str">
        <f ca="1">IF($B41="","",INDIRECT("aux_sheet!AG"&amp;1+MATCH(aux_sheet!$B40,aux_sheet!$A$2:$A$202,0)))</f>
        <v/>
      </c>
      <c r="Z41" s="89" t="str">
        <f ca="1">IF($B41="","",INDIRECT("aux_sheet!AH"&amp;1+MATCH(aux_sheet!$B40,aux_sheet!$A$2:$A$202,0)))</f>
        <v/>
      </c>
      <c r="AA41" s="89" t="str">
        <f ca="1">IF($B41="","",INDIRECT("aux_sheet!AH"&amp;1+MATCH(aux_sheet!$B40,aux_sheet!$A$2:$A$202,0)))</f>
        <v/>
      </c>
      <c r="AB41" s="106" t="str">
        <f ca="1">IF($B41="","",INDIRECT("aux_sheet!AJ"&amp;1+MATCH(aux_sheet!$B40,aux_sheet!$A$2:$A$202,0)))</f>
        <v/>
      </c>
      <c r="AC41" s="89" t="str">
        <f ca="1">IF($B41="","",INDIRECT("aux_sheet!AK"&amp;1+MATCH(aux_sheet!$B40,aux_sheet!$A$2:$A$202,0)))</f>
        <v/>
      </c>
      <c r="AD41" s="89" t="str">
        <f ca="1">IF($B41="","",INDIRECT("aux_sheet!AK"&amp;1+MATCH(aux_sheet!$B40,aux_sheet!$A$2:$A$202,0)))</f>
        <v/>
      </c>
      <c r="AE41" s="106" t="str">
        <f ca="1">IF($B41="","",INDIRECT("aux_sheet!AM"&amp;1+MATCH(aux_sheet!$B40,aux_sheet!$A$2:$A$202,0)))</f>
        <v/>
      </c>
      <c r="AF41" s="89" t="str">
        <f ca="1">IF($B41="","",INDIRECT("aux_sheet!AN"&amp;1+MATCH(aux_sheet!$B40,aux_sheet!$A$2:$A$202,0)))</f>
        <v/>
      </c>
      <c r="AG41" s="89" t="str">
        <f ca="1">IF($B41="","",INDIRECT("aux_sheet!AN"&amp;1+MATCH(aux_sheet!$B40,aux_sheet!$A$2:$A$202,0)))</f>
        <v/>
      </c>
      <c r="AH41" s="14" t="str">
        <f>IF(ISBLANK(Input!A40)," ",F40-F41)</f>
        <v xml:space="preserve"> </v>
      </c>
    </row>
    <row r="42" spans="1:34" x14ac:dyDescent="0.35">
      <c r="A42" s="2" t="str">
        <f>IF(ISBLANK(Input!A41),"",ROUNDDOWN(aux_sheet!B41,0))</f>
        <v/>
      </c>
      <c r="B42" s="2" t="str">
        <f ca="1">IF(ISBLANK(Input!A41),"",INDIRECT("Input!A"&amp;1+MATCH(aux_sheet!$B41,aux_sheet!$A$2:$A$202,0)))</f>
        <v/>
      </c>
      <c r="C42" s="2" t="str">
        <f ca="1">IF(ISBLANK(Input!B41),"",INDIRECT("Input!B"&amp;1+MATCH(aux_sheet!$B41,aux_sheet!$A$2:$A$202,0)))</f>
        <v/>
      </c>
      <c r="D42" s="2" t="str">
        <f ca="1">IF(ISBLANK(Input!C41),"",INDIRECT("Input!C"&amp;1+MATCH(aux_sheet!$B41,aux_sheet!$A$2:$A$202,0)))</f>
        <v/>
      </c>
      <c r="E42" s="2" t="str">
        <f ca="1">IF(ISBLANK(Input!D41),"",INDIRECT("Input!D"&amp;1+MATCH(aux_sheet!$B41,aux_sheet!$A$2:$A$202,0)))</f>
        <v/>
      </c>
      <c r="F42" s="11" t="str">
        <f ca="1">INDIRECT("Input!F"&amp;1+MATCH(aux_sheet!$B41,aux_sheet!$A$2:$A$202,0))</f>
        <v xml:space="preserve"> </v>
      </c>
      <c r="G42" s="106" t="str">
        <f ca="1">IF($B42="","",INDIRECT("aux_sheet!O"&amp;1+MATCH(aux_sheet!$B41,aux_sheet!$A$2:$A$202,0)))</f>
        <v/>
      </c>
      <c r="H42" s="89" t="str">
        <f ca="1">IF($B42="","",INDIRECT("aux_sheet!P"&amp;1+MATCH(aux_sheet!$B41,aux_sheet!$A$2:$A$202,0)))</f>
        <v/>
      </c>
      <c r="I42" s="89" t="str">
        <f ca="1">IF($B42="","",INDIRECT("aux_sheet!P"&amp;1+MATCH(aux_sheet!$B41,aux_sheet!$A$2:$A$202,0)))</f>
        <v/>
      </c>
      <c r="J42" s="106" t="str">
        <f ca="1">IF($B42="","",INDIRECT("aux_sheet!R"&amp;1+MATCH(aux_sheet!$B41,aux_sheet!$A$2:$A$202,0)))</f>
        <v/>
      </c>
      <c r="K42" s="89" t="str">
        <f ca="1">IF($B42="","",INDIRECT("aux_sheet!S"&amp;1+MATCH(aux_sheet!$B41,aux_sheet!$A$2:$A$202,0)))</f>
        <v/>
      </c>
      <c r="L42" s="89" t="str">
        <f ca="1">IF($B42="","",INDIRECT("aux_sheet!S"&amp;1+MATCH(aux_sheet!$B41,aux_sheet!$A$2:$A$202,0)))</f>
        <v/>
      </c>
      <c r="M42" s="106" t="str">
        <f ca="1">IF($B42="","",INDIRECT("aux_sheet!U"&amp;1+MATCH(aux_sheet!$B41,aux_sheet!$A$2:$A$202,0)))</f>
        <v/>
      </c>
      <c r="N42" s="89" t="str">
        <f ca="1">IF($B42="","",INDIRECT("aux_sheet!V"&amp;1+MATCH(aux_sheet!$B41,aux_sheet!$A$2:$A$202,0)))</f>
        <v/>
      </c>
      <c r="O42" s="89" t="str">
        <f ca="1">IF($B42="","",INDIRECT("aux_sheet!V"&amp;1+MATCH(aux_sheet!$B41,aux_sheet!$A$2:$A$202,0)))</f>
        <v/>
      </c>
      <c r="P42" s="106" t="str">
        <f ca="1">IF($B42="","",INDIRECT("aux_sheet!X"&amp;1+MATCH(aux_sheet!$B41,aux_sheet!$A$2:$A$202,0)))</f>
        <v/>
      </c>
      <c r="Q42" s="89" t="str">
        <f ca="1">IF($B42="","",INDIRECT("aux_sheet!Y"&amp;1+MATCH(aux_sheet!$B41,aux_sheet!$A$2:$A$202,0)))</f>
        <v/>
      </c>
      <c r="R42" s="89" t="str">
        <f ca="1">IF($B42="","",INDIRECT("aux_sheet!Y"&amp;1+MATCH(aux_sheet!$B41,aux_sheet!$A$2:$A$202,0)))</f>
        <v/>
      </c>
      <c r="S42" s="106" t="str">
        <f ca="1">IF($B42="","",INDIRECT("aux_sheet!AA"&amp;1+MATCH(aux_sheet!$B41,aux_sheet!$A$2:$A$202,0)))</f>
        <v/>
      </c>
      <c r="T42" s="89" t="str">
        <f ca="1">IF($B42="","",INDIRECT("aux_sheet!AB"&amp;1+MATCH(aux_sheet!$B41,aux_sheet!$A$2:$A$202,0)))</f>
        <v/>
      </c>
      <c r="U42" s="89" t="str">
        <f ca="1">IF($B42="","",INDIRECT("aux_sheet!AB"&amp;1+MATCH(aux_sheet!$B41,aux_sheet!$A$2:$A$202,0)))</f>
        <v/>
      </c>
      <c r="V42" s="106" t="str">
        <f ca="1">IF($B42="","",INDIRECT("aux_sheet!AD"&amp;1+MATCH(aux_sheet!$B41,aux_sheet!$A$2:$A$202,0)))</f>
        <v/>
      </c>
      <c r="W42" s="89" t="str">
        <f ca="1">IF($B42="","",INDIRECT("aux_sheet!AE"&amp;1+MATCH(aux_sheet!$B41,aux_sheet!$A$2:$A$202,0)))</f>
        <v/>
      </c>
      <c r="X42" s="89" t="str">
        <f ca="1">IF($B42="","",INDIRECT("aux_sheet!AE"&amp;1+MATCH(aux_sheet!$B41,aux_sheet!$A$2:$A$202,0)))</f>
        <v/>
      </c>
      <c r="Y42" s="106" t="str">
        <f ca="1">IF($B42="","",INDIRECT("aux_sheet!AG"&amp;1+MATCH(aux_sheet!$B41,aux_sheet!$A$2:$A$202,0)))</f>
        <v/>
      </c>
      <c r="Z42" s="89" t="str">
        <f ca="1">IF($B42="","",INDIRECT("aux_sheet!AH"&amp;1+MATCH(aux_sheet!$B41,aux_sheet!$A$2:$A$202,0)))</f>
        <v/>
      </c>
      <c r="AA42" s="89" t="str">
        <f ca="1">IF($B42="","",INDIRECT("aux_sheet!AH"&amp;1+MATCH(aux_sheet!$B41,aux_sheet!$A$2:$A$202,0)))</f>
        <v/>
      </c>
      <c r="AB42" s="106" t="str">
        <f ca="1">IF($B42="","",INDIRECT("aux_sheet!AJ"&amp;1+MATCH(aux_sheet!$B41,aux_sheet!$A$2:$A$202,0)))</f>
        <v/>
      </c>
      <c r="AC42" s="89" t="str">
        <f ca="1">IF($B42="","",INDIRECT("aux_sheet!AK"&amp;1+MATCH(aux_sheet!$B41,aux_sheet!$A$2:$A$202,0)))</f>
        <v/>
      </c>
      <c r="AD42" s="89" t="str">
        <f ca="1">IF($B42="","",INDIRECT("aux_sheet!AK"&amp;1+MATCH(aux_sheet!$B41,aux_sheet!$A$2:$A$202,0)))</f>
        <v/>
      </c>
      <c r="AE42" s="106" t="str">
        <f ca="1">IF($B42="","",INDIRECT("aux_sheet!AM"&amp;1+MATCH(aux_sheet!$B41,aux_sheet!$A$2:$A$202,0)))</f>
        <v/>
      </c>
      <c r="AF42" s="89" t="str">
        <f ca="1">IF($B42="","",INDIRECT("aux_sheet!AN"&amp;1+MATCH(aux_sheet!$B41,aux_sheet!$A$2:$A$202,0)))</f>
        <v/>
      </c>
      <c r="AG42" s="89" t="str">
        <f ca="1">IF($B42="","",INDIRECT("aux_sheet!AN"&amp;1+MATCH(aux_sheet!$B41,aux_sheet!$A$2:$A$202,0)))</f>
        <v/>
      </c>
      <c r="AH42" s="14" t="str">
        <f>IF(ISBLANK(Input!A41)," ",F41-F42)</f>
        <v xml:space="preserve"> </v>
      </c>
    </row>
    <row r="43" spans="1:34" x14ac:dyDescent="0.35">
      <c r="A43" s="2" t="str">
        <f>IF(ISBLANK(Input!A42),"",ROUNDDOWN(aux_sheet!B42,0))</f>
        <v/>
      </c>
      <c r="B43" s="2" t="str">
        <f ca="1">IF(ISBLANK(Input!A42),"",INDIRECT("Input!A"&amp;1+MATCH(aux_sheet!$B42,aux_sheet!$A$2:$A$202,0)))</f>
        <v/>
      </c>
      <c r="C43" s="2" t="str">
        <f ca="1">IF(ISBLANK(Input!B42),"",INDIRECT("Input!B"&amp;1+MATCH(aux_sheet!$B42,aux_sheet!$A$2:$A$202,0)))</f>
        <v/>
      </c>
      <c r="D43" s="2" t="str">
        <f ca="1">IF(ISBLANK(Input!C42),"",INDIRECT("Input!C"&amp;1+MATCH(aux_sheet!$B42,aux_sheet!$A$2:$A$202,0)))</f>
        <v/>
      </c>
      <c r="E43" s="2" t="str">
        <f ca="1">IF(ISBLANK(Input!D42),"",INDIRECT("Input!D"&amp;1+MATCH(aux_sheet!$B42,aux_sheet!$A$2:$A$202,0)))</f>
        <v/>
      </c>
      <c r="F43" s="11" t="str">
        <f ca="1">INDIRECT("Input!F"&amp;1+MATCH(aux_sheet!$B42,aux_sheet!$A$2:$A$202,0))</f>
        <v xml:space="preserve"> </v>
      </c>
      <c r="G43" s="106" t="str">
        <f ca="1">IF($B43="","",INDIRECT("aux_sheet!O"&amp;1+MATCH(aux_sheet!$B42,aux_sheet!$A$2:$A$202,0)))</f>
        <v/>
      </c>
      <c r="H43" s="89" t="str">
        <f ca="1">IF($B43="","",INDIRECT("aux_sheet!P"&amp;1+MATCH(aux_sheet!$B42,aux_sheet!$A$2:$A$202,0)))</f>
        <v/>
      </c>
      <c r="I43" s="89" t="str">
        <f ca="1">IF($B43="","",INDIRECT("aux_sheet!P"&amp;1+MATCH(aux_sheet!$B42,aux_sheet!$A$2:$A$202,0)))</f>
        <v/>
      </c>
      <c r="J43" s="106" t="str">
        <f ca="1">IF($B43="","",INDIRECT("aux_sheet!R"&amp;1+MATCH(aux_sheet!$B42,aux_sheet!$A$2:$A$202,0)))</f>
        <v/>
      </c>
      <c r="K43" s="89" t="str">
        <f ca="1">IF($B43="","",INDIRECT("aux_sheet!S"&amp;1+MATCH(aux_sheet!$B42,aux_sheet!$A$2:$A$202,0)))</f>
        <v/>
      </c>
      <c r="L43" s="89" t="str">
        <f ca="1">IF($B43="","",INDIRECT("aux_sheet!S"&amp;1+MATCH(aux_sheet!$B42,aux_sheet!$A$2:$A$202,0)))</f>
        <v/>
      </c>
      <c r="M43" s="106" t="str">
        <f ca="1">IF($B43="","",INDIRECT("aux_sheet!U"&amp;1+MATCH(aux_sheet!$B42,aux_sheet!$A$2:$A$202,0)))</f>
        <v/>
      </c>
      <c r="N43" s="89" t="str">
        <f ca="1">IF($B43="","",INDIRECT("aux_sheet!V"&amp;1+MATCH(aux_sheet!$B42,aux_sheet!$A$2:$A$202,0)))</f>
        <v/>
      </c>
      <c r="O43" s="89" t="str">
        <f ca="1">IF($B43="","",INDIRECT("aux_sheet!V"&amp;1+MATCH(aux_sheet!$B42,aux_sheet!$A$2:$A$202,0)))</f>
        <v/>
      </c>
      <c r="P43" s="106" t="str">
        <f ca="1">IF($B43="","",INDIRECT("aux_sheet!X"&amp;1+MATCH(aux_sheet!$B42,aux_sheet!$A$2:$A$202,0)))</f>
        <v/>
      </c>
      <c r="Q43" s="89" t="str">
        <f ca="1">IF($B43="","",INDIRECT("aux_sheet!Y"&amp;1+MATCH(aux_sheet!$B42,aux_sheet!$A$2:$A$202,0)))</f>
        <v/>
      </c>
      <c r="R43" s="89" t="str">
        <f ca="1">IF($B43="","",INDIRECT("aux_sheet!Y"&amp;1+MATCH(aux_sheet!$B42,aux_sheet!$A$2:$A$202,0)))</f>
        <v/>
      </c>
      <c r="S43" s="106" t="str">
        <f ca="1">IF($B43="","",INDIRECT("aux_sheet!AA"&amp;1+MATCH(aux_sheet!$B42,aux_sheet!$A$2:$A$202,0)))</f>
        <v/>
      </c>
      <c r="T43" s="89" t="str">
        <f ca="1">IF($B43="","",INDIRECT("aux_sheet!AB"&amp;1+MATCH(aux_sheet!$B42,aux_sheet!$A$2:$A$202,0)))</f>
        <v/>
      </c>
      <c r="U43" s="89" t="str">
        <f ca="1">IF($B43="","",INDIRECT("aux_sheet!AB"&amp;1+MATCH(aux_sheet!$B42,aux_sheet!$A$2:$A$202,0)))</f>
        <v/>
      </c>
      <c r="V43" s="106" t="str">
        <f ca="1">IF($B43="","",INDIRECT("aux_sheet!AD"&amp;1+MATCH(aux_sheet!$B42,aux_sheet!$A$2:$A$202,0)))</f>
        <v/>
      </c>
      <c r="W43" s="89" t="str">
        <f ca="1">IF($B43="","",INDIRECT("aux_sheet!AE"&amp;1+MATCH(aux_sheet!$B42,aux_sheet!$A$2:$A$202,0)))</f>
        <v/>
      </c>
      <c r="X43" s="89" t="str">
        <f ca="1">IF($B43="","",INDIRECT("aux_sheet!AE"&amp;1+MATCH(aux_sheet!$B42,aux_sheet!$A$2:$A$202,0)))</f>
        <v/>
      </c>
      <c r="Y43" s="106" t="str">
        <f ca="1">IF($B43="","",INDIRECT("aux_sheet!AG"&amp;1+MATCH(aux_sheet!$B42,aux_sheet!$A$2:$A$202,0)))</f>
        <v/>
      </c>
      <c r="Z43" s="89" t="str">
        <f ca="1">IF($B43="","",INDIRECT("aux_sheet!AH"&amp;1+MATCH(aux_sheet!$B42,aux_sheet!$A$2:$A$202,0)))</f>
        <v/>
      </c>
      <c r="AA43" s="89" t="str">
        <f ca="1">IF($B43="","",INDIRECT("aux_sheet!AH"&amp;1+MATCH(aux_sheet!$B42,aux_sheet!$A$2:$A$202,0)))</f>
        <v/>
      </c>
      <c r="AB43" s="106" t="str">
        <f ca="1">IF($B43="","",INDIRECT("aux_sheet!AJ"&amp;1+MATCH(aux_sheet!$B42,aux_sheet!$A$2:$A$202,0)))</f>
        <v/>
      </c>
      <c r="AC43" s="89" t="str">
        <f ca="1">IF($B43="","",INDIRECT("aux_sheet!AK"&amp;1+MATCH(aux_sheet!$B42,aux_sheet!$A$2:$A$202,0)))</f>
        <v/>
      </c>
      <c r="AD43" s="89" t="str">
        <f ca="1">IF($B43="","",INDIRECT("aux_sheet!AK"&amp;1+MATCH(aux_sheet!$B42,aux_sheet!$A$2:$A$202,0)))</f>
        <v/>
      </c>
      <c r="AE43" s="106" t="str">
        <f ca="1">IF($B43="","",INDIRECT("aux_sheet!AM"&amp;1+MATCH(aux_sheet!$B42,aux_sheet!$A$2:$A$202,0)))</f>
        <v/>
      </c>
      <c r="AF43" s="89" t="str">
        <f ca="1">IF($B43="","",INDIRECT("aux_sheet!AN"&amp;1+MATCH(aux_sheet!$B42,aux_sheet!$A$2:$A$202,0)))</f>
        <v/>
      </c>
      <c r="AG43" s="89" t="str">
        <f ca="1">IF($B43="","",INDIRECT("aux_sheet!AN"&amp;1+MATCH(aux_sheet!$B42,aux_sheet!$A$2:$A$202,0)))</f>
        <v/>
      </c>
      <c r="AH43" s="14" t="str">
        <f>IF(ISBLANK(Input!A42)," ",F42-F43)</f>
        <v xml:space="preserve"> </v>
      </c>
    </row>
    <row r="44" spans="1:34" x14ac:dyDescent="0.35">
      <c r="A44" s="2" t="str">
        <f>IF(ISBLANK(Input!A43),"",ROUNDDOWN(aux_sheet!B43,0))</f>
        <v/>
      </c>
      <c r="B44" s="2" t="str">
        <f ca="1">IF(ISBLANK(Input!A43),"",INDIRECT("Input!A"&amp;1+MATCH(aux_sheet!$B43,aux_sheet!$A$2:$A$202,0)))</f>
        <v/>
      </c>
      <c r="C44" s="2" t="str">
        <f ca="1">IF(ISBLANK(Input!B43),"",INDIRECT("Input!B"&amp;1+MATCH(aux_sheet!$B43,aux_sheet!$A$2:$A$202,0)))</f>
        <v/>
      </c>
      <c r="D44" s="2" t="str">
        <f ca="1">IF(ISBLANK(Input!C43),"",INDIRECT("Input!C"&amp;1+MATCH(aux_sheet!$B43,aux_sheet!$A$2:$A$202,0)))</f>
        <v/>
      </c>
      <c r="E44" s="2" t="str">
        <f ca="1">IF(ISBLANK(Input!D43),"",INDIRECT("Input!D"&amp;1+MATCH(aux_sheet!$B43,aux_sheet!$A$2:$A$202,0)))</f>
        <v/>
      </c>
      <c r="F44" s="11" t="str">
        <f ca="1">INDIRECT("Input!F"&amp;1+MATCH(aux_sheet!$B43,aux_sheet!$A$2:$A$202,0))</f>
        <v xml:space="preserve"> </v>
      </c>
      <c r="G44" s="106" t="str">
        <f ca="1">IF($B44="","",INDIRECT("aux_sheet!O"&amp;1+MATCH(aux_sheet!$B43,aux_sheet!$A$2:$A$202,0)))</f>
        <v/>
      </c>
      <c r="H44" s="89" t="str">
        <f ca="1">IF($B44="","",INDIRECT("aux_sheet!P"&amp;1+MATCH(aux_sheet!$B43,aux_sheet!$A$2:$A$202,0)))</f>
        <v/>
      </c>
      <c r="I44" s="89" t="str">
        <f ca="1">IF($B44="","",INDIRECT("aux_sheet!P"&amp;1+MATCH(aux_sheet!$B43,aux_sheet!$A$2:$A$202,0)))</f>
        <v/>
      </c>
      <c r="J44" s="106" t="str">
        <f ca="1">IF($B44="","",INDIRECT("aux_sheet!R"&amp;1+MATCH(aux_sheet!$B43,aux_sheet!$A$2:$A$202,0)))</f>
        <v/>
      </c>
      <c r="K44" s="89" t="str">
        <f ca="1">IF($B44="","",INDIRECT("aux_sheet!S"&amp;1+MATCH(aux_sheet!$B43,aux_sheet!$A$2:$A$202,0)))</f>
        <v/>
      </c>
      <c r="L44" s="89" t="str">
        <f ca="1">IF($B44="","",INDIRECT("aux_sheet!S"&amp;1+MATCH(aux_sheet!$B43,aux_sheet!$A$2:$A$202,0)))</f>
        <v/>
      </c>
      <c r="M44" s="106" t="str">
        <f ca="1">IF($B44="","",INDIRECT("aux_sheet!U"&amp;1+MATCH(aux_sheet!$B43,aux_sheet!$A$2:$A$202,0)))</f>
        <v/>
      </c>
      <c r="N44" s="89" t="str">
        <f ca="1">IF($B44="","",INDIRECT("aux_sheet!V"&amp;1+MATCH(aux_sheet!$B43,aux_sheet!$A$2:$A$202,0)))</f>
        <v/>
      </c>
      <c r="O44" s="89" t="str">
        <f ca="1">IF($B44="","",INDIRECT("aux_sheet!V"&amp;1+MATCH(aux_sheet!$B43,aux_sheet!$A$2:$A$202,0)))</f>
        <v/>
      </c>
      <c r="P44" s="106" t="str">
        <f ca="1">IF($B44="","",INDIRECT("aux_sheet!X"&amp;1+MATCH(aux_sheet!$B43,aux_sheet!$A$2:$A$202,0)))</f>
        <v/>
      </c>
      <c r="Q44" s="89" t="str">
        <f ca="1">IF($B44="","",INDIRECT("aux_sheet!Y"&amp;1+MATCH(aux_sheet!$B43,aux_sheet!$A$2:$A$202,0)))</f>
        <v/>
      </c>
      <c r="R44" s="89" t="str">
        <f ca="1">IF($B44="","",INDIRECT("aux_sheet!Y"&amp;1+MATCH(aux_sheet!$B43,aux_sheet!$A$2:$A$202,0)))</f>
        <v/>
      </c>
      <c r="S44" s="106" t="str">
        <f ca="1">IF($B44="","",INDIRECT("aux_sheet!AA"&amp;1+MATCH(aux_sheet!$B43,aux_sheet!$A$2:$A$202,0)))</f>
        <v/>
      </c>
      <c r="T44" s="89" t="str">
        <f ca="1">IF($B44="","",INDIRECT("aux_sheet!AB"&amp;1+MATCH(aux_sheet!$B43,aux_sheet!$A$2:$A$202,0)))</f>
        <v/>
      </c>
      <c r="U44" s="89" t="str">
        <f ca="1">IF($B44="","",INDIRECT("aux_sheet!AB"&amp;1+MATCH(aux_sheet!$B43,aux_sheet!$A$2:$A$202,0)))</f>
        <v/>
      </c>
      <c r="V44" s="106" t="str">
        <f ca="1">IF($B44="","",INDIRECT("aux_sheet!AD"&amp;1+MATCH(aux_sheet!$B43,aux_sheet!$A$2:$A$202,0)))</f>
        <v/>
      </c>
      <c r="W44" s="89" t="str">
        <f ca="1">IF($B44="","",INDIRECT("aux_sheet!AE"&amp;1+MATCH(aux_sheet!$B43,aux_sheet!$A$2:$A$202,0)))</f>
        <v/>
      </c>
      <c r="X44" s="89" t="str">
        <f ca="1">IF($B44="","",INDIRECT("aux_sheet!AE"&amp;1+MATCH(aux_sheet!$B43,aux_sheet!$A$2:$A$202,0)))</f>
        <v/>
      </c>
      <c r="Y44" s="106" t="str">
        <f ca="1">IF($B44="","",INDIRECT("aux_sheet!AG"&amp;1+MATCH(aux_sheet!$B43,aux_sheet!$A$2:$A$202,0)))</f>
        <v/>
      </c>
      <c r="Z44" s="89" t="str">
        <f ca="1">IF($B44="","",INDIRECT("aux_sheet!AH"&amp;1+MATCH(aux_sheet!$B43,aux_sheet!$A$2:$A$202,0)))</f>
        <v/>
      </c>
      <c r="AA44" s="89" t="str">
        <f ca="1">IF($B44="","",INDIRECT("aux_sheet!AH"&amp;1+MATCH(aux_sheet!$B43,aux_sheet!$A$2:$A$202,0)))</f>
        <v/>
      </c>
      <c r="AB44" s="106" t="str">
        <f ca="1">IF($B44="","",INDIRECT("aux_sheet!AJ"&amp;1+MATCH(aux_sheet!$B43,aux_sheet!$A$2:$A$202,0)))</f>
        <v/>
      </c>
      <c r="AC44" s="89" t="str">
        <f ca="1">IF($B44="","",INDIRECT("aux_sheet!AK"&amp;1+MATCH(aux_sheet!$B43,aux_sheet!$A$2:$A$202,0)))</f>
        <v/>
      </c>
      <c r="AD44" s="89" t="str">
        <f ca="1">IF($B44="","",INDIRECT("aux_sheet!AK"&amp;1+MATCH(aux_sheet!$B43,aux_sheet!$A$2:$A$202,0)))</f>
        <v/>
      </c>
      <c r="AE44" s="106" t="str">
        <f ca="1">IF($B44="","",INDIRECT("aux_sheet!AM"&amp;1+MATCH(aux_sheet!$B43,aux_sheet!$A$2:$A$202,0)))</f>
        <v/>
      </c>
      <c r="AF44" s="89" t="str">
        <f ca="1">IF($B44="","",INDIRECT("aux_sheet!AN"&amp;1+MATCH(aux_sheet!$B43,aux_sheet!$A$2:$A$202,0)))</f>
        <v/>
      </c>
      <c r="AG44" s="89" t="str">
        <f ca="1">IF($B44="","",INDIRECT("aux_sheet!AN"&amp;1+MATCH(aux_sheet!$B43,aux_sheet!$A$2:$A$202,0)))</f>
        <v/>
      </c>
      <c r="AH44" s="14" t="str">
        <f>IF(ISBLANK(Input!A43)," ",F43-F44)</f>
        <v xml:space="preserve"> </v>
      </c>
    </row>
    <row r="45" spans="1:34" x14ac:dyDescent="0.35">
      <c r="A45" s="2" t="str">
        <f>IF(ISBLANK(Input!A44),"",ROUNDDOWN(aux_sheet!B44,0))</f>
        <v/>
      </c>
      <c r="B45" s="2" t="str">
        <f ca="1">IF(ISBLANK(Input!A44),"",INDIRECT("Input!A"&amp;1+MATCH(aux_sheet!$B44,aux_sheet!$A$2:$A$202,0)))</f>
        <v/>
      </c>
      <c r="C45" s="2" t="str">
        <f ca="1">IF(ISBLANK(Input!B44),"",INDIRECT("Input!B"&amp;1+MATCH(aux_sheet!$B44,aux_sheet!$A$2:$A$202,0)))</f>
        <v/>
      </c>
      <c r="D45" s="2" t="str">
        <f ca="1">IF(ISBLANK(Input!C44),"",INDIRECT("Input!C"&amp;1+MATCH(aux_sheet!$B44,aux_sheet!$A$2:$A$202,0)))</f>
        <v/>
      </c>
      <c r="E45" s="2" t="str">
        <f ca="1">IF(ISBLANK(Input!D44),"",INDIRECT("Input!D"&amp;1+MATCH(aux_sheet!$B44,aux_sheet!$A$2:$A$202,0)))</f>
        <v/>
      </c>
      <c r="F45" s="11" t="str">
        <f ca="1">INDIRECT("Input!F"&amp;1+MATCH(aux_sheet!$B44,aux_sheet!$A$2:$A$202,0))</f>
        <v xml:space="preserve"> </v>
      </c>
      <c r="G45" s="106" t="str">
        <f ca="1">IF($B45="","",INDIRECT("aux_sheet!O"&amp;1+MATCH(aux_sheet!$B44,aux_sheet!$A$2:$A$202,0)))</f>
        <v/>
      </c>
      <c r="H45" s="89" t="str">
        <f ca="1">IF($B45="","",INDIRECT("aux_sheet!P"&amp;1+MATCH(aux_sheet!$B44,aux_sheet!$A$2:$A$202,0)))</f>
        <v/>
      </c>
      <c r="I45" s="89" t="str">
        <f ca="1">IF($B45="","",INDIRECT("aux_sheet!P"&amp;1+MATCH(aux_sheet!$B44,aux_sheet!$A$2:$A$202,0)))</f>
        <v/>
      </c>
      <c r="J45" s="106" t="str">
        <f ca="1">IF($B45="","",INDIRECT("aux_sheet!R"&amp;1+MATCH(aux_sheet!$B44,aux_sheet!$A$2:$A$202,0)))</f>
        <v/>
      </c>
      <c r="K45" s="89" t="str">
        <f ca="1">IF($B45="","",INDIRECT("aux_sheet!S"&amp;1+MATCH(aux_sheet!$B44,aux_sheet!$A$2:$A$202,0)))</f>
        <v/>
      </c>
      <c r="L45" s="89" t="str">
        <f ca="1">IF($B45="","",INDIRECT("aux_sheet!S"&amp;1+MATCH(aux_sheet!$B44,aux_sheet!$A$2:$A$202,0)))</f>
        <v/>
      </c>
      <c r="M45" s="106" t="str">
        <f ca="1">IF($B45="","",INDIRECT("aux_sheet!U"&amp;1+MATCH(aux_sheet!$B44,aux_sheet!$A$2:$A$202,0)))</f>
        <v/>
      </c>
      <c r="N45" s="89" t="str">
        <f ca="1">IF($B45="","",INDIRECT("aux_sheet!V"&amp;1+MATCH(aux_sheet!$B44,aux_sheet!$A$2:$A$202,0)))</f>
        <v/>
      </c>
      <c r="O45" s="89" t="str">
        <f ca="1">IF($B45="","",INDIRECT("aux_sheet!V"&amp;1+MATCH(aux_sheet!$B44,aux_sheet!$A$2:$A$202,0)))</f>
        <v/>
      </c>
      <c r="P45" s="106" t="str">
        <f ca="1">IF($B45="","",INDIRECT("aux_sheet!X"&amp;1+MATCH(aux_sheet!$B44,aux_sheet!$A$2:$A$202,0)))</f>
        <v/>
      </c>
      <c r="Q45" s="89" t="str">
        <f ca="1">IF($B45="","",INDIRECT("aux_sheet!Y"&amp;1+MATCH(aux_sheet!$B44,aux_sheet!$A$2:$A$202,0)))</f>
        <v/>
      </c>
      <c r="R45" s="89" t="str">
        <f ca="1">IF($B45="","",INDIRECT("aux_sheet!Y"&amp;1+MATCH(aux_sheet!$B44,aux_sheet!$A$2:$A$202,0)))</f>
        <v/>
      </c>
      <c r="S45" s="106" t="str">
        <f ca="1">IF($B45="","",INDIRECT("aux_sheet!AA"&amp;1+MATCH(aux_sheet!$B44,aux_sheet!$A$2:$A$202,0)))</f>
        <v/>
      </c>
      <c r="T45" s="89" t="str">
        <f ca="1">IF($B45="","",INDIRECT("aux_sheet!AB"&amp;1+MATCH(aux_sheet!$B44,aux_sheet!$A$2:$A$202,0)))</f>
        <v/>
      </c>
      <c r="U45" s="89" t="str">
        <f ca="1">IF($B45="","",INDIRECT("aux_sheet!AB"&amp;1+MATCH(aux_sheet!$B44,aux_sheet!$A$2:$A$202,0)))</f>
        <v/>
      </c>
      <c r="V45" s="106" t="str">
        <f ca="1">IF($B45="","",INDIRECT("aux_sheet!AD"&amp;1+MATCH(aux_sheet!$B44,aux_sheet!$A$2:$A$202,0)))</f>
        <v/>
      </c>
      <c r="W45" s="89" t="str">
        <f ca="1">IF($B45="","",INDIRECT("aux_sheet!AE"&amp;1+MATCH(aux_sheet!$B44,aux_sheet!$A$2:$A$202,0)))</f>
        <v/>
      </c>
      <c r="X45" s="89" t="str">
        <f ca="1">IF($B45="","",INDIRECT("aux_sheet!AE"&amp;1+MATCH(aux_sheet!$B44,aux_sheet!$A$2:$A$202,0)))</f>
        <v/>
      </c>
      <c r="Y45" s="106" t="str">
        <f ca="1">IF($B45="","",INDIRECT("aux_sheet!AG"&amp;1+MATCH(aux_sheet!$B44,aux_sheet!$A$2:$A$202,0)))</f>
        <v/>
      </c>
      <c r="Z45" s="89" t="str">
        <f ca="1">IF($B45="","",INDIRECT("aux_sheet!AH"&amp;1+MATCH(aux_sheet!$B44,aux_sheet!$A$2:$A$202,0)))</f>
        <v/>
      </c>
      <c r="AA45" s="89" t="str">
        <f ca="1">IF($B45="","",INDIRECT("aux_sheet!AH"&amp;1+MATCH(aux_sheet!$B44,aux_sheet!$A$2:$A$202,0)))</f>
        <v/>
      </c>
      <c r="AB45" s="106" t="str">
        <f ca="1">IF($B45="","",INDIRECT("aux_sheet!AJ"&amp;1+MATCH(aux_sheet!$B44,aux_sheet!$A$2:$A$202,0)))</f>
        <v/>
      </c>
      <c r="AC45" s="89" t="str">
        <f ca="1">IF($B45="","",INDIRECT("aux_sheet!AK"&amp;1+MATCH(aux_sheet!$B44,aux_sheet!$A$2:$A$202,0)))</f>
        <v/>
      </c>
      <c r="AD45" s="89" t="str">
        <f ca="1">IF($B45="","",INDIRECT("aux_sheet!AK"&amp;1+MATCH(aux_sheet!$B44,aux_sheet!$A$2:$A$202,0)))</f>
        <v/>
      </c>
      <c r="AE45" s="106" t="str">
        <f ca="1">IF($B45="","",INDIRECT("aux_sheet!AM"&amp;1+MATCH(aux_sheet!$B44,aux_sheet!$A$2:$A$202,0)))</f>
        <v/>
      </c>
      <c r="AF45" s="89" t="str">
        <f ca="1">IF($B45="","",INDIRECT("aux_sheet!AN"&amp;1+MATCH(aux_sheet!$B44,aux_sheet!$A$2:$A$202,0)))</f>
        <v/>
      </c>
      <c r="AG45" s="89" t="str">
        <f ca="1">IF($B45="","",INDIRECT("aux_sheet!AN"&amp;1+MATCH(aux_sheet!$B44,aux_sheet!$A$2:$A$202,0)))</f>
        <v/>
      </c>
      <c r="AH45" s="14" t="str">
        <f>IF(ISBLANK(Input!A44)," ",F44-F45)</f>
        <v xml:space="preserve"> </v>
      </c>
    </row>
    <row r="46" spans="1:34" x14ac:dyDescent="0.35">
      <c r="A46" s="2" t="str">
        <f>IF(ISBLANK(Input!A45),"",ROUNDDOWN(aux_sheet!B45,0))</f>
        <v/>
      </c>
      <c r="B46" s="2" t="str">
        <f ca="1">IF(ISBLANK(Input!A45),"",INDIRECT("Input!A"&amp;1+MATCH(aux_sheet!$B45,aux_sheet!$A$2:$A$202,0)))</f>
        <v/>
      </c>
      <c r="C46" s="2" t="str">
        <f ca="1">IF(ISBLANK(Input!B45),"",INDIRECT("Input!B"&amp;1+MATCH(aux_sheet!$B45,aux_sheet!$A$2:$A$202,0)))</f>
        <v/>
      </c>
      <c r="D46" s="2" t="str">
        <f ca="1">IF(ISBLANK(Input!C45),"",INDIRECT("Input!C"&amp;1+MATCH(aux_sheet!$B45,aux_sheet!$A$2:$A$202,0)))</f>
        <v/>
      </c>
      <c r="E46" s="2" t="str">
        <f ca="1">IF(ISBLANK(Input!D45),"",INDIRECT("Input!D"&amp;1+MATCH(aux_sheet!$B45,aux_sheet!$A$2:$A$202,0)))</f>
        <v/>
      </c>
      <c r="F46" s="11" t="str">
        <f ca="1">INDIRECT("Input!F"&amp;1+MATCH(aux_sheet!$B45,aux_sheet!$A$2:$A$202,0))</f>
        <v xml:space="preserve"> </v>
      </c>
      <c r="G46" s="106" t="str">
        <f ca="1">IF($B46="","",INDIRECT("aux_sheet!O"&amp;1+MATCH(aux_sheet!$B45,aux_sheet!$A$2:$A$202,0)))</f>
        <v/>
      </c>
      <c r="H46" s="89" t="str">
        <f ca="1">IF($B46="","",INDIRECT("aux_sheet!P"&amp;1+MATCH(aux_sheet!$B45,aux_sheet!$A$2:$A$202,0)))</f>
        <v/>
      </c>
      <c r="I46" s="89" t="str">
        <f ca="1">IF($B46="","",INDIRECT("aux_sheet!P"&amp;1+MATCH(aux_sheet!$B45,aux_sheet!$A$2:$A$202,0)))</f>
        <v/>
      </c>
      <c r="J46" s="106" t="str">
        <f ca="1">IF($B46="","",INDIRECT("aux_sheet!R"&amp;1+MATCH(aux_sheet!$B45,aux_sheet!$A$2:$A$202,0)))</f>
        <v/>
      </c>
      <c r="K46" s="89" t="str">
        <f ca="1">IF($B46="","",INDIRECT("aux_sheet!S"&amp;1+MATCH(aux_sheet!$B45,aux_sheet!$A$2:$A$202,0)))</f>
        <v/>
      </c>
      <c r="L46" s="89" t="str">
        <f ca="1">IF($B46="","",INDIRECT("aux_sheet!S"&amp;1+MATCH(aux_sheet!$B45,aux_sheet!$A$2:$A$202,0)))</f>
        <v/>
      </c>
      <c r="M46" s="106" t="str">
        <f ca="1">IF($B46="","",INDIRECT("aux_sheet!U"&amp;1+MATCH(aux_sheet!$B45,aux_sheet!$A$2:$A$202,0)))</f>
        <v/>
      </c>
      <c r="N46" s="89" t="str">
        <f ca="1">IF($B46="","",INDIRECT("aux_sheet!V"&amp;1+MATCH(aux_sheet!$B45,aux_sheet!$A$2:$A$202,0)))</f>
        <v/>
      </c>
      <c r="O46" s="89" t="str">
        <f ca="1">IF($B46="","",INDIRECT("aux_sheet!V"&amp;1+MATCH(aux_sheet!$B45,aux_sheet!$A$2:$A$202,0)))</f>
        <v/>
      </c>
      <c r="P46" s="106" t="str">
        <f ca="1">IF($B46="","",INDIRECT("aux_sheet!X"&amp;1+MATCH(aux_sheet!$B45,aux_sheet!$A$2:$A$202,0)))</f>
        <v/>
      </c>
      <c r="Q46" s="89" t="str">
        <f ca="1">IF($B46="","",INDIRECT("aux_sheet!Y"&amp;1+MATCH(aux_sheet!$B45,aux_sheet!$A$2:$A$202,0)))</f>
        <v/>
      </c>
      <c r="R46" s="89" t="str">
        <f ca="1">IF($B46="","",INDIRECT("aux_sheet!Y"&amp;1+MATCH(aux_sheet!$B45,aux_sheet!$A$2:$A$202,0)))</f>
        <v/>
      </c>
      <c r="S46" s="106" t="str">
        <f ca="1">IF($B46="","",INDIRECT("aux_sheet!AA"&amp;1+MATCH(aux_sheet!$B45,aux_sheet!$A$2:$A$202,0)))</f>
        <v/>
      </c>
      <c r="T46" s="89" t="str">
        <f ca="1">IF($B46="","",INDIRECT("aux_sheet!AB"&amp;1+MATCH(aux_sheet!$B45,aux_sheet!$A$2:$A$202,0)))</f>
        <v/>
      </c>
      <c r="U46" s="89" t="str">
        <f ca="1">IF($B46="","",INDIRECT("aux_sheet!AB"&amp;1+MATCH(aux_sheet!$B45,aux_sheet!$A$2:$A$202,0)))</f>
        <v/>
      </c>
      <c r="V46" s="106" t="str">
        <f ca="1">IF($B46="","",INDIRECT("aux_sheet!AD"&amp;1+MATCH(aux_sheet!$B45,aux_sheet!$A$2:$A$202,0)))</f>
        <v/>
      </c>
      <c r="W46" s="89" t="str">
        <f ca="1">IF($B46="","",INDIRECT("aux_sheet!AE"&amp;1+MATCH(aux_sheet!$B45,aux_sheet!$A$2:$A$202,0)))</f>
        <v/>
      </c>
      <c r="X46" s="89" t="str">
        <f ca="1">IF($B46="","",INDIRECT("aux_sheet!AE"&amp;1+MATCH(aux_sheet!$B45,aux_sheet!$A$2:$A$202,0)))</f>
        <v/>
      </c>
      <c r="Y46" s="106" t="str">
        <f ca="1">IF($B46="","",INDIRECT("aux_sheet!AG"&amp;1+MATCH(aux_sheet!$B45,aux_sheet!$A$2:$A$202,0)))</f>
        <v/>
      </c>
      <c r="Z46" s="89" t="str">
        <f ca="1">IF($B46="","",INDIRECT("aux_sheet!AH"&amp;1+MATCH(aux_sheet!$B45,aux_sheet!$A$2:$A$202,0)))</f>
        <v/>
      </c>
      <c r="AA46" s="89" t="str">
        <f ca="1">IF($B46="","",INDIRECT("aux_sheet!AH"&amp;1+MATCH(aux_sheet!$B45,aux_sheet!$A$2:$A$202,0)))</f>
        <v/>
      </c>
      <c r="AB46" s="106" t="str">
        <f ca="1">IF($B46="","",INDIRECT("aux_sheet!AJ"&amp;1+MATCH(aux_sheet!$B45,aux_sheet!$A$2:$A$202,0)))</f>
        <v/>
      </c>
      <c r="AC46" s="89" t="str">
        <f ca="1">IF($B46="","",INDIRECT("aux_sheet!AK"&amp;1+MATCH(aux_sheet!$B45,aux_sheet!$A$2:$A$202,0)))</f>
        <v/>
      </c>
      <c r="AD46" s="89" t="str">
        <f ca="1">IF($B46="","",INDIRECT("aux_sheet!AK"&amp;1+MATCH(aux_sheet!$B45,aux_sheet!$A$2:$A$202,0)))</f>
        <v/>
      </c>
      <c r="AE46" s="106" t="str">
        <f ca="1">IF($B46="","",INDIRECT("aux_sheet!AM"&amp;1+MATCH(aux_sheet!$B45,aux_sheet!$A$2:$A$202,0)))</f>
        <v/>
      </c>
      <c r="AF46" s="89" t="str">
        <f ca="1">IF($B46="","",INDIRECT("aux_sheet!AN"&amp;1+MATCH(aux_sheet!$B45,aux_sheet!$A$2:$A$202,0)))</f>
        <v/>
      </c>
      <c r="AG46" s="89" t="str">
        <f ca="1">IF($B46="","",INDIRECT("aux_sheet!AN"&amp;1+MATCH(aux_sheet!$B45,aux_sheet!$A$2:$A$202,0)))</f>
        <v/>
      </c>
      <c r="AH46" s="14" t="str">
        <f>IF(ISBLANK(Input!A45)," ",F45-F46)</f>
        <v xml:space="preserve"> </v>
      </c>
    </row>
    <row r="47" spans="1:34" x14ac:dyDescent="0.35">
      <c r="A47" s="2" t="str">
        <f>IF(ISBLANK(Input!A46),"",ROUNDDOWN(aux_sheet!B46,0))</f>
        <v/>
      </c>
      <c r="B47" s="2" t="str">
        <f ca="1">IF(ISBLANK(Input!A46),"",INDIRECT("Input!A"&amp;1+MATCH(aux_sheet!$B46,aux_sheet!$A$2:$A$202,0)))</f>
        <v/>
      </c>
      <c r="C47" s="2" t="str">
        <f ca="1">IF(ISBLANK(Input!B46),"",INDIRECT("Input!B"&amp;1+MATCH(aux_sheet!$B46,aux_sheet!$A$2:$A$202,0)))</f>
        <v/>
      </c>
      <c r="D47" s="2" t="str">
        <f ca="1">IF(ISBLANK(Input!C46),"",INDIRECT("Input!C"&amp;1+MATCH(aux_sheet!$B46,aux_sheet!$A$2:$A$202,0)))</f>
        <v/>
      </c>
      <c r="E47" s="2" t="str">
        <f ca="1">IF(ISBLANK(Input!D46),"",INDIRECT("Input!D"&amp;1+MATCH(aux_sheet!$B46,aux_sheet!$A$2:$A$202,0)))</f>
        <v/>
      </c>
      <c r="F47" s="11" t="str">
        <f ca="1">INDIRECT("Input!F"&amp;1+MATCH(aux_sheet!$B46,aux_sheet!$A$2:$A$202,0))</f>
        <v xml:space="preserve"> </v>
      </c>
      <c r="G47" s="106" t="str">
        <f ca="1">IF($B47="","",INDIRECT("aux_sheet!O"&amp;1+MATCH(aux_sheet!$B46,aux_sheet!$A$2:$A$202,0)))</f>
        <v/>
      </c>
      <c r="H47" s="89" t="str">
        <f ca="1">IF($B47="","",INDIRECT("aux_sheet!P"&amp;1+MATCH(aux_sheet!$B46,aux_sheet!$A$2:$A$202,0)))</f>
        <v/>
      </c>
      <c r="I47" s="89" t="str">
        <f ca="1">IF($B47="","",INDIRECT("aux_sheet!P"&amp;1+MATCH(aux_sheet!$B46,aux_sheet!$A$2:$A$202,0)))</f>
        <v/>
      </c>
      <c r="J47" s="106" t="str">
        <f ca="1">IF($B47="","",INDIRECT("aux_sheet!R"&amp;1+MATCH(aux_sheet!$B46,aux_sheet!$A$2:$A$202,0)))</f>
        <v/>
      </c>
      <c r="K47" s="89" t="str">
        <f ca="1">IF($B47="","",INDIRECT("aux_sheet!S"&amp;1+MATCH(aux_sheet!$B46,aux_sheet!$A$2:$A$202,0)))</f>
        <v/>
      </c>
      <c r="L47" s="89" t="str">
        <f ca="1">IF($B47="","",INDIRECT("aux_sheet!S"&amp;1+MATCH(aux_sheet!$B46,aux_sheet!$A$2:$A$202,0)))</f>
        <v/>
      </c>
      <c r="M47" s="106" t="str">
        <f ca="1">IF($B47="","",INDIRECT("aux_sheet!U"&amp;1+MATCH(aux_sheet!$B46,aux_sheet!$A$2:$A$202,0)))</f>
        <v/>
      </c>
      <c r="N47" s="89" t="str">
        <f ca="1">IF($B47="","",INDIRECT("aux_sheet!V"&amp;1+MATCH(aux_sheet!$B46,aux_sheet!$A$2:$A$202,0)))</f>
        <v/>
      </c>
      <c r="O47" s="89" t="str">
        <f ca="1">IF($B47="","",INDIRECT("aux_sheet!V"&amp;1+MATCH(aux_sheet!$B46,aux_sheet!$A$2:$A$202,0)))</f>
        <v/>
      </c>
      <c r="P47" s="106" t="str">
        <f ca="1">IF($B47="","",INDIRECT("aux_sheet!X"&amp;1+MATCH(aux_sheet!$B46,aux_sheet!$A$2:$A$202,0)))</f>
        <v/>
      </c>
      <c r="Q47" s="89" t="str">
        <f ca="1">IF($B47="","",INDIRECT("aux_sheet!Y"&amp;1+MATCH(aux_sheet!$B46,aux_sheet!$A$2:$A$202,0)))</f>
        <v/>
      </c>
      <c r="R47" s="89" t="str">
        <f ca="1">IF($B47="","",INDIRECT("aux_sheet!Y"&amp;1+MATCH(aux_sheet!$B46,aux_sheet!$A$2:$A$202,0)))</f>
        <v/>
      </c>
      <c r="S47" s="106" t="str">
        <f ca="1">IF($B47="","",INDIRECT("aux_sheet!AA"&amp;1+MATCH(aux_sheet!$B46,aux_sheet!$A$2:$A$202,0)))</f>
        <v/>
      </c>
      <c r="T47" s="89" t="str">
        <f ca="1">IF($B47="","",INDIRECT("aux_sheet!AB"&amp;1+MATCH(aux_sheet!$B46,aux_sheet!$A$2:$A$202,0)))</f>
        <v/>
      </c>
      <c r="U47" s="89" t="str">
        <f ca="1">IF($B47="","",INDIRECT("aux_sheet!AB"&amp;1+MATCH(aux_sheet!$B46,aux_sheet!$A$2:$A$202,0)))</f>
        <v/>
      </c>
      <c r="V47" s="106" t="str">
        <f ca="1">IF($B47="","",INDIRECT("aux_sheet!AD"&amp;1+MATCH(aux_sheet!$B46,aux_sheet!$A$2:$A$202,0)))</f>
        <v/>
      </c>
      <c r="W47" s="89" t="str">
        <f ca="1">IF($B47="","",INDIRECT("aux_sheet!AE"&amp;1+MATCH(aux_sheet!$B46,aux_sheet!$A$2:$A$202,0)))</f>
        <v/>
      </c>
      <c r="X47" s="89" t="str">
        <f ca="1">IF($B47="","",INDIRECT("aux_sheet!AE"&amp;1+MATCH(aux_sheet!$B46,aux_sheet!$A$2:$A$202,0)))</f>
        <v/>
      </c>
      <c r="Y47" s="106" t="str">
        <f ca="1">IF($B47="","",INDIRECT("aux_sheet!AG"&amp;1+MATCH(aux_sheet!$B46,aux_sheet!$A$2:$A$202,0)))</f>
        <v/>
      </c>
      <c r="Z47" s="89" t="str">
        <f ca="1">IF($B47="","",INDIRECT("aux_sheet!AH"&amp;1+MATCH(aux_sheet!$B46,aux_sheet!$A$2:$A$202,0)))</f>
        <v/>
      </c>
      <c r="AA47" s="89" t="str">
        <f ca="1">IF($B47="","",INDIRECT("aux_sheet!AH"&amp;1+MATCH(aux_sheet!$B46,aux_sheet!$A$2:$A$202,0)))</f>
        <v/>
      </c>
      <c r="AB47" s="106" t="str">
        <f ca="1">IF($B47="","",INDIRECT("aux_sheet!AJ"&amp;1+MATCH(aux_sheet!$B46,aux_sheet!$A$2:$A$202,0)))</f>
        <v/>
      </c>
      <c r="AC47" s="89" t="str">
        <f ca="1">IF($B47="","",INDIRECT("aux_sheet!AK"&amp;1+MATCH(aux_sheet!$B46,aux_sheet!$A$2:$A$202,0)))</f>
        <v/>
      </c>
      <c r="AD47" s="89" t="str">
        <f ca="1">IF($B47="","",INDIRECT("aux_sheet!AK"&amp;1+MATCH(aux_sheet!$B46,aux_sheet!$A$2:$A$202,0)))</f>
        <v/>
      </c>
      <c r="AE47" s="106" t="str">
        <f ca="1">IF($B47="","",INDIRECT("aux_sheet!AM"&amp;1+MATCH(aux_sheet!$B46,aux_sheet!$A$2:$A$202,0)))</f>
        <v/>
      </c>
      <c r="AF47" s="89" t="str">
        <f ca="1">IF($B47="","",INDIRECT("aux_sheet!AN"&amp;1+MATCH(aux_sheet!$B46,aux_sheet!$A$2:$A$202,0)))</f>
        <v/>
      </c>
      <c r="AG47" s="89" t="str">
        <f ca="1">IF($B47="","",INDIRECT("aux_sheet!AN"&amp;1+MATCH(aux_sheet!$B46,aux_sheet!$A$2:$A$202,0)))</f>
        <v/>
      </c>
      <c r="AH47" s="14" t="str">
        <f>IF(ISBLANK(Input!A46)," ",F46-F47)</f>
        <v xml:space="preserve"> </v>
      </c>
    </row>
    <row r="48" spans="1:34" x14ac:dyDescent="0.35">
      <c r="A48" s="2" t="str">
        <f>IF(ISBLANK(Input!A47),"",ROUNDDOWN(aux_sheet!B47,0))</f>
        <v/>
      </c>
      <c r="B48" s="2" t="str">
        <f ca="1">IF(ISBLANK(Input!A47),"",INDIRECT("Input!A"&amp;1+MATCH(aux_sheet!$B47,aux_sheet!$A$2:$A$202,0)))</f>
        <v/>
      </c>
      <c r="C48" s="2" t="str">
        <f ca="1">IF(ISBLANK(Input!B47),"",INDIRECT("Input!B"&amp;1+MATCH(aux_sheet!$B47,aux_sheet!$A$2:$A$202,0)))</f>
        <v/>
      </c>
      <c r="D48" s="2" t="str">
        <f ca="1">IF(ISBLANK(Input!C47),"",INDIRECT("Input!C"&amp;1+MATCH(aux_sheet!$B47,aux_sheet!$A$2:$A$202,0)))</f>
        <v/>
      </c>
      <c r="E48" s="2" t="str">
        <f ca="1">IF(ISBLANK(Input!D47),"",INDIRECT("Input!D"&amp;1+MATCH(aux_sheet!$B47,aux_sheet!$A$2:$A$202,0)))</f>
        <v/>
      </c>
      <c r="F48" s="11" t="str">
        <f ca="1">INDIRECT("Input!F"&amp;1+MATCH(aux_sheet!$B47,aux_sheet!$A$2:$A$202,0))</f>
        <v xml:space="preserve"> </v>
      </c>
      <c r="G48" s="106" t="str">
        <f ca="1">IF($B48="","",INDIRECT("aux_sheet!O"&amp;1+MATCH(aux_sheet!$B47,aux_sheet!$A$2:$A$202,0)))</f>
        <v/>
      </c>
      <c r="H48" s="89" t="str">
        <f ca="1">IF($B48="","",INDIRECT("aux_sheet!P"&amp;1+MATCH(aux_sheet!$B47,aux_sheet!$A$2:$A$202,0)))</f>
        <v/>
      </c>
      <c r="I48" s="89" t="str">
        <f ca="1">IF($B48="","",INDIRECT("aux_sheet!P"&amp;1+MATCH(aux_sheet!$B47,aux_sheet!$A$2:$A$202,0)))</f>
        <v/>
      </c>
      <c r="J48" s="106" t="str">
        <f ca="1">IF($B48="","",INDIRECT("aux_sheet!R"&amp;1+MATCH(aux_sheet!$B47,aux_sheet!$A$2:$A$202,0)))</f>
        <v/>
      </c>
      <c r="K48" s="89" t="str">
        <f ca="1">IF($B48="","",INDIRECT("aux_sheet!S"&amp;1+MATCH(aux_sheet!$B47,aux_sheet!$A$2:$A$202,0)))</f>
        <v/>
      </c>
      <c r="L48" s="89" t="str">
        <f ca="1">IF($B48="","",INDIRECT("aux_sheet!S"&amp;1+MATCH(aux_sheet!$B47,aux_sheet!$A$2:$A$202,0)))</f>
        <v/>
      </c>
      <c r="M48" s="106" t="str">
        <f ca="1">IF($B48="","",INDIRECT("aux_sheet!U"&amp;1+MATCH(aux_sheet!$B47,aux_sheet!$A$2:$A$202,0)))</f>
        <v/>
      </c>
      <c r="N48" s="89" t="str">
        <f ca="1">IF($B48="","",INDIRECT("aux_sheet!V"&amp;1+MATCH(aux_sheet!$B47,aux_sheet!$A$2:$A$202,0)))</f>
        <v/>
      </c>
      <c r="O48" s="89" t="str">
        <f ca="1">IF($B48="","",INDIRECT("aux_sheet!V"&amp;1+MATCH(aux_sheet!$B47,aux_sheet!$A$2:$A$202,0)))</f>
        <v/>
      </c>
      <c r="P48" s="106" t="str">
        <f ca="1">IF($B48="","",INDIRECT("aux_sheet!X"&amp;1+MATCH(aux_sheet!$B47,aux_sheet!$A$2:$A$202,0)))</f>
        <v/>
      </c>
      <c r="Q48" s="89" t="str">
        <f ca="1">IF($B48="","",INDIRECT("aux_sheet!Y"&amp;1+MATCH(aux_sheet!$B47,aux_sheet!$A$2:$A$202,0)))</f>
        <v/>
      </c>
      <c r="R48" s="89" t="str">
        <f ca="1">IF($B48="","",INDIRECT("aux_sheet!Y"&amp;1+MATCH(aux_sheet!$B47,aux_sheet!$A$2:$A$202,0)))</f>
        <v/>
      </c>
      <c r="S48" s="106" t="str">
        <f ca="1">IF($B48="","",INDIRECT("aux_sheet!AA"&amp;1+MATCH(aux_sheet!$B47,aux_sheet!$A$2:$A$202,0)))</f>
        <v/>
      </c>
      <c r="T48" s="89" t="str">
        <f ca="1">IF($B48="","",INDIRECT("aux_sheet!AB"&amp;1+MATCH(aux_sheet!$B47,aux_sheet!$A$2:$A$202,0)))</f>
        <v/>
      </c>
      <c r="U48" s="89" t="str">
        <f ca="1">IF($B48="","",INDIRECT("aux_sheet!AB"&amp;1+MATCH(aux_sheet!$B47,aux_sheet!$A$2:$A$202,0)))</f>
        <v/>
      </c>
      <c r="V48" s="106" t="str">
        <f ca="1">IF($B48="","",INDIRECT("aux_sheet!AD"&amp;1+MATCH(aux_sheet!$B47,aux_sheet!$A$2:$A$202,0)))</f>
        <v/>
      </c>
      <c r="W48" s="89" t="str">
        <f ca="1">IF($B48="","",INDIRECT("aux_sheet!AE"&amp;1+MATCH(aux_sheet!$B47,aux_sheet!$A$2:$A$202,0)))</f>
        <v/>
      </c>
      <c r="X48" s="89" t="str">
        <f ca="1">IF($B48="","",INDIRECT("aux_sheet!AE"&amp;1+MATCH(aux_sheet!$B47,aux_sheet!$A$2:$A$202,0)))</f>
        <v/>
      </c>
      <c r="Y48" s="106" t="str">
        <f ca="1">IF($B48="","",INDIRECT("aux_sheet!AG"&amp;1+MATCH(aux_sheet!$B47,aux_sheet!$A$2:$A$202,0)))</f>
        <v/>
      </c>
      <c r="Z48" s="89" t="str">
        <f ca="1">IF($B48="","",INDIRECT("aux_sheet!AH"&amp;1+MATCH(aux_sheet!$B47,aux_sheet!$A$2:$A$202,0)))</f>
        <v/>
      </c>
      <c r="AA48" s="89" t="str">
        <f ca="1">IF($B48="","",INDIRECT("aux_sheet!AH"&amp;1+MATCH(aux_sheet!$B47,aux_sheet!$A$2:$A$202,0)))</f>
        <v/>
      </c>
      <c r="AB48" s="106" t="str">
        <f ca="1">IF($B48="","",INDIRECT("aux_sheet!AJ"&amp;1+MATCH(aux_sheet!$B47,aux_sheet!$A$2:$A$202,0)))</f>
        <v/>
      </c>
      <c r="AC48" s="89" t="str">
        <f ca="1">IF($B48="","",INDIRECT("aux_sheet!AK"&amp;1+MATCH(aux_sheet!$B47,aux_sheet!$A$2:$A$202,0)))</f>
        <v/>
      </c>
      <c r="AD48" s="89" t="str">
        <f ca="1">IF($B48="","",INDIRECT("aux_sheet!AK"&amp;1+MATCH(aux_sheet!$B47,aux_sheet!$A$2:$A$202,0)))</f>
        <v/>
      </c>
      <c r="AE48" s="106" t="str">
        <f ca="1">IF($B48="","",INDIRECT("aux_sheet!AM"&amp;1+MATCH(aux_sheet!$B47,aux_sheet!$A$2:$A$202,0)))</f>
        <v/>
      </c>
      <c r="AF48" s="89" t="str">
        <f ca="1">IF($B48="","",INDIRECT("aux_sheet!AN"&amp;1+MATCH(aux_sheet!$B47,aux_sheet!$A$2:$A$202,0)))</f>
        <v/>
      </c>
      <c r="AG48" s="89" t="str">
        <f ca="1">IF($B48="","",INDIRECT("aux_sheet!AN"&amp;1+MATCH(aux_sheet!$B47,aux_sheet!$A$2:$A$202,0)))</f>
        <v/>
      </c>
      <c r="AH48" s="14" t="str">
        <f>IF(ISBLANK(Input!A47)," ",F47-F48)</f>
        <v xml:space="preserve"> </v>
      </c>
    </row>
    <row r="49" spans="1:34" x14ac:dyDescent="0.35">
      <c r="A49" s="2" t="str">
        <f>IF(ISBLANK(Input!A48),"",ROUNDDOWN(aux_sheet!B48,0))</f>
        <v/>
      </c>
      <c r="B49" s="2" t="str">
        <f ca="1">IF(ISBLANK(Input!A48),"",INDIRECT("Input!A"&amp;1+MATCH(aux_sheet!$B48,aux_sheet!$A$2:$A$202,0)))</f>
        <v/>
      </c>
      <c r="C49" s="2" t="str">
        <f ca="1">IF(ISBLANK(Input!B48),"",INDIRECT("Input!B"&amp;1+MATCH(aux_sheet!$B48,aux_sheet!$A$2:$A$202,0)))</f>
        <v/>
      </c>
      <c r="D49" s="2" t="str">
        <f ca="1">IF(ISBLANK(Input!C48),"",INDIRECT("Input!C"&amp;1+MATCH(aux_sheet!$B48,aux_sheet!$A$2:$A$202,0)))</f>
        <v/>
      </c>
      <c r="E49" s="2" t="str">
        <f ca="1">IF(ISBLANK(Input!D48),"",INDIRECT("Input!D"&amp;1+MATCH(aux_sheet!$B48,aux_sheet!$A$2:$A$202,0)))</f>
        <v/>
      </c>
      <c r="F49" s="11" t="str">
        <f ca="1">INDIRECT("Input!F"&amp;1+MATCH(aux_sheet!$B48,aux_sheet!$A$2:$A$202,0))</f>
        <v xml:space="preserve"> </v>
      </c>
      <c r="G49" s="106" t="str">
        <f ca="1">IF($B49="","",INDIRECT("aux_sheet!O"&amp;1+MATCH(aux_sheet!$B48,aux_sheet!$A$2:$A$202,0)))</f>
        <v/>
      </c>
      <c r="H49" s="89" t="str">
        <f ca="1">IF($B49="","",INDIRECT("aux_sheet!P"&amp;1+MATCH(aux_sheet!$B48,aux_sheet!$A$2:$A$202,0)))</f>
        <v/>
      </c>
      <c r="I49" s="89" t="str">
        <f ca="1">IF($B49="","",INDIRECT("aux_sheet!P"&amp;1+MATCH(aux_sheet!$B48,aux_sheet!$A$2:$A$202,0)))</f>
        <v/>
      </c>
      <c r="J49" s="106" t="str">
        <f ca="1">IF($B49="","",INDIRECT("aux_sheet!R"&amp;1+MATCH(aux_sheet!$B48,aux_sheet!$A$2:$A$202,0)))</f>
        <v/>
      </c>
      <c r="K49" s="89" t="str">
        <f ca="1">IF($B49="","",INDIRECT("aux_sheet!S"&amp;1+MATCH(aux_sheet!$B48,aux_sheet!$A$2:$A$202,0)))</f>
        <v/>
      </c>
      <c r="L49" s="89" t="str">
        <f ca="1">IF($B49="","",INDIRECT("aux_sheet!S"&amp;1+MATCH(aux_sheet!$B48,aux_sheet!$A$2:$A$202,0)))</f>
        <v/>
      </c>
      <c r="M49" s="106" t="str">
        <f ca="1">IF($B49="","",INDIRECT("aux_sheet!U"&amp;1+MATCH(aux_sheet!$B48,aux_sheet!$A$2:$A$202,0)))</f>
        <v/>
      </c>
      <c r="N49" s="89" t="str">
        <f ca="1">IF($B49="","",INDIRECT("aux_sheet!V"&amp;1+MATCH(aux_sheet!$B48,aux_sheet!$A$2:$A$202,0)))</f>
        <v/>
      </c>
      <c r="O49" s="89" t="str">
        <f ca="1">IF($B49="","",INDIRECT("aux_sheet!V"&amp;1+MATCH(aux_sheet!$B48,aux_sheet!$A$2:$A$202,0)))</f>
        <v/>
      </c>
      <c r="P49" s="106" t="str">
        <f ca="1">IF($B49="","",INDIRECT("aux_sheet!X"&amp;1+MATCH(aux_sheet!$B48,aux_sheet!$A$2:$A$202,0)))</f>
        <v/>
      </c>
      <c r="Q49" s="89" t="str">
        <f ca="1">IF($B49="","",INDIRECT("aux_sheet!Y"&amp;1+MATCH(aux_sheet!$B48,aux_sheet!$A$2:$A$202,0)))</f>
        <v/>
      </c>
      <c r="R49" s="89" t="str">
        <f ca="1">IF($B49="","",INDIRECT("aux_sheet!Y"&amp;1+MATCH(aux_sheet!$B48,aux_sheet!$A$2:$A$202,0)))</f>
        <v/>
      </c>
      <c r="S49" s="106" t="str">
        <f ca="1">IF($B49="","",INDIRECT("aux_sheet!AA"&amp;1+MATCH(aux_sheet!$B48,aux_sheet!$A$2:$A$202,0)))</f>
        <v/>
      </c>
      <c r="T49" s="89" t="str">
        <f ca="1">IF($B49="","",INDIRECT("aux_sheet!AB"&amp;1+MATCH(aux_sheet!$B48,aux_sheet!$A$2:$A$202,0)))</f>
        <v/>
      </c>
      <c r="U49" s="89" t="str">
        <f ca="1">IF($B49="","",INDIRECT("aux_sheet!AB"&amp;1+MATCH(aux_sheet!$B48,aux_sheet!$A$2:$A$202,0)))</f>
        <v/>
      </c>
      <c r="V49" s="106" t="str">
        <f ca="1">IF($B49="","",INDIRECT("aux_sheet!AD"&amp;1+MATCH(aux_sheet!$B48,aux_sheet!$A$2:$A$202,0)))</f>
        <v/>
      </c>
      <c r="W49" s="89" t="str">
        <f ca="1">IF($B49="","",INDIRECT("aux_sheet!AE"&amp;1+MATCH(aux_sheet!$B48,aux_sheet!$A$2:$A$202,0)))</f>
        <v/>
      </c>
      <c r="X49" s="89" t="str">
        <f ca="1">IF($B49="","",INDIRECT("aux_sheet!AE"&amp;1+MATCH(aux_sheet!$B48,aux_sheet!$A$2:$A$202,0)))</f>
        <v/>
      </c>
      <c r="Y49" s="106" t="str">
        <f ca="1">IF($B49="","",INDIRECT("aux_sheet!AG"&amp;1+MATCH(aux_sheet!$B48,aux_sheet!$A$2:$A$202,0)))</f>
        <v/>
      </c>
      <c r="Z49" s="89" t="str">
        <f ca="1">IF($B49="","",INDIRECT("aux_sheet!AH"&amp;1+MATCH(aux_sheet!$B48,aux_sheet!$A$2:$A$202,0)))</f>
        <v/>
      </c>
      <c r="AA49" s="89" t="str">
        <f ca="1">IF($B49="","",INDIRECT("aux_sheet!AH"&amp;1+MATCH(aux_sheet!$B48,aux_sheet!$A$2:$A$202,0)))</f>
        <v/>
      </c>
      <c r="AB49" s="106" t="str">
        <f ca="1">IF($B49="","",INDIRECT("aux_sheet!AJ"&amp;1+MATCH(aux_sheet!$B48,aux_sheet!$A$2:$A$202,0)))</f>
        <v/>
      </c>
      <c r="AC49" s="89" t="str">
        <f ca="1">IF($B49="","",INDIRECT("aux_sheet!AK"&amp;1+MATCH(aux_sheet!$B48,aux_sheet!$A$2:$A$202,0)))</f>
        <v/>
      </c>
      <c r="AD49" s="89" t="str">
        <f ca="1">IF($B49="","",INDIRECT("aux_sheet!AK"&amp;1+MATCH(aux_sheet!$B48,aux_sheet!$A$2:$A$202,0)))</f>
        <v/>
      </c>
      <c r="AE49" s="106" t="str">
        <f ca="1">IF($B49="","",INDIRECT("aux_sheet!AM"&amp;1+MATCH(aux_sheet!$B48,aux_sheet!$A$2:$A$202,0)))</f>
        <v/>
      </c>
      <c r="AF49" s="89" t="str">
        <f ca="1">IF($B49="","",INDIRECT("aux_sheet!AN"&amp;1+MATCH(aux_sheet!$B48,aux_sheet!$A$2:$A$202,0)))</f>
        <v/>
      </c>
      <c r="AG49" s="89" t="str">
        <f ca="1">IF($B49="","",INDIRECT("aux_sheet!AN"&amp;1+MATCH(aux_sheet!$B48,aux_sheet!$A$2:$A$202,0)))</f>
        <v/>
      </c>
      <c r="AH49" s="14" t="str">
        <f>IF(ISBLANK(Input!A48)," ",F48-F49)</f>
        <v xml:space="preserve"> </v>
      </c>
    </row>
    <row r="50" spans="1:34" x14ac:dyDescent="0.35">
      <c r="A50" s="2" t="str">
        <f>IF(ISBLANK(Input!A49),"",ROUNDDOWN(aux_sheet!B49,0))</f>
        <v/>
      </c>
      <c r="B50" s="2" t="str">
        <f ca="1">IF(ISBLANK(Input!A49),"",INDIRECT("Input!A"&amp;1+MATCH(aux_sheet!$B49,aux_sheet!$A$2:$A$202,0)))</f>
        <v/>
      </c>
      <c r="C50" s="2" t="str">
        <f ca="1">IF(ISBLANK(Input!B49),"",INDIRECT("Input!B"&amp;1+MATCH(aux_sheet!$B49,aux_sheet!$A$2:$A$202,0)))</f>
        <v/>
      </c>
      <c r="D50" s="2" t="str">
        <f ca="1">IF(ISBLANK(Input!C49),"",INDIRECT("Input!C"&amp;1+MATCH(aux_sheet!$B49,aux_sheet!$A$2:$A$202,0)))</f>
        <v/>
      </c>
      <c r="E50" s="2" t="str">
        <f ca="1">IF(ISBLANK(Input!D49),"",INDIRECT("Input!D"&amp;1+MATCH(aux_sheet!$B49,aux_sheet!$A$2:$A$202,0)))</f>
        <v/>
      </c>
      <c r="F50" s="11" t="str">
        <f ca="1">INDIRECT("Input!F"&amp;1+MATCH(aux_sheet!$B49,aux_sheet!$A$2:$A$202,0))</f>
        <v xml:space="preserve"> </v>
      </c>
      <c r="G50" s="106" t="str">
        <f ca="1">IF($B50="","",INDIRECT("aux_sheet!O"&amp;1+MATCH(aux_sheet!$B49,aux_sheet!$A$2:$A$202,0)))</f>
        <v/>
      </c>
      <c r="H50" s="89" t="str">
        <f ca="1">IF($B50="","",INDIRECT("aux_sheet!P"&amp;1+MATCH(aux_sheet!$B49,aux_sheet!$A$2:$A$202,0)))</f>
        <v/>
      </c>
      <c r="I50" s="89" t="str">
        <f ca="1">IF($B50="","",INDIRECT("aux_sheet!P"&amp;1+MATCH(aux_sheet!$B49,aux_sheet!$A$2:$A$202,0)))</f>
        <v/>
      </c>
      <c r="J50" s="106" t="str">
        <f ca="1">IF($B50="","",INDIRECT("aux_sheet!R"&amp;1+MATCH(aux_sheet!$B49,aux_sheet!$A$2:$A$202,0)))</f>
        <v/>
      </c>
      <c r="K50" s="89" t="str">
        <f ca="1">IF($B50="","",INDIRECT("aux_sheet!S"&amp;1+MATCH(aux_sheet!$B49,aux_sheet!$A$2:$A$202,0)))</f>
        <v/>
      </c>
      <c r="L50" s="89" t="str">
        <f ca="1">IF($B50="","",INDIRECT("aux_sheet!S"&amp;1+MATCH(aux_sheet!$B49,aux_sheet!$A$2:$A$202,0)))</f>
        <v/>
      </c>
      <c r="M50" s="106" t="str">
        <f ca="1">IF($B50="","",INDIRECT("aux_sheet!U"&amp;1+MATCH(aux_sheet!$B49,aux_sheet!$A$2:$A$202,0)))</f>
        <v/>
      </c>
      <c r="N50" s="89" t="str">
        <f ca="1">IF($B50="","",INDIRECT("aux_sheet!V"&amp;1+MATCH(aux_sheet!$B49,aux_sheet!$A$2:$A$202,0)))</f>
        <v/>
      </c>
      <c r="O50" s="89" t="str">
        <f ca="1">IF($B50="","",INDIRECT("aux_sheet!V"&amp;1+MATCH(aux_sheet!$B49,aux_sheet!$A$2:$A$202,0)))</f>
        <v/>
      </c>
      <c r="P50" s="106" t="str">
        <f ca="1">IF($B50="","",INDIRECT("aux_sheet!X"&amp;1+MATCH(aux_sheet!$B49,aux_sheet!$A$2:$A$202,0)))</f>
        <v/>
      </c>
      <c r="Q50" s="89" t="str">
        <f ca="1">IF($B50="","",INDIRECT("aux_sheet!Y"&amp;1+MATCH(aux_sheet!$B49,aux_sheet!$A$2:$A$202,0)))</f>
        <v/>
      </c>
      <c r="R50" s="89" t="str">
        <f ca="1">IF($B50="","",INDIRECT("aux_sheet!Y"&amp;1+MATCH(aux_sheet!$B49,aux_sheet!$A$2:$A$202,0)))</f>
        <v/>
      </c>
      <c r="S50" s="106" t="str">
        <f ca="1">IF($B50="","",INDIRECT("aux_sheet!AA"&amp;1+MATCH(aux_sheet!$B49,aux_sheet!$A$2:$A$202,0)))</f>
        <v/>
      </c>
      <c r="T50" s="89" t="str">
        <f ca="1">IF($B50="","",INDIRECT("aux_sheet!AB"&amp;1+MATCH(aux_sheet!$B49,aux_sheet!$A$2:$A$202,0)))</f>
        <v/>
      </c>
      <c r="U50" s="89" t="str">
        <f ca="1">IF($B50="","",INDIRECT("aux_sheet!AB"&amp;1+MATCH(aux_sheet!$B49,aux_sheet!$A$2:$A$202,0)))</f>
        <v/>
      </c>
      <c r="V50" s="106" t="str">
        <f ca="1">IF($B50="","",INDIRECT("aux_sheet!AD"&amp;1+MATCH(aux_sheet!$B49,aux_sheet!$A$2:$A$202,0)))</f>
        <v/>
      </c>
      <c r="W50" s="89" t="str">
        <f ca="1">IF($B50="","",INDIRECT("aux_sheet!AE"&amp;1+MATCH(aux_sheet!$B49,aux_sheet!$A$2:$A$202,0)))</f>
        <v/>
      </c>
      <c r="X50" s="89" t="str">
        <f ca="1">IF($B50="","",INDIRECT("aux_sheet!AE"&amp;1+MATCH(aux_sheet!$B49,aux_sheet!$A$2:$A$202,0)))</f>
        <v/>
      </c>
      <c r="Y50" s="106" t="str">
        <f ca="1">IF($B50="","",INDIRECT("aux_sheet!AG"&amp;1+MATCH(aux_sheet!$B49,aux_sheet!$A$2:$A$202,0)))</f>
        <v/>
      </c>
      <c r="Z50" s="89" t="str">
        <f ca="1">IF($B50="","",INDIRECT("aux_sheet!AH"&amp;1+MATCH(aux_sheet!$B49,aux_sheet!$A$2:$A$202,0)))</f>
        <v/>
      </c>
      <c r="AA50" s="89" t="str">
        <f ca="1">IF($B50="","",INDIRECT("aux_sheet!AH"&amp;1+MATCH(aux_sheet!$B49,aux_sheet!$A$2:$A$202,0)))</f>
        <v/>
      </c>
      <c r="AB50" s="106" t="str">
        <f ca="1">IF($B50="","",INDIRECT("aux_sheet!AJ"&amp;1+MATCH(aux_sheet!$B49,aux_sheet!$A$2:$A$202,0)))</f>
        <v/>
      </c>
      <c r="AC50" s="89" t="str">
        <f ca="1">IF($B50="","",INDIRECT("aux_sheet!AK"&amp;1+MATCH(aux_sheet!$B49,aux_sheet!$A$2:$A$202,0)))</f>
        <v/>
      </c>
      <c r="AD50" s="89" t="str">
        <f ca="1">IF($B50="","",INDIRECT("aux_sheet!AK"&amp;1+MATCH(aux_sheet!$B49,aux_sheet!$A$2:$A$202,0)))</f>
        <v/>
      </c>
      <c r="AE50" s="106" t="str">
        <f ca="1">IF($B50="","",INDIRECT("aux_sheet!AM"&amp;1+MATCH(aux_sheet!$B49,aux_sheet!$A$2:$A$202,0)))</f>
        <v/>
      </c>
      <c r="AF50" s="89" t="str">
        <f ca="1">IF($B50="","",INDIRECT("aux_sheet!AN"&amp;1+MATCH(aux_sheet!$B49,aux_sheet!$A$2:$A$202,0)))</f>
        <v/>
      </c>
      <c r="AG50" s="89" t="str">
        <f ca="1">IF($B50="","",INDIRECT("aux_sheet!AN"&amp;1+MATCH(aux_sheet!$B49,aux_sheet!$A$2:$A$202,0)))</f>
        <v/>
      </c>
      <c r="AH50" s="14" t="str">
        <f>IF(ISBLANK(Input!A49)," ",F49-F50)</f>
        <v xml:space="preserve"> </v>
      </c>
    </row>
    <row r="51" spans="1:34" x14ac:dyDescent="0.35">
      <c r="A51" s="2" t="str">
        <f>IF(ISBLANK(Input!A50),"",ROUNDDOWN(aux_sheet!B50,0))</f>
        <v/>
      </c>
      <c r="B51" s="2" t="str">
        <f ca="1">IF(ISBLANK(Input!A50),"",INDIRECT("Input!A"&amp;1+MATCH(aux_sheet!$B50,aux_sheet!$A$2:$A$202,0)))</f>
        <v/>
      </c>
      <c r="C51" s="2" t="str">
        <f ca="1">IF(ISBLANK(Input!B50),"",INDIRECT("Input!B"&amp;1+MATCH(aux_sheet!$B50,aux_sheet!$A$2:$A$202,0)))</f>
        <v/>
      </c>
      <c r="D51" s="2" t="str">
        <f ca="1">IF(ISBLANK(Input!C50),"",INDIRECT("Input!C"&amp;1+MATCH(aux_sheet!$B50,aux_sheet!$A$2:$A$202,0)))</f>
        <v/>
      </c>
      <c r="E51" s="2" t="str">
        <f ca="1">IF(ISBLANK(Input!D50),"",INDIRECT("Input!D"&amp;1+MATCH(aux_sheet!$B50,aux_sheet!$A$2:$A$202,0)))</f>
        <v/>
      </c>
      <c r="F51" s="11" t="str">
        <f ca="1">INDIRECT("Input!F"&amp;1+MATCH(aux_sheet!$B50,aux_sheet!$A$2:$A$202,0))</f>
        <v xml:space="preserve"> </v>
      </c>
      <c r="G51" s="106" t="str">
        <f ca="1">IF($B51="","",INDIRECT("aux_sheet!O"&amp;1+MATCH(aux_sheet!$B50,aux_sheet!$A$2:$A$202,0)))</f>
        <v/>
      </c>
      <c r="H51" s="89" t="str">
        <f ca="1">IF($B51="","",INDIRECT("aux_sheet!P"&amp;1+MATCH(aux_sheet!$B50,aux_sheet!$A$2:$A$202,0)))</f>
        <v/>
      </c>
      <c r="I51" s="89" t="str">
        <f ca="1">IF($B51="","",INDIRECT("aux_sheet!P"&amp;1+MATCH(aux_sheet!$B50,aux_sheet!$A$2:$A$202,0)))</f>
        <v/>
      </c>
      <c r="J51" s="106" t="str">
        <f ca="1">IF($B51="","",INDIRECT("aux_sheet!R"&amp;1+MATCH(aux_sheet!$B50,aux_sheet!$A$2:$A$202,0)))</f>
        <v/>
      </c>
      <c r="K51" s="89" t="str">
        <f ca="1">IF($B51="","",INDIRECT("aux_sheet!S"&amp;1+MATCH(aux_sheet!$B50,aux_sheet!$A$2:$A$202,0)))</f>
        <v/>
      </c>
      <c r="L51" s="89" t="str">
        <f ca="1">IF($B51="","",INDIRECT("aux_sheet!S"&amp;1+MATCH(aux_sheet!$B50,aux_sheet!$A$2:$A$202,0)))</f>
        <v/>
      </c>
      <c r="M51" s="106" t="str">
        <f ca="1">IF($B51="","",INDIRECT("aux_sheet!U"&amp;1+MATCH(aux_sheet!$B50,aux_sheet!$A$2:$A$202,0)))</f>
        <v/>
      </c>
      <c r="N51" s="89" t="str">
        <f ca="1">IF($B51="","",INDIRECT("aux_sheet!V"&amp;1+MATCH(aux_sheet!$B50,aux_sheet!$A$2:$A$202,0)))</f>
        <v/>
      </c>
      <c r="O51" s="89" t="str">
        <f ca="1">IF($B51="","",INDIRECT("aux_sheet!V"&amp;1+MATCH(aux_sheet!$B50,aux_sheet!$A$2:$A$202,0)))</f>
        <v/>
      </c>
      <c r="P51" s="106" t="str">
        <f ca="1">IF($B51="","",INDIRECT("aux_sheet!X"&amp;1+MATCH(aux_sheet!$B50,aux_sheet!$A$2:$A$202,0)))</f>
        <v/>
      </c>
      <c r="Q51" s="89" t="str">
        <f ca="1">IF($B51="","",INDIRECT("aux_sheet!Y"&amp;1+MATCH(aux_sheet!$B50,aux_sheet!$A$2:$A$202,0)))</f>
        <v/>
      </c>
      <c r="R51" s="89" t="str">
        <f ca="1">IF($B51="","",INDIRECT("aux_sheet!Y"&amp;1+MATCH(aux_sheet!$B50,aux_sheet!$A$2:$A$202,0)))</f>
        <v/>
      </c>
      <c r="S51" s="106" t="str">
        <f ca="1">IF($B51="","",INDIRECT("aux_sheet!AA"&amp;1+MATCH(aux_sheet!$B50,aux_sheet!$A$2:$A$202,0)))</f>
        <v/>
      </c>
      <c r="T51" s="89" t="str">
        <f ca="1">IF($B51="","",INDIRECT("aux_sheet!AB"&amp;1+MATCH(aux_sheet!$B50,aux_sheet!$A$2:$A$202,0)))</f>
        <v/>
      </c>
      <c r="U51" s="89" t="str">
        <f ca="1">IF($B51="","",INDIRECT("aux_sheet!AB"&amp;1+MATCH(aux_sheet!$B50,aux_sheet!$A$2:$A$202,0)))</f>
        <v/>
      </c>
      <c r="V51" s="106" t="str">
        <f ca="1">IF($B51="","",INDIRECT("aux_sheet!AD"&amp;1+MATCH(aux_sheet!$B50,aux_sheet!$A$2:$A$202,0)))</f>
        <v/>
      </c>
      <c r="W51" s="89" t="str">
        <f ca="1">IF($B51="","",INDIRECT("aux_sheet!AE"&amp;1+MATCH(aux_sheet!$B50,aux_sheet!$A$2:$A$202,0)))</f>
        <v/>
      </c>
      <c r="X51" s="89" t="str">
        <f ca="1">IF($B51="","",INDIRECT("aux_sheet!AE"&amp;1+MATCH(aux_sheet!$B50,aux_sheet!$A$2:$A$202,0)))</f>
        <v/>
      </c>
      <c r="Y51" s="106" t="str">
        <f ca="1">IF($B51="","",INDIRECT("aux_sheet!AG"&amp;1+MATCH(aux_sheet!$B50,aux_sheet!$A$2:$A$202,0)))</f>
        <v/>
      </c>
      <c r="Z51" s="89" t="str">
        <f ca="1">IF($B51="","",INDIRECT("aux_sheet!AH"&amp;1+MATCH(aux_sheet!$B50,aux_sheet!$A$2:$A$202,0)))</f>
        <v/>
      </c>
      <c r="AA51" s="89" t="str">
        <f ca="1">IF($B51="","",INDIRECT("aux_sheet!AH"&amp;1+MATCH(aux_sheet!$B50,aux_sheet!$A$2:$A$202,0)))</f>
        <v/>
      </c>
      <c r="AB51" s="106" t="str">
        <f ca="1">IF($B51="","",INDIRECT("aux_sheet!AJ"&amp;1+MATCH(aux_sheet!$B50,aux_sheet!$A$2:$A$202,0)))</f>
        <v/>
      </c>
      <c r="AC51" s="89" t="str">
        <f ca="1">IF($B51="","",INDIRECT("aux_sheet!AK"&amp;1+MATCH(aux_sheet!$B50,aux_sheet!$A$2:$A$202,0)))</f>
        <v/>
      </c>
      <c r="AD51" s="89" t="str">
        <f ca="1">IF($B51="","",INDIRECT("aux_sheet!AK"&amp;1+MATCH(aux_sheet!$B50,aux_sheet!$A$2:$A$202,0)))</f>
        <v/>
      </c>
      <c r="AE51" s="106" t="str">
        <f ca="1">IF($B51="","",INDIRECT("aux_sheet!AM"&amp;1+MATCH(aux_sheet!$B50,aux_sheet!$A$2:$A$202,0)))</f>
        <v/>
      </c>
      <c r="AF51" s="89" t="str">
        <f ca="1">IF($B51="","",INDIRECT("aux_sheet!AN"&amp;1+MATCH(aux_sheet!$B50,aux_sheet!$A$2:$A$202,0)))</f>
        <v/>
      </c>
      <c r="AG51" s="89" t="str">
        <f ca="1">IF($B51="","",INDIRECT("aux_sheet!AN"&amp;1+MATCH(aux_sheet!$B50,aux_sheet!$A$2:$A$202,0)))</f>
        <v/>
      </c>
      <c r="AH51" s="14" t="str">
        <f>IF(ISBLANK(Input!A50)," ",F50-F51)</f>
        <v xml:space="preserve"> </v>
      </c>
    </row>
    <row r="52" spans="1:34" x14ac:dyDescent="0.35">
      <c r="A52" s="2" t="str">
        <f>IF(ISBLANK(Input!A51),"",ROUNDDOWN(aux_sheet!B51,0))</f>
        <v/>
      </c>
      <c r="B52" s="2" t="str">
        <f ca="1">IF(ISBLANK(Input!A51),"",INDIRECT("Input!A"&amp;1+MATCH(aux_sheet!$B51,aux_sheet!$A$2:$A$202,0)))</f>
        <v/>
      </c>
      <c r="C52" s="2" t="str">
        <f ca="1">IF(ISBLANK(Input!B51),"",INDIRECT("Input!B"&amp;1+MATCH(aux_sheet!$B51,aux_sheet!$A$2:$A$202,0)))</f>
        <v/>
      </c>
      <c r="D52" s="2" t="str">
        <f ca="1">IF(ISBLANK(Input!C51),"",INDIRECT("Input!C"&amp;1+MATCH(aux_sheet!$B51,aux_sheet!$A$2:$A$202,0)))</f>
        <v/>
      </c>
      <c r="E52" s="2" t="str">
        <f ca="1">IF(ISBLANK(Input!D51),"",INDIRECT("Input!D"&amp;1+MATCH(aux_sheet!$B51,aux_sheet!$A$2:$A$202,0)))</f>
        <v/>
      </c>
      <c r="F52" s="11" t="str">
        <f ca="1">INDIRECT("Input!F"&amp;1+MATCH(aux_sheet!$B51,aux_sheet!$A$2:$A$202,0))</f>
        <v xml:space="preserve"> </v>
      </c>
      <c r="G52" s="106" t="str">
        <f ca="1">IF($B52="","",INDIRECT("aux_sheet!O"&amp;1+MATCH(aux_sheet!$B51,aux_sheet!$A$2:$A$202,0)))</f>
        <v/>
      </c>
      <c r="H52" s="89" t="str">
        <f ca="1">IF($B52="","",INDIRECT("aux_sheet!P"&amp;1+MATCH(aux_sheet!$B51,aux_sheet!$A$2:$A$202,0)))</f>
        <v/>
      </c>
      <c r="I52" s="89" t="str">
        <f ca="1">IF($B52="","",INDIRECT("aux_sheet!P"&amp;1+MATCH(aux_sheet!$B51,aux_sheet!$A$2:$A$202,0)))</f>
        <v/>
      </c>
      <c r="J52" s="106" t="str">
        <f ca="1">IF($B52="","",INDIRECT("aux_sheet!R"&amp;1+MATCH(aux_sheet!$B51,aux_sheet!$A$2:$A$202,0)))</f>
        <v/>
      </c>
      <c r="K52" s="89" t="str">
        <f ca="1">IF($B52="","",INDIRECT("aux_sheet!S"&amp;1+MATCH(aux_sheet!$B51,aux_sheet!$A$2:$A$202,0)))</f>
        <v/>
      </c>
      <c r="L52" s="89" t="str">
        <f ca="1">IF($B52="","",INDIRECT("aux_sheet!S"&amp;1+MATCH(aux_sheet!$B51,aux_sheet!$A$2:$A$202,0)))</f>
        <v/>
      </c>
      <c r="M52" s="106" t="str">
        <f ca="1">IF($B52="","",INDIRECT("aux_sheet!U"&amp;1+MATCH(aux_sheet!$B51,aux_sheet!$A$2:$A$202,0)))</f>
        <v/>
      </c>
      <c r="N52" s="89" t="str">
        <f ca="1">IF($B52="","",INDIRECT("aux_sheet!V"&amp;1+MATCH(aux_sheet!$B51,aux_sheet!$A$2:$A$202,0)))</f>
        <v/>
      </c>
      <c r="O52" s="89" t="str">
        <f ca="1">IF($B52="","",INDIRECT("aux_sheet!V"&amp;1+MATCH(aux_sheet!$B51,aux_sheet!$A$2:$A$202,0)))</f>
        <v/>
      </c>
      <c r="P52" s="106" t="str">
        <f ca="1">IF($B52="","",INDIRECT("aux_sheet!X"&amp;1+MATCH(aux_sheet!$B51,aux_sheet!$A$2:$A$202,0)))</f>
        <v/>
      </c>
      <c r="Q52" s="89" t="str">
        <f ca="1">IF($B52="","",INDIRECT("aux_sheet!Y"&amp;1+MATCH(aux_sheet!$B51,aux_sheet!$A$2:$A$202,0)))</f>
        <v/>
      </c>
      <c r="R52" s="89" t="str">
        <f ca="1">IF($B52="","",INDIRECT("aux_sheet!Y"&amp;1+MATCH(aux_sheet!$B51,aux_sheet!$A$2:$A$202,0)))</f>
        <v/>
      </c>
      <c r="S52" s="106" t="str">
        <f ca="1">IF($B52="","",INDIRECT("aux_sheet!AA"&amp;1+MATCH(aux_sheet!$B51,aux_sheet!$A$2:$A$202,0)))</f>
        <v/>
      </c>
      <c r="T52" s="89" t="str">
        <f ca="1">IF($B52="","",INDIRECT("aux_sheet!AB"&amp;1+MATCH(aux_sheet!$B51,aux_sheet!$A$2:$A$202,0)))</f>
        <v/>
      </c>
      <c r="U52" s="89" t="str">
        <f ca="1">IF($B52="","",INDIRECT("aux_sheet!AB"&amp;1+MATCH(aux_sheet!$B51,aux_sheet!$A$2:$A$202,0)))</f>
        <v/>
      </c>
      <c r="V52" s="106" t="str">
        <f ca="1">IF($B52="","",INDIRECT("aux_sheet!AD"&amp;1+MATCH(aux_sheet!$B51,aux_sheet!$A$2:$A$202,0)))</f>
        <v/>
      </c>
      <c r="W52" s="89" t="str">
        <f ca="1">IF($B52="","",INDIRECT("aux_sheet!AE"&amp;1+MATCH(aux_sheet!$B51,aux_sheet!$A$2:$A$202,0)))</f>
        <v/>
      </c>
      <c r="X52" s="89" t="str">
        <f ca="1">IF($B52="","",INDIRECT("aux_sheet!AE"&amp;1+MATCH(aux_sheet!$B51,aux_sheet!$A$2:$A$202,0)))</f>
        <v/>
      </c>
      <c r="Y52" s="106" t="str">
        <f ca="1">IF($B52="","",INDIRECT("aux_sheet!AG"&amp;1+MATCH(aux_sheet!$B51,aux_sheet!$A$2:$A$202,0)))</f>
        <v/>
      </c>
      <c r="Z52" s="89" t="str">
        <f ca="1">IF($B52="","",INDIRECT("aux_sheet!AH"&amp;1+MATCH(aux_sheet!$B51,aux_sheet!$A$2:$A$202,0)))</f>
        <v/>
      </c>
      <c r="AA52" s="89" t="str">
        <f ca="1">IF($B52="","",INDIRECT("aux_sheet!AH"&amp;1+MATCH(aux_sheet!$B51,aux_sheet!$A$2:$A$202,0)))</f>
        <v/>
      </c>
      <c r="AB52" s="106" t="str">
        <f ca="1">IF($B52="","",INDIRECT("aux_sheet!AJ"&amp;1+MATCH(aux_sheet!$B51,aux_sheet!$A$2:$A$202,0)))</f>
        <v/>
      </c>
      <c r="AC52" s="89" t="str">
        <f ca="1">IF($B52="","",INDIRECT("aux_sheet!AK"&amp;1+MATCH(aux_sheet!$B51,aux_sheet!$A$2:$A$202,0)))</f>
        <v/>
      </c>
      <c r="AD52" s="89" t="str">
        <f ca="1">IF($B52="","",INDIRECT("aux_sheet!AK"&amp;1+MATCH(aux_sheet!$B51,aux_sheet!$A$2:$A$202,0)))</f>
        <v/>
      </c>
      <c r="AE52" s="106" t="str">
        <f ca="1">IF($B52="","",INDIRECT("aux_sheet!AM"&amp;1+MATCH(aux_sheet!$B51,aux_sheet!$A$2:$A$202,0)))</f>
        <v/>
      </c>
      <c r="AF52" s="89" t="str">
        <f ca="1">IF($B52="","",INDIRECT("aux_sheet!AN"&amp;1+MATCH(aux_sheet!$B51,aux_sheet!$A$2:$A$202,0)))</f>
        <v/>
      </c>
      <c r="AG52" s="89" t="str">
        <f ca="1">IF($B52="","",INDIRECT("aux_sheet!AN"&amp;1+MATCH(aux_sheet!$B51,aux_sheet!$A$2:$A$202,0)))</f>
        <v/>
      </c>
      <c r="AH52" s="14" t="str">
        <f>IF(ISBLANK(Input!A51)," ",F51-F52)</f>
        <v xml:space="preserve"> </v>
      </c>
    </row>
    <row r="53" spans="1:34" x14ac:dyDescent="0.35">
      <c r="A53" s="2" t="str">
        <f>IF(ISBLANK(Input!A52),"",ROUNDDOWN(aux_sheet!B52,0))</f>
        <v/>
      </c>
      <c r="B53" s="2" t="str">
        <f ca="1">IF(ISBLANK(Input!A52),"",INDIRECT("Input!A"&amp;1+MATCH(aux_sheet!$B52,aux_sheet!$A$2:$A$202,0)))</f>
        <v/>
      </c>
      <c r="C53" s="2" t="str">
        <f ca="1">IF(ISBLANK(Input!B52),"",INDIRECT("Input!B"&amp;1+MATCH(aux_sheet!$B52,aux_sheet!$A$2:$A$202,0)))</f>
        <v/>
      </c>
      <c r="D53" s="2" t="str">
        <f ca="1">IF(ISBLANK(Input!C52),"",INDIRECT("Input!C"&amp;1+MATCH(aux_sheet!$B52,aux_sheet!$A$2:$A$202,0)))</f>
        <v/>
      </c>
      <c r="E53" s="2" t="str">
        <f ca="1">IF(ISBLANK(Input!D52),"",INDIRECT("Input!D"&amp;1+MATCH(aux_sheet!$B52,aux_sheet!$A$2:$A$202,0)))</f>
        <v/>
      </c>
      <c r="F53" s="11" t="str">
        <f ca="1">INDIRECT("Input!F"&amp;1+MATCH(aux_sheet!$B52,aux_sheet!$A$2:$A$202,0))</f>
        <v xml:space="preserve"> </v>
      </c>
      <c r="G53" s="106" t="str">
        <f ca="1">IF($B53="","",INDIRECT("aux_sheet!O"&amp;1+MATCH(aux_sheet!$B52,aux_sheet!$A$2:$A$202,0)))</f>
        <v/>
      </c>
      <c r="H53" s="89" t="str">
        <f ca="1">IF($B53="","",INDIRECT("aux_sheet!P"&amp;1+MATCH(aux_sheet!$B52,aux_sheet!$A$2:$A$202,0)))</f>
        <v/>
      </c>
      <c r="I53" s="89" t="str">
        <f ca="1">IF($B53="","",INDIRECT("aux_sheet!P"&amp;1+MATCH(aux_sheet!$B52,aux_sheet!$A$2:$A$202,0)))</f>
        <v/>
      </c>
      <c r="J53" s="106" t="str">
        <f ca="1">IF($B53="","",INDIRECT("aux_sheet!R"&amp;1+MATCH(aux_sheet!$B52,aux_sheet!$A$2:$A$202,0)))</f>
        <v/>
      </c>
      <c r="K53" s="89" t="str">
        <f ca="1">IF($B53="","",INDIRECT("aux_sheet!S"&amp;1+MATCH(aux_sheet!$B52,aux_sheet!$A$2:$A$202,0)))</f>
        <v/>
      </c>
      <c r="L53" s="89" t="str">
        <f ca="1">IF($B53="","",INDIRECT("aux_sheet!S"&amp;1+MATCH(aux_sheet!$B52,aux_sheet!$A$2:$A$202,0)))</f>
        <v/>
      </c>
      <c r="M53" s="106" t="str">
        <f ca="1">IF($B53="","",INDIRECT("aux_sheet!U"&amp;1+MATCH(aux_sheet!$B52,aux_sheet!$A$2:$A$202,0)))</f>
        <v/>
      </c>
      <c r="N53" s="89" t="str">
        <f ca="1">IF($B53="","",INDIRECT("aux_sheet!V"&amp;1+MATCH(aux_sheet!$B52,aux_sheet!$A$2:$A$202,0)))</f>
        <v/>
      </c>
      <c r="O53" s="89" t="str">
        <f ca="1">IF($B53="","",INDIRECT("aux_sheet!V"&amp;1+MATCH(aux_sheet!$B52,aux_sheet!$A$2:$A$202,0)))</f>
        <v/>
      </c>
      <c r="P53" s="106" t="str">
        <f ca="1">IF($B53="","",INDIRECT("aux_sheet!X"&amp;1+MATCH(aux_sheet!$B52,aux_sheet!$A$2:$A$202,0)))</f>
        <v/>
      </c>
      <c r="Q53" s="89" t="str">
        <f ca="1">IF($B53="","",INDIRECT("aux_sheet!Y"&amp;1+MATCH(aux_sheet!$B52,aux_sheet!$A$2:$A$202,0)))</f>
        <v/>
      </c>
      <c r="R53" s="89" t="str">
        <f ca="1">IF($B53="","",INDIRECT("aux_sheet!Y"&amp;1+MATCH(aux_sheet!$B52,aux_sheet!$A$2:$A$202,0)))</f>
        <v/>
      </c>
      <c r="S53" s="106" t="str">
        <f ca="1">IF($B53="","",INDIRECT("aux_sheet!AA"&amp;1+MATCH(aux_sheet!$B52,aux_sheet!$A$2:$A$202,0)))</f>
        <v/>
      </c>
      <c r="T53" s="89" t="str">
        <f ca="1">IF($B53="","",INDIRECT("aux_sheet!AB"&amp;1+MATCH(aux_sheet!$B52,aux_sheet!$A$2:$A$202,0)))</f>
        <v/>
      </c>
      <c r="U53" s="89" t="str">
        <f ca="1">IF($B53="","",INDIRECT("aux_sheet!AB"&amp;1+MATCH(aux_sheet!$B52,aux_sheet!$A$2:$A$202,0)))</f>
        <v/>
      </c>
      <c r="V53" s="106" t="str">
        <f ca="1">IF($B53="","",INDIRECT("aux_sheet!AD"&amp;1+MATCH(aux_sheet!$B52,aux_sheet!$A$2:$A$202,0)))</f>
        <v/>
      </c>
      <c r="W53" s="89" t="str">
        <f ca="1">IF($B53="","",INDIRECT("aux_sheet!AE"&amp;1+MATCH(aux_sheet!$B52,aux_sheet!$A$2:$A$202,0)))</f>
        <v/>
      </c>
      <c r="X53" s="89" t="str">
        <f ca="1">IF($B53="","",INDIRECT("aux_sheet!AE"&amp;1+MATCH(aux_sheet!$B52,aux_sheet!$A$2:$A$202,0)))</f>
        <v/>
      </c>
      <c r="Y53" s="106" t="str">
        <f ca="1">IF($B53="","",INDIRECT("aux_sheet!AG"&amp;1+MATCH(aux_sheet!$B52,aux_sheet!$A$2:$A$202,0)))</f>
        <v/>
      </c>
      <c r="Z53" s="89" t="str">
        <f ca="1">IF($B53="","",INDIRECT("aux_sheet!AH"&amp;1+MATCH(aux_sheet!$B52,aux_sheet!$A$2:$A$202,0)))</f>
        <v/>
      </c>
      <c r="AA53" s="89" t="str">
        <f ca="1">IF($B53="","",INDIRECT("aux_sheet!AH"&amp;1+MATCH(aux_sheet!$B52,aux_sheet!$A$2:$A$202,0)))</f>
        <v/>
      </c>
      <c r="AB53" s="106" t="str">
        <f ca="1">IF($B53="","",INDIRECT("aux_sheet!AJ"&amp;1+MATCH(aux_sheet!$B52,aux_sheet!$A$2:$A$202,0)))</f>
        <v/>
      </c>
      <c r="AC53" s="89" t="str">
        <f ca="1">IF($B53="","",INDIRECT("aux_sheet!AK"&amp;1+MATCH(aux_sheet!$B52,aux_sheet!$A$2:$A$202,0)))</f>
        <v/>
      </c>
      <c r="AD53" s="89" t="str">
        <f ca="1">IF($B53="","",INDIRECT("aux_sheet!AK"&amp;1+MATCH(aux_sheet!$B52,aux_sheet!$A$2:$A$202,0)))</f>
        <v/>
      </c>
      <c r="AE53" s="106" t="str">
        <f ca="1">IF($B53="","",INDIRECT("aux_sheet!AM"&amp;1+MATCH(aux_sheet!$B52,aux_sheet!$A$2:$A$202,0)))</f>
        <v/>
      </c>
      <c r="AF53" s="89" t="str">
        <f ca="1">IF($B53="","",INDIRECT("aux_sheet!AN"&amp;1+MATCH(aux_sheet!$B52,aux_sheet!$A$2:$A$202,0)))</f>
        <v/>
      </c>
      <c r="AG53" s="89" t="str">
        <f ca="1">IF($B53="","",INDIRECT("aux_sheet!AN"&amp;1+MATCH(aux_sheet!$B52,aux_sheet!$A$2:$A$202,0)))</f>
        <v/>
      </c>
      <c r="AH53" s="14" t="str">
        <f>IF(ISBLANK(Input!A52)," ",F52-F53)</f>
        <v xml:space="preserve"> </v>
      </c>
    </row>
    <row r="54" spans="1:34" x14ac:dyDescent="0.35">
      <c r="A54" s="2" t="str">
        <f>IF(ISBLANK(Input!A53),"",ROUNDDOWN(aux_sheet!B53,0))</f>
        <v/>
      </c>
      <c r="B54" s="2" t="str">
        <f ca="1">IF(ISBLANK(Input!A53),"",INDIRECT("Input!A"&amp;1+MATCH(aux_sheet!$B53,aux_sheet!$A$2:$A$202,0)))</f>
        <v/>
      </c>
      <c r="C54" s="2" t="str">
        <f ca="1">IF(ISBLANK(Input!B53),"",INDIRECT("Input!B"&amp;1+MATCH(aux_sheet!$B53,aux_sheet!$A$2:$A$202,0)))</f>
        <v/>
      </c>
      <c r="D54" s="2" t="str">
        <f ca="1">IF(ISBLANK(Input!C53),"",INDIRECT("Input!C"&amp;1+MATCH(aux_sheet!$B53,aux_sheet!$A$2:$A$202,0)))</f>
        <v/>
      </c>
      <c r="E54" s="2" t="str">
        <f ca="1">IF(ISBLANK(Input!D53),"",INDIRECT("Input!D"&amp;1+MATCH(aux_sheet!$B53,aux_sheet!$A$2:$A$202,0)))</f>
        <v/>
      </c>
      <c r="F54" s="11" t="str">
        <f ca="1">INDIRECT("Input!F"&amp;1+MATCH(aux_sheet!$B53,aux_sheet!$A$2:$A$202,0))</f>
        <v xml:space="preserve"> </v>
      </c>
      <c r="G54" s="106" t="str">
        <f ca="1">IF($B54="","",INDIRECT("aux_sheet!O"&amp;1+MATCH(aux_sheet!$B53,aux_sheet!$A$2:$A$202,0)))</f>
        <v/>
      </c>
      <c r="H54" s="89" t="str">
        <f ca="1">IF($B54="","",INDIRECT("aux_sheet!P"&amp;1+MATCH(aux_sheet!$B53,aux_sheet!$A$2:$A$202,0)))</f>
        <v/>
      </c>
      <c r="I54" s="89" t="str">
        <f ca="1">IF($B54="","",INDIRECT("aux_sheet!P"&amp;1+MATCH(aux_sheet!$B53,aux_sheet!$A$2:$A$202,0)))</f>
        <v/>
      </c>
      <c r="J54" s="106" t="str">
        <f ca="1">IF($B54="","",INDIRECT("aux_sheet!R"&amp;1+MATCH(aux_sheet!$B53,aux_sheet!$A$2:$A$202,0)))</f>
        <v/>
      </c>
      <c r="K54" s="89" t="str">
        <f ca="1">IF($B54="","",INDIRECT("aux_sheet!S"&amp;1+MATCH(aux_sheet!$B53,aux_sheet!$A$2:$A$202,0)))</f>
        <v/>
      </c>
      <c r="L54" s="89" t="str">
        <f ca="1">IF($B54="","",INDIRECT("aux_sheet!S"&amp;1+MATCH(aux_sheet!$B53,aux_sheet!$A$2:$A$202,0)))</f>
        <v/>
      </c>
      <c r="M54" s="106" t="str">
        <f ca="1">IF($B54="","",INDIRECT("aux_sheet!U"&amp;1+MATCH(aux_sheet!$B53,aux_sheet!$A$2:$A$202,0)))</f>
        <v/>
      </c>
      <c r="N54" s="89" t="str">
        <f ca="1">IF($B54="","",INDIRECT("aux_sheet!V"&amp;1+MATCH(aux_sheet!$B53,aux_sheet!$A$2:$A$202,0)))</f>
        <v/>
      </c>
      <c r="O54" s="89" t="str">
        <f ca="1">IF($B54="","",INDIRECT("aux_sheet!V"&amp;1+MATCH(aux_sheet!$B53,aux_sheet!$A$2:$A$202,0)))</f>
        <v/>
      </c>
      <c r="P54" s="106" t="str">
        <f ca="1">IF($B54="","",INDIRECT("aux_sheet!X"&amp;1+MATCH(aux_sheet!$B53,aux_sheet!$A$2:$A$202,0)))</f>
        <v/>
      </c>
      <c r="Q54" s="89" t="str">
        <f ca="1">IF($B54="","",INDIRECT("aux_sheet!Y"&amp;1+MATCH(aux_sheet!$B53,aux_sheet!$A$2:$A$202,0)))</f>
        <v/>
      </c>
      <c r="R54" s="89" t="str">
        <f ca="1">IF($B54="","",INDIRECT("aux_sheet!Y"&amp;1+MATCH(aux_sheet!$B53,aux_sheet!$A$2:$A$202,0)))</f>
        <v/>
      </c>
      <c r="S54" s="106" t="str">
        <f ca="1">IF($B54="","",INDIRECT("aux_sheet!AA"&amp;1+MATCH(aux_sheet!$B53,aux_sheet!$A$2:$A$202,0)))</f>
        <v/>
      </c>
      <c r="T54" s="89" t="str">
        <f ca="1">IF($B54="","",INDIRECT("aux_sheet!AB"&amp;1+MATCH(aux_sheet!$B53,aux_sheet!$A$2:$A$202,0)))</f>
        <v/>
      </c>
      <c r="U54" s="89" t="str">
        <f ca="1">IF($B54="","",INDIRECT("aux_sheet!AB"&amp;1+MATCH(aux_sheet!$B53,aux_sheet!$A$2:$A$202,0)))</f>
        <v/>
      </c>
      <c r="V54" s="106" t="str">
        <f ca="1">IF($B54="","",INDIRECT("aux_sheet!AD"&amp;1+MATCH(aux_sheet!$B53,aux_sheet!$A$2:$A$202,0)))</f>
        <v/>
      </c>
      <c r="W54" s="89" t="str">
        <f ca="1">IF($B54="","",INDIRECT("aux_sheet!AE"&amp;1+MATCH(aux_sheet!$B53,aux_sheet!$A$2:$A$202,0)))</f>
        <v/>
      </c>
      <c r="X54" s="89" t="str">
        <f ca="1">IF($B54="","",INDIRECT("aux_sheet!AE"&amp;1+MATCH(aux_sheet!$B53,aux_sheet!$A$2:$A$202,0)))</f>
        <v/>
      </c>
      <c r="Y54" s="106" t="str">
        <f ca="1">IF($B54="","",INDIRECT("aux_sheet!AG"&amp;1+MATCH(aux_sheet!$B53,aux_sheet!$A$2:$A$202,0)))</f>
        <v/>
      </c>
      <c r="Z54" s="89" t="str">
        <f ca="1">IF($B54="","",INDIRECT("aux_sheet!AH"&amp;1+MATCH(aux_sheet!$B53,aux_sheet!$A$2:$A$202,0)))</f>
        <v/>
      </c>
      <c r="AA54" s="89" t="str">
        <f ca="1">IF($B54="","",INDIRECT("aux_sheet!AH"&amp;1+MATCH(aux_sheet!$B53,aux_sheet!$A$2:$A$202,0)))</f>
        <v/>
      </c>
      <c r="AB54" s="106" t="str">
        <f ca="1">IF($B54="","",INDIRECT("aux_sheet!AJ"&amp;1+MATCH(aux_sheet!$B53,aux_sheet!$A$2:$A$202,0)))</f>
        <v/>
      </c>
      <c r="AC54" s="89" t="str">
        <f ca="1">IF($B54="","",INDIRECT("aux_sheet!AK"&amp;1+MATCH(aux_sheet!$B53,aux_sheet!$A$2:$A$202,0)))</f>
        <v/>
      </c>
      <c r="AD54" s="89" t="str">
        <f ca="1">IF($B54="","",INDIRECT("aux_sheet!AK"&amp;1+MATCH(aux_sheet!$B53,aux_sheet!$A$2:$A$202,0)))</f>
        <v/>
      </c>
      <c r="AE54" s="106" t="str">
        <f ca="1">IF($B54="","",INDIRECT("aux_sheet!AM"&amp;1+MATCH(aux_sheet!$B53,aux_sheet!$A$2:$A$202,0)))</f>
        <v/>
      </c>
      <c r="AF54" s="89" t="str">
        <f ca="1">IF($B54="","",INDIRECT("aux_sheet!AN"&amp;1+MATCH(aux_sheet!$B53,aux_sheet!$A$2:$A$202,0)))</f>
        <v/>
      </c>
      <c r="AG54" s="89" t="str">
        <f ca="1">IF($B54="","",INDIRECT("aux_sheet!AN"&amp;1+MATCH(aux_sheet!$B53,aux_sheet!$A$2:$A$202,0)))</f>
        <v/>
      </c>
      <c r="AH54" s="14" t="str">
        <f>IF(ISBLANK(Input!A53)," ",F53-F54)</f>
        <v xml:space="preserve"> </v>
      </c>
    </row>
    <row r="55" spans="1:34" x14ac:dyDescent="0.35">
      <c r="A55" s="2" t="str">
        <f>IF(ISBLANK(Input!A54),"",ROUNDDOWN(aux_sheet!B54,0))</f>
        <v/>
      </c>
      <c r="B55" s="2" t="str">
        <f ca="1">IF(ISBLANK(Input!A54),"",INDIRECT("Input!A"&amp;1+MATCH(aux_sheet!$B54,aux_sheet!$A$2:$A$202,0)))</f>
        <v/>
      </c>
      <c r="C55" s="2" t="str">
        <f ca="1">IF(ISBLANK(Input!B54),"",INDIRECT("Input!B"&amp;1+MATCH(aux_sheet!$B54,aux_sheet!$A$2:$A$202,0)))</f>
        <v/>
      </c>
      <c r="D55" s="2" t="str">
        <f ca="1">IF(ISBLANK(Input!C54),"",INDIRECT("Input!C"&amp;1+MATCH(aux_sheet!$B54,aux_sheet!$A$2:$A$202,0)))</f>
        <v/>
      </c>
      <c r="E55" s="2" t="str">
        <f ca="1">IF(ISBLANK(Input!D54),"",INDIRECT("Input!D"&amp;1+MATCH(aux_sheet!$B54,aux_sheet!$A$2:$A$202,0)))</f>
        <v/>
      </c>
      <c r="F55" s="11" t="str">
        <f ca="1">INDIRECT("Input!F"&amp;1+MATCH(aux_sheet!$B54,aux_sheet!$A$2:$A$202,0))</f>
        <v xml:space="preserve"> </v>
      </c>
      <c r="G55" s="106" t="str">
        <f ca="1">IF($B55="","",INDIRECT("aux_sheet!O"&amp;1+MATCH(aux_sheet!$B54,aux_sheet!$A$2:$A$202,0)))</f>
        <v/>
      </c>
      <c r="H55" s="89" t="str">
        <f ca="1">IF($B55="","",INDIRECT("aux_sheet!P"&amp;1+MATCH(aux_sheet!$B54,aux_sheet!$A$2:$A$202,0)))</f>
        <v/>
      </c>
      <c r="I55" s="89" t="str">
        <f ca="1">IF($B55="","",INDIRECT("aux_sheet!P"&amp;1+MATCH(aux_sheet!$B54,aux_sheet!$A$2:$A$202,0)))</f>
        <v/>
      </c>
      <c r="J55" s="106" t="str">
        <f ca="1">IF($B55="","",INDIRECT("aux_sheet!R"&amp;1+MATCH(aux_sheet!$B54,aux_sheet!$A$2:$A$202,0)))</f>
        <v/>
      </c>
      <c r="K55" s="89" t="str">
        <f ca="1">IF($B55="","",INDIRECT("aux_sheet!S"&amp;1+MATCH(aux_sheet!$B54,aux_sheet!$A$2:$A$202,0)))</f>
        <v/>
      </c>
      <c r="L55" s="89" t="str">
        <f ca="1">IF($B55="","",INDIRECT("aux_sheet!S"&amp;1+MATCH(aux_sheet!$B54,aux_sheet!$A$2:$A$202,0)))</f>
        <v/>
      </c>
      <c r="M55" s="106" t="str">
        <f ca="1">IF($B55="","",INDIRECT("aux_sheet!U"&amp;1+MATCH(aux_sheet!$B54,aux_sheet!$A$2:$A$202,0)))</f>
        <v/>
      </c>
      <c r="N55" s="89" t="str">
        <f ca="1">IF($B55="","",INDIRECT("aux_sheet!V"&amp;1+MATCH(aux_sheet!$B54,aux_sheet!$A$2:$A$202,0)))</f>
        <v/>
      </c>
      <c r="O55" s="89" t="str">
        <f ca="1">IF($B55="","",INDIRECT("aux_sheet!V"&amp;1+MATCH(aux_sheet!$B54,aux_sheet!$A$2:$A$202,0)))</f>
        <v/>
      </c>
      <c r="P55" s="106" t="str">
        <f ca="1">IF($B55="","",INDIRECT("aux_sheet!X"&amp;1+MATCH(aux_sheet!$B54,aux_sheet!$A$2:$A$202,0)))</f>
        <v/>
      </c>
      <c r="Q55" s="89" t="str">
        <f ca="1">IF($B55="","",INDIRECT("aux_sheet!Y"&amp;1+MATCH(aux_sheet!$B54,aux_sheet!$A$2:$A$202,0)))</f>
        <v/>
      </c>
      <c r="R55" s="89" t="str">
        <f ca="1">IF($B55="","",INDIRECT("aux_sheet!Y"&amp;1+MATCH(aux_sheet!$B54,aux_sheet!$A$2:$A$202,0)))</f>
        <v/>
      </c>
      <c r="S55" s="106" t="str">
        <f ca="1">IF($B55="","",INDIRECT("aux_sheet!AA"&amp;1+MATCH(aux_sheet!$B54,aux_sheet!$A$2:$A$202,0)))</f>
        <v/>
      </c>
      <c r="T55" s="89" t="str">
        <f ca="1">IF($B55="","",INDIRECT("aux_sheet!AB"&amp;1+MATCH(aux_sheet!$B54,aux_sheet!$A$2:$A$202,0)))</f>
        <v/>
      </c>
      <c r="U55" s="89" t="str">
        <f ca="1">IF($B55="","",INDIRECT("aux_sheet!AB"&amp;1+MATCH(aux_sheet!$B54,aux_sheet!$A$2:$A$202,0)))</f>
        <v/>
      </c>
      <c r="V55" s="106" t="str">
        <f ca="1">IF($B55="","",INDIRECT("aux_sheet!AD"&amp;1+MATCH(aux_sheet!$B54,aux_sheet!$A$2:$A$202,0)))</f>
        <v/>
      </c>
      <c r="W55" s="89" t="str">
        <f ca="1">IF($B55="","",INDIRECT("aux_sheet!AE"&amp;1+MATCH(aux_sheet!$B54,aux_sheet!$A$2:$A$202,0)))</f>
        <v/>
      </c>
      <c r="X55" s="89" t="str">
        <f ca="1">IF($B55="","",INDIRECT("aux_sheet!AE"&amp;1+MATCH(aux_sheet!$B54,aux_sheet!$A$2:$A$202,0)))</f>
        <v/>
      </c>
      <c r="Y55" s="106" t="str">
        <f ca="1">IF($B55="","",INDIRECT("aux_sheet!AG"&amp;1+MATCH(aux_sheet!$B54,aux_sheet!$A$2:$A$202,0)))</f>
        <v/>
      </c>
      <c r="Z55" s="89" t="str">
        <f ca="1">IF($B55="","",INDIRECT("aux_sheet!AH"&amp;1+MATCH(aux_sheet!$B54,aux_sheet!$A$2:$A$202,0)))</f>
        <v/>
      </c>
      <c r="AA55" s="89" t="str">
        <f ca="1">IF($B55="","",INDIRECT("aux_sheet!AH"&amp;1+MATCH(aux_sheet!$B54,aux_sheet!$A$2:$A$202,0)))</f>
        <v/>
      </c>
      <c r="AB55" s="106" t="str">
        <f ca="1">IF($B55="","",INDIRECT("aux_sheet!AJ"&amp;1+MATCH(aux_sheet!$B54,aux_sheet!$A$2:$A$202,0)))</f>
        <v/>
      </c>
      <c r="AC55" s="89" t="str">
        <f ca="1">IF($B55="","",INDIRECT("aux_sheet!AK"&amp;1+MATCH(aux_sheet!$B54,aux_sheet!$A$2:$A$202,0)))</f>
        <v/>
      </c>
      <c r="AD55" s="89" t="str">
        <f ca="1">IF($B55="","",INDIRECT("aux_sheet!AK"&amp;1+MATCH(aux_sheet!$B54,aux_sheet!$A$2:$A$202,0)))</f>
        <v/>
      </c>
      <c r="AE55" s="106" t="str">
        <f ca="1">IF($B55="","",INDIRECT("aux_sheet!AM"&amp;1+MATCH(aux_sheet!$B54,aux_sheet!$A$2:$A$202,0)))</f>
        <v/>
      </c>
      <c r="AF55" s="89" t="str">
        <f ca="1">IF($B55="","",INDIRECT("aux_sheet!AN"&amp;1+MATCH(aux_sheet!$B54,aux_sheet!$A$2:$A$202,0)))</f>
        <v/>
      </c>
      <c r="AG55" s="89" t="str">
        <f ca="1">IF($B55="","",INDIRECT("aux_sheet!AN"&amp;1+MATCH(aux_sheet!$B54,aux_sheet!$A$2:$A$202,0)))</f>
        <v/>
      </c>
      <c r="AH55" s="14" t="str">
        <f>IF(ISBLANK(Input!A54)," ",F54-F55)</f>
        <v xml:space="preserve"> </v>
      </c>
    </row>
    <row r="56" spans="1:34" x14ac:dyDescent="0.35">
      <c r="A56" s="2" t="str">
        <f>IF(ISBLANK(Input!A55),"",ROUNDDOWN(aux_sheet!B55,0))</f>
        <v/>
      </c>
      <c r="B56" s="2" t="str">
        <f ca="1">IF(ISBLANK(Input!A55),"",INDIRECT("Input!A"&amp;1+MATCH(aux_sheet!$B55,aux_sheet!$A$2:$A$202,0)))</f>
        <v/>
      </c>
      <c r="C56" s="2" t="str">
        <f ca="1">IF(ISBLANK(Input!B55),"",INDIRECT("Input!B"&amp;1+MATCH(aux_sheet!$B55,aux_sheet!$A$2:$A$202,0)))</f>
        <v/>
      </c>
      <c r="D56" s="2" t="str">
        <f ca="1">IF(ISBLANK(Input!C55),"",INDIRECT("Input!C"&amp;1+MATCH(aux_sheet!$B55,aux_sheet!$A$2:$A$202,0)))</f>
        <v/>
      </c>
      <c r="E56" s="2" t="str">
        <f ca="1">IF(ISBLANK(Input!D55),"",INDIRECT("Input!D"&amp;1+MATCH(aux_sheet!$B55,aux_sheet!$A$2:$A$202,0)))</f>
        <v/>
      </c>
      <c r="F56" s="11" t="str">
        <f ca="1">INDIRECT("Input!F"&amp;1+MATCH(aux_sheet!$B55,aux_sheet!$A$2:$A$202,0))</f>
        <v xml:space="preserve"> </v>
      </c>
      <c r="G56" s="106" t="str">
        <f ca="1">IF($B56="","",INDIRECT("aux_sheet!O"&amp;1+MATCH(aux_sheet!$B55,aux_sheet!$A$2:$A$202,0)))</f>
        <v/>
      </c>
      <c r="H56" s="89" t="str">
        <f ca="1">IF($B56="","",INDIRECT("aux_sheet!P"&amp;1+MATCH(aux_sheet!$B55,aux_sheet!$A$2:$A$202,0)))</f>
        <v/>
      </c>
      <c r="I56" s="89" t="str">
        <f ca="1">IF($B56="","",INDIRECT("aux_sheet!P"&amp;1+MATCH(aux_sheet!$B55,aux_sheet!$A$2:$A$202,0)))</f>
        <v/>
      </c>
      <c r="J56" s="106" t="str">
        <f ca="1">IF($B56="","",INDIRECT("aux_sheet!R"&amp;1+MATCH(aux_sheet!$B55,aux_sheet!$A$2:$A$202,0)))</f>
        <v/>
      </c>
      <c r="K56" s="89" t="str">
        <f ca="1">IF($B56="","",INDIRECT("aux_sheet!S"&amp;1+MATCH(aux_sheet!$B55,aux_sheet!$A$2:$A$202,0)))</f>
        <v/>
      </c>
      <c r="L56" s="89" t="str">
        <f ca="1">IF($B56="","",INDIRECT("aux_sheet!S"&amp;1+MATCH(aux_sheet!$B55,aux_sheet!$A$2:$A$202,0)))</f>
        <v/>
      </c>
      <c r="M56" s="106" t="str">
        <f ca="1">IF($B56="","",INDIRECT("aux_sheet!U"&amp;1+MATCH(aux_sheet!$B55,aux_sheet!$A$2:$A$202,0)))</f>
        <v/>
      </c>
      <c r="N56" s="89" t="str">
        <f ca="1">IF($B56="","",INDIRECT("aux_sheet!V"&amp;1+MATCH(aux_sheet!$B55,aux_sheet!$A$2:$A$202,0)))</f>
        <v/>
      </c>
      <c r="O56" s="89" t="str">
        <f ca="1">IF($B56="","",INDIRECT("aux_sheet!V"&amp;1+MATCH(aux_sheet!$B55,aux_sheet!$A$2:$A$202,0)))</f>
        <v/>
      </c>
      <c r="P56" s="106" t="str">
        <f ca="1">IF($B56="","",INDIRECT("aux_sheet!X"&amp;1+MATCH(aux_sheet!$B55,aux_sheet!$A$2:$A$202,0)))</f>
        <v/>
      </c>
      <c r="Q56" s="89" t="str">
        <f ca="1">IF($B56="","",INDIRECT("aux_sheet!Y"&amp;1+MATCH(aux_sheet!$B55,aux_sheet!$A$2:$A$202,0)))</f>
        <v/>
      </c>
      <c r="R56" s="89" t="str">
        <f ca="1">IF($B56="","",INDIRECT("aux_sheet!Y"&amp;1+MATCH(aux_sheet!$B55,aux_sheet!$A$2:$A$202,0)))</f>
        <v/>
      </c>
      <c r="S56" s="106" t="str">
        <f ca="1">IF($B56="","",INDIRECT("aux_sheet!AA"&amp;1+MATCH(aux_sheet!$B55,aux_sheet!$A$2:$A$202,0)))</f>
        <v/>
      </c>
      <c r="T56" s="89" t="str">
        <f ca="1">IF($B56="","",INDIRECT("aux_sheet!AB"&amp;1+MATCH(aux_sheet!$B55,aux_sheet!$A$2:$A$202,0)))</f>
        <v/>
      </c>
      <c r="U56" s="89" t="str">
        <f ca="1">IF($B56="","",INDIRECT("aux_sheet!AB"&amp;1+MATCH(aux_sheet!$B55,aux_sheet!$A$2:$A$202,0)))</f>
        <v/>
      </c>
      <c r="V56" s="106" t="str">
        <f ca="1">IF($B56="","",INDIRECT("aux_sheet!AD"&amp;1+MATCH(aux_sheet!$B55,aux_sheet!$A$2:$A$202,0)))</f>
        <v/>
      </c>
      <c r="W56" s="89" t="str">
        <f ca="1">IF($B56="","",INDIRECT("aux_sheet!AE"&amp;1+MATCH(aux_sheet!$B55,aux_sheet!$A$2:$A$202,0)))</f>
        <v/>
      </c>
      <c r="X56" s="89" t="str">
        <f ca="1">IF($B56="","",INDIRECT("aux_sheet!AE"&amp;1+MATCH(aux_sheet!$B55,aux_sheet!$A$2:$A$202,0)))</f>
        <v/>
      </c>
      <c r="Y56" s="106" t="str">
        <f ca="1">IF($B56="","",INDIRECT("aux_sheet!AG"&amp;1+MATCH(aux_sheet!$B55,aux_sheet!$A$2:$A$202,0)))</f>
        <v/>
      </c>
      <c r="Z56" s="89" t="str">
        <f ca="1">IF($B56="","",INDIRECT("aux_sheet!AH"&amp;1+MATCH(aux_sheet!$B55,aux_sheet!$A$2:$A$202,0)))</f>
        <v/>
      </c>
      <c r="AA56" s="89" t="str">
        <f ca="1">IF($B56="","",INDIRECT("aux_sheet!AH"&amp;1+MATCH(aux_sheet!$B55,aux_sheet!$A$2:$A$202,0)))</f>
        <v/>
      </c>
      <c r="AB56" s="106" t="str">
        <f ca="1">IF($B56="","",INDIRECT("aux_sheet!AJ"&amp;1+MATCH(aux_sheet!$B55,aux_sheet!$A$2:$A$202,0)))</f>
        <v/>
      </c>
      <c r="AC56" s="89" t="str">
        <f ca="1">IF($B56="","",INDIRECT("aux_sheet!AK"&amp;1+MATCH(aux_sheet!$B55,aux_sheet!$A$2:$A$202,0)))</f>
        <v/>
      </c>
      <c r="AD56" s="89" t="str">
        <f ca="1">IF($B56="","",INDIRECT("aux_sheet!AK"&amp;1+MATCH(aux_sheet!$B55,aux_sheet!$A$2:$A$202,0)))</f>
        <v/>
      </c>
      <c r="AE56" s="106" t="str">
        <f ca="1">IF($B56="","",INDIRECT("aux_sheet!AM"&amp;1+MATCH(aux_sheet!$B55,aux_sheet!$A$2:$A$202,0)))</f>
        <v/>
      </c>
      <c r="AF56" s="89" t="str">
        <f ca="1">IF($B56="","",INDIRECT("aux_sheet!AN"&amp;1+MATCH(aux_sheet!$B55,aux_sheet!$A$2:$A$202,0)))</f>
        <v/>
      </c>
      <c r="AG56" s="89" t="str">
        <f ca="1">IF($B56="","",INDIRECT("aux_sheet!AN"&amp;1+MATCH(aux_sheet!$B55,aux_sheet!$A$2:$A$202,0)))</f>
        <v/>
      </c>
      <c r="AH56" s="14" t="str">
        <f>IF(ISBLANK(Input!A55)," ",F55-F56)</f>
        <v xml:space="preserve"> </v>
      </c>
    </row>
    <row r="57" spans="1:34" x14ac:dyDescent="0.35">
      <c r="A57" s="2" t="str">
        <f>IF(ISBLANK(Input!A56),"",ROUNDDOWN(aux_sheet!B56,0))</f>
        <v/>
      </c>
      <c r="B57" s="2" t="str">
        <f ca="1">IF(ISBLANK(Input!A56),"",INDIRECT("Input!A"&amp;1+MATCH(aux_sheet!$B56,aux_sheet!$A$2:$A$202,0)))</f>
        <v/>
      </c>
      <c r="C57" s="2" t="str">
        <f ca="1">IF(ISBLANK(Input!B56),"",INDIRECT("Input!B"&amp;1+MATCH(aux_sheet!$B56,aux_sheet!$A$2:$A$202,0)))</f>
        <v/>
      </c>
      <c r="D57" s="2" t="str">
        <f ca="1">IF(ISBLANK(Input!C56),"",INDIRECT("Input!C"&amp;1+MATCH(aux_sheet!$B56,aux_sheet!$A$2:$A$202,0)))</f>
        <v/>
      </c>
      <c r="E57" s="2" t="str">
        <f ca="1">IF(ISBLANK(Input!D56),"",INDIRECT("Input!D"&amp;1+MATCH(aux_sheet!$B56,aux_sheet!$A$2:$A$202,0)))</f>
        <v/>
      </c>
      <c r="F57" s="11" t="str">
        <f ca="1">INDIRECT("Input!F"&amp;1+MATCH(aux_sheet!$B56,aux_sheet!$A$2:$A$202,0))</f>
        <v xml:space="preserve"> </v>
      </c>
      <c r="G57" s="106" t="str">
        <f ca="1">IF($B57="","",INDIRECT("aux_sheet!O"&amp;1+MATCH(aux_sheet!$B56,aux_sheet!$A$2:$A$202,0)))</f>
        <v/>
      </c>
      <c r="H57" s="89" t="str">
        <f ca="1">IF($B57="","",INDIRECT("aux_sheet!P"&amp;1+MATCH(aux_sheet!$B56,aux_sheet!$A$2:$A$202,0)))</f>
        <v/>
      </c>
      <c r="I57" s="89" t="str">
        <f ca="1">IF($B57="","",INDIRECT("aux_sheet!P"&amp;1+MATCH(aux_sheet!$B56,aux_sheet!$A$2:$A$202,0)))</f>
        <v/>
      </c>
      <c r="J57" s="106" t="str">
        <f ca="1">IF($B57="","",INDIRECT("aux_sheet!R"&amp;1+MATCH(aux_sheet!$B56,aux_sheet!$A$2:$A$202,0)))</f>
        <v/>
      </c>
      <c r="K57" s="89" t="str">
        <f ca="1">IF($B57="","",INDIRECT("aux_sheet!S"&amp;1+MATCH(aux_sheet!$B56,aux_sheet!$A$2:$A$202,0)))</f>
        <v/>
      </c>
      <c r="L57" s="89" t="str">
        <f ca="1">IF($B57="","",INDIRECT("aux_sheet!S"&amp;1+MATCH(aux_sheet!$B56,aux_sheet!$A$2:$A$202,0)))</f>
        <v/>
      </c>
      <c r="M57" s="106" t="str">
        <f ca="1">IF($B57="","",INDIRECT("aux_sheet!U"&amp;1+MATCH(aux_sheet!$B56,aux_sheet!$A$2:$A$202,0)))</f>
        <v/>
      </c>
      <c r="N57" s="89" t="str">
        <f ca="1">IF($B57="","",INDIRECT("aux_sheet!V"&amp;1+MATCH(aux_sheet!$B56,aux_sheet!$A$2:$A$202,0)))</f>
        <v/>
      </c>
      <c r="O57" s="89" t="str">
        <f ca="1">IF($B57="","",INDIRECT("aux_sheet!V"&amp;1+MATCH(aux_sheet!$B56,aux_sheet!$A$2:$A$202,0)))</f>
        <v/>
      </c>
      <c r="P57" s="106" t="str">
        <f ca="1">IF($B57="","",INDIRECT("aux_sheet!X"&amp;1+MATCH(aux_sheet!$B56,aux_sheet!$A$2:$A$202,0)))</f>
        <v/>
      </c>
      <c r="Q57" s="89" t="str">
        <f ca="1">IF($B57="","",INDIRECT("aux_sheet!Y"&amp;1+MATCH(aux_sheet!$B56,aux_sheet!$A$2:$A$202,0)))</f>
        <v/>
      </c>
      <c r="R57" s="89" t="str">
        <f ca="1">IF($B57="","",INDIRECT("aux_sheet!Y"&amp;1+MATCH(aux_sheet!$B56,aux_sheet!$A$2:$A$202,0)))</f>
        <v/>
      </c>
      <c r="S57" s="106" t="str">
        <f ca="1">IF($B57="","",INDIRECT("aux_sheet!AA"&amp;1+MATCH(aux_sheet!$B56,aux_sheet!$A$2:$A$202,0)))</f>
        <v/>
      </c>
      <c r="T57" s="89" t="str">
        <f ca="1">IF($B57="","",INDIRECT("aux_sheet!AB"&amp;1+MATCH(aux_sheet!$B56,aux_sheet!$A$2:$A$202,0)))</f>
        <v/>
      </c>
      <c r="U57" s="89" t="str">
        <f ca="1">IF($B57="","",INDIRECT("aux_sheet!AB"&amp;1+MATCH(aux_sheet!$B56,aux_sheet!$A$2:$A$202,0)))</f>
        <v/>
      </c>
      <c r="V57" s="106" t="str">
        <f ca="1">IF($B57="","",INDIRECT("aux_sheet!AD"&amp;1+MATCH(aux_sheet!$B56,aux_sheet!$A$2:$A$202,0)))</f>
        <v/>
      </c>
      <c r="W57" s="89" t="str">
        <f ca="1">IF($B57="","",INDIRECT("aux_sheet!AE"&amp;1+MATCH(aux_sheet!$B56,aux_sheet!$A$2:$A$202,0)))</f>
        <v/>
      </c>
      <c r="X57" s="89" t="str">
        <f ca="1">IF($B57="","",INDIRECT("aux_sheet!AE"&amp;1+MATCH(aux_sheet!$B56,aux_sheet!$A$2:$A$202,0)))</f>
        <v/>
      </c>
      <c r="Y57" s="106" t="str">
        <f ca="1">IF($B57="","",INDIRECT("aux_sheet!AG"&amp;1+MATCH(aux_sheet!$B56,aux_sheet!$A$2:$A$202,0)))</f>
        <v/>
      </c>
      <c r="Z57" s="89" t="str">
        <f ca="1">IF($B57="","",INDIRECT("aux_sheet!AH"&amp;1+MATCH(aux_sheet!$B56,aux_sheet!$A$2:$A$202,0)))</f>
        <v/>
      </c>
      <c r="AA57" s="89" t="str">
        <f ca="1">IF($B57="","",INDIRECT("aux_sheet!AH"&amp;1+MATCH(aux_sheet!$B56,aux_sheet!$A$2:$A$202,0)))</f>
        <v/>
      </c>
      <c r="AB57" s="106" t="str">
        <f ca="1">IF($B57="","",INDIRECT("aux_sheet!AJ"&amp;1+MATCH(aux_sheet!$B56,aux_sheet!$A$2:$A$202,0)))</f>
        <v/>
      </c>
      <c r="AC57" s="89" t="str">
        <f ca="1">IF($B57="","",INDIRECT("aux_sheet!AK"&amp;1+MATCH(aux_sheet!$B56,aux_sheet!$A$2:$A$202,0)))</f>
        <v/>
      </c>
      <c r="AD57" s="89" t="str">
        <f ca="1">IF($B57="","",INDIRECT("aux_sheet!AK"&amp;1+MATCH(aux_sheet!$B56,aux_sheet!$A$2:$A$202,0)))</f>
        <v/>
      </c>
      <c r="AE57" s="106" t="str">
        <f ca="1">IF($B57="","",INDIRECT("aux_sheet!AM"&amp;1+MATCH(aux_sheet!$B56,aux_sheet!$A$2:$A$202,0)))</f>
        <v/>
      </c>
      <c r="AF57" s="89" t="str">
        <f ca="1">IF($B57="","",INDIRECT("aux_sheet!AN"&amp;1+MATCH(aux_sheet!$B56,aux_sheet!$A$2:$A$202,0)))</f>
        <v/>
      </c>
      <c r="AG57" s="89" t="str">
        <f ca="1">IF($B57="","",INDIRECT("aux_sheet!AN"&amp;1+MATCH(aux_sheet!$B56,aux_sheet!$A$2:$A$202,0)))</f>
        <v/>
      </c>
      <c r="AH57" s="14" t="str">
        <f>IF(ISBLANK(Input!A56)," ",F56-F57)</f>
        <v xml:space="preserve"> </v>
      </c>
    </row>
    <row r="58" spans="1:34" x14ac:dyDescent="0.35">
      <c r="A58" s="2" t="str">
        <f>IF(ISBLANK(Input!A57),"",ROUNDDOWN(aux_sheet!B57,0))</f>
        <v/>
      </c>
      <c r="B58" s="2" t="str">
        <f ca="1">IF(ISBLANK(Input!A57),"",INDIRECT("Input!A"&amp;1+MATCH(aux_sheet!$B57,aux_sheet!$A$2:$A$202,0)))</f>
        <v/>
      </c>
      <c r="C58" s="2" t="str">
        <f ca="1">IF(ISBLANK(Input!B57),"",INDIRECT("Input!B"&amp;1+MATCH(aux_sheet!$B57,aux_sheet!$A$2:$A$202,0)))</f>
        <v/>
      </c>
      <c r="D58" s="2" t="str">
        <f ca="1">IF(ISBLANK(Input!C57),"",INDIRECT("Input!C"&amp;1+MATCH(aux_sheet!$B57,aux_sheet!$A$2:$A$202,0)))</f>
        <v/>
      </c>
      <c r="E58" s="2" t="str">
        <f ca="1">IF(ISBLANK(Input!D57),"",INDIRECT("Input!D"&amp;1+MATCH(aux_sheet!$B57,aux_sheet!$A$2:$A$202,0)))</f>
        <v/>
      </c>
      <c r="F58" s="11" t="str">
        <f ca="1">INDIRECT("Input!F"&amp;1+MATCH(aux_sheet!$B57,aux_sheet!$A$2:$A$202,0))</f>
        <v xml:space="preserve"> </v>
      </c>
      <c r="G58" s="106" t="str">
        <f ca="1">IF($B58="","",INDIRECT("aux_sheet!O"&amp;1+MATCH(aux_sheet!$B57,aux_sheet!$A$2:$A$202,0)))</f>
        <v/>
      </c>
      <c r="H58" s="89" t="str">
        <f ca="1">IF($B58="","",INDIRECT("aux_sheet!P"&amp;1+MATCH(aux_sheet!$B57,aux_sheet!$A$2:$A$202,0)))</f>
        <v/>
      </c>
      <c r="I58" s="89" t="str">
        <f ca="1">IF($B58="","",INDIRECT("aux_sheet!P"&amp;1+MATCH(aux_sheet!$B57,aux_sheet!$A$2:$A$202,0)))</f>
        <v/>
      </c>
      <c r="J58" s="106" t="str">
        <f ca="1">IF($B58="","",INDIRECT("aux_sheet!R"&amp;1+MATCH(aux_sheet!$B57,aux_sheet!$A$2:$A$202,0)))</f>
        <v/>
      </c>
      <c r="K58" s="89" t="str">
        <f ca="1">IF($B58="","",INDIRECT("aux_sheet!S"&amp;1+MATCH(aux_sheet!$B57,aux_sheet!$A$2:$A$202,0)))</f>
        <v/>
      </c>
      <c r="L58" s="89" t="str">
        <f ca="1">IF($B58="","",INDIRECT("aux_sheet!S"&amp;1+MATCH(aux_sheet!$B57,aux_sheet!$A$2:$A$202,0)))</f>
        <v/>
      </c>
      <c r="M58" s="106" t="str">
        <f ca="1">IF($B58="","",INDIRECT("aux_sheet!U"&amp;1+MATCH(aux_sheet!$B57,aux_sheet!$A$2:$A$202,0)))</f>
        <v/>
      </c>
      <c r="N58" s="89" t="str">
        <f ca="1">IF($B58="","",INDIRECT("aux_sheet!V"&amp;1+MATCH(aux_sheet!$B57,aux_sheet!$A$2:$A$202,0)))</f>
        <v/>
      </c>
      <c r="O58" s="89" t="str">
        <f ca="1">IF($B58="","",INDIRECT("aux_sheet!V"&amp;1+MATCH(aux_sheet!$B57,aux_sheet!$A$2:$A$202,0)))</f>
        <v/>
      </c>
      <c r="P58" s="106" t="str">
        <f ca="1">IF($B58="","",INDIRECT("aux_sheet!X"&amp;1+MATCH(aux_sheet!$B57,aux_sheet!$A$2:$A$202,0)))</f>
        <v/>
      </c>
      <c r="Q58" s="89" t="str">
        <f ca="1">IF($B58="","",INDIRECT("aux_sheet!Y"&amp;1+MATCH(aux_sheet!$B57,aux_sheet!$A$2:$A$202,0)))</f>
        <v/>
      </c>
      <c r="R58" s="89" t="str">
        <f ca="1">IF($B58="","",INDIRECT("aux_sheet!Y"&amp;1+MATCH(aux_sheet!$B57,aux_sheet!$A$2:$A$202,0)))</f>
        <v/>
      </c>
      <c r="S58" s="106" t="str">
        <f ca="1">IF($B58="","",INDIRECT("aux_sheet!AA"&amp;1+MATCH(aux_sheet!$B57,aux_sheet!$A$2:$A$202,0)))</f>
        <v/>
      </c>
      <c r="T58" s="89" t="str">
        <f ca="1">IF($B58="","",INDIRECT("aux_sheet!AB"&amp;1+MATCH(aux_sheet!$B57,aux_sheet!$A$2:$A$202,0)))</f>
        <v/>
      </c>
      <c r="U58" s="89" t="str">
        <f ca="1">IF($B58="","",INDIRECT("aux_sheet!AB"&amp;1+MATCH(aux_sheet!$B57,aux_sheet!$A$2:$A$202,0)))</f>
        <v/>
      </c>
      <c r="V58" s="106" t="str">
        <f ca="1">IF($B58="","",INDIRECT("aux_sheet!AD"&amp;1+MATCH(aux_sheet!$B57,aux_sheet!$A$2:$A$202,0)))</f>
        <v/>
      </c>
      <c r="W58" s="89" t="str">
        <f ca="1">IF($B58="","",INDIRECT("aux_sheet!AE"&amp;1+MATCH(aux_sheet!$B57,aux_sheet!$A$2:$A$202,0)))</f>
        <v/>
      </c>
      <c r="X58" s="89" t="str">
        <f ca="1">IF($B58="","",INDIRECT("aux_sheet!AE"&amp;1+MATCH(aux_sheet!$B57,aux_sheet!$A$2:$A$202,0)))</f>
        <v/>
      </c>
      <c r="Y58" s="106" t="str">
        <f ca="1">IF($B58="","",INDIRECT("aux_sheet!AG"&amp;1+MATCH(aux_sheet!$B57,aux_sheet!$A$2:$A$202,0)))</f>
        <v/>
      </c>
      <c r="Z58" s="89" t="str">
        <f ca="1">IF($B58="","",INDIRECT("aux_sheet!AH"&amp;1+MATCH(aux_sheet!$B57,aux_sheet!$A$2:$A$202,0)))</f>
        <v/>
      </c>
      <c r="AA58" s="89" t="str">
        <f ca="1">IF($B58="","",INDIRECT("aux_sheet!AH"&amp;1+MATCH(aux_sheet!$B57,aux_sheet!$A$2:$A$202,0)))</f>
        <v/>
      </c>
      <c r="AB58" s="106" t="str">
        <f ca="1">IF($B58="","",INDIRECT("aux_sheet!AJ"&amp;1+MATCH(aux_sheet!$B57,aux_sheet!$A$2:$A$202,0)))</f>
        <v/>
      </c>
      <c r="AC58" s="89" t="str">
        <f ca="1">IF($B58="","",INDIRECT("aux_sheet!AK"&amp;1+MATCH(aux_sheet!$B57,aux_sheet!$A$2:$A$202,0)))</f>
        <v/>
      </c>
      <c r="AD58" s="89" t="str">
        <f ca="1">IF($B58="","",INDIRECT("aux_sheet!AK"&amp;1+MATCH(aux_sheet!$B57,aux_sheet!$A$2:$A$202,0)))</f>
        <v/>
      </c>
      <c r="AE58" s="106" t="str">
        <f ca="1">IF($B58="","",INDIRECT("aux_sheet!AM"&amp;1+MATCH(aux_sheet!$B57,aux_sheet!$A$2:$A$202,0)))</f>
        <v/>
      </c>
      <c r="AF58" s="89" t="str">
        <f ca="1">IF($B58="","",INDIRECT("aux_sheet!AN"&amp;1+MATCH(aux_sheet!$B57,aux_sheet!$A$2:$A$202,0)))</f>
        <v/>
      </c>
      <c r="AG58" s="89" t="str">
        <f ca="1">IF($B58="","",INDIRECT("aux_sheet!AN"&amp;1+MATCH(aux_sheet!$B57,aux_sheet!$A$2:$A$202,0)))</f>
        <v/>
      </c>
      <c r="AH58" s="14" t="str">
        <f>IF(ISBLANK(Input!A57)," ",F57-F58)</f>
        <v xml:space="preserve"> </v>
      </c>
    </row>
    <row r="59" spans="1:34" x14ac:dyDescent="0.35">
      <c r="A59" s="2" t="str">
        <f>IF(ISBLANK(Input!A58),"",ROUNDDOWN(aux_sheet!B58,0))</f>
        <v/>
      </c>
      <c r="B59" s="2" t="str">
        <f ca="1">IF(ISBLANK(Input!A58),"",INDIRECT("Input!A"&amp;1+MATCH(aux_sheet!$B58,aux_sheet!$A$2:$A$202,0)))</f>
        <v/>
      </c>
      <c r="C59" s="2" t="str">
        <f ca="1">IF(ISBLANK(Input!B58),"",INDIRECT("Input!B"&amp;1+MATCH(aux_sheet!$B58,aux_sheet!$A$2:$A$202,0)))</f>
        <v/>
      </c>
      <c r="D59" s="2" t="str">
        <f ca="1">IF(ISBLANK(Input!C58),"",INDIRECT("Input!C"&amp;1+MATCH(aux_sheet!$B58,aux_sheet!$A$2:$A$202,0)))</f>
        <v/>
      </c>
      <c r="E59" s="2" t="str">
        <f ca="1">IF(ISBLANK(Input!D58),"",INDIRECT("Input!D"&amp;1+MATCH(aux_sheet!$B58,aux_sheet!$A$2:$A$202,0)))</f>
        <v/>
      </c>
      <c r="F59" s="11" t="str">
        <f ca="1">INDIRECT("Input!F"&amp;1+MATCH(aux_sheet!$B58,aux_sheet!$A$2:$A$202,0))</f>
        <v xml:space="preserve"> </v>
      </c>
      <c r="G59" s="106" t="str">
        <f ca="1">IF($B59="","",INDIRECT("aux_sheet!O"&amp;1+MATCH(aux_sheet!$B58,aux_sheet!$A$2:$A$202,0)))</f>
        <v/>
      </c>
      <c r="H59" s="89" t="str">
        <f ca="1">IF($B59="","",INDIRECT("aux_sheet!P"&amp;1+MATCH(aux_sheet!$B58,aux_sheet!$A$2:$A$202,0)))</f>
        <v/>
      </c>
      <c r="I59" s="89" t="str">
        <f ca="1">IF($B59="","",INDIRECT("aux_sheet!P"&amp;1+MATCH(aux_sheet!$B58,aux_sheet!$A$2:$A$202,0)))</f>
        <v/>
      </c>
      <c r="J59" s="106" t="str">
        <f ca="1">IF($B59="","",INDIRECT("aux_sheet!R"&amp;1+MATCH(aux_sheet!$B58,aux_sheet!$A$2:$A$202,0)))</f>
        <v/>
      </c>
      <c r="K59" s="89" t="str">
        <f ca="1">IF($B59="","",INDIRECT("aux_sheet!S"&amp;1+MATCH(aux_sheet!$B58,aux_sheet!$A$2:$A$202,0)))</f>
        <v/>
      </c>
      <c r="L59" s="89" t="str">
        <f ca="1">IF($B59="","",INDIRECT("aux_sheet!S"&amp;1+MATCH(aux_sheet!$B58,aux_sheet!$A$2:$A$202,0)))</f>
        <v/>
      </c>
      <c r="M59" s="106" t="str">
        <f ca="1">IF($B59="","",INDIRECT("aux_sheet!U"&amp;1+MATCH(aux_sheet!$B58,aux_sheet!$A$2:$A$202,0)))</f>
        <v/>
      </c>
      <c r="N59" s="89" t="str">
        <f ca="1">IF($B59="","",INDIRECT("aux_sheet!V"&amp;1+MATCH(aux_sheet!$B58,aux_sheet!$A$2:$A$202,0)))</f>
        <v/>
      </c>
      <c r="O59" s="89" t="str">
        <f ca="1">IF($B59="","",INDIRECT("aux_sheet!V"&amp;1+MATCH(aux_sheet!$B58,aux_sheet!$A$2:$A$202,0)))</f>
        <v/>
      </c>
      <c r="P59" s="106" t="str">
        <f ca="1">IF($B59="","",INDIRECT("aux_sheet!X"&amp;1+MATCH(aux_sheet!$B58,aux_sheet!$A$2:$A$202,0)))</f>
        <v/>
      </c>
      <c r="Q59" s="89" t="str">
        <f ca="1">IF($B59="","",INDIRECT("aux_sheet!Y"&amp;1+MATCH(aux_sheet!$B58,aux_sheet!$A$2:$A$202,0)))</f>
        <v/>
      </c>
      <c r="R59" s="89" t="str">
        <f ca="1">IF($B59="","",INDIRECT("aux_sheet!Y"&amp;1+MATCH(aux_sheet!$B58,aux_sheet!$A$2:$A$202,0)))</f>
        <v/>
      </c>
      <c r="S59" s="106" t="str">
        <f ca="1">IF($B59="","",INDIRECT("aux_sheet!AA"&amp;1+MATCH(aux_sheet!$B58,aux_sheet!$A$2:$A$202,0)))</f>
        <v/>
      </c>
      <c r="T59" s="89" t="str">
        <f ca="1">IF($B59="","",INDIRECT("aux_sheet!AB"&amp;1+MATCH(aux_sheet!$B58,aux_sheet!$A$2:$A$202,0)))</f>
        <v/>
      </c>
      <c r="U59" s="89" t="str">
        <f ca="1">IF($B59="","",INDIRECT("aux_sheet!AB"&amp;1+MATCH(aux_sheet!$B58,aux_sheet!$A$2:$A$202,0)))</f>
        <v/>
      </c>
      <c r="V59" s="106" t="str">
        <f ca="1">IF($B59="","",INDIRECT("aux_sheet!AD"&amp;1+MATCH(aux_sheet!$B58,aux_sheet!$A$2:$A$202,0)))</f>
        <v/>
      </c>
      <c r="W59" s="89" t="str">
        <f ca="1">IF($B59="","",INDIRECT("aux_sheet!AE"&amp;1+MATCH(aux_sheet!$B58,aux_sheet!$A$2:$A$202,0)))</f>
        <v/>
      </c>
      <c r="X59" s="89" t="str">
        <f ca="1">IF($B59="","",INDIRECT("aux_sheet!AE"&amp;1+MATCH(aux_sheet!$B58,aux_sheet!$A$2:$A$202,0)))</f>
        <v/>
      </c>
      <c r="Y59" s="106" t="str">
        <f ca="1">IF($B59="","",INDIRECT("aux_sheet!AG"&amp;1+MATCH(aux_sheet!$B58,aux_sheet!$A$2:$A$202,0)))</f>
        <v/>
      </c>
      <c r="Z59" s="89" t="str">
        <f ca="1">IF($B59="","",INDIRECT("aux_sheet!AH"&amp;1+MATCH(aux_sheet!$B58,aux_sheet!$A$2:$A$202,0)))</f>
        <v/>
      </c>
      <c r="AA59" s="89" t="str">
        <f ca="1">IF($B59="","",INDIRECT("aux_sheet!AH"&amp;1+MATCH(aux_sheet!$B58,aux_sheet!$A$2:$A$202,0)))</f>
        <v/>
      </c>
      <c r="AB59" s="106" t="str">
        <f ca="1">IF($B59="","",INDIRECT("aux_sheet!AJ"&amp;1+MATCH(aux_sheet!$B58,aux_sheet!$A$2:$A$202,0)))</f>
        <v/>
      </c>
      <c r="AC59" s="89" t="str">
        <f ca="1">IF($B59="","",INDIRECT("aux_sheet!AK"&amp;1+MATCH(aux_sheet!$B58,aux_sheet!$A$2:$A$202,0)))</f>
        <v/>
      </c>
      <c r="AD59" s="89" t="str">
        <f ca="1">IF($B59="","",INDIRECT("aux_sheet!AK"&amp;1+MATCH(aux_sheet!$B58,aux_sheet!$A$2:$A$202,0)))</f>
        <v/>
      </c>
      <c r="AE59" s="106" t="str">
        <f ca="1">IF($B59="","",INDIRECT("aux_sheet!AM"&amp;1+MATCH(aux_sheet!$B58,aux_sheet!$A$2:$A$202,0)))</f>
        <v/>
      </c>
      <c r="AF59" s="89" t="str">
        <f ca="1">IF($B59="","",INDIRECT("aux_sheet!AN"&amp;1+MATCH(aux_sheet!$B58,aux_sheet!$A$2:$A$202,0)))</f>
        <v/>
      </c>
      <c r="AG59" s="89" t="str">
        <f ca="1">IF($B59="","",INDIRECT("aux_sheet!AN"&amp;1+MATCH(aux_sheet!$B58,aux_sheet!$A$2:$A$202,0)))</f>
        <v/>
      </c>
      <c r="AH59" s="14" t="str">
        <f>IF(ISBLANK(Input!A58)," ",F58-F59)</f>
        <v xml:space="preserve"> </v>
      </c>
    </row>
    <row r="60" spans="1:34" x14ac:dyDescent="0.35">
      <c r="A60" s="2" t="str">
        <f>IF(ISBLANK(Input!A59),"",ROUNDDOWN(aux_sheet!B59,0))</f>
        <v/>
      </c>
      <c r="B60" s="2" t="str">
        <f ca="1">IF(ISBLANK(Input!A59),"",INDIRECT("Input!A"&amp;1+MATCH(aux_sheet!$B59,aux_sheet!$A$2:$A$202,0)))</f>
        <v/>
      </c>
      <c r="C60" s="2" t="str">
        <f ca="1">IF(ISBLANK(Input!B59),"",INDIRECT("Input!B"&amp;1+MATCH(aux_sheet!$B59,aux_sheet!$A$2:$A$202,0)))</f>
        <v/>
      </c>
      <c r="D60" s="2" t="str">
        <f ca="1">IF(ISBLANK(Input!C59),"",INDIRECT("Input!C"&amp;1+MATCH(aux_sheet!$B59,aux_sheet!$A$2:$A$202,0)))</f>
        <v/>
      </c>
      <c r="E60" s="2" t="str">
        <f ca="1">IF(ISBLANK(Input!D59),"",INDIRECT("Input!D"&amp;1+MATCH(aux_sheet!$B59,aux_sheet!$A$2:$A$202,0)))</f>
        <v/>
      </c>
      <c r="F60" s="11" t="str">
        <f ca="1">INDIRECT("Input!F"&amp;1+MATCH(aux_sheet!$B59,aux_sheet!$A$2:$A$202,0))</f>
        <v xml:space="preserve"> </v>
      </c>
      <c r="G60" s="106" t="str">
        <f ca="1">IF($B60="","",INDIRECT("aux_sheet!O"&amp;1+MATCH(aux_sheet!$B59,aux_sheet!$A$2:$A$202,0)))</f>
        <v/>
      </c>
      <c r="H60" s="89" t="str">
        <f ca="1">IF($B60="","",INDIRECT("aux_sheet!P"&amp;1+MATCH(aux_sheet!$B59,aux_sheet!$A$2:$A$202,0)))</f>
        <v/>
      </c>
      <c r="I60" s="89" t="str">
        <f ca="1">IF($B60="","",INDIRECT("aux_sheet!P"&amp;1+MATCH(aux_sheet!$B59,aux_sheet!$A$2:$A$202,0)))</f>
        <v/>
      </c>
      <c r="J60" s="106" t="str">
        <f ca="1">IF($B60="","",INDIRECT("aux_sheet!R"&amp;1+MATCH(aux_sheet!$B59,aux_sheet!$A$2:$A$202,0)))</f>
        <v/>
      </c>
      <c r="K60" s="89" t="str">
        <f ca="1">IF($B60="","",INDIRECT("aux_sheet!S"&amp;1+MATCH(aux_sheet!$B59,aux_sheet!$A$2:$A$202,0)))</f>
        <v/>
      </c>
      <c r="L60" s="89" t="str">
        <f ca="1">IF($B60="","",INDIRECT("aux_sheet!S"&amp;1+MATCH(aux_sheet!$B59,aux_sheet!$A$2:$A$202,0)))</f>
        <v/>
      </c>
      <c r="M60" s="106" t="str">
        <f ca="1">IF($B60="","",INDIRECT("aux_sheet!U"&amp;1+MATCH(aux_sheet!$B59,aux_sheet!$A$2:$A$202,0)))</f>
        <v/>
      </c>
      <c r="N60" s="89" t="str">
        <f ca="1">IF($B60="","",INDIRECT("aux_sheet!V"&amp;1+MATCH(aux_sheet!$B59,aux_sheet!$A$2:$A$202,0)))</f>
        <v/>
      </c>
      <c r="O60" s="89" t="str">
        <f ca="1">IF($B60="","",INDIRECT("aux_sheet!V"&amp;1+MATCH(aux_sheet!$B59,aux_sheet!$A$2:$A$202,0)))</f>
        <v/>
      </c>
      <c r="P60" s="106" t="str">
        <f ca="1">IF($B60="","",INDIRECT("aux_sheet!X"&amp;1+MATCH(aux_sheet!$B59,aux_sheet!$A$2:$A$202,0)))</f>
        <v/>
      </c>
      <c r="Q60" s="89" t="str">
        <f ca="1">IF($B60="","",INDIRECT("aux_sheet!Y"&amp;1+MATCH(aux_sheet!$B59,aux_sheet!$A$2:$A$202,0)))</f>
        <v/>
      </c>
      <c r="R60" s="89" t="str">
        <f ca="1">IF($B60="","",INDIRECT("aux_sheet!Y"&amp;1+MATCH(aux_sheet!$B59,aux_sheet!$A$2:$A$202,0)))</f>
        <v/>
      </c>
      <c r="S60" s="106" t="str">
        <f ca="1">IF($B60="","",INDIRECT("aux_sheet!AA"&amp;1+MATCH(aux_sheet!$B59,aux_sheet!$A$2:$A$202,0)))</f>
        <v/>
      </c>
      <c r="T60" s="89" t="str">
        <f ca="1">IF($B60="","",INDIRECT("aux_sheet!AB"&amp;1+MATCH(aux_sheet!$B59,aux_sheet!$A$2:$A$202,0)))</f>
        <v/>
      </c>
      <c r="U60" s="89" t="str">
        <f ca="1">IF($B60="","",INDIRECT("aux_sheet!AB"&amp;1+MATCH(aux_sheet!$B59,aux_sheet!$A$2:$A$202,0)))</f>
        <v/>
      </c>
      <c r="V60" s="106" t="str">
        <f ca="1">IF($B60="","",INDIRECT("aux_sheet!AD"&amp;1+MATCH(aux_sheet!$B59,aux_sheet!$A$2:$A$202,0)))</f>
        <v/>
      </c>
      <c r="W60" s="89" t="str">
        <f ca="1">IF($B60="","",INDIRECT("aux_sheet!AE"&amp;1+MATCH(aux_sheet!$B59,aux_sheet!$A$2:$A$202,0)))</f>
        <v/>
      </c>
      <c r="X60" s="89" t="str">
        <f ca="1">IF($B60="","",INDIRECT("aux_sheet!AE"&amp;1+MATCH(aux_sheet!$B59,aux_sheet!$A$2:$A$202,0)))</f>
        <v/>
      </c>
      <c r="Y60" s="106" t="str">
        <f ca="1">IF($B60="","",INDIRECT("aux_sheet!AG"&amp;1+MATCH(aux_sheet!$B59,aux_sheet!$A$2:$A$202,0)))</f>
        <v/>
      </c>
      <c r="Z60" s="89" t="str">
        <f ca="1">IF($B60="","",INDIRECT("aux_sheet!AH"&amp;1+MATCH(aux_sheet!$B59,aux_sheet!$A$2:$A$202,0)))</f>
        <v/>
      </c>
      <c r="AA60" s="89" t="str">
        <f ca="1">IF($B60="","",INDIRECT("aux_sheet!AH"&amp;1+MATCH(aux_sheet!$B59,aux_sheet!$A$2:$A$202,0)))</f>
        <v/>
      </c>
      <c r="AB60" s="106" t="str">
        <f ca="1">IF($B60="","",INDIRECT("aux_sheet!AJ"&amp;1+MATCH(aux_sheet!$B59,aux_sheet!$A$2:$A$202,0)))</f>
        <v/>
      </c>
      <c r="AC60" s="89" t="str">
        <f ca="1">IF($B60="","",INDIRECT("aux_sheet!AK"&amp;1+MATCH(aux_sheet!$B59,aux_sheet!$A$2:$A$202,0)))</f>
        <v/>
      </c>
      <c r="AD60" s="89" t="str">
        <f ca="1">IF($B60="","",INDIRECT("aux_sheet!AK"&amp;1+MATCH(aux_sheet!$B59,aux_sheet!$A$2:$A$202,0)))</f>
        <v/>
      </c>
      <c r="AE60" s="106" t="str">
        <f ca="1">IF($B60="","",INDIRECT("aux_sheet!AM"&amp;1+MATCH(aux_sheet!$B59,aux_sheet!$A$2:$A$202,0)))</f>
        <v/>
      </c>
      <c r="AF60" s="89" t="str">
        <f ca="1">IF($B60="","",INDIRECT("aux_sheet!AN"&amp;1+MATCH(aux_sheet!$B59,aux_sheet!$A$2:$A$202,0)))</f>
        <v/>
      </c>
      <c r="AG60" s="89" t="str">
        <f ca="1">IF($B60="","",INDIRECT("aux_sheet!AN"&amp;1+MATCH(aux_sheet!$B59,aux_sheet!$A$2:$A$202,0)))</f>
        <v/>
      </c>
      <c r="AH60" s="14" t="str">
        <f>IF(ISBLANK(Input!A59)," ",F59-F60)</f>
        <v xml:space="preserve"> </v>
      </c>
    </row>
    <row r="61" spans="1:34" x14ac:dyDescent="0.35">
      <c r="A61" s="2" t="str">
        <f>IF(ISBLANK(Input!A60),"",ROUNDDOWN(aux_sheet!B60,0))</f>
        <v/>
      </c>
      <c r="B61" s="2" t="str">
        <f ca="1">IF(ISBLANK(Input!A60),"",INDIRECT("Input!A"&amp;1+MATCH(aux_sheet!$B60,aux_sheet!$A$2:$A$202,0)))</f>
        <v/>
      </c>
      <c r="C61" s="2" t="str">
        <f ca="1">IF(ISBLANK(Input!B60),"",INDIRECT("Input!B"&amp;1+MATCH(aux_sheet!$B60,aux_sheet!$A$2:$A$202,0)))</f>
        <v/>
      </c>
      <c r="D61" s="2" t="str">
        <f ca="1">IF(ISBLANK(Input!C60),"",INDIRECT("Input!C"&amp;1+MATCH(aux_sheet!$B60,aux_sheet!$A$2:$A$202,0)))</f>
        <v/>
      </c>
      <c r="E61" s="2" t="str">
        <f ca="1">IF(ISBLANK(Input!D60),"",INDIRECT("Input!D"&amp;1+MATCH(aux_sheet!$B60,aux_sheet!$A$2:$A$202,0)))</f>
        <v/>
      </c>
      <c r="F61" s="11" t="str">
        <f ca="1">INDIRECT("Input!F"&amp;1+MATCH(aux_sheet!$B60,aux_sheet!$A$2:$A$202,0))</f>
        <v xml:space="preserve"> </v>
      </c>
      <c r="G61" s="106" t="str">
        <f ca="1">IF($B61="","",INDIRECT("aux_sheet!O"&amp;1+MATCH(aux_sheet!$B60,aux_sheet!$A$2:$A$202,0)))</f>
        <v/>
      </c>
      <c r="H61" s="89" t="str">
        <f ca="1">IF($B61="","",INDIRECT("aux_sheet!P"&amp;1+MATCH(aux_sheet!$B60,aux_sheet!$A$2:$A$202,0)))</f>
        <v/>
      </c>
      <c r="I61" s="89" t="str">
        <f ca="1">IF($B61="","",INDIRECT("aux_sheet!P"&amp;1+MATCH(aux_sheet!$B60,aux_sheet!$A$2:$A$202,0)))</f>
        <v/>
      </c>
      <c r="J61" s="106" t="str">
        <f ca="1">IF($B61="","",INDIRECT("aux_sheet!R"&amp;1+MATCH(aux_sheet!$B60,aux_sheet!$A$2:$A$202,0)))</f>
        <v/>
      </c>
      <c r="K61" s="89" t="str">
        <f ca="1">IF($B61="","",INDIRECT("aux_sheet!S"&amp;1+MATCH(aux_sheet!$B60,aux_sheet!$A$2:$A$202,0)))</f>
        <v/>
      </c>
      <c r="L61" s="89" t="str">
        <f ca="1">IF($B61="","",INDIRECT("aux_sheet!S"&amp;1+MATCH(aux_sheet!$B60,aux_sheet!$A$2:$A$202,0)))</f>
        <v/>
      </c>
      <c r="M61" s="106" t="str">
        <f ca="1">IF($B61="","",INDIRECT("aux_sheet!U"&amp;1+MATCH(aux_sheet!$B60,aux_sheet!$A$2:$A$202,0)))</f>
        <v/>
      </c>
      <c r="N61" s="89" t="str">
        <f ca="1">IF($B61="","",INDIRECT("aux_sheet!V"&amp;1+MATCH(aux_sheet!$B60,aux_sheet!$A$2:$A$202,0)))</f>
        <v/>
      </c>
      <c r="O61" s="89" t="str">
        <f ca="1">IF($B61="","",INDIRECT("aux_sheet!V"&amp;1+MATCH(aux_sheet!$B60,aux_sheet!$A$2:$A$202,0)))</f>
        <v/>
      </c>
      <c r="P61" s="106" t="str">
        <f ca="1">IF($B61="","",INDIRECT("aux_sheet!X"&amp;1+MATCH(aux_sheet!$B60,aux_sheet!$A$2:$A$202,0)))</f>
        <v/>
      </c>
      <c r="Q61" s="89" t="str">
        <f ca="1">IF($B61="","",INDIRECT("aux_sheet!Y"&amp;1+MATCH(aux_sheet!$B60,aux_sheet!$A$2:$A$202,0)))</f>
        <v/>
      </c>
      <c r="R61" s="89" t="str">
        <f ca="1">IF($B61="","",INDIRECT("aux_sheet!Y"&amp;1+MATCH(aux_sheet!$B60,aux_sheet!$A$2:$A$202,0)))</f>
        <v/>
      </c>
      <c r="S61" s="106" t="str">
        <f ca="1">IF($B61="","",INDIRECT("aux_sheet!AA"&amp;1+MATCH(aux_sheet!$B60,aux_sheet!$A$2:$A$202,0)))</f>
        <v/>
      </c>
      <c r="T61" s="89" t="str">
        <f ca="1">IF($B61="","",INDIRECT("aux_sheet!AB"&amp;1+MATCH(aux_sheet!$B60,aux_sheet!$A$2:$A$202,0)))</f>
        <v/>
      </c>
      <c r="U61" s="89" t="str">
        <f ca="1">IF($B61="","",INDIRECT("aux_sheet!AB"&amp;1+MATCH(aux_sheet!$B60,aux_sheet!$A$2:$A$202,0)))</f>
        <v/>
      </c>
      <c r="V61" s="106" t="str">
        <f ca="1">IF($B61="","",INDIRECT("aux_sheet!AD"&amp;1+MATCH(aux_sheet!$B60,aux_sheet!$A$2:$A$202,0)))</f>
        <v/>
      </c>
      <c r="W61" s="89" t="str">
        <f ca="1">IF($B61="","",INDIRECT("aux_sheet!AE"&amp;1+MATCH(aux_sheet!$B60,aux_sheet!$A$2:$A$202,0)))</f>
        <v/>
      </c>
      <c r="X61" s="89" t="str">
        <f ca="1">IF($B61="","",INDIRECT("aux_sheet!AE"&amp;1+MATCH(aux_sheet!$B60,aux_sheet!$A$2:$A$202,0)))</f>
        <v/>
      </c>
      <c r="Y61" s="106" t="str">
        <f ca="1">IF($B61="","",INDIRECT("aux_sheet!AG"&amp;1+MATCH(aux_sheet!$B60,aux_sheet!$A$2:$A$202,0)))</f>
        <v/>
      </c>
      <c r="Z61" s="89" t="str">
        <f ca="1">IF($B61="","",INDIRECT("aux_sheet!AH"&amp;1+MATCH(aux_sheet!$B60,aux_sheet!$A$2:$A$202,0)))</f>
        <v/>
      </c>
      <c r="AA61" s="89" t="str">
        <f ca="1">IF($B61="","",INDIRECT("aux_sheet!AH"&amp;1+MATCH(aux_sheet!$B60,aux_sheet!$A$2:$A$202,0)))</f>
        <v/>
      </c>
      <c r="AB61" s="106" t="str">
        <f ca="1">IF($B61="","",INDIRECT("aux_sheet!AJ"&amp;1+MATCH(aux_sheet!$B60,aux_sheet!$A$2:$A$202,0)))</f>
        <v/>
      </c>
      <c r="AC61" s="89" t="str">
        <f ca="1">IF($B61="","",INDIRECT("aux_sheet!AK"&amp;1+MATCH(aux_sheet!$B60,aux_sheet!$A$2:$A$202,0)))</f>
        <v/>
      </c>
      <c r="AD61" s="89" t="str">
        <f ca="1">IF($B61="","",INDIRECT("aux_sheet!AK"&amp;1+MATCH(aux_sheet!$B60,aux_sheet!$A$2:$A$202,0)))</f>
        <v/>
      </c>
      <c r="AE61" s="106" t="str">
        <f ca="1">IF($B61="","",INDIRECT("aux_sheet!AM"&amp;1+MATCH(aux_sheet!$B60,aux_sheet!$A$2:$A$202,0)))</f>
        <v/>
      </c>
      <c r="AF61" s="89" t="str">
        <f ca="1">IF($B61="","",INDIRECT("aux_sheet!AN"&amp;1+MATCH(aux_sheet!$B60,aux_sheet!$A$2:$A$202,0)))</f>
        <v/>
      </c>
      <c r="AG61" s="89" t="str">
        <f ca="1">IF($B61="","",INDIRECT("aux_sheet!AN"&amp;1+MATCH(aux_sheet!$B60,aux_sheet!$A$2:$A$202,0)))</f>
        <v/>
      </c>
      <c r="AH61" s="14" t="str">
        <f>IF(ISBLANK(Input!A60)," ",F60-F61)</f>
        <v xml:space="preserve"> </v>
      </c>
    </row>
    <row r="62" spans="1:34" x14ac:dyDescent="0.35">
      <c r="A62" s="2" t="str">
        <f>IF(ISBLANK(Input!A61),"",ROUNDDOWN(aux_sheet!B61,0))</f>
        <v/>
      </c>
      <c r="B62" s="2" t="str">
        <f ca="1">IF(ISBLANK(Input!A61),"",INDIRECT("Input!A"&amp;1+MATCH(aux_sheet!$B61,aux_sheet!$A$2:$A$202,0)))</f>
        <v/>
      </c>
      <c r="C62" s="2" t="str">
        <f ca="1">IF(ISBLANK(Input!B61),"",INDIRECT("Input!B"&amp;1+MATCH(aux_sheet!$B61,aux_sheet!$A$2:$A$202,0)))</f>
        <v/>
      </c>
      <c r="D62" s="2" t="str">
        <f ca="1">IF(ISBLANK(Input!C61),"",INDIRECT("Input!C"&amp;1+MATCH(aux_sheet!$B61,aux_sheet!$A$2:$A$202,0)))</f>
        <v/>
      </c>
      <c r="E62" s="2" t="str">
        <f ca="1">IF(ISBLANK(Input!D61),"",INDIRECT("Input!D"&amp;1+MATCH(aux_sheet!$B61,aux_sheet!$A$2:$A$202,0)))</f>
        <v/>
      </c>
      <c r="F62" s="11" t="str">
        <f ca="1">INDIRECT("Input!F"&amp;1+MATCH(aux_sheet!$B61,aux_sheet!$A$2:$A$202,0))</f>
        <v xml:space="preserve"> </v>
      </c>
      <c r="G62" s="106" t="str">
        <f ca="1">IF($B62="","",INDIRECT("aux_sheet!O"&amp;1+MATCH(aux_sheet!$B61,aux_sheet!$A$2:$A$202,0)))</f>
        <v/>
      </c>
      <c r="H62" s="89" t="str">
        <f ca="1">IF($B62="","",INDIRECT("aux_sheet!P"&amp;1+MATCH(aux_sheet!$B61,aux_sheet!$A$2:$A$202,0)))</f>
        <v/>
      </c>
      <c r="I62" s="89" t="str">
        <f ca="1">IF($B62="","",INDIRECT("aux_sheet!P"&amp;1+MATCH(aux_sheet!$B61,aux_sheet!$A$2:$A$202,0)))</f>
        <v/>
      </c>
      <c r="J62" s="106" t="str">
        <f ca="1">IF($B62="","",INDIRECT("aux_sheet!R"&amp;1+MATCH(aux_sheet!$B61,aux_sheet!$A$2:$A$202,0)))</f>
        <v/>
      </c>
      <c r="K62" s="89" t="str">
        <f ca="1">IF($B62="","",INDIRECT("aux_sheet!S"&amp;1+MATCH(aux_sheet!$B61,aux_sheet!$A$2:$A$202,0)))</f>
        <v/>
      </c>
      <c r="L62" s="89" t="str">
        <f ca="1">IF($B62="","",INDIRECT("aux_sheet!S"&amp;1+MATCH(aux_sheet!$B61,aux_sheet!$A$2:$A$202,0)))</f>
        <v/>
      </c>
      <c r="M62" s="106" t="str">
        <f ca="1">IF($B62="","",INDIRECT("aux_sheet!U"&amp;1+MATCH(aux_sheet!$B61,aux_sheet!$A$2:$A$202,0)))</f>
        <v/>
      </c>
      <c r="N62" s="89" t="str">
        <f ca="1">IF($B62="","",INDIRECT("aux_sheet!V"&amp;1+MATCH(aux_sheet!$B61,aux_sheet!$A$2:$A$202,0)))</f>
        <v/>
      </c>
      <c r="O62" s="89" t="str">
        <f ca="1">IF($B62="","",INDIRECT("aux_sheet!V"&amp;1+MATCH(aux_sheet!$B61,aux_sheet!$A$2:$A$202,0)))</f>
        <v/>
      </c>
      <c r="P62" s="106" t="str">
        <f ca="1">IF($B62="","",INDIRECT("aux_sheet!X"&amp;1+MATCH(aux_sheet!$B61,aux_sheet!$A$2:$A$202,0)))</f>
        <v/>
      </c>
      <c r="Q62" s="89" t="str">
        <f ca="1">IF($B62="","",INDIRECT("aux_sheet!Y"&amp;1+MATCH(aux_sheet!$B61,aux_sheet!$A$2:$A$202,0)))</f>
        <v/>
      </c>
      <c r="R62" s="89" t="str">
        <f ca="1">IF($B62="","",INDIRECT("aux_sheet!Y"&amp;1+MATCH(aux_sheet!$B61,aux_sheet!$A$2:$A$202,0)))</f>
        <v/>
      </c>
      <c r="S62" s="106" t="str">
        <f ca="1">IF($B62="","",INDIRECT("aux_sheet!AA"&amp;1+MATCH(aux_sheet!$B61,aux_sheet!$A$2:$A$202,0)))</f>
        <v/>
      </c>
      <c r="T62" s="89" t="str">
        <f ca="1">IF($B62="","",INDIRECT("aux_sheet!AB"&amp;1+MATCH(aux_sheet!$B61,aux_sheet!$A$2:$A$202,0)))</f>
        <v/>
      </c>
      <c r="U62" s="89" t="str">
        <f ca="1">IF($B62="","",INDIRECT("aux_sheet!AB"&amp;1+MATCH(aux_sheet!$B61,aux_sheet!$A$2:$A$202,0)))</f>
        <v/>
      </c>
      <c r="V62" s="106" t="str">
        <f ca="1">IF($B62="","",INDIRECT("aux_sheet!AD"&amp;1+MATCH(aux_sheet!$B61,aux_sheet!$A$2:$A$202,0)))</f>
        <v/>
      </c>
      <c r="W62" s="89" t="str">
        <f ca="1">IF($B62="","",INDIRECT("aux_sheet!AE"&amp;1+MATCH(aux_sheet!$B61,aux_sheet!$A$2:$A$202,0)))</f>
        <v/>
      </c>
      <c r="X62" s="89" t="str">
        <f ca="1">IF($B62="","",INDIRECT("aux_sheet!AE"&amp;1+MATCH(aux_sheet!$B61,aux_sheet!$A$2:$A$202,0)))</f>
        <v/>
      </c>
      <c r="Y62" s="106" t="str">
        <f ca="1">IF($B62="","",INDIRECT("aux_sheet!AG"&amp;1+MATCH(aux_sheet!$B61,aux_sheet!$A$2:$A$202,0)))</f>
        <v/>
      </c>
      <c r="Z62" s="89" t="str">
        <f ca="1">IF($B62="","",INDIRECT("aux_sheet!AH"&amp;1+MATCH(aux_sheet!$B61,aux_sheet!$A$2:$A$202,0)))</f>
        <v/>
      </c>
      <c r="AA62" s="89" t="str">
        <f ca="1">IF($B62="","",INDIRECT("aux_sheet!AH"&amp;1+MATCH(aux_sheet!$B61,aux_sheet!$A$2:$A$202,0)))</f>
        <v/>
      </c>
      <c r="AB62" s="106" t="str">
        <f ca="1">IF($B62="","",INDIRECT("aux_sheet!AJ"&amp;1+MATCH(aux_sheet!$B61,aux_sheet!$A$2:$A$202,0)))</f>
        <v/>
      </c>
      <c r="AC62" s="89" t="str">
        <f ca="1">IF($B62="","",INDIRECT("aux_sheet!AK"&amp;1+MATCH(aux_sheet!$B61,aux_sheet!$A$2:$A$202,0)))</f>
        <v/>
      </c>
      <c r="AD62" s="89" t="str">
        <f ca="1">IF($B62="","",INDIRECT("aux_sheet!AK"&amp;1+MATCH(aux_sheet!$B61,aux_sheet!$A$2:$A$202,0)))</f>
        <v/>
      </c>
      <c r="AE62" s="106" t="str">
        <f ca="1">IF($B62="","",INDIRECT("aux_sheet!AM"&amp;1+MATCH(aux_sheet!$B61,aux_sheet!$A$2:$A$202,0)))</f>
        <v/>
      </c>
      <c r="AF62" s="89" t="str">
        <f ca="1">IF($B62="","",INDIRECT("aux_sheet!AN"&amp;1+MATCH(aux_sheet!$B61,aux_sheet!$A$2:$A$202,0)))</f>
        <v/>
      </c>
      <c r="AG62" s="89" t="str">
        <f ca="1">IF($B62="","",INDIRECT("aux_sheet!AN"&amp;1+MATCH(aux_sheet!$B61,aux_sheet!$A$2:$A$202,0)))</f>
        <v/>
      </c>
      <c r="AH62" s="14" t="str">
        <f>IF(ISBLANK(Input!A61)," ",F61-F62)</f>
        <v xml:space="preserve"> </v>
      </c>
    </row>
    <row r="63" spans="1:34" x14ac:dyDescent="0.35">
      <c r="A63" s="2" t="str">
        <f>IF(ISBLANK(Input!A62),"",ROUNDDOWN(aux_sheet!B62,0))</f>
        <v/>
      </c>
      <c r="B63" s="2" t="str">
        <f ca="1">IF(ISBLANK(Input!A62),"",INDIRECT("Input!A"&amp;1+MATCH(aux_sheet!$B62,aux_sheet!$A$2:$A$202,0)))</f>
        <v/>
      </c>
      <c r="C63" s="2" t="str">
        <f ca="1">IF(ISBLANK(Input!B62),"",INDIRECT("Input!B"&amp;1+MATCH(aux_sheet!$B62,aux_sheet!$A$2:$A$202,0)))</f>
        <v/>
      </c>
      <c r="D63" s="2" t="str">
        <f ca="1">IF(ISBLANK(Input!C62),"",INDIRECT("Input!C"&amp;1+MATCH(aux_sheet!$B62,aux_sheet!$A$2:$A$202,0)))</f>
        <v/>
      </c>
      <c r="E63" s="2" t="str">
        <f ca="1">IF(ISBLANK(Input!D62),"",INDIRECT("Input!D"&amp;1+MATCH(aux_sheet!$B62,aux_sheet!$A$2:$A$202,0)))</f>
        <v/>
      </c>
      <c r="F63" s="11" t="str">
        <f ca="1">INDIRECT("Input!F"&amp;1+MATCH(aux_sheet!$B62,aux_sheet!$A$2:$A$202,0))</f>
        <v xml:space="preserve"> </v>
      </c>
      <c r="G63" s="106" t="str">
        <f ca="1">IF($B63="","",INDIRECT("aux_sheet!O"&amp;1+MATCH(aux_sheet!$B62,aux_sheet!$A$2:$A$202,0)))</f>
        <v/>
      </c>
      <c r="H63" s="89" t="str">
        <f ca="1">IF($B63="","",INDIRECT("aux_sheet!P"&amp;1+MATCH(aux_sheet!$B62,aux_sheet!$A$2:$A$202,0)))</f>
        <v/>
      </c>
      <c r="I63" s="89" t="str">
        <f ca="1">IF($B63="","",INDIRECT("aux_sheet!P"&amp;1+MATCH(aux_sheet!$B62,aux_sheet!$A$2:$A$202,0)))</f>
        <v/>
      </c>
      <c r="J63" s="106" t="str">
        <f ca="1">IF($B63="","",INDIRECT("aux_sheet!R"&amp;1+MATCH(aux_sheet!$B62,aux_sheet!$A$2:$A$202,0)))</f>
        <v/>
      </c>
      <c r="K63" s="89" t="str">
        <f ca="1">IF($B63="","",INDIRECT("aux_sheet!S"&amp;1+MATCH(aux_sheet!$B62,aux_sheet!$A$2:$A$202,0)))</f>
        <v/>
      </c>
      <c r="L63" s="89" t="str">
        <f ca="1">IF($B63="","",INDIRECT("aux_sheet!S"&amp;1+MATCH(aux_sheet!$B62,aux_sheet!$A$2:$A$202,0)))</f>
        <v/>
      </c>
      <c r="M63" s="106" t="str">
        <f ca="1">IF($B63="","",INDIRECT("aux_sheet!U"&amp;1+MATCH(aux_sheet!$B62,aux_sheet!$A$2:$A$202,0)))</f>
        <v/>
      </c>
      <c r="N63" s="89" t="str">
        <f ca="1">IF($B63="","",INDIRECT("aux_sheet!V"&amp;1+MATCH(aux_sheet!$B62,aux_sheet!$A$2:$A$202,0)))</f>
        <v/>
      </c>
      <c r="O63" s="89" t="str">
        <f ca="1">IF($B63="","",INDIRECT("aux_sheet!V"&amp;1+MATCH(aux_sheet!$B62,aux_sheet!$A$2:$A$202,0)))</f>
        <v/>
      </c>
      <c r="P63" s="106" t="str">
        <f ca="1">IF($B63="","",INDIRECT("aux_sheet!X"&amp;1+MATCH(aux_sheet!$B62,aux_sheet!$A$2:$A$202,0)))</f>
        <v/>
      </c>
      <c r="Q63" s="89" t="str">
        <f ca="1">IF($B63="","",INDIRECT("aux_sheet!Y"&amp;1+MATCH(aux_sheet!$B62,aux_sheet!$A$2:$A$202,0)))</f>
        <v/>
      </c>
      <c r="R63" s="89" t="str">
        <f ca="1">IF($B63="","",INDIRECT("aux_sheet!Y"&amp;1+MATCH(aux_sheet!$B62,aux_sheet!$A$2:$A$202,0)))</f>
        <v/>
      </c>
      <c r="S63" s="106" t="str">
        <f ca="1">IF($B63="","",INDIRECT("aux_sheet!AA"&amp;1+MATCH(aux_sheet!$B62,aux_sheet!$A$2:$A$202,0)))</f>
        <v/>
      </c>
      <c r="T63" s="89" t="str">
        <f ca="1">IF($B63="","",INDIRECT("aux_sheet!AB"&amp;1+MATCH(aux_sheet!$B62,aux_sheet!$A$2:$A$202,0)))</f>
        <v/>
      </c>
      <c r="U63" s="89" t="str">
        <f ca="1">IF($B63="","",INDIRECT("aux_sheet!AB"&amp;1+MATCH(aux_sheet!$B62,aux_sheet!$A$2:$A$202,0)))</f>
        <v/>
      </c>
      <c r="V63" s="106" t="str">
        <f ca="1">IF($B63="","",INDIRECT("aux_sheet!AD"&amp;1+MATCH(aux_sheet!$B62,aux_sheet!$A$2:$A$202,0)))</f>
        <v/>
      </c>
      <c r="W63" s="89" t="str">
        <f ca="1">IF($B63="","",INDIRECT("aux_sheet!AE"&amp;1+MATCH(aux_sheet!$B62,aux_sheet!$A$2:$A$202,0)))</f>
        <v/>
      </c>
      <c r="X63" s="89" t="str">
        <f ca="1">IF($B63="","",INDIRECT("aux_sheet!AE"&amp;1+MATCH(aux_sheet!$B62,aux_sheet!$A$2:$A$202,0)))</f>
        <v/>
      </c>
      <c r="Y63" s="106" t="str">
        <f ca="1">IF($B63="","",INDIRECT("aux_sheet!AG"&amp;1+MATCH(aux_sheet!$B62,aux_sheet!$A$2:$A$202,0)))</f>
        <v/>
      </c>
      <c r="Z63" s="89" t="str">
        <f ca="1">IF($B63="","",INDIRECT("aux_sheet!AH"&amp;1+MATCH(aux_sheet!$B62,aux_sheet!$A$2:$A$202,0)))</f>
        <v/>
      </c>
      <c r="AA63" s="89" t="str">
        <f ca="1">IF($B63="","",INDIRECT("aux_sheet!AH"&amp;1+MATCH(aux_sheet!$B62,aux_sheet!$A$2:$A$202,0)))</f>
        <v/>
      </c>
      <c r="AB63" s="106" t="str">
        <f ca="1">IF($B63="","",INDIRECT("aux_sheet!AJ"&amp;1+MATCH(aux_sheet!$B62,aux_sheet!$A$2:$A$202,0)))</f>
        <v/>
      </c>
      <c r="AC63" s="89" t="str">
        <f ca="1">IF($B63="","",INDIRECT("aux_sheet!AK"&amp;1+MATCH(aux_sheet!$B62,aux_sheet!$A$2:$A$202,0)))</f>
        <v/>
      </c>
      <c r="AD63" s="89" t="str">
        <f ca="1">IF($B63="","",INDIRECT("aux_sheet!AK"&amp;1+MATCH(aux_sheet!$B62,aux_sheet!$A$2:$A$202,0)))</f>
        <v/>
      </c>
      <c r="AE63" s="106" t="str">
        <f ca="1">IF($B63="","",INDIRECT("aux_sheet!AM"&amp;1+MATCH(aux_sheet!$B62,aux_sheet!$A$2:$A$202,0)))</f>
        <v/>
      </c>
      <c r="AF63" s="89" t="str">
        <f ca="1">IF($B63="","",INDIRECT("aux_sheet!AN"&amp;1+MATCH(aux_sheet!$B62,aux_sheet!$A$2:$A$202,0)))</f>
        <v/>
      </c>
      <c r="AG63" s="89" t="str">
        <f ca="1">IF($B63="","",INDIRECT("aux_sheet!AN"&amp;1+MATCH(aux_sheet!$B62,aux_sheet!$A$2:$A$202,0)))</f>
        <v/>
      </c>
      <c r="AH63" s="14" t="str">
        <f>IF(ISBLANK(Input!A62)," ",F62-F63)</f>
        <v xml:space="preserve"> </v>
      </c>
    </row>
    <row r="64" spans="1:34" x14ac:dyDescent="0.35">
      <c r="A64" s="2" t="str">
        <f>IF(ISBLANK(Input!A63),"",ROUNDDOWN(aux_sheet!B63,0))</f>
        <v/>
      </c>
      <c r="B64" s="2" t="str">
        <f ca="1">IF(ISBLANK(Input!A63),"",INDIRECT("Input!A"&amp;1+MATCH(aux_sheet!$B63,aux_sheet!$A$2:$A$202,0)))</f>
        <v/>
      </c>
      <c r="C64" s="2" t="str">
        <f ca="1">IF(ISBLANK(Input!B63),"",INDIRECT("Input!B"&amp;1+MATCH(aux_sheet!$B63,aux_sheet!$A$2:$A$202,0)))</f>
        <v/>
      </c>
      <c r="D64" s="2" t="str">
        <f ca="1">IF(ISBLANK(Input!C63),"",INDIRECT("Input!C"&amp;1+MATCH(aux_sheet!$B63,aux_sheet!$A$2:$A$202,0)))</f>
        <v/>
      </c>
      <c r="E64" s="2" t="str">
        <f ca="1">IF(ISBLANK(Input!D63),"",INDIRECT("Input!D"&amp;1+MATCH(aux_sheet!$B63,aux_sheet!$A$2:$A$202,0)))</f>
        <v/>
      </c>
      <c r="F64" s="11" t="str">
        <f ca="1">INDIRECT("Input!F"&amp;1+MATCH(aux_sheet!$B63,aux_sheet!$A$2:$A$202,0))</f>
        <v xml:space="preserve"> </v>
      </c>
      <c r="G64" s="106" t="str">
        <f ca="1">IF($B64="","",INDIRECT("aux_sheet!O"&amp;1+MATCH(aux_sheet!$B63,aux_sheet!$A$2:$A$202,0)))</f>
        <v/>
      </c>
      <c r="H64" s="89" t="str">
        <f ca="1">IF($B64="","",INDIRECT("aux_sheet!P"&amp;1+MATCH(aux_sheet!$B63,aux_sheet!$A$2:$A$202,0)))</f>
        <v/>
      </c>
      <c r="I64" s="89" t="str">
        <f ca="1">IF($B64="","",INDIRECT("aux_sheet!P"&amp;1+MATCH(aux_sheet!$B63,aux_sheet!$A$2:$A$202,0)))</f>
        <v/>
      </c>
      <c r="J64" s="106" t="str">
        <f ca="1">IF($B64="","",INDIRECT("aux_sheet!R"&amp;1+MATCH(aux_sheet!$B63,aux_sheet!$A$2:$A$202,0)))</f>
        <v/>
      </c>
      <c r="K64" s="89" t="str">
        <f ca="1">IF($B64="","",INDIRECT("aux_sheet!S"&amp;1+MATCH(aux_sheet!$B63,aux_sheet!$A$2:$A$202,0)))</f>
        <v/>
      </c>
      <c r="L64" s="89" t="str">
        <f ca="1">IF($B64="","",INDIRECT("aux_sheet!S"&amp;1+MATCH(aux_sheet!$B63,aux_sheet!$A$2:$A$202,0)))</f>
        <v/>
      </c>
      <c r="M64" s="106" t="str">
        <f ca="1">IF($B64="","",INDIRECT("aux_sheet!U"&amp;1+MATCH(aux_sheet!$B63,aux_sheet!$A$2:$A$202,0)))</f>
        <v/>
      </c>
      <c r="N64" s="89" t="str">
        <f ca="1">IF($B64="","",INDIRECT("aux_sheet!V"&amp;1+MATCH(aux_sheet!$B63,aux_sheet!$A$2:$A$202,0)))</f>
        <v/>
      </c>
      <c r="O64" s="89" t="str">
        <f ca="1">IF($B64="","",INDIRECT("aux_sheet!V"&amp;1+MATCH(aux_sheet!$B63,aux_sheet!$A$2:$A$202,0)))</f>
        <v/>
      </c>
      <c r="P64" s="106" t="str">
        <f ca="1">IF($B64="","",INDIRECT("aux_sheet!X"&amp;1+MATCH(aux_sheet!$B63,aux_sheet!$A$2:$A$202,0)))</f>
        <v/>
      </c>
      <c r="Q64" s="89" t="str">
        <f ca="1">IF($B64="","",INDIRECT("aux_sheet!Y"&amp;1+MATCH(aux_sheet!$B63,aux_sheet!$A$2:$A$202,0)))</f>
        <v/>
      </c>
      <c r="R64" s="89" t="str">
        <f ca="1">IF($B64="","",INDIRECT("aux_sheet!Y"&amp;1+MATCH(aux_sheet!$B63,aux_sheet!$A$2:$A$202,0)))</f>
        <v/>
      </c>
      <c r="S64" s="106" t="str">
        <f ca="1">IF($B64="","",INDIRECT("aux_sheet!AA"&amp;1+MATCH(aux_sheet!$B63,aux_sheet!$A$2:$A$202,0)))</f>
        <v/>
      </c>
      <c r="T64" s="89" t="str">
        <f ca="1">IF($B64="","",INDIRECT("aux_sheet!AB"&amp;1+MATCH(aux_sheet!$B63,aux_sheet!$A$2:$A$202,0)))</f>
        <v/>
      </c>
      <c r="U64" s="89" t="str">
        <f ca="1">IF($B64="","",INDIRECT("aux_sheet!AB"&amp;1+MATCH(aux_sheet!$B63,aux_sheet!$A$2:$A$202,0)))</f>
        <v/>
      </c>
      <c r="V64" s="106" t="str">
        <f ca="1">IF($B64="","",INDIRECT("aux_sheet!AD"&amp;1+MATCH(aux_sheet!$B63,aux_sheet!$A$2:$A$202,0)))</f>
        <v/>
      </c>
      <c r="W64" s="89" t="str">
        <f ca="1">IF($B64="","",INDIRECT("aux_sheet!AE"&amp;1+MATCH(aux_sheet!$B63,aux_sheet!$A$2:$A$202,0)))</f>
        <v/>
      </c>
      <c r="X64" s="89" t="str">
        <f ca="1">IF($B64="","",INDIRECT("aux_sheet!AE"&amp;1+MATCH(aux_sheet!$B63,aux_sheet!$A$2:$A$202,0)))</f>
        <v/>
      </c>
      <c r="Y64" s="106" t="str">
        <f ca="1">IF($B64="","",INDIRECT("aux_sheet!AG"&amp;1+MATCH(aux_sheet!$B63,aux_sheet!$A$2:$A$202,0)))</f>
        <v/>
      </c>
      <c r="Z64" s="89" t="str">
        <f ca="1">IF($B64="","",INDIRECT("aux_sheet!AH"&amp;1+MATCH(aux_sheet!$B63,aux_sheet!$A$2:$A$202,0)))</f>
        <v/>
      </c>
      <c r="AA64" s="89" t="str">
        <f ca="1">IF($B64="","",INDIRECT("aux_sheet!AH"&amp;1+MATCH(aux_sheet!$B63,aux_sheet!$A$2:$A$202,0)))</f>
        <v/>
      </c>
      <c r="AB64" s="106" t="str">
        <f ca="1">IF($B64="","",INDIRECT("aux_sheet!AJ"&amp;1+MATCH(aux_sheet!$B63,aux_sheet!$A$2:$A$202,0)))</f>
        <v/>
      </c>
      <c r="AC64" s="89" t="str">
        <f ca="1">IF($B64="","",INDIRECT("aux_sheet!AK"&amp;1+MATCH(aux_sheet!$B63,aux_sheet!$A$2:$A$202,0)))</f>
        <v/>
      </c>
      <c r="AD64" s="89" t="str">
        <f ca="1">IF($B64="","",INDIRECT("aux_sheet!AK"&amp;1+MATCH(aux_sheet!$B63,aux_sheet!$A$2:$A$202,0)))</f>
        <v/>
      </c>
      <c r="AE64" s="106" t="str">
        <f ca="1">IF($B64="","",INDIRECT("aux_sheet!AM"&amp;1+MATCH(aux_sheet!$B63,aux_sheet!$A$2:$A$202,0)))</f>
        <v/>
      </c>
      <c r="AF64" s="89" t="str">
        <f ca="1">IF($B64="","",INDIRECT("aux_sheet!AN"&amp;1+MATCH(aux_sheet!$B63,aux_sheet!$A$2:$A$202,0)))</f>
        <v/>
      </c>
      <c r="AG64" s="89" t="str">
        <f ca="1">IF($B64="","",INDIRECT("aux_sheet!AN"&amp;1+MATCH(aux_sheet!$B63,aux_sheet!$A$2:$A$202,0)))</f>
        <v/>
      </c>
      <c r="AH64" s="14" t="str">
        <f>IF(ISBLANK(Input!A63)," ",F63-F64)</f>
        <v xml:space="preserve"> </v>
      </c>
    </row>
    <row r="65" spans="1:34" x14ac:dyDescent="0.35">
      <c r="A65" s="2" t="str">
        <f>IF(ISBLANK(Input!A64),"",ROUNDDOWN(aux_sheet!B64,0))</f>
        <v/>
      </c>
      <c r="B65" s="2" t="str">
        <f ca="1">IF(ISBLANK(Input!A64),"",INDIRECT("Input!A"&amp;1+MATCH(aux_sheet!$B64,aux_sheet!$A$2:$A$202,0)))</f>
        <v/>
      </c>
      <c r="C65" s="2" t="str">
        <f ca="1">IF(ISBLANK(Input!B64),"",INDIRECT("Input!B"&amp;1+MATCH(aux_sheet!$B64,aux_sheet!$A$2:$A$202,0)))</f>
        <v/>
      </c>
      <c r="D65" s="2" t="str">
        <f ca="1">IF(ISBLANK(Input!C64),"",INDIRECT("Input!C"&amp;1+MATCH(aux_sheet!$B64,aux_sheet!$A$2:$A$202,0)))</f>
        <v/>
      </c>
      <c r="E65" s="2" t="str">
        <f ca="1">IF(ISBLANK(Input!D64),"",INDIRECT("Input!D"&amp;1+MATCH(aux_sheet!$B64,aux_sheet!$A$2:$A$202,0)))</f>
        <v/>
      </c>
      <c r="F65" s="11" t="str">
        <f ca="1">INDIRECT("Input!F"&amp;1+MATCH(aux_sheet!$B64,aux_sheet!$A$2:$A$202,0))</f>
        <v xml:space="preserve"> </v>
      </c>
      <c r="G65" s="106" t="str">
        <f ca="1">IF($B65="","",INDIRECT("aux_sheet!O"&amp;1+MATCH(aux_sheet!$B64,aux_sheet!$A$2:$A$202,0)))</f>
        <v/>
      </c>
      <c r="H65" s="89" t="str">
        <f ca="1">IF($B65="","",INDIRECT("aux_sheet!P"&amp;1+MATCH(aux_sheet!$B64,aux_sheet!$A$2:$A$202,0)))</f>
        <v/>
      </c>
      <c r="I65" s="89" t="str">
        <f ca="1">IF($B65="","",INDIRECT("aux_sheet!P"&amp;1+MATCH(aux_sheet!$B64,aux_sheet!$A$2:$A$202,0)))</f>
        <v/>
      </c>
      <c r="J65" s="106" t="str">
        <f ca="1">IF($B65="","",INDIRECT("aux_sheet!R"&amp;1+MATCH(aux_sheet!$B64,aux_sheet!$A$2:$A$202,0)))</f>
        <v/>
      </c>
      <c r="K65" s="89" t="str">
        <f ca="1">IF($B65="","",INDIRECT("aux_sheet!S"&amp;1+MATCH(aux_sheet!$B64,aux_sheet!$A$2:$A$202,0)))</f>
        <v/>
      </c>
      <c r="L65" s="89" t="str">
        <f ca="1">IF($B65="","",INDIRECT("aux_sheet!S"&amp;1+MATCH(aux_sheet!$B64,aux_sheet!$A$2:$A$202,0)))</f>
        <v/>
      </c>
      <c r="M65" s="106" t="str">
        <f ca="1">IF($B65="","",INDIRECT("aux_sheet!U"&amp;1+MATCH(aux_sheet!$B64,aux_sheet!$A$2:$A$202,0)))</f>
        <v/>
      </c>
      <c r="N65" s="89" t="str">
        <f ca="1">IF($B65="","",INDIRECT("aux_sheet!V"&amp;1+MATCH(aux_sheet!$B64,aux_sheet!$A$2:$A$202,0)))</f>
        <v/>
      </c>
      <c r="O65" s="89" t="str">
        <f ca="1">IF($B65="","",INDIRECT("aux_sheet!V"&amp;1+MATCH(aux_sheet!$B64,aux_sheet!$A$2:$A$202,0)))</f>
        <v/>
      </c>
      <c r="P65" s="106" t="str">
        <f ca="1">IF($B65="","",INDIRECT("aux_sheet!X"&amp;1+MATCH(aux_sheet!$B64,aux_sheet!$A$2:$A$202,0)))</f>
        <v/>
      </c>
      <c r="Q65" s="89" t="str">
        <f ca="1">IF($B65="","",INDIRECT("aux_sheet!Y"&amp;1+MATCH(aux_sheet!$B64,aux_sheet!$A$2:$A$202,0)))</f>
        <v/>
      </c>
      <c r="R65" s="89" t="str">
        <f ca="1">IF($B65="","",INDIRECT("aux_sheet!Y"&amp;1+MATCH(aux_sheet!$B64,aux_sheet!$A$2:$A$202,0)))</f>
        <v/>
      </c>
      <c r="S65" s="106" t="str">
        <f ca="1">IF($B65="","",INDIRECT("aux_sheet!AA"&amp;1+MATCH(aux_sheet!$B64,aux_sheet!$A$2:$A$202,0)))</f>
        <v/>
      </c>
      <c r="T65" s="89" t="str">
        <f ca="1">IF($B65="","",INDIRECT("aux_sheet!AB"&amp;1+MATCH(aux_sheet!$B64,aux_sheet!$A$2:$A$202,0)))</f>
        <v/>
      </c>
      <c r="U65" s="89" t="str">
        <f ca="1">IF($B65="","",INDIRECT("aux_sheet!AB"&amp;1+MATCH(aux_sheet!$B64,aux_sheet!$A$2:$A$202,0)))</f>
        <v/>
      </c>
      <c r="V65" s="106" t="str">
        <f ca="1">IF($B65="","",INDIRECT("aux_sheet!AD"&amp;1+MATCH(aux_sheet!$B64,aux_sheet!$A$2:$A$202,0)))</f>
        <v/>
      </c>
      <c r="W65" s="89" t="str">
        <f ca="1">IF($B65="","",INDIRECT("aux_sheet!AE"&amp;1+MATCH(aux_sheet!$B64,aux_sheet!$A$2:$A$202,0)))</f>
        <v/>
      </c>
      <c r="X65" s="89" t="str">
        <f ca="1">IF($B65="","",INDIRECT("aux_sheet!AE"&amp;1+MATCH(aux_sheet!$B64,aux_sheet!$A$2:$A$202,0)))</f>
        <v/>
      </c>
      <c r="Y65" s="106" t="str">
        <f ca="1">IF($B65="","",INDIRECT("aux_sheet!AG"&amp;1+MATCH(aux_sheet!$B64,aux_sheet!$A$2:$A$202,0)))</f>
        <v/>
      </c>
      <c r="Z65" s="89" t="str">
        <f ca="1">IF($B65="","",INDIRECT("aux_sheet!AH"&amp;1+MATCH(aux_sheet!$B64,aux_sheet!$A$2:$A$202,0)))</f>
        <v/>
      </c>
      <c r="AA65" s="89" t="str">
        <f ca="1">IF($B65="","",INDIRECT("aux_sheet!AH"&amp;1+MATCH(aux_sheet!$B64,aux_sheet!$A$2:$A$202,0)))</f>
        <v/>
      </c>
      <c r="AB65" s="106" t="str">
        <f ca="1">IF($B65="","",INDIRECT("aux_sheet!AJ"&amp;1+MATCH(aux_sheet!$B64,aux_sheet!$A$2:$A$202,0)))</f>
        <v/>
      </c>
      <c r="AC65" s="89" t="str">
        <f ca="1">IF($B65="","",INDIRECT("aux_sheet!AK"&amp;1+MATCH(aux_sheet!$B64,aux_sheet!$A$2:$A$202,0)))</f>
        <v/>
      </c>
      <c r="AD65" s="89" t="str">
        <f ca="1">IF($B65="","",INDIRECT("aux_sheet!AK"&amp;1+MATCH(aux_sheet!$B64,aux_sheet!$A$2:$A$202,0)))</f>
        <v/>
      </c>
      <c r="AE65" s="106" t="str">
        <f ca="1">IF($B65="","",INDIRECT("aux_sheet!AM"&amp;1+MATCH(aux_sheet!$B64,aux_sheet!$A$2:$A$202,0)))</f>
        <v/>
      </c>
      <c r="AF65" s="89" t="str">
        <f ca="1">IF($B65="","",INDIRECT("aux_sheet!AN"&amp;1+MATCH(aux_sheet!$B64,aux_sheet!$A$2:$A$202,0)))</f>
        <v/>
      </c>
      <c r="AG65" s="89" t="str">
        <f ca="1">IF($B65="","",INDIRECT("aux_sheet!AN"&amp;1+MATCH(aux_sheet!$B64,aux_sheet!$A$2:$A$202,0)))</f>
        <v/>
      </c>
      <c r="AH65" s="14" t="str">
        <f>IF(ISBLANK(Input!A64)," ",F64-F65)</f>
        <v xml:space="preserve"> </v>
      </c>
    </row>
    <row r="66" spans="1:34" x14ac:dyDescent="0.35">
      <c r="A66" s="2" t="str">
        <f>IF(ISBLANK(Input!A65),"",ROUNDDOWN(aux_sheet!B65,0))</f>
        <v/>
      </c>
      <c r="B66" s="2" t="str">
        <f ca="1">IF(ISBLANK(Input!A65),"",INDIRECT("Input!A"&amp;1+MATCH(aux_sheet!$B65,aux_sheet!$A$2:$A$202,0)))</f>
        <v/>
      </c>
      <c r="C66" s="2" t="str">
        <f ca="1">IF(ISBLANK(Input!B65),"",INDIRECT("Input!B"&amp;1+MATCH(aux_sheet!$B65,aux_sheet!$A$2:$A$202,0)))</f>
        <v/>
      </c>
      <c r="D66" s="2" t="str">
        <f ca="1">IF(ISBLANK(Input!C65),"",INDIRECT("Input!C"&amp;1+MATCH(aux_sheet!$B65,aux_sheet!$A$2:$A$202,0)))</f>
        <v/>
      </c>
      <c r="E66" s="2" t="str">
        <f ca="1">IF(ISBLANK(Input!D65),"",INDIRECT("Input!D"&amp;1+MATCH(aux_sheet!$B65,aux_sheet!$A$2:$A$202,0)))</f>
        <v/>
      </c>
      <c r="F66" s="11" t="str">
        <f ca="1">INDIRECT("Input!F"&amp;1+MATCH(aux_sheet!$B65,aux_sheet!$A$2:$A$202,0))</f>
        <v xml:space="preserve"> </v>
      </c>
      <c r="G66" s="106" t="str">
        <f ca="1">IF($B66="","",INDIRECT("aux_sheet!O"&amp;1+MATCH(aux_sheet!$B65,aux_sheet!$A$2:$A$202,0)))</f>
        <v/>
      </c>
      <c r="H66" s="89" t="str">
        <f ca="1">IF($B66="","",INDIRECT("aux_sheet!P"&amp;1+MATCH(aux_sheet!$B65,aux_sheet!$A$2:$A$202,0)))</f>
        <v/>
      </c>
      <c r="I66" s="89" t="str">
        <f ca="1">IF($B66="","",INDIRECT("aux_sheet!P"&amp;1+MATCH(aux_sheet!$B65,aux_sheet!$A$2:$A$202,0)))</f>
        <v/>
      </c>
      <c r="J66" s="106" t="str">
        <f ca="1">IF($B66="","",INDIRECT("aux_sheet!R"&amp;1+MATCH(aux_sheet!$B65,aux_sheet!$A$2:$A$202,0)))</f>
        <v/>
      </c>
      <c r="K66" s="89" t="str">
        <f ca="1">IF($B66="","",INDIRECT("aux_sheet!S"&amp;1+MATCH(aux_sheet!$B65,aux_sheet!$A$2:$A$202,0)))</f>
        <v/>
      </c>
      <c r="L66" s="89" t="str">
        <f ca="1">IF($B66="","",INDIRECT("aux_sheet!S"&amp;1+MATCH(aux_sheet!$B65,aux_sheet!$A$2:$A$202,0)))</f>
        <v/>
      </c>
      <c r="M66" s="106" t="str">
        <f ca="1">IF($B66="","",INDIRECT("aux_sheet!U"&amp;1+MATCH(aux_sheet!$B65,aux_sheet!$A$2:$A$202,0)))</f>
        <v/>
      </c>
      <c r="N66" s="89" t="str">
        <f ca="1">IF($B66="","",INDIRECT("aux_sheet!V"&amp;1+MATCH(aux_sheet!$B65,aux_sheet!$A$2:$A$202,0)))</f>
        <v/>
      </c>
      <c r="O66" s="89" t="str">
        <f ca="1">IF($B66="","",INDIRECT("aux_sheet!V"&amp;1+MATCH(aux_sheet!$B65,aux_sheet!$A$2:$A$202,0)))</f>
        <v/>
      </c>
      <c r="P66" s="106" t="str">
        <f ca="1">IF($B66="","",INDIRECT("aux_sheet!X"&amp;1+MATCH(aux_sheet!$B65,aux_sheet!$A$2:$A$202,0)))</f>
        <v/>
      </c>
      <c r="Q66" s="89" t="str">
        <f ca="1">IF($B66="","",INDIRECT("aux_sheet!Y"&amp;1+MATCH(aux_sheet!$B65,aux_sheet!$A$2:$A$202,0)))</f>
        <v/>
      </c>
      <c r="R66" s="89" t="str">
        <f ca="1">IF($B66="","",INDIRECT("aux_sheet!Y"&amp;1+MATCH(aux_sheet!$B65,aux_sheet!$A$2:$A$202,0)))</f>
        <v/>
      </c>
      <c r="S66" s="106" t="str">
        <f ca="1">IF($B66="","",INDIRECT("aux_sheet!AA"&amp;1+MATCH(aux_sheet!$B65,aux_sheet!$A$2:$A$202,0)))</f>
        <v/>
      </c>
      <c r="T66" s="89" t="str">
        <f ca="1">IF($B66="","",INDIRECT("aux_sheet!AB"&amp;1+MATCH(aux_sheet!$B65,aux_sheet!$A$2:$A$202,0)))</f>
        <v/>
      </c>
      <c r="U66" s="89" t="str">
        <f ca="1">IF($B66="","",INDIRECT("aux_sheet!AB"&amp;1+MATCH(aux_sheet!$B65,aux_sheet!$A$2:$A$202,0)))</f>
        <v/>
      </c>
      <c r="V66" s="106" t="str">
        <f ca="1">IF($B66="","",INDIRECT("aux_sheet!AD"&amp;1+MATCH(aux_sheet!$B65,aux_sheet!$A$2:$A$202,0)))</f>
        <v/>
      </c>
      <c r="W66" s="89" t="str">
        <f ca="1">IF($B66="","",INDIRECT("aux_sheet!AE"&amp;1+MATCH(aux_sheet!$B65,aux_sheet!$A$2:$A$202,0)))</f>
        <v/>
      </c>
      <c r="X66" s="89" t="str">
        <f ca="1">IF($B66="","",INDIRECT("aux_sheet!AE"&amp;1+MATCH(aux_sheet!$B65,aux_sheet!$A$2:$A$202,0)))</f>
        <v/>
      </c>
      <c r="Y66" s="106" t="str">
        <f ca="1">IF($B66="","",INDIRECT("aux_sheet!AG"&amp;1+MATCH(aux_sheet!$B65,aux_sheet!$A$2:$A$202,0)))</f>
        <v/>
      </c>
      <c r="Z66" s="89" t="str">
        <f ca="1">IF($B66="","",INDIRECT("aux_sheet!AH"&amp;1+MATCH(aux_sheet!$B65,aux_sheet!$A$2:$A$202,0)))</f>
        <v/>
      </c>
      <c r="AA66" s="89" t="str">
        <f ca="1">IF($B66="","",INDIRECT("aux_sheet!AH"&amp;1+MATCH(aux_sheet!$B65,aux_sheet!$A$2:$A$202,0)))</f>
        <v/>
      </c>
      <c r="AB66" s="106" t="str">
        <f ca="1">IF($B66="","",INDIRECT("aux_sheet!AJ"&amp;1+MATCH(aux_sheet!$B65,aux_sheet!$A$2:$A$202,0)))</f>
        <v/>
      </c>
      <c r="AC66" s="89" t="str">
        <f ca="1">IF($B66="","",INDIRECT("aux_sheet!AK"&amp;1+MATCH(aux_sheet!$B65,aux_sheet!$A$2:$A$202,0)))</f>
        <v/>
      </c>
      <c r="AD66" s="89" t="str">
        <f ca="1">IF($B66="","",INDIRECT("aux_sheet!AK"&amp;1+MATCH(aux_sheet!$B65,aux_sheet!$A$2:$A$202,0)))</f>
        <v/>
      </c>
      <c r="AE66" s="106" t="str">
        <f ca="1">IF($B66="","",INDIRECT("aux_sheet!AM"&amp;1+MATCH(aux_sheet!$B65,aux_sheet!$A$2:$A$202,0)))</f>
        <v/>
      </c>
      <c r="AF66" s="89" t="str">
        <f ca="1">IF($B66="","",INDIRECT("aux_sheet!AN"&amp;1+MATCH(aux_sheet!$B65,aux_sheet!$A$2:$A$202,0)))</f>
        <v/>
      </c>
      <c r="AG66" s="89" t="str">
        <f ca="1">IF($B66="","",INDIRECT("aux_sheet!AN"&amp;1+MATCH(aux_sheet!$B65,aux_sheet!$A$2:$A$202,0)))</f>
        <v/>
      </c>
      <c r="AH66" s="14" t="str">
        <f>IF(ISBLANK(Input!A65)," ",F65-F66)</f>
        <v xml:space="preserve"> </v>
      </c>
    </row>
    <row r="67" spans="1:34" x14ac:dyDescent="0.35">
      <c r="A67" s="2" t="str">
        <f>IF(ISBLANK(Input!A66),"",ROUNDDOWN(aux_sheet!B66,0))</f>
        <v/>
      </c>
      <c r="B67" s="2" t="str">
        <f ca="1">IF(ISBLANK(Input!A66),"",INDIRECT("Input!A"&amp;1+MATCH(aux_sheet!$B66,aux_sheet!$A$2:$A$202,0)))</f>
        <v/>
      </c>
      <c r="C67" s="2" t="str">
        <f ca="1">IF(ISBLANK(Input!B66),"",INDIRECT("Input!B"&amp;1+MATCH(aux_sheet!$B66,aux_sheet!$A$2:$A$202,0)))</f>
        <v/>
      </c>
      <c r="D67" s="2" t="str">
        <f ca="1">IF(ISBLANK(Input!C66),"",INDIRECT("Input!C"&amp;1+MATCH(aux_sheet!$B66,aux_sheet!$A$2:$A$202,0)))</f>
        <v/>
      </c>
      <c r="E67" s="2" t="str">
        <f ca="1">IF(ISBLANK(Input!D66),"",INDIRECT("Input!D"&amp;1+MATCH(aux_sheet!$B66,aux_sheet!$A$2:$A$202,0)))</f>
        <v/>
      </c>
      <c r="F67" s="11" t="str">
        <f ca="1">INDIRECT("Input!F"&amp;1+MATCH(aux_sheet!$B66,aux_sheet!$A$2:$A$202,0))</f>
        <v xml:space="preserve"> </v>
      </c>
      <c r="G67" s="106" t="str">
        <f ca="1">IF($B67="","",INDIRECT("aux_sheet!O"&amp;1+MATCH(aux_sheet!$B66,aux_sheet!$A$2:$A$202,0)))</f>
        <v/>
      </c>
      <c r="H67" s="89" t="str">
        <f ca="1">IF($B67="","",INDIRECT("aux_sheet!P"&amp;1+MATCH(aux_sheet!$B66,aux_sheet!$A$2:$A$202,0)))</f>
        <v/>
      </c>
      <c r="I67" s="89" t="str">
        <f ca="1">IF($B67="","",INDIRECT("aux_sheet!P"&amp;1+MATCH(aux_sheet!$B66,aux_sheet!$A$2:$A$202,0)))</f>
        <v/>
      </c>
      <c r="J67" s="106" t="str">
        <f ca="1">IF($B67="","",INDIRECT("aux_sheet!R"&amp;1+MATCH(aux_sheet!$B66,aux_sheet!$A$2:$A$202,0)))</f>
        <v/>
      </c>
      <c r="K67" s="89" t="str">
        <f ca="1">IF($B67="","",INDIRECT("aux_sheet!S"&amp;1+MATCH(aux_sheet!$B66,aux_sheet!$A$2:$A$202,0)))</f>
        <v/>
      </c>
      <c r="L67" s="89" t="str">
        <f ca="1">IF($B67="","",INDIRECT("aux_sheet!S"&amp;1+MATCH(aux_sheet!$B66,aux_sheet!$A$2:$A$202,0)))</f>
        <v/>
      </c>
      <c r="M67" s="106" t="str">
        <f ca="1">IF($B67="","",INDIRECT("aux_sheet!U"&amp;1+MATCH(aux_sheet!$B66,aux_sheet!$A$2:$A$202,0)))</f>
        <v/>
      </c>
      <c r="N67" s="89" t="str">
        <f ca="1">IF($B67="","",INDIRECT("aux_sheet!V"&amp;1+MATCH(aux_sheet!$B66,aux_sheet!$A$2:$A$202,0)))</f>
        <v/>
      </c>
      <c r="O67" s="89" t="str">
        <f ca="1">IF($B67="","",INDIRECT("aux_sheet!V"&amp;1+MATCH(aux_sheet!$B66,aux_sheet!$A$2:$A$202,0)))</f>
        <v/>
      </c>
      <c r="P67" s="106" t="str">
        <f ca="1">IF($B67="","",INDIRECT("aux_sheet!X"&amp;1+MATCH(aux_sheet!$B66,aux_sheet!$A$2:$A$202,0)))</f>
        <v/>
      </c>
      <c r="Q67" s="89" t="str">
        <f ca="1">IF($B67="","",INDIRECT("aux_sheet!Y"&amp;1+MATCH(aux_sheet!$B66,aux_sheet!$A$2:$A$202,0)))</f>
        <v/>
      </c>
      <c r="R67" s="89" t="str">
        <f ca="1">IF($B67="","",INDIRECT("aux_sheet!Y"&amp;1+MATCH(aux_sheet!$B66,aux_sheet!$A$2:$A$202,0)))</f>
        <v/>
      </c>
      <c r="S67" s="106" t="str">
        <f ca="1">IF($B67="","",INDIRECT("aux_sheet!AA"&amp;1+MATCH(aux_sheet!$B66,aux_sheet!$A$2:$A$202,0)))</f>
        <v/>
      </c>
      <c r="T67" s="89" t="str">
        <f ca="1">IF($B67="","",INDIRECT("aux_sheet!AB"&amp;1+MATCH(aux_sheet!$B66,aux_sheet!$A$2:$A$202,0)))</f>
        <v/>
      </c>
      <c r="U67" s="89" t="str">
        <f ca="1">IF($B67="","",INDIRECT("aux_sheet!AB"&amp;1+MATCH(aux_sheet!$B66,aux_sheet!$A$2:$A$202,0)))</f>
        <v/>
      </c>
      <c r="V67" s="106" t="str">
        <f ca="1">IF($B67="","",INDIRECT("aux_sheet!AD"&amp;1+MATCH(aux_sheet!$B66,aux_sheet!$A$2:$A$202,0)))</f>
        <v/>
      </c>
      <c r="W67" s="89" t="str">
        <f ca="1">IF($B67="","",INDIRECT("aux_sheet!AE"&amp;1+MATCH(aux_sheet!$B66,aux_sheet!$A$2:$A$202,0)))</f>
        <v/>
      </c>
      <c r="X67" s="89" t="str">
        <f ca="1">IF($B67="","",INDIRECT("aux_sheet!AE"&amp;1+MATCH(aux_sheet!$B66,aux_sheet!$A$2:$A$202,0)))</f>
        <v/>
      </c>
      <c r="Y67" s="106" t="str">
        <f ca="1">IF($B67="","",INDIRECT("aux_sheet!AG"&amp;1+MATCH(aux_sheet!$B66,aux_sheet!$A$2:$A$202,0)))</f>
        <v/>
      </c>
      <c r="Z67" s="89" t="str">
        <f ca="1">IF($B67="","",INDIRECT("aux_sheet!AH"&amp;1+MATCH(aux_sheet!$B66,aux_sheet!$A$2:$A$202,0)))</f>
        <v/>
      </c>
      <c r="AA67" s="89" t="str">
        <f ca="1">IF($B67="","",INDIRECT("aux_sheet!AH"&amp;1+MATCH(aux_sheet!$B66,aux_sheet!$A$2:$A$202,0)))</f>
        <v/>
      </c>
      <c r="AB67" s="106" t="str">
        <f ca="1">IF($B67="","",INDIRECT("aux_sheet!AJ"&amp;1+MATCH(aux_sheet!$B66,aux_sheet!$A$2:$A$202,0)))</f>
        <v/>
      </c>
      <c r="AC67" s="89" t="str">
        <f ca="1">IF($B67="","",INDIRECT("aux_sheet!AK"&amp;1+MATCH(aux_sheet!$B66,aux_sheet!$A$2:$A$202,0)))</f>
        <v/>
      </c>
      <c r="AD67" s="89" t="str">
        <f ca="1">IF($B67="","",INDIRECT("aux_sheet!AK"&amp;1+MATCH(aux_sheet!$B66,aux_sheet!$A$2:$A$202,0)))</f>
        <v/>
      </c>
      <c r="AE67" s="106" t="str">
        <f ca="1">IF($B67="","",INDIRECT("aux_sheet!AM"&amp;1+MATCH(aux_sheet!$B66,aux_sheet!$A$2:$A$202,0)))</f>
        <v/>
      </c>
      <c r="AF67" s="89" t="str">
        <f ca="1">IF($B67="","",INDIRECT("aux_sheet!AN"&amp;1+MATCH(aux_sheet!$B66,aux_sheet!$A$2:$A$202,0)))</f>
        <v/>
      </c>
      <c r="AG67" s="89" t="str">
        <f ca="1">IF($B67="","",INDIRECT("aux_sheet!AN"&amp;1+MATCH(aux_sheet!$B66,aux_sheet!$A$2:$A$202,0)))</f>
        <v/>
      </c>
      <c r="AH67" s="14" t="str">
        <f>IF(ISBLANK(Input!A66)," ",F66-F67)</f>
        <v xml:space="preserve"> </v>
      </c>
    </row>
    <row r="68" spans="1:34" x14ac:dyDescent="0.35">
      <c r="A68" s="2" t="str">
        <f>IF(ISBLANK(Input!A67),"",ROUNDDOWN(aux_sheet!B67,0))</f>
        <v/>
      </c>
      <c r="B68" s="2" t="str">
        <f ca="1">IF(ISBLANK(Input!A67),"",INDIRECT("Input!A"&amp;1+MATCH(aux_sheet!$B67,aux_sheet!$A$2:$A$202,0)))</f>
        <v/>
      </c>
      <c r="C68" s="2" t="str">
        <f ca="1">IF(ISBLANK(Input!B67),"",INDIRECT("Input!B"&amp;1+MATCH(aux_sheet!$B67,aux_sheet!$A$2:$A$202,0)))</f>
        <v/>
      </c>
      <c r="D68" s="2" t="str">
        <f ca="1">IF(ISBLANK(Input!C67),"",INDIRECT("Input!C"&amp;1+MATCH(aux_sheet!$B67,aux_sheet!$A$2:$A$202,0)))</f>
        <v/>
      </c>
      <c r="E68" s="2" t="str">
        <f ca="1">IF(ISBLANK(Input!D67),"",INDIRECT("Input!D"&amp;1+MATCH(aux_sheet!$B67,aux_sheet!$A$2:$A$202,0)))</f>
        <v/>
      </c>
      <c r="F68" s="11" t="str">
        <f ca="1">INDIRECT("Input!F"&amp;1+MATCH(aux_sheet!$B67,aux_sheet!$A$2:$A$202,0))</f>
        <v xml:space="preserve"> </v>
      </c>
      <c r="G68" s="106" t="str">
        <f ca="1">IF($B68="","",INDIRECT("aux_sheet!O"&amp;1+MATCH(aux_sheet!$B67,aux_sheet!$A$2:$A$202,0)))</f>
        <v/>
      </c>
      <c r="H68" s="89" t="str">
        <f ca="1">IF($B68="","",INDIRECT("aux_sheet!P"&amp;1+MATCH(aux_sheet!$B67,aux_sheet!$A$2:$A$202,0)))</f>
        <v/>
      </c>
      <c r="I68" s="89" t="str">
        <f ca="1">IF($B68="","",INDIRECT("aux_sheet!P"&amp;1+MATCH(aux_sheet!$B67,aux_sheet!$A$2:$A$202,0)))</f>
        <v/>
      </c>
      <c r="J68" s="106" t="str">
        <f ca="1">IF($B68="","",INDIRECT("aux_sheet!R"&amp;1+MATCH(aux_sheet!$B67,aux_sheet!$A$2:$A$202,0)))</f>
        <v/>
      </c>
      <c r="K68" s="89" t="str">
        <f ca="1">IF($B68="","",INDIRECT("aux_sheet!S"&amp;1+MATCH(aux_sheet!$B67,aux_sheet!$A$2:$A$202,0)))</f>
        <v/>
      </c>
      <c r="L68" s="89" t="str">
        <f ca="1">IF($B68="","",INDIRECT("aux_sheet!S"&amp;1+MATCH(aux_sheet!$B67,aux_sheet!$A$2:$A$202,0)))</f>
        <v/>
      </c>
      <c r="M68" s="106" t="str">
        <f ca="1">IF($B68="","",INDIRECT("aux_sheet!U"&amp;1+MATCH(aux_sheet!$B67,aux_sheet!$A$2:$A$202,0)))</f>
        <v/>
      </c>
      <c r="N68" s="89" t="str">
        <f ca="1">IF($B68="","",INDIRECT("aux_sheet!V"&amp;1+MATCH(aux_sheet!$B67,aux_sheet!$A$2:$A$202,0)))</f>
        <v/>
      </c>
      <c r="O68" s="89" t="str">
        <f ca="1">IF($B68="","",INDIRECT("aux_sheet!V"&amp;1+MATCH(aux_sheet!$B67,aux_sheet!$A$2:$A$202,0)))</f>
        <v/>
      </c>
      <c r="P68" s="106" t="str">
        <f ca="1">IF($B68="","",INDIRECT("aux_sheet!X"&amp;1+MATCH(aux_sheet!$B67,aux_sheet!$A$2:$A$202,0)))</f>
        <v/>
      </c>
      <c r="Q68" s="89" t="str">
        <f ca="1">IF($B68="","",INDIRECT("aux_sheet!Y"&amp;1+MATCH(aux_sheet!$B67,aux_sheet!$A$2:$A$202,0)))</f>
        <v/>
      </c>
      <c r="R68" s="89" t="str">
        <f ca="1">IF($B68="","",INDIRECT("aux_sheet!Y"&amp;1+MATCH(aux_sheet!$B67,aux_sheet!$A$2:$A$202,0)))</f>
        <v/>
      </c>
      <c r="S68" s="106" t="str">
        <f ca="1">IF($B68="","",INDIRECT("aux_sheet!AA"&amp;1+MATCH(aux_sheet!$B67,aux_sheet!$A$2:$A$202,0)))</f>
        <v/>
      </c>
      <c r="T68" s="89" t="str">
        <f ca="1">IF($B68="","",INDIRECT("aux_sheet!AB"&amp;1+MATCH(aux_sheet!$B67,aux_sheet!$A$2:$A$202,0)))</f>
        <v/>
      </c>
      <c r="U68" s="89" t="str">
        <f ca="1">IF($B68="","",INDIRECT("aux_sheet!AB"&amp;1+MATCH(aux_sheet!$B67,aux_sheet!$A$2:$A$202,0)))</f>
        <v/>
      </c>
      <c r="V68" s="106" t="str">
        <f ca="1">IF($B68="","",INDIRECT("aux_sheet!AD"&amp;1+MATCH(aux_sheet!$B67,aux_sheet!$A$2:$A$202,0)))</f>
        <v/>
      </c>
      <c r="W68" s="89" t="str">
        <f ca="1">IF($B68="","",INDIRECT("aux_sheet!AE"&amp;1+MATCH(aux_sheet!$B67,aux_sheet!$A$2:$A$202,0)))</f>
        <v/>
      </c>
      <c r="X68" s="89" t="str">
        <f ca="1">IF($B68="","",INDIRECT("aux_sheet!AE"&amp;1+MATCH(aux_sheet!$B67,aux_sheet!$A$2:$A$202,0)))</f>
        <v/>
      </c>
      <c r="Y68" s="106" t="str">
        <f ca="1">IF($B68="","",INDIRECT("aux_sheet!AG"&amp;1+MATCH(aux_sheet!$B67,aux_sheet!$A$2:$A$202,0)))</f>
        <v/>
      </c>
      <c r="Z68" s="89" t="str">
        <f ca="1">IF($B68="","",INDIRECT("aux_sheet!AH"&amp;1+MATCH(aux_sheet!$B67,aux_sheet!$A$2:$A$202,0)))</f>
        <v/>
      </c>
      <c r="AA68" s="89" t="str">
        <f ca="1">IF($B68="","",INDIRECT("aux_sheet!AH"&amp;1+MATCH(aux_sheet!$B67,aux_sheet!$A$2:$A$202,0)))</f>
        <v/>
      </c>
      <c r="AB68" s="106" t="str">
        <f ca="1">IF($B68="","",INDIRECT("aux_sheet!AJ"&amp;1+MATCH(aux_sheet!$B67,aux_sheet!$A$2:$A$202,0)))</f>
        <v/>
      </c>
      <c r="AC68" s="89" t="str">
        <f ca="1">IF($B68="","",INDIRECT("aux_sheet!AK"&amp;1+MATCH(aux_sheet!$B67,aux_sheet!$A$2:$A$202,0)))</f>
        <v/>
      </c>
      <c r="AD68" s="89" t="str">
        <f ca="1">IF($B68="","",INDIRECT("aux_sheet!AK"&amp;1+MATCH(aux_sheet!$B67,aux_sheet!$A$2:$A$202,0)))</f>
        <v/>
      </c>
      <c r="AE68" s="106" t="str">
        <f ca="1">IF($B68="","",INDIRECT("aux_sheet!AM"&amp;1+MATCH(aux_sheet!$B67,aux_sheet!$A$2:$A$202,0)))</f>
        <v/>
      </c>
      <c r="AF68" s="89" t="str">
        <f ca="1">IF($B68="","",INDIRECT("aux_sheet!AN"&amp;1+MATCH(aux_sheet!$B67,aux_sheet!$A$2:$A$202,0)))</f>
        <v/>
      </c>
      <c r="AG68" s="89" t="str">
        <f ca="1">IF($B68="","",INDIRECT("aux_sheet!AN"&amp;1+MATCH(aux_sheet!$B67,aux_sheet!$A$2:$A$202,0)))</f>
        <v/>
      </c>
      <c r="AH68" s="14" t="str">
        <f>IF(ISBLANK(Input!A67)," ",F67-F68)</f>
        <v xml:space="preserve"> </v>
      </c>
    </row>
    <row r="69" spans="1:34" x14ac:dyDescent="0.35">
      <c r="A69" s="2" t="str">
        <f>IF(ISBLANK(Input!A68),"",ROUNDDOWN(aux_sheet!B68,0))</f>
        <v/>
      </c>
      <c r="B69" s="2" t="str">
        <f ca="1">IF(ISBLANK(Input!A68),"",INDIRECT("Input!A"&amp;1+MATCH(aux_sheet!$B68,aux_sheet!$A$2:$A$202,0)))</f>
        <v/>
      </c>
      <c r="C69" s="2" t="str">
        <f ca="1">IF(ISBLANK(Input!B68),"",INDIRECT("Input!B"&amp;1+MATCH(aux_sheet!$B68,aux_sheet!$A$2:$A$202,0)))</f>
        <v/>
      </c>
      <c r="D69" s="2" t="str">
        <f ca="1">IF(ISBLANK(Input!C68),"",INDIRECT("Input!C"&amp;1+MATCH(aux_sheet!$B68,aux_sheet!$A$2:$A$202,0)))</f>
        <v/>
      </c>
      <c r="E69" s="2" t="str">
        <f ca="1">IF(ISBLANK(Input!D68),"",INDIRECT("Input!D"&amp;1+MATCH(aux_sheet!$B68,aux_sheet!$A$2:$A$202,0)))</f>
        <v/>
      </c>
      <c r="F69" s="11" t="str">
        <f ca="1">INDIRECT("Input!F"&amp;1+MATCH(aux_sheet!$B68,aux_sheet!$A$2:$A$202,0))</f>
        <v xml:space="preserve"> </v>
      </c>
      <c r="G69" s="106" t="str">
        <f ca="1">IF($B69="","",INDIRECT("aux_sheet!O"&amp;1+MATCH(aux_sheet!$B68,aux_sheet!$A$2:$A$202,0)))</f>
        <v/>
      </c>
      <c r="H69" s="89" t="str">
        <f ca="1">IF($B69="","",INDIRECT("aux_sheet!P"&amp;1+MATCH(aux_sheet!$B68,aux_sheet!$A$2:$A$202,0)))</f>
        <v/>
      </c>
      <c r="I69" s="89" t="str">
        <f ca="1">IF($B69="","",INDIRECT("aux_sheet!P"&amp;1+MATCH(aux_sheet!$B68,aux_sheet!$A$2:$A$202,0)))</f>
        <v/>
      </c>
      <c r="J69" s="106" t="str">
        <f ca="1">IF($B69="","",INDIRECT("aux_sheet!R"&amp;1+MATCH(aux_sheet!$B68,aux_sheet!$A$2:$A$202,0)))</f>
        <v/>
      </c>
      <c r="K69" s="89" t="str">
        <f ca="1">IF($B69="","",INDIRECT("aux_sheet!S"&amp;1+MATCH(aux_sheet!$B68,aux_sheet!$A$2:$A$202,0)))</f>
        <v/>
      </c>
      <c r="L69" s="89" t="str">
        <f ca="1">IF($B69="","",INDIRECT("aux_sheet!S"&amp;1+MATCH(aux_sheet!$B68,aux_sheet!$A$2:$A$202,0)))</f>
        <v/>
      </c>
      <c r="M69" s="106" t="str">
        <f ca="1">IF($B69="","",INDIRECT("aux_sheet!U"&amp;1+MATCH(aux_sheet!$B68,aux_sheet!$A$2:$A$202,0)))</f>
        <v/>
      </c>
      <c r="N69" s="89" t="str">
        <f ca="1">IF($B69="","",INDIRECT("aux_sheet!V"&amp;1+MATCH(aux_sheet!$B68,aux_sheet!$A$2:$A$202,0)))</f>
        <v/>
      </c>
      <c r="O69" s="89" t="str">
        <f ca="1">IF($B69="","",INDIRECT("aux_sheet!V"&amp;1+MATCH(aux_sheet!$B68,aux_sheet!$A$2:$A$202,0)))</f>
        <v/>
      </c>
      <c r="P69" s="106" t="str">
        <f ca="1">IF($B69="","",INDIRECT("aux_sheet!X"&amp;1+MATCH(aux_sheet!$B68,aux_sheet!$A$2:$A$202,0)))</f>
        <v/>
      </c>
      <c r="Q69" s="89" t="str">
        <f ca="1">IF($B69="","",INDIRECT("aux_sheet!Y"&amp;1+MATCH(aux_sheet!$B68,aux_sheet!$A$2:$A$202,0)))</f>
        <v/>
      </c>
      <c r="R69" s="89" t="str">
        <f ca="1">IF($B69="","",INDIRECT("aux_sheet!Y"&amp;1+MATCH(aux_sheet!$B68,aux_sheet!$A$2:$A$202,0)))</f>
        <v/>
      </c>
      <c r="S69" s="106" t="str">
        <f ca="1">IF($B69="","",INDIRECT("aux_sheet!AA"&amp;1+MATCH(aux_sheet!$B68,aux_sheet!$A$2:$A$202,0)))</f>
        <v/>
      </c>
      <c r="T69" s="89" t="str">
        <f ca="1">IF($B69="","",INDIRECT("aux_sheet!AB"&amp;1+MATCH(aux_sheet!$B68,aux_sheet!$A$2:$A$202,0)))</f>
        <v/>
      </c>
      <c r="U69" s="89" t="str">
        <f ca="1">IF($B69="","",INDIRECT("aux_sheet!AB"&amp;1+MATCH(aux_sheet!$B68,aux_sheet!$A$2:$A$202,0)))</f>
        <v/>
      </c>
      <c r="V69" s="106" t="str">
        <f ca="1">IF($B69="","",INDIRECT("aux_sheet!AD"&amp;1+MATCH(aux_sheet!$B68,aux_sheet!$A$2:$A$202,0)))</f>
        <v/>
      </c>
      <c r="W69" s="89" t="str">
        <f ca="1">IF($B69="","",INDIRECT("aux_sheet!AE"&amp;1+MATCH(aux_sheet!$B68,aux_sheet!$A$2:$A$202,0)))</f>
        <v/>
      </c>
      <c r="X69" s="89" t="str">
        <f ca="1">IF($B69="","",INDIRECT("aux_sheet!AE"&amp;1+MATCH(aux_sheet!$B68,aux_sheet!$A$2:$A$202,0)))</f>
        <v/>
      </c>
      <c r="Y69" s="106" t="str">
        <f ca="1">IF($B69="","",INDIRECT("aux_sheet!AG"&amp;1+MATCH(aux_sheet!$B68,aux_sheet!$A$2:$A$202,0)))</f>
        <v/>
      </c>
      <c r="Z69" s="89" t="str">
        <f ca="1">IF($B69="","",INDIRECT("aux_sheet!AH"&amp;1+MATCH(aux_sheet!$B68,aux_sheet!$A$2:$A$202,0)))</f>
        <v/>
      </c>
      <c r="AA69" s="89" t="str">
        <f ca="1">IF($B69="","",INDIRECT("aux_sheet!AH"&amp;1+MATCH(aux_sheet!$B68,aux_sheet!$A$2:$A$202,0)))</f>
        <v/>
      </c>
      <c r="AB69" s="106" t="str">
        <f ca="1">IF($B69="","",INDIRECT("aux_sheet!AJ"&amp;1+MATCH(aux_sheet!$B68,aux_sheet!$A$2:$A$202,0)))</f>
        <v/>
      </c>
      <c r="AC69" s="89" t="str">
        <f ca="1">IF($B69="","",INDIRECT("aux_sheet!AK"&amp;1+MATCH(aux_sheet!$B68,aux_sheet!$A$2:$A$202,0)))</f>
        <v/>
      </c>
      <c r="AD69" s="89" t="str">
        <f ca="1">IF($B69="","",INDIRECT("aux_sheet!AK"&amp;1+MATCH(aux_sheet!$B68,aux_sheet!$A$2:$A$202,0)))</f>
        <v/>
      </c>
      <c r="AE69" s="106" t="str">
        <f ca="1">IF($B69="","",INDIRECT("aux_sheet!AM"&amp;1+MATCH(aux_sheet!$B68,aux_sheet!$A$2:$A$202,0)))</f>
        <v/>
      </c>
      <c r="AF69" s="89" t="str">
        <f ca="1">IF($B69="","",INDIRECT("aux_sheet!AN"&amp;1+MATCH(aux_sheet!$B68,aux_sheet!$A$2:$A$202,0)))</f>
        <v/>
      </c>
      <c r="AG69" s="89" t="str">
        <f ca="1">IF($B69="","",INDIRECT("aux_sheet!AN"&amp;1+MATCH(aux_sheet!$B68,aux_sheet!$A$2:$A$202,0)))</f>
        <v/>
      </c>
      <c r="AH69" s="14" t="str">
        <f>IF(ISBLANK(Input!A68)," ",F68-F69)</f>
        <v xml:space="preserve"> </v>
      </c>
    </row>
    <row r="70" spans="1:34" x14ac:dyDescent="0.35">
      <c r="A70" s="2" t="str">
        <f>IF(ISBLANK(Input!A69),"",ROUNDDOWN(aux_sheet!B69,0))</f>
        <v/>
      </c>
      <c r="B70" s="2" t="str">
        <f ca="1">IF(ISBLANK(Input!A69),"",INDIRECT("Input!A"&amp;1+MATCH(aux_sheet!$B69,aux_sheet!$A$2:$A$202,0)))</f>
        <v/>
      </c>
      <c r="C70" s="2" t="str">
        <f ca="1">IF(ISBLANK(Input!B69),"",INDIRECT("Input!B"&amp;1+MATCH(aux_sheet!$B69,aux_sheet!$A$2:$A$202,0)))</f>
        <v/>
      </c>
      <c r="D70" s="2" t="str">
        <f ca="1">IF(ISBLANK(Input!C69),"",INDIRECT("Input!C"&amp;1+MATCH(aux_sheet!$B69,aux_sheet!$A$2:$A$202,0)))</f>
        <v/>
      </c>
      <c r="E70" s="2" t="str">
        <f ca="1">IF(ISBLANK(Input!D69),"",INDIRECT("Input!D"&amp;1+MATCH(aux_sheet!$B69,aux_sheet!$A$2:$A$202,0)))</f>
        <v/>
      </c>
      <c r="F70" s="11" t="str">
        <f ca="1">INDIRECT("Input!F"&amp;1+MATCH(aux_sheet!$B69,aux_sheet!$A$2:$A$202,0))</f>
        <v xml:space="preserve"> </v>
      </c>
      <c r="G70" s="106" t="str">
        <f ca="1">IF($B70="","",INDIRECT("aux_sheet!O"&amp;1+MATCH(aux_sheet!$B69,aux_sheet!$A$2:$A$202,0)))</f>
        <v/>
      </c>
      <c r="H70" s="89" t="str">
        <f ca="1">IF($B70="","",INDIRECT("aux_sheet!P"&amp;1+MATCH(aux_sheet!$B69,aux_sheet!$A$2:$A$202,0)))</f>
        <v/>
      </c>
      <c r="I70" s="89" t="str">
        <f ca="1">IF($B70="","",INDIRECT("aux_sheet!P"&amp;1+MATCH(aux_sheet!$B69,aux_sheet!$A$2:$A$202,0)))</f>
        <v/>
      </c>
      <c r="J70" s="106" t="str">
        <f ca="1">IF($B70="","",INDIRECT("aux_sheet!R"&amp;1+MATCH(aux_sheet!$B69,aux_sheet!$A$2:$A$202,0)))</f>
        <v/>
      </c>
      <c r="K70" s="89" t="str">
        <f ca="1">IF($B70="","",INDIRECT("aux_sheet!S"&amp;1+MATCH(aux_sheet!$B69,aux_sheet!$A$2:$A$202,0)))</f>
        <v/>
      </c>
      <c r="L70" s="89" t="str">
        <f ca="1">IF($B70="","",INDIRECT("aux_sheet!S"&amp;1+MATCH(aux_sheet!$B69,aux_sheet!$A$2:$A$202,0)))</f>
        <v/>
      </c>
      <c r="M70" s="106" t="str">
        <f ca="1">IF($B70="","",INDIRECT("aux_sheet!U"&amp;1+MATCH(aux_sheet!$B69,aux_sheet!$A$2:$A$202,0)))</f>
        <v/>
      </c>
      <c r="N70" s="89" t="str">
        <f ca="1">IF($B70="","",INDIRECT("aux_sheet!V"&amp;1+MATCH(aux_sheet!$B69,aux_sheet!$A$2:$A$202,0)))</f>
        <v/>
      </c>
      <c r="O70" s="89" t="str">
        <f ca="1">IF($B70="","",INDIRECT("aux_sheet!V"&amp;1+MATCH(aux_sheet!$B69,aux_sheet!$A$2:$A$202,0)))</f>
        <v/>
      </c>
      <c r="P70" s="106" t="str">
        <f ca="1">IF($B70="","",INDIRECT("aux_sheet!X"&amp;1+MATCH(aux_sheet!$B69,aux_sheet!$A$2:$A$202,0)))</f>
        <v/>
      </c>
      <c r="Q70" s="89" t="str">
        <f ca="1">IF($B70="","",INDIRECT("aux_sheet!Y"&amp;1+MATCH(aux_sheet!$B69,aux_sheet!$A$2:$A$202,0)))</f>
        <v/>
      </c>
      <c r="R70" s="89" t="str">
        <f ca="1">IF($B70="","",INDIRECT("aux_sheet!Y"&amp;1+MATCH(aux_sheet!$B69,aux_sheet!$A$2:$A$202,0)))</f>
        <v/>
      </c>
      <c r="S70" s="106" t="str">
        <f ca="1">IF($B70="","",INDIRECT("aux_sheet!AA"&amp;1+MATCH(aux_sheet!$B69,aux_sheet!$A$2:$A$202,0)))</f>
        <v/>
      </c>
      <c r="T70" s="89" t="str">
        <f ca="1">IF($B70="","",INDIRECT("aux_sheet!AB"&amp;1+MATCH(aux_sheet!$B69,aux_sheet!$A$2:$A$202,0)))</f>
        <v/>
      </c>
      <c r="U70" s="89" t="str">
        <f ca="1">IF($B70="","",INDIRECT("aux_sheet!AB"&amp;1+MATCH(aux_sheet!$B69,aux_sheet!$A$2:$A$202,0)))</f>
        <v/>
      </c>
      <c r="V70" s="106" t="str">
        <f ca="1">IF($B70="","",INDIRECT("aux_sheet!AD"&amp;1+MATCH(aux_sheet!$B69,aux_sheet!$A$2:$A$202,0)))</f>
        <v/>
      </c>
      <c r="W70" s="89" t="str">
        <f ca="1">IF($B70="","",INDIRECT("aux_sheet!AE"&amp;1+MATCH(aux_sheet!$B69,aux_sheet!$A$2:$A$202,0)))</f>
        <v/>
      </c>
      <c r="X70" s="89" t="str">
        <f ca="1">IF($B70="","",INDIRECT("aux_sheet!AE"&amp;1+MATCH(aux_sheet!$B69,aux_sheet!$A$2:$A$202,0)))</f>
        <v/>
      </c>
      <c r="Y70" s="106" t="str">
        <f ca="1">IF($B70="","",INDIRECT("aux_sheet!AG"&amp;1+MATCH(aux_sheet!$B69,aux_sheet!$A$2:$A$202,0)))</f>
        <v/>
      </c>
      <c r="Z70" s="89" t="str">
        <f ca="1">IF($B70="","",INDIRECT("aux_sheet!AH"&amp;1+MATCH(aux_sheet!$B69,aux_sheet!$A$2:$A$202,0)))</f>
        <v/>
      </c>
      <c r="AA70" s="89" t="str">
        <f ca="1">IF($B70="","",INDIRECT("aux_sheet!AH"&amp;1+MATCH(aux_sheet!$B69,aux_sheet!$A$2:$A$202,0)))</f>
        <v/>
      </c>
      <c r="AB70" s="106" t="str">
        <f ca="1">IF($B70="","",INDIRECT("aux_sheet!AJ"&amp;1+MATCH(aux_sheet!$B69,aux_sheet!$A$2:$A$202,0)))</f>
        <v/>
      </c>
      <c r="AC70" s="89" t="str">
        <f ca="1">IF($B70="","",INDIRECT("aux_sheet!AK"&amp;1+MATCH(aux_sheet!$B69,aux_sheet!$A$2:$A$202,0)))</f>
        <v/>
      </c>
      <c r="AD70" s="89" t="str">
        <f ca="1">IF($B70="","",INDIRECT("aux_sheet!AK"&amp;1+MATCH(aux_sheet!$B69,aux_sheet!$A$2:$A$202,0)))</f>
        <v/>
      </c>
      <c r="AE70" s="106" t="str">
        <f ca="1">IF($B70="","",INDIRECT("aux_sheet!AM"&amp;1+MATCH(aux_sheet!$B69,aux_sheet!$A$2:$A$202,0)))</f>
        <v/>
      </c>
      <c r="AF70" s="89" t="str">
        <f ca="1">IF($B70="","",INDIRECT("aux_sheet!AN"&amp;1+MATCH(aux_sheet!$B69,aux_sheet!$A$2:$A$202,0)))</f>
        <v/>
      </c>
      <c r="AG70" s="89" t="str">
        <f ca="1">IF($B70="","",INDIRECT("aux_sheet!AN"&amp;1+MATCH(aux_sheet!$B69,aux_sheet!$A$2:$A$202,0)))</f>
        <v/>
      </c>
      <c r="AH70" s="14" t="str">
        <f>IF(ISBLANK(Input!A69)," ",F69-F70)</f>
        <v xml:space="preserve"> </v>
      </c>
    </row>
    <row r="71" spans="1:34" x14ac:dyDescent="0.35">
      <c r="A71" s="2" t="str">
        <f>IF(ISBLANK(Input!A70),"",ROUNDDOWN(aux_sheet!B70,0))</f>
        <v/>
      </c>
      <c r="B71" s="2" t="str">
        <f ca="1">IF(ISBLANK(Input!A70),"",INDIRECT("Input!A"&amp;1+MATCH(aux_sheet!$B70,aux_sheet!$A$2:$A$202,0)))</f>
        <v/>
      </c>
      <c r="C71" s="2" t="str">
        <f ca="1">IF(ISBLANK(Input!B70),"",INDIRECT("Input!B"&amp;1+MATCH(aux_sheet!$B70,aux_sheet!$A$2:$A$202,0)))</f>
        <v/>
      </c>
      <c r="D71" s="2" t="str">
        <f ca="1">IF(ISBLANK(Input!C70),"",INDIRECT("Input!C"&amp;1+MATCH(aux_sheet!$B70,aux_sheet!$A$2:$A$202,0)))</f>
        <v/>
      </c>
      <c r="E71" s="2" t="str">
        <f ca="1">IF(ISBLANK(Input!D70),"",INDIRECT("Input!D"&amp;1+MATCH(aux_sheet!$B70,aux_sheet!$A$2:$A$202,0)))</f>
        <v/>
      </c>
      <c r="F71" s="11" t="str">
        <f ca="1">INDIRECT("Input!F"&amp;1+MATCH(aux_sheet!$B70,aux_sheet!$A$2:$A$202,0))</f>
        <v xml:space="preserve"> </v>
      </c>
      <c r="G71" s="106" t="str">
        <f ca="1">IF($B71="","",INDIRECT("aux_sheet!O"&amp;1+MATCH(aux_sheet!$B70,aux_sheet!$A$2:$A$202,0)))</f>
        <v/>
      </c>
      <c r="H71" s="89" t="str">
        <f ca="1">IF($B71="","",INDIRECT("aux_sheet!P"&amp;1+MATCH(aux_sheet!$B70,aux_sheet!$A$2:$A$202,0)))</f>
        <v/>
      </c>
      <c r="I71" s="89" t="str">
        <f ca="1">IF($B71="","",INDIRECT("aux_sheet!P"&amp;1+MATCH(aux_sheet!$B70,aux_sheet!$A$2:$A$202,0)))</f>
        <v/>
      </c>
      <c r="J71" s="106" t="str">
        <f ca="1">IF($B71="","",INDIRECT("aux_sheet!R"&amp;1+MATCH(aux_sheet!$B70,aux_sheet!$A$2:$A$202,0)))</f>
        <v/>
      </c>
      <c r="K71" s="89" t="str">
        <f ca="1">IF($B71="","",INDIRECT("aux_sheet!S"&amp;1+MATCH(aux_sheet!$B70,aux_sheet!$A$2:$A$202,0)))</f>
        <v/>
      </c>
      <c r="L71" s="89" t="str">
        <f ca="1">IF($B71="","",INDIRECT("aux_sheet!S"&amp;1+MATCH(aux_sheet!$B70,aux_sheet!$A$2:$A$202,0)))</f>
        <v/>
      </c>
      <c r="M71" s="106" t="str">
        <f ca="1">IF($B71="","",INDIRECT("aux_sheet!U"&amp;1+MATCH(aux_sheet!$B70,aux_sheet!$A$2:$A$202,0)))</f>
        <v/>
      </c>
      <c r="N71" s="89" t="str">
        <f ca="1">IF($B71="","",INDIRECT("aux_sheet!V"&amp;1+MATCH(aux_sheet!$B70,aux_sheet!$A$2:$A$202,0)))</f>
        <v/>
      </c>
      <c r="O71" s="89" t="str">
        <f ca="1">IF($B71="","",INDIRECT("aux_sheet!V"&amp;1+MATCH(aux_sheet!$B70,aux_sheet!$A$2:$A$202,0)))</f>
        <v/>
      </c>
      <c r="P71" s="106" t="str">
        <f ca="1">IF($B71="","",INDIRECT("aux_sheet!X"&amp;1+MATCH(aux_sheet!$B70,aux_sheet!$A$2:$A$202,0)))</f>
        <v/>
      </c>
      <c r="Q71" s="89" t="str">
        <f ca="1">IF($B71="","",INDIRECT("aux_sheet!Y"&amp;1+MATCH(aux_sheet!$B70,aux_sheet!$A$2:$A$202,0)))</f>
        <v/>
      </c>
      <c r="R71" s="89" t="str">
        <f ca="1">IF($B71="","",INDIRECT("aux_sheet!Y"&amp;1+MATCH(aux_sheet!$B70,aux_sheet!$A$2:$A$202,0)))</f>
        <v/>
      </c>
      <c r="S71" s="106" t="str">
        <f ca="1">IF($B71="","",INDIRECT("aux_sheet!AA"&amp;1+MATCH(aux_sheet!$B70,aux_sheet!$A$2:$A$202,0)))</f>
        <v/>
      </c>
      <c r="T71" s="89" t="str">
        <f ca="1">IF($B71="","",INDIRECT("aux_sheet!AB"&amp;1+MATCH(aux_sheet!$B70,aux_sheet!$A$2:$A$202,0)))</f>
        <v/>
      </c>
      <c r="U71" s="89" t="str">
        <f ca="1">IF($B71="","",INDIRECT("aux_sheet!AB"&amp;1+MATCH(aux_sheet!$B70,aux_sheet!$A$2:$A$202,0)))</f>
        <v/>
      </c>
      <c r="V71" s="106" t="str">
        <f ca="1">IF($B71="","",INDIRECT("aux_sheet!AD"&amp;1+MATCH(aux_sheet!$B70,aux_sheet!$A$2:$A$202,0)))</f>
        <v/>
      </c>
      <c r="W71" s="89" t="str">
        <f ca="1">IF($B71="","",INDIRECT("aux_sheet!AE"&amp;1+MATCH(aux_sheet!$B70,aux_sheet!$A$2:$A$202,0)))</f>
        <v/>
      </c>
      <c r="X71" s="89" t="str">
        <f ca="1">IF($B71="","",INDIRECT("aux_sheet!AE"&amp;1+MATCH(aux_sheet!$B70,aux_sheet!$A$2:$A$202,0)))</f>
        <v/>
      </c>
      <c r="Y71" s="106" t="str">
        <f ca="1">IF($B71="","",INDIRECT("aux_sheet!AG"&amp;1+MATCH(aux_sheet!$B70,aux_sheet!$A$2:$A$202,0)))</f>
        <v/>
      </c>
      <c r="Z71" s="89" t="str">
        <f ca="1">IF($B71="","",INDIRECT("aux_sheet!AH"&amp;1+MATCH(aux_sheet!$B70,aux_sheet!$A$2:$A$202,0)))</f>
        <v/>
      </c>
      <c r="AA71" s="89" t="str">
        <f ca="1">IF($B71="","",INDIRECT("aux_sheet!AH"&amp;1+MATCH(aux_sheet!$B70,aux_sheet!$A$2:$A$202,0)))</f>
        <v/>
      </c>
      <c r="AB71" s="106" t="str">
        <f ca="1">IF($B71="","",INDIRECT("aux_sheet!AJ"&amp;1+MATCH(aux_sheet!$B70,aux_sheet!$A$2:$A$202,0)))</f>
        <v/>
      </c>
      <c r="AC71" s="89" t="str">
        <f ca="1">IF($B71="","",INDIRECT("aux_sheet!AK"&amp;1+MATCH(aux_sheet!$B70,aux_sheet!$A$2:$A$202,0)))</f>
        <v/>
      </c>
      <c r="AD71" s="89" t="str">
        <f ca="1">IF($B71="","",INDIRECT("aux_sheet!AK"&amp;1+MATCH(aux_sheet!$B70,aux_sheet!$A$2:$A$202,0)))</f>
        <v/>
      </c>
      <c r="AE71" s="106" t="str">
        <f ca="1">IF($B71="","",INDIRECT("aux_sheet!AM"&amp;1+MATCH(aux_sheet!$B70,aux_sheet!$A$2:$A$202,0)))</f>
        <v/>
      </c>
      <c r="AF71" s="89" t="str">
        <f ca="1">IF($B71="","",INDIRECT("aux_sheet!AN"&amp;1+MATCH(aux_sheet!$B70,aux_sheet!$A$2:$A$202,0)))</f>
        <v/>
      </c>
      <c r="AG71" s="89" t="str">
        <f ca="1">IF($B71="","",INDIRECT("aux_sheet!AN"&amp;1+MATCH(aux_sheet!$B70,aux_sheet!$A$2:$A$202,0)))</f>
        <v/>
      </c>
      <c r="AH71" s="14" t="str">
        <f>IF(ISBLANK(Input!A70)," ",F70-F71)</f>
        <v xml:space="preserve"> </v>
      </c>
    </row>
    <row r="72" spans="1:34" x14ac:dyDescent="0.35">
      <c r="A72" s="2" t="str">
        <f>IF(ISBLANK(Input!A71),"",ROUNDDOWN(aux_sheet!B71,0))</f>
        <v/>
      </c>
      <c r="B72" s="2" t="str">
        <f ca="1">IF(ISBLANK(Input!A71),"",INDIRECT("Input!A"&amp;1+MATCH(aux_sheet!$B71,aux_sheet!$A$2:$A$202,0)))</f>
        <v/>
      </c>
      <c r="C72" s="2" t="str">
        <f ca="1">IF(ISBLANK(Input!B71),"",INDIRECT("Input!B"&amp;1+MATCH(aux_sheet!$B71,aux_sheet!$A$2:$A$202,0)))</f>
        <v/>
      </c>
      <c r="D72" s="2" t="str">
        <f ca="1">IF(ISBLANK(Input!C71),"",INDIRECT("Input!C"&amp;1+MATCH(aux_sheet!$B71,aux_sheet!$A$2:$A$202,0)))</f>
        <v/>
      </c>
      <c r="E72" s="2" t="str">
        <f ca="1">IF(ISBLANK(Input!D71),"",INDIRECT("Input!D"&amp;1+MATCH(aux_sheet!$B71,aux_sheet!$A$2:$A$202,0)))</f>
        <v/>
      </c>
      <c r="F72" s="11" t="str">
        <f ca="1">INDIRECT("Input!F"&amp;1+MATCH(aux_sheet!$B71,aux_sheet!$A$2:$A$202,0))</f>
        <v xml:space="preserve"> </v>
      </c>
      <c r="G72" s="106" t="str">
        <f ca="1">IF($B72="","",INDIRECT("aux_sheet!O"&amp;1+MATCH(aux_sheet!$B71,aux_sheet!$A$2:$A$202,0)))</f>
        <v/>
      </c>
      <c r="H72" s="89" t="str">
        <f ca="1">IF($B72="","",INDIRECT("aux_sheet!P"&amp;1+MATCH(aux_sheet!$B71,aux_sheet!$A$2:$A$202,0)))</f>
        <v/>
      </c>
      <c r="I72" s="89" t="str">
        <f ca="1">IF($B72="","",INDIRECT("aux_sheet!P"&amp;1+MATCH(aux_sheet!$B71,aux_sheet!$A$2:$A$202,0)))</f>
        <v/>
      </c>
      <c r="J72" s="106" t="str">
        <f ca="1">IF($B72="","",INDIRECT("aux_sheet!R"&amp;1+MATCH(aux_sheet!$B71,aux_sheet!$A$2:$A$202,0)))</f>
        <v/>
      </c>
      <c r="K72" s="89" t="str">
        <f ca="1">IF($B72="","",INDIRECT("aux_sheet!S"&amp;1+MATCH(aux_sheet!$B71,aux_sheet!$A$2:$A$202,0)))</f>
        <v/>
      </c>
      <c r="L72" s="89" t="str">
        <f ca="1">IF($B72="","",INDIRECT("aux_sheet!S"&amp;1+MATCH(aux_sheet!$B71,aux_sheet!$A$2:$A$202,0)))</f>
        <v/>
      </c>
      <c r="M72" s="106" t="str">
        <f ca="1">IF($B72="","",INDIRECT("aux_sheet!U"&amp;1+MATCH(aux_sheet!$B71,aux_sheet!$A$2:$A$202,0)))</f>
        <v/>
      </c>
      <c r="N72" s="89" t="str">
        <f ca="1">IF($B72="","",INDIRECT("aux_sheet!V"&amp;1+MATCH(aux_sheet!$B71,aux_sheet!$A$2:$A$202,0)))</f>
        <v/>
      </c>
      <c r="O72" s="89" t="str">
        <f ca="1">IF($B72="","",INDIRECT("aux_sheet!V"&amp;1+MATCH(aux_sheet!$B71,aux_sheet!$A$2:$A$202,0)))</f>
        <v/>
      </c>
      <c r="P72" s="106" t="str">
        <f ca="1">IF($B72="","",INDIRECT("aux_sheet!X"&amp;1+MATCH(aux_sheet!$B71,aux_sheet!$A$2:$A$202,0)))</f>
        <v/>
      </c>
      <c r="Q72" s="89" t="str">
        <f ca="1">IF($B72="","",INDIRECT("aux_sheet!Y"&amp;1+MATCH(aux_sheet!$B71,aux_sheet!$A$2:$A$202,0)))</f>
        <v/>
      </c>
      <c r="R72" s="89" t="str">
        <f ca="1">IF($B72="","",INDIRECT("aux_sheet!Y"&amp;1+MATCH(aux_sheet!$B71,aux_sheet!$A$2:$A$202,0)))</f>
        <v/>
      </c>
      <c r="S72" s="106" t="str">
        <f ca="1">IF($B72="","",INDIRECT("aux_sheet!AA"&amp;1+MATCH(aux_sheet!$B71,aux_sheet!$A$2:$A$202,0)))</f>
        <v/>
      </c>
      <c r="T72" s="89" t="str">
        <f ca="1">IF($B72="","",INDIRECT("aux_sheet!AB"&amp;1+MATCH(aux_sheet!$B71,aux_sheet!$A$2:$A$202,0)))</f>
        <v/>
      </c>
      <c r="U72" s="89" t="str">
        <f ca="1">IF($B72="","",INDIRECT("aux_sheet!AB"&amp;1+MATCH(aux_sheet!$B71,aux_sheet!$A$2:$A$202,0)))</f>
        <v/>
      </c>
      <c r="V72" s="106" t="str">
        <f ca="1">IF($B72="","",INDIRECT("aux_sheet!AD"&amp;1+MATCH(aux_sheet!$B71,aux_sheet!$A$2:$A$202,0)))</f>
        <v/>
      </c>
      <c r="W72" s="89" t="str">
        <f ca="1">IF($B72="","",INDIRECT("aux_sheet!AE"&amp;1+MATCH(aux_sheet!$B71,aux_sheet!$A$2:$A$202,0)))</f>
        <v/>
      </c>
      <c r="X72" s="89" t="str">
        <f ca="1">IF($B72="","",INDIRECT("aux_sheet!AE"&amp;1+MATCH(aux_sheet!$B71,aux_sheet!$A$2:$A$202,0)))</f>
        <v/>
      </c>
      <c r="Y72" s="106" t="str">
        <f ca="1">IF($B72="","",INDIRECT("aux_sheet!AG"&amp;1+MATCH(aux_sheet!$B71,aux_sheet!$A$2:$A$202,0)))</f>
        <v/>
      </c>
      <c r="Z72" s="89" t="str">
        <f ca="1">IF($B72="","",INDIRECT("aux_sheet!AH"&amp;1+MATCH(aux_sheet!$B71,aux_sheet!$A$2:$A$202,0)))</f>
        <v/>
      </c>
      <c r="AA72" s="89" t="str">
        <f ca="1">IF($B72="","",INDIRECT("aux_sheet!AH"&amp;1+MATCH(aux_sheet!$B71,aux_sheet!$A$2:$A$202,0)))</f>
        <v/>
      </c>
      <c r="AB72" s="106" t="str">
        <f ca="1">IF($B72="","",INDIRECT("aux_sheet!AJ"&amp;1+MATCH(aux_sheet!$B71,aux_sheet!$A$2:$A$202,0)))</f>
        <v/>
      </c>
      <c r="AC72" s="89" t="str">
        <f ca="1">IF($B72="","",INDIRECT("aux_sheet!AK"&amp;1+MATCH(aux_sheet!$B71,aux_sheet!$A$2:$A$202,0)))</f>
        <v/>
      </c>
      <c r="AD72" s="89" t="str">
        <f ca="1">IF($B72="","",INDIRECT("aux_sheet!AK"&amp;1+MATCH(aux_sheet!$B71,aux_sheet!$A$2:$A$202,0)))</f>
        <v/>
      </c>
      <c r="AE72" s="106" t="str">
        <f ca="1">IF($B72="","",INDIRECT("aux_sheet!AM"&amp;1+MATCH(aux_sheet!$B71,aux_sheet!$A$2:$A$202,0)))</f>
        <v/>
      </c>
      <c r="AF72" s="89" t="str">
        <f ca="1">IF($B72="","",INDIRECT("aux_sheet!AN"&amp;1+MATCH(aux_sheet!$B71,aux_sheet!$A$2:$A$202,0)))</f>
        <v/>
      </c>
      <c r="AG72" s="89" t="str">
        <f ca="1">IF($B72="","",INDIRECT("aux_sheet!AN"&amp;1+MATCH(aux_sheet!$B71,aux_sheet!$A$2:$A$202,0)))</f>
        <v/>
      </c>
      <c r="AH72" s="14" t="str">
        <f>IF(ISBLANK(Input!A71)," ",F71-F72)</f>
        <v xml:space="preserve"> </v>
      </c>
    </row>
    <row r="73" spans="1:34" x14ac:dyDescent="0.35">
      <c r="A73" s="2" t="str">
        <f>IF(ISBLANK(Input!A72),"",ROUNDDOWN(aux_sheet!B72,0))</f>
        <v/>
      </c>
      <c r="B73" s="2" t="str">
        <f ca="1">IF(ISBLANK(Input!A72),"",INDIRECT("Input!A"&amp;1+MATCH(aux_sheet!$B72,aux_sheet!$A$2:$A$202,0)))</f>
        <v/>
      </c>
      <c r="C73" s="2" t="str">
        <f ca="1">IF(ISBLANK(Input!B72),"",INDIRECT("Input!B"&amp;1+MATCH(aux_sheet!$B72,aux_sheet!$A$2:$A$202,0)))</f>
        <v/>
      </c>
      <c r="D73" s="2" t="str">
        <f ca="1">IF(ISBLANK(Input!C72),"",INDIRECT("Input!C"&amp;1+MATCH(aux_sheet!$B72,aux_sheet!$A$2:$A$202,0)))</f>
        <v/>
      </c>
      <c r="E73" s="2" t="str">
        <f ca="1">IF(ISBLANK(Input!D72),"",INDIRECT("Input!D"&amp;1+MATCH(aux_sheet!$B72,aux_sheet!$A$2:$A$202,0)))</f>
        <v/>
      </c>
      <c r="F73" s="11" t="str">
        <f ca="1">INDIRECT("Input!F"&amp;1+MATCH(aux_sheet!$B72,aux_sheet!$A$2:$A$202,0))</f>
        <v xml:space="preserve"> </v>
      </c>
      <c r="G73" s="106" t="str">
        <f ca="1">IF($B73="","",INDIRECT("aux_sheet!O"&amp;1+MATCH(aux_sheet!$B72,aux_sheet!$A$2:$A$202,0)))</f>
        <v/>
      </c>
      <c r="H73" s="89" t="str">
        <f ca="1">IF($B73="","",INDIRECT("aux_sheet!P"&amp;1+MATCH(aux_sheet!$B72,aux_sheet!$A$2:$A$202,0)))</f>
        <v/>
      </c>
      <c r="I73" s="89" t="str">
        <f ca="1">IF($B73="","",INDIRECT("aux_sheet!P"&amp;1+MATCH(aux_sheet!$B72,aux_sheet!$A$2:$A$202,0)))</f>
        <v/>
      </c>
      <c r="J73" s="106" t="str">
        <f ca="1">IF($B73="","",INDIRECT("aux_sheet!R"&amp;1+MATCH(aux_sheet!$B72,aux_sheet!$A$2:$A$202,0)))</f>
        <v/>
      </c>
      <c r="K73" s="89" t="str">
        <f ca="1">IF($B73="","",INDIRECT("aux_sheet!S"&amp;1+MATCH(aux_sheet!$B72,aux_sheet!$A$2:$A$202,0)))</f>
        <v/>
      </c>
      <c r="L73" s="89" t="str">
        <f ca="1">IF($B73="","",INDIRECT("aux_sheet!S"&amp;1+MATCH(aux_sheet!$B72,aux_sheet!$A$2:$A$202,0)))</f>
        <v/>
      </c>
      <c r="M73" s="106" t="str">
        <f ca="1">IF($B73="","",INDIRECT("aux_sheet!U"&amp;1+MATCH(aux_sheet!$B72,aux_sheet!$A$2:$A$202,0)))</f>
        <v/>
      </c>
      <c r="N73" s="89" t="str">
        <f ca="1">IF($B73="","",INDIRECT("aux_sheet!V"&amp;1+MATCH(aux_sheet!$B72,aux_sheet!$A$2:$A$202,0)))</f>
        <v/>
      </c>
      <c r="O73" s="89" t="str">
        <f ca="1">IF($B73="","",INDIRECT("aux_sheet!V"&amp;1+MATCH(aux_sheet!$B72,aux_sheet!$A$2:$A$202,0)))</f>
        <v/>
      </c>
      <c r="P73" s="106" t="str">
        <f ca="1">IF($B73="","",INDIRECT("aux_sheet!X"&amp;1+MATCH(aux_sheet!$B72,aux_sheet!$A$2:$A$202,0)))</f>
        <v/>
      </c>
      <c r="Q73" s="89" t="str">
        <f ca="1">IF($B73="","",INDIRECT("aux_sheet!Y"&amp;1+MATCH(aux_sheet!$B72,aux_sheet!$A$2:$A$202,0)))</f>
        <v/>
      </c>
      <c r="R73" s="89" t="str">
        <f ca="1">IF($B73="","",INDIRECT("aux_sheet!Y"&amp;1+MATCH(aux_sheet!$B72,aux_sheet!$A$2:$A$202,0)))</f>
        <v/>
      </c>
      <c r="S73" s="106" t="str">
        <f ca="1">IF($B73="","",INDIRECT("aux_sheet!AA"&amp;1+MATCH(aux_sheet!$B72,aux_sheet!$A$2:$A$202,0)))</f>
        <v/>
      </c>
      <c r="T73" s="89" t="str">
        <f ca="1">IF($B73="","",INDIRECT("aux_sheet!AB"&amp;1+MATCH(aux_sheet!$B72,aux_sheet!$A$2:$A$202,0)))</f>
        <v/>
      </c>
      <c r="U73" s="89" t="str">
        <f ca="1">IF($B73="","",INDIRECT("aux_sheet!AB"&amp;1+MATCH(aux_sheet!$B72,aux_sheet!$A$2:$A$202,0)))</f>
        <v/>
      </c>
      <c r="V73" s="106" t="str">
        <f ca="1">IF($B73="","",INDIRECT("aux_sheet!AD"&amp;1+MATCH(aux_sheet!$B72,aux_sheet!$A$2:$A$202,0)))</f>
        <v/>
      </c>
      <c r="W73" s="89" t="str">
        <f ca="1">IF($B73="","",INDIRECT("aux_sheet!AE"&amp;1+MATCH(aux_sheet!$B72,aux_sheet!$A$2:$A$202,0)))</f>
        <v/>
      </c>
      <c r="X73" s="89" t="str">
        <f ca="1">IF($B73="","",INDIRECT("aux_sheet!AE"&amp;1+MATCH(aux_sheet!$B72,aux_sheet!$A$2:$A$202,0)))</f>
        <v/>
      </c>
      <c r="Y73" s="106" t="str">
        <f ca="1">IF($B73="","",INDIRECT("aux_sheet!AG"&amp;1+MATCH(aux_sheet!$B72,aux_sheet!$A$2:$A$202,0)))</f>
        <v/>
      </c>
      <c r="Z73" s="89" t="str">
        <f ca="1">IF($B73="","",INDIRECT("aux_sheet!AH"&amp;1+MATCH(aux_sheet!$B72,aux_sheet!$A$2:$A$202,0)))</f>
        <v/>
      </c>
      <c r="AA73" s="89" t="str">
        <f ca="1">IF($B73="","",INDIRECT("aux_sheet!AH"&amp;1+MATCH(aux_sheet!$B72,aux_sheet!$A$2:$A$202,0)))</f>
        <v/>
      </c>
      <c r="AB73" s="106" t="str">
        <f ca="1">IF($B73="","",INDIRECT("aux_sheet!AJ"&amp;1+MATCH(aux_sheet!$B72,aux_sheet!$A$2:$A$202,0)))</f>
        <v/>
      </c>
      <c r="AC73" s="89" t="str">
        <f ca="1">IF($B73="","",INDIRECT("aux_sheet!AK"&amp;1+MATCH(aux_sheet!$B72,aux_sheet!$A$2:$A$202,0)))</f>
        <v/>
      </c>
      <c r="AD73" s="89" t="str">
        <f ca="1">IF($B73="","",INDIRECT("aux_sheet!AK"&amp;1+MATCH(aux_sheet!$B72,aux_sheet!$A$2:$A$202,0)))</f>
        <v/>
      </c>
      <c r="AE73" s="106" t="str">
        <f ca="1">IF($B73="","",INDIRECT("aux_sheet!AM"&amp;1+MATCH(aux_sheet!$B72,aux_sheet!$A$2:$A$202,0)))</f>
        <v/>
      </c>
      <c r="AF73" s="89" t="str">
        <f ca="1">IF($B73="","",INDIRECT("aux_sheet!AN"&amp;1+MATCH(aux_sheet!$B72,aux_sheet!$A$2:$A$202,0)))</f>
        <v/>
      </c>
      <c r="AG73" s="89" t="str">
        <f ca="1">IF($B73="","",INDIRECT("aux_sheet!AN"&amp;1+MATCH(aux_sheet!$B72,aux_sheet!$A$2:$A$202,0)))</f>
        <v/>
      </c>
      <c r="AH73" s="14" t="str">
        <f>IF(ISBLANK(Input!A72)," ",F72-F73)</f>
        <v xml:space="preserve"> </v>
      </c>
    </row>
    <row r="74" spans="1:34" x14ac:dyDescent="0.35">
      <c r="A74" s="2" t="str">
        <f>IF(ISBLANK(Input!A73),"",ROUNDDOWN(aux_sheet!B73,0))</f>
        <v/>
      </c>
      <c r="B74" s="2" t="str">
        <f ca="1">IF(ISBLANK(Input!A73),"",INDIRECT("Input!A"&amp;1+MATCH(aux_sheet!$B73,aux_sheet!$A$2:$A$202,0)))</f>
        <v/>
      </c>
      <c r="C74" s="2" t="str">
        <f ca="1">IF(ISBLANK(Input!B73),"",INDIRECT("Input!B"&amp;1+MATCH(aux_sheet!$B73,aux_sheet!$A$2:$A$202,0)))</f>
        <v/>
      </c>
      <c r="D74" s="2" t="str">
        <f ca="1">IF(ISBLANK(Input!C73),"",INDIRECT("Input!C"&amp;1+MATCH(aux_sheet!$B73,aux_sheet!$A$2:$A$202,0)))</f>
        <v/>
      </c>
      <c r="E74" s="2" t="str">
        <f ca="1">IF(ISBLANK(Input!D73),"",INDIRECT("Input!D"&amp;1+MATCH(aux_sheet!$B73,aux_sheet!$A$2:$A$202,0)))</f>
        <v/>
      </c>
      <c r="F74" s="11" t="str">
        <f ca="1">INDIRECT("Input!F"&amp;1+MATCH(aux_sheet!$B73,aux_sheet!$A$2:$A$202,0))</f>
        <v xml:space="preserve"> </v>
      </c>
      <c r="G74" s="106" t="str">
        <f ca="1">IF($B74="","",INDIRECT("aux_sheet!O"&amp;1+MATCH(aux_sheet!$B73,aux_sheet!$A$2:$A$202,0)))</f>
        <v/>
      </c>
      <c r="H74" s="89" t="str">
        <f ca="1">IF($B74="","",INDIRECT("aux_sheet!P"&amp;1+MATCH(aux_sheet!$B73,aux_sheet!$A$2:$A$202,0)))</f>
        <v/>
      </c>
      <c r="I74" s="89" t="str">
        <f ca="1">IF($B74="","",INDIRECT("aux_sheet!P"&amp;1+MATCH(aux_sheet!$B73,aux_sheet!$A$2:$A$202,0)))</f>
        <v/>
      </c>
      <c r="J74" s="106" t="str">
        <f ca="1">IF($B74="","",INDIRECT("aux_sheet!R"&amp;1+MATCH(aux_sheet!$B73,aux_sheet!$A$2:$A$202,0)))</f>
        <v/>
      </c>
      <c r="K74" s="89" t="str">
        <f ca="1">IF($B74="","",INDIRECT("aux_sheet!S"&amp;1+MATCH(aux_sheet!$B73,aux_sheet!$A$2:$A$202,0)))</f>
        <v/>
      </c>
      <c r="L74" s="89" t="str">
        <f ca="1">IF($B74="","",INDIRECT("aux_sheet!S"&amp;1+MATCH(aux_sheet!$B73,aux_sheet!$A$2:$A$202,0)))</f>
        <v/>
      </c>
      <c r="M74" s="106" t="str">
        <f ca="1">IF($B74="","",INDIRECT("aux_sheet!U"&amp;1+MATCH(aux_sheet!$B73,aux_sheet!$A$2:$A$202,0)))</f>
        <v/>
      </c>
      <c r="N74" s="89" t="str">
        <f ca="1">IF($B74="","",INDIRECT("aux_sheet!V"&amp;1+MATCH(aux_sheet!$B73,aux_sheet!$A$2:$A$202,0)))</f>
        <v/>
      </c>
      <c r="O74" s="89" t="str">
        <f ca="1">IF($B74="","",INDIRECT("aux_sheet!V"&amp;1+MATCH(aux_sheet!$B73,aux_sheet!$A$2:$A$202,0)))</f>
        <v/>
      </c>
      <c r="P74" s="106" t="str">
        <f ca="1">IF($B74="","",INDIRECT("aux_sheet!X"&amp;1+MATCH(aux_sheet!$B73,aux_sheet!$A$2:$A$202,0)))</f>
        <v/>
      </c>
      <c r="Q74" s="89" t="str">
        <f ca="1">IF($B74="","",INDIRECT("aux_sheet!Y"&amp;1+MATCH(aux_sheet!$B73,aux_sheet!$A$2:$A$202,0)))</f>
        <v/>
      </c>
      <c r="R74" s="89" t="str">
        <f ca="1">IF($B74="","",INDIRECT("aux_sheet!Y"&amp;1+MATCH(aux_sheet!$B73,aux_sheet!$A$2:$A$202,0)))</f>
        <v/>
      </c>
      <c r="S74" s="106" t="str">
        <f ca="1">IF($B74="","",INDIRECT("aux_sheet!AA"&amp;1+MATCH(aux_sheet!$B73,aux_sheet!$A$2:$A$202,0)))</f>
        <v/>
      </c>
      <c r="T74" s="89" t="str">
        <f ca="1">IF($B74="","",INDIRECT("aux_sheet!AB"&amp;1+MATCH(aux_sheet!$B73,aux_sheet!$A$2:$A$202,0)))</f>
        <v/>
      </c>
      <c r="U74" s="89" t="str">
        <f ca="1">IF($B74="","",INDIRECT("aux_sheet!AB"&amp;1+MATCH(aux_sheet!$B73,aux_sheet!$A$2:$A$202,0)))</f>
        <v/>
      </c>
      <c r="V74" s="106" t="str">
        <f ca="1">IF($B74="","",INDIRECT("aux_sheet!AD"&amp;1+MATCH(aux_sheet!$B73,aux_sheet!$A$2:$A$202,0)))</f>
        <v/>
      </c>
      <c r="W74" s="89" t="str">
        <f ca="1">IF($B74="","",INDIRECT("aux_sheet!AE"&amp;1+MATCH(aux_sheet!$B73,aux_sheet!$A$2:$A$202,0)))</f>
        <v/>
      </c>
      <c r="X74" s="89" t="str">
        <f ca="1">IF($B74="","",INDIRECT("aux_sheet!AE"&amp;1+MATCH(aux_sheet!$B73,aux_sheet!$A$2:$A$202,0)))</f>
        <v/>
      </c>
      <c r="Y74" s="106" t="str">
        <f ca="1">IF($B74="","",INDIRECT("aux_sheet!AG"&amp;1+MATCH(aux_sheet!$B73,aux_sheet!$A$2:$A$202,0)))</f>
        <v/>
      </c>
      <c r="Z74" s="89" t="str">
        <f ca="1">IF($B74="","",INDIRECT("aux_sheet!AH"&amp;1+MATCH(aux_sheet!$B73,aux_sheet!$A$2:$A$202,0)))</f>
        <v/>
      </c>
      <c r="AA74" s="89" t="str">
        <f ca="1">IF($B74="","",INDIRECT("aux_sheet!AH"&amp;1+MATCH(aux_sheet!$B73,aux_sheet!$A$2:$A$202,0)))</f>
        <v/>
      </c>
      <c r="AB74" s="106" t="str">
        <f ca="1">IF($B74="","",INDIRECT("aux_sheet!AJ"&amp;1+MATCH(aux_sheet!$B73,aux_sheet!$A$2:$A$202,0)))</f>
        <v/>
      </c>
      <c r="AC74" s="89" t="str">
        <f ca="1">IF($B74="","",INDIRECT("aux_sheet!AK"&amp;1+MATCH(aux_sheet!$B73,aux_sheet!$A$2:$A$202,0)))</f>
        <v/>
      </c>
      <c r="AD74" s="89" t="str">
        <f ca="1">IF($B74="","",INDIRECT("aux_sheet!AK"&amp;1+MATCH(aux_sheet!$B73,aux_sheet!$A$2:$A$202,0)))</f>
        <v/>
      </c>
      <c r="AE74" s="106" t="str">
        <f ca="1">IF($B74="","",INDIRECT("aux_sheet!AM"&amp;1+MATCH(aux_sheet!$B73,aux_sheet!$A$2:$A$202,0)))</f>
        <v/>
      </c>
      <c r="AF74" s="89" t="str">
        <f ca="1">IF($B74="","",INDIRECT("aux_sheet!AN"&amp;1+MATCH(aux_sheet!$B73,aux_sheet!$A$2:$A$202,0)))</f>
        <v/>
      </c>
      <c r="AG74" s="89" t="str">
        <f ca="1">IF($B74="","",INDIRECT("aux_sheet!AN"&amp;1+MATCH(aux_sheet!$B73,aux_sheet!$A$2:$A$202,0)))</f>
        <v/>
      </c>
      <c r="AH74" s="14" t="str">
        <f>IF(ISBLANK(Input!A73)," ",F73-F74)</f>
        <v xml:space="preserve"> </v>
      </c>
    </row>
    <row r="75" spans="1:34" x14ac:dyDescent="0.35">
      <c r="A75" s="2" t="str">
        <f>IF(ISBLANK(Input!A74),"",ROUNDDOWN(aux_sheet!B74,0))</f>
        <v/>
      </c>
      <c r="B75" s="2" t="str">
        <f ca="1">IF(ISBLANK(Input!A74),"",INDIRECT("Input!A"&amp;1+MATCH(aux_sheet!$B74,aux_sheet!$A$2:$A$202,0)))</f>
        <v/>
      </c>
      <c r="C75" s="2" t="str">
        <f ca="1">IF(ISBLANK(Input!B74),"",INDIRECT("Input!B"&amp;1+MATCH(aux_sheet!$B74,aux_sheet!$A$2:$A$202,0)))</f>
        <v/>
      </c>
      <c r="D75" s="2" t="str">
        <f ca="1">IF(ISBLANK(Input!C74),"",INDIRECT("Input!C"&amp;1+MATCH(aux_sheet!$B74,aux_sheet!$A$2:$A$202,0)))</f>
        <v/>
      </c>
      <c r="E75" s="2" t="str">
        <f ca="1">IF(ISBLANK(Input!D74),"",INDIRECT("Input!D"&amp;1+MATCH(aux_sheet!$B74,aux_sheet!$A$2:$A$202,0)))</f>
        <v/>
      </c>
      <c r="F75" s="11" t="str">
        <f ca="1">INDIRECT("Input!F"&amp;1+MATCH(aux_sheet!$B74,aux_sheet!$A$2:$A$202,0))</f>
        <v xml:space="preserve"> </v>
      </c>
      <c r="G75" s="106" t="str">
        <f ca="1">IF($B75="","",INDIRECT("aux_sheet!O"&amp;1+MATCH(aux_sheet!$B74,aux_sheet!$A$2:$A$202,0)))</f>
        <v/>
      </c>
      <c r="H75" s="89" t="str">
        <f ca="1">IF($B75="","",INDIRECT("aux_sheet!P"&amp;1+MATCH(aux_sheet!$B74,aux_sheet!$A$2:$A$202,0)))</f>
        <v/>
      </c>
      <c r="I75" s="89" t="str">
        <f ca="1">IF($B75="","",INDIRECT("aux_sheet!P"&amp;1+MATCH(aux_sheet!$B74,aux_sheet!$A$2:$A$202,0)))</f>
        <v/>
      </c>
      <c r="J75" s="106" t="str">
        <f ca="1">IF($B75="","",INDIRECT("aux_sheet!R"&amp;1+MATCH(aux_sheet!$B74,aux_sheet!$A$2:$A$202,0)))</f>
        <v/>
      </c>
      <c r="K75" s="89" t="str">
        <f ca="1">IF($B75="","",INDIRECT("aux_sheet!S"&amp;1+MATCH(aux_sheet!$B74,aux_sheet!$A$2:$A$202,0)))</f>
        <v/>
      </c>
      <c r="L75" s="89" t="str">
        <f ca="1">IF($B75="","",INDIRECT("aux_sheet!S"&amp;1+MATCH(aux_sheet!$B74,aux_sheet!$A$2:$A$202,0)))</f>
        <v/>
      </c>
      <c r="M75" s="106" t="str">
        <f ca="1">IF($B75="","",INDIRECT("aux_sheet!U"&amp;1+MATCH(aux_sheet!$B74,aux_sheet!$A$2:$A$202,0)))</f>
        <v/>
      </c>
      <c r="N75" s="89" t="str">
        <f ca="1">IF($B75="","",INDIRECT("aux_sheet!V"&amp;1+MATCH(aux_sheet!$B74,aux_sheet!$A$2:$A$202,0)))</f>
        <v/>
      </c>
      <c r="O75" s="89" t="str">
        <f ca="1">IF($B75="","",INDIRECT("aux_sheet!V"&amp;1+MATCH(aux_sheet!$B74,aux_sheet!$A$2:$A$202,0)))</f>
        <v/>
      </c>
      <c r="P75" s="106" t="str">
        <f ca="1">IF($B75="","",INDIRECT("aux_sheet!X"&amp;1+MATCH(aux_sheet!$B74,aux_sheet!$A$2:$A$202,0)))</f>
        <v/>
      </c>
      <c r="Q75" s="89" t="str">
        <f ca="1">IF($B75="","",INDIRECT("aux_sheet!Y"&amp;1+MATCH(aux_sheet!$B74,aux_sheet!$A$2:$A$202,0)))</f>
        <v/>
      </c>
      <c r="R75" s="89" t="str">
        <f ca="1">IF($B75="","",INDIRECT("aux_sheet!Y"&amp;1+MATCH(aux_sheet!$B74,aux_sheet!$A$2:$A$202,0)))</f>
        <v/>
      </c>
      <c r="S75" s="106" t="str">
        <f ca="1">IF($B75="","",INDIRECT("aux_sheet!AA"&amp;1+MATCH(aux_sheet!$B74,aux_sheet!$A$2:$A$202,0)))</f>
        <v/>
      </c>
      <c r="T75" s="89" t="str">
        <f ca="1">IF($B75="","",INDIRECT("aux_sheet!AB"&amp;1+MATCH(aux_sheet!$B74,aux_sheet!$A$2:$A$202,0)))</f>
        <v/>
      </c>
      <c r="U75" s="89" t="str">
        <f ca="1">IF($B75="","",INDIRECT("aux_sheet!AB"&amp;1+MATCH(aux_sheet!$B74,aux_sheet!$A$2:$A$202,0)))</f>
        <v/>
      </c>
      <c r="V75" s="106" t="str">
        <f ca="1">IF($B75="","",INDIRECT("aux_sheet!AD"&amp;1+MATCH(aux_sheet!$B74,aux_sheet!$A$2:$A$202,0)))</f>
        <v/>
      </c>
      <c r="W75" s="89" t="str">
        <f ca="1">IF($B75="","",INDIRECT("aux_sheet!AE"&amp;1+MATCH(aux_sheet!$B74,aux_sheet!$A$2:$A$202,0)))</f>
        <v/>
      </c>
      <c r="X75" s="89" t="str">
        <f ca="1">IF($B75="","",INDIRECT("aux_sheet!AE"&amp;1+MATCH(aux_sheet!$B74,aux_sheet!$A$2:$A$202,0)))</f>
        <v/>
      </c>
      <c r="Y75" s="106" t="str">
        <f ca="1">IF($B75="","",INDIRECT("aux_sheet!AG"&amp;1+MATCH(aux_sheet!$B74,aux_sheet!$A$2:$A$202,0)))</f>
        <v/>
      </c>
      <c r="Z75" s="89" t="str">
        <f ca="1">IF($B75="","",INDIRECT("aux_sheet!AH"&amp;1+MATCH(aux_sheet!$B74,aux_sheet!$A$2:$A$202,0)))</f>
        <v/>
      </c>
      <c r="AA75" s="89" t="str">
        <f ca="1">IF($B75="","",INDIRECT("aux_sheet!AH"&amp;1+MATCH(aux_sheet!$B74,aux_sheet!$A$2:$A$202,0)))</f>
        <v/>
      </c>
      <c r="AB75" s="106" t="str">
        <f ca="1">IF($B75="","",INDIRECT("aux_sheet!AJ"&amp;1+MATCH(aux_sheet!$B74,aux_sheet!$A$2:$A$202,0)))</f>
        <v/>
      </c>
      <c r="AC75" s="89" t="str">
        <f ca="1">IF($B75="","",INDIRECT("aux_sheet!AK"&amp;1+MATCH(aux_sheet!$B74,aux_sheet!$A$2:$A$202,0)))</f>
        <v/>
      </c>
      <c r="AD75" s="89" t="str">
        <f ca="1">IF($B75="","",INDIRECT("aux_sheet!AK"&amp;1+MATCH(aux_sheet!$B74,aux_sheet!$A$2:$A$202,0)))</f>
        <v/>
      </c>
      <c r="AE75" s="106" t="str">
        <f ca="1">IF($B75="","",INDIRECT("aux_sheet!AM"&amp;1+MATCH(aux_sheet!$B74,aux_sheet!$A$2:$A$202,0)))</f>
        <v/>
      </c>
      <c r="AF75" s="89" t="str">
        <f ca="1">IF($B75="","",INDIRECT("aux_sheet!AN"&amp;1+MATCH(aux_sheet!$B74,aux_sheet!$A$2:$A$202,0)))</f>
        <v/>
      </c>
      <c r="AG75" s="89" t="str">
        <f ca="1">IF($B75="","",INDIRECT("aux_sheet!AN"&amp;1+MATCH(aux_sheet!$B74,aux_sheet!$A$2:$A$202,0)))</f>
        <v/>
      </c>
      <c r="AH75" s="14" t="str">
        <f>IF(ISBLANK(Input!A74)," ",F74-F75)</f>
        <v xml:space="preserve"> </v>
      </c>
    </row>
    <row r="76" spans="1:34" x14ac:dyDescent="0.35">
      <c r="A76" s="2" t="str">
        <f>IF(ISBLANK(Input!A75),"",ROUNDDOWN(aux_sheet!B75,0))</f>
        <v/>
      </c>
      <c r="B76" s="2" t="str">
        <f ca="1">IF(ISBLANK(Input!A75),"",INDIRECT("Input!A"&amp;1+MATCH(aux_sheet!$B75,aux_sheet!$A$2:$A$202,0)))</f>
        <v/>
      </c>
      <c r="C76" s="2" t="str">
        <f ca="1">IF(ISBLANK(Input!B75),"",INDIRECT("Input!B"&amp;1+MATCH(aux_sheet!$B75,aux_sheet!$A$2:$A$202,0)))</f>
        <v/>
      </c>
      <c r="D76" s="2" t="str">
        <f ca="1">IF(ISBLANK(Input!C75),"",INDIRECT("Input!C"&amp;1+MATCH(aux_sheet!$B75,aux_sheet!$A$2:$A$202,0)))</f>
        <v/>
      </c>
      <c r="E76" s="2" t="str">
        <f ca="1">IF(ISBLANK(Input!D75),"",INDIRECT("Input!D"&amp;1+MATCH(aux_sheet!$B75,aux_sheet!$A$2:$A$202,0)))</f>
        <v/>
      </c>
      <c r="F76" s="11" t="str">
        <f ca="1">INDIRECT("Input!F"&amp;1+MATCH(aux_sheet!$B75,aux_sheet!$A$2:$A$202,0))</f>
        <v xml:space="preserve"> </v>
      </c>
      <c r="G76" s="106" t="str">
        <f ca="1">IF($B76="","",INDIRECT("aux_sheet!O"&amp;1+MATCH(aux_sheet!$B75,aux_sheet!$A$2:$A$202,0)))</f>
        <v/>
      </c>
      <c r="H76" s="89" t="str">
        <f ca="1">IF($B76="","",INDIRECT("aux_sheet!P"&amp;1+MATCH(aux_sheet!$B75,aux_sheet!$A$2:$A$202,0)))</f>
        <v/>
      </c>
      <c r="I76" s="89" t="str">
        <f ca="1">IF($B76="","",INDIRECT("aux_sheet!P"&amp;1+MATCH(aux_sheet!$B75,aux_sheet!$A$2:$A$202,0)))</f>
        <v/>
      </c>
      <c r="J76" s="106" t="str">
        <f ca="1">IF($B76="","",INDIRECT("aux_sheet!R"&amp;1+MATCH(aux_sheet!$B75,aux_sheet!$A$2:$A$202,0)))</f>
        <v/>
      </c>
      <c r="K76" s="89" t="str">
        <f ca="1">IF($B76="","",INDIRECT("aux_sheet!S"&amp;1+MATCH(aux_sheet!$B75,aux_sheet!$A$2:$A$202,0)))</f>
        <v/>
      </c>
      <c r="L76" s="89" t="str">
        <f ca="1">IF($B76="","",INDIRECT("aux_sheet!S"&amp;1+MATCH(aux_sheet!$B75,aux_sheet!$A$2:$A$202,0)))</f>
        <v/>
      </c>
      <c r="M76" s="106" t="str">
        <f ca="1">IF($B76="","",INDIRECT("aux_sheet!U"&amp;1+MATCH(aux_sheet!$B75,aux_sheet!$A$2:$A$202,0)))</f>
        <v/>
      </c>
      <c r="N76" s="89" t="str">
        <f ca="1">IF($B76="","",INDIRECT("aux_sheet!V"&amp;1+MATCH(aux_sheet!$B75,aux_sheet!$A$2:$A$202,0)))</f>
        <v/>
      </c>
      <c r="O76" s="89" t="str">
        <f ca="1">IF($B76="","",INDIRECT("aux_sheet!V"&amp;1+MATCH(aux_sheet!$B75,aux_sheet!$A$2:$A$202,0)))</f>
        <v/>
      </c>
      <c r="P76" s="106" t="str">
        <f ca="1">IF($B76="","",INDIRECT("aux_sheet!X"&amp;1+MATCH(aux_sheet!$B75,aux_sheet!$A$2:$A$202,0)))</f>
        <v/>
      </c>
      <c r="Q76" s="89" t="str">
        <f ca="1">IF($B76="","",INDIRECT("aux_sheet!Y"&amp;1+MATCH(aux_sheet!$B75,aux_sheet!$A$2:$A$202,0)))</f>
        <v/>
      </c>
      <c r="R76" s="89" t="str">
        <f ca="1">IF($B76="","",INDIRECT("aux_sheet!Y"&amp;1+MATCH(aux_sheet!$B75,aux_sheet!$A$2:$A$202,0)))</f>
        <v/>
      </c>
      <c r="S76" s="106" t="str">
        <f ca="1">IF($B76="","",INDIRECT("aux_sheet!AA"&amp;1+MATCH(aux_sheet!$B75,aux_sheet!$A$2:$A$202,0)))</f>
        <v/>
      </c>
      <c r="T76" s="89" t="str">
        <f ca="1">IF($B76="","",INDIRECT("aux_sheet!AB"&amp;1+MATCH(aux_sheet!$B75,aux_sheet!$A$2:$A$202,0)))</f>
        <v/>
      </c>
      <c r="U76" s="89" t="str">
        <f ca="1">IF($B76="","",INDIRECT("aux_sheet!AB"&amp;1+MATCH(aux_sheet!$B75,aux_sheet!$A$2:$A$202,0)))</f>
        <v/>
      </c>
      <c r="V76" s="106" t="str">
        <f ca="1">IF($B76="","",INDIRECT("aux_sheet!AD"&amp;1+MATCH(aux_sheet!$B75,aux_sheet!$A$2:$A$202,0)))</f>
        <v/>
      </c>
      <c r="W76" s="89" t="str">
        <f ca="1">IF($B76="","",INDIRECT("aux_sheet!AE"&amp;1+MATCH(aux_sheet!$B75,aux_sheet!$A$2:$A$202,0)))</f>
        <v/>
      </c>
      <c r="X76" s="89" t="str">
        <f ca="1">IF($B76="","",INDIRECT("aux_sheet!AE"&amp;1+MATCH(aux_sheet!$B75,aux_sheet!$A$2:$A$202,0)))</f>
        <v/>
      </c>
      <c r="Y76" s="106" t="str">
        <f ca="1">IF($B76="","",INDIRECT("aux_sheet!AG"&amp;1+MATCH(aux_sheet!$B75,aux_sheet!$A$2:$A$202,0)))</f>
        <v/>
      </c>
      <c r="Z76" s="89" t="str">
        <f ca="1">IF($B76="","",INDIRECT("aux_sheet!AH"&amp;1+MATCH(aux_sheet!$B75,aux_sheet!$A$2:$A$202,0)))</f>
        <v/>
      </c>
      <c r="AA76" s="89" t="str">
        <f ca="1">IF($B76="","",INDIRECT("aux_sheet!AH"&amp;1+MATCH(aux_sheet!$B75,aux_sheet!$A$2:$A$202,0)))</f>
        <v/>
      </c>
      <c r="AB76" s="106" t="str">
        <f ca="1">IF($B76="","",INDIRECT("aux_sheet!AJ"&amp;1+MATCH(aux_sheet!$B75,aux_sheet!$A$2:$A$202,0)))</f>
        <v/>
      </c>
      <c r="AC76" s="89" t="str">
        <f ca="1">IF($B76="","",INDIRECT("aux_sheet!AK"&amp;1+MATCH(aux_sheet!$B75,aux_sheet!$A$2:$A$202,0)))</f>
        <v/>
      </c>
      <c r="AD76" s="89" t="str">
        <f ca="1">IF($B76="","",INDIRECT("aux_sheet!AK"&amp;1+MATCH(aux_sheet!$B75,aux_sheet!$A$2:$A$202,0)))</f>
        <v/>
      </c>
      <c r="AE76" s="106" t="str">
        <f ca="1">IF($B76="","",INDIRECT("aux_sheet!AM"&amp;1+MATCH(aux_sheet!$B75,aux_sheet!$A$2:$A$202,0)))</f>
        <v/>
      </c>
      <c r="AF76" s="89" t="str">
        <f ca="1">IF($B76="","",INDIRECT("aux_sheet!AN"&amp;1+MATCH(aux_sheet!$B75,aux_sheet!$A$2:$A$202,0)))</f>
        <v/>
      </c>
      <c r="AG76" s="89" t="str">
        <f ca="1">IF($B76="","",INDIRECT("aux_sheet!AN"&amp;1+MATCH(aux_sheet!$B75,aux_sheet!$A$2:$A$202,0)))</f>
        <v/>
      </c>
      <c r="AH76" s="14" t="str">
        <f>IF(ISBLANK(Input!A75)," ",F75-F76)</f>
        <v xml:space="preserve"> </v>
      </c>
    </row>
    <row r="77" spans="1:34" x14ac:dyDescent="0.35">
      <c r="A77" s="2" t="str">
        <f>IF(ISBLANK(Input!A76),"",ROUNDDOWN(aux_sheet!B76,0))</f>
        <v/>
      </c>
      <c r="B77" s="2" t="str">
        <f ca="1">IF(ISBLANK(Input!A76),"",INDIRECT("Input!A"&amp;1+MATCH(aux_sheet!$B76,aux_sheet!$A$2:$A$202,0)))</f>
        <v/>
      </c>
      <c r="C77" s="2" t="str">
        <f ca="1">IF(ISBLANK(Input!B76),"",INDIRECT("Input!B"&amp;1+MATCH(aux_sheet!$B76,aux_sheet!$A$2:$A$202,0)))</f>
        <v/>
      </c>
      <c r="D77" s="2" t="str">
        <f ca="1">IF(ISBLANK(Input!C76),"",INDIRECT("Input!C"&amp;1+MATCH(aux_sheet!$B76,aux_sheet!$A$2:$A$202,0)))</f>
        <v/>
      </c>
      <c r="E77" s="2" t="str">
        <f ca="1">IF(ISBLANK(Input!D76),"",INDIRECT("Input!D"&amp;1+MATCH(aux_sheet!$B76,aux_sheet!$A$2:$A$202,0)))</f>
        <v/>
      </c>
      <c r="F77" s="11" t="str">
        <f ca="1">INDIRECT("Input!F"&amp;1+MATCH(aux_sheet!$B76,aux_sheet!$A$2:$A$202,0))</f>
        <v xml:space="preserve"> </v>
      </c>
      <c r="G77" s="106" t="str">
        <f ca="1">IF($B77="","",INDIRECT("aux_sheet!O"&amp;1+MATCH(aux_sheet!$B76,aux_sheet!$A$2:$A$202,0)))</f>
        <v/>
      </c>
      <c r="H77" s="89" t="str">
        <f ca="1">IF($B77="","",INDIRECT("aux_sheet!P"&amp;1+MATCH(aux_sheet!$B76,aux_sheet!$A$2:$A$202,0)))</f>
        <v/>
      </c>
      <c r="I77" s="89" t="str">
        <f ca="1">IF($B77="","",INDIRECT("aux_sheet!P"&amp;1+MATCH(aux_sheet!$B76,aux_sheet!$A$2:$A$202,0)))</f>
        <v/>
      </c>
      <c r="J77" s="106" t="str">
        <f ca="1">IF($B77="","",INDIRECT("aux_sheet!R"&amp;1+MATCH(aux_sheet!$B76,aux_sheet!$A$2:$A$202,0)))</f>
        <v/>
      </c>
      <c r="K77" s="89" t="str">
        <f ca="1">IF($B77="","",INDIRECT("aux_sheet!S"&amp;1+MATCH(aux_sheet!$B76,aux_sheet!$A$2:$A$202,0)))</f>
        <v/>
      </c>
      <c r="L77" s="89" t="str">
        <f ca="1">IF($B77="","",INDIRECT("aux_sheet!S"&amp;1+MATCH(aux_sheet!$B76,aux_sheet!$A$2:$A$202,0)))</f>
        <v/>
      </c>
      <c r="M77" s="106" t="str">
        <f ca="1">IF($B77="","",INDIRECT("aux_sheet!U"&amp;1+MATCH(aux_sheet!$B76,aux_sheet!$A$2:$A$202,0)))</f>
        <v/>
      </c>
      <c r="N77" s="89" t="str">
        <f ca="1">IF($B77="","",INDIRECT("aux_sheet!V"&amp;1+MATCH(aux_sheet!$B76,aux_sheet!$A$2:$A$202,0)))</f>
        <v/>
      </c>
      <c r="O77" s="89" t="str">
        <f ca="1">IF($B77="","",INDIRECT("aux_sheet!V"&amp;1+MATCH(aux_sheet!$B76,aux_sheet!$A$2:$A$202,0)))</f>
        <v/>
      </c>
      <c r="P77" s="106" t="str">
        <f ca="1">IF($B77="","",INDIRECT("aux_sheet!X"&amp;1+MATCH(aux_sheet!$B76,aux_sheet!$A$2:$A$202,0)))</f>
        <v/>
      </c>
      <c r="Q77" s="89" t="str">
        <f ca="1">IF($B77="","",INDIRECT("aux_sheet!Y"&amp;1+MATCH(aux_sheet!$B76,aux_sheet!$A$2:$A$202,0)))</f>
        <v/>
      </c>
      <c r="R77" s="89" t="str">
        <f ca="1">IF($B77="","",INDIRECT("aux_sheet!Y"&amp;1+MATCH(aux_sheet!$B76,aux_sheet!$A$2:$A$202,0)))</f>
        <v/>
      </c>
      <c r="S77" s="106" t="str">
        <f ca="1">IF($B77="","",INDIRECT("aux_sheet!AA"&amp;1+MATCH(aux_sheet!$B76,aux_sheet!$A$2:$A$202,0)))</f>
        <v/>
      </c>
      <c r="T77" s="89" t="str">
        <f ca="1">IF($B77="","",INDIRECT("aux_sheet!AB"&amp;1+MATCH(aux_sheet!$B76,aux_sheet!$A$2:$A$202,0)))</f>
        <v/>
      </c>
      <c r="U77" s="89" t="str">
        <f ca="1">IF($B77="","",INDIRECT("aux_sheet!AB"&amp;1+MATCH(aux_sheet!$B76,aux_sheet!$A$2:$A$202,0)))</f>
        <v/>
      </c>
      <c r="V77" s="106" t="str">
        <f ca="1">IF($B77="","",INDIRECT("aux_sheet!AD"&amp;1+MATCH(aux_sheet!$B76,aux_sheet!$A$2:$A$202,0)))</f>
        <v/>
      </c>
      <c r="W77" s="89" t="str">
        <f ca="1">IF($B77="","",INDIRECT("aux_sheet!AE"&amp;1+MATCH(aux_sheet!$B76,aux_sheet!$A$2:$A$202,0)))</f>
        <v/>
      </c>
      <c r="X77" s="89" t="str">
        <f ca="1">IF($B77="","",INDIRECT("aux_sheet!AE"&amp;1+MATCH(aux_sheet!$B76,aux_sheet!$A$2:$A$202,0)))</f>
        <v/>
      </c>
      <c r="Y77" s="106" t="str">
        <f ca="1">IF($B77="","",INDIRECT("aux_sheet!AG"&amp;1+MATCH(aux_sheet!$B76,aux_sheet!$A$2:$A$202,0)))</f>
        <v/>
      </c>
      <c r="Z77" s="89" t="str">
        <f ca="1">IF($B77="","",INDIRECT("aux_sheet!AH"&amp;1+MATCH(aux_sheet!$B76,aux_sheet!$A$2:$A$202,0)))</f>
        <v/>
      </c>
      <c r="AA77" s="89" t="str">
        <f ca="1">IF($B77="","",INDIRECT("aux_sheet!AH"&amp;1+MATCH(aux_sheet!$B76,aux_sheet!$A$2:$A$202,0)))</f>
        <v/>
      </c>
      <c r="AB77" s="106" t="str">
        <f ca="1">IF($B77="","",INDIRECT("aux_sheet!AJ"&amp;1+MATCH(aux_sheet!$B76,aux_sheet!$A$2:$A$202,0)))</f>
        <v/>
      </c>
      <c r="AC77" s="89" t="str">
        <f ca="1">IF($B77="","",INDIRECT("aux_sheet!AK"&amp;1+MATCH(aux_sheet!$B76,aux_sheet!$A$2:$A$202,0)))</f>
        <v/>
      </c>
      <c r="AD77" s="89" t="str">
        <f ca="1">IF($B77="","",INDIRECT("aux_sheet!AK"&amp;1+MATCH(aux_sheet!$B76,aux_sheet!$A$2:$A$202,0)))</f>
        <v/>
      </c>
      <c r="AE77" s="106" t="str">
        <f ca="1">IF($B77="","",INDIRECT("aux_sheet!AM"&amp;1+MATCH(aux_sheet!$B76,aux_sheet!$A$2:$A$202,0)))</f>
        <v/>
      </c>
      <c r="AF77" s="89" t="str">
        <f ca="1">IF($B77="","",INDIRECT("aux_sheet!AN"&amp;1+MATCH(aux_sheet!$B76,aux_sheet!$A$2:$A$202,0)))</f>
        <v/>
      </c>
      <c r="AG77" s="89" t="str">
        <f ca="1">IF($B77="","",INDIRECT("aux_sheet!AN"&amp;1+MATCH(aux_sheet!$B76,aux_sheet!$A$2:$A$202,0)))</f>
        <v/>
      </c>
      <c r="AH77" s="14" t="str">
        <f>IF(ISBLANK(Input!A76)," ",F76-F77)</f>
        <v xml:space="preserve"> </v>
      </c>
    </row>
    <row r="78" spans="1:34" x14ac:dyDescent="0.35">
      <c r="A78" s="2" t="str">
        <f>IF(ISBLANK(Input!A77),"",ROUNDDOWN(aux_sheet!B77,0))</f>
        <v/>
      </c>
      <c r="B78" s="2" t="str">
        <f ca="1">IF(ISBLANK(Input!A77),"",INDIRECT("Input!A"&amp;1+MATCH(aux_sheet!$B77,aux_sheet!$A$2:$A$202,0)))</f>
        <v/>
      </c>
      <c r="C78" s="2" t="str">
        <f ca="1">IF(ISBLANK(Input!B77),"",INDIRECT("Input!B"&amp;1+MATCH(aux_sheet!$B77,aux_sheet!$A$2:$A$202,0)))</f>
        <v/>
      </c>
      <c r="D78" s="2" t="str">
        <f ca="1">IF(ISBLANK(Input!C77),"",INDIRECT("Input!C"&amp;1+MATCH(aux_sheet!$B77,aux_sheet!$A$2:$A$202,0)))</f>
        <v/>
      </c>
      <c r="E78" s="2" t="str">
        <f ca="1">IF(ISBLANK(Input!D77),"",INDIRECT("Input!D"&amp;1+MATCH(aux_sheet!$B77,aux_sheet!$A$2:$A$202,0)))</f>
        <v/>
      </c>
      <c r="F78" s="11" t="str">
        <f ca="1">INDIRECT("Input!F"&amp;1+MATCH(aux_sheet!$B77,aux_sheet!$A$2:$A$202,0))</f>
        <v xml:space="preserve"> </v>
      </c>
      <c r="G78" s="106" t="str">
        <f ca="1">IF($B78="","",INDIRECT("aux_sheet!O"&amp;1+MATCH(aux_sheet!$B77,aux_sheet!$A$2:$A$202,0)))</f>
        <v/>
      </c>
      <c r="H78" s="89" t="str">
        <f ca="1">IF($B78="","",INDIRECT("aux_sheet!P"&amp;1+MATCH(aux_sheet!$B77,aux_sheet!$A$2:$A$202,0)))</f>
        <v/>
      </c>
      <c r="I78" s="89" t="str">
        <f ca="1">IF($B78="","",INDIRECT("aux_sheet!P"&amp;1+MATCH(aux_sheet!$B77,aux_sheet!$A$2:$A$202,0)))</f>
        <v/>
      </c>
      <c r="J78" s="106" t="str">
        <f ca="1">IF($B78="","",INDIRECT("aux_sheet!R"&amp;1+MATCH(aux_sheet!$B77,aux_sheet!$A$2:$A$202,0)))</f>
        <v/>
      </c>
      <c r="K78" s="89" t="str">
        <f ca="1">IF($B78="","",INDIRECT("aux_sheet!S"&amp;1+MATCH(aux_sheet!$B77,aux_sheet!$A$2:$A$202,0)))</f>
        <v/>
      </c>
      <c r="L78" s="89" t="str">
        <f ca="1">IF($B78="","",INDIRECT("aux_sheet!S"&amp;1+MATCH(aux_sheet!$B77,aux_sheet!$A$2:$A$202,0)))</f>
        <v/>
      </c>
      <c r="M78" s="106" t="str">
        <f ca="1">IF($B78="","",INDIRECT("aux_sheet!U"&amp;1+MATCH(aux_sheet!$B77,aux_sheet!$A$2:$A$202,0)))</f>
        <v/>
      </c>
      <c r="N78" s="89" t="str">
        <f ca="1">IF($B78="","",INDIRECT("aux_sheet!V"&amp;1+MATCH(aux_sheet!$B77,aux_sheet!$A$2:$A$202,0)))</f>
        <v/>
      </c>
      <c r="O78" s="89" t="str">
        <f ca="1">IF($B78="","",INDIRECT("aux_sheet!V"&amp;1+MATCH(aux_sheet!$B77,aux_sheet!$A$2:$A$202,0)))</f>
        <v/>
      </c>
      <c r="P78" s="106" t="str">
        <f ca="1">IF($B78="","",INDIRECT("aux_sheet!X"&amp;1+MATCH(aux_sheet!$B77,aux_sheet!$A$2:$A$202,0)))</f>
        <v/>
      </c>
      <c r="Q78" s="89" t="str">
        <f ca="1">IF($B78="","",INDIRECT("aux_sheet!Y"&amp;1+MATCH(aux_sheet!$B77,aux_sheet!$A$2:$A$202,0)))</f>
        <v/>
      </c>
      <c r="R78" s="89" t="str">
        <f ca="1">IF($B78="","",INDIRECT("aux_sheet!Y"&amp;1+MATCH(aux_sheet!$B77,aux_sheet!$A$2:$A$202,0)))</f>
        <v/>
      </c>
      <c r="S78" s="106" t="str">
        <f ca="1">IF($B78="","",INDIRECT("aux_sheet!AA"&amp;1+MATCH(aux_sheet!$B77,aux_sheet!$A$2:$A$202,0)))</f>
        <v/>
      </c>
      <c r="T78" s="89" t="str">
        <f ca="1">IF($B78="","",INDIRECT("aux_sheet!AB"&amp;1+MATCH(aux_sheet!$B77,aux_sheet!$A$2:$A$202,0)))</f>
        <v/>
      </c>
      <c r="U78" s="89" t="str">
        <f ca="1">IF($B78="","",INDIRECT("aux_sheet!AB"&amp;1+MATCH(aux_sheet!$B77,aux_sheet!$A$2:$A$202,0)))</f>
        <v/>
      </c>
      <c r="V78" s="106" t="str">
        <f ca="1">IF($B78="","",INDIRECT("aux_sheet!AD"&amp;1+MATCH(aux_sheet!$B77,aux_sheet!$A$2:$A$202,0)))</f>
        <v/>
      </c>
      <c r="W78" s="89" t="str">
        <f ca="1">IF($B78="","",INDIRECT("aux_sheet!AE"&amp;1+MATCH(aux_sheet!$B77,aux_sheet!$A$2:$A$202,0)))</f>
        <v/>
      </c>
      <c r="X78" s="89" t="str">
        <f ca="1">IF($B78="","",INDIRECT("aux_sheet!AE"&amp;1+MATCH(aux_sheet!$B77,aux_sheet!$A$2:$A$202,0)))</f>
        <v/>
      </c>
      <c r="Y78" s="106" t="str">
        <f ca="1">IF($B78="","",INDIRECT("aux_sheet!AG"&amp;1+MATCH(aux_sheet!$B77,aux_sheet!$A$2:$A$202,0)))</f>
        <v/>
      </c>
      <c r="Z78" s="89" t="str">
        <f ca="1">IF($B78="","",INDIRECT("aux_sheet!AH"&amp;1+MATCH(aux_sheet!$B77,aux_sheet!$A$2:$A$202,0)))</f>
        <v/>
      </c>
      <c r="AA78" s="89" t="str">
        <f ca="1">IF($B78="","",INDIRECT("aux_sheet!AH"&amp;1+MATCH(aux_sheet!$B77,aux_sheet!$A$2:$A$202,0)))</f>
        <v/>
      </c>
      <c r="AB78" s="106" t="str">
        <f ca="1">IF($B78="","",INDIRECT("aux_sheet!AJ"&amp;1+MATCH(aux_sheet!$B77,aux_sheet!$A$2:$A$202,0)))</f>
        <v/>
      </c>
      <c r="AC78" s="89" t="str">
        <f ca="1">IF($B78="","",INDIRECT("aux_sheet!AK"&amp;1+MATCH(aux_sheet!$B77,aux_sheet!$A$2:$A$202,0)))</f>
        <v/>
      </c>
      <c r="AD78" s="89" t="str">
        <f ca="1">IF($B78="","",INDIRECT("aux_sheet!AK"&amp;1+MATCH(aux_sheet!$B77,aux_sheet!$A$2:$A$202,0)))</f>
        <v/>
      </c>
      <c r="AE78" s="106" t="str">
        <f ca="1">IF($B78="","",INDIRECT("aux_sheet!AM"&amp;1+MATCH(aux_sheet!$B77,aux_sheet!$A$2:$A$202,0)))</f>
        <v/>
      </c>
      <c r="AF78" s="89" t="str">
        <f ca="1">IF($B78="","",INDIRECT("aux_sheet!AN"&amp;1+MATCH(aux_sheet!$B77,aux_sheet!$A$2:$A$202,0)))</f>
        <v/>
      </c>
      <c r="AG78" s="89" t="str">
        <f ca="1">IF($B78="","",INDIRECT("aux_sheet!AN"&amp;1+MATCH(aux_sheet!$B77,aux_sheet!$A$2:$A$202,0)))</f>
        <v/>
      </c>
      <c r="AH78" s="14" t="str">
        <f>IF(ISBLANK(Input!A77)," ",F77-F78)</f>
        <v xml:space="preserve"> </v>
      </c>
    </row>
    <row r="79" spans="1:34" x14ac:dyDescent="0.35">
      <c r="A79" s="2" t="str">
        <f>IF(ISBLANK(Input!A78),"",ROUNDDOWN(aux_sheet!B78,0))</f>
        <v/>
      </c>
      <c r="B79" s="2" t="str">
        <f ca="1">IF(ISBLANK(Input!A78),"",INDIRECT("Input!A"&amp;1+MATCH(aux_sheet!$B78,aux_sheet!$A$2:$A$202,0)))</f>
        <v/>
      </c>
      <c r="C79" s="2" t="str">
        <f ca="1">IF(ISBLANK(Input!B78),"",INDIRECT("Input!B"&amp;1+MATCH(aux_sheet!$B78,aux_sheet!$A$2:$A$202,0)))</f>
        <v/>
      </c>
      <c r="D79" s="2" t="str">
        <f ca="1">IF(ISBLANK(Input!C78),"",INDIRECT("Input!C"&amp;1+MATCH(aux_sheet!$B78,aux_sheet!$A$2:$A$202,0)))</f>
        <v/>
      </c>
      <c r="E79" s="2" t="str">
        <f ca="1">IF(ISBLANK(Input!D78),"",INDIRECT("Input!D"&amp;1+MATCH(aux_sheet!$B78,aux_sheet!$A$2:$A$202,0)))</f>
        <v/>
      </c>
      <c r="F79" s="11" t="str">
        <f ca="1">INDIRECT("Input!F"&amp;1+MATCH(aux_sheet!$B78,aux_sheet!$A$2:$A$202,0))</f>
        <v xml:space="preserve"> </v>
      </c>
      <c r="G79" s="106" t="str">
        <f ca="1">IF($B79="","",INDIRECT("aux_sheet!O"&amp;1+MATCH(aux_sheet!$B78,aux_sheet!$A$2:$A$202,0)))</f>
        <v/>
      </c>
      <c r="H79" s="89" t="str">
        <f ca="1">IF($B79="","",INDIRECT("aux_sheet!P"&amp;1+MATCH(aux_sheet!$B78,aux_sheet!$A$2:$A$202,0)))</f>
        <v/>
      </c>
      <c r="I79" s="89" t="str">
        <f ca="1">IF($B79="","",INDIRECT("aux_sheet!P"&amp;1+MATCH(aux_sheet!$B78,aux_sheet!$A$2:$A$202,0)))</f>
        <v/>
      </c>
      <c r="J79" s="106" t="str">
        <f ca="1">IF($B79="","",INDIRECT("aux_sheet!R"&amp;1+MATCH(aux_sheet!$B78,aux_sheet!$A$2:$A$202,0)))</f>
        <v/>
      </c>
      <c r="K79" s="89" t="str">
        <f ca="1">IF($B79="","",INDIRECT("aux_sheet!S"&amp;1+MATCH(aux_sheet!$B78,aux_sheet!$A$2:$A$202,0)))</f>
        <v/>
      </c>
      <c r="L79" s="89" t="str">
        <f ca="1">IF($B79="","",INDIRECT("aux_sheet!S"&amp;1+MATCH(aux_sheet!$B78,aux_sheet!$A$2:$A$202,0)))</f>
        <v/>
      </c>
      <c r="M79" s="106" t="str">
        <f ca="1">IF($B79="","",INDIRECT("aux_sheet!U"&amp;1+MATCH(aux_sheet!$B78,aux_sheet!$A$2:$A$202,0)))</f>
        <v/>
      </c>
      <c r="N79" s="89" t="str">
        <f ca="1">IF($B79="","",INDIRECT("aux_sheet!V"&amp;1+MATCH(aux_sheet!$B78,aux_sheet!$A$2:$A$202,0)))</f>
        <v/>
      </c>
      <c r="O79" s="89" t="str">
        <f ca="1">IF($B79="","",INDIRECT("aux_sheet!V"&amp;1+MATCH(aux_sheet!$B78,aux_sheet!$A$2:$A$202,0)))</f>
        <v/>
      </c>
      <c r="P79" s="106" t="str">
        <f ca="1">IF($B79="","",INDIRECT("aux_sheet!X"&amp;1+MATCH(aux_sheet!$B78,aux_sheet!$A$2:$A$202,0)))</f>
        <v/>
      </c>
      <c r="Q79" s="89" t="str">
        <f ca="1">IF($B79="","",INDIRECT("aux_sheet!Y"&amp;1+MATCH(aux_sheet!$B78,aux_sheet!$A$2:$A$202,0)))</f>
        <v/>
      </c>
      <c r="R79" s="89" t="str">
        <f ca="1">IF($B79="","",INDIRECT("aux_sheet!Y"&amp;1+MATCH(aux_sheet!$B78,aux_sheet!$A$2:$A$202,0)))</f>
        <v/>
      </c>
      <c r="S79" s="106" t="str">
        <f ca="1">IF($B79="","",INDIRECT("aux_sheet!AA"&amp;1+MATCH(aux_sheet!$B78,aux_sheet!$A$2:$A$202,0)))</f>
        <v/>
      </c>
      <c r="T79" s="89" t="str">
        <f ca="1">IF($B79="","",INDIRECT("aux_sheet!AB"&amp;1+MATCH(aux_sheet!$B78,aux_sheet!$A$2:$A$202,0)))</f>
        <v/>
      </c>
      <c r="U79" s="89" t="str">
        <f ca="1">IF($B79="","",INDIRECT("aux_sheet!AB"&amp;1+MATCH(aux_sheet!$B78,aux_sheet!$A$2:$A$202,0)))</f>
        <v/>
      </c>
      <c r="V79" s="106" t="str">
        <f ca="1">IF($B79="","",INDIRECT("aux_sheet!AD"&amp;1+MATCH(aux_sheet!$B78,aux_sheet!$A$2:$A$202,0)))</f>
        <v/>
      </c>
      <c r="W79" s="89" t="str">
        <f ca="1">IF($B79="","",INDIRECT("aux_sheet!AE"&amp;1+MATCH(aux_sheet!$B78,aux_sheet!$A$2:$A$202,0)))</f>
        <v/>
      </c>
      <c r="X79" s="89" t="str">
        <f ca="1">IF($B79="","",INDIRECT("aux_sheet!AE"&amp;1+MATCH(aux_sheet!$B78,aux_sheet!$A$2:$A$202,0)))</f>
        <v/>
      </c>
      <c r="Y79" s="106" t="str">
        <f ca="1">IF($B79="","",INDIRECT("aux_sheet!AG"&amp;1+MATCH(aux_sheet!$B78,aux_sheet!$A$2:$A$202,0)))</f>
        <v/>
      </c>
      <c r="Z79" s="89" t="str">
        <f ca="1">IF($B79="","",INDIRECT("aux_sheet!AH"&amp;1+MATCH(aux_sheet!$B78,aux_sheet!$A$2:$A$202,0)))</f>
        <v/>
      </c>
      <c r="AA79" s="89" t="str">
        <f ca="1">IF($B79="","",INDIRECT("aux_sheet!AH"&amp;1+MATCH(aux_sheet!$B78,aux_sheet!$A$2:$A$202,0)))</f>
        <v/>
      </c>
      <c r="AB79" s="106" t="str">
        <f ca="1">IF($B79="","",INDIRECT("aux_sheet!AJ"&amp;1+MATCH(aux_sheet!$B78,aux_sheet!$A$2:$A$202,0)))</f>
        <v/>
      </c>
      <c r="AC79" s="89" t="str">
        <f ca="1">IF($B79="","",INDIRECT("aux_sheet!AK"&amp;1+MATCH(aux_sheet!$B78,aux_sheet!$A$2:$A$202,0)))</f>
        <v/>
      </c>
      <c r="AD79" s="89" t="str">
        <f ca="1">IF($B79="","",INDIRECT("aux_sheet!AK"&amp;1+MATCH(aux_sheet!$B78,aux_sheet!$A$2:$A$202,0)))</f>
        <v/>
      </c>
      <c r="AE79" s="106" t="str">
        <f ca="1">IF($B79="","",INDIRECT("aux_sheet!AM"&amp;1+MATCH(aux_sheet!$B78,aux_sheet!$A$2:$A$202,0)))</f>
        <v/>
      </c>
      <c r="AF79" s="89" t="str">
        <f ca="1">IF($B79="","",INDIRECT("aux_sheet!AN"&amp;1+MATCH(aux_sheet!$B78,aux_sheet!$A$2:$A$202,0)))</f>
        <v/>
      </c>
      <c r="AG79" s="89" t="str">
        <f ca="1">IF($B79="","",INDIRECT("aux_sheet!AN"&amp;1+MATCH(aux_sheet!$B78,aux_sheet!$A$2:$A$202,0)))</f>
        <v/>
      </c>
      <c r="AH79" s="14" t="str">
        <f>IF(ISBLANK(Input!A78)," ",F78-F79)</f>
        <v xml:space="preserve"> </v>
      </c>
    </row>
    <row r="80" spans="1:34" x14ac:dyDescent="0.35">
      <c r="A80" s="2" t="str">
        <f>IF(ISBLANK(Input!A79),"",ROUNDDOWN(aux_sheet!B79,0))</f>
        <v/>
      </c>
      <c r="B80" s="2" t="str">
        <f ca="1">IF(ISBLANK(Input!A79),"",INDIRECT("Input!A"&amp;1+MATCH(aux_sheet!$B79,aux_sheet!$A$2:$A$202,0)))</f>
        <v/>
      </c>
      <c r="C80" s="2" t="str">
        <f ca="1">IF(ISBLANK(Input!B79),"",INDIRECT("Input!B"&amp;1+MATCH(aux_sheet!$B79,aux_sheet!$A$2:$A$202,0)))</f>
        <v/>
      </c>
      <c r="D80" s="2" t="str">
        <f ca="1">IF(ISBLANK(Input!C79),"",INDIRECT("Input!C"&amp;1+MATCH(aux_sheet!$B79,aux_sheet!$A$2:$A$202,0)))</f>
        <v/>
      </c>
      <c r="E80" s="2" t="str">
        <f ca="1">IF(ISBLANK(Input!D79),"",INDIRECT("Input!D"&amp;1+MATCH(aux_sheet!$B79,aux_sheet!$A$2:$A$202,0)))</f>
        <v/>
      </c>
      <c r="F80" s="11" t="str">
        <f ca="1">INDIRECT("Input!F"&amp;1+MATCH(aux_sheet!$B79,aux_sheet!$A$2:$A$202,0))</f>
        <v xml:space="preserve"> </v>
      </c>
      <c r="G80" s="106" t="str">
        <f ca="1">IF($B80="","",INDIRECT("aux_sheet!O"&amp;1+MATCH(aux_sheet!$B79,aux_sheet!$A$2:$A$202,0)))</f>
        <v/>
      </c>
      <c r="H80" s="89" t="str">
        <f ca="1">IF($B80="","",INDIRECT("aux_sheet!P"&amp;1+MATCH(aux_sheet!$B79,aux_sheet!$A$2:$A$202,0)))</f>
        <v/>
      </c>
      <c r="I80" s="89" t="str">
        <f ca="1">IF($B80="","",INDIRECT("aux_sheet!P"&amp;1+MATCH(aux_sheet!$B79,aux_sheet!$A$2:$A$202,0)))</f>
        <v/>
      </c>
      <c r="J80" s="106" t="str">
        <f ca="1">IF($B80="","",INDIRECT("aux_sheet!R"&amp;1+MATCH(aux_sheet!$B79,aux_sheet!$A$2:$A$202,0)))</f>
        <v/>
      </c>
      <c r="K80" s="89" t="str">
        <f ca="1">IF($B80="","",INDIRECT("aux_sheet!S"&amp;1+MATCH(aux_sheet!$B79,aux_sheet!$A$2:$A$202,0)))</f>
        <v/>
      </c>
      <c r="L80" s="89" t="str">
        <f ca="1">IF($B80="","",INDIRECT("aux_sheet!S"&amp;1+MATCH(aux_sheet!$B79,aux_sheet!$A$2:$A$202,0)))</f>
        <v/>
      </c>
      <c r="M80" s="106" t="str">
        <f ca="1">IF($B80="","",INDIRECT("aux_sheet!U"&amp;1+MATCH(aux_sheet!$B79,aux_sheet!$A$2:$A$202,0)))</f>
        <v/>
      </c>
      <c r="N80" s="89" t="str">
        <f ca="1">IF($B80="","",INDIRECT("aux_sheet!V"&amp;1+MATCH(aux_sheet!$B79,aux_sheet!$A$2:$A$202,0)))</f>
        <v/>
      </c>
      <c r="O80" s="89" t="str">
        <f ca="1">IF($B80="","",INDIRECT("aux_sheet!V"&amp;1+MATCH(aux_sheet!$B79,aux_sheet!$A$2:$A$202,0)))</f>
        <v/>
      </c>
      <c r="P80" s="106" t="str">
        <f ca="1">IF($B80="","",INDIRECT("aux_sheet!X"&amp;1+MATCH(aux_sheet!$B79,aux_sheet!$A$2:$A$202,0)))</f>
        <v/>
      </c>
      <c r="Q80" s="89" t="str">
        <f ca="1">IF($B80="","",INDIRECT("aux_sheet!Y"&amp;1+MATCH(aux_sheet!$B79,aux_sheet!$A$2:$A$202,0)))</f>
        <v/>
      </c>
      <c r="R80" s="89" t="str">
        <f ca="1">IF($B80="","",INDIRECT("aux_sheet!Y"&amp;1+MATCH(aux_sheet!$B79,aux_sheet!$A$2:$A$202,0)))</f>
        <v/>
      </c>
      <c r="S80" s="106" t="str">
        <f ca="1">IF($B80="","",INDIRECT("aux_sheet!AA"&amp;1+MATCH(aux_sheet!$B79,aux_sheet!$A$2:$A$202,0)))</f>
        <v/>
      </c>
      <c r="T80" s="89" t="str">
        <f ca="1">IF($B80="","",INDIRECT("aux_sheet!AB"&amp;1+MATCH(aux_sheet!$B79,aux_sheet!$A$2:$A$202,0)))</f>
        <v/>
      </c>
      <c r="U80" s="89" t="str">
        <f ca="1">IF($B80="","",INDIRECT("aux_sheet!AB"&amp;1+MATCH(aux_sheet!$B79,aux_sheet!$A$2:$A$202,0)))</f>
        <v/>
      </c>
      <c r="V80" s="106" t="str">
        <f ca="1">IF($B80="","",INDIRECT("aux_sheet!AD"&amp;1+MATCH(aux_sheet!$B79,aux_sheet!$A$2:$A$202,0)))</f>
        <v/>
      </c>
      <c r="W80" s="89" t="str">
        <f ca="1">IF($B80="","",INDIRECT("aux_sheet!AE"&amp;1+MATCH(aux_sheet!$B79,aux_sheet!$A$2:$A$202,0)))</f>
        <v/>
      </c>
      <c r="X80" s="89" t="str">
        <f ca="1">IF($B80="","",INDIRECT("aux_sheet!AE"&amp;1+MATCH(aux_sheet!$B79,aux_sheet!$A$2:$A$202,0)))</f>
        <v/>
      </c>
      <c r="Y80" s="106" t="str">
        <f ca="1">IF($B80="","",INDIRECT("aux_sheet!AG"&amp;1+MATCH(aux_sheet!$B79,aux_sheet!$A$2:$A$202,0)))</f>
        <v/>
      </c>
      <c r="Z80" s="89" t="str">
        <f ca="1">IF($B80="","",INDIRECT("aux_sheet!AH"&amp;1+MATCH(aux_sheet!$B79,aux_sheet!$A$2:$A$202,0)))</f>
        <v/>
      </c>
      <c r="AA80" s="89" t="str">
        <f ca="1">IF($B80="","",INDIRECT("aux_sheet!AH"&amp;1+MATCH(aux_sheet!$B79,aux_sheet!$A$2:$A$202,0)))</f>
        <v/>
      </c>
      <c r="AB80" s="106" t="str">
        <f ca="1">IF($B80="","",INDIRECT("aux_sheet!AJ"&amp;1+MATCH(aux_sheet!$B79,aux_sheet!$A$2:$A$202,0)))</f>
        <v/>
      </c>
      <c r="AC80" s="89" t="str">
        <f ca="1">IF($B80="","",INDIRECT("aux_sheet!AK"&amp;1+MATCH(aux_sheet!$B79,aux_sheet!$A$2:$A$202,0)))</f>
        <v/>
      </c>
      <c r="AD80" s="89" t="str">
        <f ca="1">IF($B80="","",INDIRECT("aux_sheet!AK"&amp;1+MATCH(aux_sheet!$B79,aux_sheet!$A$2:$A$202,0)))</f>
        <v/>
      </c>
      <c r="AE80" s="106" t="str">
        <f ca="1">IF($B80="","",INDIRECT("aux_sheet!AM"&amp;1+MATCH(aux_sheet!$B79,aux_sheet!$A$2:$A$202,0)))</f>
        <v/>
      </c>
      <c r="AF80" s="89" t="str">
        <f ca="1">IF($B80="","",INDIRECT("aux_sheet!AN"&amp;1+MATCH(aux_sheet!$B79,aux_sheet!$A$2:$A$202,0)))</f>
        <v/>
      </c>
      <c r="AG80" s="89" t="str">
        <f ca="1">IF($B80="","",INDIRECT("aux_sheet!AN"&amp;1+MATCH(aux_sheet!$B79,aux_sheet!$A$2:$A$202,0)))</f>
        <v/>
      </c>
      <c r="AH80" s="14" t="str">
        <f>IF(ISBLANK(Input!A79)," ",F79-F80)</f>
        <v xml:space="preserve"> </v>
      </c>
    </row>
    <row r="81" spans="1:34" x14ac:dyDescent="0.35">
      <c r="A81" s="2" t="str">
        <f>IF(ISBLANK(Input!A80),"",ROUNDDOWN(aux_sheet!B80,0))</f>
        <v/>
      </c>
      <c r="B81" s="2" t="str">
        <f ca="1">IF(ISBLANK(Input!A80),"",INDIRECT("Input!A"&amp;1+MATCH(aux_sheet!$B80,aux_sheet!$A$2:$A$202,0)))</f>
        <v/>
      </c>
      <c r="C81" s="2" t="str">
        <f ca="1">IF(ISBLANK(Input!B80),"",INDIRECT("Input!B"&amp;1+MATCH(aux_sheet!$B80,aux_sheet!$A$2:$A$202,0)))</f>
        <v/>
      </c>
      <c r="D81" s="2" t="str">
        <f ca="1">IF(ISBLANK(Input!C80),"",INDIRECT("Input!C"&amp;1+MATCH(aux_sheet!$B80,aux_sheet!$A$2:$A$202,0)))</f>
        <v/>
      </c>
      <c r="E81" s="2" t="str">
        <f ca="1">IF(ISBLANK(Input!D80),"",INDIRECT("Input!D"&amp;1+MATCH(aux_sheet!$B80,aux_sheet!$A$2:$A$202,0)))</f>
        <v/>
      </c>
      <c r="F81" s="11" t="str">
        <f ca="1">INDIRECT("Input!F"&amp;1+MATCH(aux_sheet!$B80,aux_sheet!$A$2:$A$202,0))</f>
        <v xml:space="preserve"> </v>
      </c>
      <c r="G81" s="106" t="str">
        <f ca="1">IF($B81="","",INDIRECT("aux_sheet!O"&amp;1+MATCH(aux_sheet!$B80,aux_sheet!$A$2:$A$202,0)))</f>
        <v/>
      </c>
      <c r="H81" s="89" t="str">
        <f ca="1">IF($B81="","",INDIRECT("aux_sheet!P"&amp;1+MATCH(aux_sheet!$B80,aux_sheet!$A$2:$A$202,0)))</f>
        <v/>
      </c>
      <c r="I81" s="89" t="str">
        <f ca="1">IF($B81="","",INDIRECT("aux_sheet!P"&amp;1+MATCH(aux_sheet!$B80,aux_sheet!$A$2:$A$202,0)))</f>
        <v/>
      </c>
      <c r="J81" s="106" t="str">
        <f ca="1">IF($B81="","",INDIRECT("aux_sheet!R"&amp;1+MATCH(aux_sheet!$B80,aux_sheet!$A$2:$A$202,0)))</f>
        <v/>
      </c>
      <c r="K81" s="89" t="str">
        <f ca="1">IF($B81="","",INDIRECT("aux_sheet!S"&amp;1+MATCH(aux_sheet!$B80,aux_sheet!$A$2:$A$202,0)))</f>
        <v/>
      </c>
      <c r="L81" s="89" t="str">
        <f ca="1">IF($B81="","",INDIRECT("aux_sheet!S"&amp;1+MATCH(aux_sheet!$B80,aux_sheet!$A$2:$A$202,0)))</f>
        <v/>
      </c>
      <c r="M81" s="106" t="str">
        <f ca="1">IF($B81="","",INDIRECT("aux_sheet!U"&amp;1+MATCH(aux_sheet!$B80,aux_sheet!$A$2:$A$202,0)))</f>
        <v/>
      </c>
      <c r="N81" s="89" t="str">
        <f ca="1">IF($B81="","",INDIRECT("aux_sheet!V"&amp;1+MATCH(aux_sheet!$B80,aux_sheet!$A$2:$A$202,0)))</f>
        <v/>
      </c>
      <c r="O81" s="89" t="str">
        <f ca="1">IF($B81="","",INDIRECT("aux_sheet!V"&amp;1+MATCH(aux_sheet!$B80,aux_sheet!$A$2:$A$202,0)))</f>
        <v/>
      </c>
      <c r="P81" s="106" t="str">
        <f ca="1">IF($B81="","",INDIRECT("aux_sheet!X"&amp;1+MATCH(aux_sheet!$B80,aux_sheet!$A$2:$A$202,0)))</f>
        <v/>
      </c>
      <c r="Q81" s="89" t="str">
        <f ca="1">IF($B81="","",INDIRECT("aux_sheet!Y"&amp;1+MATCH(aux_sheet!$B80,aux_sheet!$A$2:$A$202,0)))</f>
        <v/>
      </c>
      <c r="R81" s="89" t="str">
        <f ca="1">IF($B81="","",INDIRECT("aux_sheet!Y"&amp;1+MATCH(aux_sheet!$B80,aux_sheet!$A$2:$A$202,0)))</f>
        <v/>
      </c>
      <c r="S81" s="106" t="str">
        <f ca="1">IF($B81="","",INDIRECT("aux_sheet!AA"&amp;1+MATCH(aux_sheet!$B80,aux_sheet!$A$2:$A$202,0)))</f>
        <v/>
      </c>
      <c r="T81" s="89" t="str">
        <f ca="1">IF($B81="","",INDIRECT("aux_sheet!AB"&amp;1+MATCH(aux_sheet!$B80,aux_sheet!$A$2:$A$202,0)))</f>
        <v/>
      </c>
      <c r="U81" s="89" t="str">
        <f ca="1">IF($B81="","",INDIRECT("aux_sheet!AB"&amp;1+MATCH(aux_sheet!$B80,aux_sheet!$A$2:$A$202,0)))</f>
        <v/>
      </c>
      <c r="V81" s="106" t="str">
        <f ca="1">IF($B81="","",INDIRECT("aux_sheet!AD"&amp;1+MATCH(aux_sheet!$B80,aux_sheet!$A$2:$A$202,0)))</f>
        <v/>
      </c>
      <c r="W81" s="89" t="str">
        <f ca="1">IF($B81="","",INDIRECT("aux_sheet!AE"&amp;1+MATCH(aux_sheet!$B80,aux_sheet!$A$2:$A$202,0)))</f>
        <v/>
      </c>
      <c r="X81" s="89" t="str">
        <f ca="1">IF($B81="","",INDIRECT("aux_sheet!AE"&amp;1+MATCH(aux_sheet!$B80,aux_sheet!$A$2:$A$202,0)))</f>
        <v/>
      </c>
      <c r="Y81" s="106" t="str">
        <f ca="1">IF($B81="","",INDIRECT("aux_sheet!AG"&amp;1+MATCH(aux_sheet!$B80,aux_sheet!$A$2:$A$202,0)))</f>
        <v/>
      </c>
      <c r="Z81" s="89" t="str">
        <f ca="1">IF($B81="","",INDIRECT("aux_sheet!AH"&amp;1+MATCH(aux_sheet!$B80,aux_sheet!$A$2:$A$202,0)))</f>
        <v/>
      </c>
      <c r="AA81" s="89" t="str">
        <f ca="1">IF($B81="","",INDIRECT("aux_sheet!AH"&amp;1+MATCH(aux_sheet!$B80,aux_sheet!$A$2:$A$202,0)))</f>
        <v/>
      </c>
      <c r="AB81" s="106" t="str">
        <f ca="1">IF($B81="","",INDIRECT("aux_sheet!AJ"&amp;1+MATCH(aux_sheet!$B80,aux_sheet!$A$2:$A$202,0)))</f>
        <v/>
      </c>
      <c r="AC81" s="89" t="str">
        <f ca="1">IF($B81="","",INDIRECT("aux_sheet!AK"&amp;1+MATCH(aux_sheet!$B80,aux_sheet!$A$2:$A$202,0)))</f>
        <v/>
      </c>
      <c r="AD81" s="89" t="str">
        <f ca="1">IF($B81="","",INDIRECT("aux_sheet!AK"&amp;1+MATCH(aux_sheet!$B80,aux_sheet!$A$2:$A$202,0)))</f>
        <v/>
      </c>
      <c r="AE81" s="106" t="str">
        <f ca="1">IF($B81="","",INDIRECT("aux_sheet!AM"&amp;1+MATCH(aux_sheet!$B80,aux_sheet!$A$2:$A$202,0)))</f>
        <v/>
      </c>
      <c r="AF81" s="89" t="str">
        <f ca="1">IF($B81="","",INDIRECT("aux_sheet!AN"&amp;1+MATCH(aux_sheet!$B80,aux_sheet!$A$2:$A$202,0)))</f>
        <v/>
      </c>
      <c r="AG81" s="89" t="str">
        <f ca="1">IF($B81="","",INDIRECT("aux_sheet!AN"&amp;1+MATCH(aux_sheet!$B80,aux_sheet!$A$2:$A$202,0)))</f>
        <v/>
      </c>
      <c r="AH81" s="14" t="str">
        <f>IF(ISBLANK(Input!A80)," ",F80-F81)</f>
        <v xml:space="preserve"> </v>
      </c>
    </row>
    <row r="82" spans="1:34" x14ac:dyDescent="0.35">
      <c r="A82" s="2" t="str">
        <f>IF(ISBLANK(Input!A81),"",ROUNDDOWN(aux_sheet!B81,0))</f>
        <v/>
      </c>
      <c r="B82" s="2" t="str">
        <f ca="1">IF(ISBLANK(Input!A81),"",INDIRECT("Input!A"&amp;1+MATCH(aux_sheet!$B81,aux_sheet!$A$2:$A$202,0)))</f>
        <v/>
      </c>
      <c r="C82" s="2" t="str">
        <f ca="1">IF(ISBLANK(Input!B81),"",INDIRECT("Input!B"&amp;1+MATCH(aux_sheet!$B81,aux_sheet!$A$2:$A$202,0)))</f>
        <v/>
      </c>
      <c r="D82" s="2" t="str">
        <f ca="1">IF(ISBLANK(Input!C81),"",INDIRECT("Input!C"&amp;1+MATCH(aux_sheet!$B81,aux_sheet!$A$2:$A$202,0)))</f>
        <v/>
      </c>
      <c r="E82" s="2" t="str">
        <f ca="1">IF(ISBLANK(Input!D81),"",INDIRECT("Input!D"&amp;1+MATCH(aux_sheet!$B81,aux_sheet!$A$2:$A$202,0)))</f>
        <v/>
      </c>
      <c r="F82" s="11" t="str">
        <f ca="1">INDIRECT("Input!F"&amp;1+MATCH(aux_sheet!$B81,aux_sheet!$A$2:$A$202,0))</f>
        <v xml:space="preserve"> </v>
      </c>
      <c r="G82" s="106" t="str">
        <f ca="1">IF($B82="","",INDIRECT("aux_sheet!O"&amp;1+MATCH(aux_sheet!$B81,aux_sheet!$A$2:$A$202,0)))</f>
        <v/>
      </c>
      <c r="H82" s="89" t="str">
        <f ca="1">IF($B82="","",INDIRECT("aux_sheet!P"&amp;1+MATCH(aux_sheet!$B81,aux_sheet!$A$2:$A$202,0)))</f>
        <v/>
      </c>
      <c r="I82" s="89" t="str">
        <f ca="1">IF($B82="","",INDIRECT("aux_sheet!P"&amp;1+MATCH(aux_sheet!$B81,aux_sheet!$A$2:$A$202,0)))</f>
        <v/>
      </c>
      <c r="J82" s="106" t="str">
        <f ca="1">IF($B82="","",INDIRECT("aux_sheet!R"&amp;1+MATCH(aux_sheet!$B81,aux_sheet!$A$2:$A$202,0)))</f>
        <v/>
      </c>
      <c r="K82" s="89" t="str">
        <f ca="1">IF($B82="","",INDIRECT("aux_sheet!S"&amp;1+MATCH(aux_sheet!$B81,aux_sheet!$A$2:$A$202,0)))</f>
        <v/>
      </c>
      <c r="L82" s="89" t="str">
        <f ca="1">IF($B82="","",INDIRECT("aux_sheet!S"&amp;1+MATCH(aux_sheet!$B81,aux_sheet!$A$2:$A$202,0)))</f>
        <v/>
      </c>
      <c r="M82" s="106" t="str">
        <f ca="1">IF($B82="","",INDIRECT("aux_sheet!U"&amp;1+MATCH(aux_sheet!$B81,aux_sheet!$A$2:$A$202,0)))</f>
        <v/>
      </c>
      <c r="N82" s="89" t="str">
        <f ca="1">IF($B82="","",INDIRECT("aux_sheet!V"&amp;1+MATCH(aux_sheet!$B81,aux_sheet!$A$2:$A$202,0)))</f>
        <v/>
      </c>
      <c r="O82" s="89" t="str">
        <f ca="1">IF($B82="","",INDIRECT("aux_sheet!V"&amp;1+MATCH(aux_sheet!$B81,aux_sheet!$A$2:$A$202,0)))</f>
        <v/>
      </c>
      <c r="P82" s="106" t="str">
        <f ca="1">IF($B82="","",INDIRECT("aux_sheet!X"&amp;1+MATCH(aux_sheet!$B81,aux_sheet!$A$2:$A$202,0)))</f>
        <v/>
      </c>
      <c r="Q82" s="89" t="str">
        <f ca="1">IF($B82="","",INDIRECT("aux_sheet!Y"&amp;1+MATCH(aux_sheet!$B81,aux_sheet!$A$2:$A$202,0)))</f>
        <v/>
      </c>
      <c r="R82" s="89" t="str">
        <f ca="1">IF($B82="","",INDIRECT("aux_sheet!Y"&amp;1+MATCH(aux_sheet!$B81,aux_sheet!$A$2:$A$202,0)))</f>
        <v/>
      </c>
      <c r="S82" s="106" t="str">
        <f ca="1">IF($B82="","",INDIRECT("aux_sheet!AA"&amp;1+MATCH(aux_sheet!$B81,aux_sheet!$A$2:$A$202,0)))</f>
        <v/>
      </c>
      <c r="T82" s="89" t="str">
        <f ca="1">IF($B82="","",INDIRECT("aux_sheet!AB"&amp;1+MATCH(aux_sheet!$B81,aux_sheet!$A$2:$A$202,0)))</f>
        <v/>
      </c>
      <c r="U82" s="89" t="str">
        <f ca="1">IF($B82="","",INDIRECT("aux_sheet!AB"&amp;1+MATCH(aux_sheet!$B81,aux_sheet!$A$2:$A$202,0)))</f>
        <v/>
      </c>
      <c r="V82" s="106" t="str">
        <f ca="1">IF($B82="","",INDIRECT("aux_sheet!AD"&amp;1+MATCH(aux_sheet!$B81,aux_sheet!$A$2:$A$202,0)))</f>
        <v/>
      </c>
      <c r="W82" s="89" t="str">
        <f ca="1">IF($B82="","",INDIRECT("aux_sheet!AE"&amp;1+MATCH(aux_sheet!$B81,aux_sheet!$A$2:$A$202,0)))</f>
        <v/>
      </c>
      <c r="X82" s="89" t="str">
        <f ca="1">IF($B82="","",INDIRECT("aux_sheet!AE"&amp;1+MATCH(aux_sheet!$B81,aux_sheet!$A$2:$A$202,0)))</f>
        <v/>
      </c>
      <c r="Y82" s="106" t="str">
        <f ca="1">IF($B82="","",INDIRECT("aux_sheet!AG"&amp;1+MATCH(aux_sheet!$B81,aux_sheet!$A$2:$A$202,0)))</f>
        <v/>
      </c>
      <c r="Z82" s="89" t="str">
        <f ca="1">IF($B82="","",INDIRECT("aux_sheet!AH"&amp;1+MATCH(aux_sheet!$B81,aux_sheet!$A$2:$A$202,0)))</f>
        <v/>
      </c>
      <c r="AA82" s="89" t="str">
        <f ca="1">IF($B82="","",INDIRECT("aux_sheet!AH"&amp;1+MATCH(aux_sheet!$B81,aux_sheet!$A$2:$A$202,0)))</f>
        <v/>
      </c>
      <c r="AB82" s="106" t="str">
        <f ca="1">IF($B82="","",INDIRECT("aux_sheet!AJ"&amp;1+MATCH(aux_sheet!$B81,aux_sheet!$A$2:$A$202,0)))</f>
        <v/>
      </c>
      <c r="AC82" s="89" t="str">
        <f ca="1">IF($B82="","",INDIRECT("aux_sheet!AK"&amp;1+MATCH(aux_sheet!$B81,aux_sheet!$A$2:$A$202,0)))</f>
        <v/>
      </c>
      <c r="AD82" s="89" t="str">
        <f ca="1">IF($B82="","",INDIRECT("aux_sheet!AK"&amp;1+MATCH(aux_sheet!$B81,aux_sheet!$A$2:$A$202,0)))</f>
        <v/>
      </c>
      <c r="AE82" s="106" t="str">
        <f ca="1">IF($B82="","",INDIRECT("aux_sheet!AM"&amp;1+MATCH(aux_sheet!$B81,aux_sheet!$A$2:$A$202,0)))</f>
        <v/>
      </c>
      <c r="AF82" s="89" t="str">
        <f ca="1">IF($B82="","",INDIRECT("aux_sheet!AN"&amp;1+MATCH(aux_sheet!$B81,aux_sheet!$A$2:$A$202,0)))</f>
        <v/>
      </c>
      <c r="AG82" s="89" t="str">
        <f ca="1">IF($B82="","",INDIRECT("aux_sheet!AN"&amp;1+MATCH(aux_sheet!$B81,aux_sheet!$A$2:$A$202,0)))</f>
        <v/>
      </c>
      <c r="AH82" s="14" t="str">
        <f>IF(ISBLANK(Input!A81)," ",F81-F82)</f>
        <v xml:space="preserve"> </v>
      </c>
    </row>
    <row r="83" spans="1:34" x14ac:dyDescent="0.35">
      <c r="A83" s="2" t="str">
        <f>IF(ISBLANK(Input!A82),"",ROUNDDOWN(aux_sheet!B82,0))</f>
        <v/>
      </c>
      <c r="B83" s="2" t="str">
        <f ca="1">IF(ISBLANK(Input!A82),"",INDIRECT("Input!A"&amp;1+MATCH(aux_sheet!$B82,aux_sheet!$A$2:$A$202,0)))</f>
        <v/>
      </c>
      <c r="C83" s="2" t="str">
        <f ca="1">IF(ISBLANK(Input!B82),"",INDIRECT("Input!B"&amp;1+MATCH(aux_sheet!$B82,aux_sheet!$A$2:$A$202,0)))</f>
        <v/>
      </c>
      <c r="D83" s="2" t="str">
        <f ca="1">IF(ISBLANK(Input!C82),"",INDIRECT("Input!C"&amp;1+MATCH(aux_sheet!$B82,aux_sheet!$A$2:$A$202,0)))</f>
        <v/>
      </c>
      <c r="E83" s="2" t="str">
        <f ca="1">IF(ISBLANK(Input!D82),"",INDIRECT("Input!D"&amp;1+MATCH(aux_sheet!$B82,aux_sheet!$A$2:$A$202,0)))</f>
        <v/>
      </c>
      <c r="F83" s="11" t="str">
        <f ca="1">INDIRECT("Input!F"&amp;1+MATCH(aux_sheet!$B82,aux_sheet!$A$2:$A$202,0))</f>
        <v xml:space="preserve"> </v>
      </c>
      <c r="G83" s="106" t="str">
        <f ca="1">IF($B83="","",INDIRECT("aux_sheet!O"&amp;1+MATCH(aux_sheet!$B82,aux_sheet!$A$2:$A$202,0)))</f>
        <v/>
      </c>
      <c r="H83" s="89" t="str">
        <f ca="1">IF($B83="","",INDIRECT("aux_sheet!P"&amp;1+MATCH(aux_sheet!$B82,aux_sheet!$A$2:$A$202,0)))</f>
        <v/>
      </c>
      <c r="I83" s="89" t="str">
        <f ca="1">IF($B83="","",INDIRECT("aux_sheet!P"&amp;1+MATCH(aux_sheet!$B82,aux_sheet!$A$2:$A$202,0)))</f>
        <v/>
      </c>
      <c r="J83" s="106" t="str">
        <f ca="1">IF($B83="","",INDIRECT("aux_sheet!R"&amp;1+MATCH(aux_sheet!$B82,aux_sheet!$A$2:$A$202,0)))</f>
        <v/>
      </c>
      <c r="K83" s="89" t="str">
        <f ca="1">IF($B83="","",INDIRECT("aux_sheet!S"&amp;1+MATCH(aux_sheet!$B82,aux_sheet!$A$2:$A$202,0)))</f>
        <v/>
      </c>
      <c r="L83" s="89" t="str">
        <f ca="1">IF($B83="","",INDIRECT("aux_sheet!S"&amp;1+MATCH(aux_sheet!$B82,aux_sheet!$A$2:$A$202,0)))</f>
        <v/>
      </c>
      <c r="M83" s="106" t="str">
        <f ca="1">IF($B83="","",INDIRECT("aux_sheet!U"&amp;1+MATCH(aux_sheet!$B82,aux_sheet!$A$2:$A$202,0)))</f>
        <v/>
      </c>
      <c r="N83" s="89" t="str">
        <f ca="1">IF($B83="","",INDIRECT("aux_sheet!V"&amp;1+MATCH(aux_sheet!$B82,aux_sheet!$A$2:$A$202,0)))</f>
        <v/>
      </c>
      <c r="O83" s="89" t="str">
        <f ca="1">IF($B83="","",INDIRECT("aux_sheet!V"&amp;1+MATCH(aux_sheet!$B82,aux_sheet!$A$2:$A$202,0)))</f>
        <v/>
      </c>
      <c r="P83" s="106" t="str">
        <f ca="1">IF($B83="","",INDIRECT("aux_sheet!X"&amp;1+MATCH(aux_sheet!$B82,aux_sheet!$A$2:$A$202,0)))</f>
        <v/>
      </c>
      <c r="Q83" s="89" t="str">
        <f ca="1">IF($B83="","",INDIRECT("aux_sheet!Y"&amp;1+MATCH(aux_sheet!$B82,aux_sheet!$A$2:$A$202,0)))</f>
        <v/>
      </c>
      <c r="R83" s="89" t="str">
        <f ca="1">IF($B83="","",INDIRECT("aux_sheet!Y"&amp;1+MATCH(aux_sheet!$B82,aux_sheet!$A$2:$A$202,0)))</f>
        <v/>
      </c>
      <c r="S83" s="106" t="str">
        <f ca="1">IF($B83="","",INDIRECT("aux_sheet!AA"&amp;1+MATCH(aux_sheet!$B82,aux_sheet!$A$2:$A$202,0)))</f>
        <v/>
      </c>
      <c r="T83" s="89" t="str">
        <f ca="1">IF($B83="","",INDIRECT("aux_sheet!AB"&amp;1+MATCH(aux_sheet!$B82,aux_sheet!$A$2:$A$202,0)))</f>
        <v/>
      </c>
      <c r="U83" s="89" t="str">
        <f ca="1">IF($B83="","",INDIRECT("aux_sheet!AB"&amp;1+MATCH(aux_sheet!$B82,aux_sheet!$A$2:$A$202,0)))</f>
        <v/>
      </c>
      <c r="V83" s="106" t="str">
        <f ca="1">IF($B83="","",INDIRECT("aux_sheet!AD"&amp;1+MATCH(aux_sheet!$B82,aux_sheet!$A$2:$A$202,0)))</f>
        <v/>
      </c>
      <c r="W83" s="89" t="str">
        <f ca="1">IF($B83="","",INDIRECT("aux_sheet!AE"&amp;1+MATCH(aux_sheet!$B82,aux_sheet!$A$2:$A$202,0)))</f>
        <v/>
      </c>
      <c r="X83" s="89" t="str">
        <f ca="1">IF($B83="","",INDIRECT("aux_sheet!AE"&amp;1+MATCH(aux_sheet!$B82,aux_sheet!$A$2:$A$202,0)))</f>
        <v/>
      </c>
      <c r="Y83" s="106" t="str">
        <f ca="1">IF($B83="","",INDIRECT("aux_sheet!AG"&amp;1+MATCH(aux_sheet!$B82,aux_sheet!$A$2:$A$202,0)))</f>
        <v/>
      </c>
      <c r="Z83" s="89" t="str">
        <f ca="1">IF($B83="","",INDIRECT("aux_sheet!AH"&amp;1+MATCH(aux_sheet!$B82,aux_sheet!$A$2:$A$202,0)))</f>
        <v/>
      </c>
      <c r="AA83" s="89" t="str">
        <f ca="1">IF($B83="","",INDIRECT("aux_sheet!AH"&amp;1+MATCH(aux_sheet!$B82,aux_sheet!$A$2:$A$202,0)))</f>
        <v/>
      </c>
      <c r="AB83" s="106" t="str">
        <f ca="1">IF($B83="","",INDIRECT("aux_sheet!AJ"&amp;1+MATCH(aux_sheet!$B82,aux_sheet!$A$2:$A$202,0)))</f>
        <v/>
      </c>
      <c r="AC83" s="89" t="str">
        <f ca="1">IF($B83="","",INDIRECT("aux_sheet!AK"&amp;1+MATCH(aux_sheet!$B82,aux_sheet!$A$2:$A$202,0)))</f>
        <v/>
      </c>
      <c r="AD83" s="89" t="str">
        <f ca="1">IF($B83="","",INDIRECT("aux_sheet!AK"&amp;1+MATCH(aux_sheet!$B82,aux_sheet!$A$2:$A$202,0)))</f>
        <v/>
      </c>
      <c r="AE83" s="106" t="str">
        <f ca="1">IF($B83="","",INDIRECT("aux_sheet!AM"&amp;1+MATCH(aux_sheet!$B82,aux_sheet!$A$2:$A$202,0)))</f>
        <v/>
      </c>
      <c r="AF83" s="89" t="str">
        <f ca="1">IF($B83="","",INDIRECT("aux_sheet!AN"&amp;1+MATCH(aux_sheet!$B82,aux_sheet!$A$2:$A$202,0)))</f>
        <v/>
      </c>
      <c r="AG83" s="89" t="str">
        <f ca="1">IF($B83="","",INDIRECT("aux_sheet!AN"&amp;1+MATCH(aux_sheet!$B82,aux_sheet!$A$2:$A$202,0)))</f>
        <v/>
      </c>
      <c r="AH83" s="14" t="str">
        <f>IF(ISBLANK(Input!A82)," ",F82-F83)</f>
        <v xml:space="preserve"> </v>
      </c>
    </row>
    <row r="84" spans="1:34" x14ac:dyDescent="0.35">
      <c r="A84" s="2" t="str">
        <f>IF(ISBLANK(Input!A83),"",ROUNDDOWN(aux_sheet!B83,0))</f>
        <v/>
      </c>
      <c r="B84" s="2" t="str">
        <f ca="1">IF(ISBLANK(Input!A83),"",INDIRECT("Input!A"&amp;1+MATCH(aux_sheet!$B83,aux_sheet!$A$2:$A$202,0)))</f>
        <v/>
      </c>
      <c r="C84" s="2" t="str">
        <f ca="1">IF(ISBLANK(Input!B83),"",INDIRECT("Input!B"&amp;1+MATCH(aux_sheet!$B83,aux_sheet!$A$2:$A$202,0)))</f>
        <v/>
      </c>
      <c r="D84" s="2" t="str">
        <f ca="1">IF(ISBLANK(Input!C83),"",INDIRECT("Input!C"&amp;1+MATCH(aux_sheet!$B83,aux_sheet!$A$2:$A$202,0)))</f>
        <v/>
      </c>
      <c r="E84" s="2" t="str">
        <f ca="1">IF(ISBLANK(Input!D83),"",INDIRECT("Input!D"&amp;1+MATCH(aux_sheet!$B83,aux_sheet!$A$2:$A$202,0)))</f>
        <v/>
      </c>
      <c r="F84" s="11" t="str">
        <f ca="1">INDIRECT("Input!F"&amp;1+MATCH(aux_sheet!$B83,aux_sheet!$A$2:$A$202,0))</f>
        <v xml:space="preserve"> </v>
      </c>
      <c r="G84" s="106" t="str">
        <f ca="1">IF($B84="","",INDIRECT("aux_sheet!O"&amp;1+MATCH(aux_sheet!$B83,aux_sheet!$A$2:$A$202,0)))</f>
        <v/>
      </c>
      <c r="H84" s="89" t="str">
        <f ca="1">IF($B84="","",INDIRECT("aux_sheet!P"&amp;1+MATCH(aux_sheet!$B83,aux_sheet!$A$2:$A$202,0)))</f>
        <v/>
      </c>
      <c r="I84" s="89" t="str">
        <f ca="1">IF($B84="","",INDIRECT("aux_sheet!P"&amp;1+MATCH(aux_sheet!$B83,aux_sheet!$A$2:$A$202,0)))</f>
        <v/>
      </c>
      <c r="J84" s="106" t="str">
        <f ca="1">IF($B84="","",INDIRECT("aux_sheet!R"&amp;1+MATCH(aux_sheet!$B83,aux_sheet!$A$2:$A$202,0)))</f>
        <v/>
      </c>
      <c r="K84" s="89" t="str">
        <f ca="1">IF($B84="","",INDIRECT("aux_sheet!S"&amp;1+MATCH(aux_sheet!$B83,aux_sheet!$A$2:$A$202,0)))</f>
        <v/>
      </c>
      <c r="L84" s="89" t="str">
        <f ca="1">IF($B84="","",INDIRECT("aux_sheet!S"&amp;1+MATCH(aux_sheet!$B83,aux_sheet!$A$2:$A$202,0)))</f>
        <v/>
      </c>
      <c r="M84" s="106" t="str">
        <f ca="1">IF($B84="","",INDIRECT("aux_sheet!U"&amp;1+MATCH(aux_sheet!$B83,aux_sheet!$A$2:$A$202,0)))</f>
        <v/>
      </c>
      <c r="N84" s="89" t="str">
        <f ca="1">IF($B84="","",INDIRECT("aux_sheet!V"&amp;1+MATCH(aux_sheet!$B83,aux_sheet!$A$2:$A$202,0)))</f>
        <v/>
      </c>
      <c r="O84" s="89" t="str">
        <f ca="1">IF($B84="","",INDIRECT("aux_sheet!V"&amp;1+MATCH(aux_sheet!$B83,aux_sheet!$A$2:$A$202,0)))</f>
        <v/>
      </c>
      <c r="P84" s="106" t="str">
        <f ca="1">IF($B84="","",INDIRECT("aux_sheet!X"&amp;1+MATCH(aux_sheet!$B83,aux_sheet!$A$2:$A$202,0)))</f>
        <v/>
      </c>
      <c r="Q84" s="89" t="str">
        <f ca="1">IF($B84="","",INDIRECT("aux_sheet!Y"&amp;1+MATCH(aux_sheet!$B83,aux_sheet!$A$2:$A$202,0)))</f>
        <v/>
      </c>
      <c r="R84" s="89" t="str">
        <f ca="1">IF($B84="","",INDIRECT("aux_sheet!Y"&amp;1+MATCH(aux_sheet!$B83,aux_sheet!$A$2:$A$202,0)))</f>
        <v/>
      </c>
      <c r="S84" s="106" t="str">
        <f ca="1">IF($B84="","",INDIRECT("aux_sheet!AA"&amp;1+MATCH(aux_sheet!$B83,aux_sheet!$A$2:$A$202,0)))</f>
        <v/>
      </c>
      <c r="T84" s="89" t="str">
        <f ca="1">IF($B84="","",INDIRECT("aux_sheet!AB"&amp;1+MATCH(aux_sheet!$B83,aux_sheet!$A$2:$A$202,0)))</f>
        <v/>
      </c>
      <c r="U84" s="89" t="str">
        <f ca="1">IF($B84="","",INDIRECT("aux_sheet!AB"&amp;1+MATCH(aux_sheet!$B83,aux_sheet!$A$2:$A$202,0)))</f>
        <v/>
      </c>
      <c r="V84" s="106" t="str">
        <f ca="1">IF($B84="","",INDIRECT("aux_sheet!AD"&amp;1+MATCH(aux_sheet!$B83,aux_sheet!$A$2:$A$202,0)))</f>
        <v/>
      </c>
      <c r="W84" s="89" t="str">
        <f ca="1">IF($B84="","",INDIRECT("aux_sheet!AE"&amp;1+MATCH(aux_sheet!$B83,aux_sheet!$A$2:$A$202,0)))</f>
        <v/>
      </c>
      <c r="X84" s="89" t="str">
        <f ca="1">IF($B84="","",INDIRECT("aux_sheet!AE"&amp;1+MATCH(aux_sheet!$B83,aux_sheet!$A$2:$A$202,0)))</f>
        <v/>
      </c>
      <c r="Y84" s="106" t="str">
        <f ca="1">IF($B84="","",INDIRECT("aux_sheet!AG"&amp;1+MATCH(aux_sheet!$B83,aux_sheet!$A$2:$A$202,0)))</f>
        <v/>
      </c>
      <c r="Z84" s="89" t="str">
        <f ca="1">IF($B84="","",INDIRECT("aux_sheet!AH"&amp;1+MATCH(aux_sheet!$B83,aux_sheet!$A$2:$A$202,0)))</f>
        <v/>
      </c>
      <c r="AA84" s="89" t="str">
        <f ca="1">IF($B84="","",INDIRECT("aux_sheet!AH"&amp;1+MATCH(aux_sheet!$B83,aux_sheet!$A$2:$A$202,0)))</f>
        <v/>
      </c>
      <c r="AB84" s="106" t="str">
        <f ca="1">IF($B84="","",INDIRECT("aux_sheet!AJ"&amp;1+MATCH(aux_sheet!$B83,aux_sheet!$A$2:$A$202,0)))</f>
        <v/>
      </c>
      <c r="AC84" s="89" t="str">
        <f ca="1">IF($B84="","",INDIRECT("aux_sheet!AK"&amp;1+MATCH(aux_sheet!$B83,aux_sheet!$A$2:$A$202,0)))</f>
        <v/>
      </c>
      <c r="AD84" s="89" t="str">
        <f ca="1">IF($B84="","",INDIRECT("aux_sheet!AK"&amp;1+MATCH(aux_sheet!$B83,aux_sheet!$A$2:$A$202,0)))</f>
        <v/>
      </c>
      <c r="AE84" s="106" t="str">
        <f ca="1">IF($B84="","",INDIRECT("aux_sheet!AM"&amp;1+MATCH(aux_sheet!$B83,aux_sheet!$A$2:$A$202,0)))</f>
        <v/>
      </c>
      <c r="AF84" s="89" t="str">
        <f ca="1">IF($B84="","",INDIRECT("aux_sheet!AN"&amp;1+MATCH(aux_sheet!$B83,aux_sheet!$A$2:$A$202,0)))</f>
        <v/>
      </c>
      <c r="AG84" s="89" t="str">
        <f ca="1">IF($B84="","",INDIRECT("aux_sheet!AN"&amp;1+MATCH(aux_sheet!$B83,aux_sheet!$A$2:$A$202,0)))</f>
        <v/>
      </c>
      <c r="AH84" s="14" t="str">
        <f>IF(ISBLANK(Input!A83)," ",F83-F84)</f>
        <v xml:space="preserve"> </v>
      </c>
    </row>
    <row r="85" spans="1:34" x14ac:dyDescent="0.35">
      <c r="A85" s="2" t="str">
        <f>IF(ISBLANK(Input!A84),"",ROUNDDOWN(aux_sheet!B84,0))</f>
        <v/>
      </c>
      <c r="B85" s="2" t="str">
        <f ca="1">IF(ISBLANK(Input!A84),"",INDIRECT("Input!A"&amp;1+MATCH(aux_sheet!$B84,aux_sheet!$A$2:$A$202,0)))</f>
        <v/>
      </c>
      <c r="C85" s="2" t="str">
        <f ca="1">IF(ISBLANK(Input!B84),"",INDIRECT("Input!B"&amp;1+MATCH(aux_sheet!$B84,aux_sheet!$A$2:$A$202,0)))</f>
        <v/>
      </c>
      <c r="D85" s="2" t="str">
        <f ca="1">IF(ISBLANK(Input!C84),"",INDIRECT("Input!C"&amp;1+MATCH(aux_sheet!$B84,aux_sheet!$A$2:$A$202,0)))</f>
        <v/>
      </c>
      <c r="E85" s="2" t="str">
        <f ca="1">IF(ISBLANK(Input!D84),"",INDIRECT("Input!D"&amp;1+MATCH(aux_sheet!$B84,aux_sheet!$A$2:$A$202,0)))</f>
        <v/>
      </c>
      <c r="F85" s="11" t="str">
        <f ca="1">INDIRECT("Input!F"&amp;1+MATCH(aux_sheet!$B84,aux_sheet!$A$2:$A$202,0))</f>
        <v xml:space="preserve"> </v>
      </c>
      <c r="G85" s="106" t="str">
        <f ca="1">IF($B85="","",INDIRECT("aux_sheet!O"&amp;1+MATCH(aux_sheet!$B84,aux_sheet!$A$2:$A$202,0)))</f>
        <v/>
      </c>
      <c r="H85" s="89" t="str">
        <f ca="1">IF($B85="","",INDIRECT("aux_sheet!P"&amp;1+MATCH(aux_sheet!$B84,aux_sheet!$A$2:$A$202,0)))</f>
        <v/>
      </c>
      <c r="I85" s="89" t="str">
        <f ca="1">IF($B85="","",INDIRECT("aux_sheet!P"&amp;1+MATCH(aux_sheet!$B84,aux_sheet!$A$2:$A$202,0)))</f>
        <v/>
      </c>
      <c r="J85" s="106" t="str">
        <f ca="1">IF($B85="","",INDIRECT("aux_sheet!R"&amp;1+MATCH(aux_sheet!$B84,aux_sheet!$A$2:$A$202,0)))</f>
        <v/>
      </c>
      <c r="K85" s="89" t="str">
        <f ca="1">IF($B85="","",INDIRECT("aux_sheet!S"&amp;1+MATCH(aux_sheet!$B84,aux_sheet!$A$2:$A$202,0)))</f>
        <v/>
      </c>
      <c r="L85" s="89" t="str">
        <f ca="1">IF($B85="","",INDIRECT("aux_sheet!S"&amp;1+MATCH(aux_sheet!$B84,aux_sheet!$A$2:$A$202,0)))</f>
        <v/>
      </c>
      <c r="M85" s="106" t="str">
        <f ca="1">IF($B85="","",INDIRECT("aux_sheet!U"&amp;1+MATCH(aux_sheet!$B84,aux_sheet!$A$2:$A$202,0)))</f>
        <v/>
      </c>
      <c r="N85" s="89" t="str">
        <f ca="1">IF($B85="","",INDIRECT("aux_sheet!V"&amp;1+MATCH(aux_sheet!$B84,aux_sheet!$A$2:$A$202,0)))</f>
        <v/>
      </c>
      <c r="O85" s="89" t="str">
        <f ca="1">IF($B85="","",INDIRECT("aux_sheet!V"&amp;1+MATCH(aux_sheet!$B84,aux_sheet!$A$2:$A$202,0)))</f>
        <v/>
      </c>
      <c r="P85" s="106" t="str">
        <f ca="1">IF($B85="","",INDIRECT("aux_sheet!X"&amp;1+MATCH(aux_sheet!$B84,aux_sheet!$A$2:$A$202,0)))</f>
        <v/>
      </c>
      <c r="Q85" s="89" t="str">
        <f ca="1">IF($B85="","",INDIRECT("aux_sheet!Y"&amp;1+MATCH(aux_sheet!$B84,aux_sheet!$A$2:$A$202,0)))</f>
        <v/>
      </c>
      <c r="R85" s="89" t="str">
        <f ca="1">IF($B85="","",INDIRECT("aux_sheet!Y"&amp;1+MATCH(aux_sheet!$B84,aux_sheet!$A$2:$A$202,0)))</f>
        <v/>
      </c>
      <c r="S85" s="106" t="str">
        <f ca="1">IF($B85="","",INDIRECT("aux_sheet!AA"&amp;1+MATCH(aux_sheet!$B84,aux_sheet!$A$2:$A$202,0)))</f>
        <v/>
      </c>
      <c r="T85" s="89" t="str">
        <f ca="1">IF($B85="","",INDIRECT("aux_sheet!AB"&amp;1+MATCH(aux_sheet!$B84,aux_sheet!$A$2:$A$202,0)))</f>
        <v/>
      </c>
      <c r="U85" s="89" t="str">
        <f ca="1">IF($B85="","",INDIRECT("aux_sheet!AB"&amp;1+MATCH(aux_sheet!$B84,aux_sheet!$A$2:$A$202,0)))</f>
        <v/>
      </c>
      <c r="V85" s="106" t="str">
        <f ca="1">IF($B85="","",INDIRECT("aux_sheet!AD"&amp;1+MATCH(aux_sheet!$B84,aux_sheet!$A$2:$A$202,0)))</f>
        <v/>
      </c>
      <c r="W85" s="89" t="str">
        <f ca="1">IF($B85="","",INDIRECT("aux_sheet!AE"&amp;1+MATCH(aux_sheet!$B84,aux_sheet!$A$2:$A$202,0)))</f>
        <v/>
      </c>
      <c r="X85" s="89" t="str">
        <f ca="1">IF($B85="","",INDIRECT("aux_sheet!AE"&amp;1+MATCH(aux_sheet!$B84,aux_sheet!$A$2:$A$202,0)))</f>
        <v/>
      </c>
      <c r="Y85" s="106" t="str">
        <f ca="1">IF($B85="","",INDIRECT("aux_sheet!AG"&amp;1+MATCH(aux_sheet!$B84,aux_sheet!$A$2:$A$202,0)))</f>
        <v/>
      </c>
      <c r="Z85" s="89" t="str">
        <f ca="1">IF($B85="","",INDIRECT("aux_sheet!AH"&amp;1+MATCH(aux_sheet!$B84,aux_sheet!$A$2:$A$202,0)))</f>
        <v/>
      </c>
      <c r="AA85" s="89" t="str">
        <f ca="1">IF($B85="","",INDIRECT("aux_sheet!AH"&amp;1+MATCH(aux_sheet!$B84,aux_sheet!$A$2:$A$202,0)))</f>
        <v/>
      </c>
      <c r="AB85" s="106" t="str">
        <f ca="1">IF($B85="","",INDIRECT("aux_sheet!AJ"&amp;1+MATCH(aux_sheet!$B84,aux_sheet!$A$2:$A$202,0)))</f>
        <v/>
      </c>
      <c r="AC85" s="89" t="str">
        <f ca="1">IF($B85="","",INDIRECT("aux_sheet!AK"&amp;1+MATCH(aux_sheet!$B84,aux_sheet!$A$2:$A$202,0)))</f>
        <v/>
      </c>
      <c r="AD85" s="89" t="str">
        <f ca="1">IF($B85="","",INDIRECT("aux_sheet!AK"&amp;1+MATCH(aux_sheet!$B84,aux_sheet!$A$2:$A$202,0)))</f>
        <v/>
      </c>
      <c r="AE85" s="106" t="str">
        <f ca="1">IF($B85="","",INDIRECT("aux_sheet!AM"&amp;1+MATCH(aux_sheet!$B84,aux_sheet!$A$2:$A$202,0)))</f>
        <v/>
      </c>
      <c r="AF85" s="89" t="str">
        <f ca="1">IF($B85="","",INDIRECT("aux_sheet!AN"&amp;1+MATCH(aux_sheet!$B84,aux_sheet!$A$2:$A$202,0)))</f>
        <v/>
      </c>
      <c r="AG85" s="89" t="str">
        <f ca="1">IF($B85="","",INDIRECT("aux_sheet!AN"&amp;1+MATCH(aux_sheet!$B84,aux_sheet!$A$2:$A$202,0)))</f>
        <v/>
      </c>
      <c r="AH85" s="14" t="str">
        <f>IF(ISBLANK(Input!A84)," ",F84-F85)</f>
        <v xml:space="preserve"> </v>
      </c>
    </row>
    <row r="86" spans="1:34" x14ac:dyDescent="0.35">
      <c r="A86" s="2" t="str">
        <f>IF(ISBLANK(Input!A85),"",ROUNDDOWN(aux_sheet!B85,0))</f>
        <v/>
      </c>
      <c r="B86" s="2" t="str">
        <f ca="1">IF(ISBLANK(Input!A85),"",INDIRECT("Input!A"&amp;1+MATCH(aux_sheet!$B85,aux_sheet!$A$2:$A$202,0)))</f>
        <v/>
      </c>
      <c r="C86" s="2" t="str">
        <f ca="1">IF(ISBLANK(Input!B85),"",INDIRECT("Input!B"&amp;1+MATCH(aux_sheet!$B85,aux_sheet!$A$2:$A$202,0)))</f>
        <v/>
      </c>
      <c r="D86" s="2" t="str">
        <f ca="1">IF(ISBLANK(Input!C85),"",INDIRECT("Input!C"&amp;1+MATCH(aux_sheet!$B85,aux_sheet!$A$2:$A$202,0)))</f>
        <v/>
      </c>
      <c r="E86" s="2" t="str">
        <f ca="1">IF(ISBLANK(Input!D85),"",INDIRECT("Input!D"&amp;1+MATCH(aux_sheet!$B85,aux_sheet!$A$2:$A$202,0)))</f>
        <v/>
      </c>
      <c r="F86" s="11" t="str">
        <f ca="1">INDIRECT("Input!F"&amp;1+MATCH(aux_sheet!$B85,aux_sheet!$A$2:$A$202,0))</f>
        <v xml:space="preserve"> </v>
      </c>
      <c r="G86" s="106" t="str">
        <f ca="1">IF($B86="","",INDIRECT("aux_sheet!O"&amp;1+MATCH(aux_sheet!$B85,aux_sheet!$A$2:$A$202,0)))</f>
        <v/>
      </c>
      <c r="H86" s="89" t="str">
        <f ca="1">IF($B86="","",INDIRECT("aux_sheet!P"&amp;1+MATCH(aux_sheet!$B85,aux_sheet!$A$2:$A$202,0)))</f>
        <v/>
      </c>
      <c r="I86" s="89" t="str">
        <f ca="1">IF($B86="","",INDIRECT("aux_sheet!P"&amp;1+MATCH(aux_sheet!$B85,aux_sheet!$A$2:$A$202,0)))</f>
        <v/>
      </c>
      <c r="J86" s="106" t="str">
        <f ca="1">IF($B86="","",INDIRECT("aux_sheet!R"&amp;1+MATCH(aux_sheet!$B85,aux_sheet!$A$2:$A$202,0)))</f>
        <v/>
      </c>
      <c r="K86" s="89" t="str">
        <f ca="1">IF($B86="","",INDIRECT("aux_sheet!S"&amp;1+MATCH(aux_sheet!$B85,aux_sheet!$A$2:$A$202,0)))</f>
        <v/>
      </c>
      <c r="L86" s="89" t="str">
        <f ca="1">IF($B86="","",INDIRECT("aux_sheet!S"&amp;1+MATCH(aux_sheet!$B85,aux_sheet!$A$2:$A$202,0)))</f>
        <v/>
      </c>
      <c r="M86" s="106" t="str">
        <f ca="1">IF($B86="","",INDIRECT("aux_sheet!U"&amp;1+MATCH(aux_sheet!$B85,aux_sheet!$A$2:$A$202,0)))</f>
        <v/>
      </c>
      <c r="N86" s="89" t="str">
        <f ca="1">IF($B86="","",INDIRECT("aux_sheet!V"&amp;1+MATCH(aux_sheet!$B85,aux_sheet!$A$2:$A$202,0)))</f>
        <v/>
      </c>
      <c r="O86" s="89" t="str">
        <f ca="1">IF($B86="","",INDIRECT("aux_sheet!V"&amp;1+MATCH(aux_sheet!$B85,aux_sheet!$A$2:$A$202,0)))</f>
        <v/>
      </c>
      <c r="P86" s="106" t="str">
        <f ca="1">IF($B86="","",INDIRECT("aux_sheet!X"&amp;1+MATCH(aux_sheet!$B85,aux_sheet!$A$2:$A$202,0)))</f>
        <v/>
      </c>
      <c r="Q86" s="89" t="str">
        <f ca="1">IF($B86="","",INDIRECT("aux_sheet!Y"&amp;1+MATCH(aux_sheet!$B85,aux_sheet!$A$2:$A$202,0)))</f>
        <v/>
      </c>
      <c r="R86" s="89" t="str">
        <f ca="1">IF($B86="","",INDIRECT("aux_sheet!Y"&amp;1+MATCH(aux_sheet!$B85,aux_sheet!$A$2:$A$202,0)))</f>
        <v/>
      </c>
      <c r="S86" s="106" t="str">
        <f ca="1">IF($B86="","",INDIRECT("aux_sheet!AA"&amp;1+MATCH(aux_sheet!$B85,aux_sheet!$A$2:$A$202,0)))</f>
        <v/>
      </c>
      <c r="T86" s="89" t="str">
        <f ca="1">IF($B86="","",INDIRECT("aux_sheet!AB"&amp;1+MATCH(aux_sheet!$B85,aux_sheet!$A$2:$A$202,0)))</f>
        <v/>
      </c>
      <c r="U86" s="89" t="str">
        <f ca="1">IF($B86="","",INDIRECT("aux_sheet!AB"&amp;1+MATCH(aux_sheet!$B85,aux_sheet!$A$2:$A$202,0)))</f>
        <v/>
      </c>
      <c r="V86" s="106" t="str">
        <f ca="1">IF($B86="","",INDIRECT("aux_sheet!AD"&amp;1+MATCH(aux_sheet!$B85,aux_sheet!$A$2:$A$202,0)))</f>
        <v/>
      </c>
      <c r="W86" s="89" t="str">
        <f ca="1">IF($B86="","",INDIRECT("aux_sheet!AE"&amp;1+MATCH(aux_sheet!$B85,aux_sheet!$A$2:$A$202,0)))</f>
        <v/>
      </c>
      <c r="X86" s="89" t="str">
        <f ca="1">IF($B86="","",INDIRECT("aux_sheet!AE"&amp;1+MATCH(aux_sheet!$B85,aux_sheet!$A$2:$A$202,0)))</f>
        <v/>
      </c>
      <c r="Y86" s="106" t="str">
        <f ca="1">IF($B86="","",INDIRECT("aux_sheet!AG"&amp;1+MATCH(aux_sheet!$B85,aux_sheet!$A$2:$A$202,0)))</f>
        <v/>
      </c>
      <c r="Z86" s="89" t="str">
        <f ca="1">IF($B86="","",INDIRECT("aux_sheet!AH"&amp;1+MATCH(aux_sheet!$B85,aux_sheet!$A$2:$A$202,0)))</f>
        <v/>
      </c>
      <c r="AA86" s="89" t="str">
        <f ca="1">IF($B86="","",INDIRECT("aux_sheet!AH"&amp;1+MATCH(aux_sheet!$B85,aux_sheet!$A$2:$A$202,0)))</f>
        <v/>
      </c>
      <c r="AB86" s="106" t="str">
        <f ca="1">IF($B86="","",INDIRECT("aux_sheet!AJ"&amp;1+MATCH(aux_sheet!$B85,aux_sheet!$A$2:$A$202,0)))</f>
        <v/>
      </c>
      <c r="AC86" s="89" t="str">
        <f ca="1">IF($B86="","",INDIRECT("aux_sheet!AK"&amp;1+MATCH(aux_sheet!$B85,aux_sheet!$A$2:$A$202,0)))</f>
        <v/>
      </c>
      <c r="AD86" s="89" t="str">
        <f ca="1">IF($B86="","",INDIRECT("aux_sheet!AK"&amp;1+MATCH(aux_sheet!$B85,aux_sheet!$A$2:$A$202,0)))</f>
        <v/>
      </c>
      <c r="AE86" s="106" t="str">
        <f ca="1">IF($B86="","",INDIRECT("aux_sheet!AM"&amp;1+MATCH(aux_sheet!$B85,aux_sheet!$A$2:$A$202,0)))</f>
        <v/>
      </c>
      <c r="AF86" s="89" t="str">
        <f ca="1">IF($B86="","",INDIRECT("aux_sheet!AN"&amp;1+MATCH(aux_sheet!$B85,aux_sheet!$A$2:$A$202,0)))</f>
        <v/>
      </c>
      <c r="AG86" s="89" t="str">
        <f ca="1">IF($B86="","",INDIRECT("aux_sheet!AN"&amp;1+MATCH(aux_sheet!$B85,aux_sheet!$A$2:$A$202,0)))</f>
        <v/>
      </c>
      <c r="AH86" s="14" t="str">
        <f>IF(ISBLANK(Input!A85)," ",F85-F86)</f>
        <v xml:space="preserve"> </v>
      </c>
    </row>
    <row r="87" spans="1:34" x14ac:dyDescent="0.35">
      <c r="A87" s="2" t="str">
        <f>IF(ISBLANK(Input!A86),"",ROUNDDOWN(aux_sheet!B86,0))</f>
        <v/>
      </c>
      <c r="B87" s="2" t="str">
        <f ca="1">IF(ISBLANK(Input!A86),"",INDIRECT("Input!A"&amp;1+MATCH(aux_sheet!$B86,aux_sheet!$A$2:$A$202,0)))</f>
        <v/>
      </c>
      <c r="C87" s="2" t="str">
        <f ca="1">IF(ISBLANK(Input!B86),"",INDIRECT("Input!B"&amp;1+MATCH(aux_sheet!$B86,aux_sheet!$A$2:$A$202,0)))</f>
        <v/>
      </c>
      <c r="D87" s="2" t="str">
        <f ca="1">IF(ISBLANK(Input!C86),"",INDIRECT("Input!C"&amp;1+MATCH(aux_sheet!$B86,aux_sheet!$A$2:$A$202,0)))</f>
        <v/>
      </c>
      <c r="E87" s="2" t="str">
        <f ca="1">IF(ISBLANK(Input!D86),"",INDIRECT("Input!D"&amp;1+MATCH(aux_sheet!$B86,aux_sheet!$A$2:$A$202,0)))</f>
        <v/>
      </c>
      <c r="F87" s="11" t="str">
        <f ca="1">INDIRECT("Input!F"&amp;1+MATCH(aux_sheet!$B86,aux_sheet!$A$2:$A$202,0))</f>
        <v xml:space="preserve"> </v>
      </c>
      <c r="G87" s="106" t="str">
        <f ca="1">IF($B87="","",INDIRECT("aux_sheet!O"&amp;1+MATCH(aux_sheet!$B86,aux_sheet!$A$2:$A$202,0)))</f>
        <v/>
      </c>
      <c r="H87" s="89" t="str">
        <f ca="1">IF($B87="","",INDIRECT("aux_sheet!P"&amp;1+MATCH(aux_sheet!$B86,aux_sheet!$A$2:$A$202,0)))</f>
        <v/>
      </c>
      <c r="I87" s="89" t="str">
        <f ca="1">IF($B87="","",INDIRECT("aux_sheet!P"&amp;1+MATCH(aux_sheet!$B86,aux_sheet!$A$2:$A$202,0)))</f>
        <v/>
      </c>
      <c r="J87" s="106" t="str">
        <f ca="1">IF($B87="","",INDIRECT("aux_sheet!R"&amp;1+MATCH(aux_sheet!$B86,aux_sheet!$A$2:$A$202,0)))</f>
        <v/>
      </c>
      <c r="K87" s="89" t="str">
        <f ca="1">IF($B87="","",INDIRECT("aux_sheet!S"&amp;1+MATCH(aux_sheet!$B86,aux_sheet!$A$2:$A$202,0)))</f>
        <v/>
      </c>
      <c r="L87" s="89" t="str">
        <f ca="1">IF($B87="","",INDIRECT("aux_sheet!S"&amp;1+MATCH(aux_sheet!$B86,aux_sheet!$A$2:$A$202,0)))</f>
        <v/>
      </c>
      <c r="M87" s="106" t="str">
        <f ca="1">IF($B87="","",INDIRECT("aux_sheet!U"&amp;1+MATCH(aux_sheet!$B86,aux_sheet!$A$2:$A$202,0)))</f>
        <v/>
      </c>
      <c r="N87" s="89" t="str">
        <f ca="1">IF($B87="","",INDIRECT("aux_sheet!V"&amp;1+MATCH(aux_sheet!$B86,aux_sheet!$A$2:$A$202,0)))</f>
        <v/>
      </c>
      <c r="O87" s="89" t="str">
        <f ca="1">IF($B87="","",INDIRECT("aux_sheet!V"&amp;1+MATCH(aux_sheet!$B86,aux_sheet!$A$2:$A$202,0)))</f>
        <v/>
      </c>
      <c r="P87" s="106" t="str">
        <f ca="1">IF($B87="","",INDIRECT("aux_sheet!X"&amp;1+MATCH(aux_sheet!$B86,aux_sheet!$A$2:$A$202,0)))</f>
        <v/>
      </c>
      <c r="Q87" s="89" t="str">
        <f ca="1">IF($B87="","",INDIRECT("aux_sheet!Y"&amp;1+MATCH(aux_sheet!$B86,aux_sheet!$A$2:$A$202,0)))</f>
        <v/>
      </c>
      <c r="R87" s="89" t="str">
        <f ca="1">IF($B87="","",INDIRECT("aux_sheet!Y"&amp;1+MATCH(aux_sheet!$B86,aux_sheet!$A$2:$A$202,0)))</f>
        <v/>
      </c>
      <c r="S87" s="106" t="str">
        <f ca="1">IF($B87="","",INDIRECT("aux_sheet!AA"&amp;1+MATCH(aux_sheet!$B86,aux_sheet!$A$2:$A$202,0)))</f>
        <v/>
      </c>
      <c r="T87" s="89" t="str">
        <f ca="1">IF($B87="","",INDIRECT("aux_sheet!AB"&amp;1+MATCH(aux_sheet!$B86,aux_sheet!$A$2:$A$202,0)))</f>
        <v/>
      </c>
      <c r="U87" s="89" t="str">
        <f ca="1">IF($B87="","",INDIRECT("aux_sheet!AB"&amp;1+MATCH(aux_sheet!$B86,aux_sheet!$A$2:$A$202,0)))</f>
        <v/>
      </c>
      <c r="V87" s="106" t="str">
        <f ca="1">IF($B87="","",INDIRECT("aux_sheet!AD"&amp;1+MATCH(aux_sheet!$B86,aux_sheet!$A$2:$A$202,0)))</f>
        <v/>
      </c>
      <c r="W87" s="89" t="str">
        <f ca="1">IF($B87="","",INDIRECT("aux_sheet!AE"&amp;1+MATCH(aux_sheet!$B86,aux_sheet!$A$2:$A$202,0)))</f>
        <v/>
      </c>
      <c r="X87" s="89" t="str">
        <f ca="1">IF($B87="","",INDIRECT("aux_sheet!AE"&amp;1+MATCH(aux_sheet!$B86,aux_sheet!$A$2:$A$202,0)))</f>
        <v/>
      </c>
      <c r="Y87" s="106" t="str">
        <f ca="1">IF($B87="","",INDIRECT("aux_sheet!AG"&amp;1+MATCH(aux_sheet!$B86,aux_sheet!$A$2:$A$202,0)))</f>
        <v/>
      </c>
      <c r="Z87" s="89" t="str">
        <f ca="1">IF($B87="","",INDIRECT("aux_sheet!AH"&amp;1+MATCH(aux_sheet!$B86,aux_sheet!$A$2:$A$202,0)))</f>
        <v/>
      </c>
      <c r="AA87" s="89" t="str">
        <f ca="1">IF($B87="","",INDIRECT("aux_sheet!AH"&amp;1+MATCH(aux_sheet!$B86,aux_sheet!$A$2:$A$202,0)))</f>
        <v/>
      </c>
      <c r="AB87" s="106" t="str">
        <f ca="1">IF($B87="","",INDIRECT("aux_sheet!AJ"&amp;1+MATCH(aux_sheet!$B86,aux_sheet!$A$2:$A$202,0)))</f>
        <v/>
      </c>
      <c r="AC87" s="89" t="str">
        <f ca="1">IF($B87="","",INDIRECT("aux_sheet!AK"&amp;1+MATCH(aux_sheet!$B86,aux_sheet!$A$2:$A$202,0)))</f>
        <v/>
      </c>
      <c r="AD87" s="89" t="str">
        <f ca="1">IF($B87="","",INDIRECT("aux_sheet!AK"&amp;1+MATCH(aux_sheet!$B86,aux_sheet!$A$2:$A$202,0)))</f>
        <v/>
      </c>
      <c r="AE87" s="106" t="str">
        <f ca="1">IF($B87="","",INDIRECT("aux_sheet!AM"&amp;1+MATCH(aux_sheet!$B86,aux_sheet!$A$2:$A$202,0)))</f>
        <v/>
      </c>
      <c r="AF87" s="89" t="str">
        <f ca="1">IF($B87="","",INDIRECT("aux_sheet!AN"&amp;1+MATCH(aux_sheet!$B86,aux_sheet!$A$2:$A$202,0)))</f>
        <v/>
      </c>
      <c r="AG87" s="89" t="str">
        <f ca="1">IF($B87="","",INDIRECT("aux_sheet!AN"&amp;1+MATCH(aux_sheet!$B86,aux_sheet!$A$2:$A$202,0)))</f>
        <v/>
      </c>
      <c r="AH87" s="14" t="str">
        <f>IF(ISBLANK(Input!A86)," ",F86-F87)</f>
        <v xml:space="preserve"> </v>
      </c>
    </row>
    <row r="88" spans="1:34" x14ac:dyDescent="0.35">
      <c r="A88" s="2" t="str">
        <f>IF(ISBLANK(Input!A87),"",ROUNDDOWN(aux_sheet!B87,0))</f>
        <v/>
      </c>
      <c r="B88" s="2" t="str">
        <f ca="1">IF(ISBLANK(Input!A87),"",INDIRECT("Input!A"&amp;1+MATCH(aux_sheet!$B87,aux_sheet!$A$2:$A$202,0)))</f>
        <v/>
      </c>
      <c r="C88" s="2" t="str">
        <f ca="1">IF(ISBLANK(Input!B87),"",INDIRECT("Input!B"&amp;1+MATCH(aux_sheet!$B87,aux_sheet!$A$2:$A$202,0)))</f>
        <v/>
      </c>
      <c r="D88" s="2" t="str">
        <f ca="1">IF(ISBLANK(Input!C87),"",INDIRECT("Input!C"&amp;1+MATCH(aux_sheet!$B87,aux_sheet!$A$2:$A$202,0)))</f>
        <v/>
      </c>
      <c r="E88" s="2" t="str">
        <f ca="1">IF(ISBLANK(Input!D87),"",INDIRECT("Input!D"&amp;1+MATCH(aux_sheet!$B87,aux_sheet!$A$2:$A$202,0)))</f>
        <v/>
      </c>
      <c r="F88" s="11" t="str">
        <f ca="1">INDIRECT("Input!F"&amp;1+MATCH(aux_sheet!$B87,aux_sheet!$A$2:$A$202,0))</f>
        <v xml:space="preserve"> </v>
      </c>
      <c r="G88" s="106" t="str">
        <f ca="1">IF($B88="","",INDIRECT("aux_sheet!O"&amp;1+MATCH(aux_sheet!$B87,aux_sheet!$A$2:$A$202,0)))</f>
        <v/>
      </c>
      <c r="H88" s="89" t="str">
        <f ca="1">IF($B88="","",INDIRECT("aux_sheet!P"&amp;1+MATCH(aux_sheet!$B87,aux_sheet!$A$2:$A$202,0)))</f>
        <v/>
      </c>
      <c r="I88" s="89" t="str">
        <f ca="1">IF($B88="","",INDIRECT("aux_sheet!P"&amp;1+MATCH(aux_sheet!$B87,aux_sheet!$A$2:$A$202,0)))</f>
        <v/>
      </c>
      <c r="J88" s="106" t="str">
        <f ca="1">IF($B88="","",INDIRECT("aux_sheet!R"&amp;1+MATCH(aux_sheet!$B87,aux_sheet!$A$2:$A$202,0)))</f>
        <v/>
      </c>
      <c r="K88" s="89" t="str">
        <f ca="1">IF($B88="","",INDIRECT("aux_sheet!S"&amp;1+MATCH(aux_sheet!$B87,aux_sheet!$A$2:$A$202,0)))</f>
        <v/>
      </c>
      <c r="L88" s="89" t="str">
        <f ca="1">IF($B88="","",INDIRECT("aux_sheet!S"&amp;1+MATCH(aux_sheet!$B87,aux_sheet!$A$2:$A$202,0)))</f>
        <v/>
      </c>
      <c r="M88" s="106" t="str">
        <f ca="1">IF($B88="","",INDIRECT("aux_sheet!U"&amp;1+MATCH(aux_sheet!$B87,aux_sheet!$A$2:$A$202,0)))</f>
        <v/>
      </c>
      <c r="N88" s="89" t="str">
        <f ca="1">IF($B88="","",INDIRECT("aux_sheet!V"&amp;1+MATCH(aux_sheet!$B87,aux_sheet!$A$2:$A$202,0)))</f>
        <v/>
      </c>
      <c r="O88" s="89" t="str">
        <f ca="1">IF($B88="","",INDIRECT("aux_sheet!V"&amp;1+MATCH(aux_sheet!$B87,aux_sheet!$A$2:$A$202,0)))</f>
        <v/>
      </c>
      <c r="P88" s="106" t="str">
        <f ca="1">IF($B88="","",INDIRECT("aux_sheet!X"&amp;1+MATCH(aux_sheet!$B87,aux_sheet!$A$2:$A$202,0)))</f>
        <v/>
      </c>
      <c r="Q88" s="89" t="str">
        <f ca="1">IF($B88="","",INDIRECT("aux_sheet!Y"&amp;1+MATCH(aux_sheet!$B87,aux_sheet!$A$2:$A$202,0)))</f>
        <v/>
      </c>
      <c r="R88" s="89" t="str">
        <f ca="1">IF($B88="","",INDIRECT("aux_sheet!Y"&amp;1+MATCH(aux_sheet!$B87,aux_sheet!$A$2:$A$202,0)))</f>
        <v/>
      </c>
      <c r="S88" s="106" t="str">
        <f ca="1">IF($B88="","",INDIRECT("aux_sheet!AA"&amp;1+MATCH(aux_sheet!$B87,aux_sheet!$A$2:$A$202,0)))</f>
        <v/>
      </c>
      <c r="T88" s="89" t="str">
        <f ca="1">IF($B88="","",INDIRECT("aux_sheet!AB"&amp;1+MATCH(aux_sheet!$B87,aux_sheet!$A$2:$A$202,0)))</f>
        <v/>
      </c>
      <c r="U88" s="89" t="str">
        <f ca="1">IF($B88="","",INDIRECT("aux_sheet!AB"&amp;1+MATCH(aux_sheet!$B87,aux_sheet!$A$2:$A$202,0)))</f>
        <v/>
      </c>
      <c r="V88" s="106" t="str">
        <f ca="1">IF($B88="","",INDIRECT("aux_sheet!AD"&amp;1+MATCH(aux_sheet!$B87,aux_sheet!$A$2:$A$202,0)))</f>
        <v/>
      </c>
      <c r="W88" s="89" t="str">
        <f ca="1">IF($B88="","",INDIRECT("aux_sheet!AE"&amp;1+MATCH(aux_sheet!$B87,aux_sheet!$A$2:$A$202,0)))</f>
        <v/>
      </c>
      <c r="X88" s="89" t="str">
        <f ca="1">IF($B88="","",INDIRECT("aux_sheet!AE"&amp;1+MATCH(aux_sheet!$B87,aux_sheet!$A$2:$A$202,0)))</f>
        <v/>
      </c>
      <c r="Y88" s="106" t="str">
        <f ca="1">IF($B88="","",INDIRECT("aux_sheet!AG"&amp;1+MATCH(aux_sheet!$B87,aux_sheet!$A$2:$A$202,0)))</f>
        <v/>
      </c>
      <c r="Z88" s="89" t="str">
        <f ca="1">IF($B88="","",INDIRECT("aux_sheet!AH"&amp;1+MATCH(aux_sheet!$B87,aux_sheet!$A$2:$A$202,0)))</f>
        <v/>
      </c>
      <c r="AA88" s="89" t="str">
        <f ca="1">IF($B88="","",INDIRECT("aux_sheet!AH"&amp;1+MATCH(aux_sheet!$B87,aux_sheet!$A$2:$A$202,0)))</f>
        <v/>
      </c>
      <c r="AB88" s="106" t="str">
        <f ca="1">IF($B88="","",INDIRECT("aux_sheet!AJ"&amp;1+MATCH(aux_sheet!$B87,aux_sheet!$A$2:$A$202,0)))</f>
        <v/>
      </c>
      <c r="AC88" s="89" t="str">
        <f ca="1">IF($B88="","",INDIRECT("aux_sheet!AK"&amp;1+MATCH(aux_sheet!$B87,aux_sheet!$A$2:$A$202,0)))</f>
        <v/>
      </c>
      <c r="AD88" s="89" t="str">
        <f ca="1">IF($B88="","",INDIRECT("aux_sheet!AK"&amp;1+MATCH(aux_sheet!$B87,aux_sheet!$A$2:$A$202,0)))</f>
        <v/>
      </c>
      <c r="AE88" s="106" t="str">
        <f ca="1">IF($B88="","",INDIRECT("aux_sheet!AM"&amp;1+MATCH(aux_sheet!$B87,aux_sheet!$A$2:$A$202,0)))</f>
        <v/>
      </c>
      <c r="AF88" s="89" t="str">
        <f ca="1">IF($B88="","",INDIRECT("aux_sheet!AN"&amp;1+MATCH(aux_sheet!$B87,aux_sheet!$A$2:$A$202,0)))</f>
        <v/>
      </c>
      <c r="AG88" s="89" t="str">
        <f ca="1">IF($B88="","",INDIRECT("aux_sheet!AN"&amp;1+MATCH(aux_sheet!$B87,aux_sheet!$A$2:$A$202,0)))</f>
        <v/>
      </c>
      <c r="AH88" s="14" t="str">
        <f>IF(ISBLANK(Input!A87)," ",F87-F88)</f>
        <v xml:space="preserve"> </v>
      </c>
    </row>
    <row r="89" spans="1:34" x14ac:dyDescent="0.35">
      <c r="A89" s="2" t="str">
        <f>IF(ISBLANK(Input!A88),"",ROUNDDOWN(aux_sheet!B88,0))</f>
        <v/>
      </c>
      <c r="B89" s="2" t="str">
        <f ca="1">IF(ISBLANK(Input!A88),"",INDIRECT("Input!A"&amp;1+MATCH(aux_sheet!$B88,aux_sheet!$A$2:$A$202,0)))</f>
        <v/>
      </c>
      <c r="C89" s="2" t="str">
        <f ca="1">IF(ISBLANK(Input!B88),"",INDIRECT("Input!B"&amp;1+MATCH(aux_sheet!$B88,aux_sheet!$A$2:$A$202,0)))</f>
        <v/>
      </c>
      <c r="D89" s="2" t="str">
        <f ca="1">IF(ISBLANK(Input!C88),"",INDIRECT("Input!C"&amp;1+MATCH(aux_sheet!$B88,aux_sheet!$A$2:$A$202,0)))</f>
        <v/>
      </c>
      <c r="E89" s="2" t="str">
        <f ca="1">IF(ISBLANK(Input!D88),"",INDIRECT("Input!D"&amp;1+MATCH(aux_sheet!$B88,aux_sheet!$A$2:$A$202,0)))</f>
        <v/>
      </c>
      <c r="F89" s="11" t="str">
        <f ca="1">INDIRECT("Input!F"&amp;1+MATCH(aux_sheet!$B88,aux_sheet!$A$2:$A$202,0))</f>
        <v xml:space="preserve"> </v>
      </c>
      <c r="G89" s="106" t="str">
        <f ca="1">IF($B89="","",INDIRECT("aux_sheet!O"&amp;1+MATCH(aux_sheet!$B88,aux_sheet!$A$2:$A$202,0)))</f>
        <v/>
      </c>
      <c r="H89" s="89" t="str">
        <f ca="1">IF($B89="","",INDIRECT("aux_sheet!P"&amp;1+MATCH(aux_sheet!$B88,aux_sheet!$A$2:$A$202,0)))</f>
        <v/>
      </c>
      <c r="I89" s="89" t="str">
        <f ca="1">IF($B89="","",INDIRECT("aux_sheet!P"&amp;1+MATCH(aux_sheet!$B88,aux_sheet!$A$2:$A$202,0)))</f>
        <v/>
      </c>
      <c r="J89" s="106" t="str">
        <f ca="1">IF($B89="","",INDIRECT("aux_sheet!R"&amp;1+MATCH(aux_sheet!$B88,aux_sheet!$A$2:$A$202,0)))</f>
        <v/>
      </c>
      <c r="K89" s="89" t="str">
        <f ca="1">IF($B89="","",INDIRECT("aux_sheet!S"&amp;1+MATCH(aux_sheet!$B88,aux_sheet!$A$2:$A$202,0)))</f>
        <v/>
      </c>
      <c r="L89" s="89" t="str">
        <f ca="1">IF($B89="","",INDIRECT("aux_sheet!S"&amp;1+MATCH(aux_sheet!$B88,aux_sheet!$A$2:$A$202,0)))</f>
        <v/>
      </c>
      <c r="M89" s="106" t="str">
        <f ca="1">IF($B89="","",INDIRECT("aux_sheet!U"&amp;1+MATCH(aux_sheet!$B88,aux_sheet!$A$2:$A$202,0)))</f>
        <v/>
      </c>
      <c r="N89" s="89" t="str">
        <f ca="1">IF($B89="","",INDIRECT("aux_sheet!V"&amp;1+MATCH(aux_sheet!$B88,aux_sheet!$A$2:$A$202,0)))</f>
        <v/>
      </c>
      <c r="O89" s="89" t="str">
        <f ca="1">IF($B89="","",INDIRECT("aux_sheet!V"&amp;1+MATCH(aux_sheet!$B88,aux_sheet!$A$2:$A$202,0)))</f>
        <v/>
      </c>
      <c r="P89" s="106" t="str">
        <f ca="1">IF($B89="","",INDIRECT("aux_sheet!X"&amp;1+MATCH(aux_sheet!$B88,aux_sheet!$A$2:$A$202,0)))</f>
        <v/>
      </c>
      <c r="Q89" s="89" t="str">
        <f ca="1">IF($B89="","",INDIRECT("aux_sheet!Y"&amp;1+MATCH(aux_sheet!$B88,aux_sheet!$A$2:$A$202,0)))</f>
        <v/>
      </c>
      <c r="R89" s="89" t="str">
        <f ca="1">IF($B89="","",INDIRECT("aux_sheet!Y"&amp;1+MATCH(aux_sheet!$B88,aux_sheet!$A$2:$A$202,0)))</f>
        <v/>
      </c>
      <c r="S89" s="106" t="str">
        <f ca="1">IF($B89="","",INDIRECT("aux_sheet!AA"&amp;1+MATCH(aux_sheet!$B88,aux_sheet!$A$2:$A$202,0)))</f>
        <v/>
      </c>
      <c r="T89" s="89" t="str">
        <f ca="1">IF($B89="","",INDIRECT("aux_sheet!AB"&amp;1+MATCH(aux_sheet!$B88,aux_sheet!$A$2:$A$202,0)))</f>
        <v/>
      </c>
      <c r="U89" s="89" t="str">
        <f ca="1">IF($B89="","",INDIRECT("aux_sheet!AB"&amp;1+MATCH(aux_sheet!$B88,aux_sheet!$A$2:$A$202,0)))</f>
        <v/>
      </c>
      <c r="V89" s="106" t="str">
        <f ca="1">IF($B89="","",INDIRECT("aux_sheet!AD"&amp;1+MATCH(aux_sheet!$B88,aux_sheet!$A$2:$A$202,0)))</f>
        <v/>
      </c>
      <c r="W89" s="89" t="str">
        <f ca="1">IF($B89="","",INDIRECT("aux_sheet!AE"&amp;1+MATCH(aux_sheet!$B88,aux_sheet!$A$2:$A$202,0)))</f>
        <v/>
      </c>
      <c r="X89" s="89" t="str">
        <f ca="1">IF($B89="","",INDIRECT("aux_sheet!AE"&amp;1+MATCH(aux_sheet!$B88,aux_sheet!$A$2:$A$202,0)))</f>
        <v/>
      </c>
      <c r="Y89" s="106" t="str">
        <f ca="1">IF($B89="","",INDIRECT("aux_sheet!AG"&amp;1+MATCH(aux_sheet!$B88,aux_sheet!$A$2:$A$202,0)))</f>
        <v/>
      </c>
      <c r="Z89" s="89" t="str">
        <f ca="1">IF($B89="","",INDIRECT("aux_sheet!AH"&amp;1+MATCH(aux_sheet!$B88,aux_sheet!$A$2:$A$202,0)))</f>
        <v/>
      </c>
      <c r="AA89" s="89" t="str">
        <f ca="1">IF($B89="","",INDIRECT("aux_sheet!AH"&amp;1+MATCH(aux_sheet!$B88,aux_sheet!$A$2:$A$202,0)))</f>
        <v/>
      </c>
      <c r="AB89" s="106" t="str">
        <f ca="1">IF($B89="","",INDIRECT("aux_sheet!AJ"&amp;1+MATCH(aux_sheet!$B88,aux_sheet!$A$2:$A$202,0)))</f>
        <v/>
      </c>
      <c r="AC89" s="89" t="str">
        <f ca="1">IF($B89="","",INDIRECT("aux_sheet!AK"&amp;1+MATCH(aux_sheet!$B88,aux_sheet!$A$2:$A$202,0)))</f>
        <v/>
      </c>
      <c r="AD89" s="89" t="str">
        <f ca="1">IF($B89="","",INDIRECT("aux_sheet!AK"&amp;1+MATCH(aux_sheet!$B88,aux_sheet!$A$2:$A$202,0)))</f>
        <v/>
      </c>
      <c r="AE89" s="106" t="str">
        <f ca="1">IF($B89="","",INDIRECT("aux_sheet!AM"&amp;1+MATCH(aux_sheet!$B88,aux_sheet!$A$2:$A$202,0)))</f>
        <v/>
      </c>
      <c r="AF89" s="89" t="str">
        <f ca="1">IF($B89="","",INDIRECT("aux_sheet!AN"&amp;1+MATCH(aux_sheet!$B88,aux_sheet!$A$2:$A$202,0)))</f>
        <v/>
      </c>
      <c r="AG89" s="89" t="str">
        <f ca="1">IF($B89="","",INDIRECT("aux_sheet!AN"&amp;1+MATCH(aux_sheet!$B88,aux_sheet!$A$2:$A$202,0)))</f>
        <v/>
      </c>
      <c r="AH89" s="14" t="str">
        <f>IF(ISBLANK(Input!A88)," ",F88-F89)</f>
        <v xml:space="preserve"> </v>
      </c>
    </row>
    <row r="90" spans="1:34" x14ac:dyDescent="0.35">
      <c r="A90" s="2" t="str">
        <f>IF(ISBLANK(Input!A89),"",ROUNDDOWN(aux_sheet!B89,0))</f>
        <v/>
      </c>
      <c r="B90" s="2" t="str">
        <f ca="1">IF(ISBLANK(Input!A89),"",INDIRECT("Input!A"&amp;1+MATCH(aux_sheet!$B89,aux_sheet!$A$2:$A$202,0)))</f>
        <v/>
      </c>
      <c r="C90" s="2" t="str">
        <f ca="1">IF(ISBLANK(Input!B89),"",INDIRECT("Input!B"&amp;1+MATCH(aux_sheet!$B89,aux_sheet!$A$2:$A$202,0)))</f>
        <v/>
      </c>
      <c r="D90" s="2" t="str">
        <f ca="1">IF(ISBLANK(Input!C89),"",INDIRECT("Input!C"&amp;1+MATCH(aux_sheet!$B89,aux_sheet!$A$2:$A$202,0)))</f>
        <v/>
      </c>
      <c r="E90" s="2" t="str">
        <f ca="1">IF(ISBLANK(Input!D89),"",INDIRECT("Input!D"&amp;1+MATCH(aux_sheet!$B89,aux_sheet!$A$2:$A$202,0)))</f>
        <v/>
      </c>
      <c r="F90" s="11" t="str">
        <f ca="1">INDIRECT("Input!F"&amp;1+MATCH(aux_sheet!$B89,aux_sheet!$A$2:$A$202,0))</f>
        <v xml:space="preserve"> </v>
      </c>
      <c r="G90" s="106" t="str">
        <f ca="1">IF($B90="","",INDIRECT("aux_sheet!O"&amp;1+MATCH(aux_sheet!$B89,aux_sheet!$A$2:$A$202,0)))</f>
        <v/>
      </c>
      <c r="H90" s="89" t="str">
        <f ca="1">IF($B90="","",INDIRECT("aux_sheet!P"&amp;1+MATCH(aux_sheet!$B89,aux_sheet!$A$2:$A$202,0)))</f>
        <v/>
      </c>
      <c r="I90" s="89" t="str">
        <f ca="1">IF($B90="","",INDIRECT("aux_sheet!P"&amp;1+MATCH(aux_sheet!$B89,aux_sheet!$A$2:$A$202,0)))</f>
        <v/>
      </c>
      <c r="J90" s="106" t="str">
        <f ca="1">IF($B90="","",INDIRECT("aux_sheet!R"&amp;1+MATCH(aux_sheet!$B89,aux_sheet!$A$2:$A$202,0)))</f>
        <v/>
      </c>
      <c r="K90" s="89" t="str">
        <f ca="1">IF($B90="","",INDIRECT("aux_sheet!S"&amp;1+MATCH(aux_sheet!$B89,aux_sheet!$A$2:$A$202,0)))</f>
        <v/>
      </c>
      <c r="L90" s="89" t="str">
        <f ca="1">IF($B90="","",INDIRECT("aux_sheet!S"&amp;1+MATCH(aux_sheet!$B89,aux_sheet!$A$2:$A$202,0)))</f>
        <v/>
      </c>
      <c r="M90" s="106" t="str">
        <f ca="1">IF($B90="","",INDIRECT("aux_sheet!U"&amp;1+MATCH(aux_sheet!$B89,aux_sheet!$A$2:$A$202,0)))</f>
        <v/>
      </c>
      <c r="N90" s="89" t="str">
        <f ca="1">IF($B90="","",INDIRECT("aux_sheet!V"&amp;1+MATCH(aux_sheet!$B89,aux_sheet!$A$2:$A$202,0)))</f>
        <v/>
      </c>
      <c r="O90" s="89" t="str">
        <f ca="1">IF($B90="","",INDIRECT("aux_sheet!V"&amp;1+MATCH(aux_sheet!$B89,aux_sheet!$A$2:$A$202,0)))</f>
        <v/>
      </c>
      <c r="P90" s="106" t="str">
        <f ca="1">IF($B90="","",INDIRECT("aux_sheet!X"&amp;1+MATCH(aux_sheet!$B89,aux_sheet!$A$2:$A$202,0)))</f>
        <v/>
      </c>
      <c r="Q90" s="89" t="str">
        <f ca="1">IF($B90="","",INDIRECT("aux_sheet!Y"&amp;1+MATCH(aux_sheet!$B89,aux_sheet!$A$2:$A$202,0)))</f>
        <v/>
      </c>
      <c r="R90" s="89" t="str">
        <f ca="1">IF($B90="","",INDIRECT("aux_sheet!Y"&amp;1+MATCH(aux_sheet!$B89,aux_sheet!$A$2:$A$202,0)))</f>
        <v/>
      </c>
      <c r="S90" s="106" t="str">
        <f ca="1">IF($B90="","",INDIRECT("aux_sheet!AA"&amp;1+MATCH(aux_sheet!$B89,aux_sheet!$A$2:$A$202,0)))</f>
        <v/>
      </c>
      <c r="T90" s="89" t="str">
        <f ca="1">IF($B90="","",INDIRECT("aux_sheet!AB"&amp;1+MATCH(aux_sheet!$B89,aux_sheet!$A$2:$A$202,0)))</f>
        <v/>
      </c>
      <c r="U90" s="89" t="str">
        <f ca="1">IF($B90="","",INDIRECT("aux_sheet!AB"&amp;1+MATCH(aux_sheet!$B89,aux_sheet!$A$2:$A$202,0)))</f>
        <v/>
      </c>
      <c r="V90" s="106" t="str">
        <f ca="1">IF($B90="","",INDIRECT("aux_sheet!AD"&amp;1+MATCH(aux_sheet!$B89,aux_sheet!$A$2:$A$202,0)))</f>
        <v/>
      </c>
      <c r="W90" s="89" t="str">
        <f ca="1">IF($B90="","",INDIRECT("aux_sheet!AE"&amp;1+MATCH(aux_sheet!$B89,aux_sheet!$A$2:$A$202,0)))</f>
        <v/>
      </c>
      <c r="X90" s="89" t="str">
        <f ca="1">IF($B90="","",INDIRECT("aux_sheet!AE"&amp;1+MATCH(aux_sheet!$B89,aux_sheet!$A$2:$A$202,0)))</f>
        <v/>
      </c>
      <c r="Y90" s="106" t="str">
        <f ca="1">IF($B90="","",INDIRECT("aux_sheet!AG"&amp;1+MATCH(aux_sheet!$B89,aux_sheet!$A$2:$A$202,0)))</f>
        <v/>
      </c>
      <c r="Z90" s="89" t="str">
        <f ca="1">IF($B90="","",INDIRECT("aux_sheet!AH"&amp;1+MATCH(aux_sheet!$B89,aux_sheet!$A$2:$A$202,0)))</f>
        <v/>
      </c>
      <c r="AA90" s="89" t="str">
        <f ca="1">IF($B90="","",INDIRECT("aux_sheet!AH"&amp;1+MATCH(aux_sheet!$B89,aux_sheet!$A$2:$A$202,0)))</f>
        <v/>
      </c>
      <c r="AB90" s="106" t="str">
        <f ca="1">IF($B90="","",INDIRECT("aux_sheet!AJ"&amp;1+MATCH(aux_sheet!$B89,aux_sheet!$A$2:$A$202,0)))</f>
        <v/>
      </c>
      <c r="AC90" s="89" t="str">
        <f ca="1">IF($B90="","",INDIRECT("aux_sheet!AK"&amp;1+MATCH(aux_sheet!$B89,aux_sheet!$A$2:$A$202,0)))</f>
        <v/>
      </c>
      <c r="AD90" s="89" t="str">
        <f ca="1">IF($B90="","",INDIRECT("aux_sheet!AK"&amp;1+MATCH(aux_sheet!$B89,aux_sheet!$A$2:$A$202,0)))</f>
        <v/>
      </c>
      <c r="AE90" s="106" t="str">
        <f ca="1">IF($B90="","",INDIRECT("aux_sheet!AM"&amp;1+MATCH(aux_sheet!$B89,aux_sheet!$A$2:$A$202,0)))</f>
        <v/>
      </c>
      <c r="AF90" s="89" t="str">
        <f ca="1">IF($B90="","",INDIRECT("aux_sheet!AN"&amp;1+MATCH(aux_sheet!$B89,aux_sheet!$A$2:$A$202,0)))</f>
        <v/>
      </c>
      <c r="AG90" s="89" t="str">
        <f ca="1">IF($B90="","",INDIRECT("aux_sheet!AN"&amp;1+MATCH(aux_sheet!$B89,aux_sheet!$A$2:$A$202,0)))</f>
        <v/>
      </c>
      <c r="AH90" s="14" t="str">
        <f>IF(ISBLANK(Input!A89)," ",F89-F90)</f>
        <v xml:space="preserve"> </v>
      </c>
    </row>
    <row r="91" spans="1:34" x14ac:dyDescent="0.35">
      <c r="A91" s="2" t="str">
        <f>IF(ISBLANK(Input!A90),"",ROUNDDOWN(aux_sheet!B90,0))</f>
        <v/>
      </c>
      <c r="B91" s="2" t="str">
        <f ca="1">IF(ISBLANK(Input!A90),"",INDIRECT("Input!A"&amp;1+MATCH(aux_sheet!$B90,aux_sheet!$A$2:$A$202,0)))</f>
        <v/>
      </c>
      <c r="C91" s="2" t="str">
        <f ca="1">IF(ISBLANK(Input!B90),"",INDIRECT("Input!B"&amp;1+MATCH(aux_sheet!$B90,aux_sheet!$A$2:$A$202,0)))</f>
        <v/>
      </c>
      <c r="D91" s="2" t="str">
        <f ca="1">IF(ISBLANK(Input!C90),"",INDIRECT("Input!C"&amp;1+MATCH(aux_sheet!$B90,aux_sheet!$A$2:$A$202,0)))</f>
        <v/>
      </c>
      <c r="E91" s="2" t="str">
        <f ca="1">IF(ISBLANK(Input!D90),"",INDIRECT("Input!D"&amp;1+MATCH(aux_sheet!$B90,aux_sheet!$A$2:$A$202,0)))</f>
        <v/>
      </c>
      <c r="F91" s="11" t="str">
        <f ca="1">INDIRECT("Input!F"&amp;1+MATCH(aux_sheet!$B90,aux_sheet!$A$2:$A$202,0))</f>
        <v xml:space="preserve"> </v>
      </c>
      <c r="G91" s="106" t="str">
        <f ca="1">IF($B91="","",INDIRECT("aux_sheet!O"&amp;1+MATCH(aux_sheet!$B90,aux_sheet!$A$2:$A$202,0)))</f>
        <v/>
      </c>
      <c r="H91" s="89" t="str">
        <f ca="1">IF($B91="","",INDIRECT("aux_sheet!P"&amp;1+MATCH(aux_sheet!$B90,aux_sheet!$A$2:$A$202,0)))</f>
        <v/>
      </c>
      <c r="I91" s="89" t="str">
        <f ca="1">IF($B91="","",INDIRECT("aux_sheet!P"&amp;1+MATCH(aux_sheet!$B90,aux_sheet!$A$2:$A$202,0)))</f>
        <v/>
      </c>
      <c r="J91" s="106" t="str">
        <f ca="1">IF($B91="","",INDIRECT("aux_sheet!R"&amp;1+MATCH(aux_sheet!$B90,aux_sheet!$A$2:$A$202,0)))</f>
        <v/>
      </c>
      <c r="K91" s="89" t="str">
        <f ca="1">IF($B91="","",INDIRECT("aux_sheet!S"&amp;1+MATCH(aux_sheet!$B90,aux_sheet!$A$2:$A$202,0)))</f>
        <v/>
      </c>
      <c r="L91" s="89" t="str">
        <f ca="1">IF($B91="","",INDIRECT("aux_sheet!S"&amp;1+MATCH(aux_sheet!$B90,aux_sheet!$A$2:$A$202,0)))</f>
        <v/>
      </c>
      <c r="M91" s="106" t="str">
        <f ca="1">IF($B91="","",INDIRECT("aux_sheet!U"&amp;1+MATCH(aux_sheet!$B90,aux_sheet!$A$2:$A$202,0)))</f>
        <v/>
      </c>
      <c r="N91" s="89" t="str">
        <f ca="1">IF($B91="","",INDIRECT("aux_sheet!V"&amp;1+MATCH(aux_sheet!$B90,aux_sheet!$A$2:$A$202,0)))</f>
        <v/>
      </c>
      <c r="O91" s="89" t="str">
        <f ca="1">IF($B91="","",INDIRECT("aux_sheet!V"&amp;1+MATCH(aux_sheet!$B90,aux_sheet!$A$2:$A$202,0)))</f>
        <v/>
      </c>
      <c r="P91" s="106" t="str">
        <f ca="1">IF($B91="","",INDIRECT("aux_sheet!X"&amp;1+MATCH(aux_sheet!$B90,aux_sheet!$A$2:$A$202,0)))</f>
        <v/>
      </c>
      <c r="Q91" s="89" t="str">
        <f ca="1">IF($B91="","",INDIRECT("aux_sheet!Y"&amp;1+MATCH(aux_sheet!$B90,aux_sheet!$A$2:$A$202,0)))</f>
        <v/>
      </c>
      <c r="R91" s="89" t="str">
        <f ca="1">IF($B91="","",INDIRECT("aux_sheet!Y"&amp;1+MATCH(aux_sheet!$B90,aux_sheet!$A$2:$A$202,0)))</f>
        <v/>
      </c>
      <c r="S91" s="106" t="str">
        <f ca="1">IF($B91="","",INDIRECT("aux_sheet!AA"&amp;1+MATCH(aux_sheet!$B90,aux_sheet!$A$2:$A$202,0)))</f>
        <v/>
      </c>
      <c r="T91" s="89" t="str">
        <f ca="1">IF($B91="","",INDIRECT("aux_sheet!AB"&amp;1+MATCH(aux_sheet!$B90,aux_sheet!$A$2:$A$202,0)))</f>
        <v/>
      </c>
      <c r="U91" s="89" t="str">
        <f ca="1">IF($B91="","",INDIRECT("aux_sheet!AB"&amp;1+MATCH(aux_sheet!$B90,aux_sheet!$A$2:$A$202,0)))</f>
        <v/>
      </c>
      <c r="V91" s="106" t="str">
        <f ca="1">IF($B91="","",INDIRECT("aux_sheet!AD"&amp;1+MATCH(aux_sheet!$B90,aux_sheet!$A$2:$A$202,0)))</f>
        <v/>
      </c>
      <c r="W91" s="89" t="str">
        <f ca="1">IF($B91="","",INDIRECT("aux_sheet!AE"&amp;1+MATCH(aux_sheet!$B90,aux_sheet!$A$2:$A$202,0)))</f>
        <v/>
      </c>
      <c r="X91" s="89" t="str">
        <f ca="1">IF($B91="","",INDIRECT("aux_sheet!AE"&amp;1+MATCH(aux_sheet!$B90,aux_sheet!$A$2:$A$202,0)))</f>
        <v/>
      </c>
      <c r="Y91" s="106" t="str">
        <f ca="1">IF($B91="","",INDIRECT("aux_sheet!AG"&amp;1+MATCH(aux_sheet!$B90,aux_sheet!$A$2:$A$202,0)))</f>
        <v/>
      </c>
      <c r="Z91" s="89" t="str">
        <f ca="1">IF($B91="","",INDIRECT("aux_sheet!AH"&amp;1+MATCH(aux_sheet!$B90,aux_sheet!$A$2:$A$202,0)))</f>
        <v/>
      </c>
      <c r="AA91" s="89" t="str">
        <f ca="1">IF($B91="","",INDIRECT("aux_sheet!AH"&amp;1+MATCH(aux_sheet!$B90,aux_sheet!$A$2:$A$202,0)))</f>
        <v/>
      </c>
      <c r="AB91" s="106" t="str">
        <f ca="1">IF($B91="","",INDIRECT("aux_sheet!AJ"&amp;1+MATCH(aux_sheet!$B90,aux_sheet!$A$2:$A$202,0)))</f>
        <v/>
      </c>
      <c r="AC91" s="89" t="str">
        <f ca="1">IF($B91="","",INDIRECT("aux_sheet!AK"&amp;1+MATCH(aux_sheet!$B90,aux_sheet!$A$2:$A$202,0)))</f>
        <v/>
      </c>
      <c r="AD91" s="89" t="str">
        <f ca="1">IF($B91="","",INDIRECT("aux_sheet!AK"&amp;1+MATCH(aux_sheet!$B90,aux_sheet!$A$2:$A$202,0)))</f>
        <v/>
      </c>
      <c r="AE91" s="106" t="str">
        <f ca="1">IF($B91="","",INDIRECT("aux_sheet!AM"&amp;1+MATCH(aux_sheet!$B90,aux_sheet!$A$2:$A$202,0)))</f>
        <v/>
      </c>
      <c r="AF91" s="89" t="str">
        <f ca="1">IF($B91="","",INDIRECT("aux_sheet!AN"&amp;1+MATCH(aux_sheet!$B90,aux_sheet!$A$2:$A$202,0)))</f>
        <v/>
      </c>
      <c r="AG91" s="89" t="str">
        <f ca="1">IF($B91="","",INDIRECT("aux_sheet!AN"&amp;1+MATCH(aux_sheet!$B90,aux_sheet!$A$2:$A$202,0)))</f>
        <v/>
      </c>
      <c r="AH91" s="14" t="str">
        <f>IF(ISBLANK(Input!A90)," ",F90-F91)</f>
        <v xml:space="preserve"> </v>
      </c>
    </row>
    <row r="92" spans="1:34" x14ac:dyDescent="0.35">
      <c r="A92" s="2" t="str">
        <f>IF(ISBLANK(Input!A91),"",ROUNDDOWN(aux_sheet!B91,0))</f>
        <v/>
      </c>
      <c r="B92" s="2" t="str">
        <f ca="1">IF(ISBLANK(Input!A91),"",INDIRECT("Input!A"&amp;1+MATCH(aux_sheet!$B91,aux_sheet!$A$2:$A$202,0)))</f>
        <v/>
      </c>
      <c r="C92" s="2" t="str">
        <f ca="1">IF(ISBLANK(Input!B91),"",INDIRECT("Input!B"&amp;1+MATCH(aux_sheet!$B91,aux_sheet!$A$2:$A$202,0)))</f>
        <v/>
      </c>
      <c r="D92" s="2" t="str">
        <f ca="1">IF(ISBLANK(Input!C91),"",INDIRECT("Input!C"&amp;1+MATCH(aux_sheet!$B91,aux_sheet!$A$2:$A$202,0)))</f>
        <v/>
      </c>
      <c r="E92" s="2" t="str">
        <f ca="1">IF(ISBLANK(Input!D91),"",INDIRECT("Input!D"&amp;1+MATCH(aux_sheet!$B91,aux_sheet!$A$2:$A$202,0)))</f>
        <v/>
      </c>
      <c r="F92" s="11" t="str">
        <f ca="1">INDIRECT("Input!F"&amp;1+MATCH(aux_sheet!$B91,aux_sheet!$A$2:$A$202,0))</f>
        <v xml:space="preserve"> </v>
      </c>
      <c r="G92" s="106" t="str">
        <f ca="1">IF($B92="","",INDIRECT("aux_sheet!O"&amp;1+MATCH(aux_sheet!$B91,aux_sheet!$A$2:$A$202,0)))</f>
        <v/>
      </c>
      <c r="H92" s="89" t="str">
        <f ca="1">IF($B92="","",INDIRECT("aux_sheet!P"&amp;1+MATCH(aux_sheet!$B91,aux_sheet!$A$2:$A$202,0)))</f>
        <v/>
      </c>
      <c r="I92" s="89" t="str">
        <f ca="1">IF($B92="","",INDIRECT("aux_sheet!P"&amp;1+MATCH(aux_sheet!$B91,aux_sheet!$A$2:$A$202,0)))</f>
        <v/>
      </c>
      <c r="J92" s="106" t="str">
        <f ca="1">IF($B92="","",INDIRECT("aux_sheet!R"&amp;1+MATCH(aux_sheet!$B91,aux_sheet!$A$2:$A$202,0)))</f>
        <v/>
      </c>
      <c r="K92" s="89" t="str">
        <f ca="1">IF($B92="","",INDIRECT("aux_sheet!S"&amp;1+MATCH(aux_sheet!$B91,aux_sheet!$A$2:$A$202,0)))</f>
        <v/>
      </c>
      <c r="L92" s="89" t="str">
        <f ca="1">IF($B92="","",INDIRECT("aux_sheet!S"&amp;1+MATCH(aux_sheet!$B91,aux_sheet!$A$2:$A$202,0)))</f>
        <v/>
      </c>
      <c r="M92" s="106" t="str">
        <f ca="1">IF($B92="","",INDIRECT("aux_sheet!U"&amp;1+MATCH(aux_sheet!$B91,aux_sheet!$A$2:$A$202,0)))</f>
        <v/>
      </c>
      <c r="N92" s="89" t="str">
        <f ca="1">IF($B92="","",INDIRECT("aux_sheet!V"&amp;1+MATCH(aux_sheet!$B91,aux_sheet!$A$2:$A$202,0)))</f>
        <v/>
      </c>
      <c r="O92" s="89" t="str">
        <f ca="1">IF($B92="","",INDIRECT("aux_sheet!V"&amp;1+MATCH(aux_sheet!$B91,aux_sheet!$A$2:$A$202,0)))</f>
        <v/>
      </c>
      <c r="P92" s="106" t="str">
        <f ca="1">IF($B92="","",INDIRECT("aux_sheet!X"&amp;1+MATCH(aux_sheet!$B91,aux_sheet!$A$2:$A$202,0)))</f>
        <v/>
      </c>
      <c r="Q92" s="89" t="str">
        <f ca="1">IF($B92="","",INDIRECT("aux_sheet!Y"&amp;1+MATCH(aux_sheet!$B91,aux_sheet!$A$2:$A$202,0)))</f>
        <v/>
      </c>
      <c r="R92" s="89" t="str">
        <f ca="1">IF($B92="","",INDIRECT("aux_sheet!Y"&amp;1+MATCH(aux_sheet!$B91,aux_sheet!$A$2:$A$202,0)))</f>
        <v/>
      </c>
      <c r="S92" s="106" t="str">
        <f ca="1">IF($B92="","",INDIRECT("aux_sheet!AA"&amp;1+MATCH(aux_sheet!$B91,aux_sheet!$A$2:$A$202,0)))</f>
        <v/>
      </c>
      <c r="T92" s="89" t="str">
        <f ca="1">IF($B92="","",INDIRECT("aux_sheet!AB"&amp;1+MATCH(aux_sheet!$B91,aux_sheet!$A$2:$A$202,0)))</f>
        <v/>
      </c>
      <c r="U92" s="89" t="str">
        <f ca="1">IF($B92="","",INDIRECT("aux_sheet!AB"&amp;1+MATCH(aux_sheet!$B91,aux_sheet!$A$2:$A$202,0)))</f>
        <v/>
      </c>
      <c r="V92" s="106" t="str">
        <f ca="1">IF($B92="","",INDIRECT("aux_sheet!AD"&amp;1+MATCH(aux_sheet!$B91,aux_sheet!$A$2:$A$202,0)))</f>
        <v/>
      </c>
      <c r="W92" s="89" t="str">
        <f ca="1">IF($B92="","",INDIRECT("aux_sheet!AE"&amp;1+MATCH(aux_sheet!$B91,aux_sheet!$A$2:$A$202,0)))</f>
        <v/>
      </c>
      <c r="X92" s="89" t="str">
        <f ca="1">IF($B92="","",INDIRECT("aux_sheet!AE"&amp;1+MATCH(aux_sheet!$B91,aux_sheet!$A$2:$A$202,0)))</f>
        <v/>
      </c>
      <c r="Y92" s="106" t="str">
        <f ca="1">IF($B92="","",INDIRECT("aux_sheet!AG"&amp;1+MATCH(aux_sheet!$B91,aux_sheet!$A$2:$A$202,0)))</f>
        <v/>
      </c>
      <c r="Z92" s="89" t="str">
        <f ca="1">IF($B92="","",INDIRECT("aux_sheet!AH"&amp;1+MATCH(aux_sheet!$B91,aux_sheet!$A$2:$A$202,0)))</f>
        <v/>
      </c>
      <c r="AA92" s="89" t="str">
        <f ca="1">IF($B92="","",INDIRECT("aux_sheet!AH"&amp;1+MATCH(aux_sheet!$B91,aux_sheet!$A$2:$A$202,0)))</f>
        <v/>
      </c>
      <c r="AB92" s="106" t="str">
        <f ca="1">IF($B92="","",INDIRECT("aux_sheet!AJ"&amp;1+MATCH(aux_sheet!$B91,aux_sheet!$A$2:$A$202,0)))</f>
        <v/>
      </c>
      <c r="AC92" s="89" t="str">
        <f ca="1">IF($B92="","",INDIRECT("aux_sheet!AK"&amp;1+MATCH(aux_sheet!$B91,aux_sheet!$A$2:$A$202,0)))</f>
        <v/>
      </c>
      <c r="AD92" s="89" t="str">
        <f ca="1">IF($B92="","",INDIRECT("aux_sheet!AK"&amp;1+MATCH(aux_sheet!$B91,aux_sheet!$A$2:$A$202,0)))</f>
        <v/>
      </c>
      <c r="AE92" s="106" t="str">
        <f ca="1">IF($B92="","",INDIRECT("aux_sheet!AM"&amp;1+MATCH(aux_sheet!$B91,aux_sheet!$A$2:$A$202,0)))</f>
        <v/>
      </c>
      <c r="AF92" s="89" t="str">
        <f ca="1">IF($B92="","",INDIRECT("aux_sheet!AN"&amp;1+MATCH(aux_sheet!$B91,aux_sheet!$A$2:$A$202,0)))</f>
        <v/>
      </c>
      <c r="AG92" s="89" t="str">
        <f ca="1">IF($B92="","",INDIRECT("aux_sheet!AN"&amp;1+MATCH(aux_sheet!$B91,aux_sheet!$A$2:$A$202,0)))</f>
        <v/>
      </c>
      <c r="AH92" s="14" t="str">
        <f>IF(ISBLANK(Input!A91)," ",F91-F92)</f>
        <v xml:space="preserve"> </v>
      </c>
    </row>
    <row r="93" spans="1:34" x14ac:dyDescent="0.35">
      <c r="A93" s="2" t="str">
        <f>IF(ISBLANK(Input!A92),"",ROUNDDOWN(aux_sheet!B92,0))</f>
        <v/>
      </c>
      <c r="B93" s="2" t="str">
        <f ca="1">IF(ISBLANK(Input!A92),"",INDIRECT("Input!A"&amp;1+MATCH(aux_sheet!$B92,aux_sheet!$A$2:$A$202,0)))</f>
        <v/>
      </c>
      <c r="C93" s="2" t="str">
        <f ca="1">IF(ISBLANK(Input!B92),"",INDIRECT("Input!B"&amp;1+MATCH(aux_sheet!$B92,aux_sheet!$A$2:$A$202,0)))</f>
        <v/>
      </c>
      <c r="D93" s="2" t="str">
        <f ca="1">IF(ISBLANK(Input!C92),"",INDIRECT("Input!C"&amp;1+MATCH(aux_sheet!$B92,aux_sheet!$A$2:$A$202,0)))</f>
        <v/>
      </c>
      <c r="E93" s="2" t="str">
        <f ca="1">IF(ISBLANK(Input!D92),"",INDIRECT("Input!D"&amp;1+MATCH(aux_sheet!$B92,aux_sheet!$A$2:$A$202,0)))</f>
        <v/>
      </c>
      <c r="F93" s="11" t="str">
        <f ca="1">INDIRECT("Input!F"&amp;1+MATCH(aux_sheet!$B92,aux_sheet!$A$2:$A$202,0))</f>
        <v xml:space="preserve"> </v>
      </c>
      <c r="G93" s="106" t="str">
        <f ca="1">IF($B93="","",INDIRECT("aux_sheet!O"&amp;1+MATCH(aux_sheet!$B92,aux_sheet!$A$2:$A$202,0)))</f>
        <v/>
      </c>
      <c r="H93" s="89" t="str">
        <f ca="1">IF($B93="","",INDIRECT("aux_sheet!P"&amp;1+MATCH(aux_sheet!$B92,aux_sheet!$A$2:$A$202,0)))</f>
        <v/>
      </c>
      <c r="I93" s="89" t="str">
        <f ca="1">IF($B93="","",INDIRECT("aux_sheet!P"&amp;1+MATCH(aux_sheet!$B92,aux_sheet!$A$2:$A$202,0)))</f>
        <v/>
      </c>
      <c r="J93" s="106" t="str">
        <f ca="1">IF($B93="","",INDIRECT("aux_sheet!R"&amp;1+MATCH(aux_sheet!$B92,aux_sheet!$A$2:$A$202,0)))</f>
        <v/>
      </c>
      <c r="K93" s="89" t="str">
        <f ca="1">IF($B93="","",INDIRECT("aux_sheet!S"&amp;1+MATCH(aux_sheet!$B92,aux_sheet!$A$2:$A$202,0)))</f>
        <v/>
      </c>
      <c r="L93" s="89" t="str">
        <f ca="1">IF($B93="","",INDIRECT("aux_sheet!S"&amp;1+MATCH(aux_sheet!$B92,aux_sheet!$A$2:$A$202,0)))</f>
        <v/>
      </c>
      <c r="M93" s="106" t="str">
        <f ca="1">IF($B93="","",INDIRECT("aux_sheet!U"&amp;1+MATCH(aux_sheet!$B92,aux_sheet!$A$2:$A$202,0)))</f>
        <v/>
      </c>
      <c r="N93" s="89" t="str">
        <f ca="1">IF($B93="","",INDIRECT("aux_sheet!V"&amp;1+MATCH(aux_sheet!$B92,aux_sheet!$A$2:$A$202,0)))</f>
        <v/>
      </c>
      <c r="O93" s="89" t="str">
        <f ca="1">IF($B93="","",INDIRECT("aux_sheet!V"&amp;1+MATCH(aux_sheet!$B92,aux_sheet!$A$2:$A$202,0)))</f>
        <v/>
      </c>
      <c r="P93" s="106" t="str">
        <f ca="1">IF($B93="","",INDIRECT("aux_sheet!X"&amp;1+MATCH(aux_sheet!$B92,aux_sheet!$A$2:$A$202,0)))</f>
        <v/>
      </c>
      <c r="Q93" s="89" t="str">
        <f ca="1">IF($B93="","",INDIRECT("aux_sheet!Y"&amp;1+MATCH(aux_sheet!$B92,aux_sheet!$A$2:$A$202,0)))</f>
        <v/>
      </c>
      <c r="R93" s="89" t="str">
        <f ca="1">IF($B93="","",INDIRECT("aux_sheet!Y"&amp;1+MATCH(aux_sheet!$B92,aux_sheet!$A$2:$A$202,0)))</f>
        <v/>
      </c>
      <c r="S93" s="106" t="str">
        <f ca="1">IF($B93="","",INDIRECT("aux_sheet!AA"&amp;1+MATCH(aux_sheet!$B92,aux_sheet!$A$2:$A$202,0)))</f>
        <v/>
      </c>
      <c r="T93" s="89" t="str">
        <f ca="1">IF($B93="","",INDIRECT("aux_sheet!AB"&amp;1+MATCH(aux_sheet!$B92,aux_sheet!$A$2:$A$202,0)))</f>
        <v/>
      </c>
      <c r="U93" s="89" t="str">
        <f ca="1">IF($B93="","",INDIRECT("aux_sheet!AB"&amp;1+MATCH(aux_sheet!$B92,aux_sheet!$A$2:$A$202,0)))</f>
        <v/>
      </c>
      <c r="V93" s="106" t="str">
        <f ca="1">IF($B93="","",INDIRECT("aux_sheet!AD"&amp;1+MATCH(aux_sheet!$B92,aux_sheet!$A$2:$A$202,0)))</f>
        <v/>
      </c>
      <c r="W93" s="89" t="str">
        <f ca="1">IF($B93="","",INDIRECT("aux_sheet!AE"&amp;1+MATCH(aux_sheet!$B92,aux_sheet!$A$2:$A$202,0)))</f>
        <v/>
      </c>
      <c r="X93" s="89" t="str">
        <f ca="1">IF($B93="","",INDIRECT("aux_sheet!AE"&amp;1+MATCH(aux_sheet!$B92,aux_sheet!$A$2:$A$202,0)))</f>
        <v/>
      </c>
      <c r="Y93" s="106" t="str">
        <f ca="1">IF($B93="","",INDIRECT("aux_sheet!AG"&amp;1+MATCH(aux_sheet!$B92,aux_sheet!$A$2:$A$202,0)))</f>
        <v/>
      </c>
      <c r="Z93" s="89" t="str">
        <f ca="1">IF($B93="","",INDIRECT("aux_sheet!AH"&amp;1+MATCH(aux_sheet!$B92,aux_sheet!$A$2:$A$202,0)))</f>
        <v/>
      </c>
      <c r="AA93" s="89" t="str">
        <f ca="1">IF($B93="","",INDIRECT("aux_sheet!AH"&amp;1+MATCH(aux_sheet!$B92,aux_sheet!$A$2:$A$202,0)))</f>
        <v/>
      </c>
      <c r="AB93" s="106" t="str">
        <f ca="1">IF($B93="","",INDIRECT("aux_sheet!AJ"&amp;1+MATCH(aux_sheet!$B92,aux_sheet!$A$2:$A$202,0)))</f>
        <v/>
      </c>
      <c r="AC93" s="89" t="str">
        <f ca="1">IF($B93="","",INDIRECT("aux_sheet!AK"&amp;1+MATCH(aux_sheet!$B92,aux_sheet!$A$2:$A$202,0)))</f>
        <v/>
      </c>
      <c r="AD93" s="89" t="str">
        <f ca="1">IF($B93="","",INDIRECT("aux_sheet!AK"&amp;1+MATCH(aux_sheet!$B92,aux_sheet!$A$2:$A$202,0)))</f>
        <v/>
      </c>
      <c r="AE93" s="106" t="str">
        <f ca="1">IF($B93="","",INDIRECT("aux_sheet!AM"&amp;1+MATCH(aux_sheet!$B92,aux_sheet!$A$2:$A$202,0)))</f>
        <v/>
      </c>
      <c r="AF93" s="89" t="str">
        <f ca="1">IF($B93="","",INDIRECT("aux_sheet!AN"&amp;1+MATCH(aux_sheet!$B92,aux_sheet!$A$2:$A$202,0)))</f>
        <v/>
      </c>
      <c r="AG93" s="89" t="str">
        <f ca="1">IF($B93="","",INDIRECT("aux_sheet!AN"&amp;1+MATCH(aux_sheet!$B92,aux_sheet!$A$2:$A$202,0)))</f>
        <v/>
      </c>
      <c r="AH93" s="14" t="str">
        <f>IF(ISBLANK(Input!A92)," ",F92-F93)</f>
        <v xml:space="preserve"> </v>
      </c>
    </row>
    <row r="94" spans="1:34" x14ac:dyDescent="0.35">
      <c r="A94" s="2" t="str">
        <f>IF(ISBLANK(Input!A93),"",ROUNDDOWN(aux_sheet!B93,0))</f>
        <v/>
      </c>
      <c r="B94" s="2" t="str">
        <f ca="1">IF(ISBLANK(Input!A93),"",INDIRECT("Input!A"&amp;1+MATCH(aux_sheet!$B93,aux_sheet!$A$2:$A$202,0)))</f>
        <v/>
      </c>
      <c r="C94" s="2" t="str">
        <f ca="1">IF(ISBLANK(Input!B93),"",INDIRECT("Input!B"&amp;1+MATCH(aux_sheet!$B93,aux_sheet!$A$2:$A$202,0)))</f>
        <v/>
      </c>
      <c r="D94" s="2" t="str">
        <f ca="1">IF(ISBLANK(Input!C93),"",INDIRECT("Input!C"&amp;1+MATCH(aux_sheet!$B93,aux_sheet!$A$2:$A$202,0)))</f>
        <v/>
      </c>
      <c r="E94" s="2" t="str">
        <f ca="1">IF(ISBLANK(Input!D93),"",INDIRECT("Input!D"&amp;1+MATCH(aux_sheet!$B93,aux_sheet!$A$2:$A$202,0)))</f>
        <v/>
      </c>
      <c r="F94" s="11" t="str">
        <f ca="1">INDIRECT("Input!F"&amp;1+MATCH(aux_sheet!$B93,aux_sheet!$A$2:$A$202,0))</f>
        <v xml:space="preserve"> </v>
      </c>
      <c r="G94" s="106" t="str">
        <f ca="1">IF($B94="","",INDIRECT("aux_sheet!O"&amp;1+MATCH(aux_sheet!$B93,aux_sheet!$A$2:$A$202,0)))</f>
        <v/>
      </c>
      <c r="H94" s="89" t="str">
        <f ca="1">IF($B94="","",INDIRECT("aux_sheet!P"&amp;1+MATCH(aux_sheet!$B93,aux_sheet!$A$2:$A$202,0)))</f>
        <v/>
      </c>
      <c r="I94" s="89" t="str">
        <f ca="1">IF($B94="","",INDIRECT("aux_sheet!P"&amp;1+MATCH(aux_sheet!$B93,aux_sheet!$A$2:$A$202,0)))</f>
        <v/>
      </c>
      <c r="J94" s="106" t="str">
        <f ca="1">IF($B94="","",INDIRECT("aux_sheet!R"&amp;1+MATCH(aux_sheet!$B93,aux_sheet!$A$2:$A$202,0)))</f>
        <v/>
      </c>
      <c r="K94" s="89" t="str">
        <f ca="1">IF($B94="","",INDIRECT("aux_sheet!S"&amp;1+MATCH(aux_sheet!$B93,aux_sheet!$A$2:$A$202,0)))</f>
        <v/>
      </c>
      <c r="L94" s="89" t="str">
        <f ca="1">IF($B94="","",INDIRECT("aux_sheet!S"&amp;1+MATCH(aux_sheet!$B93,aux_sheet!$A$2:$A$202,0)))</f>
        <v/>
      </c>
      <c r="M94" s="106" t="str">
        <f ca="1">IF($B94="","",INDIRECT("aux_sheet!U"&amp;1+MATCH(aux_sheet!$B93,aux_sheet!$A$2:$A$202,0)))</f>
        <v/>
      </c>
      <c r="N94" s="89" t="str">
        <f ca="1">IF($B94="","",INDIRECT("aux_sheet!V"&amp;1+MATCH(aux_sheet!$B93,aux_sheet!$A$2:$A$202,0)))</f>
        <v/>
      </c>
      <c r="O94" s="89" t="str">
        <f ca="1">IF($B94="","",INDIRECT("aux_sheet!V"&amp;1+MATCH(aux_sheet!$B93,aux_sheet!$A$2:$A$202,0)))</f>
        <v/>
      </c>
      <c r="P94" s="106" t="str">
        <f ca="1">IF($B94="","",INDIRECT("aux_sheet!X"&amp;1+MATCH(aux_sheet!$B93,aux_sheet!$A$2:$A$202,0)))</f>
        <v/>
      </c>
      <c r="Q94" s="89" t="str">
        <f ca="1">IF($B94="","",INDIRECT("aux_sheet!Y"&amp;1+MATCH(aux_sheet!$B93,aux_sheet!$A$2:$A$202,0)))</f>
        <v/>
      </c>
      <c r="R94" s="89" t="str">
        <f ca="1">IF($B94="","",INDIRECT("aux_sheet!Y"&amp;1+MATCH(aux_sheet!$B93,aux_sheet!$A$2:$A$202,0)))</f>
        <v/>
      </c>
      <c r="S94" s="106" t="str">
        <f ca="1">IF($B94="","",INDIRECT("aux_sheet!AA"&amp;1+MATCH(aux_sheet!$B93,aux_sheet!$A$2:$A$202,0)))</f>
        <v/>
      </c>
      <c r="T94" s="89" t="str">
        <f ca="1">IF($B94="","",INDIRECT("aux_sheet!AB"&amp;1+MATCH(aux_sheet!$B93,aux_sheet!$A$2:$A$202,0)))</f>
        <v/>
      </c>
      <c r="U94" s="89" t="str">
        <f ca="1">IF($B94="","",INDIRECT("aux_sheet!AB"&amp;1+MATCH(aux_sheet!$B93,aux_sheet!$A$2:$A$202,0)))</f>
        <v/>
      </c>
      <c r="V94" s="106" t="str">
        <f ca="1">IF($B94="","",INDIRECT("aux_sheet!AD"&amp;1+MATCH(aux_sheet!$B93,aux_sheet!$A$2:$A$202,0)))</f>
        <v/>
      </c>
      <c r="W94" s="89" t="str">
        <f ca="1">IF($B94="","",INDIRECT("aux_sheet!AE"&amp;1+MATCH(aux_sheet!$B93,aux_sheet!$A$2:$A$202,0)))</f>
        <v/>
      </c>
      <c r="X94" s="89" t="str">
        <f ca="1">IF($B94="","",INDIRECT("aux_sheet!AE"&amp;1+MATCH(aux_sheet!$B93,aux_sheet!$A$2:$A$202,0)))</f>
        <v/>
      </c>
      <c r="Y94" s="106" t="str">
        <f ca="1">IF($B94="","",INDIRECT("aux_sheet!AG"&amp;1+MATCH(aux_sheet!$B93,aux_sheet!$A$2:$A$202,0)))</f>
        <v/>
      </c>
      <c r="Z94" s="89" t="str">
        <f ca="1">IF($B94="","",INDIRECT("aux_sheet!AH"&amp;1+MATCH(aux_sheet!$B93,aux_sheet!$A$2:$A$202,0)))</f>
        <v/>
      </c>
      <c r="AA94" s="89" t="str">
        <f ca="1">IF($B94="","",INDIRECT("aux_sheet!AH"&amp;1+MATCH(aux_sheet!$B93,aux_sheet!$A$2:$A$202,0)))</f>
        <v/>
      </c>
      <c r="AB94" s="106" t="str">
        <f ca="1">IF($B94="","",INDIRECT("aux_sheet!AJ"&amp;1+MATCH(aux_sheet!$B93,aux_sheet!$A$2:$A$202,0)))</f>
        <v/>
      </c>
      <c r="AC94" s="89" t="str">
        <f ca="1">IF($B94="","",INDIRECT("aux_sheet!AK"&amp;1+MATCH(aux_sheet!$B93,aux_sheet!$A$2:$A$202,0)))</f>
        <v/>
      </c>
      <c r="AD94" s="89" t="str">
        <f ca="1">IF($B94="","",INDIRECT("aux_sheet!AK"&amp;1+MATCH(aux_sheet!$B93,aux_sheet!$A$2:$A$202,0)))</f>
        <v/>
      </c>
      <c r="AE94" s="106" t="str">
        <f ca="1">IF($B94="","",INDIRECT("aux_sheet!AM"&amp;1+MATCH(aux_sheet!$B93,aux_sheet!$A$2:$A$202,0)))</f>
        <v/>
      </c>
      <c r="AF94" s="89" t="str">
        <f ca="1">IF($B94="","",INDIRECT("aux_sheet!AN"&amp;1+MATCH(aux_sheet!$B93,aux_sheet!$A$2:$A$202,0)))</f>
        <v/>
      </c>
      <c r="AG94" s="89" t="str">
        <f ca="1">IF($B94="","",INDIRECT("aux_sheet!AN"&amp;1+MATCH(aux_sheet!$B93,aux_sheet!$A$2:$A$202,0)))</f>
        <v/>
      </c>
      <c r="AH94" s="14" t="str">
        <f>IF(ISBLANK(Input!A93)," ",F93-F94)</f>
        <v xml:space="preserve"> </v>
      </c>
    </row>
    <row r="95" spans="1:34" x14ac:dyDescent="0.35">
      <c r="A95" s="2" t="str">
        <f>IF(ISBLANK(Input!A94),"",ROUNDDOWN(aux_sheet!B94,0))</f>
        <v/>
      </c>
      <c r="B95" s="2" t="str">
        <f ca="1">IF(ISBLANK(Input!A94),"",INDIRECT("Input!A"&amp;1+MATCH(aux_sheet!$B94,aux_sheet!$A$2:$A$202,0)))</f>
        <v/>
      </c>
      <c r="C95" s="2" t="str">
        <f ca="1">IF(ISBLANK(Input!B94),"",INDIRECT("Input!B"&amp;1+MATCH(aux_sheet!$B94,aux_sheet!$A$2:$A$202,0)))</f>
        <v/>
      </c>
      <c r="D95" s="2" t="str">
        <f ca="1">IF(ISBLANK(Input!C94),"",INDIRECT("Input!C"&amp;1+MATCH(aux_sheet!$B94,aux_sheet!$A$2:$A$202,0)))</f>
        <v/>
      </c>
      <c r="E95" s="2" t="str">
        <f ca="1">IF(ISBLANK(Input!D94),"",INDIRECT("Input!D"&amp;1+MATCH(aux_sheet!$B94,aux_sheet!$A$2:$A$202,0)))</f>
        <v/>
      </c>
      <c r="F95" s="11" t="str">
        <f ca="1">INDIRECT("Input!F"&amp;1+MATCH(aux_sheet!$B94,aux_sheet!$A$2:$A$202,0))</f>
        <v xml:space="preserve"> </v>
      </c>
      <c r="G95" s="106" t="str">
        <f ca="1">IF($B95="","",INDIRECT("aux_sheet!O"&amp;1+MATCH(aux_sheet!$B94,aux_sheet!$A$2:$A$202,0)))</f>
        <v/>
      </c>
      <c r="H95" s="89" t="str">
        <f ca="1">IF($B95="","",INDIRECT("aux_sheet!P"&amp;1+MATCH(aux_sheet!$B94,aux_sheet!$A$2:$A$202,0)))</f>
        <v/>
      </c>
      <c r="I95" s="89" t="str">
        <f ca="1">IF($B95="","",INDIRECT("aux_sheet!P"&amp;1+MATCH(aux_sheet!$B94,aux_sheet!$A$2:$A$202,0)))</f>
        <v/>
      </c>
      <c r="J95" s="106" t="str">
        <f ca="1">IF($B95="","",INDIRECT("aux_sheet!R"&amp;1+MATCH(aux_sheet!$B94,aux_sheet!$A$2:$A$202,0)))</f>
        <v/>
      </c>
      <c r="K95" s="89" t="str">
        <f ca="1">IF($B95="","",INDIRECT("aux_sheet!S"&amp;1+MATCH(aux_sheet!$B94,aux_sheet!$A$2:$A$202,0)))</f>
        <v/>
      </c>
      <c r="L95" s="89" t="str">
        <f ca="1">IF($B95="","",INDIRECT("aux_sheet!S"&amp;1+MATCH(aux_sheet!$B94,aux_sheet!$A$2:$A$202,0)))</f>
        <v/>
      </c>
      <c r="M95" s="106" t="str">
        <f ca="1">IF($B95="","",INDIRECT("aux_sheet!U"&amp;1+MATCH(aux_sheet!$B94,aux_sheet!$A$2:$A$202,0)))</f>
        <v/>
      </c>
      <c r="N95" s="89" t="str">
        <f ca="1">IF($B95="","",INDIRECT("aux_sheet!V"&amp;1+MATCH(aux_sheet!$B94,aux_sheet!$A$2:$A$202,0)))</f>
        <v/>
      </c>
      <c r="O95" s="89" t="str">
        <f ca="1">IF($B95="","",INDIRECT("aux_sheet!V"&amp;1+MATCH(aux_sheet!$B94,aux_sheet!$A$2:$A$202,0)))</f>
        <v/>
      </c>
      <c r="P95" s="106" t="str">
        <f ca="1">IF($B95="","",INDIRECT("aux_sheet!X"&amp;1+MATCH(aux_sheet!$B94,aux_sheet!$A$2:$A$202,0)))</f>
        <v/>
      </c>
      <c r="Q95" s="89" t="str">
        <f ca="1">IF($B95="","",INDIRECT("aux_sheet!Y"&amp;1+MATCH(aux_sheet!$B94,aux_sheet!$A$2:$A$202,0)))</f>
        <v/>
      </c>
      <c r="R95" s="89" t="str">
        <f ca="1">IF($B95="","",INDIRECT("aux_sheet!Y"&amp;1+MATCH(aux_sheet!$B94,aux_sheet!$A$2:$A$202,0)))</f>
        <v/>
      </c>
      <c r="S95" s="106" t="str">
        <f ca="1">IF($B95="","",INDIRECT("aux_sheet!AA"&amp;1+MATCH(aux_sheet!$B94,aux_sheet!$A$2:$A$202,0)))</f>
        <v/>
      </c>
      <c r="T95" s="89" t="str">
        <f ca="1">IF($B95="","",INDIRECT("aux_sheet!AB"&amp;1+MATCH(aux_sheet!$B94,aux_sheet!$A$2:$A$202,0)))</f>
        <v/>
      </c>
      <c r="U95" s="89" t="str">
        <f ca="1">IF($B95="","",INDIRECT("aux_sheet!AB"&amp;1+MATCH(aux_sheet!$B94,aux_sheet!$A$2:$A$202,0)))</f>
        <v/>
      </c>
      <c r="V95" s="106" t="str">
        <f ca="1">IF($B95="","",INDIRECT("aux_sheet!AD"&amp;1+MATCH(aux_sheet!$B94,aux_sheet!$A$2:$A$202,0)))</f>
        <v/>
      </c>
      <c r="W95" s="89" t="str">
        <f ca="1">IF($B95="","",INDIRECT("aux_sheet!AE"&amp;1+MATCH(aux_sheet!$B94,aux_sheet!$A$2:$A$202,0)))</f>
        <v/>
      </c>
      <c r="X95" s="89" t="str">
        <f ca="1">IF($B95="","",INDIRECT("aux_sheet!AE"&amp;1+MATCH(aux_sheet!$B94,aux_sheet!$A$2:$A$202,0)))</f>
        <v/>
      </c>
      <c r="Y95" s="106" t="str">
        <f ca="1">IF($B95="","",INDIRECT("aux_sheet!AG"&amp;1+MATCH(aux_sheet!$B94,aux_sheet!$A$2:$A$202,0)))</f>
        <v/>
      </c>
      <c r="Z95" s="89" t="str">
        <f ca="1">IF($B95="","",INDIRECT("aux_sheet!AH"&amp;1+MATCH(aux_sheet!$B94,aux_sheet!$A$2:$A$202,0)))</f>
        <v/>
      </c>
      <c r="AA95" s="89" t="str">
        <f ca="1">IF($B95="","",INDIRECT("aux_sheet!AH"&amp;1+MATCH(aux_sheet!$B94,aux_sheet!$A$2:$A$202,0)))</f>
        <v/>
      </c>
      <c r="AB95" s="106" t="str">
        <f ca="1">IF($B95="","",INDIRECT("aux_sheet!AJ"&amp;1+MATCH(aux_sheet!$B94,aux_sheet!$A$2:$A$202,0)))</f>
        <v/>
      </c>
      <c r="AC95" s="89" t="str">
        <f ca="1">IF($B95="","",INDIRECT("aux_sheet!AK"&amp;1+MATCH(aux_sheet!$B94,aux_sheet!$A$2:$A$202,0)))</f>
        <v/>
      </c>
      <c r="AD95" s="89" t="str">
        <f ca="1">IF($B95="","",INDIRECT("aux_sheet!AK"&amp;1+MATCH(aux_sheet!$B94,aux_sheet!$A$2:$A$202,0)))</f>
        <v/>
      </c>
      <c r="AE95" s="106" t="str">
        <f ca="1">IF($B95="","",INDIRECT("aux_sheet!AM"&amp;1+MATCH(aux_sheet!$B94,aux_sheet!$A$2:$A$202,0)))</f>
        <v/>
      </c>
      <c r="AF95" s="89" t="str">
        <f ca="1">IF($B95="","",INDIRECT("aux_sheet!AN"&amp;1+MATCH(aux_sheet!$B94,aux_sheet!$A$2:$A$202,0)))</f>
        <v/>
      </c>
      <c r="AG95" s="89" t="str">
        <f ca="1">IF($B95="","",INDIRECT("aux_sheet!AN"&amp;1+MATCH(aux_sheet!$B94,aux_sheet!$A$2:$A$202,0)))</f>
        <v/>
      </c>
      <c r="AH95" s="14" t="str">
        <f>IF(ISBLANK(Input!A94)," ",F94-F95)</f>
        <v xml:space="preserve"> </v>
      </c>
    </row>
    <row r="96" spans="1:34" x14ac:dyDescent="0.35">
      <c r="A96" s="2" t="str">
        <f>IF(ISBLANK(Input!A95),"",ROUNDDOWN(aux_sheet!B95,0))</f>
        <v/>
      </c>
      <c r="B96" s="2" t="str">
        <f ca="1">IF(ISBLANK(Input!A95),"",INDIRECT("Input!A"&amp;1+MATCH(aux_sheet!$B95,aux_sheet!$A$2:$A$202,0)))</f>
        <v/>
      </c>
      <c r="C96" s="2" t="str">
        <f ca="1">IF(ISBLANK(Input!B95),"",INDIRECT("Input!B"&amp;1+MATCH(aux_sheet!$B95,aux_sheet!$A$2:$A$202,0)))</f>
        <v/>
      </c>
      <c r="D96" s="2" t="str">
        <f ca="1">IF(ISBLANK(Input!C95),"",INDIRECT("Input!C"&amp;1+MATCH(aux_sheet!$B95,aux_sheet!$A$2:$A$202,0)))</f>
        <v/>
      </c>
      <c r="E96" s="2" t="str">
        <f ca="1">IF(ISBLANK(Input!D95),"",INDIRECT("Input!D"&amp;1+MATCH(aux_sheet!$B95,aux_sheet!$A$2:$A$202,0)))</f>
        <v/>
      </c>
      <c r="F96" s="11" t="str">
        <f ca="1">INDIRECT("Input!F"&amp;1+MATCH(aux_sheet!$B95,aux_sheet!$A$2:$A$202,0))</f>
        <v xml:space="preserve"> </v>
      </c>
      <c r="G96" s="106" t="str">
        <f ca="1">IF($B96="","",INDIRECT("aux_sheet!O"&amp;1+MATCH(aux_sheet!$B95,aux_sheet!$A$2:$A$202,0)))</f>
        <v/>
      </c>
      <c r="H96" s="89" t="str">
        <f ca="1">IF($B96="","",INDIRECT("aux_sheet!P"&amp;1+MATCH(aux_sheet!$B95,aux_sheet!$A$2:$A$202,0)))</f>
        <v/>
      </c>
      <c r="I96" s="89" t="str">
        <f ca="1">IF($B96="","",INDIRECT("aux_sheet!P"&amp;1+MATCH(aux_sheet!$B95,aux_sheet!$A$2:$A$202,0)))</f>
        <v/>
      </c>
      <c r="J96" s="106" t="str">
        <f ca="1">IF($B96="","",INDIRECT("aux_sheet!R"&amp;1+MATCH(aux_sheet!$B95,aux_sheet!$A$2:$A$202,0)))</f>
        <v/>
      </c>
      <c r="K96" s="89" t="str">
        <f ca="1">IF($B96="","",INDIRECT("aux_sheet!S"&amp;1+MATCH(aux_sheet!$B95,aux_sheet!$A$2:$A$202,0)))</f>
        <v/>
      </c>
      <c r="L96" s="89" t="str">
        <f ca="1">IF($B96="","",INDIRECT("aux_sheet!S"&amp;1+MATCH(aux_sheet!$B95,aux_sheet!$A$2:$A$202,0)))</f>
        <v/>
      </c>
      <c r="M96" s="106" t="str">
        <f ca="1">IF($B96="","",INDIRECT("aux_sheet!U"&amp;1+MATCH(aux_sheet!$B95,aux_sheet!$A$2:$A$202,0)))</f>
        <v/>
      </c>
      <c r="N96" s="89" t="str">
        <f ca="1">IF($B96="","",INDIRECT("aux_sheet!V"&amp;1+MATCH(aux_sheet!$B95,aux_sheet!$A$2:$A$202,0)))</f>
        <v/>
      </c>
      <c r="O96" s="89" t="str">
        <f ca="1">IF($B96="","",INDIRECT("aux_sheet!V"&amp;1+MATCH(aux_sheet!$B95,aux_sheet!$A$2:$A$202,0)))</f>
        <v/>
      </c>
      <c r="P96" s="106" t="str">
        <f ca="1">IF($B96="","",INDIRECT("aux_sheet!X"&amp;1+MATCH(aux_sheet!$B95,aux_sheet!$A$2:$A$202,0)))</f>
        <v/>
      </c>
      <c r="Q96" s="89" t="str">
        <f ca="1">IF($B96="","",INDIRECT("aux_sheet!Y"&amp;1+MATCH(aux_sheet!$B95,aux_sheet!$A$2:$A$202,0)))</f>
        <v/>
      </c>
      <c r="R96" s="89" t="str">
        <f ca="1">IF($B96="","",INDIRECT("aux_sheet!Y"&amp;1+MATCH(aux_sheet!$B95,aux_sheet!$A$2:$A$202,0)))</f>
        <v/>
      </c>
      <c r="S96" s="106" t="str">
        <f ca="1">IF($B96="","",INDIRECT("aux_sheet!AA"&amp;1+MATCH(aux_sheet!$B95,aux_sheet!$A$2:$A$202,0)))</f>
        <v/>
      </c>
      <c r="T96" s="89" t="str">
        <f ca="1">IF($B96="","",INDIRECT("aux_sheet!AB"&amp;1+MATCH(aux_sheet!$B95,aux_sheet!$A$2:$A$202,0)))</f>
        <v/>
      </c>
      <c r="U96" s="89" t="str">
        <f ca="1">IF($B96="","",INDIRECT("aux_sheet!AB"&amp;1+MATCH(aux_sheet!$B95,aux_sheet!$A$2:$A$202,0)))</f>
        <v/>
      </c>
      <c r="V96" s="106" t="str">
        <f ca="1">IF($B96="","",INDIRECT("aux_sheet!AD"&amp;1+MATCH(aux_sheet!$B95,aux_sheet!$A$2:$A$202,0)))</f>
        <v/>
      </c>
      <c r="W96" s="89" t="str">
        <f ca="1">IF($B96="","",INDIRECT("aux_sheet!AE"&amp;1+MATCH(aux_sheet!$B95,aux_sheet!$A$2:$A$202,0)))</f>
        <v/>
      </c>
      <c r="X96" s="89" t="str">
        <f ca="1">IF($B96="","",INDIRECT("aux_sheet!AE"&amp;1+MATCH(aux_sheet!$B95,aux_sheet!$A$2:$A$202,0)))</f>
        <v/>
      </c>
      <c r="Y96" s="106" t="str">
        <f ca="1">IF($B96="","",INDIRECT("aux_sheet!AG"&amp;1+MATCH(aux_sheet!$B95,aux_sheet!$A$2:$A$202,0)))</f>
        <v/>
      </c>
      <c r="Z96" s="89" t="str">
        <f ca="1">IF($B96="","",INDIRECT("aux_sheet!AH"&amp;1+MATCH(aux_sheet!$B95,aux_sheet!$A$2:$A$202,0)))</f>
        <v/>
      </c>
      <c r="AA96" s="89" t="str">
        <f ca="1">IF($B96="","",INDIRECT("aux_sheet!AH"&amp;1+MATCH(aux_sheet!$B95,aux_sheet!$A$2:$A$202,0)))</f>
        <v/>
      </c>
      <c r="AB96" s="106" t="str">
        <f ca="1">IF($B96="","",INDIRECT("aux_sheet!AJ"&amp;1+MATCH(aux_sheet!$B95,aux_sheet!$A$2:$A$202,0)))</f>
        <v/>
      </c>
      <c r="AC96" s="89" t="str">
        <f ca="1">IF($B96="","",INDIRECT("aux_sheet!AK"&amp;1+MATCH(aux_sheet!$B95,aux_sheet!$A$2:$A$202,0)))</f>
        <v/>
      </c>
      <c r="AD96" s="89" t="str">
        <f ca="1">IF($B96="","",INDIRECT("aux_sheet!AK"&amp;1+MATCH(aux_sheet!$B95,aux_sheet!$A$2:$A$202,0)))</f>
        <v/>
      </c>
      <c r="AE96" s="106" t="str">
        <f ca="1">IF($B96="","",INDIRECT("aux_sheet!AM"&amp;1+MATCH(aux_sheet!$B95,aux_sheet!$A$2:$A$202,0)))</f>
        <v/>
      </c>
      <c r="AF96" s="89" t="str">
        <f ca="1">IF($B96="","",INDIRECT("aux_sheet!AN"&amp;1+MATCH(aux_sheet!$B95,aux_sheet!$A$2:$A$202,0)))</f>
        <v/>
      </c>
      <c r="AG96" s="89" t="str">
        <f ca="1">IF($B96="","",INDIRECT("aux_sheet!AN"&amp;1+MATCH(aux_sheet!$B95,aux_sheet!$A$2:$A$202,0)))</f>
        <v/>
      </c>
      <c r="AH96" s="14" t="str">
        <f>IF(ISBLANK(Input!A95)," ",F95-F96)</f>
        <v xml:space="preserve"> </v>
      </c>
    </row>
    <row r="97" spans="1:34" x14ac:dyDescent="0.35">
      <c r="A97" s="2" t="str">
        <f>IF(ISBLANK(Input!A96),"",ROUNDDOWN(aux_sheet!B96,0))</f>
        <v/>
      </c>
      <c r="B97" s="2" t="str">
        <f ca="1">IF(ISBLANK(Input!A96),"",INDIRECT("Input!A"&amp;1+MATCH(aux_sheet!$B96,aux_sheet!$A$2:$A$202,0)))</f>
        <v/>
      </c>
      <c r="C97" s="2" t="str">
        <f ca="1">IF(ISBLANK(Input!B96),"",INDIRECT("Input!B"&amp;1+MATCH(aux_sheet!$B96,aux_sheet!$A$2:$A$202,0)))</f>
        <v/>
      </c>
      <c r="D97" s="2" t="str">
        <f ca="1">IF(ISBLANK(Input!C96),"",INDIRECT("Input!C"&amp;1+MATCH(aux_sheet!$B96,aux_sheet!$A$2:$A$202,0)))</f>
        <v/>
      </c>
      <c r="E97" s="2" t="str">
        <f ca="1">IF(ISBLANK(Input!D96),"",INDIRECT("Input!D"&amp;1+MATCH(aux_sheet!$B96,aux_sheet!$A$2:$A$202,0)))</f>
        <v/>
      </c>
      <c r="F97" s="11" t="str">
        <f ca="1">INDIRECT("Input!F"&amp;1+MATCH(aux_sheet!$B96,aux_sheet!$A$2:$A$202,0))</f>
        <v xml:space="preserve"> </v>
      </c>
      <c r="G97" s="106" t="str">
        <f ca="1">IF($B97="","",INDIRECT("aux_sheet!O"&amp;1+MATCH(aux_sheet!$B96,aux_sheet!$A$2:$A$202,0)))</f>
        <v/>
      </c>
      <c r="H97" s="89" t="str">
        <f ca="1">IF($B97="","",INDIRECT("aux_sheet!P"&amp;1+MATCH(aux_sheet!$B96,aux_sheet!$A$2:$A$202,0)))</f>
        <v/>
      </c>
      <c r="I97" s="89" t="str">
        <f ca="1">IF($B97="","",INDIRECT("aux_sheet!P"&amp;1+MATCH(aux_sheet!$B96,aux_sheet!$A$2:$A$202,0)))</f>
        <v/>
      </c>
      <c r="J97" s="106" t="str">
        <f ca="1">IF($B97="","",INDIRECT("aux_sheet!R"&amp;1+MATCH(aux_sheet!$B96,aux_sheet!$A$2:$A$202,0)))</f>
        <v/>
      </c>
      <c r="K97" s="89" t="str">
        <f ca="1">IF($B97="","",INDIRECT("aux_sheet!S"&amp;1+MATCH(aux_sheet!$B96,aux_sheet!$A$2:$A$202,0)))</f>
        <v/>
      </c>
      <c r="L97" s="89" t="str">
        <f ca="1">IF($B97="","",INDIRECT("aux_sheet!S"&amp;1+MATCH(aux_sheet!$B96,aux_sheet!$A$2:$A$202,0)))</f>
        <v/>
      </c>
      <c r="M97" s="106" t="str">
        <f ca="1">IF($B97="","",INDIRECT("aux_sheet!U"&amp;1+MATCH(aux_sheet!$B96,aux_sheet!$A$2:$A$202,0)))</f>
        <v/>
      </c>
      <c r="N97" s="89" t="str">
        <f ca="1">IF($B97="","",INDIRECT("aux_sheet!V"&amp;1+MATCH(aux_sheet!$B96,aux_sheet!$A$2:$A$202,0)))</f>
        <v/>
      </c>
      <c r="O97" s="89" t="str">
        <f ca="1">IF($B97="","",INDIRECT("aux_sheet!V"&amp;1+MATCH(aux_sheet!$B96,aux_sheet!$A$2:$A$202,0)))</f>
        <v/>
      </c>
      <c r="P97" s="106" t="str">
        <f ca="1">IF($B97="","",INDIRECT("aux_sheet!X"&amp;1+MATCH(aux_sheet!$B96,aux_sheet!$A$2:$A$202,0)))</f>
        <v/>
      </c>
      <c r="Q97" s="89" t="str">
        <f ca="1">IF($B97="","",INDIRECT("aux_sheet!Y"&amp;1+MATCH(aux_sheet!$B96,aux_sheet!$A$2:$A$202,0)))</f>
        <v/>
      </c>
      <c r="R97" s="89" t="str">
        <f ca="1">IF($B97="","",INDIRECT("aux_sheet!Y"&amp;1+MATCH(aux_sheet!$B96,aux_sheet!$A$2:$A$202,0)))</f>
        <v/>
      </c>
      <c r="S97" s="106" t="str">
        <f ca="1">IF($B97="","",INDIRECT("aux_sheet!AA"&amp;1+MATCH(aux_sheet!$B96,aux_sheet!$A$2:$A$202,0)))</f>
        <v/>
      </c>
      <c r="T97" s="89" t="str">
        <f ca="1">IF($B97="","",INDIRECT("aux_sheet!AB"&amp;1+MATCH(aux_sheet!$B96,aux_sheet!$A$2:$A$202,0)))</f>
        <v/>
      </c>
      <c r="U97" s="89" t="str">
        <f ca="1">IF($B97="","",INDIRECT("aux_sheet!AB"&amp;1+MATCH(aux_sheet!$B96,aux_sheet!$A$2:$A$202,0)))</f>
        <v/>
      </c>
      <c r="V97" s="106" t="str">
        <f ca="1">IF($B97="","",INDIRECT("aux_sheet!AD"&amp;1+MATCH(aux_sheet!$B96,aux_sheet!$A$2:$A$202,0)))</f>
        <v/>
      </c>
      <c r="W97" s="89" t="str">
        <f ca="1">IF($B97="","",INDIRECT("aux_sheet!AE"&amp;1+MATCH(aux_sheet!$B96,aux_sheet!$A$2:$A$202,0)))</f>
        <v/>
      </c>
      <c r="X97" s="89" t="str">
        <f ca="1">IF($B97="","",INDIRECT("aux_sheet!AE"&amp;1+MATCH(aux_sheet!$B96,aux_sheet!$A$2:$A$202,0)))</f>
        <v/>
      </c>
      <c r="Y97" s="106" t="str">
        <f ca="1">IF($B97="","",INDIRECT("aux_sheet!AG"&amp;1+MATCH(aux_sheet!$B96,aux_sheet!$A$2:$A$202,0)))</f>
        <v/>
      </c>
      <c r="Z97" s="89" t="str">
        <f ca="1">IF($B97="","",INDIRECT("aux_sheet!AH"&amp;1+MATCH(aux_sheet!$B96,aux_sheet!$A$2:$A$202,0)))</f>
        <v/>
      </c>
      <c r="AA97" s="89" t="str">
        <f ca="1">IF($B97="","",INDIRECT("aux_sheet!AH"&amp;1+MATCH(aux_sheet!$B96,aux_sheet!$A$2:$A$202,0)))</f>
        <v/>
      </c>
      <c r="AB97" s="106" t="str">
        <f ca="1">IF($B97="","",INDIRECT("aux_sheet!AJ"&amp;1+MATCH(aux_sheet!$B96,aux_sheet!$A$2:$A$202,0)))</f>
        <v/>
      </c>
      <c r="AC97" s="89" t="str">
        <f ca="1">IF($B97="","",INDIRECT("aux_sheet!AK"&amp;1+MATCH(aux_sheet!$B96,aux_sheet!$A$2:$A$202,0)))</f>
        <v/>
      </c>
      <c r="AD97" s="89" t="str">
        <f ca="1">IF($B97="","",INDIRECT("aux_sheet!AK"&amp;1+MATCH(aux_sheet!$B96,aux_sheet!$A$2:$A$202,0)))</f>
        <v/>
      </c>
      <c r="AE97" s="106" t="str">
        <f ca="1">IF($B97="","",INDIRECT("aux_sheet!AM"&amp;1+MATCH(aux_sheet!$B96,aux_sheet!$A$2:$A$202,0)))</f>
        <v/>
      </c>
      <c r="AF97" s="89" t="str">
        <f ca="1">IF($B97="","",INDIRECT("aux_sheet!AN"&amp;1+MATCH(aux_sheet!$B96,aux_sheet!$A$2:$A$202,0)))</f>
        <v/>
      </c>
      <c r="AG97" s="89" t="str">
        <f ca="1">IF($B97="","",INDIRECT("aux_sheet!AN"&amp;1+MATCH(aux_sheet!$B96,aux_sheet!$A$2:$A$202,0)))</f>
        <v/>
      </c>
      <c r="AH97" s="14" t="str">
        <f>IF(ISBLANK(Input!A96)," ",F96-F97)</f>
        <v xml:space="preserve"> </v>
      </c>
    </row>
    <row r="98" spans="1:34" x14ac:dyDescent="0.35">
      <c r="A98" s="2" t="str">
        <f>IF(ISBLANK(Input!A97),"",ROUNDDOWN(aux_sheet!B97,0))</f>
        <v/>
      </c>
      <c r="B98" s="2" t="str">
        <f ca="1">IF(ISBLANK(Input!A97),"",INDIRECT("Input!A"&amp;1+MATCH(aux_sheet!$B97,aux_sheet!$A$2:$A$202,0)))</f>
        <v/>
      </c>
      <c r="C98" s="2" t="str">
        <f ca="1">IF(ISBLANK(Input!B97),"",INDIRECT("Input!B"&amp;1+MATCH(aux_sheet!$B97,aux_sheet!$A$2:$A$202,0)))</f>
        <v/>
      </c>
      <c r="D98" s="2" t="str">
        <f ca="1">IF(ISBLANK(Input!C97),"",INDIRECT("Input!C"&amp;1+MATCH(aux_sheet!$B97,aux_sheet!$A$2:$A$202,0)))</f>
        <v/>
      </c>
      <c r="E98" s="2" t="str">
        <f ca="1">IF(ISBLANK(Input!D97),"",INDIRECT("Input!D"&amp;1+MATCH(aux_sheet!$B97,aux_sheet!$A$2:$A$202,0)))</f>
        <v/>
      </c>
      <c r="F98" s="11" t="str">
        <f ca="1">INDIRECT("Input!F"&amp;1+MATCH(aux_sheet!$B97,aux_sheet!$A$2:$A$202,0))</f>
        <v xml:space="preserve"> </v>
      </c>
      <c r="G98" s="106" t="str">
        <f ca="1">IF($B98="","",INDIRECT("aux_sheet!O"&amp;1+MATCH(aux_sheet!$B97,aux_sheet!$A$2:$A$202,0)))</f>
        <v/>
      </c>
      <c r="H98" s="89" t="str">
        <f ca="1">IF($B98="","",INDIRECT("aux_sheet!P"&amp;1+MATCH(aux_sheet!$B97,aux_sheet!$A$2:$A$202,0)))</f>
        <v/>
      </c>
      <c r="I98" s="89" t="str">
        <f ca="1">IF($B98="","",INDIRECT("aux_sheet!P"&amp;1+MATCH(aux_sheet!$B97,aux_sheet!$A$2:$A$202,0)))</f>
        <v/>
      </c>
      <c r="J98" s="106" t="str">
        <f ca="1">IF($B98="","",INDIRECT("aux_sheet!R"&amp;1+MATCH(aux_sheet!$B97,aux_sheet!$A$2:$A$202,0)))</f>
        <v/>
      </c>
      <c r="K98" s="89" t="str">
        <f ca="1">IF($B98="","",INDIRECT("aux_sheet!S"&amp;1+MATCH(aux_sheet!$B97,aux_sheet!$A$2:$A$202,0)))</f>
        <v/>
      </c>
      <c r="L98" s="89" t="str">
        <f ca="1">IF($B98="","",INDIRECT("aux_sheet!S"&amp;1+MATCH(aux_sheet!$B97,aux_sheet!$A$2:$A$202,0)))</f>
        <v/>
      </c>
      <c r="M98" s="106" t="str">
        <f ca="1">IF($B98="","",INDIRECT("aux_sheet!U"&amp;1+MATCH(aux_sheet!$B97,aux_sheet!$A$2:$A$202,0)))</f>
        <v/>
      </c>
      <c r="N98" s="89" t="str">
        <f ca="1">IF($B98="","",INDIRECT("aux_sheet!V"&amp;1+MATCH(aux_sheet!$B97,aux_sheet!$A$2:$A$202,0)))</f>
        <v/>
      </c>
      <c r="O98" s="89" t="str">
        <f ca="1">IF($B98="","",INDIRECT("aux_sheet!V"&amp;1+MATCH(aux_sheet!$B97,aux_sheet!$A$2:$A$202,0)))</f>
        <v/>
      </c>
      <c r="P98" s="106" t="str">
        <f ca="1">IF($B98="","",INDIRECT("aux_sheet!X"&amp;1+MATCH(aux_sheet!$B97,aux_sheet!$A$2:$A$202,0)))</f>
        <v/>
      </c>
      <c r="Q98" s="89" t="str">
        <f ca="1">IF($B98="","",INDIRECT("aux_sheet!Y"&amp;1+MATCH(aux_sheet!$B97,aux_sheet!$A$2:$A$202,0)))</f>
        <v/>
      </c>
      <c r="R98" s="89" t="str">
        <f ca="1">IF($B98="","",INDIRECT("aux_sheet!Y"&amp;1+MATCH(aux_sheet!$B97,aux_sheet!$A$2:$A$202,0)))</f>
        <v/>
      </c>
      <c r="S98" s="106" t="str">
        <f ca="1">IF($B98="","",INDIRECT("aux_sheet!AA"&amp;1+MATCH(aux_sheet!$B97,aux_sheet!$A$2:$A$202,0)))</f>
        <v/>
      </c>
      <c r="T98" s="89" t="str">
        <f ca="1">IF($B98="","",INDIRECT("aux_sheet!AB"&amp;1+MATCH(aux_sheet!$B97,aux_sheet!$A$2:$A$202,0)))</f>
        <v/>
      </c>
      <c r="U98" s="89" t="str">
        <f ca="1">IF($B98="","",INDIRECT("aux_sheet!AB"&amp;1+MATCH(aux_sheet!$B97,aux_sheet!$A$2:$A$202,0)))</f>
        <v/>
      </c>
      <c r="V98" s="106" t="str">
        <f ca="1">IF($B98="","",INDIRECT("aux_sheet!AD"&amp;1+MATCH(aux_sheet!$B97,aux_sheet!$A$2:$A$202,0)))</f>
        <v/>
      </c>
      <c r="W98" s="89" t="str">
        <f ca="1">IF($B98="","",INDIRECT("aux_sheet!AE"&amp;1+MATCH(aux_sheet!$B97,aux_sheet!$A$2:$A$202,0)))</f>
        <v/>
      </c>
      <c r="X98" s="89" t="str">
        <f ca="1">IF($B98="","",INDIRECT("aux_sheet!AE"&amp;1+MATCH(aux_sheet!$B97,aux_sheet!$A$2:$A$202,0)))</f>
        <v/>
      </c>
      <c r="Y98" s="106" t="str">
        <f ca="1">IF($B98="","",INDIRECT("aux_sheet!AG"&amp;1+MATCH(aux_sheet!$B97,aux_sheet!$A$2:$A$202,0)))</f>
        <v/>
      </c>
      <c r="Z98" s="89" t="str">
        <f ca="1">IF($B98="","",INDIRECT("aux_sheet!AH"&amp;1+MATCH(aux_sheet!$B97,aux_sheet!$A$2:$A$202,0)))</f>
        <v/>
      </c>
      <c r="AA98" s="89" t="str">
        <f ca="1">IF($B98="","",INDIRECT("aux_sheet!AH"&amp;1+MATCH(aux_sheet!$B97,aux_sheet!$A$2:$A$202,0)))</f>
        <v/>
      </c>
      <c r="AB98" s="106" t="str">
        <f ca="1">IF($B98="","",INDIRECT("aux_sheet!AJ"&amp;1+MATCH(aux_sheet!$B97,aux_sheet!$A$2:$A$202,0)))</f>
        <v/>
      </c>
      <c r="AC98" s="89" t="str">
        <f ca="1">IF($B98="","",INDIRECT("aux_sheet!AK"&amp;1+MATCH(aux_sheet!$B97,aux_sheet!$A$2:$A$202,0)))</f>
        <v/>
      </c>
      <c r="AD98" s="89" t="str">
        <f ca="1">IF($B98="","",INDIRECT("aux_sheet!AK"&amp;1+MATCH(aux_sheet!$B97,aux_sheet!$A$2:$A$202,0)))</f>
        <v/>
      </c>
      <c r="AE98" s="106" t="str">
        <f ca="1">IF($B98="","",INDIRECT("aux_sheet!AM"&amp;1+MATCH(aux_sheet!$B97,aux_sheet!$A$2:$A$202,0)))</f>
        <v/>
      </c>
      <c r="AF98" s="89" t="str">
        <f ca="1">IF($B98="","",INDIRECT("aux_sheet!AN"&amp;1+MATCH(aux_sheet!$B97,aux_sheet!$A$2:$A$202,0)))</f>
        <v/>
      </c>
      <c r="AG98" s="89" t="str">
        <f ca="1">IF($B98="","",INDIRECT("aux_sheet!AN"&amp;1+MATCH(aux_sheet!$B97,aux_sheet!$A$2:$A$202,0)))</f>
        <v/>
      </c>
      <c r="AH98" s="14" t="str">
        <f>IF(ISBLANK(Input!A97)," ",F97-F98)</f>
        <v xml:space="preserve"> </v>
      </c>
    </row>
    <row r="99" spans="1:34" x14ac:dyDescent="0.35">
      <c r="A99" s="2" t="str">
        <f>IF(ISBLANK(Input!A98),"",ROUNDDOWN(aux_sheet!B98,0))</f>
        <v/>
      </c>
      <c r="B99" s="2" t="str">
        <f ca="1">IF(ISBLANK(Input!A98),"",INDIRECT("Input!A"&amp;1+MATCH(aux_sheet!$B98,aux_sheet!$A$2:$A$202,0)))</f>
        <v/>
      </c>
      <c r="C99" s="2" t="str">
        <f ca="1">IF(ISBLANK(Input!B98),"",INDIRECT("Input!B"&amp;1+MATCH(aux_sheet!$B98,aux_sheet!$A$2:$A$202,0)))</f>
        <v/>
      </c>
      <c r="D99" s="2" t="str">
        <f ca="1">IF(ISBLANK(Input!C98),"",INDIRECT("Input!C"&amp;1+MATCH(aux_sheet!$B98,aux_sheet!$A$2:$A$202,0)))</f>
        <v/>
      </c>
      <c r="E99" s="2" t="str">
        <f ca="1">IF(ISBLANK(Input!D98),"",INDIRECT("Input!D"&amp;1+MATCH(aux_sheet!$B98,aux_sheet!$A$2:$A$202,0)))</f>
        <v/>
      </c>
      <c r="F99" s="11" t="str">
        <f ca="1">INDIRECT("Input!F"&amp;1+MATCH(aux_sheet!$B98,aux_sheet!$A$2:$A$202,0))</f>
        <v xml:space="preserve"> </v>
      </c>
      <c r="G99" s="106" t="str">
        <f ca="1">IF($B99="","",INDIRECT("aux_sheet!O"&amp;1+MATCH(aux_sheet!$B98,aux_sheet!$A$2:$A$202,0)))</f>
        <v/>
      </c>
      <c r="H99" s="89" t="str">
        <f ca="1">IF($B99="","",INDIRECT("aux_sheet!P"&amp;1+MATCH(aux_sheet!$B98,aux_sheet!$A$2:$A$202,0)))</f>
        <v/>
      </c>
      <c r="I99" s="89" t="str">
        <f ca="1">IF($B99="","",INDIRECT("aux_sheet!P"&amp;1+MATCH(aux_sheet!$B98,aux_sheet!$A$2:$A$202,0)))</f>
        <v/>
      </c>
      <c r="J99" s="106" t="str">
        <f ca="1">IF($B99="","",INDIRECT("aux_sheet!R"&amp;1+MATCH(aux_sheet!$B98,aux_sheet!$A$2:$A$202,0)))</f>
        <v/>
      </c>
      <c r="K99" s="89" t="str">
        <f ca="1">IF($B99="","",INDIRECT("aux_sheet!S"&amp;1+MATCH(aux_sheet!$B98,aux_sheet!$A$2:$A$202,0)))</f>
        <v/>
      </c>
      <c r="L99" s="89" t="str">
        <f ca="1">IF($B99="","",INDIRECT("aux_sheet!S"&amp;1+MATCH(aux_sheet!$B98,aux_sheet!$A$2:$A$202,0)))</f>
        <v/>
      </c>
      <c r="M99" s="106" t="str">
        <f ca="1">IF($B99="","",INDIRECT("aux_sheet!U"&amp;1+MATCH(aux_sheet!$B98,aux_sheet!$A$2:$A$202,0)))</f>
        <v/>
      </c>
      <c r="N99" s="89" t="str">
        <f ca="1">IF($B99="","",INDIRECT("aux_sheet!V"&amp;1+MATCH(aux_sheet!$B98,aux_sheet!$A$2:$A$202,0)))</f>
        <v/>
      </c>
      <c r="O99" s="89" t="str">
        <f ca="1">IF($B99="","",INDIRECT("aux_sheet!V"&amp;1+MATCH(aux_sheet!$B98,aux_sheet!$A$2:$A$202,0)))</f>
        <v/>
      </c>
      <c r="P99" s="106" t="str">
        <f ca="1">IF($B99="","",INDIRECT("aux_sheet!X"&amp;1+MATCH(aux_sheet!$B98,aux_sheet!$A$2:$A$202,0)))</f>
        <v/>
      </c>
      <c r="Q99" s="89" t="str">
        <f ca="1">IF($B99="","",INDIRECT("aux_sheet!Y"&amp;1+MATCH(aux_sheet!$B98,aux_sheet!$A$2:$A$202,0)))</f>
        <v/>
      </c>
      <c r="R99" s="89" t="str">
        <f ca="1">IF($B99="","",INDIRECT("aux_sheet!Y"&amp;1+MATCH(aux_sheet!$B98,aux_sheet!$A$2:$A$202,0)))</f>
        <v/>
      </c>
      <c r="S99" s="106" t="str">
        <f ca="1">IF($B99="","",INDIRECT("aux_sheet!AA"&amp;1+MATCH(aux_sheet!$B98,aux_sheet!$A$2:$A$202,0)))</f>
        <v/>
      </c>
      <c r="T99" s="89" t="str">
        <f ca="1">IF($B99="","",INDIRECT("aux_sheet!AB"&amp;1+MATCH(aux_sheet!$B98,aux_sheet!$A$2:$A$202,0)))</f>
        <v/>
      </c>
      <c r="U99" s="89" t="str">
        <f ca="1">IF($B99="","",INDIRECT("aux_sheet!AB"&amp;1+MATCH(aux_sheet!$B98,aux_sheet!$A$2:$A$202,0)))</f>
        <v/>
      </c>
      <c r="V99" s="106" t="str">
        <f ca="1">IF($B99="","",INDIRECT("aux_sheet!AD"&amp;1+MATCH(aux_sheet!$B98,aux_sheet!$A$2:$A$202,0)))</f>
        <v/>
      </c>
      <c r="W99" s="89" t="str">
        <f ca="1">IF($B99="","",INDIRECT("aux_sheet!AE"&amp;1+MATCH(aux_sheet!$B98,aux_sheet!$A$2:$A$202,0)))</f>
        <v/>
      </c>
      <c r="X99" s="89" t="str">
        <f ca="1">IF($B99="","",INDIRECT("aux_sheet!AE"&amp;1+MATCH(aux_sheet!$B98,aux_sheet!$A$2:$A$202,0)))</f>
        <v/>
      </c>
      <c r="Y99" s="106" t="str">
        <f ca="1">IF($B99="","",INDIRECT("aux_sheet!AG"&amp;1+MATCH(aux_sheet!$B98,aux_sheet!$A$2:$A$202,0)))</f>
        <v/>
      </c>
      <c r="Z99" s="89" t="str">
        <f ca="1">IF($B99="","",INDIRECT("aux_sheet!AH"&amp;1+MATCH(aux_sheet!$B98,aux_sheet!$A$2:$A$202,0)))</f>
        <v/>
      </c>
      <c r="AA99" s="89" t="str">
        <f ca="1">IF($B99="","",INDIRECT("aux_sheet!AH"&amp;1+MATCH(aux_sheet!$B98,aux_sheet!$A$2:$A$202,0)))</f>
        <v/>
      </c>
      <c r="AB99" s="106" t="str">
        <f ca="1">IF($B99="","",INDIRECT("aux_sheet!AJ"&amp;1+MATCH(aux_sheet!$B98,aux_sheet!$A$2:$A$202,0)))</f>
        <v/>
      </c>
      <c r="AC99" s="89" t="str">
        <f ca="1">IF($B99="","",INDIRECT("aux_sheet!AK"&amp;1+MATCH(aux_sheet!$B98,aux_sheet!$A$2:$A$202,0)))</f>
        <v/>
      </c>
      <c r="AD99" s="89" t="str">
        <f ca="1">IF($B99="","",INDIRECT("aux_sheet!AK"&amp;1+MATCH(aux_sheet!$B98,aux_sheet!$A$2:$A$202,0)))</f>
        <v/>
      </c>
      <c r="AE99" s="106" t="str">
        <f ca="1">IF($B99="","",INDIRECT("aux_sheet!AM"&amp;1+MATCH(aux_sheet!$B98,aux_sheet!$A$2:$A$202,0)))</f>
        <v/>
      </c>
      <c r="AF99" s="89" t="str">
        <f ca="1">IF($B99="","",INDIRECT("aux_sheet!AN"&amp;1+MATCH(aux_sheet!$B98,aux_sheet!$A$2:$A$202,0)))</f>
        <v/>
      </c>
      <c r="AG99" s="89" t="str">
        <f ca="1">IF($B99="","",INDIRECT("aux_sheet!AN"&amp;1+MATCH(aux_sheet!$B98,aux_sheet!$A$2:$A$202,0)))</f>
        <v/>
      </c>
      <c r="AH99" s="14" t="str">
        <f>IF(ISBLANK(Input!A98)," ",F98-F99)</f>
        <v xml:space="preserve"> </v>
      </c>
    </row>
    <row r="100" spans="1:34" x14ac:dyDescent="0.35">
      <c r="A100" s="2" t="str">
        <f>IF(ISBLANK(Input!A99),"",ROUNDDOWN(aux_sheet!B99,0))</f>
        <v/>
      </c>
      <c r="B100" s="2" t="str">
        <f ca="1">IF(ISBLANK(Input!A99),"",INDIRECT("Input!A"&amp;1+MATCH(aux_sheet!$B99,aux_sheet!$A$2:$A$202,0)))</f>
        <v/>
      </c>
      <c r="C100" s="2" t="str">
        <f ca="1">IF(ISBLANK(Input!B99),"",INDIRECT("Input!B"&amp;1+MATCH(aux_sheet!$B99,aux_sheet!$A$2:$A$202,0)))</f>
        <v/>
      </c>
      <c r="D100" s="2" t="str">
        <f ca="1">IF(ISBLANK(Input!C99),"",INDIRECT("Input!C"&amp;1+MATCH(aux_sheet!$B99,aux_sheet!$A$2:$A$202,0)))</f>
        <v/>
      </c>
      <c r="E100" s="2" t="str">
        <f ca="1">IF(ISBLANK(Input!D99),"",INDIRECT("Input!D"&amp;1+MATCH(aux_sheet!$B99,aux_sheet!$A$2:$A$202,0)))</f>
        <v/>
      </c>
      <c r="F100" s="11" t="str">
        <f ca="1">INDIRECT("Input!F"&amp;1+MATCH(aux_sheet!$B99,aux_sheet!$A$2:$A$202,0))</f>
        <v xml:space="preserve"> </v>
      </c>
      <c r="G100" s="106" t="str">
        <f ca="1">IF($B100="","",INDIRECT("aux_sheet!O"&amp;1+MATCH(aux_sheet!$B99,aux_sheet!$A$2:$A$202,0)))</f>
        <v/>
      </c>
      <c r="H100" s="89" t="str">
        <f ca="1">IF($B100="","",INDIRECT("aux_sheet!P"&amp;1+MATCH(aux_sheet!$B99,aux_sheet!$A$2:$A$202,0)))</f>
        <v/>
      </c>
      <c r="I100" s="89" t="str">
        <f ca="1">IF($B100="","",INDIRECT("aux_sheet!P"&amp;1+MATCH(aux_sheet!$B99,aux_sheet!$A$2:$A$202,0)))</f>
        <v/>
      </c>
      <c r="J100" s="106" t="str">
        <f ca="1">IF($B100="","",INDIRECT("aux_sheet!R"&amp;1+MATCH(aux_sheet!$B99,aux_sheet!$A$2:$A$202,0)))</f>
        <v/>
      </c>
      <c r="K100" s="89" t="str">
        <f ca="1">IF($B100="","",INDIRECT("aux_sheet!S"&amp;1+MATCH(aux_sheet!$B99,aux_sheet!$A$2:$A$202,0)))</f>
        <v/>
      </c>
      <c r="L100" s="89" t="str">
        <f ca="1">IF($B100="","",INDIRECT("aux_sheet!S"&amp;1+MATCH(aux_sheet!$B99,aux_sheet!$A$2:$A$202,0)))</f>
        <v/>
      </c>
      <c r="M100" s="106" t="str">
        <f ca="1">IF($B100="","",INDIRECT("aux_sheet!U"&amp;1+MATCH(aux_sheet!$B99,aux_sheet!$A$2:$A$202,0)))</f>
        <v/>
      </c>
      <c r="N100" s="89" t="str">
        <f ca="1">IF($B100="","",INDIRECT("aux_sheet!V"&amp;1+MATCH(aux_sheet!$B99,aux_sheet!$A$2:$A$202,0)))</f>
        <v/>
      </c>
      <c r="O100" s="89" t="str">
        <f ca="1">IF($B100="","",INDIRECT("aux_sheet!V"&amp;1+MATCH(aux_sheet!$B99,aux_sheet!$A$2:$A$202,0)))</f>
        <v/>
      </c>
      <c r="P100" s="106" t="str">
        <f ca="1">IF($B100="","",INDIRECT("aux_sheet!X"&amp;1+MATCH(aux_sheet!$B99,aux_sheet!$A$2:$A$202,0)))</f>
        <v/>
      </c>
      <c r="Q100" s="89" t="str">
        <f ca="1">IF($B100="","",INDIRECT("aux_sheet!Y"&amp;1+MATCH(aux_sheet!$B99,aux_sheet!$A$2:$A$202,0)))</f>
        <v/>
      </c>
      <c r="R100" s="89" t="str">
        <f ca="1">IF($B100="","",INDIRECT("aux_sheet!Y"&amp;1+MATCH(aux_sheet!$B99,aux_sheet!$A$2:$A$202,0)))</f>
        <v/>
      </c>
      <c r="S100" s="106" t="str">
        <f ca="1">IF($B100="","",INDIRECT("aux_sheet!AA"&amp;1+MATCH(aux_sheet!$B99,aux_sheet!$A$2:$A$202,0)))</f>
        <v/>
      </c>
      <c r="T100" s="89" t="str">
        <f ca="1">IF($B100="","",INDIRECT("aux_sheet!AB"&amp;1+MATCH(aux_sheet!$B99,aux_sheet!$A$2:$A$202,0)))</f>
        <v/>
      </c>
      <c r="U100" s="89" t="str">
        <f ca="1">IF($B100="","",INDIRECT("aux_sheet!AB"&amp;1+MATCH(aux_sheet!$B99,aux_sheet!$A$2:$A$202,0)))</f>
        <v/>
      </c>
      <c r="V100" s="106" t="str">
        <f ca="1">IF($B100="","",INDIRECT("aux_sheet!AD"&amp;1+MATCH(aux_sheet!$B99,aux_sheet!$A$2:$A$202,0)))</f>
        <v/>
      </c>
      <c r="W100" s="89" t="str">
        <f ca="1">IF($B100="","",INDIRECT("aux_sheet!AE"&amp;1+MATCH(aux_sheet!$B99,aux_sheet!$A$2:$A$202,0)))</f>
        <v/>
      </c>
      <c r="X100" s="89" t="str">
        <f ca="1">IF($B100="","",INDIRECT("aux_sheet!AE"&amp;1+MATCH(aux_sheet!$B99,aux_sheet!$A$2:$A$202,0)))</f>
        <v/>
      </c>
      <c r="Y100" s="106" t="str">
        <f ca="1">IF($B100="","",INDIRECT("aux_sheet!AG"&amp;1+MATCH(aux_sheet!$B99,aux_sheet!$A$2:$A$202,0)))</f>
        <v/>
      </c>
      <c r="Z100" s="89" t="str">
        <f ca="1">IF($B100="","",INDIRECT("aux_sheet!AH"&amp;1+MATCH(aux_sheet!$B99,aux_sheet!$A$2:$A$202,0)))</f>
        <v/>
      </c>
      <c r="AA100" s="89" t="str">
        <f ca="1">IF($B100="","",INDIRECT("aux_sheet!AH"&amp;1+MATCH(aux_sheet!$B99,aux_sheet!$A$2:$A$202,0)))</f>
        <v/>
      </c>
      <c r="AB100" s="106" t="str">
        <f ca="1">IF($B100="","",INDIRECT("aux_sheet!AJ"&amp;1+MATCH(aux_sheet!$B99,aux_sheet!$A$2:$A$202,0)))</f>
        <v/>
      </c>
      <c r="AC100" s="89" t="str">
        <f ca="1">IF($B100="","",INDIRECT("aux_sheet!AK"&amp;1+MATCH(aux_sheet!$B99,aux_sheet!$A$2:$A$202,0)))</f>
        <v/>
      </c>
      <c r="AD100" s="89" t="str">
        <f ca="1">IF($B100="","",INDIRECT("aux_sheet!AK"&amp;1+MATCH(aux_sheet!$B99,aux_sheet!$A$2:$A$202,0)))</f>
        <v/>
      </c>
      <c r="AE100" s="106" t="str">
        <f ca="1">IF($B100="","",INDIRECT("aux_sheet!AM"&amp;1+MATCH(aux_sheet!$B99,aux_sheet!$A$2:$A$202,0)))</f>
        <v/>
      </c>
      <c r="AF100" s="89" t="str">
        <f ca="1">IF($B100="","",INDIRECT("aux_sheet!AN"&amp;1+MATCH(aux_sheet!$B99,aux_sheet!$A$2:$A$202,0)))</f>
        <v/>
      </c>
      <c r="AG100" s="89" t="str">
        <f ca="1">IF($B100="","",INDIRECT("aux_sheet!AN"&amp;1+MATCH(aux_sheet!$B99,aux_sheet!$A$2:$A$202,0)))</f>
        <v/>
      </c>
      <c r="AH100" s="14" t="str">
        <f>IF(ISBLANK(Input!A99)," ",F99-F100)</f>
        <v xml:space="preserve"> </v>
      </c>
    </row>
    <row r="101" spans="1:34" x14ac:dyDescent="0.35">
      <c r="A101" s="2" t="str">
        <f>IF(ISBLANK(Input!A100),"",ROUNDDOWN(aux_sheet!B100,0))</f>
        <v/>
      </c>
      <c r="B101" s="2" t="str">
        <f ca="1">IF(ISBLANK(Input!A100),"",INDIRECT("Input!A"&amp;1+MATCH(aux_sheet!$B100,aux_sheet!$A$2:$A$202,0)))</f>
        <v/>
      </c>
      <c r="C101" s="2" t="str">
        <f ca="1">IF(ISBLANK(Input!B100),"",INDIRECT("Input!B"&amp;1+MATCH(aux_sheet!$B100,aux_sheet!$A$2:$A$202,0)))</f>
        <v/>
      </c>
      <c r="D101" s="2" t="str">
        <f ca="1">IF(ISBLANK(Input!C100),"",INDIRECT("Input!C"&amp;1+MATCH(aux_sheet!$B100,aux_sheet!$A$2:$A$202,0)))</f>
        <v/>
      </c>
      <c r="E101" s="2" t="str">
        <f ca="1">IF(ISBLANK(Input!D100),"",INDIRECT("Input!D"&amp;1+MATCH(aux_sheet!$B100,aux_sheet!$A$2:$A$202,0)))</f>
        <v/>
      </c>
      <c r="F101" s="11" t="str">
        <f ca="1">INDIRECT("Input!F"&amp;1+MATCH(aux_sheet!$B100,aux_sheet!$A$2:$A$202,0))</f>
        <v xml:space="preserve"> </v>
      </c>
      <c r="G101" s="106" t="str">
        <f ca="1">IF($B101="","",INDIRECT("aux_sheet!O"&amp;1+MATCH(aux_sheet!$B100,aux_sheet!$A$2:$A$202,0)))</f>
        <v/>
      </c>
      <c r="H101" s="89" t="str">
        <f ca="1">IF($B101="","",INDIRECT("aux_sheet!P"&amp;1+MATCH(aux_sheet!$B100,aux_sheet!$A$2:$A$202,0)))</f>
        <v/>
      </c>
      <c r="I101" s="89" t="str">
        <f ca="1">IF($B101="","",INDIRECT("aux_sheet!P"&amp;1+MATCH(aux_sheet!$B100,aux_sheet!$A$2:$A$202,0)))</f>
        <v/>
      </c>
      <c r="J101" s="106" t="str">
        <f ca="1">IF($B101="","",INDIRECT("aux_sheet!R"&amp;1+MATCH(aux_sheet!$B100,aux_sheet!$A$2:$A$202,0)))</f>
        <v/>
      </c>
      <c r="K101" s="89" t="str">
        <f ca="1">IF($B101="","",INDIRECT("aux_sheet!S"&amp;1+MATCH(aux_sheet!$B100,aux_sheet!$A$2:$A$202,0)))</f>
        <v/>
      </c>
      <c r="L101" s="89" t="str">
        <f ca="1">IF($B101="","",INDIRECT("aux_sheet!S"&amp;1+MATCH(aux_sheet!$B100,aux_sheet!$A$2:$A$202,0)))</f>
        <v/>
      </c>
      <c r="M101" s="106" t="str">
        <f ca="1">IF($B101="","",INDIRECT("aux_sheet!U"&amp;1+MATCH(aux_sheet!$B100,aux_sheet!$A$2:$A$202,0)))</f>
        <v/>
      </c>
      <c r="N101" s="89" t="str">
        <f ca="1">IF($B101="","",INDIRECT("aux_sheet!V"&amp;1+MATCH(aux_sheet!$B100,aux_sheet!$A$2:$A$202,0)))</f>
        <v/>
      </c>
      <c r="O101" s="89" t="str">
        <f ca="1">IF($B101="","",INDIRECT("aux_sheet!V"&amp;1+MATCH(aux_sheet!$B100,aux_sheet!$A$2:$A$202,0)))</f>
        <v/>
      </c>
      <c r="P101" s="106" t="str">
        <f ca="1">IF($B101="","",INDIRECT("aux_sheet!X"&amp;1+MATCH(aux_sheet!$B100,aux_sheet!$A$2:$A$202,0)))</f>
        <v/>
      </c>
      <c r="Q101" s="89" t="str">
        <f ca="1">IF($B101="","",INDIRECT("aux_sheet!Y"&amp;1+MATCH(aux_sheet!$B100,aux_sheet!$A$2:$A$202,0)))</f>
        <v/>
      </c>
      <c r="R101" s="89" t="str">
        <f ca="1">IF($B101="","",INDIRECT("aux_sheet!Y"&amp;1+MATCH(aux_sheet!$B100,aux_sheet!$A$2:$A$202,0)))</f>
        <v/>
      </c>
      <c r="S101" s="106" t="str">
        <f ca="1">IF($B101="","",INDIRECT("aux_sheet!AA"&amp;1+MATCH(aux_sheet!$B100,aux_sheet!$A$2:$A$202,0)))</f>
        <v/>
      </c>
      <c r="T101" s="89" t="str">
        <f ca="1">IF($B101="","",INDIRECT("aux_sheet!AB"&amp;1+MATCH(aux_sheet!$B100,aux_sheet!$A$2:$A$202,0)))</f>
        <v/>
      </c>
      <c r="U101" s="89" t="str">
        <f ca="1">IF($B101="","",INDIRECT("aux_sheet!AB"&amp;1+MATCH(aux_sheet!$B100,aux_sheet!$A$2:$A$202,0)))</f>
        <v/>
      </c>
      <c r="V101" s="106" t="str">
        <f ca="1">IF($B101="","",INDIRECT("aux_sheet!AD"&amp;1+MATCH(aux_sheet!$B100,aux_sheet!$A$2:$A$202,0)))</f>
        <v/>
      </c>
      <c r="W101" s="89" t="str">
        <f ca="1">IF($B101="","",INDIRECT("aux_sheet!AE"&amp;1+MATCH(aux_sheet!$B100,aux_sheet!$A$2:$A$202,0)))</f>
        <v/>
      </c>
      <c r="X101" s="89" t="str">
        <f ca="1">IF($B101="","",INDIRECT("aux_sheet!AE"&amp;1+MATCH(aux_sheet!$B100,aux_sheet!$A$2:$A$202,0)))</f>
        <v/>
      </c>
      <c r="Y101" s="106" t="str">
        <f ca="1">IF($B101="","",INDIRECT("aux_sheet!AG"&amp;1+MATCH(aux_sheet!$B100,aux_sheet!$A$2:$A$202,0)))</f>
        <v/>
      </c>
      <c r="Z101" s="89" t="str">
        <f ca="1">IF($B101="","",INDIRECT("aux_sheet!AH"&amp;1+MATCH(aux_sheet!$B100,aux_sheet!$A$2:$A$202,0)))</f>
        <v/>
      </c>
      <c r="AA101" s="89" t="str">
        <f ca="1">IF($B101="","",INDIRECT("aux_sheet!AH"&amp;1+MATCH(aux_sheet!$B100,aux_sheet!$A$2:$A$202,0)))</f>
        <v/>
      </c>
      <c r="AB101" s="106" t="str">
        <f ca="1">IF($B101="","",INDIRECT("aux_sheet!AJ"&amp;1+MATCH(aux_sheet!$B100,aux_sheet!$A$2:$A$202,0)))</f>
        <v/>
      </c>
      <c r="AC101" s="89" t="str">
        <f ca="1">IF($B101="","",INDIRECT("aux_sheet!AK"&amp;1+MATCH(aux_sheet!$B100,aux_sheet!$A$2:$A$202,0)))</f>
        <v/>
      </c>
      <c r="AD101" s="89" t="str">
        <f ca="1">IF($B101="","",INDIRECT("aux_sheet!AK"&amp;1+MATCH(aux_sheet!$B100,aux_sheet!$A$2:$A$202,0)))</f>
        <v/>
      </c>
      <c r="AE101" s="106" t="str">
        <f ca="1">IF($B101="","",INDIRECT("aux_sheet!AM"&amp;1+MATCH(aux_sheet!$B100,aux_sheet!$A$2:$A$202,0)))</f>
        <v/>
      </c>
      <c r="AF101" s="89" t="str">
        <f ca="1">IF($B101="","",INDIRECT("aux_sheet!AN"&amp;1+MATCH(aux_sheet!$B100,aux_sheet!$A$2:$A$202,0)))</f>
        <v/>
      </c>
      <c r="AG101" s="89" t="str">
        <f ca="1">IF($B101="","",INDIRECT("aux_sheet!AN"&amp;1+MATCH(aux_sheet!$B100,aux_sheet!$A$2:$A$202,0)))</f>
        <v/>
      </c>
      <c r="AH101" s="14" t="str">
        <f>IF(ISBLANK(Input!A100)," ",F100-F101)</f>
        <v xml:space="preserve"> </v>
      </c>
    </row>
    <row r="102" spans="1:34" x14ac:dyDescent="0.35">
      <c r="A102" s="2" t="str">
        <f>IF(ISBLANK(Input!A101),"",ROUNDDOWN(aux_sheet!B101,0))</f>
        <v/>
      </c>
      <c r="B102" s="2" t="str">
        <f ca="1">IF(ISBLANK(Input!A101),"",INDIRECT("Input!A"&amp;1+MATCH(aux_sheet!$B101,aux_sheet!$A$2:$A$202,0)))</f>
        <v/>
      </c>
      <c r="C102" s="2" t="str">
        <f ca="1">IF(ISBLANK(Input!B101),"",INDIRECT("Input!B"&amp;1+MATCH(aux_sheet!$B101,aux_sheet!$A$2:$A$202,0)))</f>
        <v/>
      </c>
      <c r="D102" s="2" t="str">
        <f ca="1">IF(ISBLANK(Input!C101),"",INDIRECT("Input!C"&amp;1+MATCH(aux_sheet!$B101,aux_sheet!$A$2:$A$202,0)))</f>
        <v/>
      </c>
      <c r="E102" s="2" t="str">
        <f ca="1">IF(ISBLANK(Input!D101),"",INDIRECT("Input!D"&amp;1+MATCH(aux_sheet!$B101,aux_sheet!$A$2:$A$202,0)))</f>
        <v/>
      </c>
      <c r="F102" s="11" t="str">
        <f ca="1">INDIRECT("Input!F"&amp;1+MATCH(aux_sheet!$B101,aux_sheet!$A$2:$A$202,0))</f>
        <v xml:space="preserve"> </v>
      </c>
      <c r="G102" s="106" t="str">
        <f ca="1">IF($B102="","",INDIRECT("aux_sheet!O"&amp;1+MATCH(aux_sheet!$B101,aux_sheet!$A$2:$A$202,0)))</f>
        <v/>
      </c>
      <c r="H102" s="89" t="str">
        <f ca="1">IF($B102="","",INDIRECT("aux_sheet!P"&amp;1+MATCH(aux_sheet!$B101,aux_sheet!$A$2:$A$202,0)))</f>
        <v/>
      </c>
      <c r="I102" s="89" t="str">
        <f ca="1">IF($B102="","",INDIRECT("aux_sheet!P"&amp;1+MATCH(aux_sheet!$B101,aux_sheet!$A$2:$A$202,0)))</f>
        <v/>
      </c>
      <c r="J102" s="106" t="str">
        <f ca="1">IF($B102="","",INDIRECT("aux_sheet!R"&amp;1+MATCH(aux_sheet!$B101,aux_sheet!$A$2:$A$202,0)))</f>
        <v/>
      </c>
      <c r="K102" s="89" t="str">
        <f ca="1">IF($B102="","",INDIRECT("aux_sheet!S"&amp;1+MATCH(aux_sheet!$B101,aux_sheet!$A$2:$A$202,0)))</f>
        <v/>
      </c>
      <c r="L102" s="89" t="str">
        <f ca="1">IF($B102="","",INDIRECT("aux_sheet!S"&amp;1+MATCH(aux_sheet!$B101,aux_sheet!$A$2:$A$202,0)))</f>
        <v/>
      </c>
      <c r="M102" s="106" t="str">
        <f ca="1">IF($B102="","",INDIRECT("aux_sheet!U"&amp;1+MATCH(aux_sheet!$B101,aux_sheet!$A$2:$A$202,0)))</f>
        <v/>
      </c>
      <c r="N102" s="89" t="str">
        <f ca="1">IF($B102="","",INDIRECT("aux_sheet!V"&amp;1+MATCH(aux_sheet!$B101,aux_sheet!$A$2:$A$202,0)))</f>
        <v/>
      </c>
      <c r="O102" s="89" t="str">
        <f ca="1">IF($B102="","",INDIRECT("aux_sheet!V"&amp;1+MATCH(aux_sheet!$B101,aux_sheet!$A$2:$A$202,0)))</f>
        <v/>
      </c>
      <c r="P102" s="106" t="str">
        <f ca="1">IF($B102="","",INDIRECT("aux_sheet!X"&amp;1+MATCH(aux_sheet!$B101,aux_sheet!$A$2:$A$202,0)))</f>
        <v/>
      </c>
      <c r="Q102" s="89" t="str">
        <f ca="1">IF($B102="","",INDIRECT("aux_sheet!Y"&amp;1+MATCH(aux_sheet!$B101,aux_sheet!$A$2:$A$202,0)))</f>
        <v/>
      </c>
      <c r="R102" s="89" t="str">
        <f ca="1">IF($B102="","",INDIRECT("aux_sheet!Y"&amp;1+MATCH(aux_sheet!$B101,aux_sheet!$A$2:$A$202,0)))</f>
        <v/>
      </c>
      <c r="S102" s="106" t="str">
        <f ca="1">IF($B102="","",INDIRECT("aux_sheet!AA"&amp;1+MATCH(aux_sheet!$B101,aux_sheet!$A$2:$A$202,0)))</f>
        <v/>
      </c>
      <c r="T102" s="89" t="str">
        <f ca="1">IF($B102="","",INDIRECT("aux_sheet!AB"&amp;1+MATCH(aux_sheet!$B101,aux_sheet!$A$2:$A$202,0)))</f>
        <v/>
      </c>
      <c r="U102" s="89" t="str">
        <f ca="1">IF($B102="","",INDIRECT("aux_sheet!AB"&amp;1+MATCH(aux_sheet!$B101,aux_sheet!$A$2:$A$202,0)))</f>
        <v/>
      </c>
      <c r="V102" s="106" t="str">
        <f ca="1">IF($B102="","",INDIRECT("aux_sheet!AD"&amp;1+MATCH(aux_sheet!$B101,aux_sheet!$A$2:$A$202,0)))</f>
        <v/>
      </c>
      <c r="W102" s="89" t="str">
        <f ca="1">IF($B102="","",INDIRECT("aux_sheet!AE"&amp;1+MATCH(aux_sheet!$B101,aux_sheet!$A$2:$A$202,0)))</f>
        <v/>
      </c>
      <c r="X102" s="89" t="str">
        <f ca="1">IF($B102="","",INDIRECT("aux_sheet!AE"&amp;1+MATCH(aux_sheet!$B101,aux_sheet!$A$2:$A$202,0)))</f>
        <v/>
      </c>
      <c r="Y102" s="106" t="str">
        <f ca="1">IF($B102="","",INDIRECT("aux_sheet!AG"&amp;1+MATCH(aux_sheet!$B101,aux_sheet!$A$2:$A$202,0)))</f>
        <v/>
      </c>
      <c r="Z102" s="89" t="str">
        <f ca="1">IF($B102="","",INDIRECT("aux_sheet!AH"&amp;1+MATCH(aux_sheet!$B101,aux_sheet!$A$2:$A$202,0)))</f>
        <v/>
      </c>
      <c r="AA102" s="89" t="str">
        <f ca="1">IF($B102="","",INDIRECT("aux_sheet!AH"&amp;1+MATCH(aux_sheet!$B101,aux_sheet!$A$2:$A$202,0)))</f>
        <v/>
      </c>
      <c r="AB102" s="106" t="str">
        <f ca="1">IF($B102="","",INDIRECT("aux_sheet!AJ"&amp;1+MATCH(aux_sheet!$B101,aux_sheet!$A$2:$A$202,0)))</f>
        <v/>
      </c>
      <c r="AC102" s="89" t="str">
        <f ca="1">IF($B102="","",INDIRECT("aux_sheet!AK"&amp;1+MATCH(aux_sheet!$B101,aux_sheet!$A$2:$A$202,0)))</f>
        <v/>
      </c>
      <c r="AD102" s="89" t="str">
        <f ca="1">IF($B102="","",INDIRECT("aux_sheet!AK"&amp;1+MATCH(aux_sheet!$B101,aux_sheet!$A$2:$A$202,0)))</f>
        <v/>
      </c>
      <c r="AE102" s="106" t="str">
        <f ca="1">IF($B102="","",INDIRECT("aux_sheet!AM"&amp;1+MATCH(aux_sheet!$B101,aux_sheet!$A$2:$A$202,0)))</f>
        <v/>
      </c>
      <c r="AF102" s="89" t="str">
        <f ca="1">IF($B102="","",INDIRECT("aux_sheet!AN"&amp;1+MATCH(aux_sheet!$B101,aux_sheet!$A$2:$A$202,0)))</f>
        <v/>
      </c>
      <c r="AG102" s="89" t="str">
        <f ca="1">IF($B102="","",INDIRECT("aux_sheet!AN"&amp;1+MATCH(aux_sheet!$B101,aux_sheet!$A$2:$A$202,0)))</f>
        <v/>
      </c>
      <c r="AH102" s="14" t="str">
        <f>IF(ISBLANK(Input!A101)," ",F101-F102)</f>
        <v xml:space="preserve"> </v>
      </c>
    </row>
    <row r="103" spans="1:34" x14ac:dyDescent="0.35">
      <c r="A103" s="2" t="str">
        <f>IF(ISBLANK(Input!A102),"",ROUNDDOWN(aux_sheet!B102,0))</f>
        <v/>
      </c>
      <c r="B103" s="2" t="str">
        <f ca="1">IF(ISBLANK(Input!A102),"",INDIRECT("Input!A"&amp;1+MATCH(aux_sheet!$B102,aux_sheet!$A$2:$A$202,0)))</f>
        <v/>
      </c>
      <c r="C103" s="2" t="str">
        <f ca="1">IF(ISBLANK(Input!B102),"",INDIRECT("Input!B"&amp;1+MATCH(aux_sheet!$B102,aux_sheet!$A$2:$A$202,0)))</f>
        <v/>
      </c>
      <c r="D103" s="2" t="str">
        <f ca="1">IF(ISBLANK(Input!C102),"",INDIRECT("Input!C"&amp;1+MATCH(aux_sheet!$B102,aux_sheet!$A$2:$A$202,0)))</f>
        <v/>
      </c>
      <c r="E103" s="2" t="str">
        <f ca="1">IF(ISBLANK(Input!D102),"",INDIRECT("Input!D"&amp;1+MATCH(aux_sheet!$B102,aux_sheet!$A$2:$A$202,0)))</f>
        <v/>
      </c>
      <c r="F103" s="11" t="str">
        <f ca="1">INDIRECT("Input!F"&amp;1+MATCH(aux_sheet!$B102,aux_sheet!$A$2:$A$202,0))</f>
        <v xml:space="preserve"> </v>
      </c>
      <c r="G103" s="106" t="str">
        <f ca="1">IF($B103="","",INDIRECT("aux_sheet!O"&amp;1+MATCH(aux_sheet!$B102,aux_sheet!$A$2:$A$202,0)))</f>
        <v/>
      </c>
      <c r="H103" s="89" t="str">
        <f ca="1">IF($B103="","",INDIRECT("aux_sheet!P"&amp;1+MATCH(aux_sheet!$B102,aux_sheet!$A$2:$A$202,0)))</f>
        <v/>
      </c>
      <c r="I103" s="89" t="str">
        <f ca="1">IF($B103="","",INDIRECT("aux_sheet!P"&amp;1+MATCH(aux_sheet!$B102,aux_sheet!$A$2:$A$202,0)))</f>
        <v/>
      </c>
      <c r="J103" s="106" t="str">
        <f ca="1">IF($B103="","",INDIRECT("aux_sheet!R"&amp;1+MATCH(aux_sheet!$B102,aux_sheet!$A$2:$A$202,0)))</f>
        <v/>
      </c>
      <c r="K103" s="89" t="str">
        <f ca="1">IF($B103="","",INDIRECT("aux_sheet!S"&amp;1+MATCH(aux_sheet!$B102,aux_sheet!$A$2:$A$202,0)))</f>
        <v/>
      </c>
      <c r="L103" s="89" t="str">
        <f ca="1">IF($B103="","",INDIRECT("aux_sheet!S"&amp;1+MATCH(aux_sheet!$B102,aux_sheet!$A$2:$A$202,0)))</f>
        <v/>
      </c>
      <c r="M103" s="106" t="str">
        <f ca="1">IF($B103="","",INDIRECT("aux_sheet!U"&amp;1+MATCH(aux_sheet!$B102,aux_sheet!$A$2:$A$202,0)))</f>
        <v/>
      </c>
      <c r="N103" s="89" t="str">
        <f ca="1">IF($B103="","",INDIRECT("aux_sheet!V"&amp;1+MATCH(aux_sheet!$B102,aux_sheet!$A$2:$A$202,0)))</f>
        <v/>
      </c>
      <c r="O103" s="89" t="str">
        <f ca="1">IF($B103="","",INDIRECT("aux_sheet!V"&amp;1+MATCH(aux_sheet!$B102,aux_sheet!$A$2:$A$202,0)))</f>
        <v/>
      </c>
      <c r="P103" s="106" t="str">
        <f ca="1">IF($B103="","",INDIRECT("aux_sheet!X"&amp;1+MATCH(aux_sheet!$B102,aux_sheet!$A$2:$A$202,0)))</f>
        <v/>
      </c>
      <c r="Q103" s="89" t="str">
        <f ca="1">IF($B103="","",INDIRECT("aux_sheet!Y"&amp;1+MATCH(aux_sheet!$B102,aux_sheet!$A$2:$A$202,0)))</f>
        <v/>
      </c>
      <c r="R103" s="89" t="str">
        <f ca="1">IF($B103="","",INDIRECT("aux_sheet!Y"&amp;1+MATCH(aux_sheet!$B102,aux_sheet!$A$2:$A$202,0)))</f>
        <v/>
      </c>
      <c r="S103" s="106" t="str">
        <f ca="1">IF($B103="","",INDIRECT("aux_sheet!AA"&amp;1+MATCH(aux_sheet!$B102,aux_sheet!$A$2:$A$202,0)))</f>
        <v/>
      </c>
      <c r="T103" s="89" t="str">
        <f ca="1">IF($B103="","",INDIRECT("aux_sheet!AB"&amp;1+MATCH(aux_sheet!$B102,aux_sheet!$A$2:$A$202,0)))</f>
        <v/>
      </c>
      <c r="U103" s="89" t="str">
        <f ca="1">IF($B103="","",INDIRECT("aux_sheet!AB"&amp;1+MATCH(aux_sheet!$B102,aux_sheet!$A$2:$A$202,0)))</f>
        <v/>
      </c>
      <c r="V103" s="106" t="str">
        <f ca="1">IF($B103="","",INDIRECT("aux_sheet!AD"&amp;1+MATCH(aux_sheet!$B102,aux_sheet!$A$2:$A$202,0)))</f>
        <v/>
      </c>
      <c r="W103" s="89" t="str">
        <f ca="1">IF($B103="","",INDIRECT("aux_sheet!AE"&amp;1+MATCH(aux_sheet!$B102,aux_sheet!$A$2:$A$202,0)))</f>
        <v/>
      </c>
      <c r="X103" s="89" t="str">
        <f ca="1">IF($B103="","",INDIRECT("aux_sheet!AE"&amp;1+MATCH(aux_sheet!$B102,aux_sheet!$A$2:$A$202,0)))</f>
        <v/>
      </c>
      <c r="Y103" s="106" t="str">
        <f ca="1">IF($B103="","",INDIRECT("aux_sheet!AG"&amp;1+MATCH(aux_sheet!$B102,aux_sheet!$A$2:$A$202,0)))</f>
        <v/>
      </c>
      <c r="Z103" s="89" t="str">
        <f ca="1">IF($B103="","",INDIRECT("aux_sheet!AH"&amp;1+MATCH(aux_sheet!$B102,aux_sheet!$A$2:$A$202,0)))</f>
        <v/>
      </c>
      <c r="AA103" s="89" t="str">
        <f ca="1">IF($B103="","",INDIRECT("aux_sheet!AH"&amp;1+MATCH(aux_sheet!$B102,aux_sheet!$A$2:$A$202,0)))</f>
        <v/>
      </c>
      <c r="AB103" s="106" t="str">
        <f ca="1">IF($B103="","",INDIRECT("aux_sheet!AJ"&amp;1+MATCH(aux_sheet!$B102,aux_sheet!$A$2:$A$202,0)))</f>
        <v/>
      </c>
      <c r="AC103" s="89" t="str">
        <f ca="1">IF($B103="","",INDIRECT("aux_sheet!AK"&amp;1+MATCH(aux_sheet!$B102,aux_sheet!$A$2:$A$202,0)))</f>
        <v/>
      </c>
      <c r="AD103" s="89" t="str">
        <f ca="1">IF($B103="","",INDIRECT("aux_sheet!AK"&amp;1+MATCH(aux_sheet!$B102,aux_sheet!$A$2:$A$202,0)))</f>
        <v/>
      </c>
      <c r="AE103" s="106" t="str">
        <f ca="1">IF($B103="","",INDIRECT("aux_sheet!AM"&amp;1+MATCH(aux_sheet!$B102,aux_sheet!$A$2:$A$202,0)))</f>
        <v/>
      </c>
      <c r="AF103" s="89" t="str">
        <f ca="1">IF($B103="","",INDIRECT("aux_sheet!AN"&amp;1+MATCH(aux_sheet!$B102,aux_sheet!$A$2:$A$202,0)))</f>
        <v/>
      </c>
      <c r="AG103" s="89" t="str">
        <f ca="1">IF($B103="","",INDIRECT("aux_sheet!AN"&amp;1+MATCH(aux_sheet!$B102,aux_sheet!$A$2:$A$202,0)))</f>
        <v/>
      </c>
      <c r="AH103" s="14" t="str">
        <f>IF(ISBLANK(Input!A102)," ",F102-F103)</f>
        <v xml:space="preserve"> </v>
      </c>
    </row>
    <row r="104" spans="1:34" x14ac:dyDescent="0.35">
      <c r="A104" s="2" t="str">
        <f>IF(ISBLANK(Input!A103),"",ROUNDDOWN(aux_sheet!B103,0))</f>
        <v/>
      </c>
      <c r="B104" s="2" t="str">
        <f ca="1">IF(ISBLANK(Input!A103),"",INDIRECT("Input!A"&amp;1+MATCH(aux_sheet!$B103,aux_sheet!$A$2:$A$202,0)))</f>
        <v/>
      </c>
      <c r="C104" s="2" t="str">
        <f ca="1">IF(ISBLANK(Input!B103),"",INDIRECT("Input!B"&amp;1+MATCH(aux_sheet!$B103,aux_sheet!$A$2:$A$202,0)))</f>
        <v/>
      </c>
      <c r="D104" s="2" t="str">
        <f ca="1">IF(ISBLANK(Input!C103),"",INDIRECT("Input!C"&amp;1+MATCH(aux_sheet!$B103,aux_sheet!$A$2:$A$202,0)))</f>
        <v/>
      </c>
      <c r="E104" s="2" t="str">
        <f ca="1">IF(ISBLANK(Input!D103),"",INDIRECT("Input!D"&amp;1+MATCH(aux_sheet!$B103,aux_sheet!$A$2:$A$202,0)))</f>
        <v/>
      </c>
      <c r="F104" s="11" t="str">
        <f ca="1">INDIRECT("Input!F"&amp;1+MATCH(aux_sheet!$B103,aux_sheet!$A$2:$A$202,0))</f>
        <v xml:space="preserve"> </v>
      </c>
      <c r="G104" s="106" t="str">
        <f ca="1">IF($B104="","",INDIRECT("aux_sheet!O"&amp;1+MATCH(aux_sheet!$B103,aux_sheet!$A$2:$A$202,0)))</f>
        <v/>
      </c>
      <c r="H104" s="89" t="str">
        <f ca="1">IF($B104="","",INDIRECT("aux_sheet!P"&amp;1+MATCH(aux_sheet!$B103,aux_sheet!$A$2:$A$202,0)))</f>
        <v/>
      </c>
      <c r="I104" s="89" t="str">
        <f ca="1">IF($B104="","",INDIRECT("aux_sheet!P"&amp;1+MATCH(aux_sheet!$B103,aux_sheet!$A$2:$A$202,0)))</f>
        <v/>
      </c>
      <c r="J104" s="106" t="str">
        <f ca="1">IF($B104="","",INDIRECT("aux_sheet!R"&amp;1+MATCH(aux_sheet!$B103,aux_sheet!$A$2:$A$202,0)))</f>
        <v/>
      </c>
      <c r="K104" s="89" t="str">
        <f ca="1">IF($B104="","",INDIRECT("aux_sheet!S"&amp;1+MATCH(aux_sheet!$B103,aux_sheet!$A$2:$A$202,0)))</f>
        <v/>
      </c>
      <c r="L104" s="89" t="str">
        <f ca="1">IF($B104="","",INDIRECT("aux_sheet!S"&amp;1+MATCH(aux_sheet!$B103,aux_sheet!$A$2:$A$202,0)))</f>
        <v/>
      </c>
      <c r="M104" s="106" t="str">
        <f ca="1">IF($B104="","",INDIRECT("aux_sheet!U"&amp;1+MATCH(aux_sheet!$B103,aux_sheet!$A$2:$A$202,0)))</f>
        <v/>
      </c>
      <c r="N104" s="89" t="str">
        <f ca="1">IF($B104="","",INDIRECT("aux_sheet!V"&amp;1+MATCH(aux_sheet!$B103,aux_sheet!$A$2:$A$202,0)))</f>
        <v/>
      </c>
      <c r="O104" s="89" t="str">
        <f ca="1">IF($B104="","",INDIRECT("aux_sheet!V"&amp;1+MATCH(aux_sheet!$B103,aux_sheet!$A$2:$A$202,0)))</f>
        <v/>
      </c>
      <c r="P104" s="106" t="str">
        <f ca="1">IF($B104="","",INDIRECT("aux_sheet!X"&amp;1+MATCH(aux_sheet!$B103,aux_sheet!$A$2:$A$202,0)))</f>
        <v/>
      </c>
      <c r="Q104" s="89" t="str">
        <f ca="1">IF($B104="","",INDIRECT("aux_sheet!Y"&amp;1+MATCH(aux_sheet!$B103,aux_sheet!$A$2:$A$202,0)))</f>
        <v/>
      </c>
      <c r="R104" s="89" t="str">
        <f ca="1">IF($B104="","",INDIRECT("aux_sheet!Y"&amp;1+MATCH(aux_sheet!$B103,aux_sheet!$A$2:$A$202,0)))</f>
        <v/>
      </c>
      <c r="S104" s="106" t="str">
        <f ca="1">IF($B104="","",INDIRECT("aux_sheet!AA"&amp;1+MATCH(aux_sheet!$B103,aux_sheet!$A$2:$A$202,0)))</f>
        <v/>
      </c>
      <c r="T104" s="89" t="str">
        <f ca="1">IF($B104="","",INDIRECT("aux_sheet!AB"&amp;1+MATCH(aux_sheet!$B103,aux_sheet!$A$2:$A$202,0)))</f>
        <v/>
      </c>
      <c r="U104" s="89" t="str">
        <f ca="1">IF($B104="","",INDIRECT("aux_sheet!AB"&amp;1+MATCH(aux_sheet!$B103,aux_sheet!$A$2:$A$202,0)))</f>
        <v/>
      </c>
      <c r="V104" s="106" t="str">
        <f ca="1">IF($B104="","",INDIRECT("aux_sheet!AD"&amp;1+MATCH(aux_sheet!$B103,aux_sheet!$A$2:$A$202,0)))</f>
        <v/>
      </c>
      <c r="W104" s="89" t="str">
        <f ca="1">IF($B104="","",INDIRECT("aux_sheet!AE"&amp;1+MATCH(aux_sheet!$B103,aux_sheet!$A$2:$A$202,0)))</f>
        <v/>
      </c>
      <c r="X104" s="89" t="str">
        <f ca="1">IF($B104="","",INDIRECT("aux_sheet!AE"&amp;1+MATCH(aux_sheet!$B103,aux_sheet!$A$2:$A$202,0)))</f>
        <v/>
      </c>
      <c r="Y104" s="106" t="str">
        <f ca="1">IF($B104="","",INDIRECT("aux_sheet!AG"&amp;1+MATCH(aux_sheet!$B103,aux_sheet!$A$2:$A$202,0)))</f>
        <v/>
      </c>
      <c r="Z104" s="89" t="str">
        <f ca="1">IF($B104="","",INDIRECT("aux_sheet!AH"&amp;1+MATCH(aux_sheet!$B103,aux_sheet!$A$2:$A$202,0)))</f>
        <v/>
      </c>
      <c r="AA104" s="89" t="str">
        <f ca="1">IF($B104="","",INDIRECT("aux_sheet!AH"&amp;1+MATCH(aux_sheet!$B103,aux_sheet!$A$2:$A$202,0)))</f>
        <v/>
      </c>
      <c r="AB104" s="106" t="str">
        <f ca="1">IF($B104="","",INDIRECT("aux_sheet!AJ"&amp;1+MATCH(aux_sheet!$B103,aux_sheet!$A$2:$A$202,0)))</f>
        <v/>
      </c>
      <c r="AC104" s="89" t="str">
        <f ca="1">IF($B104="","",INDIRECT("aux_sheet!AK"&amp;1+MATCH(aux_sheet!$B103,aux_sheet!$A$2:$A$202,0)))</f>
        <v/>
      </c>
      <c r="AD104" s="89" t="str">
        <f ca="1">IF($B104="","",INDIRECT("aux_sheet!AK"&amp;1+MATCH(aux_sheet!$B103,aux_sheet!$A$2:$A$202,0)))</f>
        <v/>
      </c>
      <c r="AE104" s="106" t="str">
        <f ca="1">IF($B104="","",INDIRECT("aux_sheet!AM"&amp;1+MATCH(aux_sheet!$B103,aux_sheet!$A$2:$A$202,0)))</f>
        <v/>
      </c>
      <c r="AF104" s="89" t="str">
        <f ca="1">IF($B104="","",INDIRECT("aux_sheet!AN"&amp;1+MATCH(aux_sheet!$B103,aux_sheet!$A$2:$A$202,0)))</f>
        <v/>
      </c>
      <c r="AG104" s="89" t="str">
        <f ca="1">IF($B104="","",INDIRECT("aux_sheet!AN"&amp;1+MATCH(aux_sheet!$B103,aux_sheet!$A$2:$A$202,0)))</f>
        <v/>
      </c>
      <c r="AH104" s="14" t="str">
        <f>IF(ISBLANK(Input!A103)," ",F103-F104)</f>
        <v xml:space="preserve"> </v>
      </c>
    </row>
    <row r="105" spans="1:34" x14ac:dyDescent="0.35">
      <c r="A105" s="2" t="str">
        <f>IF(ISBLANK(Input!A104),"",ROUNDDOWN(aux_sheet!B104,0))</f>
        <v/>
      </c>
      <c r="B105" s="2" t="str">
        <f ca="1">IF(ISBLANK(Input!A104),"",INDIRECT("Input!A"&amp;1+MATCH(aux_sheet!$B104,aux_sheet!$A$2:$A$202,0)))</f>
        <v/>
      </c>
      <c r="C105" s="2" t="str">
        <f ca="1">IF(ISBLANK(Input!B104),"",INDIRECT("Input!B"&amp;1+MATCH(aux_sheet!$B104,aux_sheet!$A$2:$A$202,0)))</f>
        <v/>
      </c>
      <c r="D105" s="2" t="str">
        <f ca="1">IF(ISBLANK(Input!C104),"",INDIRECT("Input!C"&amp;1+MATCH(aux_sheet!$B104,aux_sheet!$A$2:$A$202,0)))</f>
        <v/>
      </c>
      <c r="E105" s="2" t="str">
        <f ca="1">IF(ISBLANK(Input!D104),"",INDIRECT("Input!D"&amp;1+MATCH(aux_sheet!$B104,aux_sheet!$A$2:$A$202,0)))</f>
        <v/>
      </c>
      <c r="F105" s="11" t="str">
        <f ca="1">INDIRECT("Input!F"&amp;1+MATCH(aux_sheet!$B104,aux_sheet!$A$2:$A$202,0))</f>
        <v xml:space="preserve"> </v>
      </c>
      <c r="G105" s="106" t="str">
        <f ca="1">IF($B105="","",INDIRECT("aux_sheet!O"&amp;1+MATCH(aux_sheet!$B104,aux_sheet!$A$2:$A$202,0)))</f>
        <v/>
      </c>
      <c r="H105" s="89" t="str">
        <f ca="1">IF($B105="","",INDIRECT("aux_sheet!P"&amp;1+MATCH(aux_sheet!$B104,aux_sheet!$A$2:$A$202,0)))</f>
        <v/>
      </c>
      <c r="I105" s="89" t="str">
        <f ca="1">IF($B105="","",INDIRECT("aux_sheet!P"&amp;1+MATCH(aux_sheet!$B104,aux_sheet!$A$2:$A$202,0)))</f>
        <v/>
      </c>
      <c r="J105" s="106" t="str">
        <f ca="1">IF($B105="","",INDIRECT("aux_sheet!R"&amp;1+MATCH(aux_sheet!$B104,aux_sheet!$A$2:$A$202,0)))</f>
        <v/>
      </c>
      <c r="K105" s="89" t="str">
        <f ca="1">IF($B105="","",INDIRECT("aux_sheet!S"&amp;1+MATCH(aux_sheet!$B104,aux_sheet!$A$2:$A$202,0)))</f>
        <v/>
      </c>
      <c r="L105" s="89" t="str">
        <f ca="1">IF($B105="","",INDIRECT("aux_sheet!S"&amp;1+MATCH(aux_sheet!$B104,aux_sheet!$A$2:$A$202,0)))</f>
        <v/>
      </c>
      <c r="M105" s="106" t="str">
        <f ca="1">IF($B105="","",INDIRECT("aux_sheet!U"&amp;1+MATCH(aux_sheet!$B104,aux_sheet!$A$2:$A$202,0)))</f>
        <v/>
      </c>
      <c r="N105" s="89" t="str">
        <f ca="1">IF($B105="","",INDIRECT("aux_sheet!V"&amp;1+MATCH(aux_sheet!$B104,aux_sheet!$A$2:$A$202,0)))</f>
        <v/>
      </c>
      <c r="O105" s="89" t="str">
        <f ca="1">IF($B105="","",INDIRECT("aux_sheet!V"&amp;1+MATCH(aux_sheet!$B104,aux_sheet!$A$2:$A$202,0)))</f>
        <v/>
      </c>
      <c r="P105" s="106" t="str">
        <f ca="1">IF($B105="","",INDIRECT("aux_sheet!X"&amp;1+MATCH(aux_sheet!$B104,aux_sheet!$A$2:$A$202,0)))</f>
        <v/>
      </c>
      <c r="Q105" s="89" t="str">
        <f ca="1">IF($B105="","",INDIRECT("aux_sheet!Y"&amp;1+MATCH(aux_sheet!$B104,aux_sheet!$A$2:$A$202,0)))</f>
        <v/>
      </c>
      <c r="R105" s="89" t="str">
        <f ca="1">IF($B105="","",INDIRECT("aux_sheet!Y"&amp;1+MATCH(aux_sheet!$B104,aux_sheet!$A$2:$A$202,0)))</f>
        <v/>
      </c>
      <c r="S105" s="106" t="str">
        <f ca="1">IF($B105="","",INDIRECT("aux_sheet!AA"&amp;1+MATCH(aux_sheet!$B104,aux_sheet!$A$2:$A$202,0)))</f>
        <v/>
      </c>
      <c r="T105" s="89" t="str">
        <f ca="1">IF($B105="","",INDIRECT("aux_sheet!AB"&amp;1+MATCH(aux_sheet!$B104,aux_sheet!$A$2:$A$202,0)))</f>
        <v/>
      </c>
      <c r="U105" s="89" t="str">
        <f ca="1">IF($B105="","",INDIRECT("aux_sheet!AB"&amp;1+MATCH(aux_sheet!$B104,aux_sheet!$A$2:$A$202,0)))</f>
        <v/>
      </c>
      <c r="V105" s="106" t="str">
        <f ca="1">IF($B105="","",INDIRECT("aux_sheet!AD"&amp;1+MATCH(aux_sheet!$B104,aux_sheet!$A$2:$A$202,0)))</f>
        <v/>
      </c>
      <c r="W105" s="89" t="str">
        <f ca="1">IF($B105="","",INDIRECT("aux_sheet!AE"&amp;1+MATCH(aux_sheet!$B104,aux_sheet!$A$2:$A$202,0)))</f>
        <v/>
      </c>
      <c r="X105" s="89" t="str">
        <f ca="1">IF($B105="","",INDIRECT("aux_sheet!AE"&amp;1+MATCH(aux_sheet!$B104,aux_sheet!$A$2:$A$202,0)))</f>
        <v/>
      </c>
      <c r="Y105" s="106" t="str">
        <f ca="1">IF($B105="","",INDIRECT("aux_sheet!AG"&amp;1+MATCH(aux_sheet!$B104,aux_sheet!$A$2:$A$202,0)))</f>
        <v/>
      </c>
      <c r="Z105" s="89" t="str">
        <f ca="1">IF($B105="","",INDIRECT("aux_sheet!AH"&amp;1+MATCH(aux_sheet!$B104,aux_sheet!$A$2:$A$202,0)))</f>
        <v/>
      </c>
      <c r="AA105" s="89" t="str">
        <f ca="1">IF($B105="","",INDIRECT("aux_sheet!AH"&amp;1+MATCH(aux_sheet!$B104,aux_sheet!$A$2:$A$202,0)))</f>
        <v/>
      </c>
      <c r="AB105" s="106" t="str">
        <f ca="1">IF($B105="","",INDIRECT("aux_sheet!AJ"&amp;1+MATCH(aux_sheet!$B104,aux_sheet!$A$2:$A$202,0)))</f>
        <v/>
      </c>
      <c r="AC105" s="89" t="str">
        <f ca="1">IF($B105="","",INDIRECT("aux_sheet!AK"&amp;1+MATCH(aux_sheet!$B104,aux_sheet!$A$2:$A$202,0)))</f>
        <v/>
      </c>
      <c r="AD105" s="89" t="str">
        <f ca="1">IF($B105="","",INDIRECT("aux_sheet!AK"&amp;1+MATCH(aux_sheet!$B104,aux_sheet!$A$2:$A$202,0)))</f>
        <v/>
      </c>
      <c r="AE105" s="106" t="str">
        <f ca="1">IF($B105="","",INDIRECT("aux_sheet!AM"&amp;1+MATCH(aux_sheet!$B104,aux_sheet!$A$2:$A$202,0)))</f>
        <v/>
      </c>
      <c r="AF105" s="89" t="str">
        <f ca="1">IF($B105="","",INDIRECT("aux_sheet!AN"&amp;1+MATCH(aux_sheet!$B104,aux_sheet!$A$2:$A$202,0)))</f>
        <v/>
      </c>
      <c r="AG105" s="89" t="str">
        <f ca="1">IF($B105="","",INDIRECT("aux_sheet!AN"&amp;1+MATCH(aux_sheet!$B104,aux_sheet!$A$2:$A$202,0)))</f>
        <v/>
      </c>
      <c r="AH105" s="14" t="str">
        <f>IF(ISBLANK(Input!A104)," ",F104-F105)</f>
        <v xml:space="preserve"> </v>
      </c>
    </row>
    <row r="106" spans="1:34" x14ac:dyDescent="0.35">
      <c r="A106" s="2" t="str">
        <f>IF(ISBLANK(Input!A105),"",ROUNDDOWN(aux_sheet!B105,0))</f>
        <v/>
      </c>
      <c r="B106" s="2" t="str">
        <f ca="1">IF(ISBLANK(Input!A105),"",INDIRECT("Input!A"&amp;1+MATCH(aux_sheet!$B105,aux_sheet!$A$2:$A$202,0)))</f>
        <v/>
      </c>
      <c r="C106" s="2" t="str">
        <f ca="1">IF(ISBLANK(Input!B105),"",INDIRECT("Input!B"&amp;1+MATCH(aux_sheet!$B105,aux_sheet!$A$2:$A$202,0)))</f>
        <v/>
      </c>
      <c r="D106" s="2" t="str">
        <f ca="1">IF(ISBLANK(Input!C105),"",INDIRECT("Input!C"&amp;1+MATCH(aux_sheet!$B105,aux_sheet!$A$2:$A$202,0)))</f>
        <v/>
      </c>
      <c r="E106" s="2" t="str">
        <f ca="1">IF(ISBLANK(Input!D105),"",INDIRECT("Input!D"&amp;1+MATCH(aux_sheet!$B105,aux_sheet!$A$2:$A$202,0)))</f>
        <v/>
      </c>
      <c r="F106" s="11" t="str">
        <f ca="1">INDIRECT("Input!F"&amp;1+MATCH(aux_sheet!$B105,aux_sheet!$A$2:$A$202,0))</f>
        <v xml:space="preserve"> </v>
      </c>
      <c r="G106" s="106" t="str">
        <f ca="1">IF($B106="","",INDIRECT("aux_sheet!O"&amp;1+MATCH(aux_sheet!$B105,aux_sheet!$A$2:$A$202,0)))</f>
        <v/>
      </c>
      <c r="H106" s="89" t="str">
        <f ca="1">IF($B106="","",INDIRECT("aux_sheet!P"&amp;1+MATCH(aux_sheet!$B105,aux_sheet!$A$2:$A$202,0)))</f>
        <v/>
      </c>
      <c r="I106" s="89" t="str">
        <f ca="1">IF($B106="","",INDIRECT("aux_sheet!P"&amp;1+MATCH(aux_sheet!$B105,aux_sheet!$A$2:$A$202,0)))</f>
        <v/>
      </c>
      <c r="J106" s="106" t="str">
        <f ca="1">IF($B106="","",INDIRECT("aux_sheet!R"&amp;1+MATCH(aux_sheet!$B105,aux_sheet!$A$2:$A$202,0)))</f>
        <v/>
      </c>
      <c r="K106" s="89" t="str">
        <f ca="1">IF($B106="","",INDIRECT("aux_sheet!S"&amp;1+MATCH(aux_sheet!$B105,aux_sheet!$A$2:$A$202,0)))</f>
        <v/>
      </c>
      <c r="L106" s="89" t="str">
        <f ca="1">IF($B106="","",INDIRECT("aux_sheet!S"&amp;1+MATCH(aux_sheet!$B105,aux_sheet!$A$2:$A$202,0)))</f>
        <v/>
      </c>
      <c r="M106" s="106" t="str">
        <f ca="1">IF($B106="","",INDIRECT("aux_sheet!U"&amp;1+MATCH(aux_sheet!$B105,aux_sheet!$A$2:$A$202,0)))</f>
        <v/>
      </c>
      <c r="N106" s="89" t="str">
        <f ca="1">IF($B106="","",INDIRECT("aux_sheet!V"&amp;1+MATCH(aux_sheet!$B105,aux_sheet!$A$2:$A$202,0)))</f>
        <v/>
      </c>
      <c r="O106" s="89" t="str">
        <f ca="1">IF($B106="","",INDIRECT("aux_sheet!V"&amp;1+MATCH(aux_sheet!$B105,aux_sheet!$A$2:$A$202,0)))</f>
        <v/>
      </c>
      <c r="P106" s="106" t="str">
        <f ca="1">IF($B106="","",INDIRECT("aux_sheet!X"&amp;1+MATCH(aux_sheet!$B105,aux_sheet!$A$2:$A$202,0)))</f>
        <v/>
      </c>
      <c r="Q106" s="89" t="str">
        <f ca="1">IF($B106="","",INDIRECT("aux_sheet!Y"&amp;1+MATCH(aux_sheet!$B105,aux_sheet!$A$2:$A$202,0)))</f>
        <v/>
      </c>
      <c r="R106" s="89" t="str">
        <f ca="1">IF($B106="","",INDIRECT("aux_sheet!Y"&amp;1+MATCH(aux_sheet!$B105,aux_sheet!$A$2:$A$202,0)))</f>
        <v/>
      </c>
      <c r="S106" s="106" t="str">
        <f ca="1">IF($B106="","",INDIRECT("aux_sheet!AA"&amp;1+MATCH(aux_sheet!$B105,aux_sheet!$A$2:$A$202,0)))</f>
        <v/>
      </c>
      <c r="T106" s="89" t="str">
        <f ca="1">IF($B106="","",INDIRECT("aux_sheet!AB"&amp;1+MATCH(aux_sheet!$B105,aux_sheet!$A$2:$A$202,0)))</f>
        <v/>
      </c>
      <c r="U106" s="89" t="str">
        <f ca="1">IF($B106="","",INDIRECT("aux_sheet!AB"&amp;1+MATCH(aux_sheet!$B105,aux_sheet!$A$2:$A$202,0)))</f>
        <v/>
      </c>
      <c r="V106" s="106" t="str">
        <f ca="1">IF($B106="","",INDIRECT("aux_sheet!AD"&amp;1+MATCH(aux_sheet!$B105,aux_sheet!$A$2:$A$202,0)))</f>
        <v/>
      </c>
      <c r="W106" s="89" t="str">
        <f ca="1">IF($B106="","",INDIRECT("aux_sheet!AE"&amp;1+MATCH(aux_sheet!$B105,aux_sheet!$A$2:$A$202,0)))</f>
        <v/>
      </c>
      <c r="X106" s="89" t="str">
        <f ca="1">IF($B106="","",INDIRECT("aux_sheet!AE"&amp;1+MATCH(aux_sheet!$B105,aux_sheet!$A$2:$A$202,0)))</f>
        <v/>
      </c>
      <c r="Y106" s="106" t="str">
        <f ca="1">IF($B106="","",INDIRECT("aux_sheet!AG"&amp;1+MATCH(aux_sheet!$B105,aux_sheet!$A$2:$A$202,0)))</f>
        <v/>
      </c>
      <c r="Z106" s="89" t="str">
        <f ca="1">IF($B106="","",INDIRECT("aux_sheet!AH"&amp;1+MATCH(aux_sheet!$B105,aux_sheet!$A$2:$A$202,0)))</f>
        <v/>
      </c>
      <c r="AA106" s="89" t="str">
        <f ca="1">IF($B106="","",INDIRECT("aux_sheet!AH"&amp;1+MATCH(aux_sheet!$B105,aux_sheet!$A$2:$A$202,0)))</f>
        <v/>
      </c>
      <c r="AB106" s="106" t="str">
        <f ca="1">IF($B106="","",INDIRECT("aux_sheet!AJ"&amp;1+MATCH(aux_sheet!$B105,aux_sheet!$A$2:$A$202,0)))</f>
        <v/>
      </c>
      <c r="AC106" s="89" t="str">
        <f ca="1">IF($B106="","",INDIRECT("aux_sheet!AK"&amp;1+MATCH(aux_sheet!$B105,aux_sheet!$A$2:$A$202,0)))</f>
        <v/>
      </c>
      <c r="AD106" s="89" t="str">
        <f ca="1">IF($B106="","",INDIRECT("aux_sheet!AK"&amp;1+MATCH(aux_sheet!$B105,aux_sheet!$A$2:$A$202,0)))</f>
        <v/>
      </c>
      <c r="AE106" s="106" t="str">
        <f ca="1">IF($B106="","",INDIRECT("aux_sheet!AM"&amp;1+MATCH(aux_sheet!$B105,aux_sheet!$A$2:$A$202,0)))</f>
        <v/>
      </c>
      <c r="AF106" s="89" t="str">
        <f ca="1">IF($B106="","",INDIRECT("aux_sheet!AN"&amp;1+MATCH(aux_sheet!$B105,aux_sheet!$A$2:$A$202,0)))</f>
        <v/>
      </c>
      <c r="AG106" s="89" t="str">
        <f ca="1">IF($B106="","",INDIRECT("aux_sheet!AN"&amp;1+MATCH(aux_sheet!$B105,aux_sheet!$A$2:$A$202,0)))</f>
        <v/>
      </c>
      <c r="AH106" s="14" t="str">
        <f>IF(ISBLANK(Input!A105)," ",F105-F106)</f>
        <v xml:space="preserve"> </v>
      </c>
    </row>
    <row r="107" spans="1:34" x14ac:dyDescent="0.35">
      <c r="A107" s="2" t="str">
        <f>IF(ISBLANK(Input!A106),"",ROUNDDOWN(aux_sheet!B106,0))</f>
        <v/>
      </c>
      <c r="B107" s="2" t="str">
        <f ca="1">IF(ISBLANK(Input!A106),"",INDIRECT("Input!A"&amp;1+MATCH(aux_sheet!$B106,aux_sheet!$A$2:$A$202,0)))</f>
        <v/>
      </c>
      <c r="C107" s="2" t="str">
        <f ca="1">IF(ISBLANK(Input!B106),"",INDIRECT("Input!B"&amp;1+MATCH(aux_sheet!$B106,aux_sheet!$A$2:$A$202,0)))</f>
        <v/>
      </c>
      <c r="D107" s="2" t="str">
        <f ca="1">IF(ISBLANK(Input!C106),"",INDIRECT("Input!C"&amp;1+MATCH(aux_sheet!$B106,aux_sheet!$A$2:$A$202,0)))</f>
        <v/>
      </c>
      <c r="E107" s="2" t="str">
        <f ca="1">IF(ISBLANK(Input!D106),"",INDIRECT("Input!D"&amp;1+MATCH(aux_sheet!$B106,aux_sheet!$A$2:$A$202,0)))</f>
        <v/>
      </c>
      <c r="F107" s="11" t="str">
        <f ca="1">INDIRECT("Input!F"&amp;1+MATCH(aux_sheet!$B106,aux_sheet!$A$2:$A$202,0))</f>
        <v xml:space="preserve"> </v>
      </c>
      <c r="G107" s="106" t="str">
        <f ca="1">IF($B107="","",INDIRECT("aux_sheet!O"&amp;1+MATCH(aux_sheet!$B106,aux_sheet!$A$2:$A$202,0)))</f>
        <v/>
      </c>
      <c r="H107" s="89" t="str">
        <f ca="1">IF($B107="","",INDIRECT("aux_sheet!P"&amp;1+MATCH(aux_sheet!$B106,aux_sheet!$A$2:$A$202,0)))</f>
        <v/>
      </c>
      <c r="I107" s="89" t="str">
        <f ca="1">IF($B107="","",INDIRECT("aux_sheet!P"&amp;1+MATCH(aux_sheet!$B106,aux_sheet!$A$2:$A$202,0)))</f>
        <v/>
      </c>
      <c r="J107" s="106" t="str">
        <f ca="1">IF($B107="","",INDIRECT("aux_sheet!R"&amp;1+MATCH(aux_sheet!$B106,aux_sheet!$A$2:$A$202,0)))</f>
        <v/>
      </c>
      <c r="K107" s="89" t="str">
        <f ca="1">IF($B107="","",INDIRECT("aux_sheet!S"&amp;1+MATCH(aux_sheet!$B106,aux_sheet!$A$2:$A$202,0)))</f>
        <v/>
      </c>
      <c r="L107" s="89" t="str">
        <f ca="1">IF($B107="","",INDIRECT("aux_sheet!S"&amp;1+MATCH(aux_sheet!$B106,aux_sheet!$A$2:$A$202,0)))</f>
        <v/>
      </c>
      <c r="M107" s="106" t="str">
        <f ca="1">IF($B107="","",INDIRECT("aux_sheet!U"&amp;1+MATCH(aux_sheet!$B106,aux_sheet!$A$2:$A$202,0)))</f>
        <v/>
      </c>
      <c r="N107" s="89" t="str">
        <f ca="1">IF($B107="","",INDIRECT("aux_sheet!V"&amp;1+MATCH(aux_sheet!$B106,aux_sheet!$A$2:$A$202,0)))</f>
        <v/>
      </c>
      <c r="O107" s="89" t="str">
        <f ca="1">IF($B107="","",INDIRECT("aux_sheet!V"&amp;1+MATCH(aux_sheet!$B106,aux_sheet!$A$2:$A$202,0)))</f>
        <v/>
      </c>
      <c r="P107" s="106" t="str">
        <f ca="1">IF($B107="","",INDIRECT("aux_sheet!X"&amp;1+MATCH(aux_sheet!$B106,aux_sheet!$A$2:$A$202,0)))</f>
        <v/>
      </c>
      <c r="Q107" s="89" t="str">
        <f ca="1">IF($B107="","",INDIRECT("aux_sheet!Y"&amp;1+MATCH(aux_sheet!$B106,aux_sheet!$A$2:$A$202,0)))</f>
        <v/>
      </c>
      <c r="R107" s="89" t="str">
        <f ca="1">IF($B107="","",INDIRECT("aux_sheet!Y"&amp;1+MATCH(aux_sheet!$B106,aux_sheet!$A$2:$A$202,0)))</f>
        <v/>
      </c>
      <c r="S107" s="106" t="str">
        <f ca="1">IF($B107="","",INDIRECT("aux_sheet!AA"&amp;1+MATCH(aux_sheet!$B106,aux_sheet!$A$2:$A$202,0)))</f>
        <v/>
      </c>
      <c r="T107" s="89" t="str">
        <f ca="1">IF($B107="","",INDIRECT("aux_sheet!AB"&amp;1+MATCH(aux_sheet!$B106,aux_sheet!$A$2:$A$202,0)))</f>
        <v/>
      </c>
      <c r="U107" s="89" t="str">
        <f ca="1">IF($B107="","",INDIRECT("aux_sheet!AB"&amp;1+MATCH(aux_sheet!$B106,aux_sheet!$A$2:$A$202,0)))</f>
        <v/>
      </c>
      <c r="V107" s="106" t="str">
        <f ca="1">IF($B107="","",INDIRECT("aux_sheet!AD"&amp;1+MATCH(aux_sheet!$B106,aux_sheet!$A$2:$A$202,0)))</f>
        <v/>
      </c>
      <c r="W107" s="89" t="str">
        <f ca="1">IF($B107="","",INDIRECT("aux_sheet!AE"&amp;1+MATCH(aux_sheet!$B106,aux_sheet!$A$2:$A$202,0)))</f>
        <v/>
      </c>
      <c r="X107" s="89" t="str">
        <f ca="1">IF($B107="","",INDIRECT("aux_sheet!AE"&amp;1+MATCH(aux_sheet!$B106,aux_sheet!$A$2:$A$202,0)))</f>
        <v/>
      </c>
      <c r="Y107" s="106" t="str">
        <f ca="1">IF($B107="","",INDIRECT("aux_sheet!AG"&amp;1+MATCH(aux_sheet!$B106,aux_sheet!$A$2:$A$202,0)))</f>
        <v/>
      </c>
      <c r="Z107" s="89" t="str">
        <f ca="1">IF($B107="","",INDIRECT("aux_sheet!AH"&amp;1+MATCH(aux_sheet!$B106,aux_sheet!$A$2:$A$202,0)))</f>
        <v/>
      </c>
      <c r="AA107" s="89" t="str">
        <f ca="1">IF($B107="","",INDIRECT("aux_sheet!AH"&amp;1+MATCH(aux_sheet!$B106,aux_sheet!$A$2:$A$202,0)))</f>
        <v/>
      </c>
      <c r="AB107" s="106" t="str">
        <f ca="1">IF($B107="","",INDIRECT("aux_sheet!AJ"&amp;1+MATCH(aux_sheet!$B106,aux_sheet!$A$2:$A$202,0)))</f>
        <v/>
      </c>
      <c r="AC107" s="89" t="str">
        <f ca="1">IF($B107="","",INDIRECT("aux_sheet!AK"&amp;1+MATCH(aux_sheet!$B106,aux_sheet!$A$2:$A$202,0)))</f>
        <v/>
      </c>
      <c r="AD107" s="89" t="str">
        <f ca="1">IF($B107="","",INDIRECT("aux_sheet!AK"&amp;1+MATCH(aux_sheet!$B106,aux_sheet!$A$2:$A$202,0)))</f>
        <v/>
      </c>
      <c r="AE107" s="106" t="str">
        <f ca="1">IF($B107="","",INDIRECT("aux_sheet!AM"&amp;1+MATCH(aux_sheet!$B106,aux_sheet!$A$2:$A$202,0)))</f>
        <v/>
      </c>
      <c r="AF107" s="89" t="str">
        <f ca="1">IF($B107="","",INDIRECT("aux_sheet!AN"&amp;1+MATCH(aux_sheet!$B106,aux_sheet!$A$2:$A$202,0)))</f>
        <v/>
      </c>
      <c r="AG107" s="89" t="str">
        <f ca="1">IF($B107="","",INDIRECT("aux_sheet!AN"&amp;1+MATCH(aux_sheet!$B106,aux_sheet!$A$2:$A$202,0)))</f>
        <v/>
      </c>
      <c r="AH107" s="14" t="str">
        <f>IF(ISBLANK(Input!A106)," ",F106-F107)</f>
        <v xml:space="preserve"> </v>
      </c>
    </row>
    <row r="108" spans="1:34" x14ac:dyDescent="0.35">
      <c r="A108" s="2" t="str">
        <f>IF(ISBLANK(Input!A107),"",ROUNDDOWN(aux_sheet!B107,0))</f>
        <v/>
      </c>
      <c r="B108" s="2" t="str">
        <f ca="1">IF(ISBLANK(Input!A107),"",INDIRECT("Input!A"&amp;1+MATCH(aux_sheet!$B107,aux_sheet!$A$2:$A$202,0)))</f>
        <v/>
      </c>
      <c r="C108" s="2" t="str">
        <f ca="1">IF(ISBLANK(Input!B107),"",INDIRECT("Input!B"&amp;1+MATCH(aux_sheet!$B107,aux_sheet!$A$2:$A$202,0)))</f>
        <v/>
      </c>
      <c r="D108" s="2" t="str">
        <f ca="1">IF(ISBLANK(Input!C107),"",INDIRECT("Input!C"&amp;1+MATCH(aux_sheet!$B107,aux_sheet!$A$2:$A$202,0)))</f>
        <v/>
      </c>
      <c r="E108" s="2" t="str">
        <f ca="1">IF(ISBLANK(Input!D107),"",INDIRECT("Input!D"&amp;1+MATCH(aux_sheet!$B107,aux_sheet!$A$2:$A$202,0)))</f>
        <v/>
      </c>
      <c r="F108" s="11" t="str">
        <f ca="1">INDIRECT("Input!F"&amp;1+MATCH(aux_sheet!$B107,aux_sheet!$A$2:$A$202,0))</f>
        <v xml:space="preserve"> </v>
      </c>
      <c r="G108" s="106" t="str">
        <f ca="1">IF($B108="","",INDIRECT("aux_sheet!O"&amp;1+MATCH(aux_sheet!$B107,aux_sheet!$A$2:$A$202,0)))</f>
        <v/>
      </c>
      <c r="H108" s="89" t="str">
        <f ca="1">IF($B108="","",INDIRECT("aux_sheet!P"&amp;1+MATCH(aux_sheet!$B107,aux_sheet!$A$2:$A$202,0)))</f>
        <v/>
      </c>
      <c r="I108" s="89" t="str">
        <f ca="1">IF($B108="","",INDIRECT("aux_sheet!P"&amp;1+MATCH(aux_sheet!$B107,aux_sheet!$A$2:$A$202,0)))</f>
        <v/>
      </c>
      <c r="J108" s="106" t="str">
        <f ca="1">IF($B108="","",INDIRECT("aux_sheet!R"&amp;1+MATCH(aux_sheet!$B107,aux_sheet!$A$2:$A$202,0)))</f>
        <v/>
      </c>
      <c r="K108" s="89" t="str">
        <f ca="1">IF($B108="","",INDIRECT("aux_sheet!S"&amp;1+MATCH(aux_sheet!$B107,aux_sheet!$A$2:$A$202,0)))</f>
        <v/>
      </c>
      <c r="L108" s="89" t="str">
        <f ca="1">IF($B108="","",INDIRECT("aux_sheet!S"&amp;1+MATCH(aux_sheet!$B107,aux_sheet!$A$2:$A$202,0)))</f>
        <v/>
      </c>
      <c r="M108" s="106" t="str">
        <f ca="1">IF($B108="","",INDIRECT("aux_sheet!U"&amp;1+MATCH(aux_sheet!$B107,aux_sheet!$A$2:$A$202,0)))</f>
        <v/>
      </c>
      <c r="N108" s="89" t="str">
        <f ca="1">IF($B108="","",INDIRECT("aux_sheet!V"&amp;1+MATCH(aux_sheet!$B107,aux_sheet!$A$2:$A$202,0)))</f>
        <v/>
      </c>
      <c r="O108" s="89" t="str">
        <f ca="1">IF($B108="","",INDIRECT("aux_sheet!V"&amp;1+MATCH(aux_sheet!$B107,aux_sheet!$A$2:$A$202,0)))</f>
        <v/>
      </c>
      <c r="P108" s="106" t="str">
        <f ca="1">IF($B108="","",INDIRECT("aux_sheet!X"&amp;1+MATCH(aux_sheet!$B107,aux_sheet!$A$2:$A$202,0)))</f>
        <v/>
      </c>
      <c r="Q108" s="89" t="str">
        <f ca="1">IF($B108="","",INDIRECT("aux_sheet!Y"&amp;1+MATCH(aux_sheet!$B107,aux_sheet!$A$2:$A$202,0)))</f>
        <v/>
      </c>
      <c r="R108" s="89" t="str">
        <f ca="1">IF($B108="","",INDIRECT("aux_sheet!Y"&amp;1+MATCH(aux_sheet!$B107,aux_sheet!$A$2:$A$202,0)))</f>
        <v/>
      </c>
      <c r="S108" s="106" t="str">
        <f ca="1">IF($B108="","",INDIRECT("aux_sheet!AA"&amp;1+MATCH(aux_sheet!$B107,aux_sheet!$A$2:$A$202,0)))</f>
        <v/>
      </c>
      <c r="T108" s="89" t="str">
        <f ca="1">IF($B108="","",INDIRECT("aux_sheet!AB"&amp;1+MATCH(aux_sheet!$B107,aux_sheet!$A$2:$A$202,0)))</f>
        <v/>
      </c>
      <c r="U108" s="89" t="str">
        <f ca="1">IF($B108="","",INDIRECT("aux_sheet!AB"&amp;1+MATCH(aux_sheet!$B107,aux_sheet!$A$2:$A$202,0)))</f>
        <v/>
      </c>
      <c r="V108" s="106" t="str">
        <f ca="1">IF($B108="","",INDIRECT("aux_sheet!AD"&amp;1+MATCH(aux_sheet!$B107,aux_sheet!$A$2:$A$202,0)))</f>
        <v/>
      </c>
      <c r="W108" s="89" t="str">
        <f ca="1">IF($B108="","",INDIRECT("aux_sheet!AE"&amp;1+MATCH(aux_sheet!$B107,aux_sheet!$A$2:$A$202,0)))</f>
        <v/>
      </c>
      <c r="X108" s="89" t="str">
        <f ca="1">IF($B108="","",INDIRECT("aux_sheet!AE"&amp;1+MATCH(aux_sheet!$B107,aux_sheet!$A$2:$A$202,0)))</f>
        <v/>
      </c>
      <c r="Y108" s="106" t="str">
        <f ca="1">IF($B108="","",INDIRECT("aux_sheet!AG"&amp;1+MATCH(aux_sheet!$B107,aux_sheet!$A$2:$A$202,0)))</f>
        <v/>
      </c>
      <c r="Z108" s="89" t="str">
        <f ca="1">IF($B108="","",INDIRECT("aux_sheet!AH"&amp;1+MATCH(aux_sheet!$B107,aux_sheet!$A$2:$A$202,0)))</f>
        <v/>
      </c>
      <c r="AA108" s="89" t="str">
        <f ca="1">IF($B108="","",INDIRECT("aux_sheet!AH"&amp;1+MATCH(aux_sheet!$B107,aux_sheet!$A$2:$A$202,0)))</f>
        <v/>
      </c>
      <c r="AB108" s="106" t="str">
        <f ca="1">IF($B108="","",INDIRECT("aux_sheet!AJ"&amp;1+MATCH(aux_sheet!$B107,aux_sheet!$A$2:$A$202,0)))</f>
        <v/>
      </c>
      <c r="AC108" s="89" t="str">
        <f ca="1">IF($B108="","",INDIRECT("aux_sheet!AK"&amp;1+MATCH(aux_sheet!$B107,aux_sheet!$A$2:$A$202,0)))</f>
        <v/>
      </c>
      <c r="AD108" s="89" t="str">
        <f ca="1">IF($B108="","",INDIRECT("aux_sheet!AK"&amp;1+MATCH(aux_sheet!$B107,aux_sheet!$A$2:$A$202,0)))</f>
        <v/>
      </c>
      <c r="AE108" s="106" t="str">
        <f ca="1">IF($B108="","",INDIRECT("aux_sheet!AM"&amp;1+MATCH(aux_sheet!$B107,aux_sheet!$A$2:$A$202,0)))</f>
        <v/>
      </c>
      <c r="AF108" s="89" t="str">
        <f ca="1">IF($B108="","",INDIRECT("aux_sheet!AN"&amp;1+MATCH(aux_sheet!$B107,aux_sheet!$A$2:$A$202,0)))</f>
        <v/>
      </c>
      <c r="AG108" s="89" t="str">
        <f ca="1">IF($B108="","",INDIRECT("aux_sheet!AN"&amp;1+MATCH(aux_sheet!$B107,aux_sheet!$A$2:$A$202,0)))</f>
        <v/>
      </c>
      <c r="AH108" s="14" t="str">
        <f>IF(ISBLANK(Input!A107)," ",F107-F108)</f>
        <v xml:space="preserve"> </v>
      </c>
    </row>
    <row r="109" spans="1:34" x14ac:dyDescent="0.35">
      <c r="A109" s="2" t="str">
        <f>IF(ISBLANK(Input!A108),"",ROUNDDOWN(aux_sheet!B108,0))</f>
        <v/>
      </c>
      <c r="B109" s="2" t="str">
        <f ca="1">IF(ISBLANK(Input!A108),"",INDIRECT("Input!A"&amp;1+MATCH(aux_sheet!$B108,aux_sheet!$A$2:$A$202,0)))</f>
        <v/>
      </c>
      <c r="C109" s="2" t="str">
        <f ca="1">IF(ISBLANK(Input!B108),"",INDIRECT("Input!B"&amp;1+MATCH(aux_sheet!$B108,aux_sheet!$A$2:$A$202,0)))</f>
        <v/>
      </c>
      <c r="D109" s="2" t="str">
        <f ca="1">IF(ISBLANK(Input!C108),"",INDIRECT("Input!C"&amp;1+MATCH(aux_sheet!$B108,aux_sheet!$A$2:$A$202,0)))</f>
        <v/>
      </c>
      <c r="E109" s="2" t="str">
        <f ca="1">IF(ISBLANK(Input!D108),"",INDIRECT("Input!D"&amp;1+MATCH(aux_sheet!$B108,aux_sheet!$A$2:$A$202,0)))</f>
        <v/>
      </c>
      <c r="F109" s="11" t="str">
        <f ca="1">INDIRECT("Input!F"&amp;1+MATCH(aux_sheet!$B108,aux_sheet!$A$2:$A$202,0))</f>
        <v xml:space="preserve"> </v>
      </c>
      <c r="G109" s="106" t="str">
        <f ca="1">IF($B109="","",INDIRECT("aux_sheet!O"&amp;1+MATCH(aux_sheet!$B108,aux_sheet!$A$2:$A$202,0)))</f>
        <v/>
      </c>
      <c r="H109" s="89" t="str">
        <f ca="1">IF($B109="","",INDIRECT("aux_sheet!P"&amp;1+MATCH(aux_sheet!$B108,aux_sheet!$A$2:$A$202,0)))</f>
        <v/>
      </c>
      <c r="I109" s="89" t="str">
        <f ca="1">IF($B109="","",INDIRECT("aux_sheet!P"&amp;1+MATCH(aux_sheet!$B108,aux_sheet!$A$2:$A$202,0)))</f>
        <v/>
      </c>
      <c r="J109" s="106" t="str">
        <f ca="1">IF($B109="","",INDIRECT("aux_sheet!R"&amp;1+MATCH(aux_sheet!$B108,aux_sheet!$A$2:$A$202,0)))</f>
        <v/>
      </c>
      <c r="K109" s="89" t="str">
        <f ca="1">IF($B109="","",INDIRECT("aux_sheet!S"&amp;1+MATCH(aux_sheet!$B108,aux_sheet!$A$2:$A$202,0)))</f>
        <v/>
      </c>
      <c r="L109" s="89" t="str">
        <f ca="1">IF($B109="","",INDIRECT("aux_sheet!S"&amp;1+MATCH(aux_sheet!$B108,aux_sheet!$A$2:$A$202,0)))</f>
        <v/>
      </c>
      <c r="M109" s="106" t="str">
        <f ca="1">IF($B109="","",INDIRECT("aux_sheet!U"&amp;1+MATCH(aux_sheet!$B108,aux_sheet!$A$2:$A$202,0)))</f>
        <v/>
      </c>
      <c r="N109" s="89" t="str">
        <f ca="1">IF($B109="","",INDIRECT("aux_sheet!V"&amp;1+MATCH(aux_sheet!$B108,aux_sheet!$A$2:$A$202,0)))</f>
        <v/>
      </c>
      <c r="O109" s="89" t="str">
        <f ca="1">IF($B109="","",INDIRECT("aux_sheet!V"&amp;1+MATCH(aux_sheet!$B108,aux_sheet!$A$2:$A$202,0)))</f>
        <v/>
      </c>
      <c r="P109" s="106" t="str">
        <f ca="1">IF($B109="","",INDIRECT("aux_sheet!X"&amp;1+MATCH(aux_sheet!$B108,aux_sheet!$A$2:$A$202,0)))</f>
        <v/>
      </c>
      <c r="Q109" s="89" t="str">
        <f ca="1">IF($B109="","",INDIRECT("aux_sheet!Y"&amp;1+MATCH(aux_sheet!$B108,aux_sheet!$A$2:$A$202,0)))</f>
        <v/>
      </c>
      <c r="R109" s="89" t="str">
        <f ca="1">IF($B109="","",INDIRECT("aux_sheet!Y"&amp;1+MATCH(aux_sheet!$B108,aux_sheet!$A$2:$A$202,0)))</f>
        <v/>
      </c>
      <c r="S109" s="106" t="str">
        <f ca="1">IF($B109="","",INDIRECT("aux_sheet!AA"&amp;1+MATCH(aux_sheet!$B108,aux_sheet!$A$2:$A$202,0)))</f>
        <v/>
      </c>
      <c r="T109" s="89" t="str">
        <f ca="1">IF($B109="","",INDIRECT("aux_sheet!AB"&amp;1+MATCH(aux_sheet!$B108,aux_sheet!$A$2:$A$202,0)))</f>
        <v/>
      </c>
      <c r="U109" s="89" t="str">
        <f ca="1">IF($B109="","",INDIRECT("aux_sheet!AB"&amp;1+MATCH(aux_sheet!$B108,aux_sheet!$A$2:$A$202,0)))</f>
        <v/>
      </c>
      <c r="V109" s="106" t="str">
        <f ca="1">IF($B109="","",INDIRECT("aux_sheet!AD"&amp;1+MATCH(aux_sheet!$B108,aux_sheet!$A$2:$A$202,0)))</f>
        <v/>
      </c>
      <c r="W109" s="89" t="str">
        <f ca="1">IF($B109="","",INDIRECT("aux_sheet!AE"&amp;1+MATCH(aux_sheet!$B108,aux_sheet!$A$2:$A$202,0)))</f>
        <v/>
      </c>
      <c r="X109" s="89" t="str">
        <f ca="1">IF($B109="","",INDIRECT("aux_sheet!AE"&amp;1+MATCH(aux_sheet!$B108,aux_sheet!$A$2:$A$202,0)))</f>
        <v/>
      </c>
      <c r="Y109" s="106" t="str">
        <f ca="1">IF($B109="","",INDIRECT("aux_sheet!AG"&amp;1+MATCH(aux_sheet!$B108,aux_sheet!$A$2:$A$202,0)))</f>
        <v/>
      </c>
      <c r="Z109" s="89" t="str">
        <f ca="1">IF($B109="","",INDIRECT("aux_sheet!AH"&amp;1+MATCH(aux_sheet!$B108,aux_sheet!$A$2:$A$202,0)))</f>
        <v/>
      </c>
      <c r="AA109" s="89" t="str">
        <f ca="1">IF($B109="","",INDIRECT("aux_sheet!AH"&amp;1+MATCH(aux_sheet!$B108,aux_sheet!$A$2:$A$202,0)))</f>
        <v/>
      </c>
      <c r="AB109" s="106" t="str">
        <f ca="1">IF($B109="","",INDIRECT("aux_sheet!AJ"&amp;1+MATCH(aux_sheet!$B108,aux_sheet!$A$2:$A$202,0)))</f>
        <v/>
      </c>
      <c r="AC109" s="89" t="str">
        <f ca="1">IF($B109="","",INDIRECT("aux_sheet!AK"&amp;1+MATCH(aux_sheet!$B108,aux_sheet!$A$2:$A$202,0)))</f>
        <v/>
      </c>
      <c r="AD109" s="89" t="str">
        <f ca="1">IF($B109="","",INDIRECT("aux_sheet!AK"&amp;1+MATCH(aux_sheet!$B108,aux_sheet!$A$2:$A$202,0)))</f>
        <v/>
      </c>
      <c r="AE109" s="106" t="str">
        <f ca="1">IF($B109="","",INDIRECT("aux_sheet!AM"&amp;1+MATCH(aux_sheet!$B108,aux_sheet!$A$2:$A$202,0)))</f>
        <v/>
      </c>
      <c r="AF109" s="89" t="str">
        <f ca="1">IF($B109="","",INDIRECT("aux_sheet!AN"&amp;1+MATCH(aux_sheet!$B108,aux_sheet!$A$2:$A$202,0)))</f>
        <v/>
      </c>
      <c r="AG109" s="89" t="str">
        <f ca="1">IF($B109="","",INDIRECT("aux_sheet!AN"&amp;1+MATCH(aux_sheet!$B108,aux_sheet!$A$2:$A$202,0)))</f>
        <v/>
      </c>
      <c r="AH109" s="14" t="str">
        <f>IF(ISBLANK(Input!A108)," ",F108-F109)</f>
        <v xml:space="preserve"> </v>
      </c>
    </row>
    <row r="110" spans="1:34" x14ac:dyDescent="0.35">
      <c r="A110" s="2" t="str">
        <f>IF(ISBLANK(Input!A109),"",ROUNDDOWN(aux_sheet!B109,0))</f>
        <v/>
      </c>
      <c r="B110" s="2" t="str">
        <f ca="1">IF(ISBLANK(Input!A109),"",INDIRECT("Input!A"&amp;1+MATCH(aux_sheet!$B109,aux_sheet!$A$2:$A$202,0)))</f>
        <v/>
      </c>
      <c r="C110" s="2" t="str">
        <f ca="1">IF(ISBLANK(Input!B109),"",INDIRECT("Input!B"&amp;1+MATCH(aux_sheet!$B109,aux_sheet!$A$2:$A$202,0)))</f>
        <v/>
      </c>
      <c r="D110" s="2" t="str">
        <f ca="1">IF(ISBLANK(Input!C109),"",INDIRECT("Input!C"&amp;1+MATCH(aux_sheet!$B109,aux_sheet!$A$2:$A$202,0)))</f>
        <v/>
      </c>
      <c r="E110" s="2" t="str">
        <f ca="1">IF(ISBLANK(Input!D109),"",INDIRECT("Input!D"&amp;1+MATCH(aux_sheet!$B109,aux_sheet!$A$2:$A$202,0)))</f>
        <v/>
      </c>
      <c r="F110" s="11" t="str">
        <f ca="1">INDIRECT("Input!F"&amp;1+MATCH(aux_sheet!$B109,aux_sheet!$A$2:$A$202,0))</f>
        <v xml:space="preserve"> </v>
      </c>
      <c r="G110" s="106" t="str">
        <f ca="1">IF($B110="","",INDIRECT("aux_sheet!O"&amp;1+MATCH(aux_sheet!$B109,aux_sheet!$A$2:$A$202,0)))</f>
        <v/>
      </c>
      <c r="H110" s="89" t="str">
        <f ca="1">IF($B110="","",INDIRECT("aux_sheet!P"&amp;1+MATCH(aux_sheet!$B109,aux_sheet!$A$2:$A$202,0)))</f>
        <v/>
      </c>
      <c r="I110" s="89" t="str">
        <f ca="1">IF($B110="","",INDIRECT("aux_sheet!P"&amp;1+MATCH(aux_sheet!$B109,aux_sheet!$A$2:$A$202,0)))</f>
        <v/>
      </c>
      <c r="J110" s="106" t="str">
        <f ca="1">IF($B110="","",INDIRECT("aux_sheet!R"&amp;1+MATCH(aux_sheet!$B109,aux_sheet!$A$2:$A$202,0)))</f>
        <v/>
      </c>
      <c r="K110" s="89" t="str">
        <f ca="1">IF($B110="","",INDIRECT("aux_sheet!S"&amp;1+MATCH(aux_sheet!$B109,aux_sheet!$A$2:$A$202,0)))</f>
        <v/>
      </c>
      <c r="L110" s="89" t="str">
        <f ca="1">IF($B110="","",INDIRECT("aux_sheet!S"&amp;1+MATCH(aux_sheet!$B109,aux_sheet!$A$2:$A$202,0)))</f>
        <v/>
      </c>
      <c r="M110" s="106" t="str">
        <f ca="1">IF($B110="","",INDIRECT("aux_sheet!U"&amp;1+MATCH(aux_sheet!$B109,aux_sheet!$A$2:$A$202,0)))</f>
        <v/>
      </c>
      <c r="N110" s="89" t="str">
        <f ca="1">IF($B110="","",INDIRECT("aux_sheet!V"&amp;1+MATCH(aux_sheet!$B109,aux_sheet!$A$2:$A$202,0)))</f>
        <v/>
      </c>
      <c r="O110" s="89" t="str">
        <f ca="1">IF($B110="","",INDIRECT("aux_sheet!V"&amp;1+MATCH(aux_sheet!$B109,aux_sheet!$A$2:$A$202,0)))</f>
        <v/>
      </c>
      <c r="P110" s="106" t="str">
        <f ca="1">IF($B110="","",INDIRECT("aux_sheet!X"&amp;1+MATCH(aux_sheet!$B109,aux_sheet!$A$2:$A$202,0)))</f>
        <v/>
      </c>
      <c r="Q110" s="89" t="str">
        <f ca="1">IF($B110="","",INDIRECT("aux_sheet!Y"&amp;1+MATCH(aux_sheet!$B109,aux_sheet!$A$2:$A$202,0)))</f>
        <v/>
      </c>
      <c r="R110" s="89" t="str">
        <f ca="1">IF($B110="","",INDIRECT("aux_sheet!Y"&amp;1+MATCH(aux_sheet!$B109,aux_sheet!$A$2:$A$202,0)))</f>
        <v/>
      </c>
      <c r="S110" s="106" t="str">
        <f ca="1">IF($B110="","",INDIRECT("aux_sheet!AA"&amp;1+MATCH(aux_sheet!$B109,aux_sheet!$A$2:$A$202,0)))</f>
        <v/>
      </c>
      <c r="T110" s="89" t="str">
        <f ca="1">IF($B110="","",INDIRECT("aux_sheet!AB"&amp;1+MATCH(aux_sheet!$B109,aux_sheet!$A$2:$A$202,0)))</f>
        <v/>
      </c>
      <c r="U110" s="89" t="str">
        <f ca="1">IF($B110="","",INDIRECT("aux_sheet!AB"&amp;1+MATCH(aux_sheet!$B109,aux_sheet!$A$2:$A$202,0)))</f>
        <v/>
      </c>
      <c r="V110" s="106" t="str">
        <f ca="1">IF($B110="","",INDIRECT("aux_sheet!AD"&amp;1+MATCH(aux_sheet!$B109,aux_sheet!$A$2:$A$202,0)))</f>
        <v/>
      </c>
      <c r="W110" s="89" t="str">
        <f ca="1">IF($B110="","",INDIRECT("aux_sheet!AE"&amp;1+MATCH(aux_sheet!$B109,aux_sheet!$A$2:$A$202,0)))</f>
        <v/>
      </c>
      <c r="X110" s="89" t="str">
        <f ca="1">IF($B110="","",INDIRECT("aux_sheet!AE"&amp;1+MATCH(aux_sheet!$B109,aux_sheet!$A$2:$A$202,0)))</f>
        <v/>
      </c>
      <c r="Y110" s="106" t="str">
        <f ca="1">IF($B110="","",INDIRECT("aux_sheet!AG"&amp;1+MATCH(aux_sheet!$B109,aux_sheet!$A$2:$A$202,0)))</f>
        <v/>
      </c>
      <c r="Z110" s="89" t="str">
        <f ca="1">IF($B110="","",INDIRECT("aux_sheet!AH"&amp;1+MATCH(aux_sheet!$B109,aux_sheet!$A$2:$A$202,0)))</f>
        <v/>
      </c>
      <c r="AA110" s="89" t="str">
        <f ca="1">IF($B110="","",INDIRECT("aux_sheet!AH"&amp;1+MATCH(aux_sheet!$B109,aux_sheet!$A$2:$A$202,0)))</f>
        <v/>
      </c>
      <c r="AB110" s="106" t="str">
        <f ca="1">IF($B110="","",INDIRECT("aux_sheet!AJ"&amp;1+MATCH(aux_sheet!$B109,aux_sheet!$A$2:$A$202,0)))</f>
        <v/>
      </c>
      <c r="AC110" s="89" t="str">
        <f ca="1">IF($B110="","",INDIRECT("aux_sheet!AK"&amp;1+MATCH(aux_sheet!$B109,aux_sheet!$A$2:$A$202,0)))</f>
        <v/>
      </c>
      <c r="AD110" s="89" t="str">
        <f ca="1">IF($B110="","",INDIRECT("aux_sheet!AK"&amp;1+MATCH(aux_sheet!$B109,aux_sheet!$A$2:$A$202,0)))</f>
        <v/>
      </c>
      <c r="AE110" s="106" t="str">
        <f ca="1">IF($B110="","",INDIRECT("aux_sheet!AM"&amp;1+MATCH(aux_sheet!$B109,aux_sheet!$A$2:$A$202,0)))</f>
        <v/>
      </c>
      <c r="AF110" s="89" t="str">
        <f ca="1">IF($B110="","",INDIRECT("aux_sheet!AN"&amp;1+MATCH(aux_sheet!$B109,aux_sheet!$A$2:$A$202,0)))</f>
        <v/>
      </c>
      <c r="AG110" s="89" t="str">
        <f ca="1">IF($B110="","",INDIRECT("aux_sheet!AN"&amp;1+MATCH(aux_sheet!$B109,aux_sheet!$A$2:$A$202,0)))</f>
        <v/>
      </c>
      <c r="AH110" s="14" t="str">
        <f>IF(ISBLANK(Input!A109)," ",F109-F110)</f>
        <v xml:space="preserve"> </v>
      </c>
    </row>
    <row r="111" spans="1:34" x14ac:dyDescent="0.35">
      <c r="A111" s="2" t="str">
        <f>IF(ISBLANK(Input!A110),"",ROUNDDOWN(aux_sheet!B110,0))</f>
        <v/>
      </c>
      <c r="B111" s="2" t="str">
        <f ca="1">IF(ISBLANK(Input!A110),"",INDIRECT("Input!A"&amp;1+MATCH(aux_sheet!$B110,aux_sheet!$A$2:$A$202,0)))</f>
        <v/>
      </c>
      <c r="C111" s="2" t="str">
        <f ca="1">IF(ISBLANK(Input!B110),"",INDIRECT("Input!B"&amp;1+MATCH(aux_sheet!$B110,aux_sheet!$A$2:$A$202,0)))</f>
        <v/>
      </c>
      <c r="D111" s="2" t="str">
        <f ca="1">IF(ISBLANK(Input!C110),"",INDIRECT("Input!C"&amp;1+MATCH(aux_sheet!$B110,aux_sheet!$A$2:$A$202,0)))</f>
        <v/>
      </c>
      <c r="E111" s="2" t="str">
        <f ca="1">IF(ISBLANK(Input!D110),"",INDIRECT("Input!D"&amp;1+MATCH(aux_sheet!$B110,aux_sheet!$A$2:$A$202,0)))</f>
        <v/>
      </c>
      <c r="F111" s="11" t="str">
        <f ca="1">INDIRECT("Input!F"&amp;1+MATCH(aux_sheet!$B110,aux_sheet!$A$2:$A$202,0))</f>
        <v xml:space="preserve"> </v>
      </c>
      <c r="G111" s="106" t="str">
        <f ca="1">IF($B111="","",INDIRECT("aux_sheet!O"&amp;1+MATCH(aux_sheet!$B110,aux_sheet!$A$2:$A$202,0)))</f>
        <v/>
      </c>
      <c r="H111" s="89" t="str">
        <f ca="1">IF($B111="","",INDIRECT("aux_sheet!P"&amp;1+MATCH(aux_sheet!$B110,aux_sheet!$A$2:$A$202,0)))</f>
        <v/>
      </c>
      <c r="I111" s="89" t="str">
        <f ca="1">IF($B111="","",INDIRECT("aux_sheet!P"&amp;1+MATCH(aux_sheet!$B110,aux_sheet!$A$2:$A$202,0)))</f>
        <v/>
      </c>
      <c r="J111" s="106" t="str">
        <f ca="1">IF($B111="","",INDIRECT("aux_sheet!R"&amp;1+MATCH(aux_sheet!$B110,aux_sheet!$A$2:$A$202,0)))</f>
        <v/>
      </c>
      <c r="K111" s="89" t="str">
        <f ca="1">IF($B111="","",INDIRECT("aux_sheet!S"&amp;1+MATCH(aux_sheet!$B110,aux_sheet!$A$2:$A$202,0)))</f>
        <v/>
      </c>
      <c r="L111" s="89" t="str">
        <f ca="1">IF($B111="","",INDIRECT("aux_sheet!S"&amp;1+MATCH(aux_sheet!$B110,aux_sheet!$A$2:$A$202,0)))</f>
        <v/>
      </c>
      <c r="M111" s="106" t="str">
        <f ca="1">IF($B111="","",INDIRECT("aux_sheet!U"&amp;1+MATCH(aux_sheet!$B110,aux_sheet!$A$2:$A$202,0)))</f>
        <v/>
      </c>
      <c r="N111" s="89" t="str">
        <f ca="1">IF($B111="","",INDIRECT("aux_sheet!V"&amp;1+MATCH(aux_sheet!$B110,aux_sheet!$A$2:$A$202,0)))</f>
        <v/>
      </c>
      <c r="O111" s="89" t="str">
        <f ca="1">IF($B111="","",INDIRECT("aux_sheet!V"&amp;1+MATCH(aux_sheet!$B110,aux_sheet!$A$2:$A$202,0)))</f>
        <v/>
      </c>
      <c r="P111" s="106" t="str">
        <f ca="1">IF($B111="","",INDIRECT("aux_sheet!X"&amp;1+MATCH(aux_sheet!$B110,aux_sheet!$A$2:$A$202,0)))</f>
        <v/>
      </c>
      <c r="Q111" s="89" t="str">
        <f ca="1">IF($B111="","",INDIRECT("aux_sheet!Y"&amp;1+MATCH(aux_sheet!$B110,aux_sheet!$A$2:$A$202,0)))</f>
        <v/>
      </c>
      <c r="R111" s="89" t="str">
        <f ca="1">IF($B111="","",INDIRECT("aux_sheet!Y"&amp;1+MATCH(aux_sheet!$B110,aux_sheet!$A$2:$A$202,0)))</f>
        <v/>
      </c>
      <c r="S111" s="106" t="str">
        <f ca="1">IF($B111="","",INDIRECT("aux_sheet!AA"&amp;1+MATCH(aux_sheet!$B110,aux_sheet!$A$2:$A$202,0)))</f>
        <v/>
      </c>
      <c r="T111" s="89" t="str">
        <f ca="1">IF($B111="","",INDIRECT("aux_sheet!AB"&amp;1+MATCH(aux_sheet!$B110,aux_sheet!$A$2:$A$202,0)))</f>
        <v/>
      </c>
      <c r="U111" s="89" t="str">
        <f ca="1">IF($B111="","",INDIRECT("aux_sheet!AB"&amp;1+MATCH(aux_sheet!$B110,aux_sheet!$A$2:$A$202,0)))</f>
        <v/>
      </c>
      <c r="V111" s="106" t="str">
        <f ca="1">IF($B111="","",INDIRECT("aux_sheet!AD"&amp;1+MATCH(aux_sheet!$B110,aux_sheet!$A$2:$A$202,0)))</f>
        <v/>
      </c>
      <c r="W111" s="89" t="str">
        <f ca="1">IF($B111="","",INDIRECT("aux_sheet!AE"&amp;1+MATCH(aux_sheet!$B110,aux_sheet!$A$2:$A$202,0)))</f>
        <v/>
      </c>
      <c r="X111" s="89" t="str">
        <f ca="1">IF($B111="","",INDIRECT("aux_sheet!AE"&amp;1+MATCH(aux_sheet!$B110,aux_sheet!$A$2:$A$202,0)))</f>
        <v/>
      </c>
      <c r="Y111" s="106" t="str">
        <f ca="1">IF($B111="","",INDIRECT("aux_sheet!AG"&amp;1+MATCH(aux_sheet!$B110,aux_sheet!$A$2:$A$202,0)))</f>
        <v/>
      </c>
      <c r="Z111" s="89" t="str">
        <f ca="1">IF($B111="","",INDIRECT("aux_sheet!AH"&amp;1+MATCH(aux_sheet!$B110,aux_sheet!$A$2:$A$202,0)))</f>
        <v/>
      </c>
      <c r="AA111" s="89" t="str">
        <f ca="1">IF($B111="","",INDIRECT("aux_sheet!AH"&amp;1+MATCH(aux_sheet!$B110,aux_sheet!$A$2:$A$202,0)))</f>
        <v/>
      </c>
      <c r="AB111" s="106" t="str">
        <f ca="1">IF($B111="","",INDIRECT("aux_sheet!AJ"&amp;1+MATCH(aux_sheet!$B110,aux_sheet!$A$2:$A$202,0)))</f>
        <v/>
      </c>
      <c r="AC111" s="89" t="str">
        <f ca="1">IF($B111="","",INDIRECT("aux_sheet!AK"&amp;1+MATCH(aux_sheet!$B110,aux_sheet!$A$2:$A$202,0)))</f>
        <v/>
      </c>
      <c r="AD111" s="89" t="str">
        <f ca="1">IF($B111="","",INDIRECT("aux_sheet!AK"&amp;1+MATCH(aux_sheet!$B110,aux_sheet!$A$2:$A$202,0)))</f>
        <v/>
      </c>
      <c r="AE111" s="106" t="str">
        <f ca="1">IF($B111="","",INDIRECT("aux_sheet!AM"&amp;1+MATCH(aux_sheet!$B110,aux_sheet!$A$2:$A$202,0)))</f>
        <v/>
      </c>
      <c r="AF111" s="89" t="str">
        <f ca="1">IF($B111="","",INDIRECT("aux_sheet!AN"&amp;1+MATCH(aux_sheet!$B110,aux_sheet!$A$2:$A$202,0)))</f>
        <v/>
      </c>
      <c r="AG111" s="89" t="str">
        <f ca="1">IF($B111="","",INDIRECT("aux_sheet!AN"&amp;1+MATCH(aux_sheet!$B110,aux_sheet!$A$2:$A$202,0)))</f>
        <v/>
      </c>
      <c r="AH111" s="14" t="str">
        <f>IF(ISBLANK(Input!A110)," ",F110-F111)</f>
        <v xml:space="preserve"> </v>
      </c>
    </row>
    <row r="112" spans="1:34" x14ac:dyDescent="0.35">
      <c r="A112" s="2" t="str">
        <f>IF(ISBLANK(Input!A111),"",ROUNDDOWN(aux_sheet!B111,0))</f>
        <v/>
      </c>
      <c r="B112" s="2" t="str">
        <f ca="1">IF(ISBLANK(Input!A111),"",INDIRECT("Input!A"&amp;1+MATCH(aux_sheet!$B111,aux_sheet!$A$2:$A$202,0)))</f>
        <v/>
      </c>
      <c r="C112" s="2" t="str">
        <f ca="1">IF(ISBLANK(Input!B111),"",INDIRECT("Input!B"&amp;1+MATCH(aux_sheet!$B111,aux_sheet!$A$2:$A$202,0)))</f>
        <v/>
      </c>
      <c r="D112" s="2" t="str">
        <f ca="1">IF(ISBLANK(Input!C111),"",INDIRECT("Input!C"&amp;1+MATCH(aux_sheet!$B111,aux_sheet!$A$2:$A$202,0)))</f>
        <v/>
      </c>
      <c r="E112" s="2" t="str">
        <f ca="1">IF(ISBLANK(Input!D111),"",INDIRECT("Input!D"&amp;1+MATCH(aux_sheet!$B111,aux_sheet!$A$2:$A$202,0)))</f>
        <v/>
      </c>
      <c r="F112" s="11" t="str">
        <f ca="1">INDIRECT("Input!F"&amp;1+MATCH(aux_sheet!$B111,aux_sheet!$A$2:$A$202,0))</f>
        <v xml:space="preserve"> </v>
      </c>
      <c r="G112" s="106" t="str">
        <f ca="1">IF($B112="","",INDIRECT("aux_sheet!O"&amp;1+MATCH(aux_sheet!$B111,aux_sheet!$A$2:$A$202,0)))</f>
        <v/>
      </c>
      <c r="H112" s="89" t="str">
        <f ca="1">IF($B112="","",INDIRECT("aux_sheet!P"&amp;1+MATCH(aux_sheet!$B111,aux_sheet!$A$2:$A$202,0)))</f>
        <v/>
      </c>
      <c r="I112" s="89" t="str">
        <f ca="1">IF($B112="","",INDIRECT("aux_sheet!P"&amp;1+MATCH(aux_sheet!$B111,aux_sheet!$A$2:$A$202,0)))</f>
        <v/>
      </c>
      <c r="J112" s="106" t="str">
        <f ca="1">IF($B112="","",INDIRECT("aux_sheet!R"&amp;1+MATCH(aux_sheet!$B111,aux_sheet!$A$2:$A$202,0)))</f>
        <v/>
      </c>
      <c r="K112" s="89" t="str">
        <f ca="1">IF($B112="","",INDIRECT("aux_sheet!S"&amp;1+MATCH(aux_sheet!$B111,aux_sheet!$A$2:$A$202,0)))</f>
        <v/>
      </c>
      <c r="L112" s="89" t="str">
        <f ca="1">IF($B112="","",INDIRECT("aux_sheet!S"&amp;1+MATCH(aux_sheet!$B111,aux_sheet!$A$2:$A$202,0)))</f>
        <v/>
      </c>
      <c r="M112" s="106" t="str">
        <f ca="1">IF($B112="","",INDIRECT("aux_sheet!U"&amp;1+MATCH(aux_sheet!$B111,aux_sheet!$A$2:$A$202,0)))</f>
        <v/>
      </c>
      <c r="N112" s="89" t="str">
        <f ca="1">IF($B112="","",INDIRECT("aux_sheet!V"&amp;1+MATCH(aux_sheet!$B111,aux_sheet!$A$2:$A$202,0)))</f>
        <v/>
      </c>
      <c r="O112" s="89" t="str">
        <f ca="1">IF($B112="","",INDIRECT("aux_sheet!V"&amp;1+MATCH(aux_sheet!$B111,aux_sheet!$A$2:$A$202,0)))</f>
        <v/>
      </c>
      <c r="P112" s="106" t="str">
        <f ca="1">IF($B112="","",INDIRECT("aux_sheet!X"&amp;1+MATCH(aux_sheet!$B111,aux_sheet!$A$2:$A$202,0)))</f>
        <v/>
      </c>
      <c r="Q112" s="89" t="str">
        <f ca="1">IF($B112="","",INDIRECT("aux_sheet!Y"&amp;1+MATCH(aux_sheet!$B111,aux_sheet!$A$2:$A$202,0)))</f>
        <v/>
      </c>
      <c r="R112" s="89" t="str">
        <f ca="1">IF($B112="","",INDIRECT("aux_sheet!Y"&amp;1+MATCH(aux_sheet!$B111,aux_sheet!$A$2:$A$202,0)))</f>
        <v/>
      </c>
      <c r="S112" s="106" t="str">
        <f ca="1">IF($B112="","",INDIRECT("aux_sheet!AA"&amp;1+MATCH(aux_sheet!$B111,aux_sheet!$A$2:$A$202,0)))</f>
        <v/>
      </c>
      <c r="T112" s="89" t="str">
        <f ca="1">IF($B112="","",INDIRECT("aux_sheet!AB"&amp;1+MATCH(aux_sheet!$B111,aux_sheet!$A$2:$A$202,0)))</f>
        <v/>
      </c>
      <c r="U112" s="89" t="str">
        <f ca="1">IF($B112="","",INDIRECT("aux_sheet!AB"&amp;1+MATCH(aux_sheet!$B111,aux_sheet!$A$2:$A$202,0)))</f>
        <v/>
      </c>
      <c r="V112" s="106" t="str">
        <f ca="1">IF($B112="","",INDIRECT("aux_sheet!AD"&amp;1+MATCH(aux_sheet!$B111,aux_sheet!$A$2:$A$202,0)))</f>
        <v/>
      </c>
      <c r="W112" s="89" t="str">
        <f ca="1">IF($B112="","",INDIRECT("aux_sheet!AE"&amp;1+MATCH(aux_sheet!$B111,aux_sheet!$A$2:$A$202,0)))</f>
        <v/>
      </c>
      <c r="X112" s="89" t="str">
        <f ca="1">IF($B112="","",INDIRECT("aux_sheet!AE"&amp;1+MATCH(aux_sheet!$B111,aux_sheet!$A$2:$A$202,0)))</f>
        <v/>
      </c>
      <c r="Y112" s="106" t="str">
        <f ca="1">IF($B112="","",INDIRECT("aux_sheet!AG"&amp;1+MATCH(aux_sheet!$B111,aux_sheet!$A$2:$A$202,0)))</f>
        <v/>
      </c>
      <c r="Z112" s="89" t="str">
        <f ca="1">IF($B112="","",INDIRECT("aux_sheet!AH"&amp;1+MATCH(aux_sheet!$B111,aux_sheet!$A$2:$A$202,0)))</f>
        <v/>
      </c>
      <c r="AA112" s="89" t="str">
        <f ca="1">IF($B112="","",INDIRECT("aux_sheet!AH"&amp;1+MATCH(aux_sheet!$B111,aux_sheet!$A$2:$A$202,0)))</f>
        <v/>
      </c>
      <c r="AB112" s="106" t="str">
        <f ca="1">IF($B112="","",INDIRECT("aux_sheet!AJ"&amp;1+MATCH(aux_sheet!$B111,aux_sheet!$A$2:$A$202,0)))</f>
        <v/>
      </c>
      <c r="AC112" s="89" t="str">
        <f ca="1">IF($B112="","",INDIRECT("aux_sheet!AK"&amp;1+MATCH(aux_sheet!$B111,aux_sheet!$A$2:$A$202,0)))</f>
        <v/>
      </c>
      <c r="AD112" s="89" t="str">
        <f ca="1">IF($B112="","",INDIRECT("aux_sheet!AK"&amp;1+MATCH(aux_sheet!$B111,aux_sheet!$A$2:$A$202,0)))</f>
        <v/>
      </c>
      <c r="AE112" s="106" t="str">
        <f ca="1">IF($B112="","",INDIRECT("aux_sheet!AM"&amp;1+MATCH(aux_sheet!$B111,aux_sheet!$A$2:$A$202,0)))</f>
        <v/>
      </c>
      <c r="AF112" s="89" t="str">
        <f ca="1">IF($B112="","",INDIRECT("aux_sheet!AN"&amp;1+MATCH(aux_sheet!$B111,aux_sheet!$A$2:$A$202,0)))</f>
        <v/>
      </c>
      <c r="AG112" s="89" t="str">
        <f ca="1">IF($B112="","",INDIRECT("aux_sheet!AN"&amp;1+MATCH(aux_sheet!$B111,aux_sheet!$A$2:$A$202,0)))</f>
        <v/>
      </c>
      <c r="AH112" s="14" t="str">
        <f>IF(ISBLANK(Input!A111)," ",F111-F112)</f>
        <v xml:space="preserve"> </v>
      </c>
    </row>
    <row r="113" spans="1:34" x14ac:dyDescent="0.35">
      <c r="A113" s="2" t="str">
        <f>IF(ISBLANK(Input!A112),"",ROUNDDOWN(aux_sheet!B112,0))</f>
        <v/>
      </c>
      <c r="B113" s="2" t="str">
        <f ca="1">IF(ISBLANK(Input!A112),"",INDIRECT("Input!A"&amp;1+MATCH(aux_sheet!$B112,aux_sheet!$A$2:$A$202,0)))</f>
        <v/>
      </c>
      <c r="C113" s="2" t="str">
        <f ca="1">IF(ISBLANK(Input!B112),"",INDIRECT("Input!B"&amp;1+MATCH(aux_sheet!$B112,aux_sheet!$A$2:$A$202,0)))</f>
        <v/>
      </c>
      <c r="D113" s="2" t="str">
        <f ca="1">IF(ISBLANK(Input!C112),"",INDIRECT("Input!C"&amp;1+MATCH(aux_sheet!$B112,aux_sheet!$A$2:$A$202,0)))</f>
        <v/>
      </c>
      <c r="E113" s="2" t="str">
        <f ca="1">IF(ISBLANK(Input!D112),"",INDIRECT("Input!D"&amp;1+MATCH(aux_sheet!$B112,aux_sheet!$A$2:$A$202,0)))</f>
        <v/>
      </c>
      <c r="F113" s="11" t="str">
        <f ca="1">INDIRECT("Input!F"&amp;1+MATCH(aux_sheet!$B112,aux_sheet!$A$2:$A$202,0))</f>
        <v xml:space="preserve"> </v>
      </c>
      <c r="G113" s="106" t="str">
        <f ca="1">IF($B113="","",INDIRECT("aux_sheet!O"&amp;1+MATCH(aux_sheet!$B112,aux_sheet!$A$2:$A$202,0)))</f>
        <v/>
      </c>
      <c r="H113" s="89" t="str">
        <f ca="1">IF($B113="","",INDIRECT("aux_sheet!P"&amp;1+MATCH(aux_sheet!$B112,aux_sheet!$A$2:$A$202,0)))</f>
        <v/>
      </c>
      <c r="I113" s="89" t="str">
        <f ca="1">IF($B113="","",INDIRECT("aux_sheet!P"&amp;1+MATCH(aux_sheet!$B112,aux_sheet!$A$2:$A$202,0)))</f>
        <v/>
      </c>
      <c r="J113" s="106" t="str">
        <f ca="1">IF($B113="","",INDIRECT("aux_sheet!R"&amp;1+MATCH(aux_sheet!$B112,aux_sheet!$A$2:$A$202,0)))</f>
        <v/>
      </c>
      <c r="K113" s="89" t="str">
        <f ca="1">IF($B113="","",INDIRECT("aux_sheet!S"&amp;1+MATCH(aux_sheet!$B112,aux_sheet!$A$2:$A$202,0)))</f>
        <v/>
      </c>
      <c r="L113" s="89" t="str">
        <f ca="1">IF($B113="","",INDIRECT("aux_sheet!S"&amp;1+MATCH(aux_sheet!$B112,aux_sheet!$A$2:$A$202,0)))</f>
        <v/>
      </c>
      <c r="M113" s="106" t="str">
        <f ca="1">IF($B113="","",INDIRECT("aux_sheet!U"&amp;1+MATCH(aux_sheet!$B112,aux_sheet!$A$2:$A$202,0)))</f>
        <v/>
      </c>
      <c r="N113" s="89" t="str">
        <f ca="1">IF($B113="","",INDIRECT("aux_sheet!V"&amp;1+MATCH(aux_sheet!$B112,aux_sheet!$A$2:$A$202,0)))</f>
        <v/>
      </c>
      <c r="O113" s="89" t="str">
        <f ca="1">IF($B113="","",INDIRECT("aux_sheet!V"&amp;1+MATCH(aux_sheet!$B112,aux_sheet!$A$2:$A$202,0)))</f>
        <v/>
      </c>
      <c r="P113" s="106" t="str">
        <f ca="1">IF($B113="","",INDIRECT("aux_sheet!X"&amp;1+MATCH(aux_sheet!$B112,aux_sheet!$A$2:$A$202,0)))</f>
        <v/>
      </c>
      <c r="Q113" s="89" t="str">
        <f ca="1">IF($B113="","",INDIRECT("aux_sheet!Y"&amp;1+MATCH(aux_sheet!$B112,aux_sheet!$A$2:$A$202,0)))</f>
        <v/>
      </c>
      <c r="R113" s="89" t="str">
        <f ca="1">IF($B113="","",INDIRECT("aux_sheet!Y"&amp;1+MATCH(aux_sheet!$B112,aux_sheet!$A$2:$A$202,0)))</f>
        <v/>
      </c>
      <c r="S113" s="106" t="str">
        <f ca="1">IF($B113="","",INDIRECT("aux_sheet!AA"&amp;1+MATCH(aux_sheet!$B112,aux_sheet!$A$2:$A$202,0)))</f>
        <v/>
      </c>
      <c r="T113" s="89" t="str">
        <f ca="1">IF($B113="","",INDIRECT("aux_sheet!AB"&amp;1+MATCH(aux_sheet!$B112,aux_sheet!$A$2:$A$202,0)))</f>
        <v/>
      </c>
      <c r="U113" s="89" t="str">
        <f ca="1">IF($B113="","",INDIRECT("aux_sheet!AB"&amp;1+MATCH(aux_sheet!$B112,aux_sheet!$A$2:$A$202,0)))</f>
        <v/>
      </c>
      <c r="V113" s="106" t="str">
        <f ca="1">IF($B113="","",INDIRECT("aux_sheet!AD"&amp;1+MATCH(aux_sheet!$B112,aux_sheet!$A$2:$A$202,0)))</f>
        <v/>
      </c>
      <c r="W113" s="89" t="str">
        <f ca="1">IF($B113="","",INDIRECT("aux_sheet!AE"&amp;1+MATCH(aux_sheet!$B112,aux_sheet!$A$2:$A$202,0)))</f>
        <v/>
      </c>
      <c r="X113" s="89" t="str">
        <f ca="1">IF($B113="","",INDIRECT("aux_sheet!AE"&amp;1+MATCH(aux_sheet!$B112,aux_sheet!$A$2:$A$202,0)))</f>
        <v/>
      </c>
      <c r="Y113" s="106" t="str">
        <f ca="1">IF($B113="","",INDIRECT("aux_sheet!AG"&amp;1+MATCH(aux_sheet!$B112,aux_sheet!$A$2:$A$202,0)))</f>
        <v/>
      </c>
      <c r="Z113" s="89" t="str">
        <f ca="1">IF($B113="","",INDIRECT("aux_sheet!AH"&amp;1+MATCH(aux_sheet!$B112,aux_sheet!$A$2:$A$202,0)))</f>
        <v/>
      </c>
      <c r="AA113" s="89" t="str">
        <f ca="1">IF($B113="","",INDIRECT("aux_sheet!AH"&amp;1+MATCH(aux_sheet!$B112,aux_sheet!$A$2:$A$202,0)))</f>
        <v/>
      </c>
      <c r="AB113" s="106" t="str">
        <f ca="1">IF($B113="","",INDIRECT("aux_sheet!AJ"&amp;1+MATCH(aux_sheet!$B112,aux_sheet!$A$2:$A$202,0)))</f>
        <v/>
      </c>
      <c r="AC113" s="89" t="str">
        <f ca="1">IF($B113="","",INDIRECT("aux_sheet!AK"&amp;1+MATCH(aux_sheet!$B112,aux_sheet!$A$2:$A$202,0)))</f>
        <v/>
      </c>
      <c r="AD113" s="89" t="str">
        <f ca="1">IF($B113="","",INDIRECT("aux_sheet!AK"&amp;1+MATCH(aux_sheet!$B112,aux_sheet!$A$2:$A$202,0)))</f>
        <v/>
      </c>
      <c r="AE113" s="106" t="str">
        <f ca="1">IF($B113="","",INDIRECT("aux_sheet!AM"&amp;1+MATCH(aux_sheet!$B112,aux_sheet!$A$2:$A$202,0)))</f>
        <v/>
      </c>
      <c r="AF113" s="89" t="str">
        <f ca="1">IF($B113="","",INDIRECT("aux_sheet!AN"&amp;1+MATCH(aux_sheet!$B112,aux_sheet!$A$2:$A$202,0)))</f>
        <v/>
      </c>
      <c r="AG113" s="89" t="str">
        <f ca="1">IF($B113="","",INDIRECT("aux_sheet!AN"&amp;1+MATCH(aux_sheet!$B112,aux_sheet!$A$2:$A$202,0)))</f>
        <v/>
      </c>
      <c r="AH113" s="14" t="str">
        <f>IF(ISBLANK(Input!A112)," ",F112-F113)</f>
        <v xml:space="preserve"> </v>
      </c>
    </row>
    <row r="114" spans="1:34" x14ac:dyDescent="0.35">
      <c r="A114" s="2" t="str">
        <f>IF(ISBLANK(Input!A113),"",ROUNDDOWN(aux_sheet!B113,0))</f>
        <v/>
      </c>
      <c r="B114" s="2" t="str">
        <f ca="1">IF(ISBLANK(Input!A113),"",INDIRECT("Input!A"&amp;1+MATCH(aux_sheet!$B113,aux_sheet!$A$2:$A$202,0)))</f>
        <v/>
      </c>
      <c r="C114" s="2" t="str">
        <f ca="1">IF(ISBLANK(Input!B113),"",INDIRECT("Input!B"&amp;1+MATCH(aux_sheet!$B113,aux_sheet!$A$2:$A$202,0)))</f>
        <v/>
      </c>
      <c r="D114" s="2" t="str">
        <f ca="1">IF(ISBLANK(Input!C113),"",INDIRECT("Input!C"&amp;1+MATCH(aux_sheet!$B113,aux_sheet!$A$2:$A$202,0)))</f>
        <v/>
      </c>
      <c r="E114" s="2" t="str">
        <f ca="1">IF(ISBLANK(Input!D113),"",INDIRECT("Input!D"&amp;1+MATCH(aux_sheet!$B113,aux_sheet!$A$2:$A$202,0)))</f>
        <v/>
      </c>
      <c r="F114" s="11" t="str">
        <f ca="1">INDIRECT("Input!F"&amp;1+MATCH(aux_sheet!$B113,aux_sheet!$A$2:$A$202,0))</f>
        <v xml:space="preserve"> </v>
      </c>
      <c r="G114" s="106" t="str">
        <f ca="1">IF($B114="","",INDIRECT("aux_sheet!O"&amp;1+MATCH(aux_sheet!$B113,aux_sheet!$A$2:$A$202,0)))</f>
        <v/>
      </c>
      <c r="H114" s="89" t="str">
        <f ca="1">IF($B114="","",INDIRECT("aux_sheet!P"&amp;1+MATCH(aux_sheet!$B113,aux_sheet!$A$2:$A$202,0)))</f>
        <v/>
      </c>
      <c r="I114" s="89" t="str">
        <f ca="1">IF($B114="","",INDIRECT("aux_sheet!P"&amp;1+MATCH(aux_sheet!$B113,aux_sheet!$A$2:$A$202,0)))</f>
        <v/>
      </c>
      <c r="J114" s="106" t="str">
        <f ca="1">IF($B114="","",INDIRECT("aux_sheet!R"&amp;1+MATCH(aux_sheet!$B113,aux_sheet!$A$2:$A$202,0)))</f>
        <v/>
      </c>
      <c r="K114" s="89" t="str">
        <f ca="1">IF($B114="","",INDIRECT("aux_sheet!S"&amp;1+MATCH(aux_sheet!$B113,aux_sheet!$A$2:$A$202,0)))</f>
        <v/>
      </c>
      <c r="L114" s="89" t="str">
        <f ca="1">IF($B114="","",INDIRECT("aux_sheet!S"&amp;1+MATCH(aux_sheet!$B113,aux_sheet!$A$2:$A$202,0)))</f>
        <v/>
      </c>
      <c r="M114" s="106" t="str">
        <f ca="1">IF($B114="","",INDIRECT("aux_sheet!U"&amp;1+MATCH(aux_sheet!$B113,aux_sheet!$A$2:$A$202,0)))</f>
        <v/>
      </c>
      <c r="N114" s="89" t="str">
        <f ca="1">IF($B114="","",INDIRECT("aux_sheet!V"&amp;1+MATCH(aux_sheet!$B113,aux_sheet!$A$2:$A$202,0)))</f>
        <v/>
      </c>
      <c r="O114" s="89" t="str">
        <f ca="1">IF($B114="","",INDIRECT("aux_sheet!V"&amp;1+MATCH(aux_sheet!$B113,aux_sheet!$A$2:$A$202,0)))</f>
        <v/>
      </c>
      <c r="P114" s="106" t="str">
        <f ca="1">IF($B114="","",INDIRECT("aux_sheet!X"&amp;1+MATCH(aux_sheet!$B113,aux_sheet!$A$2:$A$202,0)))</f>
        <v/>
      </c>
      <c r="Q114" s="89" t="str">
        <f ca="1">IF($B114="","",INDIRECT("aux_sheet!Y"&amp;1+MATCH(aux_sheet!$B113,aux_sheet!$A$2:$A$202,0)))</f>
        <v/>
      </c>
      <c r="R114" s="89" t="str">
        <f ca="1">IF($B114="","",INDIRECT("aux_sheet!Y"&amp;1+MATCH(aux_sheet!$B113,aux_sheet!$A$2:$A$202,0)))</f>
        <v/>
      </c>
      <c r="S114" s="106" t="str">
        <f ca="1">IF($B114="","",INDIRECT("aux_sheet!AA"&amp;1+MATCH(aux_sheet!$B113,aux_sheet!$A$2:$A$202,0)))</f>
        <v/>
      </c>
      <c r="T114" s="89" t="str">
        <f ca="1">IF($B114="","",INDIRECT("aux_sheet!AB"&amp;1+MATCH(aux_sheet!$B113,aux_sheet!$A$2:$A$202,0)))</f>
        <v/>
      </c>
      <c r="U114" s="89" t="str">
        <f ca="1">IF($B114="","",INDIRECT("aux_sheet!AB"&amp;1+MATCH(aux_sheet!$B113,aux_sheet!$A$2:$A$202,0)))</f>
        <v/>
      </c>
      <c r="V114" s="106" t="str">
        <f ca="1">IF($B114="","",INDIRECT("aux_sheet!AD"&amp;1+MATCH(aux_sheet!$B113,aux_sheet!$A$2:$A$202,0)))</f>
        <v/>
      </c>
      <c r="W114" s="89" t="str">
        <f ca="1">IF($B114="","",INDIRECT("aux_sheet!AE"&amp;1+MATCH(aux_sheet!$B113,aux_sheet!$A$2:$A$202,0)))</f>
        <v/>
      </c>
      <c r="X114" s="89" t="str">
        <f ca="1">IF($B114="","",INDIRECT("aux_sheet!AE"&amp;1+MATCH(aux_sheet!$B113,aux_sheet!$A$2:$A$202,0)))</f>
        <v/>
      </c>
      <c r="Y114" s="106" t="str">
        <f ca="1">IF($B114="","",INDIRECT("aux_sheet!AG"&amp;1+MATCH(aux_sheet!$B113,aux_sheet!$A$2:$A$202,0)))</f>
        <v/>
      </c>
      <c r="Z114" s="89" t="str">
        <f ca="1">IF($B114="","",INDIRECT("aux_sheet!AH"&amp;1+MATCH(aux_sheet!$B113,aux_sheet!$A$2:$A$202,0)))</f>
        <v/>
      </c>
      <c r="AA114" s="89" t="str">
        <f ca="1">IF($B114="","",INDIRECT("aux_sheet!AH"&amp;1+MATCH(aux_sheet!$B113,aux_sheet!$A$2:$A$202,0)))</f>
        <v/>
      </c>
      <c r="AB114" s="106" t="str">
        <f ca="1">IF($B114="","",INDIRECT("aux_sheet!AJ"&amp;1+MATCH(aux_sheet!$B113,aux_sheet!$A$2:$A$202,0)))</f>
        <v/>
      </c>
      <c r="AC114" s="89" t="str">
        <f ca="1">IF($B114="","",INDIRECT("aux_sheet!AK"&amp;1+MATCH(aux_sheet!$B113,aux_sheet!$A$2:$A$202,0)))</f>
        <v/>
      </c>
      <c r="AD114" s="89" t="str">
        <f ca="1">IF($B114="","",INDIRECT("aux_sheet!AK"&amp;1+MATCH(aux_sheet!$B113,aux_sheet!$A$2:$A$202,0)))</f>
        <v/>
      </c>
      <c r="AE114" s="106" t="str">
        <f ca="1">IF($B114="","",INDIRECT("aux_sheet!AM"&amp;1+MATCH(aux_sheet!$B113,aux_sheet!$A$2:$A$202,0)))</f>
        <v/>
      </c>
      <c r="AF114" s="89" t="str">
        <f ca="1">IF($B114="","",INDIRECT("aux_sheet!AN"&amp;1+MATCH(aux_sheet!$B113,aux_sheet!$A$2:$A$202,0)))</f>
        <v/>
      </c>
      <c r="AG114" s="89" t="str">
        <f ca="1">IF($B114="","",INDIRECT("aux_sheet!AN"&amp;1+MATCH(aux_sheet!$B113,aux_sheet!$A$2:$A$202,0)))</f>
        <v/>
      </c>
      <c r="AH114" s="14" t="str">
        <f>IF(ISBLANK(Input!A113)," ",F113-F114)</f>
        <v xml:space="preserve"> </v>
      </c>
    </row>
    <row r="115" spans="1:34" x14ac:dyDescent="0.35">
      <c r="A115" s="2" t="str">
        <f>IF(ISBLANK(Input!A114),"",ROUNDDOWN(aux_sheet!B114,0))</f>
        <v/>
      </c>
      <c r="B115" s="2" t="str">
        <f ca="1">IF(ISBLANK(Input!A114),"",INDIRECT("Input!A"&amp;1+MATCH(aux_sheet!$B114,aux_sheet!$A$2:$A$202,0)))</f>
        <v/>
      </c>
      <c r="C115" s="2" t="str">
        <f ca="1">IF(ISBLANK(Input!B114),"",INDIRECT("Input!B"&amp;1+MATCH(aux_sheet!$B114,aux_sheet!$A$2:$A$202,0)))</f>
        <v/>
      </c>
      <c r="D115" s="2" t="str">
        <f ca="1">IF(ISBLANK(Input!C114),"",INDIRECT("Input!C"&amp;1+MATCH(aux_sheet!$B114,aux_sheet!$A$2:$A$202,0)))</f>
        <v/>
      </c>
      <c r="E115" s="2" t="str">
        <f ca="1">IF(ISBLANK(Input!D114),"",INDIRECT("Input!D"&amp;1+MATCH(aux_sheet!$B114,aux_sheet!$A$2:$A$202,0)))</f>
        <v/>
      </c>
      <c r="F115" s="11" t="str">
        <f ca="1">INDIRECT("Input!F"&amp;1+MATCH(aux_sheet!$B114,aux_sheet!$A$2:$A$202,0))</f>
        <v xml:space="preserve"> </v>
      </c>
      <c r="G115" s="106" t="str">
        <f ca="1">IF($B115="","",INDIRECT("aux_sheet!O"&amp;1+MATCH(aux_sheet!$B114,aux_sheet!$A$2:$A$202,0)))</f>
        <v/>
      </c>
      <c r="H115" s="89" t="str">
        <f ca="1">IF($B115="","",INDIRECT("aux_sheet!P"&amp;1+MATCH(aux_sheet!$B114,aux_sheet!$A$2:$A$202,0)))</f>
        <v/>
      </c>
      <c r="I115" s="89" t="str">
        <f ca="1">IF($B115="","",INDIRECT("aux_sheet!P"&amp;1+MATCH(aux_sheet!$B114,aux_sheet!$A$2:$A$202,0)))</f>
        <v/>
      </c>
      <c r="J115" s="106" t="str">
        <f ca="1">IF($B115="","",INDIRECT("aux_sheet!R"&amp;1+MATCH(aux_sheet!$B114,aux_sheet!$A$2:$A$202,0)))</f>
        <v/>
      </c>
      <c r="K115" s="89" t="str">
        <f ca="1">IF($B115="","",INDIRECT("aux_sheet!S"&amp;1+MATCH(aux_sheet!$B114,aux_sheet!$A$2:$A$202,0)))</f>
        <v/>
      </c>
      <c r="L115" s="89" t="str">
        <f ca="1">IF($B115="","",INDIRECT("aux_sheet!S"&amp;1+MATCH(aux_sheet!$B114,aux_sheet!$A$2:$A$202,0)))</f>
        <v/>
      </c>
      <c r="M115" s="106" t="str">
        <f ca="1">IF($B115="","",INDIRECT("aux_sheet!U"&amp;1+MATCH(aux_sheet!$B114,aux_sheet!$A$2:$A$202,0)))</f>
        <v/>
      </c>
      <c r="N115" s="89" t="str">
        <f ca="1">IF($B115="","",INDIRECT("aux_sheet!V"&amp;1+MATCH(aux_sheet!$B114,aux_sheet!$A$2:$A$202,0)))</f>
        <v/>
      </c>
      <c r="O115" s="89" t="str">
        <f ca="1">IF($B115="","",INDIRECT("aux_sheet!V"&amp;1+MATCH(aux_sheet!$B114,aux_sheet!$A$2:$A$202,0)))</f>
        <v/>
      </c>
      <c r="P115" s="106" t="str">
        <f ca="1">IF($B115="","",INDIRECT("aux_sheet!X"&amp;1+MATCH(aux_sheet!$B114,aux_sheet!$A$2:$A$202,0)))</f>
        <v/>
      </c>
      <c r="Q115" s="89" t="str">
        <f ca="1">IF($B115="","",INDIRECT("aux_sheet!Y"&amp;1+MATCH(aux_sheet!$B114,aux_sheet!$A$2:$A$202,0)))</f>
        <v/>
      </c>
      <c r="R115" s="89" t="str">
        <f ca="1">IF($B115="","",INDIRECT("aux_sheet!Y"&amp;1+MATCH(aux_sheet!$B114,aux_sheet!$A$2:$A$202,0)))</f>
        <v/>
      </c>
      <c r="S115" s="106" t="str">
        <f ca="1">IF($B115="","",INDIRECT("aux_sheet!AA"&amp;1+MATCH(aux_sheet!$B114,aux_sheet!$A$2:$A$202,0)))</f>
        <v/>
      </c>
      <c r="T115" s="89" t="str">
        <f ca="1">IF($B115="","",INDIRECT("aux_sheet!AB"&amp;1+MATCH(aux_sheet!$B114,aux_sheet!$A$2:$A$202,0)))</f>
        <v/>
      </c>
      <c r="U115" s="89" t="str">
        <f ca="1">IF($B115="","",INDIRECT("aux_sheet!AB"&amp;1+MATCH(aux_sheet!$B114,aux_sheet!$A$2:$A$202,0)))</f>
        <v/>
      </c>
      <c r="V115" s="106" t="str">
        <f ca="1">IF($B115="","",INDIRECT("aux_sheet!AD"&amp;1+MATCH(aux_sheet!$B114,aux_sheet!$A$2:$A$202,0)))</f>
        <v/>
      </c>
      <c r="W115" s="89" t="str">
        <f ca="1">IF($B115="","",INDIRECT("aux_sheet!AE"&amp;1+MATCH(aux_sheet!$B114,aux_sheet!$A$2:$A$202,0)))</f>
        <v/>
      </c>
      <c r="X115" s="89" t="str">
        <f ca="1">IF($B115="","",INDIRECT("aux_sheet!AE"&amp;1+MATCH(aux_sheet!$B114,aux_sheet!$A$2:$A$202,0)))</f>
        <v/>
      </c>
      <c r="Y115" s="106" t="str">
        <f ca="1">IF($B115="","",INDIRECT("aux_sheet!AG"&amp;1+MATCH(aux_sheet!$B114,aux_sheet!$A$2:$A$202,0)))</f>
        <v/>
      </c>
      <c r="Z115" s="89" t="str">
        <f ca="1">IF($B115="","",INDIRECT("aux_sheet!AH"&amp;1+MATCH(aux_sheet!$B114,aux_sheet!$A$2:$A$202,0)))</f>
        <v/>
      </c>
      <c r="AA115" s="89" t="str">
        <f ca="1">IF($B115="","",INDIRECT("aux_sheet!AH"&amp;1+MATCH(aux_sheet!$B114,aux_sheet!$A$2:$A$202,0)))</f>
        <v/>
      </c>
      <c r="AB115" s="106" t="str">
        <f ca="1">IF($B115="","",INDIRECT("aux_sheet!AJ"&amp;1+MATCH(aux_sheet!$B114,aux_sheet!$A$2:$A$202,0)))</f>
        <v/>
      </c>
      <c r="AC115" s="89" t="str">
        <f ca="1">IF($B115="","",INDIRECT("aux_sheet!AK"&amp;1+MATCH(aux_sheet!$B114,aux_sheet!$A$2:$A$202,0)))</f>
        <v/>
      </c>
      <c r="AD115" s="89" t="str">
        <f ca="1">IF($B115="","",INDIRECT("aux_sheet!AK"&amp;1+MATCH(aux_sheet!$B114,aux_sheet!$A$2:$A$202,0)))</f>
        <v/>
      </c>
      <c r="AE115" s="106" t="str">
        <f ca="1">IF($B115="","",INDIRECT("aux_sheet!AM"&amp;1+MATCH(aux_sheet!$B114,aux_sheet!$A$2:$A$202,0)))</f>
        <v/>
      </c>
      <c r="AF115" s="89" t="str">
        <f ca="1">IF($B115="","",INDIRECT("aux_sheet!AN"&amp;1+MATCH(aux_sheet!$B114,aux_sheet!$A$2:$A$202,0)))</f>
        <v/>
      </c>
      <c r="AG115" s="89" t="str">
        <f ca="1">IF($B115="","",INDIRECT("aux_sheet!AN"&amp;1+MATCH(aux_sheet!$B114,aux_sheet!$A$2:$A$202,0)))</f>
        <v/>
      </c>
      <c r="AH115" s="14" t="str">
        <f>IF(ISBLANK(Input!A114)," ",F114-F115)</f>
        <v xml:space="preserve"> </v>
      </c>
    </row>
    <row r="116" spans="1:34" x14ac:dyDescent="0.35">
      <c r="A116" s="2" t="str">
        <f>IF(ISBLANK(Input!A115),"",ROUNDDOWN(aux_sheet!B115,0))</f>
        <v/>
      </c>
      <c r="B116" s="2" t="str">
        <f ca="1">IF(ISBLANK(Input!A115),"",INDIRECT("Input!A"&amp;1+MATCH(aux_sheet!$B115,aux_sheet!$A$2:$A$202,0)))</f>
        <v/>
      </c>
      <c r="C116" s="2" t="str">
        <f ca="1">IF(ISBLANK(Input!B115),"",INDIRECT("Input!B"&amp;1+MATCH(aux_sheet!$B115,aux_sheet!$A$2:$A$202,0)))</f>
        <v/>
      </c>
      <c r="D116" s="2" t="str">
        <f ca="1">IF(ISBLANK(Input!C115),"",INDIRECT("Input!C"&amp;1+MATCH(aux_sheet!$B115,aux_sheet!$A$2:$A$202,0)))</f>
        <v/>
      </c>
      <c r="E116" s="2" t="str">
        <f ca="1">IF(ISBLANK(Input!D115),"",INDIRECT("Input!D"&amp;1+MATCH(aux_sheet!$B115,aux_sheet!$A$2:$A$202,0)))</f>
        <v/>
      </c>
      <c r="F116" s="11" t="str">
        <f ca="1">INDIRECT("Input!F"&amp;1+MATCH(aux_sheet!$B115,aux_sheet!$A$2:$A$202,0))</f>
        <v xml:space="preserve"> </v>
      </c>
      <c r="G116" s="106" t="str">
        <f ca="1">IF($B116="","",INDIRECT("aux_sheet!O"&amp;1+MATCH(aux_sheet!$B115,aux_sheet!$A$2:$A$202,0)))</f>
        <v/>
      </c>
      <c r="H116" s="89" t="str">
        <f ca="1">IF($B116="","",INDIRECT("aux_sheet!P"&amp;1+MATCH(aux_sheet!$B115,aux_sheet!$A$2:$A$202,0)))</f>
        <v/>
      </c>
      <c r="I116" s="89" t="str">
        <f ca="1">IF($B116="","",INDIRECT("aux_sheet!P"&amp;1+MATCH(aux_sheet!$B115,aux_sheet!$A$2:$A$202,0)))</f>
        <v/>
      </c>
      <c r="J116" s="106" t="str">
        <f ca="1">IF($B116="","",INDIRECT("aux_sheet!R"&amp;1+MATCH(aux_sheet!$B115,aux_sheet!$A$2:$A$202,0)))</f>
        <v/>
      </c>
      <c r="K116" s="89" t="str">
        <f ca="1">IF($B116="","",INDIRECT("aux_sheet!S"&amp;1+MATCH(aux_sheet!$B115,aux_sheet!$A$2:$A$202,0)))</f>
        <v/>
      </c>
      <c r="L116" s="89" t="str">
        <f ca="1">IF($B116="","",INDIRECT("aux_sheet!S"&amp;1+MATCH(aux_sheet!$B115,aux_sheet!$A$2:$A$202,0)))</f>
        <v/>
      </c>
      <c r="M116" s="106" t="str">
        <f ca="1">IF($B116="","",INDIRECT("aux_sheet!U"&amp;1+MATCH(aux_sheet!$B115,aux_sheet!$A$2:$A$202,0)))</f>
        <v/>
      </c>
      <c r="N116" s="89" t="str">
        <f ca="1">IF($B116="","",INDIRECT("aux_sheet!V"&amp;1+MATCH(aux_sheet!$B115,aux_sheet!$A$2:$A$202,0)))</f>
        <v/>
      </c>
      <c r="O116" s="89" t="str">
        <f ca="1">IF($B116="","",INDIRECT("aux_sheet!V"&amp;1+MATCH(aux_sheet!$B115,aux_sheet!$A$2:$A$202,0)))</f>
        <v/>
      </c>
      <c r="P116" s="106" t="str">
        <f ca="1">IF($B116="","",INDIRECT("aux_sheet!X"&amp;1+MATCH(aux_sheet!$B115,aux_sheet!$A$2:$A$202,0)))</f>
        <v/>
      </c>
      <c r="Q116" s="89" t="str">
        <f ca="1">IF($B116="","",INDIRECT("aux_sheet!Y"&amp;1+MATCH(aux_sheet!$B115,aux_sheet!$A$2:$A$202,0)))</f>
        <v/>
      </c>
      <c r="R116" s="89" t="str">
        <f ca="1">IF($B116="","",INDIRECT("aux_sheet!Y"&amp;1+MATCH(aux_sheet!$B115,aux_sheet!$A$2:$A$202,0)))</f>
        <v/>
      </c>
      <c r="S116" s="106" t="str">
        <f ca="1">IF($B116="","",INDIRECT("aux_sheet!AA"&amp;1+MATCH(aux_sheet!$B115,aux_sheet!$A$2:$A$202,0)))</f>
        <v/>
      </c>
      <c r="T116" s="89" t="str">
        <f ca="1">IF($B116="","",INDIRECT("aux_sheet!AB"&amp;1+MATCH(aux_sheet!$B115,aux_sheet!$A$2:$A$202,0)))</f>
        <v/>
      </c>
      <c r="U116" s="89" t="str">
        <f ca="1">IF($B116="","",INDIRECT("aux_sheet!AB"&amp;1+MATCH(aux_sheet!$B115,aux_sheet!$A$2:$A$202,0)))</f>
        <v/>
      </c>
      <c r="V116" s="106" t="str">
        <f ca="1">IF($B116="","",INDIRECT("aux_sheet!AD"&amp;1+MATCH(aux_sheet!$B115,aux_sheet!$A$2:$A$202,0)))</f>
        <v/>
      </c>
      <c r="W116" s="89" t="str">
        <f ca="1">IF($B116="","",INDIRECT("aux_sheet!AE"&amp;1+MATCH(aux_sheet!$B115,aux_sheet!$A$2:$A$202,0)))</f>
        <v/>
      </c>
      <c r="X116" s="89" t="str">
        <f ca="1">IF($B116="","",INDIRECT("aux_sheet!AE"&amp;1+MATCH(aux_sheet!$B115,aux_sheet!$A$2:$A$202,0)))</f>
        <v/>
      </c>
      <c r="Y116" s="106" t="str">
        <f ca="1">IF($B116="","",INDIRECT("aux_sheet!AG"&amp;1+MATCH(aux_sheet!$B115,aux_sheet!$A$2:$A$202,0)))</f>
        <v/>
      </c>
      <c r="Z116" s="89" t="str">
        <f ca="1">IF($B116="","",INDIRECT("aux_sheet!AH"&amp;1+MATCH(aux_sheet!$B115,aux_sheet!$A$2:$A$202,0)))</f>
        <v/>
      </c>
      <c r="AA116" s="89" t="str">
        <f ca="1">IF($B116="","",INDIRECT("aux_sheet!AH"&amp;1+MATCH(aux_sheet!$B115,aux_sheet!$A$2:$A$202,0)))</f>
        <v/>
      </c>
      <c r="AB116" s="106" t="str">
        <f ca="1">IF($B116="","",INDIRECT("aux_sheet!AJ"&amp;1+MATCH(aux_sheet!$B115,aux_sheet!$A$2:$A$202,0)))</f>
        <v/>
      </c>
      <c r="AC116" s="89" t="str">
        <f ca="1">IF($B116="","",INDIRECT("aux_sheet!AK"&amp;1+MATCH(aux_sheet!$B115,aux_sheet!$A$2:$A$202,0)))</f>
        <v/>
      </c>
      <c r="AD116" s="89" t="str">
        <f ca="1">IF($B116="","",INDIRECT("aux_sheet!AK"&amp;1+MATCH(aux_sheet!$B115,aux_sheet!$A$2:$A$202,0)))</f>
        <v/>
      </c>
      <c r="AE116" s="106" t="str">
        <f ca="1">IF($B116="","",INDIRECT("aux_sheet!AM"&amp;1+MATCH(aux_sheet!$B115,aux_sheet!$A$2:$A$202,0)))</f>
        <v/>
      </c>
      <c r="AF116" s="89" t="str">
        <f ca="1">IF($B116="","",INDIRECT("aux_sheet!AN"&amp;1+MATCH(aux_sheet!$B115,aux_sheet!$A$2:$A$202,0)))</f>
        <v/>
      </c>
      <c r="AG116" s="89" t="str">
        <f ca="1">IF($B116="","",INDIRECT("aux_sheet!AN"&amp;1+MATCH(aux_sheet!$B115,aux_sheet!$A$2:$A$202,0)))</f>
        <v/>
      </c>
      <c r="AH116" s="14" t="str">
        <f>IF(ISBLANK(Input!A115)," ",F115-F116)</f>
        <v xml:space="preserve"> </v>
      </c>
    </row>
    <row r="117" spans="1:34" x14ac:dyDescent="0.35">
      <c r="A117" s="2" t="str">
        <f>IF(ISBLANK(Input!A116),"",ROUNDDOWN(aux_sheet!B116,0))</f>
        <v/>
      </c>
      <c r="B117" s="2" t="str">
        <f ca="1">IF(ISBLANK(Input!A116),"",INDIRECT("Input!A"&amp;1+MATCH(aux_sheet!$B116,aux_sheet!$A$2:$A$202,0)))</f>
        <v/>
      </c>
      <c r="C117" s="2" t="str">
        <f ca="1">IF(ISBLANK(Input!B116),"",INDIRECT("Input!B"&amp;1+MATCH(aux_sheet!$B116,aux_sheet!$A$2:$A$202,0)))</f>
        <v/>
      </c>
      <c r="D117" s="2" t="str">
        <f ca="1">IF(ISBLANK(Input!C116),"",INDIRECT("Input!C"&amp;1+MATCH(aux_sheet!$B116,aux_sheet!$A$2:$A$202,0)))</f>
        <v/>
      </c>
      <c r="E117" s="2" t="str">
        <f ca="1">IF(ISBLANK(Input!D116),"",INDIRECT("Input!D"&amp;1+MATCH(aux_sheet!$B116,aux_sheet!$A$2:$A$202,0)))</f>
        <v/>
      </c>
      <c r="F117" s="11" t="str">
        <f ca="1">INDIRECT("Input!F"&amp;1+MATCH(aux_sheet!$B116,aux_sheet!$A$2:$A$202,0))</f>
        <v xml:space="preserve"> </v>
      </c>
      <c r="G117" s="106" t="str">
        <f ca="1">IF($B117="","",INDIRECT("aux_sheet!O"&amp;1+MATCH(aux_sheet!$B116,aux_sheet!$A$2:$A$202,0)))</f>
        <v/>
      </c>
      <c r="H117" s="89" t="str">
        <f ca="1">IF($B117="","",INDIRECT("aux_sheet!P"&amp;1+MATCH(aux_sheet!$B116,aux_sheet!$A$2:$A$202,0)))</f>
        <v/>
      </c>
      <c r="I117" s="89" t="str">
        <f ca="1">IF($B117="","",INDIRECT("aux_sheet!P"&amp;1+MATCH(aux_sheet!$B116,aux_sheet!$A$2:$A$202,0)))</f>
        <v/>
      </c>
      <c r="J117" s="106" t="str">
        <f ca="1">IF($B117="","",INDIRECT("aux_sheet!R"&amp;1+MATCH(aux_sheet!$B116,aux_sheet!$A$2:$A$202,0)))</f>
        <v/>
      </c>
      <c r="K117" s="89" t="str">
        <f ca="1">IF($B117="","",INDIRECT("aux_sheet!S"&amp;1+MATCH(aux_sheet!$B116,aux_sheet!$A$2:$A$202,0)))</f>
        <v/>
      </c>
      <c r="L117" s="89" t="str">
        <f ca="1">IF($B117="","",INDIRECT("aux_sheet!S"&amp;1+MATCH(aux_sheet!$B116,aux_sheet!$A$2:$A$202,0)))</f>
        <v/>
      </c>
      <c r="M117" s="106" t="str">
        <f ca="1">IF($B117="","",INDIRECT("aux_sheet!U"&amp;1+MATCH(aux_sheet!$B116,aux_sheet!$A$2:$A$202,0)))</f>
        <v/>
      </c>
      <c r="N117" s="89" t="str">
        <f ca="1">IF($B117="","",INDIRECT("aux_sheet!V"&amp;1+MATCH(aux_sheet!$B116,aux_sheet!$A$2:$A$202,0)))</f>
        <v/>
      </c>
      <c r="O117" s="89" t="str">
        <f ca="1">IF($B117="","",INDIRECT("aux_sheet!V"&amp;1+MATCH(aux_sheet!$B116,aux_sheet!$A$2:$A$202,0)))</f>
        <v/>
      </c>
      <c r="P117" s="106" t="str">
        <f ca="1">IF($B117="","",INDIRECT("aux_sheet!X"&amp;1+MATCH(aux_sheet!$B116,aux_sheet!$A$2:$A$202,0)))</f>
        <v/>
      </c>
      <c r="Q117" s="89" t="str">
        <f ca="1">IF($B117="","",INDIRECT("aux_sheet!Y"&amp;1+MATCH(aux_sheet!$B116,aux_sheet!$A$2:$A$202,0)))</f>
        <v/>
      </c>
      <c r="R117" s="89" t="str">
        <f ca="1">IF($B117="","",INDIRECT("aux_sheet!Y"&amp;1+MATCH(aux_sheet!$B116,aux_sheet!$A$2:$A$202,0)))</f>
        <v/>
      </c>
      <c r="S117" s="106" t="str">
        <f ca="1">IF($B117="","",INDIRECT("aux_sheet!AA"&amp;1+MATCH(aux_sheet!$B116,aux_sheet!$A$2:$A$202,0)))</f>
        <v/>
      </c>
      <c r="T117" s="89" t="str">
        <f ca="1">IF($B117="","",INDIRECT("aux_sheet!AB"&amp;1+MATCH(aux_sheet!$B116,aux_sheet!$A$2:$A$202,0)))</f>
        <v/>
      </c>
      <c r="U117" s="89" t="str">
        <f ca="1">IF($B117="","",INDIRECT("aux_sheet!AB"&amp;1+MATCH(aux_sheet!$B116,aux_sheet!$A$2:$A$202,0)))</f>
        <v/>
      </c>
      <c r="V117" s="106" t="str">
        <f ca="1">IF($B117="","",INDIRECT("aux_sheet!AD"&amp;1+MATCH(aux_sheet!$B116,aux_sheet!$A$2:$A$202,0)))</f>
        <v/>
      </c>
      <c r="W117" s="89" t="str">
        <f ca="1">IF($B117="","",INDIRECT("aux_sheet!AE"&amp;1+MATCH(aux_sheet!$B116,aux_sheet!$A$2:$A$202,0)))</f>
        <v/>
      </c>
      <c r="X117" s="89" t="str">
        <f ca="1">IF($B117="","",INDIRECT("aux_sheet!AE"&amp;1+MATCH(aux_sheet!$B116,aux_sheet!$A$2:$A$202,0)))</f>
        <v/>
      </c>
      <c r="Y117" s="106" t="str">
        <f ca="1">IF($B117="","",INDIRECT("aux_sheet!AG"&amp;1+MATCH(aux_sheet!$B116,aux_sheet!$A$2:$A$202,0)))</f>
        <v/>
      </c>
      <c r="Z117" s="89" t="str">
        <f ca="1">IF($B117="","",INDIRECT("aux_sheet!AH"&amp;1+MATCH(aux_sheet!$B116,aux_sheet!$A$2:$A$202,0)))</f>
        <v/>
      </c>
      <c r="AA117" s="89" t="str">
        <f ca="1">IF($B117="","",INDIRECT("aux_sheet!AH"&amp;1+MATCH(aux_sheet!$B116,aux_sheet!$A$2:$A$202,0)))</f>
        <v/>
      </c>
      <c r="AB117" s="106" t="str">
        <f ca="1">IF($B117="","",INDIRECT("aux_sheet!AJ"&amp;1+MATCH(aux_sheet!$B116,aux_sheet!$A$2:$A$202,0)))</f>
        <v/>
      </c>
      <c r="AC117" s="89" t="str">
        <f ca="1">IF($B117="","",INDIRECT("aux_sheet!AK"&amp;1+MATCH(aux_sheet!$B116,aux_sheet!$A$2:$A$202,0)))</f>
        <v/>
      </c>
      <c r="AD117" s="89" t="str">
        <f ca="1">IF($B117="","",INDIRECT("aux_sheet!AK"&amp;1+MATCH(aux_sheet!$B116,aux_sheet!$A$2:$A$202,0)))</f>
        <v/>
      </c>
      <c r="AE117" s="106" t="str">
        <f ca="1">IF($B117="","",INDIRECT("aux_sheet!AM"&amp;1+MATCH(aux_sheet!$B116,aux_sheet!$A$2:$A$202,0)))</f>
        <v/>
      </c>
      <c r="AF117" s="89" t="str">
        <f ca="1">IF($B117="","",INDIRECT("aux_sheet!AN"&amp;1+MATCH(aux_sheet!$B116,aux_sheet!$A$2:$A$202,0)))</f>
        <v/>
      </c>
      <c r="AG117" s="89" t="str">
        <f ca="1">IF($B117="","",INDIRECT("aux_sheet!AN"&amp;1+MATCH(aux_sheet!$B116,aux_sheet!$A$2:$A$202,0)))</f>
        <v/>
      </c>
      <c r="AH117" s="14" t="str">
        <f>IF(ISBLANK(Input!A116)," ",F116-F117)</f>
        <v xml:space="preserve"> </v>
      </c>
    </row>
    <row r="118" spans="1:34" x14ac:dyDescent="0.35">
      <c r="A118" s="2" t="str">
        <f>IF(ISBLANK(Input!A117),"",ROUNDDOWN(aux_sheet!B117,0))</f>
        <v/>
      </c>
      <c r="B118" s="2" t="str">
        <f ca="1">IF(ISBLANK(Input!A117),"",INDIRECT("Input!A"&amp;1+MATCH(aux_sheet!$B117,aux_sheet!$A$2:$A$202,0)))</f>
        <v/>
      </c>
      <c r="C118" s="2" t="str">
        <f ca="1">IF(ISBLANK(Input!B117),"",INDIRECT("Input!B"&amp;1+MATCH(aux_sheet!$B117,aux_sheet!$A$2:$A$202,0)))</f>
        <v/>
      </c>
      <c r="D118" s="2" t="str">
        <f ca="1">IF(ISBLANK(Input!C117),"",INDIRECT("Input!C"&amp;1+MATCH(aux_sheet!$B117,aux_sheet!$A$2:$A$202,0)))</f>
        <v/>
      </c>
      <c r="E118" s="2" t="str">
        <f ca="1">IF(ISBLANK(Input!D117),"",INDIRECT("Input!D"&amp;1+MATCH(aux_sheet!$B117,aux_sheet!$A$2:$A$202,0)))</f>
        <v/>
      </c>
      <c r="F118" s="11" t="str">
        <f ca="1">INDIRECT("Input!F"&amp;1+MATCH(aux_sheet!$B117,aux_sheet!$A$2:$A$202,0))</f>
        <v xml:space="preserve"> </v>
      </c>
      <c r="G118" s="106" t="str">
        <f ca="1">IF($B118="","",INDIRECT("aux_sheet!O"&amp;1+MATCH(aux_sheet!$B117,aux_sheet!$A$2:$A$202,0)))</f>
        <v/>
      </c>
      <c r="H118" s="89" t="str">
        <f ca="1">IF($B118="","",INDIRECT("aux_sheet!P"&amp;1+MATCH(aux_sheet!$B117,aux_sheet!$A$2:$A$202,0)))</f>
        <v/>
      </c>
      <c r="I118" s="89" t="str">
        <f ca="1">IF($B118="","",INDIRECT("aux_sheet!P"&amp;1+MATCH(aux_sheet!$B117,aux_sheet!$A$2:$A$202,0)))</f>
        <v/>
      </c>
      <c r="J118" s="106" t="str">
        <f ca="1">IF($B118="","",INDIRECT("aux_sheet!R"&amp;1+MATCH(aux_sheet!$B117,aux_sheet!$A$2:$A$202,0)))</f>
        <v/>
      </c>
      <c r="K118" s="89" t="str">
        <f ca="1">IF($B118="","",INDIRECT("aux_sheet!S"&amp;1+MATCH(aux_sheet!$B117,aux_sheet!$A$2:$A$202,0)))</f>
        <v/>
      </c>
      <c r="L118" s="89" t="str">
        <f ca="1">IF($B118="","",INDIRECT("aux_sheet!S"&amp;1+MATCH(aux_sheet!$B117,aux_sheet!$A$2:$A$202,0)))</f>
        <v/>
      </c>
      <c r="M118" s="106" t="str">
        <f ca="1">IF($B118="","",INDIRECT("aux_sheet!U"&amp;1+MATCH(aux_sheet!$B117,aux_sheet!$A$2:$A$202,0)))</f>
        <v/>
      </c>
      <c r="N118" s="89" t="str">
        <f ca="1">IF($B118="","",INDIRECT("aux_sheet!V"&amp;1+MATCH(aux_sheet!$B117,aux_sheet!$A$2:$A$202,0)))</f>
        <v/>
      </c>
      <c r="O118" s="89" t="str">
        <f ca="1">IF($B118="","",INDIRECT("aux_sheet!V"&amp;1+MATCH(aux_sheet!$B117,aux_sheet!$A$2:$A$202,0)))</f>
        <v/>
      </c>
      <c r="P118" s="106" t="str">
        <f ca="1">IF($B118="","",INDIRECT("aux_sheet!X"&amp;1+MATCH(aux_sheet!$B117,aux_sheet!$A$2:$A$202,0)))</f>
        <v/>
      </c>
      <c r="Q118" s="89" t="str">
        <f ca="1">IF($B118="","",INDIRECT("aux_sheet!Y"&amp;1+MATCH(aux_sheet!$B117,aux_sheet!$A$2:$A$202,0)))</f>
        <v/>
      </c>
      <c r="R118" s="89" t="str">
        <f ca="1">IF($B118="","",INDIRECT("aux_sheet!Y"&amp;1+MATCH(aux_sheet!$B117,aux_sheet!$A$2:$A$202,0)))</f>
        <v/>
      </c>
      <c r="S118" s="106" t="str">
        <f ca="1">IF($B118="","",INDIRECT("aux_sheet!AA"&amp;1+MATCH(aux_sheet!$B117,aux_sheet!$A$2:$A$202,0)))</f>
        <v/>
      </c>
      <c r="T118" s="89" t="str">
        <f ca="1">IF($B118="","",INDIRECT("aux_sheet!AB"&amp;1+MATCH(aux_sheet!$B117,aux_sheet!$A$2:$A$202,0)))</f>
        <v/>
      </c>
      <c r="U118" s="89" t="str">
        <f ca="1">IF($B118="","",INDIRECT("aux_sheet!AB"&amp;1+MATCH(aux_sheet!$B117,aux_sheet!$A$2:$A$202,0)))</f>
        <v/>
      </c>
      <c r="V118" s="106" t="str">
        <f ca="1">IF($B118="","",INDIRECT("aux_sheet!AD"&amp;1+MATCH(aux_sheet!$B117,aux_sheet!$A$2:$A$202,0)))</f>
        <v/>
      </c>
      <c r="W118" s="89" t="str">
        <f ca="1">IF($B118="","",INDIRECT("aux_sheet!AE"&amp;1+MATCH(aux_sheet!$B117,aux_sheet!$A$2:$A$202,0)))</f>
        <v/>
      </c>
      <c r="X118" s="89" t="str">
        <f ca="1">IF($B118="","",INDIRECT("aux_sheet!AE"&amp;1+MATCH(aux_sheet!$B117,aux_sheet!$A$2:$A$202,0)))</f>
        <v/>
      </c>
      <c r="Y118" s="106" t="str">
        <f ca="1">IF($B118="","",INDIRECT("aux_sheet!AG"&amp;1+MATCH(aux_sheet!$B117,aux_sheet!$A$2:$A$202,0)))</f>
        <v/>
      </c>
      <c r="Z118" s="89" t="str">
        <f ca="1">IF($B118="","",INDIRECT("aux_sheet!AH"&amp;1+MATCH(aux_sheet!$B117,aux_sheet!$A$2:$A$202,0)))</f>
        <v/>
      </c>
      <c r="AA118" s="89" t="str">
        <f ca="1">IF($B118="","",INDIRECT("aux_sheet!AH"&amp;1+MATCH(aux_sheet!$B117,aux_sheet!$A$2:$A$202,0)))</f>
        <v/>
      </c>
      <c r="AB118" s="106" t="str">
        <f ca="1">IF($B118="","",INDIRECT("aux_sheet!AJ"&amp;1+MATCH(aux_sheet!$B117,aux_sheet!$A$2:$A$202,0)))</f>
        <v/>
      </c>
      <c r="AC118" s="89" t="str">
        <f ca="1">IF($B118="","",INDIRECT("aux_sheet!AK"&amp;1+MATCH(aux_sheet!$B117,aux_sheet!$A$2:$A$202,0)))</f>
        <v/>
      </c>
      <c r="AD118" s="89" t="str">
        <f ca="1">IF($B118="","",INDIRECT("aux_sheet!AK"&amp;1+MATCH(aux_sheet!$B117,aux_sheet!$A$2:$A$202,0)))</f>
        <v/>
      </c>
      <c r="AE118" s="106" t="str">
        <f ca="1">IF($B118="","",INDIRECT("aux_sheet!AM"&amp;1+MATCH(aux_sheet!$B117,aux_sheet!$A$2:$A$202,0)))</f>
        <v/>
      </c>
      <c r="AF118" s="89" t="str">
        <f ca="1">IF($B118="","",INDIRECT("aux_sheet!AN"&amp;1+MATCH(aux_sheet!$B117,aux_sheet!$A$2:$A$202,0)))</f>
        <v/>
      </c>
      <c r="AG118" s="89" t="str">
        <f ca="1">IF($B118="","",INDIRECT("aux_sheet!AN"&amp;1+MATCH(aux_sheet!$B117,aux_sheet!$A$2:$A$202,0)))</f>
        <v/>
      </c>
      <c r="AH118" s="14" t="str">
        <f>IF(ISBLANK(Input!A117)," ",F117-F118)</f>
        <v xml:space="preserve"> </v>
      </c>
    </row>
    <row r="119" spans="1:34" x14ac:dyDescent="0.35">
      <c r="A119" s="2" t="str">
        <f>IF(ISBLANK(Input!A118),"",ROUNDDOWN(aux_sheet!B118,0))</f>
        <v/>
      </c>
      <c r="B119" s="2" t="str">
        <f ca="1">IF(ISBLANK(Input!A118),"",INDIRECT("Input!A"&amp;1+MATCH(aux_sheet!$B118,aux_sheet!$A$2:$A$202,0)))</f>
        <v/>
      </c>
      <c r="C119" s="2" t="str">
        <f ca="1">IF(ISBLANK(Input!B118),"",INDIRECT("Input!B"&amp;1+MATCH(aux_sheet!$B118,aux_sheet!$A$2:$A$202,0)))</f>
        <v/>
      </c>
      <c r="D119" s="2" t="str">
        <f ca="1">IF(ISBLANK(Input!C118),"",INDIRECT("Input!C"&amp;1+MATCH(aux_sheet!$B118,aux_sheet!$A$2:$A$202,0)))</f>
        <v/>
      </c>
      <c r="E119" s="2" t="str">
        <f ca="1">IF(ISBLANK(Input!D118),"",INDIRECT("Input!D"&amp;1+MATCH(aux_sheet!$B118,aux_sheet!$A$2:$A$202,0)))</f>
        <v/>
      </c>
      <c r="F119" s="11" t="str">
        <f ca="1">INDIRECT("Input!F"&amp;1+MATCH(aux_sheet!$B118,aux_sheet!$A$2:$A$202,0))</f>
        <v xml:space="preserve"> </v>
      </c>
      <c r="G119" s="106" t="str">
        <f ca="1">IF($B119="","",INDIRECT("aux_sheet!O"&amp;1+MATCH(aux_sheet!$B118,aux_sheet!$A$2:$A$202,0)))</f>
        <v/>
      </c>
      <c r="H119" s="89" t="str">
        <f ca="1">IF($B119="","",INDIRECT("aux_sheet!P"&amp;1+MATCH(aux_sheet!$B118,aux_sheet!$A$2:$A$202,0)))</f>
        <v/>
      </c>
      <c r="I119" s="89" t="str">
        <f ca="1">IF($B119="","",INDIRECT("aux_sheet!P"&amp;1+MATCH(aux_sheet!$B118,aux_sheet!$A$2:$A$202,0)))</f>
        <v/>
      </c>
      <c r="J119" s="106" t="str">
        <f ca="1">IF($B119="","",INDIRECT("aux_sheet!R"&amp;1+MATCH(aux_sheet!$B118,aux_sheet!$A$2:$A$202,0)))</f>
        <v/>
      </c>
      <c r="K119" s="89" t="str">
        <f ca="1">IF($B119="","",INDIRECT("aux_sheet!S"&amp;1+MATCH(aux_sheet!$B118,aux_sheet!$A$2:$A$202,0)))</f>
        <v/>
      </c>
      <c r="L119" s="89" t="str">
        <f ca="1">IF($B119="","",INDIRECT("aux_sheet!S"&amp;1+MATCH(aux_sheet!$B118,aux_sheet!$A$2:$A$202,0)))</f>
        <v/>
      </c>
      <c r="M119" s="106" t="str">
        <f ca="1">IF($B119="","",INDIRECT("aux_sheet!U"&amp;1+MATCH(aux_sheet!$B118,aux_sheet!$A$2:$A$202,0)))</f>
        <v/>
      </c>
      <c r="N119" s="89" t="str">
        <f ca="1">IF($B119="","",INDIRECT("aux_sheet!V"&amp;1+MATCH(aux_sheet!$B118,aux_sheet!$A$2:$A$202,0)))</f>
        <v/>
      </c>
      <c r="O119" s="89" t="str">
        <f ca="1">IF($B119="","",INDIRECT("aux_sheet!V"&amp;1+MATCH(aux_sheet!$B118,aux_sheet!$A$2:$A$202,0)))</f>
        <v/>
      </c>
      <c r="P119" s="106" t="str">
        <f ca="1">IF($B119="","",INDIRECT("aux_sheet!X"&amp;1+MATCH(aux_sheet!$B118,aux_sheet!$A$2:$A$202,0)))</f>
        <v/>
      </c>
      <c r="Q119" s="89" t="str">
        <f ca="1">IF($B119="","",INDIRECT("aux_sheet!Y"&amp;1+MATCH(aux_sheet!$B118,aux_sheet!$A$2:$A$202,0)))</f>
        <v/>
      </c>
      <c r="R119" s="89" t="str">
        <f ca="1">IF($B119="","",INDIRECT("aux_sheet!Y"&amp;1+MATCH(aux_sheet!$B118,aux_sheet!$A$2:$A$202,0)))</f>
        <v/>
      </c>
      <c r="S119" s="106" t="str">
        <f ca="1">IF($B119="","",INDIRECT("aux_sheet!AA"&amp;1+MATCH(aux_sheet!$B118,aux_sheet!$A$2:$A$202,0)))</f>
        <v/>
      </c>
      <c r="T119" s="89" t="str">
        <f ca="1">IF($B119="","",INDIRECT("aux_sheet!AB"&amp;1+MATCH(aux_sheet!$B118,aux_sheet!$A$2:$A$202,0)))</f>
        <v/>
      </c>
      <c r="U119" s="89" t="str">
        <f ca="1">IF($B119="","",INDIRECT("aux_sheet!AB"&amp;1+MATCH(aux_sheet!$B118,aux_sheet!$A$2:$A$202,0)))</f>
        <v/>
      </c>
      <c r="V119" s="106" t="str">
        <f ca="1">IF($B119="","",INDIRECT("aux_sheet!AD"&amp;1+MATCH(aux_sheet!$B118,aux_sheet!$A$2:$A$202,0)))</f>
        <v/>
      </c>
      <c r="W119" s="89" t="str">
        <f ca="1">IF($B119="","",INDIRECT("aux_sheet!AE"&amp;1+MATCH(aux_sheet!$B118,aux_sheet!$A$2:$A$202,0)))</f>
        <v/>
      </c>
      <c r="X119" s="89" t="str">
        <f ca="1">IF($B119="","",INDIRECT("aux_sheet!AE"&amp;1+MATCH(aux_sheet!$B118,aux_sheet!$A$2:$A$202,0)))</f>
        <v/>
      </c>
      <c r="Y119" s="106" t="str">
        <f ca="1">IF($B119="","",INDIRECT("aux_sheet!AG"&amp;1+MATCH(aux_sheet!$B118,aux_sheet!$A$2:$A$202,0)))</f>
        <v/>
      </c>
      <c r="Z119" s="89" t="str">
        <f ca="1">IF($B119="","",INDIRECT("aux_sheet!AH"&amp;1+MATCH(aux_sheet!$B118,aux_sheet!$A$2:$A$202,0)))</f>
        <v/>
      </c>
      <c r="AA119" s="89" t="str">
        <f ca="1">IF($B119="","",INDIRECT("aux_sheet!AH"&amp;1+MATCH(aux_sheet!$B118,aux_sheet!$A$2:$A$202,0)))</f>
        <v/>
      </c>
      <c r="AB119" s="106" t="str">
        <f ca="1">IF($B119="","",INDIRECT("aux_sheet!AJ"&amp;1+MATCH(aux_sheet!$B118,aux_sheet!$A$2:$A$202,0)))</f>
        <v/>
      </c>
      <c r="AC119" s="89" t="str">
        <f ca="1">IF($B119="","",INDIRECT("aux_sheet!AK"&amp;1+MATCH(aux_sheet!$B118,aux_sheet!$A$2:$A$202,0)))</f>
        <v/>
      </c>
      <c r="AD119" s="89" t="str">
        <f ca="1">IF($B119="","",INDIRECT("aux_sheet!AK"&amp;1+MATCH(aux_sheet!$B118,aux_sheet!$A$2:$A$202,0)))</f>
        <v/>
      </c>
      <c r="AE119" s="106" t="str">
        <f ca="1">IF($B119="","",INDIRECT("aux_sheet!AM"&amp;1+MATCH(aux_sheet!$B118,aux_sheet!$A$2:$A$202,0)))</f>
        <v/>
      </c>
      <c r="AF119" s="89" t="str">
        <f ca="1">IF($B119="","",INDIRECT("aux_sheet!AN"&amp;1+MATCH(aux_sheet!$B118,aux_sheet!$A$2:$A$202,0)))</f>
        <v/>
      </c>
      <c r="AG119" s="89" t="str">
        <f ca="1">IF($B119="","",INDIRECT("aux_sheet!AN"&amp;1+MATCH(aux_sheet!$B118,aux_sheet!$A$2:$A$202,0)))</f>
        <v/>
      </c>
      <c r="AH119" s="14" t="str">
        <f>IF(ISBLANK(Input!A118)," ",F118-F119)</f>
        <v xml:space="preserve"> </v>
      </c>
    </row>
    <row r="120" spans="1:34" x14ac:dyDescent="0.35">
      <c r="A120" s="2" t="str">
        <f>IF(ISBLANK(Input!A119),"",ROUNDDOWN(aux_sheet!B119,0))</f>
        <v/>
      </c>
      <c r="B120" s="2" t="str">
        <f ca="1">IF(ISBLANK(Input!A119),"",INDIRECT("Input!A"&amp;1+MATCH(aux_sheet!$B119,aux_sheet!$A$2:$A$202,0)))</f>
        <v/>
      </c>
      <c r="C120" s="2" t="str">
        <f ca="1">IF(ISBLANK(Input!B119),"",INDIRECT("Input!B"&amp;1+MATCH(aux_sheet!$B119,aux_sheet!$A$2:$A$202,0)))</f>
        <v/>
      </c>
      <c r="D120" s="2" t="str">
        <f ca="1">IF(ISBLANK(Input!C119),"",INDIRECT("Input!C"&amp;1+MATCH(aux_sheet!$B119,aux_sheet!$A$2:$A$202,0)))</f>
        <v/>
      </c>
      <c r="E120" s="2" t="str">
        <f ca="1">IF(ISBLANK(Input!D119),"",INDIRECT("Input!D"&amp;1+MATCH(aux_sheet!$B119,aux_sheet!$A$2:$A$202,0)))</f>
        <v/>
      </c>
      <c r="F120" s="11" t="str">
        <f ca="1">INDIRECT("Input!F"&amp;1+MATCH(aux_sheet!$B119,aux_sheet!$A$2:$A$202,0))</f>
        <v xml:space="preserve"> </v>
      </c>
      <c r="G120" s="106" t="str">
        <f ca="1">IF($B120="","",INDIRECT("aux_sheet!O"&amp;1+MATCH(aux_sheet!$B119,aux_sheet!$A$2:$A$202,0)))</f>
        <v/>
      </c>
      <c r="H120" s="89" t="str">
        <f ca="1">IF($B120="","",INDIRECT("aux_sheet!P"&amp;1+MATCH(aux_sheet!$B119,aux_sheet!$A$2:$A$202,0)))</f>
        <v/>
      </c>
      <c r="I120" s="89" t="str">
        <f ca="1">IF($B120="","",INDIRECT("aux_sheet!P"&amp;1+MATCH(aux_sheet!$B119,aux_sheet!$A$2:$A$202,0)))</f>
        <v/>
      </c>
      <c r="J120" s="106" t="str">
        <f ca="1">IF($B120="","",INDIRECT("aux_sheet!R"&amp;1+MATCH(aux_sheet!$B119,aux_sheet!$A$2:$A$202,0)))</f>
        <v/>
      </c>
      <c r="K120" s="89" t="str">
        <f ca="1">IF($B120="","",INDIRECT("aux_sheet!S"&amp;1+MATCH(aux_sheet!$B119,aux_sheet!$A$2:$A$202,0)))</f>
        <v/>
      </c>
      <c r="L120" s="89" t="str">
        <f ca="1">IF($B120="","",INDIRECT("aux_sheet!S"&amp;1+MATCH(aux_sheet!$B119,aux_sheet!$A$2:$A$202,0)))</f>
        <v/>
      </c>
      <c r="M120" s="106" t="str">
        <f ca="1">IF($B120="","",INDIRECT("aux_sheet!U"&amp;1+MATCH(aux_sheet!$B119,aux_sheet!$A$2:$A$202,0)))</f>
        <v/>
      </c>
      <c r="N120" s="89" t="str">
        <f ca="1">IF($B120="","",INDIRECT("aux_sheet!V"&amp;1+MATCH(aux_sheet!$B119,aux_sheet!$A$2:$A$202,0)))</f>
        <v/>
      </c>
      <c r="O120" s="89" t="str">
        <f ca="1">IF($B120="","",INDIRECT("aux_sheet!V"&amp;1+MATCH(aux_sheet!$B119,aux_sheet!$A$2:$A$202,0)))</f>
        <v/>
      </c>
      <c r="P120" s="106" t="str">
        <f ca="1">IF($B120="","",INDIRECT("aux_sheet!X"&amp;1+MATCH(aux_sheet!$B119,aux_sheet!$A$2:$A$202,0)))</f>
        <v/>
      </c>
      <c r="Q120" s="89" t="str">
        <f ca="1">IF($B120="","",INDIRECT("aux_sheet!Y"&amp;1+MATCH(aux_sheet!$B119,aux_sheet!$A$2:$A$202,0)))</f>
        <v/>
      </c>
      <c r="R120" s="89" t="str">
        <f ca="1">IF($B120="","",INDIRECT("aux_sheet!Y"&amp;1+MATCH(aux_sheet!$B119,aux_sheet!$A$2:$A$202,0)))</f>
        <v/>
      </c>
      <c r="S120" s="106" t="str">
        <f ca="1">IF($B120="","",INDIRECT("aux_sheet!AA"&amp;1+MATCH(aux_sheet!$B119,aux_sheet!$A$2:$A$202,0)))</f>
        <v/>
      </c>
      <c r="T120" s="89" t="str">
        <f ca="1">IF($B120="","",INDIRECT("aux_sheet!AB"&amp;1+MATCH(aux_sheet!$B119,aux_sheet!$A$2:$A$202,0)))</f>
        <v/>
      </c>
      <c r="U120" s="89" t="str">
        <f ca="1">IF($B120="","",INDIRECT("aux_sheet!AB"&amp;1+MATCH(aux_sheet!$B119,aux_sheet!$A$2:$A$202,0)))</f>
        <v/>
      </c>
      <c r="V120" s="106" t="str">
        <f ca="1">IF($B120="","",INDIRECT("aux_sheet!AD"&amp;1+MATCH(aux_sheet!$B119,aux_sheet!$A$2:$A$202,0)))</f>
        <v/>
      </c>
      <c r="W120" s="89" t="str">
        <f ca="1">IF($B120="","",INDIRECT("aux_sheet!AE"&amp;1+MATCH(aux_sheet!$B119,aux_sheet!$A$2:$A$202,0)))</f>
        <v/>
      </c>
      <c r="X120" s="89" t="str">
        <f ca="1">IF($B120="","",INDIRECT("aux_sheet!AE"&amp;1+MATCH(aux_sheet!$B119,aux_sheet!$A$2:$A$202,0)))</f>
        <v/>
      </c>
      <c r="Y120" s="106" t="str">
        <f ca="1">IF($B120="","",INDIRECT("aux_sheet!AG"&amp;1+MATCH(aux_sheet!$B119,aux_sheet!$A$2:$A$202,0)))</f>
        <v/>
      </c>
      <c r="Z120" s="89" t="str">
        <f ca="1">IF($B120="","",INDIRECT("aux_sheet!AH"&amp;1+MATCH(aux_sheet!$B119,aux_sheet!$A$2:$A$202,0)))</f>
        <v/>
      </c>
      <c r="AA120" s="89" t="str">
        <f ca="1">IF($B120="","",INDIRECT("aux_sheet!AH"&amp;1+MATCH(aux_sheet!$B119,aux_sheet!$A$2:$A$202,0)))</f>
        <v/>
      </c>
      <c r="AB120" s="106" t="str">
        <f ca="1">IF($B120="","",INDIRECT("aux_sheet!AJ"&amp;1+MATCH(aux_sheet!$B119,aux_sheet!$A$2:$A$202,0)))</f>
        <v/>
      </c>
      <c r="AC120" s="89" t="str">
        <f ca="1">IF($B120="","",INDIRECT("aux_sheet!AK"&amp;1+MATCH(aux_sheet!$B119,aux_sheet!$A$2:$A$202,0)))</f>
        <v/>
      </c>
      <c r="AD120" s="89" t="str">
        <f ca="1">IF($B120="","",INDIRECT("aux_sheet!AK"&amp;1+MATCH(aux_sheet!$B119,aux_sheet!$A$2:$A$202,0)))</f>
        <v/>
      </c>
      <c r="AE120" s="106" t="str">
        <f ca="1">IF($B120="","",INDIRECT("aux_sheet!AM"&amp;1+MATCH(aux_sheet!$B119,aux_sheet!$A$2:$A$202,0)))</f>
        <v/>
      </c>
      <c r="AF120" s="89" t="str">
        <f ca="1">IF($B120="","",INDIRECT("aux_sheet!AN"&amp;1+MATCH(aux_sheet!$B119,aux_sheet!$A$2:$A$202,0)))</f>
        <v/>
      </c>
      <c r="AG120" s="89" t="str">
        <f ca="1">IF($B120="","",INDIRECT("aux_sheet!AN"&amp;1+MATCH(aux_sheet!$B119,aux_sheet!$A$2:$A$202,0)))</f>
        <v/>
      </c>
      <c r="AH120" s="14" t="str">
        <f>IF(ISBLANK(Input!A119)," ",F119-F120)</f>
        <v xml:space="preserve"> </v>
      </c>
    </row>
    <row r="121" spans="1:34" x14ac:dyDescent="0.35">
      <c r="A121" s="2" t="str">
        <f>IF(ISBLANK(Input!A120),"",ROUNDDOWN(aux_sheet!B120,0))</f>
        <v/>
      </c>
      <c r="B121" s="2" t="str">
        <f ca="1">IF(ISBLANK(Input!A120),"",INDIRECT("Input!A"&amp;1+MATCH(aux_sheet!$B120,aux_sheet!$A$2:$A$202,0)))</f>
        <v/>
      </c>
      <c r="C121" s="2" t="str">
        <f ca="1">IF(ISBLANK(Input!B120),"",INDIRECT("Input!B"&amp;1+MATCH(aux_sheet!$B120,aux_sheet!$A$2:$A$202,0)))</f>
        <v/>
      </c>
      <c r="D121" s="2" t="str">
        <f ca="1">IF(ISBLANK(Input!C120),"",INDIRECT("Input!C"&amp;1+MATCH(aux_sheet!$B120,aux_sheet!$A$2:$A$202,0)))</f>
        <v/>
      </c>
      <c r="E121" s="2" t="str">
        <f ca="1">IF(ISBLANK(Input!D120),"",INDIRECT("Input!D"&amp;1+MATCH(aux_sheet!$B120,aux_sheet!$A$2:$A$202,0)))</f>
        <v/>
      </c>
      <c r="F121" s="11" t="str">
        <f ca="1">INDIRECT("Input!F"&amp;1+MATCH(aux_sheet!$B120,aux_sheet!$A$2:$A$202,0))</f>
        <v xml:space="preserve"> </v>
      </c>
      <c r="G121" s="106" t="str">
        <f ca="1">IF($B121="","",INDIRECT("aux_sheet!O"&amp;1+MATCH(aux_sheet!$B120,aux_sheet!$A$2:$A$202,0)))</f>
        <v/>
      </c>
      <c r="H121" s="89" t="str">
        <f ca="1">IF($B121="","",INDIRECT("aux_sheet!P"&amp;1+MATCH(aux_sheet!$B120,aux_sheet!$A$2:$A$202,0)))</f>
        <v/>
      </c>
      <c r="I121" s="89" t="str">
        <f ca="1">IF($B121="","",INDIRECT("aux_sheet!P"&amp;1+MATCH(aux_sheet!$B120,aux_sheet!$A$2:$A$202,0)))</f>
        <v/>
      </c>
      <c r="J121" s="106" t="str">
        <f ca="1">IF($B121="","",INDIRECT("aux_sheet!R"&amp;1+MATCH(aux_sheet!$B120,aux_sheet!$A$2:$A$202,0)))</f>
        <v/>
      </c>
      <c r="K121" s="89" t="str">
        <f ca="1">IF($B121="","",INDIRECT("aux_sheet!S"&amp;1+MATCH(aux_sheet!$B120,aux_sheet!$A$2:$A$202,0)))</f>
        <v/>
      </c>
      <c r="L121" s="89" t="str">
        <f ca="1">IF($B121="","",INDIRECT("aux_sheet!S"&amp;1+MATCH(aux_sheet!$B120,aux_sheet!$A$2:$A$202,0)))</f>
        <v/>
      </c>
      <c r="M121" s="106" t="str">
        <f ca="1">IF($B121="","",INDIRECT("aux_sheet!U"&amp;1+MATCH(aux_sheet!$B120,aux_sheet!$A$2:$A$202,0)))</f>
        <v/>
      </c>
      <c r="N121" s="89" t="str">
        <f ca="1">IF($B121="","",INDIRECT("aux_sheet!V"&amp;1+MATCH(aux_sheet!$B120,aux_sheet!$A$2:$A$202,0)))</f>
        <v/>
      </c>
      <c r="O121" s="89" t="str">
        <f ca="1">IF($B121="","",INDIRECT("aux_sheet!V"&amp;1+MATCH(aux_sheet!$B120,aux_sheet!$A$2:$A$202,0)))</f>
        <v/>
      </c>
      <c r="P121" s="106" t="str">
        <f ca="1">IF($B121="","",INDIRECT("aux_sheet!X"&amp;1+MATCH(aux_sheet!$B120,aux_sheet!$A$2:$A$202,0)))</f>
        <v/>
      </c>
      <c r="Q121" s="89" t="str">
        <f ca="1">IF($B121="","",INDIRECT("aux_sheet!Y"&amp;1+MATCH(aux_sheet!$B120,aux_sheet!$A$2:$A$202,0)))</f>
        <v/>
      </c>
      <c r="R121" s="89" t="str">
        <f ca="1">IF($B121="","",INDIRECT("aux_sheet!Y"&amp;1+MATCH(aux_sheet!$B120,aux_sheet!$A$2:$A$202,0)))</f>
        <v/>
      </c>
      <c r="S121" s="106" t="str">
        <f ca="1">IF($B121="","",INDIRECT("aux_sheet!AA"&amp;1+MATCH(aux_sheet!$B120,aux_sheet!$A$2:$A$202,0)))</f>
        <v/>
      </c>
      <c r="T121" s="89" t="str">
        <f ca="1">IF($B121="","",INDIRECT("aux_sheet!AB"&amp;1+MATCH(aux_sheet!$B120,aux_sheet!$A$2:$A$202,0)))</f>
        <v/>
      </c>
      <c r="U121" s="89" t="str">
        <f ca="1">IF($B121="","",INDIRECT("aux_sheet!AB"&amp;1+MATCH(aux_sheet!$B120,aux_sheet!$A$2:$A$202,0)))</f>
        <v/>
      </c>
      <c r="V121" s="106" t="str">
        <f ca="1">IF($B121="","",INDIRECT("aux_sheet!AD"&amp;1+MATCH(aux_sheet!$B120,aux_sheet!$A$2:$A$202,0)))</f>
        <v/>
      </c>
      <c r="W121" s="89" t="str">
        <f ca="1">IF($B121="","",INDIRECT("aux_sheet!AE"&amp;1+MATCH(aux_sheet!$B120,aux_sheet!$A$2:$A$202,0)))</f>
        <v/>
      </c>
      <c r="X121" s="89" t="str">
        <f ca="1">IF($B121="","",INDIRECT("aux_sheet!AE"&amp;1+MATCH(aux_sheet!$B120,aux_sheet!$A$2:$A$202,0)))</f>
        <v/>
      </c>
      <c r="Y121" s="106" t="str">
        <f ca="1">IF($B121="","",INDIRECT("aux_sheet!AG"&amp;1+MATCH(aux_sheet!$B120,aux_sheet!$A$2:$A$202,0)))</f>
        <v/>
      </c>
      <c r="Z121" s="89" t="str">
        <f ca="1">IF($B121="","",INDIRECT("aux_sheet!AH"&amp;1+MATCH(aux_sheet!$B120,aux_sheet!$A$2:$A$202,0)))</f>
        <v/>
      </c>
      <c r="AA121" s="89" t="str">
        <f ca="1">IF($B121="","",INDIRECT("aux_sheet!AH"&amp;1+MATCH(aux_sheet!$B120,aux_sheet!$A$2:$A$202,0)))</f>
        <v/>
      </c>
      <c r="AB121" s="106" t="str">
        <f ca="1">IF($B121="","",INDIRECT("aux_sheet!AJ"&amp;1+MATCH(aux_sheet!$B120,aux_sheet!$A$2:$A$202,0)))</f>
        <v/>
      </c>
      <c r="AC121" s="89" t="str">
        <f ca="1">IF($B121="","",INDIRECT("aux_sheet!AK"&amp;1+MATCH(aux_sheet!$B120,aux_sheet!$A$2:$A$202,0)))</f>
        <v/>
      </c>
      <c r="AD121" s="89" t="str">
        <f ca="1">IF($B121="","",INDIRECT("aux_sheet!AK"&amp;1+MATCH(aux_sheet!$B120,aux_sheet!$A$2:$A$202,0)))</f>
        <v/>
      </c>
      <c r="AE121" s="106" t="str">
        <f ca="1">IF($B121="","",INDIRECT("aux_sheet!AM"&amp;1+MATCH(aux_sheet!$B120,aux_sheet!$A$2:$A$202,0)))</f>
        <v/>
      </c>
      <c r="AF121" s="89" t="str">
        <f ca="1">IF($B121="","",INDIRECT("aux_sheet!AN"&amp;1+MATCH(aux_sheet!$B120,aux_sheet!$A$2:$A$202,0)))</f>
        <v/>
      </c>
      <c r="AG121" s="89" t="str">
        <f ca="1">IF($B121="","",INDIRECT("aux_sheet!AN"&amp;1+MATCH(aux_sheet!$B120,aux_sheet!$A$2:$A$202,0)))</f>
        <v/>
      </c>
      <c r="AH121" s="14" t="str">
        <f>IF(ISBLANK(Input!A120)," ",F120-F121)</f>
        <v xml:space="preserve"> </v>
      </c>
    </row>
    <row r="122" spans="1:34" x14ac:dyDescent="0.35">
      <c r="A122" s="2" t="str">
        <f>IF(ISBLANK(Input!A121),"",ROUNDDOWN(aux_sheet!B121,0))</f>
        <v/>
      </c>
      <c r="B122" s="2" t="str">
        <f ca="1">IF(ISBLANK(Input!A121),"",INDIRECT("Input!A"&amp;1+MATCH(aux_sheet!$B121,aux_sheet!$A$2:$A$202,0)))</f>
        <v/>
      </c>
      <c r="C122" s="2" t="str">
        <f ca="1">IF(ISBLANK(Input!B121),"",INDIRECT("Input!B"&amp;1+MATCH(aux_sheet!$B121,aux_sheet!$A$2:$A$202,0)))</f>
        <v/>
      </c>
      <c r="D122" s="2" t="str">
        <f ca="1">IF(ISBLANK(Input!C121),"",INDIRECT("Input!C"&amp;1+MATCH(aux_sheet!$B121,aux_sheet!$A$2:$A$202,0)))</f>
        <v/>
      </c>
      <c r="E122" s="2" t="str">
        <f ca="1">IF(ISBLANK(Input!D121),"",INDIRECT("Input!D"&amp;1+MATCH(aux_sheet!$B121,aux_sheet!$A$2:$A$202,0)))</f>
        <v/>
      </c>
      <c r="F122" s="11" t="str">
        <f ca="1">INDIRECT("Input!F"&amp;1+MATCH(aux_sheet!$B121,aux_sheet!$A$2:$A$202,0))</f>
        <v xml:space="preserve"> </v>
      </c>
      <c r="G122" s="106" t="str">
        <f ca="1">IF($B122="","",INDIRECT("aux_sheet!O"&amp;1+MATCH(aux_sheet!$B121,aux_sheet!$A$2:$A$202,0)))</f>
        <v/>
      </c>
      <c r="H122" s="89" t="str">
        <f ca="1">IF($B122="","",INDIRECT("aux_sheet!P"&amp;1+MATCH(aux_sheet!$B121,aux_sheet!$A$2:$A$202,0)))</f>
        <v/>
      </c>
      <c r="I122" s="89" t="str">
        <f ca="1">IF($B122="","",INDIRECT("aux_sheet!P"&amp;1+MATCH(aux_sheet!$B121,aux_sheet!$A$2:$A$202,0)))</f>
        <v/>
      </c>
      <c r="J122" s="106" t="str">
        <f ca="1">IF($B122="","",INDIRECT("aux_sheet!R"&amp;1+MATCH(aux_sheet!$B121,aux_sheet!$A$2:$A$202,0)))</f>
        <v/>
      </c>
      <c r="K122" s="89" t="str">
        <f ca="1">IF($B122="","",INDIRECT("aux_sheet!S"&amp;1+MATCH(aux_sheet!$B121,aux_sheet!$A$2:$A$202,0)))</f>
        <v/>
      </c>
      <c r="L122" s="89" t="str">
        <f ca="1">IF($B122="","",INDIRECT("aux_sheet!S"&amp;1+MATCH(aux_sheet!$B121,aux_sheet!$A$2:$A$202,0)))</f>
        <v/>
      </c>
      <c r="M122" s="106" t="str">
        <f ca="1">IF($B122="","",INDIRECT("aux_sheet!U"&amp;1+MATCH(aux_sheet!$B121,aux_sheet!$A$2:$A$202,0)))</f>
        <v/>
      </c>
      <c r="N122" s="89" t="str">
        <f ca="1">IF($B122="","",INDIRECT("aux_sheet!V"&amp;1+MATCH(aux_sheet!$B121,aux_sheet!$A$2:$A$202,0)))</f>
        <v/>
      </c>
      <c r="O122" s="89" t="str">
        <f ca="1">IF($B122="","",INDIRECT("aux_sheet!V"&amp;1+MATCH(aux_sheet!$B121,aux_sheet!$A$2:$A$202,0)))</f>
        <v/>
      </c>
      <c r="P122" s="106" t="str">
        <f ca="1">IF($B122="","",INDIRECT("aux_sheet!X"&amp;1+MATCH(aux_sheet!$B121,aux_sheet!$A$2:$A$202,0)))</f>
        <v/>
      </c>
      <c r="Q122" s="89" t="str">
        <f ca="1">IF($B122="","",INDIRECT("aux_sheet!Y"&amp;1+MATCH(aux_sheet!$B121,aux_sheet!$A$2:$A$202,0)))</f>
        <v/>
      </c>
      <c r="R122" s="89" t="str">
        <f ca="1">IF($B122="","",INDIRECT("aux_sheet!Y"&amp;1+MATCH(aux_sheet!$B121,aux_sheet!$A$2:$A$202,0)))</f>
        <v/>
      </c>
      <c r="S122" s="106" t="str">
        <f ca="1">IF($B122="","",INDIRECT("aux_sheet!AA"&amp;1+MATCH(aux_sheet!$B121,aux_sheet!$A$2:$A$202,0)))</f>
        <v/>
      </c>
      <c r="T122" s="89" t="str">
        <f ca="1">IF($B122="","",INDIRECT("aux_sheet!AB"&amp;1+MATCH(aux_sheet!$B121,aux_sheet!$A$2:$A$202,0)))</f>
        <v/>
      </c>
      <c r="U122" s="89" t="str">
        <f ca="1">IF($B122="","",INDIRECT("aux_sheet!AB"&amp;1+MATCH(aux_sheet!$B121,aux_sheet!$A$2:$A$202,0)))</f>
        <v/>
      </c>
      <c r="V122" s="106" t="str">
        <f ca="1">IF($B122="","",INDIRECT("aux_sheet!AD"&amp;1+MATCH(aux_sheet!$B121,aux_sheet!$A$2:$A$202,0)))</f>
        <v/>
      </c>
      <c r="W122" s="89" t="str">
        <f ca="1">IF($B122="","",INDIRECT("aux_sheet!AE"&amp;1+MATCH(aux_sheet!$B121,aux_sheet!$A$2:$A$202,0)))</f>
        <v/>
      </c>
      <c r="X122" s="89" t="str">
        <f ca="1">IF($B122="","",INDIRECT("aux_sheet!AE"&amp;1+MATCH(aux_sheet!$B121,aux_sheet!$A$2:$A$202,0)))</f>
        <v/>
      </c>
      <c r="Y122" s="106" t="str">
        <f ca="1">IF($B122="","",INDIRECT("aux_sheet!AG"&amp;1+MATCH(aux_sheet!$B121,aux_sheet!$A$2:$A$202,0)))</f>
        <v/>
      </c>
      <c r="Z122" s="89" t="str">
        <f ca="1">IF($B122="","",INDIRECT("aux_sheet!AH"&amp;1+MATCH(aux_sheet!$B121,aux_sheet!$A$2:$A$202,0)))</f>
        <v/>
      </c>
      <c r="AA122" s="89" t="str">
        <f ca="1">IF($B122="","",INDIRECT("aux_sheet!AH"&amp;1+MATCH(aux_sheet!$B121,aux_sheet!$A$2:$A$202,0)))</f>
        <v/>
      </c>
      <c r="AB122" s="106" t="str">
        <f ca="1">IF($B122="","",INDIRECT("aux_sheet!AJ"&amp;1+MATCH(aux_sheet!$B121,aux_sheet!$A$2:$A$202,0)))</f>
        <v/>
      </c>
      <c r="AC122" s="89" t="str">
        <f ca="1">IF($B122="","",INDIRECT("aux_sheet!AK"&amp;1+MATCH(aux_sheet!$B121,aux_sheet!$A$2:$A$202,0)))</f>
        <v/>
      </c>
      <c r="AD122" s="89" t="str">
        <f ca="1">IF($B122="","",INDIRECT("aux_sheet!AK"&amp;1+MATCH(aux_sheet!$B121,aux_sheet!$A$2:$A$202,0)))</f>
        <v/>
      </c>
      <c r="AE122" s="106" t="str">
        <f ca="1">IF($B122="","",INDIRECT("aux_sheet!AM"&amp;1+MATCH(aux_sheet!$B121,aux_sheet!$A$2:$A$202,0)))</f>
        <v/>
      </c>
      <c r="AF122" s="89" t="str">
        <f ca="1">IF($B122="","",INDIRECT("aux_sheet!AN"&amp;1+MATCH(aux_sheet!$B121,aux_sheet!$A$2:$A$202,0)))</f>
        <v/>
      </c>
      <c r="AG122" s="89" t="str">
        <f ca="1">IF($B122="","",INDIRECT("aux_sheet!AN"&amp;1+MATCH(aux_sheet!$B121,aux_sheet!$A$2:$A$202,0)))</f>
        <v/>
      </c>
      <c r="AH122" s="14" t="str">
        <f>IF(ISBLANK(Input!A121)," ",F121-F122)</f>
        <v xml:space="preserve"> </v>
      </c>
    </row>
    <row r="123" spans="1:34" x14ac:dyDescent="0.35">
      <c r="A123" s="2" t="str">
        <f>IF(ISBLANK(Input!A122),"",ROUNDDOWN(aux_sheet!B122,0))</f>
        <v/>
      </c>
      <c r="B123" s="2" t="str">
        <f ca="1">IF(ISBLANK(Input!A122),"",INDIRECT("Input!A"&amp;1+MATCH(aux_sheet!$B122,aux_sheet!$A$2:$A$202,0)))</f>
        <v/>
      </c>
      <c r="C123" s="2" t="str">
        <f ca="1">IF(ISBLANK(Input!B122),"",INDIRECT("Input!B"&amp;1+MATCH(aux_sheet!$B122,aux_sheet!$A$2:$A$202,0)))</f>
        <v/>
      </c>
      <c r="D123" s="2" t="str">
        <f ca="1">IF(ISBLANK(Input!C122),"",INDIRECT("Input!C"&amp;1+MATCH(aux_sheet!$B122,aux_sheet!$A$2:$A$202,0)))</f>
        <v/>
      </c>
      <c r="E123" s="2" t="str">
        <f ca="1">IF(ISBLANK(Input!D122),"",INDIRECT("Input!D"&amp;1+MATCH(aux_sheet!$B122,aux_sheet!$A$2:$A$202,0)))</f>
        <v/>
      </c>
      <c r="F123" s="11" t="str">
        <f ca="1">INDIRECT("Input!F"&amp;1+MATCH(aux_sheet!$B122,aux_sheet!$A$2:$A$202,0))</f>
        <v xml:space="preserve"> </v>
      </c>
      <c r="G123" s="106" t="str">
        <f ca="1">IF($B123="","",INDIRECT("aux_sheet!O"&amp;1+MATCH(aux_sheet!$B122,aux_sheet!$A$2:$A$202,0)))</f>
        <v/>
      </c>
      <c r="H123" s="89" t="str">
        <f ca="1">IF($B123="","",INDIRECT("aux_sheet!P"&amp;1+MATCH(aux_sheet!$B122,aux_sheet!$A$2:$A$202,0)))</f>
        <v/>
      </c>
      <c r="I123" s="89" t="str">
        <f ca="1">IF($B123="","",INDIRECT("aux_sheet!P"&amp;1+MATCH(aux_sheet!$B122,aux_sheet!$A$2:$A$202,0)))</f>
        <v/>
      </c>
      <c r="J123" s="106" t="str">
        <f ca="1">IF($B123="","",INDIRECT("aux_sheet!R"&amp;1+MATCH(aux_sheet!$B122,aux_sheet!$A$2:$A$202,0)))</f>
        <v/>
      </c>
      <c r="K123" s="89" t="str">
        <f ca="1">IF($B123="","",INDIRECT("aux_sheet!S"&amp;1+MATCH(aux_sheet!$B122,aux_sheet!$A$2:$A$202,0)))</f>
        <v/>
      </c>
      <c r="L123" s="89" t="str">
        <f ca="1">IF($B123="","",INDIRECT("aux_sheet!S"&amp;1+MATCH(aux_sheet!$B122,aux_sheet!$A$2:$A$202,0)))</f>
        <v/>
      </c>
      <c r="M123" s="106" t="str">
        <f ca="1">IF($B123="","",INDIRECT("aux_sheet!U"&amp;1+MATCH(aux_sheet!$B122,aux_sheet!$A$2:$A$202,0)))</f>
        <v/>
      </c>
      <c r="N123" s="89" t="str">
        <f ca="1">IF($B123="","",INDIRECT("aux_sheet!V"&amp;1+MATCH(aux_sheet!$B122,aux_sheet!$A$2:$A$202,0)))</f>
        <v/>
      </c>
      <c r="O123" s="89" t="str">
        <f ca="1">IF($B123="","",INDIRECT("aux_sheet!V"&amp;1+MATCH(aux_sheet!$B122,aux_sheet!$A$2:$A$202,0)))</f>
        <v/>
      </c>
      <c r="P123" s="106" t="str">
        <f ca="1">IF($B123="","",INDIRECT("aux_sheet!X"&amp;1+MATCH(aux_sheet!$B122,aux_sheet!$A$2:$A$202,0)))</f>
        <v/>
      </c>
      <c r="Q123" s="89" t="str">
        <f ca="1">IF($B123="","",INDIRECT("aux_sheet!Y"&amp;1+MATCH(aux_sheet!$B122,aux_sheet!$A$2:$A$202,0)))</f>
        <v/>
      </c>
      <c r="R123" s="89" t="str">
        <f ca="1">IF($B123="","",INDIRECT("aux_sheet!Y"&amp;1+MATCH(aux_sheet!$B122,aux_sheet!$A$2:$A$202,0)))</f>
        <v/>
      </c>
      <c r="S123" s="106" t="str">
        <f ca="1">IF($B123="","",INDIRECT("aux_sheet!AA"&amp;1+MATCH(aux_sheet!$B122,aux_sheet!$A$2:$A$202,0)))</f>
        <v/>
      </c>
      <c r="T123" s="89" t="str">
        <f ca="1">IF($B123="","",INDIRECT("aux_sheet!AB"&amp;1+MATCH(aux_sheet!$B122,aux_sheet!$A$2:$A$202,0)))</f>
        <v/>
      </c>
      <c r="U123" s="89" t="str">
        <f ca="1">IF($B123="","",INDIRECT("aux_sheet!AB"&amp;1+MATCH(aux_sheet!$B122,aux_sheet!$A$2:$A$202,0)))</f>
        <v/>
      </c>
      <c r="V123" s="106" t="str">
        <f ca="1">IF($B123="","",INDIRECT("aux_sheet!AD"&amp;1+MATCH(aux_sheet!$B122,aux_sheet!$A$2:$A$202,0)))</f>
        <v/>
      </c>
      <c r="W123" s="89" t="str">
        <f ca="1">IF($B123="","",INDIRECT("aux_sheet!AE"&amp;1+MATCH(aux_sheet!$B122,aux_sheet!$A$2:$A$202,0)))</f>
        <v/>
      </c>
      <c r="X123" s="89" t="str">
        <f ca="1">IF($B123="","",INDIRECT("aux_sheet!AE"&amp;1+MATCH(aux_sheet!$B122,aux_sheet!$A$2:$A$202,0)))</f>
        <v/>
      </c>
      <c r="Y123" s="106" t="str">
        <f ca="1">IF($B123="","",INDIRECT("aux_sheet!AG"&amp;1+MATCH(aux_sheet!$B122,aux_sheet!$A$2:$A$202,0)))</f>
        <v/>
      </c>
      <c r="Z123" s="89" t="str">
        <f ca="1">IF($B123="","",INDIRECT("aux_sheet!AH"&amp;1+MATCH(aux_sheet!$B122,aux_sheet!$A$2:$A$202,0)))</f>
        <v/>
      </c>
      <c r="AA123" s="89" t="str">
        <f ca="1">IF($B123="","",INDIRECT("aux_sheet!AH"&amp;1+MATCH(aux_sheet!$B122,aux_sheet!$A$2:$A$202,0)))</f>
        <v/>
      </c>
      <c r="AB123" s="106" t="str">
        <f ca="1">IF($B123="","",INDIRECT("aux_sheet!AJ"&amp;1+MATCH(aux_sheet!$B122,aux_sheet!$A$2:$A$202,0)))</f>
        <v/>
      </c>
      <c r="AC123" s="89" t="str">
        <f ca="1">IF($B123="","",INDIRECT("aux_sheet!AK"&amp;1+MATCH(aux_sheet!$B122,aux_sheet!$A$2:$A$202,0)))</f>
        <v/>
      </c>
      <c r="AD123" s="89" t="str">
        <f ca="1">IF($B123="","",INDIRECT("aux_sheet!AK"&amp;1+MATCH(aux_sheet!$B122,aux_sheet!$A$2:$A$202,0)))</f>
        <v/>
      </c>
      <c r="AE123" s="106" t="str">
        <f ca="1">IF($B123="","",INDIRECT("aux_sheet!AM"&amp;1+MATCH(aux_sheet!$B122,aux_sheet!$A$2:$A$202,0)))</f>
        <v/>
      </c>
      <c r="AF123" s="89" t="str">
        <f ca="1">IF($B123="","",INDIRECT("aux_sheet!AN"&amp;1+MATCH(aux_sheet!$B122,aux_sheet!$A$2:$A$202,0)))</f>
        <v/>
      </c>
      <c r="AG123" s="89" t="str">
        <f ca="1">IF($B123="","",INDIRECT("aux_sheet!AN"&amp;1+MATCH(aux_sheet!$B122,aux_sheet!$A$2:$A$202,0)))</f>
        <v/>
      </c>
      <c r="AH123" s="14" t="str">
        <f>IF(ISBLANK(Input!A122)," ",F122-F123)</f>
        <v xml:space="preserve"> </v>
      </c>
    </row>
    <row r="124" spans="1:34" x14ac:dyDescent="0.35">
      <c r="A124" s="2" t="str">
        <f>IF(ISBLANK(Input!A123),"",ROUNDDOWN(aux_sheet!B123,0))</f>
        <v/>
      </c>
      <c r="B124" s="2" t="str">
        <f ca="1">IF(ISBLANK(Input!A123),"",INDIRECT("Input!A"&amp;1+MATCH(aux_sheet!$B123,aux_sheet!$A$2:$A$202,0)))</f>
        <v/>
      </c>
      <c r="C124" s="2" t="str">
        <f ca="1">IF(ISBLANK(Input!B123),"",INDIRECT("Input!B"&amp;1+MATCH(aux_sheet!$B123,aux_sheet!$A$2:$A$202,0)))</f>
        <v/>
      </c>
      <c r="D124" s="2" t="str">
        <f ca="1">IF(ISBLANK(Input!C123),"",INDIRECT("Input!C"&amp;1+MATCH(aux_sheet!$B123,aux_sheet!$A$2:$A$202,0)))</f>
        <v/>
      </c>
      <c r="E124" s="2" t="str">
        <f ca="1">IF(ISBLANK(Input!D123),"",INDIRECT("Input!D"&amp;1+MATCH(aux_sheet!$B123,aux_sheet!$A$2:$A$202,0)))</f>
        <v/>
      </c>
      <c r="F124" s="11" t="str">
        <f ca="1">INDIRECT("Input!F"&amp;1+MATCH(aux_sheet!$B123,aux_sheet!$A$2:$A$202,0))</f>
        <v xml:space="preserve"> </v>
      </c>
      <c r="G124" s="106" t="str">
        <f ca="1">IF($B124="","",INDIRECT("aux_sheet!O"&amp;1+MATCH(aux_sheet!$B123,aux_sheet!$A$2:$A$202,0)))</f>
        <v/>
      </c>
      <c r="H124" s="89" t="str">
        <f ca="1">IF($B124="","",INDIRECT("aux_sheet!P"&amp;1+MATCH(aux_sheet!$B123,aux_sheet!$A$2:$A$202,0)))</f>
        <v/>
      </c>
      <c r="I124" s="89" t="str">
        <f ca="1">IF($B124="","",INDIRECT("aux_sheet!P"&amp;1+MATCH(aux_sheet!$B123,aux_sheet!$A$2:$A$202,0)))</f>
        <v/>
      </c>
      <c r="J124" s="106" t="str">
        <f ca="1">IF($B124="","",INDIRECT("aux_sheet!R"&amp;1+MATCH(aux_sheet!$B123,aux_sheet!$A$2:$A$202,0)))</f>
        <v/>
      </c>
      <c r="K124" s="89" t="str">
        <f ca="1">IF($B124="","",INDIRECT("aux_sheet!S"&amp;1+MATCH(aux_sheet!$B123,aux_sheet!$A$2:$A$202,0)))</f>
        <v/>
      </c>
      <c r="L124" s="89" t="str">
        <f ca="1">IF($B124="","",INDIRECT("aux_sheet!S"&amp;1+MATCH(aux_sheet!$B123,aux_sheet!$A$2:$A$202,0)))</f>
        <v/>
      </c>
      <c r="M124" s="106" t="str">
        <f ca="1">IF($B124="","",INDIRECT("aux_sheet!U"&amp;1+MATCH(aux_sheet!$B123,aux_sheet!$A$2:$A$202,0)))</f>
        <v/>
      </c>
      <c r="N124" s="89" t="str">
        <f ca="1">IF($B124="","",INDIRECT("aux_sheet!V"&amp;1+MATCH(aux_sheet!$B123,aux_sheet!$A$2:$A$202,0)))</f>
        <v/>
      </c>
      <c r="O124" s="89" t="str">
        <f ca="1">IF($B124="","",INDIRECT("aux_sheet!V"&amp;1+MATCH(aux_sheet!$B123,aux_sheet!$A$2:$A$202,0)))</f>
        <v/>
      </c>
      <c r="P124" s="106" t="str">
        <f ca="1">IF($B124="","",INDIRECT("aux_sheet!X"&amp;1+MATCH(aux_sheet!$B123,aux_sheet!$A$2:$A$202,0)))</f>
        <v/>
      </c>
      <c r="Q124" s="89" t="str">
        <f ca="1">IF($B124="","",INDIRECT("aux_sheet!Y"&amp;1+MATCH(aux_sheet!$B123,aux_sheet!$A$2:$A$202,0)))</f>
        <v/>
      </c>
      <c r="R124" s="89" t="str">
        <f ca="1">IF($B124="","",INDIRECT("aux_sheet!Y"&amp;1+MATCH(aux_sheet!$B123,aux_sheet!$A$2:$A$202,0)))</f>
        <v/>
      </c>
      <c r="S124" s="106" t="str">
        <f ca="1">IF($B124="","",INDIRECT("aux_sheet!AA"&amp;1+MATCH(aux_sheet!$B123,aux_sheet!$A$2:$A$202,0)))</f>
        <v/>
      </c>
      <c r="T124" s="89" t="str">
        <f ca="1">IF($B124="","",INDIRECT("aux_sheet!AB"&amp;1+MATCH(aux_sheet!$B123,aux_sheet!$A$2:$A$202,0)))</f>
        <v/>
      </c>
      <c r="U124" s="89" t="str">
        <f ca="1">IF($B124="","",INDIRECT("aux_sheet!AB"&amp;1+MATCH(aux_sheet!$B123,aux_sheet!$A$2:$A$202,0)))</f>
        <v/>
      </c>
      <c r="V124" s="106" t="str">
        <f ca="1">IF($B124="","",INDIRECT("aux_sheet!AD"&amp;1+MATCH(aux_sheet!$B123,aux_sheet!$A$2:$A$202,0)))</f>
        <v/>
      </c>
      <c r="W124" s="89" t="str">
        <f ca="1">IF($B124="","",INDIRECT("aux_sheet!AE"&amp;1+MATCH(aux_sheet!$B123,aux_sheet!$A$2:$A$202,0)))</f>
        <v/>
      </c>
      <c r="X124" s="89" t="str">
        <f ca="1">IF($B124="","",INDIRECT("aux_sheet!AE"&amp;1+MATCH(aux_sheet!$B123,aux_sheet!$A$2:$A$202,0)))</f>
        <v/>
      </c>
      <c r="Y124" s="106" t="str">
        <f ca="1">IF($B124="","",INDIRECT("aux_sheet!AG"&amp;1+MATCH(aux_sheet!$B123,aux_sheet!$A$2:$A$202,0)))</f>
        <v/>
      </c>
      <c r="Z124" s="89" t="str">
        <f ca="1">IF($B124="","",INDIRECT("aux_sheet!AH"&amp;1+MATCH(aux_sheet!$B123,aux_sheet!$A$2:$A$202,0)))</f>
        <v/>
      </c>
      <c r="AA124" s="89" t="str">
        <f ca="1">IF($B124="","",INDIRECT("aux_sheet!AH"&amp;1+MATCH(aux_sheet!$B123,aux_sheet!$A$2:$A$202,0)))</f>
        <v/>
      </c>
      <c r="AB124" s="106" t="str">
        <f ca="1">IF($B124="","",INDIRECT("aux_sheet!AJ"&amp;1+MATCH(aux_sheet!$B123,aux_sheet!$A$2:$A$202,0)))</f>
        <v/>
      </c>
      <c r="AC124" s="89" t="str">
        <f ca="1">IF($B124="","",INDIRECT("aux_sheet!AK"&amp;1+MATCH(aux_sheet!$B123,aux_sheet!$A$2:$A$202,0)))</f>
        <v/>
      </c>
      <c r="AD124" s="89" t="str">
        <f ca="1">IF($B124="","",INDIRECT("aux_sheet!AK"&amp;1+MATCH(aux_sheet!$B123,aux_sheet!$A$2:$A$202,0)))</f>
        <v/>
      </c>
      <c r="AE124" s="106" t="str">
        <f ca="1">IF($B124="","",INDIRECT("aux_sheet!AM"&amp;1+MATCH(aux_sheet!$B123,aux_sheet!$A$2:$A$202,0)))</f>
        <v/>
      </c>
      <c r="AF124" s="89" t="str">
        <f ca="1">IF($B124="","",INDIRECT("aux_sheet!AN"&amp;1+MATCH(aux_sheet!$B123,aux_sheet!$A$2:$A$202,0)))</f>
        <v/>
      </c>
      <c r="AG124" s="89" t="str">
        <f ca="1">IF($B124="","",INDIRECT("aux_sheet!AN"&amp;1+MATCH(aux_sheet!$B123,aux_sheet!$A$2:$A$202,0)))</f>
        <v/>
      </c>
      <c r="AH124" s="14" t="str">
        <f>IF(ISBLANK(Input!A123)," ",F123-F124)</f>
        <v xml:space="preserve"> </v>
      </c>
    </row>
    <row r="125" spans="1:34" x14ac:dyDescent="0.35">
      <c r="A125" s="2" t="str">
        <f>IF(ISBLANK(Input!A124),"",ROUNDDOWN(aux_sheet!B124,0))</f>
        <v/>
      </c>
      <c r="B125" s="2" t="str">
        <f ca="1">IF(ISBLANK(Input!A124),"",INDIRECT("Input!A"&amp;1+MATCH(aux_sheet!$B124,aux_sheet!$A$2:$A$202,0)))</f>
        <v/>
      </c>
      <c r="C125" s="2" t="str">
        <f ca="1">IF(ISBLANK(Input!B124),"",INDIRECT("Input!B"&amp;1+MATCH(aux_sheet!$B124,aux_sheet!$A$2:$A$202,0)))</f>
        <v/>
      </c>
      <c r="D125" s="2" t="str">
        <f ca="1">IF(ISBLANK(Input!C124),"",INDIRECT("Input!C"&amp;1+MATCH(aux_sheet!$B124,aux_sheet!$A$2:$A$202,0)))</f>
        <v/>
      </c>
      <c r="E125" s="2" t="str">
        <f ca="1">IF(ISBLANK(Input!D124),"",INDIRECT("Input!D"&amp;1+MATCH(aux_sheet!$B124,aux_sheet!$A$2:$A$202,0)))</f>
        <v/>
      </c>
      <c r="F125" s="11" t="str">
        <f ca="1">INDIRECT("Input!F"&amp;1+MATCH(aux_sheet!$B124,aux_sheet!$A$2:$A$202,0))</f>
        <v xml:space="preserve"> </v>
      </c>
      <c r="G125" s="106" t="str">
        <f ca="1">IF($B125="","",INDIRECT("aux_sheet!O"&amp;1+MATCH(aux_sheet!$B124,aux_sheet!$A$2:$A$202,0)))</f>
        <v/>
      </c>
      <c r="H125" s="89" t="str">
        <f ca="1">IF($B125="","",INDIRECT("aux_sheet!P"&amp;1+MATCH(aux_sheet!$B124,aux_sheet!$A$2:$A$202,0)))</f>
        <v/>
      </c>
      <c r="I125" s="89" t="str">
        <f ca="1">IF($B125="","",INDIRECT("aux_sheet!P"&amp;1+MATCH(aux_sheet!$B124,aux_sheet!$A$2:$A$202,0)))</f>
        <v/>
      </c>
      <c r="J125" s="106" t="str">
        <f ca="1">IF($B125="","",INDIRECT("aux_sheet!R"&amp;1+MATCH(aux_sheet!$B124,aux_sheet!$A$2:$A$202,0)))</f>
        <v/>
      </c>
      <c r="K125" s="89" t="str">
        <f ca="1">IF($B125="","",INDIRECT("aux_sheet!S"&amp;1+MATCH(aux_sheet!$B124,aux_sheet!$A$2:$A$202,0)))</f>
        <v/>
      </c>
      <c r="L125" s="89" t="str">
        <f ca="1">IF($B125="","",INDIRECT("aux_sheet!S"&amp;1+MATCH(aux_sheet!$B124,aux_sheet!$A$2:$A$202,0)))</f>
        <v/>
      </c>
      <c r="M125" s="106" t="str">
        <f ca="1">IF($B125="","",INDIRECT("aux_sheet!U"&amp;1+MATCH(aux_sheet!$B124,aux_sheet!$A$2:$A$202,0)))</f>
        <v/>
      </c>
      <c r="N125" s="89" t="str">
        <f ca="1">IF($B125="","",INDIRECT("aux_sheet!V"&amp;1+MATCH(aux_sheet!$B124,aux_sheet!$A$2:$A$202,0)))</f>
        <v/>
      </c>
      <c r="O125" s="89" t="str">
        <f ca="1">IF($B125="","",INDIRECT("aux_sheet!V"&amp;1+MATCH(aux_sheet!$B124,aux_sheet!$A$2:$A$202,0)))</f>
        <v/>
      </c>
      <c r="P125" s="106" t="str">
        <f ca="1">IF($B125="","",INDIRECT("aux_sheet!X"&amp;1+MATCH(aux_sheet!$B124,aux_sheet!$A$2:$A$202,0)))</f>
        <v/>
      </c>
      <c r="Q125" s="89" t="str">
        <f ca="1">IF($B125="","",INDIRECT("aux_sheet!Y"&amp;1+MATCH(aux_sheet!$B124,aux_sheet!$A$2:$A$202,0)))</f>
        <v/>
      </c>
      <c r="R125" s="89" t="str">
        <f ca="1">IF($B125="","",INDIRECT("aux_sheet!Y"&amp;1+MATCH(aux_sheet!$B124,aux_sheet!$A$2:$A$202,0)))</f>
        <v/>
      </c>
      <c r="S125" s="106" t="str">
        <f ca="1">IF($B125="","",INDIRECT("aux_sheet!AA"&amp;1+MATCH(aux_sheet!$B124,aux_sheet!$A$2:$A$202,0)))</f>
        <v/>
      </c>
      <c r="T125" s="89" t="str">
        <f ca="1">IF($B125="","",INDIRECT("aux_sheet!AB"&amp;1+MATCH(aux_sheet!$B124,aux_sheet!$A$2:$A$202,0)))</f>
        <v/>
      </c>
      <c r="U125" s="89" t="str">
        <f ca="1">IF($B125="","",INDIRECT("aux_sheet!AB"&amp;1+MATCH(aux_sheet!$B124,aux_sheet!$A$2:$A$202,0)))</f>
        <v/>
      </c>
      <c r="V125" s="106" t="str">
        <f ca="1">IF($B125="","",INDIRECT("aux_sheet!AD"&amp;1+MATCH(aux_sheet!$B124,aux_sheet!$A$2:$A$202,0)))</f>
        <v/>
      </c>
      <c r="W125" s="89" t="str">
        <f ca="1">IF($B125="","",INDIRECT("aux_sheet!AE"&amp;1+MATCH(aux_sheet!$B124,aux_sheet!$A$2:$A$202,0)))</f>
        <v/>
      </c>
      <c r="X125" s="89" t="str">
        <f ca="1">IF($B125="","",INDIRECT("aux_sheet!AE"&amp;1+MATCH(aux_sheet!$B124,aux_sheet!$A$2:$A$202,0)))</f>
        <v/>
      </c>
      <c r="Y125" s="106" t="str">
        <f ca="1">IF($B125="","",INDIRECT("aux_sheet!AG"&amp;1+MATCH(aux_sheet!$B124,aux_sheet!$A$2:$A$202,0)))</f>
        <v/>
      </c>
      <c r="Z125" s="89" t="str">
        <f ca="1">IF($B125="","",INDIRECT("aux_sheet!AH"&amp;1+MATCH(aux_sheet!$B124,aux_sheet!$A$2:$A$202,0)))</f>
        <v/>
      </c>
      <c r="AA125" s="89" t="str">
        <f ca="1">IF($B125="","",INDIRECT("aux_sheet!AH"&amp;1+MATCH(aux_sheet!$B124,aux_sheet!$A$2:$A$202,0)))</f>
        <v/>
      </c>
      <c r="AB125" s="106" t="str">
        <f ca="1">IF($B125="","",INDIRECT("aux_sheet!AJ"&amp;1+MATCH(aux_sheet!$B124,aux_sheet!$A$2:$A$202,0)))</f>
        <v/>
      </c>
      <c r="AC125" s="89" t="str">
        <f ca="1">IF($B125="","",INDIRECT("aux_sheet!AK"&amp;1+MATCH(aux_sheet!$B124,aux_sheet!$A$2:$A$202,0)))</f>
        <v/>
      </c>
      <c r="AD125" s="89" t="str">
        <f ca="1">IF($B125="","",INDIRECT("aux_sheet!AK"&amp;1+MATCH(aux_sheet!$B124,aux_sheet!$A$2:$A$202,0)))</f>
        <v/>
      </c>
      <c r="AE125" s="106" t="str">
        <f ca="1">IF($B125="","",INDIRECT("aux_sheet!AM"&amp;1+MATCH(aux_sheet!$B124,aux_sheet!$A$2:$A$202,0)))</f>
        <v/>
      </c>
      <c r="AF125" s="89" t="str">
        <f ca="1">IF($B125="","",INDIRECT("aux_sheet!AN"&amp;1+MATCH(aux_sheet!$B124,aux_sheet!$A$2:$A$202,0)))</f>
        <v/>
      </c>
      <c r="AG125" s="89" t="str">
        <f ca="1">IF($B125="","",INDIRECT("aux_sheet!AN"&amp;1+MATCH(aux_sheet!$B124,aux_sheet!$A$2:$A$202,0)))</f>
        <v/>
      </c>
      <c r="AH125" s="14" t="str">
        <f>IF(ISBLANK(Input!A124)," ",F124-F125)</f>
        <v xml:space="preserve"> </v>
      </c>
    </row>
    <row r="126" spans="1:34" x14ac:dyDescent="0.35">
      <c r="A126" s="2" t="str">
        <f>IF(ISBLANK(Input!A125),"",ROUNDDOWN(aux_sheet!B125,0))</f>
        <v/>
      </c>
      <c r="B126" s="2" t="str">
        <f ca="1">IF(ISBLANK(Input!A125),"",INDIRECT("Input!A"&amp;1+MATCH(aux_sheet!$B125,aux_sheet!$A$2:$A$202,0)))</f>
        <v/>
      </c>
      <c r="C126" s="2" t="str">
        <f ca="1">IF(ISBLANK(Input!B125),"",INDIRECT("Input!B"&amp;1+MATCH(aux_sheet!$B125,aux_sheet!$A$2:$A$202,0)))</f>
        <v/>
      </c>
      <c r="D126" s="2" t="str">
        <f ca="1">IF(ISBLANK(Input!C125),"",INDIRECT("Input!C"&amp;1+MATCH(aux_sheet!$B125,aux_sheet!$A$2:$A$202,0)))</f>
        <v/>
      </c>
      <c r="E126" s="2" t="str">
        <f ca="1">IF(ISBLANK(Input!D125),"",INDIRECT("Input!D"&amp;1+MATCH(aux_sheet!$B125,aux_sheet!$A$2:$A$202,0)))</f>
        <v/>
      </c>
      <c r="F126" s="11" t="str">
        <f ca="1">INDIRECT("Input!F"&amp;1+MATCH(aux_sheet!$B125,aux_sheet!$A$2:$A$202,0))</f>
        <v xml:space="preserve"> </v>
      </c>
      <c r="G126" s="106" t="str">
        <f ca="1">IF($B126="","",INDIRECT("aux_sheet!O"&amp;1+MATCH(aux_sheet!$B125,aux_sheet!$A$2:$A$202,0)))</f>
        <v/>
      </c>
      <c r="H126" s="89" t="str">
        <f ca="1">IF($B126="","",INDIRECT("aux_sheet!P"&amp;1+MATCH(aux_sheet!$B125,aux_sheet!$A$2:$A$202,0)))</f>
        <v/>
      </c>
      <c r="I126" s="89" t="str">
        <f ca="1">IF($B126="","",INDIRECT("aux_sheet!P"&amp;1+MATCH(aux_sheet!$B125,aux_sheet!$A$2:$A$202,0)))</f>
        <v/>
      </c>
      <c r="J126" s="106" t="str">
        <f ca="1">IF($B126="","",INDIRECT("aux_sheet!R"&amp;1+MATCH(aux_sheet!$B125,aux_sheet!$A$2:$A$202,0)))</f>
        <v/>
      </c>
      <c r="K126" s="89" t="str">
        <f ca="1">IF($B126="","",INDIRECT("aux_sheet!S"&amp;1+MATCH(aux_sheet!$B125,aux_sheet!$A$2:$A$202,0)))</f>
        <v/>
      </c>
      <c r="L126" s="89" t="str">
        <f ca="1">IF($B126="","",INDIRECT("aux_sheet!S"&amp;1+MATCH(aux_sheet!$B125,aux_sheet!$A$2:$A$202,0)))</f>
        <v/>
      </c>
      <c r="M126" s="106" t="str">
        <f ca="1">IF($B126="","",INDIRECT("aux_sheet!U"&amp;1+MATCH(aux_sheet!$B125,aux_sheet!$A$2:$A$202,0)))</f>
        <v/>
      </c>
      <c r="N126" s="89" t="str">
        <f ca="1">IF($B126="","",INDIRECT("aux_sheet!V"&amp;1+MATCH(aux_sheet!$B125,aux_sheet!$A$2:$A$202,0)))</f>
        <v/>
      </c>
      <c r="O126" s="89" t="str">
        <f ca="1">IF($B126="","",INDIRECT("aux_sheet!V"&amp;1+MATCH(aux_sheet!$B125,aux_sheet!$A$2:$A$202,0)))</f>
        <v/>
      </c>
      <c r="P126" s="106" t="str">
        <f ca="1">IF($B126="","",INDIRECT("aux_sheet!X"&amp;1+MATCH(aux_sheet!$B125,aux_sheet!$A$2:$A$202,0)))</f>
        <v/>
      </c>
      <c r="Q126" s="89" t="str">
        <f ca="1">IF($B126="","",INDIRECT("aux_sheet!Y"&amp;1+MATCH(aux_sheet!$B125,aux_sheet!$A$2:$A$202,0)))</f>
        <v/>
      </c>
      <c r="R126" s="89" t="str">
        <f ca="1">IF($B126="","",INDIRECT("aux_sheet!Y"&amp;1+MATCH(aux_sheet!$B125,aux_sheet!$A$2:$A$202,0)))</f>
        <v/>
      </c>
      <c r="S126" s="106" t="str">
        <f ca="1">IF($B126="","",INDIRECT("aux_sheet!AA"&amp;1+MATCH(aux_sheet!$B125,aux_sheet!$A$2:$A$202,0)))</f>
        <v/>
      </c>
      <c r="T126" s="89" t="str">
        <f ca="1">IF($B126="","",INDIRECT("aux_sheet!AB"&amp;1+MATCH(aux_sheet!$B125,aux_sheet!$A$2:$A$202,0)))</f>
        <v/>
      </c>
      <c r="U126" s="89" t="str">
        <f ca="1">IF($B126="","",INDIRECT("aux_sheet!AB"&amp;1+MATCH(aux_sheet!$B125,aux_sheet!$A$2:$A$202,0)))</f>
        <v/>
      </c>
      <c r="V126" s="106" t="str">
        <f ca="1">IF($B126="","",INDIRECT("aux_sheet!AD"&amp;1+MATCH(aux_sheet!$B125,aux_sheet!$A$2:$A$202,0)))</f>
        <v/>
      </c>
      <c r="W126" s="89" t="str">
        <f ca="1">IF($B126="","",INDIRECT("aux_sheet!AE"&amp;1+MATCH(aux_sheet!$B125,aux_sheet!$A$2:$A$202,0)))</f>
        <v/>
      </c>
      <c r="X126" s="89" t="str">
        <f ca="1">IF($B126="","",INDIRECT("aux_sheet!AE"&amp;1+MATCH(aux_sheet!$B125,aux_sheet!$A$2:$A$202,0)))</f>
        <v/>
      </c>
      <c r="Y126" s="106" t="str">
        <f ca="1">IF($B126="","",INDIRECT("aux_sheet!AG"&amp;1+MATCH(aux_sheet!$B125,aux_sheet!$A$2:$A$202,0)))</f>
        <v/>
      </c>
      <c r="Z126" s="89" t="str">
        <f ca="1">IF($B126="","",INDIRECT("aux_sheet!AH"&amp;1+MATCH(aux_sheet!$B125,aux_sheet!$A$2:$A$202,0)))</f>
        <v/>
      </c>
      <c r="AA126" s="89" t="str">
        <f ca="1">IF($B126="","",INDIRECT("aux_sheet!AH"&amp;1+MATCH(aux_sheet!$B125,aux_sheet!$A$2:$A$202,0)))</f>
        <v/>
      </c>
      <c r="AB126" s="106" t="str">
        <f ca="1">IF($B126="","",INDIRECT("aux_sheet!AJ"&amp;1+MATCH(aux_sheet!$B125,aux_sheet!$A$2:$A$202,0)))</f>
        <v/>
      </c>
      <c r="AC126" s="89" t="str">
        <f ca="1">IF($B126="","",INDIRECT("aux_sheet!AK"&amp;1+MATCH(aux_sheet!$B125,aux_sheet!$A$2:$A$202,0)))</f>
        <v/>
      </c>
      <c r="AD126" s="89" t="str">
        <f ca="1">IF($B126="","",INDIRECT("aux_sheet!AK"&amp;1+MATCH(aux_sheet!$B125,aux_sheet!$A$2:$A$202,0)))</f>
        <v/>
      </c>
      <c r="AE126" s="106" t="str">
        <f ca="1">IF($B126="","",INDIRECT("aux_sheet!AM"&amp;1+MATCH(aux_sheet!$B125,aux_sheet!$A$2:$A$202,0)))</f>
        <v/>
      </c>
      <c r="AF126" s="89" t="str">
        <f ca="1">IF($B126="","",INDIRECT("aux_sheet!AN"&amp;1+MATCH(aux_sheet!$B125,aux_sheet!$A$2:$A$202,0)))</f>
        <v/>
      </c>
      <c r="AG126" s="89" t="str">
        <f ca="1">IF($B126="","",INDIRECT("aux_sheet!AN"&amp;1+MATCH(aux_sheet!$B125,aux_sheet!$A$2:$A$202,0)))</f>
        <v/>
      </c>
      <c r="AH126" s="14" t="str">
        <f>IF(ISBLANK(Input!A125)," ",F125-F126)</f>
        <v xml:space="preserve"> </v>
      </c>
    </row>
    <row r="127" spans="1:34" x14ac:dyDescent="0.35">
      <c r="A127" s="2" t="str">
        <f>IF(ISBLANK(Input!A126),"",ROUNDDOWN(aux_sheet!B126,0))</f>
        <v/>
      </c>
      <c r="B127" s="2" t="str">
        <f ca="1">IF(ISBLANK(Input!A126),"",INDIRECT("Input!A"&amp;1+MATCH(aux_sheet!$B126,aux_sheet!$A$2:$A$202,0)))</f>
        <v/>
      </c>
      <c r="C127" s="2" t="str">
        <f ca="1">IF(ISBLANK(Input!B126),"",INDIRECT("Input!B"&amp;1+MATCH(aux_sheet!$B126,aux_sheet!$A$2:$A$202,0)))</f>
        <v/>
      </c>
      <c r="D127" s="2" t="str">
        <f ca="1">IF(ISBLANK(Input!C126),"",INDIRECT("Input!C"&amp;1+MATCH(aux_sheet!$B126,aux_sheet!$A$2:$A$202,0)))</f>
        <v/>
      </c>
      <c r="E127" s="2" t="str">
        <f ca="1">IF(ISBLANK(Input!D126),"",INDIRECT("Input!D"&amp;1+MATCH(aux_sheet!$B126,aux_sheet!$A$2:$A$202,0)))</f>
        <v/>
      </c>
      <c r="F127" s="11" t="str">
        <f ca="1">INDIRECT("Input!F"&amp;1+MATCH(aux_sheet!$B126,aux_sheet!$A$2:$A$202,0))</f>
        <v xml:space="preserve"> </v>
      </c>
      <c r="G127" s="106" t="str">
        <f ca="1">IF($B127="","",INDIRECT("aux_sheet!O"&amp;1+MATCH(aux_sheet!$B126,aux_sheet!$A$2:$A$202,0)))</f>
        <v/>
      </c>
      <c r="H127" s="89" t="str">
        <f ca="1">IF($B127="","",INDIRECT("aux_sheet!P"&amp;1+MATCH(aux_sheet!$B126,aux_sheet!$A$2:$A$202,0)))</f>
        <v/>
      </c>
      <c r="I127" s="89" t="str">
        <f ca="1">IF($B127="","",INDIRECT("aux_sheet!P"&amp;1+MATCH(aux_sheet!$B126,aux_sheet!$A$2:$A$202,0)))</f>
        <v/>
      </c>
      <c r="J127" s="106" t="str">
        <f ca="1">IF($B127="","",INDIRECT("aux_sheet!R"&amp;1+MATCH(aux_sheet!$B126,aux_sheet!$A$2:$A$202,0)))</f>
        <v/>
      </c>
      <c r="K127" s="89" t="str">
        <f ca="1">IF($B127="","",INDIRECT("aux_sheet!S"&amp;1+MATCH(aux_sheet!$B126,aux_sheet!$A$2:$A$202,0)))</f>
        <v/>
      </c>
      <c r="L127" s="89" t="str">
        <f ca="1">IF($B127="","",INDIRECT("aux_sheet!S"&amp;1+MATCH(aux_sheet!$B126,aux_sheet!$A$2:$A$202,0)))</f>
        <v/>
      </c>
      <c r="M127" s="106" t="str">
        <f ca="1">IF($B127="","",INDIRECT("aux_sheet!U"&amp;1+MATCH(aux_sheet!$B126,aux_sheet!$A$2:$A$202,0)))</f>
        <v/>
      </c>
      <c r="N127" s="89" t="str">
        <f ca="1">IF($B127="","",INDIRECT("aux_sheet!V"&amp;1+MATCH(aux_sheet!$B126,aux_sheet!$A$2:$A$202,0)))</f>
        <v/>
      </c>
      <c r="O127" s="89" t="str">
        <f ca="1">IF($B127="","",INDIRECT("aux_sheet!V"&amp;1+MATCH(aux_sheet!$B126,aux_sheet!$A$2:$A$202,0)))</f>
        <v/>
      </c>
      <c r="P127" s="106" t="str">
        <f ca="1">IF($B127="","",INDIRECT("aux_sheet!X"&amp;1+MATCH(aux_sheet!$B126,aux_sheet!$A$2:$A$202,0)))</f>
        <v/>
      </c>
      <c r="Q127" s="89" t="str">
        <f ca="1">IF($B127="","",INDIRECT("aux_sheet!Y"&amp;1+MATCH(aux_sheet!$B126,aux_sheet!$A$2:$A$202,0)))</f>
        <v/>
      </c>
      <c r="R127" s="89" t="str">
        <f ca="1">IF($B127="","",INDIRECT("aux_sheet!Y"&amp;1+MATCH(aux_sheet!$B126,aux_sheet!$A$2:$A$202,0)))</f>
        <v/>
      </c>
      <c r="S127" s="106" t="str">
        <f ca="1">IF($B127="","",INDIRECT("aux_sheet!AA"&amp;1+MATCH(aux_sheet!$B126,aux_sheet!$A$2:$A$202,0)))</f>
        <v/>
      </c>
      <c r="T127" s="89" t="str">
        <f ca="1">IF($B127="","",INDIRECT("aux_sheet!AB"&amp;1+MATCH(aux_sheet!$B126,aux_sheet!$A$2:$A$202,0)))</f>
        <v/>
      </c>
      <c r="U127" s="89" t="str">
        <f ca="1">IF($B127="","",INDIRECT("aux_sheet!AB"&amp;1+MATCH(aux_sheet!$B126,aux_sheet!$A$2:$A$202,0)))</f>
        <v/>
      </c>
      <c r="V127" s="106" t="str">
        <f ca="1">IF($B127="","",INDIRECT("aux_sheet!AD"&amp;1+MATCH(aux_sheet!$B126,aux_sheet!$A$2:$A$202,0)))</f>
        <v/>
      </c>
      <c r="W127" s="89" t="str">
        <f ca="1">IF($B127="","",INDIRECT("aux_sheet!AE"&amp;1+MATCH(aux_sheet!$B126,aux_sheet!$A$2:$A$202,0)))</f>
        <v/>
      </c>
      <c r="X127" s="89" t="str">
        <f ca="1">IF($B127="","",INDIRECT("aux_sheet!AE"&amp;1+MATCH(aux_sheet!$B126,aux_sheet!$A$2:$A$202,0)))</f>
        <v/>
      </c>
      <c r="Y127" s="106" t="str">
        <f ca="1">IF($B127="","",INDIRECT("aux_sheet!AG"&amp;1+MATCH(aux_sheet!$B126,aux_sheet!$A$2:$A$202,0)))</f>
        <v/>
      </c>
      <c r="Z127" s="89" t="str">
        <f ca="1">IF($B127="","",INDIRECT("aux_sheet!AH"&amp;1+MATCH(aux_sheet!$B126,aux_sheet!$A$2:$A$202,0)))</f>
        <v/>
      </c>
      <c r="AA127" s="89" t="str">
        <f ca="1">IF($B127="","",INDIRECT("aux_sheet!AH"&amp;1+MATCH(aux_sheet!$B126,aux_sheet!$A$2:$A$202,0)))</f>
        <v/>
      </c>
      <c r="AB127" s="106" t="str">
        <f ca="1">IF($B127="","",INDIRECT("aux_sheet!AJ"&amp;1+MATCH(aux_sheet!$B126,aux_sheet!$A$2:$A$202,0)))</f>
        <v/>
      </c>
      <c r="AC127" s="89" t="str">
        <f ca="1">IF($B127="","",INDIRECT("aux_sheet!AK"&amp;1+MATCH(aux_sheet!$B126,aux_sheet!$A$2:$A$202,0)))</f>
        <v/>
      </c>
      <c r="AD127" s="89" t="str">
        <f ca="1">IF($B127="","",INDIRECT("aux_sheet!AK"&amp;1+MATCH(aux_sheet!$B126,aux_sheet!$A$2:$A$202,0)))</f>
        <v/>
      </c>
      <c r="AE127" s="106" t="str">
        <f ca="1">IF($B127="","",INDIRECT("aux_sheet!AM"&amp;1+MATCH(aux_sheet!$B126,aux_sheet!$A$2:$A$202,0)))</f>
        <v/>
      </c>
      <c r="AF127" s="89" t="str">
        <f ca="1">IF($B127="","",INDIRECT("aux_sheet!AN"&amp;1+MATCH(aux_sheet!$B126,aux_sheet!$A$2:$A$202,0)))</f>
        <v/>
      </c>
      <c r="AG127" s="89" t="str">
        <f ca="1">IF($B127="","",INDIRECT("aux_sheet!AN"&amp;1+MATCH(aux_sheet!$B126,aux_sheet!$A$2:$A$202,0)))</f>
        <v/>
      </c>
      <c r="AH127" s="14" t="str">
        <f>IF(ISBLANK(Input!A126)," ",F126-F127)</f>
        <v xml:space="preserve"> </v>
      </c>
    </row>
    <row r="128" spans="1:34" x14ac:dyDescent="0.35">
      <c r="A128" s="2" t="str">
        <f>IF(ISBLANK(Input!A127),"",ROUNDDOWN(aux_sheet!B127,0))</f>
        <v/>
      </c>
      <c r="B128" s="2" t="str">
        <f ca="1">IF(ISBLANK(Input!A127),"",INDIRECT("Input!A"&amp;1+MATCH(aux_sheet!$B127,aux_sheet!$A$2:$A$202,0)))</f>
        <v/>
      </c>
      <c r="C128" s="2" t="str">
        <f ca="1">IF(ISBLANK(Input!B127),"",INDIRECT("Input!B"&amp;1+MATCH(aux_sheet!$B127,aux_sheet!$A$2:$A$202,0)))</f>
        <v/>
      </c>
      <c r="D128" s="2" t="str">
        <f ca="1">IF(ISBLANK(Input!C127),"",INDIRECT("Input!C"&amp;1+MATCH(aux_sheet!$B127,aux_sheet!$A$2:$A$202,0)))</f>
        <v/>
      </c>
      <c r="E128" s="2" t="str">
        <f ca="1">IF(ISBLANK(Input!D127),"",INDIRECT("Input!D"&amp;1+MATCH(aux_sheet!$B127,aux_sheet!$A$2:$A$202,0)))</f>
        <v/>
      </c>
      <c r="F128" s="11" t="str">
        <f ca="1">INDIRECT("Input!F"&amp;1+MATCH(aux_sheet!$B127,aux_sheet!$A$2:$A$202,0))</f>
        <v xml:space="preserve"> </v>
      </c>
      <c r="G128" s="106" t="str">
        <f ca="1">IF($B128="","",INDIRECT("aux_sheet!O"&amp;1+MATCH(aux_sheet!$B127,aux_sheet!$A$2:$A$202,0)))</f>
        <v/>
      </c>
      <c r="H128" s="89" t="str">
        <f ca="1">IF($B128="","",INDIRECT("aux_sheet!P"&amp;1+MATCH(aux_sheet!$B127,aux_sheet!$A$2:$A$202,0)))</f>
        <v/>
      </c>
      <c r="I128" s="89" t="str">
        <f ca="1">IF($B128="","",INDIRECT("aux_sheet!P"&amp;1+MATCH(aux_sheet!$B127,aux_sheet!$A$2:$A$202,0)))</f>
        <v/>
      </c>
      <c r="J128" s="106" t="str">
        <f ca="1">IF($B128="","",INDIRECT("aux_sheet!R"&amp;1+MATCH(aux_sheet!$B127,aux_sheet!$A$2:$A$202,0)))</f>
        <v/>
      </c>
      <c r="K128" s="89" t="str">
        <f ca="1">IF($B128="","",INDIRECT("aux_sheet!S"&amp;1+MATCH(aux_sheet!$B127,aux_sheet!$A$2:$A$202,0)))</f>
        <v/>
      </c>
      <c r="L128" s="89" t="str">
        <f ca="1">IF($B128="","",INDIRECT("aux_sheet!S"&amp;1+MATCH(aux_sheet!$B127,aux_sheet!$A$2:$A$202,0)))</f>
        <v/>
      </c>
      <c r="M128" s="106" t="str">
        <f ca="1">IF($B128="","",INDIRECT("aux_sheet!U"&amp;1+MATCH(aux_sheet!$B127,aux_sheet!$A$2:$A$202,0)))</f>
        <v/>
      </c>
      <c r="N128" s="89" t="str">
        <f ca="1">IF($B128="","",INDIRECT("aux_sheet!V"&amp;1+MATCH(aux_sheet!$B127,aux_sheet!$A$2:$A$202,0)))</f>
        <v/>
      </c>
      <c r="O128" s="89" t="str">
        <f ca="1">IF($B128="","",INDIRECT("aux_sheet!V"&amp;1+MATCH(aux_sheet!$B127,aux_sheet!$A$2:$A$202,0)))</f>
        <v/>
      </c>
      <c r="P128" s="106" t="str">
        <f ca="1">IF($B128="","",INDIRECT("aux_sheet!X"&amp;1+MATCH(aux_sheet!$B127,aux_sheet!$A$2:$A$202,0)))</f>
        <v/>
      </c>
      <c r="Q128" s="89" t="str">
        <f ca="1">IF($B128="","",INDIRECT("aux_sheet!Y"&amp;1+MATCH(aux_sheet!$B127,aux_sheet!$A$2:$A$202,0)))</f>
        <v/>
      </c>
      <c r="R128" s="89" t="str">
        <f ca="1">IF($B128="","",INDIRECT("aux_sheet!Y"&amp;1+MATCH(aux_sheet!$B127,aux_sheet!$A$2:$A$202,0)))</f>
        <v/>
      </c>
      <c r="S128" s="106" t="str">
        <f ca="1">IF($B128="","",INDIRECT("aux_sheet!AA"&amp;1+MATCH(aux_sheet!$B127,aux_sheet!$A$2:$A$202,0)))</f>
        <v/>
      </c>
      <c r="T128" s="89" t="str">
        <f ca="1">IF($B128="","",INDIRECT("aux_sheet!AB"&amp;1+MATCH(aux_sheet!$B127,aux_sheet!$A$2:$A$202,0)))</f>
        <v/>
      </c>
      <c r="U128" s="89" t="str">
        <f ca="1">IF($B128="","",INDIRECT("aux_sheet!AB"&amp;1+MATCH(aux_sheet!$B127,aux_sheet!$A$2:$A$202,0)))</f>
        <v/>
      </c>
      <c r="V128" s="106" t="str">
        <f ca="1">IF($B128="","",INDIRECT("aux_sheet!AD"&amp;1+MATCH(aux_sheet!$B127,aux_sheet!$A$2:$A$202,0)))</f>
        <v/>
      </c>
      <c r="W128" s="89" t="str">
        <f ca="1">IF($B128="","",INDIRECT("aux_sheet!AE"&amp;1+MATCH(aux_sheet!$B127,aux_sheet!$A$2:$A$202,0)))</f>
        <v/>
      </c>
      <c r="X128" s="89" t="str">
        <f ca="1">IF($B128="","",INDIRECT("aux_sheet!AE"&amp;1+MATCH(aux_sheet!$B127,aux_sheet!$A$2:$A$202,0)))</f>
        <v/>
      </c>
      <c r="Y128" s="106" t="str">
        <f ca="1">IF($B128="","",INDIRECT("aux_sheet!AG"&amp;1+MATCH(aux_sheet!$B127,aux_sheet!$A$2:$A$202,0)))</f>
        <v/>
      </c>
      <c r="Z128" s="89" t="str">
        <f ca="1">IF($B128="","",INDIRECT("aux_sheet!AH"&amp;1+MATCH(aux_sheet!$B127,aux_sheet!$A$2:$A$202,0)))</f>
        <v/>
      </c>
      <c r="AA128" s="89" t="str">
        <f ca="1">IF($B128="","",INDIRECT("aux_sheet!AH"&amp;1+MATCH(aux_sheet!$B127,aux_sheet!$A$2:$A$202,0)))</f>
        <v/>
      </c>
      <c r="AB128" s="106" t="str">
        <f ca="1">IF($B128="","",INDIRECT("aux_sheet!AJ"&amp;1+MATCH(aux_sheet!$B127,aux_sheet!$A$2:$A$202,0)))</f>
        <v/>
      </c>
      <c r="AC128" s="89" t="str">
        <f ca="1">IF($B128="","",INDIRECT("aux_sheet!AK"&amp;1+MATCH(aux_sheet!$B127,aux_sheet!$A$2:$A$202,0)))</f>
        <v/>
      </c>
      <c r="AD128" s="89" t="str">
        <f ca="1">IF($B128="","",INDIRECT("aux_sheet!AK"&amp;1+MATCH(aux_sheet!$B127,aux_sheet!$A$2:$A$202,0)))</f>
        <v/>
      </c>
      <c r="AE128" s="106" t="str">
        <f ca="1">IF($B128="","",INDIRECT("aux_sheet!AM"&amp;1+MATCH(aux_sheet!$B127,aux_sheet!$A$2:$A$202,0)))</f>
        <v/>
      </c>
      <c r="AF128" s="89" t="str">
        <f ca="1">IF($B128="","",INDIRECT("aux_sheet!AN"&amp;1+MATCH(aux_sheet!$B127,aux_sheet!$A$2:$A$202,0)))</f>
        <v/>
      </c>
      <c r="AG128" s="89" t="str">
        <f ca="1">IF($B128="","",INDIRECT("aux_sheet!AN"&amp;1+MATCH(aux_sheet!$B127,aux_sheet!$A$2:$A$202,0)))</f>
        <v/>
      </c>
      <c r="AH128" s="14" t="str">
        <f>IF(ISBLANK(Input!A127)," ",F127-F128)</f>
        <v xml:space="preserve"> </v>
      </c>
    </row>
    <row r="129" spans="1:34" x14ac:dyDescent="0.35">
      <c r="A129" s="2" t="str">
        <f>IF(ISBLANK(Input!A128),"",ROUNDDOWN(aux_sheet!B128,0))</f>
        <v/>
      </c>
      <c r="B129" s="2" t="str">
        <f ca="1">IF(ISBLANK(Input!A128),"",INDIRECT("Input!A"&amp;1+MATCH(aux_sheet!$B128,aux_sheet!$A$2:$A$202,0)))</f>
        <v/>
      </c>
      <c r="C129" s="2" t="str">
        <f ca="1">IF(ISBLANK(Input!B128),"",INDIRECT("Input!B"&amp;1+MATCH(aux_sheet!$B128,aux_sheet!$A$2:$A$202,0)))</f>
        <v/>
      </c>
      <c r="D129" s="2" t="str">
        <f ca="1">IF(ISBLANK(Input!C128),"",INDIRECT("Input!C"&amp;1+MATCH(aux_sheet!$B128,aux_sheet!$A$2:$A$202,0)))</f>
        <v/>
      </c>
      <c r="E129" s="2" t="str">
        <f ca="1">IF(ISBLANK(Input!D128),"",INDIRECT("Input!D"&amp;1+MATCH(aux_sheet!$B128,aux_sheet!$A$2:$A$202,0)))</f>
        <v/>
      </c>
      <c r="F129" s="11" t="str">
        <f ca="1">INDIRECT("Input!F"&amp;1+MATCH(aux_sheet!$B128,aux_sheet!$A$2:$A$202,0))</f>
        <v xml:space="preserve"> </v>
      </c>
      <c r="G129" s="106" t="str">
        <f ca="1">IF($B129="","",INDIRECT("aux_sheet!O"&amp;1+MATCH(aux_sheet!$B128,aux_sheet!$A$2:$A$202,0)))</f>
        <v/>
      </c>
      <c r="H129" s="89" t="str">
        <f ca="1">IF($B129="","",INDIRECT("aux_sheet!P"&amp;1+MATCH(aux_sheet!$B128,aux_sheet!$A$2:$A$202,0)))</f>
        <v/>
      </c>
      <c r="I129" s="89" t="str">
        <f ca="1">IF($B129="","",INDIRECT("aux_sheet!P"&amp;1+MATCH(aux_sheet!$B128,aux_sheet!$A$2:$A$202,0)))</f>
        <v/>
      </c>
      <c r="J129" s="106" t="str">
        <f ca="1">IF($B129="","",INDIRECT("aux_sheet!R"&amp;1+MATCH(aux_sheet!$B128,aux_sheet!$A$2:$A$202,0)))</f>
        <v/>
      </c>
      <c r="K129" s="89" t="str">
        <f ca="1">IF($B129="","",INDIRECT("aux_sheet!S"&amp;1+MATCH(aux_sheet!$B128,aux_sheet!$A$2:$A$202,0)))</f>
        <v/>
      </c>
      <c r="L129" s="89" t="str">
        <f ca="1">IF($B129="","",INDIRECT("aux_sheet!S"&amp;1+MATCH(aux_sheet!$B128,aux_sheet!$A$2:$A$202,0)))</f>
        <v/>
      </c>
      <c r="M129" s="106" t="str">
        <f ca="1">IF($B129="","",INDIRECT("aux_sheet!U"&amp;1+MATCH(aux_sheet!$B128,aux_sheet!$A$2:$A$202,0)))</f>
        <v/>
      </c>
      <c r="N129" s="89" t="str">
        <f ca="1">IF($B129="","",INDIRECT("aux_sheet!V"&amp;1+MATCH(aux_sheet!$B128,aux_sheet!$A$2:$A$202,0)))</f>
        <v/>
      </c>
      <c r="O129" s="89" t="str">
        <f ca="1">IF($B129="","",INDIRECT("aux_sheet!V"&amp;1+MATCH(aux_sheet!$B128,aux_sheet!$A$2:$A$202,0)))</f>
        <v/>
      </c>
      <c r="P129" s="106" t="str">
        <f ca="1">IF($B129="","",INDIRECT("aux_sheet!X"&amp;1+MATCH(aux_sheet!$B128,aux_sheet!$A$2:$A$202,0)))</f>
        <v/>
      </c>
      <c r="Q129" s="89" t="str">
        <f ca="1">IF($B129="","",INDIRECT("aux_sheet!Y"&amp;1+MATCH(aux_sheet!$B128,aux_sheet!$A$2:$A$202,0)))</f>
        <v/>
      </c>
      <c r="R129" s="89" t="str">
        <f ca="1">IF($B129="","",INDIRECT("aux_sheet!Y"&amp;1+MATCH(aux_sheet!$B128,aux_sheet!$A$2:$A$202,0)))</f>
        <v/>
      </c>
      <c r="S129" s="106" t="str">
        <f ca="1">IF($B129="","",INDIRECT("aux_sheet!AA"&amp;1+MATCH(aux_sheet!$B128,aux_sheet!$A$2:$A$202,0)))</f>
        <v/>
      </c>
      <c r="T129" s="89" t="str">
        <f ca="1">IF($B129="","",INDIRECT("aux_sheet!AB"&amp;1+MATCH(aux_sheet!$B128,aux_sheet!$A$2:$A$202,0)))</f>
        <v/>
      </c>
      <c r="U129" s="89" t="str">
        <f ca="1">IF($B129="","",INDIRECT("aux_sheet!AB"&amp;1+MATCH(aux_sheet!$B128,aux_sheet!$A$2:$A$202,0)))</f>
        <v/>
      </c>
      <c r="V129" s="106" t="str">
        <f ca="1">IF($B129="","",INDIRECT("aux_sheet!AD"&amp;1+MATCH(aux_sheet!$B128,aux_sheet!$A$2:$A$202,0)))</f>
        <v/>
      </c>
      <c r="W129" s="89" t="str">
        <f ca="1">IF($B129="","",INDIRECT("aux_sheet!AE"&amp;1+MATCH(aux_sheet!$B128,aux_sheet!$A$2:$A$202,0)))</f>
        <v/>
      </c>
      <c r="X129" s="89" t="str">
        <f ca="1">IF($B129="","",INDIRECT("aux_sheet!AE"&amp;1+MATCH(aux_sheet!$B128,aux_sheet!$A$2:$A$202,0)))</f>
        <v/>
      </c>
      <c r="Y129" s="106" t="str">
        <f ca="1">IF($B129="","",INDIRECT("aux_sheet!AG"&amp;1+MATCH(aux_sheet!$B128,aux_sheet!$A$2:$A$202,0)))</f>
        <v/>
      </c>
      <c r="Z129" s="89" t="str">
        <f ca="1">IF($B129="","",INDIRECT("aux_sheet!AH"&amp;1+MATCH(aux_sheet!$B128,aux_sheet!$A$2:$A$202,0)))</f>
        <v/>
      </c>
      <c r="AA129" s="89" t="str">
        <f ca="1">IF($B129="","",INDIRECT("aux_sheet!AH"&amp;1+MATCH(aux_sheet!$B128,aux_sheet!$A$2:$A$202,0)))</f>
        <v/>
      </c>
      <c r="AB129" s="106" t="str">
        <f ca="1">IF($B129="","",INDIRECT("aux_sheet!AJ"&amp;1+MATCH(aux_sheet!$B128,aux_sheet!$A$2:$A$202,0)))</f>
        <v/>
      </c>
      <c r="AC129" s="89" t="str">
        <f ca="1">IF($B129="","",INDIRECT("aux_sheet!AK"&amp;1+MATCH(aux_sheet!$B128,aux_sheet!$A$2:$A$202,0)))</f>
        <v/>
      </c>
      <c r="AD129" s="89" t="str">
        <f ca="1">IF($B129="","",INDIRECT("aux_sheet!AK"&amp;1+MATCH(aux_sheet!$B128,aux_sheet!$A$2:$A$202,0)))</f>
        <v/>
      </c>
      <c r="AE129" s="106" t="str">
        <f ca="1">IF($B129="","",INDIRECT("aux_sheet!AM"&amp;1+MATCH(aux_sheet!$B128,aux_sheet!$A$2:$A$202,0)))</f>
        <v/>
      </c>
      <c r="AF129" s="89" t="str">
        <f ca="1">IF($B129="","",INDIRECT("aux_sheet!AN"&amp;1+MATCH(aux_sheet!$B128,aux_sheet!$A$2:$A$202,0)))</f>
        <v/>
      </c>
      <c r="AG129" s="89" t="str">
        <f ca="1">IF($B129="","",INDIRECT("aux_sheet!AN"&amp;1+MATCH(aux_sheet!$B128,aux_sheet!$A$2:$A$202,0)))</f>
        <v/>
      </c>
      <c r="AH129" s="14" t="str">
        <f>IF(ISBLANK(Input!A128)," ",F128-F129)</f>
        <v xml:space="preserve"> </v>
      </c>
    </row>
    <row r="130" spans="1:34" x14ac:dyDescent="0.35">
      <c r="A130" s="2" t="str">
        <f>IF(ISBLANK(Input!A129),"",ROUNDDOWN(aux_sheet!B129,0))</f>
        <v/>
      </c>
      <c r="B130" s="2" t="str">
        <f ca="1">IF(ISBLANK(Input!A129),"",INDIRECT("Input!A"&amp;1+MATCH(aux_sheet!$B129,aux_sheet!$A$2:$A$202,0)))</f>
        <v/>
      </c>
      <c r="C130" s="2" t="str">
        <f ca="1">IF(ISBLANK(Input!B129),"",INDIRECT("Input!B"&amp;1+MATCH(aux_sheet!$B129,aux_sheet!$A$2:$A$202,0)))</f>
        <v/>
      </c>
      <c r="D130" s="2" t="str">
        <f ca="1">IF(ISBLANK(Input!C129),"",INDIRECT("Input!C"&amp;1+MATCH(aux_sheet!$B129,aux_sheet!$A$2:$A$202,0)))</f>
        <v/>
      </c>
      <c r="E130" s="2" t="str">
        <f ca="1">IF(ISBLANK(Input!D129),"",INDIRECT("Input!D"&amp;1+MATCH(aux_sheet!$B129,aux_sheet!$A$2:$A$202,0)))</f>
        <v/>
      </c>
      <c r="F130" s="11" t="str">
        <f ca="1">INDIRECT("Input!F"&amp;1+MATCH(aux_sheet!$B129,aux_sheet!$A$2:$A$202,0))</f>
        <v xml:space="preserve"> </v>
      </c>
      <c r="G130" s="106" t="str">
        <f ca="1">IF($B130="","",INDIRECT("aux_sheet!O"&amp;1+MATCH(aux_sheet!$B129,aux_sheet!$A$2:$A$202,0)))</f>
        <v/>
      </c>
      <c r="H130" s="89" t="str">
        <f ca="1">IF($B130="","",INDIRECT("aux_sheet!P"&amp;1+MATCH(aux_sheet!$B129,aux_sheet!$A$2:$A$202,0)))</f>
        <v/>
      </c>
      <c r="I130" s="89" t="str">
        <f ca="1">IF($B130="","",INDIRECT("aux_sheet!P"&amp;1+MATCH(aux_sheet!$B129,aux_sheet!$A$2:$A$202,0)))</f>
        <v/>
      </c>
      <c r="J130" s="106" t="str">
        <f ca="1">IF($B130="","",INDIRECT("aux_sheet!R"&amp;1+MATCH(aux_sheet!$B129,aux_sheet!$A$2:$A$202,0)))</f>
        <v/>
      </c>
      <c r="K130" s="89" t="str">
        <f ca="1">IF($B130="","",INDIRECT("aux_sheet!S"&amp;1+MATCH(aux_sheet!$B129,aux_sheet!$A$2:$A$202,0)))</f>
        <v/>
      </c>
      <c r="L130" s="89" t="str">
        <f ca="1">IF($B130="","",INDIRECT("aux_sheet!S"&amp;1+MATCH(aux_sheet!$B129,aux_sheet!$A$2:$A$202,0)))</f>
        <v/>
      </c>
      <c r="M130" s="106" t="str">
        <f ca="1">IF($B130="","",INDIRECT("aux_sheet!U"&amp;1+MATCH(aux_sheet!$B129,aux_sheet!$A$2:$A$202,0)))</f>
        <v/>
      </c>
      <c r="N130" s="89" t="str">
        <f ca="1">IF($B130="","",INDIRECT("aux_sheet!V"&amp;1+MATCH(aux_sheet!$B129,aux_sheet!$A$2:$A$202,0)))</f>
        <v/>
      </c>
      <c r="O130" s="89" t="str">
        <f ca="1">IF($B130="","",INDIRECT("aux_sheet!V"&amp;1+MATCH(aux_sheet!$B129,aux_sheet!$A$2:$A$202,0)))</f>
        <v/>
      </c>
      <c r="P130" s="106" t="str">
        <f ca="1">IF($B130="","",INDIRECT("aux_sheet!X"&amp;1+MATCH(aux_sheet!$B129,aux_sheet!$A$2:$A$202,0)))</f>
        <v/>
      </c>
      <c r="Q130" s="89" t="str">
        <f ca="1">IF($B130="","",INDIRECT("aux_sheet!Y"&amp;1+MATCH(aux_sheet!$B129,aux_sheet!$A$2:$A$202,0)))</f>
        <v/>
      </c>
      <c r="R130" s="89" t="str">
        <f ca="1">IF($B130="","",INDIRECT("aux_sheet!Y"&amp;1+MATCH(aux_sheet!$B129,aux_sheet!$A$2:$A$202,0)))</f>
        <v/>
      </c>
      <c r="S130" s="106" t="str">
        <f ca="1">IF($B130="","",INDIRECT("aux_sheet!AA"&amp;1+MATCH(aux_sheet!$B129,aux_sheet!$A$2:$A$202,0)))</f>
        <v/>
      </c>
      <c r="T130" s="89" t="str">
        <f ca="1">IF($B130="","",INDIRECT("aux_sheet!AB"&amp;1+MATCH(aux_sheet!$B129,aux_sheet!$A$2:$A$202,0)))</f>
        <v/>
      </c>
      <c r="U130" s="89" t="str">
        <f ca="1">IF($B130="","",INDIRECT("aux_sheet!AB"&amp;1+MATCH(aux_sheet!$B129,aux_sheet!$A$2:$A$202,0)))</f>
        <v/>
      </c>
      <c r="V130" s="106" t="str">
        <f ca="1">IF($B130="","",INDIRECT("aux_sheet!AD"&amp;1+MATCH(aux_sheet!$B129,aux_sheet!$A$2:$A$202,0)))</f>
        <v/>
      </c>
      <c r="W130" s="89" t="str">
        <f ca="1">IF($B130="","",INDIRECT("aux_sheet!AE"&amp;1+MATCH(aux_sheet!$B129,aux_sheet!$A$2:$A$202,0)))</f>
        <v/>
      </c>
      <c r="X130" s="89" t="str">
        <f ca="1">IF($B130="","",INDIRECT("aux_sheet!AE"&amp;1+MATCH(aux_sheet!$B129,aux_sheet!$A$2:$A$202,0)))</f>
        <v/>
      </c>
      <c r="Y130" s="106" t="str">
        <f ca="1">IF($B130="","",INDIRECT("aux_sheet!AG"&amp;1+MATCH(aux_sheet!$B129,aux_sheet!$A$2:$A$202,0)))</f>
        <v/>
      </c>
      <c r="Z130" s="89" t="str">
        <f ca="1">IF($B130="","",INDIRECT("aux_sheet!AH"&amp;1+MATCH(aux_sheet!$B129,aux_sheet!$A$2:$A$202,0)))</f>
        <v/>
      </c>
      <c r="AA130" s="89" t="str">
        <f ca="1">IF($B130="","",INDIRECT("aux_sheet!AH"&amp;1+MATCH(aux_sheet!$B129,aux_sheet!$A$2:$A$202,0)))</f>
        <v/>
      </c>
      <c r="AB130" s="106" t="str">
        <f ca="1">IF($B130="","",INDIRECT("aux_sheet!AJ"&amp;1+MATCH(aux_sheet!$B129,aux_sheet!$A$2:$A$202,0)))</f>
        <v/>
      </c>
      <c r="AC130" s="89" t="str">
        <f ca="1">IF($B130="","",INDIRECT("aux_sheet!AK"&amp;1+MATCH(aux_sheet!$B129,aux_sheet!$A$2:$A$202,0)))</f>
        <v/>
      </c>
      <c r="AD130" s="89" t="str">
        <f ca="1">IF($B130="","",INDIRECT("aux_sheet!AK"&amp;1+MATCH(aux_sheet!$B129,aux_sheet!$A$2:$A$202,0)))</f>
        <v/>
      </c>
      <c r="AE130" s="106" t="str">
        <f ca="1">IF($B130="","",INDIRECT("aux_sheet!AM"&amp;1+MATCH(aux_sheet!$B129,aux_sheet!$A$2:$A$202,0)))</f>
        <v/>
      </c>
      <c r="AF130" s="89" t="str">
        <f ca="1">IF($B130="","",INDIRECT("aux_sheet!AN"&amp;1+MATCH(aux_sheet!$B129,aux_sheet!$A$2:$A$202,0)))</f>
        <v/>
      </c>
      <c r="AG130" s="89" t="str">
        <f ca="1">IF($B130="","",INDIRECT("aux_sheet!AN"&amp;1+MATCH(aux_sheet!$B129,aux_sheet!$A$2:$A$202,0)))</f>
        <v/>
      </c>
      <c r="AH130" s="14" t="str">
        <f>IF(ISBLANK(Input!A129)," ",F129-F130)</f>
        <v xml:space="preserve"> </v>
      </c>
    </row>
    <row r="131" spans="1:34" x14ac:dyDescent="0.35">
      <c r="A131" s="2" t="str">
        <f>IF(ISBLANK(Input!A130),"",ROUNDDOWN(aux_sheet!B130,0))</f>
        <v/>
      </c>
      <c r="B131" s="2" t="str">
        <f ca="1">IF(ISBLANK(Input!A130),"",INDIRECT("Input!A"&amp;1+MATCH(aux_sheet!$B130,aux_sheet!$A$2:$A$202,0)))</f>
        <v/>
      </c>
      <c r="C131" s="2" t="str">
        <f ca="1">IF(ISBLANK(Input!B130),"",INDIRECT("Input!B"&amp;1+MATCH(aux_sheet!$B130,aux_sheet!$A$2:$A$202,0)))</f>
        <v/>
      </c>
      <c r="D131" s="2" t="str">
        <f ca="1">IF(ISBLANK(Input!C130),"",INDIRECT("Input!C"&amp;1+MATCH(aux_sheet!$B130,aux_sheet!$A$2:$A$202,0)))</f>
        <v/>
      </c>
      <c r="E131" s="2" t="str">
        <f ca="1">IF(ISBLANK(Input!D130),"",INDIRECT("Input!D"&amp;1+MATCH(aux_sheet!$B130,aux_sheet!$A$2:$A$202,0)))</f>
        <v/>
      </c>
      <c r="F131" s="11" t="str">
        <f ca="1">INDIRECT("Input!F"&amp;1+MATCH(aux_sheet!$B130,aux_sheet!$A$2:$A$202,0))</f>
        <v xml:space="preserve"> </v>
      </c>
      <c r="G131" s="106" t="str">
        <f ca="1">IF($B131="","",INDIRECT("aux_sheet!O"&amp;1+MATCH(aux_sheet!$B130,aux_sheet!$A$2:$A$202,0)))</f>
        <v/>
      </c>
      <c r="H131" s="89" t="str">
        <f ca="1">IF($B131="","",INDIRECT("aux_sheet!P"&amp;1+MATCH(aux_sheet!$B130,aux_sheet!$A$2:$A$202,0)))</f>
        <v/>
      </c>
      <c r="I131" s="89" t="str">
        <f ca="1">IF($B131="","",INDIRECT("aux_sheet!P"&amp;1+MATCH(aux_sheet!$B130,aux_sheet!$A$2:$A$202,0)))</f>
        <v/>
      </c>
      <c r="J131" s="106" t="str">
        <f ca="1">IF($B131="","",INDIRECT("aux_sheet!R"&amp;1+MATCH(aux_sheet!$B130,aux_sheet!$A$2:$A$202,0)))</f>
        <v/>
      </c>
      <c r="K131" s="89" t="str">
        <f ca="1">IF($B131="","",INDIRECT("aux_sheet!S"&amp;1+MATCH(aux_sheet!$B130,aux_sheet!$A$2:$A$202,0)))</f>
        <v/>
      </c>
      <c r="L131" s="89" t="str">
        <f ca="1">IF($B131="","",INDIRECT("aux_sheet!S"&amp;1+MATCH(aux_sheet!$B130,aux_sheet!$A$2:$A$202,0)))</f>
        <v/>
      </c>
      <c r="M131" s="106" t="str">
        <f ca="1">IF($B131="","",INDIRECT("aux_sheet!U"&amp;1+MATCH(aux_sheet!$B130,aux_sheet!$A$2:$A$202,0)))</f>
        <v/>
      </c>
      <c r="N131" s="89" t="str">
        <f ca="1">IF($B131="","",INDIRECT("aux_sheet!V"&amp;1+MATCH(aux_sheet!$B130,aux_sheet!$A$2:$A$202,0)))</f>
        <v/>
      </c>
      <c r="O131" s="89" t="str">
        <f ca="1">IF($B131="","",INDIRECT("aux_sheet!V"&amp;1+MATCH(aux_sheet!$B130,aux_sheet!$A$2:$A$202,0)))</f>
        <v/>
      </c>
      <c r="P131" s="106" t="str">
        <f ca="1">IF($B131="","",INDIRECT("aux_sheet!X"&amp;1+MATCH(aux_sheet!$B130,aux_sheet!$A$2:$A$202,0)))</f>
        <v/>
      </c>
      <c r="Q131" s="89" t="str">
        <f ca="1">IF($B131="","",INDIRECT("aux_sheet!Y"&amp;1+MATCH(aux_sheet!$B130,aux_sheet!$A$2:$A$202,0)))</f>
        <v/>
      </c>
      <c r="R131" s="89" t="str">
        <f ca="1">IF($B131="","",INDIRECT("aux_sheet!Y"&amp;1+MATCH(aux_sheet!$B130,aux_sheet!$A$2:$A$202,0)))</f>
        <v/>
      </c>
      <c r="S131" s="106" t="str">
        <f ca="1">IF($B131="","",INDIRECT("aux_sheet!AA"&amp;1+MATCH(aux_sheet!$B130,aux_sheet!$A$2:$A$202,0)))</f>
        <v/>
      </c>
      <c r="T131" s="89" t="str">
        <f ca="1">IF($B131="","",INDIRECT("aux_sheet!AB"&amp;1+MATCH(aux_sheet!$B130,aux_sheet!$A$2:$A$202,0)))</f>
        <v/>
      </c>
      <c r="U131" s="89" t="str">
        <f ca="1">IF($B131="","",INDIRECT("aux_sheet!AB"&amp;1+MATCH(aux_sheet!$B130,aux_sheet!$A$2:$A$202,0)))</f>
        <v/>
      </c>
      <c r="V131" s="106" t="str">
        <f ca="1">IF($B131="","",INDIRECT("aux_sheet!AD"&amp;1+MATCH(aux_sheet!$B130,aux_sheet!$A$2:$A$202,0)))</f>
        <v/>
      </c>
      <c r="W131" s="89" t="str">
        <f ca="1">IF($B131="","",INDIRECT("aux_sheet!AE"&amp;1+MATCH(aux_sheet!$B130,aux_sheet!$A$2:$A$202,0)))</f>
        <v/>
      </c>
      <c r="X131" s="89" t="str">
        <f ca="1">IF($B131="","",INDIRECT("aux_sheet!AE"&amp;1+MATCH(aux_sheet!$B130,aux_sheet!$A$2:$A$202,0)))</f>
        <v/>
      </c>
      <c r="Y131" s="106" t="str">
        <f ca="1">IF($B131="","",INDIRECT("aux_sheet!AG"&amp;1+MATCH(aux_sheet!$B130,aux_sheet!$A$2:$A$202,0)))</f>
        <v/>
      </c>
      <c r="Z131" s="89" t="str">
        <f ca="1">IF($B131="","",INDIRECT("aux_sheet!AH"&amp;1+MATCH(aux_sheet!$B130,aux_sheet!$A$2:$A$202,0)))</f>
        <v/>
      </c>
      <c r="AA131" s="89" t="str">
        <f ca="1">IF($B131="","",INDIRECT("aux_sheet!AH"&amp;1+MATCH(aux_sheet!$B130,aux_sheet!$A$2:$A$202,0)))</f>
        <v/>
      </c>
      <c r="AB131" s="106" t="str">
        <f ca="1">IF($B131="","",INDIRECT("aux_sheet!AJ"&amp;1+MATCH(aux_sheet!$B130,aux_sheet!$A$2:$A$202,0)))</f>
        <v/>
      </c>
      <c r="AC131" s="89" t="str">
        <f ca="1">IF($B131="","",INDIRECT("aux_sheet!AK"&amp;1+MATCH(aux_sheet!$B130,aux_sheet!$A$2:$A$202,0)))</f>
        <v/>
      </c>
      <c r="AD131" s="89" t="str">
        <f ca="1">IF($B131="","",INDIRECT("aux_sheet!AK"&amp;1+MATCH(aux_sheet!$B130,aux_sheet!$A$2:$A$202,0)))</f>
        <v/>
      </c>
      <c r="AE131" s="106" t="str">
        <f ca="1">IF($B131="","",INDIRECT("aux_sheet!AM"&amp;1+MATCH(aux_sheet!$B130,aux_sheet!$A$2:$A$202,0)))</f>
        <v/>
      </c>
      <c r="AF131" s="89" t="str">
        <f ca="1">IF($B131="","",INDIRECT("aux_sheet!AN"&amp;1+MATCH(aux_sheet!$B130,aux_sheet!$A$2:$A$202,0)))</f>
        <v/>
      </c>
      <c r="AG131" s="89" t="str">
        <f ca="1">IF($B131="","",INDIRECT("aux_sheet!AN"&amp;1+MATCH(aux_sheet!$B130,aux_sheet!$A$2:$A$202,0)))</f>
        <v/>
      </c>
      <c r="AH131" s="14" t="str">
        <f>IF(ISBLANK(Input!A130)," ",F130-F131)</f>
        <v xml:space="preserve"> </v>
      </c>
    </row>
    <row r="132" spans="1:34" x14ac:dyDescent="0.35">
      <c r="A132" s="2" t="str">
        <f>IF(ISBLANK(Input!A131),"",ROUNDDOWN(aux_sheet!B131,0))</f>
        <v/>
      </c>
      <c r="B132" s="2" t="str">
        <f ca="1">IF(ISBLANK(Input!A131),"",INDIRECT("Input!A"&amp;1+MATCH(aux_sheet!$B131,aux_sheet!$A$2:$A$202,0)))</f>
        <v/>
      </c>
      <c r="C132" s="2" t="str">
        <f ca="1">IF(ISBLANK(Input!B131),"",INDIRECT("Input!B"&amp;1+MATCH(aux_sheet!$B131,aux_sheet!$A$2:$A$202,0)))</f>
        <v/>
      </c>
      <c r="D132" s="2" t="str">
        <f ca="1">IF(ISBLANK(Input!C131),"",INDIRECT("Input!C"&amp;1+MATCH(aux_sheet!$B131,aux_sheet!$A$2:$A$202,0)))</f>
        <v/>
      </c>
      <c r="E132" s="2" t="str">
        <f ca="1">IF(ISBLANK(Input!D131),"",INDIRECT("Input!D"&amp;1+MATCH(aux_sheet!$B131,aux_sheet!$A$2:$A$202,0)))</f>
        <v/>
      </c>
      <c r="F132" s="11" t="str">
        <f ca="1">INDIRECT("Input!F"&amp;1+MATCH(aux_sheet!$B131,aux_sheet!$A$2:$A$202,0))</f>
        <v xml:space="preserve"> </v>
      </c>
      <c r="G132" s="106" t="str">
        <f ca="1">IF($B132="","",INDIRECT("aux_sheet!O"&amp;1+MATCH(aux_sheet!$B131,aux_sheet!$A$2:$A$202,0)))</f>
        <v/>
      </c>
      <c r="H132" s="89" t="str">
        <f ca="1">IF($B132="","",INDIRECT("aux_sheet!P"&amp;1+MATCH(aux_sheet!$B131,aux_sheet!$A$2:$A$202,0)))</f>
        <v/>
      </c>
      <c r="I132" s="89" t="str">
        <f ca="1">IF($B132="","",INDIRECT("aux_sheet!P"&amp;1+MATCH(aux_sheet!$B131,aux_sheet!$A$2:$A$202,0)))</f>
        <v/>
      </c>
      <c r="J132" s="106" t="str">
        <f ca="1">IF($B132="","",INDIRECT("aux_sheet!R"&amp;1+MATCH(aux_sheet!$B131,aux_sheet!$A$2:$A$202,0)))</f>
        <v/>
      </c>
      <c r="K132" s="89" t="str">
        <f ca="1">IF($B132="","",INDIRECT("aux_sheet!S"&amp;1+MATCH(aux_sheet!$B131,aux_sheet!$A$2:$A$202,0)))</f>
        <v/>
      </c>
      <c r="L132" s="89" t="str">
        <f ca="1">IF($B132="","",INDIRECT("aux_sheet!S"&amp;1+MATCH(aux_sheet!$B131,aux_sheet!$A$2:$A$202,0)))</f>
        <v/>
      </c>
      <c r="M132" s="106" t="str">
        <f ca="1">IF($B132="","",INDIRECT("aux_sheet!U"&amp;1+MATCH(aux_sheet!$B131,aux_sheet!$A$2:$A$202,0)))</f>
        <v/>
      </c>
      <c r="N132" s="89" t="str">
        <f ca="1">IF($B132="","",INDIRECT("aux_sheet!V"&amp;1+MATCH(aux_sheet!$B131,aux_sheet!$A$2:$A$202,0)))</f>
        <v/>
      </c>
      <c r="O132" s="89" t="str">
        <f ca="1">IF($B132="","",INDIRECT("aux_sheet!V"&amp;1+MATCH(aux_sheet!$B131,aux_sheet!$A$2:$A$202,0)))</f>
        <v/>
      </c>
      <c r="P132" s="106" t="str">
        <f ca="1">IF($B132="","",INDIRECT("aux_sheet!X"&amp;1+MATCH(aux_sheet!$B131,aux_sheet!$A$2:$A$202,0)))</f>
        <v/>
      </c>
      <c r="Q132" s="89" t="str">
        <f ca="1">IF($B132="","",INDIRECT("aux_sheet!Y"&amp;1+MATCH(aux_sheet!$B131,aux_sheet!$A$2:$A$202,0)))</f>
        <v/>
      </c>
      <c r="R132" s="89" t="str">
        <f ca="1">IF($B132="","",INDIRECT("aux_sheet!Y"&amp;1+MATCH(aux_sheet!$B131,aux_sheet!$A$2:$A$202,0)))</f>
        <v/>
      </c>
      <c r="S132" s="106" t="str">
        <f ca="1">IF($B132="","",INDIRECT("aux_sheet!AA"&amp;1+MATCH(aux_sheet!$B131,aux_sheet!$A$2:$A$202,0)))</f>
        <v/>
      </c>
      <c r="T132" s="89" t="str">
        <f ca="1">IF($B132="","",INDIRECT("aux_sheet!AB"&amp;1+MATCH(aux_sheet!$B131,aux_sheet!$A$2:$A$202,0)))</f>
        <v/>
      </c>
      <c r="U132" s="89" t="str">
        <f ca="1">IF($B132="","",INDIRECT("aux_sheet!AB"&amp;1+MATCH(aux_sheet!$B131,aux_sheet!$A$2:$A$202,0)))</f>
        <v/>
      </c>
      <c r="V132" s="106" t="str">
        <f ca="1">IF($B132="","",INDIRECT("aux_sheet!AD"&amp;1+MATCH(aux_sheet!$B131,aux_sheet!$A$2:$A$202,0)))</f>
        <v/>
      </c>
      <c r="W132" s="89" t="str">
        <f ca="1">IF($B132="","",INDIRECT("aux_sheet!AE"&amp;1+MATCH(aux_sheet!$B131,aux_sheet!$A$2:$A$202,0)))</f>
        <v/>
      </c>
      <c r="X132" s="89" t="str">
        <f ca="1">IF($B132="","",INDIRECT("aux_sheet!AE"&amp;1+MATCH(aux_sheet!$B131,aux_sheet!$A$2:$A$202,0)))</f>
        <v/>
      </c>
      <c r="Y132" s="106" t="str">
        <f ca="1">IF($B132="","",INDIRECT("aux_sheet!AG"&amp;1+MATCH(aux_sheet!$B131,aux_sheet!$A$2:$A$202,0)))</f>
        <v/>
      </c>
      <c r="Z132" s="89" t="str">
        <f ca="1">IF($B132="","",INDIRECT("aux_sheet!AH"&amp;1+MATCH(aux_sheet!$B131,aux_sheet!$A$2:$A$202,0)))</f>
        <v/>
      </c>
      <c r="AA132" s="89" t="str">
        <f ca="1">IF($B132="","",INDIRECT("aux_sheet!AH"&amp;1+MATCH(aux_sheet!$B131,aux_sheet!$A$2:$A$202,0)))</f>
        <v/>
      </c>
      <c r="AB132" s="106" t="str">
        <f ca="1">IF($B132="","",INDIRECT("aux_sheet!AJ"&amp;1+MATCH(aux_sheet!$B131,aux_sheet!$A$2:$A$202,0)))</f>
        <v/>
      </c>
      <c r="AC132" s="89" t="str">
        <f ca="1">IF($B132="","",INDIRECT("aux_sheet!AK"&amp;1+MATCH(aux_sheet!$B131,aux_sheet!$A$2:$A$202,0)))</f>
        <v/>
      </c>
      <c r="AD132" s="89" t="str">
        <f ca="1">IF($B132="","",INDIRECT("aux_sheet!AK"&amp;1+MATCH(aux_sheet!$B131,aux_sheet!$A$2:$A$202,0)))</f>
        <v/>
      </c>
      <c r="AE132" s="106" t="str">
        <f ca="1">IF($B132="","",INDIRECT("aux_sheet!AM"&amp;1+MATCH(aux_sheet!$B131,aux_sheet!$A$2:$A$202,0)))</f>
        <v/>
      </c>
      <c r="AF132" s="89" t="str">
        <f ca="1">IF($B132="","",INDIRECT("aux_sheet!AN"&amp;1+MATCH(aux_sheet!$B131,aux_sheet!$A$2:$A$202,0)))</f>
        <v/>
      </c>
      <c r="AG132" s="89" t="str">
        <f ca="1">IF($B132="","",INDIRECT("aux_sheet!AN"&amp;1+MATCH(aux_sheet!$B131,aux_sheet!$A$2:$A$202,0)))</f>
        <v/>
      </c>
      <c r="AH132" s="14" t="str">
        <f>IF(ISBLANK(Input!A131)," ",F131-F132)</f>
        <v xml:space="preserve"> </v>
      </c>
    </row>
    <row r="133" spans="1:34" x14ac:dyDescent="0.35">
      <c r="A133" s="2" t="str">
        <f>IF(ISBLANK(Input!A132),"",ROUNDDOWN(aux_sheet!B132,0))</f>
        <v/>
      </c>
      <c r="B133" s="2" t="str">
        <f ca="1">IF(ISBLANK(Input!A132),"",INDIRECT("Input!A"&amp;1+MATCH(aux_sheet!$B132,aux_sheet!$A$2:$A$202,0)))</f>
        <v/>
      </c>
      <c r="C133" s="2" t="str">
        <f ca="1">IF(ISBLANK(Input!B132),"",INDIRECT("Input!B"&amp;1+MATCH(aux_sheet!$B132,aux_sheet!$A$2:$A$202,0)))</f>
        <v/>
      </c>
      <c r="D133" s="2" t="str">
        <f ca="1">IF(ISBLANK(Input!C132),"",INDIRECT("Input!C"&amp;1+MATCH(aux_sheet!$B132,aux_sheet!$A$2:$A$202,0)))</f>
        <v/>
      </c>
      <c r="E133" s="2" t="str">
        <f ca="1">IF(ISBLANK(Input!D132),"",INDIRECT("Input!D"&amp;1+MATCH(aux_sheet!$B132,aux_sheet!$A$2:$A$202,0)))</f>
        <v/>
      </c>
      <c r="F133" s="11" t="str">
        <f ca="1">INDIRECT("Input!F"&amp;1+MATCH(aux_sheet!$B132,aux_sheet!$A$2:$A$202,0))</f>
        <v xml:space="preserve"> </v>
      </c>
      <c r="G133" s="106" t="str">
        <f ca="1">IF($B133="","",INDIRECT("aux_sheet!O"&amp;1+MATCH(aux_sheet!$B132,aux_sheet!$A$2:$A$202,0)))</f>
        <v/>
      </c>
      <c r="H133" s="89" t="str">
        <f ca="1">IF($B133="","",INDIRECT("aux_sheet!P"&amp;1+MATCH(aux_sheet!$B132,aux_sheet!$A$2:$A$202,0)))</f>
        <v/>
      </c>
      <c r="I133" s="89" t="str">
        <f ca="1">IF($B133="","",INDIRECT("aux_sheet!P"&amp;1+MATCH(aux_sheet!$B132,aux_sheet!$A$2:$A$202,0)))</f>
        <v/>
      </c>
      <c r="J133" s="106" t="str">
        <f ca="1">IF($B133="","",INDIRECT("aux_sheet!R"&amp;1+MATCH(aux_sheet!$B132,aux_sheet!$A$2:$A$202,0)))</f>
        <v/>
      </c>
      <c r="K133" s="89" t="str">
        <f ca="1">IF($B133="","",INDIRECT("aux_sheet!S"&amp;1+MATCH(aux_sheet!$B132,aux_sheet!$A$2:$A$202,0)))</f>
        <v/>
      </c>
      <c r="L133" s="89" t="str">
        <f ca="1">IF($B133="","",INDIRECT("aux_sheet!S"&amp;1+MATCH(aux_sheet!$B132,aux_sheet!$A$2:$A$202,0)))</f>
        <v/>
      </c>
      <c r="M133" s="106" t="str">
        <f ca="1">IF($B133="","",INDIRECT("aux_sheet!U"&amp;1+MATCH(aux_sheet!$B132,aux_sheet!$A$2:$A$202,0)))</f>
        <v/>
      </c>
      <c r="N133" s="89" t="str">
        <f ca="1">IF($B133="","",INDIRECT("aux_sheet!V"&amp;1+MATCH(aux_sheet!$B132,aux_sheet!$A$2:$A$202,0)))</f>
        <v/>
      </c>
      <c r="O133" s="89" t="str">
        <f ca="1">IF($B133="","",INDIRECT("aux_sheet!V"&amp;1+MATCH(aux_sheet!$B132,aux_sheet!$A$2:$A$202,0)))</f>
        <v/>
      </c>
      <c r="P133" s="106" t="str">
        <f ca="1">IF($B133="","",INDIRECT("aux_sheet!X"&amp;1+MATCH(aux_sheet!$B132,aux_sheet!$A$2:$A$202,0)))</f>
        <v/>
      </c>
      <c r="Q133" s="89" t="str">
        <f ca="1">IF($B133="","",INDIRECT("aux_sheet!Y"&amp;1+MATCH(aux_sheet!$B132,aux_sheet!$A$2:$A$202,0)))</f>
        <v/>
      </c>
      <c r="R133" s="89" t="str">
        <f ca="1">IF($B133="","",INDIRECT("aux_sheet!Y"&amp;1+MATCH(aux_sheet!$B132,aux_sheet!$A$2:$A$202,0)))</f>
        <v/>
      </c>
      <c r="S133" s="106" t="str">
        <f ca="1">IF($B133="","",INDIRECT("aux_sheet!AA"&amp;1+MATCH(aux_sheet!$B132,aux_sheet!$A$2:$A$202,0)))</f>
        <v/>
      </c>
      <c r="T133" s="89" t="str">
        <f ca="1">IF($B133="","",INDIRECT("aux_sheet!AB"&amp;1+MATCH(aux_sheet!$B132,aux_sheet!$A$2:$A$202,0)))</f>
        <v/>
      </c>
      <c r="U133" s="89" t="str">
        <f ca="1">IF($B133="","",INDIRECT("aux_sheet!AB"&amp;1+MATCH(aux_sheet!$B132,aux_sheet!$A$2:$A$202,0)))</f>
        <v/>
      </c>
      <c r="V133" s="106" t="str">
        <f ca="1">IF($B133="","",INDIRECT("aux_sheet!AD"&amp;1+MATCH(aux_sheet!$B132,aux_sheet!$A$2:$A$202,0)))</f>
        <v/>
      </c>
      <c r="W133" s="89" t="str">
        <f ca="1">IF($B133="","",INDIRECT("aux_sheet!AE"&amp;1+MATCH(aux_sheet!$B132,aux_sheet!$A$2:$A$202,0)))</f>
        <v/>
      </c>
      <c r="X133" s="89" t="str">
        <f ca="1">IF($B133="","",INDIRECT("aux_sheet!AE"&amp;1+MATCH(aux_sheet!$B132,aux_sheet!$A$2:$A$202,0)))</f>
        <v/>
      </c>
      <c r="Y133" s="106" t="str">
        <f ca="1">IF($B133="","",INDIRECT("aux_sheet!AG"&amp;1+MATCH(aux_sheet!$B132,aux_sheet!$A$2:$A$202,0)))</f>
        <v/>
      </c>
      <c r="Z133" s="89" t="str">
        <f ca="1">IF($B133="","",INDIRECT("aux_sheet!AH"&amp;1+MATCH(aux_sheet!$B132,aux_sheet!$A$2:$A$202,0)))</f>
        <v/>
      </c>
      <c r="AA133" s="89" t="str">
        <f ca="1">IF($B133="","",INDIRECT("aux_sheet!AH"&amp;1+MATCH(aux_sheet!$B132,aux_sheet!$A$2:$A$202,0)))</f>
        <v/>
      </c>
      <c r="AB133" s="106" t="str">
        <f ca="1">IF($B133="","",INDIRECT("aux_sheet!AJ"&amp;1+MATCH(aux_sheet!$B132,aux_sheet!$A$2:$A$202,0)))</f>
        <v/>
      </c>
      <c r="AC133" s="89" t="str">
        <f ca="1">IF($B133="","",INDIRECT("aux_sheet!AK"&amp;1+MATCH(aux_sheet!$B132,aux_sheet!$A$2:$A$202,0)))</f>
        <v/>
      </c>
      <c r="AD133" s="89" t="str">
        <f ca="1">IF($B133="","",INDIRECT("aux_sheet!AK"&amp;1+MATCH(aux_sheet!$B132,aux_sheet!$A$2:$A$202,0)))</f>
        <v/>
      </c>
      <c r="AE133" s="106" t="str">
        <f ca="1">IF($B133="","",INDIRECT("aux_sheet!AM"&amp;1+MATCH(aux_sheet!$B132,aux_sheet!$A$2:$A$202,0)))</f>
        <v/>
      </c>
      <c r="AF133" s="89" t="str">
        <f ca="1">IF($B133="","",INDIRECT("aux_sheet!AN"&amp;1+MATCH(aux_sheet!$B132,aux_sheet!$A$2:$A$202,0)))</f>
        <v/>
      </c>
      <c r="AG133" s="89" t="str">
        <f ca="1">IF($B133="","",INDIRECT("aux_sheet!AN"&amp;1+MATCH(aux_sheet!$B132,aux_sheet!$A$2:$A$202,0)))</f>
        <v/>
      </c>
      <c r="AH133" s="14" t="str">
        <f>IF(ISBLANK(Input!A132)," ",F132-F133)</f>
        <v xml:space="preserve"> </v>
      </c>
    </row>
    <row r="134" spans="1:34" x14ac:dyDescent="0.35">
      <c r="A134" s="2" t="str">
        <f>IF(ISBLANK(Input!A133),"",ROUNDDOWN(aux_sheet!B133,0))</f>
        <v/>
      </c>
      <c r="B134" s="2" t="str">
        <f ca="1">IF(ISBLANK(Input!A133),"",INDIRECT("Input!A"&amp;1+MATCH(aux_sheet!$B133,aux_sheet!$A$2:$A$202,0)))</f>
        <v/>
      </c>
      <c r="C134" s="2" t="str">
        <f ca="1">IF(ISBLANK(Input!B133),"",INDIRECT("Input!B"&amp;1+MATCH(aux_sheet!$B133,aux_sheet!$A$2:$A$202,0)))</f>
        <v/>
      </c>
      <c r="D134" s="2" t="str">
        <f ca="1">IF(ISBLANK(Input!C133),"",INDIRECT("Input!C"&amp;1+MATCH(aux_sheet!$B133,aux_sheet!$A$2:$A$202,0)))</f>
        <v/>
      </c>
      <c r="E134" s="2" t="str">
        <f ca="1">IF(ISBLANK(Input!D133),"",INDIRECT("Input!D"&amp;1+MATCH(aux_sheet!$B133,aux_sheet!$A$2:$A$202,0)))</f>
        <v/>
      </c>
      <c r="F134" s="11" t="str">
        <f ca="1">INDIRECT("Input!F"&amp;1+MATCH(aux_sheet!$B133,aux_sheet!$A$2:$A$202,0))</f>
        <v xml:space="preserve"> </v>
      </c>
      <c r="G134" s="106" t="str">
        <f ca="1">IF($B134="","",INDIRECT("aux_sheet!O"&amp;1+MATCH(aux_sheet!$B133,aux_sheet!$A$2:$A$202,0)))</f>
        <v/>
      </c>
      <c r="H134" s="89" t="str">
        <f ca="1">IF($B134="","",INDIRECT("aux_sheet!P"&amp;1+MATCH(aux_sheet!$B133,aux_sheet!$A$2:$A$202,0)))</f>
        <v/>
      </c>
      <c r="I134" s="89" t="str">
        <f ca="1">IF($B134="","",INDIRECT("aux_sheet!P"&amp;1+MATCH(aux_sheet!$B133,aux_sheet!$A$2:$A$202,0)))</f>
        <v/>
      </c>
      <c r="J134" s="106" t="str">
        <f ca="1">IF($B134="","",INDIRECT("aux_sheet!R"&amp;1+MATCH(aux_sheet!$B133,aux_sheet!$A$2:$A$202,0)))</f>
        <v/>
      </c>
      <c r="K134" s="89" t="str">
        <f ca="1">IF($B134="","",INDIRECT("aux_sheet!S"&amp;1+MATCH(aux_sheet!$B133,aux_sheet!$A$2:$A$202,0)))</f>
        <v/>
      </c>
      <c r="L134" s="89" t="str">
        <f ca="1">IF($B134="","",INDIRECT("aux_sheet!S"&amp;1+MATCH(aux_sheet!$B133,aux_sheet!$A$2:$A$202,0)))</f>
        <v/>
      </c>
      <c r="M134" s="106" t="str">
        <f ca="1">IF($B134="","",INDIRECT("aux_sheet!U"&amp;1+MATCH(aux_sheet!$B133,aux_sheet!$A$2:$A$202,0)))</f>
        <v/>
      </c>
      <c r="N134" s="89" t="str">
        <f ca="1">IF($B134="","",INDIRECT("aux_sheet!V"&amp;1+MATCH(aux_sheet!$B133,aux_sheet!$A$2:$A$202,0)))</f>
        <v/>
      </c>
      <c r="O134" s="89" t="str">
        <f ca="1">IF($B134="","",INDIRECT("aux_sheet!V"&amp;1+MATCH(aux_sheet!$B133,aux_sheet!$A$2:$A$202,0)))</f>
        <v/>
      </c>
      <c r="P134" s="106" t="str">
        <f ca="1">IF($B134="","",INDIRECT("aux_sheet!X"&amp;1+MATCH(aux_sheet!$B133,aux_sheet!$A$2:$A$202,0)))</f>
        <v/>
      </c>
      <c r="Q134" s="89" t="str">
        <f ca="1">IF($B134="","",INDIRECT("aux_sheet!Y"&amp;1+MATCH(aux_sheet!$B133,aux_sheet!$A$2:$A$202,0)))</f>
        <v/>
      </c>
      <c r="R134" s="89" t="str">
        <f ca="1">IF($B134="","",INDIRECT("aux_sheet!Y"&amp;1+MATCH(aux_sheet!$B133,aux_sheet!$A$2:$A$202,0)))</f>
        <v/>
      </c>
      <c r="S134" s="106" t="str">
        <f ca="1">IF($B134="","",INDIRECT("aux_sheet!AA"&amp;1+MATCH(aux_sheet!$B133,aux_sheet!$A$2:$A$202,0)))</f>
        <v/>
      </c>
      <c r="T134" s="89" t="str">
        <f ca="1">IF($B134="","",INDIRECT("aux_sheet!AB"&amp;1+MATCH(aux_sheet!$B133,aux_sheet!$A$2:$A$202,0)))</f>
        <v/>
      </c>
      <c r="U134" s="89" t="str">
        <f ca="1">IF($B134="","",INDIRECT("aux_sheet!AB"&amp;1+MATCH(aux_sheet!$B133,aux_sheet!$A$2:$A$202,0)))</f>
        <v/>
      </c>
      <c r="V134" s="106" t="str">
        <f ca="1">IF($B134="","",INDIRECT("aux_sheet!AD"&amp;1+MATCH(aux_sheet!$B133,aux_sheet!$A$2:$A$202,0)))</f>
        <v/>
      </c>
      <c r="W134" s="89" t="str">
        <f ca="1">IF($B134="","",INDIRECT("aux_sheet!AE"&amp;1+MATCH(aux_sheet!$B133,aux_sheet!$A$2:$A$202,0)))</f>
        <v/>
      </c>
      <c r="X134" s="89" t="str">
        <f ca="1">IF($B134="","",INDIRECT("aux_sheet!AE"&amp;1+MATCH(aux_sheet!$B133,aux_sheet!$A$2:$A$202,0)))</f>
        <v/>
      </c>
      <c r="Y134" s="106" t="str">
        <f ca="1">IF($B134="","",INDIRECT("aux_sheet!AG"&amp;1+MATCH(aux_sheet!$B133,aux_sheet!$A$2:$A$202,0)))</f>
        <v/>
      </c>
      <c r="Z134" s="89" t="str">
        <f ca="1">IF($B134="","",INDIRECT("aux_sheet!AH"&amp;1+MATCH(aux_sheet!$B133,aux_sheet!$A$2:$A$202,0)))</f>
        <v/>
      </c>
      <c r="AA134" s="89" t="str">
        <f ca="1">IF($B134="","",INDIRECT("aux_sheet!AH"&amp;1+MATCH(aux_sheet!$B133,aux_sheet!$A$2:$A$202,0)))</f>
        <v/>
      </c>
      <c r="AB134" s="106" t="str">
        <f ca="1">IF($B134="","",INDIRECT("aux_sheet!AJ"&amp;1+MATCH(aux_sheet!$B133,aux_sheet!$A$2:$A$202,0)))</f>
        <v/>
      </c>
      <c r="AC134" s="89" t="str">
        <f ca="1">IF($B134="","",INDIRECT("aux_sheet!AK"&amp;1+MATCH(aux_sheet!$B133,aux_sheet!$A$2:$A$202,0)))</f>
        <v/>
      </c>
      <c r="AD134" s="89" t="str">
        <f ca="1">IF($B134="","",INDIRECT("aux_sheet!AK"&amp;1+MATCH(aux_sheet!$B133,aux_sheet!$A$2:$A$202,0)))</f>
        <v/>
      </c>
      <c r="AE134" s="106" t="str">
        <f ca="1">IF($B134="","",INDIRECT("aux_sheet!AM"&amp;1+MATCH(aux_sheet!$B133,aux_sheet!$A$2:$A$202,0)))</f>
        <v/>
      </c>
      <c r="AF134" s="89" t="str">
        <f ca="1">IF($B134="","",INDIRECT("aux_sheet!AN"&amp;1+MATCH(aux_sheet!$B133,aux_sheet!$A$2:$A$202,0)))</f>
        <v/>
      </c>
      <c r="AG134" s="89" t="str">
        <f ca="1">IF($B134="","",INDIRECT("aux_sheet!AN"&amp;1+MATCH(aux_sheet!$B133,aux_sheet!$A$2:$A$202,0)))</f>
        <v/>
      </c>
      <c r="AH134" s="14" t="str">
        <f>IF(ISBLANK(Input!A133)," ",F133-F134)</f>
        <v xml:space="preserve"> </v>
      </c>
    </row>
    <row r="135" spans="1:34" x14ac:dyDescent="0.35">
      <c r="A135" s="2" t="str">
        <f>IF(ISBLANK(Input!A134),"",ROUNDDOWN(aux_sheet!B134,0))</f>
        <v/>
      </c>
      <c r="B135" s="2" t="str">
        <f ca="1">IF(ISBLANK(Input!A134),"",INDIRECT("Input!A"&amp;1+MATCH(aux_sheet!$B134,aux_sheet!$A$2:$A$202,0)))</f>
        <v/>
      </c>
      <c r="C135" s="2" t="str">
        <f ca="1">IF(ISBLANK(Input!B134),"",INDIRECT("Input!B"&amp;1+MATCH(aux_sheet!$B134,aux_sheet!$A$2:$A$202,0)))</f>
        <v/>
      </c>
      <c r="D135" s="2" t="str">
        <f ca="1">IF(ISBLANK(Input!C134),"",INDIRECT("Input!C"&amp;1+MATCH(aux_sheet!$B134,aux_sheet!$A$2:$A$202,0)))</f>
        <v/>
      </c>
      <c r="E135" s="2" t="str">
        <f ca="1">IF(ISBLANK(Input!D134),"",INDIRECT("Input!D"&amp;1+MATCH(aux_sheet!$B134,aux_sheet!$A$2:$A$202,0)))</f>
        <v/>
      </c>
      <c r="F135" s="11" t="str">
        <f ca="1">INDIRECT("Input!F"&amp;1+MATCH(aux_sheet!$B134,aux_sheet!$A$2:$A$202,0))</f>
        <v xml:space="preserve"> </v>
      </c>
      <c r="G135" s="106" t="str">
        <f ca="1">IF($B135="","",INDIRECT("aux_sheet!O"&amp;1+MATCH(aux_sheet!$B134,aux_sheet!$A$2:$A$202,0)))</f>
        <v/>
      </c>
      <c r="H135" s="89" t="str">
        <f ca="1">IF($B135="","",INDIRECT("aux_sheet!P"&amp;1+MATCH(aux_sheet!$B134,aux_sheet!$A$2:$A$202,0)))</f>
        <v/>
      </c>
      <c r="I135" s="89" t="str">
        <f ca="1">IF($B135="","",INDIRECT("aux_sheet!P"&amp;1+MATCH(aux_sheet!$B134,aux_sheet!$A$2:$A$202,0)))</f>
        <v/>
      </c>
      <c r="J135" s="106" t="str">
        <f ca="1">IF($B135="","",INDIRECT("aux_sheet!R"&amp;1+MATCH(aux_sheet!$B134,aux_sheet!$A$2:$A$202,0)))</f>
        <v/>
      </c>
      <c r="K135" s="89" t="str">
        <f ca="1">IF($B135="","",INDIRECT("aux_sheet!S"&amp;1+MATCH(aux_sheet!$B134,aux_sheet!$A$2:$A$202,0)))</f>
        <v/>
      </c>
      <c r="L135" s="89" t="str">
        <f ca="1">IF($B135="","",INDIRECT("aux_sheet!S"&amp;1+MATCH(aux_sheet!$B134,aux_sheet!$A$2:$A$202,0)))</f>
        <v/>
      </c>
      <c r="M135" s="106" t="str">
        <f ca="1">IF($B135="","",INDIRECT("aux_sheet!U"&amp;1+MATCH(aux_sheet!$B134,aux_sheet!$A$2:$A$202,0)))</f>
        <v/>
      </c>
      <c r="N135" s="89" t="str">
        <f ca="1">IF($B135="","",INDIRECT("aux_sheet!V"&amp;1+MATCH(aux_sheet!$B134,aux_sheet!$A$2:$A$202,0)))</f>
        <v/>
      </c>
      <c r="O135" s="89" t="str">
        <f ca="1">IF($B135="","",INDIRECT("aux_sheet!V"&amp;1+MATCH(aux_sheet!$B134,aux_sheet!$A$2:$A$202,0)))</f>
        <v/>
      </c>
      <c r="P135" s="106" t="str">
        <f ca="1">IF($B135="","",INDIRECT("aux_sheet!X"&amp;1+MATCH(aux_sheet!$B134,aux_sheet!$A$2:$A$202,0)))</f>
        <v/>
      </c>
      <c r="Q135" s="89" t="str">
        <f ca="1">IF($B135="","",INDIRECT("aux_sheet!Y"&amp;1+MATCH(aux_sheet!$B134,aux_sheet!$A$2:$A$202,0)))</f>
        <v/>
      </c>
      <c r="R135" s="89" t="str">
        <f ca="1">IF($B135="","",INDIRECT("aux_sheet!Y"&amp;1+MATCH(aux_sheet!$B134,aux_sheet!$A$2:$A$202,0)))</f>
        <v/>
      </c>
      <c r="S135" s="106" t="str">
        <f ca="1">IF($B135="","",INDIRECT("aux_sheet!AA"&amp;1+MATCH(aux_sheet!$B134,aux_sheet!$A$2:$A$202,0)))</f>
        <v/>
      </c>
      <c r="T135" s="89" t="str">
        <f ca="1">IF($B135="","",INDIRECT("aux_sheet!AB"&amp;1+MATCH(aux_sheet!$B134,aux_sheet!$A$2:$A$202,0)))</f>
        <v/>
      </c>
      <c r="U135" s="89" t="str">
        <f ca="1">IF($B135="","",INDIRECT("aux_sheet!AB"&amp;1+MATCH(aux_sheet!$B134,aux_sheet!$A$2:$A$202,0)))</f>
        <v/>
      </c>
      <c r="V135" s="106" t="str">
        <f ca="1">IF($B135="","",INDIRECT("aux_sheet!AD"&amp;1+MATCH(aux_sheet!$B134,aux_sheet!$A$2:$A$202,0)))</f>
        <v/>
      </c>
      <c r="W135" s="89" t="str">
        <f ca="1">IF($B135="","",INDIRECT("aux_sheet!AE"&amp;1+MATCH(aux_sheet!$B134,aux_sheet!$A$2:$A$202,0)))</f>
        <v/>
      </c>
      <c r="X135" s="89" t="str">
        <f ca="1">IF($B135="","",INDIRECT("aux_sheet!AE"&amp;1+MATCH(aux_sheet!$B134,aux_sheet!$A$2:$A$202,0)))</f>
        <v/>
      </c>
      <c r="Y135" s="106" t="str">
        <f ca="1">IF($B135="","",INDIRECT("aux_sheet!AG"&amp;1+MATCH(aux_sheet!$B134,aux_sheet!$A$2:$A$202,0)))</f>
        <v/>
      </c>
      <c r="Z135" s="89" t="str">
        <f ca="1">IF($B135="","",INDIRECT("aux_sheet!AH"&amp;1+MATCH(aux_sheet!$B134,aux_sheet!$A$2:$A$202,0)))</f>
        <v/>
      </c>
      <c r="AA135" s="89" t="str">
        <f ca="1">IF($B135="","",INDIRECT("aux_sheet!AH"&amp;1+MATCH(aux_sheet!$B134,aux_sheet!$A$2:$A$202,0)))</f>
        <v/>
      </c>
      <c r="AB135" s="106" t="str">
        <f ca="1">IF($B135="","",INDIRECT("aux_sheet!AJ"&amp;1+MATCH(aux_sheet!$B134,aux_sheet!$A$2:$A$202,0)))</f>
        <v/>
      </c>
      <c r="AC135" s="89" t="str">
        <f ca="1">IF($B135="","",INDIRECT("aux_sheet!AK"&amp;1+MATCH(aux_sheet!$B134,aux_sheet!$A$2:$A$202,0)))</f>
        <v/>
      </c>
      <c r="AD135" s="89" t="str">
        <f ca="1">IF($B135="","",INDIRECT("aux_sheet!AK"&amp;1+MATCH(aux_sheet!$B134,aux_sheet!$A$2:$A$202,0)))</f>
        <v/>
      </c>
      <c r="AE135" s="106" t="str">
        <f ca="1">IF($B135="","",INDIRECT("aux_sheet!AM"&amp;1+MATCH(aux_sheet!$B134,aux_sheet!$A$2:$A$202,0)))</f>
        <v/>
      </c>
      <c r="AF135" s="89" t="str">
        <f ca="1">IF($B135="","",INDIRECT("aux_sheet!AN"&amp;1+MATCH(aux_sheet!$B134,aux_sheet!$A$2:$A$202,0)))</f>
        <v/>
      </c>
      <c r="AG135" s="89" t="str">
        <f ca="1">IF($B135="","",INDIRECT("aux_sheet!AN"&amp;1+MATCH(aux_sheet!$B134,aux_sheet!$A$2:$A$202,0)))</f>
        <v/>
      </c>
      <c r="AH135" s="14" t="str">
        <f>IF(ISBLANK(Input!A134)," ",F134-F135)</f>
        <v xml:space="preserve"> </v>
      </c>
    </row>
    <row r="136" spans="1:34" x14ac:dyDescent="0.35">
      <c r="A136" s="2" t="str">
        <f>IF(ISBLANK(Input!A135),"",ROUNDDOWN(aux_sheet!B135,0))</f>
        <v/>
      </c>
      <c r="B136" s="2" t="str">
        <f ca="1">IF(ISBLANK(Input!A135),"",INDIRECT("Input!A"&amp;1+MATCH(aux_sheet!$B135,aux_sheet!$A$2:$A$202,0)))</f>
        <v/>
      </c>
      <c r="C136" s="2" t="str">
        <f ca="1">IF(ISBLANK(Input!B135),"",INDIRECT("Input!B"&amp;1+MATCH(aux_sheet!$B135,aux_sheet!$A$2:$A$202,0)))</f>
        <v/>
      </c>
      <c r="D136" s="2" t="str">
        <f ca="1">IF(ISBLANK(Input!C135),"",INDIRECT("Input!C"&amp;1+MATCH(aux_sheet!$B135,aux_sheet!$A$2:$A$202,0)))</f>
        <v/>
      </c>
      <c r="E136" s="2" t="str">
        <f ca="1">IF(ISBLANK(Input!D135),"",INDIRECT("Input!D"&amp;1+MATCH(aux_sheet!$B135,aux_sheet!$A$2:$A$202,0)))</f>
        <v/>
      </c>
      <c r="F136" s="11" t="str">
        <f ca="1">INDIRECT("Input!F"&amp;1+MATCH(aux_sheet!$B135,aux_sheet!$A$2:$A$202,0))</f>
        <v xml:space="preserve"> </v>
      </c>
      <c r="G136" s="106" t="str">
        <f ca="1">IF($B136="","",INDIRECT("aux_sheet!O"&amp;1+MATCH(aux_sheet!$B135,aux_sheet!$A$2:$A$202,0)))</f>
        <v/>
      </c>
      <c r="H136" s="89" t="str">
        <f ca="1">IF($B136="","",INDIRECT("aux_sheet!P"&amp;1+MATCH(aux_sheet!$B135,aux_sheet!$A$2:$A$202,0)))</f>
        <v/>
      </c>
      <c r="I136" s="89" t="str">
        <f ca="1">IF($B136="","",INDIRECT("aux_sheet!P"&amp;1+MATCH(aux_sheet!$B135,aux_sheet!$A$2:$A$202,0)))</f>
        <v/>
      </c>
      <c r="J136" s="106" t="str">
        <f ca="1">IF($B136="","",INDIRECT("aux_sheet!R"&amp;1+MATCH(aux_sheet!$B135,aux_sheet!$A$2:$A$202,0)))</f>
        <v/>
      </c>
      <c r="K136" s="89" t="str">
        <f ca="1">IF($B136="","",INDIRECT("aux_sheet!S"&amp;1+MATCH(aux_sheet!$B135,aux_sheet!$A$2:$A$202,0)))</f>
        <v/>
      </c>
      <c r="L136" s="89" t="str">
        <f ca="1">IF($B136="","",INDIRECT("aux_sheet!S"&amp;1+MATCH(aux_sheet!$B135,aux_sheet!$A$2:$A$202,0)))</f>
        <v/>
      </c>
      <c r="M136" s="106" t="str">
        <f ca="1">IF($B136="","",INDIRECT("aux_sheet!U"&amp;1+MATCH(aux_sheet!$B135,aux_sheet!$A$2:$A$202,0)))</f>
        <v/>
      </c>
      <c r="N136" s="89" t="str">
        <f ca="1">IF($B136="","",INDIRECT("aux_sheet!V"&amp;1+MATCH(aux_sheet!$B135,aux_sheet!$A$2:$A$202,0)))</f>
        <v/>
      </c>
      <c r="O136" s="89" t="str">
        <f ca="1">IF($B136="","",INDIRECT("aux_sheet!V"&amp;1+MATCH(aux_sheet!$B135,aux_sheet!$A$2:$A$202,0)))</f>
        <v/>
      </c>
      <c r="P136" s="106" t="str">
        <f ca="1">IF($B136="","",INDIRECT("aux_sheet!X"&amp;1+MATCH(aux_sheet!$B135,aux_sheet!$A$2:$A$202,0)))</f>
        <v/>
      </c>
      <c r="Q136" s="89" t="str">
        <f ca="1">IF($B136="","",INDIRECT("aux_sheet!Y"&amp;1+MATCH(aux_sheet!$B135,aux_sheet!$A$2:$A$202,0)))</f>
        <v/>
      </c>
      <c r="R136" s="89" t="str">
        <f ca="1">IF($B136="","",INDIRECT("aux_sheet!Y"&amp;1+MATCH(aux_sheet!$B135,aux_sheet!$A$2:$A$202,0)))</f>
        <v/>
      </c>
      <c r="S136" s="106" t="str">
        <f ca="1">IF($B136="","",INDIRECT("aux_sheet!AA"&amp;1+MATCH(aux_sheet!$B135,aux_sheet!$A$2:$A$202,0)))</f>
        <v/>
      </c>
      <c r="T136" s="89" t="str">
        <f ca="1">IF($B136="","",INDIRECT("aux_sheet!AB"&amp;1+MATCH(aux_sheet!$B135,aux_sheet!$A$2:$A$202,0)))</f>
        <v/>
      </c>
      <c r="U136" s="89" t="str">
        <f ca="1">IF($B136="","",INDIRECT("aux_sheet!AB"&amp;1+MATCH(aux_sheet!$B135,aux_sheet!$A$2:$A$202,0)))</f>
        <v/>
      </c>
      <c r="V136" s="106" t="str">
        <f ca="1">IF($B136="","",INDIRECT("aux_sheet!AD"&amp;1+MATCH(aux_sheet!$B135,aux_sheet!$A$2:$A$202,0)))</f>
        <v/>
      </c>
      <c r="W136" s="89" t="str">
        <f ca="1">IF($B136="","",INDIRECT("aux_sheet!AE"&amp;1+MATCH(aux_sheet!$B135,aux_sheet!$A$2:$A$202,0)))</f>
        <v/>
      </c>
      <c r="X136" s="89" t="str">
        <f ca="1">IF($B136="","",INDIRECT("aux_sheet!AE"&amp;1+MATCH(aux_sheet!$B135,aux_sheet!$A$2:$A$202,0)))</f>
        <v/>
      </c>
      <c r="Y136" s="106" t="str">
        <f ca="1">IF($B136="","",INDIRECT("aux_sheet!AG"&amp;1+MATCH(aux_sheet!$B135,aux_sheet!$A$2:$A$202,0)))</f>
        <v/>
      </c>
      <c r="Z136" s="89" t="str">
        <f ca="1">IF($B136="","",INDIRECT("aux_sheet!AH"&amp;1+MATCH(aux_sheet!$B135,aux_sheet!$A$2:$A$202,0)))</f>
        <v/>
      </c>
      <c r="AA136" s="89" t="str">
        <f ca="1">IF($B136="","",INDIRECT("aux_sheet!AH"&amp;1+MATCH(aux_sheet!$B135,aux_sheet!$A$2:$A$202,0)))</f>
        <v/>
      </c>
      <c r="AB136" s="106" t="str">
        <f ca="1">IF($B136="","",INDIRECT("aux_sheet!AJ"&amp;1+MATCH(aux_sheet!$B135,aux_sheet!$A$2:$A$202,0)))</f>
        <v/>
      </c>
      <c r="AC136" s="89" t="str">
        <f ca="1">IF($B136="","",INDIRECT("aux_sheet!AK"&amp;1+MATCH(aux_sheet!$B135,aux_sheet!$A$2:$A$202,0)))</f>
        <v/>
      </c>
      <c r="AD136" s="89" t="str">
        <f ca="1">IF($B136="","",INDIRECT("aux_sheet!AK"&amp;1+MATCH(aux_sheet!$B135,aux_sheet!$A$2:$A$202,0)))</f>
        <v/>
      </c>
      <c r="AE136" s="106" t="str">
        <f ca="1">IF($B136="","",INDIRECT("aux_sheet!AM"&amp;1+MATCH(aux_sheet!$B135,aux_sheet!$A$2:$A$202,0)))</f>
        <v/>
      </c>
      <c r="AF136" s="89" t="str">
        <f ca="1">IF($B136="","",INDIRECT("aux_sheet!AN"&amp;1+MATCH(aux_sheet!$B135,aux_sheet!$A$2:$A$202,0)))</f>
        <v/>
      </c>
      <c r="AG136" s="89" t="str">
        <f ca="1">IF($B136="","",INDIRECT("aux_sheet!AN"&amp;1+MATCH(aux_sheet!$B135,aux_sheet!$A$2:$A$202,0)))</f>
        <v/>
      </c>
      <c r="AH136" s="14" t="str">
        <f>IF(ISBLANK(Input!A135)," ",F135-F136)</f>
        <v xml:space="preserve"> </v>
      </c>
    </row>
    <row r="137" spans="1:34" x14ac:dyDescent="0.35">
      <c r="A137" s="2" t="str">
        <f>IF(ISBLANK(Input!A136),"",ROUNDDOWN(aux_sheet!B136,0))</f>
        <v/>
      </c>
      <c r="B137" s="2" t="str">
        <f ca="1">IF(ISBLANK(Input!A136),"",INDIRECT("Input!A"&amp;1+MATCH(aux_sheet!$B136,aux_sheet!$A$2:$A$202,0)))</f>
        <v/>
      </c>
      <c r="C137" s="2" t="str">
        <f ca="1">IF(ISBLANK(Input!B136),"",INDIRECT("Input!B"&amp;1+MATCH(aux_sheet!$B136,aux_sheet!$A$2:$A$202,0)))</f>
        <v/>
      </c>
      <c r="D137" s="2" t="str">
        <f ca="1">IF(ISBLANK(Input!C136),"",INDIRECT("Input!C"&amp;1+MATCH(aux_sheet!$B136,aux_sheet!$A$2:$A$202,0)))</f>
        <v/>
      </c>
      <c r="E137" s="2" t="str">
        <f ca="1">IF(ISBLANK(Input!D136),"",INDIRECT("Input!D"&amp;1+MATCH(aux_sheet!$B136,aux_sheet!$A$2:$A$202,0)))</f>
        <v/>
      </c>
      <c r="F137" s="11" t="str">
        <f ca="1">INDIRECT("Input!F"&amp;1+MATCH(aux_sheet!$B136,aux_sheet!$A$2:$A$202,0))</f>
        <v xml:space="preserve"> </v>
      </c>
      <c r="G137" s="106" t="str">
        <f ca="1">IF($B137="","",INDIRECT("aux_sheet!O"&amp;1+MATCH(aux_sheet!$B136,aux_sheet!$A$2:$A$202,0)))</f>
        <v/>
      </c>
      <c r="H137" s="89" t="str">
        <f ca="1">IF($B137="","",INDIRECT("aux_sheet!P"&amp;1+MATCH(aux_sheet!$B136,aux_sheet!$A$2:$A$202,0)))</f>
        <v/>
      </c>
      <c r="I137" s="89" t="str">
        <f ca="1">IF($B137="","",INDIRECT("aux_sheet!P"&amp;1+MATCH(aux_sheet!$B136,aux_sheet!$A$2:$A$202,0)))</f>
        <v/>
      </c>
      <c r="J137" s="106" t="str">
        <f ca="1">IF($B137="","",INDIRECT("aux_sheet!R"&amp;1+MATCH(aux_sheet!$B136,aux_sheet!$A$2:$A$202,0)))</f>
        <v/>
      </c>
      <c r="K137" s="89" t="str">
        <f ca="1">IF($B137="","",INDIRECT("aux_sheet!S"&amp;1+MATCH(aux_sheet!$B136,aux_sheet!$A$2:$A$202,0)))</f>
        <v/>
      </c>
      <c r="L137" s="89" t="str">
        <f ca="1">IF($B137="","",INDIRECT("aux_sheet!S"&amp;1+MATCH(aux_sheet!$B136,aux_sheet!$A$2:$A$202,0)))</f>
        <v/>
      </c>
      <c r="M137" s="106" t="str">
        <f ca="1">IF($B137="","",INDIRECT("aux_sheet!U"&amp;1+MATCH(aux_sheet!$B136,aux_sheet!$A$2:$A$202,0)))</f>
        <v/>
      </c>
      <c r="N137" s="89" t="str">
        <f ca="1">IF($B137="","",INDIRECT("aux_sheet!V"&amp;1+MATCH(aux_sheet!$B136,aux_sheet!$A$2:$A$202,0)))</f>
        <v/>
      </c>
      <c r="O137" s="89" t="str">
        <f ca="1">IF($B137="","",INDIRECT("aux_sheet!V"&amp;1+MATCH(aux_sheet!$B136,aux_sheet!$A$2:$A$202,0)))</f>
        <v/>
      </c>
      <c r="P137" s="106" t="str">
        <f ca="1">IF($B137="","",INDIRECT("aux_sheet!X"&amp;1+MATCH(aux_sheet!$B136,aux_sheet!$A$2:$A$202,0)))</f>
        <v/>
      </c>
      <c r="Q137" s="89" t="str">
        <f ca="1">IF($B137="","",INDIRECT("aux_sheet!Y"&amp;1+MATCH(aux_sheet!$B136,aux_sheet!$A$2:$A$202,0)))</f>
        <v/>
      </c>
      <c r="R137" s="89" t="str">
        <f ca="1">IF($B137="","",INDIRECT("aux_sheet!Y"&amp;1+MATCH(aux_sheet!$B136,aux_sheet!$A$2:$A$202,0)))</f>
        <v/>
      </c>
      <c r="S137" s="106" t="str">
        <f ca="1">IF($B137="","",INDIRECT("aux_sheet!AA"&amp;1+MATCH(aux_sheet!$B136,aux_sheet!$A$2:$A$202,0)))</f>
        <v/>
      </c>
      <c r="T137" s="89" t="str">
        <f ca="1">IF($B137="","",INDIRECT("aux_sheet!AB"&amp;1+MATCH(aux_sheet!$B136,aux_sheet!$A$2:$A$202,0)))</f>
        <v/>
      </c>
      <c r="U137" s="89" t="str">
        <f ca="1">IF($B137="","",INDIRECT("aux_sheet!AB"&amp;1+MATCH(aux_sheet!$B136,aux_sheet!$A$2:$A$202,0)))</f>
        <v/>
      </c>
      <c r="V137" s="106" t="str">
        <f ca="1">IF($B137="","",INDIRECT("aux_sheet!AD"&amp;1+MATCH(aux_sheet!$B136,aux_sheet!$A$2:$A$202,0)))</f>
        <v/>
      </c>
      <c r="W137" s="89" t="str">
        <f ca="1">IF($B137="","",INDIRECT("aux_sheet!AE"&amp;1+MATCH(aux_sheet!$B136,aux_sheet!$A$2:$A$202,0)))</f>
        <v/>
      </c>
      <c r="X137" s="89" t="str">
        <f ca="1">IF($B137="","",INDIRECT("aux_sheet!AE"&amp;1+MATCH(aux_sheet!$B136,aux_sheet!$A$2:$A$202,0)))</f>
        <v/>
      </c>
      <c r="Y137" s="106" t="str">
        <f ca="1">IF($B137="","",INDIRECT("aux_sheet!AG"&amp;1+MATCH(aux_sheet!$B136,aux_sheet!$A$2:$A$202,0)))</f>
        <v/>
      </c>
      <c r="Z137" s="89" t="str">
        <f ca="1">IF($B137="","",INDIRECT("aux_sheet!AH"&amp;1+MATCH(aux_sheet!$B136,aux_sheet!$A$2:$A$202,0)))</f>
        <v/>
      </c>
      <c r="AA137" s="89" t="str">
        <f ca="1">IF($B137="","",INDIRECT("aux_sheet!AH"&amp;1+MATCH(aux_sheet!$B136,aux_sheet!$A$2:$A$202,0)))</f>
        <v/>
      </c>
      <c r="AB137" s="106" t="str">
        <f ca="1">IF($B137="","",INDIRECT("aux_sheet!AJ"&amp;1+MATCH(aux_sheet!$B136,aux_sheet!$A$2:$A$202,0)))</f>
        <v/>
      </c>
      <c r="AC137" s="89" t="str">
        <f ca="1">IF($B137="","",INDIRECT("aux_sheet!AK"&amp;1+MATCH(aux_sheet!$B136,aux_sheet!$A$2:$A$202,0)))</f>
        <v/>
      </c>
      <c r="AD137" s="89" t="str">
        <f ca="1">IF($B137="","",INDIRECT("aux_sheet!AK"&amp;1+MATCH(aux_sheet!$B136,aux_sheet!$A$2:$A$202,0)))</f>
        <v/>
      </c>
      <c r="AE137" s="106" t="str">
        <f ca="1">IF($B137="","",INDIRECT("aux_sheet!AM"&amp;1+MATCH(aux_sheet!$B136,aux_sheet!$A$2:$A$202,0)))</f>
        <v/>
      </c>
      <c r="AF137" s="89" t="str">
        <f ca="1">IF($B137="","",INDIRECT("aux_sheet!AN"&amp;1+MATCH(aux_sheet!$B136,aux_sheet!$A$2:$A$202,0)))</f>
        <v/>
      </c>
      <c r="AG137" s="89" t="str">
        <f ca="1">IF($B137="","",INDIRECT("aux_sheet!AN"&amp;1+MATCH(aux_sheet!$B136,aux_sheet!$A$2:$A$202,0)))</f>
        <v/>
      </c>
      <c r="AH137" s="14" t="str">
        <f>IF(ISBLANK(Input!A136)," ",F136-F137)</f>
        <v xml:space="preserve"> </v>
      </c>
    </row>
    <row r="138" spans="1:34" x14ac:dyDescent="0.35">
      <c r="A138" s="2" t="str">
        <f>IF(ISBLANK(Input!A137),"",ROUNDDOWN(aux_sheet!B137,0))</f>
        <v/>
      </c>
      <c r="B138" s="2" t="str">
        <f ca="1">IF(ISBLANK(Input!A137),"",INDIRECT("Input!A"&amp;1+MATCH(aux_sheet!$B137,aux_sheet!$A$2:$A$202,0)))</f>
        <v/>
      </c>
      <c r="C138" s="2" t="str">
        <f ca="1">IF(ISBLANK(Input!B137),"",INDIRECT("Input!B"&amp;1+MATCH(aux_sheet!$B137,aux_sheet!$A$2:$A$202,0)))</f>
        <v/>
      </c>
      <c r="D138" s="2" t="str">
        <f ca="1">IF(ISBLANK(Input!C137),"",INDIRECT("Input!C"&amp;1+MATCH(aux_sheet!$B137,aux_sheet!$A$2:$A$202,0)))</f>
        <v/>
      </c>
      <c r="E138" s="2" t="str">
        <f ca="1">IF(ISBLANK(Input!D137),"",INDIRECT("Input!D"&amp;1+MATCH(aux_sheet!$B137,aux_sheet!$A$2:$A$202,0)))</f>
        <v/>
      </c>
      <c r="F138" s="11" t="str">
        <f ca="1">INDIRECT("Input!F"&amp;1+MATCH(aux_sheet!$B137,aux_sheet!$A$2:$A$202,0))</f>
        <v xml:space="preserve"> </v>
      </c>
      <c r="G138" s="106" t="str">
        <f ca="1">IF($B138="","",INDIRECT("aux_sheet!O"&amp;1+MATCH(aux_sheet!$B137,aux_sheet!$A$2:$A$202,0)))</f>
        <v/>
      </c>
      <c r="H138" s="89" t="str">
        <f ca="1">IF($B138="","",INDIRECT("aux_sheet!P"&amp;1+MATCH(aux_sheet!$B137,aux_sheet!$A$2:$A$202,0)))</f>
        <v/>
      </c>
      <c r="I138" s="89" t="str">
        <f ca="1">IF($B138="","",INDIRECT("aux_sheet!P"&amp;1+MATCH(aux_sheet!$B137,aux_sheet!$A$2:$A$202,0)))</f>
        <v/>
      </c>
      <c r="J138" s="106" t="str">
        <f ca="1">IF($B138="","",INDIRECT("aux_sheet!R"&amp;1+MATCH(aux_sheet!$B137,aux_sheet!$A$2:$A$202,0)))</f>
        <v/>
      </c>
      <c r="K138" s="89" t="str">
        <f ca="1">IF($B138="","",INDIRECT("aux_sheet!S"&amp;1+MATCH(aux_sheet!$B137,aux_sheet!$A$2:$A$202,0)))</f>
        <v/>
      </c>
      <c r="L138" s="89" t="str">
        <f ca="1">IF($B138="","",INDIRECT("aux_sheet!S"&amp;1+MATCH(aux_sheet!$B137,aux_sheet!$A$2:$A$202,0)))</f>
        <v/>
      </c>
      <c r="M138" s="106" t="str">
        <f ca="1">IF($B138="","",INDIRECT("aux_sheet!U"&amp;1+MATCH(aux_sheet!$B137,aux_sheet!$A$2:$A$202,0)))</f>
        <v/>
      </c>
      <c r="N138" s="89" t="str">
        <f ca="1">IF($B138="","",INDIRECT("aux_sheet!V"&amp;1+MATCH(aux_sheet!$B137,aux_sheet!$A$2:$A$202,0)))</f>
        <v/>
      </c>
      <c r="O138" s="89" t="str">
        <f ca="1">IF($B138="","",INDIRECT("aux_sheet!V"&amp;1+MATCH(aux_sheet!$B137,aux_sheet!$A$2:$A$202,0)))</f>
        <v/>
      </c>
      <c r="P138" s="106" t="str">
        <f ca="1">IF($B138="","",INDIRECT("aux_sheet!X"&amp;1+MATCH(aux_sheet!$B137,aux_sheet!$A$2:$A$202,0)))</f>
        <v/>
      </c>
      <c r="Q138" s="89" t="str">
        <f ca="1">IF($B138="","",INDIRECT("aux_sheet!Y"&amp;1+MATCH(aux_sheet!$B137,aux_sheet!$A$2:$A$202,0)))</f>
        <v/>
      </c>
      <c r="R138" s="89" t="str">
        <f ca="1">IF($B138="","",INDIRECT("aux_sheet!Y"&amp;1+MATCH(aux_sheet!$B137,aux_sheet!$A$2:$A$202,0)))</f>
        <v/>
      </c>
      <c r="S138" s="106" t="str">
        <f ca="1">IF($B138="","",INDIRECT("aux_sheet!AA"&amp;1+MATCH(aux_sheet!$B137,aux_sheet!$A$2:$A$202,0)))</f>
        <v/>
      </c>
      <c r="T138" s="89" t="str">
        <f ca="1">IF($B138="","",INDIRECT("aux_sheet!AB"&amp;1+MATCH(aux_sheet!$B137,aux_sheet!$A$2:$A$202,0)))</f>
        <v/>
      </c>
      <c r="U138" s="89" t="str">
        <f ca="1">IF($B138="","",INDIRECT("aux_sheet!AB"&amp;1+MATCH(aux_sheet!$B137,aux_sheet!$A$2:$A$202,0)))</f>
        <v/>
      </c>
      <c r="V138" s="106" t="str">
        <f ca="1">IF($B138="","",INDIRECT("aux_sheet!AD"&amp;1+MATCH(aux_sheet!$B137,aux_sheet!$A$2:$A$202,0)))</f>
        <v/>
      </c>
      <c r="W138" s="89" t="str">
        <f ca="1">IF($B138="","",INDIRECT("aux_sheet!AE"&amp;1+MATCH(aux_sheet!$B137,aux_sheet!$A$2:$A$202,0)))</f>
        <v/>
      </c>
      <c r="X138" s="89" t="str">
        <f ca="1">IF($B138="","",INDIRECT("aux_sheet!AE"&amp;1+MATCH(aux_sheet!$B137,aux_sheet!$A$2:$A$202,0)))</f>
        <v/>
      </c>
      <c r="Y138" s="106" t="str">
        <f ca="1">IF($B138="","",INDIRECT("aux_sheet!AG"&amp;1+MATCH(aux_sheet!$B137,aux_sheet!$A$2:$A$202,0)))</f>
        <v/>
      </c>
      <c r="Z138" s="89" t="str">
        <f ca="1">IF($B138="","",INDIRECT("aux_sheet!AH"&amp;1+MATCH(aux_sheet!$B137,aux_sheet!$A$2:$A$202,0)))</f>
        <v/>
      </c>
      <c r="AA138" s="89" t="str">
        <f ca="1">IF($B138="","",INDIRECT("aux_sheet!AH"&amp;1+MATCH(aux_sheet!$B137,aux_sheet!$A$2:$A$202,0)))</f>
        <v/>
      </c>
      <c r="AB138" s="106" t="str">
        <f ca="1">IF($B138="","",INDIRECT("aux_sheet!AJ"&amp;1+MATCH(aux_sheet!$B137,aux_sheet!$A$2:$A$202,0)))</f>
        <v/>
      </c>
      <c r="AC138" s="89" t="str">
        <f ca="1">IF($B138="","",INDIRECT("aux_sheet!AK"&amp;1+MATCH(aux_sheet!$B137,aux_sheet!$A$2:$A$202,0)))</f>
        <v/>
      </c>
      <c r="AD138" s="89" t="str">
        <f ca="1">IF($B138="","",INDIRECT("aux_sheet!AK"&amp;1+MATCH(aux_sheet!$B137,aux_sheet!$A$2:$A$202,0)))</f>
        <v/>
      </c>
      <c r="AE138" s="106" t="str">
        <f ca="1">IF($B138="","",INDIRECT("aux_sheet!AM"&amp;1+MATCH(aux_sheet!$B137,aux_sheet!$A$2:$A$202,0)))</f>
        <v/>
      </c>
      <c r="AF138" s="89" t="str">
        <f ca="1">IF($B138="","",INDIRECT("aux_sheet!AN"&amp;1+MATCH(aux_sheet!$B137,aux_sheet!$A$2:$A$202,0)))</f>
        <v/>
      </c>
      <c r="AG138" s="89" t="str">
        <f ca="1">IF($B138="","",INDIRECT("aux_sheet!AN"&amp;1+MATCH(aux_sheet!$B137,aux_sheet!$A$2:$A$202,0)))</f>
        <v/>
      </c>
      <c r="AH138" s="14" t="str">
        <f>IF(ISBLANK(Input!A137)," ",F137-F138)</f>
        <v xml:space="preserve"> </v>
      </c>
    </row>
    <row r="139" spans="1:34" x14ac:dyDescent="0.35">
      <c r="A139" s="2" t="str">
        <f>IF(ISBLANK(Input!A138),"",ROUNDDOWN(aux_sheet!B138,0))</f>
        <v/>
      </c>
      <c r="B139" s="2" t="str">
        <f ca="1">IF(ISBLANK(Input!A138),"",INDIRECT("Input!A"&amp;1+MATCH(aux_sheet!$B138,aux_sheet!$A$2:$A$202,0)))</f>
        <v/>
      </c>
      <c r="C139" s="2" t="str">
        <f ca="1">IF(ISBLANK(Input!B138),"",INDIRECT("Input!B"&amp;1+MATCH(aux_sheet!$B138,aux_sheet!$A$2:$A$202,0)))</f>
        <v/>
      </c>
      <c r="D139" s="2" t="str">
        <f ca="1">IF(ISBLANK(Input!C138),"",INDIRECT("Input!C"&amp;1+MATCH(aux_sheet!$B138,aux_sheet!$A$2:$A$202,0)))</f>
        <v/>
      </c>
      <c r="E139" s="2" t="str">
        <f ca="1">IF(ISBLANK(Input!D138),"",INDIRECT("Input!D"&amp;1+MATCH(aux_sheet!$B138,aux_sheet!$A$2:$A$202,0)))</f>
        <v/>
      </c>
      <c r="F139" s="11" t="str">
        <f ca="1">INDIRECT("Input!F"&amp;1+MATCH(aux_sheet!$B138,aux_sheet!$A$2:$A$202,0))</f>
        <v xml:space="preserve"> </v>
      </c>
      <c r="G139" s="106" t="str">
        <f ca="1">IF($B139="","",INDIRECT("aux_sheet!O"&amp;1+MATCH(aux_sheet!$B138,aux_sheet!$A$2:$A$202,0)))</f>
        <v/>
      </c>
      <c r="H139" s="89" t="str">
        <f ca="1">IF($B139="","",INDIRECT("aux_sheet!P"&amp;1+MATCH(aux_sheet!$B138,aux_sheet!$A$2:$A$202,0)))</f>
        <v/>
      </c>
      <c r="I139" s="89" t="str">
        <f ca="1">IF($B139="","",INDIRECT("aux_sheet!P"&amp;1+MATCH(aux_sheet!$B138,aux_sheet!$A$2:$A$202,0)))</f>
        <v/>
      </c>
      <c r="J139" s="106" t="str">
        <f ca="1">IF($B139="","",INDIRECT("aux_sheet!R"&amp;1+MATCH(aux_sheet!$B138,aux_sheet!$A$2:$A$202,0)))</f>
        <v/>
      </c>
      <c r="K139" s="89" t="str">
        <f ca="1">IF($B139="","",INDIRECT("aux_sheet!S"&amp;1+MATCH(aux_sheet!$B138,aux_sheet!$A$2:$A$202,0)))</f>
        <v/>
      </c>
      <c r="L139" s="89" t="str">
        <f ca="1">IF($B139="","",INDIRECT("aux_sheet!S"&amp;1+MATCH(aux_sheet!$B138,aux_sheet!$A$2:$A$202,0)))</f>
        <v/>
      </c>
      <c r="M139" s="106" t="str">
        <f ca="1">IF($B139="","",INDIRECT("aux_sheet!U"&amp;1+MATCH(aux_sheet!$B138,aux_sheet!$A$2:$A$202,0)))</f>
        <v/>
      </c>
      <c r="N139" s="89" t="str">
        <f ca="1">IF($B139="","",INDIRECT("aux_sheet!V"&amp;1+MATCH(aux_sheet!$B138,aux_sheet!$A$2:$A$202,0)))</f>
        <v/>
      </c>
      <c r="O139" s="89" t="str">
        <f ca="1">IF($B139="","",INDIRECT("aux_sheet!V"&amp;1+MATCH(aux_sheet!$B138,aux_sheet!$A$2:$A$202,0)))</f>
        <v/>
      </c>
      <c r="P139" s="106" t="str">
        <f ca="1">IF($B139="","",INDIRECT("aux_sheet!X"&amp;1+MATCH(aux_sheet!$B138,aux_sheet!$A$2:$A$202,0)))</f>
        <v/>
      </c>
      <c r="Q139" s="89" t="str">
        <f ca="1">IF($B139="","",INDIRECT("aux_sheet!Y"&amp;1+MATCH(aux_sheet!$B138,aux_sheet!$A$2:$A$202,0)))</f>
        <v/>
      </c>
      <c r="R139" s="89" t="str">
        <f ca="1">IF($B139="","",INDIRECT("aux_sheet!Y"&amp;1+MATCH(aux_sheet!$B138,aux_sheet!$A$2:$A$202,0)))</f>
        <v/>
      </c>
      <c r="S139" s="106" t="str">
        <f ca="1">IF($B139="","",INDIRECT("aux_sheet!AA"&amp;1+MATCH(aux_sheet!$B138,aux_sheet!$A$2:$A$202,0)))</f>
        <v/>
      </c>
      <c r="T139" s="89" t="str">
        <f ca="1">IF($B139="","",INDIRECT("aux_sheet!AB"&amp;1+MATCH(aux_sheet!$B138,aux_sheet!$A$2:$A$202,0)))</f>
        <v/>
      </c>
      <c r="U139" s="89" t="str">
        <f ca="1">IF($B139="","",INDIRECT("aux_sheet!AB"&amp;1+MATCH(aux_sheet!$B138,aux_sheet!$A$2:$A$202,0)))</f>
        <v/>
      </c>
      <c r="V139" s="106" t="str">
        <f ca="1">IF($B139="","",INDIRECT("aux_sheet!AD"&amp;1+MATCH(aux_sheet!$B138,aux_sheet!$A$2:$A$202,0)))</f>
        <v/>
      </c>
      <c r="W139" s="89" t="str">
        <f ca="1">IF($B139="","",INDIRECT("aux_sheet!AE"&amp;1+MATCH(aux_sheet!$B138,aux_sheet!$A$2:$A$202,0)))</f>
        <v/>
      </c>
      <c r="X139" s="89" t="str">
        <f ca="1">IF($B139="","",INDIRECT("aux_sheet!AE"&amp;1+MATCH(aux_sheet!$B138,aux_sheet!$A$2:$A$202,0)))</f>
        <v/>
      </c>
      <c r="Y139" s="106" t="str">
        <f ca="1">IF($B139="","",INDIRECT("aux_sheet!AG"&amp;1+MATCH(aux_sheet!$B138,aux_sheet!$A$2:$A$202,0)))</f>
        <v/>
      </c>
      <c r="Z139" s="89" t="str">
        <f ca="1">IF($B139="","",INDIRECT("aux_sheet!AH"&amp;1+MATCH(aux_sheet!$B138,aux_sheet!$A$2:$A$202,0)))</f>
        <v/>
      </c>
      <c r="AA139" s="89" t="str">
        <f ca="1">IF($B139="","",INDIRECT("aux_sheet!AH"&amp;1+MATCH(aux_sheet!$B138,aux_sheet!$A$2:$A$202,0)))</f>
        <v/>
      </c>
      <c r="AB139" s="106" t="str">
        <f ca="1">IF($B139="","",INDIRECT("aux_sheet!AJ"&amp;1+MATCH(aux_sheet!$B138,aux_sheet!$A$2:$A$202,0)))</f>
        <v/>
      </c>
      <c r="AC139" s="89" t="str">
        <f ca="1">IF($B139="","",INDIRECT("aux_sheet!AK"&amp;1+MATCH(aux_sheet!$B138,aux_sheet!$A$2:$A$202,0)))</f>
        <v/>
      </c>
      <c r="AD139" s="89" t="str">
        <f ca="1">IF($B139="","",INDIRECT("aux_sheet!AK"&amp;1+MATCH(aux_sheet!$B138,aux_sheet!$A$2:$A$202,0)))</f>
        <v/>
      </c>
      <c r="AE139" s="106" t="str">
        <f ca="1">IF($B139="","",INDIRECT("aux_sheet!AM"&amp;1+MATCH(aux_sheet!$B138,aux_sheet!$A$2:$A$202,0)))</f>
        <v/>
      </c>
      <c r="AF139" s="89" t="str">
        <f ca="1">IF($B139="","",INDIRECT("aux_sheet!AN"&amp;1+MATCH(aux_sheet!$B138,aux_sheet!$A$2:$A$202,0)))</f>
        <v/>
      </c>
      <c r="AG139" s="89" t="str">
        <f ca="1">IF($B139="","",INDIRECT("aux_sheet!AN"&amp;1+MATCH(aux_sheet!$B138,aux_sheet!$A$2:$A$202,0)))</f>
        <v/>
      </c>
      <c r="AH139" s="14" t="str">
        <f>IF(ISBLANK(Input!A138)," ",F138-F139)</f>
        <v xml:space="preserve"> </v>
      </c>
    </row>
    <row r="140" spans="1:34" x14ac:dyDescent="0.35">
      <c r="A140" s="2" t="str">
        <f>IF(ISBLANK(Input!A139),"",ROUNDDOWN(aux_sheet!B139,0))</f>
        <v/>
      </c>
      <c r="B140" s="2" t="str">
        <f ca="1">IF(ISBLANK(Input!A139),"",INDIRECT("Input!A"&amp;1+MATCH(aux_sheet!$B139,aux_sheet!$A$2:$A$202,0)))</f>
        <v/>
      </c>
      <c r="C140" s="2" t="str">
        <f ca="1">IF(ISBLANK(Input!B139),"",INDIRECT("Input!B"&amp;1+MATCH(aux_sheet!$B139,aux_sheet!$A$2:$A$202,0)))</f>
        <v/>
      </c>
      <c r="D140" s="2" t="str">
        <f ca="1">IF(ISBLANK(Input!C139),"",INDIRECT("Input!C"&amp;1+MATCH(aux_sheet!$B139,aux_sheet!$A$2:$A$202,0)))</f>
        <v/>
      </c>
      <c r="E140" s="2" t="str">
        <f ca="1">IF(ISBLANK(Input!D139),"",INDIRECT("Input!D"&amp;1+MATCH(aux_sheet!$B139,aux_sheet!$A$2:$A$202,0)))</f>
        <v/>
      </c>
      <c r="F140" s="11" t="str">
        <f ca="1">INDIRECT("Input!F"&amp;1+MATCH(aux_sheet!$B139,aux_sheet!$A$2:$A$202,0))</f>
        <v xml:space="preserve"> </v>
      </c>
      <c r="G140" s="106" t="str">
        <f ca="1">IF($B140="","",INDIRECT("aux_sheet!O"&amp;1+MATCH(aux_sheet!$B139,aux_sheet!$A$2:$A$202,0)))</f>
        <v/>
      </c>
      <c r="H140" s="89" t="str">
        <f ca="1">IF($B140="","",INDIRECT("aux_sheet!P"&amp;1+MATCH(aux_sheet!$B139,aux_sheet!$A$2:$A$202,0)))</f>
        <v/>
      </c>
      <c r="I140" s="89" t="str">
        <f ca="1">IF($B140="","",INDIRECT("aux_sheet!P"&amp;1+MATCH(aux_sheet!$B139,aux_sheet!$A$2:$A$202,0)))</f>
        <v/>
      </c>
      <c r="J140" s="106" t="str">
        <f ca="1">IF($B140="","",INDIRECT("aux_sheet!R"&amp;1+MATCH(aux_sheet!$B139,aux_sheet!$A$2:$A$202,0)))</f>
        <v/>
      </c>
      <c r="K140" s="89" t="str">
        <f ca="1">IF($B140="","",INDIRECT("aux_sheet!S"&amp;1+MATCH(aux_sheet!$B139,aux_sheet!$A$2:$A$202,0)))</f>
        <v/>
      </c>
      <c r="L140" s="89" t="str">
        <f ca="1">IF($B140="","",INDIRECT("aux_sheet!S"&amp;1+MATCH(aux_sheet!$B139,aux_sheet!$A$2:$A$202,0)))</f>
        <v/>
      </c>
      <c r="M140" s="106" t="str">
        <f ca="1">IF($B140="","",INDIRECT("aux_sheet!U"&amp;1+MATCH(aux_sheet!$B139,aux_sheet!$A$2:$A$202,0)))</f>
        <v/>
      </c>
      <c r="N140" s="89" t="str">
        <f ca="1">IF($B140="","",INDIRECT("aux_sheet!V"&amp;1+MATCH(aux_sheet!$B139,aux_sheet!$A$2:$A$202,0)))</f>
        <v/>
      </c>
      <c r="O140" s="89" t="str">
        <f ca="1">IF($B140="","",INDIRECT("aux_sheet!V"&amp;1+MATCH(aux_sheet!$B139,aux_sheet!$A$2:$A$202,0)))</f>
        <v/>
      </c>
      <c r="P140" s="106" t="str">
        <f ca="1">IF($B140="","",INDIRECT("aux_sheet!X"&amp;1+MATCH(aux_sheet!$B139,aux_sheet!$A$2:$A$202,0)))</f>
        <v/>
      </c>
      <c r="Q140" s="89" t="str">
        <f ca="1">IF($B140="","",INDIRECT("aux_sheet!Y"&amp;1+MATCH(aux_sheet!$B139,aux_sheet!$A$2:$A$202,0)))</f>
        <v/>
      </c>
      <c r="R140" s="89" t="str">
        <f ca="1">IF($B140="","",INDIRECT("aux_sheet!Y"&amp;1+MATCH(aux_sheet!$B139,aux_sheet!$A$2:$A$202,0)))</f>
        <v/>
      </c>
      <c r="S140" s="106" t="str">
        <f ca="1">IF($B140="","",INDIRECT("aux_sheet!AA"&amp;1+MATCH(aux_sheet!$B139,aux_sheet!$A$2:$A$202,0)))</f>
        <v/>
      </c>
      <c r="T140" s="89" t="str">
        <f ca="1">IF($B140="","",INDIRECT("aux_sheet!AB"&amp;1+MATCH(aux_sheet!$B139,aux_sheet!$A$2:$A$202,0)))</f>
        <v/>
      </c>
      <c r="U140" s="89" t="str">
        <f ca="1">IF($B140="","",INDIRECT("aux_sheet!AB"&amp;1+MATCH(aux_sheet!$B139,aux_sheet!$A$2:$A$202,0)))</f>
        <v/>
      </c>
      <c r="V140" s="106" t="str">
        <f ca="1">IF($B140="","",INDIRECT("aux_sheet!AD"&amp;1+MATCH(aux_sheet!$B139,aux_sheet!$A$2:$A$202,0)))</f>
        <v/>
      </c>
      <c r="W140" s="89" t="str">
        <f ca="1">IF($B140="","",INDIRECT("aux_sheet!AE"&amp;1+MATCH(aux_sheet!$B139,aux_sheet!$A$2:$A$202,0)))</f>
        <v/>
      </c>
      <c r="X140" s="89" t="str">
        <f ca="1">IF($B140="","",INDIRECT("aux_sheet!AE"&amp;1+MATCH(aux_sheet!$B139,aux_sheet!$A$2:$A$202,0)))</f>
        <v/>
      </c>
      <c r="Y140" s="106" t="str">
        <f ca="1">IF($B140="","",INDIRECT("aux_sheet!AG"&amp;1+MATCH(aux_sheet!$B139,aux_sheet!$A$2:$A$202,0)))</f>
        <v/>
      </c>
      <c r="Z140" s="89" t="str">
        <f ca="1">IF($B140="","",INDIRECT("aux_sheet!AH"&amp;1+MATCH(aux_sheet!$B139,aux_sheet!$A$2:$A$202,0)))</f>
        <v/>
      </c>
      <c r="AA140" s="89" t="str">
        <f ca="1">IF($B140="","",INDIRECT("aux_sheet!AH"&amp;1+MATCH(aux_sheet!$B139,aux_sheet!$A$2:$A$202,0)))</f>
        <v/>
      </c>
      <c r="AB140" s="106" t="str">
        <f ca="1">IF($B140="","",INDIRECT("aux_sheet!AJ"&amp;1+MATCH(aux_sheet!$B139,aux_sheet!$A$2:$A$202,0)))</f>
        <v/>
      </c>
      <c r="AC140" s="89" t="str">
        <f ca="1">IF($B140="","",INDIRECT("aux_sheet!AK"&amp;1+MATCH(aux_sheet!$B139,aux_sheet!$A$2:$A$202,0)))</f>
        <v/>
      </c>
      <c r="AD140" s="89" t="str">
        <f ca="1">IF($B140="","",INDIRECT("aux_sheet!AK"&amp;1+MATCH(aux_sheet!$B139,aux_sheet!$A$2:$A$202,0)))</f>
        <v/>
      </c>
      <c r="AE140" s="106" t="str">
        <f ca="1">IF($B140="","",INDIRECT("aux_sheet!AM"&amp;1+MATCH(aux_sheet!$B139,aux_sheet!$A$2:$A$202,0)))</f>
        <v/>
      </c>
      <c r="AF140" s="89" t="str">
        <f ca="1">IF($B140="","",INDIRECT("aux_sheet!AN"&amp;1+MATCH(aux_sheet!$B139,aux_sheet!$A$2:$A$202,0)))</f>
        <v/>
      </c>
      <c r="AG140" s="89" t="str">
        <f ca="1">IF($B140="","",INDIRECT("aux_sheet!AN"&amp;1+MATCH(aux_sheet!$B139,aux_sheet!$A$2:$A$202,0)))</f>
        <v/>
      </c>
      <c r="AH140" s="14" t="str">
        <f>IF(ISBLANK(Input!A139)," ",F139-F140)</f>
        <v xml:space="preserve"> </v>
      </c>
    </row>
    <row r="141" spans="1:34" x14ac:dyDescent="0.35">
      <c r="A141" s="2" t="str">
        <f>IF(ISBLANK(Input!A140),"",ROUNDDOWN(aux_sheet!B140,0))</f>
        <v/>
      </c>
      <c r="B141" s="2" t="str">
        <f ca="1">IF(ISBLANK(Input!A140),"",INDIRECT("Input!A"&amp;1+MATCH(aux_sheet!$B140,aux_sheet!$A$2:$A$202,0)))</f>
        <v/>
      </c>
      <c r="C141" s="2" t="str">
        <f ca="1">IF(ISBLANK(Input!B140),"",INDIRECT("Input!B"&amp;1+MATCH(aux_sheet!$B140,aux_sheet!$A$2:$A$202,0)))</f>
        <v/>
      </c>
      <c r="D141" s="2" t="str">
        <f ca="1">IF(ISBLANK(Input!C140),"",INDIRECT("Input!C"&amp;1+MATCH(aux_sheet!$B140,aux_sheet!$A$2:$A$202,0)))</f>
        <v/>
      </c>
      <c r="E141" s="2" t="str">
        <f ca="1">IF(ISBLANK(Input!D140),"",INDIRECT("Input!D"&amp;1+MATCH(aux_sheet!$B140,aux_sheet!$A$2:$A$202,0)))</f>
        <v/>
      </c>
      <c r="F141" s="11" t="str">
        <f ca="1">INDIRECT("Input!F"&amp;1+MATCH(aux_sheet!$B140,aux_sheet!$A$2:$A$202,0))</f>
        <v xml:space="preserve"> </v>
      </c>
      <c r="G141" s="106" t="str">
        <f ca="1">IF($B141="","",INDIRECT("aux_sheet!O"&amp;1+MATCH(aux_sheet!$B140,aux_sheet!$A$2:$A$202,0)))</f>
        <v/>
      </c>
      <c r="H141" s="89" t="str">
        <f ca="1">IF($B141="","",INDIRECT("aux_sheet!P"&amp;1+MATCH(aux_sheet!$B140,aux_sheet!$A$2:$A$202,0)))</f>
        <v/>
      </c>
      <c r="I141" s="89" t="str">
        <f ca="1">IF($B141="","",INDIRECT("aux_sheet!P"&amp;1+MATCH(aux_sheet!$B140,aux_sheet!$A$2:$A$202,0)))</f>
        <v/>
      </c>
      <c r="J141" s="106" t="str">
        <f ca="1">IF($B141="","",INDIRECT("aux_sheet!R"&amp;1+MATCH(aux_sheet!$B140,aux_sheet!$A$2:$A$202,0)))</f>
        <v/>
      </c>
      <c r="K141" s="89" t="str">
        <f ca="1">IF($B141="","",INDIRECT("aux_sheet!S"&amp;1+MATCH(aux_sheet!$B140,aux_sheet!$A$2:$A$202,0)))</f>
        <v/>
      </c>
      <c r="L141" s="89" t="str">
        <f ca="1">IF($B141="","",INDIRECT("aux_sheet!S"&amp;1+MATCH(aux_sheet!$B140,aux_sheet!$A$2:$A$202,0)))</f>
        <v/>
      </c>
      <c r="M141" s="106" t="str">
        <f ca="1">IF($B141="","",INDIRECT("aux_sheet!U"&amp;1+MATCH(aux_sheet!$B140,aux_sheet!$A$2:$A$202,0)))</f>
        <v/>
      </c>
      <c r="N141" s="89" t="str">
        <f ca="1">IF($B141="","",INDIRECT("aux_sheet!V"&amp;1+MATCH(aux_sheet!$B140,aux_sheet!$A$2:$A$202,0)))</f>
        <v/>
      </c>
      <c r="O141" s="89" t="str">
        <f ca="1">IF($B141="","",INDIRECT("aux_sheet!V"&amp;1+MATCH(aux_sheet!$B140,aux_sheet!$A$2:$A$202,0)))</f>
        <v/>
      </c>
      <c r="P141" s="106" t="str">
        <f ca="1">IF($B141="","",INDIRECT("aux_sheet!X"&amp;1+MATCH(aux_sheet!$B140,aux_sheet!$A$2:$A$202,0)))</f>
        <v/>
      </c>
      <c r="Q141" s="89" t="str">
        <f ca="1">IF($B141="","",INDIRECT("aux_sheet!Y"&amp;1+MATCH(aux_sheet!$B140,aux_sheet!$A$2:$A$202,0)))</f>
        <v/>
      </c>
      <c r="R141" s="89" t="str">
        <f ca="1">IF($B141="","",INDIRECT("aux_sheet!Y"&amp;1+MATCH(aux_sheet!$B140,aux_sheet!$A$2:$A$202,0)))</f>
        <v/>
      </c>
      <c r="S141" s="106" t="str">
        <f ca="1">IF($B141="","",INDIRECT("aux_sheet!AA"&amp;1+MATCH(aux_sheet!$B140,aux_sheet!$A$2:$A$202,0)))</f>
        <v/>
      </c>
      <c r="T141" s="89" t="str">
        <f ca="1">IF($B141="","",INDIRECT("aux_sheet!AB"&amp;1+MATCH(aux_sheet!$B140,aux_sheet!$A$2:$A$202,0)))</f>
        <v/>
      </c>
      <c r="U141" s="89" t="str">
        <f ca="1">IF($B141="","",INDIRECT("aux_sheet!AB"&amp;1+MATCH(aux_sheet!$B140,aux_sheet!$A$2:$A$202,0)))</f>
        <v/>
      </c>
      <c r="V141" s="106" t="str">
        <f ca="1">IF($B141="","",INDIRECT("aux_sheet!AD"&amp;1+MATCH(aux_sheet!$B140,aux_sheet!$A$2:$A$202,0)))</f>
        <v/>
      </c>
      <c r="W141" s="89" t="str">
        <f ca="1">IF($B141="","",INDIRECT("aux_sheet!AE"&amp;1+MATCH(aux_sheet!$B140,aux_sheet!$A$2:$A$202,0)))</f>
        <v/>
      </c>
      <c r="X141" s="89" t="str">
        <f ca="1">IF($B141="","",INDIRECT("aux_sheet!AE"&amp;1+MATCH(aux_sheet!$B140,aux_sheet!$A$2:$A$202,0)))</f>
        <v/>
      </c>
      <c r="Y141" s="106" t="str">
        <f ca="1">IF($B141="","",INDIRECT("aux_sheet!AG"&amp;1+MATCH(aux_sheet!$B140,aux_sheet!$A$2:$A$202,0)))</f>
        <v/>
      </c>
      <c r="Z141" s="89" t="str">
        <f ca="1">IF($B141="","",INDIRECT("aux_sheet!AH"&amp;1+MATCH(aux_sheet!$B140,aux_sheet!$A$2:$A$202,0)))</f>
        <v/>
      </c>
      <c r="AA141" s="89" t="str">
        <f ca="1">IF($B141="","",INDIRECT("aux_sheet!AH"&amp;1+MATCH(aux_sheet!$B140,aux_sheet!$A$2:$A$202,0)))</f>
        <v/>
      </c>
      <c r="AB141" s="106" t="str">
        <f ca="1">IF($B141="","",INDIRECT("aux_sheet!AJ"&amp;1+MATCH(aux_sheet!$B140,aux_sheet!$A$2:$A$202,0)))</f>
        <v/>
      </c>
      <c r="AC141" s="89" t="str">
        <f ca="1">IF($B141="","",INDIRECT("aux_sheet!AK"&amp;1+MATCH(aux_sheet!$B140,aux_sheet!$A$2:$A$202,0)))</f>
        <v/>
      </c>
      <c r="AD141" s="89" t="str">
        <f ca="1">IF($B141="","",INDIRECT("aux_sheet!AK"&amp;1+MATCH(aux_sheet!$B140,aux_sheet!$A$2:$A$202,0)))</f>
        <v/>
      </c>
      <c r="AE141" s="106" t="str">
        <f ca="1">IF($B141="","",INDIRECT("aux_sheet!AM"&amp;1+MATCH(aux_sheet!$B140,aux_sheet!$A$2:$A$202,0)))</f>
        <v/>
      </c>
      <c r="AF141" s="89" t="str">
        <f ca="1">IF($B141="","",INDIRECT("aux_sheet!AN"&amp;1+MATCH(aux_sheet!$B140,aux_sheet!$A$2:$A$202,0)))</f>
        <v/>
      </c>
      <c r="AG141" s="89" t="str">
        <f ca="1">IF($B141="","",INDIRECT("aux_sheet!AN"&amp;1+MATCH(aux_sheet!$B140,aux_sheet!$A$2:$A$202,0)))</f>
        <v/>
      </c>
      <c r="AH141" s="14" t="str">
        <f>IF(ISBLANK(Input!A140)," ",F140-F141)</f>
        <v xml:space="preserve"> </v>
      </c>
    </row>
    <row r="142" spans="1:34" x14ac:dyDescent="0.35">
      <c r="A142" s="2" t="str">
        <f>IF(ISBLANK(Input!A141),"",ROUNDDOWN(aux_sheet!B141,0))</f>
        <v/>
      </c>
      <c r="B142" s="2" t="str">
        <f ca="1">IF(ISBLANK(Input!A141),"",INDIRECT("Input!A"&amp;1+MATCH(aux_sheet!$B141,aux_sheet!$A$2:$A$202,0)))</f>
        <v/>
      </c>
      <c r="C142" s="2" t="str">
        <f ca="1">IF(ISBLANK(Input!B141),"",INDIRECT("Input!B"&amp;1+MATCH(aux_sheet!$B141,aux_sheet!$A$2:$A$202,0)))</f>
        <v/>
      </c>
      <c r="D142" s="2" t="str">
        <f ca="1">IF(ISBLANK(Input!C141),"",INDIRECT("Input!C"&amp;1+MATCH(aux_sheet!$B141,aux_sheet!$A$2:$A$202,0)))</f>
        <v/>
      </c>
      <c r="E142" s="2" t="str">
        <f ca="1">IF(ISBLANK(Input!D141),"",INDIRECT("Input!D"&amp;1+MATCH(aux_sheet!$B141,aux_sheet!$A$2:$A$202,0)))</f>
        <v/>
      </c>
      <c r="F142" s="11" t="str">
        <f ca="1">INDIRECT("Input!F"&amp;1+MATCH(aux_sheet!$B141,aux_sheet!$A$2:$A$202,0))</f>
        <v xml:space="preserve"> </v>
      </c>
      <c r="G142" s="106" t="str">
        <f ca="1">IF($B142="","",INDIRECT("aux_sheet!O"&amp;1+MATCH(aux_sheet!$B141,aux_sheet!$A$2:$A$202,0)))</f>
        <v/>
      </c>
      <c r="H142" s="89" t="str">
        <f ca="1">IF($B142="","",INDIRECT("aux_sheet!P"&amp;1+MATCH(aux_sheet!$B141,aux_sheet!$A$2:$A$202,0)))</f>
        <v/>
      </c>
      <c r="I142" s="89" t="str">
        <f ca="1">IF($B142="","",INDIRECT("aux_sheet!P"&amp;1+MATCH(aux_sheet!$B141,aux_sheet!$A$2:$A$202,0)))</f>
        <v/>
      </c>
      <c r="J142" s="106" t="str">
        <f ca="1">IF($B142="","",INDIRECT("aux_sheet!R"&amp;1+MATCH(aux_sheet!$B141,aux_sheet!$A$2:$A$202,0)))</f>
        <v/>
      </c>
      <c r="K142" s="89" t="str">
        <f ca="1">IF($B142="","",INDIRECT("aux_sheet!S"&amp;1+MATCH(aux_sheet!$B141,aux_sheet!$A$2:$A$202,0)))</f>
        <v/>
      </c>
      <c r="L142" s="89" t="str">
        <f ca="1">IF($B142="","",INDIRECT("aux_sheet!S"&amp;1+MATCH(aux_sheet!$B141,aux_sheet!$A$2:$A$202,0)))</f>
        <v/>
      </c>
      <c r="M142" s="106" t="str">
        <f ca="1">IF($B142="","",INDIRECT("aux_sheet!U"&amp;1+MATCH(aux_sheet!$B141,aux_sheet!$A$2:$A$202,0)))</f>
        <v/>
      </c>
      <c r="N142" s="89" t="str">
        <f ca="1">IF($B142="","",INDIRECT("aux_sheet!V"&amp;1+MATCH(aux_sheet!$B141,aux_sheet!$A$2:$A$202,0)))</f>
        <v/>
      </c>
      <c r="O142" s="89" t="str">
        <f ca="1">IF($B142="","",INDIRECT("aux_sheet!V"&amp;1+MATCH(aux_sheet!$B141,aux_sheet!$A$2:$A$202,0)))</f>
        <v/>
      </c>
      <c r="P142" s="106" t="str">
        <f ca="1">IF($B142="","",INDIRECT("aux_sheet!X"&amp;1+MATCH(aux_sheet!$B141,aux_sheet!$A$2:$A$202,0)))</f>
        <v/>
      </c>
      <c r="Q142" s="89" t="str">
        <f ca="1">IF($B142="","",INDIRECT("aux_sheet!Y"&amp;1+MATCH(aux_sheet!$B141,aux_sheet!$A$2:$A$202,0)))</f>
        <v/>
      </c>
      <c r="R142" s="89" t="str">
        <f ca="1">IF($B142="","",INDIRECT("aux_sheet!Y"&amp;1+MATCH(aux_sheet!$B141,aux_sheet!$A$2:$A$202,0)))</f>
        <v/>
      </c>
      <c r="S142" s="106" t="str">
        <f ca="1">IF($B142="","",INDIRECT("aux_sheet!AA"&amp;1+MATCH(aux_sheet!$B141,aux_sheet!$A$2:$A$202,0)))</f>
        <v/>
      </c>
      <c r="T142" s="89" t="str">
        <f ca="1">IF($B142="","",INDIRECT("aux_sheet!AB"&amp;1+MATCH(aux_sheet!$B141,aux_sheet!$A$2:$A$202,0)))</f>
        <v/>
      </c>
      <c r="U142" s="89" t="str">
        <f ca="1">IF($B142="","",INDIRECT("aux_sheet!AB"&amp;1+MATCH(aux_sheet!$B141,aux_sheet!$A$2:$A$202,0)))</f>
        <v/>
      </c>
      <c r="V142" s="106" t="str">
        <f ca="1">IF($B142="","",INDIRECT("aux_sheet!AD"&amp;1+MATCH(aux_sheet!$B141,aux_sheet!$A$2:$A$202,0)))</f>
        <v/>
      </c>
      <c r="W142" s="89" t="str">
        <f ca="1">IF($B142="","",INDIRECT("aux_sheet!AE"&amp;1+MATCH(aux_sheet!$B141,aux_sheet!$A$2:$A$202,0)))</f>
        <v/>
      </c>
      <c r="X142" s="89" t="str">
        <f ca="1">IF($B142="","",INDIRECT("aux_sheet!AE"&amp;1+MATCH(aux_sheet!$B141,aux_sheet!$A$2:$A$202,0)))</f>
        <v/>
      </c>
      <c r="Y142" s="106" t="str">
        <f ca="1">IF($B142="","",INDIRECT("aux_sheet!AG"&amp;1+MATCH(aux_sheet!$B141,aux_sheet!$A$2:$A$202,0)))</f>
        <v/>
      </c>
      <c r="Z142" s="89" t="str">
        <f ca="1">IF($B142="","",INDIRECT("aux_sheet!AH"&amp;1+MATCH(aux_sheet!$B141,aux_sheet!$A$2:$A$202,0)))</f>
        <v/>
      </c>
      <c r="AA142" s="89" t="str">
        <f ca="1">IF($B142="","",INDIRECT("aux_sheet!AH"&amp;1+MATCH(aux_sheet!$B141,aux_sheet!$A$2:$A$202,0)))</f>
        <v/>
      </c>
      <c r="AB142" s="106" t="str">
        <f ca="1">IF($B142="","",INDIRECT("aux_sheet!AJ"&amp;1+MATCH(aux_sheet!$B141,aux_sheet!$A$2:$A$202,0)))</f>
        <v/>
      </c>
      <c r="AC142" s="89" t="str">
        <f ca="1">IF($B142="","",INDIRECT("aux_sheet!AK"&amp;1+MATCH(aux_sheet!$B141,aux_sheet!$A$2:$A$202,0)))</f>
        <v/>
      </c>
      <c r="AD142" s="89" t="str">
        <f ca="1">IF($B142="","",INDIRECT("aux_sheet!AK"&amp;1+MATCH(aux_sheet!$B141,aux_sheet!$A$2:$A$202,0)))</f>
        <v/>
      </c>
      <c r="AE142" s="106" t="str">
        <f ca="1">IF($B142="","",INDIRECT("aux_sheet!AM"&amp;1+MATCH(aux_sheet!$B141,aux_sheet!$A$2:$A$202,0)))</f>
        <v/>
      </c>
      <c r="AF142" s="89" t="str">
        <f ca="1">IF($B142="","",INDIRECT("aux_sheet!AN"&amp;1+MATCH(aux_sheet!$B141,aux_sheet!$A$2:$A$202,0)))</f>
        <v/>
      </c>
      <c r="AG142" s="89" t="str">
        <f ca="1">IF($B142="","",INDIRECT("aux_sheet!AN"&amp;1+MATCH(aux_sheet!$B141,aux_sheet!$A$2:$A$202,0)))</f>
        <v/>
      </c>
      <c r="AH142" s="14" t="str">
        <f>IF(ISBLANK(Input!A141)," ",F141-F142)</f>
        <v xml:space="preserve"> </v>
      </c>
    </row>
    <row r="143" spans="1:34" x14ac:dyDescent="0.35">
      <c r="A143" s="2" t="str">
        <f>IF(ISBLANK(Input!A142),"",ROUNDDOWN(aux_sheet!B142,0))</f>
        <v/>
      </c>
      <c r="B143" s="2" t="str">
        <f ca="1">IF(ISBLANK(Input!A142),"",INDIRECT("Input!A"&amp;1+MATCH(aux_sheet!$B142,aux_sheet!$A$2:$A$202,0)))</f>
        <v/>
      </c>
      <c r="C143" s="2" t="str">
        <f ca="1">IF(ISBLANK(Input!B142),"",INDIRECT("Input!B"&amp;1+MATCH(aux_sheet!$B142,aux_sheet!$A$2:$A$202,0)))</f>
        <v/>
      </c>
      <c r="D143" s="2" t="str">
        <f ca="1">IF(ISBLANK(Input!C142),"",INDIRECT("Input!C"&amp;1+MATCH(aux_sheet!$B142,aux_sheet!$A$2:$A$202,0)))</f>
        <v/>
      </c>
      <c r="E143" s="2" t="str">
        <f ca="1">IF(ISBLANK(Input!D142),"",INDIRECT("Input!D"&amp;1+MATCH(aux_sheet!$B142,aux_sheet!$A$2:$A$202,0)))</f>
        <v/>
      </c>
      <c r="F143" s="11" t="str">
        <f ca="1">INDIRECT("Input!F"&amp;1+MATCH(aux_sheet!$B142,aux_sheet!$A$2:$A$202,0))</f>
        <v xml:space="preserve"> </v>
      </c>
      <c r="G143" s="106" t="str">
        <f ca="1">IF($B143="","",INDIRECT("aux_sheet!O"&amp;1+MATCH(aux_sheet!$B142,aux_sheet!$A$2:$A$202,0)))</f>
        <v/>
      </c>
      <c r="H143" s="89" t="str">
        <f ca="1">IF($B143="","",INDIRECT("aux_sheet!P"&amp;1+MATCH(aux_sheet!$B142,aux_sheet!$A$2:$A$202,0)))</f>
        <v/>
      </c>
      <c r="I143" s="89" t="str">
        <f ca="1">IF($B143="","",INDIRECT("aux_sheet!P"&amp;1+MATCH(aux_sheet!$B142,aux_sheet!$A$2:$A$202,0)))</f>
        <v/>
      </c>
      <c r="J143" s="106" t="str">
        <f ca="1">IF($B143="","",INDIRECT("aux_sheet!R"&amp;1+MATCH(aux_sheet!$B142,aux_sheet!$A$2:$A$202,0)))</f>
        <v/>
      </c>
      <c r="K143" s="89" t="str">
        <f ca="1">IF($B143="","",INDIRECT("aux_sheet!S"&amp;1+MATCH(aux_sheet!$B142,aux_sheet!$A$2:$A$202,0)))</f>
        <v/>
      </c>
      <c r="L143" s="89" t="str">
        <f ca="1">IF($B143="","",INDIRECT("aux_sheet!S"&amp;1+MATCH(aux_sheet!$B142,aux_sheet!$A$2:$A$202,0)))</f>
        <v/>
      </c>
      <c r="M143" s="106" t="str">
        <f ca="1">IF($B143="","",INDIRECT("aux_sheet!U"&amp;1+MATCH(aux_sheet!$B142,aux_sheet!$A$2:$A$202,0)))</f>
        <v/>
      </c>
      <c r="N143" s="89" t="str">
        <f ca="1">IF($B143="","",INDIRECT("aux_sheet!V"&amp;1+MATCH(aux_sheet!$B142,aux_sheet!$A$2:$A$202,0)))</f>
        <v/>
      </c>
      <c r="O143" s="89" t="str">
        <f ca="1">IF($B143="","",INDIRECT("aux_sheet!V"&amp;1+MATCH(aux_sheet!$B142,aux_sheet!$A$2:$A$202,0)))</f>
        <v/>
      </c>
      <c r="P143" s="106" t="str">
        <f ca="1">IF($B143="","",INDIRECT("aux_sheet!X"&amp;1+MATCH(aux_sheet!$B142,aux_sheet!$A$2:$A$202,0)))</f>
        <v/>
      </c>
      <c r="Q143" s="89" t="str">
        <f ca="1">IF($B143="","",INDIRECT("aux_sheet!Y"&amp;1+MATCH(aux_sheet!$B142,aux_sheet!$A$2:$A$202,0)))</f>
        <v/>
      </c>
      <c r="R143" s="89" t="str">
        <f ca="1">IF($B143="","",INDIRECT("aux_sheet!Y"&amp;1+MATCH(aux_sheet!$B142,aux_sheet!$A$2:$A$202,0)))</f>
        <v/>
      </c>
      <c r="S143" s="106" t="str">
        <f ca="1">IF($B143="","",INDIRECT("aux_sheet!AA"&amp;1+MATCH(aux_sheet!$B142,aux_sheet!$A$2:$A$202,0)))</f>
        <v/>
      </c>
      <c r="T143" s="89" t="str">
        <f ca="1">IF($B143="","",INDIRECT("aux_sheet!AB"&amp;1+MATCH(aux_sheet!$B142,aux_sheet!$A$2:$A$202,0)))</f>
        <v/>
      </c>
      <c r="U143" s="89" t="str">
        <f ca="1">IF($B143="","",INDIRECT("aux_sheet!AB"&amp;1+MATCH(aux_sheet!$B142,aux_sheet!$A$2:$A$202,0)))</f>
        <v/>
      </c>
      <c r="V143" s="106" t="str">
        <f ca="1">IF($B143="","",INDIRECT("aux_sheet!AD"&amp;1+MATCH(aux_sheet!$B142,aux_sheet!$A$2:$A$202,0)))</f>
        <v/>
      </c>
      <c r="W143" s="89" t="str">
        <f ca="1">IF($B143="","",INDIRECT("aux_sheet!AE"&amp;1+MATCH(aux_sheet!$B142,aux_sheet!$A$2:$A$202,0)))</f>
        <v/>
      </c>
      <c r="X143" s="89" t="str">
        <f ca="1">IF($B143="","",INDIRECT("aux_sheet!AE"&amp;1+MATCH(aux_sheet!$B142,aux_sheet!$A$2:$A$202,0)))</f>
        <v/>
      </c>
      <c r="Y143" s="106" t="str">
        <f ca="1">IF($B143="","",INDIRECT("aux_sheet!AG"&amp;1+MATCH(aux_sheet!$B142,aux_sheet!$A$2:$A$202,0)))</f>
        <v/>
      </c>
      <c r="Z143" s="89" t="str">
        <f ca="1">IF($B143="","",INDIRECT("aux_sheet!AH"&amp;1+MATCH(aux_sheet!$B142,aux_sheet!$A$2:$A$202,0)))</f>
        <v/>
      </c>
      <c r="AA143" s="89" t="str">
        <f ca="1">IF($B143="","",INDIRECT("aux_sheet!AH"&amp;1+MATCH(aux_sheet!$B142,aux_sheet!$A$2:$A$202,0)))</f>
        <v/>
      </c>
      <c r="AB143" s="106" t="str">
        <f ca="1">IF($B143="","",INDIRECT("aux_sheet!AJ"&amp;1+MATCH(aux_sheet!$B142,aux_sheet!$A$2:$A$202,0)))</f>
        <v/>
      </c>
      <c r="AC143" s="89" t="str">
        <f ca="1">IF($B143="","",INDIRECT("aux_sheet!AK"&amp;1+MATCH(aux_sheet!$B142,aux_sheet!$A$2:$A$202,0)))</f>
        <v/>
      </c>
      <c r="AD143" s="89" t="str">
        <f ca="1">IF($B143="","",INDIRECT("aux_sheet!AK"&amp;1+MATCH(aux_sheet!$B142,aux_sheet!$A$2:$A$202,0)))</f>
        <v/>
      </c>
      <c r="AE143" s="106" t="str">
        <f ca="1">IF($B143="","",INDIRECT("aux_sheet!AM"&amp;1+MATCH(aux_sheet!$B142,aux_sheet!$A$2:$A$202,0)))</f>
        <v/>
      </c>
      <c r="AF143" s="89" t="str">
        <f ca="1">IF($B143="","",INDIRECT("aux_sheet!AN"&amp;1+MATCH(aux_sheet!$B142,aux_sheet!$A$2:$A$202,0)))</f>
        <v/>
      </c>
      <c r="AG143" s="89" t="str">
        <f ca="1">IF($B143="","",INDIRECT("aux_sheet!AN"&amp;1+MATCH(aux_sheet!$B142,aux_sheet!$A$2:$A$202,0)))</f>
        <v/>
      </c>
      <c r="AH143" s="14" t="str">
        <f>IF(ISBLANK(Input!A142)," ",F142-F143)</f>
        <v xml:space="preserve"> </v>
      </c>
    </row>
    <row r="144" spans="1:34" x14ac:dyDescent="0.35">
      <c r="A144" s="2" t="str">
        <f>IF(ISBLANK(Input!A143),"",ROUNDDOWN(aux_sheet!B143,0))</f>
        <v/>
      </c>
      <c r="B144" s="2" t="str">
        <f ca="1">IF(ISBLANK(Input!A143),"",INDIRECT("Input!A"&amp;1+MATCH(aux_sheet!$B143,aux_sheet!$A$2:$A$202,0)))</f>
        <v/>
      </c>
      <c r="C144" s="2" t="str">
        <f ca="1">IF(ISBLANK(Input!B143),"",INDIRECT("Input!B"&amp;1+MATCH(aux_sheet!$B143,aux_sheet!$A$2:$A$202,0)))</f>
        <v/>
      </c>
      <c r="D144" s="2" t="str">
        <f ca="1">IF(ISBLANK(Input!C143),"",INDIRECT("Input!C"&amp;1+MATCH(aux_sheet!$B143,aux_sheet!$A$2:$A$202,0)))</f>
        <v/>
      </c>
      <c r="E144" s="2" t="str">
        <f ca="1">IF(ISBLANK(Input!D143),"",INDIRECT("Input!D"&amp;1+MATCH(aux_sheet!$B143,aux_sheet!$A$2:$A$202,0)))</f>
        <v/>
      </c>
      <c r="F144" s="11" t="str">
        <f ca="1">INDIRECT("Input!F"&amp;1+MATCH(aux_sheet!$B143,aux_sheet!$A$2:$A$202,0))</f>
        <v xml:space="preserve"> </v>
      </c>
      <c r="G144" s="106" t="str">
        <f ca="1">IF($B144="","",INDIRECT("aux_sheet!O"&amp;1+MATCH(aux_sheet!$B143,aux_sheet!$A$2:$A$202,0)))</f>
        <v/>
      </c>
      <c r="H144" s="89" t="str">
        <f ca="1">IF($B144="","",INDIRECT("aux_sheet!P"&amp;1+MATCH(aux_sheet!$B143,aux_sheet!$A$2:$A$202,0)))</f>
        <v/>
      </c>
      <c r="I144" s="89" t="str">
        <f ca="1">IF($B144="","",INDIRECT("aux_sheet!P"&amp;1+MATCH(aux_sheet!$B143,aux_sheet!$A$2:$A$202,0)))</f>
        <v/>
      </c>
      <c r="J144" s="106" t="str">
        <f ca="1">IF($B144="","",INDIRECT("aux_sheet!R"&amp;1+MATCH(aux_sheet!$B143,aux_sheet!$A$2:$A$202,0)))</f>
        <v/>
      </c>
      <c r="K144" s="89" t="str">
        <f ca="1">IF($B144="","",INDIRECT("aux_sheet!S"&amp;1+MATCH(aux_sheet!$B143,aux_sheet!$A$2:$A$202,0)))</f>
        <v/>
      </c>
      <c r="L144" s="89" t="str">
        <f ca="1">IF($B144="","",INDIRECT("aux_sheet!S"&amp;1+MATCH(aux_sheet!$B143,aux_sheet!$A$2:$A$202,0)))</f>
        <v/>
      </c>
      <c r="M144" s="106" t="str">
        <f ca="1">IF($B144="","",INDIRECT("aux_sheet!U"&amp;1+MATCH(aux_sheet!$B143,aux_sheet!$A$2:$A$202,0)))</f>
        <v/>
      </c>
      <c r="N144" s="89" t="str">
        <f ca="1">IF($B144="","",INDIRECT("aux_sheet!V"&amp;1+MATCH(aux_sheet!$B143,aux_sheet!$A$2:$A$202,0)))</f>
        <v/>
      </c>
      <c r="O144" s="89" t="str">
        <f ca="1">IF($B144="","",INDIRECT("aux_sheet!V"&amp;1+MATCH(aux_sheet!$B143,aux_sheet!$A$2:$A$202,0)))</f>
        <v/>
      </c>
      <c r="P144" s="106" t="str">
        <f ca="1">IF($B144="","",INDIRECT("aux_sheet!X"&amp;1+MATCH(aux_sheet!$B143,aux_sheet!$A$2:$A$202,0)))</f>
        <v/>
      </c>
      <c r="Q144" s="89" t="str">
        <f ca="1">IF($B144="","",INDIRECT("aux_sheet!Y"&amp;1+MATCH(aux_sheet!$B143,aux_sheet!$A$2:$A$202,0)))</f>
        <v/>
      </c>
      <c r="R144" s="89" t="str">
        <f ca="1">IF($B144="","",INDIRECT("aux_sheet!Y"&amp;1+MATCH(aux_sheet!$B143,aux_sheet!$A$2:$A$202,0)))</f>
        <v/>
      </c>
      <c r="S144" s="106" t="str">
        <f ca="1">IF($B144="","",INDIRECT("aux_sheet!AA"&amp;1+MATCH(aux_sheet!$B143,aux_sheet!$A$2:$A$202,0)))</f>
        <v/>
      </c>
      <c r="T144" s="89" t="str">
        <f ca="1">IF($B144="","",INDIRECT("aux_sheet!AB"&amp;1+MATCH(aux_sheet!$B143,aux_sheet!$A$2:$A$202,0)))</f>
        <v/>
      </c>
      <c r="U144" s="89" t="str">
        <f ca="1">IF($B144="","",INDIRECT("aux_sheet!AB"&amp;1+MATCH(aux_sheet!$B143,aux_sheet!$A$2:$A$202,0)))</f>
        <v/>
      </c>
      <c r="V144" s="106" t="str">
        <f ca="1">IF($B144="","",INDIRECT("aux_sheet!AD"&amp;1+MATCH(aux_sheet!$B143,aux_sheet!$A$2:$A$202,0)))</f>
        <v/>
      </c>
      <c r="W144" s="89" t="str">
        <f ca="1">IF($B144="","",INDIRECT("aux_sheet!AE"&amp;1+MATCH(aux_sheet!$B143,aux_sheet!$A$2:$A$202,0)))</f>
        <v/>
      </c>
      <c r="X144" s="89" t="str">
        <f ca="1">IF($B144="","",INDIRECT("aux_sheet!AE"&amp;1+MATCH(aux_sheet!$B143,aux_sheet!$A$2:$A$202,0)))</f>
        <v/>
      </c>
      <c r="Y144" s="106" t="str">
        <f ca="1">IF($B144="","",INDIRECT("aux_sheet!AG"&amp;1+MATCH(aux_sheet!$B143,aux_sheet!$A$2:$A$202,0)))</f>
        <v/>
      </c>
      <c r="Z144" s="89" t="str">
        <f ca="1">IF($B144="","",INDIRECT("aux_sheet!AH"&amp;1+MATCH(aux_sheet!$B143,aux_sheet!$A$2:$A$202,0)))</f>
        <v/>
      </c>
      <c r="AA144" s="89" t="str">
        <f ca="1">IF($B144="","",INDIRECT("aux_sheet!AH"&amp;1+MATCH(aux_sheet!$B143,aux_sheet!$A$2:$A$202,0)))</f>
        <v/>
      </c>
      <c r="AB144" s="106" t="str">
        <f ca="1">IF($B144="","",INDIRECT("aux_sheet!AJ"&amp;1+MATCH(aux_sheet!$B143,aux_sheet!$A$2:$A$202,0)))</f>
        <v/>
      </c>
      <c r="AC144" s="89" t="str">
        <f ca="1">IF($B144="","",INDIRECT("aux_sheet!AK"&amp;1+MATCH(aux_sheet!$B143,aux_sheet!$A$2:$A$202,0)))</f>
        <v/>
      </c>
      <c r="AD144" s="89" t="str">
        <f ca="1">IF($B144="","",INDIRECT("aux_sheet!AK"&amp;1+MATCH(aux_sheet!$B143,aux_sheet!$A$2:$A$202,0)))</f>
        <v/>
      </c>
      <c r="AE144" s="106" t="str">
        <f ca="1">IF($B144="","",INDIRECT("aux_sheet!AM"&amp;1+MATCH(aux_sheet!$B143,aux_sheet!$A$2:$A$202,0)))</f>
        <v/>
      </c>
      <c r="AF144" s="89" t="str">
        <f ca="1">IF($B144="","",INDIRECT("aux_sheet!AN"&amp;1+MATCH(aux_sheet!$B143,aux_sheet!$A$2:$A$202,0)))</f>
        <v/>
      </c>
      <c r="AG144" s="89" t="str">
        <f ca="1">IF($B144="","",INDIRECT("aux_sheet!AN"&amp;1+MATCH(aux_sheet!$B143,aux_sheet!$A$2:$A$202,0)))</f>
        <v/>
      </c>
      <c r="AH144" s="14" t="str">
        <f>IF(ISBLANK(Input!A143)," ",F143-F144)</f>
        <v xml:space="preserve"> </v>
      </c>
    </row>
    <row r="145" spans="1:34" x14ac:dyDescent="0.35">
      <c r="A145" s="2" t="str">
        <f>IF(ISBLANK(Input!A144),"",ROUNDDOWN(aux_sheet!B144,0))</f>
        <v/>
      </c>
      <c r="B145" s="2" t="str">
        <f ca="1">IF(ISBLANK(Input!A144),"",INDIRECT("Input!A"&amp;1+MATCH(aux_sheet!$B144,aux_sheet!$A$2:$A$202,0)))</f>
        <v/>
      </c>
      <c r="C145" s="2" t="str">
        <f ca="1">IF(ISBLANK(Input!B144),"",INDIRECT("Input!B"&amp;1+MATCH(aux_sheet!$B144,aux_sheet!$A$2:$A$202,0)))</f>
        <v/>
      </c>
      <c r="D145" s="2" t="str">
        <f ca="1">IF(ISBLANK(Input!C144),"",INDIRECT("Input!C"&amp;1+MATCH(aux_sheet!$B144,aux_sheet!$A$2:$A$202,0)))</f>
        <v/>
      </c>
      <c r="E145" s="2" t="str">
        <f ca="1">IF(ISBLANK(Input!D144),"",INDIRECT("Input!D"&amp;1+MATCH(aux_sheet!$B144,aux_sheet!$A$2:$A$202,0)))</f>
        <v/>
      </c>
      <c r="F145" s="11" t="str">
        <f ca="1">INDIRECT("Input!F"&amp;1+MATCH(aux_sheet!$B144,aux_sheet!$A$2:$A$202,0))</f>
        <v xml:space="preserve"> </v>
      </c>
      <c r="G145" s="106" t="str">
        <f ca="1">IF($B145="","",INDIRECT("aux_sheet!O"&amp;1+MATCH(aux_sheet!$B144,aux_sheet!$A$2:$A$202,0)))</f>
        <v/>
      </c>
      <c r="H145" s="89" t="str">
        <f ca="1">IF($B145="","",INDIRECT("aux_sheet!P"&amp;1+MATCH(aux_sheet!$B144,aux_sheet!$A$2:$A$202,0)))</f>
        <v/>
      </c>
      <c r="I145" s="89" t="str">
        <f ca="1">IF($B145="","",INDIRECT("aux_sheet!P"&amp;1+MATCH(aux_sheet!$B144,aux_sheet!$A$2:$A$202,0)))</f>
        <v/>
      </c>
      <c r="J145" s="106" t="str">
        <f ca="1">IF($B145="","",INDIRECT("aux_sheet!R"&amp;1+MATCH(aux_sheet!$B144,aux_sheet!$A$2:$A$202,0)))</f>
        <v/>
      </c>
      <c r="K145" s="89" t="str">
        <f ca="1">IF($B145="","",INDIRECT("aux_sheet!S"&amp;1+MATCH(aux_sheet!$B144,aux_sheet!$A$2:$A$202,0)))</f>
        <v/>
      </c>
      <c r="L145" s="89" t="str">
        <f ca="1">IF($B145="","",INDIRECT("aux_sheet!S"&amp;1+MATCH(aux_sheet!$B144,aux_sheet!$A$2:$A$202,0)))</f>
        <v/>
      </c>
      <c r="M145" s="106" t="str">
        <f ca="1">IF($B145="","",INDIRECT("aux_sheet!U"&amp;1+MATCH(aux_sheet!$B144,aux_sheet!$A$2:$A$202,0)))</f>
        <v/>
      </c>
      <c r="N145" s="89" t="str">
        <f ca="1">IF($B145="","",INDIRECT("aux_sheet!V"&amp;1+MATCH(aux_sheet!$B144,aux_sheet!$A$2:$A$202,0)))</f>
        <v/>
      </c>
      <c r="O145" s="89" t="str">
        <f ca="1">IF($B145="","",INDIRECT("aux_sheet!V"&amp;1+MATCH(aux_sheet!$B144,aux_sheet!$A$2:$A$202,0)))</f>
        <v/>
      </c>
      <c r="P145" s="106" t="str">
        <f ca="1">IF($B145="","",INDIRECT("aux_sheet!X"&amp;1+MATCH(aux_sheet!$B144,aux_sheet!$A$2:$A$202,0)))</f>
        <v/>
      </c>
      <c r="Q145" s="89" t="str">
        <f ca="1">IF($B145="","",INDIRECT("aux_sheet!Y"&amp;1+MATCH(aux_sheet!$B144,aux_sheet!$A$2:$A$202,0)))</f>
        <v/>
      </c>
      <c r="R145" s="89" t="str">
        <f ca="1">IF($B145="","",INDIRECT("aux_sheet!Y"&amp;1+MATCH(aux_sheet!$B144,aux_sheet!$A$2:$A$202,0)))</f>
        <v/>
      </c>
      <c r="S145" s="106" t="str">
        <f ca="1">IF($B145="","",INDIRECT("aux_sheet!AA"&amp;1+MATCH(aux_sheet!$B144,aux_sheet!$A$2:$A$202,0)))</f>
        <v/>
      </c>
      <c r="T145" s="89" t="str">
        <f ca="1">IF($B145="","",INDIRECT("aux_sheet!AB"&amp;1+MATCH(aux_sheet!$B144,aux_sheet!$A$2:$A$202,0)))</f>
        <v/>
      </c>
      <c r="U145" s="89" t="str">
        <f ca="1">IF($B145="","",INDIRECT("aux_sheet!AB"&amp;1+MATCH(aux_sheet!$B144,aux_sheet!$A$2:$A$202,0)))</f>
        <v/>
      </c>
      <c r="V145" s="106" t="str">
        <f ca="1">IF($B145="","",INDIRECT("aux_sheet!AD"&amp;1+MATCH(aux_sheet!$B144,aux_sheet!$A$2:$A$202,0)))</f>
        <v/>
      </c>
      <c r="W145" s="89" t="str">
        <f ca="1">IF($B145="","",INDIRECT("aux_sheet!AE"&amp;1+MATCH(aux_sheet!$B144,aux_sheet!$A$2:$A$202,0)))</f>
        <v/>
      </c>
      <c r="X145" s="89" t="str">
        <f ca="1">IF($B145="","",INDIRECT("aux_sheet!AE"&amp;1+MATCH(aux_sheet!$B144,aux_sheet!$A$2:$A$202,0)))</f>
        <v/>
      </c>
      <c r="Y145" s="106" t="str">
        <f ca="1">IF($B145="","",INDIRECT("aux_sheet!AG"&amp;1+MATCH(aux_sheet!$B144,aux_sheet!$A$2:$A$202,0)))</f>
        <v/>
      </c>
      <c r="Z145" s="89" t="str">
        <f ca="1">IF($B145="","",INDIRECT("aux_sheet!AH"&amp;1+MATCH(aux_sheet!$B144,aux_sheet!$A$2:$A$202,0)))</f>
        <v/>
      </c>
      <c r="AA145" s="89" t="str">
        <f ca="1">IF($B145="","",INDIRECT("aux_sheet!AH"&amp;1+MATCH(aux_sheet!$B144,aux_sheet!$A$2:$A$202,0)))</f>
        <v/>
      </c>
      <c r="AB145" s="106" t="str">
        <f ca="1">IF($B145="","",INDIRECT("aux_sheet!AJ"&amp;1+MATCH(aux_sheet!$B144,aux_sheet!$A$2:$A$202,0)))</f>
        <v/>
      </c>
      <c r="AC145" s="89" t="str">
        <f ca="1">IF($B145="","",INDIRECT("aux_sheet!AK"&amp;1+MATCH(aux_sheet!$B144,aux_sheet!$A$2:$A$202,0)))</f>
        <v/>
      </c>
      <c r="AD145" s="89" t="str">
        <f ca="1">IF($B145="","",INDIRECT("aux_sheet!AK"&amp;1+MATCH(aux_sheet!$B144,aux_sheet!$A$2:$A$202,0)))</f>
        <v/>
      </c>
      <c r="AE145" s="106" t="str">
        <f ca="1">IF($B145="","",INDIRECT("aux_sheet!AM"&amp;1+MATCH(aux_sheet!$B144,aux_sheet!$A$2:$A$202,0)))</f>
        <v/>
      </c>
      <c r="AF145" s="89" t="str">
        <f ca="1">IF($B145="","",INDIRECT("aux_sheet!AN"&amp;1+MATCH(aux_sheet!$B144,aux_sheet!$A$2:$A$202,0)))</f>
        <v/>
      </c>
      <c r="AG145" s="89" t="str">
        <f ca="1">IF($B145="","",INDIRECT("aux_sheet!AN"&amp;1+MATCH(aux_sheet!$B144,aux_sheet!$A$2:$A$202,0)))</f>
        <v/>
      </c>
      <c r="AH145" s="14" t="str">
        <f>IF(ISBLANK(Input!A144)," ",F144-F145)</f>
        <v xml:space="preserve"> </v>
      </c>
    </row>
    <row r="146" spans="1:34" x14ac:dyDescent="0.35">
      <c r="A146" s="2" t="str">
        <f>IF(ISBLANK(Input!A145),"",ROUNDDOWN(aux_sheet!B145,0))</f>
        <v/>
      </c>
      <c r="B146" s="2" t="str">
        <f ca="1">IF(ISBLANK(Input!A145),"",INDIRECT("Input!A"&amp;1+MATCH(aux_sheet!$B145,aux_sheet!$A$2:$A$202,0)))</f>
        <v/>
      </c>
      <c r="C146" s="2" t="str">
        <f ca="1">IF(ISBLANK(Input!B145),"",INDIRECT("Input!B"&amp;1+MATCH(aux_sheet!$B145,aux_sheet!$A$2:$A$202,0)))</f>
        <v/>
      </c>
      <c r="D146" s="2" t="str">
        <f ca="1">IF(ISBLANK(Input!C145),"",INDIRECT("Input!C"&amp;1+MATCH(aux_sheet!$B145,aux_sheet!$A$2:$A$202,0)))</f>
        <v/>
      </c>
      <c r="E146" s="2" t="str">
        <f ca="1">IF(ISBLANK(Input!D145),"",INDIRECT("Input!D"&amp;1+MATCH(aux_sheet!$B145,aux_sheet!$A$2:$A$202,0)))</f>
        <v/>
      </c>
      <c r="F146" s="11" t="str">
        <f ca="1">INDIRECT("Input!F"&amp;1+MATCH(aux_sheet!$B145,aux_sheet!$A$2:$A$202,0))</f>
        <v xml:space="preserve"> </v>
      </c>
      <c r="G146" s="106" t="str">
        <f ca="1">IF($B146="","",INDIRECT("aux_sheet!O"&amp;1+MATCH(aux_sheet!$B145,aux_sheet!$A$2:$A$202,0)))</f>
        <v/>
      </c>
      <c r="H146" s="89" t="str">
        <f ca="1">IF($B146="","",INDIRECT("aux_sheet!P"&amp;1+MATCH(aux_sheet!$B145,aux_sheet!$A$2:$A$202,0)))</f>
        <v/>
      </c>
      <c r="I146" s="89" t="str">
        <f ca="1">IF($B146="","",INDIRECT("aux_sheet!P"&amp;1+MATCH(aux_sheet!$B145,aux_sheet!$A$2:$A$202,0)))</f>
        <v/>
      </c>
      <c r="J146" s="106" t="str">
        <f ca="1">IF($B146="","",INDIRECT("aux_sheet!R"&amp;1+MATCH(aux_sheet!$B145,aux_sheet!$A$2:$A$202,0)))</f>
        <v/>
      </c>
      <c r="K146" s="89" t="str">
        <f ca="1">IF($B146="","",INDIRECT("aux_sheet!S"&amp;1+MATCH(aux_sheet!$B145,aux_sheet!$A$2:$A$202,0)))</f>
        <v/>
      </c>
      <c r="L146" s="89" t="str">
        <f ca="1">IF($B146="","",INDIRECT("aux_sheet!S"&amp;1+MATCH(aux_sheet!$B145,aux_sheet!$A$2:$A$202,0)))</f>
        <v/>
      </c>
      <c r="M146" s="106" t="str">
        <f ca="1">IF($B146="","",INDIRECT("aux_sheet!U"&amp;1+MATCH(aux_sheet!$B145,aux_sheet!$A$2:$A$202,0)))</f>
        <v/>
      </c>
      <c r="N146" s="89" t="str">
        <f ca="1">IF($B146="","",INDIRECT("aux_sheet!V"&amp;1+MATCH(aux_sheet!$B145,aux_sheet!$A$2:$A$202,0)))</f>
        <v/>
      </c>
      <c r="O146" s="89" t="str">
        <f ca="1">IF($B146="","",INDIRECT("aux_sheet!V"&amp;1+MATCH(aux_sheet!$B145,aux_sheet!$A$2:$A$202,0)))</f>
        <v/>
      </c>
      <c r="P146" s="106" t="str">
        <f ca="1">IF($B146="","",INDIRECT("aux_sheet!X"&amp;1+MATCH(aux_sheet!$B145,aux_sheet!$A$2:$A$202,0)))</f>
        <v/>
      </c>
      <c r="Q146" s="89" t="str">
        <f ca="1">IF($B146="","",INDIRECT("aux_sheet!Y"&amp;1+MATCH(aux_sheet!$B145,aux_sheet!$A$2:$A$202,0)))</f>
        <v/>
      </c>
      <c r="R146" s="89" t="str">
        <f ca="1">IF($B146="","",INDIRECT("aux_sheet!Y"&amp;1+MATCH(aux_sheet!$B145,aux_sheet!$A$2:$A$202,0)))</f>
        <v/>
      </c>
      <c r="S146" s="106" t="str">
        <f ca="1">IF($B146="","",INDIRECT("aux_sheet!AA"&amp;1+MATCH(aux_sheet!$B145,aux_sheet!$A$2:$A$202,0)))</f>
        <v/>
      </c>
      <c r="T146" s="89" t="str">
        <f ca="1">IF($B146="","",INDIRECT("aux_sheet!AB"&amp;1+MATCH(aux_sheet!$B145,aux_sheet!$A$2:$A$202,0)))</f>
        <v/>
      </c>
      <c r="U146" s="89" t="str">
        <f ca="1">IF($B146="","",INDIRECT("aux_sheet!AB"&amp;1+MATCH(aux_sheet!$B145,aux_sheet!$A$2:$A$202,0)))</f>
        <v/>
      </c>
      <c r="V146" s="106" t="str">
        <f ca="1">IF($B146="","",INDIRECT("aux_sheet!AD"&amp;1+MATCH(aux_sheet!$B145,aux_sheet!$A$2:$A$202,0)))</f>
        <v/>
      </c>
      <c r="W146" s="89" t="str">
        <f ca="1">IF($B146="","",INDIRECT("aux_sheet!AE"&amp;1+MATCH(aux_sheet!$B145,aux_sheet!$A$2:$A$202,0)))</f>
        <v/>
      </c>
      <c r="X146" s="89" t="str">
        <f ca="1">IF($B146="","",INDIRECT("aux_sheet!AE"&amp;1+MATCH(aux_sheet!$B145,aux_sheet!$A$2:$A$202,0)))</f>
        <v/>
      </c>
      <c r="Y146" s="106" t="str">
        <f ca="1">IF($B146="","",INDIRECT("aux_sheet!AG"&amp;1+MATCH(aux_sheet!$B145,aux_sheet!$A$2:$A$202,0)))</f>
        <v/>
      </c>
      <c r="Z146" s="89" t="str">
        <f ca="1">IF($B146="","",INDIRECT("aux_sheet!AH"&amp;1+MATCH(aux_sheet!$B145,aux_sheet!$A$2:$A$202,0)))</f>
        <v/>
      </c>
      <c r="AA146" s="89" t="str">
        <f ca="1">IF($B146="","",INDIRECT("aux_sheet!AH"&amp;1+MATCH(aux_sheet!$B145,aux_sheet!$A$2:$A$202,0)))</f>
        <v/>
      </c>
      <c r="AB146" s="106" t="str">
        <f ca="1">IF($B146="","",INDIRECT("aux_sheet!AJ"&amp;1+MATCH(aux_sheet!$B145,aux_sheet!$A$2:$A$202,0)))</f>
        <v/>
      </c>
      <c r="AC146" s="89" t="str">
        <f ca="1">IF($B146="","",INDIRECT("aux_sheet!AK"&amp;1+MATCH(aux_sheet!$B145,aux_sheet!$A$2:$A$202,0)))</f>
        <v/>
      </c>
      <c r="AD146" s="89" t="str">
        <f ca="1">IF($B146="","",INDIRECT("aux_sheet!AK"&amp;1+MATCH(aux_sheet!$B145,aux_sheet!$A$2:$A$202,0)))</f>
        <v/>
      </c>
      <c r="AE146" s="106" t="str">
        <f ca="1">IF($B146="","",INDIRECT("aux_sheet!AM"&amp;1+MATCH(aux_sheet!$B145,aux_sheet!$A$2:$A$202,0)))</f>
        <v/>
      </c>
      <c r="AF146" s="89" t="str">
        <f ca="1">IF($B146="","",INDIRECT("aux_sheet!AN"&amp;1+MATCH(aux_sheet!$B145,aux_sheet!$A$2:$A$202,0)))</f>
        <v/>
      </c>
      <c r="AG146" s="89" t="str">
        <f ca="1">IF($B146="","",INDIRECT("aux_sheet!AN"&amp;1+MATCH(aux_sheet!$B145,aux_sheet!$A$2:$A$202,0)))</f>
        <v/>
      </c>
      <c r="AH146" s="14" t="str">
        <f>IF(ISBLANK(Input!A145)," ",F145-F146)</f>
        <v xml:space="preserve"> </v>
      </c>
    </row>
    <row r="147" spans="1:34" x14ac:dyDescent="0.35">
      <c r="A147" s="2" t="str">
        <f>IF(ISBLANK(Input!A146),"",ROUNDDOWN(aux_sheet!B146,0))</f>
        <v/>
      </c>
      <c r="B147" s="2" t="str">
        <f ca="1">IF(ISBLANK(Input!A146),"",INDIRECT("Input!A"&amp;1+MATCH(aux_sheet!$B146,aux_sheet!$A$2:$A$202,0)))</f>
        <v/>
      </c>
      <c r="C147" s="2" t="str">
        <f ca="1">IF(ISBLANK(Input!B146),"",INDIRECT("Input!B"&amp;1+MATCH(aux_sheet!$B146,aux_sheet!$A$2:$A$202,0)))</f>
        <v/>
      </c>
      <c r="D147" s="2" t="str">
        <f ca="1">IF(ISBLANK(Input!C146),"",INDIRECT("Input!C"&amp;1+MATCH(aux_sheet!$B146,aux_sheet!$A$2:$A$202,0)))</f>
        <v/>
      </c>
      <c r="E147" s="2" t="str">
        <f ca="1">IF(ISBLANK(Input!D146),"",INDIRECT("Input!D"&amp;1+MATCH(aux_sheet!$B146,aux_sheet!$A$2:$A$202,0)))</f>
        <v/>
      </c>
      <c r="F147" s="11" t="str">
        <f ca="1">INDIRECT("Input!F"&amp;1+MATCH(aux_sheet!$B146,aux_sheet!$A$2:$A$202,0))</f>
        <v xml:space="preserve"> </v>
      </c>
      <c r="G147" s="106" t="str">
        <f ca="1">IF($B147="","",INDIRECT("aux_sheet!O"&amp;1+MATCH(aux_sheet!$B146,aux_sheet!$A$2:$A$202,0)))</f>
        <v/>
      </c>
      <c r="H147" s="89" t="str">
        <f ca="1">IF($B147="","",INDIRECT("aux_sheet!P"&amp;1+MATCH(aux_sheet!$B146,aux_sheet!$A$2:$A$202,0)))</f>
        <v/>
      </c>
      <c r="I147" s="89" t="str">
        <f ca="1">IF($B147="","",INDIRECT("aux_sheet!P"&amp;1+MATCH(aux_sheet!$B146,aux_sheet!$A$2:$A$202,0)))</f>
        <v/>
      </c>
      <c r="J147" s="106" t="str">
        <f ca="1">IF($B147="","",INDIRECT("aux_sheet!R"&amp;1+MATCH(aux_sheet!$B146,aux_sheet!$A$2:$A$202,0)))</f>
        <v/>
      </c>
      <c r="K147" s="89" t="str">
        <f ca="1">IF($B147="","",INDIRECT("aux_sheet!S"&amp;1+MATCH(aux_sheet!$B146,aux_sheet!$A$2:$A$202,0)))</f>
        <v/>
      </c>
      <c r="L147" s="89" t="str">
        <f ca="1">IF($B147="","",INDIRECT("aux_sheet!S"&amp;1+MATCH(aux_sheet!$B146,aux_sheet!$A$2:$A$202,0)))</f>
        <v/>
      </c>
      <c r="M147" s="106" t="str">
        <f ca="1">IF($B147="","",INDIRECT("aux_sheet!U"&amp;1+MATCH(aux_sheet!$B146,aux_sheet!$A$2:$A$202,0)))</f>
        <v/>
      </c>
      <c r="N147" s="89" t="str">
        <f ca="1">IF($B147="","",INDIRECT("aux_sheet!V"&amp;1+MATCH(aux_sheet!$B146,aux_sheet!$A$2:$A$202,0)))</f>
        <v/>
      </c>
      <c r="O147" s="89" t="str">
        <f ca="1">IF($B147="","",INDIRECT("aux_sheet!V"&amp;1+MATCH(aux_sheet!$B146,aux_sheet!$A$2:$A$202,0)))</f>
        <v/>
      </c>
      <c r="P147" s="106" t="str">
        <f ca="1">IF($B147="","",INDIRECT("aux_sheet!X"&amp;1+MATCH(aux_sheet!$B146,aux_sheet!$A$2:$A$202,0)))</f>
        <v/>
      </c>
      <c r="Q147" s="89" t="str">
        <f ca="1">IF($B147="","",INDIRECT("aux_sheet!Y"&amp;1+MATCH(aux_sheet!$B146,aux_sheet!$A$2:$A$202,0)))</f>
        <v/>
      </c>
      <c r="R147" s="89" t="str">
        <f ca="1">IF($B147="","",INDIRECT("aux_sheet!Y"&amp;1+MATCH(aux_sheet!$B146,aux_sheet!$A$2:$A$202,0)))</f>
        <v/>
      </c>
      <c r="S147" s="106" t="str">
        <f ca="1">IF($B147="","",INDIRECT("aux_sheet!AA"&amp;1+MATCH(aux_sheet!$B146,aux_sheet!$A$2:$A$202,0)))</f>
        <v/>
      </c>
      <c r="T147" s="89" t="str">
        <f ca="1">IF($B147="","",INDIRECT("aux_sheet!AB"&amp;1+MATCH(aux_sheet!$B146,aux_sheet!$A$2:$A$202,0)))</f>
        <v/>
      </c>
      <c r="U147" s="89" t="str">
        <f ca="1">IF($B147="","",INDIRECT("aux_sheet!AB"&amp;1+MATCH(aux_sheet!$B146,aux_sheet!$A$2:$A$202,0)))</f>
        <v/>
      </c>
      <c r="V147" s="106" t="str">
        <f ca="1">IF($B147="","",INDIRECT("aux_sheet!AD"&amp;1+MATCH(aux_sheet!$B146,aux_sheet!$A$2:$A$202,0)))</f>
        <v/>
      </c>
      <c r="W147" s="89" t="str">
        <f ca="1">IF($B147="","",INDIRECT("aux_sheet!AE"&amp;1+MATCH(aux_sheet!$B146,aux_sheet!$A$2:$A$202,0)))</f>
        <v/>
      </c>
      <c r="X147" s="89" t="str">
        <f ca="1">IF($B147="","",INDIRECT("aux_sheet!AE"&amp;1+MATCH(aux_sheet!$B146,aux_sheet!$A$2:$A$202,0)))</f>
        <v/>
      </c>
      <c r="Y147" s="106" t="str">
        <f ca="1">IF($B147="","",INDIRECT("aux_sheet!AG"&amp;1+MATCH(aux_sheet!$B146,aux_sheet!$A$2:$A$202,0)))</f>
        <v/>
      </c>
      <c r="Z147" s="89" t="str">
        <f ca="1">IF($B147="","",INDIRECT("aux_sheet!AH"&amp;1+MATCH(aux_sheet!$B146,aux_sheet!$A$2:$A$202,0)))</f>
        <v/>
      </c>
      <c r="AA147" s="89" t="str">
        <f ca="1">IF($B147="","",INDIRECT("aux_sheet!AH"&amp;1+MATCH(aux_sheet!$B146,aux_sheet!$A$2:$A$202,0)))</f>
        <v/>
      </c>
      <c r="AB147" s="106" t="str">
        <f ca="1">IF($B147="","",INDIRECT("aux_sheet!AJ"&amp;1+MATCH(aux_sheet!$B146,aux_sheet!$A$2:$A$202,0)))</f>
        <v/>
      </c>
      <c r="AC147" s="89" t="str">
        <f ca="1">IF($B147="","",INDIRECT("aux_sheet!AK"&amp;1+MATCH(aux_sheet!$B146,aux_sheet!$A$2:$A$202,0)))</f>
        <v/>
      </c>
      <c r="AD147" s="89" t="str">
        <f ca="1">IF($B147="","",INDIRECT("aux_sheet!AK"&amp;1+MATCH(aux_sheet!$B146,aux_sheet!$A$2:$A$202,0)))</f>
        <v/>
      </c>
      <c r="AE147" s="106" t="str">
        <f ca="1">IF($B147="","",INDIRECT("aux_sheet!AM"&amp;1+MATCH(aux_sheet!$B146,aux_sheet!$A$2:$A$202,0)))</f>
        <v/>
      </c>
      <c r="AF147" s="89" t="str">
        <f ca="1">IF($B147="","",INDIRECT("aux_sheet!AN"&amp;1+MATCH(aux_sheet!$B146,aux_sheet!$A$2:$A$202,0)))</f>
        <v/>
      </c>
      <c r="AG147" s="89" t="str">
        <f ca="1">IF($B147="","",INDIRECT("aux_sheet!AN"&amp;1+MATCH(aux_sheet!$B146,aux_sheet!$A$2:$A$202,0)))</f>
        <v/>
      </c>
      <c r="AH147" s="14" t="str">
        <f>IF(ISBLANK(Input!A146)," ",F146-F147)</f>
        <v xml:space="preserve"> </v>
      </c>
    </row>
    <row r="148" spans="1:34" x14ac:dyDescent="0.35">
      <c r="A148" s="2" t="str">
        <f>IF(ISBLANK(Input!A147),"",ROUNDDOWN(aux_sheet!B147,0))</f>
        <v/>
      </c>
      <c r="B148" s="2" t="str">
        <f ca="1">IF(ISBLANK(Input!A147),"",INDIRECT("Input!A"&amp;1+MATCH(aux_sheet!$B147,aux_sheet!$A$2:$A$202,0)))</f>
        <v/>
      </c>
      <c r="C148" s="2" t="str">
        <f ca="1">IF(ISBLANK(Input!B147),"",INDIRECT("Input!B"&amp;1+MATCH(aux_sheet!$B147,aux_sheet!$A$2:$A$202,0)))</f>
        <v/>
      </c>
      <c r="D148" s="2" t="str">
        <f ca="1">IF(ISBLANK(Input!C147),"",INDIRECT("Input!C"&amp;1+MATCH(aux_sheet!$B147,aux_sheet!$A$2:$A$202,0)))</f>
        <v/>
      </c>
      <c r="E148" s="2" t="str">
        <f ca="1">IF(ISBLANK(Input!D147),"",INDIRECT("Input!D"&amp;1+MATCH(aux_sheet!$B147,aux_sheet!$A$2:$A$202,0)))</f>
        <v/>
      </c>
      <c r="F148" s="11" t="str">
        <f ca="1">INDIRECT("Input!F"&amp;1+MATCH(aux_sheet!$B147,aux_sheet!$A$2:$A$202,0))</f>
        <v xml:space="preserve"> </v>
      </c>
      <c r="G148" s="106" t="str">
        <f ca="1">IF($B148="","",INDIRECT("aux_sheet!O"&amp;1+MATCH(aux_sheet!$B147,aux_sheet!$A$2:$A$202,0)))</f>
        <v/>
      </c>
      <c r="H148" s="89" t="str">
        <f ca="1">IF($B148="","",INDIRECT("aux_sheet!P"&amp;1+MATCH(aux_sheet!$B147,aux_sheet!$A$2:$A$202,0)))</f>
        <v/>
      </c>
      <c r="I148" s="89" t="str">
        <f ca="1">IF($B148="","",INDIRECT("aux_sheet!P"&amp;1+MATCH(aux_sheet!$B147,aux_sheet!$A$2:$A$202,0)))</f>
        <v/>
      </c>
      <c r="J148" s="106" t="str">
        <f ca="1">IF($B148="","",INDIRECT("aux_sheet!R"&amp;1+MATCH(aux_sheet!$B147,aux_sheet!$A$2:$A$202,0)))</f>
        <v/>
      </c>
      <c r="K148" s="89" t="str">
        <f ca="1">IF($B148="","",INDIRECT("aux_sheet!S"&amp;1+MATCH(aux_sheet!$B147,aux_sheet!$A$2:$A$202,0)))</f>
        <v/>
      </c>
      <c r="L148" s="89" t="str">
        <f ca="1">IF($B148="","",INDIRECT("aux_sheet!S"&amp;1+MATCH(aux_sheet!$B147,aux_sheet!$A$2:$A$202,0)))</f>
        <v/>
      </c>
      <c r="M148" s="106" t="str">
        <f ca="1">IF($B148="","",INDIRECT("aux_sheet!U"&amp;1+MATCH(aux_sheet!$B147,aux_sheet!$A$2:$A$202,0)))</f>
        <v/>
      </c>
      <c r="N148" s="89" t="str">
        <f ca="1">IF($B148="","",INDIRECT("aux_sheet!V"&amp;1+MATCH(aux_sheet!$B147,aux_sheet!$A$2:$A$202,0)))</f>
        <v/>
      </c>
      <c r="O148" s="89" t="str">
        <f ca="1">IF($B148="","",INDIRECT("aux_sheet!V"&amp;1+MATCH(aux_sheet!$B147,aux_sheet!$A$2:$A$202,0)))</f>
        <v/>
      </c>
      <c r="P148" s="106" t="str">
        <f ca="1">IF($B148="","",INDIRECT("aux_sheet!X"&amp;1+MATCH(aux_sheet!$B147,aux_sheet!$A$2:$A$202,0)))</f>
        <v/>
      </c>
      <c r="Q148" s="89" t="str">
        <f ca="1">IF($B148="","",INDIRECT("aux_sheet!Y"&amp;1+MATCH(aux_sheet!$B147,aux_sheet!$A$2:$A$202,0)))</f>
        <v/>
      </c>
      <c r="R148" s="89" t="str">
        <f ca="1">IF($B148="","",INDIRECT("aux_sheet!Y"&amp;1+MATCH(aux_sheet!$B147,aux_sheet!$A$2:$A$202,0)))</f>
        <v/>
      </c>
      <c r="S148" s="106" t="str">
        <f ca="1">IF($B148="","",INDIRECT("aux_sheet!AA"&amp;1+MATCH(aux_sheet!$B147,aux_sheet!$A$2:$A$202,0)))</f>
        <v/>
      </c>
      <c r="T148" s="89" t="str">
        <f ca="1">IF($B148="","",INDIRECT("aux_sheet!AB"&amp;1+MATCH(aux_sheet!$B147,aux_sheet!$A$2:$A$202,0)))</f>
        <v/>
      </c>
      <c r="U148" s="89" t="str">
        <f ca="1">IF($B148="","",INDIRECT("aux_sheet!AB"&amp;1+MATCH(aux_sheet!$B147,aux_sheet!$A$2:$A$202,0)))</f>
        <v/>
      </c>
      <c r="V148" s="106" t="str">
        <f ca="1">IF($B148="","",INDIRECT("aux_sheet!AD"&amp;1+MATCH(aux_sheet!$B147,aux_sheet!$A$2:$A$202,0)))</f>
        <v/>
      </c>
      <c r="W148" s="89" t="str">
        <f ca="1">IF($B148="","",INDIRECT("aux_sheet!AE"&amp;1+MATCH(aux_sheet!$B147,aux_sheet!$A$2:$A$202,0)))</f>
        <v/>
      </c>
      <c r="X148" s="89" t="str">
        <f ca="1">IF($B148="","",INDIRECT("aux_sheet!AE"&amp;1+MATCH(aux_sheet!$B147,aux_sheet!$A$2:$A$202,0)))</f>
        <v/>
      </c>
      <c r="Y148" s="106" t="str">
        <f ca="1">IF($B148="","",INDIRECT("aux_sheet!AG"&amp;1+MATCH(aux_sheet!$B147,aux_sheet!$A$2:$A$202,0)))</f>
        <v/>
      </c>
      <c r="Z148" s="89" t="str">
        <f ca="1">IF($B148="","",INDIRECT("aux_sheet!AH"&amp;1+MATCH(aux_sheet!$B147,aux_sheet!$A$2:$A$202,0)))</f>
        <v/>
      </c>
      <c r="AA148" s="89" t="str">
        <f ca="1">IF($B148="","",INDIRECT("aux_sheet!AH"&amp;1+MATCH(aux_sheet!$B147,aux_sheet!$A$2:$A$202,0)))</f>
        <v/>
      </c>
      <c r="AB148" s="106" t="str">
        <f ca="1">IF($B148="","",INDIRECT("aux_sheet!AJ"&amp;1+MATCH(aux_sheet!$B147,aux_sheet!$A$2:$A$202,0)))</f>
        <v/>
      </c>
      <c r="AC148" s="89" t="str">
        <f ca="1">IF($B148="","",INDIRECT("aux_sheet!AK"&amp;1+MATCH(aux_sheet!$B147,aux_sheet!$A$2:$A$202,0)))</f>
        <v/>
      </c>
      <c r="AD148" s="89" t="str">
        <f ca="1">IF($B148="","",INDIRECT("aux_sheet!AK"&amp;1+MATCH(aux_sheet!$B147,aux_sheet!$A$2:$A$202,0)))</f>
        <v/>
      </c>
      <c r="AE148" s="106" t="str">
        <f ca="1">IF($B148="","",INDIRECT("aux_sheet!AM"&amp;1+MATCH(aux_sheet!$B147,aux_sheet!$A$2:$A$202,0)))</f>
        <v/>
      </c>
      <c r="AF148" s="89" t="str">
        <f ca="1">IF($B148="","",INDIRECT("aux_sheet!AN"&amp;1+MATCH(aux_sheet!$B147,aux_sheet!$A$2:$A$202,0)))</f>
        <v/>
      </c>
      <c r="AG148" s="89" t="str">
        <f ca="1">IF($B148="","",INDIRECT("aux_sheet!AN"&amp;1+MATCH(aux_sheet!$B147,aux_sheet!$A$2:$A$202,0)))</f>
        <v/>
      </c>
      <c r="AH148" s="14" t="str">
        <f>IF(ISBLANK(Input!A147)," ",F147-F148)</f>
        <v xml:space="preserve"> </v>
      </c>
    </row>
    <row r="149" spans="1:34" x14ac:dyDescent="0.35">
      <c r="A149" s="2" t="str">
        <f>IF(ISBLANK(Input!A148),"",ROUNDDOWN(aux_sheet!B148,0))</f>
        <v/>
      </c>
      <c r="B149" s="2" t="str">
        <f ca="1">IF(ISBLANK(Input!A148),"",INDIRECT("Input!A"&amp;1+MATCH(aux_sheet!$B148,aux_sheet!$A$2:$A$202,0)))</f>
        <v/>
      </c>
      <c r="C149" s="2" t="str">
        <f ca="1">IF(ISBLANK(Input!B148),"",INDIRECT("Input!B"&amp;1+MATCH(aux_sheet!$B148,aux_sheet!$A$2:$A$202,0)))</f>
        <v/>
      </c>
      <c r="D149" s="2" t="str">
        <f ca="1">IF(ISBLANK(Input!C148),"",INDIRECT("Input!C"&amp;1+MATCH(aux_sheet!$B148,aux_sheet!$A$2:$A$202,0)))</f>
        <v/>
      </c>
      <c r="E149" s="2" t="str">
        <f ca="1">IF(ISBLANK(Input!D148),"",INDIRECT("Input!D"&amp;1+MATCH(aux_sheet!$B148,aux_sheet!$A$2:$A$202,0)))</f>
        <v/>
      </c>
      <c r="F149" s="11" t="str">
        <f ca="1">INDIRECT("Input!F"&amp;1+MATCH(aux_sheet!$B148,aux_sheet!$A$2:$A$202,0))</f>
        <v xml:space="preserve"> </v>
      </c>
      <c r="G149" s="106" t="str">
        <f ca="1">IF($B149="","",INDIRECT("aux_sheet!O"&amp;1+MATCH(aux_sheet!$B148,aux_sheet!$A$2:$A$202,0)))</f>
        <v/>
      </c>
      <c r="H149" s="89" t="str">
        <f ca="1">IF($B149="","",INDIRECT("aux_sheet!P"&amp;1+MATCH(aux_sheet!$B148,aux_sheet!$A$2:$A$202,0)))</f>
        <v/>
      </c>
      <c r="I149" s="89" t="str">
        <f ca="1">IF($B149="","",INDIRECT("aux_sheet!P"&amp;1+MATCH(aux_sheet!$B148,aux_sheet!$A$2:$A$202,0)))</f>
        <v/>
      </c>
      <c r="J149" s="106" t="str">
        <f ca="1">IF($B149="","",INDIRECT("aux_sheet!R"&amp;1+MATCH(aux_sheet!$B148,aux_sheet!$A$2:$A$202,0)))</f>
        <v/>
      </c>
      <c r="K149" s="89" t="str">
        <f ca="1">IF($B149="","",INDIRECT("aux_sheet!S"&amp;1+MATCH(aux_sheet!$B148,aux_sheet!$A$2:$A$202,0)))</f>
        <v/>
      </c>
      <c r="L149" s="89" t="str">
        <f ca="1">IF($B149="","",INDIRECT("aux_sheet!S"&amp;1+MATCH(aux_sheet!$B148,aux_sheet!$A$2:$A$202,0)))</f>
        <v/>
      </c>
      <c r="M149" s="106" t="str">
        <f ca="1">IF($B149="","",INDIRECT("aux_sheet!U"&amp;1+MATCH(aux_sheet!$B148,aux_sheet!$A$2:$A$202,0)))</f>
        <v/>
      </c>
      <c r="N149" s="89" t="str">
        <f ca="1">IF($B149="","",INDIRECT("aux_sheet!V"&amp;1+MATCH(aux_sheet!$B148,aux_sheet!$A$2:$A$202,0)))</f>
        <v/>
      </c>
      <c r="O149" s="89" t="str">
        <f ca="1">IF($B149="","",INDIRECT("aux_sheet!V"&amp;1+MATCH(aux_sheet!$B148,aux_sheet!$A$2:$A$202,0)))</f>
        <v/>
      </c>
      <c r="P149" s="106" t="str">
        <f ca="1">IF($B149="","",INDIRECT("aux_sheet!X"&amp;1+MATCH(aux_sheet!$B148,aux_sheet!$A$2:$A$202,0)))</f>
        <v/>
      </c>
      <c r="Q149" s="89" t="str">
        <f ca="1">IF($B149="","",INDIRECT("aux_sheet!Y"&amp;1+MATCH(aux_sheet!$B148,aux_sheet!$A$2:$A$202,0)))</f>
        <v/>
      </c>
      <c r="R149" s="89" t="str">
        <f ca="1">IF($B149="","",INDIRECT("aux_sheet!Y"&amp;1+MATCH(aux_sheet!$B148,aux_sheet!$A$2:$A$202,0)))</f>
        <v/>
      </c>
      <c r="S149" s="106" t="str">
        <f ca="1">IF($B149="","",INDIRECT("aux_sheet!AA"&amp;1+MATCH(aux_sheet!$B148,aux_sheet!$A$2:$A$202,0)))</f>
        <v/>
      </c>
      <c r="T149" s="89" t="str">
        <f ca="1">IF($B149="","",INDIRECT("aux_sheet!AB"&amp;1+MATCH(aux_sheet!$B148,aux_sheet!$A$2:$A$202,0)))</f>
        <v/>
      </c>
      <c r="U149" s="89" t="str">
        <f ca="1">IF($B149="","",INDIRECT("aux_sheet!AB"&amp;1+MATCH(aux_sheet!$B148,aux_sheet!$A$2:$A$202,0)))</f>
        <v/>
      </c>
      <c r="V149" s="106" t="str">
        <f ca="1">IF($B149="","",INDIRECT("aux_sheet!AD"&amp;1+MATCH(aux_sheet!$B148,aux_sheet!$A$2:$A$202,0)))</f>
        <v/>
      </c>
      <c r="W149" s="89" t="str">
        <f ca="1">IF($B149="","",INDIRECT("aux_sheet!AE"&amp;1+MATCH(aux_sheet!$B148,aux_sheet!$A$2:$A$202,0)))</f>
        <v/>
      </c>
      <c r="X149" s="89" t="str">
        <f ca="1">IF($B149="","",INDIRECT("aux_sheet!AE"&amp;1+MATCH(aux_sheet!$B148,aux_sheet!$A$2:$A$202,0)))</f>
        <v/>
      </c>
      <c r="Y149" s="106" t="str">
        <f ca="1">IF($B149="","",INDIRECT("aux_sheet!AG"&amp;1+MATCH(aux_sheet!$B148,aux_sheet!$A$2:$A$202,0)))</f>
        <v/>
      </c>
      <c r="Z149" s="89" t="str">
        <f ca="1">IF($B149="","",INDIRECT("aux_sheet!AH"&amp;1+MATCH(aux_sheet!$B148,aux_sheet!$A$2:$A$202,0)))</f>
        <v/>
      </c>
      <c r="AA149" s="89" t="str">
        <f ca="1">IF($B149="","",INDIRECT("aux_sheet!AH"&amp;1+MATCH(aux_sheet!$B148,aux_sheet!$A$2:$A$202,0)))</f>
        <v/>
      </c>
      <c r="AB149" s="106" t="str">
        <f ca="1">IF($B149="","",INDIRECT("aux_sheet!AJ"&amp;1+MATCH(aux_sheet!$B148,aux_sheet!$A$2:$A$202,0)))</f>
        <v/>
      </c>
      <c r="AC149" s="89" t="str">
        <f ca="1">IF($B149="","",INDIRECT("aux_sheet!AK"&amp;1+MATCH(aux_sheet!$B148,aux_sheet!$A$2:$A$202,0)))</f>
        <v/>
      </c>
      <c r="AD149" s="89" t="str">
        <f ca="1">IF($B149="","",INDIRECT("aux_sheet!AK"&amp;1+MATCH(aux_sheet!$B148,aux_sheet!$A$2:$A$202,0)))</f>
        <v/>
      </c>
      <c r="AE149" s="106" t="str">
        <f ca="1">IF($B149="","",INDIRECT("aux_sheet!AM"&amp;1+MATCH(aux_sheet!$B148,aux_sheet!$A$2:$A$202,0)))</f>
        <v/>
      </c>
      <c r="AF149" s="89" t="str">
        <f ca="1">IF($B149="","",INDIRECT("aux_sheet!AN"&amp;1+MATCH(aux_sheet!$B148,aux_sheet!$A$2:$A$202,0)))</f>
        <v/>
      </c>
      <c r="AG149" s="89" t="str">
        <f ca="1">IF($B149="","",INDIRECT("aux_sheet!AN"&amp;1+MATCH(aux_sheet!$B148,aux_sheet!$A$2:$A$202,0)))</f>
        <v/>
      </c>
      <c r="AH149" s="14" t="str">
        <f>IF(ISBLANK(Input!A148)," ",F148-F149)</f>
        <v xml:space="preserve"> </v>
      </c>
    </row>
    <row r="150" spans="1:34" x14ac:dyDescent="0.35">
      <c r="A150" s="2" t="str">
        <f>IF(ISBLANK(Input!A149),"",ROUNDDOWN(aux_sheet!B149,0))</f>
        <v/>
      </c>
      <c r="B150" s="2" t="str">
        <f ca="1">IF(ISBLANK(Input!A149),"",INDIRECT("Input!A"&amp;1+MATCH(aux_sheet!$B149,aux_sheet!$A$2:$A$202,0)))</f>
        <v/>
      </c>
      <c r="C150" s="2" t="str">
        <f ca="1">IF(ISBLANK(Input!B149),"",INDIRECT("Input!B"&amp;1+MATCH(aux_sheet!$B149,aux_sheet!$A$2:$A$202,0)))</f>
        <v/>
      </c>
      <c r="D150" s="2" t="str">
        <f ca="1">IF(ISBLANK(Input!C149),"",INDIRECT("Input!C"&amp;1+MATCH(aux_sheet!$B149,aux_sheet!$A$2:$A$202,0)))</f>
        <v/>
      </c>
      <c r="E150" s="2" t="str">
        <f ca="1">IF(ISBLANK(Input!D149),"",INDIRECT("Input!D"&amp;1+MATCH(aux_sheet!$B149,aux_sheet!$A$2:$A$202,0)))</f>
        <v/>
      </c>
      <c r="F150" s="11" t="str">
        <f ca="1">INDIRECT("Input!F"&amp;1+MATCH(aux_sheet!$B149,aux_sheet!$A$2:$A$202,0))</f>
        <v xml:space="preserve"> </v>
      </c>
      <c r="G150" s="106" t="str">
        <f ca="1">IF($B150="","",INDIRECT("aux_sheet!O"&amp;1+MATCH(aux_sheet!$B149,aux_sheet!$A$2:$A$202,0)))</f>
        <v/>
      </c>
      <c r="H150" s="89" t="str">
        <f ca="1">IF($B150="","",INDIRECT("aux_sheet!P"&amp;1+MATCH(aux_sheet!$B149,aux_sheet!$A$2:$A$202,0)))</f>
        <v/>
      </c>
      <c r="I150" s="89" t="str">
        <f ca="1">IF($B150="","",INDIRECT("aux_sheet!P"&amp;1+MATCH(aux_sheet!$B149,aux_sheet!$A$2:$A$202,0)))</f>
        <v/>
      </c>
      <c r="J150" s="106" t="str">
        <f ca="1">IF($B150="","",INDIRECT("aux_sheet!R"&amp;1+MATCH(aux_sheet!$B149,aux_sheet!$A$2:$A$202,0)))</f>
        <v/>
      </c>
      <c r="K150" s="89" t="str">
        <f ca="1">IF($B150="","",INDIRECT("aux_sheet!S"&amp;1+MATCH(aux_sheet!$B149,aux_sheet!$A$2:$A$202,0)))</f>
        <v/>
      </c>
      <c r="L150" s="89" t="str">
        <f ca="1">IF($B150="","",INDIRECT("aux_sheet!S"&amp;1+MATCH(aux_sheet!$B149,aux_sheet!$A$2:$A$202,0)))</f>
        <v/>
      </c>
      <c r="M150" s="106" t="str">
        <f ca="1">IF($B150="","",INDIRECT("aux_sheet!U"&amp;1+MATCH(aux_sheet!$B149,aux_sheet!$A$2:$A$202,0)))</f>
        <v/>
      </c>
      <c r="N150" s="89" t="str">
        <f ca="1">IF($B150="","",INDIRECT("aux_sheet!V"&amp;1+MATCH(aux_sheet!$B149,aux_sheet!$A$2:$A$202,0)))</f>
        <v/>
      </c>
      <c r="O150" s="89" t="str">
        <f ca="1">IF($B150="","",INDIRECT("aux_sheet!V"&amp;1+MATCH(aux_sheet!$B149,aux_sheet!$A$2:$A$202,0)))</f>
        <v/>
      </c>
      <c r="P150" s="106" t="str">
        <f ca="1">IF($B150="","",INDIRECT("aux_sheet!X"&amp;1+MATCH(aux_sheet!$B149,aux_sheet!$A$2:$A$202,0)))</f>
        <v/>
      </c>
      <c r="Q150" s="89" t="str">
        <f ca="1">IF($B150="","",INDIRECT("aux_sheet!Y"&amp;1+MATCH(aux_sheet!$B149,aux_sheet!$A$2:$A$202,0)))</f>
        <v/>
      </c>
      <c r="R150" s="89" t="str">
        <f ca="1">IF($B150="","",INDIRECT("aux_sheet!Y"&amp;1+MATCH(aux_sheet!$B149,aux_sheet!$A$2:$A$202,0)))</f>
        <v/>
      </c>
      <c r="S150" s="106" t="str">
        <f ca="1">IF($B150="","",INDIRECT("aux_sheet!AA"&amp;1+MATCH(aux_sheet!$B149,aux_sheet!$A$2:$A$202,0)))</f>
        <v/>
      </c>
      <c r="T150" s="89" t="str">
        <f ca="1">IF($B150="","",INDIRECT("aux_sheet!AB"&amp;1+MATCH(aux_sheet!$B149,aux_sheet!$A$2:$A$202,0)))</f>
        <v/>
      </c>
      <c r="U150" s="89" t="str">
        <f ca="1">IF($B150="","",INDIRECT("aux_sheet!AB"&amp;1+MATCH(aux_sheet!$B149,aux_sheet!$A$2:$A$202,0)))</f>
        <v/>
      </c>
      <c r="V150" s="106" t="str">
        <f ca="1">IF($B150="","",INDIRECT("aux_sheet!AD"&amp;1+MATCH(aux_sheet!$B149,aux_sheet!$A$2:$A$202,0)))</f>
        <v/>
      </c>
      <c r="W150" s="89" t="str">
        <f ca="1">IF($B150="","",INDIRECT("aux_sheet!AE"&amp;1+MATCH(aux_sheet!$B149,aux_sheet!$A$2:$A$202,0)))</f>
        <v/>
      </c>
      <c r="X150" s="89" t="str">
        <f ca="1">IF($B150="","",INDIRECT("aux_sheet!AE"&amp;1+MATCH(aux_sheet!$B149,aux_sheet!$A$2:$A$202,0)))</f>
        <v/>
      </c>
      <c r="Y150" s="106" t="str">
        <f ca="1">IF($B150="","",INDIRECT("aux_sheet!AG"&amp;1+MATCH(aux_sheet!$B149,aux_sheet!$A$2:$A$202,0)))</f>
        <v/>
      </c>
      <c r="Z150" s="89" t="str">
        <f ca="1">IF($B150="","",INDIRECT("aux_sheet!AH"&amp;1+MATCH(aux_sheet!$B149,aux_sheet!$A$2:$A$202,0)))</f>
        <v/>
      </c>
      <c r="AA150" s="89" t="str">
        <f ca="1">IF($B150="","",INDIRECT("aux_sheet!AH"&amp;1+MATCH(aux_sheet!$B149,aux_sheet!$A$2:$A$202,0)))</f>
        <v/>
      </c>
      <c r="AB150" s="106" t="str">
        <f ca="1">IF($B150="","",INDIRECT("aux_sheet!AJ"&amp;1+MATCH(aux_sheet!$B149,aux_sheet!$A$2:$A$202,0)))</f>
        <v/>
      </c>
      <c r="AC150" s="89" t="str">
        <f ca="1">IF($B150="","",INDIRECT("aux_sheet!AK"&amp;1+MATCH(aux_sheet!$B149,aux_sheet!$A$2:$A$202,0)))</f>
        <v/>
      </c>
      <c r="AD150" s="89" t="str">
        <f ca="1">IF($B150="","",INDIRECT("aux_sheet!AK"&amp;1+MATCH(aux_sheet!$B149,aux_sheet!$A$2:$A$202,0)))</f>
        <v/>
      </c>
      <c r="AE150" s="106" t="str">
        <f ca="1">IF($B150="","",INDIRECT("aux_sheet!AM"&amp;1+MATCH(aux_sheet!$B149,aux_sheet!$A$2:$A$202,0)))</f>
        <v/>
      </c>
      <c r="AF150" s="89" t="str">
        <f ca="1">IF($B150="","",INDIRECT("aux_sheet!AN"&amp;1+MATCH(aux_sheet!$B149,aux_sheet!$A$2:$A$202,0)))</f>
        <v/>
      </c>
      <c r="AG150" s="89" t="str">
        <f ca="1">IF($B150="","",INDIRECT("aux_sheet!AN"&amp;1+MATCH(aux_sheet!$B149,aux_sheet!$A$2:$A$202,0)))</f>
        <v/>
      </c>
      <c r="AH150" s="14" t="str">
        <f>IF(ISBLANK(Input!A149)," ",F149-F150)</f>
        <v xml:space="preserve"> </v>
      </c>
    </row>
    <row r="151" spans="1:34" x14ac:dyDescent="0.35">
      <c r="A151" s="2" t="str">
        <f>IF(ISBLANK(Input!A150),"",ROUNDDOWN(aux_sheet!B150,0))</f>
        <v/>
      </c>
      <c r="B151" s="2" t="str">
        <f ca="1">IF(ISBLANK(Input!A150),"",INDIRECT("Input!A"&amp;1+MATCH(aux_sheet!$B150,aux_sheet!$A$2:$A$202,0)))</f>
        <v/>
      </c>
      <c r="C151" s="2" t="str">
        <f ca="1">IF(ISBLANK(Input!B150),"",INDIRECT("Input!B"&amp;1+MATCH(aux_sheet!$B150,aux_sheet!$A$2:$A$202,0)))</f>
        <v/>
      </c>
      <c r="D151" s="2" t="str">
        <f ca="1">IF(ISBLANK(Input!C150),"",INDIRECT("Input!C"&amp;1+MATCH(aux_sheet!$B150,aux_sheet!$A$2:$A$202,0)))</f>
        <v/>
      </c>
      <c r="E151" s="2" t="str">
        <f ca="1">IF(ISBLANK(Input!D150),"",INDIRECT("Input!D"&amp;1+MATCH(aux_sheet!$B150,aux_sheet!$A$2:$A$202,0)))</f>
        <v/>
      </c>
      <c r="F151" s="11" t="str">
        <f ca="1">INDIRECT("Input!F"&amp;1+MATCH(aux_sheet!$B150,aux_sheet!$A$2:$A$202,0))</f>
        <v xml:space="preserve"> </v>
      </c>
      <c r="G151" s="106" t="str">
        <f ca="1">IF($B151="","",INDIRECT("aux_sheet!O"&amp;1+MATCH(aux_sheet!$B150,aux_sheet!$A$2:$A$202,0)))</f>
        <v/>
      </c>
      <c r="H151" s="89" t="str">
        <f ca="1">IF($B151="","",INDIRECT("aux_sheet!P"&amp;1+MATCH(aux_sheet!$B150,aux_sheet!$A$2:$A$202,0)))</f>
        <v/>
      </c>
      <c r="I151" s="89" t="str">
        <f ca="1">IF($B151="","",INDIRECT("aux_sheet!P"&amp;1+MATCH(aux_sheet!$B150,aux_sheet!$A$2:$A$202,0)))</f>
        <v/>
      </c>
      <c r="J151" s="106" t="str">
        <f ca="1">IF($B151="","",INDIRECT("aux_sheet!R"&amp;1+MATCH(aux_sheet!$B150,aux_sheet!$A$2:$A$202,0)))</f>
        <v/>
      </c>
      <c r="K151" s="89" t="str">
        <f ca="1">IF($B151="","",INDIRECT("aux_sheet!S"&amp;1+MATCH(aux_sheet!$B150,aux_sheet!$A$2:$A$202,0)))</f>
        <v/>
      </c>
      <c r="L151" s="89" t="str">
        <f ca="1">IF($B151="","",INDIRECT("aux_sheet!S"&amp;1+MATCH(aux_sheet!$B150,aux_sheet!$A$2:$A$202,0)))</f>
        <v/>
      </c>
      <c r="M151" s="106" t="str">
        <f ca="1">IF($B151="","",INDIRECT("aux_sheet!U"&amp;1+MATCH(aux_sheet!$B150,aux_sheet!$A$2:$A$202,0)))</f>
        <v/>
      </c>
      <c r="N151" s="89" t="str">
        <f ca="1">IF($B151="","",INDIRECT("aux_sheet!V"&amp;1+MATCH(aux_sheet!$B150,aux_sheet!$A$2:$A$202,0)))</f>
        <v/>
      </c>
      <c r="O151" s="89" t="str">
        <f ca="1">IF($B151="","",INDIRECT("aux_sheet!V"&amp;1+MATCH(aux_sheet!$B150,aux_sheet!$A$2:$A$202,0)))</f>
        <v/>
      </c>
      <c r="P151" s="106" t="str">
        <f ca="1">IF($B151="","",INDIRECT("aux_sheet!X"&amp;1+MATCH(aux_sheet!$B150,aux_sheet!$A$2:$A$202,0)))</f>
        <v/>
      </c>
      <c r="Q151" s="89" t="str">
        <f ca="1">IF($B151="","",INDIRECT("aux_sheet!Y"&amp;1+MATCH(aux_sheet!$B150,aux_sheet!$A$2:$A$202,0)))</f>
        <v/>
      </c>
      <c r="R151" s="89" t="str">
        <f ca="1">IF($B151="","",INDIRECT("aux_sheet!Y"&amp;1+MATCH(aux_sheet!$B150,aux_sheet!$A$2:$A$202,0)))</f>
        <v/>
      </c>
      <c r="S151" s="106" t="str">
        <f ca="1">IF($B151="","",INDIRECT("aux_sheet!AA"&amp;1+MATCH(aux_sheet!$B150,aux_sheet!$A$2:$A$202,0)))</f>
        <v/>
      </c>
      <c r="T151" s="89" t="str">
        <f ca="1">IF($B151="","",INDIRECT("aux_sheet!AB"&amp;1+MATCH(aux_sheet!$B150,aux_sheet!$A$2:$A$202,0)))</f>
        <v/>
      </c>
      <c r="U151" s="89" t="str">
        <f ca="1">IF($B151="","",INDIRECT("aux_sheet!AB"&amp;1+MATCH(aux_sheet!$B150,aux_sheet!$A$2:$A$202,0)))</f>
        <v/>
      </c>
      <c r="V151" s="106" t="str">
        <f ca="1">IF($B151="","",INDIRECT("aux_sheet!AD"&amp;1+MATCH(aux_sheet!$B150,aux_sheet!$A$2:$A$202,0)))</f>
        <v/>
      </c>
      <c r="W151" s="89" t="str">
        <f ca="1">IF($B151="","",INDIRECT("aux_sheet!AE"&amp;1+MATCH(aux_sheet!$B150,aux_sheet!$A$2:$A$202,0)))</f>
        <v/>
      </c>
      <c r="X151" s="89" t="str">
        <f ca="1">IF($B151="","",INDIRECT("aux_sheet!AE"&amp;1+MATCH(aux_sheet!$B150,aux_sheet!$A$2:$A$202,0)))</f>
        <v/>
      </c>
      <c r="Y151" s="106" t="str">
        <f ca="1">IF($B151="","",INDIRECT("aux_sheet!AG"&amp;1+MATCH(aux_sheet!$B150,aux_sheet!$A$2:$A$202,0)))</f>
        <v/>
      </c>
      <c r="Z151" s="89" t="str">
        <f ca="1">IF($B151="","",INDIRECT("aux_sheet!AH"&amp;1+MATCH(aux_sheet!$B150,aux_sheet!$A$2:$A$202,0)))</f>
        <v/>
      </c>
      <c r="AA151" s="89" t="str">
        <f ca="1">IF($B151="","",INDIRECT("aux_sheet!AH"&amp;1+MATCH(aux_sheet!$B150,aux_sheet!$A$2:$A$202,0)))</f>
        <v/>
      </c>
      <c r="AB151" s="106" t="str">
        <f ca="1">IF($B151="","",INDIRECT("aux_sheet!AJ"&amp;1+MATCH(aux_sheet!$B150,aux_sheet!$A$2:$A$202,0)))</f>
        <v/>
      </c>
      <c r="AC151" s="89" t="str">
        <f ca="1">IF($B151="","",INDIRECT("aux_sheet!AK"&amp;1+MATCH(aux_sheet!$B150,aux_sheet!$A$2:$A$202,0)))</f>
        <v/>
      </c>
      <c r="AD151" s="89" t="str">
        <f ca="1">IF($B151="","",INDIRECT("aux_sheet!AK"&amp;1+MATCH(aux_sheet!$B150,aux_sheet!$A$2:$A$202,0)))</f>
        <v/>
      </c>
      <c r="AE151" s="106" t="str">
        <f ca="1">IF($B151="","",INDIRECT("aux_sheet!AM"&amp;1+MATCH(aux_sheet!$B150,aux_sheet!$A$2:$A$202,0)))</f>
        <v/>
      </c>
      <c r="AF151" s="89" t="str">
        <f ca="1">IF($B151="","",INDIRECT("aux_sheet!AN"&amp;1+MATCH(aux_sheet!$B150,aux_sheet!$A$2:$A$202,0)))</f>
        <v/>
      </c>
      <c r="AG151" s="89" t="str">
        <f ca="1">IF($B151="","",INDIRECT("aux_sheet!AN"&amp;1+MATCH(aux_sheet!$B150,aux_sheet!$A$2:$A$202,0)))</f>
        <v/>
      </c>
      <c r="AH151" s="14" t="str">
        <f>IF(ISBLANK(Input!A150)," ",F150-F151)</f>
        <v xml:space="preserve"> </v>
      </c>
    </row>
    <row r="152" spans="1:34" x14ac:dyDescent="0.35">
      <c r="A152" s="2" t="str">
        <f>IF(ISBLANK(Input!A151),"",ROUNDDOWN(aux_sheet!B151,0))</f>
        <v/>
      </c>
      <c r="B152" s="2" t="str">
        <f ca="1">IF(ISBLANK(Input!A151),"",INDIRECT("Input!A"&amp;1+MATCH(aux_sheet!$B151,aux_sheet!$A$2:$A$202,0)))</f>
        <v/>
      </c>
      <c r="C152" s="2" t="str">
        <f ca="1">IF(ISBLANK(Input!B151),"",INDIRECT("Input!B"&amp;1+MATCH(aux_sheet!$B151,aux_sheet!$A$2:$A$202,0)))</f>
        <v/>
      </c>
      <c r="D152" s="2" t="str">
        <f ca="1">IF(ISBLANK(Input!C151),"",INDIRECT("Input!C"&amp;1+MATCH(aux_sheet!$B151,aux_sheet!$A$2:$A$202,0)))</f>
        <v/>
      </c>
      <c r="E152" s="2" t="str">
        <f ca="1">IF(ISBLANK(Input!D151),"",INDIRECT("Input!D"&amp;1+MATCH(aux_sheet!$B151,aux_sheet!$A$2:$A$202,0)))</f>
        <v/>
      </c>
      <c r="F152" s="11" t="str">
        <f ca="1">INDIRECT("Input!F"&amp;1+MATCH(aux_sheet!$B151,aux_sheet!$A$2:$A$202,0))</f>
        <v xml:space="preserve"> </v>
      </c>
      <c r="G152" s="106" t="str">
        <f ca="1">IF($B152="","",INDIRECT("aux_sheet!O"&amp;1+MATCH(aux_sheet!$B151,aux_sheet!$A$2:$A$202,0)))</f>
        <v/>
      </c>
      <c r="H152" s="89" t="str">
        <f ca="1">IF($B152="","",INDIRECT("aux_sheet!P"&amp;1+MATCH(aux_sheet!$B151,aux_sheet!$A$2:$A$202,0)))</f>
        <v/>
      </c>
      <c r="I152" s="89" t="str">
        <f ca="1">IF($B152="","",INDIRECT("aux_sheet!P"&amp;1+MATCH(aux_sheet!$B151,aux_sheet!$A$2:$A$202,0)))</f>
        <v/>
      </c>
      <c r="J152" s="106" t="str">
        <f ca="1">IF($B152="","",INDIRECT("aux_sheet!R"&amp;1+MATCH(aux_sheet!$B151,aux_sheet!$A$2:$A$202,0)))</f>
        <v/>
      </c>
      <c r="K152" s="89" t="str">
        <f ca="1">IF($B152="","",INDIRECT("aux_sheet!S"&amp;1+MATCH(aux_sheet!$B151,aux_sheet!$A$2:$A$202,0)))</f>
        <v/>
      </c>
      <c r="L152" s="89" t="str">
        <f ca="1">IF($B152="","",INDIRECT("aux_sheet!S"&amp;1+MATCH(aux_sheet!$B151,aux_sheet!$A$2:$A$202,0)))</f>
        <v/>
      </c>
      <c r="M152" s="106" t="str">
        <f ca="1">IF($B152="","",INDIRECT("aux_sheet!U"&amp;1+MATCH(aux_sheet!$B151,aux_sheet!$A$2:$A$202,0)))</f>
        <v/>
      </c>
      <c r="N152" s="89" t="str">
        <f ca="1">IF($B152="","",INDIRECT("aux_sheet!V"&amp;1+MATCH(aux_sheet!$B151,aux_sheet!$A$2:$A$202,0)))</f>
        <v/>
      </c>
      <c r="O152" s="89" t="str">
        <f ca="1">IF($B152="","",INDIRECT("aux_sheet!V"&amp;1+MATCH(aux_sheet!$B151,aux_sheet!$A$2:$A$202,0)))</f>
        <v/>
      </c>
      <c r="P152" s="106" t="str">
        <f ca="1">IF($B152="","",INDIRECT("aux_sheet!X"&amp;1+MATCH(aux_sheet!$B151,aux_sheet!$A$2:$A$202,0)))</f>
        <v/>
      </c>
      <c r="Q152" s="89" t="str">
        <f ca="1">IF($B152="","",INDIRECT("aux_sheet!Y"&amp;1+MATCH(aux_sheet!$B151,aux_sheet!$A$2:$A$202,0)))</f>
        <v/>
      </c>
      <c r="R152" s="89" t="str">
        <f ca="1">IF($B152="","",INDIRECT("aux_sheet!Y"&amp;1+MATCH(aux_sheet!$B151,aux_sheet!$A$2:$A$202,0)))</f>
        <v/>
      </c>
      <c r="S152" s="106" t="str">
        <f ca="1">IF($B152="","",INDIRECT("aux_sheet!AA"&amp;1+MATCH(aux_sheet!$B151,aux_sheet!$A$2:$A$202,0)))</f>
        <v/>
      </c>
      <c r="T152" s="89" t="str">
        <f ca="1">IF($B152="","",INDIRECT("aux_sheet!AB"&amp;1+MATCH(aux_sheet!$B151,aux_sheet!$A$2:$A$202,0)))</f>
        <v/>
      </c>
      <c r="U152" s="89" t="str">
        <f ca="1">IF($B152="","",INDIRECT("aux_sheet!AB"&amp;1+MATCH(aux_sheet!$B151,aux_sheet!$A$2:$A$202,0)))</f>
        <v/>
      </c>
      <c r="V152" s="106" t="str">
        <f ca="1">IF($B152="","",INDIRECT("aux_sheet!AD"&amp;1+MATCH(aux_sheet!$B151,aux_sheet!$A$2:$A$202,0)))</f>
        <v/>
      </c>
      <c r="W152" s="89" t="str">
        <f ca="1">IF($B152="","",INDIRECT("aux_sheet!AE"&amp;1+MATCH(aux_sheet!$B151,aux_sheet!$A$2:$A$202,0)))</f>
        <v/>
      </c>
      <c r="X152" s="89" t="str">
        <f ca="1">IF($B152="","",INDIRECT("aux_sheet!AE"&amp;1+MATCH(aux_sheet!$B151,aux_sheet!$A$2:$A$202,0)))</f>
        <v/>
      </c>
      <c r="Y152" s="106" t="str">
        <f ca="1">IF($B152="","",INDIRECT("aux_sheet!AG"&amp;1+MATCH(aux_sheet!$B151,aux_sheet!$A$2:$A$202,0)))</f>
        <v/>
      </c>
      <c r="Z152" s="89" t="str">
        <f ca="1">IF($B152="","",INDIRECT("aux_sheet!AH"&amp;1+MATCH(aux_sheet!$B151,aux_sheet!$A$2:$A$202,0)))</f>
        <v/>
      </c>
      <c r="AA152" s="89" t="str">
        <f ca="1">IF($B152="","",INDIRECT("aux_sheet!AH"&amp;1+MATCH(aux_sheet!$B151,aux_sheet!$A$2:$A$202,0)))</f>
        <v/>
      </c>
      <c r="AB152" s="106" t="str">
        <f ca="1">IF($B152="","",INDIRECT("aux_sheet!AJ"&amp;1+MATCH(aux_sheet!$B151,aux_sheet!$A$2:$A$202,0)))</f>
        <v/>
      </c>
      <c r="AC152" s="89" t="str">
        <f ca="1">IF($B152="","",INDIRECT("aux_sheet!AK"&amp;1+MATCH(aux_sheet!$B151,aux_sheet!$A$2:$A$202,0)))</f>
        <v/>
      </c>
      <c r="AD152" s="89" t="str">
        <f ca="1">IF($B152="","",INDIRECT("aux_sheet!AK"&amp;1+MATCH(aux_sheet!$B151,aux_sheet!$A$2:$A$202,0)))</f>
        <v/>
      </c>
      <c r="AE152" s="106" t="str">
        <f ca="1">IF($B152="","",INDIRECT("aux_sheet!AM"&amp;1+MATCH(aux_sheet!$B151,aux_sheet!$A$2:$A$202,0)))</f>
        <v/>
      </c>
      <c r="AF152" s="89" t="str">
        <f ca="1">IF($B152="","",INDIRECT("aux_sheet!AN"&amp;1+MATCH(aux_sheet!$B151,aux_sheet!$A$2:$A$202,0)))</f>
        <v/>
      </c>
      <c r="AG152" s="89" t="str">
        <f ca="1">IF($B152="","",INDIRECT("aux_sheet!AN"&amp;1+MATCH(aux_sheet!$B151,aux_sheet!$A$2:$A$202,0)))</f>
        <v/>
      </c>
      <c r="AH152" s="14" t="str">
        <f>IF(ISBLANK(Input!A151)," ",F151-F152)</f>
        <v xml:space="preserve"> </v>
      </c>
    </row>
    <row r="153" spans="1:34" x14ac:dyDescent="0.35">
      <c r="A153" s="2" t="str">
        <f>IF(ISBLANK(Input!A152),"",ROUNDDOWN(aux_sheet!B152,0))</f>
        <v/>
      </c>
      <c r="B153" s="2" t="str">
        <f ca="1">IF(ISBLANK(Input!A152),"",INDIRECT("Input!A"&amp;1+MATCH(aux_sheet!$B152,aux_sheet!$A$2:$A$202,0)))</f>
        <v/>
      </c>
      <c r="C153" s="2" t="str">
        <f ca="1">IF(ISBLANK(Input!B152),"",INDIRECT("Input!B"&amp;1+MATCH(aux_sheet!$B152,aux_sheet!$A$2:$A$202,0)))</f>
        <v/>
      </c>
      <c r="D153" s="2" t="str">
        <f ca="1">IF(ISBLANK(Input!C152),"",INDIRECT("Input!C"&amp;1+MATCH(aux_sheet!$B152,aux_sheet!$A$2:$A$202,0)))</f>
        <v/>
      </c>
      <c r="E153" s="2" t="str">
        <f ca="1">IF(ISBLANK(Input!D152),"",INDIRECT("Input!D"&amp;1+MATCH(aux_sheet!$B152,aux_sheet!$A$2:$A$202,0)))</f>
        <v/>
      </c>
      <c r="F153" s="11" t="str">
        <f ca="1">INDIRECT("Input!F"&amp;1+MATCH(aux_sheet!$B152,aux_sheet!$A$2:$A$202,0))</f>
        <v xml:space="preserve"> </v>
      </c>
      <c r="G153" s="106" t="str">
        <f ca="1">IF($B153="","",INDIRECT("aux_sheet!O"&amp;1+MATCH(aux_sheet!$B152,aux_sheet!$A$2:$A$202,0)))</f>
        <v/>
      </c>
      <c r="H153" s="89" t="str">
        <f ca="1">IF($B153="","",INDIRECT("aux_sheet!P"&amp;1+MATCH(aux_sheet!$B152,aux_sheet!$A$2:$A$202,0)))</f>
        <v/>
      </c>
      <c r="I153" s="89" t="str">
        <f ca="1">IF($B153="","",INDIRECT("aux_sheet!P"&amp;1+MATCH(aux_sheet!$B152,aux_sheet!$A$2:$A$202,0)))</f>
        <v/>
      </c>
      <c r="J153" s="106" t="str">
        <f ca="1">IF($B153="","",INDIRECT("aux_sheet!R"&amp;1+MATCH(aux_sheet!$B152,aux_sheet!$A$2:$A$202,0)))</f>
        <v/>
      </c>
      <c r="K153" s="89" t="str">
        <f ca="1">IF($B153="","",INDIRECT("aux_sheet!S"&amp;1+MATCH(aux_sheet!$B152,aux_sheet!$A$2:$A$202,0)))</f>
        <v/>
      </c>
      <c r="L153" s="89" t="str">
        <f ca="1">IF($B153="","",INDIRECT("aux_sheet!S"&amp;1+MATCH(aux_sheet!$B152,aux_sheet!$A$2:$A$202,0)))</f>
        <v/>
      </c>
      <c r="M153" s="106" t="str">
        <f ca="1">IF($B153="","",INDIRECT("aux_sheet!U"&amp;1+MATCH(aux_sheet!$B152,aux_sheet!$A$2:$A$202,0)))</f>
        <v/>
      </c>
      <c r="N153" s="89" t="str">
        <f ca="1">IF($B153="","",INDIRECT("aux_sheet!V"&amp;1+MATCH(aux_sheet!$B152,aux_sheet!$A$2:$A$202,0)))</f>
        <v/>
      </c>
      <c r="O153" s="89" t="str">
        <f ca="1">IF($B153="","",INDIRECT("aux_sheet!V"&amp;1+MATCH(aux_sheet!$B152,aux_sheet!$A$2:$A$202,0)))</f>
        <v/>
      </c>
      <c r="P153" s="106" t="str">
        <f ca="1">IF($B153="","",INDIRECT("aux_sheet!X"&amp;1+MATCH(aux_sheet!$B152,aux_sheet!$A$2:$A$202,0)))</f>
        <v/>
      </c>
      <c r="Q153" s="89" t="str">
        <f ca="1">IF($B153="","",INDIRECT("aux_sheet!Y"&amp;1+MATCH(aux_sheet!$B152,aux_sheet!$A$2:$A$202,0)))</f>
        <v/>
      </c>
      <c r="R153" s="89" t="str">
        <f ca="1">IF($B153="","",INDIRECT("aux_sheet!Y"&amp;1+MATCH(aux_sheet!$B152,aux_sheet!$A$2:$A$202,0)))</f>
        <v/>
      </c>
      <c r="S153" s="106" t="str">
        <f ca="1">IF($B153="","",INDIRECT("aux_sheet!AA"&amp;1+MATCH(aux_sheet!$B152,aux_sheet!$A$2:$A$202,0)))</f>
        <v/>
      </c>
      <c r="T153" s="89" t="str">
        <f ca="1">IF($B153="","",INDIRECT("aux_sheet!AB"&amp;1+MATCH(aux_sheet!$B152,aux_sheet!$A$2:$A$202,0)))</f>
        <v/>
      </c>
      <c r="U153" s="89" t="str">
        <f ca="1">IF($B153="","",INDIRECT("aux_sheet!AB"&amp;1+MATCH(aux_sheet!$B152,aux_sheet!$A$2:$A$202,0)))</f>
        <v/>
      </c>
      <c r="V153" s="106" t="str">
        <f ca="1">IF($B153="","",INDIRECT("aux_sheet!AD"&amp;1+MATCH(aux_sheet!$B152,aux_sheet!$A$2:$A$202,0)))</f>
        <v/>
      </c>
      <c r="W153" s="89" t="str">
        <f ca="1">IF($B153="","",INDIRECT("aux_sheet!AE"&amp;1+MATCH(aux_sheet!$B152,aux_sheet!$A$2:$A$202,0)))</f>
        <v/>
      </c>
      <c r="X153" s="89" t="str">
        <f ca="1">IF($B153="","",INDIRECT("aux_sheet!AE"&amp;1+MATCH(aux_sheet!$B152,aux_sheet!$A$2:$A$202,0)))</f>
        <v/>
      </c>
      <c r="Y153" s="106" t="str">
        <f ca="1">IF($B153="","",INDIRECT("aux_sheet!AG"&amp;1+MATCH(aux_sheet!$B152,aux_sheet!$A$2:$A$202,0)))</f>
        <v/>
      </c>
      <c r="Z153" s="89" t="str">
        <f ca="1">IF($B153="","",INDIRECT("aux_sheet!AH"&amp;1+MATCH(aux_sheet!$B152,aux_sheet!$A$2:$A$202,0)))</f>
        <v/>
      </c>
      <c r="AA153" s="89" t="str">
        <f ca="1">IF($B153="","",INDIRECT("aux_sheet!AH"&amp;1+MATCH(aux_sheet!$B152,aux_sheet!$A$2:$A$202,0)))</f>
        <v/>
      </c>
      <c r="AB153" s="106" t="str">
        <f ca="1">IF($B153="","",INDIRECT("aux_sheet!AJ"&amp;1+MATCH(aux_sheet!$B152,aux_sheet!$A$2:$A$202,0)))</f>
        <v/>
      </c>
      <c r="AC153" s="89" t="str">
        <f ca="1">IF($B153="","",INDIRECT("aux_sheet!AK"&amp;1+MATCH(aux_sheet!$B152,aux_sheet!$A$2:$A$202,0)))</f>
        <v/>
      </c>
      <c r="AD153" s="89" t="str">
        <f ca="1">IF($B153="","",INDIRECT("aux_sheet!AK"&amp;1+MATCH(aux_sheet!$B152,aux_sheet!$A$2:$A$202,0)))</f>
        <v/>
      </c>
      <c r="AE153" s="106" t="str">
        <f ca="1">IF($B153="","",INDIRECT("aux_sheet!AM"&amp;1+MATCH(aux_sheet!$B152,aux_sheet!$A$2:$A$202,0)))</f>
        <v/>
      </c>
      <c r="AF153" s="89" t="str">
        <f ca="1">IF($B153="","",INDIRECT("aux_sheet!AN"&amp;1+MATCH(aux_sheet!$B152,aux_sheet!$A$2:$A$202,0)))</f>
        <v/>
      </c>
      <c r="AG153" s="89" t="str">
        <f ca="1">IF($B153="","",INDIRECT("aux_sheet!AN"&amp;1+MATCH(aux_sheet!$B152,aux_sheet!$A$2:$A$202,0)))</f>
        <v/>
      </c>
      <c r="AH153" s="14" t="str">
        <f>IF(ISBLANK(Input!A152)," ",F152-F153)</f>
        <v xml:space="preserve"> </v>
      </c>
    </row>
    <row r="154" spans="1:34" x14ac:dyDescent="0.35">
      <c r="A154" s="2" t="str">
        <f>IF(ISBLANK(Input!A153),"",ROUNDDOWN(aux_sheet!B153,0))</f>
        <v/>
      </c>
      <c r="B154" s="2" t="str">
        <f ca="1">IF(ISBLANK(Input!A153),"",INDIRECT("Input!A"&amp;1+MATCH(aux_sheet!$B153,aux_sheet!$A$2:$A$202,0)))</f>
        <v/>
      </c>
      <c r="C154" s="2" t="str">
        <f ca="1">IF(ISBLANK(Input!B153),"",INDIRECT("Input!B"&amp;1+MATCH(aux_sheet!$B153,aux_sheet!$A$2:$A$202,0)))</f>
        <v/>
      </c>
      <c r="D154" s="2" t="str">
        <f ca="1">IF(ISBLANK(Input!C153),"",INDIRECT("Input!C"&amp;1+MATCH(aux_sheet!$B153,aux_sheet!$A$2:$A$202,0)))</f>
        <v/>
      </c>
      <c r="E154" s="2" t="str">
        <f ca="1">IF(ISBLANK(Input!D153),"",INDIRECT("Input!D"&amp;1+MATCH(aux_sheet!$B153,aux_sheet!$A$2:$A$202,0)))</f>
        <v/>
      </c>
      <c r="F154" s="11" t="str">
        <f ca="1">INDIRECT("Input!F"&amp;1+MATCH(aux_sheet!$B153,aux_sheet!$A$2:$A$202,0))</f>
        <v xml:space="preserve"> </v>
      </c>
      <c r="G154" s="106" t="str">
        <f ca="1">IF($B154="","",INDIRECT("aux_sheet!O"&amp;1+MATCH(aux_sheet!$B153,aux_sheet!$A$2:$A$202,0)))</f>
        <v/>
      </c>
      <c r="H154" s="89" t="str">
        <f ca="1">IF($B154="","",INDIRECT("aux_sheet!P"&amp;1+MATCH(aux_sheet!$B153,aux_sheet!$A$2:$A$202,0)))</f>
        <v/>
      </c>
      <c r="I154" s="89" t="str">
        <f ca="1">IF($B154="","",INDIRECT("aux_sheet!P"&amp;1+MATCH(aux_sheet!$B153,aux_sheet!$A$2:$A$202,0)))</f>
        <v/>
      </c>
      <c r="J154" s="106" t="str">
        <f ca="1">IF($B154="","",INDIRECT("aux_sheet!R"&amp;1+MATCH(aux_sheet!$B153,aux_sheet!$A$2:$A$202,0)))</f>
        <v/>
      </c>
      <c r="K154" s="89" t="str">
        <f ca="1">IF($B154="","",INDIRECT("aux_sheet!S"&amp;1+MATCH(aux_sheet!$B153,aux_sheet!$A$2:$A$202,0)))</f>
        <v/>
      </c>
      <c r="L154" s="89" t="str">
        <f ca="1">IF($B154="","",INDIRECT("aux_sheet!S"&amp;1+MATCH(aux_sheet!$B153,aux_sheet!$A$2:$A$202,0)))</f>
        <v/>
      </c>
      <c r="M154" s="106" t="str">
        <f ca="1">IF($B154="","",INDIRECT("aux_sheet!U"&amp;1+MATCH(aux_sheet!$B153,aux_sheet!$A$2:$A$202,0)))</f>
        <v/>
      </c>
      <c r="N154" s="89" t="str">
        <f ca="1">IF($B154="","",INDIRECT("aux_sheet!V"&amp;1+MATCH(aux_sheet!$B153,aux_sheet!$A$2:$A$202,0)))</f>
        <v/>
      </c>
      <c r="O154" s="89" t="str">
        <f ca="1">IF($B154="","",INDIRECT("aux_sheet!V"&amp;1+MATCH(aux_sheet!$B153,aux_sheet!$A$2:$A$202,0)))</f>
        <v/>
      </c>
      <c r="P154" s="106" t="str">
        <f ca="1">IF($B154="","",INDIRECT("aux_sheet!X"&amp;1+MATCH(aux_sheet!$B153,aux_sheet!$A$2:$A$202,0)))</f>
        <v/>
      </c>
      <c r="Q154" s="89" t="str">
        <f ca="1">IF($B154="","",INDIRECT("aux_sheet!Y"&amp;1+MATCH(aux_sheet!$B153,aux_sheet!$A$2:$A$202,0)))</f>
        <v/>
      </c>
      <c r="R154" s="89" t="str">
        <f ca="1">IF($B154="","",INDIRECT("aux_sheet!Y"&amp;1+MATCH(aux_sheet!$B153,aux_sheet!$A$2:$A$202,0)))</f>
        <v/>
      </c>
      <c r="S154" s="106" t="str">
        <f ca="1">IF($B154="","",INDIRECT("aux_sheet!AA"&amp;1+MATCH(aux_sheet!$B153,aux_sheet!$A$2:$A$202,0)))</f>
        <v/>
      </c>
      <c r="T154" s="89" t="str">
        <f ca="1">IF($B154="","",INDIRECT("aux_sheet!AB"&amp;1+MATCH(aux_sheet!$B153,aux_sheet!$A$2:$A$202,0)))</f>
        <v/>
      </c>
      <c r="U154" s="89" t="str">
        <f ca="1">IF($B154="","",INDIRECT("aux_sheet!AB"&amp;1+MATCH(aux_sheet!$B153,aux_sheet!$A$2:$A$202,0)))</f>
        <v/>
      </c>
      <c r="V154" s="106" t="str">
        <f ca="1">IF($B154="","",INDIRECT("aux_sheet!AD"&amp;1+MATCH(aux_sheet!$B153,aux_sheet!$A$2:$A$202,0)))</f>
        <v/>
      </c>
      <c r="W154" s="89" t="str">
        <f ca="1">IF($B154="","",INDIRECT("aux_sheet!AE"&amp;1+MATCH(aux_sheet!$B153,aux_sheet!$A$2:$A$202,0)))</f>
        <v/>
      </c>
      <c r="X154" s="89" t="str">
        <f ca="1">IF($B154="","",INDIRECT("aux_sheet!AE"&amp;1+MATCH(aux_sheet!$B153,aux_sheet!$A$2:$A$202,0)))</f>
        <v/>
      </c>
      <c r="Y154" s="106" t="str">
        <f ca="1">IF($B154="","",INDIRECT("aux_sheet!AG"&amp;1+MATCH(aux_sheet!$B153,aux_sheet!$A$2:$A$202,0)))</f>
        <v/>
      </c>
      <c r="Z154" s="89" t="str">
        <f ca="1">IF($B154="","",INDIRECT("aux_sheet!AH"&amp;1+MATCH(aux_sheet!$B153,aux_sheet!$A$2:$A$202,0)))</f>
        <v/>
      </c>
      <c r="AA154" s="89" t="str">
        <f ca="1">IF($B154="","",INDIRECT("aux_sheet!AH"&amp;1+MATCH(aux_sheet!$B153,aux_sheet!$A$2:$A$202,0)))</f>
        <v/>
      </c>
      <c r="AB154" s="106" t="str">
        <f ca="1">IF($B154="","",INDIRECT("aux_sheet!AJ"&amp;1+MATCH(aux_sheet!$B153,aux_sheet!$A$2:$A$202,0)))</f>
        <v/>
      </c>
      <c r="AC154" s="89" t="str">
        <f ca="1">IF($B154="","",INDIRECT("aux_sheet!AK"&amp;1+MATCH(aux_sheet!$B153,aux_sheet!$A$2:$A$202,0)))</f>
        <v/>
      </c>
      <c r="AD154" s="89" t="str">
        <f ca="1">IF($B154="","",INDIRECT("aux_sheet!AK"&amp;1+MATCH(aux_sheet!$B153,aux_sheet!$A$2:$A$202,0)))</f>
        <v/>
      </c>
      <c r="AE154" s="106" t="str">
        <f ca="1">IF($B154="","",INDIRECT("aux_sheet!AM"&amp;1+MATCH(aux_sheet!$B153,aux_sheet!$A$2:$A$202,0)))</f>
        <v/>
      </c>
      <c r="AF154" s="89" t="str">
        <f ca="1">IF($B154="","",INDIRECT("aux_sheet!AN"&amp;1+MATCH(aux_sheet!$B153,aux_sheet!$A$2:$A$202,0)))</f>
        <v/>
      </c>
      <c r="AG154" s="89" t="str">
        <f ca="1">IF($B154="","",INDIRECT("aux_sheet!AN"&amp;1+MATCH(aux_sheet!$B153,aux_sheet!$A$2:$A$202,0)))</f>
        <v/>
      </c>
      <c r="AH154" s="14" t="str">
        <f>IF(ISBLANK(Input!A153)," ",F153-F154)</f>
        <v xml:space="preserve"> </v>
      </c>
    </row>
    <row r="155" spans="1:34" x14ac:dyDescent="0.35">
      <c r="A155" s="2" t="str">
        <f>IF(ISBLANK(Input!A154),"",ROUNDDOWN(aux_sheet!B154,0))</f>
        <v/>
      </c>
      <c r="B155" s="2" t="str">
        <f ca="1">IF(ISBLANK(Input!A154),"",INDIRECT("Input!A"&amp;1+MATCH(aux_sheet!$B154,aux_sheet!$A$2:$A$202,0)))</f>
        <v/>
      </c>
      <c r="C155" s="2" t="str">
        <f ca="1">IF(ISBLANK(Input!B154),"",INDIRECT("Input!B"&amp;1+MATCH(aux_sheet!$B154,aux_sheet!$A$2:$A$202,0)))</f>
        <v/>
      </c>
      <c r="D155" s="2" t="str">
        <f ca="1">IF(ISBLANK(Input!C154),"",INDIRECT("Input!C"&amp;1+MATCH(aux_sheet!$B154,aux_sheet!$A$2:$A$202,0)))</f>
        <v/>
      </c>
      <c r="E155" s="2" t="str">
        <f ca="1">IF(ISBLANK(Input!D154),"",INDIRECT("Input!D"&amp;1+MATCH(aux_sheet!$B154,aux_sheet!$A$2:$A$202,0)))</f>
        <v/>
      </c>
      <c r="F155" s="11" t="str">
        <f ca="1">INDIRECT("Input!F"&amp;1+MATCH(aux_sheet!$B154,aux_sheet!$A$2:$A$202,0))</f>
        <v xml:space="preserve"> </v>
      </c>
      <c r="G155" s="106" t="str">
        <f ca="1">IF($B155="","",INDIRECT("aux_sheet!O"&amp;1+MATCH(aux_sheet!$B154,aux_sheet!$A$2:$A$202,0)))</f>
        <v/>
      </c>
      <c r="H155" s="89" t="str">
        <f ca="1">IF($B155="","",INDIRECT("aux_sheet!P"&amp;1+MATCH(aux_sheet!$B154,aux_sheet!$A$2:$A$202,0)))</f>
        <v/>
      </c>
      <c r="I155" s="89" t="str">
        <f ca="1">IF($B155="","",INDIRECT("aux_sheet!P"&amp;1+MATCH(aux_sheet!$B154,aux_sheet!$A$2:$A$202,0)))</f>
        <v/>
      </c>
      <c r="J155" s="106" t="str">
        <f ca="1">IF($B155="","",INDIRECT("aux_sheet!R"&amp;1+MATCH(aux_sheet!$B154,aux_sheet!$A$2:$A$202,0)))</f>
        <v/>
      </c>
      <c r="K155" s="89" t="str">
        <f ca="1">IF($B155="","",INDIRECT("aux_sheet!S"&amp;1+MATCH(aux_sheet!$B154,aux_sheet!$A$2:$A$202,0)))</f>
        <v/>
      </c>
      <c r="L155" s="89" t="str">
        <f ca="1">IF($B155="","",INDIRECT("aux_sheet!S"&amp;1+MATCH(aux_sheet!$B154,aux_sheet!$A$2:$A$202,0)))</f>
        <v/>
      </c>
      <c r="M155" s="106" t="str">
        <f ca="1">IF($B155="","",INDIRECT("aux_sheet!U"&amp;1+MATCH(aux_sheet!$B154,aux_sheet!$A$2:$A$202,0)))</f>
        <v/>
      </c>
      <c r="N155" s="89" t="str">
        <f ca="1">IF($B155="","",INDIRECT("aux_sheet!V"&amp;1+MATCH(aux_sheet!$B154,aux_sheet!$A$2:$A$202,0)))</f>
        <v/>
      </c>
      <c r="O155" s="89" t="str">
        <f ca="1">IF($B155="","",INDIRECT("aux_sheet!V"&amp;1+MATCH(aux_sheet!$B154,aux_sheet!$A$2:$A$202,0)))</f>
        <v/>
      </c>
      <c r="P155" s="106" t="str">
        <f ca="1">IF($B155="","",INDIRECT("aux_sheet!X"&amp;1+MATCH(aux_sheet!$B154,aux_sheet!$A$2:$A$202,0)))</f>
        <v/>
      </c>
      <c r="Q155" s="89" t="str">
        <f ca="1">IF($B155="","",INDIRECT("aux_sheet!Y"&amp;1+MATCH(aux_sheet!$B154,aux_sheet!$A$2:$A$202,0)))</f>
        <v/>
      </c>
      <c r="R155" s="89" t="str">
        <f ca="1">IF($B155="","",INDIRECT("aux_sheet!Y"&amp;1+MATCH(aux_sheet!$B154,aux_sheet!$A$2:$A$202,0)))</f>
        <v/>
      </c>
      <c r="S155" s="106" t="str">
        <f ca="1">IF($B155="","",INDIRECT("aux_sheet!AA"&amp;1+MATCH(aux_sheet!$B154,aux_sheet!$A$2:$A$202,0)))</f>
        <v/>
      </c>
      <c r="T155" s="89" t="str">
        <f ca="1">IF($B155="","",INDIRECT("aux_sheet!AB"&amp;1+MATCH(aux_sheet!$B154,aux_sheet!$A$2:$A$202,0)))</f>
        <v/>
      </c>
      <c r="U155" s="89" t="str">
        <f ca="1">IF($B155="","",INDIRECT("aux_sheet!AB"&amp;1+MATCH(aux_sheet!$B154,aux_sheet!$A$2:$A$202,0)))</f>
        <v/>
      </c>
      <c r="V155" s="106" t="str">
        <f ca="1">IF($B155="","",INDIRECT("aux_sheet!AD"&amp;1+MATCH(aux_sheet!$B154,aux_sheet!$A$2:$A$202,0)))</f>
        <v/>
      </c>
      <c r="W155" s="89" t="str">
        <f ca="1">IF($B155="","",INDIRECT("aux_sheet!AE"&amp;1+MATCH(aux_sheet!$B154,aux_sheet!$A$2:$A$202,0)))</f>
        <v/>
      </c>
      <c r="X155" s="89" t="str">
        <f ca="1">IF($B155="","",INDIRECT("aux_sheet!AE"&amp;1+MATCH(aux_sheet!$B154,aux_sheet!$A$2:$A$202,0)))</f>
        <v/>
      </c>
      <c r="Y155" s="106" t="str">
        <f ca="1">IF($B155="","",INDIRECT("aux_sheet!AG"&amp;1+MATCH(aux_sheet!$B154,aux_sheet!$A$2:$A$202,0)))</f>
        <v/>
      </c>
      <c r="Z155" s="89" t="str">
        <f ca="1">IF($B155="","",INDIRECT("aux_sheet!AH"&amp;1+MATCH(aux_sheet!$B154,aux_sheet!$A$2:$A$202,0)))</f>
        <v/>
      </c>
      <c r="AA155" s="89" t="str">
        <f ca="1">IF($B155="","",INDIRECT("aux_sheet!AH"&amp;1+MATCH(aux_sheet!$B154,aux_sheet!$A$2:$A$202,0)))</f>
        <v/>
      </c>
      <c r="AB155" s="106" t="str">
        <f ca="1">IF($B155="","",INDIRECT("aux_sheet!AJ"&amp;1+MATCH(aux_sheet!$B154,aux_sheet!$A$2:$A$202,0)))</f>
        <v/>
      </c>
      <c r="AC155" s="89" t="str">
        <f ca="1">IF($B155="","",INDIRECT("aux_sheet!AK"&amp;1+MATCH(aux_sheet!$B154,aux_sheet!$A$2:$A$202,0)))</f>
        <v/>
      </c>
      <c r="AD155" s="89" t="str">
        <f ca="1">IF($B155="","",INDIRECT("aux_sheet!AK"&amp;1+MATCH(aux_sheet!$B154,aux_sheet!$A$2:$A$202,0)))</f>
        <v/>
      </c>
      <c r="AE155" s="106" t="str">
        <f ca="1">IF($B155="","",INDIRECT("aux_sheet!AM"&amp;1+MATCH(aux_sheet!$B154,aux_sheet!$A$2:$A$202,0)))</f>
        <v/>
      </c>
      <c r="AF155" s="89" t="str">
        <f ca="1">IF($B155="","",INDIRECT("aux_sheet!AN"&amp;1+MATCH(aux_sheet!$B154,aux_sheet!$A$2:$A$202,0)))</f>
        <v/>
      </c>
      <c r="AG155" s="89" t="str">
        <f ca="1">IF($B155="","",INDIRECT("aux_sheet!AN"&amp;1+MATCH(aux_sheet!$B154,aux_sheet!$A$2:$A$202,0)))</f>
        <v/>
      </c>
      <c r="AH155" s="14" t="str">
        <f>IF(ISBLANK(Input!A154)," ",F154-F155)</f>
        <v xml:space="preserve"> </v>
      </c>
    </row>
    <row r="156" spans="1:34" x14ac:dyDescent="0.35">
      <c r="A156" s="2" t="str">
        <f>IF(ISBLANK(Input!A155),"",ROUNDDOWN(aux_sheet!B155,0))</f>
        <v/>
      </c>
      <c r="B156" s="2" t="str">
        <f ca="1">IF(ISBLANK(Input!A155),"",INDIRECT("Input!A"&amp;1+MATCH(aux_sheet!$B155,aux_sheet!$A$2:$A$202,0)))</f>
        <v/>
      </c>
      <c r="C156" s="2" t="str">
        <f ca="1">IF(ISBLANK(Input!B155),"",INDIRECT("Input!B"&amp;1+MATCH(aux_sheet!$B155,aux_sheet!$A$2:$A$202,0)))</f>
        <v/>
      </c>
      <c r="D156" s="2" t="str">
        <f ca="1">IF(ISBLANK(Input!C155),"",INDIRECT("Input!C"&amp;1+MATCH(aux_sheet!$B155,aux_sheet!$A$2:$A$202,0)))</f>
        <v/>
      </c>
      <c r="E156" s="2" t="str">
        <f ca="1">IF(ISBLANK(Input!D155),"",INDIRECT("Input!D"&amp;1+MATCH(aux_sheet!$B155,aux_sheet!$A$2:$A$202,0)))</f>
        <v/>
      </c>
      <c r="F156" s="11" t="str">
        <f ca="1">INDIRECT("Input!F"&amp;1+MATCH(aux_sheet!$B155,aux_sheet!$A$2:$A$202,0))</f>
        <v xml:space="preserve"> </v>
      </c>
      <c r="G156" s="106" t="str">
        <f ca="1">IF($B156="","",INDIRECT("aux_sheet!O"&amp;1+MATCH(aux_sheet!$B155,aux_sheet!$A$2:$A$202,0)))</f>
        <v/>
      </c>
      <c r="H156" s="89" t="str">
        <f ca="1">IF($B156="","",INDIRECT("aux_sheet!P"&amp;1+MATCH(aux_sheet!$B155,aux_sheet!$A$2:$A$202,0)))</f>
        <v/>
      </c>
      <c r="I156" s="89" t="str">
        <f ca="1">IF($B156="","",INDIRECT("aux_sheet!P"&amp;1+MATCH(aux_sheet!$B155,aux_sheet!$A$2:$A$202,0)))</f>
        <v/>
      </c>
      <c r="J156" s="106" t="str">
        <f ca="1">IF($B156="","",INDIRECT("aux_sheet!R"&amp;1+MATCH(aux_sheet!$B155,aux_sheet!$A$2:$A$202,0)))</f>
        <v/>
      </c>
      <c r="K156" s="89" t="str">
        <f ca="1">IF($B156="","",INDIRECT("aux_sheet!S"&amp;1+MATCH(aux_sheet!$B155,aux_sheet!$A$2:$A$202,0)))</f>
        <v/>
      </c>
      <c r="L156" s="89" t="str">
        <f ca="1">IF($B156="","",INDIRECT("aux_sheet!S"&amp;1+MATCH(aux_sheet!$B155,aux_sheet!$A$2:$A$202,0)))</f>
        <v/>
      </c>
      <c r="M156" s="106" t="str">
        <f ca="1">IF($B156="","",INDIRECT("aux_sheet!U"&amp;1+MATCH(aux_sheet!$B155,aux_sheet!$A$2:$A$202,0)))</f>
        <v/>
      </c>
      <c r="N156" s="89" t="str">
        <f ca="1">IF($B156="","",INDIRECT("aux_sheet!V"&amp;1+MATCH(aux_sheet!$B155,aux_sheet!$A$2:$A$202,0)))</f>
        <v/>
      </c>
      <c r="O156" s="89" t="str">
        <f ca="1">IF($B156="","",INDIRECT("aux_sheet!V"&amp;1+MATCH(aux_sheet!$B155,aux_sheet!$A$2:$A$202,0)))</f>
        <v/>
      </c>
      <c r="P156" s="106" t="str">
        <f ca="1">IF($B156="","",INDIRECT("aux_sheet!X"&amp;1+MATCH(aux_sheet!$B155,aux_sheet!$A$2:$A$202,0)))</f>
        <v/>
      </c>
      <c r="Q156" s="89" t="str">
        <f ca="1">IF($B156="","",INDIRECT("aux_sheet!Y"&amp;1+MATCH(aux_sheet!$B155,aux_sheet!$A$2:$A$202,0)))</f>
        <v/>
      </c>
      <c r="R156" s="89" t="str">
        <f ca="1">IF($B156="","",INDIRECT("aux_sheet!Y"&amp;1+MATCH(aux_sheet!$B155,aux_sheet!$A$2:$A$202,0)))</f>
        <v/>
      </c>
      <c r="S156" s="106" t="str">
        <f ca="1">IF($B156="","",INDIRECT("aux_sheet!AA"&amp;1+MATCH(aux_sheet!$B155,aux_sheet!$A$2:$A$202,0)))</f>
        <v/>
      </c>
      <c r="T156" s="89" t="str">
        <f ca="1">IF($B156="","",INDIRECT("aux_sheet!AB"&amp;1+MATCH(aux_sheet!$B155,aux_sheet!$A$2:$A$202,0)))</f>
        <v/>
      </c>
      <c r="U156" s="89" t="str">
        <f ca="1">IF($B156="","",INDIRECT("aux_sheet!AB"&amp;1+MATCH(aux_sheet!$B155,aux_sheet!$A$2:$A$202,0)))</f>
        <v/>
      </c>
      <c r="V156" s="106" t="str">
        <f ca="1">IF($B156="","",INDIRECT("aux_sheet!AD"&amp;1+MATCH(aux_sheet!$B155,aux_sheet!$A$2:$A$202,0)))</f>
        <v/>
      </c>
      <c r="W156" s="89" t="str">
        <f ca="1">IF($B156="","",INDIRECT("aux_sheet!AE"&amp;1+MATCH(aux_sheet!$B155,aux_sheet!$A$2:$A$202,0)))</f>
        <v/>
      </c>
      <c r="X156" s="89" t="str">
        <f ca="1">IF($B156="","",INDIRECT("aux_sheet!AE"&amp;1+MATCH(aux_sheet!$B155,aux_sheet!$A$2:$A$202,0)))</f>
        <v/>
      </c>
      <c r="Y156" s="106" t="str">
        <f ca="1">IF($B156="","",INDIRECT("aux_sheet!AG"&amp;1+MATCH(aux_sheet!$B155,aux_sheet!$A$2:$A$202,0)))</f>
        <v/>
      </c>
      <c r="Z156" s="89" t="str">
        <f ca="1">IF($B156="","",INDIRECT("aux_sheet!AH"&amp;1+MATCH(aux_sheet!$B155,aux_sheet!$A$2:$A$202,0)))</f>
        <v/>
      </c>
      <c r="AA156" s="89" t="str">
        <f ca="1">IF($B156="","",INDIRECT("aux_sheet!AH"&amp;1+MATCH(aux_sheet!$B155,aux_sheet!$A$2:$A$202,0)))</f>
        <v/>
      </c>
      <c r="AB156" s="106" t="str">
        <f ca="1">IF($B156="","",INDIRECT("aux_sheet!AJ"&amp;1+MATCH(aux_sheet!$B155,aux_sheet!$A$2:$A$202,0)))</f>
        <v/>
      </c>
      <c r="AC156" s="89" t="str">
        <f ca="1">IF($B156="","",INDIRECT("aux_sheet!AK"&amp;1+MATCH(aux_sheet!$B155,aux_sheet!$A$2:$A$202,0)))</f>
        <v/>
      </c>
      <c r="AD156" s="89" t="str">
        <f ca="1">IF($B156="","",INDIRECT("aux_sheet!AK"&amp;1+MATCH(aux_sheet!$B155,aux_sheet!$A$2:$A$202,0)))</f>
        <v/>
      </c>
      <c r="AE156" s="106" t="str">
        <f ca="1">IF($B156="","",INDIRECT("aux_sheet!AM"&amp;1+MATCH(aux_sheet!$B155,aux_sheet!$A$2:$A$202,0)))</f>
        <v/>
      </c>
      <c r="AF156" s="89" t="str">
        <f ca="1">IF($B156="","",INDIRECT("aux_sheet!AN"&amp;1+MATCH(aux_sheet!$B155,aux_sheet!$A$2:$A$202,0)))</f>
        <v/>
      </c>
      <c r="AG156" s="89" t="str">
        <f ca="1">IF($B156="","",INDIRECT("aux_sheet!AN"&amp;1+MATCH(aux_sheet!$B155,aux_sheet!$A$2:$A$202,0)))</f>
        <v/>
      </c>
      <c r="AH156" s="14" t="str">
        <f>IF(ISBLANK(Input!A155)," ",F155-F156)</f>
        <v xml:space="preserve"> </v>
      </c>
    </row>
    <row r="157" spans="1:34" x14ac:dyDescent="0.35">
      <c r="A157" s="2" t="str">
        <f>IF(ISBLANK(Input!A156),"",ROUNDDOWN(aux_sheet!B156,0))</f>
        <v/>
      </c>
      <c r="B157" s="2" t="str">
        <f ca="1">IF(ISBLANK(Input!A156),"",INDIRECT("Input!A"&amp;1+MATCH(aux_sheet!$B156,aux_sheet!$A$2:$A$202,0)))</f>
        <v/>
      </c>
      <c r="C157" s="2" t="str">
        <f ca="1">IF(ISBLANK(Input!B156),"",INDIRECT("Input!B"&amp;1+MATCH(aux_sheet!$B156,aux_sheet!$A$2:$A$202,0)))</f>
        <v/>
      </c>
      <c r="D157" s="2" t="str">
        <f ca="1">IF(ISBLANK(Input!C156),"",INDIRECT("Input!C"&amp;1+MATCH(aux_sheet!$B156,aux_sheet!$A$2:$A$202,0)))</f>
        <v/>
      </c>
      <c r="E157" s="2" t="str">
        <f ca="1">IF(ISBLANK(Input!D156),"",INDIRECT("Input!D"&amp;1+MATCH(aux_sheet!$B156,aux_sheet!$A$2:$A$202,0)))</f>
        <v/>
      </c>
      <c r="F157" s="11" t="str">
        <f ca="1">INDIRECT("Input!F"&amp;1+MATCH(aux_sheet!$B156,aux_sheet!$A$2:$A$202,0))</f>
        <v xml:space="preserve"> </v>
      </c>
      <c r="G157" s="106" t="str">
        <f ca="1">IF($B157="","",INDIRECT("aux_sheet!O"&amp;1+MATCH(aux_sheet!$B156,aux_sheet!$A$2:$A$202,0)))</f>
        <v/>
      </c>
      <c r="H157" s="89" t="str">
        <f ca="1">IF($B157="","",INDIRECT("aux_sheet!P"&amp;1+MATCH(aux_sheet!$B156,aux_sheet!$A$2:$A$202,0)))</f>
        <v/>
      </c>
      <c r="I157" s="89" t="str">
        <f ca="1">IF($B157="","",INDIRECT("aux_sheet!P"&amp;1+MATCH(aux_sheet!$B156,aux_sheet!$A$2:$A$202,0)))</f>
        <v/>
      </c>
      <c r="J157" s="106" t="str">
        <f ca="1">IF($B157="","",INDIRECT("aux_sheet!R"&amp;1+MATCH(aux_sheet!$B156,aux_sheet!$A$2:$A$202,0)))</f>
        <v/>
      </c>
      <c r="K157" s="89" t="str">
        <f ca="1">IF($B157="","",INDIRECT("aux_sheet!S"&amp;1+MATCH(aux_sheet!$B156,aux_sheet!$A$2:$A$202,0)))</f>
        <v/>
      </c>
      <c r="L157" s="89" t="str">
        <f ca="1">IF($B157="","",INDIRECT("aux_sheet!S"&amp;1+MATCH(aux_sheet!$B156,aux_sheet!$A$2:$A$202,0)))</f>
        <v/>
      </c>
      <c r="M157" s="106" t="str">
        <f ca="1">IF($B157="","",INDIRECT("aux_sheet!U"&amp;1+MATCH(aux_sheet!$B156,aux_sheet!$A$2:$A$202,0)))</f>
        <v/>
      </c>
      <c r="N157" s="89" t="str">
        <f ca="1">IF($B157="","",INDIRECT("aux_sheet!V"&amp;1+MATCH(aux_sheet!$B156,aux_sheet!$A$2:$A$202,0)))</f>
        <v/>
      </c>
      <c r="O157" s="89" t="str">
        <f ca="1">IF($B157="","",INDIRECT("aux_sheet!V"&amp;1+MATCH(aux_sheet!$B156,aux_sheet!$A$2:$A$202,0)))</f>
        <v/>
      </c>
      <c r="P157" s="106" t="str">
        <f ca="1">IF($B157="","",INDIRECT("aux_sheet!X"&amp;1+MATCH(aux_sheet!$B156,aux_sheet!$A$2:$A$202,0)))</f>
        <v/>
      </c>
      <c r="Q157" s="89" t="str">
        <f ca="1">IF($B157="","",INDIRECT("aux_sheet!Y"&amp;1+MATCH(aux_sheet!$B156,aux_sheet!$A$2:$A$202,0)))</f>
        <v/>
      </c>
      <c r="R157" s="89" t="str">
        <f ca="1">IF($B157="","",INDIRECT("aux_sheet!Y"&amp;1+MATCH(aux_sheet!$B156,aux_sheet!$A$2:$A$202,0)))</f>
        <v/>
      </c>
      <c r="S157" s="106" t="str">
        <f ca="1">IF($B157="","",INDIRECT("aux_sheet!AA"&amp;1+MATCH(aux_sheet!$B156,aux_sheet!$A$2:$A$202,0)))</f>
        <v/>
      </c>
      <c r="T157" s="89" t="str">
        <f ca="1">IF($B157="","",INDIRECT("aux_sheet!AB"&amp;1+MATCH(aux_sheet!$B156,aux_sheet!$A$2:$A$202,0)))</f>
        <v/>
      </c>
      <c r="U157" s="89" t="str">
        <f ca="1">IF($B157="","",INDIRECT("aux_sheet!AB"&amp;1+MATCH(aux_sheet!$B156,aux_sheet!$A$2:$A$202,0)))</f>
        <v/>
      </c>
      <c r="V157" s="106" t="str">
        <f ca="1">IF($B157="","",INDIRECT("aux_sheet!AD"&amp;1+MATCH(aux_sheet!$B156,aux_sheet!$A$2:$A$202,0)))</f>
        <v/>
      </c>
      <c r="W157" s="89" t="str">
        <f ca="1">IF($B157="","",INDIRECT("aux_sheet!AE"&amp;1+MATCH(aux_sheet!$B156,aux_sheet!$A$2:$A$202,0)))</f>
        <v/>
      </c>
      <c r="X157" s="89" t="str">
        <f ca="1">IF($B157="","",INDIRECT("aux_sheet!AE"&amp;1+MATCH(aux_sheet!$B156,aux_sheet!$A$2:$A$202,0)))</f>
        <v/>
      </c>
      <c r="Y157" s="106" t="str">
        <f ca="1">IF($B157="","",INDIRECT("aux_sheet!AG"&amp;1+MATCH(aux_sheet!$B156,aux_sheet!$A$2:$A$202,0)))</f>
        <v/>
      </c>
      <c r="Z157" s="89" t="str">
        <f ca="1">IF($B157="","",INDIRECT("aux_sheet!AH"&amp;1+MATCH(aux_sheet!$B156,aux_sheet!$A$2:$A$202,0)))</f>
        <v/>
      </c>
      <c r="AA157" s="89" t="str">
        <f ca="1">IF($B157="","",INDIRECT("aux_sheet!AH"&amp;1+MATCH(aux_sheet!$B156,aux_sheet!$A$2:$A$202,0)))</f>
        <v/>
      </c>
      <c r="AB157" s="106" t="str">
        <f ca="1">IF($B157="","",INDIRECT("aux_sheet!AJ"&amp;1+MATCH(aux_sheet!$B156,aux_sheet!$A$2:$A$202,0)))</f>
        <v/>
      </c>
      <c r="AC157" s="89" t="str">
        <f ca="1">IF($B157="","",INDIRECT("aux_sheet!AK"&amp;1+MATCH(aux_sheet!$B156,aux_sheet!$A$2:$A$202,0)))</f>
        <v/>
      </c>
      <c r="AD157" s="89" t="str">
        <f ca="1">IF($B157="","",INDIRECT("aux_sheet!AK"&amp;1+MATCH(aux_sheet!$B156,aux_sheet!$A$2:$A$202,0)))</f>
        <v/>
      </c>
      <c r="AE157" s="106" t="str">
        <f ca="1">IF($B157="","",INDIRECT("aux_sheet!AM"&amp;1+MATCH(aux_sheet!$B156,aux_sheet!$A$2:$A$202,0)))</f>
        <v/>
      </c>
      <c r="AF157" s="89" t="str">
        <f ca="1">IF($B157="","",INDIRECT("aux_sheet!AN"&amp;1+MATCH(aux_sheet!$B156,aux_sheet!$A$2:$A$202,0)))</f>
        <v/>
      </c>
      <c r="AG157" s="89" t="str">
        <f ca="1">IF($B157="","",INDIRECT("aux_sheet!AN"&amp;1+MATCH(aux_sheet!$B156,aux_sheet!$A$2:$A$202,0)))</f>
        <v/>
      </c>
      <c r="AH157" s="14" t="str">
        <f>IF(ISBLANK(Input!A156)," ",F156-F157)</f>
        <v xml:space="preserve"> </v>
      </c>
    </row>
    <row r="158" spans="1:34" x14ac:dyDescent="0.35">
      <c r="A158" s="2" t="str">
        <f>IF(ISBLANK(Input!A157),"",ROUNDDOWN(aux_sheet!B157,0))</f>
        <v/>
      </c>
      <c r="B158" s="2" t="str">
        <f ca="1">IF(ISBLANK(Input!A157),"",INDIRECT("Input!A"&amp;1+MATCH(aux_sheet!$B157,aux_sheet!$A$2:$A$202,0)))</f>
        <v/>
      </c>
      <c r="C158" s="2" t="str">
        <f ca="1">IF(ISBLANK(Input!B157),"",INDIRECT("Input!B"&amp;1+MATCH(aux_sheet!$B157,aux_sheet!$A$2:$A$202,0)))</f>
        <v/>
      </c>
      <c r="D158" s="2" t="str">
        <f ca="1">IF(ISBLANK(Input!C157),"",INDIRECT("Input!C"&amp;1+MATCH(aux_sheet!$B157,aux_sheet!$A$2:$A$202,0)))</f>
        <v/>
      </c>
      <c r="E158" s="2" t="str">
        <f ca="1">IF(ISBLANK(Input!D157),"",INDIRECT("Input!D"&amp;1+MATCH(aux_sheet!$B157,aux_sheet!$A$2:$A$202,0)))</f>
        <v/>
      </c>
      <c r="F158" s="11" t="str">
        <f ca="1">INDIRECT("Input!F"&amp;1+MATCH(aux_sheet!$B157,aux_sheet!$A$2:$A$202,0))</f>
        <v xml:space="preserve"> </v>
      </c>
      <c r="G158" s="106" t="str">
        <f ca="1">IF($B158="","",INDIRECT("aux_sheet!O"&amp;1+MATCH(aux_sheet!$B157,aux_sheet!$A$2:$A$202,0)))</f>
        <v/>
      </c>
      <c r="H158" s="89" t="str">
        <f ca="1">IF($B158="","",INDIRECT("aux_sheet!P"&amp;1+MATCH(aux_sheet!$B157,aux_sheet!$A$2:$A$202,0)))</f>
        <v/>
      </c>
      <c r="I158" s="89" t="str">
        <f ca="1">IF($B158="","",INDIRECT("aux_sheet!P"&amp;1+MATCH(aux_sheet!$B157,aux_sheet!$A$2:$A$202,0)))</f>
        <v/>
      </c>
      <c r="J158" s="106" t="str">
        <f ca="1">IF($B158="","",INDIRECT("aux_sheet!R"&amp;1+MATCH(aux_sheet!$B157,aux_sheet!$A$2:$A$202,0)))</f>
        <v/>
      </c>
      <c r="K158" s="89" t="str">
        <f ca="1">IF($B158="","",INDIRECT("aux_sheet!S"&amp;1+MATCH(aux_sheet!$B157,aux_sheet!$A$2:$A$202,0)))</f>
        <v/>
      </c>
      <c r="L158" s="89" t="str">
        <f ca="1">IF($B158="","",INDIRECT("aux_sheet!S"&amp;1+MATCH(aux_sheet!$B157,aux_sheet!$A$2:$A$202,0)))</f>
        <v/>
      </c>
      <c r="M158" s="106" t="str">
        <f ca="1">IF($B158="","",INDIRECT("aux_sheet!U"&amp;1+MATCH(aux_sheet!$B157,aux_sheet!$A$2:$A$202,0)))</f>
        <v/>
      </c>
      <c r="N158" s="89" t="str">
        <f ca="1">IF($B158="","",INDIRECT("aux_sheet!V"&amp;1+MATCH(aux_sheet!$B157,aux_sheet!$A$2:$A$202,0)))</f>
        <v/>
      </c>
      <c r="O158" s="89" t="str">
        <f ca="1">IF($B158="","",INDIRECT("aux_sheet!V"&amp;1+MATCH(aux_sheet!$B157,aux_sheet!$A$2:$A$202,0)))</f>
        <v/>
      </c>
      <c r="P158" s="106" t="str">
        <f ca="1">IF($B158="","",INDIRECT("aux_sheet!X"&amp;1+MATCH(aux_sheet!$B157,aux_sheet!$A$2:$A$202,0)))</f>
        <v/>
      </c>
      <c r="Q158" s="89" t="str">
        <f ca="1">IF($B158="","",INDIRECT("aux_sheet!Y"&amp;1+MATCH(aux_sheet!$B157,aux_sheet!$A$2:$A$202,0)))</f>
        <v/>
      </c>
      <c r="R158" s="89" t="str">
        <f ca="1">IF($B158="","",INDIRECT("aux_sheet!Y"&amp;1+MATCH(aux_sheet!$B157,aux_sheet!$A$2:$A$202,0)))</f>
        <v/>
      </c>
      <c r="S158" s="106" t="str">
        <f ca="1">IF($B158="","",INDIRECT("aux_sheet!AA"&amp;1+MATCH(aux_sheet!$B157,aux_sheet!$A$2:$A$202,0)))</f>
        <v/>
      </c>
      <c r="T158" s="89" t="str">
        <f ca="1">IF($B158="","",INDIRECT("aux_sheet!AB"&amp;1+MATCH(aux_sheet!$B157,aux_sheet!$A$2:$A$202,0)))</f>
        <v/>
      </c>
      <c r="U158" s="89" t="str">
        <f ca="1">IF($B158="","",INDIRECT("aux_sheet!AB"&amp;1+MATCH(aux_sheet!$B157,aux_sheet!$A$2:$A$202,0)))</f>
        <v/>
      </c>
      <c r="V158" s="106" t="str">
        <f ca="1">IF($B158="","",INDIRECT("aux_sheet!AD"&amp;1+MATCH(aux_sheet!$B157,aux_sheet!$A$2:$A$202,0)))</f>
        <v/>
      </c>
      <c r="W158" s="89" t="str">
        <f ca="1">IF($B158="","",INDIRECT("aux_sheet!AE"&amp;1+MATCH(aux_sheet!$B157,aux_sheet!$A$2:$A$202,0)))</f>
        <v/>
      </c>
      <c r="X158" s="89" t="str">
        <f ca="1">IF($B158="","",INDIRECT("aux_sheet!AE"&amp;1+MATCH(aux_sheet!$B157,aux_sheet!$A$2:$A$202,0)))</f>
        <v/>
      </c>
      <c r="Y158" s="106" t="str">
        <f ca="1">IF($B158="","",INDIRECT("aux_sheet!AG"&amp;1+MATCH(aux_sheet!$B157,aux_sheet!$A$2:$A$202,0)))</f>
        <v/>
      </c>
      <c r="Z158" s="89" t="str">
        <f ca="1">IF($B158="","",INDIRECT("aux_sheet!AH"&amp;1+MATCH(aux_sheet!$B157,aux_sheet!$A$2:$A$202,0)))</f>
        <v/>
      </c>
      <c r="AA158" s="89" t="str">
        <f ca="1">IF($B158="","",INDIRECT("aux_sheet!AH"&amp;1+MATCH(aux_sheet!$B157,aux_sheet!$A$2:$A$202,0)))</f>
        <v/>
      </c>
      <c r="AB158" s="106" t="str">
        <f ca="1">IF($B158="","",INDIRECT("aux_sheet!AJ"&amp;1+MATCH(aux_sheet!$B157,aux_sheet!$A$2:$A$202,0)))</f>
        <v/>
      </c>
      <c r="AC158" s="89" t="str">
        <f ca="1">IF($B158="","",INDIRECT("aux_sheet!AK"&amp;1+MATCH(aux_sheet!$B157,aux_sheet!$A$2:$A$202,0)))</f>
        <v/>
      </c>
      <c r="AD158" s="89" t="str">
        <f ca="1">IF($B158="","",INDIRECT("aux_sheet!AK"&amp;1+MATCH(aux_sheet!$B157,aux_sheet!$A$2:$A$202,0)))</f>
        <v/>
      </c>
      <c r="AE158" s="106" t="str">
        <f ca="1">IF($B158="","",INDIRECT("aux_sheet!AM"&amp;1+MATCH(aux_sheet!$B157,aux_sheet!$A$2:$A$202,0)))</f>
        <v/>
      </c>
      <c r="AF158" s="89" t="str">
        <f ca="1">IF($B158="","",INDIRECT("aux_sheet!AN"&amp;1+MATCH(aux_sheet!$B157,aux_sheet!$A$2:$A$202,0)))</f>
        <v/>
      </c>
      <c r="AG158" s="89" t="str">
        <f ca="1">IF($B158="","",INDIRECT("aux_sheet!AN"&amp;1+MATCH(aux_sheet!$B157,aux_sheet!$A$2:$A$202,0)))</f>
        <v/>
      </c>
      <c r="AH158" s="14" t="str">
        <f>IF(ISBLANK(Input!A157)," ",F157-F158)</f>
        <v xml:space="preserve"> </v>
      </c>
    </row>
    <row r="159" spans="1:34" x14ac:dyDescent="0.35">
      <c r="A159" s="2" t="str">
        <f>IF(ISBLANK(Input!A158),"",ROUNDDOWN(aux_sheet!B158,0))</f>
        <v/>
      </c>
      <c r="B159" s="2" t="str">
        <f ca="1">IF(ISBLANK(Input!A158),"",INDIRECT("Input!A"&amp;1+MATCH(aux_sheet!$B158,aux_sheet!$A$2:$A$202,0)))</f>
        <v/>
      </c>
      <c r="C159" s="2" t="str">
        <f ca="1">IF(ISBLANK(Input!B158),"",INDIRECT("Input!B"&amp;1+MATCH(aux_sheet!$B158,aux_sheet!$A$2:$A$202,0)))</f>
        <v/>
      </c>
      <c r="D159" s="2" t="str">
        <f ca="1">IF(ISBLANK(Input!C158),"",INDIRECT("Input!C"&amp;1+MATCH(aux_sheet!$B158,aux_sheet!$A$2:$A$202,0)))</f>
        <v/>
      </c>
      <c r="E159" s="2" t="str">
        <f ca="1">IF(ISBLANK(Input!D158),"",INDIRECT("Input!D"&amp;1+MATCH(aux_sheet!$B158,aux_sheet!$A$2:$A$202,0)))</f>
        <v/>
      </c>
      <c r="F159" s="11" t="str">
        <f ca="1">INDIRECT("Input!F"&amp;1+MATCH(aux_sheet!$B158,aux_sheet!$A$2:$A$202,0))</f>
        <v xml:space="preserve"> </v>
      </c>
      <c r="G159" s="106" t="str">
        <f ca="1">IF($B159="","",INDIRECT("aux_sheet!O"&amp;1+MATCH(aux_sheet!$B158,aux_sheet!$A$2:$A$202,0)))</f>
        <v/>
      </c>
      <c r="H159" s="89" t="str">
        <f ca="1">IF($B159="","",INDIRECT("aux_sheet!P"&amp;1+MATCH(aux_sheet!$B158,aux_sheet!$A$2:$A$202,0)))</f>
        <v/>
      </c>
      <c r="I159" s="89" t="str">
        <f ca="1">IF($B159="","",INDIRECT("aux_sheet!P"&amp;1+MATCH(aux_sheet!$B158,aux_sheet!$A$2:$A$202,0)))</f>
        <v/>
      </c>
      <c r="J159" s="106" t="str">
        <f ca="1">IF($B159="","",INDIRECT("aux_sheet!R"&amp;1+MATCH(aux_sheet!$B158,aux_sheet!$A$2:$A$202,0)))</f>
        <v/>
      </c>
      <c r="K159" s="89" t="str">
        <f ca="1">IF($B159="","",INDIRECT("aux_sheet!S"&amp;1+MATCH(aux_sheet!$B158,aux_sheet!$A$2:$A$202,0)))</f>
        <v/>
      </c>
      <c r="L159" s="89" t="str">
        <f ca="1">IF($B159="","",INDIRECT("aux_sheet!S"&amp;1+MATCH(aux_sheet!$B158,aux_sheet!$A$2:$A$202,0)))</f>
        <v/>
      </c>
      <c r="M159" s="106" t="str">
        <f ca="1">IF($B159="","",INDIRECT("aux_sheet!U"&amp;1+MATCH(aux_sheet!$B158,aux_sheet!$A$2:$A$202,0)))</f>
        <v/>
      </c>
      <c r="N159" s="89" t="str">
        <f ca="1">IF($B159="","",INDIRECT("aux_sheet!V"&amp;1+MATCH(aux_sheet!$B158,aux_sheet!$A$2:$A$202,0)))</f>
        <v/>
      </c>
      <c r="O159" s="89" t="str">
        <f ca="1">IF($B159="","",INDIRECT("aux_sheet!V"&amp;1+MATCH(aux_sheet!$B158,aux_sheet!$A$2:$A$202,0)))</f>
        <v/>
      </c>
      <c r="P159" s="106" t="str">
        <f ca="1">IF($B159="","",INDIRECT("aux_sheet!X"&amp;1+MATCH(aux_sheet!$B158,aux_sheet!$A$2:$A$202,0)))</f>
        <v/>
      </c>
      <c r="Q159" s="89" t="str">
        <f ca="1">IF($B159="","",INDIRECT("aux_sheet!Y"&amp;1+MATCH(aux_sheet!$B158,aux_sheet!$A$2:$A$202,0)))</f>
        <v/>
      </c>
      <c r="R159" s="89" t="str">
        <f ca="1">IF($B159="","",INDIRECT("aux_sheet!Y"&amp;1+MATCH(aux_sheet!$B158,aux_sheet!$A$2:$A$202,0)))</f>
        <v/>
      </c>
      <c r="S159" s="106" t="str">
        <f ca="1">IF($B159="","",INDIRECT("aux_sheet!AA"&amp;1+MATCH(aux_sheet!$B158,aux_sheet!$A$2:$A$202,0)))</f>
        <v/>
      </c>
      <c r="T159" s="89" t="str">
        <f ca="1">IF($B159="","",INDIRECT("aux_sheet!AB"&amp;1+MATCH(aux_sheet!$B158,aux_sheet!$A$2:$A$202,0)))</f>
        <v/>
      </c>
      <c r="U159" s="89" t="str">
        <f ca="1">IF($B159="","",INDIRECT("aux_sheet!AB"&amp;1+MATCH(aux_sheet!$B158,aux_sheet!$A$2:$A$202,0)))</f>
        <v/>
      </c>
      <c r="V159" s="106" t="str">
        <f ca="1">IF($B159="","",INDIRECT("aux_sheet!AD"&amp;1+MATCH(aux_sheet!$B158,aux_sheet!$A$2:$A$202,0)))</f>
        <v/>
      </c>
      <c r="W159" s="89" t="str">
        <f ca="1">IF($B159="","",INDIRECT("aux_sheet!AE"&amp;1+MATCH(aux_sheet!$B158,aux_sheet!$A$2:$A$202,0)))</f>
        <v/>
      </c>
      <c r="X159" s="89" t="str">
        <f ca="1">IF($B159="","",INDIRECT("aux_sheet!AE"&amp;1+MATCH(aux_sheet!$B158,aux_sheet!$A$2:$A$202,0)))</f>
        <v/>
      </c>
      <c r="Y159" s="106" t="str">
        <f ca="1">IF($B159="","",INDIRECT("aux_sheet!AG"&amp;1+MATCH(aux_sheet!$B158,aux_sheet!$A$2:$A$202,0)))</f>
        <v/>
      </c>
      <c r="Z159" s="89" t="str">
        <f ca="1">IF($B159="","",INDIRECT("aux_sheet!AH"&amp;1+MATCH(aux_sheet!$B158,aux_sheet!$A$2:$A$202,0)))</f>
        <v/>
      </c>
      <c r="AA159" s="89" t="str">
        <f ca="1">IF($B159="","",INDIRECT("aux_sheet!AH"&amp;1+MATCH(aux_sheet!$B158,aux_sheet!$A$2:$A$202,0)))</f>
        <v/>
      </c>
      <c r="AB159" s="106" t="str">
        <f ca="1">IF($B159="","",INDIRECT("aux_sheet!AJ"&amp;1+MATCH(aux_sheet!$B158,aux_sheet!$A$2:$A$202,0)))</f>
        <v/>
      </c>
      <c r="AC159" s="89" t="str">
        <f ca="1">IF($B159="","",INDIRECT("aux_sheet!AK"&amp;1+MATCH(aux_sheet!$B158,aux_sheet!$A$2:$A$202,0)))</f>
        <v/>
      </c>
      <c r="AD159" s="89" t="str">
        <f ca="1">IF($B159="","",INDIRECT("aux_sheet!AK"&amp;1+MATCH(aux_sheet!$B158,aux_sheet!$A$2:$A$202,0)))</f>
        <v/>
      </c>
      <c r="AE159" s="106" t="str">
        <f ca="1">IF($B159="","",INDIRECT("aux_sheet!AM"&amp;1+MATCH(aux_sheet!$B158,aux_sheet!$A$2:$A$202,0)))</f>
        <v/>
      </c>
      <c r="AF159" s="89" t="str">
        <f ca="1">IF($B159="","",INDIRECT("aux_sheet!AN"&amp;1+MATCH(aux_sheet!$B158,aux_sheet!$A$2:$A$202,0)))</f>
        <v/>
      </c>
      <c r="AG159" s="89" t="str">
        <f ca="1">IF($B159="","",INDIRECT("aux_sheet!AN"&amp;1+MATCH(aux_sheet!$B158,aux_sheet!$A$2:$A$202,0)))</f>
        <v/>
      </c>
      <c r="AH159" s="14" t="str">
        <f>IF(ISBLANK(Input!A158)," ",F158-F159)</f>
        <v xml:space="preserve"> </v>
      </c>
    </row>
    <row r="160" spans="1:34" x14ac:dyDescent="0.35">
      <c r="A160" s="2" t="str">
        <f>IF(ISBLANK(Input!A159),"",ROUNDDOWN(aux_sheet!B159,0))</f>
        <v/>
      </c>
      <c r="B160" s="2" t="str">
        <f ca="1">IF(ISBLANK(Input!A159),"",INDIRECT("Input!A"&amp;1+MATCH(aux_sheet!$B159,aux_sheet!$A$2:$A$202,0)))</f>
        <v/>
      </c>
      <c r="C160" s="2" t="str">
        <f ca="1">IF(ISBLANK(Input!B159),"",INDIRECT("Input!B"&amp;1+MATCH(aux_sheet!$B159,aux_sheet!$A$2:$A$202,0)))</f>
        <v/>
      </c>
      <c r="D160" s="2" t="str">
        <f ca="1">IF(ISBLANK(Input!C159),"",INDIRECT("Input!C"&amp;1+MATCH(aux_sheet!$B159,aux_sheet!$A$2:$A$202,0)))</f>
        <v/>
      </c>
      <c r="E160" s="2" t="str">
        <f ca="1">IF(ISBLANK(Input!D159),"",INDIRECT("Input!D"&amp;1+MATCH(aux_sheet!$B159,aux_sheet!$A$2:$A$202,0)))</f>
        <v/>
      </c>
      <c r="F160" s="11" t="str">
        <f ca="1">INDIRECT("Input!F"&amp;1+MATCH(aux_sheet!$B159,aux_sheet!$A$2:$A$202,0))</f>
        <v xml:space="preserve"> </v>
      </c>
      <c r="G160" s="106" t="str">
        <f ca="1">IF($B160="","",INDIRECT("aux_sheet!O"&amp;1+MATCH(aux_sheet!$B159,aux_sheet!$A$2:$A$202,0)))</f>
        <v/>
      </c>
      <c r="H160" s="89" t="str">
        <f ca="1">IF($B160="","",INDIRECT("aux_sheet!P"&amp;1+MATCH(aux_sheet!$B159,aux_sheet!$A$2:$A$202,0)))</f>
        <v/>
      </c>
      <c r="I160" s="89" t="str">
        <f ca="1">IF($B160="","",INDIRECT("aux_sheet!P"&amp;1+MATCH(aux_sheet!$B159,aux_sheet!$A$2:$A$202,0)))</f>
        <v/>
      </c>
      <c r="J160" s="106" t="str">
        <f ca="1">IF($B160="","",INDIRECT("aux_sheet!R"&amp;1+MATCH(aux_sheet!$B159,aux_sheet!$A$2:$A$202,0)))</f>
        <v/>
      </c>
      <c r="K160" s="89" t="str">
        <f ca="1">IF($B160="","",INDIRECT("aux_sheet!S"&amp;1+MATCH(aux_sheet!$B159,aux_sheet!$A$2:$A$202,0)))</f>
        <v/>
      </c>
      <c r="L160" s="89" t="str">
        <f ca="1">IF($B160="","",INDIRECT("aux_sheet!S"&amp;1+MATCH(aux_sheet!$B159,aux_sheet!$A$2:$A$202,0)))</f>
        <v/>
      </c>
      <c r="M160" s="106" t="str">
        <f ca="1">IF($B160="","",INDIRECT("aux_sheet!U"&amp;1+MATCH(aux_sheet!$B159,aux_sheet!$A$2:$A$202,0)))</f>
        <v/>
      </c>
      <c r="N160" s="89" t="str">
        <f ca="1">IF($B160="","",INDIRECT("aux_sheet!V"&amp;1+MATCH(aux_sheet!$B159,aux_sheet!$A$2:$A$202,0)))</f>
        <v/>
      </c>
      <c r="O160" s="89" t="str">
        <f ca="1">IF($B160="","",INDIRECT("aux_sheet!V"&amp;1+MATCH(aux_sheet!$B159,aux_sheet!$A$2:$A$202,0)))</f>
        <v/>
      </c>
      <c r="P160" s="106" t="str">
        <f ca="1">IF($B160="","",INDIRECT("aux_sheet!X"&amp;1+MATCH(aux_sheet!$B159,aux_sheet!$A$2:$A$202,0)))</f>
        <v/>
      </c>
      <c r="Q160" s="89" t="str">
        <f ca="1">IF($B160="","",INDIRECT("aux_sheet!Y"&amp;1+MATCH(aux_sheet!$B159,aux_sheet!$A$2:$A$202,0)))</f>
        <v/>
      </c>
      <c r="R160" s="89" t="str">
        <f ca="1">IF($B160="","",INDIRECT("aux_sheet!Y"&amp;1+MATCH(aux_sheet!$B159,aux_sheet!$A$2:$A$202,0)))</f>
        <v/>
      </c>
      <c r="S160" s="106" t="str">
        <f ca="1">IF($B160="","",INDIRECT("aux_sheet!AA"&amp;1+MATCH(aux_sheet!$B159,aux_sheet!$A$2:$A$202,0)))</f>
        <v/>
      </c>
      <c r="T160" s="89" t="str">
        <f ca="1">IF($B160="","",INDIRECT("aux_sheet!AB"&amp;1+MATCH(aux_sheet!$B159,aux_sheet!$A$2:$A$202,0)))</f>
        <v/>
      </c>
      <c r="U160" s="89" t="str">
        <f ca="1">IF($B160="","",INDIRECT("aux_sheet!AB"&amp;1+MATCH(aux_sheet!$B159,aux_sheet!$A$2:$A$202,0)))</f>
        <v/>
      </c>
      <c r="V160" s="106" t="str">
        <f ca="1">IF($B160="","",INDIRECT("aux_sheet!AD"&amp;1+MATCH(aux_sheet!$B159,aux_sheet!$A$2:$A$202,0)))</f>
        <v/>
      </c>
      <c r="W160" s="89" t="str">
        <f ca="1">IF($B160="","",INDIRECT("aux_sheet!AE"&amp;1+MATCH(aux_sheet!$B159,aux_sheet!$A$2:$A$202,0)))</f>
        <v/>
      </c>
      <c r="X160" s="89" t="str">
        <f ca="1">IF($B160="","",INDIRECT("aux_sheet!AE"&amp;1+MATCH(aux_sheet!$B159,aux_sheet!$A$2:$A$202,0)))</f>
        <v/>
      </c>
      <c r="Y160" s="106" t="str">
        <f ca="1">IF($B160="","",INDIRECT("aux_sheet!AG"&amp;1+MATCH(aux_sheet!$B159,aux_sheet!$A$2:$A$202,0)))</f>
        <v/>
      </c>
      <c r="Z160" s="89" t="str">
        <f ca="1">IF($B160="","",INDIRECT("aux_sheet!AH"&amp;1+MATCH(aux_sheet!$B159,aux_sheet!$A$2:$A$202,0)))</f>
        <v/>
      </c>
      <c r="AA160" s="89" t="str">
        <f ca="1">IF($B160="","",INDIRECT("aux_sheet!AH"&amp;1+MATCH(aux_sheet!$B159,aux_sheet!$A$2:$A$202,0)))</f>
        <v/>
      </c>
      <c r="AB160" s="106" t="str">
        <f ca="1">IF($B160="","",INDIRECT("aux_sheet!AJ"&amp;1+MATCH(aux_sheet!$B159,aux_sheet!$A$2:$A$202,0)))</f>
        <v/>
      </c>
      <c r="AC160" s="89" t="str">
        <f ca="1">IF($B160="","",INDIRECT("aux_sheet!AK"&amp;1+MATCH(aux_sheet!$B159,aux_sheet!$A$2:$A$202,0)))</f>
        <v/>
      </c>
      <c r="AD160" s="89" t="str">
        <f ca="1">IF($B160="","",INDIRECT("aux_sheet!AK"&amp;1+MATCH(aux_sheet!$B159,aux_sheet!$A$2:$A$202,0)))</f>
        <v/>
      </c>
      <c r="AE160" s="106" t="str">
        <f ca="1">IF($B160="","",INDIRECT("aux_sheet!AM"&amp;1+MATCH(aux_sheet!$B159,aux_sheet!$A$2:$A$202,0)))</f>
        <v/>
      </c>
      <c r="AF160" s="89" t="str">
        <f ca="1">IF($B160="","",INDIRECT("aux_sheet!AN"&amp;1+MATCH(aux_sheet!$B159,aux_sheet!$A$2:$A$202,0)))</f>
        <v/>
      </c>
      <c r="AG160" s="89" t="str">
        <f ca="1">IF($B160="","",INDIRECT("aux_sheet!AN"&amp;1+MATCH(aux_sheet!$B159,aux_sheet!$A$2:$A$202,0)))</f>
        <v/>
      </c>
      <c r="AH160" s="14" t="str">
        <f>IF(ISBLANK(Input!A159)," ",F159-F160)</f>
        <v xml:space="preserve"> </v>
      </c>
    </row>
    <row r="161" spans="1:34" x14ac:dyDescent="0.35">
      <c r="A161" s="2" t="str">
        <f>IF(ISBLANK(Input!A160),"",ROUNDDOWN(aux_sheet!B160,0))</f>
        <v/>
      </c>
      <c r="B161" s="2" t="str">
        <f ca="1">IF(ISBLANK(Input!A160),"",INDIRECT("Input!A"&amp;1+MATCH(aux_sheet!$B160,aux_sheet!$A$2:$A$202,0)))</f>
        <v/>
      </c>
      <c r="C161" s="2" t="str">
        <f ca="1">IF(ISBLANK(Input!B160),"",INDIRECT("Input!B"&amp;1+MATCH(aux_sheet!$B160,aux_sheet!$A$2:$A$202,0)))</f>
        <v/>
      </c>
      <c r="D161" s="2" t="str">
        <f ca="1">IF(ISBLANK(Input!C160),"",INDIRECT("Input!C"&amp;1+MATCH(aux_sheet!$B160,aux_sheet!$A$2:$A$202,0)))</f>
        <v/>
      </c>
      <c r="E161" s="2" t="str">
        <f ca="1">IF(ISBLANK(Input!D160),"",INDIRECT("Input!D"&amp;1+MATCH(aux_sheet!$B160,aux_sheet!$A$2:$A$202,0)))</f>
        <v/>
      </c>
      <c r="F161" s="11" t="str">
        <f ca="1">INDIRECT("Input!F"&amp;1+MATCH(aux_sheet!$B160,aux_sheet!$A$2:$A$202,0))</f>
        <v xml:space="preserve"> </v>
      </c>
      <c r="G161" s="106" t="str">
        <f ca="1">IF($B161="","",INDIRECT("aux_sheet!O"&amp;1+MATCH(aux_sheet!$B160,aux_sheet!$A$2:$A$202,0)))</f>
        <v/>
      </c>
      <c r="H161" s="89" t="str">
        <f ca="1">IF($B161="","",INDIRECT("aux_sheet!P"&amp;1+MATCH(aux_sheet!$B160,aux_sheet!$A$2:$A$202,0)))</f>
        <v/>
      </c>
      <c r="I161" s="89" t="str">
        <f ca="1">IF($B161="","",INDIRECT("aux_sheet!P"&amp;1+MATCH(aux_sheet!$B160,aux_sheet!$A$2:$A$202,0)))</f>
        <v/>
      </c>
      <c r="J161" s="106" t="str">
        <f ca="1">IF($B161="","",INDIRECT("aux_sheet!R"&amp;1+MATCH(aux_sheet!$B160,aux_sheet!$A$2:$A$202,0)))</f>
        <v/>
      </c>
      <c r="K161" s="89" t="str">
        <f ca="1">IF($B161="","",INDIRECT("aux_sheet!S"&amp;1+MATCH(aux_sheet!$B160,aux_sheet!$A$2:$A$202,0)))</f>
        <v/>
      </c>
      <c r="L161" s="89" t="str">
        <f ca="1">IF($B161="","",INDIRECT("aux_sheet!S"&amp;1+MATCH(aux_sheet!$B160,aux_sheet!$A$2:$A$202,0)))</f>
        <v/>
      </c>
      <c r="M161" s="106" t="str">
        <f ca="1">IF($B161="","",INDIRECT("aux_sheet!U"&amp;1+MATCH(aux_sheet!$B160,aux_sheet!$A$2:$A$202,0)))</f>
        <v/>
      </c>
      <c r="N161" s="89" t="str">
        <f ca="1">IF($B161="","",INDIRECT("aux_sheet!V"&amp;1+MATCH(aux_sheet!$B160,aux_sheet!$A$2:$A$202,0)))</f>
        <v/>
      </c>
      <c r="O161" s="89" t="str">
        <f ca="1">IF($B161="","",INDIRECT("aux_sheet!V"&amp;1+MATCH(aux_sheet!$B160,aux_sheet!$A$2:$A$202,0)))</f>
        <v/>
      </c>
      <c r="P161" s="106" t="str">
        <f ca="1">IF($B161="","",INDIRECT("aux_sheet!X"&amp;1+MATCH(aux_sheet!$B160,aux_sheet!$A$2:$A$202,0)))</f>
        <v/>
      </c>
      <c r="Q161" s="89" t="str">
        <f ca="1">IF($B161="","",INDIRECT("aux_sheet!Y"&amp;1+MATCH(aux_sheet!$B160,aux_sheet!$A$2:$A$202,0)))</f>
        <v/>
      </c>
      <c r="R161" s="89" t="str">
        <f ca="1">IF($B161="","",INDIRECT("aux_sheet!Y"&amp;1+MATCH(aux_sheet!$B160,aux_sheet!$A$2:$A$202,0)))</f>
        <v/>
      </c>
      <c r="S161" s="106" t="str">
        <f ca="1">IF($B161="","",INDIRECT("aux_sheet!AA"&amp;1+MATCH(aux_sheet!$B160,aux_sheet!$A$2:$A$202,0)))</f>
        <v/>
      </c>
      <c r="T161" s="89" t="str">
        <f ca="1">IF($B161="","",INDIRECT("aux_sheet!AB"&amp;1+MATCH(aux_sheet!$B160,aux_sheet!$A$2:$A$202,0)))</f>
        <v/>
      </c>
      <c r="U161" s="89" t="str">
        <f ca="1">IF($B161="","",INDIRECT("aux_sheet!AB"&amp;1+MATCH(aux_sheet!$B160,aux_sheet!$A$2:$A$202,0)))</f>
        <v/>
      </c>
      <c r="V161" s="106" t="str">
        <f ca="1">IF($B161="","",INDIRECT("aux_sheet!AD"&amp;1+MATCH(aux_sheet!$B160,aux_sheet!$A$2:$A$202,0)))</f>
        <v/>
      </c>
      <c r="W161" s="89" t="str">
        <f ca="1">IF($B161="","",INDIRECT("aux_sheet!AE"&amp;1+MATCH(aux_sheet!$B160,aux_sheet!$A$2:$A$202,0)))</f>
        <v/>
      </c>
      <c r="X161" s="89" t="str">
        <f ca="1">IF($B161="","",INDIRECT("aux_sheet!AE"&amp;1+MATCH(aux_sheet!$B160,aux_sheet!$A$2:$A$202,0)))</f>
        <v/>
      </c>
      <c r="Y161" s="106" t="str">
        <f ca="1">IF($B161="","",INDIRECT("aux_sheet!AG"&amp;1+MATCH(aux_sheet!$B160,aux_sheet!$A$2:$A$202,0)))</f>
        <v/>
      </c>
      <c r="Z161" s="89" t="str">
        <f ca="1">IF($B161="","",INDIRECT("aux_sheet!AH"&amp;1+MATCH(aux_sheet!$B160,aux_sheet!$A$2:$A$202,0)))</f>
        <v/>
      </c>
      <c r="AA161" s="89" t="str">
        <f ca="1">IF($B161="","",INDIRECT("aux_sheet!AH"&amp;1+MATCH(aux_sheet!$B160,aux_sheet!$A$2:$A$202,0)))</f>
        <v/>
      </c>
      <c r="AB161" s="106" t="str">
        <f ca="1">IF($B161="","",INDIRECT("aux_sheet!AJ"&amp;1+MATCH(aux_sheet!$B160,aux_sheet!$A$2:$A$202,0)))</f>
        <v/>
      </c>
      <c r="AC161" s="89" t="str">
        <f ca="1">IF($B161="","",INDIRECT("aux_sheet!AK"&amp;1+MATCH(aux_sheet!$B160,aux_sheet!$A$2:$A$202,0)))</f>
        <v/>
      </c>
      <c r="AD161" s="89" t="str">
        <f ca="1">IF($B161="","",INDIRECT("aux_sheet!AK"&amp;1+MATCH(aux_sheet!$B160,aux_sheet!$A$2:$A$202,0)))</f>
        <v/>
      </c>
      <c r="AE161" s="106" t="str">
        <f ca="1">IF($B161="","",INDIRECT("aux_sheet!AM"&amp;1+MATCH(aux_sheet!$B160,aux_sheet!$A$2:$A$202,0)))</f>
        <v/>
      </c>
      <c r="AF161" s="89" t="str">
        <f ca="1">IF($B161="","",INDIRECT("aux_sheet!AN"&amp;1+MATCH(aux_sheet!$B160,aux_sheet!$A$2:$A$202,0)))</f>
        <v/>
      </c>
      <c r="AG161" s="89" t="str">
        <f ca="1">IF($B161="","",INDIRECT("aux_sheet!AN"&amp;1+MATCH(aux_sheet!$B160,aux_sheet!$A$2:$A$202,0)))</f>
        <v/>
      </c>
      <c r="AH161" s="14" t="str">
        <f>IF(ISBLANK(Input!A160)," ",F160-F161)</f>
        <v xml:space="preserve"> </v>
      </c>
    </row>
    <row r="162" spans="1:34" x14ac:dyDescent="0.35">
      <c r="A162" s="2" t="str">
        <f>IF(ISBLANK(Input!A161),"",ROUNDDOWN(aux_sheet!B161,0))</f>
        <v/>
      </c>
      <c r="B162" s="2" t="str">
        <f ca="1">IF(ISBLANK(Input!A161),"",INDIRECT("Input!A"&amp;1+MATCH(aux_sheet!$B161,aux_sheet!$A$2:$A$202,0)))</f>
        <v/>
      </c>
      <c r="C162" s="2" t="str">
        <f ca="1">IF(ISBLANK(Input!B161),"",INDIRECT("Input!B"&amp;1+MATCH(aux_sheet!$B161,aux_sheet!$A$2:$A$202,0)))</f>
        <v/>
      </c>
      <c r="D162" s="2" t="str">
        <f ca="1">IF(ISBLANK(Input!C161),"",INDIRECT("Input!C"&amp;1+MATCH(aux_sheet!$B161,aux_sheet!$A$2:$A$202,0)))</f>
        <v/>
      </c>
      <c r="E162" s="2" t="str">
        <f ca="1">IF(ISBLANK(Input!D161),"",INDIRECT("Input!D"&amp;1+MATCH(aux_sheet!$B161,aux_sheet!$A$2:$A$202,0)))</f>
        <v/>
      </c>
      <c r="F162" s="11" t="str">
        <f ca="1">INDIRECT("Input!F"&amp;1+MATCH(aux_sheet!$B161,aux_sheet!$A$2:$A$202,0))</f>
        <v xml:space="preserve"> </v>
      </c>
      <c r="G162" s="106" t="str">
        <f ca="1">IF($B162="","",INDIRECT("aux_sheet!O"&amp;1+MATCH(aux_sheet!$B161,aux_sheet!$A$2:$A$202,0)))</f>
        <v/>
      </c>
      <c r="H162" s="89" t="str">
        <f ca="1">IF($B162="","",INDIRECT("aux_sheet!P"&amp;1+MATCH(aux_sheet!$B161,aux_sheet!$A$2:$A$202,0)))</f>
        <v/>
      </c>
      <c r="I162" s="89" t="str">
        <f ca="1">IF($B162="","",INDIRECT("aux_sheet!P"&amp;1+MATCH(aux_sheet!$B161,aux_sheet!$A$2:$A$202,0)))</f>
        <v/>
      </c>
      <c r="J162" s="106" t="str">
        <f ca="1">IF($B162="","",INDIRECT("aux_sheet!R"&amp;1+MATCH(aux_sheet!$B161,aux_sheet!$A$2:$A$202,0)))</f>
        <v/>
      </c>
      <c r="K162" s="89" t="str">
        <f ca="1">IF($B162="","",INDIRECT("aux_sheet!S"&amp;1+MATCH(aux_sheet!$B161,aux_sheet!$A$2:$A$202,0)))</f>
        <v/>
      </c>
      <c r="L162" s="89" t="str">
        <f ca="1">IF($B162="","",INDIRECT("aux_sheet!S"&amp;1+MATCH(aux_sheet!$B161,aux_sheet!$A$2:$A$202,0)))</f>
        <v/>
      </c>
      <c r="M162" s="106" t="str">
        <f ca="1">IF($B162="","",INDIRECT("aux_sheet!U"&amp;1+MATCH(aux_sheet!$B161,aux_sheet!$A$2:$A$202,0)))</f>
        <v/>
      </c>
      <c r="N162" s="89" t="str">
        <f ca="1">IF($B162="","",INDIRECT("aux_sheet!V"&amp;1+MATCH(aux_sheet!$B161,aux_sheet!$A$2:$A$202,0)))</f>
        <v/>
      </c>
      <c r="O162" s="89" t="str">
        <f ca="1">IF($B162="","",INDIRECT("aux_sheet!V"&amp;1+MATCH(aux_sheet!$B161,aux_sheet!$A$2:$A$202,0)))</f>
        <v/>
      </c>
      <c r="P162" s="106" t="str">
        <f ca="1">IF($B162="","",INDIRECT("aux_sheet!X"&amp;1+MATCH(aux_sheet!$B161,aux_sheet!$A$2:$A$202,0)))</f>
        <v/>
      </c>
      <c r="Q162" s="89" t="str">
        <f ca="1">IF($B162="","",INDIRECT("aux_sheet!Y"&amp;1+MATCH(aux_sheet!$B161,aux_sheet!$A$2:$A$202,0)))</f>
        <v/>
      </c>
      <c r="R162" s="89" t="str">
        <f ca="1">IF($B162="","",INDIRECT("aux_sheet!Y"&amp;1+MATCH(aux_sheet!$B161,aux_sheet!$A$2:$A$202,0)))</f>
        <v/>
      </c>
      <c r="S162" s="106" t="str">
        <f ca="1">IF($B162="","",INDIRECT("aux_sheet!AA"&amp;1+MATCH(aux_sheet!$B161,aux_sheet!$A$2:$A$202,0)))</f>
        <v/>
      </c>
      <c r="T162" s="89" t="str">
        <f ca="1">IF($B162="","",INDIRECT("aux_sheet!AB"&amp;1+MATCH(aux_sheet!$B161,aux_sheet!$A$2:$A$202,0)))</f>
        <v/>
      </c>
      <c r="U162" s="89" t="str">
        <f ca="1">IF($B162="","",INDIRECT("aux_sheet!AB"&amp;1+MATCH(aux_sheet!$B161,aux_sheet!$A$2:$A$202,0)))</f>
        <v/>
      </c>
      <c r="V162" s="106" t="str">
        <f ca="1">IF($B162="","",INDIRECT("aux_sheet!AD"&amp;1+MATCH(aux_sheet!$B161,aux_sheet!$A$2:$A$202,0)))</f>
        <v/>
      </c>
      <c r="W162" s="89" t="str">
        <f ca="1">IF($B162="","",INDIRECT("aux_sheet!AE"&amp;1+MATCH(aux_sheet!$B161,aux_sheet!$A$2:$A$202,0)))</f>
        <v/>
      </c>
      <c r="X162" s="89" t="str">
        <f ca="1">IF($B162="","",INDIRECT("aux_sheet!AE"&amp;1+MATCH(aux_sheet!$B161,aux_sheet!$A$2:$A$202,0)))</f>
        <v/>
      </c>
      <c r="Y162" s="106" t="str">
        <f ca="1">IF($B162="","",INDIRECT("aux_sheet!AG"&amp;1+MATCH(aux_sheet!$B161,aux_sheet!$A$2:$A$202,0)))</f>
        <v/>
      </c>
      <c r="Z162" s="89" t="str">
        <f ca="1">IF($B162="","",INDIRECT("aux_sheet!AH"&amp;1+MATCH(aux_sheet!$B161,aux_sheet!$A$2:$A$202,0)))</f>
        <v/>
      </c>
      <c r="AA162" s="89" t="str">
        <f ca="1">IF($B162="","",INDIRECT("aux_sheet!AH"&amp;1+MATCH(aux_sheet!$B161,aux_sheet!$A$2:$A$202,0)))</f>
        <v/>
      </c>
      <c r="AB162" s="106" t="str">
        <f ca="1">IF($B162="","",INDIRECT("aux_sheet!AJ"&amp;1+MATCH(aux_sheet!$B161,aux_sheet!$A$2:$A$202,0)))</f>
        <v/>
      </c>
      <c r="AC162" s="89" t="str">
        <f ca="1">IF($B162="","",INDIRECT("aux_sheet!AK"&amp;1+MATCH(aux_sheet!$B161,aux_sheet!$A$2:$A$202,0)))</f>
        <v/>
      </c>
      <c r="AD162" s="89" t="str">
        <f ca="1">IF($B162="","",INDIRECT("aux_sheet!AK"&amp;1+MATCH(aux_sheet!$B161,aux_sheet!$A$2:$A$202,0)))</f>
        <v/>
      </c>
      <c r="AE162" s="106" t="str">
        <f ca="1">IF($B162="","",INDIRECT("aux_sheet!AM"&amp;1+MATCH(aux_sheet!$B161,aux_sheet!$A$2:$A$202,0)))</f>
        <v/>
      </c>
      <c r="AF162" s="89" t="str">
        <f ca="1">IF($B162="","",INDIRECT("aux_sheet!AN"&amp;1+MATCH(aux_sheet!$B161,aux_sheet!$A$2:$A$202,0)))</f>
        <v/>
      </c>
      <c r="AG162" s="89" t="str">
        <f ca="1">IF($B162="","",INDIRECT("aux_sheet!AN"&amp;1+MATCH(aux_sheet!$B161,aux_sheet!$A$2:$A$202,0)))</f>
        <v/>
      </c>
      <c r="AH162" s="14" t="str">
        <f>IF(ISBLANK(Input!A161)," ",F161-F162)</f>
        <v xml:space="preserve"> </v>
      </c>
    </row>
    <row r="163" spans="1:34" x14ac:dyDescent="0.35">
      <c r="A163" s="2" t="str">
        <f>IF(ISBLANK(Input!A162),"",ROUNDDOWN(aux_sheet!B162,0))</f>
        <v/>
      </c>
      <c r="B163" s="2" t="str">
        <f ca="1">IF(ISBLANK(Input!A162),"",INDIRECT("Input!A"&amp;1+MATCH(aux_sheet!$B162,aux_sheet!$A$2:$A$202,0)))</f>
        <v/>
      </c>
      <c r="C163" s="2" t="str">
        <f ca="1">IF(ISBLANK(Input!B162),"",INDIRECT("Input!B"&amp;1+MATCH(aux_sheet!$B162,aux_sheet!$A$2:$A$202,0)))</f>
        <v/>
      </c>
      <c r="D163" s="2" t="str">
        <f ca="1">IF(ISBLANK(Input!C162),"",INDIRECT("Input!C"&amp;1+MATCH(aux_sheet!$B162,aux_sheet!$A$2:$A$202,0)))</f>
        <v/>
      </c>
      <c r="E163" s="2" t="str">
        <f ca="1">IF(ISBLANK(Input!D162),"",INDIRECT("Input!D"&amp;1+MATCH(aux_sheet!$B162,aux_sheet!$A$2:$A$202,0)))</f>
        <v/>
      </c>
      <c r="F163" s="11" t="str">
        <f ca="1">INDIRECT("Input!F"&amp;1+MATCH(aux_sheet!$B162,aux_sheet!$A$2:$A$202,0))</f>
        <v xml:space="preserve"> </v>
      </c>
      <c r="G163" s="106" t="str">
        <f ca="1">IF($B163="","",INDIRECT("aux_sheet!O"&amp;1+MATCH(aux_sheet!$B162,aux_sheet!$A$2:$A$202,0)))</f>
        <v/>
      </c>
      <c r="H163" s="89" t="str">
        <f ca="1">IF($B163="","",INDIRECT("aux_sheet!P"&amp;1+MATCH(aux_sheet!$B162,aux_sheet!$A$2:$A$202,0)))</f>
        <v/>
      </c>
      <c r="I163" s="89" t="str">
        <f ca="1">IF($B163="","",INDIRECT("aux_sheet!P"&amp;1+MATCH(aux_sheet!$B162,aux_sheet!$A$2:$A$202,0)))</f>
        <v/>
      </c>
      <c r="J163" s="106" t="str">
        <f ca="1">IF($B163="","",INDIRECT("aux_sheet!R"&amp;1+MATCH(aux_sheet!$B162,aux_sheet!$A$2:$A$202,0)))</f>
        <v/>
      </c>
      <c r="K163" s="89" t="str">
        <f ca="1">IF($B163="","",INDIRECT("aux_sheet!S"&amp;1+MATCH(aux_sheet!$B162,aux_sheet!$A$2:$A$202,0)))</f>
        <v/>
      </c>
      <c r="L163" s="89" t="str">
        <f ca="1">IF($B163="","",INDIRECT("aux_sheet!S"&amp;1+MATCH(aux_sheet!$B162,aux_sheet!$A$2:$A$202,0)))</f>
        <v/>
      </c>
      <c r="M163" s="106" t="str">
        <f ca="1">IF($B163="","",INDIRECT("aux_sheet!U"&amp;1+MATCH(aux_sheet!$B162,aux_sheet!$A$2:$A$202,0)))</f>
        <v/>
      </c>
      <c r="N163" s="89" t="str">
        <f ca="1">IF($B163="","",INDIRECT("aux_sheet!V"&amp;1+MATCH(aux_sheet!$B162,aux_sheet!$A$2:$A$202,0)))</f>
        <v/>
      </c>
      <c r="O163" s="89" t="str">
        <f ca="1">IF($B163="","",INDIRECT("aux_sheet!V"&amp;1+MATCH(aux_sheet!$B162,aux_sheet!$A$2:$A$202,0)))</f>
        <v/>
      </c>
      <c r="P163" s="106" t="str">
        <f ca="1">IF($B163="","",INDIRECT("aux_sheet!X"&amp;1+MATCH(aux_sheet!$B162,aux_sheet!$A$2:$A$202,0)))</f>
        <v/>
      </c>
      <c r="Q163" s="89" t="str">
        <f ca="1">IF($B163="","",INDIRECT("aux_sheet!Y"&amp;1+MATCH(aux_sheet!$B162,aux_sheet!$A$2:$A$202,0)))</f>
        <v/>
      </c>
      <c r="R163" s="89" t="str">
        <f ca="1">IF($B163="","",INDIRECT("aux_sheet!Y"&amp;1+MATCH(aux_sheet!$B162,aux_sheet!$A$2:$A$202,0)))</f>
        <v/>
      </c>
      <c r="S163" s="106" t="str">
        <f ca="1">IF($B163="","",INDIRECT("aux_sheet!AA"&amp;1+MATCH(aux_sheet!$B162,aux_sheet!$A$2:$A$202,0)))</f>
        <v/>
      </c>
      <c r="T163" s="89" t="str">
        <f ca="1">IF($B163="","",INDIRECT("aux_sheet!AB"&amp;1+MATCH(aux_sheet!$B162,aux_sheet!$A$2:$A$202,0)))</f>
        <v/>
      </c>
      <c r="U163" s="89" t="str">
        <f ca="1">IF($B163="","",INDIRECT("aux_sheet!AB"&amp;1+MATCH(aux_sheet!$B162,aux_sheet!$A$2:$A$202,0)))</f>
        <v/>
      </c>
      <c r="V163" s="106" t="str">
        <f ca="1">IF($B163="","",INDIRECT("aux_sheet!AD"&amp;1+MATCH(aux_sheet!$B162,aux_sheet!$A$2:$A$202,0)))</f>
        <v/>
      </c>
      <c r="W163" s="89" t="str">
        <f ca="1">IF($B163="","",INDIRECT("aux_sheet!AE"&amp;1+MATCH(aux_sheet!$B162,aux_sheet!$A$2:$A$202,0)))</f>
        <v/>
      </c>
      <c r="X163" s="89" t="str">
        <f ca="1">IF($B163="","",INDIRECT("aux_sheet!AE"&amp;1+MATCH(aux_sheet!$B162,aux_sheet!$A$2:$A$202,0)))</f>
        <v/>
      </c>
      <c r="Y163" s="106" t="str">
        <f ca="1">IF($B163="","",INDIRECT("aux_sheet!AG"&amp;1+MATCH(aux_sheet!$B162,aux_sheet!$A$2:$A$202,0)))</f>
        <v/>
      </c>
      <c r="Z163" s="89" t="str">
        <f ca="1">IF($B163="","",INDIRECT("aux_sheet!AH"&amp;1+MATCH(aux_sheet!$B162,aux_sheet!$A$2:$A$202,0)))</f>
        <v/>
      </c>
      <c r="AA163" s="89" t="str">
        <f ca="1">IF($B163="","",INDIRECT("aux_sheet!AH"&amp;1+MATCH(aux_sheet!$B162,aux_sheet!$A$2:$A$202,0)))</f>
        <v/>
      </c>
      <c r="AB163" s="106" t="str">
        <f ca="1">IF($B163="","",INDIRECT("aux_sheet!AJ"&amp;1+MATCH(aux_sheet!$B162,aux_sheet!$A$2:$A$202,0)))</f>
        <v/>
      </c>
      <c r="AC163" s="89" t="str">
        <f ca="1">IF($B163="","",INDIRECT("aux_sheet!AK"&amp;1+MATCH(aux_sheet!$B162,aux_sheet!$A$2:$A$202,0)))</f>
        <v/>
      </c>
      <c r="AD163" s="89" t="str">
        <f ca="1">IF($B163="","",INDIRECT("aux_sheet!AK"&amp;1+MATCH(aux_sheet!$B162,aux_sheet!$A$2:$A$202,0)))</f>
        <v/>
      </c>
      <c r="AE163" s="106" t="str">
        <f ca="1">IF($B163="","",INDIRECT("aux_sheet!AM"&amp;1+MATCH(aux_sheet!$B162,aux_sheet!$A$2:$A$202,0)))</f>
        <v/>
      </c>
      <c r="AF163" s="89" t="str">
        <f ca="1">IF($B163="","",INDIRECT("aux_sheet!AN"&amp;1+MATCH(aux_sheet!$B162,aux_sheet!$A$2:$A$202,0)))</f>
        <v/>
      </c>
      <c r="AG163" s="89" t="str">
        <f ca="1">IF($B163="","",INDIRECT("aux_sheet!AN"&amp;1+MATCH(aux_sheet!$B162,aux_sheet!$A$2:$A$202,0)))</f>
        <v/>
      </c>
      <c r="AH163" s="14" t="str">
        <f>IF(ISBLANK(Input!A162)," ",F162-F163)</f>
        <v xml:space="preserve"> </v>
      </c>
    </row>
    <row r="164" spans="1:34" x14ac:dyDescent="0.35">
      <c r="A164" s="2" t="str">
        <f>IF(ISBLANK(Input!A163),"",ROUNDDOWN(aux_sheet!B163,0))</f>
        <v/>
      </c>
      <c r="B164" s="2" t="str">
        <f ca="1">IF(ISBLANK(Input!A163),"",INDIRECT("Input!A"&amp;1+MATCH(aux_sheet!$B163,aux_sheet!$A$2:$A$202,0)))</f>
        <v/>
      </c>
      <c r="C164" s="2" t="str">
        <f ca="1">IF(ISBLANK(Input!B163),"",INDIRECT("Input!B"&amp;1+MATCH(aux_sheet!$B163,aux_sheet!$A$2:$A$202,0)))</f>
        <v/>
      </c>
      <c r="D164" s="2" t="str">
        <f ca="1">IF(ISBLANK(Input!C163),"",INDIRECT("Input!C"&amp;1+MATCH(aux_sheet!$B163,aux_sheet!$A$2:$A$202,0)))</f>
        <v/>
      </c>
      <c r="E164" s="2" t="str">
        <f ca="1">IF(ISBLANK(Input!D163),"",INDIRECT("Input!D"&amp;1+MATCH(aux_sheet!$B163,aux_sheet!$A$2:$A$202,0)))</f>
        <v/>
      </c>
      <c r="F164" s="11" t="str">
        <f ca="1">INDIRECT("Input!F"&amp;1+MATCH(aux_sheet!$B163,aux_sheet!$A$2:$A$202,0))</f>
        <v xml:space="preserve"> </v>
      </c>
      <c r="G164" s="106" t="str">
        <f ca="1">IF($B164="","",INDIRECT("aux_sheet!O"&amp;1+MATCH(aux_sheet!$B163,aux_sheet!$A$2:$A$202,0)))</f>
        <v/>
      </c>
      <c r="H164" s="89" t="str">
        <f ca="1">IF($B164="","",INDIRECT("aux_sheet!P"&amp;1+MATCH(aux_sheet!$B163,aux_sheet!$A$2:$A$202,0)))</f>
        <v/>
      </c>
      <c r="I164" s="89" t="str">
        <f ca="1">IF($B164="","",INDIRECT("aux_sheet!P"&amp;1+MATCH(aux_sheet!$B163,aux_sheet!$A$2:$A$202,0)))</f>
        <v/>
      </c>
      <c r="J164" s="106" t="str">
        <f ca="1">IF($B164="","",INDIRECT("aux_sheet!R"&amp;1+MATCH(aux_sheet!$B163,aux_sheet!$A$2:$A$202,0)))</f>
        <v/>
      </c>
      <c r="K164" s="89" t="str">
        <f ca="1">IF($B164="","",INDIRECT("aux_sheet!S"&amp;1+MATCH(aux_sheet!$B163,aux_sheet!$A$2:$A$202,0)))</f>
        <v/>
      </c>
      <c r="L164" s="89" t="str">
        <f ca="1">IF($B164="","",INDIRECT("aux_sheet!S"&amp;1+MATCH(aux_sheet!$B163,aux_sheet!$A$2:$A$202,0)))</f>
        <v/>
      </c>
      <c r="M164" s="106" t="str">
        <f ca="1">IF($B164="","",INDIRECT("aux_sheet!U"&amp;1+MATCH(aux_sheet!$B163,aux_sheet!$A$2:$A$202,0)))</f>
        <v/>
      </c>
      <c r="N164" s="89" t="str">
        <f ca="1">IF($B164="","",INDIRECT("aux_sheet!V"&amp;1+MATCH(aux_sheet!$B163,aux_sheet!$A$2:$A$202,0)))</f>
        <v/>
      </c>
      <c r="O164" s="89" t="str">
        <f ca="1">IF($B164="","",INDIRECT("aux_sheet!V"&amp;1+MATCH(aux_sheet!$B163,aux_sheet!$A$2:$A$202,0)))</f>
        <v/>
      </c>
      <c r="P164" s="106" t="str">
        <f ca="1">IF($B164="","",INDIRECT("aux_sheet!X"&amp;1+MATCH(aux_sheet!$B163,aux_sheet!$A$2:$A$202,0)))</f>
        <v/>
      </c>
      <c r="Q164" s="89" t="str">
        <f ca="1">IF($B164="","",INDIRECT("aux_sheet!Y"&amp;1+MATCH(aux_sheet!$B163,aux_sheet!$A$2:$A$202,0)))</f>
        <v/>
      </c>
      <c r="R164" s="89" t="str">
        <f ca="1">IF($B164="","",INDIRECT("aux_sheet!Y"&amp;1+MATCH(aux_sheet!$B163,aux_sheet!$A$2:$A$202,0)))</f>
        <v/>
      </c>
      <c r="S164" s="106" t="str">
        <f ca="1">IF($B164="","",INDIRECT("aux_sheet!AA"&amp;1+MATCH(aux_sheet!$B163,aux_sheet!$A$2:$A$202,0)))</f>
        <v/>
      </c>
      <c r="T164" s="89" t="str">
        <f ca="1">IF($B164="","",INDIRECT("aux_sheet!AB"&amp;1+MATCH(aux_sheet!$B163,aux_sheet!$A$2:$A$202,0)))</f>
        <v/>
      </c>
      <c r="U164" s="89" t="str">
        <f ca="1">IF($B164="","",INDIRECT("aux_sheet!AB"&amp;1+MATCH(aux_sheet!$B163,aux_sheet!$A$2:$A$202,0)))</f>
        <v/>
      </c>
      <c r="V164" s="106" t="str">
        <f ca="1">IF($B164="","",INDIRECT("aux_sheet!AD"&amp;1+MATCH(aux_sheet!$B163,aux_sheet!$A$2:$A$202,0)))</f>
        <v/>
      </c>
      <c r="W164" s="89" t="str">
        <f ca="1">IF($B164="","",INDIRECT("aux_sheet!AE"&amp;1+MATCH(aux_sheet!$B163,aux_sheet!$A$2:$A$202,0)))</f>
        <v/>
      </c>
      <c r="X164" s="89" t="str">
        <f ca="1">IF($B164="","",INDIRECT("aux_sheet!AE"&amp;1+MATCH(aux_sheet!$B163,aux_sheet!$A$2:$A$202,0)))</f>
        <v/>
      </c>
      <c r="Y164" s="106" t="str">
        <f ca="1">IF($B164="","",INDIRECT("aux_sheet!AG"&amp;1+MATCH(aux_sheet!$B163,aux_sheet!$A$2:$A$202,0)))</f>
        <v/>
      </c>
      <c r="Z164" s="89" t="str">
        <f ca="1">IF($B164="","",INDIRECT("aux_sheet!AH"&amp;1+MATCH(aux_sheet!$B163,aux_sheet!$A$2:$A$202,0)))</f>
        <v/>
      </c>
      <c r="AA164" s="89" t="str">
        <f ca="1">IF($B164="","",INDIRECT("aux_sheet!AH"&amp;1+MATCH(aux_sheet!$B163,aux_sheet!$A$2:$A$202,0)))</f>
        <v/>
      </c>
      <c r="AB164" s="106" t="str">
        <f ca="1">IF($B164="","",INDIRECT("aux_sheet!AJ"&amp;1+MATCH(aux_sheet!$B163,aux_sheet!$A$2:$A$202,0)))</f>
        <v/>
      </c>
      <c r="AC164" s="89" t="str">
        <f ca="1">IF($B164="","",INDIRECT("aux_sheet!AK"&amp;1+MATCH(aux_sheet!$B163,aux_sheet!$A$2:$A$202,0)))</f>
        <v/>
      </c>
      <c r="AD164" s="89" t="str">
        <f ca="1">IF($B164="","",INDIRECT("aux_sheet!AK"&amp;1+MATCH(aux_sheet!$B163,aux_sheet!$A$2:$A$202,0)))</f>
        <v/>
      </c>
      <c r="AE164" s="106" t="str">
        <f ca="1">IF($B164="","",INDIRECT("aux_sheet!AM"&amp;1+MATCH(aux_sheet!$B163,aux_sheet!$A$2:$A$202,0)))</f>
        <v/>
      </c>
      <c r="AF164" s="89" t="str">
        <f ca="1">IF($B164="","",INDIRECT("aux_sheet!AN"&amp;1+MATCH(aux_sheet!$B163,aux_sheet!$A$2:$A$202,0)))</f>
        <v/>
      </c>
      <c r="AG164" s="89" t="str">
        <f ca="1">IF($B164="","",INDIRECT("aux_sheet!AN"&amp;1+MATCH(aux_sheet!$B163,aux_sheet!$A$2:$A$202,0)))</f>
        <v/>
      </c>
      <c r="AH164" s="14" t="str">
        <f>IF(ISBLANK(Input!A163)," ",F163-F164)</f>
        <v xml:space="preserve"> </v>
      </c>
    </row>
    <row r="165" spans="1:34" x14ac:dyDescent="0.35">
      <c r="A165" s="2" t="str">
        <f>IF(ISBLANK(Input!A164),"",ROUNDDOWN(aux_sheet!B164,0))</f>
        <v/>
      </c>
      <c r="B165" s="2" t="str">
        <f ca="1">IF(ISBLANK(Input!A164),"",INDIRECT("Input!A"&amp;1+MATCH(aux_sheet!$B164,aux_sheet!$A$2:$A$202,0)))</f>
        <v/>
      </c>
      <c r="C165" s="2" t="str">
        <f ca="1">IF(ISBLANK(Input!B164),"",INDIRECT("Input!B"&amp;1+MATCH(aux_sheet!$B164,aux_sheet!$A$2:$A$202,0)))</f>
        <v/>
      </c>
      <c r="D165" s="2" t="str">
        <f ca="1">IF(ISBLANK(Input!C164),"",INDIRECT("Input!C"&amp;1+MATCH(aux_sheet!$B164,aux_sheet!$A$2:$A$202,0)))</f>
        <v/>
      </c>
      <c r="E165" s="2" t="str">
        <f ca="1">IF(ISBLANK(Input!D164),"",INDIRECT("Input!D"&amp;1+MATCH(aux_sheet!$B164,aux_sheet!$A$2:$A$202,0)))</f>
        <v/>
      </c>
      <c r="F165" s="11" t="str">
        <f ca="1">INDIRECT("Input!F"&amp;1+MATCH(aux_sheet!$B164,aux_sheet!$A$2:$A$202,0))</f>
        <v xml:space="preserve"> </v>
      </c>
      <c r="G165" s="106" t="str">
        <f ca="1">IF($B165="","",INDIRECT("aux_sheet!O"&amp;1+MATCH(aux_sheet!$B164,aux_sheet!$A$2:$A$202,0)))</f>
        <v/>
      </c>
      <c r="H165" s="89" t="str">
        <f ca="1">IF($B165="","",INDIRECT("aux_sheet!P"&amp;1+MATCH(aux_sheet!$B164,aux_sheet!$A$2:$A$202,0)))</f>
        <v/>
      </c>
      <c r="I165" s="89" t="str">
        <f ca="1">IF($B165="","",INDIRECT("aux_sheet!P"&amp;1+MATCH(aux_sheet!$B164,aux_sheet!$A$2:$A$202,0)))</f>
        <v/>
      </c>
      <c r="J165" s="106" t="str">
        <f ca="1">IF($B165="","",INDIRECT("aux_sheet!R"&amp;1+MATCH(aux_sheet!$B164,aux_sheet!$A$2:$A$202,0)))</f>
        <v/>
      </c>
      <c r="K165" s="89" t="str">
        <f ca="1">IF($B165="","",INDIRECT("aux_sheet!S"&amp;1+MATCH(aux_sheet!$B164,aux_sheet!$A$2:$A$202,0)))</f>
        <v/>
      </c>
      <c r="L165" s="89" t="str">
        <f ca="1">IF($B165="","",INDIRECT("aux_sheet!S"&amp;1+MATCH(aux_sheet!$B164,aux_sheet!$A$2:$A$202,0)))</f>
        <v/>
      </c>
      <c r="M165" s="106" t="str">
        <f ca="1">IF($B165="","",INDIRECT("aux_sheet!U"&amp;1+MATCH(aux_sheet!$B164,aux_sheet!$A$2:$A$202,0)))</f>
        <v/>
      </c>
      <c r="N165" s="89" t="str">
        <f ca="1">IF($B165="","",INDIRECT("aux_sheet!V"&amp;1+MATCH(aux_sheet!$B164,aux_sheet!$A$2:$A$202,0)))</f>
        <v/>
      </c>
      <c r="O165" s="89" t="str">
        <f ca="1">IF($B165="","",INDIRECT("aux_sheet!V"&amp;1+MATCH(aux_sheet!$B164,aux_sheet!$A$2:$A$202,0)))</f>
        <v/>
      </c>
      <c r="P165" s="106" t="str">
        <f ca="1">IF($B165="","",INDIRECT("aux_sheet!X"&amp;1+MATCH(aux_sheet!$B164,aux_sheet!$A$2:$A$202,0)))</f>
        <v/>
      </c>
      <c r="Q165" s="89" t="str">
        <f ca="1">IF($B165="","",INDIRECT("aux_sheet!Y"&amp;1+MATCH(aux_sheet!$B164,aux_sheet!$A$2:$A$202,0)))</f>
        <v/>
      </c>
      <c r="R165" s="89" t="str">
        <f ca="1">IF($B165="","",INDIRECT("aux_sheet!Y"&amp;1+MATCH(aux_sheet!$B164,aux_sheet!$A$2:$A$202,0)))</f>
        <v/>
      </c>
      <c r="S165" s="106" t="str">
        <f ca="1">IF($B165="","",INDIRECT("aux_sheet!AA"&amp;1+MATCH(aux_sheet!$B164,aux_sheet!$A$2:$A$202,0)))</f>
        <v/>
      </c>
      <c r="T165" s="89" t="str">
        <f ca="1">IF($B165="","",INDIRECT("aux_sheet!AB"&amp;1+MATCH(aux_sheet!$B164,aux_sheet!$A$2:$A$202,0)))</f>
        <v/>
      </c>
      <c r="U165" s="89" t="str">
        <f ca="1">IF($B165="","",INDIRECT("aux_sheet!AB"&amp;1+MATCH(aux_sheet!$B164,aux_sheet!$A$2:$A$202,0)))</f>
        <v/>
      </c>
      <c r="V165" s="106" t="str">
        <f ca="1">IF($B165="","",INDIRECT("aux_sheet!AD"&amp;1+MATCH(aux_sheet!$B164,aux_sheet!$A$2:$A$202,0)))</f>
        <v/>
      </c>
      <c r="W165" s="89" t="str">
        <f ca="1">IF($B165="","",INDIRECT("aux_sheet!AE"&amp;1+MATCH(aux_sheet!$B164,aux_sheet!$A$2:$A$202,0)))</f>
        <v/>
      </c>
      <c r="X165" s="89" t="str">
        <f ca="1">IF($B165="","",INDIRECT("aux_sheet!AE"&amp;1+MATCH(aux_sheet!$B164,aux_sheet!$A$2:$A$202,0)))</f>
        <v/>
      </c>
      <c r="Y165" s="106" t="str">
        <f ca="1">IF($B165="","",INDIRECT("aux_sheet!AG"&amp;1+MATCH(aux_sheet!$B164,aux_sheet!$A$2:$A$202,0)))</f>
        <v/>
      </c>
      <c r="Z165" s="89" t="str">
        <f ca="1">IF($B165="","",INDIRECT("aux_sheet!AH"&amp;1+MATCH(aux_sheet!$B164,aux_sheet!$A$2:$A$202,0)))</f>
        <v/>
      </c>
      <c r="AA165" s="89" t="str">
        <f ca="1">IF($B165="","",INDIRECT("aux_sheet!AH"&amp;1+MATCH(aux_sheet!$B164,aux_sheet!$A$2:$A$202,0)))</f>
        <v/>
      </c>
      <c r="AB165" s="106" t="str">
        <f ca="1">IF($B165="","",INDIRECT("aux_sheet!AJ"&amp;1+MATCH(aux_sheet!$B164,aux_sheet!$A$2:$A$202,0)))</f>
        <v/>
      </c>
      <c r="AC165" s="89" t="str">
        <f ca="1">IF($B165="","",INDIRECT("aux_sheet!AK"&amp;1+MATCH(aux_sheet!$B164,aux_sheet!$A$2:$A$202,0)))</f>
        <v/>
      </c>
      <c r="AD165" s="89" t="str">
        <f ca="1">IF($B165="","",INDIRECT("aux_sheet!AK"&amp;1+MATCH(aux_sheet!$B164,aux_sheet!$A$2:$A$202,0)))</f>
        <v/>
      </c>
      <c r="AE165" s="106" t="str">
        <f ca="1">IF($B165="","",INDIRECT("aux_sheet!AM"&amp;1+MATCH(aux_sheet!$B164,aux_sheet!$A$2:$A$202,0)))</f>
        <v/>
      </c>
      <c r="AF165" s="89" t="str">
        <f ca="1">IF($B165="","",INDIRECT("aux_sheet!AN"&amp;1+MATCH(aux_sheet!$B164,aux_sheet!$A$2:$A$202,0)))</f>
        <v/>
      </c>
      <c r="AG165" s="89" t="str">
        <f ca="1">IF($B165="","",INDIRECT("aux_sheet!AN"&amp;1+MATCH(aux_sheet!$B164,aux_sheet!$A$2:$A$202,0)))</f>
        <v/>
      </c>
      <c r="AH165" s="14" t="str">
        <f>IF(ISBLANK(Input!A164)," ",F164-F165)</f>
        <v xml:space="preserve"> </v>
      </c>
    </row>
    <row r="166" spans="1:34" x14ac:dyDescent="0.35">
      <c r="A166" s="2" t="str">
        <f>IF(ISBLANK(Input!A165),"",ROUNDDOWN(aux_sheet!B165,0))</f>
        <v/>
      </c>
      <c r="B166" s="2" t="str">
        <f ca="1">IF(ISBLANK(Input!A165),"",INDIRECT("Input!A"&amp;1+MATCH(aux_sheet!$B165,aux_sheet!$A$2:$A$202,0)))</f>
        <v/>
      </c>
      <c r="C166" s="2" t="str">
        <f ca="1">IF(ISBLANK(Input!B165),"",INDIRECT("Input!B"&amp;1+MATCH(aux_sheet!$B165,aux_sheet!$A$2:$A$202,0)))</f>
        <v/>
      </c>
      <c r="D166" s="2" t="str">
        <f ca="1">IF(ISBLANK(Input!C165),"",INDIRECT("Input!C"&amp;1+MATCH(aux_sheet!$B165,aux_sheet!$A$2:$A$202,0)))</f>
        <v/>
      </c>
      <c r="E166" s="2" t="str">
        <f ca="1">IF(ISBLANK(Input!D165),"",INDIRECT("Input!D"&amp;1+MATCH(aux_sheet!$B165,aux_sheet!$A$2:$A$202,0)))</f>
        <v/>
      </c>
      <c r="F166" s="11" t="str">
        <f ca="1">INDIRECT("Input!F"&amp;1+MATCH(aux_sheet!$B165,aux_sheet!$A$2:$A$202,0))</f>
        <v xml:space="preserve"> </v>
      </c>
      <c r="G166" s="106" t="str">
        <f ca="1">IF($B166="","",INDIRECT("aux_sheet!O"&amp;1+MATCH(aux_sheet!$B165,aux_sheet!$A$2:$A$202,0)))</f>
        <v/>
      </c>
      <c r="H166" s="89" t="str">
        <f ca="1">IF($B166="","",INDIRECT("aux_sheet!P"&amp;1+MATCH(aux_sheet!$B165,aux_sheet!$A$2:$A$202,0)))</f>
        <v/>
      </c>
      <c r="I166" s="89" t="str">
        <f ca="1">IF($B166="","",INDIRECT("aux_sheet!P"&amp;1+MATCH(aux_sheet!$B165,aux_sheet!$A$2:$A$202,0)))</f>
        <v/>
      </c>
      <c r="J166" s="106" t="str">
        <f ca="1">IF($B166="","",INDIRECT("aux_sheet!R"&amp;1+MATCH(aux_sheet!$B165,aux_sheet!$A$2:$A$202,0)))</f>
        <v/>
      </c>
      <c r="K166" s="89" t="str">
        <f ca="1">IF($B166="","",INDIRECT("aux_sheet!S"&amp;1+MATCH(aux_sheet!$B165,aux_sheet!$A$2:$A$202,0)))</f>
        <v/>
      </c>
      <c r="L166" s="89" t="str">
        <f ca="1">IF($B166="","",INDIRECT("aux_sheet!S"&amp;1+MATCH(aux_sheet!$B165,aux_sheet!$A$2:$A$202,0)))</f>
        <v/>
      </c>
      <c r="M166" s="106" t="str">
        <f ca="1">IF($B166="","",INDIRECT("aux_sheet!U"&amp;1+MATCH(aux_sheet!$B165,aux_sheet!$A$2:$A$202,0)))</f>
        <v/>
      </c>
      <c r="N166" s="89" t="str">
        <f ca="1">IF($B166="","",INDIRECT("aux_sheet!V"&amp;1+MATCH(aux_sheet!$B165,aux_sheet!$A$2:$A$202,0)))</f>
        <v/>
      </c>
      <c r="O166" s="89" t="str">
        <f ca="1">IF($B166="","",INDIRECT("aux_sheet!V"&amp;1+MATCH(aux_sheet!$B165,aux_sheet!$A$2:$A$202,0)))</f>
        <v/>
      </c>
      <c r="P166" s="106" t="str">
        <f ca="1">IF($B166="","",INDIRECT("aux_sheet!X"&amp;1+MATCH(aux_sheet!$B165,aux_sheet!$A$2:$A$202,0)))</f>
        <v/>
      </c>
      <c r="Q166" s="89" t="str">
        <f ca="1">IF($B166="","",INDIRECT("aux_sheet!Y"&amp;1+MATCH(aux_sheet!$B165,aux_sheet!$A$2:$A$202,0)))</f>
        <v/>
      </c>
      <c r="R166" s="89" t="str">
        <f ca="1">IF($B166="","",INDIRECT("aux_sheet!Y"&amp;1+MATCH(aux_sheet!$B165,aux_sheet!$A$2:$A$202,0)))</f>
        <v/>
      </c>
      <c r="S166" s="106" t="str">
        <f ca="1">IF($B166="","",INDIRECT("aux_sheet!AA"&amp;1+MATCH(aux_sheet!$B165,aux_sheet!$A$2:$A$202,0)))</f>
        <v/>
      </c>
      <c r="T166" s="89" t="str">
        <f ca="1">IF($B166="","",INDIRECT("aux_sheet!AB"&amp;1+MATCH(aux_sheet!$B165,aux_sheet!$A$2:$A$202,0)))</f>
        <v/>
      </c>
      <c r="U166" s="89" t="str">
        <f ca="1">IF($B166="","",INDIRECT("aux_sheet!AB"&amp;1+MATCH(aux_sheet!$B165,aux_sheet!$A$2:$A$202,0)))</f>
        <v/>
      </c>
      <c r="V166" s="106" t="str">
        <f ca="1">IF($B166="","",INDIRECT("aux_sheet!AD"&amp;1+MATCH(aux_sheet!$B165,aux_sheet!$A$2:$A$202,0)))</f>
        <v/>
      </c>
      <c r="W166" s="89" t="str">
        <f ca="1">IF($B166="","",INDIRECT("aux_sheet!AE"&amp;1+MATCH(aux_sheet!$B165,aux_sheet!$A$2:$A$202,0)))</f>
        <v/>
      </c>
      <c r="X166" s="89" t="str">
        <f ca="1">IF($B166="","",INDIRECT("aux_sheet!AE"&amp;1+MATCH(aux_sheet!$B165,aux_sheet!$A$2:$A$202,0)))</f>
        <v/>
      </c>
      <c r="Y166" s="106" t="str">
        <f ca="1">IF($B166="","",INDIRECT("aux_sheet!AG"&amp;1+MATCH(aux_sheet!$B165,aux_sheet!$A$2:$A$202,0)))</f>
        <v/>
      </c>
      <c r="Z166" s="89" t="str">
        <f ca="1">IF($B166="","",INDIRECT("aux_sheet!AH"&amp;1+MATCH(aux_sheet!$B165,aux_sheet!$A$2:$A$202,0)))</f>
        <v/>
      </c>
      <c r="AA166" s="89" t="str">
        <f ca="1">IF($B166="","",INDIRECT("aux_sheet!AH"&amp;1+MATCH(aux_sheet!$B165,aux_sheet!$A$2:$A$202,0)))</f>
        <v/>
      </c>
      <c r="AB166" s="106" t="str">
        <f ca="1">IF($B166="","",INDIRECT("aux_sheet!AJ"&amp;1+MATCH(aux_sheet!$B165,aux_sheet!$A$2:$A$202,0)))</f>
        <v/>
      </c>
      <c r="AC166" s="89" t="str">
        <f ca="1">IF($B166="","",INDIRECT("aux_sheet!AK"&amp;1+MATCH(aux_sheet!$B165,aux_sheet!$A$2:$A$202,0)))</f>
        <v/>
      </c>
      <c r="AD166" s="89" t="str">
        <f ca="1">IF($B166="","",INDIRECT("aux_sheet!AK"&amp;1+MATCH(aux_sheet!$B165,aux_sheet!$A$2:$A$202,0)))</f>
        <v/>
      </c>
      <c r="AE166" s="106" t="str">
        <f ca="1">IF($B166="","",INDIRECT("aux_sheet!AM"&amp;1+MATCH(aux_sheet!$B165,aux_sheet!$A$2:$A$202,0)))</f>
        <v/>
      </c>
      <c r="AF166" s="89" t="str">
        <f ca="1">IF($B166="","",INDIRECT("aux_sheet!AN"&amp;1+MATCH(aux_sheet!$B165,aux_sheet!$A$2:$A$202,0)))</f>
        <v/>
      </c>
      <c r="AG166" s="89" t="str">
        <f ca="1">IF($B166="","",INDIRECT("aux_sheet!AN"&amp;1+MATCH(aux_sheet!$B165,aux_sheet!$A$2:$A$202,0)))</f>
        <v/>
      </c>
      <c r="AH166" s="14" t="str">
        <f>IF(ISBLANK(Input!A165)," ",F165-F166)</f>
        <v xml:space="preserve"> </v>
      </c>
    </row>
    <row r="167" spans="1:34" x14ac:dyDescent="0.35">
      <c r="A167" s="2" t="str">
        <f>IF(ISBLANK(Input!A166),"",ROUNDDOWN(aux_sheet!B166,0))</f>
        <v/>
      </c>
      <c r="B167" s="2" t="str">
        <f ca="1">IF(ISBLANK(Input!A166),"",INDIRECT("Input!A"&amp;1+MATCH(aux_sheet!$B166,aux_sheet!$A$2:$A$202,0)))</f>
        <v/>
      </c>
      <c r="C167" s="2" t="str">
        <f ca="1">IF(ISBLANK(Input!B166),"",INDIRECT("Input!B"&amp;1+MATCH(aux_sheet!$B166,aux_sheet!$A$2:$A$202,0)))</f>
        <v/>
      </c>
      <c r="D167" s="2" t="str">
        <f ca="1">IF(ISBLANK(Input!C166),"",INDIRECT("Input!C"&amp;1+MATCH(aux_sheet!$B166,aux_sheet!$A$2:$A$202,0)))</f>
        <v/>
      </c>
      <c r="E167" s="2" t="str">
        <f ca="1">IF(ISBLANK(Input!D166),"",INDIRECT("Input!D"&amp;1+MATCH(aux_sheet!$B166,aux_sheet!$A$2:$A$202,0)))</f>
        <v/>
      </c>
      <c r="F167" s="11" t="str">
        <f ca="1">INDIRECT("Input!F"&amp;1+MATCH(aux_sheet!$B166,aux_sheet!$A$2:$A$202,0))</f>
        <v xml:space="preserve"> </v>
      </c>
      <c r="G167" s="106" t="str">
        <f ca="1">IF($B167="","",INDIRECT("aux_sheet!O"&amp;1+MATCH(aux_sheet!$B166,aux_sheet!$A$2:$A$202,0)))</f>
        <v/>
      </c>
      <c r="H167" s="89" t="str">
        <f ca="1">IF($B167="","",INDIRECT("aux_sheet!P"&amp;1+MATCH(aux_sheet!$B166,aux_sheet!$A$2:$A$202,0)))</f>
        <v/>
      </c>
      <c r="I167" s="89" t="str">
        <f ca="1">IF($B167="","",INDIRECT("aux_sheet!P"&amp;1+MATCH(aux_sheet!$B166,aux_sheet!$A$2:$A$202,0)))</f>
        <v/>
      </c>
      <c r="J167" s="106" t="str">
        <f ca="1">IF($B167="","",INDIRECT("aux_sheet!R"&amp;1+MATCH(aux_sheet!$B166,aux_sheet!$A$2:$A$202,0)))</f>
        <v/>
      </c>
      <c r="K167" s="89" t="str">
        <f ca="1">IF($B167="","",INDIRECT("aux_sheet!S"&amp;1+MATCH(aux_sheet!$B166,aux_sheet!$A$2:$A$202,0)))</f>
        <v/>
      </c>
      <c r="L167" s="89" t="str">
        <f ca="1">IF($B167="","",INDIRECT("aux_sheet!S"&amp;1+MATCH(aux_sheet!$B166,aux_sheet!$A$2:$A$202,0)))</f>
        <v/>
      </c>
      <c r="M167" s="106" t="str">
        <f ca="1">IF($B167="","",INDIRECT("aux_sheet!U"&amp;1+MATCH(aux_sheet!$B166,aux_sheet!$A$2:$A$202,0)))</f>
        <v/>
      </c>
      <c r="N167" s="89" t="str">
        <f ca="1">IF($B167="","",INDIRECT("aux_sheet!V"&amp;1+MATCH(aux_sheet!$B166,aux_sheet!$A$2:$A$202,0)))</f>
        <v/>
      </c>
      <c r="O167" s="89" t="str">
        <f ca="1">IF($B167="","",INDIRECT("aux_sheet!V"&amp;1+MATCH(aux_sheet!$B166,aux_sheet!$A$2:$A$202,0)))</f>
        <v/>
      </c>
      <c r="P167" s="106" t="str">
        <f ca="1">IF($B167="","",INDIRECT("aux_sheet!X"&amp;1+MATCH(aux_sheet!$B166,aux_sheet!$A$2:$A$202,0)))</f>
        <v/>
      </c>
      <c r="Q167" s="89" t="str">
        <f ca="1">IF($B167="","",INDIRECT("aux_sheet!Y"&amp;1+MATCH(aux_sheet!$B166,aux_sheet!$A$2:$A$202,0)))</f>
        <v/>
      </c>
      <c r="R167" s="89" t="str">
        <f ca="1">IF($B167="","",INDIRECT("aux_sheet!Y"&amp;1+MATCH(aux_sheet!$B166,aux_sheet!$A$2:$A$202,0)))</f>
        <v/>
      </c>
      <c r="S167" s="106" t="str">
        <f ca="1">IF($B167="","",INDIRECT("aux_sheet!AA"&amp;1+MATCH(aux_sheet!$B166,aux_sheet!$A$2:$A$202,0)))</f>
        <v/>
      </c>
      <c r="T167" s="89" t="str">
        <f ca="1">IF($B167="","",INDIRECT("aux_sheet!AB"&amp;1+MATCH(aux_sheet!$B166,aux_sheet!$A$2:$A$202,0)))</f>
        <v/>
      </c>
      <c r="U167" s="89" t="str">
        <f ca="1">IF($B167="","",INDIRECT("aux_sheet!AB"&amp;1+MATCH(aux_sheet!$B166,aux_sheet!$A$2:$A$202,0)))</f>
        <v/>
      </c>
      <c r="V167" s="106" t="str">
        <f ca="1">IF($B167="","",INDIRECT("aux_sheet!AD"&amp;1+MATCH(aux_sheet!$B166,aux_sheet!$A$2:$A$202,0)))</f>
        <v/>
      </c>
      <c r="W167" s="89" t="str">
        <f ca="1">IF($B167="","",INDIRECT("aux_sheet!AE"&amp;1+MATCH(aux_sheet!$B166,aux_sheet!$A$2:$A$202,0)))</f>
        <v/>
      </c>
      <c r="X167" s="89" t="str">
        <f ca="1">IF($B167="","",INDIRECT("aux_sheet!AE"&amp;1+MATCH(aux_sheet!$B166,aux_sheet!$A$2:$A$202,0)))</f>
        <v/>
      </c>
      <c r="Y167" s="106" t="str">
        <f ca="1">IF($B167="","",INDIRECT("aux_sheet!AG"&amp;1+MATCH(aux_sheet!$B166,aux_sheet!$A$2:$A$202,0)))</f>
        <v/>
      </c>
      <c r="Z167" s="89" t="str">
        <f ca="1">IF($B167="","",INDIRECT("aux_sheet!AH"&amp;1+MATCH(aux_sheet!$B166,aux_sheet!$A$2:$A$202,0)))</f>
        <v/>
      </c>
      <c r="AA167" s="89" t="str">
        <f ca="1">IF($B167="","",INDIRECT("aux_sheet!AH"&amp;1+MATCH(aux_sheet!$B166,aux_sheet!$A$2:$A$202,0)))</f>
        <v/>
      </c>
      <c r="AB167" s="106" t="str">
        <f ca="1">IF($B167="","",INDIRECT("aux_sheet!AJ"&amp;1+MATCH(aux_sheet!$B166,aux_sheet!$A$2:$A$202,0)))</f>
        <v/>
      </c>
      <c r="AC167" s="89" t="str">
        <f ca="1">IF($B167="","",INDIRECT("aux_sheet!AK"&amp;1+MATCH(aux_sheet!$B166,aux_sheet!$A$2:$A$202,0)))</f>
        <v/>
      </c>
      <c r="AD167" s="89" t="str">
        <f ca="1">IF($B167="","",INDIRECT("aux_sheet!AK"&amp;1+MATCH(aux_sheet!$B166,aux_sheet!$A$2:$A$202,0)))</f>
        <v/>
      </c>
      <c r="AE167" s="106" t="str">
        <f ca="1">IF($B167="","",INDIRECT("aux_sheet!AM"&amp;1+MATCH(aux_sheet!$B166,aux_sheet!$A$2:$A$202,0)))</f>
        <v/>
      </c>
      <c r="AF167" s="89" t="str">
        <f ca="1">IF($B167="","",INDIRECT("aux_sheet!AN"&amp;1+MATCH(aux_sheet!$B166,aux_sheet!$A$2:$A$202,0)))</f>
        <v/>
      </c>
      <c r="AG167" s="89" t="str">
        <f ca="1">IF($B167="","",INDIRECT("aux_sheet!AN"&amp;1+MATCH(aux_sheet!$B166,aux_sheet!$A$2:$A$202,0)))</f>
        <v/>
      </c>
      <c r="AH167" s="14" t="str">
        <f>IF(ISBLANK(Input!A166)," ",F166-F167)</f>
        <v xml:space="preserve"> </v>
      </c>
    </row>
    <row r="168" spans="1:34" x14ac:dyDescent="0.35">
      <c r="A168" s="2" t="str">
        <f>IF(ISBLANK(Input!A167),"",ROUNDDOWN(aux_sheet!B167,0))</f>
        <v/>
      </c>
      <c r="B168" s="2" t="str">
        <f ca="1">IF(ISBLANK(Input!A167),"",INDIRECT("Input!A"&amp;1+MATCH(aux_sheet!$B167,aux_sheet!$A$2:$A$202,0)))</f>
        <v/>
      </c>
      <c r="C168" s="2" t="str">
        <f ca="1">IF(ISBLANK(Input!B167),"",INDIRECT("Input!B"&amp;1+MATCH(aux_sheet!$B167,aux_sheet!$A$2:$A$202,0)))</f>
        <v/>
      </c>
      <c r="D168" s="2" t="str">
        <f ca="1">IF(ISBLANK(Input!C167),"",INDIRECT("Input!C"&amp;1+MATCH(aux_sheet!$B167,aux_sheet!$A$2:$A$202,0)))</f>
        <v/>
      </c>
      <c r="E168" s="2" t="str">
        <f ca="1">IF(ISBLANK(Input!D167),"",INDIRECT("Input!D"&amp;1+MATCH(aux_sheet!$B167,aux_sheet!$A$2:$A$202,0)))</f>
        <v/>
      </c>
      <c r="F168" s="11" t="str">
        <f ca="1">INDIRECT("Input!F"&amp;1+MATCH(aux_sheet!$B167,aux_sheet!$A$2:$A$202,0))</f>
        <v xml:space="preserve"> </v>
      </c>
      <c r="G168" s="106" t="str">
        <f ca="1">IF($B168="","",INDIRECT("aux_sheet!O"&amp;1+MATCH(aux_sheet!$B167,aux_sheet!$A$2:$A$202,0)))</f>
        <v/>
      </c>
      <c r="H168" s="89" t="str">
        <f ca="1">IF($B168="","",INDIRECT("aux_sheet!P"&amp;1+MATCH(aux_sheet!$B167,aux_sheet!$A$2:$A$202,0)))</f>
        <v/>
      </c>
      <c r="I168" s="89" t="str">
        <f ca="1">IF($B168="","",INDIRECT("aux_sheet!P"&amp;1+MATCH(aux_sheet!$B167,aux_sheet!$A$2:$A$202,0)))</f>
        <v/>
      </c>
      <c r="J168" s="106" t="str">
        <f ca="1">IF($B168="","",INDIRECT("aux_sheet!R"&amp;1+MATCH(aux_sheet!$B167,aux_sheet!$A$2:$A$202,0)))</f>
        <v/>
      </c>
      <c r="K168" s="89" t="str">
        <f ca="1">IF($B168="","",INDIRECT("aux_sheet!S"&amp;1+MATCH(aux_sheet!$B167,aux_sheet!$A$2:$A$202,0)))</f>
        <v/>
      </c>
      <c r="L168" s="89" t="str">
        <f ca="1">IF($B168="","",INDIRECT("aux_sheet!S"&amp;1+MATCH(aux_sheet!$B167,aux_sheet!$A$2:$A$202,0)))</f>
        <v/>
      </c>
      <c r="M168" s="106" t="str">
        <f ca="1">IF($B168="","",INDIRECT("aux_sheet!U"&amp;1+MATCH(aux_sheet!$B167,aux_sheet!$A$2:$A$202,0)))</f>
        <v/>
      </c>
      <c r="N168" s="89" t="str">
        <f ca="1">IF($B168="","",INDIRECT("aux_sheet!V"&amp;1+MATCH(aux_sheet!$B167,aux_sheet!$A$2:$A$202,0)))</f>
        <v/>
      </c>
      <c r="O168" s="89" t="str">
        <f ca="1">IF($B168="","",INDIRECT("aux_sheet!V"&amp;1+MATCH(aux_sheet!$B167,aux_sheet!$A$2:$A$202,0)))</f>
        <v/>
      </c>
      <c r="P168" s="106" t="str">
        <f ca="1">IF($B168="","",INDIRECT("aux_sheet!X"&amp;1+MATCH(aux_sheet!$B167,aux_sheet!$A$2:$A$202,0)))</f>
        <v/>
      </c>
      <c r="Q168" s="89" t="str">
        <f ca="1">IF($B168="","",INDIRECT("aux_sheet!Y"&amp;1+MATCH(aux_sheet!$B167,aux_sheet!$A$2:$A$202,0)))</f>
        <v/>
      </c>
      <c r="R168" s="89" t="str">
        <f ca="1">IF($B168="","",INDIRECT("aux_sheet!Y"&amp;1+MATCH(aux_sheet!$B167,aux_sheet!$A$2:$A$202,0)))</f>
        <v/>
      </c>
      <c r="S168" s="106" t="str">
        <f ca="1">IF($B168="","",INDIRECT("aux_sheet!AA"&amp;1+MATCH(aux_sheet!$B167,aux_sheet!$A$2:$A$202,0)))</f>
        <v/>
      </c>
      <c r="T168" s="89" t="str">
        <f ca="1">IF($B168="","",INDIRECT("aux_sheet!AB"&amp;1+MATCH(aux_sheet!$B167,aux_sheet!$A$2:$A$202,0)))</f>
        <v/>
      </c>
      <c r="U168" s="89" t="str">
        <f ca="1">IF($B168="","",INDIRECT("aux_sheet!AB"&amp;1+MATCH(aux_sheet!$B167,aux_sheet!$A$2:$A$202,0)))</f>
        <v/>
      </c>
      <c r="V168" s="106" t="str">
        <f ca="1">IF($B168="","",INDIRECT("aux_sheet!AD"&amp;1+MATCH(aux_sheet!$B167,aux_sheet!$A$2:$A$202,0)))</f>
        <v/>
      </c>
      <c r="W168" s="89" t="str">
        <f ca="1">IF($B168="","",INDIRECT("aux_sheet!AE"&amp;1+MATCH(aux_sheet!$B167,aux_sheet!$A$2:$A$202,0)))</f>
        <v/>
      </c>
      <c r="X168" s="89" t="str">
        <f ca="1">IF($B168="","",INDIRECT("aux_sheet!AE"&amp;1+MATCH(aux_sheet!$B167,aux_sheet!$A$2:$A$202,0)))</f>
        <v/>
      </c>
      <c r="Y168" s="106" t="str">
        <f ca="1">IF($B168="","",INDIRECT("aux_sheet!AG"&amp;1+MATCH(aux_sheet!$B167,aux_sheet!$A$2:$A$202,0)))</f>
        <v/>
      </c>
      <c r="Z168" s="89" t="str">
        <f ca="1">IF($B168="","",INDIRECT("aux_sheet!AH"&amp;1+MATCH(aux_sheet!$B167,aux_sheet!$A$2:$A$202,0)))</f>
        <v/>
      </c>
      <c r="AA168" s="89" t="str">
        <f ca="1">IF($B168="","",INDIRECT("aux_sheet!AH"&amp;1+MATCH(aux_sheet!$B167,aux_sheet!$A$2:$A$202,0)))</f>
        <v/>
      </c>
      <c r="AB168" s="106" t="str">
        <f ca="1">IF($B168="","",INDIRECT("aux_sheet!AJ"&amp;1+MATCH(aux_sheet!$B167,aux_sheet!$A$2:$A$202,0)))</f>
        <v/>
      </c>
      <c r="AC168" s="89" t="str">
        <f ca="1">IF($B168="","",INDIRECT("aux_sheet!AK"&amp;1+MATCH(aux_sheet!$B167,aux_sheet!$A$2:$A$202,0)))</f>
        <v/>
      </c>
      <c r="AD168" s="89" t="str">
        <f ca="1">IF($B168="","",INDIRECT("aux_sheet!AK"&amp;1+MATCH(aux_sheet!$B167,aux_sheet!$A$2:$A$202,0)))</f>
        <v/>
      </c>
      <c r="AE168" s="106" t="str">
        <f ca="1">IF($B168="","",INDIRECT("aux_sheet!AM"&amp;1+MATCH(aux_sheet!$B167,aux_sheet!$A$2:$A$202,0)))</f>
        <v/>
      </c>
      <c r="AF168" s="89" t="str">
        <f ca="1">IF($B168="","",INDIRECT("aux_sheet!AN"&amp;1+MATCH(aux_sheet!$B167,aux_sheet!$A$2:$A$202,0)))</f>
        <v/>
      </c>
      <c r="AG168" s="89" t="str">
        <f ca="1">IF($B168="","",INDIRECT("aux_sheet!AN"&amp;1+MATCH(aux_sheet!$B167,aux_sheet!$A$2:$A$202,0)))</f>
        <v/>
      </c>
      <c r="AH168" s="14" t="str">
        <f>IF(ISBLANK(Input!A167)," ",F167-F168)</f>
        <v xml:space="preserve"> </v>
      </c>
    </row>
    <row r="169" spans="1:34" x14ac:dyDescent="0.35">
      <c r="A169" s="2" t="str">
        <f>IF(ISBLANK(Input!A168),"",ROUNDDOWN(aux_sheet!B168,0))</f>
        <v/>
      </c>
      <c r="B169" s="2" t="str">
        <f ca="1">IF(ISBLANK(Input!A168),"",INDIRECT("Input!A"&amp;1+MATCH(aux_sheet!$B168,aux_sheet!$A$2:$A$202,0)))</f>
        <v/>
      </c>
      <c r="C169" s="2" t="str">
        <f ca="1">IF(ISBLANK(Input!B168),"",INDIRECT("Input!B"&amp;1+MATCH(aux_sheet!$B168,aux_sheet!$A$2:$A$202,0)))</f>
        <v/>
      </c>
      <c r="D169" s="2" t="str">
        <f ca="1">IF(ISBLANK(Input!C168),"",INDIRECT("Input!C"&amp;1+MATCH(aux_sheet!$B168,aux_sheet!$A$2:$A$202,0)))</f>
        <v/>
      </c>
      <c r="E169" s="2" t="str">
        <f ca="1">IF(ISBLANK(Input!D168),"",INDIRECT("Input!D"&amp;1+MATCH(aux_sheet!$B168,aux_sheet!$A$2:$A$202,0)))</f>
        <v/>
      </c>
      <c r="F169" s="11" t="str">
        <f ca="1">INDIRECT("Input!F"&amp;1+MATCH(aux_sheet!$B168,aux_sheet!$A$2:$A$202,0))</f>
        <v xml:space="preserve"> </v>
      </c>
      <c r="G169" s="106" t="str">
        <f ca="1">IF($B169="","",INDIRECT("aux_sheet!O"&amp;1+MATCH(aux_sheet!$B168,aux_sheet!$A$2:$A$202,0)))</f>
        <v/>
      </c>
      <c r="H169" s="89" t="str">
        <f ca="1">IF($B169="","",INDIRECT("aux_sheet!P"&amp;1+MATCH(aux_sheet!$B168,aux_sheet!$A$2:$A$202,0)))</f>
        <v/>
      </c>
      <c r="I169" s="89" t="str">
        <f ca="1">IF($B169="","",INDIRECT("aux_sheet!P"&amp;1+MATCH(aux_sheet!$B168,aux_sheet!$A$2:$A$202,0)))</f>
        <v/>
      </c>
      <c r="J169" s="106" t="str">
        <f ca="1">IF($B169="","",INDIRECT("aux_sheet!R"&amp;1+MATCH(aux_sheet!$B168,aux_sheet!$A$2:$A$202,0)))</f>
        <v/>
      </c>
      <c r="K169" s="89" t="str">
        <f ca="1">IF($B169="","",INDIRECT("aux_sheet!S"&amp;1+MATCH(aux_sheet!$B168,aux_sheet!$A$2:$A$202,0)))</f>
        <v/>
      </c>
      <c r="L169" s="89" t="str">
        <f ca="1">IF($B169="","",INDIRECT("aux_sheet!S"&amp;1+MATCH(aux_sheet!$B168,aux_sheet!$A$2:$A$202,0)))</f>
        <v/>
      </c>
      <c r="M169" s="106" t="str">
        <f ca="1">IF($B169="","",INDIRECT("aux_sheet!U"&amp;1+MATCH(aux_sheet!$B168,aux_sheet!$A$2:$A$202,0)))</f>
        <v/>
      </c>
      <c r="N169" s="89" t="str">
        <f ca="1">IF($B169="","",INDIRECT("aux_sheet!V"&amp;1+MATCH(aux_sheet!$B168,aux_sheet!$A$2:$A$202,0)))</f>
        <v/>
      </c>
      <c r="O169" s="89" t="str">
        <f ca="1">IF($B169="","",INDIRECT("aux_sheet!V"&amp;1+MATCH(aux_sheet!$B168,aux_sheet!$A$2:$A$202,0)))</f>
        <v/>
      </c>
      <c r="P169" s="106" t="str">
        <f ca="1">IF($B169="","",INDIRECT("aux_sheet!X"&amp;1+MATCH(aux_sheet!$B168,aux_sheet!$A$2:$A$202,0)))</f>
        <v/>
      </c>
      <c r="Q169" s="89" t="str">
        <f ca="1">IF($B169="","",INDIRECT("aux_sheet!Y"&amp;1+MATCH(aux_sheet!$B168,aux_sheet!$A$2:$A$202,0)))</f>
        <v/>
      </c>
      <c r="R169" s="89" t="str">
        <f ca="1">IF($B169="","",INDIRECT("aux_sheet!Y"&amp;1+MATCH(aux_sheet!$B168,aux_sheet!$A$2:$A$202,0)))</f>
        <v/>
      </c>
      <c r="S169" s="106" t="str">
        <f ca="1">IF($B169="","",INDIRECT("aux_sheet!AA"&amp;1+MATCH(aux_sheet!$B168,aux_sheet!$A$2:$A$202,0)))</f>
        <v/>
      </c>
      <c r="T169" s="89" t="str">
        <f ca="1">IF($B169="","",INDIRECT("aux_sheet!AB"&amp;1+MATCH(aux_sheet!$B168,aux_sheet!$A$2:$A$202,0)))</f>
        <v/>
      </c>
      <c r="U169" s="89" t="str">
        <f ca="1">IF($B169="","",INDIRECT("aux_sheet!AB"&amp;1+MATCH(aux_sheet!$B168,aux_sheet!$A$2:$A$202,0)))</f>
        <v/>
      </c>
      <c r="V169" s="106" t="str">
        <f ca="1">IF($B169="","",INDIRECT("aux_sheet!AD"&amp;1+MATCH(aux_sheet!$B168,aux_sheet!$A$2:$A$202,0)))</f>
        <v/>
      </c>
      <c r="W169" s="89" t="str">
        <f ca="1">IF($B169="","",INDIRECT("aux_sheet!AE"&amp;1+MATCH(aux_sheet!$B168,aux_sheet!$A$2:$A$202,0)))</f>
        <v/>
      </c>
      <c r="X169" s="89" t="str">
        <f ca="1">IF($B169="","",INDIRECT("aux_sheet!AE"&amp;1+MATCH(aux_sheet!$B168,aux_sheet!$A$2:$A$202,0)))</f>
        <v/>
      </c>
      <c r="Y169" s="106" t="str">
        <f ca="1">IF($B169="","",INDIRECT("aux_sheet!AG"&amp;1+MATCH(aux_sheet!$B168,aux_sheet!$A$2:$A$202,0)))</f>
        <v/>
      </c>
      <c r="Z169" s="89" t="str">
        <f ca="1">IF($B169="","",INDIRECT("aux_sheet!AH"&amp;1+MATCH(aux_sheet!$B168,aux_sheet!$A$2:$A$202,0)))</f>
        <v/>
      </c>
      <c r="AA169" s="89" t="str">
        <f ca="1">IF($B169="","",INDIRECT("aux_sheet!AH"&amp;1+MATCH(aux_sheet!$B168,aux_sheet!$A$2:$A$202,0)))</f>
        <v/>
      </c>
      <c r="AB169" s="106" t="str">
        <f ca="1">IF($B169="","",INDIRECT("aux_sheet!AJ"&amp;1+MATCH(aux_sheet!$B168,aux_sheet!$A$2:$A$202,0)))</f>
        <v/>
      </c>
      <c r="AC169" s="89" t="str">
        <f ca="1">IF($B169="","",INDIRECT("aux_sheet!AK"&amp;1+MATCH(aux_sheet!$B168,aux_sheet!$A$2:$A$202,0)))</f>
        <v/>
      </c>
      <c r="AD169" s="89" t="str">
        <f ca="1">IF($B169="","",INDIRECT("aux_sheet!AK"&amp;1+MATCH(aux_sheet!$B168,aux_sheet!$A$2:$A$202,0)))</f>
        <v/>
      </c>
      <c r="AE169" s="106" t="str">
        <f ca="1">IF($B169="","",INDIRECT("aux_sheet!AM"&amp;1+MATCH(aux_sheet!$B168,aux_sheet!$A$2:$A$202,0)))</f>
        <v/>
      </c>
      <c r="AF169" s="89" t="str">
        <f ca="1">IF($B169="","",INDIRECT("aux_sheet!AN"&amp;1+MATCH(aux_sheet!$B168,aux_sheet!$A$2:$A$202,0)))</f>
        <v/>
      </c>
      <c r="AG169" s="89" t="str">
        <f ca="1">IF($B169="","",INDIRECT("aux_sheet!AN"&amp;1+MATCH(aux_sheet!$B168,aux_sheet!$A$2:$A$202,0)))</f>
        <v/>
      </c>
      <c r="AH169" s="14" t="str">
        <f>IF(ISBLANK(Input!A168)," ",F168-F169)</f>
        <v xml:space="preserve"> </v>
      </c>
    </row>
    <row r="170" spans="1:34" x14ac:dyDescent="0.35">
      <c r="A170" s="2" t="str">
        <f>IF(ISBLANK(Input!A169),"",ROUNDDOWN(aux_sheet!B169,0))</f>
        <v/>
      </c>
      <c r="B170" s="2" t="str">
        <f ca="1">IF(ISBLANK(Input!A169),"",INDIRECT("Input!A"&amp;1+MATCH(aux_sheet!$B169,aux_sheet!$A$2:$A$202,0)))</f>
        <v/>
      </c>
      <c r="C170" s="2" t="str">
        <f ca="1">IF(ISBLANK(Input!B169),"",INDIRECT("Input!B"&amp;1+MATCH(aux_sheet!$B169,aux_sheet!$A$2:$A$202,0)))</f>
        <v/>
      </c>
      <c r="D170" s="2" t="str">
        <f ca="1">IF(ISBLANK(Input!C169),"",INDIRECT("Input!C"&amp;1+MATCH(aux_sheet!$B169,aux_sheet!$A$2:$A$202,0)))</f>
        <v/>
      </c>
      <c r="E170" s="2" t="str">
        <f ca="1">IF(ISBLANK(Input!D169),"",INDIRECT("Input!D"&amp;1+MATCH(aux_sheet!$B169,aux_sheet!$A$2:$A$202,0)))</f>
        <v/>
      </c>
      <c r="F170" s="11" t="str">
        <f ca="1">INDIRECT("Input!F"&amp;1+MATCH(aux_sheet!$B169,aux_sheet!$A$2:$A$202,0))</f>
        <v xml:space="preserve"> </v>
      </c>
      <c r="G170" s="106" t="str">
        <f ca="1">IF($B170="","",INDIRECT("aux_sheet!O"&amp;1+MATCH(aux_sheet!$B169,aux_sheet!$A$2:$A$202,0)))</f>
        <v/>
      </c>
      <c r="H170" s="89" t="str">
        <f ca="1">IF($B170="","",INDIRECT("aux_sheet!P"&amp;1+MATCH(aux_sheet!$B169,aux_sheet!$A$2:$A$202,0)))</f>
        <v/>
      </c>
      <c r="I170" s="89" t="str">
        <f ca="1">IF($B170="","",INDIRECT("aux_sheet!P"&amp;1+MATCH(aux_sheet!$B169,aux_sheet!$A$2:$A$202,0)))</f>
        <v/>
      </c>
      <c r="J170" s="106" t="str">
        <f ca="1">IF($B170="","",INDIRECT("aux_sheet!R"&amp;1+MATCH(aux_sheet!$B169,aux_sheet!$A$2:$A$202,0)))</f>
        <v/>
      </c>
      <c r="K170" s="89" t="str">
        <f ca="1">IF($B170="","",INDIRECT("aux_sheet!S"&amp;1+MATCH(aux_sheet!$B169,aux_sheet!$A$2:$A$202,0)))</f>
        <v/>
      </c>
      <c r="L170" s="89" t="str">
        <f ca="1">IF($B170="","",INDIRECT("aux_sheet!S"&amp;1+MATCH(aux_sheet!$B169,aux_sheet!$A$2:$A$202,0)))</f>
        <v/>
      </c>
      <c r="M170" s="106" t="str">
        <f ca="1">IF($B170="","",INDIRECT("aux_sheet!U"&amp;1+MATCH(aux_sheet!$B169,aux_sheet!$A$2:$A$202,0)))</f>
        <v/>
      </c>
      <c r="N170" s="89" t="str">
        <f ca="1">IF($B170="","",INDIRECT("aux_sheet!V"&amp;1+MATCH(aux_sheet!$B169,aux_sheet!$A$2:$A$202,0)))</f>
        <v/>
      </c>
      <c r="O170" s="89" t="str">
        <f ca="1">IF($B170="","",INDIRECT("aux_sheet!V"&amp;1+MATCH(aux_sheet!$B169,aux_sheet!$A$2:$A$202,0)))</f>
        <v/>
      </c>
      <c r="P170" s="106" t="str">
        <f ca="1">IF($B170="","",INDIRECT("aux_sheet!X"&amp;1+MATCH(aux_sheet!$B169,aux_sheet!$A$2:$A$202,0)))</f>
        <v/>
      </c>
      <c r="Q170" s="89" t="str">
        <f ca="1">IF($B170="","",INDIRECT("aux_sheet!Y"&amp;1+MATCH(aux_sheet!$B169,aux_sheet!$A$2:$A$202,0)))</f>
        <v/>
      </c>
      <c r="R170" s="89" t="str">
        <f ca="1">IF($B170="","",INDIRECT("aux_sheet!Y"&amp;1+MATCH(aux_sheet!$B169,aux_sheet!$A$2:$A$202,0)))</f>
        <v/>
      </c>
      <c r="S170" s="106" t="str">
        <f ca="1">IF($B170="","",INDIRECT("aux_sheet!AA"&amp;1+MATCH(aux_sheet!$B169,aux_sheet!$A$2:$A$202,0)))</f>
        <v/>
      </c>
      <c r="T170" s="89" t="str">
        <f ca="1">IF($B170="","",INDIRECT("aux_sheet!AB"&amp;1+MATCH(aux_sheet!$B169,aux_sheet!$A$2:$A$202,0)))</f>
        <v/>
      </c>
      <c r="U170" s="89" t="str">
        <f ca="1">IF($B170="","",INDIRECT("aux_sheet!AB"&amp;1+MATCH(aux_sheet!$B169,aux_sheet!$A$2:$A$202,0)))</f>
        <v/>
      </c>
      <c r="V170" s="106" t="str">
        <f ca="1">IF($B170="","",INDIRECT("aux_sheet!AD"&amp;1+MATCH(aux_sheet!$B169,aux_sheet!$A$2:$A$202,0)))</f>
        <v/>
      </c>
      <c r="W170" s="89" t="str">
        <f ca="1">IF($B170="","",INDIRECT("aux_sheet!AE"&amp;1+MATCH(aux_sheet!$B169,aux_sheet!$A$2:$A$202,0)))</f>
        <v/>
      </c>
      <c r="X170" s="89" t="str">
        <f ca="1">IF($B170="","",INDIRECT("aux_sheet!AE"&amp;1+MATCH(aux_sheet!$B169,aux_sheet!$A$2:$A$202,0)))</f>
        <v/>
      </c>
      <c r="Y170" s="106" t="str">
        <f ca="1">IF($B170="","",INDIRECT("aux_sheet!AG"&amp;1+MATCH(aux_sheet!$B169,aux_sheet!$A$2:$A$202,0)))</f>
        <v/>
      </c>
      <c r="Z170" s="89" t="str">
        <f ca="1">IF($B170="","",INDIRECT("aux_sheet!AH"&amp;1+MATCH(aux_sheet!$B169,aux_sheet!$A$2:$A$202,0)))</f>
        <v/>
      </c>
      <c r="AA170" s="89" t="str">
        <f ca="1">IF($B170="","",INDIRECT("aux_sheet!AH"&amp;1+MATCH(aux_sheet!$B169,aux_sheet!$A$2:$A$202,0)))</f>
        <v/>
      </c>
      <c r="AB170" s="106" t="str">
        <f ca="1">IF($B170="","",INDIRECT("aux_sheet!AJ"&amp;1+MATCH(aux_sheet!$B169,aux_sheet!$A$2:$A$202,0)))</f>
        <v/>
      </c>
      <c r="AC170" s="89" t="str">
        <f ca="1">IF($B170="","",INDIRECT("aux_sheet!AK"&amp;1+MATCH(aux_sheet!$B169,aux_sheet!$A$2:$A$202,0)))</f>
        <v/>
      </c>
      <c r="AD170" s="89" t="str">
        <f ca="1">IF($B170="","",INDIRECT("aux_sheet!AK"&amp;1+MATCH(aux_sheet!$B169,aux_sheet!$A$2:$A$202,0)))</f>
        <v/>
      </c>
      <c r="AE170" s="106" t="str">
        <f ca="1">IF($B170="","",INDIRECT("aux_sheet!AM"&amp;1+MATCH(aux_sheet!$B169,aux_sheet!$A$2:$A$202,0)))</f>
        <v/>
      </c>
      <c r="AF170" s="89" t="str">
        <f ca="1">IF($B170="","",INDIRECT("aux_sheet!AN"&amp;1+MATCH(aux_sheet!$B169,aux_sheet!$A$2:$A$202,0)))</f>
        <v/>
      </c>
      <c r="AG170" s="89" t="str">
        <f ca="1">IF($B170="","",INDIRECT("aux_sheet!AN"&amp;1+MATCH(aux_sheet!$B169,aux_sheet!$A$2:$A$202,0)))</f>
        <v/>
      </c>
      <c r="AH170" s="14" t="str">
        <f>IF(ISBLANK(Input!A169)," ",F169-F170)</f>
        <v xml:space="preserve"> </v>
      </c>
    </row>
    <row r="171" spans="1:34" x14ac:dyDescent="0.35">
      <c r="A171" s="2" t="str">
        <f>IF(ISBLANK(Input!A170),"",ROUNDDOWN(aux_sheet!B170,0))</f>
        <v/>
      </c>
      <c r="B171" s="2" t="str">
        <f ca="1">IF(ISBLANK(Input!A170),"",INDIRECT("Input!A"&amp;1+MATCH(aux_sheet!$B170,aux_sheet!$A$2:$A$202,0)))</f>
        <v/>
      </c>
      <c r="C171" s="2" t="str">
        <f ca="1">IF(ISBLANK(Input!B170),"",INDIRECT("Input!B"&amp;1+MATCH(aux_sheet!$B170,aux_sheet!$A$2:$A$202,0)))</f>
        <v/>
      </c>
      <c r="D171" s="2" t="str">
        <f ca="1">IF(ISBLANK(Input!C170),"",INDIRECT("Input!C"&amp;1+MATCH(aux_sheet!$B170,aux_sheet!$A$2:$A$202,0)))</f>
        <v/>
      </c>
      <c r="E171" s="2" t="str">
        <f ca="1">IF(ISBLANK(Input!D170),"",INDIRECT("Input!D"&amp;1+MATCH(aux_sheet!$B170,aux_sheet!$A$2:$A$202,0)))</f>
        <v/>
      </c>
      <c r="F171" s="11" t="str">
        <f ca="1">INDIRECT("Input!F"&amp;1+MATCH(aux_sheet!$B170,aux_sheet!$A$2:$A$202,0))</f>
        <v xml:space="preserve"> </v>
      </c>
      <c r="G171" s="106" t="str">
        <f ca="1">IF($B171="","",INDIRECT("aux_sheet!O"&amp;1+MATCH(aux_sheet!$B170,aux_sheet!$A$2:$A$202,0)))</f>
        <v/>
      </c>
      <c r="H171" s="89" t="str">
        <f ca="1">IF($B171="","",INDIRECT("aux_sheet!P"&amp;1+MATCH(aux_sheet!$B170,aux_sheet!$A$2:$A$202,0)))</f>
        <v/>
      </c>
      <c r="I171" s="89" t="str">
        <f ca="1">IF($B171="","",INDIRECT("aux_sheet!P"&amp;1+MATCH(aux_sheet!$B170,aux_sheet!$A$2:$A$202,0)))</f>
        <v/>
      </c>
      <c r="J171" s="106" t="str">
        <f ca="1">IF($B171="","",INDIRECT("aux_sheet!R"&amp;1+MATCH(aux_sheet!$B170,aux_sheet!$A$2:$A$202,0)))</f>
        <v/>
      </c>
      <c r="K171" s="89" t="str">
        <f ca="1">IF($B171="","",INDIRECT("aux_sheet!S"&amp;1+MATCH(aux_sheet!$B170,aux_sheet!$A$2:$A$202,0)))</f>
        <v/>
      </c>
      <c r="L171" s="89" t="str">
        <f ca="1">IF($B171="","",INDIRECT("aux_sheet!S"&amp;1+MATCH(aux_sheet!$B170,aux_sheet!$A$2:$A$202,0)))</f>
        <v/>
      </c>
      <c r="M171" s="106" t="str">
        <f ca="1">IF($B171="","",INDIRECT("aux_sheet!U"&amp;1+MATCH(aux_sheet!$B170,aux_sheet!$A$2:$A$202,0)))</f>
        <v/>
      </c>
      <c r="N171" s="89" t="str">
        <f ca="1">IF($B171="","",INDIRECT("aux_sheet!V"&amp;1+MATCH(aux_sheet!$B170,aux_sheet!$A$2:$A$202,0)))</f>
        <v/>
      </c>
      <c r="O171" s="89" t="str">
        <f ca="1">IF($B171="","",INDIRECT("aux_sheet!V"&amp;1+MATCH(aux_sheet!$B170,aux_sheet!$A$2:$A$202,0)))</f>
        <v/>
      </c>
      <c r="P171" s="106" t="str">
        <f ca="1">IF($B171="","",INDIRECT("aux_sheet!X"&amp;1+MATCH(aux_sheet!$B170,aux_sheet!$A$2:$A$202,0)))</f>
        <v/>
      </c>
      <c r="Q171" s="89" t="str">
        <f ca="1">IF($B171="","",INDIRECT("aux_sheet!Y"&amp;1+MATCH(aux_sheet!$B170,aux_sheet!$A$2:$A$202,0)))</f>
        <v/>
      </c>
      <c r="R171" s="89" t="str">
        <f ca="1">IF($B171="","",INDIRECT("aux_sheet!Y"&amp;1+MATCH(aux_sheet!$B170,aux_sheet!$A$2:$A$202,0)))</f>
        <v/>
      </c>
      <c r="S171" s="106" t="str">
        <f ca="1">IF($B171="","",INDIRECT("aux_sheet!AA"&amp;1+MATCH(aux_sheet!$B170,aux_sheet!$A$2:$A$202,0)))</f>
        <v/>
      </c>
      <c r="T171" s="89" t="str">
        <f ca="1">IF($B171="","",INDIRECT("aux_sheet!AB"&amp;1+MATCH(aux_sheet!$B170,aux_sheet!$A$2:$A$202,0)))</f>
        <v/>
      </c>
      <c r="U171" s="89" t="str">
        <f ca="1">IF($B171="","",INDIRECT("aux_sheet!AB"&amp;1+MATCH(aux_sheet!$B170,aux_sheet!$A$2:$A$202,0)))</f>
        <v/>
      </c>
      <c r="V171" s="106" t="str">
        <f ca="1">IF($B171="","",INDIRECT("aux_sheet!AD"&amp;1+MATCH(aux_sheet!$B170,aux_sheet!$A$2:$A$202,0)))</f>
        <v/>
      </c>
      <c r="W171" s="89" t="str">
        <f ca="1">IF($B171="","",INDIRECT("aux_sheet!AE"&amp;1+MATCH(aux_sheet!$B170,aux_sheet!$A$2:$A$202,0)))</f>
        <v/>
      </c>
      <c r="X171" s="89" t="str">
        <f ca="1">IF($B171="","",INDIRECT("aux_sheet!AE"&amp;1+MATCH(aux_sheet!$B170,aux_sheet!$A$2:$A$202,0)))</f>
        <v/>
      </c>
      <c r="Y171" s="106" t="str">
        <f ca="1">IF($B171="","",INDIRECT("aux_sheet!AG"&amp;1+MATCH(aux_sheet!$B170,aux_sheet!$A$2:$A$202,0)))</f>
        <v/>
      </c>
      <c r="Z171" s="89" t="str">
        <f ca="1">IF($B171="","",INDIRECT("aux_sheet!AH"&amp;1+MATCH(aux_sheet!$B170,aux_sheet!$A$2:$A$202,0)))</f>
        <v/>
      </c>
      <c r="AA171" s="89" t="str">
        <f ca="1">IF($B171="","",INDIRECT("aux_sheet!AH"&amp;1+MATCH(aux_sheet!$B170,aux_sheet!$A$2:$A$202,0)))</f>
        <v/>
      </c>
      <c r="AB171" s="106" t="str">
        <f ca="1">IF($B171="","",INDIRECT("aux_sheet!AJ"&amp;1+MATCH(aux_sheet!$B170,aux_sheet!$A$2:$A$202,0)))</f>
        <v/>
      </c>
      <c r="AC171" s="89" t="str">
        <f ca="1">IF($B171="","",INDIRECT("aux_sheet!AK"&amp;1+MATCH(aux_sheet!$B170,aux_sheet!$A$2:$A$202,0)))</f>
        <v/>
      </c>
      <c r="AD171" s="89" t="str">
        <f ca="1">IF($B171="","",INDIRECT("aux_sheet!AK"&amp;1+MATCH(aux_sheet!$B170,aux_sheet!$A$2:$A$202,0)))</f>
        <v/>
      </c>
      <c r="AE171" s="106" t="str">
        <f ca="1">IF($B171="","",INDIRECT("aux_sheet!AM"&amp;1+MATCH(aux_sheet!$B170,aux_sheet!$A$2:$A$202,0)))</f>
        <v/>
      </c>
      <c r="AF171" s="89" t="str">
        <f ca="1">IF($B171="","",INDIRECT("aux_sheet!AN"&amp;1+MATCH(aux_sheet!$B170,aux_sheet!$A$2:$A$202,0)))</f>
        <v/>
      </c>
      <c r="AG171" s="89" t="str">
        <f ca="1">IF($B171="","",INDIRECT("aux_sheet!AN"&amp;1+MATCH(aux_sheet!$B170,aux_sheet!$A$2:$A$202,0)))</f>
        <v/>
      </c>
      <c r="AH171" s="14" t="str">
        <f>IF(ISBLANK(Input!A170)," ",F170-F171)</f>
        <v xml:space="preserve"> </v>
      </c>
    </row>
    <row r="172" spans="1:34" x14ac:dyDescent="0.35">
      <c r="A172" s="2" t="str">
        <f>IF(ISBLANK(Input!A171),"",ROUNDDOWN(aux_sheet!B171,0))</f>
        <v/>
      </c>
      <c r="B172" s="2" t="str">
        <f ca="1">IF(ISBLANK(Input!A171),"",INDIRECT("Input!A"&amp;1+MATCH(aux_sheet!$B171,aux_sheet!$A$2:$A$202,0)))</f>
        <v/>
      </c>
      <c r="C172" s="2" t="str">
        <f ca="1">IF(ISBLANK(Input!B171),"",INDIRECT("Input!B"&amp;1+MATCH(aux_sheet!$B171,aux_sheet!$A$2:$A$202,0)))</f>
        <v/>
      </c>
      <c r="D172" s="2" t="str">
        <f ca="1">IF(ISBLANK(Input!C171),"",INDIRECT("Input!C"&amp;1+MATCH(aux_sheet!$B171,aux_sheet!$A$2:$A$202,0)))</f>
        <v/>
      </c>
      <c r="E172" s="2" t="str">
        <f ca="1">IF(ISBLANK(Input!D171),"",INDIRECT("Input!D"&amp;1+MATCH(aux_sheet!$B171,aux_sheet!$A$2:$A$202,0)))</f>
        <v/>
      </c>
      <c r="F172" s="11" t="str">
        <f ca="1">INDIRECT("Input!F"&amp;1+MATCH(aux_sheet!$B171,aux_sheet!$A$2:$A$202,0))</f>
        <v xml:space="preserve"> </v>
      </c>
      <c r="G172" s="106" t="str">
        <f ca="1">IF($B172="","",INDIRECT("aux_sheet!O"&amp;1+MATCH(aux_sheet!$B171,aux_sheet!$A$2:$A$202,0)))</f>
        <v/>
      </c>
      <c r="H172" s="89" t="str">
        <f ca="1">IF($B172="","",INDIRECT("aux_sheet!P"&amp;1+MATCH(aux_sheet!$B171,aux_sheet!$A$2:$A$202,0)))</f>
        <v/>
      </c>
      <c r="I172" s="89" t="str">
        <f ca="1">IF($B172="","",INDIRECT("aux_sheet!P"&amp;1+MATCH(aux_sheet!$B171,aux_sheet!$A$2:$A$202,0)))</f>
        <v/>
      </c>
      <c r="J172" s="106" t="str">
        <f ca="1">IF($B172="","",INDIRECT("aux_sheet!R"&amp;1+MATCH(aux_sheet!$B171,aux_sheet!$A$2:$A$202,0)))</f>
        <v/>
      </c>
      <c r="K172" s="89" t="str">
        <f ca="1">IF($B172="","",INDIRECT("aux_sheet!S"&amp;1+MATCH(aux_sheet!$B171,aux_sheet!$A$2:$A$202,0)))</f>
        <v/>
      </c>
      <c r="L172" s="89" t="str">
        <f ca="1">IF($B172="","",INDIRECT("aux_sheet!S"&amp;1+MATCH(aux_sheet!$B171,aux_sheet!$A$2:$A$202,0)))</f>
        <v/>
      </c>
      <c r="M172" s="106" t="str">
        <f ca="1">IF($B172="","",INDIRECT("aux_sheet!U"&amp;1+MATCH(aux_sheet!$B171,aux_sheet!$A$2:$A$202,0)))</f>
        <v/>
      </c>
      <c r="N172" s="89" t="str">
        <f ca="1">IF($B172="","",INDIRECT("aux_sheet!V"&amp;1+MATCH(aux_sheet!$B171,aux_sheet!$A$2:$A$202,0)))</f>
        <v/>
      </c>
      <c r="O172" s="89" t="str">
        <f ca="1">IF($B172="","",INDIRECT("aux_sheet!V"&amp;1+MATCH(aux_sheet!$B171,aux_sheet!$A$2:$A$202,0)))</f>
        <v/>
      </c>
      <c r="P172" s="106" t="str">
        <f ca="1">IF($B172="","",INDIRECT("aux_sheet!X"&amp;1+MATCH(aux_sheet!$B171,aux_sheet!$A$2:$A$202,0)))</f>
        <v/>
      </c>
      <c r="Q172" s="89" t="str">
        <f ca="1">IF($B172="","",INDIRECT("aux_sheet!Y"&amp;1+MATCH(aux_sheet!$B171,aux_sheet!$A$2:$A$202,0)))</f>
        <v/>
      </c>
      <c r="R172" s="89" t="str">
        <f ca="1">IF($B172="","",INDIRECT("aux_sheet!Y"&amp;1+MATCH(aux_sheet!$B171,aux_sheet!$A$2:$A$202,0)))</f>
        <v/>
      </c>
      <c r="S172" s="106" t="str">
        <f ca="1">IF($B172="","",INDIRECT("aux_sheet!AA"&amp;1+MATCH(aux_sheet!$B171,aux_sheet!$A$2:$A$202,0)))</f>
        <v/>
      </c>
      <c r="T172" s="89" t="str">
        <f ca="1">IF($B172="","",INDIRECT("aux_sheet!AB"&amp;1+MATCH(aux_sheet!$B171,aux_sheet!$A$2:$A$202,0)))</f>
        <v/>
      </c>
      <c r="U172" s="89" t="str">
        <f ca="1">IF($B172="","",INDIRECT("aux_sheet!AB"&amp;1+MATCH(aux_sheet!$B171,aux_sheet!$A$2:$A$202,0)))</f>
        <v/>
      </c>
      <c r="V172" s="106" t="str">
        <f ca="1">IF($B172="","",INDIRECT("aux_sheet!AD"&amp;1+MATCH(aux_sheet!$B171,aux_sheet!$A$2:$A$202,0)))</f>
        <v/>
      </c>
      <c r="W172" s="89" t="str">
        <f ca="1">IF($B172="","",INDIRECT("aux_sheet!AE"&amp;1+MATCH(aux_sheet!$B171,aux_sheet!$A$2:$A$202,0)))</f>
        <v/>
      </c>
      <c r="X172" s="89" t="str">
        <f ca="1">IF($B172="","",INDIRECT("aux_sheet!AE"&amp;1+MATCH(aux_sheet!$B171,aux_sheet!$A$2:$A$202,0)))</f>
        <v/>
      </c>
      <c r="Y172" s="106" t="str">
        <f ca="1">IF($B172="","",INDIRECT("aux_sheet!AG"&amp;1+MATCH(aux_sheet!$B171,aux_sheet!$A$2:$A$202,0)))</f>
        <v/>
      </c>
      <c r="Z172" s="89" t="str">
        <f ca="1">IF($B172="","",INDIRECT("aux_sheet!AH"&amp;1+MATCH(aux_sheet!$B171,aux_sheet!$A$2:$A$202,0)))</f>
        <v/>
      </c>
      <c r="AA172" s="89" t="str">
        <f ca="1">IF($B172="","",INDIRECT("aux_sheet!AH"&amp;1+MATCH(aux_sheet!$B171,aux_sheet!$A$2:$A$202,0)))</f>
        <v/>
      </c>
      <c r="AB172" s="106" t="str">
        <f ca="1">IF($B172="","",INDIRECT("aux_sheet!AJ"&amp;1+MATCH(aux_sheet!$B171,aux_sheet!$A$2:$A$202,0)))</f>
        <v/>
      </c>
      <c r="AC172" s="89" t="str">
        <f ca="1">IF($B172="","",INDIRECT("aux_sheet!AK"&amp;1+MATCH(aux_sheet!$B171,aux_sheet!$A$2:$A$202,0)))</f>
        <v/>
      </c>
      <c r="AD172" s="89" t="str">
        <f ca="1">IF($B172="","",INDIRECT("aux_sheet!AK"&amp;1+MATCH(aux_sheet!$B171,aux_sheet!$A$2:$A$202,0)))</f>
        <v/>
      </c>
      <c r="AE172" s="106" t="str">
        <f ca="1">IF($B172="","",INDIRECT("aux_sheet!AM"&amp;1+MATCH(aux_sheet!$B171,aux_sheet!$A$2:$A$202,0)))</f>
        <v/>
      </c>
      <c r="AF172" s="89" t="str">
        <f ca="1">IF($B172="","",INDIRECT("aux_sheet!AN"&amp;1+MATCH(aux_sheet!$B171,aux_sheet!$A$2:$A$202,0)))</f>
        <v/>
      </c>
      <c r="AG172" s="89" t="str">
        <f ca="1">IF($B172="","",INDIRECT("aux_sheet!AN"&amp;1+MATCH(aux_sheet!$B171,aux_sheet!$A$2:$A$202,0)))</f>
        <v/>
      </c>
      <c r="AH172" s="14" t="str">
        <f>IF(ISBLANK(Input!A171)," ",F171-F172)</f>
        <v xml:space="preserve"> </v>
      </c>
    </row>
    <row r="173" spans="1:34" x14ac:dyDescent="0.35">
      <c r="A173" s="2" t="str">
        <f>IF(ISBLANK(Input!A172),"",ROUNDDOWN(aux_sheet!B172,0))</f>
        <v/>
      </c>
      <c r="B173" s="2" t="str">
        <f ca="1">IF(ISBLANK(Input!A172),"",INDIRECT("Input!A"&amp;1+MATCH(aux_sheet!$B172,aux_sheet!$A$2:$A$202,0)))</f>
        <v/>
      </c>
      <c r="C173" s="2" t="str">
        <f ca="1">IF(ISBLANK(Input!B172),"",INDIRECT("Input!B"&amp;1+MATCH(aux_sheet!$B172,aux_sheet!$A$2:$A$202,0)))</f>
        <v/>
      </c>
      <c r="D173" s="2" t="str">
        <f ca="1">IF(ISBLANK(Input!C172),"",INDIRECT("Input!C"&amp;1+MATCH(aux_sheet!$B172,aux_sheet!$A$2:$A$202,0)))</f>
        <v/>
      </c>
      <c r="E173" s="2" t="str">
        <f ca="1">IF(ISBLANK(Input!D172),"",INDIRECT("Input!D"&amp;1+MATCH(aux_sheet!$B172,aux_sheet!$A$2:$A$202,0)))</f>
        <v/>
      </c>
      <c r="F173" s="11" t="str">
        <f ca="1">INDIRECT("Input!F"&amp;1+MATCH(aux_sheet!$B172,aux_sheet!$A$2:$A$202,0))</f>
        <v xml:space="preserve"> </v>
      </c>
      <c r="G173" s="106" t="str">
        <f ca="1">IF($B173="","",INDIRECT("aux_sheet!O"&amp;1+MATCH(aux_sheet!$B172,aux_sheet!$A$2:$A$202,0)))</f>
        <v/>
      </c>
      <c r="H173" s="89" t="str">
        <f ca="1">IF($B173="","",INDIRECT("aux_sheet!P"&amp;1+MATCH(aux_sheet!$B172,aux_sheet!$A$2:$A$202,0)))</f>
        <v/>
      </c>
      <c r="I173" s="89" t="str">
        <f ca="1">IF($B173="","",INDIRECT("aux_sheet!P"&amp;1+MATCH(aux_sheet!$B172,aux_sheet!$A$2:$A$202,0)))</f>
        <v/>
      </c>
      <c r="J173" s="106" t="str">
        <f ca="1">IF($B173="","",INDIRECT("aux_sheet!R"&amp;1+MATCH(aux_sheet!$B172,aux_sheet!$A$2:$A$202,0)))</f>
        <v/>
      </c>
      <c r="K173" s="89" t="str">
        <f ca="1">IF($B173="","",INDIRECT("aux_sheet!S"&amp;1+MATCH(aux_sheet!$B172,aux_sheet!$A$2:$A$202,0)))</f>
        <v/>
      </c>
      <c r="L173" s="89" t="str">
        <f ca="1">IF($B173="","",INDIRECT("aux_sheet!S"&amp;1+MATCH(aux_sheet!$B172,aux_sheet!$A$2:$A$202,0)))</f>
        <v/>
      </c>
      <c r="M173" s="106" t="str">
        <f ca="1">IF($B173="","",INDIRECT("aux_sheet!U"&amp;1+MATCH(aux_sheet!$B172,aux_sheet!$A$2:$A$202,0)))</f>
        <v/>
      </c>
      <c r="N173" s="89" t="str">
        <f ca="1">IF($B173="","",INDIRECT("aux_sheet!V"&amp;1+MATCH(aux_sheet!$B172,aux_sheet!$A$2:$A$202,0)))</f>
        <v/>
      </c>
      <c r="O173" s="89" t="str">
        <f ca="1">IF($B173="","",INDIRECT("aux_sheet!V"&amp;1+MATCH(aux_sheet!$B172,aux_sheet!$A$2:$A$202,0)))</f>
        <v/>
      </c>
      <c r="P173" s="106" t="str">
        <f ca="1">IF($B173="","",INDIRECT("aux_sheet!X"&amp;1+MATCH(aux_sheet!$B172,aux_sheet!$A$2:$A$202,0)))</f>
        <v/>
      </c>
      <c r="Q173" s="89" t="str">
        <f ca="1">IF($B173="","",INDIRECT("aux_sheet!Y"&amp;1+MATCH(aux_sheet!$B172,aux_sheet!$A$2:$A$202,0)))</f>
        <v/>
      </c>
      <c r="R173" s="89" t="str">
        <f ca="1">IF($B173="","",INDIRECT("aux_sheet!Y"&amp;1+MATCH(aux_sheet!$B172,aux_sheet!$A$2:$A$202,0)))</f>
        <v/>
      </c>
      <c r="S173" s="106" t="str">
        <f ca="1">IF($B173="","",INDIRECT("aux_sheet!AA"&amp;1+MATCH(aux_sheet!$B172,aux_sheet!$A$2:$A$202,0)))</f>
        <v/>
      </c>
      <c r="T173" s="89" t="str">
        <f ca="1">IF($B173="","",INDIRECT("aux_sheet!AB"&amp;1+MATCH(aux_sheet!$B172,aux_sheet!$A$2:$A$202,0)))</f>
        <v/>
      </c>
      <c r="U173" s="89" t="str">
        <f ca="1">IF($B173="","",INDIRECT("aux_sheet!AB"&amp;1+MATCH(aux_sheet!$B172,aux_sheet!$A$2:$A$202,0)))</f>
        <v/>
      </c>
      <c r="V173" s="106" t="str">
        <f ca="1">IF($B173="","",INDIRECT("aux_sheet!AD"&amp;1+MATCH(aux_sheet!$B172,aux_sheet!$A$2:$A$202,0)))</f>
        <v/>
      </c>
      <c r="W173" s="89" t="str">
        <f ca="1">IF($B173="","",INDIRECT("aux_sheet!AE"&amp;1+MATCH(aux_sheet!$B172,aux_sheet!$A$2:$A$202,0)))</f>
        <v/>
      </c>
      <c r="X173" s="89" t="str">
        <f ca="1">IF($B173="","",INDIRECT("aux_sheet!AE"&amp;1+MATCH(aux_sheet!$B172,aux_sheet!$A$2:$A$202,0)))</f>
        <v/>
      </c>
      <c r="Y173" s="106" t="str">
        <f ca="1">IF($B173="","",INDIRECT("aux_sheet!AG"&amp;1+MATCH(aux_sheet!$B172,aux_sheet!$A$2:$A$202,0)))</f>
        <v/>
      </c>
      <c r="Z173" s="89" t="str">
        <f ca="1">IF($B173="","",INDIRECT("aux_sheet!AH"&amp;1+MATCH(aux_sheet!$B172,aux_sheet!$A$2:$A$202,0)))</f>
        <v/>
      </c>
      <c r="AA173" s="89" t="str">
        <f ca="1">IF($B173="","",INDIRECT("aux_sheet!AH"&amp;1+MATCH(aux_sheet!$B172,aux_sheet!$A$2:$A$202,0)))</f>
        <v/>
      </c>
      <c r="AB173" s="106" t="str">
        <f ca="1">IF($B173="","",INDIRECT("aux_sheet!AJ"&amp;1+MATCH(aux_sheet!$B172,aux_sheet!$A$2:$A$202,0)))</f>
        <v/>
      </c>
      <c r="AC173" s="89" t="str">
        <f ca="1">IF($B173="","",INDIRECT("aux_sheet!AK"&amp;1+MATCH(aux_sheet!$B172,aux_sheet!$A$2:$A$202,0)))</f>
        <v/>
      </c>
      <c r="AD173" s="89" t="str">
        <f ca="1">IF($B173="","",INDIRECT("aux_sheet!AK"&amp;1+MATCH(aux_sheet!$B172,aux_sheet!$A$2:$A$202,0)))</f>
        <v/>
      </c>
      <c r="AE173" s="106" t="str">
        <f ca="1">IF($B173="","",INDIRECT("aux_sheet!AM"&amp;1+MATCH(aux_sheet!$B172,aux_sheet!$A$2:$A$202,0)))</f>
        <v/>
      </c>
      <c r="AF173" s="89" t="str">
        <f ca="1">IF($B173="","",INDIRECT("aux_sheet!AN"&amp;1+MATCH(aux_sheet!$B172,aux_sheet!$A$2:$A$202,0)))</f>
        <v/>
      </c>
      <c r="AG173" s="89" t="str">
        <f ca="1">IF($B173="","",INDIRECT("aux_sheet!AN"&amp;1+MATCH(aux_sheet!$B172,aux_sheet!$A$2:$A$202,0)))</f>
        <v/>
      </c>
      <c r="AH173" s="14" t="str">
        <f>IF(ISBLANK(Input!A172)," ",F172-F173)</f>
        <v xml:space="preserve"> </v>
      </c>
    </row>
    <row r="174" spans="1:34" x14ac:dyDescent="0.35">
      <c r="A174" s="2" t="str">
        <f>IF(ISBLANK(Input!A173),"",ROUNDDOWN(aux_sheet!B173,0))</f>
        <v/>
      </c>
      <c r="B174" s="2" t="str">
        <f ca="1">IF(ISBLANK(Input!A173),"",INDIRECT("Input!A"&amp;1+MATCH(aux_sheet!$B173,aux_sheet!$A$2:$A$202,0)))</f>
        <v/>
      </c>
      <c r="C174" s="2" t="str">
        <f ca="1">IF(ISBLANK(Input!B173),"",INDIRECT("Input!B"&amp;1+MATCH(aux_sheet!$B173,aux_sheet!$A$2:$A$202,0)))</f>
        <v/>
      </c>
      <c r="D174" s="2" t="str">
        <f ca="1">IF(ISBLANK(Input!C173),"",INDIRECT("Input!C"&amp;1+MATCH(aux_sheet!$B173,aux_sheet!$A$2:$A$202,0)))</f>
        <v/>
      </c>
      <c r="E174" s="2" t="str">
        <f ca="1">IF(ISBLANK(Input!D173),"",INDIRECT("Input!D"&amp;1+MATCH(aux_sheet!$B173,aux_sheet!$A$2:$A$202,0)))</f>
        <v/>
      </c>
      <c r="F174" s="11" t="str">
        <f ca="1">INDIRECT("Input!F"&amp;1+MATCH(aux_sheet!$B173,aux_sheet!$A$2:$A$202,0))</f>
        <v xml:space="preserve"> </v>
      </c>
      <c r="G174" s="106" t="str">
        <f ca="1">IF($B174="","",INDIRECT("aux_sheet!O"&amp;1+MATCH(aux_sheet!$B173,aux_sheet!$A$2:$A$202,0)))</f>
        <v/>
      </c>
      <c r="H174" s="89" t="str">
        <f ca="1">IF($B174="","",INDIRECT("aux_sheet!P"&amp;1+MATCH(aux_sheet!$B173,aux_sheet!$A$2:$A$202,0)))</f>
        <v/>
      </c>
      <c r="I174" s="89" t="str">
        <f ca="1">IF($B174="","",INDIRECT("aux_sheet!P"&amp;1+MATCH(aux_sheet!$B173,aux_sheet!$A$2:$A$202,0)))</f>
        <v/>
      </c>
      <c r="J174" s="106" t="str">
        <f ca="1">IF($B174="","",INDIRECT("aux_sheet!R"&amp;1+MATCH(aux_sheet!$B173,aux_sheet!$A$2:$A$202,0)))</f>
        <v/>
      </c>
      <c r="K174" s="89" t="str">
        <f ca="1">IF($B174="","",INDIRECT("aux_sheet!S"&amp;1+MATCH(aux_sheet!$B173,aux_sheet!$A$2:$A$202,0)))</f>
        <v/>
      </c>
      <c r="L174" s="89" t="str">
        <f ca="1">IF($B174="","",INDIRECT("aux_sheet!S"&amp;1+MATCH(aux_sheet!$B173,aux_sheet!$A$2:$A$202,0)))</f>
        <v/>
      </c>
      <c r="M174" s="106" t="str">
        <f ca="1">IF($B174="","",INDIRECT("aux_sheet!U"&amp;1+MATCH(aux_sheet!$B173,aux_sheet!$A$2:$A$202,0)))</f>
        <v/>
      </c>
      <c r="N174" s="89" t="str">
        <f ca="1">IF($B174="","",INDIRECT("aux_sheet!V"&amp;1+MATCH(aux_sheet!$B173,aux_sheet!$A$2:$A$202,0)))</f>
        <v/>
      </c>
      <c r="O174" s="89" t="str">
        <f ca="1">IF($B174="","",INDIRECT("aux_sheet!V"&amp;1+MATCH(aux_sheet!$B173,aux_sheet!$A$2:$A$202,0)))</f>
        <v/>
      </c>
      <c r="P174" s="106" t="str">
        <f ca="1">IF($B174="","",INDIRECT("aux_sheet!X"&amp;1+MATCH(aux_sheet!$B173,aux_sheet!$A$2:$A$202,0)))</f>
        <v/>
      </c>
      <c r="Q174" s="89" t="str">
        <f ca="1">IF($B174="","",INDIRECT("aux_sheet!Y"&amp;1+MATCH(aux_sheet!$B173,aux_sheet!$A$2:$A$202,0)))</f>
        <v/>
      </c>
      <c r="R174" s="89" t="str">
        <f ca="1">IF($B174="","",INDIRECT("aux_sheet!Y"&amp;1+MATCH(aux_sheet!$B173,aux_sheet!$A$2:$A$202,0)))</f>
        <v/>
      </c>
      <c r="S174" s="106" t="str">
        <f ca="1">IF($B174="","",INDIRECT("aux_sheet!AA"&amp;1+MATCH(aux_sheet!$B173,aux_sheet!$A$2:$A$202,0)))</f>
        <v/>
      </c>
      <c r="T174" s="89" t="str">
        <f ca="1">IF($B174="","",INDIRECT("aux_sheet!AB"&amp;1+MATCH(aux_sheet!$B173,aux_sheet!$A$2:$A$202,0)))</f>
        <v/>
      </c>
      <c r="U174" s="89" t="str">
        <f ca="1">IF($B174="","",INDIRECT("aux_sheet!AB"&amp;1+MATCH(aux_sheet!$B173,aux_sheet!$A$2:$A$202,0)))</f>
        <v/>
      </c>
      <c r="V174" s="106" t="str">
        <f ca="1">IF($B174="","",INDIRECT("aux_sheet!AD"&amp;1+MATCH(aux_sheet!$B173,aux_sheet!$A$2:$A$202,0)))</f>
        <v/>
      </c>
      <c r="W174" s="89" t="str">
        <f ca="1">IF($B174="","",INDIRECT("aux_sheet!AE"&amp;1+MATCH(aux_sheet!$B173,aux_sheet!$A$2:$A$202,0)))</f>
        <v/>
      </c>
      <c r="X174" s="89" t="str">
        <f ca="1">IF($B174="","",INDIRECT("aux_sheet!AE"&amp;1+MATCH(aux_sheet!$B173,aux_sheet!$A$2:$A$202,0)))</f>
        <v/>
      </c>
      <c r="Y174" s="106" t="str">
        <f ca="1">IF($B174="","",INDIRECT("aux_sheet!AG"&amp;1+MATCH(aux_sheet!$B173,aux_sheet!$A$2:$A$202,0)))</f>
        <v/>
      </c>
      <c r="Z174" s="89" t="str">
        <f ca="1">IF($B174="","",INDIRECT("aux_sheet!AH"&amp;1+MATCH(aux_sheet!$B173,aux_sheet!$A$2:$A$202,0)))</f>
        <v/>
      </c>
      <c r="AA174" s="89" t="str">
        <f ca="1">IF($B174="","",INDIRECT("aux_sheet!AH"&amp;1+MATCH(aux_sheet!$B173,aux_sheet!$A$2:$A$202,0)))</f>
        <v/>
      </c>
      <c r="AB174" s="106" t="str">
        <f ca="1">IF($B174="","",INDIRECT("aux_sheet!AJ"&amp;1+MATCH(aux_sheet!$B173,aux_sheet!$A$2:$A$202,0)))</f>
        <v/>
      </c>
      <c r="AC174" s="89" t="str">
        <f ca="1">IF($B174="","",INDIRECT("aux_sheet!AK"&amp;1+MATCH(aux_sheet!$B173,aux_sheet!$A$2:$A$202,0)))</f>
        <v/>
      </c>
      <c r="AD174" s="89" t="str">
        <f ca="1">IF($B174="","",INDIRECT("aux_sheet!AK"&amp;1+MATCH(aux_sheet!$B173,aux_sheet!$A$2:$A$202,0)))</f>
        <v/>
      </c>
      <c r="AE174" s="106" t="str">
        <f ca="1">IF($B174="","",INDIRECT("aux_sheet!AM"&amp;1+MATCH(aux_sheet!$B173,aux_sheet!$A$2:$A$202,0)))</f>
        <v/>
      </c>
      <c r="AF174" s="89" t="str">
        <f ca="1">IF($B174="","",INDIRECT("aux_sheet!AN"&amp;1+MATCH(aux_sheet!$B173,aux_sheet!$A$2:$A$202,0)))</f>
        <v/>
      </c>
      <c r="AG174" s="89" t="str">
        <f ca="1">IF($B174="","",INDIRECT("aux_sheet!AN"&amp;1+MATCH(aux_sheet!$B173,aux_sheet!$A$2:$A$202,0)))</f>
        <v/>
      </c>
      <c r="AH174" s="14" t="str">
        <f>IF(ISBLANK(Input!A173)," ",F173-F174)</f>
        <v xml:space="preserve"> </v>
      </c>
    </row>
    <row r="175" spans="1:34" x14ac:dyDescent="0.35">
      <c r="A175" s="2" t="str">
        <f>IF(ISBLANK(Input!A174),"",ROUNDDOWN(aux_sheet!B174,0))</f>
        <v/>
      </c>
      <c r="B175" s="2" t="str">
        <f ca="1">IF(ISBLANK(Input!A174),"",INDIRECT("Input!A"&amp;1+MATCH(aux_sheet!$B174,aux_sheet!$A$2:$A$202,0)))</f>
        <v/>
      </c>
      <c r="C175" s="2" t="str">
        <f ca="1">IF(ISBLANK(Input!B174),"",INDIRECT("Input!B"&amp;1+MATCH(aux_sheet!$B174,aux_sheet!$A$2:$A$202,0)))</f>
        <v/>
      </c>
      <c r="D175" s="2" t="str">
        <f ca="1">IF(ISBLANK(Input!C174),"",INDIRECT("Input!C"&amp;1+MATCH(aux_sheet!$B174,aux_sheet!$A$2:$A$202,0)))</f>
        <v/>
      </c>
      <c r="E175" s="2" t="str">
        <f ca="1">IF(ISBLANK(Input!D174),"",INDIRECT("Input!D"&amp;1+MATCH(aux_sheet!$B174,aux_sheet!$A$2:$A$202,0)))</f>
        <v/>
      </c>
      <c r="F175" s="11" t="str">
        <f ca="1">INDIRECT("Input!F"&amp;1+MATCH(aux_sheet!$B174,aux_sheet!$A$2:$A$202,0))</f>
        <v xml:space="preserve"> </v>
      </c>
      <c r="G175" s="106" t="str">
        <f ca="1">IF($B175="","",INDIRECT("aux_sheet!O"&amp;1+MATCH(aux_sheet!$B174,aux_sheet!$A$2:$A$202,0)))</f>
        <v/>
      </c>
      <c r="H175" s="89" t="str">
        <f ca="1">IF($B175="","",INDIRECT("aux_sheet!P"&amp;1+MATCH(aux_sheet!$B174,aux_sheet!$A$2:$A$202,0)))</f>
        <v/>
      </c>
      <c r="I175" s="89" t="str">
        <f ca="1">IF($B175="","",INDIRECT("aux_sheet!P"&amp;1+MATCH(aux_sheet!$B174,aux_sheet!$A$2:$A$202,0)))</f>
        <v/>
      </c>
      <c r="J175" s="106" t="str">
        <f ca="1">IF($B175="","",INDIRECT("aux_sheet!R"&amp;1+MATCH(aux_sheet!$B174,aux_sheet!$A$2:$A$202,0)))</f>
        <v/>
      </c>
      <c r="K175" s="89" t="str">
        <f ca="1">IF($B175="","",INDIRECT("aux_sheet!S"&amp;1+MATCH(aux_sheet!$B174,aux_sheet!$A$2:$A$202,0)))</f>
        <v/>
      </c>
      <c r="L175" s="89" t="str">
        <f ca="1">IF($B175="","",INDIRECT("aux_sheet!S"&amp;1+MATCH(aux_sheet!$B174,aux_sheet!$A$2:$A$202,0)))</f>
        <v/>
      </c>
      <c r="M175" s="106" t="str">
        <f ca="1">IF($B175="","",INDIRECT("aux_sheet!U"&amp;1+MATCH(aux_sheet!$B174,aux_sheet!$A$2:$A$202,0)))</f>
        <v/>
      </c>
      <c r="N175" s="89" t="str">
        <f ca="1">IF($B175="","",INDIRECT("aux_sheet!V"&amp;1+MATCH(aux_sheet!$B174,aux_sheet!$A$2:$A$202,0)))</f>
        <v/>
      </c>
      <c r="O175" s="89" t="str">
        <f ca="1">IF($B175="","",INDIRECT("aux_sheet!V"&amp;1+MATCH(aux_sheet!$B174,aux_sheet!$A$2:$A$202,0)))</f>
        <v/>
      </c>
      <c r="P175" s="106" t="str">
        <f ca="1">IF($B175="","",INDIRECT("aux_sheet!X"&amp;1+MATCH(aux_sheet!$B174,aux_sheet!$A$2:$A$202,0)))</f>
        <v/>
      </c>
      <c r="Q175" s="89" t="str">
        <f ca="1">IF($B175="","",INDIRECT("aux_sheet!Y"&amp;1+MATCH(aux_sheet!$B174,aux_sheet!$A$2:$A$202,0)))</f>
        <v/>
      </c>
      <c r="R175" s="89" t="str">
        <f ca="1">IF($B175="","",INDIRECT("aux_sheet!Y"&amp;1+MATCH(aux_sheet!$B174,aux_sheet!$A$2:$A$202,0)))</f>
        <v/>
      </c>
      <c r="S175" s="106" t="str">
        <f ca="1">IF($B175="","",INDIRECT("aux_sheet!AA"&amp;1+MATCH(aux_sheet!$B174,aux_sheet!$A$2:$A$202,0)))</f>
        <v/>
      </c>
      <c r="T175" s="89" t="str">
        <f ca="1">IF($B175="","",INDIRECT("aux_sheet!AB"&amp;1+MATCH(aux_sheet!$B174,aux_sheet!$A$2:$A$202,0)))</f>
        <v/>
      </c>
      <c r="U175" s="89" t="str">
        <f ca="1">IF($B175="","",INDIRECT("aux_sheet!AB"&amp;1+MATCH(aux_sheet!$B174,aux_sheet!$A$2:$A$202,0)))</f>
        <v/>
      </c>
      <c r="V175" s="106" t="str">
        <f ca="1">IF($B175="","",INDIRECT("aux_sheet!AD"&amp;1+MATCH(aux_sheet!$B174,aux_sheet!$A$2:$A$202,0)))</f>
        <v/>
      </c>
      <c r="W175" s="89" t="str">
        <f ca="1">IF($B175="","",INDIRECT("aux_sheet!AE"&amp;1+MATCH(aux_sheet!$B174,aux_sheet!$A$2:$A$202,0)))</f>
        <v/>
      </c>
      <c r="X175" s="89" t="str">
        <f ca="1">IF($B175="","",INDIRECT("aux_sheet!AE"&amp;1+MATCH(aux_sheet!$B174,aux_sheet!$A$2:$A$202,0)))</f>
        <v/>
      </c>
      <c r="Y175" s="106" t="str">
        <f ca="1">IF($B175="","",INDIRECT("aux_sheet!AG"&amp;1+MATCH(aux_sheet!$B174,aux_sheet!$A$2:$A$202,0)))</f>
        <v/>
      </c>
      <c r="Z175" s="89" t="str">
        <f ca="1">IF($B175="","",INDIRECT("aux_sheet!AH"&amp;1+MATCH(aux_sheet!$B174,aux_sheet!$A$2:$A$202,0)))</f>
        <v/>
      </c>
      <c r="AA175" s="89" t="str">
        <f ca="1">IF($B175="","",INDIRECT("aux_sheet!AH"&amp;1+MATCH(aux_sheet!$B174,aux_sheet!$A$2:$A$202,0)))</f>
        <v/>
      </c>
      <c r="AB175" s="106" t="str">
        <f ca="1">IF($B175="","",INDIRECT("aux_sheet!AJ"&amp;1+MATCH(aux_sheet!$B174,aux_sheet!$A$2:$A$202,0)))</f>
        <v/>
      </c>
      <c r="AC175" s="89" t="str">
        <f ca="1">IF($B175="","",INDIRECT("aux_sheet!AK"&amp;1+MATCH(aux_sheet!$B174,aux_sheet!$A$2:$A$202,0)))</f>
        <v/>
      </c>
      <c r="AD175" s="89" t="str">
        <f ca="1">IF($B175="","",INDIRECT("aux_sheet!AK"&amp;1+MATCH(aux_sheet!$B174,aux_sheet!$A$2:$A$202,0)))</f>
        <v/>
      </c>
      <c r="AE175" s="106" t="str">
        <f ca="1">IF($B175="","",INDIRECT("aux_sheet!AM"&amp;1+MATCH(aux_sheet!$B174,aux_sheet!$A$2:$A$202,0)))</f>
        <v/>
      </c>
      <c r="AF175" s="89" t="str">
        <f ca="1">IF($B175="","",INDIRECT("aux_sheet!AN"&amp;1+MATCH(aux_sheet!$B174,aux_sheet!$A$2:$A$202,0)))</f>
        <v/>
      </c>
      <c r="AG175" s="89" t="str">
        <f ca="1">IF($B175="","",INDIRECT("aux_sheet!AN"&amp;1+MATCH(aux_sheet!$B174,aux_sheet!$A$2:$A$202,0)))</f>
        <v/>
      </c>
      <c r="AH175" s="14" t="str">
        <f>IF(ISBLANK(Input!A174)," ",F174-F175)</f>
        <v xml:space="preserve"> </v>
      </c>
    </row>
    <row r="176" spans="1:34" x14ac:dyDescent="0.35">
      <c r="A176" s="2" t="str">
        <f>IF(ISBLANK(Input!A175),"",ROUNDDOWN(aux_sheet!B175,0))</f>
        <v/>
      </c>
      <c r="B176" s="2" t="str">
        <f ca="1">IF(ISBLANK(Input!A175),"",INDIRECT("Input!A"&amp;1+MATCH(aux_sheet!$B175,aux_sheet!$A$2:$A$202,0)))</f>
        <v/>
      </c>
      <c r="C176" s="2" t="str">
        <f ca="1">IF(ISBLANK(Input!B175),"",INDIRECT("Input!B"&amp;1+MATCH(aux_sheet!$B175,aux_sheet!$A$2:$A$202,0)))</f>
        <v/>
      </c>
      <c r="D176" s="2" t="str">
        <f ca="1">IF(ISBLANK(Input!C175),"",INDIRECT("Input!C"&amp;1+MATCH(aux_sheet!$B175,aux_sheet!$A$2:$A$202,0)))</f>
        <v/>
      </c>
      <c r="E176" s="2" t="str">
        <f ca="1">IF(ISBLANK(Input!D175),"",INDIRECT("Input!D"&amp;1+MATCH(aux_sheet!$B175,aux_sheet!$A$2:$A$202,0)))</f>
        <v/>
      </c>
      <c r="F176" s="11" t="str">
        <f ca="1">INDIRECT("Input!F"&amp;1+MATCH(aux_sheet!$B175,aux_sheet!$A$2:$A$202,0))</f>
        <v xml:space="preserve"> </v>
      </c>
      <c r="G176" s="106" t="str">
        <f ca="1">IF($B176="","",INDIRECT("aux_sheet!O"&amp;1+MATCH(aux_sheet!$B175,aux_sheet!$A$2:$A$202,0)))</f>
        <v/>
      </c>
      <c r="H176" s="89" t="str">
        <f ca="1">IF($B176="","",INDIRECT("aux_sheet!P"&amp;1+MATCH(aux_sheet!$B175,aux_sheet!$A$2:$A$202,0)))</f>
        <v/>
      </c>
      <c r="I176" s="89" t="str">
        <f ca="1">IF($B176="","",INDIRECT("aux_sheet!P"&amp;1+MATCH(aux_sheet!$B175,aux_sheet!$A$2:$A$202,0)))</f>
        <v/>
      </c>
      <c r="J176" s="106" t="str">
        <f ca="1">IF($B176="","",INDIRECT("aux_sheet!R"&amp;1+MATCH(aux_sheet!$B175,aux_sheet!$A$2:$A$202,0)))</f>
        <v/>
      </c>
      <c r="K176" s="89" t="str">
        <f ca="1">IF($B176="","",INDIRECT("aux_sheet!S"&amp;1+MATCH(aux_sheet!$B175,aux_sheet!$A$2:$A$202,0)))</f>
        <v/>
      </c>
      <c r="L176" s="89" t="str">
        <f ca="1">IF($B176="","",INDIRECT("aux_sheet!S"&amp;1+MATCH(aux_sheet!$B175,aux_sheet!$A$2:$A$202,0)))</f>
        <v/>
      </c>
      <c r="M176" s="106" t="str">
        <f ca="1">IF($B176="","",INDIRECT("aux_sheet!U"&amp;1+MATCH(aux_sheet!$B175,aux_sheet!$A$2:$A$202,0)))</f>
        <v/>
      </c>
      <c r="N176" s="89" t="str">
        <f ca="1">IF($B176="","",INDIRECT("aux_sheet!V"&amp;1+MATCH(aux_sheet!$B175,aux_sheet!$A$2:$A$202,0)))</f>
        <v/>
      </c>
      <c r="O176" s="89" t="str">
        <f ca="1">IF($B176="","",INDIRECT("aux_sheet!V"&amp;1+MATCH(aux_sheet!$B175,aux_sheet!$A$2:$A$202,0)))</f>
        <v/>
      </c>
      <c r="P176" s="106" t="str">
        <f ca="1">IF($B176="","",INDIRECT("aux_sheet!X"&amp;1+MATCH(aux_sheet!$B175,aux_sheet!$A$2:$A$202,0)))</f>
        <v/>
      </c>
      <c r="Q176" s="89" t="str">
        <f ca="1">IF($B176="","",INDIRECT("aux_sheet!Y"&amp;1+MATCH(aux_sheet!$B175,aux_sheet!$A$2:$A$202,0)))</f>
        <v/>
      </c>
      <c r="R176" s="89" t="str">
        <f ca="1">IF($B176="","",INDIRECT("aux_sheet!Y"&amp;1+MATCH(aux_sheet!$B175,aux_sheet!$A$2:$A$202,0)))</f>
        <v/>
      </c>
      <c r="S176" s="106" t="str">
        <f ca="1">IF($B176="","",INDIRECT("aux_sheet!AA"&amp;1+MATCH(aux_sheet!$B175,aux_sheet!$A$2:$A$202,0)))</f>
        <v/>
      </c>
      <c r="T176" s="89" t="str">
        <f ca="1">IF($B176="","",INDIRECT("aux_sheet!AB"&amp;1+MATCH(aux_sheet!$B175,aux_sheet!$A$2:$A$202,0)))</f>
        <v/>
      </c>
      <c r="U176" s="89" t="str">
        <f ca="1">IF($B176="","",INDIRECT("aux_sheet!AB"&amp;1+MATCH(aux_sheet!$B175,aux_sheet!$A$2:$A$202,0)))</f>
        <v/>
      </c>
      <c r="V176" s="106" t="str">
        <f ca="1">IF($B176="","",INDIRECT("aux_sheet!AD"&amp;1+MATCH(aux_sheet!$B175,aux_sheet!$A$2:$A$202,0)))</f>
        <v/>
      </c>
      <c r="W176" s="89" t="str">
        <f ca="1">IF($B176="","",INDIRECT("aux_sheet!AE"&amp;1+MATCH(aux_sheet!$B175,aux_sheet!$A$2:$A$202,0)))</f>
        <v/>
      </c>
      <c r="X176" s="89" t="str">
        <f ca="1">IF($B176="","",INDIRECT("aux_sheet!AE"&amp;1+MATCH(aux_sheet!$B175,aux_sheet!$A$2:$A$202,0)))</f>
        <v/>
      </c>
      <c r="Y176" s="106" t="str">
        <f ca="1">IF($B176="","",INDIRECT("aux_sheet!AG"&amp;1+MATCH(aux_sheet!$B175,aux_sheet!$A$2:$A$202,0)))</f>
        <v/>
      </c>
      <c r="Z176" s="89" t="str">
        <f ca="1">IF($B176="","",INDIRECT("aux_sheet!AH"&amp;1+MATCH(aux_sheet!$B175,aux_sheet!$A$2:$A$202,0)))</f>
        <v/>
      </c>
      <c r="AA176" s="89" t="str">
        <f ca="1">IF($B176="","",INDIRECT("aux_sheet!AH"&amp;1+MATCH(aux_sheet!$B175,aux_sheet!$A$2:$A$202,0)))</f>
        <v/>
      </c>
      <c r="AB176" s="106" t="str">
        <f ca="1">IF($B176="","",INDIRECT("aux_sheet!AJ"&amp;1+MATCH(aux_sheet!$B175,aux_sheet!$A$2:$A$202,0)))</f>
        <v/>
      </c>
      <c r="AC176" s="89" t="str">
        <f ca="1">IF($B176="","",INDIRECT("aux_sheet!AK"&amp;1+MATCH(aux_sheet!$B175,aux_sheet!$A$2:$A$202,0)))</f>
        <v/>
      </c>
      <c r="AD176" s="89" t="str">
        <f ca="1">IF($B176="","",INDIRECT("aux_sheet!AK"&amp;1+MATCH(aux_sheet!$B175,aux_sheet!$A$2:$A$202,0)))</f>
        <v/>
      </c>
      <c r="AE176" s="106" t="str">
        <f ca="1">IF($B176="","",INDIRECT("aux_sheet!AM"&amp;1+MATCH(aux_sheet!$B175,aux_sheet!$A$2:$A$202,0)))</f>
        <v/>
      </c>
      <c r="AF176" s="89" t="str">
        <f ca="1">IF($B176="","",INDIRECT("aux_sheet!AN"&amp;1+MATCH(aux_sheet!$B175,aux_sheet!$A$2:$A$202,0)))</f>
        <v/>
      </c>
      <c r="AG176" s="89" t="str">
        <f ca="1">IF($B176="","",INDIRECT("aux_sheet!AN"&amp;1+MATCH(aux_sheet!$B175,aux_sheet!$A$2:$A$202,0)))</f>
        <v/>
      </c>
      <c r="AH176" s="14" t="str">
        <f>IF(ISBLANK(Input!A175)," ",F175-F176)</f>
        <v xml:space="preserve"> </v>
      </c>
    </row>
    <row r="177" spans="1:34" x14ac:dyDescent="0.35">
      <c r="A177" s="2" t="str">
        <f>IF(ISBLANK(Input!A176),"",ROUNDDOWN(aux_sheet!B176,0))</f>
        <v/>
      </c>
      <c r="B177" s="2" t="str">
        <f ca="1">IF(ISBLANK(Input!A176),"",INDIRECT("Input!A"&amp;1+MATCH(aux_sheet!$B176,aux_sheet!$A$2:$A$202,0)))</f>
        <v/>
      </c>
      <c r="C177" s="2" t="str">
        <f ca="1">IF(ISBLANK(Input!B176),"",INDIRECT("Input!B"&amp;1+MATCH(aux_sheet!$B176,aux_sheet!$A$2:$A$202,0)))</f>
        <v/>
      </c>
      <c r="D177" s="2" t="str">
        <f ca="1">IF(ISBLANK(Input!C176),"",INDIRECT("Input!C"&amp;1+MATCH(aux_sheet!$B176,aux_sheet!$A$2:$A$202,0)))</f>
        <v/>
      </c>
      <c r="E177" s="2" t="str">
        <f ca="1">IF(ISBLANK(Input!D176),"",INDIRECT("Input!D"&amp;1+MATCH(aux_sheet!$B176,aux_sheet!$A$2:$A$202,0)))</f>
        <v/>
      </c>
      <c r="F177" s="11" t="str">
        <f ca="1">INDIRECT("Input!F"&amp;1+MATCH(aux_sheet!$B176,aux_sheet!$A$2:$A$202,0))</f>
        <v xml:space="preserve"> </v>
      </c>
      <c r="G177" s="106" t="str">
        <f ca="1">IF($B177="","",INDIRECT("aux_sheet!O"&amp;1+MATCH(aux_sheet!$B176,aux_sheet!$A$2:$A$202,0)))</f>
        <v/>
      </c>
      <c r="H177" s="89" t="str">
        <f ca="1">IF($B177="","",INDIRECT("aux_sheet!P"&amp;1+MATCH(aux_sheet!$B176,aux_sheet!$A$2:$A$202,0)))</f>
        <v/>
      </c>
      <c r="I177" s="89" t="str">
        <f ca="1">IF($B177="","",INDIRECT("aux_sheet!P"&amp;1+MATCH(aux_sheet!$B176,aux_sheet!$A$2:$A$202,0)))</f>
        <v/>
      </c>
      <c r="J177" s="106" t="str">
        <f ca="1">IF($B177="","",INDIRECT("aux_sheet!R"&amp;1+MATCH(aux_sheet!$B176,aux_sheet!$A$2:$A$202,0)))</f>
        <v/>
      </c>
      <c r="K177" s="89" t="str">
        <f ca="1">IF($B177="","",INDIRECT("aux_sheet!S"&amp;1+MATCH(aux_sheet!$B176,aux_sheet!$A$2:$A$202,0)))</f>
        <v/>
      </c>
      <c r="L177" s="89" t="str">
        <f ca="1">IF($B177="","",INDIRECT("aux_sheet!S"&amp;1+MATCH(aux_sheet!$B176,aux_sheet!$A$2:$A$202,0)))</f>
        <v/>
      </c>
      <c r="M177" s="106" t="str">
        <f ca="1">IF($B177="","",INDIRECT("aux_sheet!U"&amp;1+MATCH(aux_sheet!$B176,aux_sheet!$A$2:$A$202,0)))</f>
        <v/>
      </c>
      <c r="N177" s="89" t="str">
        <f ca="1">IF($B177="","",INDIRECT("aux_sheet!V"&amp;1+MATCH(aux_sheet!$B176,aux_sheet!$A$2:$A$202,0)))</f>
        <v/>
      </c>
      <c r="O177" s="89" t="str">
        <f ca="1">IF($B177="","",INDIRECT("aux_sheet!V"&amp;1+MATCH(aux_sheet!$B176,aux_sheet!$A$2:$A$202,0)))</f>
        <v/>
      </c>
      <c r="P177" s="106" t="str">
        <f ca="1">IF($B177="","",INDIRECT("aux_sheet!X"&amp;1+MATCH(aux_sheet!$B176,aux_sheet!$A$2:$A$202,0)))</f>
        <v/>
      </c>
      <c r="Q177" s="89" t="str">
        <f ca="1">IF($B177="","",INDIRECT("aux_sheet!Y"&amp;1+MATCH(aux_sheet!$B176,aux_sheet!$A$2:$A$202,0)))</f>
        <v/>
      </c>
      <c r="R177" s="89" t="str">
        <f ca="1">IF($B177="","",INDIRECT("aux_sheet!Y"&amp;1+MATCH(aux_sheet!$B176,aux_sheet!$A$2:$A$202,0)))</f>
        <v/>
      </c>
      <c r="S177" s="106" t="str">
        <f ca="1">IF($B177="","",INDIRECT("aux_sheet!AA"&amp;1+MATCH(aux_sheet!$B176,aux_sheet!$A$2:$A$202,0)))</f>
        <v/>
      </c>
      <c r="T177" s="89" t="str">
        <f ca="1">IF($B177="","",INDIRECT("aux_sheet!AB"&amp;1+MATCH(aux_sheet!$B176,aux_sheet!$A$2:$A$202,0)))</f>
        <v/>
      </c>
      <c r="U177" s="89" t="str">
        <f ca="1">IF($B177="","",INDIRECT("aux_sheet!AB"&amp;1+MATCH(aux_sheet!$B176,aux_sheet!$A$2:$A$202,0)))</f>
        <v/>
      </c>
      <c r="V177" s="106" t="str">
        <f ca="1">IF($B177="","",INDIRECT("aux_sheet!AD"&amp;1+MATCH(aux_sheet!$B176,aux_sheet!$A$2:$A$202,0)))</f>
        <v/>
      </c>
      <c r="W177" s="89" t="str">
        <f ca="1">IF($B177="","",INDIRECT("aux_sheet!AE"&amp;1+MATCH(aux_sheet!$B176,aux_sheet!$A$2:$A$202,0)))</f>
        <v/>
      </c>
      <c r="X177" s="89" t="str">
        <f ca="1">IF($B177="","",INDIRECT("aux_sheet!AE"&amp;1+MATCH(aux_sheet!$B176,aux_sheet!$A$2:$A$202,0)))</f>
        <v/>
      </c>
      <c r="Y177" s="106" t="str">
        <f ca="1">IF($B177="","",INDIRECT("aux_sheet!AG"&amp;1+MATCH(aux_sheet!$B176,aux_sheet!$A$2:$A$202,0)))</f>
        <v/>
      </c>
      <c r="Z177" s="89" t="str">
        <f ca="1">IF($B177="","",INDIRECT("aux_sheet!AH"&amp;1+MATCH(aux_sheet!$B176,aux_sheet!$A$2:$A$202,0)))</f>
        <v/>
      </c>
      <c r="AA177" s="89" t="str">
        <f ca="1">IF($B177="","",INDIRECT("aux_sheet!AH"&amp;1+MATCH(aux_sheet!$B176,aux_sheet!$A$2:$A$202,0)))</f>
        <v/>
      </c>
      <c r="AB177" s="106" t="str">
        <f ca="1">IF($B177="","",INDIRECT("aux_sheet!AJ"&amp;1+MATCH(aux_sheet!$B176,aux_sheet!$A$2:$A$202,0)))</f>
        <v/>
      </c>
      <c r="AC177" s="89" t="str">
        <f ca="1">IF($B177="","",INDIRECT("aux_sheet!AK"&amp;1+MATCH(aux_sheet!$B176,aux_sheet!$A$2:$A$202,0)))</f>
        <v/>
      </c>
      <c r="AD177" s="89" t="str">
        <f ca="1">IF($B177="","",INDIRECT("aux_sheet!AK"&amp;1+MATCH(aux_sheet!$B176,aux_sheet!$A$2:$A$202,0)))</f>
        <v/>
      </c>
      <c r="AE177" s="106" t="str">
        <f ca="1">IF($B177="","",INDIRECT("aux_sheet!AM"&amp;1+MATCH(aux_sheet!$B176,aux_sheet!$A$2:$A$202,0)))</f>
        <v/>
      </c>
      <c r="AF177" s="89" t="str">
        <f ca="1">IF($B177="","",INDIRECT("aux_sheet!AN"&amp;1+MATCH(aux_sheet!$B176,aux_sheet!$A$2:$A$202,0)))</f>
        <v/>
      </c>
      <c r="AG177" s="89" t="str">
        <f ca="1">IF($B177="","",INDIRECT("aux_sheet!AN"&amp;1+MATCH(aux_sheet!$B176,aux_sheet!$A$2:$A$202,0)))</f>
        <v/>
      </c>
      <c r="AH177" s="14" t="str">
        <f>IF(ISBLANK(Input!A176)," ",F176-F177)</f>
        <v xml:space="preserve"> </v>
      </c>
    </row>
    <row r="178" spans="1:34" x14ac:dyDescent="0.35">
      <c r="A178" s="2" t="str">
        <f>IF(ISBLANK(Input!A177),"",ROUNDDOWN(aux_sheet!B177,0))</f>
        <v/>
      </c>
      <c r="B178" s="2" t="str">
        <f ca="1">IF(ISBLANK(Input!A177),"",INDIRECT("Input!A"&amp;1+MATCH(aux_sheet!$B177,aux_sheet!$A$2:$A$202,0)))</f>
        <v/>
      </c>
      <c r="C178" s="2" t="str">
        <f ca="1">IF(ISBLANK(Input!B177),"",INDIRECT("Input!B"&amp;1+MATCH(aux_sheet!$B177,aux_sheet!$A$2:$A$202,0)))</f>
        <v/>
      </c>
      <c r="D178" s="2" t="str">
        <f ca="1">IF(ISBLANK(Input!C177),"",INDIRECT("Input!C"&amp;1+MATCH(aux_sheet!$B177,aux_sheet!$A$2:$A$202,0)))</f>
        <v/>
      </c>
      <c r="E178" s="2" t="str">
        <f ca="1">IF(ISBLANK(Input!D177),"",INDIRECT("Input!D"&amp;1+MATCH(aux_sheet!$B177,aux_sheet!$A$2:$A$202,0)))</f>
        <v/>
      </c>
      <c r="F178" s="11" t="str">
        <f ca="1">INDIRECT("Input!F"&amp;1+MATCH(aux_sheet!$B177,aux_sheet!$A$2:$A$202,0))</f>
        <v xml:space="preserve"> </v>
      </c>
      <c r="G178" s="106" t="str">
        <f ca="1">IF($B178="","",INDIRECT("aux_sheet!O"&amp;1+MATCH(aux_sheet!$B177,aux_sheet!$A$2:$A$202,0)))</f>
        <v/>
      </c>
      <c r="H178" s="89" t="str">
        <f ca="1">IF($B178="","",INDIRECT("aux_sheet!P"&amp;1+MATCH(aux_sheet!$B177,aux_sheet!$A$2:$A$202,0)))</f>
        <v/>
      </c>
      <c r="I178" s="89" t="str">
        <f ca="1">IF($B178="","",INDIRECT("aux_sheet!P"&amp;1+MATCH(aux_sheet!$B177,aux_sheet!$A$2:$A$202,0)))</f>
        <v/>
      </c>
      <c r="J178" s="106" t="str">
        <f ca="1">IF($B178="","",INDIRECT("aux_sheet!R"&amp;1+MATCH(aux_sheet!$B177,aux_sheet!$A$2:$A$202,0)))</f>
        <v/>
      </c>
      <c r="K178" s="89" t="str">
        <f ca="1">IF($B178="","",INDIRECT("aux_sheet!S"&amp;1+MATCH(aux_sheet!$B177,aux_sheet!$A$2:$A$202,0)))</f>
        <v/>
      </c>
      <c r="L178" s="89" t="str">
        <f ca="1">IF($B178="","",INDIRECT("aux_sheet!S"&amp;1+MATCH(aux_sheet!$B177,aux_sheet!$A$2:$A$202,0)))</f>
        <v/>
      </c>
      <c r="M178" s="106" t="str">
        <f ca="1">IF($B178="","",INDIRECT("aux_sheet!U"&amp;1+MATCH(aux_sheet!$B177,aux_sheet!$A$2:$A$202,0)))</f>
        <v/>
      </c>
      <c r="N178" s="89" t="str">
        <f ca="1">IF($B178="","",INDIRECT("aux_sheet!V"&amp;1+MATCH(aux_sheet!$B177,aux_sheet!$A$2:$A$202,0)))</f>
        <v/>
      </c>
      <c r="O178" s="89" t="str">
        <f ca="1">IF($B178="","",INDIRECT("aux_sheet!V"&amp;1+MATCH(aux_sheet!$B177,aux_sheet!$A$2:$A$202,0)))</f>
        <v/>
      </c>
      <c r="P178" s="106" t="str">
        <f ca="1">IF($B178="","",INDIRECT("aux_sheet!X"&amp;1+MATCH(aux_sheet!$B177,aux_sheet!$A$2:$A$202,0)))</f>
        <v/>
      </c>
      <c r="Q178" s="89" t="str">
        <f ca="1">IF($B178="","",INDIRECT("aux_sheet!Y"&amp;1+MATCH(aux_sheet!$B177,aux_sheet!$A$2:$A$202,0)))</f>
        <v/>
      </c>
      <c r="R178" s="89" t="str">
        <f ca="1">IF($B178="","",INDIRECT("aux_sheet!Y"&amp;1+MATCH(aux_sheet!$B177,aux_sheet!$A$2:$A$202,0)))</f>
        <v/>
      </c>
      <c r="S178" s="106" t="str">
        <f ca="1">IF($B178="","",INDIRECT("aux_sheet!AA"&amp;1+MATCH(aux_sheet!$B177,aux_sheet!$A$2:$A$202,0)))</f>
        <v/>
      </c>
      <c r="T178" s="89" t="str">
        <f ca="1">IF($B178="","",INDIRECT("aux_sheet!AB"&amp;1+MATCH(aux_sheet!$B177,aux_sheet!$A$2:$A$202,0)))</f>
        <v/>
      </c>
      <c r="U178" s="89" t="str">
        <f ca="1">IF($B178="","",INDIRECT("aux_sheet!AB"&amp;1+MATCH(aux_sheet!$B177,aux_sheet!$A$2:$A$202,0)))</f>
        <v/>
      </c>
      <c r="V178" s="106" t="str">
        <f ca="1">IF($B178="","",INDIRECT("aux_sheet!AD"&amp;1+MATCH(aux_sheet!$B177,aux_sheet!$A$2:$A$202,0)))</f>
        <v/>
      </c>
      <c r="W178" s="89" t="str">
        <f ca="1">IF($B178="","",INDIRECT("aux_sheet!AE"&amp;1+MATCH(aux_sheet!$B177,aux_sheet!$A$2:$A$202,0)))</f>
        <v/>
      </c>
      <c r="X178" s="89" t="str">
        <f ca="1">IF($B178="","",INDIRECT("aux_sheet!AE"&amp;1+MATCH(aux_sheet!$B177,aux_sheet!$A$2:$A$202,0)))</f>
        <v/>
      </c>
      <c r="Y178" s="106" t="str">
        <f ca="1">IF($B178="","",INDIRECT("aux_sheet!AG"&amp;1+MATCH(aux_sheet!$B177,aux_sheet!$A$2:$A$202,0)))</f>
        <v/>
      </c>
      <c r="Z178" s="89" t="str">
        <f ca="1">IF($B178="","",INDIRECT("aux_sheet!AH"&amp;1+MATCH(aux_sheet!$B177,aux_sheet!$A$2:$A$202,0)))</f>
        <v/>
      </c>
      <c r="AA178" s="89" t="str">
        <f ca="1">IF($B178="","",INDIRECT("aux_sheet!AH"&amp;1+MATCH(aux_sheet!$B177,aux_sheet!$A$2:$A$202,0)))</f>
        <v/>
      </c>
      <c r="AB178" s="106" t="str">
        <f ca="1">IF($B178="","",INDIRECT("aux_sheet!AJ"&amp;1+MATCH(aux_sheet!$B177,aux_sheet!$A$2:$A$202,0)))</f>
        <v/>
      </c>
      <c r="AC178" s="89" t="str">
        <f ca="1">IF($B178="","",INDIRECT("aux_sheet!AK"&amp;1+MATCH(aux_sheet!$B177,aux_sheet!$A$2:$A$202,0)))</f>
        <v/>
      </c>
      <c r="AD178" s="89" t="str">
        <f ca="1">IF($B178="","",INDIRECT("aux_sheet!AK"&amp;1+MATCH(aux_sheet!$B177,aux_sheet!$A$2:$A$202,0)))</f>
        <v/>
      </c>
      <c r="AE178" s="106" t="str">
        <f ca="1">IF($B178="","",INDIRECT("aux_sheet!AM"&amp;1+MATCH(aux_sheet!$B177,aux_sheet!$A$2:$A$202,0)))</f>
        <v/>
      </c>
      <c r="AF178" s="89" t="str">
        <f ca="1">IF($B178="","",INDIRECT("aux_sheet!AN"&amp;1+MATCH(aux_sheet!$B177,aux_sheet!$A$2:$A$202,0)))</f>
        <v/>
      </c>
      <c r="AG178" s="89" t="str">
        <f ca="1">IF($B178="","",INDIRECT("aux_sheet!AN"&amp;1+MATCH(aux_sheet!$B177,aux_sheet!$A$2:$A$202,0)))</f>
        <v/>
      </c>
      <c r="AH178" s="14" t="str">
        <f>IF(ISBLANK(Input!A177)," ",F177-F178)</f>
        <v xml:space="preserve"> </v>
      </c>
    </row>
    <row r="179" spans="1:34" x14ac:dyDescent="0.35">
      <c r="A179" s="2" t="str">
        <f>IF(ISBLANK(Input!A178),"",ROUNDDOWN(aux_sheet!B178,0))</f>
        <v/>
      </c>
      <c r="B179" s="2" t="str">
        <f ca="1">IF(ISBLANK(Input!A178),"",INDIRECT("Input!A"&amp;1+MATCH(aux_sheet!$B178,aux_sheet!$A$2:$A$202,0)))</f>
        <v/>
      </c>
      <c r="C179" s="2" t="str">
        <f ca="1">IF(ISBLANK(Input!B178),"",INDIRECT("Input!B"&amp;1+MATCH(aux_sheet!$B178,aux_sheet!$A$2:$A$202,0)))</f>
        <v/>
      </c>
      <c r="D179" s="2" t="str">
        <f ca="1">IF(ISBLANK(Input!C178),"",INDIRECT("Input!C"&amp;1+MATCH(aux_sheet!$B178,aux_sheet!$A$2:$A$202,0)))</f>
        <v/>
      </c>
      <c r="E179" s="2" t="str">
        <f ca="1">IF(ISBLANK(Input!D178),"",INDIRECT("Input!D"&amp;1+MATCH(aux_sheet!$B178,aux_sheet!$A$2:$A$202,0)))</f>
        <v/>
      </c>
      <c r="F179" s="11" t="str">
        <f ca="1">INDIRECT("Input!F"&amp;1+MATCH(aux_sheet!$B178,aux_sheet!$A$2:$A$202,0))</f>
        <v xml:space="preserve"> </v>
      </c>
      <c r="G179" s="106" t="str">
        <f ca="1">IF($B179="","",INDIRECT("aux_sheet!O"&amp;1+MATCH(aux_sheet!$B178,aux_sheet!$A$2:$A$202,0)))</f>
        <v/>
      </c>
      <c r="H179" s="89" t="str">
        <f ca="1">IF($B179="","",INDIRECT("aux_sheet!P"&amp;1+MATCH(aux_sheet!$B178,aux_sheet!$A$2:$A$202,0)))</f>
        <v/>
      </c>
      <c r="I179" s="89" t="str">
        <f ca="1">IF($B179="","",INDIRECT("aux_sheet!P"&amp;1+MATCH(aux_sheet!$B178,aux_sheet!$A$2:$A$202,0)))</f>
        <v/>
      </c>
      <c r="J179" s="106" t="str">
        <f ca="1">IF($B179="","",INDIRECT("aux_sheet!R"&amp;1+MATCH(aux_sheet!$B178,aux_sheet!$A$2:$A$202,0)))</f>
        <v/>
      </c>
      <c r="K179" s="89" t="str">
        <f ca="1">IF($B179="","",INDIRECT("aux_sheet!S"&amp;1+MATCH(aux_sheet!$B178,aux_sheet!$A$2:$A$202,0)))</f>
        <v/>
      </c>
      <c r="L179" s="89" t="str">
        <f ca="1">IF($B179="","",INDIRECT("aux_sheet!S"&amp;1+MATCH(aux_sheet!$B178,aux_sheet!$A$2:$A$202,0)))</f>
        <v/>
      </c>
      <c r="M179" s="106" t="str">
        <f ca="1">IF($B179="","",INDIRECT("aux_sheet!U"&amp;1+MATCH(aux_sheet!$B178,aux_sheet!$A$2:$A$202,0)))</f>
        <v/>
      </c>
      <c r="N179" s="89" t="str">
        <f ca="1">IF($B179="","",INDIRECT("aux_sheet!V"&amp;1+MATCH(aux_sheet!$B178,aux_sheet!$A$2:$A$202,0)))</f>
        <v/>
      </c>
      <c r="O179" s="89" t="str">
        <f ca="1">IF($B179="","",INDIRECT("aux_sheet!V"&amp;1+MATCH(aux_sheet!$B178,aux_sheet!$A$2:$A$202,0)))</f>
        <v/>
      </c>
      <c r="P179" s="106" t="str">
        <f ca="1">IF($B179="","",INDIRECT("aux_sheet!X"&amp;1+MATCH(aux_sheet!$B178,aux_sheet!$A$2:$A$202,0)))</f>
        <v/>
      </c>
      <c r="Q179" s="89" t="str">
        <f ca="1">IF($B179="","",INDIRECT("aux_sheet!Y"&amp;1+MATCH(aux_sheet!$B178,aux_sheet!$A$2:$A$202,0)))</f>
        <v/>
      </c>
      <c r="R179" s="89" t="str">
        <f ca="1">IF($B179="","",INDIRECT("aux_sheet!Y"&amp;1+MATCH(aux_sheet!$B178,aux_sheet!$A$2:$A$202,0)))</f>
        <v/>
      </c>
      <c r="S179" s="106" t="str">
        <f ca="1">IF($B179="","",INDIRECT("aux_sheet!AA"&amp;1+MATCH(aux_sheet!$B178,aux_sheet!$A$2:$A$202,0)))</f>
        <v/>
      </c>
      <c r="T179" s="89" t="str">
        <f ca="1">IF($B179="","",INDIRECT("aux_sheet!AB"&amp;1+MATCH(aux_sheet!$B178,aux_sheet!$A$2:$A$202,0)))</f>
        <v/>
      </c>
      <c r="U179" s="89" t="str">
        <f ca="1">IF($B179="","",INDIRECT("aux_sheet!AB"&amp;1+MATCH(aux_sheet!$B178,aux_sheet!$A$2:$A$202,0)))</f>
        <v/>
      </c>
      <c r="V179" s="106" t="str">
        <f ca="1">IF($B179="","",INDIRECT("aux_sheet!AD"&amp;1+MATCH(aux_sheet!$B178,aux_sheet!$A$2:$A$202,0)))</f>
        <v/>
      </c>
      <c r="W179" s="89" t="str">
        <f ca="1">IF($B179="","",INDIRECT("aux_sheet!AE"&amp;1+MATCH(aux_sheet!$B178,aux_sheet!$A$2:$A$202,0)))</f>
        <v/>
      </c>
      <c r="X179" s="89" t="str">
        <f ca="1">IF($B179="","",INDIRECT("aux_sheet!AE"&amp;1+MATCH(aux_sheet!$B178,aux_sheet!$A$2:$A$202,0)))</f>
        <v/>
      </c>
      <c r="Y179" s="106" t="str">
        <f ca="1">IF($B179="","",INDIRECT("aux_sheet!AG"&amp;1+MATCH(aux_sheet!$B178,aux_sheet!$A$2:$A$202,0)))</f>
        <v/>
      </c>
      <c r="Z179" s="89" t="str">
        <f ca="1">IF($B179="","",INDIRECT("aux_sheet!AH"&amp;1+MATCH(aux_sheet!$B178,aux_sheet!$A$2:$A$202,0)))</f>
        <v/>
      </c>
      <c r="AA179" s="89" t="str">
        <f ca="1">IF($B179="","",INDIRECT("aux_sheet!AH"&amp;1+MATCH(aux_sheet!$B178,aux_sheet!$A$2:$A$202,0)))</f>
        <v/>
      </c>
      <c r="AB179" s="106" t="str">
        <f ca="1">IF($B179="","",INDIRECT("aux_sheet!AJ"&amp;1+MATCH(aux_sheet!$B178,aux_sheet!$A$2:$A$202,0)))</f>
        <v/>
      </c>
      <c r="AC179" s="89" t="str">
        <f ca="1">IF($B179="","",INDIRECT("aux_sheet!AK"&amp;1+MATCH(aux_sheet!$B178,aux_sheet!$A$2:$A$202,0)))</f>
        <v/>
      </c>
      <c r="AD179" s="89" t="str">
        <f ca="1">IF($B179="","",INDIRECT("aux_sheet!AK"&amp;1+MATCH(aux_sheet!$B178,aux_sheet!$A$2:$A$202,0)))</f>
        <v/>
      </c>
      <c r="AE179" s="106" t="str">
        <f ca="1">IF($B179="","",INDIRECT("aux_sheet!AM"&amp;1+MATCH(aux_sheet!$B178,aux_sheet!$A$2:$A$202,0)))</f>
        <v/>
      </c>
      <c r="AF179" s="89" t="str">
        <f ca="1">IF($B179="","",INDIRECT("aux_sheet!AN"&amp;1+MATCH(aux_sheet!$B178,aux_sheet!$A$2:$A$202,0)))</f>
        <v/>
      </c>
      <c r="AG179" s="89" t="str">
        <f ca="1">IF($B179="","",INDIRECT("aux_sheet!AN"&amp;1+MATCH(aux_sheet!$B178,aux_sheet!$A$2:$A$202,0)))</f>
        <v/>
      </c>
      <c r="AH179" s="14" t="str">
        <f>IF(ISBLANK(Input!A178)," ",F178-F179)</f>
        <v xml:space="preserve"> </v>
      </c>
    </row>
    <row r="180" spans="1:34" x14ac:dyDescent="0.35">
      <c r="A180" s="2" t="str">
        <f>IF(ISBLANK(Input!A179),"",ROUNDDOWN(aux_sheet!B179,0))</f>
        <v/>
      </c>
      <c r="B180" s="2" t="str">
        <f ca="1">IF(ISBLANK(Input!A179),"",INDIRECT("Input!A"&amp;1+MATCH(aux_sheet!$B179,aux_sheet!$A$2:$A$202,0)))</f>
        <v/>
      </c>
      <c r="C180" s="2" t="str">
        <f ca="1">IF(ISBLANK(Input!B179),"",INDIRECT("Input!B"&amp;1+MATCH(aux_sheet!$B179,aux_sheet!$A$2:$A$202,0)))</f>
        <v/>
      </c>
      <c r="D180" s="2" t="str">
        <f ca="1">IF(ISBLANK(Input!C179),"",INDIRECT("Input!C"&amp;1+MATCH(aux_sheet!$B179,aux_sheet!$A$2:$A$202,0)))</f>
        <v/>
      </c>
      <c r="E180" s="2" t="str">
        <f ca="1">IF(ISBLANK(Input!D179),"",INDIRECT("Input!D"&amp;1+MATCH(aux_sheet!$B179,aux_sheet!$A$2:$A$202,0)))</f>
        <v/>
      </c>
      <c r="F180" s="11" t="str">
        <f ca="1">INDIRECT("Input!F"&amp;1+MATCH(aux_sheet!$B179,aux_sheet!$A$2:$A$202,0))</f>
        <v xml:space="preserve"> </v>
      </c>
      <c r="G180" s="106" t="str">
        <f ca="1">IF($B180="","",INDIRECT("aux_sheet!O"&amp;1+MATCH(aux_sheet!$B179,aux_sheet!$A$2:$A$202,0)))</f>
        <v/>
      </c>
      <c r="H180" s="89" t="str">
        <f ca="1">IF($B180="","",INDIRECT("aux_sheet!P"&amp;1+MATCH(aux_sheet!$B179,aux_sheet!$A$2:$A$202,0)))</f>
        <v/>
      </c>
      <c r="I180" s="89" t="str">
        <f ca="1">IF($B180="","",INDIRECT("aux_sheet!P"&amp;1+MATCH(aux_sheet!$B179,aux_sheet!$A$2:$A$202,0)))</f>
        <v/>
      </c>
      <c r="J180" s="106" t="str">
        <f ca="1">IF($B180="","",INDIRECT("aux_sheet!R"&amp;1+MATCH(aux_sheet!$B179,aux_sheet!$A$2:$A$202,0)))</f>
        <v/>
      </c>
      <c r="K180" s="89" t="str">
        <f ca="1">IF($B180="","",INDIRECT("aux_sheet!S"&amp;1+MATCH(aux_sheet!$B179,aux_sheet!$A$2:$A$202,0)))</f>
        <v/>
      </c>
      <c r="L180" s="89" t="str">
        <f ca="1">IF($B180="","",INDIRECT("aux_sheet!S"&amp;1+MATCH(aux_sheet!$B179,aux_sheet!$A$2:$A$202,0)))</f>
        <v/>
      </c>
      <c r="M180" s="106" t="str">
        <f ca="1">IF($B180="","",INDIRECT("aux_sheet!U"&amp;1+MATCH(aux_sheet!$B179,aux_sheet!$A$2:$A$202,0)))</f>
        <v/>
      </c>
      <c r="N180" s="89" t="str">
        <f ca="1">IF($B180="","",INDIRECT("aux_sheet!V"&amp;1+MATCH(aux_sheet!$B179,aux_sheet!$A$2:$A$202,0)))</f>
        <v/>
      </c>
      <c r="O180" s="89" t="str">
        <f ca="1">IF($B180="","",INDIRECT("aux_sheet!V"&amp;1+MATCH(aux_sheet!$B179,aux_sheet!$A$2:$A$202,0)))</f>
        <v/>
      </c>
      <c r="P180" s="106" t="str">
        <f ca="1">IF($B180="","",INDIRECT("aux_sheet!X"&amp;1+MATCH(aux_sheet!$B179,aux_sheet!$A$2:$A$202,0)))</f>
        <v/>
      </c>
      <c r="Q180" s="89" t="str">
        <f ca="1">IF($B180="","",INDIRECT("aux_sheet!Y"&amp;1+MATCH(aux_sheet!$B179,aux_sheet!$A$2:$A$202,0)))</f>
        <v/>
      </c>
      <c r="R180" s="89" t="str">
        <f ca="1">IF($B180="","",INDIRECT("aux_sheet!Y"&amp;1+MATCH(aux_sheet!$B179,aux_sheet!$A$2:$A$202,0)))</f>
        <v/>
      </c>
      <c r="S180" s="106" t="str">
        <f ca="1">IF($B180="","",INDIRECT("aux_sheet!AA"&amp;1+MATCH(aux_sheet!$B179,aux_sheet!$A$2:$A$202,0)))</f>
        <v/>
      </c>
      <c r="T180" s="89" t="str">
        <f ca="1">IF($B180="","",INDIRECT("aux_sheet!AB"&amp;1+MATCH(aux_sheet!$B179,aux_sheet!$A$2:$A$202,0)))</f>
        <v/>
      </c>
      <c r="U180" s="89" t="str">
        <f ca="1">IF($B180="","",INDIRECT("aux_sheet!AB"&amp;1+MATCH(aux_sheet!$B179,aux_sheet!$A$2:$A$202,0)))</f>
        <v/>
      </c>
      <c r="V180" s="106" t="str">
        <f ca="1">IF($B180="","",INDIRECT("aux_sheet!AD"&amp;1+MATCH(aux_sheet!$B179,aux_sheet!$A$2:$A$202,0)))</f>
        <v/>
      </c>
      <c r="W180" s="89" t="str">
        <f ca="1">IF($B180="","",INDIRECT("aux_sheet!AE"&amp;1+MATCH(aux_sheet!$B179,aux_sheet!$A$2:$A$202,0)))</f>
        <v/>
      </c>
      <c r="X180" s="89" t="str">
        <f ca="1">IF($B180="","",INDIRECT("aux_sheet!AE"&amp;1+MATCH(aux_sheet!$B179,aux_sheet!$A$2:$A$202,0)))</f>
        <v/>
      </c>
      <c r="Y180" s="106" t="str">
        <f ca="1">IF($B180="","",INDIRECT("aux_sheet!AG"&amp;1+MATCH(aux_sheet!$B179,aux_sheet!$A$2:$A$202,0)))</f>
        <v/>
      </c>
      <c r="Z180" s="89" t="str">
        <f ca="1">IF($B180="","",INDIRECT("aux_sheet!AH"&amp;1+MATCH(aux_sheet!$B179,aux_sheet!$A$2:$A$202,0)))</f>
        <v/>
      </c>
      <c r="AA180" s="89" t="str">
        <f ca="1">IF($B180="","",INDIRECT("aux_sheet!AH"&amp;1+MATCH(aux_sheet!$B179,aux_sheet!$A$2:$A$202,0)))</f>
        <v/>
      </c>
      <c r="AB180" s="106" t="str">
        <f ca="1">IF($B180="","",INDIRECT("aux_sheet!AJ"&amp;1+MATCH(aux_sheet!$B179,aux_sheet!$A$2:$A$202,0)))</f>
        <v/>
      </c>
      <c r="AC180" s="89" t="str">
        <f ca="1">IF($B180="","",INDIRECT("aux_sheet!AK"&amp;1+MATCH(aux_sheet!$B179,aux_sheet!$A$2:$A$202,0)))</f>
        <v/>
      </c>
      <c r="AD180" s="89" t="str">
        <f ca="1">IF($B180="","",INDIRECT("aux_sheet!AK"&amp;1+MATCH(aux_sheet!$B179,aux_sheet!$A$2:$A$202,0)))</f>
        <v/>
      </c>
      <c r="AE180" s="106" t="str">
        <f ca="1">IF($B180="","",INDIRECT("aux_sheet!AM"&amp;1+MATCH(aux_sheet!$B179,aux_sheet!$A$2:$A$202,0)))</f>
        <v/>
      </c>
      <c r="AF180" s="89" t="str">
        <f ca="1">IF($B180="","",INDIRECT("aux_sheet!AN"&amp;1+MATCH(aux_sheet!$B179,aux_sheet!$A$2:$A$202,0)))</f>
        <v/>
      </c>
      <c r="AG180" s="89" t="str">
        <f ca="1">IF($B180="","",INDIRECT("aux_sheet!AN"&amp;1+MATCH(aux_sheet!$B179,aux_sheet!$A$2:$A$202,0)))</f>
        <v/>
      </c>
      <c r="AH180" s="14" t="str">
        <f>IF(ISBLANK(Input!A179)," ",F179-F180)</f>
        <v xml:space="preserve"> </v>
      </c>
    </row>
    <row r="181" spans="1:34" x14ac:dyDescent="0.35">
      <c r="A181" s="2" t="str">
        <f>IF(ISBLANK(Input!A180),"",ROUNDDOWN(aux_sheet!B180,0))</f>
        <v/>
      </c>
      <c r="B181" s="2" t="str">
        <f ca="1">IF(ISBLANK(Input!A180),"",INDIRECT("Input!A"&amp;1+MATCH(aux_sheet!$B180,aux_sheet!$A$2:$A$202,0)))</f>
        <v/>
      </c>
      <c r="C181" s="2" t="str">
        <f ca="1">IF(ISBLANK(Input!B180),"",INDIRECT("Input!B"&amp;1+MATCH(aux_sheet!$B180,aux_sheet!$A$2:$A$202,0)))</f>
        <v/>
      </c>
      <c r="D181" s="2" t="str">
        <f ca="1">IF(ISBLANK(Input!C180),"",INDIRECT("Input!C"&amp;1+MATCH(aux_sheet!$B180,aux_sheet!$A$2:$A$202,0)))</f>
        <v/>
      </c>
      <c r="E181" s="2" t="str">
        <f ca="1">IF(ISBLANK(Input!D180),"",INDIRECT("Input!D"&amp;1+MATCH(aux_sheet!$B180,aux_sheet!$A$2:$A$202,0)))</f>
        <v/>
      </c>
      <c r="F181" s="11" t="str">
        <f ca="1">INDIRECT("Input!F"&amp;1+MATCH(aux_sheet!$B180,aux_sheet!$A$2:$A$202,0))</f>
        <v xml:space="preserve"> </v>
      </c>
      <c r="G181" s="106" t="str">
        <f ca="1">IF($B181="","",INDIRECT("aux_sheet!O"&amp;1+MATCH(aux_sheet!$B180,aux_sheet!$A$2:$A$202,0)))</f>
        <v/>
      </c>
      <c r="H181" s="89" t="str">
        <f ca="1">IF($B181="","",INDIRECT("aux_sheet!P"&amp;1+MATCH(aux_sheet!$B180,aux_sheet!$A$2:$A$202,0)))</f>
        <v/>
      </c>
      <c r="I181" s="89" t="str">
        <f ca="1">IF($B181="","",INDIRECT("aux_sheet!P"&amp;1+MATCH(aux_sheet!$B180,aux_sheet!$A$2:$A$202,0)))</f>
        <v/>
      </c>
      <c r="J181" s="106" t="str">
        <f ca="1">IF($B181="","",INDIRECT("aux_sheet!R"&amp;1+MATCH(aux_sheet!$B180,aux_sheet!$A$2:$A$202,0)))</f>
        <v/>
      </c>
      <c r="K181" s="89" t="str">
        <f ca="1">IF($B181="","",INDIRECT("aux_sheet!S"&amp;1+MATCH(aux_sheet!$B180,aux_sheet!$A$2:$A$202,0)))</f>
        <v/>
      </c>
      <c r="L181" s="89" t="str">
        <f ca="1">IF($B181="","",INDIRECT("aux_sheet!S"&amp;1+MATCH(aux_sheet!$B180,aux_sheet!$A$2:$A$202,0)))</f>
        <v/>
      </c>
      <c r="M181" s="106" t="str">
        <f ca="1">IF($B181="","",INDIRECT("aux_sheet!U"&amp;1+MATCH(aux_sheet!$B180,aux_sheet!$A$2:$A$202,0)))</f>
        <v/>
      </c>
      <c r="N181" s="89" t="str">
        <f ca="1">IF($B181="","",INDIRECT("aux_sheet!V"&amp;1+MATCH(aux_sheet!$B180,aux_sheet!$A$2:$A$202,0)))</f>
        <v/>
      </c>
      <c r="O181" s="89" t="str">
        <f ca="1">IF($B181="","",INDIRECT("aux_sheet!V"&amp;1+MATCH(aux_sheet!$B180,aux_sheet!$A$2:$A$202,0)))</f>
        <v/>
      </c>
      <c r="P181" s="106" t="str">
        <f ca="1">IF($B181="","",INDIRECT("aux_sheet!X"&amp;1+MATCH(aux_sheet!$B180,aux_sheet!$A$2:$A$202,0)))</f>
        <v/>
      </c>
      <c r="Q181" s="89" t="str">
        <f ca="1">IF($B181="","",INDIRECT("aux_sheet!Y"&amp;1+MATCH(aux_sheet!$B180,aux_sheet!$A$2:$A$202,0)))</f>
        <v/>
      </c>
      <c r="R181" s="89" t="str">
        <f ca="1">IF($B181="","",INDIRECT("aux_sheet!Y"&amp;1+MATCH(aux_sheet!$B180,aux_sheet!$A$2:$A$202,0)))</f>
        <v/>
      </c>
      <c r="S181" s="106" t="str">
        <f ca="1">IF($B181="","",INDIRECT("aux_sheet!AA"&amp;1+MATCH(aux_sheet!$B180,aux_sheet!$A$2:$A$202,0)))</f>
        <v/>
      </c>
      <c r="T181" s="89" t="str">
        <f ca="1">IF($B181="","",INDIRECT("aux_sheet!AB"&amp;1+MATCH(aux_sheet!$B180,aux_sheet!$A$2:$A$202,0)))</f>
        <v/>
      </c>
      <c r="U181" s="89" t="str">
        <f ca="1">IF($B181="","",INDIRECT("aux_sheet!AB"&amp;1+MATCH(aux_sheet!$B180,aux_sheet!$A$2:$A$202,0)))</f>
        <v/>
      </c>
      <c r="V181" s="106" t="str">
        <f ca="1">IF($B181="","",INDIRECT("aux_sheet!AD"&amp;1+MATCH(aux_sheet!$B180,aux_sheet!$A$2:$A$202,0)))</f>
        <v/>
      </c>
      <c r="W181" s="89" t="str">
        <f ca="1">IF($B181="","",INDIRECT("aux_sheet!AE"&amp;1+MATCH(aux_sheet!$B180,aux_sheet!$A$2:$A$202,0)))</f>
        <v/>
      </c>
      <c r="X181" s="89" t="str">
        <f ca="1">IF($B181="","",INDIRECT("aux_sheet!AE"&amp;1+MATCH(aux_sheet!$B180,aux_sheet!$A$2:$A$202,0)))</f>
        <v/>
      </c>
      <c r="Y181" s="106" t="str">
        <f ca="1">IF($B181="","",INDIRECT("aux_sheet!AG"&amp;1+MATCH(aux_sheet!$B180,aux_sheet!$A$2:$A$202,0)))</f>
        <v/>
      </c>
      <c r="Z181" s="89" t="str">
        <f ca="1">IF($B181="","",INDIRECT("aux_sheet!AH"&amp;1+MATCH(aux_sheet!$B180,aux_sheet!$A$2:$A$202,0)))</f>
        <v/>
      </c>
      <c r="AA181" s="89" t="str">
        <f ca="1">IF($B181="","",INDIRECT("aux_sheet!AH"&amp;1+MATCH(aux_sheet!$B180,aux_sheet!$A$2:$A$202,0)))</f>
        <v/>
      </c>
      <c r="AB181" s="106" t="str">
        <f ca="1">IF($B181="","",INDIRECT("aux_sheet!AJ"&amp;1+MATCH(aux_sheet!$B180,aux_sheet!$A$2:$A$202,0)))</f>
        <v/>
      </c>
      <c r="AC181" s="89" t="str">
        <f ca="1">IF($B181="","",INDIRECT("aux_sheet!AK"&amp;1+MATCH(aux_sheet!$B180,aux_sheet!$A$2:$A$202,0)))</f>
        <v/>
      </c>
      <c r="AD181" s="89" t="str">
        <f ca="1">IF($B181="","",INDIRECT("aux_sheet!AK"&amp;1+MATCH(aux_sheet!$B180,aux_sheet!$A$2:$A$202,0)))</f>
        <v/>
      </c>
      <c r="AE181" s="106" t="str">
        <f ca="1">IF($B181="","",INDIRECT("aux_sheet!AM"&amp;1+MATCH(aux_sheet!$B180,aux_sheet!$A$2:$A$202,0)))</f>
        <v/>
      </c>
      <c r="AF181" s="89" t="str">
        <f ca="1">IF($B181="","",INDIRECT("aux_sheet!AN"&amp;1+MATCH(aux_sheet!$B180,aux_sheet!$A$2:$A$202,0)))</f>
        <v/>
      </c>
      <c r="AG181" s="89" t="str">
        <f ca="1">IF($B181="","",INDIRECT("aux_sheet!AN"&amp;1+MATCH(aux_sheet!$B180,aux_sheet!$A$2:$A$202,0)))</f>
        <v/>
      </c>
      <c r="AH181" s="14" t="str">
        <f>IF(ISBLANK(Input!A180)," ",F180-F181)</f>
        <v xml:space="preserve"> </v>
      </c>
    </row>
    <row r="182" spans="1:34" x14ac:dyDescent="0.35">
      <c r="A182" s="2" t="str">
        <f>IF(ISBLANK(Input!A181),"",ROUNDDOWN(aux_sheet!B181,0))</f>
        <v/>
      </c>
      <c r="B182" s="2" t="str">
        <f ca="1">IF(ISBLANK(Input!A181),"",INDIRECT("Input!A"&amp;1+MATCH(aux_sheet!$B181,aux_sheet!$A$2:$A$202,0)))</f>
        <v/>
      </c>
      <c r="C182" s="2" t="str">
        <f ca="1">IF(ISBLANK(Input!B181),"",INDIRECT("Input!B"&amp;1+MATCH(aux_sheet!$B181,aux_sheet!$A$2:$A$202,0)))</f>
        <v/>
      </c>
      <c r="D182" s="2" t="str">
        <f ca="1">IF(ISBLANK(Input!C181),"",INDIRECT("Input!C"&amp;1+MATCH(aux_sheet!$B181,aux_sheet!$A$2:$A$202,0)))</f>
        <v/>
      </c>
      <c r="E182" s="2" t="str">
        <f ca="1">IF(ISBLANK(Input!D181),"",INDIRECT("Input!D"&amp;1+MATCH(aux_sheet!$B181,aux_sheet!$A$2:$A$202,0)))</f>
        <v/>
      </c>
      <c r="F182" s="11" t="str">
        <f ca="1">INDIRECT("Input!F"&amp;1+MATCH(aux_sheet!$B181,aux_sheet!$A$2:$A$202,0))</f>
        <v xml:space="preserve"> </v>
      </c>
      <c r="G182" s="106" t="str">
        <f ca="1">IF($B182="","",INDIRECT("aux_sheet!O"&amp;1+MATCH(aux_sheet!$B181,aux_sheet!$A$2:$A$202,0)))</f>
        <v/>
      </c>
      <c r="H182" s="89" t="str">
        <f ca="1">IF($B182="","",INDIRECT("aux_sheet!P"&amp;1+MATCH(aux_sheet!$B181,aux_sheet!$A$2:$A$202,0)))</f>
        <v/>
      </c>
      <c r="I182" s="89" t="str">
        <f ca="1">IF($B182="","",INDIRECT("aux_sheet!P"&amp;1+MATCH(aux_sheet!$B181,aux_sheet!$A$2:$A$202,0)))</f>
        <v/>
      </c>
      <c r="J182" s="106" t="str">
        <f ca="1">IF($B182="","",INDIRECT("aux_sheet!R"&amp;1+MATCH(aux_sheet!$B181,aux_sheet!$A$2:$A$202,0)))</f>
        <v/>
      </c>
      <c r="K182" s="89" t="str">
        <f ca="1">IF($B182="","",INDIRECT("aux_sheet!S"&amp;1+MATCH(aux_sheet!$B181,aux_sheet!$A$2:$A$202,0)))</f>
        <v/>
      </c>
      <c r="L182" s="89" t="str">
        <f ca="1">IF($B182="","",INDIRECT("aux_sheet!S"&amp;1+MATCH(aux_sheet!$B181,aux_sheet!$A$2:$A$202,0)))</f>
        <v/>
      </c>
      <c r="M182" s="106" t="str">
        <f ca="1">IF($B182="","",INDIRECT("aux_sheet!U"&amp;1+MATCH(aux_sheet!$B181,aux_sheet!$A$2:$A$202,0)))</f>
        <v/>
      </c>
      <c r="N182" s="89" t="str">
        <f ca="1">IF($B182="","",INDIRECT("aux_sheet!V"&amp;1+MATCH(aux_sheet!$B181,aux_sheet!$A$2:$A$202,0)))</f>
        <v/>
      </c>
      <c r="O182" s="89" t="str">
        <f ca="1">IF($B182="","",INDIRECT("aux_sheet!V"&amp;1+MATCH(aux_sheet!$B181,aux_sheet!$A$2:$A$202,0)))</f>
        <v/>
      </c>
      <c r="P182" s="106" t="str">
        <f ca="1">IF($B182="","",INDIRECT("aux_sheet!X"&amp;1+MATCH(aux_sheet!$B181,aux_sheet!$A$2:$A$202,0)))</f>
        <v/>
      </c>
      <c r="Q182" s="89" t="str">
        <f ca="1">IF($B182="","",INDIRECT("aux_sheet!Y"&amp;1+MATCH(aux_sheet!$B181,aux_sheet!$A$2:$A$202,0)))</f>
        <v/>
      </c>
      <c r="R182" s="89" t="str">
        <f ca="1">IF($B182="","",INDIRECT("aux_sheet!Y"&amp;1+MATCH(aux_sheet!$B181,aux_sheet!$A$2:$A$202,0)))</f>
        <v/>
      </c>
      <c r="S182" s="106" t="str">
        <f ca="1">IF($B182="","",INDIRECT("aux_sheet!AA"&amp;1+MATCH(aux_sheet!$B181,aux_sheet!$A$2:$A$202,0)))</f>
        <v/>
      </c>
      <c r="T182" s="89" t="str">
        <f ca="1">IF($B182="","",INDIRECT("aux_sheet!AB"&amp;1+MATCH(aux_sheet!$B181,aux_sheet!$A$2:$A$202,0)))</f>
        <v/>
      </c>
      <c r="U182" s="89" t="str">
        <f ca="1">IF($B182="","",INDIRECT("aux_sheet!AB"&amp;1+MATCH(aux_sheet!$B181,aux_sheet!$A$2:$A$202,0)))</f>
        <v/>
      </c>
      <c r="V182" s="106" t="str">
        <f ca="1">IF($B182="","",INDIRECT("aux_sheet!AD"&amp;1+MATCH(aux_sheet!$B181,aux_sheet!$A$2:$A$202,0)))</f>
        <v/>
      </c>
      <c r="W182" s="89" t="str">
        <f ca="1">IF($B182="","",INDIRECT("aux_sheet!AE"&amp;1+MATCH(aux_sheet!$B181,aux_sheet!$A$2:$A$202,0)))</f>
        <v/>
      </c>
      <c r="X182" s="89" t="str">
        <f ca="1">IF($B182="","",INDIRECT("aux_sheet!AE"&amp;1+MATCH(aux_sheet!$B181,aux_sheet!$A$2:$A$202,0)))</f>
        <v/>
      </c>
      <c r="Y182" s="106" t="str">
        <f ca="1">IF($B182="","",INDIRECT("aux_sheet!AG"&amp;1+MATCH(aux_sheet!$B181,aux_sheet!$A$2:$A$202,0)))</f>
        <v/>
      </c>
      <c r="Z182" s="89" t="str">
        <f ca="1">IF($B182="","",INDIRECT("aux_sheet!AH"&amp;1+MATCH(aux_sheet!$B181,aux_sheet!$A$2:$A$202,0)))</f>
        <v/>
      </c>
      <c r="AA182" s="89" t="str">
        <f ca="1">IF($B182="","",INDIRECT("aux_sheet!AH"&amp;1+MATCH(aux_sheet!$B181,aux_sheet!$A$2:$A$202,0)))</f>
        <v/>
      </c>
      <c r="AB182" s="106" t="str">
        <f ca="1">IF($B182="","",INDIRECT("aux_sheet!AJ"&amp;1+MATCH(aux_sheet!$B181,aux_sheet!$A$2:$A$202,0)))</f>
        <v/>
      </c>
      <c r="AC182" s="89" t="str">
        <f ca="1">IF($B182="","",INDIRECT("aux_sheet!AK"&amp;1+MATCH(aux_sheet!$B181,aux_sheet!$A$2:$A$202,0)))</f>
        <v/>
      </c>
      <c r="AD182" s="89" t="str">
        <f ca="1">IF($B182="","",INDIRECT("aux_sheet!AK"&amp;1+MATCH(aux_sheet!$B181,aux_sheet!$A$2:$A$202,0)))</f>
        <v/>
      </c>
      <c r="AE182" s="106" t="str">
        <f ca="1">IF($B182="","",INDIRECT("aux_sheet!AM"&amp;1+MATCH(aux_sheet!$B181,aux_sheet!$A$2:$A$202,0)))</f>
        <v/>
      </c>
      <c r="AF182" s="89" t="str">
        <f ca="1">IF($B182="","",INDIRECT("aux_sheet!AN"&amp;1+MATCH(aux_sheet!$B181,aux_sheet!$A$2:$A$202,0)))</f>
        <v/>
      </c>
      <c r="AG182" s="89" t="str">
        <f ca="1">IF($B182="","",INDIRECT("aux_sheet!AN"&amp;1+MATCH(aux_sheet!$B181,aux_sheet!$A$2:$A$202,0)))</f>
        <v/>
      </c>
      <c r="AH182" s="14" t="str">
        <f>IF(ISBLANK(Input!A181)," ",F181-F182)</f>
        <v xml:space="preserve"> </v>
      </c>
    </row>
    <row r="183" spans="1:34" x14ac:dyDescent="0.35">
      <c r="A183" s="2" t="str">
        <f>IF(ISBLANK(Input!A182),"",ROUNDDOWN(aux_sheet!B182,0))</f>
        <v/>
      </c>
      <c r="B183" s="2" t="str">
        <f ca="1">IF(ISBLANK(Input!A182),"",INDIRECT("Input!A"&amp;1+MATCH(aux_sheet!$B182,aux_sheet!$A$2:$A$202,0)))</f>
        <v/>
      </c>
      <c r="C183" s="2" t="str">
        <f ca="1">IF(ISBLANK(Input!B182),"",INDIRECT("Input!B"&amp;1+MATCH(aux_sheet!$B182,aux_sheet!$A$2:$A$202,0)))</f>
        <v/>
      </c>
      <c r="D183" s="2" t="str">
        <f ca="1">IF(ISBLANK(Input!C182),"",INDIRECT("Input!C"&amp;1+MATCH(aux_sheet!$B182,aux_sheet!$A$2:$A$202,0)))</f>
        <v/>
      </c>
      <c r="E183" s="2" t="str">
        <f ca="1">IF(ISBLANK(Input!D182),"",INDIRECT("Input!D"&amp;1+MATCH(aux_sheet!$B182,aux_sheet!$A$2:$A$202,0)))</f>
        <v/>
      </c>
      <c r="F183" s="11" t="str">
        <f ca="1">INDIRECT("Input!F"&amp;1+MATCH(aux_sheet!$B182,aux_sheet!$A$2:$A$202,0))</f>
        <v xml:space="preserve"> </v>
      </c>
      <c r="G183" s="106" t="str">
        <f ca="1">IF($B183="","",INDIRECT("aux_sheet!O"&amp;1+MATCH(aux_sheet!$B182,aux_sheet!$A$2:$A$202,0)))</f>
        <v/>
      </c>
      <c r="H183" s="89" t="str">
        <f ca="1">IF($B183="","",INDIRECT("aux_sheet!P"&amp;1+MATCH(aux_sheet!$B182,aux_sheet!$A$2:$A$202,0)))</f>
        <v/>
      </c>
      <c r="I183" s="89" t="str">
        <f ca="1">IF($B183="","",INDIRECT("aux_sheet!P"&amp;1+MATCH(aux_sheet!$B182,aux_sheet!$A$2:$A$202,0)))</f>
        <v/>
      </c>
      <c r="J183" s="106" t="str">
        <f ca="1">IF($B183="","",INDIRECT("aux_sheet!R"&amp;1+MATCH(aux_sheet!$B182,aux_sheet!$A$2:$A$202,0)))</f>
        <v/>
      </c>
      <c r="K183" s="89" t="str">
        <f ca="1">IF($B183="","",INDIRECT("aux_sheet!S"&amp;1+MATCH(aux_sheet!$B182,aux_sheet!$A$2:$A$202,0)))</f>
        <v/>
      </c>
      <c r="L183" s="89" t="str">
        <f ca="1">IF($B183="","",INDIRECT("aux_sheet!S"&amp;1+MATCH(aux_sheet!$B182,aux_sheet!$A$2:$A$202,0)))</f>
        <v/>
      </c>
      <c r="M183" s="106" t="str">
        <f ca="1">IF($B183="","",INDIRECT("aux_sheet!U"&amp;1+MATCH(aux_sheet!$B182,aux_sheet!$A$2:$A$202,0)))</f>
        <v/>
      </c>
      <c r="N183" s="89" t="str">
        <f ca="1">IF($B183="","",INDIRECT("aux_sheet!V"&amp;1+MATCH(aux_sheet!$B182,aux_sheet!$A$2:$A$202,0)))</f>
        <v/>
      </c>
      <c r="O183" s="89" t="str">
        <f ca="1">IF($B183="","",INDIRECT("aux_sheet!V"&amp;1+MATCH(aux_sheet!$B182,aux_sheet!$A$2:$A$202,0)))</f>
        <v/>
      </c>
      <c r="P183" s="106" t="str">
        <f ca="1">IF($B183="","",INDIRECT("aux_sheet!X"&amp;1+MATCH(aux_sheet!$B182,aux_sheet!$A$2:$A$202,0)))</f>
        <v/>
      </c>
      <c r="Q183" s="89" t="str">
        <f ca="1">IF($B183="","",INDIRECT("aux_sheet!Y"&amp;1+MATCH(aux_sheet!$B182,aux_sheet!$A$2:$A$202,0)))</f>
        <v/>
      </c>
      <c r="R183" s="89" t="str">
        <f ca="1">IF($B183="","",INDIRECT("aux_sheet!Y"&amp;1+MATCH(aux_sheet!$B182,aux_sheet!$A$2:$A$202,0)))</f>
        <v/>
      </c>
      <c r="S183" s="106" t="str">
        <f ca="1">IF($B183="","",INDIRECT("aux_sheet!AA"&amp;1+MATCH(aux_sheet!$B182,aux_sheet!$A$2:$A$202,0)))</f>
        <v/>
      </c>
      <c r="T183" s="89" t="str">
        <f ca="1">IF($B183="","",INDIRECT("aux_sheet!AB"&amp;1+MATCH(aux_sheet!$B182,aux_sheet!$A$2:$A$202,0)))</f>
        <v/>
      </c>
      <c r="U183" s="89" t="str">
        <f ca="1">IF($B183="","",INDIRECT("aux_sheet!AB"&amp;1+MATCH(aux_sheet!$B182,aux_sheet!$A$2:$A$202,0)))</f>
        <v/>
      </c>
      <c r="V183" s="106" t="str">
        <f ca="1">IF($B183="","",INDIRECT("aux_sheet!AD"&amp;1+MATCH(aux_sheet!$B182,aux_sheet!$A$2:$A$202,0)))</f>
        <v/>
      </c>
      <c r="W183" s="89" t="str">
        <f ca="1">IF($B183="","",INDIRECT("aux_sheet!AE"&amp;1+MATCH(aux_sheet!$B182,aux_sheet!$A$2:$A$202,0)))</f>
        <v/>
      </c>
      <c r="X183" s="89" t="str">
        <f ca="1">IF($B183="","",INDIRECT("aux_sheet!AE"&amp;1+MATCH(aux_sheet!$B182,aux_sheet!$A$2:$A$202,0)))</f>
        <v/>
      </c>
      <c r="Y183" s="106" t="str">
        <f ca="1">IF($B183="","",INDIRECT("aux_sheet!AG"&amp;1+MATCH(aux_sheet!$B182,aux_sheet!$A$2:$A$202,0)))</f>
        <v/>
      </c>
      <c r="Z183" s="89" t="str">
        <f ca="1">IF($B183="","",INDIRECT("aux_sheet!AH"&amp;1+MATCH(aux_sheet!$B182,aux_sheet!$A$2:$A$202,0)))</f>
        <v/>
      </c>
      <c r="AA183" s="89" t="str">
        <f ca="1">IF($B183="","",INDIRECT("aux_sheet!AH"&amp;1+MATCH(aux_sheet!$B182,aux_sheet!$A$2:$A$202,0)))</f>
        <v/>
      </c>
      <c r="AB183" s="106" t="str">
        <f ca="1">IF($B183="","",INDIRECT("aux_sheet!AJ"&amp;1+MATCH(aux_sheet!$B182,aux_sheet!$A$2:$A$202,0)))</f>
        <v/>
      </c>
      <c r="AC183" s="89" t="str">
        <f ca="1">IF($B183="","",INDIRECT("aux_sheet!AK"&amp;1+MATCH(aux_sheet!$B182,aux_sheet!$A$2:$A$202,0)))</f>
        <v/>
      </c>
      <c r="AD183" s="89" t="str">
        <f ca="1">IF($B183="","",INDIRECT("aux_sheet!AK"&amp;1+MATCH(aux_sheet!$B182,aux_sheet!$A$2:$A$202,0)))</f>
        <v/>
      </c>
      <c r="AE183" s="106" t="str">
        <f ca="1">IF($B183="","",INDIRECT("aux_sheet!AM"&amp;1+MATCH(aux_sheet!$B182,aux_sheet!$A$2:$A$202,0)))</f>
        <v/>
      </c>
      <c r="AF183" s="89" t="str">
        <f ca="1">IF($B183="","",INDIRECT("aux_sheet!AN"&amp;1+MATCH(aux_sheet!$B182,aux_sheet!$A$2:$A$202,0)))</f>
        <v/>
      </c>
      <c r="AG183" s="89" t="str">
        <f ca="1">IF($B183="","",INDIRECT("aux_sheet!AN"&amp;1+MATCH(aux_sheet!$B182,aux_sheet!$A$2:$A$202,0)))</f>
        <v/>
      </c>
      <c r="AH183" s="14" t="str">
        <f>IF(ISBLANK(Input!A182)," ",F182-F183)</f>
        <v xml:space="preserve"> </v>
      </c>
    </row>
    <row r="184" spans="1:34" x14ac:dyDescent="0.35">
      <c r="A184" s="2" t="str">
        <f>IF(ISBLANK(Input!A183),"",ROUNDDOWN(aux_sheet!B183,0))</f>
        <v/>
      </c>
      <c r="B184" s="2" t="str">
        <f ca="1">IF(ISBLANK(Input!A183),"",INDIRECT("Input!A"&amp;1+MATCH(aux_sheet!$B183,aux_sheet!$A$2:$A$202,0)))</f>
        <v/>
      </c>
      <c r="C184" s="2" t="str">
        <f ca="1">IF(ISBLANK(Input!B183),"",INDIRECT("Input!B"&amp;1+MATCH(aux_sheet!$B183,aux_sheet!$A$2:$A$202,0)))</f>
        <v/>
      </c>
      <c r="D184" s="2" t="str">
        <f ca="1">IF(ISBLANK(Input!C183),"",INDIRECT("Input!C"&amp;1+MATCH(aux_sheet!$B183,aux_sheet!$A$2:$A$202,0)))</f>
        <v/>
      </c>
      <c r="E184" s="2" t="str">
        <f ca="1">IF(ISBLANK(Input!D183),"",INDIRECT("Input!D"&amp;1+MATCH(aux_sheet!$B183,aux_sheet!$A$2:$A$202,0)))</f>
        <v/>
      </c>
      <c r="F184" s="11" t="str">
        <f ca="1">INDIRECT("Input!F"&amp;1+MATCH(aux_sheet!$B183,aux_sheet!$A$2:$A$202,0))</f>
        <v xml:space="preserve"> </v>
      </c>
      <c r="G184" s="106" t="str">
        <f ca="1">IF($B184="","",INDIRECT("aux_sheet!O"&amp;1+MATCH(aux_sheet!$B183,aux_sheet!$A$2:$A$202,0)))</f>
        <v/>
      </c>
      <c r="H184" s="89" t="str">
        <f ca="1">IF($B184="","",INDIRECT("aux_sheet!P"&amp;1+MATCH(aux_sheet!$B183,aux_sheet!$A$2:$A$202,0)))</f>
        <v/>
      </c>
      <c r="I184" s="89" t="str">
        <f ca="1">IF($B184="","",INDIRECT("aux_sheet!P"&amp;1+MATCH(aux_sheet!$B183,aux_sheet!$A$2:$A$202,0)))</f>
        <v/>
      </c>
      <c r="J184" s="106" t="str">
        <f ca="1">IF($B184="","",INDIRECT("aux_sheet!R"&amp;1+MATCH(aux_sheet!$B183,aux_sheet!$A$2:$A$202,0)))</f>
        <v/>
      </c>
      <c r="K184" s="89" t="str">
        <f ca="1">IF($B184="","",INDIRECT("aux_sheet!S"&amp;1+MATCH(aux_sheet!$B183,aux_sheet!$A$2:$A$202,0)))</f>
        <v/>
      </c>
      <c r="L184" s="89" t="str">
        <f ca="1">IF($B184="","",INDIRECT("aux_sheet!S"&amp;1+MATCH(aux_sheet!$B183,aux_sheet!$A$2:$A$202,0)))</f>
        <v/>
      </c>
      <c r="M184" s="106" t="str">
        <f ca="1">IF($B184="","",INDIRECT("aux_sheet!U"&amp;1+MATCH(aux_sheet!$B183,aux_sheet!$A$2:$A$202,0)))</f>
        <v/>
      </c>
      <c r="N184" s="89" t="str">
        <f ca="1">IF($B184="","",INDIRECT("aux_sheet!V"&amp;1+MATCH(aux_sheet!$B183,aux_sheet!$A$2:$A$202,0)))</f>
        <v/>
      </c>
      <c r="O184" s="89" t="str">
        <f ca="1">IF($B184="","",INDIRECT("aux_sheet!V"&amp;1+MATCH(aux_sheet!$B183,aux_sheet!$A$2:$A$202,0)))</f>
        <v/>
      </c>
      <c r="P184" s="106" t="str">
        <f ca="1">IF($B184="","",INDIRECT("aux_sheet!X"&amp;1+MATCH(aux_sheet!$B183,aux_sheet!$A$2:$A$202,0)))</f>
        <v/>
      </c>
      <c r="Q184" s="89" t="str">
        <f ca="1">IF($B184="","",INDIRECT("aux_sheet!Y"&amp;1+MATCH(aux_sheet!$B183,aux_sheet!$A$2:$A$202,0)))</f>
        <v/>
      </c>
      <c r="R184" s="89" t="str">
        <f ca="1">IF($B184="","",INDIRECT("aux_sheet!Y"&amp;1+MATCH(aux_sheet!$B183,aux_sheet!$A$2:$A$202,0)))</f>
        <v/>
      </c>
      <c r="S184" s="106" t="str">
        <f ca="1">IF($B184="","",INDIRECT("aux_sheet!AA"&amp;1+MATCH(aux_sheet!$B183,aux_sheet!$A$2:$A$202,0)))</f>
        <v/>
      </c>
      <c r="T184" s="89" t="str">
        <f ca="1">IF($B184="","",INDIRECT("aux_sheet!AB"&amp;1+MATCH(aux_sheet!$B183,aux_sheet!$A$2:$A$202,0)))</f>
        <v/>
      </c>
      <c r="U184" s="89" t="str">
        <f ca="1">IF($B184="","",INDIRECT("aux_sheet!AB"&amp;1+MATCH(aux_sheet!$B183,aux_sheet!$A$2:$A$202,0)))</f>
        <v/>
      </c>
      <c r="V184" s="106" t="str">
        <f ca="1">IF($B184="","",INDIRECT("aux_sheet!AD"&amp;1+MATCH(aux_sheet!$B183,aux_sheet!$A$2:$A$202,0)))</f>
        <v/>
      </c>
      <c r="W184" s="89" t="str">
        <f ca="1">IF($B184="","",INDIRECT("aux_sheet!AE"&amp;1+MATCH(aux_sheet!$B183,aux_sheet!$A$2:$A$202,0)))</f>
        <v/>
      </c>
      <c r="X184" s="89" t="str">
        <f ca="1">IF($B184="","",INDIRECT("aux_sheet!AE"&amp;1+MATCH(aux_sheet!$B183,aux_sheet!$A$2:$A$202,0)))</f>
        <v/>
      </c>
      <c r="Y184" s="106" t="str">
        <f ca="1">IF($B184="","",INDIRECT("aux_sheet!AG"&amp;1+MATCH(aux_sheet!$B183,aux_sheet!$A$2:$A$202,0)))</f>
        <v/>
      </c>
      <c r="Z184" s="89" t="str">
        <f ca="1">IF($B184="","",INDIRECT("aux_sheet!AH"&amp;1+MATCH(aux_sheet!$B183,aux_sheet!$A$2:$A$202,0)))</f>
        <v/>
      </c>
      <c r="AA184" s="89" t="str">
        <f ca="1">IF($B184="","",INDIRECT("aux_sheet!AH"&amp;1+MATCH(aux_sheet!$B183,aux_sheet!$A$2:$A$202,0)))</f>
        <v/>
      </c>
      <c r="AB184" s="106" t="str">
        <f ca="1">IF($B184="","",INDIRECT("aux_sheet!AJ"&amp;1+MATCH(aux_sheet!$B183,aux_sheet!$A$2:$A$202,0)))</f>
        <v/>
      </c>
      <c r="AC184" s="89" t="str">
        <f ca="1">IF($B184="","",INDIRECT("aux_sheet!AK"&amp;1+MATCH(aux_sheet!$B183,aux_sheet!$A$2:$A$202,0)))</f>
        <v/>
      </c>
      <c r="AD184" s="89" t="str">
        <f ca="1">IF($B184="","",INDIRECT("aux_sheet!AK"&amp;1+MATCH(aux_sheet!$B183,aux_sheet!$A$2:$A$202,0)))</f>
        <v/>
      </c>
      <c r="AE184" s="106" t="str">
        <f ca="1">IF($B184="","",INDIRECT("aux_sheet!AM"&amp;1+MATCH(aux_sheet!$B183,aux_sheet!$A$2:$A$202,0)))</f>
        <v/>
      </c>
      <c r="AF184" s="89" t="str">
        <f ca="1">IF($B184="","",INDIRECT("aux_sheet!AN"&amp;1+MATCH(aux_sheet!$B183,aux_sheet!$A$2:$A$202,0)))</f>
        <v/>
      </c>
      <c r="AG184" s="89" t="str">
        <f ca="1">IF($B184="","",INDIRECT("aux_sheet!AN"&amp;1+MATCH(aux_sheet!$B183,aux_sheet!$A$2:$A$202,0)))</f>
        <v/>
      </c>
      <c r="AH184" s="14" t="str">
        <f>IF(ISBLANK(Input!A183)," ",F183-F184)</f>
        <v xml:space="preserve"> </v>
      </c>
    </row>
    <row r="185" spans="1:34" x14ac:dyDescent="0.35">
      <c r="A185" s="2" t="str">
        <f>IF(ISBLANK(Input!A184),"",ROUNDDOWN(aux_sheet!B184,0))</f>
        <v/>
      </c>
      <c r="B185" s="2" t="str">
        <f ca="1">IF(ISBLANK(Input!A184),"",INDIRECT("Input!A"&amp;1+MATCH(aux_sheet!$B184,aux_sheet!$A$2:$A$202,0)))</f>
        <v/>
      </c>
      <c r="C185" s="2" t="str">
        <f ca="1">IF(ISBLANK(Input!B184),"",INDIRECT("Input!B"&amp;1+MATCH(aux_sheet!$B184,aux_sheet!$A$2:$A$202,0)))</f>
        <v/>
      </c>
      <c r="D185" s="2" t="str">
        <f ca="1">IF(ISBLANK(Input!C184),"",INDIRECT("Input!C"&amp;1+MATCH(aux_sheet!$B184,aux_sheet!$A$2:$A$202,0)))</f>
        <v/>
      </c>
      <c r="E185" s="2" t="str">
        <f ca="1">IF(ISBLANK(Input!D184),"",INDIRECT("Input!D"&amp;1+MATCH(aux_sheet!$B184,aux_sheet!$A$2:$A$202,0)))</f>
        <v/>
      </c>
      <c r="F185" s="11" t="str">
        <f ca="1">INDIRECT("Input!F"&amp;1+MATCH(aux_sheet!$B184,aux_sheet!$A$2:$A$202,0))</f>
        <v xml:space="preserve"> </v>
      </c>
      <c r="G185" s="106" t="str">
        <f ca="1">IF($B185="","",INDIRECT("aux_sheet!O"&amp;1+MATCH(aux_sheet!$B184,aux_sheet!$A$2:$A$202,0)))</f>
        <v/>
      </c>
      <c r="H185" s="89" t="str">
        <f ca="1">IF($B185="","",INDIRECT("aux_sheet!P"&amp;1+MATCH(aux_sheet!$B184,aux_sheet!$A$2:$A$202,0)))</f>
        <v/>
      </c>
      <c r="I185" s="89" t="str">
        <f ca="1">IF($B185="","",INDIRECT("aux_sheet!P"&amp;1+MATCH(aux_sheet!$B184,aux_sheet!$A$2:$A$202,0)))</f>
        <v/>
      </c>
      <c r="J185" s="106" t="str">
        <f ca="1">IF($B185="","",INDIRECT("aux_sheet!R"&amp;1+MATCH(aux_sheet!$B184,aux_sheet!$A$2:$A$202,0)))</f>
        <v/>
      </c>
      <c r="K185" s="89" t="str">
        <f ca="1">IF($B185="","",INDIRECT("aux_sheet!S"&amp;1+MATCH(aux_sheet!$B184,aux_sheet!$A$2:$A$202,0)))</f>
        <v/>
      </c>
      <c r="L185" s="89" t="str">
        <f ca="1">IF($B185="","",INDIRECT("aux_sheet!S"&amp;1+MATCH(aux_sheet!$B184,aux_sheet!$A$2:$A$202,0)))</f>
        <v/>
      </c>
      <c r="M185" s="106" t="str">
        <f ca="1">IF($B185="","",INDIRECT("aux_sheet!U"&amp;1+MATCH(aux_sheet!$B184,aux_sheet!$A$2:$A$202,0)))</f>
        <v/>
      </c>
      <c r="N185" s="89" t="str">
        <f ca="1">IF($B185="","",INDIRECT("aux_sheet!V"&amp;1+MATCH(aux_sheet!$B184,aux_sheet!$A$2:$A$202,0)))</f>
        <v/>
      </c>
      <c r="O185" s="89" t="str">
        <f ca="1">IF($B185="","",INDIRECT("aux_sheet!V"&amp;1+MATCH(aux_sheet!$B184,aux_sheet!$A$2:$A$202,0)))</f>
        <v/>
      </c>
      <c r="P185" s="106" t="str">
        <f ca="1">IF($B185="","",INDIRECT("aux_sheet!X"&amp;1+MATCH(aux_sheet!$B184,aux_sheet!$A$2:$A$202,0)))</f>
        <v/>
      </c>
      <c r="Q185" s="89" t="str">
        <f ca="1">IF($B185="","",INDIRECT("aux_sheet!Y"&amp;1+MATCH(aux_sheet!$B184,aux_sheet!$A$2:$A$202,0)))</f>
        <v/>
      </c>
      <c r="R185" s="89" t="str">
        <f ca="1">IF($B185="","",INDIRECT("aux_sheet!Y"&amp;1+MATCH(aux_sheet!$B184,aux_sheet!$A$2:$A$202,0)))</f>
        <v/>
      </c>
      <c r="S185" s="106" t="str">
        <f ca="1">IF($B185="","",INDIRECT("aux_sheet!AA"&amp;1+MATCH(aux_sheet!$B184,aux_sheet!$A$2:$A$202,0)))</f>
        <v/>
      </c>
      <c r="T185" s="89" t="str">
        <f ca="1">IF($B185="","",INDIRECT("aux_sheet!AB"&amp;1+MATCH(aux_sheet!$B184,aux_sheet!$A$2:$A$202,0)))</f>
        <v/>
      </c>
      <c r="U185" s="89" t="str">
        <f ca="1">IF($B185="","",INDIRECT("aux_sheet!AB"&amp;1+MATCH(aux_sheet!$B184,aux_sheet!$A$2:$A$202,0)))</f>
        <v/>
      </c>
      <c r="V185" s="106" t="str">
        <f ca="1">IF($B185="","",INDIRECT("aux_sheet!AD"&amp;1+MATCH(aux_sheet!$B184,aux_sheet!$A$2:$A$202,0)))</f>
        <v/>
      </c>
      <c r="W185" s="89" t="str">
        <f ca="1">IF($B185="","",INDIRECT("aux_sheet!AE"&amp;1+MATCH(aux_sheet!$B184,aux_sheet!$A$2:$A$202,0)))</f>
        <v/>
      </c>
      <c r="X185" s="89" t="str">
        <f ca="1">IF($B185="","",INDIRECT("aux_sheet!AE"&amp;1+MATCH(aux_sheet!$B184,aux_sheet!$A$2:$A$202,0)))</f>
        <v/>
      </c>
      <c r="Y185" s="106" t="str">
        <f ca="1">IF($B185="","",INDIRECT("aux_sheet!AG"&amp;1+MATCH(aux_sheet!$B184,aux_sheet!$A$2:$A$202,0)))</f>
        <v/>
      </c>
      <c r="Z185" s="89" t="str">
        <f ca="1">IF($B185="","",INDIRECT("aux_sheet!AH"&amp;1+MATCH(aux_sheet!$B184,aux_sheet!$A$2:$A$202,0)))</f>
        <v/>
      </c>
      <c r="AA185" s="89" t="str">
        <f ca="1">IF($B185="","",INDIRECT("aux_sheet!AH"&amp;1+MATCH(aux_sheet!$B184,aux_sheet!$A$2:$A$202,0)))</f>
        <v/>
      </c>
      <c r="AB185" s="106" t="str">
        <f ca="1">IF($B185="","",INDIRECT("aux_sheet!AJ"&amp;1+MATCH(aux_sheet!$B184,aux_sheet!$A$2:$A$202,0)))</f>
        <v/>
      </c>
      <c r="AC185" s="89" t="str">
        <f ca="1">IF($B185="","",INDIRECT("aux_sheet!AK"&amp;1+MATCH(aux_sheet!$B184,aux_sheet!$A$2:$A$202,0)))</f>
        <v/>
      </c>
      <c r="AD185" s="89" t="str">
        <f ca="1">IF($B185="","",INDIRECT("aux_sheet!AK"&amp;1+MATCH(aux_sheet!$B184,aux_sheet!$A$2:$A$202,0)))</f>
        <v/>
      </c>
      <c r="AE185" s="106" t="str">
        <f ca="1">IF($B185="","",INDIRECT("aux_sheet!AM"&amp;1+MATCH(aux_sheet!$B184,aux_sheet!$A$2:$A$202,0)))</f>
        <v/>
      </c>
      <c r="AF185" s="89" t="str">
        <f ca="1">IF($B185="","",INDIRECT("aux_sheet!AN"&amp;1+MATCH(aux_sheet!$B184,aux_sheet!$A$2:$A$202,0)))</f>
        <v/>
      </c>
      <c r="AG185" s="89" t="str">
        <f ca="1">IF($B185="","",INDIRECT("aux_sheet!AN"&amp;1+MATCH(aux_sheet!$B184,aux_sheet!$A$2:$A$202,0)))</f>
        <v/>
      </c>
      <c r="AH185" s="14" t="str">
        <f>IF(ISBLANK(Input!A184)," ",F184-F185)</f>
        <v xml:space="preserve"> </v>
      </c>
    </row>
    <row r="186" spans="1:34" x14ac:dyDescent="0.35">
      <c r="A186" s="2" t="str">
        <f>IF(ISBLANK(Input!A185),"",ROUNDDOWN(aux_sheet!B185,0))</f>
        <v/>
      </c>
      <c r="B186" s="2" t="str">
        <f ca="1">IF(ISBLANK(Input!A185),"",INDIRECT("Input!A"&amp;1+MATCH(aux_sheet!$B185,aux_sheet!$A$2:$A$202,0)))</f>
        <v/>
      </c>
      <c r="C186" s="2" t="str">
        <f ca="1">IF(ISBLANK(Input!B185),"",INDIRECT("Input!B"&amp;1+MATCH(aux_sheet!$B185,aux_sheet!$A$2:$A$202,0)))</f>
        <v/>
      </c>
      <c r="D186" s="2" t="str">
        <f ca="1">IF(ISBLANK(Input!C185),"",INDIRECT("Input!C"&amp;1+MATCH(aux_sheet!$B185,aux_sheet!$A$2:$A$202,0)))</f>
        <v/>
      </c>
      <c r="E186" s="2" t="str">
        <f ca="1">IF(ISBLANK(Input!D185),"",INDIRECT("Input!D"&amp;1+MATCH(aux_sheet!$B185,aux_sheet!$A$2:$A$202,0)))</f>
        <v/>
      </c>
      <c r="F186" s="11" t="str">
        <f ca="1">INDIRECT("Input!F"&amp;1+MATCH(aux_sheet!$B185,aux_sheet!$A$2:$A$202,0))</f>
        <v xml:space="preserve"> </v>
      </c>
      <c r="G186" s="106" t="str">
        <f ca="1">IF($B186="","",INDIRECT("aux_sheet!O"&amp;1+MATCH(aux_sheet!$B185,aux_sheet!$A$2:$A$202,0)))</f>
        <v/>
      </c>
      <c r="H186" s="89" t="str">
        <f ca="1">IF($B186="","",INDIRECT("aux_sheet!P"&amp;1+MATCH(aux_sheet!$B185,aux_sheet!$A$2:$A$202,0)))</f>
        <v/>
      </c>
      <c r="I186" s="89" t="str">
        <f ca="1">IF($B186="","",INDIRECT("aux_sheet!P"&amp;1+MATCH(aux_sheet!$B185,aux_sheet!$A$2:$A$202,0)))</f>
        <v/>
      </c>
      <c r="J186" s="106" t="str">
        <f ca="1">IF($B186="","",INDIRECT("aux_sheet!R"&amp;1+MATCH(aux_sheet!$B185,aux_sheet!$A$2:$A$202,0)))</f>
        <v/>
      </c>
      <c r="K186" s="89" t="str">
        <f ca="1">IF($B186="","",INDIRECT("aux_sheet!S"&amp;1+MATCH(aux_sheet!$B185,aux_sheet!$A$2:$A$202,0)))</f>
        <v/>
      </c>
      <c r="L186" s="89" t="str">
        <f ca="1">IF($B186="","",INDIRECT("aux_sheet!S"&amp;1+MATCH(aux_sheet!$B185,aux_sheet!$A$2:$A$202,0)))</f>
        <v/>
      </c>
      <c r="M186" s="106" t="str">
        <f ca="1">IF($B186="","",INDIRECT("aux_sheet!U"&amp;1+MATCH(aux_sheet!$B185,aux_sheet!$A$2:$A$202,0)))</f>
        <v/>
      </c>
      <c r="N186" s="89" t="str">
        <f ca="1">IF($B186="","",INDIRECT("aux_sheet!V"&amp;1+MATCH(aux_sheet!$B185,aux_sheet!$A$2:$A$202,0)))</f>
        <v/>
      </c>
      <c r="O186" s="89" t="str">
        <f ca="1">IF($B186="","",INDIRECT("aux_sheet!V"&amp;1+MATCH(aux_sheet!$B185,aux_sheet!$A$2:$A$202,0)))</f>
        <v/>
      </c>
      <c r="P186" s="106" t="str">
        <f ca="1">IF($B186="","",INDIRECT("aux_sheet!X"&amp;1+MATCH(aux_sheet!$B185,aux_sheet!$A$2:$A$202,0)))</f>
        <v/>
      </c>
      <c r="Q186" s="89" t="str">
        <f ca="1">IF($B186="","",INDIRECT("aux_sheet!Y"&amp;1+MATCH(aux_sheet!$B185,aux_sheet!$A$2:$A$202,0)))</f>
        <v/>
      </c>
      <c r="R186" s="89" t="str">
        <f ca="1">IF($B186="","",INDIRECT("aux_sheet!Y"&amp;1+MATCH(aux_sheet!$B185,aux_sheet!$A$2:$A$202,0)))</f>
        <v/>
      </c>
      <c r="S186" s="106" t="str">
        <f ca="1">IF($B186="","",INDIRECT("aux_sheet!AA"&amp;1+MATCH(aux_sheet!$B185,aux_sheet!$A$2:$A$202,0)))</f>
        <v/>
      </c>
      <c r="T186" s="89" t="str">
        <f ca="1">IF($B186="","",INDIRECT("aux_sheet!AB"&amp;1+MATCH(aux_sheet!$B185,aux_sheet!$A$2:$A$202,0)))</f>
        <v/>
      </c>
      <c r="U186" s="89" t="str">
        <f ca="1">IF($B186="","",INDIRECT("aux_sheet!AB"&amp;1+MATCH(aux_sheet!$B185,aux_sheet!$A$2:$A$202,0)))</f>
        <v/>
      </c>
      <c r="V186" s="106" t="str">
        <f ca="1">IF($B186="","",INDIRECT("aux_sheet!AD"&amp;1+MATCH(aux_sheet!$B185,aux_sheet!$A$2:$A$202,0)))</f>
        <v/>
      </c>
      <c r="W186" s="89" t="str">
        <f ca="1">IF($B186="","",INDIRECT("aux_sheet!AE"&amp;1+MATCH(aux_sheet!$B185,aux_sheet!$A$2:$A$202,0)))</f>
        <v/>
      </c>
      <c r="X186" s="89" t="str">
        <f ca="1">IF($B186="","",INDIRECT("aux_sheet!AE"&amp;1+MATCH(aux_sheet!$B185,aux_sheet!$A$2:$A$202,0)))</f>
        <v/>
      </c>
      <c r="Y186" s="106" t="str">
        <f ca="1">IF($B186="","",INDIRECT("aux_sheet!AG"&amp;1+MATCH(aux_sheet!$B185,aux_sheet!$A$2:$A$202,0)))</f>
        <v/>
      </c>
      <c r="Z186" s="89" t="str">
        <f ca="1">IF($B186="","",INDIRECT("aux_sheet!AH"&amp;1+MATCH(aux_sheet!$B185,aux_sheet!$A$2:$A$202,0)))</f>
        <v/>
      </c>
      <c r="AA186" s="89" t="str">
        <f ca="1">IF($B186="","",INDIRECT("aux_sheet!AH"&amp;1+MATCH(aux_sheet!$B185,aux_sheet!$A$2:$A$202,0)))</f>
        <v/>
      </c>
      <c r="AB186" s="106" t="str">
        <f ca="1">IF($B186="","",INDIRECT("aux_sheet!AJ"&amp;1+MATCH(aux_sheet!$B185,aux_sheet!$A$2:$A$202,0)))</f>
        <v/>
      </c>
      <c r="AC186" s="89" t="str">
        <f ca="1">IF($B186="","",INDIRECT("aux_sheet!AK"&amp;1+MATCH(aux_sheet!$B185,aux_sheet!$A$2:$A$202,0)))</f>
        <v/>
      </c>
      <c r="AD186" s="89" t="str">
        <f ca="1">IF($B186="","",INDIRECT("aux_sheet!AK"&amp;1+MATCH(aux_sheet!$B185,aux_sheet!$A$2:$A$202,0)))</f>
        <v/>
      </c>
      <c r="AE186" s="106" t="str">
        <f ca="1">IF($B186="","",INDIRECT("aux_sheet!AM"&amp;1+MATCH(aux_sheet!$B185,aux_sheet!$A$2:$A$202,0)))</f>
        <v/>
      </c>
      <c r="AF186" s="89" t="str">
        <f ca="1">IF($B186="","",INDIRECT("aux_sheet!AN"&amp;1+MATCH(aux_sheet!$B185,aux_sheet!$A$2:$A$202,0)))</f>
        <v/>
      </c>
      <c r="AG186" s="89" t="str">
        <f ca="1">IF($B186="","",INDIRECT("aux_sheet!AN"&amp;1+MATCH(aux_sheet!$B185,aux_sheet!$A$2:$A$202,0)))</f>
        <v/>
      </c>
      <c r="AH186" s="14" t="str">
        <f>IF(ISBLANK(Input!A185)," ",F185-F186)</f>
        <v xml:space="preserve"> </v>
      </c>
    </row>
    <row r="187" spans="1:34" x14ac:dyDescent="0.35">
      <c r="A187" s="2" t="str">
        <f>IF(ISBLANK(Input!A186),"",ROUNDDOWN(aux_sheet!B186,0))</f>
        <v/>
      </c>
      <c r="B187" s="2" t="str">
        <f ca="1">IF(ISBLANK(Input!A186),"",INDIRECT("Input!A"&amp;1+MATCH(aux_sheet!$B186,aux_sheet!$A$2:$A$202,0)))</f>
        <v/>
      </c>
      <c r="C187" s="2" t="str">
        <f ca="1">IF(ISBLANK(Input!B186),"",INDIRECT("Input!B"&amp;1+MATCH(aux_sheet!$B186,aux_sheet!$A$2:$A$202,0)))</f>
        <v/>
      </c>
      <c r="D187" s="2" t="str">
        <f ca="1">IF(ISBLANK(Input!C186),"",INDIRECT("Input!C"&amp;1+MATCH(aux_sheet!$B186,aux_sheet!$A$2:$A$202,0)))</f>
        <v/>
      </c>
      <c r="E187" s="2" t="str">
        <f ca="1">IF(ISBLANK(Input!D186),"",INDIRECT("Input!D"&amp;1+MATCH(aux_sheet!$B186,aux_sheet!$A$2:$A$202,0)))</f>
        <v/>
      </c>
      <c r="F187" s="11" t="str">
        <f ca="1">INDIRECT("Input!F"&amp;1+MATCH(aux_sheet!$B186,aux_sheet!$A$2:$A$202,0))</f>
        <v xml:space="preserve"> </v>
      </c>
      <c r="G187" s="106" t="str">
        <f ca="1">IF($B187="","",INDIRECT("aux_sheet!O"&amp;1+MATCH(aux_sheet!$B186,aux_sheet!$A$2:$A$202,0)))</f>
        <v/>
      </c>
      <c r="H187" s="89" t="str">
        <f ca="1">IF($B187="","",INDIRECT("aux_sheet!P"&amp;1+MATCH(aux_sheet!$B186,aux_sheet!$A$2:$A$202,0)))</f>
        <v/>
      </c>
      <c r="I187" s="89" t="str">
        <f ca="1">IF($B187="","",INDIRECT("aux_sheet!P"&amp;1+MATCH(aux_sheet!$B186,aux_sheet!$A$2:$A$202,0)))</f>
        <v/>
      </c>
      <c r="J187" s="106" t="str">
        <f ca="1">IF($B187="","",INDIRECT("aux_sheet!R"&amp;1+MATCH(aux_sheet!$B186,aux_sheet!$A$2:$A$202,0)))</f>
        <v/>
      </c>
      <c r="K187" s="89" t="str">
        <f ca="1">IF($B187="","",INDIRECT("aux_sheet!S"&amp;1+MATCH(aux_sheet!$B186,aux_sheet!$A$2:$A$202,0)))</f>
        <v/>
      </c>
      <c r="L187" s="89" t="str">
        <f ca="1">IF($B187="","",INDIRECT("aux_sheet!S"&amp;1+MATCH(aux_sheet!$B186,aux_sheet!$A$2:$A$202,0)))</f>
        <v/>
      </c>
      <c r="M187" s="106" t="str">
        <f ca="1">IF($B187="","",INDIRECT("aux_sheet!U"&amp;1+MATCH(aux_sheet!$B186,aux_sheet!$A$2:$A$202,0)))</f>
        <v/>
      </c>
      <c r="N187" s="89" t="str">
        <f ca="1">IF($B187="","",INDIRECT("aux_sheet!V"&amp;1+MATCH(aux_sheet!$B186,aux_sheet!$A$2:$A$202,0)))</f>
        <v/>
      </c>
      <c r="O187" s="89" t="str">
        <f ca="1">IF($B187="","",INDIRECT("aux_sheet!V"&amp;1+MATCH(aux_sheet!$B186,aux_sheet!$A$2:$A$202,0)))</f>
        <v/>
      </c>
      <c r="P187" s="106" t="str">
        <f ca="1">IF($B187="","",INDIRECT("aux_sheet!X"&amp;1+MATCH(aux_sheet!$B186,aux_sheet!$A$2:$A$202,0)))</f>
        <v/>
      </c>
      <c r="Q187" s="89" t="str">
        <f ca="1">IF($B187="","",INDIRECT("aux_sheet!Y"&amp;1+MATCH(aux_sheet!$B186,aux_sheet!$A$2:$A$202,0)))</f>
        <v/>
      </c>
      <c r="R187" s="89" t="str">
        <f ca="1">IF($B187="","",INDIRECT("aux_sheet!Y"&amp;1+MATCH(aux_sheet!$B186,aux_sheet!$A$2:$A$202,0)))</f>
        <v/>
      </c>
      <c r="S187" s="106" t="str">
        <f ca="1">IF($B187="","",INDIRECT("aux_sheet!AA"&amp;1+MATCH(aux_sheet!$B186,aux_sheet!$A$2:$A$202,0)))</f>
        <v/>
      </c>
      <c r="T187" s="89" t="str">
        <f ca="1">IF($B187="","",INDIRECT("aux_sheet!AB"&amp;1+MATCH(aux_sheet!$B186,aux_sheet!$A$2:$A$202,0)))</f>
        <v/>
      </c>
      <c r="U187" s="89" t="str">
        <f ca="1">IF($B187="","",INDIRECT("aux_sheet!AB"&amp;1+MATCH(aux_sheet!$B186,aux_sheet!$A$2:$A$202,0)))</f>
        <v/>
      </c>
      <c r="V187" s="106" t="str">
        <f ca="1">IF($B187="","",INDIRECT("aux_sheet!AD"&amp;1+MATCH(aux_sheet!$B186,aux_sheet!$A$2:$A$202,0)))</f>
        <v/>
      </c>
      <c r="W187" s="89" t="str">
        <f ca="1">IF($B187="","",INDIRECT("aux_sheet!AE"&amp;1+MATCH(aux_sheet!$B186,aux_sheet!$A$2:$A$202,0)))</f>
        <v/>
      </c>
      <c r="X187" s="89" t="str">
        <f ca="1">IF($B187="","",INDIRECT("aux_sheet!AE"&amp;1+MATCH(aux_sheet!$B186,aux_sheet!$A$2:$A$202,0)))</f>
        <v/>
      </c>
      <c r="Y187" s="106" t="str">
        <f ca="1">IF($B187="","",INDIRECT("aux_sheet!AG"&amp;1+MATCH(aux_sheet!$B186,aux_sheet!$A$2:$A$202,0)))</f>
        <v/>
      </c>
      <c r="Z187" s="89" t="str">
        <f ca="1">IF($B187="","",INDIRECT("aux_sheet!AH"&amp;1+MATCH(aux_sheet!$B186,aux_sheet!$A$2:$A$202,0)))</f>
        <v/>
      </c>
      <c r="AA187" s="89" t="str">
        <f ca="1">IF($B187="","",INDIRECT("aux_sheet!AH"&amp;1+MATCH(aux_sheet!$B186,aux_sheet!$A$2:$A$202,0)))</f>
        <v/>
      </c>
      <c r="AB187" s="106" t="str">
        <f ca="1">IF($B187="","",INDIRECT("aux_sheet!AJ"&amp;1+MATCH(aux_sheet!$B186,aux_sheet!$A$2:$A$202,0)))</f>
        <v/>
      </c>
      <c r="AC187" s="89" t="str">
        <f ca="1">IF($B187="","",INDIRECT("aux_sheet!AK"&amp;1+MATCH(aux_sheet!$B186,aux_sheet!$A$2:$A$202,0)))</f>
        <v/>
      </c>
      <c r="AD187" s="89" t="str">
        <f ca="1">IF($B187="","",INDIRECT("aux_sheet!AK"&amp;1+MATCH(aux_sheet!$B186,aux_sheet!$A$2:$A$202,0)))</f>
        <v/>
      </c>
      <c r="AE187" s="106" t="str">
        <f ca="1">IF($B187="","",INDIRECT("aux_sheet!AM"&amp;1+MATCH(aux_sheet!$B186,aux_sheet!$A$2:$A$202,0)))</f>
        <v/>
      </c>
      <c r="AF187" s="89" t="str">
        <f ca="1">IF($B187="","",INDIRECT("aux_sheet!AN"&amp;1+MATCH(aux_sheet!$B186,aux_sheet!$A$2:$A$202,0)))</f>
        <v/>
      </c>
      <c r="AG187" s="89" t="str">
        <f ca="1">IF($B187="","",INDIRECT("aux_sheet!AN"&amp;1+MATCH(aux_sheet!$B186,aux_sheet!$A$2:$A$202,0)))</f>
        <v/>
      </c>
      <c r="AH187" s="14" t="str">
        <f>IF(ISBLANK(Input!A186)," ",F186-F187)</f>
        <v xml:space="preserve"> </v>
      </c>
    </row>
    <row r="188" spans="1:34" x14ac:dyDescent="0.35">
      <c r="A188" s="2" t="str">
        <f>IF(ISBLANK(Input!A187),"",ROUNDDOWN(aux_sheet!B187,0))</f>
        <v/>
      </c>
      <c r="B188" s="2" t="str">
        <f ca="1">IF(ISBLANK(Input!A187),"",INDIRECT("Input!A"&amp;1+MATCH(aux_sheet!$B187,aux_sheet!$A$2:$A$202,0)))</f>
        <v/>
      </c>
      <c r="C188" s="2" t="str">
        <f ca="1">IF(ISBLANK(Input!B187),"",INDIRECT("Input!B"&amp;1+MATCH(aux_sheet!$B187,aux_sheet!$A$2:$A$202,0)))</f>
        <v/>
      </c>
      <c r="D188" s="2" t="str">
        <f ca="1">IF(ISBLANK(Input!C187),"",INDIRECT("Input!C"&amp;1+MATCH(aux_sheet!$B187,aux_sheet!$A$2:$A$202,0)))</f>
        <v/>
      </c>
      <c r="E188" s="2" t="str">
        <f ca="1">IF(ISBLANK(Input!D187),"",INDIRECT("Input!D"&amp;1+MATCH(aux_sheet!$B187,aux_sheet!$A$2:$A$202,0)))</f>
        <v/>
      </c>
      <c r="F188" s="11" t="str">
        <f ca="1">INDIRECT("Input!F"&amp;1+MATCH(aux_sheet!$B187,aux_sheet!$A$2:$A$202,0))</f>
        <v xml:space="preserve"> </v>
      </c>
      <c r="G188" s="106" t="str">
        <f ca="1">IF($B188="","",INDIRECT("aux_sheet!O"&amp;1+MATCH(aux_sheet!$B187,aux_sheet!$A$2:$A$202,0)))</f>
        <v/>
      </c>
      <c r="H188" s="89" t="str">
        <f ca="1">IF($B188="","",INDIRECT("aux_sheet!P"&amp;1+MATCH(aux_sheet!$B187,aux_sheet!$A$2:$A$202,0)))</f>
        <v/>
      </c>
      <c r="I188" s="89" t="str">
        <f ca="1">IF($B188="","",INDIRECT("aux_sheet!P"&amp;1+MATCH(aux_sheet!$B187,aux_sheet!$A$2:$A$202,0)))</f>
        <v/>
      </c>
      <c r="J188" s="106" t="str">
        <f ca="1">IF($B188="","",INDIRECT("aux_sheet!R"&amp;1+MATCH(aux_sheet!$B187,aux_sheet!$A$2:$A$202,0)))</f>
        <v/>
      </c>
      <c r="K188" s="89" t="str">
        <f ca="1">IF($B188="","",INDIRECT("aux_sheet!S"&amp;1+MATCH(aux_sheet!$B187,aux_sheet!$A$2:$A$202,0)))</f>
        <v/>
      </c>
      <c r="L188" s="89" t="str">
        <f ca="1">IF($B188="","",INDIRECT("aux_sheet!S"&amp;1+MATCH(aux_sheet!$B187,aux_sheet!$A$2:$A$202,0)))</f>
        <v/>
      </c>
      <c r="M188" s="106" t="str">
        <f ca="1">IF($B188="","",INDIRECT("aux_sheet!U"&amp;1+MATCH(aux_sheet!$B187,aux_sheet!$A$2:$A$202,0)))</f>
        <v/>
      </c>
      <c r="N188" s="89" t="str">
        <f ca="1">IF($B188="","",INDIRECT("aux_sheet!V"&amp;1+MATCH(aux_sheet!$B187,aux_sheet!$A$2:$A$202,0)))</f>
        <v/>
      </c>
      <c r="O188" s="89" t="str">
        <f ca="1">IF($B188="","",INDIRECT("aux_sheet!V"&amp;1+MATCH(aux_sheet!$B187,aux_sheet!$A$2:$A$202,0)))</f>
        <v/>
      </c>
      <c r="P188" s="106" t="str">
        <f ca="1">IF($B188="","",INDIRECT("aux_sheet!X"&amp;1+MATCH(aux_sheet!$B187,aux_sheet!$A$2:$A$202,0)))</f>
        <v/>
      </c>
      <c r="Q188" s="89" t="str">
        <f ca="1">IF($B188="","",INDIRECT("aux_sheet!Y"&amp;1+MATCH(aux_sheet!$B187,aux_sheet!$A$2:$A$202,0)))</f>
        <v/>
      </c>
      <c r="R188" s="89" t="str">
        <f ca="1">IF($B188="","",INDIRECT("aux_sheet!Y"&amp;1+MATCH(aux_sheet!$B187,aux_sheet!$A$2:$A$202,0)))</f>
        <v/>
      </c>
      <c r="S188" s="106" t="str">
        <f ca="1">IF($B188="","",INDIRECT("aux_sheet!AA"&amp;1+MATCH(aux_sheet!$B187,aux_sheet!$A$2:$A$202,0)))</f>
        <v/>
      </c>
      <c r="T188" s="89" t="str">
        <f ca="1">IF($B188="","",INDIRECT("aux_sheet!AB"&amp;1+MATCH(aux_sheet!$B187,aux_sheet!$A$2:$A$202,0)))</f>
        <v/>
      </c>
      <c r="U188" s="89" t="str">
        <f ca="1">IF($B188="","",INDIRECT("aux_sheet!AB"&amp;1+MATCH(aux_sheet!$B187,aux_sheet!$A$2:$A$202,0)))</f>
        <v/>
      </c>
      <c r="V188" s="106" t="str">
        <f ca="1">IF($B188="","",INDIRECT("aux_sheet!AD"&amp;1+MATCH(aux_sheet!$B187,aux_sheet!$A$2:$A$202,0)))</f>
        <v/>
      </c>
      <c r="W188" s="89" t="str">
        <f ca="1">IF($B188="","",INDIRECT("aux_sheet!AE"&amp;1+MATCH(aux_sheet!$B187,aux_sheet!$A$2:$A$202,0)))</f>
        <v/>
      </c>
      <c r="X188" s="89" t="str">
        <f ca="1">IF($B188="","",INDIRECT("aux_sheet!AE"&amp;1+MATCH(aux_sheet!$B187,aux_sheet!$A$2:$A$202,0)))</f>
        <v/>
      </c>
      <c r="Y188" s="106" t="str">
        <f ca="1">IF($B188="","",INDIRECT("aux_sheet!AG"&amp;1+MATCH(aux_sheet!$B187,aux_sheet!$A$2:$A$202,0)))</f>
        <v/>
      </c>
      <c r="Z188" s="89" t="str">
        <f ca="1">IF($B188="","",INDIRECT("aux_sheet!AH"&amp;1+MATCH(aux_sheet!$B187,aux_sheet!$A$2:$A$202,0)))</f>
        <v/>
      </c>
      <c r="AA188" s="89" t="str">
        <f ca="1">IF($B188="","",INDIRECT("aux_sheet!AH"&amp;1+MATCH(aux_sheet!$B187,aux_sheet!$A$2:$A$202,0)))</f>
        <v/>
      </c>
      <c r="AB188" s="106" t="str">
        <f ca="1">IF($B188="","",INDIRECT("aux_sheet!AJ"&amp;1+MATCH(aux_sheet!$B187,aux_sheet!$A$2:$A$202,0)))</f>
        <v/>
      </c>
      <c r="AC188" s="89" t="str">
        <f ca="1">IF($B188="","",INDIRECT("aux_sheet!AK"&amp;1+MATCH(aux_sheet!$B187,aux_sheet!$A$2:$A$202,0)))</f>
        <v/>
      </c>
      <c r="AD188" s="89" t="str">
        <f ca="1">IF($B188="","",INDIRECT("aux_sheet!AK"&amp;1+MATCH(aux_sheet!$B187,aux_sheet!$A$2:$A$202,0)))</f>
        <v/>
      </c>
      <c r="AE188" s="106" t="str">
        <f ca="1">IF($B188="","",INDIRECT("aux_sheet!AM"&amp;1+MATCH(aux_sheet!$B187,aux_sheet!$A$2:$A$202,0)))</f>
        <v/>
      </c>
      <c r="AF188" s="89" t="str">
        <f ca="1">IF($B188="","",INDIRECT("aux_sheet!AN"&amp;1+MATCH(aux_sheet!$B187,aux_sheet!$A$2:$A$202,0)))</f>
        <v/>
      </c>
      <c r="AG188" s="89" t="str">
        <f ca="1">IF($B188="","",INDIRECT("aux_sheet!AN"&amp;1+MATCH(aux_sheet!$B187,aux_sheet!$A$2:$A$202,0)))</f>
        <v/>
      </c>
      <c r="AH188" s="14" t="str">
        <f>IF(ISBLANK(Input!A187)," ",F187-F188)</f>
        <v xml:space="preserve"> </v>
      </c>
    </row>
    <row r="189" spans="1:34" x14ac:dyDescent="0.35">
      <c r="A189" s="2" t="str">
        <f>IF(ISBLANK(Input!A188),"",ROUNDDOWN(aux_sheet!B188,0))</f>
        <v/>
      </c>
      <c r="B189" s="2" t="str">
        <f ca="1">IF(ISBLANK(Input!A188),"",INDIRECT("Input!A"&amp;1+MATCH(aux_sheet!$B188,aux_sheet!$A$2:$A$202,0)))</f>
        <v/>
      </c>
      <c r="C189" s="2" t="str">
        <f ca="1">IF(ISBLANK(Input!B188),"",INDIRECT("Input!B"&amp;1+MATCH(aux_sheet!$B188,aux_sheet!$A$2:$A$202,0)))</f>
        <v/>
      </c>
      <c r="D189" s="2" t="str">
        <f ca="1">IF(ISBLANK(Input!C188),"",INDIRECT("Input!C"&amp;1+MATCH(aux_sheet!$B188,aux_sheet!$A$2:$A$202,0)))</f>
        <v/>
      </c>
      <c r="E189" s="2" t="str">
        <f ca="1">IF(ISBLANK(Input!D188),"",INDIRECT("Input!D"&amp;1+MATCH(aux_sheet!$B188,aux_sheet!$A$2:$A$202,0)))</f>
        <v/>
      </c>
      <c r="F189" s="11" t="str">
        <f ca="1">INDIRECT("Input!F"&amp;1+MATCH(aux_sheet!$B188,aux_sheet!$A$2:$A$202,0))</f>
        <v xml:space="preserve"> </v>
      </c>
      <c r="G189" s="106" t="str">
        <f ca="1">IF($B189="","",INDIRECT("aux_sheet!O"&amp;1+MATCH(aux_sheet!$B188,aux_sheet!$A$2:$A$202,0)))</f>
        <v/>
      </c>
      <c r="H189" s="89" t="str">
        <f ca="1">IF($B189="","",INDIRECT("aux_sheet!P"&amp;1+MATCH(aux_sheet!$B188,aux_sheet!$A$2:$A$202,0)))</f>
        <v/>
      </c>
      <c r="I189" s="89" t="str">
        <f ca="1">IF($B189="","",INDIRECT("aux_sheet!P"&amp;1+MATCH(aux_sheet!$B188,aux_sheet!$A$2:$A$202,0)))</f>
        <v/>
      </c>
      <c r="J189" s="106" t="str">
        <f ca="1">IF($B189="","",INDIRECT("aux_sheet!R"&amp;1+MATCH(aux_sheet!$B188,aux_sheet!$A$2:$A$202,0)))</f>
        <v/>
      </c>
      <c r="K189" s="89" t="str">
        <f ca="1">IF($B189="","",INDIRECT("aux_sheet!S"&amp;1+MATCH(aux_sheet!$B188,aux_sheet!$A$2:$A$202,0)))</f>
        <v/>
      </c>
      <c r="L189" s="89" t="str">
        <f ca="1">IF($B189="","",INDIRECT("aux_sheet!S"&amp;1+MATCH(aux_sheet!$B188,aux_sheet!$A$2:$A$202,0)))</f>
        <v/>
      </c>
      <c r="M189" s="106" t="str">
        <f ca="1">IF($B189="","",INDIRECT("aux_sheet!U"&amp;1+MATCH(aux_sheet!$B188,aux_sheet!$A$2:$A$202,0)))</f>
        <v/>
      </c>
      <c r="N189" s="89" t="str">
        <f ca="1">IF($B189="","",INDIRECT("aux_sheet!V"&amp;1+MATCH(aux_sheet!$B188,aux_sheet!$A$2:$A$202,0)))</f>
        <v/>
      </c>
      <c r="O189" s="89" t="str">
        <f ca="1">IF($B189="","",INDIRECT("aux_sheet!V"&amp;1+MATCH(aux_sheet!$B188,aux_sheet!$A$2:$A$202,0)))</f>
        <v/>
      </c>
      <c r="P189" s="106" t="str">
        <f ca="1">IF($B189="","",INDIRECT("aux_sheet!X"&amp;1+MATCH(aux_sheet!$B188,aux_sheet!$A$2:$A$202,0)))</f>
        <v/>
      </c>
      <c r="Q189" s="89" t="str">
        <f ca="1">IF($B189="","",INDIRECT("aux_sheet!Y"&amp;1+MATCH(aux_sheet!$B188,aux_sheet!$A$2:$A$202,0)))</f>
        <v/>
      </c>
      <c r="R189" s="89" t="str">
        <f ca="1">IF($B189="","",INDIRECT("aux_sheet!Y"&amp;1+MATCH(aux_sheet!$B188,aux_sheet!$A$2:$A$202,0)))</f>
        <v/>
      </c>
      <c r="S189" s="106" t="str">
        <f ca="1">IF($B189="","",INDIRECT("aux_sheet!AA"&amp;1+MATCH(aux_sheet!$B188,aux_sheet!$A$2:$A$202,0)))</f>
        <v/>
      </c>
      <c r="T189" s="89" t="str">
        <f ca="1">IF($B189="","",INDIRECT("aux_sheet!AB"&amp;1+MATCH(aux_sheet!$B188,aux_sheet!$A$2:$A$202,0)))</f>
        <v/>
      </c>
      <c r="U189" s="89" t="str">
        <f ca="1">IF($B189="","",INDIRECT("aux_sheet!AB"&amp;1+MATCH(aux_sheet!$B188,aux_sheet!$A$2:$A$202,0)))</f>
        <v/>
      </c>
      <c r="V189" s="106" t="str">
        <f ca="1">IF($B189="","",INDIRECT("aux_sheet!AD"&amp;1+MATCH(aux_sheet!$B188,aux_sheet!$A$2:$A$202,0)))</f>
        <v/>
      </c>
      <c r="W189" s="89" t="str">
        <f ca="1">IF($B189="","",INDIRECT("aux_sheet!AE"&amp;1+MATCH(aux_sheet!$B188,aux_sheet!$A$2:$A$202,0)))</f>
        <v/>
      </c>
      <c r="X189" s="89" t="str">
        <f ca="1">IF($B189="","",INDIRECT("aux_sheet!AE"&amp;1+MATCH(aux_sheet!$B188,aux_sheet!$A$2:$A$202,0)))</f>
        <v/>
      </c>
      <c r="Y189" s="106" t="str">
        <f ca="1">IF($B189="","",INDIRECT("aux_sheet!AG"&amp;1+MATCH(aux_sheet!$B188,aux_sheet!$A$2:$A$202,0)))</f>
        <v/>
      </c>
      <c r="Z189" s="89" t="str">
        <f ca="1">IF($B189="","",INDIRECT("aux_sheet!AH"&amp;1+MATCH(aux_sheet!$B188,aux_sheet!$A$2:$A$202,0)))</f>
        <v/>
      </c>
      <c r="AA189" s="89" t="str">
        <f ca="1">IF($B189="","",INDIRECT("aux_sheet!AH"&amp;1+MATCH(aux_sheet!$B188,aux_sheet!$A$2:$A$202,0)))</f>
        <v/>
      </c>
      <c r="AB189" s="106" t="str">
        <f ca="1">IF($B189="","",INDIRECT("aux_sheet!AJ"&amp;1+MATCH(aux_sheet!$B188,aux_sheet!$A$2:$A$202,0)))</f>
        <v/>
      </c>
      <c r="AC189" s="89" t="str">
        <f ca="1">IF($B189="","",INDIRECT("aux_sheet!AK"&amp;1+MATCH(aux_sheet!$B188,aux_sheet!$A$2:$A$202,0)))</f>
        <v/>
      </c>
      <c r="AD189" s="89" t="str">
        <f ca="1">IF($B189="","",INDIRECT("aux_sheet!AK"&amp;1+MATCH(aux_sheet!$B188,aux_sheet!$A$2:$A$202,0)))</f>
        <v/>
      </c>
      <c r="AE189" s="106" t="str">
        <f ca="1">IF($B189="","",INDIRECT("aux_sheet!AM"&amp;1+MATCH(aux_sheet!$B188,aux_sheet!$A$2:$A$202,0)))</f>
        <v/>
      </c>
      <c r="AF189" s="89" t="str">
        <f ca="1">IF($B189="","",INDIRECT("aux_sheet!AN"&amp;1+MATCH(aux_sheet!$B188,aux_sheet!$A$2:$A$202,0)))</f>
        <v/>
      </c>
      <c r="AG189" s="89" t="str">
        <f ca="1">IF($B189="","",INDIRECT("aux_sheet!AN"&amp;1+MATCH(aux_sheet!$B188,aux_sheet!$A$2:$A$202,0)))</f>
        <v/>
      </c>
      <c r="AH189" s="14" t="str">
        <f>IF(ISBLANK(Input!A188)," ",F188-F189)</f>
        <v xml:space="preserve"> </v>
      </c>
    </row>
    <row r="190" spans="1:34" x14ac:dyDescent="0.35">
      <c r="A190" s="2" t="str">
        <f>IF(ISBLANK(Input!A189),"",ROUNDDOWN(aux_sheet!B189,0))</f>
        <v/>
      </c>
      <c r="B190" s="2" t="str">
        <f ca="1">IF(ISBLANK(Input!A189),"",INDIRECT("Input!A"&amp;1+MATCH(aux_sheet!$B189,aux_sheet!$A$2:$A$202,0)))</f>
        <v/>
      </c>
      <c r="C190" s="2" t="str">
        <f ca="1">IF(ISBLANK(Input!B189),"",INDIRECT("Input!B"&amp;1+MATCH(aux_sheet!$B189,aux_sheet!$A$2:$A$202,0)))</f>
        <v/>
      </c>
      <c r="D190" s="2" t="str">
        <f ca="1">IF(ISBLANK(Input!C189),"",INDIRECT("Input!C"&amp;1+MATCH(aux_sheet!$B189,aux_sheet!$A$2:$A$202,0)))</f>
        <v/>
      </c>
      <c r="E190" s="2" t="str">
        <f ca="1">IF(ISBLANK(Input!D189),"",INDIRECT("Input!D"&amp;1+MATCH(aux_sheet!$B189,aux_sheet!$A$2:$A$202,0)))</f>
        <v/>
      </c>
      <c r="F190" s="11" t="str">
        <f ca="1">INDIRECT("Input!F"&amp;1+MATCH(aux_sheet!$B189,aux_sheet!$A$2:$A$202,0))</f>
        <v xml:space="preserve"> </v>
      </c>
      <c r="G190" s="106" t="str">
        <f ca="1">IF($B190="","",INDIRECT("aux_sheet!O"&amp;1+MATCH(aux_sheet!$B189,aux_sheet!$A$2:$A$202,0)))</f>
        <v/>
      </c>
      <c r="H190" s="89" t="str">
        <f ca="1">IF($B190="","",INDIRECT("aux_sheet!P"&amp;1+MATCH(aux_sheet!$B189,aux_sheet!$A$2:$A$202,0)))</f>
        <v/>
      </c>
      <c r="I190" s="89" t="str">
        <f ca="1">IF($B190="","",INDIRECT("aux_sheet!P"&amp;1+MATCH(aux_sheet!$B189,aux_sheet!$A$2:$A$202,0)))</f>
        <v/>
      </c>
      <c r="J190" s="106" t="str">
        <f ca="1">IF($B190="","",INDIRECT("aux_sheet!R"&amp;1+MATCH(aux_sheet!$B189,aux_sheet!$A$2:$A$202,0)))</f>
        <v/>
      </c>
      <c r="K190" s="89" t="str">
        <f ca="1">IF($B190="","",INDIRECT("aux_sheet!S"&amp;1+MATCH(aux_sheet!$B189,aux_sheet!$A$2:$A$202,0)))</f>
        <v/>
      </c>
      <c r="L190" s="89" t="str">
        <f ca="1">IF($B190="","",INDIRECT("aux_sheet!S"&amp;1+MATCH(aux_sheet!$B189,aux_sheet!$A$2:$A$202,0)))</f>
        <v/>
      </c>
      <c r="M190" s="106" t="str">
        <f ca="1">IF($B190="","",INDIRECT("aux_sheet!U"&amp;1+MATCH(aux_sheet!$B189,aux_sheet!$A$2:$A$202,0)))</f>
        <v/>
      </c>
      <c r="N190" s="89" t="str">
        <f ca="1">IF($B190="","",INDIRECT("aux_sheet!V"&amp;1+MATCH(aux_sheet!$B189,aux_sheet!$A$2:$A$202,0)))</f>
        <v/>
      </c>
      <c r="O190" s="89" t="str">
        <f ca="1">IF($B190="","",INDIRECT("aux_sheet!V"&amp;1+MATCH(aux_sheet!$B189,aux_sheet!$A$2:$A$202,0)))</f>
        <v/>
      </c>
      <c r="P190" s="106" t="str">
        <f ca="1">IF($B190="","",INDIRECT("aux_sheet!X"&amp;1+MATCH(aux_sheet!$B189,aux_sheet!$A$2:$A$202,0)))</f>
        <v/>
      </c>
      <c r="Q190" s="89" t="str">
        <f ca="1">IF($B190="","",INDIRECT("aux_sheet!Y"&amp;1+MATCH(aux_sheet!$B189,aux_sheet!$A$2:$A$202,0)))</f>
        <v/>
      </c>
      <c r="R190" s="89" t="str">
        <f ca="1">IF($B190="","",INDIRECT("aux_sheet!Y"&amp;1+MATCH(aux_sheet!$B189,aux_sheet!$A$2:$A$202,0)))</f>
        <v/>
      </c>
      <c r="S190" s="106" t="str">
        <f ca="1">IF($B190="","",INDIRECT("aux_sheet!AA"&amp;1+MATCH(aux_sheet!$B189,aux_sheet!$A$2:$A$202,0)))</f>
        <v/>
      </c>
      <c r="T190" s="89" t="str">
        <f ca="1">IF($B190="","",INDIRECT("aux_sheet!AB"&amp;1+MATCH(aux_sheet!$B189,aux_sheet!$A$2:$A$202,0)))</f>
        <v/>
      </c>
      <c r="U190" s="89" t="str">
        <f ca="1">IF($B190="","",INDIRECT("aux_sheet!AB"&amp;1+MATCH(aux_sheet!$B189,aux_sheet!$A$2:$A$202,0)))</f>
        <v/>
      </c>
      <c r="V190" s="106" t="str">
        <f ca="1">IF($B190="","",INDIRECT("aux_sheet!AD"&amp;1+MATCH(aux_sheet!$B189,aux_sheet!$A$2:$A$202,0)))</f>
        <v/>
      </c>
      <c r="W190" s="89" t="str">
        <f ca="1">IF($B190="","",INDIRECT("aux_sheet!AE"&amp;1+MATCH(aux_sheet!$B189,aux_sheet!$A$2:$A$202,0)))</f>
        <v/>
      </c>
      <c r="X190" s="89" t="str">
        <f ca="1">IF($B190="","",INDIRECT("aux_sheet!AE"&amp;1+MATCH(aux_sheet!$B189,aux_sheet!$A$2:$A$202,0)))</f>
        <v/>
      </c>
      <c r="Y190" s="106" t="str">
        <f ca="1">IF($B190="","",INDIRECT("aux_sheet!AG"&amp;1+MATCH(aux_sheet!$B189,aux_sheet!$A$2:$A$202,0)))</f>
        <v/>
      </c>
      <c r="Z190" s="89" t="str">
        <f ca="1">IF($B190="","",INDIRECT("aux_sheet!AH"&amp;1+MATCH(aux_sheet!$B189,aux_sheet!$A$2:$A$202,0)))</f>
        <v/>
      </c>
      <c r="AA190" s="89" t="str">
        <f ca="1">IF($B190="","",INDIRECT("aux_sheet!AH"&amp;1+MATCH(aux_sheet!$B189,aux_sheet!$A$2:$A$202,0)))</f>
        <v/>
      </c>
      <c r="AB190" s="106" t="str">
        <f ca="1">IF($B190="","",INDIRECT("aux_sheet!AJ"&amp;1+MATCH(aux_sheet!$B189,aux_sheet!$A$2:$A$202,0)))</f>
        <v/>
      </c>
      <c r="AC190" s="89" t="str">
        <f ca="1">IF($B190="","",INDIRECT("aux_sheet!AK"&amp;1+MATCH(aux_sheet!$B189,aux_sheet!$A$2:$A$202,0)))</f>
        <v/>
      </c>
      <c r="AD190" s="89" t="str">
        <f ca="1">IF($B190="","",INDIRECT("aux_sheet!AK"&amp;1+MATCH(aux_sheet!$B189,aux_sheet!$A$2:$A$202,0)))</f>
        <v/>
      </c>
      <c r="AE190" s="106" t="str">
        <f ca="1">IF($B190="","",INDIRECT("aux_sheet!AM"&amp;1+MATCH(aux_sheet!$B189,aux_sheet!$A$2:$A$202,0)))</f>
        <v/>
      </c>
      <c r="AF190" s="89" t="str">
        <f ca="1">IF($B190="","",INDIRECT("aux_sheet!AN"&amp;1+MATCH(aux_sheet!$B189,aux_sheet!$A$2:$A$202,0)))</f>
        <v/>
      </c>
      <c r="AG190" s="89" t="str">
        <f ca="1">IF($B190="","",INDIRECT("aux_sheet!AN"&amp;1+MATCH(aux_sheet!$B189,aux_sheet!$A$2:$A$202,0)))</f>
        <v/>
      </c>
      <c r="AH190" s="14" t="str">
        <f>IF(ISBLANK(Input!A189)," ",F189-F190)</f>
        <v xml:space="preserve"> </v>
      </c>
    </row>
    <row r="191" spans="1:34" x14ac:dyDescent="0.35">
      <c r="A191" s="2" t="str">
        <f>IF(ISBLANK(Input!A190),"",ROUNDDOWN(aux_sheet!B190,0))</f>
        <v/>
      </c>
      <c r="B191" s="2" t="str">
        <f ca="1">IF(ISBLANK(Input!A190),"",INDIRECT("Input!A"&amp;1+MATCH(aux_sheet!$B190,aux_sheet!$A$2:$A$202,0)))</f>
        <v/>
      </c>
      <c r="C191" s="2" t="str">
        <f ca="1">IF(ISBLANK(Input!B190),"",INDIRECT("Input!B"&amp;1+MATCH(aux_sheet!$B190,aux_sheet!$A$2:$A$202,0)))</f>
        <v/>
      </c>
      <c r="D191" s="2" t="str">
        <f ca="1">IF(ISBLANK(Input!C190),"",INDIRECT("Input!C"&amp;1+MATCH(aux_sheet!$B190,aux_sheet!$A$2:$A$202,0)))</f>
        <v/>
      </c>
      <c r="E191" s="2" t="str">
        <f ca="1">IF(ISBLANK(Input!D190),"",INDIRECT("Input!D"&amp;1+MATCH(aux_sheet!$B190,aux_sheet!$A$2:$A$202,0)))</f>
        <v/>
      </c>
      <c r="F191" s="11" t="str">
        <f ca="1">INDIRECT("Input!F"&amp;1+MATCH(aux_sheet!$B190,aux_sheet!$A$2:$A$202,0))</f>
        <v xml:space="preserve"> </v>
      </c>
      <c r="G191" s="106" t="str">
        <f ca="1">IF($B191="","",INDIRECT("aux_sheet!O"&amp;1+MATCH(aux_sheet!$B190,aux_sheet!$A$2:$A$202,0)))</f>
        <v/>
      </c>
      <c r="H191" s="89" t="str">
        <f ca="1">IF($B191="","",INDIRECT("aux_sheet!P"&amp;1+MATCH(aux_sheet!$B190,aux_sheet!$A$2:$A$202,0)))</f>
        <v/>
      </c>
      <c r="I191" s="89" t="str">
        <f ca="1">IF($B191="","",INDIRECT("aux_sheet!P"&amp;1+MATCH(aux_sheet!$B190,aux_sheet!$A$2:$A$202,0)))</f>
        <v/>
      </c>
      <c r="J191" s="106" t="str">
        <f ca="1">IF($B191="","",INDIRECT("aux_sheet!R"&amp;1+MATCH(aux_sheet!$B190,aux_sheet!$A$2:$A$202,0)))</f>
        <v/>
      </c>
      <c r="K191" s="89" t="str">
        <f ca="1">IF($B191="","",INDIRECT("aux_sheet!S"&amp;1+MATCH(aux_sheet!$B190,aux_sheet!$A$2:$A$202,0)))</f>
        <v/>
      </c>
      <c r="L191" s="89" t="str">
        <f ca="1">IF($B191="","",INDIRECT("aux_sheet!S"&amp;1+MATCH(aux_sheet!$B190,aux_sheet!$A$2:$A$202,0)))</f>
        <v/>
      </c>
      <c r="M191" s="106" t="str">
        <f ca="1">IF($B191="","",INDIRECT("aux_sheet!U"&amp;1+MATCH(aux_sheet!$B190,aux_sheet!$A$2:$A$202,0)))</f>
        <v/>
      </c>
      <c r="N191" s="89" t="str">
        <f ca="1">IF($B191="","",INDIRECT("aux_sheet!V"&amp;1+MATCH(aux_sheet!$B190,aux_sheet!$A$2:$A$202,0)))</f>
        <v/>
      </c>
      <c r="O191" s="89" t="str">
        <f ca="1">IF($B191="","",INDIRECT("aux_sheet!V"&amp;1+MATCH(aux_sheet!$B190,aux_sheet!$A$2:$A$202,0)))</f>
        <v/>
      </c>
      <c r="P191" s="106" t="str">
        <f ca="1">IF($B191="","",INDIRECT("aux_sheet!X"&amp;1+MATCH(aux_sheet!$B190,aux_sheet!$A$2:$A$202,0)))</f>
        <v/>
      </c>
      <c r="Q191" s="89" t="str">
        <f ca="1">IF($B191="","",INDIRECT("aux_sheet!Y"&amp;1+MATCH(aux_sheet!$B190,aux_sheet!$A$2:$A$202,0)))</f>
        <v/>
      </c>
      <c r="R191" s="89" t="str">
        <f ca="1">IF($B191="","",INDIRECT("aux_sheet!Y"&amp;1+MATCH(aux_sheet!$B190,aux_sheet!$A$2:$A$202,0)))</f>
        <v/>
      </c>
      <c r="S191" s="106" t="str">
        <f ca="1">IF($B191="","",INDIRECT("aux_sheet!AA"&amp;1+MATCH(aux_sheet!$B190,aux_sheet!$A$2:$A$202,0)))</f>
        <v/>
      </c>
      <c r="T191" s="89" t="str">
        <f ca="1">IF($B191="","",INDIRECT("aux_sheet!AB"&amp;1+MATCH(aux_sheet!$B190,aux_sheet!$A$2:$A$202,0)))</f>
        <v/>
      </c>
      <c r="U191" s="89" t="str">
        <f ca="1">IF($B191="","",INDIRECT("aux_sheet!AB"&amp;1+MATCH(aux_sheet!$B190,aux_sheet!$A$2:$A$202,0)))</f>
        <v/>
      </c>
      <c r="V191" s="106" t="str">
        <f ca="1">IF($B191="","",INDIRECT("aux_sheet!AD"&amp;1+MATCH(aux_sheet!$B190,aux_sheet!$A$2:$A$202,0)))</f>
        <v/>
      </c>
      <c r="W191" s="89" t="str">
        <f ca="1">IF($B191="","",INDIRECT("aux_sheet!AE"&amp;1+MATCH(aux_sheet!$B190,aux_sheet!$A$2:$A$202,0)))</f>
        <v/>
      </c>
      <c r="X191" s="89" t="str">
        <f ca="1">IF($B191="","",INDIRECT("aux_sheet!AE"&amp;1+MATCH(aux_sheet!$B190,aux_sheet!$A$2:$A$202,0)))</f>
        <v/>
      </c>
      <c r="Y191" s="106" t="str">
        <f ca="1">IF($B191="","",INDIRECT("aux_sheet!AG"&amp;1+MATCH(aux_sheet!$B190,aux_sheet!$A$2:$A$202,0)))</f>
        <v/>
      </c>
      <c r="Z191" s="89" t="str">
        <f ca="1">IF($B191="","",INDIRECT("aux_sheet!AH"&amp;1+MATCH(aux_sheet!$B190,aux_sheet!$A$2:$A$202,0)))</f>
        <v/>
      </c>
      <c r="AA191" s="89" t="str">
        <f ca="1">IF($B191="","",INDIRECT("aux_sheet!AH"&amp;1+MATCH(aux_sheet!$B190,aux_sheet!$A$2:$A$202,0)))</f>
        <v/>
      </c>
      <c r="AB191" s="106" t="str">
        <f ca="1">IF($B191="","",INDIRECT("aux_sheet!AJ"&amp;1+MATCH(aux_sheet!$B190,aux_sheet!$A$2:$A$202,0)))</f>
        <v/>
      </c>
      <c r="AC191" s="89" t="str">
        <f ca="1">IF($B191="","",INDIRECT("aux_sheet!AK"&amp;1+MATCH(aux_sheet!$B190,aux_sheet!$A$2:$A$202,0)))</f>
        <v/>
      </c>
      <c r="AD191" s="89" t="str">
        <f ca="1">IF($B191="","",INDIRECT("aux_sheet!AK"&amp;1+MATCH(aux_sheet!$B190,aux_sheet!$A$2:$A$202,0)))</f>
        <v/>
      </c>
      <c r="AE191" s="106" t="str">
        <f ca="1">IF($B191="","",INDIRECT("aux_sheet!AM"&amp;1+MATCH(aux_sheet!$B190,aux_sheet!$A$2:$A$202,0)))</f>
        <v/>
      </c>
      <c r="AF191" s="89" t="str">
        <f ca="1">IF($B191="","",INDIRECT("aux_sheet!AN"&amp;1+MATCH(aux_sheet!$B190,aux_sheet!$A$2:$A$202,0)))</f>
        <v/>
      </c>
      <c r="AG191" s="89" t="str">
        <f ca="1">IF($B191="","",INDIRECT("aux_sheet!AN"&amp;1+MATCH(aux_sheet!$B190,aux_sheet!$A$2:$A$202,0)))</f>
        <v/>
      </c>
      <c r="AH191" s="14" t="str">
        <f>IF(ISBLANK(Input!A190)," ",F190-F191)</f>
        <v xml:space="preserve"> </v>
      </c>
    </row>
    <row r="192" spans="1:34" x14ac:dyDescent="0.35">
      <c r="A192" s="2" t="str">
        <f>IF(ISBLANK(Input!A191),"",ROUNDDOWN(aux_sheet!B191,0))</f>
        <v/>
      </c>
      <c r="B192" s="2" t="str">
        <f ca="1">IF(ISBLANK(Input!A191),"",INDIRECT("Input!A"&amp;1+MATCH(aux_sheet!$B191,aux_sheet!$A$2:$A$202,0)))</f>
        <v/>
      </c>
      <c r="C192" s="2" t="str">
        <f ca="1">IF(ISBLANK(Input!B191),"",INDIRECT("Input!B"&amp;1+MATCH(aux_sheet!$B191,aux_sheet!$A$2:$A$202,0)))</f>
        <v/>
      </c>
      <c r="D192" s="2" t="str">
        <f ca="1">IF(ISBLANK(Input!C191),"",INDIRECT("Input!C"&amp;1+MATCH(aux_sheet!$B191,aux_sheet!$A$2:$A$202,0)))</f>
        <v/>
      </c>
      <c r="E192" s="2" t="str">
        <f ca="1">IF(ISBLANK(Input!D191),"",INDIRECT("Input!D"&amp;1+MATCH(aux_sheet!$B191,aux_sheet!$A$2:$A$202,0)))</f>
        <v/>
      </c>
      <c r="F192" s="11" t="str">
        <f ca="1">INDIRECT("Input!F"&amp;1+MATCH(aux_sheet!$B191,aux_sheet!$A$2:$A$202,0))</f>
        <v xml:space="preserve"> </v>
      </c>
      <c r="G192" s="106" t="str">
        <f ca="1">IF($B192="","",INDIRECT("aux_sheet!O"&amp;1+MATCH(aux_sheet!$B191,aux_sheet!$A$2:$A$202,0)))</f>
        <v/>
      </c>
      <c r="H192" s="89" t="str">
        <f ca="1">IF($B192="","",INDIRECT("aux_sheet!P"&amp;1+MATCH(aux_sheet!$B191,aux_sheet!$A$2:$A$202,0)))</f>
        <v/>
      </c>
      <c r="I192" s="89" t="str">
        <f ca="1">IF($B192="","",INDIRECT("aux_sheet!P"&amp;1+MATCH(aux_sheet!$B191,aux_sheet!$A$2:$A$202,0)))</f>
        <v/>
      </c>
      <c r="J192" s="106" t="str">
        <f ca="1">IF($B192="","",INDIRECT("aux_sheet!R"&amp;1+MATCH(aux_sheet!$B191,aux_sheet!$A$2:$A$202,0)))</f>
        <v/>
      </c>
      <c r="K192" s="89" t="str">
        <f ca="1">IF($B192="","",INDIRECT("aux_sheet!S"&amp;1+MATCH(aux_sheet!$B191,aux_sheet!$A$2:$A$202,0)))</f>
        <v/>
      </c>
      <c r="L192" s="89" t="str">
        <f ca="1">IF($B192="","",INDIRECT("aux_sheet!S"&amp;1+MATCH(aux_sheet!$B191,aux_sheet!$A$2:$A$202,0)))</f>
        <v/>
      </c>
      <c r="M192" s="106" t="str">
        <f ca="1">IF($B192="","",INDIRECT("aux_sheet!U"&amp;1+MATCH(aux_sheet!$B191,aux_sheet!$A$2:$A$202,0)))</f>
        <v/>
      </c>
      <c r="N192" s="89" t="str">
        <f ca="1">IF($B192="","",INDIRECT("aux_sheet!V"&amp;1+MATCH(aux_sheet!$B191,aux_sheet!$A$2:$A$202,0)))</f>
        <v/>
      </c>
      <c r="O192" s="89" t="str">
        <f ca="1">IF($B192="","",INDIRECT("aux_sheet!V"&amp;1+MATCH(aux_sheet!$B191,aux_sheet!$A$2:$A$202,0)))</f>
        <v/>
      </c>
      <c r="P192" s="106" t="str">
        <f ca="1">IF($B192="","",INDIRECT("aux_sheet!X"&amp;1+MATCH(aux_sheet!$B191,aux_sheet!$A$2:$A$202,0)))</f>
        <v/>
      </c>
      <c r="Q192" s="89" t="str">
        <f ca="1">IF($B192="","",INDIRECT("aux_sheet!Y"&amp;1+MATCH(aux_sheet!$B191,aux_sheet!$A$2:$A$202,0)))</f>
        <v/>
      </c>
      <c r="R192" s="89" t="str">
        <f ca="1">IF($B192="","",INDIRECT("aux_sheet!Y"&amp;1+MATCH(aux_sheet!$B191,aux_sheet!$A$2:$A$202,0)))</f>
        <v/>
      </c>
      <c r="S192" s="106" t="str">
        <f ca="1">IF($B192="","",INDIRECT("aux_sheet!AA"&amp;1+MATCH(aux_sheet!$B191,aux_sheet!$A$2:$A$202,0)))</f>
        <v/>
      </c>
      <c r="T192" s="89" t="str">
        <f ca="1">IF($B192="","",INDIRECT("aux_sheet!AB"&amp;1+MATCH(aux_sheet!$B191,aux_sheet!$A$2:$A$202,0)))</f>
        <v/>
      </c>
      <c r="U192" s="89" t="str">
        <f ca="1">IF($B192="","",INDIRECT("aux_sheet!AB"&amp;1+MATCH(aux_sheet!$B191,aux_sheet!$A$2:$A$202,0)))</f>
        <v/>
      </c>
      <c r="V192" s="106" t="str">
        <f ca="1">IF($B192="","",INDIRECT("aux_sheet!AD"&amp;1+MATCH(aux_sheet!$B191,aux_sheet!$A$2:$A$202,0)))</f>
        <v/>
      </c>
      <c r="W192" s="89" t="str">
        <f ca="1">IF($B192="","",INDIRECT("aux_sheet!AE"&amp;1+MATCH(aux_sheet!$B191,aux_sheet!$A$2:$A$202,0)))</f>
        <v/>
      </c>
      <c r="X192" s="89" t="str">
        <f ca="1">IF($B192="","",INDIRECT("aux_sheet!AE"&amp;1+MATCH(aux_sheet!$B191,aux_sheet!$A$2:$A$202,0)))</f>
        <v/>
      </c>
      <c r="Y192" s="106" t="str">
        <f ca="1">IF($B192="","",INDIRECT("aux_sheet!AG"&amp;1+MATCH(aux_sheet!$B191,aux_sheet!$A$2:$A$202,0)))</f>
        <v/>
      </c>
      <c r="Z192" s="89" t="str">
        <f ca="1">IF($B192="","",INDIRECT("aux_sheet!AH"&amp;1+MATCH(aux_sheet!$B191,aux_sheet!$A$2:$A$202,0)))</f>
        <v/>
      </c>
      <c r="AA192" s="89" t="str">
        <f ca="1">IF($B192="","",INDIRECT("aux_sheet!AH"&amp;1+MATCH(aux_sheet!$B191,aux_sheet!$A$2:$A$202,0)))</f>
        <v/>
      </c>
      <c r="AB192" s="106" t="str">
        <f ca="1">IF($B192="","",INDIRECT("aux_sheet!AJ"&amp;1+MATCH(aux_sheet!$B191,aux_sheet!$A$2:$A$202,0)))</f>
        <v/>
      </c>
      <c r="AC192" s="89" t="str">
        <f ca="1">IF($B192="","",INDIRECT("aux_sheet!AK"&amp;1+MATCH(aux_sheet!$B191,aux_sheet!$A$2:$A$202,0)))</f>
        <v/>
      </c>
      <c r="AD192" s="89" t="str">
        <f ca="1">IF($B192="","",INDIRECT("aux_sheet!AK"&amp;1+MATCH(aux_sheet!$B191,aux_sheet!$A$2:$A$202,0)))</f>
        <v/>
      </c>
      <c r="AE192" s="106" t="str">
        <f ca="1">IF($B192="","",INDIRECT("aux_sheet!AM"&amp;1+MATCH(aux_sheet!$B191,aux_sheet!$A$2:$A$202,0)))</f>
        <v/>
      </c>
      <c r="AF192" s="89" t="str">
        <f ca="1">IF($B192="","",INDIRECT("aux_sheet!AN"&amp;1+MATCH(aux_sheet!$B191,aux_sheet!$A$2:$A$202,0)))</f>
        <v/>
      </c>
      <c r="AG192" s="89" t="str">
        <f ca="1">IF($B192="","",INDIRECT("aux_sheet!AN"&amp;1+MATCH(aux_sheet!$B191,aux_sheet!$A$2:$A$202,0)))</f>
        <v/>
      </c>
      <c r="AH192" s="14" t="str">
        <f>IF(ISBLANK(Input!A191)," ",F191-F192)</f>
        <v xml:space="preserve"> </v>
      </c>
    </row>
    <row r="193" spans="1:34" x14ac:dyDescent="0.35">
      <c r="A193" s="2" t="str">
        <f>IF(ISBLANK(Input!A192),"",ROUNDDOWN(aux_sheet!B192,0))</f>
        <v/>
      </c>
      <c r="B193" s="2" t="str">
        <f ca="1">IF(ISBLANK(Input!A192),"",INDIRECT("Input!A"&amp;1+MATCH(aux_sheet!$B192,aux_sheet!$A$2:$A$202,0)))</f>
        <v/>
      </c>
      <c r="C193" s="2" t="str">
        <f ca="1">IF(ISBLANK(Input!B192),"",INDIRECT("Input!B"&amp;1+MATCH(aux_sheet!$B192,aux_sheet!$A$2:$A$202,0)))</f>
        <v/>
      </c>
      <c r="D193" s="2" t="str">
        <f ca="1">IF(ISBLANK(Input!C192),"",INDIRECT("Input!C"&amp;1+MATCH(aux_sheet!$B192,aux_sheet!$A$2:$A$202,0)))</f>
        <v/>
      </c>
      <c r="E193" s="2" t="str">
        <f ca="1">IF(ISBLANK(Input!D192),"",INDIRECT("Input!D"&amp;1+MATCH(aux_sheet!$B192,aux_sheet!$A$2:$A$202,0)))</f>
        <v/>
      </c>
      <c r="F193" s="11" t="str">
        <f ca="1">INDIRECT("Input!F"&amp;1+MATCH(aux_sheet!$B192,aux_sheet!$A$2:$A$202,0))</f>
        <v xml:space="preserve"> </v>
      </c>
      <c r="G193" s="106" t="str">
        <f ca="1">IF($B193="","",INDIRECT("aux_sheet!O"&amp;1+MATCH(aux_sheet!$B192,aux_sheet!$A$2:$A$202,0)))</f>
        <v/>
      </c>
      <c r="H193" s="89" t="str">
        <f ca="1">IF($B193="","",INDIRECT("aux_sheet!P"&amp;1+MATCH(aux_sheet!$B192,aux_sheet!$A$2:$A$202,0)))</f>
        <v/>
      </c>
      <c r="I193" s="89" t="str">
        <f ca="1">IF($B193="","",INDIRECT("aux_sheet!P"&amp;1+MATCH(aux_sheet!$B192,aux_sheet!$A$2:$A$202,0)))</f>
        <v/>
      </c>
      <c r="J193" s="106" t="str">
        <f ca="1">IF($B193="","",INDIRECT("aux_sheet!R"&amp;1+MATCH(aux_sheet!$B192,aux_sheet!$A$2:$A$202,0)))</f>
        <v/>
      </c>
      <c r="K193" s="89" t="str">
        <f ca="1">IF($B193="","",INDIRECT("aux_sheet!S"&amp;1+MATCH(aux_sheet!$B192,aux_sheet!$A$2:$A$202,0)))</f>
        <v/>
      </c>
      <c r="L193" s="89" t="str">
        <f ca="1">IF($B193="","",INDIRECT("aux_sheet!S"&amp;1+MATCH(aux_sheet!$B192,aux_sheet!$A$2:$A$202,0)))</f>
        <v/>
      </c>
      <c r="M193" s="106" t="str">
        <f ca="1">IF($B193="","",INDIRECT("aux_sheet!U"&amp;1+MATCH(aux_sheet!$B192,aux_sheet!$A$2:$A$202,0)))</f>
        <v/>
      </c>
      <c r="N193" s="89" t="str">
        <f ca="1">IF($B193="","",INDIRECT("aux_sheet!V"&amp;1+MATCH(aux_sheet!$B192,aux_sheet!$A$2:$A$202,0)))</f>
        <v/>
      </c>
      <c r="O193" s="89" t="str">
        <f ca="1">IF($B193="","",INDIRECT("aux_sheet!V"&amp;1+MATCH(aux_sheet!$B192,aux_sheet!$A$2:$A$202,0)))</f>
        <v/>
      </c>
      <c r="P193" s="106" t="str">
        <f ca="1">IF($B193="","",INDIRECT("aux_sheet!X"&amp;1+MATCH(aux_sheet!$B192,aux_sheet!$A$2:$A$202,0)))</f>
        <v/>
      </c>
      <c r="Q193" s="89" t="str">
        <f ca="1">IF($B193="","",INDIRECT("aux_sheet!Y"&amp;1+MATCH(aux_sheet!$B192,aux_sheet!$A$2:$A$202,0)))</f>
        <v/>
      </c>
      <c r="R193" s="89" t="str">
        <f ca="1">IF($B193="","",INDIRECT("aux_sheet!Y"&amp;1+MATCH(aux_sheet!$B192,aux_sheet!$A$2:$A$202,0)))</f>
        <v/>
      </c>
      <c r="S193" s="106" t="str">
        <f ca="1">IF($B193="","",INDIRECT("aux_sheet!AA"&amp;1+MATCH(aux_sheet!$B192,aux_sheet!$A$2:$A$202,0)))</f>
        <v/>
      </c>
      <c r="T193" s="89" t="str">
        <f ca="1">IF($B193="","",INDIRECT("aux_sheet!AB"&amp;1+MATCH(aux_sheet!$B192,aux_sheet!$A$2:$A$202,0)))</f>
        <v/>
      </c>
      <c r="U193" s="89" t="str">
        <f ca="1">IF($B193="","",INDIRECT("aux_sheet!AB"&amp;1+MATCH(aux_sheet!$B192,aux_sheet!$A$2:$A$202,0)))</f>
        <v/>
      </c>
      <c r="V193" s="106" t="str">
        <f ca="1">IF($B193="","",INDIRECT("aux_sheet!AD"&amp;1+MATCH(aux_sheet!$B192,aux_sheet!$A$2:$A$202,0)))</f>
        <v/>
      </c>
      <c r="W193" s="89" t="str">
        <f ca="1">IF($B193="","",INDIRECT("aux_sheet!AE"&amp;1+MATCH(aux_sheet!$B192,aux_sheet!$A$2:$A$202,0)))</f>
        <v/>
      </c>
      <c r="X193" s="89" t="str">
        <f ca="1">IF($B193="","",INDIRECT("aux_sheet!AE"&amp;1+MATCH(aux_sheet!$B192,aux_sheet!$A$2:$A$202,0)))</f>
        <v/>
      </c>
      <c r="Y193" s="106" t="str">
        <f ca="1">IF($B193="","",INDIRECT("aux_sheet!AG"&amp;1+MATCH(aux_sheet!$B192,aux_sheet!$A$2:$A$202,0)))</f>
        <v/>
      </c>
      <c r="Z193" s="89" t="str">
        <f ca="1">IF($B193="","",INDIRECT("aux_sheet!AH"&amp;1+MATCH(aux_sheet!$B192,aux_sheet!$A$2:$A$202,0)))</f>
        <v/>
      </c>
      <c r="AA193" s="89" t="str">
        <f ca="1">IF($B193="","",INDIRECT("aux_sheet!AH"&amp;1+MATCH(aux_sheet!$B192,aux_sheet!$A$2:$A$202,0)))</f>
        <v/>
      </c>
      <c r="AB193" s="106" t="str">
        <f ca="1">IF($B193="","",INDIRECT("aux_sheet!AJ"&amp;1+MATCH(aux_sheet!$B192,aux_sheet!$A$2:$A$202,0)))</f>
        <v/>
      </c>
      <c r="AC193" s="89" t="str">
        <f ca="1">IF($B193="","",INDIRECT("aux_sheet!AK"&amp;1+MATCH(aux_sheet!$B192,aux_sheet!$A$2:$A$202,0)))</f>
        <v/>
      </c>
      <c r="AD193" s="89" t="str">
        <f ca="1">IF($B193="","",INDIRECT("aux_sheet!AK"&amp;1+MATCH(aux_sheet!$B192,aux_sheet!$A$2:$A$202,0)))</f>
        <v/>
      </c>
      <c r="AE193" s="106" t="str">
        <f ca="1">IF($B193="","",INDIRECT("aux_sheet!AM"&amp;1+MATCH(aux_sheet!$B192,aux_sheet!$A$2:$A$202,0)))</f>
        <v/>
      </c>
      <c r="AF193" s="89" t="str">
        <f ca="1">IF($B193="","",INDIRECT("aux_sheet!AN"&amp;1+MATCH(aux_sheet!$B192,aux_sheet!$A$2:$A$202,0)))</f>
        <v/>
      </c>
      <c r="AG193" s="89" t="str">
        <f ca="1">IF($B193="","",INDIRECT("aux_sheet!AN"&amp;1+MATCH(aux_sheet!$B192,aux_sheet!$A$2:$A$202,0)))</f>
        <v/>
      </c>
      <c r="AH193" s="14" t="str">
        <f>IF(ISBLANK(Input!A192)," ",F192-F193)</f>
        <v xml:space="preserve"> </v>
      </c>
    </row>
    <row r="194" spans="1:34" x14ac:dyDescent="0.35">
      <c r="A194" s="2" t="str">
        <f>IF(ISBLANK(Input!A193),"",ROUNDDOWN(aux_sheet!B193,0))</f>
        <v/>
      </c>
      <c r="B194" s="2" t="str">
        <f ca="1">IF(ISBLANK(Input!A193),"",INDIRECT("Input!A"&amp;1+MATCH(aux_sheet!$B193,aux_sheet!$A$2:$A$202,0)))</f>
        <v/>
      </c>
      <c r="C194" s="2" t="str">
        <f ca="1">IF(ISBLANK(Input!B193),"",INDIRECT("Input!B"&amp;1+MATCH(aux_sheet!$B193,aux_sheet!$A$2:$A$202,0)))</f>
        <v/>
      </c>
      <c r="D194" s="2" t="str">
        <f ca="1">IF(ISBLANK(Input!C193),"",INDIRECT("Input!C"&amp;1+MATCH(aux_sheet!$B193,aux_sheet!$A$2:$A$202,0)))</f>
        <v/>
      </c>
      <c r="E194" s="2" t="str">
        <f ca="1">IF(ISBLANK(Input!D193),"",INDIRECT("Input!D"&amp;1+MATCH(aux_sheet!$B193,aux_sheet!$A$2:$A$202,0)))</f>
        <v/>
      </c>
      <c r="F194" s="11" t="str">
        <f ca="1">INDIRECT("Input!F"&amp;1+MATCH(aux_sheet!$B193,aux_sheet!$A$2:$A$202,0))</f>
        <v xml:space="preserve"> </v>
      </c>
      <c r="G194" s="106" t="str">
        <f ca="1">IF($B194="","",INDIRECT("aux_sheet!O"&amp;1+MATCH(aux_sheet!$B193,aux_sheet!$A$2:$A$202,0)))</f>
        <v/>
      </c>
      <c r="H194" s="89" t="str">
        <f ca="1">IF($B194="","",INDIRECT("aux_sheet!P"&amp;1+MATCH(aux_sheet!$B193,aux_sheet!$A$2:$A$202,0)))</f>
        <v/>
      </c>
      <c r="I194" s="89" t="str">
        <f ca="1">IF($B194="","",INDIRECT("aux_sheet!P"&amp;1+MATCH(aux_sheet!$B193,aux_sheet!$A$2:$A$202,0)))</f>
        <v/>
      </c>
      <c r="J194" s="106" t="str">
        <f ca="1">IF($B194="","",INDIRECT("aux_sheet!R"&amp;1+MATCH(aux_sheet!$B193,aux_sheet!$A$2:$A$202,0)))</f>
        <v/>
      </c>
      <c r="K194" s="89" t="str">
        <f ca="1">IF($B194="","",INDIRECT("aux_sheet!S"&amp;1+MATCH(aux_sheet!$B193,aux_sheet!$A$2:$A$202,0)))</f>
        <v/>
      </c>
      <c r="L194" s="89" t="str">
        <f ca="1">IF($B194="","",INDIRECT("aux_sheet!S"&amp;1+MATCH(aux_sheet!$B193,aux_sheet!$A$2:$A$202,0)))</f>
        <v/>
      </c>
      <c r="M194" s="106" t="str">
        <f ca="1">IF($B194="","",INDIRECT("aux_sheet!U"&amp;1+MATCH(aux_sheet!$B193,aux_sheet!$A$2:$A$202,0)))</f>
        <v/>
      </c>
      <c r="N194" s="89" t="str">
        <f ca="1">IF($B194="","",INDIRECT("aux_sheet!V"&amp;1+MATCH(aux_sheet!$B193,aux_sheet!$A$2:$A$202,0)))</f>
        <v/>
      </c>
      <c r="O194" s="89" t="str">
        <f ca="1">IF($B194="","",INDIRECT("aux_sheet!V"&amp;1+MATCH(aux_sheet!$B193,aux_sheet!$A$2:$A$202,0)))</f>
        <v/>
      </c>
      <c r="P194" s="106" t="str">
        <f ca="1">IF($B194="","",INDIRECT("aux_sheet!X"&amp;1+MATCH(aux_sheet!$B193,aux_sheet!$A$2:$A$202,0)))</f>
        <v/>
      </c>
      <c r="Q194" s="89" t="str">
        <f ca="1">IF($B194="","",INDIRECT("aux_sheet!Y"&amp;1+MATCH(aux_sheet!$B193,aux_sheet!$A$2:$A$202,0)))</f>
        <v/>
      </c>
      <c r="R194" s="89" t="str">
        <f ca="1">IF($B194="","",INDIRECT("aux_sheet!Y"&amp;1+MATCH(aux_sheet!$B193,aux_sheet!$A$2:$A$202,0)))</f>
        <v/>
      </c>
      <c r="S194" s="106" t="str">
        <f ca="1">IF($B194="","",INDIRECT("aux_sheet!AA"&amp;1+MATCH(aux_sheet!$B193,aux_sheet!$A$2:$A$202,0)))</f>
        <v/>
      </c>
      <c r="T194" s="89" t="str">
        <f ca="1">IF($B194="","",INDIRECT("aux_sheet!AB"&amp;1+MATCH(aux_sheet!$B193,aux_sheet!$A$2:$A$202,0)))</f>
        <v/>
      </c>
      <c r="U194" s="89" t="str">
        <f ca="1">IF($B194="","",INDIRECT("aux_sheet!AB"&amp;1+MATCH(aux_sheet!$B193,aux_sheet!$A$2:$A$202,0)))</f>
        <v/>
      </c>
      <c r="V194" s="106" t="str">
        <f ca="1">IF($B194="","",INDIRECT("aux_sheet!AD"&amp;1+MATCH(aux_sheet!$B193,aux_sheet!$A$2:$A$202,0)))</f>
        <v/>
      </c>
      <c r="W194" s="89" t="str">
        <f ca="1">IF($B194="","",INDIRECT("aux_sheet!AE"&amp;1+MATCH(aux_sheet!$B193,aux_sheet!$A$2:$A$202,0)))</f>
        <v/>
      </c>
      <c r="X194" s="89" t="str">
        <f ca="1">IF($B194="","",INDIRECT("aux_sheet!AE"&amp;1+MATCH(aux_sheet!$B193,aux_sheet!$A$2:$A$202,0)))</f>
        <v/>
      </c>
      <c r="Y194" s="106" t="str">
        <f ca="1">IF($B194="","",INDIRECT("aux_sheet!AG"&amp;1+MATCH(aux_sheet!$B193,aux_sheet!$A$2:$A$202,0)))</f>
        <v/>
      </c>
      <c r="Z194" s="89" t="str">
        <f ca="1">IF($B194="","",INDIRECT("aux_sheet!AH"&amp;1+MATCH(aux_sheet!$B193,aux_sheet!$A$2:$A$202,0)))</f>
        <v/>
      </c>
      <c r="AA194" s="89" t="str">
        <f ca="1">IF($B194="","",INDIRECT("aux_sheet!AH"&amp;1+MATCH(aux_sheet!$B193,aux_sheet!$A$2:$A$202,0)))</f>
        <v/>
      </c>
      <c r="AB194" s="106" t="str">
        <f ca="1">IF($B194="","",INDIRECT("aux_sheet!AJ"&amp;1+MATCH(aux_sheet!$B193,aux_sheet!$A$2:$A$202,0)))</f>
        <v/>
      </c>
      <c r="AC194" s="89" t="str">
        <f ca="1">IF($B194="","",INDIRECT("aux_sheet!AK"&amp;1+MATCH(aux_sheet!$B193,aux_sheet!$A$2:$A$202,0)))</f>
        <v/>
      </c>
      <c r="AD194" s="89" t="str">
        <f ca="1">IF($B194="","",INDIRECT("aux_sheet!AK"&amp;1+MATCH(aux_sheet!$B193,aux_sheet!$A$2:$A$202,0)))</f>
        <v/>
      </c>
      <c r="AE194" s="106" t="str">
        <f ca="1">IF($B194="","",INDIRECT("aux_sheet!AM"&amp;1+MATCH(aux_sheet!$B193,aux_sheet!$A$2:$A$202,0)))</f>
        <v/>
      </c>
      <c r="AF194" s="89" t="str">
        <f ca="1">IF($B194="","",INDIRECT("aux_sheet!AN"&amp;1+MATCH(aux_sheet!$B193,aux_sheet!$A$2:$A$202,0)))</f>
        <v/>
      </c>
      <c r="AG194" s="89" t="str">
        <f ca="1">IF($B194="","",INDIRECT("aux_sheet!AN"&amp;1+MATCH(aux_sheet!$B193,aux_sheet!$A$2:$A$202,0)))</f>
        <v/>
      </c>
      <c r="AH194" s="14" t="str">
        <f>IF(ISBLANK(Input!A193)," ",F193-F194)</f>
        <v xml:space="preserve"> </v>
      </c>
    </row>
    <row r="195" spans="1:34" x14ac:dyDescent="0.35">
      <c r="A195" s="2" t="str">
        <f>IF(ISBLANK(Input!A194),"",ROUNDDOWN(aux_sheet!B194,0))</f>
        <v/>
      </c>
      <c r="B195" s="2" t="str">
        <f ca="1">IF(ISBLANK(Input!A194),"",INDIRECT("Input!A"&amp;1+MATCH(aux_sheet!$B194,aux_sheet!$A$2:$A$202,0)))</f>
        <v/>
      </c>
      <c r="C195" s="2" t="str">
        <f ca="1">IF(ISBLANK(Input!B194),"",INDIRECT("Input!B"&amp;1+MATCH(aux_sheet!$B194,aux_sheet!$A$2:$A$202,0)))</f>
        <v/>
      </c>
      <c r="D195" s="2" t="str">
        <f ca="1">IF(ISBLANK(Input!C194),"",INDIRECT("Input!C"&amp;1+MATCH(aux_sheet!$B194,aux_sheet!$A$2:$A$202,0)))</f>
        <v/>
      </c>
      <c r="E195" s="2" t="str">
        <f ca="1">IF(ISBLANK(Input!D194),"",INDIRECT("Input!D"&amp;1+MATCH(aux_sheet!$B194,aux_sheet!$A$2:$A$202,0)))</f>
        <v/>
      </c>
      <c r="F195" s="11" t="str">
        <f ca="1">INDIRECT("Input!F"&amp;1+MATCH(aux_sheet!$B194,aux_sheet!$A$2:$A$202,0))</f>
        <v xml:space="preserve"> </v>
      </c>
      <c r="G195" s="106" t="str">
        <f ca="1">IF($B195="","",INDIRECT("aux_sheet!O"&amp;1+MATCH(aux_sheet!$B194,aux_sheet!$A$2:$A$202,0)))</f>
        <v/>
      </c>
      <c r="H195" s="89" t="str">
        <f ca="1">IF($B195="","",INDIRECT("aux_sheet!P"&amp;1+MATCH(aux_sheet!$B194,aux_sheet!$A$2:$A$202,0)))</f>
        <v/>
      </c>
      <c r="I195" s="89" t="str">
        <f ca="1">IF($B195="","",INDIRECT("aux_sheet!P"&amp;1+MATCH(aux_sheet!$B194,aux_sheet!$A$2:$A$202,0)))</f>
        <v/>
      </c>
      <c r="J195" s="106" t="str">
        <f ca="1">IF($B195="","",INDIRECT("aux_sheet!R"&amp;1+MATCH(aux_sheet!$B194,aux_sheet!$A$2:$A$202,0)))</f>
        <v/>
      </c>
      <c r="K195" s="89" t="str">
        <f ca="1">IF($B195="","",INDIRECT("aux_sheet!S"&amp;1+MATCH(aux_sheet!$B194,aux_sheet!$A$2:$A$202,0)))</f>
        <v/>
      </c>
      <c r="L195" s="89" t="str">
        <f ca="1">IF($B195="","",INDIRECT("aux_sheet!S"&amp;1+MATCH(aux_sheet!$B194,aux_sheet!$A$2:$A$202,0)))</f>
        <v/>
      </c>
      <c r="M195" s="106" t="str">
        <f ca="1">IF($B195="","",INDIRECT("aux_sheet!U"&amp;1+MATCH(aux_sheet!$B194,aux_sheet!$A$2:$A$202,0)))</f>
        <v/>
      </c>
      <c r="N195" s="89" t="str">
        <f ca="1">IF($B195="","",INDIRECT("aux_sheet!V"&amp;1+MATCH(aux_sheet!$B194,aux_sheet!$A$2:$A$202,0)))</f>
        <v/>
      </c>
      <c r="O195" s="89" t="str">
        <f ca="1">IF($B195="","",INDIRECT("aux_sheet!V"&amp;1+MATCH(aux_sheet!$B194,aux_sheet!$A$2:$A$202,0)))</f>
        <v/>
      </c>
      <c r="P195" s="106" t="str">
        <f ca="1">IF($B195="","",INDIRECT("aux_sheet!X"&amp;1+MATCH(aux_sheet!$B194,aux_sheet!$A$2:$A$202,0)))</f>
        <v/>
      </c>
      <c r="Q195" s="89" t="str">
        <f ca="1">IF($B195="","",INDIRECT("aux_sheet!Y"&amp;1+MATCH(aux_sheet!$B194,aux_sheet!$A$2:$A$202,0)))</f>
        <v/>
      </c>
      <c r="R195" s="89" t="str">
        <f ca="1">IF($B195="","",INDIRECT("aux_sheet!Y"&amp;1+MATCH(aux_sheet!$B194,aux_sheet!$A$2:$A$202,0)))</f>
        <v/>
      </c>
      <c r="S195" s="106" t="str">
        <f ca="1">IF($B195="","",INDIRECT("aux_sheet!AA"&amp;1+MATCH(aux_sheet!$B194,aux_sheet!$A$2:$A$202,0)))</f>
        <v/>
      </c>
      <c r="T195" s="89" t="str">
        <f ca="1">IF($B195="","",INDIRECT("aux_sheet!AB"&amp;1+MATCH(aux_sheet!$B194,aux_sheet!$A$2:$A$202,0)))</f>
        <v/>
      </c>
      <c r="U195" s="89" t="str">
        <f ca="1">IF($B195="","",INDIRECT("aux_sheet!AB"&amp;1+MATCH(aux_sheet!$B194,aux_sheet!$A$2:$A$202,0)))</f>
        <v/>
      </c>
      <c r="V195" s="106" t="str">
        <f ca="1">IF($B195="","",INDIRECT("aux_sheet!AD"&amp;1+MATCH(aux_sheet!$B194,aux_sheet!$A$2:$A$202,0)))</f>
        <v/>
      </c>
      <c r="W195" s="89" t="str">
        <f ca="1">IF($B195="","",INDIRECT("aux_sheet!AE"&amp;1+MATCH(aux_sheet!$B194,aux_sheet!$A$2:$A$202,0)))</f>
        <v/>
      </c>
      <c r="X195" s="89" t="str">
        <f ca="1">IF($B195="","",INDIRECT("aux_sheet!AE"&amp;1+MATCH(aux_sheet!$B194,aux_sheet!$A$2:$A$202,0)))</f>
        <v/>
      </c>
      <c r="Y195" s="106" t="str">
        <f ca="1">IF($B195="","",INDIRECT("aux_sheet!AG"&amp;1+MATCH(aux_sheet!$B194,aux_sheet!$A$2:$A$202,0)))</f>
        <v/>
      </c>
      <c r="Z195" s="89" t="str">
        <f ca="1">IF($B195="","",INDIRECT("aux_sheet!AH"&amp;1+MATCH(aux_sheet!$B194,aux_sheet!$A$2:$A$202,0)))</f>
        <v/>
      </c>
      <c r="AA195" s="89" t="str">
        <f ca="1">IF($B195="","",INDIRECT("aux_sheet!AH"&amp;1+MATCH(aux_sheet!$B194,aux_sheet!$A$2:$A$202,0)))</f>
        <v/>
      </c>
      <c r="AB195" s="106" t="str">
        <f ca="1">IF($B195="","",INDIRECT("aux_sheet!AJ"&amp;1+MATCH(aux_sheet!$B194,aux_sheet!$A$2:$A$202,0)))</f>
        <v/>
      </c>
      <c r="AC195" s="89" t="str">
        <f ca="1">IF($B195="","",INDIRECT("aux_sheet!AK"&amp;1+MATCH(aux_sheet!$B194,aux_sheet!$A$2:$A$202,0)))</f>
        <v/>
      </c>
      <c r="AD195" s="89" t="str">
        <f ca="1">IF($B195="","",INDIRECT("aux_sheet!AK"&amp;1+MATCH(aux_sheet!$B194,aux_sheet!$A$2:$A$202,0)))</f>
        <v/>
      </c>
      <c r="AE195" s="106" t="str">
        <f ca="1">IF($B195="","",INDIRECT("aux_sheet!AM"&amp;1+MATCH(aux_sheet!$B194,aux_sheet!$A$2:$A$202,0)))</f>
        <v/>
      </c>
      <c r="AF195" s="89" t="str">
        <f ca="1">IF($B195="","",INDIRECT("aux_sheet!AN"&amp;1+MATCH(aux_sheet!$B194,aux_sheet!$A$2:$A$202,0)))</f>
        <v/>
      </c>
      <c r="AG195" s="89" t="str">
        <f ca="1">IF($B195="","",INDIRECT("aux_sheet!AN"&amp;1+MATCH(aux_sheet!$B194,aux_sheet!$A$2:$A$202,0)))</f>
        <v/>
      </c>
      <c r="AH195" s="14" t="str">
        <f>IF(ISBLANK(Input!A194)," ",F194-F195)</f>
        <v xml:space="preserve"> </v>
      </c>
    </row>
    <row r="196" spans="1:34" x14ac:dyDescent="0.35">
      <c r="A196" s="2" t="str">
        <f>IF(ISBLANK(Input!A195),"",ROUNDDOWN(aux_sheet!B195,0))</f>
        <v/>
      </c>
      <c r="B196" s="2" t="str">
        <f ca="1">IF(ISBLANK(Input!A195),"",INDIRECT("Input!A"&amp;1+MATCH(aux_sheet!$B195,aux_sheet!$A$2:$A$202,0)))</f>
        <v/>
      </c>
      <c r="C196" s="2" t="str">
        <f ca="1">IF(ISBLANK(Input!B195),"",INDIRECT("Input!B"&amp;1+MATCH(aux_sheet!$B195,aux_sheet!$A$2:$A$202,0)))</f>
        <v/>
      </c>
      <c r="D196" s="2" t="str">
        <f ca="1">IF(ISBLANK(Input!C195),"",INDIRECT("Input!C"&amp;1+MATCH(aux_sheet!$B195,aux_sheet!$A$2:$A$202,0)))</f>
        <v/>
      </c>
      <c r="E196" s="2" t="str">
        <f ca="1">IF(ISBLANK(Input!D195),"",INDIRECT("Input!D"&amp;1+MATCH(aux_sheet!$B195,aux_sheet!$A$2:$A$202,0)))</f>
        <v/>
      </c>
      <c r="F196" s="11" t="str">
        <f ca="1">INDIRECT("Input!F"&amp;1+MATCH(aux_sheet!$B195,aux_sheet!$A$2:$A$202,0))</f>
        <v xml:space="preserve"> </v>
      </c>
      <c r="G196" s="106" t="str">
        <f ca="1">IF($B196="","",INDIRECT("aux_sheet!O"&amp;1+MATCH(aux_sheet!$B195,aux_sheet!$A$2:$A$202,0)))</f>
        <v/>
      </c>
      <c r="H196" s="89" t="str">
        <f ca="1">IF($B196="","",INDIRECT("aux_sheet!P"&amp;1+MATCH(aux_sheet!$B195,aux_sheet!$A$2:$A$202,0)))</f>
        <v/>
      </c>
      <c r="I196" s="89" t="str">
        <f ca="1">IF($B196="","",INDIRECT("aux_sheet!P"&amp;1+MATCH(aux_sheet!$B195,aux_sheet!$A$2:$A$202,0)))</f>
        <v/>
      </c>
      <c r="J196" s="106" t="str">
        <f ca="1">IF($B196="","",INDIRECT("aux_sheet!R"&amp;1+MATCH(aux_sheet!$B195,aux_sheet!$A$2:$A$202,0)))</f>
        <v/>
      </c>
      <c r="K196" s="89" t="str">
        <f ca="1">IF($B196="","",INDIRECT("aux_sheet!S"&amp;1+MATCH(aux_sheet!$B195,aux_sheet!$A$2:$A$202,0)))</f>
        <v/>
      </c>
      <c r="L196" s="89" t="str">
        <f ca="1">IF($B196="","",INDIRECT("aux_sheet!S"&amp;1+MATCH(aux_sheet!$B195,aux_sheet!$A$2:$A$202,0)))</f>
        <v/>
      </c>
      <c r="M196" s="106" t="str">
        <f ca="1">IF($B196="","",INDIRECT("aux_sheet!U"&amp;1+MATCH(aux_sheet!$B195,aux_sheet!$A$2:$A$202,0)))</f>
        <v/>
      </c>
      <c r="N196" s="89" t="str">
        <f ca="1">IF($B196="","",INDIRECT("aux_sheet!V"&amp;1+MATCH(aux_sheet!$B195,aux_sheet!$A$2:$A$202,0)))</f>
        <v/>
      </c>
      <c r="O196" s="89" t="str">
        <f ca="1">IF($B196="","",INDIRECT("aux_sheet!V"&amp;1+MATCH(aux_sheet!$B195,aux_sheet!$A$2:$A$202,0)))</f>
        <v/>
      </c>
      <c r="P196" s="106" t="str">
        <f ca="1">IF($B196="","",INDIRECT("aux_sheet!X"&amp;1+MATCH(aux_sheet!$B195,aux_sheet!$A$2:$A$202,0)))</f>
        <v/>
      </c>
      <c r="Q196" s="89" t="str">
        <f ca="1">IF($B196="","",INDIRECT("aux_sheet!Y"&amp;1+MATCH(aux_sheet!$B195,aux_sheet!$A$2:$A$202,0)))</f>
        <v/>
      </c>
      <c r="R196" s="89" t="str">
        <f ca="1">IF($B196="","",INDIRECT("aux_sheet!Y"&amp;1+MATCH(aux_sheet!$B195,aux_sheet!$A$2:$A$202,0)))</f>
        <v/>
      </c>
      <c r="S196" s="106" t="str">
        <f ca="1">IF($B196="","",INDIRECT("aux_sheet!AA"&amp;1+MATCH(aux_sheet!$B195,aux_sheet!$A$2:$A$202,0)))</f>
        <v/>
      </c>
      <c r="T196" s="89" t="str">
        <f ca="1">IF($B196="","",INDIRECT("aux_sheet!AB"&amp;1+MATCH(aux_sheet!$B195,aux_sheet!$A$2:$A$202,0)))</f>
        <v/>
      </c>
      <c r="U196" s="89" t="str">
        <f ca="1">IF($B196="","",INDIRECT("aux_sheet!AB"&amp;1+MATCH(aux_sheet!$B195,aux_sheet!$A$2:$A$202,0)))</f>
        <v/>
      </c>
      <c r="V196" s="106" t="str">
        <f ca="1">IF($B196="","",INDIRECT("aux_sheet!AD"&amp;1+MATCH(aux_sheet!$B195,aux_sheet!$A$2:$A$202,0)))</f>
        <v/>
      </c>
      <c r="W196" s="89" t="str">
        <f ca="1">IF($B196="","",INDIRECT("aux_sheet!AE"&amp;1+MATCH(aux_sheet!$B195,aux_sheet!$A$2:$A$202,0)))</f>
        <v/>
      </c>
      <c r="X196" s="89" t="str">
        <f ca="1">IF($B196="","",INDIRECT("aux_sheet!AE"&amp;1+MATCH(aux_sheet!$B195,aux_sheet!$A$2:$A$202,0)))</f>
        <v/>
      </c>
      <c r="Y196" s="106" t="str">
        <f ca="1">IF($B196="","",INDIRECT("aux_sheet!AG"&amp;1+MATCH(aux_sheet!$B195,aux_sheet!$A$2:$A$202,0)))</f>
        <v/>
      </c>
      <c r="Z196" s="89" t="str">
        <f ca="1">IF($B196="","",INDIRECT("aux_sheet!AH"&amp;1+MATCH(aux_sheet!$B195,aux_sheet!$A$2:$A$202,0)))</f>
        <v/>
      </c>
      <c r="AA196" s="89" t="str">
        <f ca="1">IF($B196="","",INDIRECT("aux_sheet!AH"&amp;1+MATCH(aux_sheet!$B195,aux_sheet!$A$2:$A$202,0)))</f>
        <v/>
      </c>
      <c r="AB196" s="106" t="str">
        <f ca="1">IF($B196="","",INDIRECT("aux_sheet!AJ"&amp;1+MATCH(aux_sheet!$B195,aux_sheet!$A$2:$A$202,0)))</f>
        <v/>
      </c>
      <c r="AC196" s="89" t="str">
        <f ca="1">IF($B196="","",INDIRECT("aux_sheet!AK"&amp;1+MATCH(aux_sheet!$B195,aux_sheet!$A$2:$A$202,0)))</f>
        <v/>
      </c>
      <c r="AD196" s="89" t="str">
        <f ca="1">IF($B196="","",INDIRECT("aux_sheet!AK"&amp;1+MATCH(aux_sheet!$B195,aux_sheet!$A$2:$A$202,0)))</f>
        <v/>
      </c>
      <c r="AE196" s="106" t="str">
        <f ca="1">IF($B196="","",INDIRECT("aux_sheet!AM"&amp;1+MATCH(aux_sheet!$B195,aux_sheet!$A$2:$A$202,0)))</f>
        <v/>
      </c>
      <c r="AF196" s="89" t="str">
        <f ca="1">IF($B196="","",INDIRECT("aux_sheet!AN"&amp;1+MATCH(aux_sheet!$B195,aux_sheet!$A$2:$A$202,0)))</f>
        <v/>
      </c>
      <c r="AG196" s="89" t="str">
        <f ca="1">IF($B196="","",INDIRECT("aux_sheet!AN"&amp;1+MATCH(aux_sheet!$B195,aux_sheet!$A$2:$A$202,0)))</f>
        <v/>
      </c>
      <c r="AH196" s="14" t="str">
        <f>IF(ISBLANK(Input!A195)," ",F195-F196)</f>
        <v xml:space="preserve"> </v>
      </c>
    </row>
    <row r="197" spans="1:34" x14ac:dyDescent="0.35">
      <c r="A197" s="2" t="str">
        <f>IF(ISBLANK(Input!A196),"",ROUNDDOWN(aux_sheet!B196,0))</f>
        <v/>
      </c>
      <c r="B197" s="2" t="str">
        <f ca="1">IF(ISBLANK(Input!A196),"",INDIRECT("Input!A"&amp;1+MATCH(aux_sheet!$B196,aux_sheet!$A$2:$A$202,0)))</f>
        <v/>
      </c>
      <c r="C197" s="2" t="str">
        <f ca="1">IF(ISBLANK(Input!B196),"",INDIRECT("Input!B"&amp;1+MATCH(aux_sheet!$B196,aux_sheet!$A$2:$A$202,0)))</f>
        <v/>
      </c>
      <c r="D197" s="2" t="str">
        <f ca="1">IF(ISBLANK(Input!C196),"",INDIRECT("Input!C"&amp;1+MATCH(aux_sheet!$B196,aux_sheet!$A$2:$A$202,0)))</f>
        <v/>
      </c>
      <c r="E197" s="2" t="str">
        <f ca="1">IF(ISBLANK(Input!D196),"",INDIRECT("Input!D"&amp;1+MATCH(aux_sheet!$B196,aux_sheet!$A$2:$A$202,0)))</f>
        <v/>
      </c>
      <c r="F197" s="11" t="str">
        <f ca="1">INDIRECT("Input!F"&amp;1+MATCH(aux_sheet!$B196,aux_sheet!$A$2:$A$202,0))</f>
        <v xml:space="preserve"> </v>
      </c>
      <c r="G197" s="106" t="str">
        <f ca="1">IF($B197="","",INDIRECT("aux_sheet!O"&amp;1+MATCH(aux_sheet!$B196,aux_sheet!$A$2:$A$202,0)))</f>
        <v/>
      </c>
      <c r="H197" s="89" t="str">
        <f ca="1">IF($B197="","",INDIRECT("aux_sheet!P"&amp;1+MATCH(aux_sheet!$B196,aux_sheet!$A$2:$A$202,0)))</f>
        <v/>
      </c>
      <c r="I197" s="89" t="str">
        <f ca="1">IF($B197="","",INDIRECT("aux_sheet!P"&amp;1+MATCH(aux_sheet!$B196,aux_sheet!$A$2:$A$202,0)))</f>
        <v/>
      </c>
      <c r="J197" s="106" t="str">
        <f ca="1">IF($B197="","",INDIRECT("aux_sheet!R"&amp;1+MATCH(aux_sheet!$B196,aux_sheet!$A$2:$A$202,0)))</f>
        <v/>
      </c>
      <c r="K197" s="89" t="str">
        <f ca="1">IF($B197="","",INDIRECT("aux_sheet!S"&amp;1+MATCH(aux_sheet!$B196,aux_sheet!$A$2:$A$202,0)))</f>
        <v/>
      </c>
      <c r="L197" s="89" t="str">
        <f ca="1">IF($B197="","",INDIRECT("aux_sheet!S"&amp;1+MATCH(aux_sheet!$B196,aux_sheet!$A$2:$A$202,0)))</f>
        <v/>
      </c>
      <c r="M197" s="106" t="str">
        <f ca="1">IF($B197="","",INDIRECT("aux_sheet!U"&amp;1+MATCH(aux_sheet!$B196,aux_sheet!$A$2:$A$202,0)))</f>
        <v/>
      </c>
      <c r="N197" s="89" t="str">
        <f ca="1">IF($B197="","",INDIRECT("aux_sheet!V"&amp;1+MATCH(aux_sheet!$B196,aux_sheet!$A$2:$A$202,0)))</f>
        <v/>
      </c>
      <c r="O197" s="89" t="str">
        <f ca="1">IF($B197="","",INDIRECT("aux_sheet!V"&amp;1+MATCH(aux_sheet!$B196,aux_sheet!$A$2:$A$202,0)))</f>
        <v/>
      </c>
      <c r="P197" s="106" t="str">
        <f ca="1">IF($B197="","",INDIRECT("aux_sheet!X"&amp;1+MATCH(aux_sheet!$B196,aux_sheet!$A$2:$A$202,0)))</f>
        <v/>
      </c>
      <c r="Q197" s="89" t="str">
        <f ca="1">IF($B197="","",INDIRECT("aux_sheet!Y"&amp;1+MATCH(aux_sheet!$B196,aux_sheet!$A$2:$A$202,0)))</f>
        <v/>
      </c>
      <c r="R197" s="89" t="str">
        <f ca="1">IF($B197="","",INDIRECT("aux_sheet!Y"&amp;1+MATCH(aux_sheet!$B196,aux_sheet!$A$2:$A$202,0)))</f>
        <v/>
      </c>
      <c r="S197" s="106" t="str">
        <f ca="1">IF($B197="","",INDIRECT("aux_sheet!AA"&amp;1+MATCH(aux_sheet!$B196,aux_sheet!$A$2:$A$202,0)))</f>
        <v/>
      </c>
      <c r="T197" s="89" t="str">
        <f ca="1">IF($B197="","",INDIRECT("aux_sheet!AB"&amp;1+MATCH(aux_sheet!$B196,aux_sheet!$A$2:$A$202,0)))</f>
        <v/>
      </c>
      <c r="U197" s="89" t="str">
        <f ca="1">IF($B197="","",INDIRECT("aux_sheet!AB"&amp;1+MATCH(aux_sheet!$B196,aux_sheet!$A$2:$A$202,0)))</f>
        <v/>
      </c>
      <c r="V197" s="106" t="str">
        <f ca="1">IF($B197="","",INDIRECT("aux_sheet!AD"&amp;1+MATCH(aux_sheet!$B196,aux_sheet!$A$2:$A$202,0)))</f>
        <v/>
      </c>
      <c r="W197" s="89" t="str">
        <f ca="1">IF($B197="","",INDIRECT("aux_sheet!AE"&amp;1+MATCH(aux_sheet!$B196,aux_sheet!$A$2:$A$202,0)))</f>
        <v/>
      </c>
      <c r="X197" s="89" t="str">
        <f ca="1">IF($B197="","",INDIRECT("aux_sheet!AE"&amp;1+MATCH(aux_sheet!$B196,aux_sheet!$A$2:$A$202,0)))</f>
        <v/>
      </c>
      <c r="Y197" s="106" t="str">
        <f ca="1">IF($B197="","",INDIRECT("aux_sheet!AG"&amp;1+MATCH(aux_sheet!$B196,aux_sheet!$A$2:$A$202,0)))</f>
        <v/>
      </c>
      <c r="Z197" s="89" t="str">
        <f ca="1">IF($B197="","",INDIRECT("aux_sheet!AH"&amp;1+MATCH(aux_sheet!$B196,aux_sheet!$A$2:$A$202,0)))</f>
        <v/>
      </c>
      <c r="AA197" s="89" t="str">
        <f ca="1">IF($B197="","",INDIRECT("aux_sheet!AH"&amp;1+MATCH(aux_sheet!$B196,aux_sheet!$A$2:$A$202,0)))</f>
        <v/>
      </c>
      <c r="AB197" s="106" t="str">
        <f ca="1">IF($B197="","",INDIRECT("aux_sheet!AJ"&amp;1+MATCH(aux_sheet!$B196,aux_sheet!$A$2:$A$202,0)))</f>
        <v/>
      </c>
      <c r="AC197" s="89" t="str">
        <f ca="1">IF($B197="","",INDIRECT("aux_sheet!AK"&amp;1+MATCH(aux_sheet!$B196,aux_sheet!$A$2:$A$202,0)))</f>
        <v/>
      </c>
      <c r="AD197" s="89" t="str">
        <f ca="1">IF($B197="","",INDIRECT("aux_sheet!AK"&amp;1+MATCH(aux_sheet!$B196,aux_sheet!$A$2:$A$202,0)))</f>
        <v/>
      </c>
      <c r="AE197" s="106" t="str">
        <f ca="1">IF($B197="","",INDIRECT("aux_sheet!AM"&amp;1+MATCH(aux_sheet!$B196,aux_sheet!$A$2:$A$202,0)))</f>
        <v/>
      </c>
      <c r="AF197" s="89" t="str">
        <f ca="1">IF($B197="","",INDIRECT("aux_sheet!AN"&amp;1+MATCH(aux_sheet!$B196,aux_sheet!$A$2:$A$202,0)))</f>
        <v/>
      </c>
      <c r="AG197" s="89" t="str">
        <f ca="1">IF($B197="","",INDIRECT("aux_sheet!AN"&amp;1+MATCH(aux_sheet!$B196,aux_sheet!$A$2:$A$202,0)))</f>
        <v/>
      </c>
      <c r="AH197" s="14" t="str">
        <f>IF(ISBLANK(Input!A196)," ",F196-F197)</f>
        <v xml:space="preserve"> </v>
      </c>
    </row>
    <row r="198" spans="1:34" x14ac:dyDescent="0.35">
      <c r="A198" s="2" t="str">
        <f>IF(ISBLANK(Input!A197),"",ROUNDDOWN(aux_sheet!B197,0))</f>
        <v/>
      </c>
      <c r="B198" s="2" t="str">
        <f ca="1">IF(ISBLANK(Input!A197),"",INDIRECT("Input!A"&amp;1+MATCH(aux_sheet!$B197,aux_sheet!$A$2:$A$202,0)))</f>
        <v/>
      </c>
      <c r="C198" s="2" t="str">
        <f ca="1">IF(ISBLANK(Input!B197),"",INDIRECT("Input!B"&amp;1+MATCH(aux_sheet!$B197,aux_sheet!$A$2:$A$202,0)))</f>
        <v/>
      </c>
      <c r="D198" s="2" t="str">
        <f ca="1">IF(ISBLANK(Input!C197),"",INDIRECT("Input!C"&amp;1+MATCH(aux_sheet!$B197,aux_sheet!$A$2:$A$202,0)))</f>
        <v/>
      </c>
      <c r="E198" s="2" t="str">
        <f ca="1">IF(ISBLANK(Input!D197),"",INDIRECT("Input!D"&amp;1+MATCH(aux_sheet!$B197,aux_sheet!$A$2:$A$202,0)))</f>
        <v/>
      </c>
      <c r="F198" s="11" t="str">
        <f ca="1">INDIRECT("Input!F"&amp;1+MATCH(aux_sheet!$B197,aux_sheet!$A$2:$A$202,0))</f>
        <v xml:space="preserve"> </v>
      </c>
      <c r="G198" s="106" t="str">
        <f ca="1">IF($B198="","",INDIRECT("aux_sheet!O"&amp;1+MATCH(aux_sheet!$B197,aux_sheet!$A$2:$A$202,0)))</f>
        <v/>
      </c>
      <c r="H198" s="89" t="str">
        <f ca="1">IF($B198="","",INDIRECT("aux_sheet!P"&amp;1+MATCH(aux_sheet!$B197,aux_sheet!$A$2:$A$202,0)))</f>
        <v/>
      </c>
      <c r="I198" s="89" t="str">
        <f ca="1">IF($B198="","",INDIRECT("aux_sheet!P"&amp;1+MATCH(aux_sheet!$B197,aux_sheet!$A$2:$A$202,0)))</f>
        <v/>
      </c>
      <c r="J198" s="106" t="str">
        <f ca="1">IF($B198="","",INDIRECT("aux_sheet!R"&amp;1+MATCH(aux_sheet!$B197,aux_sheet!$A$2:$A$202,0)))</f>
        <v/>
      </c>
      <c r="K198" s="89" t="str">
        <f ca="1">IF($B198="","",INDIRECT("aux_sheet!S"&amp;1+MATCH(aux_sheet!$B197,aux_sheet!$A$2:$A$202,0)))</f>
        <v/>
      </c>
      <c r="L198" s="89" t="str">
        <f ca="1">IF($B198="","",INDIRECT("aux_sheet!S"&amp;1+MATCH(aux_sheet!$B197,aux_sheet!$A$2:$A$202,0)))</f>
        <v/>
      </c>
      <c r="M198" s="106" t="str">
        <f ca="1">IF($B198="","",INDIRECT("aux_sheet!U"&amp;1+MATCH(aux_sheet!$B197,aux_sheet!$A$2:$A$202,0)))</f>
        <v/>
      </c>
      <c r="N198" s="89" t="str">
        <f ca="1">IF($B198="","",INDIRECT("aux_sheet!V"&amp;1+MATCH(aux_sheet!$B197,aux_sheet!$A$2:$A$202,0)))</f>
        <v/>
      </c>
      <c r="O198" s="89" t="str">
        <f ca="1">IF($B198="","",INDIRECT("aux_sheet!V"&amp;1+MATCH(aux_sheet!$B197,aux_sheet!$A$2:$A$202,0)))</f>
        <v/>
      </c>
      <c r="P198" s="106" t="str">
        <f ca="1">IF($B198="","",INDIRECT("aux_sheet!X"&amp;1+MATCH(aux_sheet!$B197,aux_sheet!$A$2:$A$202,0)))</f>
        <v/>
      </c>
      <c r="Q198" s="89" t="str">
        <f ca="1">IF($B198="","",INDIRECT("aux_sheet!Y"&amp;1+MATCH(aux_sheet!$B197,aux_sheet!$A$2:$A$202,0)))</f>
        <v/>
      </c>
      <c r="R198" s="89" t="str">
        <f ca="1">IF($B198="","",INDIRECT("aux_sheet!Y"&amp;1+MATCH(aux_sheet!$B197,aux_sheet!$A$2:$A$202,0)))</f>
        <v/>
      </c>
      <c r="S198" s="106" t="str">
        <f ca="1">IF($B198="","",INDIRECT("aux_sheet!AA"&amp;1+MATCH(aux_sheet!$B197,aux_sheet!$A$2:$A$202,0)))</f>
        <v/>
      </c>
      <c r="T198" s="89" t="str">
        <f ca="1">IF($B198="","",INDIRECT("aux_sheet!AB"&amp;1+MATCH(aux_sheet!$B197,aux_sheet!$A$2:$A$202,0)))</f>
        <v/>
      </c>
      <c r="U198" s="89" t="str">
        <f ca="1">IF($B198="","",INDIRECT("aux_sheet!AB"&amp;1+MATCH(aux_sheet!$B197,aux_sheet!$A$2:$A$202,0)))</f>
        <v/>
      </c>
      <c r="V198" s="106" t="str">
        <f ca="1">IF($B198="","",INDIRECT("aux_sheet!AD"&amp;1+MATCH(aux_sheet!$B197,aux_sheet!$A$2:$A$202,0)))</f>
        <v/>
      </c>
      <c r="W198" s="89" t="str">
        <f ca="1">IF($B198="","",INDIRECT("aux_sheet!AE"&amp;1+MATCH(aux_sheet!$B197,aux_sheet!$A$2:$A$202,0)))</f>
        <v/>
      </c>
      <c r="X198" s="89" t="str">
        <f ca="1">IF($B198="","",INDIRECT("aux_sheet!AE"&amp;1+MATCH(aux_sheet!$B197,aux_sheet!$A$2:$A$202,0)))</f>
        <v/>
      </c>
      <c r="Y198" s="106" t="str">
        <f ca="1">IF($B198="","",INDIRECT("aux_sheet!AG"&amp;1+MATCH(aux_sheet!$B197,aux_sheet!$A$2:$A$202,0)))</f>
        <v/>
      </c>
      <c r="Z198" s="89" t="str">
        <f ca="1">IF($B198="","",INDIRECT("aux_sheet!AH"&amp;1+MATCH(aux_sheet!$B197,aux_sheet!$A$2:$A$202,0)))</f>
        <v/>
      </c>
      <c r="AA198" s="89" t="str">
        <f ca="1">IF($B198="","",INDIRECT("aux_sheet!AH"&amp;1+MATCH(aux_sheet!$B197,aux_sheet!$A$2:$A$202,0)))</f>
        <v/>
      </c>
      <c r="AB198" s="106" t="str">
        <f ca="1">IF($B198="","",INDIRECT("aux_sheet!AJ"&amp;1+MATCH(aux_sheet!$B197,aux_sheet!$A$2:$A$202,0)))</f>
        <v/>
      </c>
      <c r="AC198" s="89" t="str">
        <f ca="1">IF($B198="","",INDIRECT("aux_sheet!AK"&amp;1+MATCH(aux_sheet!$B197,aux_sheet!$A$2:$A$202,0)))</f>
        <v/>
      </c>
      <c r="AD198" s="89" t="str">
        <f ca="1">IF($B198="","",INDIRECT("aux_sheet!AK"&amp;1+MATCH(aux_sheet!$B197,aux_sheet!$A$2:$A$202,0)))</f>
        <v/>
      </c>
      <c r="AE198" s="106" t="str">
        <f ca="1">IF($B198="","",INDIRECT("aux_sheet!AM"&amp;1+MATCH(aux_sheet!$B197,aux_sheet!$A$2:$A$202,0)))</f>
        <v/>
      </c>
      <c r="AF198" s="89" t="str">
        <f ca="1">IF($B198="","",INDIRECT("aux_sheet!AN"&amp;1+MATCH(aux_sheet!$B197,aux_sheet!$A$2:$A$202,0)))</f>
        <v/>
      </c>
      <c r="AG198" s="89" t="str">
        <f ca="1">IF($B198="","",INDIRECT("aux_sheet!AN"&amp;1+MATCH(aux_sheet!$B197,aux_sheet!$A$2:$A$202,0)))</f>
        <v/>
      </c>
      <c r="AH198" s="14" t="str">
        <f>IF(ISBLANK(Input!A197)," ",F197-F198)</f>
        <v xml:space="preserve"> </v>
      </c>
    </row>
    <row r="199" spans="1:34" x14ac:dyDescent="0.35">
      <c r="A199" s="2" t="str">
        <f>IF(ISBLANK(Input!A198),"",ROUNDDOWN(aux_sheet!B198,0))</f>
        <v/>
      </c>
      <c r="B199" s="2" t="str">
        <f ca="1">IF(ISBLANK(Input!A198),"",INDIRECT("Input!A"&amp;1+MATCH(aux_sheet!$B198,aux_sheet!$A$2:$A$202,0)))</f>
        <v/>
      </c>
      <c r="C199" s="2" t="str">
        <f ca="1">IF(ISBLANK(Input!B198),"",INDIRECT("Input!B"&amp;1+MATCH(aux_sheet!$B198,aux_sheet!$A$2:$A$202,0)))</f>
        <v/>
      </c>
      <c r="D199" s="2" t="str">
        <f ca="1">IF(ISBLANK(Input!C198),"",INDIRECT("Input!C"&amp;1+MATCH(aux_sheet!$B198,aux_sheet!$A$2:$A$202,0)))</f>
        <v/>
      </c>
      <c r="E199" s="2" t="str">
        <f ca="1">IF(ISBLANK(Input!D198),"",INDIRECT("Input!D"&amp;1+MATCH(aux_sheet!$B198,aux_sheet!$A$2:$A$202,0)))</f>
        <v/>
      </c>
      <c r="F199" s="11" t="str">
        <f ca="1">INDIRECT("Input!F"&amp;1+MATCH(aux_sheet!$B198,aux_sheet!$A$2:$A$202,0))</f>
        <v xml:space="preserve"> </v>
      </c>
      <c r="G199" s="106" t="str">
        <f ca="1">IF($B199="","",INDIRECT("aux_sheet!O"&amp;1+MATCH(aux_sheet!$B198,aux_sheet!$A$2:$A$202,0)))</f>
        <v/>
      </c>
      <c r="H199" s="89" t="str">
        <f ca="1">IF($B199="","",INDIRECT("aux_sheet!P"&amp;1+MATCH(aux_sheet!$B198,aux_sheet!$A$2:$A$202,0)))</f>
        <v/>
      </c>
      <c r="I199" s="89" t="str">
        <f ca="1">IF($B199="","",INDIRECT("aux_sheet!P"&amp;1+MATCH(aux_sheet!$B198,aux_sheet!$A$2:$A$202,0)))</f>
        <v/>
      </c>
      <c r="J199" s="106" t="str">
        <f ca="1">IF($B199="","",INDIRECT("aux_sheet!R"&amp;1+MATCH(aux_sheet!$B198,aux_sheet!$A$2:$A$202,0)))</f>
        <v/>
      </c>
      <c r="K199" s="89" t="str">
        <f ca="1">IF($B199="","",INDIRECT("aux_sheet!S"&amp;1+MATCH(aux_sheet!$B198,aux_sheet!$A$2:$A$202,0)))</f>
        <v/>
      </c>
      <c r="L199" s="89" t="str">
        <f ca="1">IF($B199="","",INDIRECT("aux_sheet!S"&amp;1+MATCH(aux_sheet!$B198,aux_sheet!$A$2:$A$202,0)))</f>
        <v/>
      </c>
      <c r="M199" s="106" t="str">
        <f ca="1">IF($B199="","",INDIRECT("aux_sheet!U"&amp;1+MATCH(aux_sheet!$B198,aux_sheet!$A$2:$A$202,0)))</f>
        <v/>
      </c>
      <c r="N199" s="89" t="str">
        <f ca="1">IF($B199="","",INDIRECT("aux_sheet!V"&amp;1+MATCH(aux_sheet!$B198,aux_sheet!$A$2:$A$202,0)))</f>
        <v/>
      </c>
      <c r="O199" s="89" t="str">
        <f ca="1">IF($B199="","",INDIRECT("aux_sheet!V"&amp;1+MATCH(aux_sheet!$B198,aux_sheet!$A$2:$A$202,0)))</f>
        <v/>
      </c>
      <c r="P199" s="106" t="str">
        <f ca="1">IF($B199="","",INDIRECT("aux_sheet!X"&amp;1+MATCH(aux_sheet!$B198,aux_sheet!$A$2:$A$202,0)))</f>
        <v/>
      </c>
      <c r="Q199" s="89" t="str">
        <f ca="1">IF($B199="","",INDIRECT("aux_sheet!Y"&amp;1+MATCH(aux_sheet!$B198,aux_sheet!$A$2:$A$202,0)))</f>
        <v/>
      </c>
      <c r="R199" s="89" t="str">
        <f ca="1">IF($B199="","",INDIRECT("aux_sheet!Y"&amp;1+MATCH(aux_sheet!$B198,aux_sheet!$A$2:$A$202,0)))</f>
        <v/>
      </c>
      <c r="S199" s="106" t="str">
        <f ca="1">IF($B199="","",INDIRECT("aux_sheet!AA"&amp;1+MATCH(aux_sheet!$B198,aux_sheet!$A$2:$A$202,0)))</f>
        <v/>
      </c>
      <c r="T199" s="89" t="str">
        <f ca="1">IF($B199="","",INDIRECT("aux_sheet!AB"&amp;1+MATCH(aux_sheet!$B198,aux_sheet!$A$2:$A$202,0)))</f>
        <v/>
      </c>
      <c r="U199" s="89" t="str">
        <f ca="1">IF($B199="","",INDIRECT("aux_sheet!AB"&amp;1+MATCH(aux_sheet!$B198,aux_sheet!$A$2:$A$202,0)))</f>
        <v/>
      </c>
      <c r="V199" s="106" t="str">
        <f ca="1">IF($B199="","",INDIRECT("aux_sheet!AD"&amp;1+MATCH(aux_sheet!$B198,aux_sheet!$A$2:$A$202,0)))</f>
        <v/>
      </c>
      <c r="W199" s="89" t="str">
        <f ca="1">IF($B199="","",INDIRECT("aux_sheet!AE"&amp;1+MATCH(aux_sheet!$B198,aux_sheet!$A$2:$A$202,0)))</f>
        <v/>
      </c>
      <c r="X199" s="89" t="str">
        <f ca="1">IF($B199="","",INDIRECT("aux_sheet!AE"&amp;1+MATCH(aux_sheet!$B198,aux_sheet!$A$2:$A$202,0)))</f>
        <v/>
      </c>
      <c r="Y199" s="106" t="str">
        <f ca="1">IF($B199="","",INDIRECT("aux_sheet!AG"&amp;1+MATCH(aux_sheet!$B198,aux_sheet!$A$2:$A$202,0)))</f>
        <v/>
      </c>
      <c r="Z199" s="89" t="str">
        <f ca="1">IF($B199="","",INDIRECT("aux_sheet!AH"&amp;1+MATCH(aux_sheet!$B198,aux_sheet!$A$2:$A$202,0)))</f>
        <v/>
      </c>
      <c r="AA199" s="89" t="str">
        <f ca="1">IF($B199="","",INDIRECT("aux_sheet!AH"&amp;1+MATCH(aux_sheet!$B198,aux_sheet!$A$2:$A$202,0)))</f>
        <v/>
      </c>
      <c r="AB199" s="106" t="str">
        <f ca="1">IF($B199="","",INDIRECT("aux_sheet!AJ"&amp;1+MATCH(aux_sheet!$B198,aux_sheet!$A$2:$A$202,0)))</f>
        <v/>
      </c>
      <c r="AC199" s="89" t="str">
        <f ca="1">IF($B199="","",INDIRECT("aux_sheet!AK"&amp;1+MATCH(aux_sheet!$B198,aux_sheet!$A$2:$A$202,0)))</f>
        <v/>
      </c>
      <c r="AD199" s="89" t="str">
        <f ca="1">IF($B199="","",INDIRECT("aux_sheet!AK"&amp;1+MATCH(aux_sheet!$B198,aux_sheet!$A$2:$A$202,0)))</f>
        <v/>
      </c>
      <c r="AE199" s="106" t="str">
        <f ca="1">IF($B199="","",INDIRECT("aux_sheet!AM"&amp;1+MATCH(aux_sheet!$B198,aux_sheet!$A$2:$A$202,0)))</f>
        <v/>
      </c>
      <c r="AF199" s="89" t="str">
        <f ca="1">IF($B199="","",INDIRECT("aux_sheet!AN"&amp;1+MATCH(aux_sheet!$B198,aux_sheet!$A$2:$A$202,0)))</f>
        <v/>
      </c>
      <c r="AG199" s="89" t="str">
        <f ca="1">IF($B199="","",INDIRECT("aux_sheet!AN"&amp;1+MATCH(aux_sheet!$B198,aux_sheet!$A$2:$A$202,0)))</f>
        <v/>
      </c>
      <c r="AH199" s="14" t="str">
        <f>IF(ISBLANK(Input!A198)," ",F198-F199)</f>
        <v xml:space="preserve"> </v>
      </c>
    </row>
    <row r="200" spans="1:34" x14ac:dyDescent="0.35">
      <c r="A200" s="2" t="str">
        <f>IF(ISBLANK(Input!A199),"",ROUNDDOWN(aux_sheet!B199,0))</f>
        <v/>
      </c>
      <c r="B200" s="2" t="str">
        <f ca="1">IF(ISBLANK(Input!A199),"",INDIRECT("Input!A"&amp;1+MATCH(aux_sheet!$B199,aux_sheet!$A$2:$A$202,0)))</f>
        <v/>
      </c>
      <c r="C200" s="2" t="str">
        <f ca="1">IF(ISBLANK(Input!B199),"",INDIRECT("Input!B"&amp;1+MATCH(aux_sheet!$B199,aux_sheet!$A$2:$A$202,0)))</f>
        <v/>
      </c>
      <c r="D200" s="2" t="str">
        <f ca="1">IF(ISBLANK(Input!C199),"",INDIRECT("Input!C"&amp;1+MATCH(aux_sheet!$B199,aux_sheet!$A$2:$A$202,0)))</f>
        <v/>
      </c>
      <c r="E200" s="2" t="str">
        <f ca="1">IF(ISBLANK(Input!D199),"",INDIRECT("Input!D"&amp;1+MATCH(aux_sheet!$B199,aux_sheet!$A$2:$A$202,0)))</f>
        <v/>
      </c>
      <c r="F200" s="11" t="str">
        <f ca="1">INDIRECT("Input!F"&amp;1+MATCH(aux_sheet!$B199,aux_sheet!$A$2:$A$202,0))</f>
        <v xml:space="preserve"> </v>
      </c>
      <c r="G200" s="106" t="str">
        <f ca="1">IF($B200="","",INDIRECT("aux_sheet!O"&amp;1+MATCH(aux_sheet!$B199,aux_sheet!$A$2:$A$202,0)))</f>
        <v/>
      </c>
      <c r="H200" s="89" t="str">
        <f ca="1">IF($B200="","",INDIRECT("aux_sheet!P"&amp;1+MATCH(aux_sheet!$B199,aux_sheet!$A$2:$A$202,0)))</f>
        <v/>
      </c>
      <c r="I200" s="89" t="str">
        <f ca="1">IF($B200="","",INDIRECT("aux_sheet!P"&amp;1+MATCH(aux_sheet!$B199,aux_sheet!$A$2:$A$202,0)))</f>
        <v/>
      </c>
      <c r="J200" s="106" t="str">
        <f ca="1">IF($B200="","",INDIRECT("aux_sheet!R"&amp;1+MATCH(aux_sheet!$B199,aux_sheet!$A$2:$A$202,0)))</f>
        <v/>
      </c>
      <c r="K200" s="89" t="str">
        <f ca="1">IF($B200="","",INDIRECT("aux_sheet!S"&amp;1+MATCH(aux_sheet!$B199,aux_sheet!$A$2:$A$202,0)))</f>
        <v/>
      </c>
      <c r="L200" s="89" t="str">
        <f ca="1">IF($B200="","",INDIRECT("aux_sheet!S"&amp;1+MATCH(aux_sheet!$B199,aux_sheet!$A$2:$A$202,0)))</f>
        <v/>
      </c>
      <c r="M200" s="106" t="str">
        <f ca="1">IF($B200="","",INDIRECT("aux_sheet!U"&amp;1+MATCH(aux_sheet!$B199,aux_sheet!$A$2:$A$202,0)))</f>
        <v/>
      </c>
      <c r="N200" s="89" t="str">
        <f ca="1">IF($B200="","",INDIRECT("aux_sheet!V"&amp;1+MATCH(aux_sheet!$B199,aux_sheet!$A$2:$A$202,0)))</f>
        <v/>
      </c>
      <c r="O200" s="89" t="str">
        <f ca="1">IF($B200="","",INDIRECT("aux_sheet!V"&amp;1+MATCH(aux_sheet!$B199,aux_sheet!$A$2:$A$202,0)))</f>
        <v/>
      </c>
      <c r="P200" s="106" t="str">
        <f ca="1">IF($B200="","",INDIRECT("aux_sheet!X"&amp;1+MATCH(aux_sheet!$B199,aux_sheet!$A$2:$A$202,0)))</f>
        <v/>
      </c>
      <c r="Q200" s="89" t="str">
        <f ca="1">IF($B200="","",INDIRECT("aux_sheet!Y"&amp;1+MATCH(aux_sheet!$B199,aux_sheet!$A$2:$A$202,0)))</f>
        <v/>
      </c>
      <c r="R200" s="89" t="str">
        <f ca="1">IF($B200="","",INDIRECT("aux_sheet!Y"&amp;1+MATCH(aux_sheet!$B199,aux_sheet!$A$2:$A$202,0)))</f>
        <v/>
      </c>
      <c r="S200" s="106" t="str">
        <f ca="1">IF($B200="","",INDIRECT("aux_sheet!AA"&amp;1+MATCH(aux_sheet!$B199,aux_sheet!$A$2:$A$202,0)))</f>
        <v/>
      </c>
      <c r="T200" s="89" t="str">
        <f ca="1">IF($B200="","",INDIRECT("aux_sheet!AB"&amp;1+MATCH(aux_sheet!$B199,aux_sheet!$A$2:$A$202,0)))</f>
        <v/>
      </c>
      <c r="U200" s="89" t="str">
        <f ca="1">IF($B200="","",INDIRECT("aux_sheet!AB"&amp;1+MATCH(aux_sheet!$B199,aux_sheet!$A$2:$A$202,0)))</f>
        <v/>
      </c>
      <c r="V200" s="106" t="str">
        <f ca="1">IF($B200="","",INDIRECT("aux_sheet!AD"&amp;1+MATCH(aux_sheet!$B199,aux_sheet!$A$2:$A$202,0)))</f>
        <v/>
      </c>
      <c r="W200" s="89" t="str">
        <f ca="1">IF($B200="","",INDIRECT("aux_sheet!AE"&amp;1+MATCH(aux_sheet!$B199,aux_sheet!$A$2:$A$202,0)))</f>
        <v/>
      </c>
      <c r="X200" s="89" t="str">
        <f ca="1">IF($B200="","",INDIRECT("aux_sheet!AE"&amp;1+MATCH(aux_sheet!$B199,aux_sheet!$A$2:$A$202,0)))</f>
        <v/>
      </c>
      <c r="Y200" s="106" t="str">
        <f ca="1">IF($B200="","",INDIRECT("aux_sheet!AG"&amp;1+MATCH(aux_sheet!$B199,aux_sheet!$A$2:$A$202,0)))</f>
        <v/>
      </c>
      <c r="Z200" s="89" t="str">
        <f ca="1">IF($B200="","",INDIRECT("aux_sheet!AH"&amp;1+MATCH(aux_sheet!$B199,aux_sheet!$A$2:$A$202,0)))</f>
        <v/>
      </c>
      <c r="AA200" s="89" t="str">
        <f ca="1">IF($B200="","",INDIRECT("aux_sheet!AH"&amp;1+MATCH(aux_sheet!$B199,aux_sheet!$A$2:$A$202,0)))</f>
        <v/>
      </c>
      <c r="AB200" s="106" t="str">
        <f ca="1">IF($B200="","",INDIRECT("aux_sheet!AJ"&amp;1+MATCH(aux_sheet!$B199,aux_sheet!$A$2:$A$202,0)))</f>
        <v/>
      </c>
      <c r="AC200" s="89" t="str">
        <f ca="1">IF($B200="","",INDIRECT("aux_sheet!AK"&amp;1+MATCH(aux_sheet!$B199,aux_sheet!$A$2:$A$202,0)))</f>
        <v/>
      </c>
      <c r="AD200" s="89" t="str">
        <f ca="1">IF($B200="","",INDIRECT("aux_sheet!AK"&amp;1+MATCH(aux_sheet!$B199,aux_sheet!$A$2:$A$202,0)))</f>
        <v/>
      </c>
      <c r="AE200" s="106" t="str">
        <f ca="1">IF($B200="","",INDIRECT("aux_sheet!AM"&amp;1+MATCH(aux_sheet!$B199,aux_sheet!$A$2:$A$202,0)))</f>
        <v/>
      </c>
      <c r="AF200" s="89" t="str">
        <f ca="1">IF($B200="","",INDIRECT("aux_sheet!AN"&amp;1+MATCH(aux_sheet!$B199,aux_sheet!$A$2:$A$202,0)))</f>
        <v/>
      </c>
      <c r="AG200" s="89" t="str">
        <f ca="1">IF($B200="","",INDIRECT("aux_sheet!AN"&amp;1+MATCH(aux_sheet!$B199,aux_sheet!$A$2:$A$202,0)))</f>
        <v/>
      </c>
      <c r="AH200" s="14" t="str">
        <f>IF(ISBLANK(Input!A199)," ",F199-F200)</f>
        <v xml:space="preserve"> </v>
      </c>
    </row>
    <row r="201" spans="1:34" x14ac:dyDescent="0.35">
      <c r="A201" s="2" t="str">
        <f>IF(ISBLANK(Input!A200),"",ROUNDDOWN(aux_sheet!B200,0))</f>
        <v/>
      </c>
      <c r="B201" s="2" t="str">
        <f ca="1">IF(ISBLANK(Input!A200),"",INDIRECT("Input!A"&amp;1+MATCH(aux_sheet!$B200,aux_sheet!$A$2:$A$202,0)))</f>
        <v/>
      </c>
      <c r="C201" s="2" t="str">
        <f ca="1">IF(ISBLANK(Input!B200),"",INDIRECT("Input!B"&amp;1+MATCH(aux_sheet!$B200,aux_sheet!$A$2:$A$202,0)))</f>
        <v/>
      </c>
      <c r="D201" s="2" t="str">
        <f ca="1">IF(ISBLANK(Input!C200),"",INDIRECT("Input!C"&amp;1+MATCH(aux_sheet!$B200,aux_sheet!$A$2:$A$202,0)))</f>
        <v/>
      </c>
      <c r="E201" s="2" t="str">
        <f ca="1">IF(ISBLANK(Input!D200),"",INDIRECT("Input!D"&amp;1+MATCH(aux_sheet!$B200,aux_sheet!$A$2:$A$202,0)))</f>
        <v/>
      </c>
      <c r="F201" s="11" t="str">
        <f ca="1">INDIRECT("Input!F"&amp;1+MATCH(aux_sheet!$B200,aux_sheet!$A$2:$A$202,0))</f>
        <v xml:space="preserve"> </v>
      </c>
      <c r="G201" s="106" t="str">
        <f ca="1">IF($B201="","",INDIRECT("aux_sheet!O"&amp;1+MATCH(aux_sheet!$B200,aux_sheet!$A$2:$A$202,0)))</f>
        <v/>
      </c>
      <c r="H201" s="89" t="str">
        <f ca="1">IF($B201="","",INDIRECT("aux_sheet!P"&amp;1+MATCH(aux_sheet!$B200,aux_sheet!$A$2:$A$202,0)))</f>
        <v/>
      </c>
      <c r="I201" s="89" t="str">
        <f ca="1">IF($B201="","",INDIRECT("aux_sheet!P"&amp;1+MATCH(aux_sheet!$B200,aux_sheet!$A$2:$A$202,0)))</f>
        <v/>
      </c>
      <c r="J201" s="106" t="str">
        <f ca="1">IF($B201="","",INDIRECT("aux_sheet!R"&amp;1+MATCH(aux_sheet!$B200,aux_sheet!$A$2:$A$202,0)))</f>
        <v/>
      </c>
      <c r="K201" s="89" t="str">
        <f ca="1">IF($B201="","",INDIRECT("aux_sheet!S"&amp;1+MATCH(aux_sheet!$B200,aux_sheet!$A$2:$A$202,0)))</f>
        <v/>
      </c>
      <c r="L201" s="89" t="str">
        <f ca="1">IF($B201="","",INDIRECT("aux_sheet!S"&amp;1+MATCH(aux_sheet!$B200,aux_sheet!$A$2:$A$202,0)))</f>
        <v/>
      </c>
      <c r="M201" s="106" t="str">
        <f ca="1">IF($B201="","",INDIRECT("aux_sheet!U"&amp;1+MATCH(aux_sheet!$B200,aux_sheet!$A$2:$A$202,0)))</f>
        <v/>
      </c>
      <c r="N201" s="89" t="str">
        <f ca="1">IF($B201="","",INDIRECT("aux_sheet!V"&amp;1+MATCH(aux_sheet!$B200,aux_sheet!$A$2:$A$202,0)))</f>
        <v/>
      </c>
      <c r="O201" s="89" t="str">
        <f ca="1">IF($B201="","",INDIRECT("aux_sheet!V"&amp;1+MATCH(aux_sheet!$B200,aux_sheet!$A$2:$A$202,0)))</f>
        <v/>
      </c>
      <c r="P201" s="106" t="str">
        <f ca="1">IF($B201="","",INDIRECT("aux_sheet!X"&amp;1+MATCH(aux_sheet!$B200,aux_sheet!$A$2:$A$202,0)))</f>
        <v/>
      </c>
      <c r="Q201" s="89" t="str">
        <f ca="1">IF($B201="","",INDIRECT("aux_sheet!Y"&amp;1+MATCH(aux_sheet!$B200,aux_sheet!$A$2:$A$202,0)))</f>
        <v/>
      </c>
      <c r="R201" s="89" t="str">
        <f ca="1">IF($B201="","",INDIRECT("aux_sheet!Y"&amp;1+MATCH(aux_sheet!$B200,aux_sheet!$A$2:$A$202,0)))</f>
        <v/>
      </c>
      <c r="S201" s="106" t="str">
        <f ca="1">IF($B201="","",INDIRECT("aux_sheet!AA"&amp;1+MATCH(aux_sheet!$B200,aux_sheet!$A$2:$A$202,0)))</f>
        <v/>
      </c>
      <c r="T201" s="89" t="str">
        <f ca="1">IF($B201="","",INDIRECT("aux_sheet!AB"&amp;1+MATCH(aux_sheet!$B200,aux_sheet!$A$2:$A$202,0)))</f>
        <v/>
      </c>
      <c r="U201" s="89" t="str">
        <f ca="1">IF($B201="","",INDIRECT("aux_sheet!AB"&amp;1+MATCH(aux_sheet!$B200,aux_sheet!$A$2:$A$202,0)))</f>
        <v/>
      </c>
      <c r="V201" s="106" t="str">
        <f ca="1">IF($B201="","",INDIRECT("aux_sheet!AD"&amp;1+MATCH(aux_sheet!$B200,aux_sheet!$A$2:$A$202,0)))</f>
        <v/>
      </c>
      <c r="W201" s="89" t="str">
        <f ca="1">IF($B201="","",INDIRECT("aux_sheet!AE"&amp;1+MATCH(aux_sheet!$B200,aux_sheet!$A$2:$A$202,0)))</f>
        <v/>
      </c>
      <c r="X201" s="89" t="str">
        <f ca="1">IF($B201="","",INDIRECT("aux_sheet!AE"&amp;1+MATCH(aux_sheet!$B200,aux_sheet!$A$2:$A$202,0)))</f>
        <v/>
      </c>
      <c r="Y201" s="106" t="str">
        <f ca="1">IF($B201="","",INDIRECT("aux_sheet!AG"&amp;1+MATCH(aux_sheet!$B200,aux_sheet!$A$2:$A$202,0)))</f>
        <v/>
      </c>
      <c r="Z201" s="89" t="str">
        <f ca="1">IF($B201="","",INDIRECT("aux_sheet!AH"&amp;1+MATCH(aux_sheet!$B200,aux_sheet!$A$2:$A$202,0)))</f>
        <v/>
      </c>
      <c r="AA201" s="89" t="str">
        <f ca="1">IF($B201="","",INDIRECT("aux_sheet!AH"&amp;1+MATCH(aux_sheet!$B200,aux_sheet!$A$2:$A$202,0)))</f>
        <v/>
      </c>
      <c r="AB201" s="106" t="str">
        <f ca="1">IF($B201="","",INDIRECT("aux_sheet!AJ"&amp;1+MATCH(aux_sheet!$B200,aux_sheet!$A$2:$A$202,0)))</f>
        <v/>
      </c>
      <c r="AC201" s="89" t="str">
        <f ca="1">IF($B201="","",INDIRECT("aux_sheet!AK"&amp;1+MATCH(aux_sheet!$B200,aux_sheet!$A$2:$A$202,0)))</f>
        <v/>
      </c>
      <c r="AD201" s="89" t="str">
        <f ca="1">IF($B201="","",INDIRECT("aux_sheet!AK"&amp;1+MATCH(aux_sheet!$B200,aux_sheet!$A$2:$A$202,0)))</f>
        <v/>
      </c>
      <c r="AE201" s="106" t="str">
        <f ca="1">IF($B201="","",INDIRECT("aux_sheet!AM"&amp;1+MATCH(aux_sheet!$B200,aux_sheet!$A$2:$A$202,0)))</f>
        <v/>
      </c>
      <c r="AF201" s="89" t="str">
        <f ca="1">IF($B201="","",INDIRECT("aux_sheet!AN"&amp;1+MATCH(aux_sheet!$B200,aux_sheet!$A$2:$A$202,0)))</f>
        <v/>
      </c>
      <c r="AG201" s="89" t="str">
        <f ca="1">IF($B201="","",INDIRECT("aux_sheet!AN"&amp;1+MATCH(aux_sheet!$B200,aux_sheet!$A$2:$A$202,0)))</f>
        <v/>
      </c>
      <c r="AH201" s="14" t="str">
        <f>IF(ISBLANK(Input!A200)," ",F200-F201)</f>
        <v xml:space="preserve"> </v>
      </c>
    </row>
    <row r="202" spans="1:34" x14ac:dyDescent="0.35">
      <c r="A202" s="2" t="str">
        <f>IF(ISBLANK(Input!A201),"",ROUNDDOWN(aux_sheet!B201,0))</f>
        <v/>
      </c>
      <c r="B202" s="2" t="str">
        <f ca="1">IF(ISBLANK(Input!A201),"",INDIRECT("Input!A"&amp;1+MATCH(aux_sheet!$B201,aux_sheet!$A$2:$A$202,0)))</f>
        <v/>
      </c>
      <c r="C202" s="2" t="str">
        <f ca="1">IF(ISBLANK(Input!B201),"",INDIRECT("Input!B"&amp;1+MATCH(aux_sheet!$B201,aux_sheet!$A$2:$A$202,0)))</f>
        <v/>
      </c>
      <c r="D202" s="2" t="str">
        <f ca="1">IF(ISBLANK(Input!C201),"",INDIRECT("Input!C"&amp;1+MATCH(aux_sheet!$B201,aux_sheet!$A$2:$A$202,0)))</f>
        <v/>
      </c>
      <c r="E202" s="2" t="str">
        <f ca="1">IF(ISBLANK(Input!D201),"",INDIRECT("Input!D"&amp;1+MATCH(aux_sheet!$B201,aux_sheet!$A$2:$A$202,0)))</f>
        <v/>
      </c>
      <c r="F202" s="11" t="str">
        <f ca="1">INDIRECT("Input!F"&amp;1+MATCH(aux_sheet!$B201,aux_sheet!$A$2:$A$202,0))</f>
        <v xml:space="preserve"> </v>
      </c>
      <c r="G202" s="106" t="str">
        <f ca="1">IF($B202="","",INDIRECT("aux_sheet!O"&amp;1+MATCH(aux_sheet!$B201,aux_sheet!$A$2:$A$202,0)))</f>
        <v/>
      </c>
      <c r="H202" s="89" t="str">
        <f ca="1">IF($B202="","",INDIRECT("aux_sheet!P"&amp;1+MATCH(aux_sheet!$B201,aux_sheet!$A$2:$A$202,0)))</f>
        <v/>
      </c>
      <c r="I202" s="89" t="str">
        <f ca="1">IF($B202="","",INDIRECT("aux_sheet!P"&amp;1+MATCH(aux_sheet!$B201,aux_sheet!$A$2:$A$202,0)))</f>
        <v/>
      </c>
      <c r="J202" s="106" t="str">
        <f ca="1">IF($B202="","",INDIRECT("aux_sheet!R"&amp;1+MATCH(aux_sheet!$B201,aux_sheet!$A$2:$A$202,0)))</f>
        <v/>
      </c>
      <c r="K202" s="89" t="str">
        <f ca="1">IF($B202="","",INDIRECT("aux_sheet!S"&amp;1+MATCH(aux_sheet!$B201,aux_sheet!$A$2:$A$202,0)))</f>
        <v/>
      </c>
      <c r="L202" s="89" t="str">
        <f ca="1">IF($B202="","",INDIRECT("aux_sheet!S"&amp;1+MATCH(aux_sheet!$B201,aux_sheet!$A$2:$A$202,0)))</f>
        <v/>
      </c>
      <c r="M202" s="106" t="str">
        <f ca="1">IF($B202="","",INDIRECT("aux_sheet!U"&amp;1+MATCH(aux_sheet!$B201,aux_sheet!$A$2:$A$202,0)))</f>
        <v/>
      </c>
      <c r="N202" s="89" t="str">
        <f ca="1">IF($B202="","",INDIRECT("aux_sheet!V"&amp;1+MATCH(aux_sheet!$B201,aux_sheet!$A$2:$A$202,0)))</f>
        <v/>
      </c>
      <c r="O202" s="89" t="str">
        <f ca="1">IF($B202="","",INDIRECT("aux_sheet!V"&amp;1+MATCH(aux_sheet!$B201,aux_sheet!$A$2:$A$202,0)))</f>
        <v/>
      </c>
      <c r="P202" s="106" t="str">
        <f ca="1">IF($B202="","",INDIRECT("aux_sheet!X"&amp;1+MATCH(aux_sheet!$B201,aux_sheet!$A$2:$A$202,0)))</f>
        <v/>
      </c>
      <c r="Q202" s="89" t="str">
        <f ca="1">IF($B202="","",INDIRECT("aux_sheet!Y"&amp;1+MATCH(aux_sheet!$B201,aux_sheet!$A$2:$A$202,0)))</f>
        <v/>
      </c>
      <c r="R202" s="89" t="str">
        <f ca="1">IF($B202="","",INDIRECT("aux_sheet!Y"&amp;1+MATCH(aux_sheet!$B201,aux_sheet!$A$2:$A$202,0)))</f>
        <v/>
      </c>
      <c r="S202" s="106" t="str">
        <f ca="1">IF($B202="","",INDIRECT("aux_sheet!AA"&amp;1+MATCH(aux_sheet!$B201,aux_sheet!$A$2:$A$202,0)))</f>
        <v/>
      </c>
      <c r="T202" s="89" t="str">
        <f ca="1">IF($B202="","",INDIRECT("aux_sheet!AB"&amp;1+MATCH(aux_sheet!$B201,aux_sheet!$A$2:$A$202,0)))</f>
        <v/>
      </c>
      <c r="U202" s="89" t="str">
        <f ca="1">IF($B202="","",INDIRECT("aux_sheet!AB"&amp;1+MATCH(aux_sheet!$B201,aux_sheet!$A$2:$A$202,0)))</f>
        <v/>
      </c>
      <c r="V202" s="106" t="str">
        <f ca="1">IF($B202="","",INDIRECT("aux_sheet!AD"&amp;1+MATCH(aux_sheet!$B201,aux_sheet!$A$2:$A$202,0)))</f>
        <v/>
      </c>
      <c r="W202" s="89" t="str">
        <f ca="1">IF($B202="","",INDIRECT("aux_sheet!AE"&amp;1+MATCH(aux_sheet!$B201,aux_sheet!$A$2:$A$202,0)))</f>
        <v/>
      </c>
      <c r="X202" s="89" t="str">
        <f ca="1">IF($B202="","",INDIRECT("aux_sheet!AE"&amp;1+MATCH(aux_sheet!$B201,aux_sheet!$A$2:$A$202,0)))</f>
        <v/>
      </c>
      <c r="Y202" s="106" t="str">
        <f ca="1">IF($B202="","",INDIRECT("aux_sheet!AG"&amp;1+MATCH(aux_sheet!$B201,aux_sheet!$A$2:$A$202,0)))</f>
        <v/>
      </c>
      <c r="Z202" s="89" t="str">
        <f ca="1">IF($B202="","",INDIRECT("aux_sheet!AH"&amp;1+MATCH(aux_sheet!$B201,aux_sheet!$A$2:$A$202,0)))</f>
        <v/>
      </c>
      <c r="AA202" s="89" t="str">
        <f ca="1">IF($B202="","",INDIRECT("aux_sheet!AH"&amp;1+MATCH(aux_sheet!$B201,aux_sheet!$A$2:$A$202,0)))</f>
        <v/>
      </c>
      <c r="AB202" s="106" t="str">
        <f ca="1">IF($B202="","",INDIRECT("aux_sheet!AJ"&amp;1+MATCH(aux_sheet!$B201,aux_sheet!$A$2:$A$202,0)))</f>
        <v/>
      </c>
      <c r="AC202" s="89" t="str">
        <f ca="1">IF($B202="","",INDIRECT("aux_sheet!AK"&amp;1+MATCH(aux_sheet!$B201,aux_sheet!$A$2:$A$202,0)))</f>
        <v/>
      </c>
      <c r="AD202" s="89" t="str">
        <f ca="1">IF($B202="","",INDIRECT("aux_sheet!AK"&amp;1+MATCH(aux_sheet!$B201,aux_sheet!$A$2:$A$202,0)))</f>
        <v/>
      </c>
      <c r="AE202" s="106" t="str">
        <f ca="1">IF($B202="","",INDIRECT("aux_sheet!AM"&amp;1+MATCH(aux_sheet!$B201,aux_sheet!$A$2:$A$202,0)))</f>
        <v/>
      </c>
      <c r="AF202" s="89" t="str">
        <f ca="1">IF($B202="","",INDIRECT("aux_sheet!AN"&amp;1+MATCH(aux_sheet!$B201,aux_sheet!$A$2:$A$202,0)))</f>
        <v/>
      </c>
      <c r="AG202" s="89" t="str">
        <f ca="1">IF($B202="","",INDIRECT("aux_sheet!AN"&amp;1+MATCH(aux_sheet!$B201,aux_sheet!$A$2:$A$202,0)))</f>
        <v/>
      </c>
      <c r="AH202" s="14" t="str">
        <f>IF(ISBLANK(Input!A201)," ",F201-F202)</f>
        <v xml:space="preserve"> </v>
      </c>
    </row>
    <row r="203" spans="1:34" x14ac:dyDescent="0.35">
      <c r="A203" s="2" t="str">
        <f>IF(ISBLANK(Input!A202),"",ROUNDDOWN(aux_sheet!B202,0))</f>
        <v/>
      </c>
      <c r="B203" s="2" t="str">
        <f ca="1">IF(ISBLANK(Input!A202),"",INDIRECT("Input!A"&amp;1+MATCH(aux_sheet!$B202,aux_sheet!$A$2:$A$202,0)))</f>
        <v/>
      </c>
      <c r="C203" s="2" t="str">
        <f ca="1">IF(ISBLANK(Input!B202),"",INDIRECT("Input!B"&amp;1+MATCH(aux_sheet!$B202,aux_sheet!$A$2:$A$202,0)))</f>
        <v/>
      </c>
      <c r="D203" s="2" t="str">
        <f ca="1">IF(ISBLANK(Input!C202),"",INDIRECT("Input!C"&amp;1+MATCH(aux_sheet!$B202,aux_sheet!$A$2:$A$202,0)))</f>
        <v/>
      </c>
      <c r="E203" s="2" t="str">
        <f ca="1">IF(ISBLANK(Input!D202),"",INDIRECT("Input!D"&amp;1+MATCH(aux_sheet!$B202,aux_sheet!$A$2:$A$202,0)))</f>
        <v/>
      </c>
      <c r="F203" s="11" t="str">
        <f ca="1">INDIRECT("Input!F"&amp;1+MATCH(aux_sheet!$B202,aux_sheet!$A$2:$A$202,0))</f>
        <v xml:space="preserve"> </v>
      </c>
      <c r="G203" s="106" t="str">
        <f ca="1">IF($B203="","",INDIRECT("aux_sheet!O"&amp;1+MATCH(aux_sheet!$B202,aux_sheet!$A$2:$A$202,0)))</f>
        <v/>
      </c>
      <c r="H203" s="89" t="str">
        <f ca="1">IF($B203="","",INDIRECT("aux_sheet!P"&amp;1+MATCH(aux_sheet!$B202,aux_sheet!$A$2:$A$202,0)))</f>
        <v/>
      </c>
      <c r="I203" s="89" t="str">
        <f ca="1">IF($B203="","",INDIRECT("aux_sheet!P"&amp;1+MATCH(aux_sheet!$B202,aux_sheet!$A$2:$A$202,0)))</f>
        <v/>
      </c>
      <c r="J203" s="106" t="str">
        <f ca="1">IF($B203="","",INDIRECT("aux_sheet!R"&amp;1+MATCH(aux_sheet!$B202,aux_sheet!$A$2:$A$202,0)))</f>
        <v/>
      </c>
      <c r="K203" s="89" t="str">
        <f ca="1">IF($B203="","",INDIRECT("aux_sheet!S"&amp;1+MATCH(aux_sheet!$B202,aux_sheet!$A$2:$A$202,0)))</f>
        <v/>
      </c>
      <c r="L203" s="89" t="str">
        <f ca="1">IF($B203="","",INDIRECT("aux_sheet!S"&amp;1+MATCH(aux_sheet!$B202,aux_sheet!$A$2:$A$202,0)))</f>
        <v/>
      </c>
      <c r="M203" s="106" t="str">
        <f ca="1">IF($B203="","",INDIRECT("aux_sheet!U"&amp;1+MATCH(aux_sheet!$B202,aux_sheet!$A$2:$A$202,0)))</f>
        <v/>
      </c>
      <c r="N203" s="89" t="str">
        <f ca="1">IF($B203="","",INDIRECT("aux_sheet!V"&amp;1+MATCH(aux_sheet!$B202,aux_sheet!$A$2:$A$202,0)))</f>
        <v/>
      </c>
      <c r="O203" s="89" t="str">
        <f ca="1">IF($B203="","",INDIRECT("aux_sheet!V"&amp;1+MATCH(aux_sheet!$B202,aux_sheet!$A$2:$A$202,0)))</f>
        <v/>
      </c>
      <c r="P203" s="106" t="str">
        <f ca="1">IF($B203="","",INDIRECT("aux_sheet!X"&amp;1+MATCH(aux_sheet!$B202,aux_sheet!$A$2:$A$202,0)))</f>
        <v/>
      </c>
      <c r="Q203" s="89" t="str">
        <f ca="1">IF($B203="","",INDIRECT("aux_sheet!Y"&amp;1+MATCH(aux_sheet!$B202,aux_sheet!$A$2:$A$202,0)))</f>
        <v/>
      </c>
      <c r="R203" s="89" t="str">
        <f ca="1">IF($B203="","",INDIRECT("aux_sheet!Y"&amp;1+MATCH(aux_sheet!$B202,aux_sheet!$A$2:$A$202,0)))</f>
        <v/>
      </c>
      <c r="S203" s="106" t="str">
        <f ca="1">IF($B203="","",INDIRECT("aux_sheet!AA"&amp;1+MATCH(aux_sheet!$B202,aux_sheet!$A$2:$A$202,0)))</f>
        <v/>
      </c>
      <c r="T203" s="89" t="str">
        <f ca="1">IF($B203="","",INDIRECT("aux_sheet!AB"&amp;1+MATCH(aux_sheet!$B202,aux_sheet!$A$2:$A$202,0)))</f>
        <v/>
      </c>
      <c r="U203" s="89" t="str">
        <f ca="1">IF($B203="","",INDIRECT("aux_sheet!AB"&amp;1+MATCH(aux_sheet!$B202,aux_sheet!$A$2:$A$202,0)))</f>
        <v/>
      </c>
      <c r="V203" s="106" t="str">
        <f ca="1">IF($B203="","",INDIRECT("aux_sheet!AD"&amp;1+MATCH(aux_sheet!$B202,aux_sheet!$A$2:$A$202,0)))</f>
        <v/>
      </c>
      <c r="W203" s="89" t="str">
        <f ca="1">IF($B203="","",INDIRECT("aux_sheet!AE"&amp;1+MATCH(aux_sheet!$B202,aux_sheet!$A$2:$A$202,0)))</f>
        <v/>
      </c>
      <c r="X203" s="89" t="str">
        <f ca="1">IF($B203="","",INDIRECT("aux_sheet!AE"&amp;1+MATCH(aux_sheet!$B202,aux_sheet!$A$2:$A$202,0)))</f>
        <v/>
      </c>
      <c r="Y203" s="106" t="str">
        <f ca="1">IF($B203="","",INDIRECT("aux_sheet!AG"&amp;1+MATCH(aux_sheet!$B202,aux_sheet!$A$2:$A$202,0)))</f>
        <v/>
      </c>
      <c r="Z203" s="89" t="str">
        <f ca="1">IF($B203="","",INDIRECT("aux_sheet!AH"&amp;1+MATCH(aux_sheet!$B202,aux_sheet!$A$2:$A$202,0)))</f>
        <v/>
      </c>
      <c r="AA203" s="89" t="str">
        <f ca="1">IF($B203="","",INDIRECT("aux_sheet!AH"&amp;1+MATCH(aux_sheet!$B202,aux_sheet!$A$2:$A$202,0)))</f>
        <v/>
      </c>
      <c r="AB203" s="106" t="str">
        <f ca="1">IF($B203="","",INDIRECT("aux_sheet!AJ"&amp;1+MATCH(aux_sheet!$B202,aux_sheet!$A$2:$A$202,0)))</f>
        <v/>
      </c>
      <c r="AC203" s="89" t="str">
        <f ca="1">IF($B203="","",INDIRECT("aux_sheet!AK"&amp;1+MATCH(aux_sheet!$B202,aux_sheet!$A$2:$A$202,0)))</f>
        <v/>
      </c>
      <c r="AD203" s="89" t="str">
        <f ca="1">IF($B203="","",INDIRECT("aux_sheet!AK"&amp;1+MATCH(aux_sheet!$B202,aux_sheet!$A$2:$A$202,0)))</f>
        <v/>
      </c>
      <c r="AE203" s="106" t="str">
        <f ca="1">IF($B203="","",INDIRECT("aux_sheet!AM"&amp;1+MATCH(aux_sheet!$B202,aux_sheet!$A$2:$A$202,0)))</f>
        <v/>
      </c>
      <c r="AF203" s="89" t="str">
        <f ca="1">IF($B203="","",INDIRECT("aux_sheet!AN"&amp;1+MATCH(aux_sheet!$B202,aux_sheet!$A$2:$A$202,0)))</f>
        <v/>
      </c>
      <c r="AG203" s="89" t="str">
        <f ca="1">IF($B203="","",INDIRECT("aux_sheet!AN"&amp;1+MATCH(aux_sheet!$B202,aux_sheet!$A$2:$A$202,0)))</f>
        <v/>
      </c>
      <c r="AH203" s="14" t="str">
        <f>IF(ISBLANK(Input!A202)," ",F202-F203)</f>
        <v xml:space="preserve"> </v>
      </c>
    </row>
    <row r="204" spans="1:34" x14ac:dyDescent="0.35">
      <c r="Q204" s="89" t="str">
        <f ca="1">IF($B204="","",INDIRECT("aux_sheet!Y"&amp;1+MATCH(aux_sheet!$B203,aux_sheet!$A$2:$A$202,0)))</f>
        <v/>
      </c>
      <c r="R204" s="89" t="str">
        <f ca="1">IF($B204="","",INDIRECT("aux_sheet!Y"&amp;1+MATCH(aux_sheet!$B203,aux_sheet!$A$2:$A$202,0)))</f>
        <v/>
      </c>
      <c r="Z204" s="89" t="str">
        <f ca="1">IF($B204="","",INDIRECT("aux_sheet!AH"&amp;1+MATCH(aux_sheet!$B203,aux_sheet!$A$2:$A$202,0)))</f>
        <v/>
      </c>
      <c r="AA204" s="89" t="str">
        <f ca="1">IF($B204="","",INDIRECT("aux_sheet!AH"&amp;1+MATCH(aux_sheet!$B203,aux_sheet!$A$2:$A$202,0)))</f>
        <v/>
      </c>
      <c r="AC204" s="89" t="str">
        <f ca="1">IF($B204="","",INDIRECT("aux_sheet!AK"&amp;1+MATCH(aux_sheet!$B203,aux_sheet!$A$2:$A$202,0)))</f>
        <v/>
      </c>
      <c r="AD204" s="89" t="str">
        <f ca="1">IF($B204="","",INDIRECT("aux_sheet!AK"&amp;1+MATCH(aux_sheet!$B203,aux_sheet!$A$2:$A$202,0)))</f>
        <v/>
      </c>
      <c r="AE204" s="106" t="str">
        <f ca="1">IF($B204="","",INDIRECT("aux_sheet!AM"&amp;1+MATCH(aux_sheet!$B203,aux_sheet!$A$2:$A$202,0)))</f>
        <v/>
      </c>
      <c r="AF204" s="89" t="str">
        <f ca="1">IF($B204="","",INDIRECT("aux_sheet!AN"&amp;1+MATCH(aux_sheet!$B203,aux_sheet!$A$2:$A$202,0)))</f>
        <v/>
      </c>
      <c r="AG204" s="89" t="str">
        <f ca="1">IF($B204="","",INDIRECT("aux_sheet!AN"&amp;1+MATCH(aux_sheet!$B203,aux_sheet!$A$2:$A$202,0)))</f>
        <v/>
      </c>
    </row>
    <row r="205" spans="1:34" x14ac:dyDescent="0.35">
      <c r="AF205" s="89" t="str">
        <f ca="1">IF($B205="","",INDIRECT("aux_sheet!AN"&amp;1+MATCH(aux_sheet!$B204,aux_sheet!$A$2:$A$202,0)))</f>
        <v/>
      </c>
      <c r="AG205" s="90" t="str">
        <f ca="1">IF($B205="","",INDIRECT("aux_sheet!AO"&amp;1+MATCH(aux_sheet!$B204,aux_sheet!$A$2:$A$202,0)))</f>
        <v/>
      </c>
    </row>
    <row r="206" spans="1:34" x14ac:dyDescent="0.35">
      <c r="AG206" s="90" t="str">
        <f ca="1">IF($B206="","",INDIRECT("aux_sheet!AO"&amp;1+MATCH(aux_sheet!$B205,aux_sheet!$A$2:$A$202,0)))</f>
        <v/>
      </c>
    </row>
  </sheetData>
  <sheetProtection sort="0" autoFilter="0"/>
  <customSheetViews>
    <customSheetView guid="{A9C4060D-48A6-4A71-A108-B3947866F802}" scale="115">
      <pane xSplit="6" ySplit="2" topLeftCell="G3" activePane="bottomRight" state="frozenSplit"/>
      <selection pane="bottomRight" activeCell="I3" sqref="I3"/>
      <pageMargins left="0.78740157499999996" right="0.78740157499999996" top="0.984251969" bottom="0.984251969" header="0.5" footer="0.5"/>
      <pageSetup paperSize="9" orientation="landscape" horizontalDpi="4294967292" verticalDpi="4294967292"/>
      <headerFooter alignWithMargins="0"/>
    </customSheetView>
  </customSheetViews>
  <phoneticPr fontId="2" type="noConversion"/>
  <pageMargins left="0.78740157499999996" right="0.78740157499999996" top="0.984251969" bottom="0.984251969" header="0.5" footer="0.5"/>
  <pageSetup paperSize="9" orientation="landscape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8F303-CEDD-4707-995B-21BFE503758E}">
  <sheetPr codeName="Tabelle8">
    <tabColor rgb="FF0070C0"/>
  </sheetPr>
  <dimension ref="A1:AR234"/>
  <sheetViews>
    <sheetView zoomScale="115" zoomScaleNormal="115" workbookViewId="0">
      <pane xSplit="6" ySplit="2" topLeftCell="G3" activePane="bottomRight" state="frozenSplit"/>
      <selection activeCell="AE2" sqref="AE2"/>
      <selection pane="topRight" activeCell="AE1" sqref="AE1"/>
      <selection pane="bottomLeft" activeCell="A2" sqref="A2"/>
      <selection pane="bottomRight" activeCell="G9" sqref="G9"/>
    </sheetView>
  </sheetViews>
  <sheetFormatPr baseColWidth="10" defaultColWidth="10.83203125" defaultRowHeight="15.5" outlineLevelCol="1" x14ac:dyDescent="0.35"/>
  <cols>
    <col min="1" max="1" width="5.4140625" bestFit="1" customWidth="1"/>
    <col min="2" max="2" width="17" bestFit="1" customWidth="1"/>
    <col min="3" max="3" width="9.75" bestFit="1" customWidth="1" outlineLevel="1"/>
    <col min="4" max="4" width="10.25" bestFit="1" customWidth="1"/>
    <col min="5" max="5" width="8.9140625" bestFit="1" customWidth="1" outlineLevel="1"/>
    <col min="6" max="6" width="6.9140625" style="12" bestFit="1" customWidth="1"/>
    <col min="7" max="7" width="7.9140625" style="13" bestFit="1" customWidth="1"/>
    <col min="8" max="8" width="4.83203125" style="2" bestFit="1" customWidth="1"/>
    <col min="9" max="9" width="5.9140625" style="11" bestFit="1" customWidth="1"/>
    <col min="10" max="10" width="7.9140625" style="104" bestFit="1" customWidth="1"/>
    <col min="11" max="11" width="4.83203125" style="2" bestFit="1" customWidth="1"/>
    <col min="12" max="12" width="10.08203125" style="11" customWidth="1"/>
    <col min="13" max="13" width="12" style="104" bestFit="1" customWidth="1"/>
    <col min="14" max="14" width="4.83203125" style="2" bestFit="1" customWidth="1"/>
    <col min="15" max="15" width="8.9140625" style="11" customWidth="1"/>
    <col min="16" max="16" width="12" style="104" customWidth="1"/>
    <col min="17" max="17" width="4.83203125" style="2" bestFit="1" customWidth="1"/>
    <col min="18" max="18" width="5.9140625" style="11" bestFit="1" customWidth="1"/>
    <col min="19" max="19" width="5.9140625" style="104" bestFit="1" customWidth="1"/>
    <col min="20" max="20" width="4.83203125" style="2" bestFit="1" customWidth="1"/>
    <col min="21" max="21" width="5.9140625" style="11" bestFit="1" customWidth="1"/>
    <col min="22" max="22" width="7.9140625" style="104" bestFit="1" customWidth="1"/>
    <col min="23" max="23" width="4.83203125" style="2" bestFit="1" customWidth="1"/>
    <col min="24" max="24" width="5.9140625" style="11" bestFit="1" customWidth="1"/>
    <col min="25" max="25" width="10.9140625" style="104" bestFit="1" customWidth="1"/>
    <col min="26" max="26" width="4.83203125" style="2" bestFit="1" customWidth="1"/>
    <col min="27" max="27" width="5.9140625" style="11" bestFit="1" customWidth="1"/>
    <col min="28" max="28" width="5.9140625" style="13" bestFit="1" customWidth="1"/>
    <col min="29" max="29" width="4.83203125" style="2" bestFit="1" customWidth="1"/>
    <col min="30" max="30" width="5.9140625" style="11" bestFit="1" customWidth="1"/>
    <col min="31" max="31" width="5.9140625" style="13" bestFit="1" customWidth="1"/>
    <col min="32" max="32" width="4.83203125" style="2" bestFit="1" customWidth="1"/>
    <col min="33" max="33" width="5.9140625" style="11" bestFit="1" customWidth="1"/>
    <col min="34" max="34" width="9.83203125" style="14" customWidth="1"/>
    <col min="35" max="35" width="9" customWidth="1"/>
    <col min="36" max="36" width="10" customWidth="1"/>
    <col min="37" max="42" width="10.83203125" style="1" customWidth="1" outlineLevel="1"/>
    <col min="43" max="44" width="10.83203125" customWidth="1" outlineLevel="1"/>
  </cols>
  <sheetData>
    <row r="1" spans="1:42" x14ac:dyDescent="0.35">
      <c r="B1" s="6" t="str">
        <f>IF(aux_sheet!G2="RRS", "OFFICIAL"," ")</f>
        <v>OFFICIAL</v>
      </c>
      <c r="C1" s="5" t="str">
        <f>IF(aux_sheet!G2="old", "UNOFFICIAL, for comparison only"," ")</f>
        <v xml:space="preserve"> </v>
      </c>
    </row>
    <row r="2" spans="1:42" s="3" customFormat="1" ht="101.5" customHeight="1" thickBot="1" x14ac:dyDescent="0.4">
      <c r="A2" s="15" t="s">
        <v>26</v>
      </c>
      <c r="B2" s="15" t="s">
        <v>3</v>
      </c>
      <c r="C2" s="16" t="s">
        <v>16</v>
      </c>
      <c r="D2" s="16" t="s">
        <v>17</v>
      </c>
      <c r="E2" s="16" t="s">
        <v>18</v>
      </c>
      <c r="F2" s="17" t="s">
        <v>1</v>
      </c>
      <c r="G2" s="91" t="str">
        <f>Input!I1</f>
        <v>ACC score</v>
      </c>
      <c r="H2" s="92" t="s">
        <v>0</v>
      </c>
      <c r="I2" s="93" t="s">
        <v>6</v>
      </c>
      <c r="J2" s="91" t="str">
        <f>Input!L1</f>
        <v>AR score</v>
      </c>
      <c r="K2" s="92" t="s">
        <v>0</v>
      </c>
      <c r="L2" s="93" t="s">
        <v>6</v>
      </c>
      <c r="M2" s="91" t="str">
        <f>Input!O1</f>
        <v>MTA  score</v>
      </c>
      <c r="N2" s="92" t="s">
        <v>0</v>
      </c>
      <c r="O2" s="93" t="s">
        <v>6</v>
      </c>
      <c r="P2" s="91" t="str">
        <f>Input!R1</f>
        <v>FC score</v>
      </c>
      <c r="Q2" s="92" t="s">
        <v>0</v>
      </c>
      <c r="R2" s="93" t="s">
        <v>6</v>
      </c>
      <c r="S2" s="91" t="str">
        <f>Input!U1</f>
        <v>END score</v>
      </c>
      <c r="T2" s="92" t="s">
        <v>0</v>
      </c>
      <c r="U2" s="93" t="s">
        <v>6</v>
      </c>
      <c r="V2" s="91" t="str">
        <f>Input!X1</f>
        <v>TCD score</v>
      </c>
      <c r="W2" s="92" t="s">
        <v>0</v>
      </c>
      <c r="X2" s="93" t="s">
        <v>6</v>
      </c>
      <c r="Y2" s="91" t="str">
        <f>Input!AA1</f>
        <v>Tapir score</v>
      </c>
      <c r="Z2" s="92" t="s">
        <v>0</v>
      </c>
      <c r="AA2" s="93" t="s">
        <v>6</v>
      </c>
      <c r="AB2" s="91" t="str">
        <f>Input!AD1</f>
        <v>Extra event score</v>
      </c>
      <c r="AC2" s="92" t="s">
        <v>0</v>
      </c>
      <c r="AD2" s="93" t="s">
        <v>6</v>
      </c>
      <c r="AE2" s="91" t="str">
        <f>Input!AG1</f>
        <v>Extra timed event score</v>
      </c>
      <c r="AF2" s="92" t="s">
        <v>0</v>
      </c>
      <c r="AG2" s="93" t="s">
        <v>6</v>
      </c>
      <c r="AH2" s="18" t="s">
        <v>102</v>
      </c>
      <c r="AI2" s="19" t="s">
        <v>103</v>
      </c>
      <c r="AJ2" s="19" t="s">
        <v>104</v>
      </c>
      <c r="AK2" s="4"/>
      <c r="AL2" s="4"/>
      <c r="AM2" s="4"/>
      <c r="AN2" s="4"/>
      <c r="AO2" s="4"/>
      <c r="AP2" s="4"/>
    </row>
    <row r="3" spans="1:42" ht="16" thickTop="1" x14ac:dyDescent="0.35">
      <c r="A3" s="2">
        <f>IF(ISBLANK(Input!A2),"",ROUNDDOWN(aux_sheet_RRS!E2,0))</f>
        <v>1</v>
      </c>
      <c r="B3" s="2" t="str">
        <f ca="1">IF(ISBLANK(Input!A2),"",INDIRECT("Input!A"&amp;1+MATCH(aux_sheet_RRS!$E2,aux_sheet_RRS!$D$2:$D$202,0)))</f>
        <v>test4</v>
      </c>
      <c r="C3" s="2" t="str">
        <f ca="1">IF(ISBLANK(Input!B2),"",INDIRECT("Input!B"&amp;1+MATCH(aux_sheet_RRS!$E2,aux_sheet_RRS!$D$2:$D$202,0)))</f>
        <v>a4</v>
      </c>
      <c r="D3" s="2" t="str">
        <f ca="1">IF(ISBLANK(Input!C2),"",INDIRECT("Input!C"&amp;1+MATCH(aux_sheet_RRS!$E2,aux_sheet_RRS!$D$2:$D$202,0)))</f>
        <v>b4</v>
      </c>
      <c r="E3" s="2" t="str">
        <f ca="1">IF(ISBLANK(Input!D2),"",INDIRECT("Input!D"&amp;1+MATCH(aux_sheet_RRS!$E2,aux_sheet_RRS!$D$2:$D$202,0)))</f>
        <v>j</v>
      </c>
      <c r="F3" s="11">
        <f ca="1">INDIRECT("Input!H"&amp;1+MATCH(aux_sheet_RRS!$E2,aux_sheet_RRS!$D$2:$D$202,0))</f>
        <v>1920</v>
      </c>
      <c r="G3" s="94">
        <f ca="1">IF($B3="","",INDIRECT("aux_sheet_RRS!O"&amp;1+MATCH(aux_sheet_RRS!$E2,aux_sheet_RRS!$D$2:$D$202,0)))</f>
        <v>2</v>
      </c>
      <c r="H3" s="95">
        <f ca="1">IF($B3="","",INDIRECT("aux_sheet_RRS!P"&amp;1+MATCH(aux_sheet_RRS!$E2,aux_sheet_RRS!$D$2:$D$202,0)))</f>
        <v>5</v>
      </c>
      <c r="I3" s="90">
        <f ca="1">IF(G3="","",ROUNDDOWN(INDIRECT("aux_sheet_RRS!Q"&amp;1+MATCH(aux_sheet_RRS!$E2,aux_sheet_RRS!$D$2:$D$202,0)),0))</f>
        <v>237</v>
      </c>
      <c r="J3" s="105">
        <f ca="1">IF($B3="","",INDIRECT("aux_sheet_RRS!R"&amp;1+MATCH(aux_sheet_RRS!$E2,aux_sheet_RRS!$D$2:$D$202,0)))</f>
        <v>5</v>
      </c>
      <c r="K3" s="95">
        <f ca="1">IF($B3="","",INDIRECT("aux_sheet_RRS!S"&amp;1+MATCH(aux_sheet_RRS!$E2,aux_sheet_RRS!$D$2:$D$202,0)))</f>
        <v>2</v>
      </c>
      <c r="L3" s="90">
        <f ca="1">IF(J3="","",ROUNDDOWN(INDIRECT("aux_sheet_RRS!T"&amp;1+MATCH(aux_sheet_RRS!$E2,aux_sheet_RRS!$D$2:$D$202,0)),0))</f>
        <v>387</v>
      </c>
      <c r="M3" s="105">
        <f ca="1">IF($B3="","",INDIRECT("aux_sheet_RRS!U"&amp;1+MATCH(aux_sheet_RRS!$E2,aux_sheet_RRS!$D$2:$D$202,0)))</f>
        <v>9</v>
      </c>
      <c r="N3" s="95">
        <f ca="1">IF($B3="","",INDIRECT("aux_sheet_RRS!V"&amp;1+MATCH(aux_sheet_RRS!$E2,aux_sheet_RRS!$D$2:$D$202,0)))</f>
        <v>2</v>
      </c>
      <c r="O3" s="90">
        <f ca="1">IF(M3="","",ROUNDDOWN(INDIRECT("aux_sheet_RRS!W"&amp;1+MATCH(aux_sheet_RRS!$E2,aux_sheet_RRS!$D$2:$D$202,0)),0))</f>
        <v>637</v>
      </c>
      <c r="P3" s="105">
        <f ca="1">IF($B3="","",INDIRECT("aux_sheet_RRS!X"&amp;1+MATCH(aux_sheet_RRS!$E2,aux_sheet_RRS!$D$2:$D$202,0)))</f>
        <v>4</v>
      </c>
      <c r="Q3" s="95">
        <f ca="1">IF($B3="","",INDIRECT("aux_sheet_RRS!Y"&amp;1+MATCH(aux_sheet_RRS!$E2,aux_sheet_RRS!$D$2:$D$202,0)))</f>
        <v>2</v>
      </c>
      <c r="R3" s="90">
        <f ca="1">IF(P3="","",INDIRECT("aux_sheet_RRS!Z"&amp;1+MATCH(aux_sheet_RRS!$E2,aux_sheet_RRS!$D$2:$D$202,0)))</f>
        <v>659</v>
      </c>
      <c r="S3" s="105" t="str">
        <f ca="1">IF($B3="","",INDIRECT("aux_sheet_RRS!AA"&amp;1+MATCH(aux_sheet_RRS!$E2,aux_sheet_RRS!$D$2:$D$202,0)))</f>
        <v/>
      </c>
      <c r="T3" s="95" t="str">
        <f ca="1">IF($B3="","",INDIRECT("aux_sheet_RRS!AB"&amp;1+MATCH(aux_sheet_RRS!$E2,aux_sheet_RRS!$D$2:$D$202,0)))</f>
        <v/>
      </c>
      <c r="U3" s="90" t="str">
        <f ca="1">IF(S3="","",INDIRECT("aux_sheet_RRS!AC"&amp;1+MATCH(aux_sheet_RRS!$E2,aux_sheet_RRS!$D$2:$D$202,0)))</f>
        <v/>
      </c>
      <c r="V3" s="105" t="str">
        <f ca="1">IF($B3="","",INDIRECT("aux_sheet_RRS!AD"&amp;1+MATCH(aux_sheet_RRS!$E2,aux_sheet_RRS!$D$2:$D$202,0)))</f>
        <v/>
      </c>
      <c r="W3" s="95" t="str">
        <f ca="1">IF($B3="","",INDIRECT("aux_sheet_RRS!AE"&amp;1+MATCH(aux_sheet_RRS!$E2,aux_sheet_RRS!$D$2:$D$202,0)))</f>
        <v/>
      </c>
      <c r="X3" s="90" t="str">
        <f ca="1">IF(V3="","",INDIRECT("aux_sheet_RRS!AF"&amp;1+MATCH(aux_sheet_RRS!$E2,aux_sheet_RRS!$D$2:$D$202,0)))</f>
        <v/>
      </c>
      <c r="Y3" s="105" t="str">
        <f ca="1">IF($B3="","",INDIRECT("aux_sheet_RRS!AG"&amp;1+MATCH(aux_sheet_RRS!$E2,aux_sheet_RRS!$D$2:$D$202,0)))</f>
        <v/>
      </c>
      <c r="Z3" s="95" t="str">
        <f ca="1">IF($B3="","",INDIRECT("aux_sheet_RRS!AH"&amp;1+MATCH(aux_sheet_RRS!$E2,aux_sheet_RRS!$D$2:$D$202,0)))</f>
        <v/>
      </c>
      <c r="AA3" s="90" t="str">
        <f ca="1">IF(Y3="","",INDIRECT("aux_sheet_RRS!AI"&amp;1+MATCH(aux_sheet_RRS!$E2,aux_sheet_RRS!$D$2:$D$202,0)))</f>
        <v/>
      </c>
      <c r="AB3" s="94" t="str">
        <f ca="1">IF($B3="","",INDIRECT("aux_sheet_RRS!AJ"&amp;1+MATCH(aux_sheet_RRS!$E2,aux_sheet_RRS!$D$2:$D$202,0)))</f>
        <v/>
      </c>
      <c r="AC3" s="95" t="str">
        <f ca="1">IF($B3="","",INDIRECT("aux_sheet_RRS!AK"&amp;1+MATCH(aux_sheet_RRS!$E2,aux_sheet_RRS!$D$2:$D$202,0)))</f>
        <v/>
      </c>
      <c r="AD3" s="90" t="str">
        <f ca="1">IF(AB3="","",INDIRECT("aux_sheet_RRS!AL"&amp;1+MATCH(aux_sheet_RRS!$E2,aux_sheet_RRS!$D$2:$D$202,0)))</f>
        <v/>
      </c>
      <c r="AE3" s="88" t="str">
        <f ca="1">IF($B3="","",INDIRECT("aux_sheet_RRS!AM"&amp;1+MATCH(aux_sheet_RRS!$E2,aux_sheet_RRS!$D$2:$D$202,0)))</f>
        <v/>
      </c>
      <c r="AF3" s="89" t="str">
        <f ca="1">IF($B3="","",INDIRECT("aux_sheet_RRS!AN"&amp;1+MATCH(aux_sheet_RRS!$E2,aux_sheet_RRS!$D$2:$D$202,0)))</f>
        <v/>
      </c>
      <c r="AG3" s="90" t="str">
        <f ca="1">IF(AE3="","",INDIRECT("aux_sheet_RRS!AO"&amp;1+MATCH(aux_sheet_RRS!$E2,aux_sheet_RRS!$D$2:$D$202,0)))</f>
        <v/>
      </c>
      <c r="AH3" s="20">
        <v>0</v>
      </c>
      <c r="AI3" s="21">
        <v>0</v>
      </c>
      <c r="AJ3" s="21">
        <v>1</v>
      </c>
    </row>
    <row r="4" spans="1:42" x14ac:dyDescent="0.35">
      <c r="A4" s="2">
        <f>IF(ISBLANK(Input!A3),"",ROUNDDOWN(aux_sheet_RRS!E3,0))</f>
        <v>2</v>
      </c>
      <c r="B4" s="2" t="str">
        <f ca="1">IF(ISBLANK(Input!A3),"",INDIRECT("Input!A"&amp;1+MATCH(aux_sheet_RRS!$E3,aux_sheet_RRS!$D$2:$D$202,0)))</f>
        <v>test5</v>
      </c>
      <c r="C4" s="2" t="str">
        <f ca="1">IF(ISBLANK(Input!B3),"",INDIRECT("Input!B"&amp;1+MATCH(aux_sheet_RRS!$E3,aux_sheet_RRS!$D$2:$D$202,0)))</f>
        <v>a5</v>
      </c>
      <c r="D4" s="2" t="str">
        <f ca="1">IF(ISBLANK(Input!C3),"",INDIRECT("Input!C"&amp;1+MATCH(aux_sheet_RRS!$E3,aux_sheet_RRS!$D$2:$D$202,0)))</f>
        <v>b5</v>
      </c>
      <c r="E4" s="2" t="str">
        <f ca="1">IF(ISBLANK(Input!D3),"",INDIRECT("Input!D"&amp;1+MATCH(aux_sheet_RRS!$E3,aux_sheet_RRS!$D$2:$D$202,0)))</f>
        <v>j</v>
      </c>
      <c r="F4" s="11">
        <f ca="1">INDIRECT("Input!H"&amp;1+MATCH(aux_sheet_RRS!$E3,aux_sheet_RRS!$D$2:$D$202,0))</f>
        <v>1889</v>
      </c>
      <c r="G4" s="88">
        <f ca="1">IF($B4="","",INDIRECT("aux_sheet_RRS!O"&amp;1+MATCH(aux_sheet_RRS!$E3,aux_sheet_RRS!$D$2:$D$202,0)))</f>
        <v>1</v>
      </c>
      <c r="H4" s="89">
        <f ca="1">IF($B4="","",INDIRECT("aux_sheet_RRS!P"&amp;1+MATCH(aux_sheet_RRS!$E3,aux_sheet_RRS!$D$2:$D$202,0)))</f>
        <v>6</v>
      </c>
      <c r="I4" s="90">
        <f ca="1">IF(G4="","",ROUNDDOWN(INDIRECT("aux_sheet_RRS!Q"&amp;1+MATCH(aux_sheet_RRS!$E3,aux_sheet_RRS!$D$2:$D$202,0)),0))</f>
        <v>149</v>
      </c>
      <c r="J4" s="106">
        <f ca="1">IF($B4="","",INDIRECT("aux_sheet_RRS!R"&amp;1+MATCH(aux_sheet_RRS!$E3,aux_sheet_RRS!$D$2:$D$202,0)))</f>
        <v>6</v>
      </c>
      <c r="K4" s="89">
        <f ca="1">IF($B4="","",INDIRECT("aux_sheet_RRS!S"&amp;1+MATCH(aux_sheet_RRS!$E3,aux_sheet_RRS!$D$2:$D$202,0)))</f>
        <v>1</v>
      </c>
      <c r="L4" s="90">
        <f ca="1">IF(J4="","",ROUNDDOWN(INDIRECT("aux_sheet_RRS!T"&amp;1+MATCH(aux_sheet_RRS!$E3,aux_sheet_RRS!$D$2:$D$202,0)),0))</f>
        <v>420</v>
      </c>
      <c r="M4" s="106">
        <f ca="1">IF($B4="","",INDIRECT("aux_sheet_RRS!U"&amp;1+MATCH(aux_sheet_RRS!$E3,aux_sheet_RRS!$D$2:$D$202,0)))</f>
        <v>10</v>
      </c>
      <c r="N4" s="89">
        <f ca="1">IF($B4="","",INDIRECT("aux_sheet_RRS!V"&amp;1+MATCH(aux_sheet_RRS!$E3,aux_sheet_RRS!$D$2:$D$202,0)))</f>
        <v>1</v>
      </c>
      <c r="O4" s="90">
        <f ca="1">IF(M4="","",ROUNDDOWN(INDIRECT("aux_sheet_RRS!W"&amp;1+MATCH(aux_sheet_RRS!$E3,aux_sheet_RRS!$D$2:$D$202,0)),0))</f>
        <v>659</v>
      </c>
      <c r="P4" s="106">
        <f ca="1">IF($B4="","",INDIRECT("aux_sheet_RRS!X"&amp;1+MATCH(aux_sheet_RRS!$E3,aux_sheet_RRS!$D$2:$D$202,0)))</f>
        <v>74</v>
      </c>
      <c r="Q4" s="89">
        <f ca="1">IF($B4="","",INDIRECT("aux_sheet_RRS!Y"&amp;1+MATCH(aux_sheet_RRS!$E3,aux_sheet_RRS!$D$2:$D$202,0)))</f>
        <v>1</v>
      </c>
      <c r="R4" s="90">
        <f ca="1">IF(P4="","",INDIRECT("aux_sheet_RRS!Z"&amp;1+MATCH(aux_sheet_RRS!$E3,aux_sheet_RRS!$D$2:$D$202,0)))</f>
        <v>661</v>
      </c>
      <c r="S4" s="106" t="str">
        <f ca="1">IF($B4="","",INDIRECT("aux_sheet_RRS!AA"&amp;1+MATCH(aux_sheet_RRS!$E3,aux_sheet_RRS!$D$2:$D$202,0)))</f>
        <v/>
      </c>
      <c r="T4" s="89" t="str">
        <f ca="1">IF($B4="","",INDIRECT("aux_sheet_RRS!AB"&amp;1+MATCH(aux_sheet_RRS!$E3,aux_sheet_RRS!$D$2:$D$202,0)))</f>
        <v/>
      </c>
      <c r="U4" s="90" t="str">
        <f ca="1">IF(S4="","",INDIRECT("aux_sheet_RRS!AC"&amp;1+MATCH(aux_sheet_RRS!$E3,aux_sheet_RRS!$D$2:$D$202,0)))</f>
        <v/>
      </c>
      <c r="V4" s="106" t="str">
        <f ca="1">IF($B4="","",INDIRECT("aux_sheet_RRS!AD"&amp;1+MATCH(aux_sheet_RRS!$E3,aux_sheet_RRS!$D$2:$D$202,0)))</f>
        <v/>
      </c>
      <c r="W4" s="89" t="str">
        <f ca="1">IF($B4="","",INDIRECT("aux_sheet_RRS!AE"&amp;1+MATCH(aux_sheet_RRS!$E3,aux_sheet_RRS!$D$2:$D$202,0)))</f>
        <v/>
      </c>
      <c r="X4" s="90" t="str">
        <f ca="1">IF(V4="","",INDIRECT("aux_sheet_RRS!AF"&amp;1+MATCH(aux_sheet_RRS!$E3,aux_sheet_RRS!$D$2:$D$202,0)))</f>
        <v/>
      </c>
      <c r="Y4" s="106" t="str">
        <f ca="1">IF($B4="","",INDIRECT("aux_sheet_RRS!AG"&amp;1+MATCH(aux_sheet_RRS!$E3,aux_sheet_RRS!$D$2:$D$202,0)))</f>
        <v/>
      </c>
      <c r="Z4" s="89" t="str">
        <f ca="1">IF($B4="","",INDIRECT("aux_sheet_RRS!AH"&amp;1+MATCH(aux_sheet_RRS!$E3,aux_sheet_RRS!$D$2:$D$202,0)))</f>
        <v/>
      </c>
      <c r="AA4" s="90" t="str">
        <f ca="1">IF(Y4="","",INDIRECT("aux_sheet_RRS!AI"&amp;1+MATCH(aux_sheet_RRS!$E3,aux_sheet_RRS!$D$2:$D$202,0)))</f>
        <v/>
      </c>
      <c r="AB4" s="88" t="str">
        <f ca="1">IF($B4="","",INDIRECT("aux_sheet_RRS!AJ"&amp;1+MATCH(aux_sheet_RRS!$E3,aux_sheet_RRS!$D$2:$D$202,0)))</f>
        <v/>
      </c>
      <c r="AC4" s="89" t="str">
        <f ca="1">IF($B4="","",INDIRECT("aux_sheet_RRS!AK"&amp;1+MATCH(aux_sheet_RRS!$E3,aux_sheet_RRS!$D$2:$D$202,0)))</f>
        <v/>
      </c>
      <c r="AD4" s="90" t="str">
        <f ca="1">IF(AB4="","",INDIRECT("aux_sheet_RRS!AL"&amp;1+MATCH(aux_sheet_RRS!$E3,aux_sheet_RRS!$D$2:$D$202,0)))</f>
        <v/>
      </c>
      <c r="AE4" s="88" t="str">
        <f ca="1">IF($B4="","",INDIRECT("aux_sheet_RRS!AM"&amp;1+MATCH(aux_sheet_RRS!$E3,aux_sheet_RRS!$D$2:$D$202,0)))</f>
        <v/>
      </c>
      <c r="AF4" s="89" t="str">
        <f ca="1">IF($B4="","",INDIRECT("aux_sheet_RRS!AN"&amp;1+MATCH(aux_sheet_RRS!$E3,aux_sheet_RRS!$D$2:$D$202,0)))</f>
        <v/>
      </c>
      <c r="AG4" s="90" t="str">
        <f ca="1">IF(AE4="","",INDIRECT("aux_sheet_RRS!AO"&amp;1+MATCH(aux_sheet_RRS!$E3,aux_sheet_RRS!$D$2:$D$202,0)))</f>
        <v/>
      </c>
      <c r="AH4" s="14">
        <f ca="1">IF(B4&lt;&gt;"",F3-F4,"")</f>
        <v>31</v>
      </c>
      <c r="AI4">
        <f ca="1">IF(B4&lt;&gt;"",ROUNDUP(10^((F3-F4)/500)*100-100,0),"")</f>
        <v>16</v>
      </c>
      <c r="AJ4">
        <f ca="1">IF(B4&lt;&gt;"",ROUNDUP(10^((F3-F4)/500),2),"")</f>
        <v>1.1599999999999999</v>
      </c>
    </row>
    <row r="5" spans="1:42" x14ac:dyDescent="0.35">
      <c r="A5" s="2">
        <f>IF(ISBLANK(Input!A4),"",ROUNDDOWN(aux_sheet_RRS!E4,0))</f>
        <v>3</v>
      </c>
      <c r="B5" s="2" t="str">
        <f ca="1">IF(ISBLANK(Input!A4),"",INDIRECT("Input!A"&amp;1+MATCH(aux_sheet_RRS!$E4,aux_sheet_RRS!$D$2:$D$202,0)))</f>
        <v>test3</v>
      </c>
      <c r="C5" s="2" t="str">
        <f ca="1">IF(ISBLANK(Input!B4),"",INDIRECT("Input!B"&amp;1+MATCH(aux_sheet_RRS!$E4,aux_sheet_RRS!$D$2:$D$202,0)))</f>
        <v>a3</v>
      </c>
      <c r="D5" s="2" t="str">
        <f ca="1">IF(ISBLANK(Input!C4),"",INDIRECT("Input!C"&amp;1+MATCH(aux_sheet_RRS!$E4,aux_sheet_RRS!$D$2:$D$202,0)))</f>
        <v>b3</v>
      </c>
      <c r="E5" s="2" t="str">
        <f ca="1">IF(ISBLANK(Input!D4),"",INDIRECT("Input!D"&amp;1+MATCH(aux_sheet_RRS!$E4,aux_sheet_RRS!$D$2:$D$202,0)))</f>
        <v>j</v>
      </c>
      <c r="F5" s="11">
        <f ca="1">INDIRECT("Input!H"&amp;1+MATCH(aux_sheet_RRS!$E4,aux_sheet_RRS!$D$2:$D$202,0))</f>
        <v>1777</v>
      </c>
      <c r="G5" s="88">
        <f ca="1">IF($B5="","",INDIRECT("aux_sheet_RRS!O"&amp;1+MATCH(aux_sheet_RRS!$E4,aux_sheet_RRS!$D$2:$D$202,0)))</f>
        <v>3</v>
      </c>
      <c r="H5" s="89">
        <f ca="1">IF($B5="","",INDIRECT("aux_sheet_RRS!P"&amp;1+MATCH(aux_sheet_RRS!$E4,aux_sheet_RRS!$D$2:$D$202,0)))</f>
        <v>4</v>
      </c>
      <c r="I5" s="90">
        <f ca="1">IF(G5="","",ROUNDDOWN(INDIRECT("aux_sheet_RRS!Q"&amp;1+MATCH(aux_sheet_RRS!$E4,aux_sheet_RRS!$D$2:$D$202,0)),0))</f>
        <v>299</v>
      </c>
      <c r="J5" s="106">
        <f ca="1">IF($B5="","",INDIRECT("aux_sheet_RRS!R"&amp;1+MATCH(aux_sheet_RRS!$E4,aux_sheet_RRS!$D$2:$D$202,0)))</f>
        <v>4</v>
      </c>
      <c r="K5" s="89">
        <f ca="1">IF($B5="","",INDIRECT("aux_sheet_RRS!S"&amp;1+MATCH(aux_sheet_RRS!$E4,aux_sheet_RRS!$D$2:$D$202,0)))</f>
        <v>3</v>
      </c>
      <c r="L5" s="90">
        <f ca="1">IF(J5="","",ROUNDDOWN(INDIRECT("aux_sheet_RRS!T"&amp;1+MATCH(aux_sheet_RRS!$E4,aux_sheet_RRS!$D$2:$D$202,0)),0))</f>
        <v>347</v>
      </c>
      <c r="M5" s="106">
        <f ca="1">IF($B5="","",INDIRECT("aux_sheet_RRS!U"&amp;1+MATCH(aux_sheet_RRS!$E4,aux_sheet_RRS!$D$2:$D$202,0)))</f>
        <v>8</v>
      </c>
      <c r="N5" s="89">
        <f ca="1">IF($B5="","",INDIRECT("aux_sheet_RRS!V"&amp;1+MATCH(aux_sheet_RRS!$E4,aux_sheet_RRS!$D$2:$D$202,0)))</f>
        <v>3</v>
      </c>
      <c r="O5" s="90">
        <f ca="1">IF(M5="","",ROUNDDOWN(INDIRECT("aux_sheet_RRS!W"&amp;1+MATCH(aux_sheet_RRS!$E4,aux_sheet_RRS!$D$2:$D$202,0)),0))</f>
        <v>613</v>
      </c>
      <c r="P5" s="106">
        <f ca="1">IF($B5="","",INDIRECT("aux_sheet_RRS!X"&amp;1+MATCH(aux_sheet_RRS!$E4,aux_sheet_RRS!$D$2:$D$202,0)))</f>
        <v>2</v>
      </c>
      <c r="Q5" s="89">
        <f ca="1">IF($B5="","",INDIRECT("aux_sheet_RRS!Y"&amp;1+MATCH(aux_sheet_RRS!$E4,aux_sheet_RRS!$D$2:$D$202,0)))</f>
        <v>3</v>
      </c>
      <c r="R5" s="90">
        <f ca="1">IF(P5="","",INDIRECT("aux_sheet_RRS!Z"&amp;1+MATCH(aux_sheet_RRS!$E4,aux_sheet_RRS!$D$2:$D$202,0)))</f>
        <v>518</v>
      </c>
      <c r="S5" s="106" t="str">
        <f ca="1">IF($B5="","",INDIRECT("aux_sheet_RRS!AA"&amp;1+MATCH(aux_sheet_RRS!$E4,aux_sheet_RRS!$D$2:$D$202,0)))</f>
        <v/>
      </c>
      <c r="T5" s="89" t="str">
        <f ca="1">IF($B5="","",INDIRECT("aux_sheet_RRS!AB"&amp;1+MATCH(aux_sheet_RRS!$E4,aux_sheet_RRS!$D$2:$D$202,0)))</f>
        <v/>
      </c>
      <c r="U5" s="90" t="str">
        <f ca="1">IF(S5="","",INDIRECT("aux_sheet_RRS!AC"&amp;1+MATCH(aux_sheet_RRS!$E4,aux_sheet_RRS!$D$2:$D$202,0)))</f>
        <v/>
      </c>
      <c r="V5" s="106" t="str">
        <f ca="1">IF($B5="","",INDIRECT("aux_sheet_RRS!AD"&amp;1+MATCH(aux_sheet_RRS!$E4,aux_sheet_RRS!$D$2:$D$202,0)))</f>
        <v/>
      </c>
      <c r="W5" s="89" t="str">
        <f ca="1">IF($B5="","",INDIRECT("aux_sheet_RRS!AE"&amp;1+MATCH(aux_sheet_RRS!$E4,aux_sheet_RRS!$D$2:$D$202,0)))</f>
        <v/>
      </c>
      <c r="X5" s="90" t="str">
        <f ca="1">IF(V5="","",INDIRECT("aux_sheet_RRS!AF"&amp;1+MATCH(aux_sheet_RRS!$E4,aux_sheet_RRS!$D$2:$D$202,0)))</f>
        <v/>
      </c>
      <c r="Y5" s="106" t="str">
        <f ca="1">IF($B5="","",INDIRECT("aux_sheet_RRS!AG"&amp;1+MATCH(aux_sheet_RRS!$E4,aux_sheet_RRS!$D$2:$D$202,0)))</f>
        <v/>
      </c>
      <c r="Z5" s="89" t="str">
        <f ca="1">IF($B5="","",INDIRECT("aux_sheet_RRS!AH"&amp;1+MATCH(aux_sheet_RRS!$E4,aux_sheet_RRS!$D$2:$D$202,0)))</f>
        <v/>
      </c>
      <c r="AA5" s="90" t="str">
        <f ca="1">IF(Y5="","",INDIRECT("aux_sheet_RRS!AI"&amp;1+MATCH(aux_sheet_RRS!$E4,aux_sheet_RRS!$D$2:$D$202,0)))</f>
        <v/>
      </c>
      <c r="AB5" s="88" t="str">
        <f ca="1">IF($B5="","",INDIRECT("aux_sheet_RRS!AJ"&amp;1+MATCH(aux_sheet_RRS!$E4,aux_sheet_RRS!$D$2:$D$202,0)))</f>
        <v/>
      </c>
      <c r="AC5" s="89" t="str">
        <f ca="1">IF($B5="","",INDIRECT("aux_sheet_RRS!AK"&amp;1+MATCH(aux_sheet_RRS!$E4,aux_sheet_RRS!$D$2:$D$202,0)))</f>
        <v/>
      </c>
      <c r="AD5" s="90" t="str">
        <f ca="1">IF(AB5="","",INDIRECT("aux_sheet_RRS!AL"&amp;1+MATCH(aux_sheet_RRS!$E4,aux_sheet_RRS!$D$2:$D$202,0)))</f>
        <v/>
      </c>
      <c r="AE5" s="88" t="str">
        <f ca="1">IF($B5="","",INDIRECT("aux_sheet_RRS!AM"&amp;1+MATCH(aux_sheet_RRS!$E4,aux_sheet_RRS!$D$2:$D$202,0)))</f>
        <v/>
      </c>
      <c r="AF5" s="89" t="str">
        <f ca="1">IF($B5="","",INDIRECT("aux_sheet_RRS!AN"&amp;1+MATCH(aux_sheet_RRS!$E4,aux_sheet_RRS!$D$2:$D$202,0)))</f>
        <v/>
      </c>
      <c r="AG5" s="90" t="str">
        <f ca="1">IF(AE5="","",INDIRECT("aux_sheet_RRS!AO"&amp;1+MATCH(aux_sheet_RRS!$E4,aux_sheet_RRS!$D$2:$D$202,0)))</f>
        <v/>
      </c>
      <c r="AH5" s="14">
        <f t="shared" ref="AH5:AH12" ca="1" si="0">IF(B5&lt;&gt;"",F4-F5,"")</f>
        <v>112</v>
      </c>
      <c r="AI5">
        <f t="shared" ref="AI5:AI12" ca="1" si="1">IF(B5&lt;&gt;"",ROUNDUP(10^((F4-F5)/500)*100-100,0),"")</f>
        <v>68</v>
      </c>
      <c r="AJ5">
        <f t="shared" ref="AJ5:AJ12" ca="1" si="2">IF(B5&lt;&gt;"",ROUNDUP(10^((F4-F5)/500),2),"")</f>
        <v>1.68</v>
      </c>
    </row>
    <row r="6" spans="1:42" x14ac:dyDescent="0.35">
      <c r="A6" s="2">
        <f>IF(ISBLANK(Input!A5),"",ROUNDDOWN(aux_sheet_RRS!E5,0))</f>
        <v>4</v>
      </c>
      <c r="B6" s="2" t="str">
        <f ca="1">IF(ISBLANK(Input!A5),"",INDIRECT("Input!A"&amp;1+MATCH(aux_sheet_RRS!$E5,aux_sheet_RRS!$D$2:$D$202,0)))</f>
        <v>test2</v>
      </c>
      <c r="C6" s="2" t="str">
        <f ca="1">IF(ISBLANK(Input!B5),"",INDIRECT("Input!B"&amp;1+MATCH(aux_sheet_RRS!$E5,aux_sheet_RRS!$D$2:$D$202,0)))</f>
        <v>a2</v>
      </c>
      <c r="D6" s="2" t="str">
        <f ca="1">IF(ISBLANK(Input!C5),"",INDIRECT("Input!C"&amp;1+MATCH(aux_sheet_RRS!$E5,aux_sheet_RRS!$D$2:$D$202,0)))</f>
        <v>b2</v>
      </c>
      <c r="E6" s="2" t="str">
        <f ca="1">IF(ISBLANK(Input!D5),"",INDIRECT("Input!D"&amp;1+MATCH(aux_sheet_RRS!$E5,aux_sheet_RRS!$D$2:$D$202,0)))</f>
        <v>j</v>
      </c>
      <c r="F6" s="11">
        <f ca="1">INDIRECT("Input!H"&amp;1+MATCH(aux_sheet_RRS!$E5,aux_sheet_RRS!$D$2:$D$202,0))</f>
        <v>1619</v>
      </c>
      <c r="G6" s="88">
        <f ca="1">IF($B6="","",INDIRECT("aux_sheet_RRS!O"&amp;1+MATCH(aux_sheet_RRS!$E5,aux_sheet_RRS!$D$2:$D$202,0)))</f>
        <v>4</v>
      </c>
      <c r="H6" s="89">
        <f ca="1">IF($B6="","",INDIRECT("aux_sheet_RRS!P"&amp;1+MATCH(aux_sheet_RRS!$E5,aux_sheet_RRS!$D$2:$D$202,0)))</f>
        <v>3</v>
      </c>
      <c r="I6" s="90">
        <f ca="1">IF(G6="","",ROUNDDOWN(INDIRECT("aux_sheet_RRS!Q"&amp;1+MATCH(aux_sheet_RRS!$E5,aux_sheet_RRS!$D$2:$D$202,0)),0))</f>
        <v>347</v>
      </c>
      <c r="J6" s="106">
        <f ca="1">IF($B6="","",INDIRECT("aux_sheet_RRS!R"&amp;1+MATCH(aux_sheet_RRS!$E5,aux_sheet_RRS!$D$2:$D$202,0)))</f>
        <v>3</v>
      </c>
      <c r="K6" s="89">
        <f ca="1">IF($B6="","",INDIRECT("aux_sheet_RRS!S"&amp;1+MATCH(aux_sheet_RRS!$E5,aux_sheet_RRS!$D$2:$D$202,0)))</f>
        <v>4</v>
      </c>
      <c r="L6" s="90">
        <f ca="1">IF(J6="","",ROUNDDOWN(INDIRECT("aux_sheet_RRS!T"&amp;1+MATCH(aux_sheet_RRS!$E5,aux_sheet_RRS!$D$2:$D$202,0)),0))</f>
        <v>299</v>
      </c>
      <c r="M6" s="106">
        <f ca="1">IF($B6="","",INDIRECT("aux_sheet_RRS!U"&amp;1+MATCH(aux_sheet_RRS!$E5,aux_sheet_RRS!$D$2:$D$202,0)))</f>
        <v>7</v>
      </c>
      <c r="N6" s="89">
        <f ca="1">IF($B6="","",INDIRECT("aux_sheet_RRS!V"&amp;1+MATCH(aux_sheet_RRS!$E5,aux_sheet_RRS!$D$2:$D$202,0)))</f>
        <v>4</v>
      </c>
      <c r="O6" s="90">
        <f ca="1">IF(M6="","",ROUNDDOWN(INDIRECT("aux_sheet_RRS!W"&amp;1+MATCH(aux_sheet_RRS!$E5,aux_sheet_RRS!$D$2:$D$202,0)),0))</f>
        <v>586</v>
      </c>
      <c r="P6" s="106">
        <f ca="1">IF($B6="","",INDIRECT("aux_sheet_RRS!X"&amp;1+MATCH(aux_sheet_RRS!$E5,aux_sheet_RRS!$D$2:$D$202,0)))</f>
        <v>1</v>
      </c>
      <c r="Q6" s="89">
        <f ca="1">IF($B6="","",INDIRECT("aux_sheet_RRS!Y"&amp;1+MATCH(aux_sheet_RRS!$E5,aux_sheet_RRS!$D$2:$D$202,0)))</f>
        <v>4</v>
      </c>
      <c r="R6" s="90">
        <f ca="1">IF(P6="","",INDIRECT("aux_sheet_RRS!Z"&amp;1+MATCH(aux_sheet_RRS!$E5,aux_sheet_RRS!$D$2:$D$202,0)))</f>
        <v>387</v>
      </c>
      <c r="S6" s="106" t="str">
        <f ca="1">IF($B6="","",INDIRECT("aux_sheet_RRS!AA"&amp;1+MATCH(aux_sheet_RRS!$E5,aux_sheet_RRS!$D$2:$D$202,0)))</f>
        <v/>
      </c>
      <c r="T6" s="89" t="str">
        <f ca="1">IF($B6="","",INDIRECT("aux_sheet_RRS!AB"&amp;1+MATCH(aux_sheet_RRS!$E5,aux_sheet_RRS!$D$2:$D$202,0)))</f>
        <v/>
      </c>
      <c r="U6" s="90" t="str">
        <f ca="1">IF(S6="","",INDIRECT("aux_sheet_RRS!AC"&amp;1+MATCH(aux_sheet_RRS!$E5,aux_sheet_RRS!$D$2:$D$202,0)))</f>
        <v/>
      </c>
      <c r="V6" s="106" t="str">
        <f ca="1">IF($B6="","",INDIRECT("aux_sheet_RRS!AD"&amp;1+MATCH(aux_sheet_RRS!$E5,aux_sheet_RRS!$D$2:$D$202,0)))</f>
        <v/>
      </c>
      <c r="W6" s="89" t="str">
        <f ca="1">IF($B6="","",INDIRECT("aux_sheet_RRS!AE"&amp;1+MATCH(aux_sheet_RRS!$E5,aux_sheet_RRS!$D$2:$D$202,0)))</f>
        <v/>
      </c>
      <c r="X6" s="90" t="str">
        <f ca="1">IF(V6="","",INDIRECT("aux_sheet_RRS!AF"&amp;1+MATCH(aux_sheet_RRS!$E5,aux_sheet_RRS!$D$2:$D$202,0)))</f>
        <v/>
      </c>
      <c r="Y6" s="106" t="str">
        <f ca="1">IF($B6="","",INDIRECT("aux_sheet_RRS!AG"&amp;1+MATCH(aux_sheet_RRS!$E5,aux_sheet_RRS!$D$2:$D$202,0)))</f>
        <v/>
      </c>
      <c r="Z6" s="89" t="str">
        <f ca="1">IF($B6="","",INDIRECT("aux_sheet_RRS!AH"&amp;1+MATCH(aux_sheet_RRS!$E5,aux_sheet_RRS!$D$2:$D$202,0)))</f>
        <v/>
      </c>
      <c r="AA6" s="90" t="str">
        <f ca="1">IF(Y6="","",INDIRECT("aux_sheet_RRS!AI"&amp;1+MATCH(aux_sheet_RRS!$E5,aux_sheet_RRS!$D$2:$D$202,0)))</f>
        <v/>
      </c>
      <c r="AB6" s="88" t="str">
        <f ca="1">IF($B6="","",INDIRECT("aux_sheet_RRS!AJ"&amp;1+MATCH(aux_sheet_RRS!$E5,aux_sheet_RRS!$D$2:$D$202,0)))</f>
        <v/>
      </c>
      <c r="AC6" s="89" t="str">
        <f ca="1">IF($B6="","",INDIRECT("aux_sheet_RRS!AK"&amp;1+MATCH(aux_sheet_RRS!$E5,aux_sheet_RRS!$D$2:$D$202,0)))</f>
        <v/>
      </c>
      <c r="AD6" s="90" t="str">
        <f ca="1">IF(AB6="","",INDIRECT("aux_sheet_RRS!AL"&amp;1+MATCH(aux_sheet_RRS!$E5,aux_sheet_RRS!$D$2:$D$202,0)))</f>
        <v/>
      </c>
      <c r="AE6" s="88" t="str">
        <f ca="1">IF($B6="","",INDIRECT("aux_sheet_RRS!AM"&amp;1+MATCH(aux_sheet_RRS!$E5,aux_sheet_RRS!$D$2:$D$202,0)))</f>
        <v/>
      </c>
      <c r="AF6" s="89" t="str">
        <f ca="1">IF($B6="","",INDIRECT("aux_sheet_RRS!AN"&amp;1+MATCH(aux_sheet_RRS!$E5,aux_sheet_RRS!$D$2:$D$202,0)))</f>
        <v/>
      </c>
      <c r="AG6" s="90" t="str">
        <f ca="1">IF(AE6="","",INDIRECT("aux_sheet_RRS!AO"&amp;1+MATCH(aux_sheet_RRS!$E5,aux_sheet_RRS!$D$2:$D$202,0)))</f>
        <v/>
      </c>
      <c r="AH6" s="14">
        <f t="shared" ca="1" si="0"/>
        <v>158</v>
      </c>
      <c r="AI6">
        <f t="shared" ca="1" si="1"/>
        <v>108</v>
      </c>
      <c r="AJ6">
        <f t="shared" ca="1" si="2"/>
        <v>2.0799999999999996</v>
      </c>
    </row>
    <row r="7" spans="1:42" x14ac:dyDescent="0.35">
      <c r="A7" s="2">
        <f>IF(ISBLANK(Input!A6),"",ROUNDDOWN(aux_sheet_RRS!E6,0))</f>
        <v>5</v>
      </c>
      <c r="B7" s="2" t="str">
        <f ca="1">IF(ISBLANK(Input!A6),"",INDIRECT("Input!A"&amp;1+MATCH(aux_sheet_RRS!$E6,aux_sheet_RRS!$D$2:$D$202,0)))</f>
        <v>test1</v>
      </c>
      <c r="C7" s="2" t="str">
        <f ca="1">IF(ISBLANK(Input!B6),"",INDIRECT("Input!B"&amp;1+MATCH(aux_sheet_RRS!$E6,aux_sheet_RRS!$D$2:$D$202,0)))</f>
        <v>a1</v>
      </c>
      <c r="D7" s="2" t="str">
        <f ca="1">IF(ISBLANK(Input!C6),"",INDIRECT("Input!C"&amp;1+MATCH(aux_sheet_RRS!$E6,aux_sheet_RRS!$D$2:$D$202,0)))</f>
        <v>b1</v>
      </c>
      <c r="E7" s="2" t="str">
        <f ca="1">IF(ISBLANK(Input!D6),"",INDIRECT("Input!D"&amp;1+MATCH(aux_sheet_RRS!$E6,aux_sheet_RRS!$D$2:$D$202,0)))</f>
        <v>j</v>
      </c>
      <c r="F7" s="11">
        <f ca="1">INDIRECT("Input!H"&amp;1+MATCH(aux_sheet_RRS!$E6,aux_sheet_RRS!$D$2:$D$202,0))</f>
        <v>1178</v>
      </c>
      <c r="G7" s="88">
        <f ca="1">IF($B7="","",INDIRECT("aux_sheet_RRS!O"&amp;1+MATCH(aux_sheet_RRS!$E6,aux_sheet_RRS!$D$2:$D$202,0)))</f>
        <v>5</v>
      </c>
      <c r="H7" s="89">
        <f ca="1">IF($B7="","",INDIRECT("aux_sheet_RRS!P"&amp;1+MATCH(aux_sheet_RRS!$E6,aux_sheet_RRS!$D$2:$D$202,0)))</f>
        <v>2</v>
      </c>
      <c r="I7" s="90">
        <f ca="1">IF(G7="","",ROUNDDOWN(INDIRECT("aux_sheet_RRS!Q"&amp;1+MATCH(aux_sheet_RRS!$E6,aux_sheet_RRS!$D$2:$D$202,0)),0))</f>
        <v>387</v>
      </c>
      <c r="J7" s="106">
        <f ca="1">IF($B7="","",INDIRECT("aux_sheet_RRS!R"&amp;1+MATCH(aux_sheet_RRS!$E6,aux_sheet_RRS!$D$2:$D$202,0)))</f>
        <v>2</v>
      </c>
      <c r="K7" s="89">
        <f ca="1">IF($B7="","",INDIRECT("aux_sheet_RRS!S"&amp;1+MATCH(aux_sheet_RRS!$E6,aux_sheet_RRS!$D$2:$D$202,0)))</f>
        <v>5</v>
      </c>
      <c r="L7" s="90">
        <f ca="1">IF(J7="","",ROUNDDOWN(INDIRECT("aux_sheet_RRS!T"&amp;1+MATCH(aux_sheet_RRS!$E6,aux_sheet_RRS!$D$2:$D$202,0)),0))</f>
        <v>237</v>
      </c>
      <c r="M7" s="106">
        <f ca="1">IF($B7="","",INDIRECT("aux_sheet_RRS!U"&amp;1+MATCH(aux_sheet_RRS!$E6,aux_sheet_RRS!$D$2:$D$202,0)))</f>
        <v>6</v>
      </c>
      <c r="N7" s="89">
        <f ca="1">IF($B7="","",INDIRECT("aux_sheet_RRS!V"&amp;1+MATCH(aux_sheet_RRS!$E6,aux_sheet_RRS!$D$2:$D$202,0)))</f>
        <v>5</v>
      </c>
      <c r="O7" s="90">
        <f ca="1">IF(M7="","",ROUNDDOWN(INDIRECT("aux_sheet_RRS!W"&amp;1+MATCH(aux_sheet_RRS!$E6,aux_sheet_RRS!$D$2:$D$202,0)),0))</f>
        <v>554</v>
      </c>
      <c r="P7" s="106">
        <f ca="1">IF($B7="","",INDIRECT("aux_sheet_RRS!X"&amp;1+MATCH(aux_sheet_RRS!$E6,aux_sheet_RRS!$D$2:$D$202,0)))</f>
        <v>0</v>
      </c>
      <c r="Q7" s="89">
        <f ca="1">IF($B7="","",INDIRECT("aux_sheet_RRS!Y"&amp;1+MATCH(aux_sheet_RRS!$E6,aux_sheet_RRS!$D$2:$D$202,0)))</f>
        <v>5</v>
      </c>
      <c r="R7" s="90">
        <f ca="1">IF(P7="","",INDIRECT("aux_sheet_RRS!Z"&amp;1+MATCH(aux_sheet_RRS!$E6,aux_sheet_RRS!$D$2:$D$202,0)))</f>
        <v>0</v>
      </c>
      <c r="S7" s="106" t="str">
        <f ca="1">IF($B7="","",INDIRECT("aux_sheet_RRS!AA"&amp;1+MATCH(aux_sheet_RRS!$E6,aux_sheet_RRS!$D$2:$D$202,0)))</f>
        <v/>
      </c>
      <c r="T7" s="89" t="str">
        <f ca="1">IF($B7="","",INDIRECT("aux_sheet_RRS!AB"&amp;1+MATCH(aux_sheet_RRS!$E6,aux_sheet_RRS!$D$2:$D$202,0)))</f>
        <v/>
      </c>
      <c r="U7" s="90" t="str">
        <f ca="1">IF(S7="","",INDIRECT("aux_sheet_RRS!AC"&amp;1+MATCH(aux_sheet_RRS!$E6,aux_sheet_RRS!$D$2:$D$202,0)))</f>
        <v/>
      </c>
      <c r="V7" s="106" t="str">
        <f ca="1">IF($B7="","",INDIRECT("aux_sheet_RRS!AD"&amp;1+MATCH(aux_sheet_RRS!$E6,aux_sheet_RRS!$D$2:$D$202,0)))</f>
        <v/>
      </c>
      <c r="W7" s="89" t="str">
        <f ca="1">IF($B7="","",INDIRECT("aux_sheet_RRS!AE"&amp;1+MATCH(aux_sheet_RRS!$E6,aux_sheet_RRS!$D$2:$D$202,0)))</f>
        <v/>
      </c>
      <c r="X7" s="90" t="str">
        <f ca="1">IF(V7="","",INDIRECT("aux_sheet_RRS!AF"&amp;1+MATCH(aux_sheet_RRS!$E6,aux_sheet_RRS!$D$2:$D$202,0)))</f>
        <v/>
      </c>
      <c r="Y7" s="106" t="str">
        <f ca="1">IF($B7="","",INDIRECT("aux_sheet_RRS!AG"&amp;1+MATCH(aux_sheet_RRS!$E6,aux_sheet_RRS!$D$2:$D$202,0)))</f>
        <v/>
      </c>
      <c r="Z7" s="89" t="str">
        <f ca="1">IF($B7="","",INDIRECT("aux_sheet_RRS!AH"&amp;1+MATCH(aux_sheet_RRS!$E6,aux_sheet_RRS!$D$2:$D$202,0)))</f>
        <v/>
      </c>
      <c r="AA7" s="90" t="str">
        <f ca="1">IF(Y7="","",INDIRECT("aux_sheet_RRS!AI"&amp;1+MATCH(aux_sheet_RRS!$E6,aux_sheet_RRS!$D$2:$D$202,0)))</f>
        <v/>
      </c>
      <c r="AB7" s="88" t="str">
        <f ca="1">IF($B7="","",INDIRECT("aux_sheet_RRS!AJ"&amp;1+MATCH(aux_sheet_RRS!$E6,aux_sheet_RRS!$D$2:$D$202,0)))</f>
        <v/>
      </c>
      <c r="AC7" s="89" t="str">
        <f ca="1">IF($B7="","",INDIRECT("aux_sheet_RRS!AK"&amp;1+MATCH(aux_sheet_RRS!$E6,aux_sheet_RRS!$D$2:$D$202,0)))</f>
        <v/>
      </c>
      <c r="AD7" s="90" t="str">
        <f ca="1">IF(AB7="","",INDIRECT("aux_sheet_RRS!AL"&amp;1+MATCH(aux_sheet_RRS!$E6,aux_sheet_RRS!$D$2:$D$202,0)))</f>
        <v/>
      </c>
      <c r="AE7" s="88" t="str">
        <f ca="1">IF($B7="","",INDIRECT("aux_sheet_RRS!AM"&amp;1+MATCH(aux_sheet_RRS!$E6,aux_sheet_RRS!$D$2:$D$202,0)))</f>
        <v/>
      </c>
      <c r="AF7" s="89" t="str">
        <f ca="1">IF($B7="","",INDIRECT("aux_sheet_RRS!AN"&amp;1+MATCH(aux_sheet_RRS!$E6,aux_sheet_RRS!$D$2:$D$202,0)))</f>
        <v/>
      </c>
      <c r="AG7" s="90" t="str">
        <f ca="1">IF(AE7="","",INDIRECT("aux_sheet_RRS!AO"&amp;1+MATCH(aux_sheet_RRS!$E6,aux_sheet_RRS!$D$2:$D$202,0)))</f>
        <v/>
      </c>
      <c r="AH7" s="14">
        <f t="shared" ca="1" si="0"/>
        <v>441</v>
      </c>
      <c r="AI7">
        <f t="shared" ca="1" si="1"/>
        <v>663</v>
      </c>
      <c r="AJ7">
        <f t="shared" ca="1" si="2"/>
        <v>7.63</v>
      </c>
    </row>
    <row r="8" spans="1:42" x14ac:dyDescent="0.35">
      <c r="A8" s="2">
        <f>IF(ISBLANK(Input!A7),"",ROUNDDOWN(aux_sheet_RRS!E7,0))</f>
        <v>6</v>
      </c>
      <c r="B8" s="2" t="str">
        <f ca="1">IF(ISBLANK(Input!A7),"",INDIRECT("Input!A"&amp;1+MATCH(aux_sheet_RRS!$E7,aux_sheet_RRS!$D$2:$D$202,0)))</f>
        <v>test</v>
      </c>
      <c r="C8" s="2" t="str">
        <f ca="1">IF(ISBLANK(Input!B7),"",INDIRECT("Input!B"&amp;1+MATCH(aux_sheet_RRS!$E7,aux_sheet_RRS!$D$2:$D$202,0)))</f>
        <v>a</v>
      </c>
      <c r="D8" s="2" t="str">
        <f ca="1">IF(ISBLANK(Input!C7),"",INDIRECT("Input!C"&amp;1+MATCH(aux_sheet_RRS!$E7,aux_sheet_RRS!$D$2:$D$202,0)))</f>
        <v>b</v>
      </c>
      <c r="E8" s="2" t="str">
        <f ca="1">IF(ISBLANK(Input!D7),"",INDIRECT("Input!D"&amp;1+MATCH(aux_sheet_RRS!$E7,aux_sheet_RRS!$D$2:$D$202,0)))</f>
        <v>j</v>
      </c>
      <c r="F8" s="11">
        <f ca="1">INDIRECT("Input!H"&amp;1+MATCH(aux_sheet_RRS!$E7,aux_sheet_RRS!$D$2:$D$202,0))</f>
        <v>887</v>
      </c>
      <c r="G8" s="88">
        <f ca="1">IF($B8="","",INDIRECT("aux_sheet_RRS!O"&amp;1+MATCH(aux_sheet_RRS!$E7,aux_sheet_RRS!$D$2:$D$202,0)))</f>
        <v>6</v>
      </c>
      <c r="H8" s="89">
        <f ca="1">IF($B8="","",INDIRECT("aux_sheet_RRS!P"&amp;1+MATCH(aux_sheet_RRS!$E7,aux_sheet_RRS!$D$2:$D$202,0)))</f>
        <v>1</v>
      </c>
      <c r="I8" s="90">
        <f ca="1">IF(G8="","",ROUNDDOWN(INDIRECT("aux_sheet_RRS!Q"&amp;1+MATCH(aux_sheet_RRS!$E7,aux_sheet_RRS!$D$2:$D$202,0)),0))</f>
        <v>420</v>
      </c>
      <c r="J8" s="106">
        <f ca="1">IF($B8="","",INDIRECT("aux_sheet_RRS!R"&amp;1+MATCH(aux_sheet_RRS!$E7,aux_sheet_RRS!$D$2:$D$202,0)))</f>
        <v>1</v>
      </c>
      <c r="K8" s="89">
        <f ca="1">IF($B8="","",INDIRECT("aux_sheet_RRS!S"&amp;1+MATCH(aux_sheet_RRS!$E7,aux_sheet_RRS!$D$2:$D$202,0)))</f>
        <v>6</v>
      </c>
      <c r="L8" s="90">
        <f ca="1">IF(J8="","",ROUNDDOWN(INDIRECT("aux_sheet_RRS!T"&amp;1+MATCH(aux_sheet_RRS!$E7,aux_sheet_RRS!$D$2:$D$202,0)),0))</f>
        <v>149</v>
      </c>
      <c r="M8" s="106">
        <f ca="1">IF($B8="","",INDIRECT("aux_sheet_RRS!U"&amp;1+MATCH(aux_sheet_RRS!$E7,aux_sheet_RRS!$D$2:$D$202,0)))</f>
        <v>5</v>
      </c>
      <c r="N8" s="89">
        <f ca="1">IF($B8="","",INDIRECT("aux_sheet_RRS!V"&amp;1+MATCH(aux_sheet_RRS!$E7,aux_sheet_RRS!$D$2:$D$202,0)))</f>
        <v>6</v>
      </c>
      <c r="O8" s="90">
        <f ca="1">IF(M8="","",ROUNDDOWN(INDIRECT("aux_sheet_RRS!W"&amp;1+MATCH(aux_sheet_RRS!$E7,aux_sheet_RRS!$D$2:$D$202,0)),0))</f>
        <v>518</v>
      </c>
      <c r="P8" s="106" t="str">
        <f ca="1">IF($B8="","",INDIRECT("aux_sheet_RRS!X"&amp;1+MATCH(aux_sheet_RRS!$E7,aux_sheet_RRS!$D$2:$D$202,0)))</f>
        <v>np</v>
      </c>
      <c r="Q8" s="89">
        <f ca="1">IF($B8="","",INDIRECT("aux_sheet_RRS!Y"&amp;1+MATCH(aux_sheet_RRS!$E7,aux_sheet_RRS!$D$2:$D$202,0)))</f>
        <v>6</v>
      </c>
      <c r="R8" s="90">
        <f ca="1">IF(P8="","",INDIRECT("aux_sheet_RRS!Z"&amp;1+MATCH(aux_sheet_RRS!$E7,aux_sheet_RRS!$D$2:$D$202,0)))</f>
        <v>-200</v>
      </c>
      <c r="S8" s="106" t="str">
        <f ca="1">IF($B8="","",INDIRECT("aux_sheet_RRS!AA"&amp;1+MATCH(aux_sheet_RRS!$E7,aux_sheet_RRS!$D$2:$D$202,0)))</f>
        <v/>
      </c>
      <c r="T8" s="89" t="str">
        <f ca="1">IF($B8="","",INDIRECT("aux_sheet_RRS!AB"&amp;1+MATCH(aux_sheet_RRS!$E7,aux_sheet_RRS!$D$2:$D$202,0)))</f>
        <v/>
      </c>
      <c r="U8" s="90" t="str">
        <f ca="1">IF(S8="","",INDIRECT("aux_sheet_RRS!AC"&amp;1+MATCH(aux_sheet_RRS!$E7,aux_sheet_RRS!$D$2:$D$202,0)))</f>
        <v/>
      </c>
      <c r="V8" s="106" t="str">
        <f ca="1">IF($B8="","",INDIRECT("aux_sheet_RRS!AD"&amp;1+MATCH(aux_sheet_RRS!$E7,aux_sheet_RRS!$D$2:$D$202,0)))</f>
        <v/>
      </c>
      <c r="W8" s="89" t="str">
        <f ca="1">IF($B8="","",INDIRECT("aux_sheet_RRS!AE"&amp;1+MATCH(aux_sheet_RRS!$E7,aux_sheet_RRS!$D$2:$D$202,0)))</f>
        <v/>
      </c>
      <c r="X8" s="90" t="str">
        <f ca="1">IF(V8="","",INDIRECT("aux_sheet_RRS!AF"&amp;1+MATCH(aux_sheet_RRS!$E7,aux_sheet_RRS!$D$2:$D$202,0)))</f>
        <v/>
      </c>
      <c r="Y8" s="106" t="str">
        <f ca="1">IF($B8="","",INDIRECT("aux_sheet_RRS!AG"&amp;1+MATCH(aux_sheet_RRS!$E7,aux_sheet_RRS!$D$2:$D$202,0)))</f>
        <v/>
      </c>
      <c r="Z8" s="89" t="str">
        <f ca="1">IF($B8="","",INDIRECT("aux_sheet_RRS!AH"&amp;1+MATCH(aux_sheet_RRS!$E7,aux_sheet_RRS!$D$2:$D$202,0)))</f>
        <v/>
      </c>
      <c r="AA8" s="90" t="str">
        <f ca="1">IF(Y8="","",INDIRECT("aux_sheet_RRS!AI"&amp;1+MATCH(aux_sheet_RRS!$E7,aux_sheet_RRS!$D$2:$D$202,0)))</f>
        <v/>
      </c>
      <c r="AB8" s="88" t="str">
        <f ca="1">IF($B8="","",INDIRECT("aux_sheet_RRS!AJ"&amp;1+MATCH(aux_sheet_RRS!$E7,aux_sheet_RRS!$D$2:$D$202,0)))</f>
        <v/>
      </c>
      <c r="AC8" s="89" t="str">
        <f ca="1">IF($B8="","",INDIRECT("aux_sheet_RRS!AK"&amp;1+MATCH(aux_sheet_RRS!$E7,aux_sheet_RRS!$D$2:$D$202,0)))</f>
        <v/>
      </c>
      <c r="AD8" s="90" t="str">
        <f ca="1">IF(AB8="","",INDIRECT("aux_sheet_RRS!AL"&amp;1+MATCH(aux_sheet_RRS!$E7,aux_sheet_RRS!$D$2:$D$202,0)))</f>
        <v/>
      </c>
      <c r="AE8" s="88" t="str">
        <f ca="1">IF($B8="","",INDIRECT("aux_sheet_RRS!AM"&amp;1+MATCH(aux_sheet_RRS!$E7,aux_sheet_RRS!$D$2:$D$202,0)))</f>
        <v/>
      </c>
      <c r="AF8" s="89" t="str">
        <f ca="1">IF($B8="","",INDIRECT("aux_sheet_RRS!AN"&amp;1+MATCH(aux_sheet_RRS!$E7,aux_sheet_RRS!$D$2:$D$202,0)))</f>
        <v/>
      </c>
      <c r="AG8" s="90" t="str">
        <f ca="1">IF(AE8="","",INDIRECT("aux_sheet_RRS!AO"&amp;1+MATCH(aux_sheet_RRS!$E7,aux_sheet_RRS!$D$2:$D$202,0)))</f>
        <v/>
      </c>
      <c r="AH8" s="14">
        <f t="shared" ca="1" si="0"/>
        <v>291</v>
      </c>
      <c r="AI8">
        <f t="shared" ca="1" si="1"/>
        <v>282</v>
      </c>
      <c r="AJ8">
        <f t="shared" ca="1" si="2"/>
        <v>3.82</v>
      </c>
    </row>
    <row r="9" spans="1:42" x14ac:dyDescent="0.35">
      <c r="A9" s="2" t="str">
        <f>IF(ISBLANK(Input!A8),"",ROUNDDOWN(aux_sheet_RRS!E8,0))</f>
        <v/>
      </c>
      <c r="B9" s="2" t="str">
        <f ca="1">IF(ISBLANK(Input!A8),"",INDIRECT("Input!A"&amp;1+MATCH(aux_sheet_RRS!$E8,aux_sheet_RRS!$D$2:$D$202,0)))</f>
        <v/>
      </c>
      <c r="C9" s="2" t="str">
        <f ca="1">IF(ISBLANK(Input!B8),"",INDIRECT("Input!B"&amp;1+MATCH(aux_sheet_RRS!$E8,aux_sheet_RRS!$D$2:$D$202,0)))</f>
        <v/>
      </c>
      <c r="D9" s="2" t="str">
        <f ca="1">IF(ISBLANK(Input!C8),"",INDIRECT("Input!C"&amp;1+MATCH(aux_sheet_RRS!$E8,aux_sheet_RRS!$D$2:$D$202,0)))</f>
        <v/>
      </c>
      <c r="E9" s="2" t="str">
        <f ca="1">IF(ISBLANK(Input!D8),"",INDIRECT("Input!D"&amp;1+MATCH(aux_sheet_RRS!$E8,aux_sheet_RRS!$D$2:$D$202,0)))</f>
        <v/>
      </c>
      <c r="F9" s="11" t="str">
        <f ca="1">INDIRECT("Input!H"&amp;1+MATCH(aux_sheet_RRS!$E8,aux_sheet_RRS!$D$2:$D$202,0))</f>
        <v xml:space="preserve"> </v>
      </c>
      <c r="G9" s="88" t="str">
        <f ca="1">IF($B9="","",INDIRECT("aux_sheet_RRS!O"&amp;1+MATCH(aux_sheet_RRS!$E8,aux_sheet_RRS!$D$2:$D$202,0)))</f>
        <v/>
      </c>
      <c r="H9" s="89" t="str">
        <f ca="1">IF($B9="","",INDIRECT("aux_sheet_RRS!P"&amp;1+MATCH(aux_sheet_RRS!$E8,aux_sheet_RRS!$D$2:$D$202,0)))</f>
        <v/>
      </c>
      <c r="I9" s="90" t="str">
        <f ca="1">IF(G9="","",ROUNDDOWN(INDIRECT("aux_sheet_RRS!Q"&amp;1+MATCH(aux_sheet_RRS!$E8,aux_sheet_RRS!$D$2:$D$202,0)),0))</f>
        <v/>
      </c>
      <c r="J9" s="106" t="str">
        <f ca="1">IF($B9="","",INDIRECT("aux_sheet_RRS!R"&amp;1+MATCH(aux_sheet_RRS!$E8,aux_sheet_RRS!$D$2:$D$202,0)))</f>
        <v/>
      </c>
      <c r="K9" s="89" t="str">
        <f ca="1">IF($B9="","",INDIRECT("aux_sheet_RRS!S"&amp;1+MATCH(aux_sheet_RRS!$E8,aux_sheet_RRS!$D$2:$D$202,0)))</f>
        <v/>
      </c>
      <c r="L9" s="90" t="str">
        <f ca="1">IF(J9="","",ROUNDDOWN(INDIRECT("aux_sheet_RRS!T"&amp;1+MATCH(aux_sheet_RRS!$E8,aux_sheet_RRS!$D$2:$D$202,0)),0))</f>
        <v/>
      </c>
      <c r="M9" s="106" t="str">
        <f ca="1">IF($B9="","",INDIRECT("aux_sheet_RRS!U"&amp;1+MATCH(aux_sheet_RRS!$E8,aux_sheet_RRS!$D$2:$D$202,0)))</f>
        <v/>
      </c>
      <c r="N9" s="89" t="str">
        <f ca="1">IF($B9="","",INDIRECT("aux_sheet_RRS!V"&amp;1+MATCH(aux_sheet_RRS!$E8,aux_sheet_RRS!$D$2:$D$202,0)))</f>
        <v/>
      </c>
      <c r="O9" s="90" t="str">
        <f ca="1">IF(M9="","",ROUNDDOWN(INDIRECT("aux_sheet_RRS!W"&amp;1+MATCH(aux_sheet_RRS!$E8,aux_sheet_RRS!$D$2:$D$202,0)),0))</f>
        <v/>
      </c>
      <c r="P9" s="106" t="str">
        <f ca="1">IF($B9="","",INDIRECT("aux_sheet_RRS!X"&amp;1+MATCH(aux_sheet_RRS!$E8,aux_sheet_RRS!$D$2:$D$202,0)))</f>
        <v/>
      </c>
      <c r="Q9" s="89" t="str">
        <f ca="1">IF($B9="","",INDIRECT("aux_sheet_RRS!Y"&amp;1+MATCH(aux_sheet_RRS!$E8,aux_sheet_RRS!$D$2:$D$202,0)))</f>
        <v/>
      </c>
      <c r="R9" s="90" t="str">
        <f ca="1">IF(P9="","",INDIRECT("aux_sheet_RRS!Z"&amp;1+MATCH(aux_sheet_RRS!$E8,aux_sheet_RRS!$D$2:$D$202,0)))</f>
        <v/>
      </c>
      <c r="S9" s="106" t="str">
        <f ca="1">IF($B9="","",INDIRECT("aux_sheet_RRS!AA"&amp;1+MATCH(aux_sheet_RRS!$E8,aux_sheet_RRS!$D$2:$D$202,0)))</f>
        <v/>
      </c>
      <c r="T9" s="89" t="str">
        <f ca="1">IF($B9="","",INDIRECT("aux_sheet_RRS!AB"&amp;1+MATCH(aux_sheet_RRS!$E8,aux_sheet_RRS!$D$2:$D$202,0)))</f>
        <v/>
      </c>
      <c r="U9" s="90" t="str">
        <f ca="1">IF(S9="","",INDIRECT("aux_sheet_RRS!AC"&amp;1+MATCH(aux_sheet_RRS!$E8,aux_sheet_RRS!$D$2:$D$202,0)))</f>
        <v/>
      </c>
      <c r="V9" s="106" t="str">
        <f ca="1">IF($B9="","",INDIRECT("aux_sheet_RRS!AD"&amp;1+MATCH(aux_sheet_RRS!$E8,aux_sheet_RRS!$D$2:$D$202,0)))</f>
        <v/>
      </c>
      <c r="W9" s="89" t="str">
        <f ca="1">IF($B9="","",INDIRECT("aux_sheet_RRS!AE"&amp;1+MATCH(aux_sheet_RRS!$E8,aux_sheet_RRS!$D$2:$D$202,0)))</f>
        <v/>
      </c>
      <c r="X9" s="90" t="str">
        <f ca="1">IF(V9="","",INDIRECT("aux_sheet_RRS!AF"&amp;1+MATCH(aux_sheet_RRS!$E8,aux_sheet_RRS!$D$2:$D$202,0)))</f>
        <v/>
      </c>
      <c r="Y9" s="106" t="str">
        <f ca="1">IF($B9="","",INDIRECT("aux_sheet_RRS!AG"&amp;1+MATCH(aux_sheet_RRS!$E8,aux_sheet_RRS!$D$2:$D$202,0)))</f>
        <v/>
      </c>
      <c r="Z9" s="89" t="str">
        <f ca="1">IF($B9="","",INDIRECT("aux_sheet_RRS!AH"&amp;1+MATCH(aux_sheet_RRS!$E8,aux_sheet_RRS!$D$2:$D$202,0)))</f>
        <v/>
      </c>
      <c r="AA9" s="90" t="str">
        <f ca="1">IF(Y9="","",INDIRECT("aux_sheet_RRS!AI"&amp;1+MATCH(aux_sheet_RRS!$E8,aux_sheet_RRS!$D$2:$D$202,0)))</f>
        <v/>
      </c>
      <c r="AB9" s="88" t="str">
        <f ca="1">IF($B9="","",INDIRECT("aux_sheet_RRS!AJ"&amp;1+MATCH(aux_sheet_RRS!$E8,aux_sheet_RRS!$D$2:$D$202,0)))</f>
        <v/>
      </c>
      <c r="AC9" s="89" t="str">
        <f ca="1">IF($B9="","",INDIRECT("aux_sheet_RRS!AK"&amp;1+MATCH(aux_sheet_RRS!$E8,aux_sheet_RRS!$D$2:$D$202,0)))</f>
        <v/>
      </c>
      <c r="AD9" s="90" t="str">
        <f ca="1">IF(AB9="","",INDIRECT("aux_sheet_RRS!AL"&amp;1+MATCH(aux_sheet_RRS!$E8,aux_sheet_RRS!$D$2:$D$202,0)))</f>
        <v/>
      </c>
      <c r="AE9" s="88" t="str">
        <f ca="1">IF($B9="","",INDIRECT("aux_sheet_RRS!AM"&amp;1+MATCH(aux_sheet_RRS!$E8,aux_sheet_RRS!$D$2:$D$202,0)))</f>
        <v/>
      </c>
      <c r="AF9" s="89" t="str">
        <f ca="1">IF($B9="","",INDIRECT("aux_sheet_RRS!AN"&amp;1+MATCH(aux_sheet_RRS!$E8,aux_sheet_RRS!$D$2:$D$202,0)))</f>
        <v/>
      </c>
      <c r="AG9" s="90" t="str">
        <f ca="1">IF(AE9="","",INDIRECT("aux_sheet_RRS!AO"&amp;1+MATCH(aux_sheet_RRS!$E8,aux_sheet_RRS!$D$2:$D$202,0)))</f>
        <v/>
      </c>
      <c r="AH9" s="14" t="str">
        <f t="shared" ca="1" si="0"/>
        <v/>
      </c>
      <c r="AI9" t="str">
        <f t="shared" ca="1" si="1"/>
        <v/>
      </c>
      <c r="AJ9" t="str">
        <f t="shared" ca="1" si="2"/>
        <v/>
      </c>
    </row>
    <row r="10" spans="1:42" x14ac:dyDescent="0.35">
      <c r="A10" s="2" t="str">
        <f>IF(ISBLANK(Input!A9),"",ROUNDDOWN(aux_sheet_RRS!E9,0))</f>
        <v/>
      </c>
      <c r="B10" s="2" t="str">
        <f ca="1">IF(ISBLANK(Input!A9),"",INDIRECT("Input!A"&amp;1+MATCH(aux_sheet_RRS!$E9,aux_sheet_RRS!$D$2:$D$202,0)))</f>
        <v/>
      </c>
      <c r="C10" s="2" t="str">
        <f ca="1">IF(ISBLANK(Input!B9),"",INDIRECT("Input!B"&amp;1+MATCH(aux_sheet_RRS!$E9,aux_sheet_RRS!$D$2:$D$202,0)))</f>
        <v/>
      </c>
      <c r="D10" s="2" t="str">
        <f ca="1">IF(ISBLANK(Input!C9),"",INDIRECT("Input!C"&amp;1+MATCH(aux_sheet_RRS!$E9,aux_sheet_RRS!$D$2:$D$202,0)))</f>
        <v/>
      </c>
      <c r="E10" s="2" t="str">
        <f ca="1">IF(ISBLANK(Input!D9),"",INDIRECT("Input!D"&amp;1+MATCH(aux_sheet_RRS!$E9,aux_sheet_RRS!$D$2:$D$202,0)))</f>
        <v/>
      </c>
      <c r="F10" s="11" t="str">
        <f ca="1">INDIRECT("Input!H"&amp;1+MATCH(aux_sheet_RRS!$E9,aux_sheet_RRS!$D$2:$D$202,0))</f>
        <v xml:space="preserve"> </v>
      </c>
      <c r="G10" s="88" t="str">
        <f ca="1">IF($B10="","",INDIRECT("aux_sheet_RRS!O"&amp;1+MATCH(aux_sheet_RRS!$E9,aux_sheet_RRS!$D$2:$D$202,0)))</f>
        <v/>
      </c>
      <c r="H10" s="89" t="str">
        <f ca="1">IF($B10="","",INDIRECT("aux_sheet_RRS!P"&amp;1+MATCH(aux_sheet_RRS!$E9,aux_sheet_RRS!$D$2:$D$202,0)))</f>
        <v/>
      </c>
      <c r="I10" s="90" t="str">
        <f ca="1">IF(G10="","",ROUNDDOWN(INDIRECT("aux_sheet_RRS!Q"&amp;1+MATCH(aux_sheet_RRS!$E9,aux_sheet_RRS!$D$2:$D$202,0)),0))</f>
        <v/>
      </c>
      <c r="J10" s="106" t="str">
        <f ca="1">IF($B10="","",INDIRECT("aux_sheet_RRS!R"&amp;1+MATCH(aux_sheet_RRS!$E9,aux_sheet_RRS!$D$2:$D$202,0)))</f>
        <v/>
      </c>
      <c r="K10" s="89" t="str">
        <f ca="1">IF($B10="","",INDIRECT("aux_sheet_RRS!S"&amp;1+MATCH(aux_sheet_RRS!$E9,aux_sheet_RRS!$D$2:$D$202,0)))</f>
        <v/>
      </c>
      <c r="L10" s="90" t="str">
        <f ca="1">IF(J10="","",ROUNDDOWN(INDIRECT("aux_sheet_RRS!T"&amp;1+MATCH(aux_sheet_RRS!$E9,aux_sheet_RRS!$D$2:$D$202,0)),0))</f>
        <v/>
      </c>
      <c r="M10" s="106" t="str">
        <f ca="1">IF($B10="","",INDIRECT("aux_sheet_RRS!U"&amp;1+MATCH(aux_sheet_RRS!$E9,aux_sheet_RRS!$D$2:$D$202,0)))</f>
        <v/>
      </c>
      <c r="N10" s="89" t="str">
        <f ca="1">IF($B10="","",INDIRECT("aux_sheet_RRS!V"&amp;1+MATCH(aux_sheet_RRS!$E9,aux_sheet_RRS!$D$2:$D$202,0)))</f>
        <v/>
      </c>
      <c r="O10" s="90" t="str">
        <f ca="1">IF(M10="","",ROUNDDOWN(INDIRECT("aux_sheet_RRS!W"&amp;1+MATCH(aux_sheet_RRS!$E9,aux_sheet_RRS!$D$2:$D$202,0)),0))</f>
        <v/>
      </c>
      <c r="P10" s="106" t="str">
        <f ca="1">IF($B10="","",INDIRECT("aux_sheet_RRS!X"&amp;1+MATCH(aux_sheet_RRS!$E9,aux_sheet_RRS!$D$2:$D$202,0)))</f>
        <v/>
      </c>
      <c r="Q10" s="89" t="str">
        <f ca="1">IF($B10="","",INDIRECT("aux_sheet_RRS!Y"&amp;1+MATCH(aux_sheet_RRS!$E9,aux_sheet_RRS!$D$2:$D$202,0)))</f>
        <v/>
      </c>
      <c r="R10" s="90" t="str">
        <f ca="1">IF(P10="","",INDIRECT("aux_sheet_RRS!Z"&amp;1+MATCH(aux_sheet_RRS!$E9,aux_sheet_RRS!$D$2:$D$202,0)))</f>
        <v/>
      </c>
      <c r="S10" s="106" t="str">
        <f ca="1">IF($B10="","",INDIRECT("aux_sheet_RRS!AA"&amp;1+MATCH(aux_sheet_RRS!$E9,aux_sheet_RRS!$D$2:$D$202,0)))</f>
        <v/>
      </c>
      <c r="T10" s="89" t="str">
        <f ca="1">IF($B10="","",INDIRECT("aux_sheet_RRS!AB"&amp;1+MATCH(aux_sheet_RRS!$E9,aux_sheet_RRS!$D$2:$D$202,0)))</f>
        <v/>
      </c>
      <c r="U10" s="90" t="str">
        <f ca="1">IF(S10="","",INDIRECT("aux_sheet_RRS!AC"&amp;1+MATCH(aux_sheet_RRS!$E9,aux_sheet_RRS!$D$2:$D$202,0)))</f>
        <v/>
      </c>
      <c r="V10" s="106" t="str">
        <f ca="1">IF($B10="","",INDIRECT("aux_sheet_RRS!AD"&amp;1+MATCH(aux_sheet_RRS!$E9,aux_sheet_RRS!$D$2:$D$202,0)))</f>
        <v/>
      </c>
      <c r="W10" s="89" t="str">
        <f ca="1">IF($B10="","",INDIRECT("aux_sheet_RRS!AE"&amp;1+MATCH(aux_sheet_RRS!$E9,aux_sheet_RRS!$D$2:$D$202,0)))</f>
        <v/>
      </c>
      <c r="X10" s="90" t="str">
        <f ca="1">IF(V10="","",INDIRECT("aux_sheet_RRS!AF"&amp;1+MATCH(aux_sheet_RRS!$E9,aux_sheet_RRS!$D$2:$D$202,0)))</f>
        <v/>
      </c>
      <c r="Y10" s="106" t="str">
        <f ca="1">IF($B10="","",INDIRECT("aux_sheet_RRS!AG"&amp;1+MATCH(aux_sheet_RRS!$E9,aux_sheet_RRS!$D$2:$D$202,0)))</f>
        <v/>
      </c>
      <c r="Z10" s="89" t="str">
        <f ca="1">IF($B10="","",INDIRECT("aux_sheet_RRS!AH"&amp;1+MATCH(aux_sheet_RRS!$E9,aux_sheet_RRS!$D$2:$D$202,0)))</f>
        <v/>
      </c>
      <c r="AA10" s="90" t="str">
        <f ca="1">IF(Y10="","",INDIRECT("aux_sheet_RRS!AI"&amp;1+MATCH(aux_sheet_RRS!$E9,aux_sheet_RRS!$D$2:$D$202,0)))</f>
        <v/>
      </c>
      <c r="AB10" s="88" t="str">
        <f ca="1">IF($B10="","",INDIRECT("aux_sheet_RRS!AJ"&amp;1+MATCH(aux_sheet_RRS!$E9,aux_sheet_RRS!$D$2:$D$202,0)))</f>
        <v/>
      </c>
      <c r="AC10" s="89" t="str">
        <f ca="1">IF($B10="","",INDIRECT("aux_sheet_RRS!AK"&amp;1+MATCH(aux_sheet_RRS!$E9,aux_sheet_RRS!$D$2:$D$202,0)))</f>
        <v/>
      </c>
      <c r="AD10" s="90" t="str">
        <f ca="1">IF(AB10="","",INDIRECT("aux_sheet_RRS!AL"&amp;1+MATCH(aux_sheet_RRS!$E9,aux_sheet_RRS!$D$2:$D$202,0)))</f>
        <v/>
      </c>
      <c r="AE10" s="88" t="str">
        <f ca="1">IF($B10="","",INDIRECT("aux_sheet_RRS!AM"&amp;1+MATCH(aux_sheet_RRS!$E9,aux_sheet_RRS!$D$2:$D$202,0)))</f>
        <v/>
      </c>
      <c r="AF10" s="89" t="str">
        <f ca="1">IF($B10="","",INDIRECT("aux_sheet_RRS!AN"&amp;1+MATCH(aux_sheet_RRS!$E9,aux_sheet_RRS!$D$2:$D$202,0)))</f>
        <v/>
      </c>
      <c r="AG10" s="90" t="str">
        <f ca="1">IF(AE10="","",INDIRECT("aux_sheet_RRS!AO"&amp;1+MATCH(aux_sheet_RRS!$E9,aux_sheet_RRS!$D$2:$D$202,0)))</f>
        <v/>
      </c>
      <c r="AH10" s="14" t="str">
        <f t="shared" ca="1" si="0"/>
        <v/>
      </c>
      <c r="AI10" t="str">
        <f t="shared" ca="1" si="1"/>
        <v/>
      </c>
      <c r="AJ10" t="str">
        <f t="shared" ca="1" si="2"/>
        <v/>
      </c>
    </row>
    <row r="11" spans="1:42" x14ac:dyDescent="0.35">
      <c r="A11" s="2" t="str">
        <f>IF(ISBLANK(Input!A10),"",ROUNDDOWN(aux_sheet_RRS!E10,0))</f>
        <v/>
      </c>
      <c r="B11" s="2" t="str">
        <f ca="1">IF(ISBLANK(Input!A10),"",INDIRECT("Input!A"&amp;1+MATCH(aux_sheet_RRS!$E10,aux_sheet_RRS!$D$2:$D$202,0)))</f>
        <v/>
      </c>
      <c r="C11" s="2" t="str">
        <f ca="1">IF(ISBLANK(Input!B10),"",INDIRECT("Input!B"&amp;1+MATCH(aux_sheet_RRS!$E10,aux_sheet_RRS!$D$2:$D$202,0)))</f>
        <v/>
      </c>
      <c r="D11" s="2" t="str">
        <f ca="1">IF(ISBLANK(Input!C10),"",INDIRECT("Input!C"&amp;1+MATCH(aux_sheet_RRS!$E10,aux_sheet_RRS!$D$2:$D$202,0)))</f>
        <v/>
      </c>
      <c r="E11" s="2" t="str">
        <f ca="1">IF(ISBLANK(Input!D10),"",INDIRECT("Input!D"&amp;1+MATCH(aux_sheet_RRS!$E10,aux_sheet_RRS!$D$2:$D$202,0)))</f>
        <v/>
      </c>
      <c r="F11" s="11" t="str">
        <f ca="1">INDIRECT("Input!H"&amp;1+MATCH(aux_sheet_RRS!$E10,aux_sheet_RRS!$D$2:$D$202,0))</f>
        <v xml:space="preserve"> </v>
      </c>
      <c r="G11" s="88" t="str">
        <f ca="1">IF($B11="","",INDIRECT("aux_sheet_RRS!O"&amp;1+MATCH(aux_sheet_RRS!$E10,aux_sheet_RRS!$D$2:$D$202,0)))</f>
        <v/>
      </c>
      <c r="H11" s="89" t="str">
        <f ca="1">IF($B11="","",INDIRECT("aux_sheet_RRS!P"&amp;1+MATCH(aux_sheet_RRS!$E10,aux_sheet_RRS!$D$2:$D$202,0)))</f>
        <v/>
      </c>
      <c r="I11" s="90" t="str">
        <f ca="1">IF(G11="","",ROUNDDOWN(INDIRECT("aux_sheet_RRS!Q"&amp;1+MATCH(aux_sheet_RRS!$E10,aux_sheet_RRS!$D$2:$D$202,0)),0))</f>
        <v/>
      </c>
      <c r="J11" s="106" t="str">
        <f ca="1">IF($B11="","",INDIRECT("aux_sheet_RRS!R"&amp;1+MATCH(aux_sheet_RRS!$E10,aux_sheet_RRS!$D$2:$D$202,0)))</f>
        <v/>
      </c>
      <c r="K11" s="89" t="str">
        <f ca="1">IF($B11="","",INDIRECT("aux_sheet_RRS!S"&amp;1+MATCH(aux_sheet_RRS!$E10,aux_sheet_RRS!$D$2:$D$202,0)))</f>
        <v/>
      </c>
      <c r="L11" s="90" t="str">
        <f ca="1">IF(J11="","",ROUNDDOWN(INDIRECT("aux_sheet_RRS!T"&amp;1+MATCH(aux_sheet_RRS!$E10,aux_sheet_RRS!$D$2:$D$202,0)),0))</f>
        <v/>
      </c>
      <c r="M11" s="106" t="str">
        <f ca="1">IF($B11="","",INDIRECT("aux_sheet_RRS!U"&amp;1+MATCH(aux_sheet_RRS!$E10,aux_sheet_RRS!$D$2:$D$202,0)))</f>
        <v/>
      </c>
      <c r="N11" s="89" t="str">
        <f ca="1">IF($B11="","",INDIRECT("aux_sheet_RRS!V"&amp;1+MATCH(aux_sheet_RRS!$E10,aux_sheet_RRS!$D$2:$D$202,0)))</f>
        <v/>
      </c>
      <c r="O11" s="90" t="str">
        <f ca="1">IF(M11="","",ROUNDDOWN(INDIRECT("aux_sheet_RRS!W"&amp;1+MATCH(aux_sheet_RRS!$E10,aux_sheet_RRS!$D$2:$D$202,0)),0))</f>
        <v/>
      </c>
      <c r="P11" s="106" t="str">
        <f ca="1">IF($B11="","",INDIRECT("aux_sheet_RRS!X"&amp;1+MATCH(aux_sheet_RRS!$E10,aux_sheet_RRS!$D$2:$D$202,0)))</f>
        <v/>
      </c>
      <c r="Q11" s="89" t="str">
        <f ca="1">IF($B11="","",INDIRECT("aux_sheet_RRS!Y"&amp;1+MATCH(aux_sheet_RRS!$E10,aux_sheet_RRS!$D$2:$D$202,0)))</f>
        <v/>
      </c>
      <c r="R11" s="90" t="str">
        <f ca="1">IF(P11="","",INDIRECT("aux_sheet_RRS!Z"&amp;1+MATCH(aux_sheet_RRS!$E10,aux_sheet_RRS!$D$2:$D$202,0)))</f>
        <v/>
      </c>
      <c r="S11" s="106" t="str">
        <f ca="1">IF($B11="","",INDIRECT("aux_sheet_RRS!AA"&amp;1+MATCH(aux_sheet_RRS!$E10,aux_sheet_RRS!$D$2:$D$202,0)))</f>
        <v/>
      </c>
      <c r="T11" s="89" t="str">
        <f ca="1">IF($B11="","",INDIRECT("aux_sheet_RRS!AB"&amp;1+MATCH(aux_sheet_RRS!$E10,aux_sheet_RRS!$D$2:$D$202,0)))</f>
        <v/>
      </c>
      <c r="U11" s="90" t="str">
        <f ca="1">IF(S11="","",INDIRECT("aux_sheet_RRS!AC"&amp;1+MATCH(aux_sheet_RRS!$E10,aux_sheet_RRS!$D$2:$D$202,0)))</f>
        <v/>
      </c>
      <c r="V11" s="106" t="str">
        <f ca="1">IF($B11="","",INDIRECT("aux_sheet_RRS!AD"&amp;1+MATCH(aux_sheet_RRS!$E10,aux_sheet_RRS!$D$2:$D$202,0)))</f>
        <v/>
      </c>
      <c r="W11" s="89" t="str">
        <f ca="1">IF($B11="","",INDIRECT("aux_sheet_RRS!AE"&amp;1+MATCH(aux_sheet_RRS!$E10,aux_sheet_RRS!$D$2:$D$202,0)))</f>
        <v/>
      </c>
      <c r="X11" s="90" t="str">
        <f ca="1">IF(V11="","",INDIRECT("aux_sheet_RRS!AF"&amp;1+MATCH(aux_sheet_RRS!$E10,aux_sheet_RRS!$D$2:$D$202,0)))</f>
        <v/>
      </c>
      <c r="Y11" s="106" t="str">
        <f ca="1">IF($B11="","",INDIRECT("aux_sheet_RRS!AG"&amp;1+MATCH(aux_sheet_RRS!$E10,aux_sheet_RRS!$D$2:$D$202,0)))</f>
        <v/>
      </c>
      <c r="Z11" s="89" t="str">
        <f ca="1">IF($B11="","",INDIRECT("aux_sheet_RRS!AH"&amp;1+MATCH(aux_sheet_RRS!$E10,aux_sheet_RRS!$D$2:$D$202,0)))</f>
        <v/>
      </c>
      <c r="AA11" s="90" t="str">
        <f ca="1">IF(Y11="","",INDIRECT("aux_sheet_RRS!AI"&amp;1+MATCH(aux_sheet_RRS!$E10,aux_sheet_RRS!$D$2:$D$202,0)))</f>
        <v/>
      </c>
      <c r="AB11" s="88" t="str">
        <f ca="1">IF($B11="","",INDIRECT("aux_sheet_RRS!AJ"&amp;1+MATCH(aux_sheet_RRS!$E10,aux_sheet_RRS!$D$2:$D$202,0)))</f>
        <v/>
      </c>
      <c r="AC11" s="89" t="str">
        <f ca="1">IF($B11="","",INDIRECT("aux_sheet_RRS!AK"&amp;1+MATCH(aux_sheet_RRS!$E10,aux_sheet_RRS!$D$2:$D$202,0)))</f>
        <v/>
      </c>
      <c r="AD11" s="90" t="str">
        <f ca="1">IF(AB11="","",INDIRECT("aux_sheet_RRS!AL"&amp;1+MATCH(aux_sheet_RRS!$E10,aux_sheet_RRS!$D$2:$D$202,0)))</f>
        <v/>
      </c>
      <c r="AE11" s="88" t="str">
        <f ca="1">IF($B11="","",INDIRECT("aux_sheet_RRS!AM"&amp;1+MATCH(aux_sheet_RRS!$E10,aux_sheet_RRS!$D$2:$D$202,0)))</f>
        <v/>
      </c>
      <c r="AF11" s="89" t="str">
        <f ca="1">IF($B11="","",INDIRECT("aux_sheet_RRS!AN"&amp;1+MATCH(aux_sheet_RRS!$E10,aux_sheet_RRS!$D$2:$D$202,0)))</f>
        <v/>
      </c>
      <c r="AG11" s="90" t="str">
        <f ca="1">IF(AE11="","",INDIRECT("aux_sheet_RRS!AO"&amp;1+MATCH(aux_sheet_RRS!$E10,aux_sheet_RRS!$D$2:$D$202,0)))</f>
        <v/>
      </c>
      <c r="AH11" s="14" t="str">
        <f t="shared" ca="1" si="0"/>
        <v/>
      </c>
      <c r="AI11" t="str">
        <f t="shared" ca="1" si="1"/>
        <v/>
      </c>
      <c r="AJ11" t="str">
        <f t="shared" ca="1" si="2"/>
        <v/>
      </c>
    </row>
    <row r="12" spans="1:42" x14ac:dyDescent="0.35">
      <c r="A12" s="2" t="str">
        <f>IF(ISBLANK(Input!A11),"",ROUNDDOWN(aux_sheet_RRS!E11,0))</f>
        <v/>
      </c>
      <c r="B12" s="2" t="str">
        <f ca="1">IF(ISBLANK(Input!A11),"",INDIRECT("Input!A"&amp;1+MATCH(aux_sheet_RRS!$E11,aux_sheet_RRS!$D$2:$D$202,0)))</f>
        <v/>
      </c>
      <c r="C12" s="2" t="str">
        <f ca="1">IF(ISBLANK(Input!B11),"",INDIRECT("Input!B"&amp;1+MATCH(aux_sheet_RRS!$E11,aux_sheet_RRS!$D$2:$D$202,0)))</f>
        <v/>
      </c>
      <c r="D12" s="2" t="str">
        <f ca="1">IF(ISBLANK(Input!C11),"",INDIRECT("Input!C"&amp;1+MATCH(aux_sheet_RRS!$E11,aux_sheet_RRS!$D$2:$D$202,0)))</f>
        <v/>
      </c>
      <c r="E12" s="2" t="str">
        <f ca="1">IF(ISBLANK(Input!D11),"",INDIRECT("Input!D"&amp;1+MATCH(aux_sheet_RRS!$E11,aux_sheet_RRS!$D$2:$D$202,0)))</f>
        <v/>
      </c>
      <c r="F12" s="11" t="str">
        <f ca="1">INDIRECT("Input!H"&amp;1+MATCH(aux_sheet_RRS!$E11,aux_sheet_RRS!$D$2:$D$202,0))</f>
        <v xml:space="preserve"> </v>
      </c>
      <c r="G12" s="88" t="str">
        <f ca="1">IF($B12="","",INDIRECT("aux_sheet_RRS!O"&amp;1+MATCH(aux_sheet_RRS!$E11,aux_sheet_RRS!$D$2:$D$202,0)))</f>
        <v/>
      </c>
      <c r="H12" s="89" t="str">
        <f ca="1">IF($B12="","",INDIRECT("aux_sheet_RRS!P"&amp;1+MATCH(aux_sheet_RRS!$E11,aux_sheet_RRS!$D$2:$D$202,0)))</f>
        <v/>
      </c>
      <c r="I12" s="90" t="str">
        <f ca="1">IF(G12="","",ROUNDDOWN(INDIRECT("aux_sheet_RRS!Q"&amp;1+MATCH(aux_sheet_RRS!$E11,aux_sheet_RRS!$D$2:$D$202,0)),0))</f>
        <v/>
      </c>
      <c r="J12" s="106" t="str">
        <f ca="1">IF($B12="","",INDIRECT("aux_sheet_RRS!R"&amp;1+MATCH(aux_sheet_RRS!$E11,aux_sheet_RRS!$D$2:$D$202,0)))</f>
        <v/>
      </c>
      <c r="K12" s="89" t="str">
        <f ca="1">IF($B12="","",INDIRECT("aux_sheet_RRS!S"&amp;1+MATCH(aux_sheet_RRS!$E11,aux_sheet_RRS!$D$2:$D$202,0)))</f>
        <v/>
      </c>
      <c r="L12" s="90" t="str">
        <f ca="1">IF(J12="","",ROUNDDOWN(INDIRECT("aux_sheet_RRS!T"&amp;1+MATCH(aux_sheet_RRS!$E11,aux_sheet_RRS!$D$2:$D$202,0)),0))</f>
        <v/>
      </c>
      <c r="M12" s="106" t="str">
        <f ca="1">IF($B12="","",INDIRECT("aux_sheet_RRS!U"&amp;1+MATCH(aux_sheet_RRS!$E11,aux_sheet_RRS!$D$2:$D$202,0)))</f>
        <v/>
      </c>
      <c r="N12" s="89" t="str">
        <f ca="1">IF($B12="","",INDIRECT("aux_sheet_RRS!V"&amp;1+MATCH(aux_sheet_RRS!$E11,aux_sheet_RRS!$D$2:$D$202,0)))</f>
        <v/>
      </c>
      <c r="O12" s="90" t="str">
        <f ca="1">IF(M12="","",ROUNDDOWN(INDIRECT("aux_sheet_RRS!W"&amp;1+MATCH(aux_sheet_RRS!$E11,aux_sheet_RRS!$D$2:$D$202,0)),0))</f>
        <v/>
      </c>
      <c r="P12" s="106" t="str">
        <f ca="1">IF($B12="","",INDIRECT("aux_sheet_RRS!X"&amp;1+MATCH(aux_sheet_RRS!$E11,aux_sheet_RRS!$D$2:$D$202,0)))</f>
        <v/>
      </c>
      <c r="Q12" s="89" t="str">
        <f ca="1">IF($B12="","",INDIRECT("aux_sheet_RRS!Y"&amp;1+MATCH(aux_sheet_RRS!$E11,aux_sheet_RRS!$D$2:$D$202,0)))</f>
        <v/>
      </c>
      <c r="R12" s="90" t="str">
        <f ca="1">IF(P12="","",INDIRECT("aux_sheet_RRS!Z"&amp;1+MATCH(aux_sheet_RRS!$E11,aux_sheet_RRS!$D$2:$D$202,0)))</f>
        <v/>
      </c>
      <c r="S12" s="106" t="str">
        <f ca="1">IF($B12="","",INDIRECT("aux_sheet_RRS!AA"&amp;1+MATCH(aux_sheet_RRS!$E11,aux_sheet_RRS!$D$2:$D$202,0)))</f>
        <v/>
      </c>
      <c r="T12" s="89" t="str">
        <f ca="1">IF($B12="","",INDIRECT("aux_sheet_RRS!AB"&amp;1+MATCH(aux_sheet_RRS!$E11,aux_sheet_RRS!$D$2:$D$202,0)))</f>
        <v/>
      </c>
      <c r="U12" s="90" t="str">
        <f ca="1">IF(S12="","",INDIRECT("aux_sheet_RRS!AC"&amp;1+MATCH(aux_sheet_RRS!$E11,aux_sheet_RRS!$D$2:$D$202,0)))</f>
        <v/>
      </c>
      <c r="V12" s="106" t="str">
        <f ca="1">IF($B12="","",INDIRECT("aux_sheet_RRS!AD"&amp;1+MATCH(aux_sheet_RRS!$E11,aux_sheet_RRS!$D$2:$D$202,0)))</f>
        <v/>
      </c>
      <c r="W12" s="89" t="str">
        <f ca="1">IF($B12="","",INDIRECT("aux_sheet_RRS!AE"&amp;1+MATCH(aux_sheet_RRS!$E11,aux_sheet_RRS!$D$2:$D$202,0)))</f>
        <v/>
      </c>
      <c r="X12" s="90" t="str">
        <f ca="1">IF(V12="","",INDIRECT("aux_sheet_RRS!AF"&amp;1+MATCH(aux_sheet_RRS!$E11,aux_sheet_RRS!$D$2:$D$202,0)))</f>
        <v/>
      </c>
      <c r="Y12" s="106" t="str">
        <f ca="1">IF($B12="","",INDIRECT("aux_sheet_RRS!AG"&amp;1+MATCH(aux_sheet_RRS!$E11,aux_sheet_RRS!$D$2:$D$202,0)))</f>
        <v/>
      </c>
      <c r="Z12" s="89" t="str">
        <f ca="1">IF($B12="","",INDIRECT("aux_sheet_RRS!AH"&amp;1+MATCH(aux_sheet_RRS!$E11,aux_sheet_RRS!$D$2:$D$202,0)))</f>
        <v/>
      </c>
      <c r="AA12" s="90" t="str">
        <f ca="1">IF(Y12="","",INDIRECT("aux_sheet_RRS!AI"&amp;1+MATCH(aux_sheet_RRS!$E11,aux_sheet_RRS!$D$2:$D$202,0)))</f>
        <v/>
      </c>
      <c r="AB12" s="88" t="str">
        <f ca="1">IF($B12="","",INDIRECT("aux_sheet_RRS!AJ"&amp;1+MATCH(aux_sheet_RRS!$E11,aux_sheet_RRS!$D$2:$D$202,0)))</f>
        <v/>
      </c>
      <c r="AC12" s="89" t="str">
        <f ca="1">IF($B12="","",INDIRECT("aux_sheet_RRS!AK"&amp;1+MATCH(aux_sheet_RRS!$E11,aux_sheet_RRS!$D$2:$D$202,0)))</f>
        <v/>
      </c>
      <c r="AD12" s="90" t="str">
        <f ca="1">IF(AB12="","",INDIRECT("aux_sheet_RRS!AL"&amp;1+MATCH(aux_sheet_RRS!$E11,aux_sheet_RRS!$D$2:$D$202,0)))</f>
        <v/>
      </c>
      <c r="AE12" s="88" t="str">
        <f ca="1">IF($B12="","",INDIRECT("aux_sheet_RRS!AM"&amp;1+MATCH(aux_sheet_RRS!$E11,aux_sheet_RRS!$D$2:$D$202,0)))</f>
        <v/>
      </c>
      <c r="AF12" s="89" t="str">
        <f ca="1">IF($B12="","",INDIRECT("aux_sheet_RRS!AN"&amp;1+MATCH(aux_sheet_RRS!$E11,aux_sheet_RRS!$D$2:$D$202,0)))</f>
        <v/>
      </c>
      <c r="AG12" s="90" t="str">
        <f ca="1">IF(AE12="","",INDIRECT("aux_sheet_RRS!AO"&amp;1+MATCH(aux_sheet_RRS!$E11,aux_sheet_RRS!$D$2:$D$202,0)))</f>
        <v/>
      </c>
      <c r="AH12" s="14" t="str">
        <f t="shared" ca="1" si="0"/>
        <v/>
      </c>
      <c r="AI12" t="str">
        <f t="shared" ca="1" si="1"/>
        <v/>
      </c>
      <c r="AJ12" t="str">
        <f t="shared" ca="1" si="2"/>
        <v/>
      </c>
    </row>
    <row r="13" spans="1:42" x14ac:dyDescent="0.35">
      <c r="A13" s="2" t="str">
        <f>IF(ISBLANK(Input!A12),"",ROUNDDOWN(aux_sheet_RRS!E12,0))</f>
        <v/>
      </c>
      <c r="B13" s="2" t="str">
        <f ca="1">IF(ISBLANK(Input!A12),"",INDIRECT("Input!A"&amp;1+MATCH(aux_sheet_RRS!$E12,aux_sheet_RRS!$D$2:$D$202,0)))</f>
        <v/>
      </c>
      <c r="C13" s="2" t="str">
        <f ca="1">IF(ISBLANK(Input!B12),"",INDIRECT("Input!B"&amp;1+MATCH(aux_sheet_RRS!$E12,aux_sheet_RRS!$D$2:$D$202,0)))</f>
        <v/>
      </c>
      <c r="D13" s="2" t="str">
        <f ca="1">IF(ISBLANK(Input!C12),"",INDIRECT("Input!C"&amp;1+MATCH(aux_sheet_RRS!$E12,aux_sheet_RRS!$D$2:$D$202,0)))</f>
        <v/>
      </c>
      <c r="E13" s="2" t="str">
        <f ca="1">IF(ISBLANK(Input!D12),"",INDIRECT("Input!D"&amp;1+MATCH(aux_sheet_RRS!$E12,aux_sheet_RRS!$D$2:$D$202,0)))</f>
        <v/>
      </c>
      <c r="F13" s="11" t="str">
        <f ca="1">INDIRECT("Input!H"&amp;1+MATCH(aux_sheet_RRS!$E12,aux_sheet_RRS!$D$2:$D$202,0))</f>
        <v xml:space="preserve"> </v>
      </c>
      <c r="G13" s="88" t="str">
        <f ca="1">IF($B13="","",INDIRECT("aux_sheet_RRS!O"&amp;1+MATCH(aux_sheet_RRS!$E12,aux_sheet_RRS!$D$2:$D$202,0)))</f>
        <v/>
      </c>
      <c r="H13" s="89" t="str">
        <f ca="1">IF($B13="","",INDIRECT("aux_sheet_RRS!P"&amp;1+MATCH(aux_sheet_RRS!$E12,aux_sheet_RRS!$D$2:$D$202,0)))</f>
        <v/>
      </c>
      <c r="I13" s="90" t="str">
        <f ca="1">IF(G13="","",ROUNDDOWN(INDIRECT("aux_sheet_RRS!Q"&amp;1+MATCH(aux_sheet_RRS!$E12,aux_sheet_RRS!$D$2:$D$202,0)),0))</f>
        <v/>
      </c>
      <c r="J13" s="106" t="str">
        <f ca="1">IF($B13="","",INDIRECT("aux_sheet_RRS!R"&amp;1+MATCH(aux_sheet_RRS!$E12,aux_sheet_RRS!$D$2:$D$202,0)))</f>
        <v/>
      </c>
      <c r="K13" s="89" t="str">
        <f ca="1">IF($B13="","",INDIRECT("aux_sheet_RRS!S"&amp;1+MATCH(aux_sheet_RRS!$E12,aux_sheet_RRS!$D$2:$D$202,0)))</f>
        <v/>
      </c>
      <c r="L13" s="90" t="str">
        <f ca="1">IF(J13="","",ROUNDDOWN(INDIRECT("aux_sheet_RRS!T"&amp;1+MATCH(aux_sheet_RRS!$E12,aux_sheet_RRS!$D$2:$D$202,0)),0))</f>
        <v/>
      </c>
      <c r="M13" s="106" t="str">
        <f ca="1">IF($B13="","",INDIRECT("aux_sheet_RRS!U"&amp;1+MATCH(aux_sheet_RRS!$E12,aux_sheet_RRS!$D$2:$D$202,0)))</f>
        <v/>
      </c>
      <c r="N13" s="89" t="str">
        <f ca="1">IF($B13="","",INDIRECT("aux_sheet_RRS!V"&amp;1+MATCH(aux_sheet_RRS!$E12,aux_sheet_RRS!$D$2:$D$202,0)))</f>
        <v/>
      </c>
      <c r="O13" s="90" t="str">
        <f ca="1">IF(M13="","",ROUNDDOWN(INDIRECT("aux_sheet_RRS!W"&amp;1+MATCH(aux_sheet_RRS!$E12,aux_sheet_RRS!$D$2:$D$202,0)),0))</f>
        <v/>
      </c>
      <c r="P13" s="106" t="str">
        <f ca="1">IF($B13="","",INDIRECT("aux_sheet_RRS!X"&amp;1+MATCH(aux_sheet_RRS!$E12,aux_sheet_RRS!$D$2:$D$202,0)))</f>
        <v/>
      </c>
      <c r="Q13" s="89" t="str">
        <f ca="1">IF($B13="","",INDIRECT("aux_sheet_RRS!Y"&amp;1+MATCH(aux_sheet_RRS!$E12,aux_sheet_RRS!$D$2:$D$202,0)))</f>
        <v/>
      </c>
      <c r="R13" s="90" t="str">
        <f ca="1">IF(P13="","",INDIRECT("aux_sheet_RRS!Z"&amp;1+MATCH(aux_sheet_RRS!$E12,aux_sheet_RRS!$D$2:$D$202,0)))</f>
        <v/>
      </c>
      <c r="S13" s="106" t="str">
        <f ca="1">IF($B13="","",INDIRECT("aux_sheet_RRS!AA"&amp;1+MATCH(aux_sheet_RRS!$E12,aux_sheet_RRS!$D$2:$D$202,0)))</f>
        <v/>
      </c>
      <c r="T13" s="89" t="str">
        <f ca="1">IF($B13="","",INDIRECT("aux_sheet_RRS!AB"&amp;1+MATCH(aux_sheet_RRS!$E12,aux_sheet_RRS!$D$2:$D$202,0)))</f>
        <v/>
      </c>
      <c r="U13" s="90" t="str">
        <f ca="1">IF(S13="","",INDIRECT("aux_sheet_RRS!AC"&amp;1+MATCH(aux_sheet_RRS!$E12,aux_sheet_RRS!$D$2:$D$202,0)))</f>
        <v/>
      </c>
      <c r="V13" s="106" t="str">
        <f ca="1">IF($B13="","",INDIRECT("aux_sheet_RRS!AD"&amp;1+MATCH(aux_sheet_RRS!$E12,aux_sheet_RRS!$D$2:$D$202,0)))</f>
        <v/>
      </c>
      <c r="W13" s="89" t="str">
        <f ca="1">IF($B13="","",INDIRECT("aux_sheet_RRS!AE"&amp;1+MATCH(aux_sheet_RRS!$E12,aux_sheet_RRS!$D$2:$D$202,0)))</f>
        <v/>
      </c>
      <c r="X13" s="90" t="str">
        <f ca="1">IF(V13="","",INDIRECT("aux_sheet_RRS!AF"&amp;1+MATCH(aux_sheet_RRS!$E12,aux_sheet_RRS!$D$2:$D$202,0)))</f>
        <v/>
      </c>
      <c r="Y13" s="106" t="str">
        <f ca="1">IF($B13="","",INDIRECT("aux_sheet_RRS!AG"&amp;1+MATCH(aux_sheet_RRS!$E12,aux_sheet_RRS!$D$2:$D$202,0)))</f>
        <v/>
      </c>
      <c r="Z13" s="89" t="str">
        <f ca="1">IF($B13="","",INDIRECT("aux_sheet_RRS!AH"&amp;1+MATCH(aux_sheet_RRS!$E12,aux_sheet_RRS!$D$2:$D$202,0)))</f>
        <v/>
      </c>
      <c r="AA13" s="90" t="str">
        <f ca="1">IF(Y13="","",INDIRECT("aux_sheet_RRS!AI"&amp;1+MATCH(aux_sheet_RRS!$E12,aux_sheet_RRS!$D$2:$D$202,0)))</f>
        <v/>
      </c>
      <c r="AB13" s="88" t="str">
        <f ca="1">IF($B13="","",INDIRECT("aux_sheet_RRS!AJ"&amp;1+MATCH(aux_sheet_RRS!$E12,aux_sheet_RRS!$D$2:$D$202,0)))</f>
        <v/>
      </c>
      <c r="AC13" s="89" t="str">
        <f ca="1">IF($B13="","",INDIRECT("aux_sheet_RRS!AK"&amp;1+MATCH(aux_sheet_RRS!$E12,aux_sheet_RRS!$D$2:$D$202,0)))</f>
        <v/>
      </c>
      <c r="AD13" s="90" t="str">
        <f ca="1">IF(AB13="","",INDIRECT("aux_sheet_RRS!AL"&amp;1+MATCH(aux_sheet_RRS!$E12,aux_sheet_RRS!$D$2:$D$202,0)))</f>
        <v/>
      </c>
      <c r="AE13" s="88" t="str">
        <f ca="1">IF($B13="","",INDIRECT("aux_sheet_RRS!AM"&amp;1+MATCH(aux_sheet_RRS!$E12,aux_sheet_RRS!$D$2:$D$202,0)))</f>
        <v/>
      </c>
      <c r="AF13" s="89" t="str">
        <f ca="1">IF($B13="","",INDIRECT("aux_sheet_RRS!AN"&amp;1+MATCH(aux_sheet_RRS!$E12,aux_sheet_RRS!$D$2:$D$202,0)))</f>
        <v/>
      </c>
      <c r="AG13" s="90" t="str">
        <f ca="1">IF(AE13="","",INDIRECT("aux_sheet_RRS!AO"&amp;1+MATCH(aux_sheet_RRS!$E12,aux_sheet_RRS!$D$2:$D$202,0)))</f>
        <v/>
      </c>
      <c r="AH13" s="14" t="str">
        <f t="shared" ref="AH13:AH76" ca="1" si="3">IF(B13&lt;&gt;"",F12-F13,"")</f>
        <v/>
      </c>
      <c r="AI13" t="str">
        <f t="shared" ref="AI13:AI76" ca="1" si="4">IF(B13&lt;&gt;"",ROUNDUP(10^((F12-F13)/500)*100-100,0),"")</f>
        <v/>
      </c>
      <c r="AJ13" t="str">
        <f t="shared" ref="AJ13:AJ76" ca="1" si="5">IF(B13&lt;&gt;"",ROUNDUP(10^((F12-F13)/500),2),"")</f>
        <v/>
      </c>
    </row>
    <row r="14" spans="1:42" x14ac:dyDescent="0.35">
      <c r="A14" s="2" t="str">
        <f>IF(ISBLANK(Input!A13),"",ROUNDDOWN(aux_sheet_RRS!E13,0))</f>
        <v/>
      </c>
      <c r="B14" s="2" t="str">
        <f ca="1">IF(ISBLANK(Input!A13),"",INDIRECT("Input!A"&amp;1+MATCH(aux_sheet_RRS!$E13,aux_sheet_RRS!$D$2:$D$202,0)))</f>
        <v/>
      </c>
      <c r="C14" s="2" t="str">
        <f ca="1">IF(ISBLANK(Input!B13),"",INDIRECT("Input!B"&amp;1+MATCH(aux_sheet_RRS!$E13,aux_sheet_RRS!$D$2:$D$202,0)))</f>
        <v/>
      </c>
      <c r="D14" s="2" t="str">
        <f ca="1">IF(ISBLANK(Input!C13),"",INDIRECT("Input!C"&amp;1+MATCH(aux_sheet_RRS!$E13,aux_sheet_RRS!$D$2:$D$202,0)))</f>
        <v/>
      </c>
      <c r="E14" s="2" t="str">
        <f ca="1">IF(ISBLANK(Input!D13),"",INDIRECT("Input!D"&amp;1+MATCH(aux_sheet_RRS!$E13,aux_sheet_RRS!$D$2:$D$202,0)))</f>
        <v/>
      </c>
      <c r="F14" s="11" t="str">
        <f ca="1">INDIRECT("Input!H"&amp;1+MATCH(aux_sheet_RRS!$E13,aux_sheet_RRS!$D$2:$D$202,0))</f>
        <v xml:space="preserve"> </v>
      </c>
      <c r="G14" s="88" t="str">
        <f ca="1">IF($B14="","",INDIRECT("aux_sheet_RRS!O"&amp;1+MATCH(aux_sheet_RRS!$E13,aux_sheet_RRS!$D$2:$D$202,0)))</f>
        <v/>
      </c>
      <c r="H14" s="89" t="str">
        <f ca="1">IF($B14="","",INDIRECT("aux_sheet_RRS!P"&amp;1+MATCH(aux_sheet_RRS!$E13,aux_sheet_RRS!$D$2:$D$202,0)))</f>
        <v/>
      </c>
      <c r="I14" s="90" t="str">
        <f ca="1">IF(G14="","",ROUNDDOWN(INDIRECT("aux_sheet_RRS!Q"&amp;1+MATCH(aux_sheet_RRS!$E13,aux_sheet_RRS!$D$2:$D$202,0)),0))</f>
        <v/>
      </c>
      <c r="J14" s="106" t="str">
        <f ca="1">IF($B14="","",INDIRECT("aux_sheet_RRS!R"&amp;1+MATCH(aux_sheet_RRS!$E13,aux_sheet_RRS!$D$2:$D$202,0)))</f>
        <v/>
      </c>
      <c r="K14" s="89" t="str">
        <f ca="1">IF($B14="","",INDIRECT("aux_sheet_RRS!S"&amp;1+MATCH(aux_sheet_RRS!$E13,aux_sheet_RRS!$D$2:$D$202,0)))</f>
        <v/>
      </c>
      <c r="L14" s="90" t="str">
        <f ca="1">IF(J14="","",ROUNDDOWN(INDIRECT("aux_sheet_RRS!T"&amp;1+MATCH(aux_sheet_RRS!$E13,aux_sheet_RRS!$D$2:$D$202,0)),0))</f>
        <v/>
      </c>
      <c r="M14" s="106" t="str">
        <f ca="1">IF($B14="","",INDIRECT("aux_sheet_RRS!U"&amp;1+MATCH(aux_sheet_RRS!$E13,aux_sheet_RRS!$D$2:$D$202,0)))</f>
        <v/>
      </c>
      <c r="N14" s="89" t="str">
        <f ca="1">IF($B14="","",INDIRECT("aux_sheet_RRS!V"&amp;1+MATCH(aux_sheet_RRS!$E13,aux_sheet_RRS!$D$2:$D$202,0)))</f>
        <v/>
      </c>
      <c r="O14" s="90" t="str">
        <f ca="1">IF(M14="","",ROUNDDOWN(INDIRECT("aux_sheet_RRS!W"&amp;1+MATCH(aux_sheet_RRS!$E13,aux_sheet_RRS!$D$2:$D$202,0)),0))</f>
        <v/>
      </c>
      <c r="P14" s="106" t="str">
        <f ca="1">IF($B14="","",INDIRECT("aux_sheet_RRS!X"&amp;1+MATCH(aux_sheet_RRS!$E13,aux_sheet_RRS!$D$2:$D$202,0)))</f>
        <v/>
      </c>
      <c r="Q14" s="89" t="str">
        <f ca="1">IF($B14="","",INDIRECT("aux_sheet_RRS!Y"&amp;1+MATCH(aux_sheet_RRS!$E13,aux_sheet_RRS!$D$2:$D$202,0)))</f>
        <v/>
      </c>
      <c r="R14" s="90" t="str">
        <f ca="1">IF(P14="","",INDIRECT("aux_sheet_RRS!Z"&amp;1+MATCH(aux_sheet_RRS!$E13,aux_sheet_RRS!$D$2:$D$202,0)))</f>
        <v/>
      </c>
      <c r="S14" s="106" t="str">
        <f ca="1">IF($B14="","",INDIRECT("aux_sheet_RRS!AA"&amp;1+MATCH(aux_sheet_RRS!$E13,aux_sheet_RRS!$D$2:$D$202,0)))</f>
        <v/>
      </c>
      <c r="T14" s="89" t="str">
        <f ca="1">IF($B14="","",INDIRECT("aux_sheet_RRS!AB"&amp;1+MATCH(aux_sheet_RRS!$E13,aux_sheet_RRS!$D$2:$D$202,0)))</f>
        <v/>
      </c>
      <c r="U14" s="90" t="str">
        <f ca="1">IF(S14="","",INDIRECT("aux_sheet_RRS!AC"&amp;1+MATCH(aux_sheet_RRS!$E13,aux_sheet_RRS!$D$2:$D$202,0)))</f>
        <v/>
      </c>
      <c r="V14" s="106" t="str">
        <f ca="1">IF($B14="","",INDIRECT("aux_sheet_RRS!AD"&amp;1+MATCH(aux_sheet_RRS!$E13,aux_sheet_RRS!$D$2:$D$202,0)))</f>
        <v/>
      </c>
      <c r="W14" s="89" t="str">
        <f ca="1">IF($B14="","",INDIRECT("aux_sheet_RRS!AE"&amp;1+MATCH(aux_sheet_RRS!$E13,aux_sheet_RRS!$D$2:$D$202,0)))</f>
        <v/>
      </c>
      <c r="X14" s="90" t="str">
        <f ca="1">IF(V14="","",INDIRECT("aux_sheet_RRS!AF"&amp;1+MATCH(aux_sheet_RRS!$E13,aux_sheet_RRS!$D$2:$D$202,0)))</f>
        <v/>
      </c>
      <c r="Y14" s="106" t="str">
        <f ca="1">IF($B14="","",INDIRECT("aux_sheet_RRS!AG"&amp;1+MATCH(aux_sheet_RRS!$E13,aux_sheet_RRS!$D$2:$D$202,0)))</f>
        <v/>
      </c>
      <c r="Z14" s="89" t="str">
        <f ca="1">IF($B14="","",INDIRECT("aux_sheet_RRS!AH"&amp;1+MATCH(aux_sheet_RRS!$E13,aux_sheet_RRS!$D$2:$D$202,0)))</f>
        <v/>
      </c>
      <c r="AA14" s="90" t="str">
        <f ca="1">IF(Y14="","",INDIRECT("aux_sheet_RRS!AI"&amp;1+MATCH(aux_sheet_RRS!$E13,aux_sheet_RRS!$D$2:$D$202,0)))</f>
        <v/>
      </c>
      <c r="AB14" s="88" t="str">
        <f ca="1">IF($B14="","",INDIRECT("aux_sheet_RRS!AJ"&amp;1+MATCH(aux_sheet_RRS!$E13,aux_sheet_RRS!$D$2:$D$202,0)))</f>
        <v/>
      </c>
      <c r="AC14" s="89" t="str">
        <f ca="1">IF($B14="","",INDIRECT("aux_sheet_RRS!AK"&amp;1+MATCH(aux_sheet_RRS!$E13,aux_sheet_RRS!$D$2:$D$202,0)))</f>
        <v/>
      </c>
      <c r="AD14" s="90" t="str">
        <f ca="1">IF(AB14="","",INDIRECT("aux_sheet_RRS!AL"&amp;1+MATCH(aux_sheet_RRS!$E13,aux_sheet_RRS!$D$2:$D$202,0)))</f>
        <v/>
      </c>
      <c r="AE14" s="88" t="str">
        <f ca="1">IF($B14="","",INDIRECT("aux_sheet_RRS!AM"&amp;1+MATCH(aux_sheet_RRS!$E13,aux_sheet_RRS!$D$2:$D$202,0)))</f>
        <v/>
      </c>
      <c r="AF14" s="89" t="str">
        <f ca="1">IF($B14="","",INDIRECT("aux_sheet_RRS!AN"&amp;1+MATCH(aux_sheet_RRS!$E13,aux_sheet_RRS!$D$2:$D$202,0)))</f>
        <v/>
      </c>
      <c r="AG14" s="90" t="str">
        <f ca="1">IF(AE14="","",INDIRECT("aux_sheet_RRS!AO"&amp;1+MATCH(aux_sheet_RRS!$E13,aux_sheet_RRS!$D$2:$D$202,0)))</f>
        <v/>
      </c>
      <c r="AH14" s="14" t="str">
        <f t="shared" ca="1" si="3"/>
        <v/>
      </c>
      <c r="AI14" t="str">
        <f t="shared" ca="1" si="4"/>
        <v/>
      </c>
      <c r="AJ14" t="str">
        <f t="shared" ca="1" si="5"/>
        <v/>
      </c>
    </row>
    <row r="15" spans="1:42" x14ac:dyDescent="0.35">
      <c r="A15" s="2" t="str">
        <f>IF(ISBLANK(Input!A14),"",ROUNDDOWN(aux_sheet_RRS!E14,0))</f>
        <v/>
      </c>
      <c r="B15" s="2" t="str">
        <f ca="1">IF(ISBLANK(Input!A14),"",INDIRECT("Input!A"&amp;1+MATCH(aux_sheet_RRS!$E14,aux_sheet_RRS!$D$2:$D$202,0)))</f>
        <v/>
      </c>
      <c r="C15" s="2" t="str">
        <f ca="1">IF(ISBLANK(Input!B14),"",INDIRECT("Input!B"&amp;1+MATCH(aux_sheet_RRS!$E14,aux_sheet_RRS!$D$2:$D$202,0)))</f>
        <v/>
      </c>
      <c r="D15" s="2" t="str">
        <f ca="1">IF(ISBLANK(Input!C14),"",INDIRECT("Input!C"&amp;1+MATCH(aux_sheet_RRS!$E14,aux_sheet_RRS!$D$2:$D$202,0)))</f>
        <v/>
      </c>
      <c r="E15" s="2" t="str">
        <f ca="1">IF(ISBLANK(Input!D14),"",INDIRECT("Input!D"&amp;1+MATCH(aux_sheet_RRS!$E14,aux_sheet_RRS!$D$2:$D$202,0)))</f>
        <v/>
      </c>
      <c r="F15" s="11" t="str">
        <f ca="1">INDIRECT("Input!H"&amp;1+MATCH(aux_sheet_RRS!$E14,aux_sheet_RRS!$D$2:$D$202,0))</f>
        <v xml:space="preserve"> </v>
      </c>
      <c r="G15" s="88" t="str">
        <f ca="1">IF($B15="","",INDIRECT("aux_sheet_RRS!O"&amp;1+MATCH(aux_sheet_RRS!$E14,aux_sheet_RRS!$D$2:$D$202,0)))</f>
        <v/>
      </c>
      <c r="H15" s="89" t="str">
        <f ca="1">IF($B15="","",INDIRECT("aux_sheet_RRS!P"&amp;1+MATCH(aux_sheet_RRS!$E14,aux_sheet_RRS!$D$2:$D$202,0)))</f>
        <v/>
      </c>
      <c r="I15" s="90" t="str">
        <f ca="1">IF(G15="","",ROUNDDOWN(INDIRECT("aux_sheet_RRS!Q"&amp;1+MATCH(aux_sheet_RRS!$E14,aux_sheet_RRS!$D$2:$D$202,0)),0))</f>
        <v/>
      </c>
      <c r="J15" s="106" t="str">
        <f ca="1">IF($B15="","",INDIRECT("aux_sheet_RRS!R"&amp;1+MATCH(aux_sheet_RRS!$E14,aux_sheet_RRS!$D$2:$D$202,0)))</f>
        <v/>
      </c>
      <c r="K15" s="89" t="str">
        <f ca="1">IF($B15="","",INDIRECT("aux_sheet_RRS!S"&amp;1+MATCH(aux_sheet_RRS!$E14,aux_sheet_RRS!$D$2:$D$202,0)))</f>
        <v/>
      </c>
      <c r="L15" s="90" t="str">
        <f ca="1">IF(J15="","",ROUNDDOWN(INDIRECT("aux_sheet_RRS!T"&amp;1+MATCH(aux_sheet_RRS!$E14,aux_sheet_RRS!$D$2:$D$202,0)),0))</f>
        <v/>
      </c>
      <c r="M15" s="106" t="str">
        <f ca="1">IF($B15="","",INDIRECT("aux_sheet_RRS!U"&amp;1+MATCH(aux_sheet_RRS!$E14,aux_sheet_RRS!$D$2:$D$202,0)))</f>
        <v/>
      </c>
      <c r="N15" s="89" t="str">
        <f ca="1">IF($B15="","",INDIRECT("aux_sheet_RRS!V"&amp;1+MATCH(aux_sheet_RRS!$E14,aux_sheet_RRS!$D$2:$D$202,0)))</f>
        <v/>
      </c>
      <c r="O15" s="90" t="str">
        <f ca="1">IF(M15="","",ROUNDDOWN(INDIRECT("aux_sheet_RRS!W"&amp;1+MATCH(aux_sheet_RRS!$E14,aux_sheet_RRS!$D$2:$D$202,0)),0))</f>
        <v/>
      </c>
      <c r="P15" s="106" t="str">
        <f ca="1">IF($B15="","",INDIRECT("aux_sheet_RRS!X"&amp;1+MATCH(aux_sheet_RRS!$E14,aux_sheet_RRS!$D$2:$D$202,0)))</f>
        <v/>
      </c>
      <c r="Q15" s="89" t="str">
        <f ca="1">IF($B15="","",INDIRECT("aux_sheet_RRS!Y"&amp;1+MATCH(aux_sheet_RRS!$E14,aux_sheet_RRS!$D$2:$D$202,0)))</f>
        <v/>
      </c>
      <c r="R15" s="90" t="str">
        <f ca="1">IF(P15="","",INDIRECT("aux_sheet_RRS!Z"&amp;1+MATCH(aux_sheet_RRS!$E14,aux_sheet_RRS!$D$2:$D$202,0)))</f>
        <v/>
      </c>
      <c r="S15" s="106" t="str">
        <f ca="1">IF($B15="","",INDIRECT("aux_sheet_RRS!AA"&amp;1+MATCH(aux_sheet_RRS!$E14,aux_sheet_RRS!$D$2:$D$202,0)))</f>
        <v/>
      </c>
      <c r="T15" s="89" t="str">
        <f ca="1">IF($B15="","",INDIRECT("aux_sheet_RRS!AB"&amp;1+MATCH(aux_sheet_RRS!$E14,aux_sheet_RRS!$D$2:$D$202,0)))</f>
        <v/>
      </c>
      <c r="U15" s="90" t="str">
        <f ca="1">IF(S15="","",INDIRECT("aux_sheet_RRS!AC"&amp;1+MATCH(aux_sheet_RRS!$E14,aux_sheet_RRS!$D$2:$D$202,0)))</f>
        <v/>
      </c>
      <c r="V15" s="106" t="str">
        <f ca="1">IF($B15="","",INDIRECT("aux_sheet_RRS!AD"&amp;1+MATCH(aux_sheet_RRS!$E14,aux_sheet_RRS!$D$2:$D$202,0)))</f>
        <v/>
      </c>
      <c r="W15" s="89" t="str">
        <f ca="1">IF($B15="","",INDIRECT("aux_sheet_RRS!AE"&amp;1+MATCH(aux_sheet_RRS!$E14,aux_sheet_RRS!$D$2:$D$202,0)))</f>
        <v/>
      </c>
      <c r="X15" s="90" t="str">
        <f ca="1">IF(V15="","",INDIRECT("aux_sheet_RRS!AF"&amp;1+MATCH(aux_sheet_RRS!$E14,aux_sheet_RRS!$D$2:$D$202,0)))</f>
        <v/>
      </c>
      <c r="Y15" s="106" t="str">
        <f ca="1">IF($B15="","",INDIRECT("aux_sheet_RRS!AG"&amp;1+MATCH(aux_sheet_RRS!$E14,aux_sheet_RRS!$D$2:$D$202,0)))</f>
        <v/>
      </c>
      <c r="Z15" s="89" t="str">
        <f ca="1">IF($B15="","",INDIRECT("aux_sheet_RRS!AH"&amp;1+MATCH(aux_sheet_RRS!$E14,aux_sheet_RRS!$D$2:$D$202,0)))</f>
        <v/>
      </c>
      <c r="AA15" s="90" t="str">
        <f ca="1">IF(Y15="","",INDIRECT("aux_sheet_RRS!AI"&amp;1+MATCH(aux_sheet_RRS!$E14,aux_sheet_RRS!$D$2:$D$202,0)))</f>
        <v/>
      </c>
      <c r="AB15" s="88" t="str">
        <f ca="1">IF($B15="","",INDIRECT("aux_sheet_RRS!AJ"&amp;1+MATCH(aux_sheet_RRS!$E14,aux_sheet_RRS!$D$2:$D$202,0)))</f>
        <v/>
      </c>
      <c r="AC15" s="89" t="str">
        <f ca="1">IF($B15="","",INDIRECT("aux_sheet_RRS!AK"&amp;1+MATCH(aux_sheet_RRS!$E14,aux_sheet_RRS!$D$2:$D$202,0)))</f>
        <v/>
      </c>
      <c r="AD15" s="90" t="str">
        <f ca="1">IF(AB15="","",INDIRECT("aux_sheet_RRS!AL"&amp;1+MATCH(aux_sheet_RRS!$E14,aux_sheet_RRS!$D$2:$D$202,0)))</f>
        <v/>
      </c>
      <c r="AE15" s="88" t="str">
        <f ca="1">IF($B15="","",INDIRECT("aux_sheet_RRS!AM"&amp;1+MATCH(aux_sheet_RRS!$E14,aux_sheet_RRS!$D$2:$D$202,0)))</f>
        <v/>
      </c>
      <c r="AF15" s="89" t="str">
        <f ca="1">IF($B15="","",INDIRECT("aux_sheet_RRS!AN"&amp;1+MATCH(aux_sheet_RRS!$E14,aux_sheet_RRS!$D$2:$D$202,0)))</f>
        <v/>
      </c>
      <c r="AG15" s="90" t="str">
        <f ca="1">IF(AE15="","",INDIRECT("aux_sheet_RRS!AO"&amp;1+MATCH(aux_sheet_RRS!$E14,aux_sheet_RRS!$D$2:$D$202,0)))</f>
        <v/>
      </c>
      <c r="AH15" s="14" t="str">
        <f t="shared" ca="1" si="3"/>
        <v/>
      </c>
      <c r="AI15" t="str">
        <f t="shared" ca="1" si="4"/>
        <v/>
      </c>
      <c r="AJ15" t="str">
        <f t="shared" ca="1" si="5"/>
        <v/>
      </c>
    </row>
    <row r="16" spans="1:42" x14ac:dyDescent="0.35">
      <c r="A16" s="2" t="str">
        <f>IF(ISBLANK(Input!A15),"",ROUNDDOWN(aux_sheet_RRS!E15,0))</f>
        <v/>
      </c>
      <c r="B16" s="2" t="str">
        <f ca="1">IF(ISBLANK(Input!A15),"",INDIRECT("Input!A"&amp;1+MATCH(aux_sheet_RRS!$E15,aux_sheet_RRS!$D$2:$D$202,0)))</f>
        <v/>
      </c>
      <c r="C16" s="2" t="str">
        <f ca="1">IF(ISBLANK(Input!B15),"",INDIRECT("Input!B"&amp;1+MATCH(aux_sheet_RRS!$E15,aux_sheet_RRS!$D$2:$D$202,0)))</f>
        <v/>
      </c>
      <c r="D16" s="2" t="str">
        <f ca="1">IF(ISBLANK(Input!C15),"",INDIRECT("Input!C"&amp;1+MATCH(aux_sheet_RRS!$E15,aux_sheet_RRS!$D$2:$D$202,0)))</f>
        <v/>
      </c>
      <c r="E16" s="2" t="str">
        <f ca="1">IF(ISBLANK(Input!D15),"",INDIRECT("Input!D"&amp;1+MATCH(aux_sheet_RRS!$E15,aux_sheet_RRS!$D$2:$D$202,0)))</f>
        <v/>
      </c>
      <c r="F16" s="11" t="str">
        <f ca="1">INDIRECT("Input!H"&amp;1+MATCH(aux_sheet_RRS!$E15,aux_sheet_RRS!$D$2:$D$202,0))</f>
        <v xml:space="preserve"> </v>
      </c>
      <c r="G16" s="88" t="str">
        <f ca="1">IF($B16="","",INDIRECT("aux_sheet_RRS!O"&amp;1+MATCH(aux_sheet_RRS!$E15,aux_sheet_RRS!$D$2:$D$202,0)))</f>
        <v/>
      </c>
      <c r="H16" s="89" t="str">
        <f ca="1">IF($B16="","",INDIRECT("aux_sheet_RRS!P"&amp;1+MATCH(aux_sheet_RRS!$E15,aux_sheet_RRS!$D$2:$D$202,0)))</f>
        <v/>
      </c>
      <c r="I16" s="90" t="str">
        <f ca="1">IF(G16="","",ROUNDDOWN(INDIRECT("aux_sheet_RRS!Q"&amp;1+MATCH(aux_sheet_RRS!$E15,aux_sheet_RRS!$D$2:$D$202,0)),0))</f>
        <v/>
      </c>
      <c r="J16" s="106" t="str">
        <f ca="1">IF($B16="","",INDIRECT("aux_sheet_RRS!R"&amp;1+MATCH(aux_sheet_RRS!$E15,aux_sheet_RRS!$D$2:$D$202,0)))</f>
        <v/>
      </c>
      <c r="K16" s="89" t="str">
        <f ca="1">IF($B16="","",INDIRECT("aux_sheet_RRS!S"&amp;1+MATCH(aux_sheet_RRS!$E15,aux_sheet_RRS!$D$2:$D$202,0)))</f>
        <v/>
      </c>
      <c r="L16" s="90" t="str">
        <f ca="1">IF(J16="","",ROUNDDOWN(INDIRECT("aux_sheet_RRS!T"&amp;1+MATCH(aux_sheet_RRS!$E15,aux_sheet_RRS!$D$2:$D$202,0)),0))</f>
        <v/>
      </c>
      <c r="M16" s="106" t="str">
        <f ca="1">IF($B16="","",INDIRECT("aux_sheet_RRS!U"&amp;1+MATCH(aux_sheet_RRS!$E15,aux_sheet_RRS!$D$2:$D$202,0)))</f>
        <v/>
      </c>
      <c r="N16" s="89" t="str">
        <f ca="1">IF($B16="","",INDIRECT("aux_sheet_RRS!V"&amp;1+MATCH(aux_sheet_RRS!$E15,aux_sheet_RRS!$D$2:$D$202,0)))</f>
        <v/>
      </c>
      <c r="O16" s="90" t="str">
        <f ca="1">IF(M16="","",ROUNDDOWN(INDIRECT("aux_sheet_RRS!W"&amp;1+MATCH(aux_sheet_RRS!$E15,aux_sheet_RRS!$D$2:$D$202,0)),0))</f>
        <v/>
      </c>
      <c r="P16" s="106" t="str">
        <f ca="1">IF($B16="","",INDIRECT("aux_sheet_RRS!X"&amp;1+MATCH(aux_sheet_RRS!$E15,aux_sheet_RRS!$D$2:$D$202,0)))</f>
        <v/>
      </c>
      <c r="Q16" s="89" t="str">
        <f ca="1">IF($B16="","",INDIRECT("aux_sheet_RRS!Y"&amp;1+MATCH(aux_sheet_RRS!$E15,aux_sheet_RRS!$D$2:$D$202,0)))</f>
        <v/>
      </c>
      <c r="R16" s="90" t="str">
        <f ca="1">IF(P16="","",INDIRECT("aux_sheet_RRS!Z"&amp;1+MATCH(aux_sheet_RRS!$E15,aux_sheet_RRS!$D$2:$D$202,0)))</f>
        <v/>
      </c>
      <c r="S16" s="106" t="str">
        <f ca="1">IF($B16="","",INDIRECT("aux_sheet_RRS!AA"&amp;1+MATCH(aux_sheet_RRS!$E15,aux_sheet_RRS!$D$2:$D$202,0)))</f>
        <v/>
      </c>
      <c r="T16" s="89" t="str">
        <f ca="1">IF($B16="","",INDIRECT("aux_sheet_RRS!AB"&amp;1+MATCH(aux_sheet_RRS!$E15,aux_sheet_RRS!$D$2:$D$202,0)))</f>
        <v/>
      </c>
      <c r="U16" s="90" t="str">
        <f ca="1">IF(S16="","",INDIRECT("aux_sheet_RRS!AC"&amp;1+MATCH(aux_sheet_RRS!$E15,aux_sheet_RRS!$D$2:$D$202,0)))</f>
        <v/>
      </c>
      <c r="V16" s="106" t="str">
        <f ca="1">IF($B16="","",INDIRECT("aux_sheet_RRS!AD"&amp;1+MATCH(aux_sheet_RRS!$E15,aux_sheet_RRS!$D$2:$D$202,0)))</f>
        <v/>
      </c>
      <c r="W16" s="89" t="str">
        <f ca="1">IF($B16="","",INDIRECT("aux_sheet_RRS!AE"&amp;1+MATCH(aux_sheet_RRS!$E15,aux_sheet_RRS!$D$2:$D$202,0)))</f>
        <v/>
      </c>
      <c r="X16" s="90" t="str">
        <f ca="1">IF(V16="","",INDIRECT("aux_sheet_RRS!AF"&amp;1+MATCH(aux_sheet_RRS!$E15,aux_sheet_RRS!$D$2:$D$202,0)))</f>
        <v/>
      </c>
      <c r="Y16" s="106" t="str">
        <f ca="1">IF($B16="","",INDIRECT("aux_sheet_RRS!AG"&amp;1+MATCH(aux_sheet_RRS!$E15,aux_sheet_RRS!$D$2:$D$202,0)))</f>
        <v/>
      </c>
      <c r="Z16" s="89" t="str">
        <f ca="1">IF($B16="","",INDIRECT("aux_sheet_RRS!AH"&amp;1+MATCH(aux_sheet_RRS!$E15,aux_sheet_RRS!$D$2:$D$202,0)))</f>
        <v/>
      </c>
      <c r="AA16" s="90" t="str">
        <f ca="1">IF(Y16="","",INDIRECT("aux_sheet_RRS!AI"&amp;1+MATCH(aux_sheet_RRS!$E15,aux_sheet_RRS!$D$2:$D$202,0)))</f>
        <v/>
      </c>
      <c r="AB16" s="88" t="str">
        <f ca="1">IF($B16="","",INDIRECT("aux_sheet_RRS!AJ"&amp;1+MATCH(aux_sheet_RRS!$E15,aux_sheet_RRS!$D$2:$D$202,0)))</f>
        <v/>
      </c>
      <c r="AC16" s="89" t="str">
        <f ca="1">IF($B16="","",INDIRECT("aux_sheet_RRS!AK"&amp;1+MATCH(aux_sheet_RRS!$E15,aux_sheet_RRS!$D$2:$D$202,0)))</f>
        <v/>
      </c>
      <c r="AD16" s="90" t="str">
        <f ca="1">IF(AB16="","",INDIRECT("aux_sheet_RRS!AL"&amp;1+MATCH(aux_sheet_RRS!$E15,aux_sheet_RRS!$D$2:$D$202,0)))</f>
        <v/>
      </c>
      <c r="AE16" s="88" t="str">
        <f ca="1">IF($B16="","",INDIRECT("aux_sheet_RRS!AM"&amp;1+MATCH(aux_sheet_RRS!$E15,aux_sheet_RRS!$D$2:$D$202,0)))</f>
        <v/>
      </c>
      <c r="AF16" s="89" t="str">
        <f ca="1">IF($B16="","",INDIRECT("aux_sheet_RRS!AN"&amp;1+MATCH(aux_sheet_RRS!$E15,aux_sheet_RRS!$D$2:$D$202,0)))</f>
        <v/>
      </c>
      <c r="AG16" s="90" t="str">
        <f ca="1">IF(AE16="","",INDIRECT("aux_sheet_RRS!AO"&amp;1+MATCH(aux_sheet_RRS!$E15,aux_sheet_RRS!$D$2:$D$202,0)))</f>
        <v/>
      </c>
      <c r="AH16" s="14" t="str">
        <f t="shared" ca="1" si="3"/>
        <v/>
      </c>
      <c r="AI16" t="str">
        <f t="shared" ca="1" si="4"/>
        <v/>
      </c>
      <c r="AJ16" t="str">
        <f t="shared" ca="1" si="5"/>
        <v/>
      </c>
    </row>
    <row r="17" spans="1:36" x14ac:dyDescent="0.35">
      <c r="A17" s="2" t="str">
        <f>IF(ISBLANK(Input!A16),"",ROUNDDOWN(aux_sheet_RRS!E16,0))</f>
        <v/>
      </c>
      <c r="B17" s="2" t="str">
        <f ca="1">IF(ISBLANK(Input!A16),"",INDIRECT("Input!A"&amp;1+MATCH(aux_sheet_RRS!$E16,aux_sheet_RRS!$D$2:$D$202,0)))</f>
        <v/>
      </c>
      <c r="C17" s="2" t="str">
        <f ca="1">IF(ISBLANK(Input!B16),"",INDIRECT("Input!B"&amp;1+MATCH(aux_sheet_RRS!$E16,aux_sheet_RRS!$D$2:$D$202,0)))</f>
        <v/>
      </c>
      <c r="D17" s="2" t="str">
        <f ca="1">IF(ISBLANK(Input!C16),"",INDIRECT("Input!C"&amp;1+MATCH(aux_sheet_RRS!$E16,aux_sheet_RRS!$D$2:$D$202,0)))</f>
        <v/>
      </c>
      <c r="E17" s="2" t="str">
        <f ca="1">IF(ISBLANK(Input!D16),"",INDIRECT("Input!D"&amp;1+MATCH(aux_sheet_RRS!$E16,aux_sheet_RRS!$D$2:$D$202,0)))</f>
        <v/>
      </c>
      <c r="F17" s="11" t="str">
        <f ca="1">INDIRECT("Input!H"&amp;1+MATCH(aux_sheet_RRS!$E16,aux_sheet_RRS!$D$2:$D$202,0))</f>
        <v xml:space="preserve"> </v>
      </c>
      <c r="G17" s="88" t="str">
        <f ca="1">IF($B17="","",INDIRECT("aux_sheet_RRS!O"&amp;1+MATCH(aux_sheet_RRS!$E16,aux_sheet_RRS!$D$2:$D$202,0)))</f>
        <v/>
      </c>
      <c r="H17" s="89" t="str">
        <f ca="1">IF($B17="","",INDIRECT("aux_sheet_RRS!P"&amp;1+MATCH(aux_sheet_RRS!$E16,aux_sheet_RRS!$D$2:$D$202,0)))</f>
        <v/>
      </c>
      <c r="I17" s="90" t="str">
        <f ca="1">IF(G17="","",ROUNDDOWN(INDIRECT("aux_sheet_RRS!Q"&amp;1+MATCH(aux_sheet_RRS!$E16,aux_sheet_RRS!$D$2:$D$202,0)),0))</f>
        <v/>
      </c>
      <c r="J17" s="106" t="str">
        <f ca="1">IF($B17="","",INDIRECT("aux_sheet_RRS!R"&amp;1+MATCH(aux_sheet_RRS!$E16,aux_sheet_RRS!$D$2:$D$202,0)))</f>
        <v/>
      </c>
      <c r="K17" s="89" t="str">
        <f ca="1">IF($B17="","",INDIRECT("aux_sheet_RRS!S"&amp;1+MATCH(aux_sheet_RRS!$E16,aux_sheet_RRS!$D$2:$D$202,0)))</f>
        <v/>
      </c>
      <c r="L17" s="90" t="str">
        <f ca="1">IF(J17="","",ROUNDDOWN(INDIRECT("aux_sheet_RRS!T"&amp;1+MATCH(aux_sheet_RRS!$E16,aux_sheet_RRS!$D$2:$D$202,0)),0))</f>
        <v/>
      </c>
      <c r="M17" s="106" t="str">
        <f ca="1">IF($B17="","",INDIRECT("aux_sheet_RRS!U"&amp;1+MATCH(aux_sheet_RRS!$E16,aux_sheet_RRS!$D$2:$D$202,0)))</f>
        <v/>
      </c>
      <c r="N17" s="89" t="str">
        <f ca="1">IF($B17="","",INDIRECT("aux_sheet_RRS!V"&amp;1+MATCH(aux_sheet_RRS!$E16,aux_sheet_RRS!$D$2:$D$202,0)))</f>
        <v/>
      </c>
      <c r="O17" s="90" t="str">
        <f ca="1">IF(M17="","",ROUNDDOWN(INDIRECT("aux_sheet_RRS!W"&amp;1+MATCH(aux_sheet_RRS!$E16,aux_sheet_RRS!$D$2:$D$202,0)),0))</f>
        <v/>
      </c>
      <c r="P17" s="106" t="str">
        <f ca="1">IF($B17="","",INDIRECT("aux_sheet_RRS!X"&amp;1+MATCH(aux_sheet_RRS!$E16,aux_sheet_RRS!$D$2:$D$202,0)))</f>
        <v/>
      </c>
      <c r="Q17" s="89" t="str">
        <f ca="1">IF($B17="","",INDIRECT("aux_sheet_RRS!Y"&amp;1+MATCH(aux_sheet_RRS!$E16,aux_sheet_RRS!$D$2:$D$202,0)))</f>
        <v/>
      </c>
      <c r="R17" s="90" t="str">
        <f ca="1">IF(P17="","",INDIRECT("aux_sheet_RRS!Z"&amp;1+MATCH(aux_sheet_RRS!$E16,aux_sheet_RRS!$D$2:$D$202,0)))</f>
        <v/>
      </c>
      <c r="S17" s="106" t="str">
        <f ca="1">IF($B17="","",INDIRECT("aux_sheet_RRS!AA"&amp;1+MATCH(aux_sheet_RRS!$E16,aux_sheet_RRS!$D$2:$D$202,0)))</f>
        <v/>
      </c>
      <c r="T17" s="89" t="str">
        <f ca="1">IF($B17="","",INDIRECT("aux_sheet_RRS!AB"&amp;1+MATCH(aux_sheet_RRS!$E16,aux_sheet_RRS!$D$2:$D$202,0)))</f>
        <v/>
      </c>
      <c r="U17" s="90" t="str">
        <f ca="1">IF(S17="","",INDIRECT("aux_sheet_RRS!AC"&amp;1+MATCH(aux_sheet_RRS!$E16,aux_sheet_RRS!$D$2:$D$202,0)))</f>
        <v/>
      </c>
      <c r="V17" s="106" t="str">
        <f ca="1">IF($B17="","",INDIRECT("aux_sheet_RRS!AD"&amp;1+MATCH(aux_sheet_RRS!$E16,aux_sheet_RRS!$D$2:$D$202,0)))</f>
        <v/>
      </c>
      <c r="W17" s="89" t="str">
        <f ca="1">IF($B17="","",INDIRECT("aux_sheet_RRS!AE"&amp;1+MATCH(aux_sheet_RRS!$E16,aux_sheet_RRS!$D$2:$D$202,0)))</f>
        <v/>
      </c>
      <c r="X17" s="90" t="str">
        <f ca="1">IF(V17="","",INDIRECT("aux_sheet_RRS!AF"&amp;1+MATCH(aux_sheet_RRS!$E16,aux_sheet_RRS!$D$2:$D$202,0)))</f>
        <v/>
      </c>
      <c r="Y17" s="106" t="str">
        <f ca="1">IF($B17="","",INDIRECT("aux_sheet_RRS!AG"&amp;1+MATCH(aux_sheet_RRS!$E16,aux_sheet_RRS!$D$2:$D$202,0)))</f>
        <v/>
      </c>
      <c r="Z17" s="89" t="str">
        <f ca="1">IF($B17="","",INDIRECT("aux_sheet_RRS!AH"&amp;1+MATCH(aux_sheet_RRS!$E16,aux_sheet_RRS!$D$2:$D$202,0)))</f>
        <v/>
      </c>
      <c r="AA17" s="90" t="str">
        <f ca="1">IF(Y17="","",INDIRECT("aux_sheet_RRS!AI"&amp;1+MATCH(aux_sheet_RRS!$E16,aux_sheet_RRS!$D$2:$D$202,0)))</f>
        <v/>
      </c>
      <c r="AB17" s="88" t="str">
        <f ca="1">IF($B17="","",INDIRECT("aux_sheet_RRS!AJ"&amp;1+MATCH(aux_sheet_RRS!$E16,aux_sheet_RRS!$D$2:$D$202,0)))</f>
        <v/>
      </c>
      <c r="AC17" s="89" t="str">
        <f ca="1">IF($B17="","",INDIRECT("aux_sheet_RRS!AK"&amp;1+MATCH(aux_sheet_RRS!$E16,aux_sheet_RRS!$D$2:$D$202,0)))</f>
        <v/>
      </c>
      <c r="AD17" s="90" t="str">
        <f ca="1">IF(AB17="","",INDIRECT("aux_sheet_RRS!AL"&amp;1+MATCH(aux_sheet_RRS!$E16,aux_sheet_RRS!$D$2:$D$202,0)))</f>
        <v/>
      </c>
      <c r="AE17" s="88" t="str">
        <f ca="1">IF($B17="","",INDIRECT("aux_sheet_RRS!AM"&amp;1+MATCH(aux_sheet_RRS!$E16,aux_sheet_RRS!$D$2:$D$202,0)))</f>
        <v/>
      </c>
      <c r="AF17" s="89" t="str">
        <f ca="1">IF($B17="","",INDIRECT("aux_sheet_RRS!AN"&amp;1+MATCH(aux_sheet_RRS!$E16,aux_sheet_RRS!$D$2:$D$202,0)))</f>
        <v/>
      </c>
      <c r="AG17" s="90" t="str">
        <f ca="1">IF(AE17="","",INDIRECT("aux_sheet_RRS!AO"&amp;1+MATCH(aux_sheet_RRS!$E16,aux_sheet_RRS!$D$2:$D$202,0)))</f>
        <v/>
      </c>
      <c r="AH17" s="14" t="str">
        <f t="shared" ca="1" si="3"/>
        <v/>
      </c>
      <c r="AI17" t="str">
        <f t="shared" ca="1" si="4"/>
        <v/>
      </c>
      <c r="AJ17" t="str">
        <f t="shared" ca="1" si="5"/>
        <v/>
      </c>
    </row>
    <row r="18" spans="1:36" x14ac:dyDescent="0.35">
      <c r="A18" s="2" t="str">
        <f>IF(ISBLANK(Input!A17),"",ROUNDDOWN(aux_sheet_RRS!E17,0))</f>
        <v/>
      </c>
      <c r="B18" s="2" t="str">
        <f ca="1">IF(ISBLANK(Input!A17),"",INDIRECT("Input!A"&amp;1+MATCH(aux_sheet_RRS!$E17,aux_sheet_RRS!$D$2:$D$202,0)))</f>
        <v/>
      </c>
      <c r="C18" s="2" t="str">
        <f ca="1">IF(ISBLANK(Input!B17),"",INDIRECT("Input!B"&amp;1+MATCH(aux_sheet_RRS!$E17,aux_sheet_RRS!$D$2:$D$202,0)))</f>
        <v/>
      </c>
      <c r="D18" s="2" t="str">
        <f ca="1">IF(ISBLANK(Input!C17),"",INDIRECT("Input!C"&amp;1+MATCH(aux_sheet_RRS!$E17,aux_sheet_RRS!$D$2:$D$202,0)))</f>
        <v/>
      </c>
      <c r="E18" s="2" t="str">
        <f ca="1">IF(ISBLANK(Input!D17),"",INDIRECT("Input!D"&amp;1+MATCH(aux_sheet_RRS!$E17,aux_sheet_RRS!$D$2:$D$202,0)))</f>
        <v/>
      </c>
      <c r="F18" s="11" t="str">
        <f ca="1">INDIRECT("Input!H"&amp;1+MATCH(aux_sheet_RRS!$E17,aux_sheet_RRS!$D$2:$D$202,0))</f>
        <v xml:space="preserve"> </v>
      </c>
      <c r="G18" s="88" t="str">
        <f ca="1">IF($B18="","",INDIRECT("aux_sheet_RRS!O"&amp;1+MATCH(aux_sheet_RRS!$E17,aux_sheet_RRS!$D$2:$D$202,0)))</f>
        <v/>
      </c>
      <c r="H18" s="89" t="str">
        <f ca="1">IF($B18="","",INDIRECT("aux_sheet_RRS!P"&amp;1+MATCH(aux_sheet_RRS!$E17,aux_sheet_RRS!$D$2:$D$202,0)))</f>
        <v/>
      </c>
      <c r="I18" s="90" t="str">
        <f ca="1">IF(G18="","",ROUNDDOWN(INDIRECT("aux_sheet_RRS!Q"&amp;1+MATCH(aux_sheet_RRS!$E17,aux_sheet_RRS!$D$2:$D$202,0)),0))</f>
        <v/>
      </c>
      <c r="J18" s="106" t="str">
        <f ca="1">IF($B18="","",INDIRECT("aux_sheet_RRS!R"&amp;1+MATCH(aux_sheet_RRS!$E17,aux_sheet_RRS!$D$2:$D$202,0)))</f>
        <v/>
      </c>
      <c r="K18" s="89" t="str">
        <f ca="1">IF($B18="","",INDIRECT("aux_sheet_RRS!S"&amp;1+MATCH(aux_sheet_RRS!$E17,aux_sheet_RRS!$D$2:$D$202,0)))</f>
        <v/>
      </c>
      <c r="L18" s="90" t="str">
        <f ca="1">IF(J18="","",ROUNDDOWN(INDIRECT("aux_sheet_RRS!T"&amp;1+MATCH(aux_sheet_RRS!$E17,aux_sheet_RRS!$D$2:$D$202,0)),0))</f>
        <v/>
      </c>
      <c r="M18" s="106" t="str">
        <f ca="1">IF($B18="","",INDIRECT("aux_sheet_RRS!U"&amp;1+MATCH(aux_sheet_RRS!$E17,aux_sheet_RRS!$D$2:$D$202,0)))</f>
        <v/>
      </c>
      <c r="N18" s="89" t="str">
        <f ca="1">IF($B18="","",INDIRECT("aux_sheet_RRS!V"&amp;1+MATCH(aux_sheet_RRS!$E17,aux_sheet_RRS!$D$2:$D$202,0)))</f>
        <v/>
      </c>
      <c r="O18" s="90" t="str">
        <f ca="1">IF(M18="","",ROUNDDOWN(INDIRECT("aux_sheet_RRS!W"&amp;1+MATCH(aux_sheet_RRS!$E17,aux_sheet_RRS!$D$2:$D$202,0)),0))</f>
        <v/>
      </c>
      <c r="P18" s="106" t="str">
        <f ca="1">IF($B18="","",INDIRECT("aux_sheet_RRS!X"&amp;1+MATCH(aux_sheet_RRS!$E17,aux_sheet_RRS!$D$2:$D$202,0)))</f>
        <v/>
      </c>
      <c r="Q18" s="89" t="str">
        <f ca="1">IF($B18="","",INDIRECT("aux_sheet_RRS!Y"&amp;1+MATCH(aux_sheet_RRS!$E17,aux_sheet_RRS!$D$2:$D$202,0)))</f>
        <v/>
      </c>
      <c r="R18" s="90" t="str">
        <f ca="1">IF(P18="","",INDIRECT("aux_sheet_RRS!Z"&amp;1+MATCH(aux_sheet_RRS!$E17,aux_sheet_RRS!$D$2:$D$202,0)))</f>
        <v/>
      </c>
      <c r="S18" s="106" t="str">
        <f ca="1">IF($B18="","",INDIRECT("aux_sheet_RRS!AA"&amp;1+MATCH(aux_sheet_RRS!$E17,aux_sheet_RRS!$D$2:$D$202,0)))</f>
        <v/>
      </c>
      <c r="T18" s="89" t="str">
        <f ca="1">IF($B18="","",INDIRECT("aux_sheet_RRS!AB"&amp;1+MATCH(aux_sheet_RRS!$E17,aux_sheet_RRS!$D$2:$D$202,0)))</f>
        <v/>
      </c>
      <c r="U18" s="90" t="str">
        <f ca="1">IF(S18="","",INDIRECT("aux_sheet_RRS!AC"&amp;1+MATCH(aux_sheet_RRS!$E17,aux_sheet_RRS!$D$2:$D$202,0)))</f>
        <v/>
      </c>
      <c r="V18" s="106" t="str">
        <f ca="1">IF($B18="","",INDIRECT("aux_sheet_RRS!AD"&amp;1+MATCH(aux_sheet_RRS!$E17,aux_sheet_RRS!$D$2:$D$202,0)))</f>
        <v/>
      </c>
      <c r="W18" s="89" t="str">
        <f ca="1">IF($B18="","",INDIRECT("aux_sheet_RRS!AE"&amp;1+MATCH(aux_sheet_RRS!$E17,aux_sheet_RRS!$D$2:$D$202,0)))</f>
        <v/>
      </c>
      <c r="X18" s="90" t="str">
        <f ca="1">IF(V18="","",INDIRECT("aux_sheet_RRS!AF"&amp;1+MATCH(aux_sheet_RRS!$E17,aux_sheet_RRS!$D$2:$D$202,0)))</f>
        <v/>
      </c>
      <c r="Y18" s="106" t="str">
        <f ca="1">IF($B18="","",INDIRECT("aux_sheet_RRS!AG"&amp;1+MATCH(aux_sheet_RRS!$E17,aux_sheet_RRS!$D$2:$D$202,0)))</f>
        <v/>
      </c>
      <c r="Z18" s="89" t="str">
        <f ca="1">IF($B18="","",INDIRECT("aux_sheet_RRS!AH"&amp;1+MATCH(aux_sheet_RRS!$E17,aux_sheet_RRS!$D$2:$D$202,0)))</f>
        <v/>
      </c>
      <c r="AA18" s="90" t="str">
        <f ca="1">IF(Y18="","",INDIRECT("aux_sheet_RRS!AI"&amp;1+MATCH(aux_sheet_RRS!$E17,aux_sheet_RRS!$D$2:$D$202,0)))</f>
        <v/>
      </c>
      <c r="AB18" s="88" t="str">
        <f ca="1">IF($B18="","",INDIRECT("aux_sheet_RRS!AJ"&amp;1+MATCH(aux_sheet_RRS!$E17,aux_sheet_RRS!$D$2:$D$202,0)))</f>
        <v/>
      </c>
      <c r="AC18" s="89" t="str">
        <f ca="1">IF($B18="","",INDIRECT("aux_sheet_RRS!AK"&amp;1+MATCH(aux_sheet_RRS!$E17,aux_sheet_RRS!$D$2:$D$202,0)))</f>
        <v/>
      </c>
      <c r="AD18" s="90" t="str">
        <f ca="1">IF(AB18="","",INDIRECT("aux_sheet_RRS!AL"&amp;1+MATCH(aux_sheet_RRS!$E17,aux_sheet_RRS!$D$2:$D$202,0)))</f>
        <v/>
      </c>
      <c r="AE18" s="88" t="str">
        <f ca="1">IF($B18="","",INDIRECT("aux_sheet_RRS!AM"&amp;1+MATCH(aux_sheet_RRS!$E17,aux_sheet_RRS!$D$2:$D$202,0)))</f>
        <v/>
      </c>
      <c r="AF18" s="89" t="str">
        <f ca="1">IF($B18="","",INDIRECT("aux_sheet_RRS!AN"&amp;1+MATCH(aux_sheet_RRS!$E17,aux_sheet_RRS!$D$2:$D$202,0)))</f>
        <v/>
      </c>
      <c r="AG18" s="90" t="str">
        <f ca="1">IF(AE18="","",INDIRECT("aux_sheet_RRS!AO"&amp;1+MATCH(aux_sheet_RRS!$E17,aux_sheet_RRS!$D$2:$D$202,0)))</f>
        <v/>
      </c>
      <c r="AH18" s="14" t="str">
        <f t="shared" ca="1" si="3"/>
        <v/>
      </c>
      <c r="AI18" t="str">
        <f t="shared" ca="1" si="4"/>
        <v/>
      </c>
      <c r="AJ18" t="str">
        <f t="shared" ca="1" si="5"/>
        <v/>
      </c>
    </row>
    <row r="19" spans="1:36" x14ac:dyDescent="0.35">
      <c r="A19" s="2" t="str">
        <f>IF(ISBLANK(Input!A18),"",ROUNDDOWN(aux_sheet_RRS!E18,0))</f>
        <v/>
      </c>
      <c r="B19" s="2" t="str">
        <f ca="1">IF(ISBLANK(Input!A18),"",INDIRECT("Input!A"&amp;1+MATCH(aux_sheet_RRS!$E18,aux_sheet_RRS!$D$2:$D$202,0)))</f>
        <v/>
      </c>
      <c r="C19" s="2" t="str">
        <f ca="1">IF(ISBLANK(Input!B18),"",INDIRECT("Input!B"&amp;1+MATCH(aux_sheet_RRS!$E18,aux_sheet_RRS!$D$2:$D$202,0)))</f>
        <v/>
      </c>
      <c r="D19" s="2" t="str">
        <f ca="1">IF(ISBLANK(Input!C18),"",INDIRECT("Input!C"&amp;1+MATCH(aux_sheet_RRS!$E18,aux_sheet_RRS!$D$2:$D$202,0)))</f>
        <v/>
      </c>
      <c r="E19" s="2" t="str">
        <f ca="1">IF(ISBLANK(Input!D18),"",INDIRECT("Input!D"&amp;1+MATCH(aux_sheet_RRS!$E18,aux_sheet_RRS!$D$2:$D$202,0)))</f>
        <v/>
      </c>
      <c r="F19" s="11" t="str">
        <f ca="1">INDIRECT("Input!H"&amp;1+MATCH(aux_sheet_RRS!$E18,aux_sheet_RRS!$D$2:$D$202,0))</f>
        <v xml:space="preserve"> </v>
      </c>
      <c r="G19" s="88" t="str">
        <f ca="1">IF($B19="","",INDIRECT("aux_sheet_RRS!O"&amp;1+MATCH(aux_sheet_RRS!$E18,aux_sheet_RRS!$D$2:$D$202,0)))</f>
        <v/>
      </c>
      <c r="H19" s="89" t="str">
        <f ca="1">IF($B19="","",INDIRECT("aux_sheet_RRS!P"&amp;1+MATCH(aux_sheet_RRS!$E18,aux_sheet_RRS!$D$2:$D$202,0)))</f>
        <v/>
      </c>
      <c r="I19" s="90" t="str">
        <f ca="1">IF(G19="","",ROUNDDOWN(INDIRECT("aux_sheet_RRS!Q"&amp;1+MATCH(aux_sheet_RRS!$E18,aux_sheet_RRS!$D$2:$D$202,0)),0))</f>
        <v/>
      </c>
      <c r="J19" s="106" t="str">
        <f ca="1">IF($B19="","",INDIRECT("aux_sheet_RRS!R"&amp;1+MATCH(aux_sheet_RRS!$E18,aux_sheet_RRS!$D$2:$D$202,0)))</f>
        <v/>
      </c>
      <c r="K19" s="89" t="str">
        <f ca="1">IF($B19="","",INDIRECT("aux_sheet_RRS!S"&amp;1+MATCH(aux_sheet_RRS!$E18,aux_sheet_RRS!$D$2:$D$202,0)))</f>
        <v/>
      </c>
      <c r="L19" s="90" t="str">
        <f ca="1">IF(J19="","",ROUNDDOWN(INDIRECT("aux_sheet_RRS!T"&amp;1+MATCH(aux_sheet_RRS!$E18,aux_sheet_RRS!$D$2:$D$202,0)),0))</f>
        <v/>
      </c>
      <c r="M19" s="106" t="str">
        <f ca="1">IF($B19="","",INDIRECT("aux_sheet_RRS!U"&amp;1+MATCH(aux_sheet_RRS!$E18,aux_sheet_RRS!$D$2:$D$202,0)))</f>
        <v/>
      </c>
      <c r="N19" s="89" t="str">
        <f ca="1">IF($B19="","",INDIRECT("aux_sheet_RRS!V"&amp;1+MATCH(aux_sheet_RRS!$E18,aux_sheet_RRS!$D$2:$D$202,0)))</f>
        <v/>
      </c>
      <c r="O19" s="90" t="str">
        <f ca="1">IF(M19="","",ROUNDDOWN(INDIRECT("aux_sheet_RRS!W"&amp;1+MATCH(aux_sheet_RRS!$E18,aux_sheet_RRS!$D$2:$D$202,0)),0))</f>
        <v/>
      </c>
      <c r="P19" s="106" t="str">
        <f ca="1">IF($B19="","",INDIRECT("aux_sheet_RRS!X"&amp;1+MATCH(aux_sheet_RRS!$E18,aux_sheet_RRS!$D$2:$D$202,0)))</f>
        <v/>
      </c>
      <c r="Q19" s="89" t="str">
        <f ca="1">IF($B19="","",INDIRECT("aux_sheet_RRS!Y"&amp;1+MATCH(aux_sheet_RRS!$E18,aux_sheet_RRS!$D$2:$D$202,0)))</f>
        <v/>
      </c>
      <c r="R19" s="90" t="str">
        <f ca="1">IF(P19="","",INDIRECT("aux_sheet_RRS!Z"&amp;1+MATCH(aux_sheet_RRS!$E18,aux_sheet_RRS!$D$2:$D$202,0)))</f>
        <v/>
      </c>
      <c r="S19" s="106" t="str">
        <f ca="1">IF($B19="","",INDIRECT("aux_sheet_RRS!AA"&amp;1+MATCH(aux_sheet_RRS!$E18,aux_sheet_RRS!$D$2:$D$202,0)))</f>
        <v/>
      </c>
      <c r="T19" s="89" t="str">
        <f ca="1">IF($B19="","",INDIRECT("aux_sheet_RRS!AB"&amp;1+MATCH(aux_sheet_RRS!$E18,aux_sheet_RRS!$D$2:$D$202,0)))</f>
        <v/>
      </c>
      <c r="U19" s="90" t="str">
        <f ca="1">IF(S19="","",INDIRECT("aux_sheet_RRS!AC"&amp;1+MATCH(aux_sheet_RRS!$E18,aux_sheet_RRS!$D$2:$D$202,0)))</f>
        <v/>
      </c>
      <c r="V19" s="106" t="str">
        <f ca="1">IF($B19="","",INDIRECT("aux_sheet_RRS!AD"&amp;1+MATCH(aux_sheet_RRS!$E18,aux_sheet_RRS!$D$2:$D$202,0)))</f>
        <v/>
      </c>
      <c r="W19" s="89" t="str">
        <f ca="1">IF($B19="","",INDIRECT("aux_sheet_RRS!AE"&amp;1+MATCH(aux_sheet_RRS!$E18,aux_sheet_RRS!$D$2:$D$202,0)))</f>
        <v/>
      </c>
      <c r="X19" s="90" t="str">
        <f ca="1">IF(V19="","",INDIRECT("aux_sheet_RRS!AF"&amp;1+MATCH(aux_sheet_RRS!$E18,aux_sheet_RRS!$D$2:$D$202,0)))</f>
        <v/>
      </c>
      <c r="Y19" s="106" t="str">
        <f ca="1">IF($B19="","",INDIRECT("aux_sheet_RRS!AG"&amp;1+MATCH(aux_sheet_RRS!$E18,aux_sheet_RRS!$D$2:$D$202,0)))</f>
        <v/>
      </c>
      <c r="Z19" s="89" t="str">
        <f ca="1">IF($B19="","",INDIRECT("aux_sheet_RRS!AH"&amp;1+MATCH(aux_sheet_RRS!$E18,aux_sheet_RRS!$D$2:$D$202,0)))</f>
        <v/>
      </c>
      <c r="AA19" s="90" t="str">
        <f ca="1">IF(Y19="","",INDIRECT("aux_sheet_RRS!AI"&amp;1+MATCH(aux_sheet_RRS!$E18,aux_sheet_RRS!$D$2:$D$202,0)))</f>
        <v/>
      </c>
      <c r="AB19" s="88" t="str">
        <f ca="1">IF($B19="","",INDIRECT("aux_sheet_RRS!AJ"&amp;1+MATCH(aux_sheet_RRS!$E18,aux_sheet_RRS!$D$2:$D$202,0)))</f>
        <v/>
      </c>
      <c r="AC19" s="89" t="str">
        <f ca="1">IF($B19="","",INDIRECT("aux_sheet_RRS!AK"&amp;1+MATCH(aux_sheet_RRS!$E18,aux_sheet_RRS!$D$2:$D$202,0)))</f>
        <v/>
      </c>
      <c r="AD19" s="90" t="str">
        <f ca="1">IF(AB19="","",INDIRECT("aux_sheet_RRS!AL"&amp;1+MATCH(aux_sheet_RRS!$E18,aux_sheet_RRS!$D$2:$D$202,0)))</f>
        <v/>
      </c>
      <c r="AE19" s="88" t="str">
        <f ca="1">IF($B19="","",INDIRECT("aux_sheet_RRS!AM"&amp;1+MATCH(aux_sheet_RRS!$E18,aux_sheet_RRS!$D$2:$D$202,0)))</f>
        <v/>
      </c>
      <c r="AF19" s="89" t="str">
        <f ca="1">IF($B19="","",INDIRECT("aux_sheet_RRS!AN"&amp;1+MATCH(aux_sheet_RRS!$E18,aux_sheet_RRS!$D$2:$D$202,0)))</f>
        <v/>
      </c>
      <c r="AG19" s="90" t="str">
        <f ca="1">IF(AE19="","",INDIRECT("aux_sheet_RRS!AO"&amp;1+MATCH(aux_sheet_RRS!$E18,aux_sheet_RRS!$D$2:$D$202,0)))</f>
        <v/>
      </c>
      <c r="AH19" s="14" t="str">
        <f t="shared" ca="1" si="3"/>
        <v/>
      </c>
      <c r="AI19" t="str">
        <f t="shared" ca="1" si="4"/>
        <v/>
      </c>
      <c r="AJ19" t="str">
        <f t="shared" ca="1" si="5"/>
        <v/>
      </c>
    </row>
    <row r="20" spans="1:36" x14ac:dyDescent="0.35">
      <c r="A20" s="2" t="str">
        <f>IF(ISBLANK(Input!A19),"",ROUNDDOWN(aux_sheet_RRS!E19,0))</f>
        <v/>
      </c>
      <c r="B20" s="2" t="str">
        <f ca="1">IF(ISBLANK(Input!A19),"",INDIRECT("Input!A"&amp;1+MATCH(aux_sheet_RRS!$E19,aux_sheet_RRS!$D$2:$D$202,0)))</f>
        <v/>
      </c>
      <c r="C20" s="2" t="str">
        <f ca="1">IF(ISBLANK(Input!B19),"",INDIRECT("Input!B"&amp;1+MATCH(aux_sheet_RRS!$E19,aux_sheet_RRS!$D$2:$D$202,0)))</f>
        <v/>
      </c>
      <c r="D20" s="2" t="str">
        <f ca="1">IF(ISBLANK(Input!C19),"",INDIRECT("Input!C"&amp;1+MATCH(aux_sheet_RRS!$E19,aux_sheet_RRS!$D$2:$D$202,0)))</f>
        <v/>
      </c>
      <c r="E20" s="2" t="str">
        <f ca="1">IF(ISBLANK(Input!D19),"",INDIRECT("Input!D"&amp;1+MATCH(aux_sheet_RRS!$E19,aux_sheet_RRS!$D$2:$D$202,0)))</f>
        <v/>
      </c>
      <c r="F20" s="11" t="str">
        <f ca="1">INDIRECT("Input!H"&amp;1+MATCH(aux_sheet_RRS!$E19,aux_sheet_RRS!$D$2:$D$202,0))</f>
        <v xml:space="preserve"> </v>
      </c>
      <c r="G20" s="88" t="str">
        <f ca="1">IF($B20="","",INDIRECT("aux_sheet_RRS!O"&amp;1+MATCH(aux_sheet_RRS!$E19,aux_sheet_RRS!$D$2:$D$202,0)))</f>
        <v/>
      </c>
      <c r="H20" s="89" t="str">
        <f ca="1">IF($B20="","",INDIRECT("aux_sheet_RRS!P"&amp;1+MATCH(aux_sheet_RRS!$E19,aux_sheet_RRS!$D$2:$D$202,0)))</f>
        <v/>
      </c>
      <c r="I20" s="90" t="str">
        <f ca="1">IF(G20="","",ROUNDDOWN(INDIRECT("aux_sheet_RRS!Q"&amp;1+MATCH(aux_sheet_RRS!$E19,aux_sheet_RRS!$D$2:$D$202,0)),0))</f>
        <v/>
      </c>
      <c r="J20" s="106" t="str">
        <f ca="1">IF($B20="","",INDIRECT("aux_sheet_RRS!R"&amp;1+MATCH(aux_sheet_RRS!$E19,aux_sheet_RRS!$D$2:$D$202,0)))</f>
        <v/>
      </c>
      <c r="K20" s="89" t="str">
        <f ca="1">IF($B20="","",INDIRECT("aux_sheet_RRS!S"&amp;1+MATCH(aux_sheet_RRS!$E19,aux_sheet_RRS!$D$2:$D$202,0)))</f>
        <v/>
      </c>
      <c r="L20" s="90" t="str">
        <f ca="1">IF(J20="","",ROUNDDOWN(INDIRECT("aux_sheet_RRS!T"&amp;1+MATCH(aux_sheet_RRS!$E19,aux_sheet_RRS!$D$2:$D$202,0)),0))</f>
        <v/>
      </c>
      <c r="M20" s="106" t="str">
        <f ca="1">IF($B20="","",INDIRECT("aux_sheet_RRS!U"&amp;1+MATCH(aux_sheet_RRS!$E19,aux_sheet_RRS!$D$2:$D$202,0)))</f>
        <v/>
      </c>
      <c r="N20" s="89" t="str">
        <f ca="1">IF($B20="","",INDIRECT("aux_sheet_RRS!V"&amp;1+MATCH(aux_sheet_RRS!$E19,aux_sheet_RRS!$D$2:$D$202,0)))</f>
        <v/>
      </c>
      <c r="O20" s="90" t="str">
        <f ca="1">IF(M20="","",ROUNDDOWN(INDIRECT("aux_sheet_RRS!W"&amp;1+MATCH(aux_sheet_RRS!$E19,aux_sheet_RRS!$D$2:$D$202,0)),0))</f>
        <v/>
      </c>
      <c r="P20" s="106" t="str">
        <f ca="1">IF($B20="","",INDIRECT("aux_sheet_RRS!X"&amp;1+MATCH(aux_sheet_RRS!$E19,aux_sheet_RRS!$D$2:$D$202,0)))</f>
        <v/>
      </c>
      <c r="Q20" s="89" t="str">
        <f ca="1">IF($B20="","",INDIRECT("aux_sheet_RRS!Y"&amp;1+MATCH(aux_sheet_RRS!$E19,aux_sheet_RRS!$D$2:$D$202,0)))</f>
        <v/>
      </c>
      <c r="R20" s="90" t="str">
        <f ca="1">IF(P20="","",INDIRECT("aux_sheet_RRS!Z"&amp;1+MATCH(aux_sheet_RRS!$E19,aux_sheet_RRS!$D$2:$D$202,0)))</f>
        <v/>
      </c>
      <c r="S20" s="106" t="str">
        <f ca="1">IF($B20="","",INDIRECT("aux_sheet_RRS!AA"&amp;1+MATCH(aux_sheet_RRS!$E19,aux_sheet_RRS!$D$2:$D$202,0)))</f>
        <v/>
      </c>
      <c r="T20" s="89" t="str">
        <f ca="1">IF($B20="","",INDIRECT("aux_sheet_RRS!AB"&amp;1+MATCH(aux_sheet_RRS!$E19,aux_sheet_RRS!$D$2:$D$202,0)))</f>
        <v/>
      </c>
      <c r="U20" s="90" t="str">
        <f ca="1">IF(S20="","",INDIRECT("aux_sheet_RRS!AC"&amp;1+MATCH(aux_sheet_RRS!$E19,aux_sheet_RRS!$D$2:$D$202,0)))</f>
        <v/>
      </c>
      <c r="V20" s="106" t="str">
        <f ca="1">IF($B20="","",INDIRECT("aux_sheet_RRS!AD"&amp;1+MATCH(aux_sheet_RRS!$E19,aux_sheet_RRS!$D$2:$D$202,0)))</f>
        <v/>
      </c>
      <c r="W20" s="89" t="str">
        <f ca="1">IF($B20="","",INDIRECT("aux_sheet_RRS!AE"&amp;1+MATCH(aux_sheet_RRS!$E19,aux_sheet_RRS!$D$2:$D$202,0)))</f>
        <v/>
      </c>
      <c r="X20" s="90" t="str">
        <f ca="1">IF(V20="","",INDIRECT("aux_sheet_RRS!AF"&amp;1+MATCH(aux_sheet_RRS!$E19,aux_sheet_RRS!$D$2:$D$202,0)))</f>
        <v/>
      </c>
      <c r="Y20" s="106" t="str">
        <f ca="1">IF($B20="","",INDIRECT("aux_sheet_RRS!AG"&amp;1+MATCH(aux_sheet_RRS!$E19,aux_sheet_RRS!$D$2:$D$202,0)))</f>
        <v/>
      </c>
      <c r="Z20" s="89" t="str">
        <f ca="1">IF($B20="","",INDIRECT("aux_sheet_RRS!AH"&amp;1+MATCH(aux_sheet_RRS!$E19,aux_sheet_RRS!$D$2:$D$202,0)))</f>
        <v/>
      </c>
      <c r="AA20" s="90" t="str">
        <f ca="1">IF(Y20="","",INDIRECT("aux_sheet_RRS!AI"&amp;1+MATCH(aux_sheet_RRS!$E19,aux_sheet_RRS!$D$2:$D$202,0)))</f>
        <v/>
      </c>
      <c r="AB20" s="88" t="str">
        <f ca="1">IF($B20="","",INDIRECT("aux_sheet_RRS!AJ"&amp;1+MATCH(aux_sheet_RRS!$E19,aux_sheet_RRS!$D$2:$D$202,0)))</f>
        <v/>
      </c>
      <c r="AC20" s="89" t="str">
        <f ca="1">IF($B20="","",INDIRECT("aux_sheet_RRS!AK"&amp;1+MATCH(aux_sheet_RRS!$E19,aux_sheet_RRS!$D$2:$D$202,0)))</f>
        <v/>
      </c>
      <c r="AD20" s="90" t="str">
        <f ca="1">IF(AB20="","",INDIRECT("aux_sheet_RRS!AL"&amp;1+MATCH(aux_sheet_RRS!$E19,aux_sheet_RRS!$D$2:$D$202,0)))</f>
        <v/>
      </c>
      <c r="AE20" s="88" t="str">
        <f ca="1">IF($B20="","",INDIRECT("aux_sheet_RRS!AM"&amp;1+MATCH(aux_sheet_RRS!$E19,aux_sheet_RRS!$D$2:$D$202,0)))</f>
        <v/>
      </c>
      <c r="AF20" s="89" t="str">
        <f ca="1">IF($B20="","",INDIRECT("aux_sheet_RRS!AN"&amp;1+MATCH(aux_sheet_RRS!$E19,aux_sheet_RRS!$D$2:$D$202,0)))</f>
        <v/>
      </c>
      <c r="AG20" s="90" t="str">
        <f ca="1">IF(AE20="","",INDIRECT("aux_sheet_RRS!AO"&amp;1+MATCH(aux_sheet_RRS!$E19,aux_sheet_RRS!$D$2:$D$202,0)))</f>
        <v/>
      </c>
      <c r="AH20" s="14" t="str">
        <f t="shared" ca="1" si="3"/>
        <v/>
      </c>
      <c r="AI20" t="str">
        <f t="shared" ca="1" si="4"/>
        <v/>
      </c>
      <c r="AJ20" t="str">
        <f t="shared" ca="1" si="5"/>
        <v/>
      </c>
    </row>
    <row r="21" spans="1:36" x14ac:dyDescent="0.35">
      <c r="A21" s="2" t="str">
        <f>IF(ISBLANK(Input!A20),"",ROUNDDOWN(aux_sheet_RRS!E20,0))</f>
        <v/>
      </c>
      <c r="B21" s="2" t="str">
        <f ca="1">IF(ISBLANK(Input!A20),"",INDIRECT("Input!A"&amp;1+MATCH(aux_sheet_RRS!$E20,aux_sheet_RRS!$D$2:$D$202,0)))</f>
        <v/>
      </c>
      <c r="C21" s="2" t="str">
        <f ca="1">IF(ISBLANK(Input!B20),"",INDIRECT("Input!B"&amp;1+MATCH(aux_sheet_RRS!$E20,aux_sheet_RRS!$D$2:$D$202,0)))</f>
        <v/>
      </c>
      <c r="D21" s="2" t="str">
        <f ca="1">IF(ISBLANK(Input!C20),"",INDIRECT("Input!C"&amp;1+MATCH(aux_sheet_RRS!$E20,aux_sheet_RRS!$D$2:$D$202,0)))</f>
        <v/>
      </c>
      <c r="E21" s="2" t="str">
        <f ca="1">IF(ISBLANK(Input!D20),"",INDIRECT("Input!D"&amp;1+MATCH(aux_sheet_RRS!$E20,aux_sheet_RRS!$D$2:$D$202,0)))</f>
        <v/>
      </c>
      <c r="F21" s="11" t="str">
        <f ca="1">INDIRECT("Input!H"&amp;1+MATCH(aux_sheet_RRS!$E20,aux_sheet_RRS!$D$2:$D$202,0))</f>
        <v xml:space="preserve"> </v>
      </c>
      <c r="G21" s="88" t="str">
        <f ca="1">IF($B21="","",INDIRECT("aux_sheet_RRS!O"&amp;1+MATCH(aux_sheet_RRS!$E20,aux_sheet_RRS!$D$2:$D$202,0)))</f>
        <v/>
      </c>
      <c r="H21" s="89" t="str">
        <f ca="1">IF($B21="","",INDIRECT("aux_sheet_RRS!P"&amp;1+MATCH(aux_sheet_RRS!$E20,aux_sheet_RRS!$D$2:$D$202,0)))</f>
        <v/>
      </c>
      <c r="I21" s="90" t="str">
        <f ca="1">IF(G21="","",ROUNDDOWN(INDIRECT("aux_sheet_RRS!Q"&amp;1+MATCH(aux_sheet_RRS!$E20,aux_sheet_RRS!$D$2:$D$202,0)),0))</f>
        <v/>
      </c>
      <c r="J21" s="106" t="str">
        <f ca="1">IF($B21="","",INDIRECT("aux_sheet_RRS!R"&amp;1+MATCH(aux_sheet_RRS!$E20,aux_sheet_RRS!$D$2:$D$202,0)))</f>
        <v/>
      </c>
      <c r="K21" s="89" t="str">
        <f ca="1">IF($B21="","",INDIRECT("aux_sheet_RRS!S"&amp;1+MATCH(aux_sheet_RRS!$E20,aux_sheet_RRS!$D$2:$D$202,0)))</f>
        <v/>
      </c>
      <c r="L21" s="90" t="str">
        <f ca="1">IF(J21="","",ROUNDDOWN(INDIRECT("aux_sheet_RRS!T"&amp;1+MATCH(aux_sheet_RRS!$E20,aux_sheet_RRS!$D$2:$D$202,0)),0))</f>
        <v/>
      </c>
      <c r="M21" s="106" t="str">
        <f ca="1">IF($B21="","",INDIRECT("aux_sheet_RRS!U"&amp;1+MATCH(aux_sheet_RRS!$E20,aux_sheet_RRS!$D$2:$D$202,0)))</f>
        <v/>
      </c>
      <c r="N21" s="89" t="str">
        <f ca="1">IF($B21="","",INDIRECT("aux_sheet_RRS!V"&amp;1+MATCH(aux_sheet_RRS!$E20,aux_sheet_RRS!$D$2:$D$202,0)))</f>
        <v/>
      </c>
      <c r="O21" s="90" t="str">
        <f ca="1">IF(M21="","",ROUNDDOWN(INDIRECT("aux_sheet_RRS!W"&amp;1+MATCH(aux_sheet_RRS!$E20,aux_sheet_RRS!$D$2:$D$202,0)),0))</f>
        <v/>
      </c>
      <c r="P21" s="106" t="str">
        <f ca="1">IF($B21="","",INDIRECT("aux_sheet_RRS!X"&amp;1+MATCH(aux_sheet_RRS!$E20,aux_sheet_RRS!$D$2:$D$202,0)))</f>
        <v/>
      </c>
      <c r="Q21" s="89" t="str">
        <f ca="1">IF($B21="","",INDIRECT("aux_sheet_RRS!Y"&amp;1+MATCH(aux_sheet_RRS!$E20,aux_sheet_RRS!$D$2:$D$202,0)))</f>
        <v/>
      </c>
      <c r="R21" s="90" t="str">
        <f ca="1">IF(P21="","",INDIRECT("aux_sheet_RRS!Z"&amp;1+MATCH(aux_sheet_RRS!$E20,aux_sheet_RRS!$D$2:$D$202,0)))</f>
        <v/>
      </c>
      <c r="S21" s="106" t="str">
        <f ca="1">IF($B21="","",INDIRECT("aux_sheet_RRS!AA"&amp;1+MATCH(aux_sheet_RRS!$E20,aux_sheet_RRS!$D$2:$D$202,0)))</f>
        <v/>
      </c>
      <c r="T21" s="89" t="str">
        <f ca="1">IF($B21="","",INDIRECT("aux_sheet_RRS!AB"&amp;1+MATCH(aux_sheet_RRS!$E20,aux_sheet_RRS!$D$2:$D$202,0)))</f>
        <v/>
      </c>
      <c r="U21" s="90" t="str">
        <f ca="1">IF(S21="","",INDIRECT("aux_sheet_RRS!AC"&amp;1+MATCH(aux_sheet_RRS!$E20,aux_sheet_RRS!$D$2:$D$202,0)))</f>
        <v/>
      </c>
      <c r="V21" s="106" t="str">
        <f ca="1">IF($B21="","",INDIRECT("aux_sheet_RRS!AD"&amp;1+MATCH(aux_sheet_RRS!$E20,aux_sheet_RRS!$D$2:$D$202,0)))</f>
        <v/>
      </c>
      <c r="W21" s="89" t="str">
        <f ca="1">IF($B21="","",INDIRECT("aux_sheet_RRS!AE"&amp;1+MATCH(aux_sheet_RRS!$E20,aux_sheet_RRS!$D$2:$D$202,0)))</f>
        <v/>
      </c>
      <c r="X21" s="90" t="str">
        <f ca="1">IF(V21="","",INDIRECT("aux_sheet_RRS!AF"&amp;1+MATCH(aux_sheet_RRS!$E20,aux_sheet_RRS!$D$2:$D$202,0)))</f>
        <v/>
      </c>
      <c r="Y21" s="106" t="str">
        <f ca="1">IF($B21="","",INDIRECT("aux_sheet_RRS!AG"&amp;1+MATCH(aux_sheet_RRS!$E20,aux_sheet_RRS!$D$2:$D$202,0)))</f>
        <v/>
      </c>
      <c r="Z21" s="89" t="str">
        <f ca="1">IF($B21="","",INDIRECT("aux_sheet_RRS!AH"&amp;1+MATCH(aux_sheet_RRS!$E20,aux_sheet_RRS!$D$2:$D$202,0)))</f>
        <v/>
      </c>
      <c r="AA21" s="90" t="str">
        <f ca="1">IF(Y21="","",INDIRECT("aux_sheet_RRS!AI"&amp;1+MATCH(aux_sheet_RRS!$E20,aux_sheet_RRS!$D$2:$D$202,0)))</f>
        <v/>
      </c>
      <c r="AB21" s="88" t="str">
        <f ca="1">IF($B21="","",INDIRECT("aux_sheet_RRS!AJ"&amp;1+MATCH(aux_sheet_RRS!$E20,aux_sheet_RRS!$D$2:$D$202,0)))</f>
        <v/>
      </c>
      <c r="AC21" s="89" t="str">
        <f ca="1">IF($B21="","",INDIRECT("aux_sheet_RRS!AK"&amp;1+MATCH(aux_sheet_RRS!$E20,aux_sheet_RRS!$D$2:$D$202,0)))</f>
        <v/>
      </c>
      <c r="AD21" s="90" t="str">
        <f ca="1">IF(AB21="","",INDIRECT("aux_sheet_RRS!AL"&amp;1+MATCH(aux_sheet_RRS!$E20,aux_sheet_RRS!$D$2:$D$202,0)))</f>
        <v/>
      </c>
      <c r="AE21" s="88" t="str">
        <f ca="1">IF($B21="","",INDIRECT("aux_sheet_RRS!AM"&amp;1+MATCH(aux_sheet_RRS!$E20,aux_sheet_RRS!$D$2:$D$202,0)))</f>
        <v/>
      </c>
      <c r="AF21" s="89" t="str">
        <f ca="1">IF($B21="","",INDIRECT("aux_sheet_RRS!AN"&amp;1+MATCH(aux_sheet_RRS!$E20,aux_sheet_RRS!$D$2:$D$202,0)))</f>
        <v/>
      </c>
      <c r="AG21" s="90" t="str">
        <f ca="1">IF(AE21="","",INDIRECT("aux_sheet_RRS!AO"&amp;1+MATCH(aux_sheet_RRS!$E20,aux_sheet_RRS!$D$2:$D$202,0)))</f>
        <v/>
      </c>
      <c r="AH21" s="14" t="str">
        <f t="shared" ca="1" si="3"/>
        <v/>
      </c>
      <c r="AI21" t="str">
        <f t="shared" ca="1" si="4"/>
        <v/>
      </c>
      <c r="AJ21" t="str">
        <f t="shared" ca="1" si="5"/>
        <v/>
      </c>
    </row>
    <row r="22" spans="1:36" x14ac:dyDescent="0.35">
      <c r="A22" s="2" t="str">
        <f>IF(ISBLANK(Input!A21),"",ROUNDDOWN(aux_sheet_RRS!E21,0))</f>
        <v/>
      </c>
      <c r="B22" s="2" t="str">
        <f ca="1">IF(ISBLANK(Input!A21),"",INDIRECT("Input!A"&amp;1+MATCH(aux_sheet_RRS!$E21,aux_sheet_RRS!$D$2:$D$202,0)))</f>
        <v/>
      </c>
      <c r="C22" s="2" t="str">
        <f ca="1">IF(ISBLANK(Input!B21),"",INDIRECT("Input!B"&amp;1+MATCH(aux_sheet_RRS!$E21,aux_sheet_RRS!$D$2:$D$202,0)))</f>
        <v/>
      </c>
      <c r="D22" s="2" t="str">
        <f ca="1">IF(ISBLANK(Input!C21),"",INDIRECT("Input!C"&amp;1+MATCH(aux_sheet_RRS!$E21,aux_sheet_RRS!$D$2:$D$202,0)))</f>
        <v/>
      </c>
      <c r="E22" s="2" t="str">
        <f ca="1">IF(ISBLANK(Input!D21),"",INDIRECT("Input!D"&amp;1+MATCH(aux_sheet_RRS!$E21,aux_sheet_RRS!$D$2:$D$202,0)))</f>
        <v/>
      </c>
      <c r="F22" s="11" t="str">
        <f ca="1">INDIRECT("Input!H"&amp;1+MATCH(aux_sheet_RRS!$E21,aux_sheet_RRS!$D$2:$D$202,0))</f>
        <v xml:space="preserve"> </v>
      </c>
      <c r="G22" s="88" t="str">
        <f ca="1">IF($B22="","",INDIRECT("aux_sheet_RRS!O"&amp;1+MATCH(aux_sheet_RRS!$E21,aux_sheet_RRS!$D$2:$D$202,0)))</f>
        <v/>
      </c>
      <c r="H22" s="89" t="str">
        <f ca="1">IF($B22="","",INDIRECT("aux_sheet_RRS!P"&amp;1+MATCH(aux_sheet_RRS!$E21,aux_sheet_RRS!$D$2:$D$202,0)))</f>
        <v/>
      </c>
      <c r="I22" s="90" t="str">
        <f ca="1">IF(G22="","",ROUNDDOWN(INDIRECT("aux_sheet_RRS!Q"&amp;1+MATCH(aux_sheet_RRS!$E21,aux_sheet_RRS!$D$2:$D$202,0)),0))</f>
        <v/>
      </c>
      <c r="J22" s="106" t="str">
        <f ca="1">IF($B22="","",INDIRECT("aux_sheet_RRS!R"&amp;1+MATCH(aux_sheet_RRS!$E21,aux_sheet_RRS!$D$2:$D$202,0)))</f>
        <v/>
      </c>
      <c r="K22" s="89" t="str">
        <f ca="1">IF($B22="","",INDIRECT("aux_sheet_RRS!S"&amp;1+MATCH(aux_sheet_RRS!$E21,aux_sheet_RRS!$D$2:$D$202,0)))</f>
        <v/>
      </c>
      <c r="L22" s="90" t="str">
        <f ca="1">IF(J22="","",ROUNDDOWN(INDIRECT("aux_sheet_RRS!T"&amp;1+MATCH(aux_sheet_RRS!$E21,aux_sheet_RRS!$D$2:$D$202,0)),0))</f>
        <v/>
      </c>
      <c r="M22" s="106" t="str">
        <f ca="1">IF($B22="","",INDIRECT("aux_sheet_RRS!U"&amp;1+MATCH(aux_sheet_RRS!$E21,aux_sheet_RRS!$D$2:$D$202,0)))</f>
        <v/>
      </c>
      <c r="N22" s="89" t="str">
        <f ca="1">IF($B22="","",INDIRECT("aux_sheet_RRS!V"&amp;1+MATCH(aux_sheet_RRS!$E21,aux_sheet_RRS!$D$2:$D$202,0)))</f>
        <v/>
      </c>
      <c r="O22" s="90" t="str">
        <f ca="1">IF(M22="","",ROUNDDOWN(INDIRECT("aux_sheet_RRS!W"&amp;1+MATCH(aux_sheet_RRS!$E21,aux_sheet_RRS!$D$2:$D$202,0)),0))</f>
        <v/>
      </c>
      <c r="P22" s="106" t="str">
        <f ca="1">IF($B22="","",INDIRECT("aux_sheet_RRS!X"&amp;1+MATCH(aux_sheet_RRS!$E21,aux_sheet_RRS!$D$2:$D$202,0)))</f>
        <v/>
      </c>
      <c r="Q22" s="89" t="str">
        <f ca="1">IF($B22="","",INDIRECT("aux_sheet_RRS!Y"&amp;1+MATCH(aux_sheet_RRS!$E21,aux_sheet_RRS!$D$2:$D$202,0)))</f>
        <v/>
      </c>
      <c r="R22" s="90" t="str">
        <f ca="1">IF(P22="","",INDIRECT("aux_sheet_RRS!Z"&amp;1+MATCH(aux_sheet_RRS!$E21,aux_sheet_RRS!$D$2:$D$202,0)))</f>
        <v/>
      </c>
      <c r="S22" s="106" t="str">
        <f ca="1">IF($B22="","",INDIRECT("aux_sheet_RRS!AA"&amp;1+MATCH(aux_sheet_RRS!$E21,aux_sheet_RRS!$D$2:$D$202,0)))</f>
        <v/>
      </c>
      <c r="T22" s="89" t="str">
        <f ca="1">IF($B22="","",INDIRECT("aux_sheet_RRS!AB"&amp;1+MATCH(aux_sheet_RRS!$E21,aux_sheet_RRS!$D$2:$D$202,0)))</f>
        <v/>
      </c>
      <c r="U22" s="90" t="str">
        <f ca="1">IF(S22="","",INDIRECT("aux_sheet_RRS!AC"&amp;1+MATCH(aux_sheet_RRS!$E21,aux_sheet_RRS!$D$2:$D$202,0)))</f>
        <v/>
      </c>
      <c r="V22" s="106" t="str">
        <f ca="1">IF($B22="","",INDIRECT("aux_sheet_RRS!AD"&amp;1+MATCH(aux_sheet_RRS!$E21,aux_sheet_RRS!$D$2:$D$202,0)))</f>
        <v/>
      </c>
      <c r="W22" s="89" t="str">
        <f ca="1">IF($B22="","",INDIRECT("aux_sheet_RRS!AE"&amp;1+MATCH(aux_sheet_RRS!$E21,aux_sheet_RRS!$D$2:$D$202,0)))</f>
        <v/>
      </c>
      <c r="X22" s="90" t="str">
        <f ca="1">IF(V22="","",INDIRECT("aux_sheet_RRS!AF"&amp;1+MATCH(aux_sheet_RRS!$E21,aux_sheet_RRS!$D$2:$D$202,0)))</f>
        <v/>
      </c>
      <c r="Y22" s="106" t="str">
        <f ca="1">IF($B22="","",INDIRECT("aux_sheet_RRS!AG"&amp;1+MATCH(aux_sheet_RRS!$E21,aux_sheet_RRS!$D$2:$D$202,0)))</f>
        <v/>
      </c>
      <c r="Z22" s="89" t="str">
        <f ca="1">IF($B22="","",INDIRECT("aux_sheet_RRS!AH"&amp;1+MATCH(aux_sheet_RRS!$E21,aux_sheet_RRS!$D$2:$D$202,0)))</f>
        <v/>
      </c>
      <c r="AA22" s="90" t="str">
        <f ca="1">IF(Y22="","",INDIRECT("aux_sheet_RRS!AI"&amp;1+MATCH(aux_sheet_RRS!$E21,aux_sheet_RRS!$D$2:$D$202,0)))</f>
        <v/>
      </c>
      <c r="AB22" s="88" t="str">
        <f ca="1">IF($B22="","",INDIRECT("aux_sheet_RRS!AJ"&amp;1+MATCH(aux_sheet_RRS!$E21,aux_sheet_RRS!$D$2:$D$202,0)))</f>
        <v/>
      </c>
      <c r="AC22" s="89" t="str">
        <f ca="1">IF($B22="","",INDIRECT("aux_sheet_RRS!AK"&amp;1+MATCH(aux_sheet_RRS!$E21,aux_sheet_RRS!$D$2:$D$202,0)))</f>
        <v/>
      </c>
      <c r="AD22" s="90" t="str">
        <f ca="1">IF(AB22="","",INDIRECT("aux_sheet_RRS!AL"&amp;1+MATCH(aux_sheet_RRS!$E21,aux_sheet_RRS!$D$2:$D$202,0)))</f>
        <v/>
      </c>
      <c r="AE22" s="88" t="str">
        <f ca="1">IF($B22="","",INDIRECT("aux_sheet_RRS!AM"&amp;1+MATCH(aux_sheet_RRS!$E21,aux_sheet_RRS!$D$2:$D$202,0)))</f>
        <v/>
      </c>
      <c r="AF22" s="89" t="str">
        <f ca="1">IF($B22="","",INDIRECT("aux_sheet_RRS!AN"&amp;1+MATCH(aux_sheet_RRS!$E21,aux_sheet_RRS!$D$2:$D$202,0)))</f>
        <v/>
      </c>
      <c r="AG22" s="90" t="str">
        <f ca="1">IF(AE22="","",INDIRECT("aux_sheet_RRS!AO"&amp;1+MATCH(aux_sheet_RRS!$E21,aux_sheet_RRS!$D$2:$D$202,0)))</f>
        <v/>
      </c>
      <c r="AH22" s="14" t="str">
        <f t="shared" ca="1" si="3"/>
        <v/>
      </c>
      <c r="AI22" t="str">
        <f t="shared" ca="1" si="4"/>
        <v/>
      </c>
      <c r="AJ22" t="str">
        <f t="shared" ca="1" si="5"/>
        <v/>
      </c>
    </row>
    <row r="23" spans="1:36" x14ac:dyDescent="0.35">
      <c r="A23" s="2" t="str">
        <f>IF(ISBLANK(Input!A22),"",ROUNDDOWN(aux_sheet_RRS!E22,0))</f>
        <v/>
      </c>
      <c r="B23" s="2" t="str">
        <f ca="1">IF(ISBLANK(Input!A22),"",INDIRECT("Input!A"&amp;1+MATCH(aux_sheet_RRS!$E22,aux_sheet_RRS!$D$2:$D$202,0)))</f>
        <v/>
      </c>
      <c r="C23" s="2" t="str">
        <f ca="1">IF(ISBLANK(Input!B22),"",INDIRECT("Input!B"&amp;1+MATCH(aux_sheet_RRS!$E22,aux_sheet_RRS!$D$2:$D$202,0)))</f>
        <v/>
      </c>
      <c r="D23" s="2" t="str">
        <f ca="1">IF(ISBLANK(Input!C22),"",INDIRECT("Input!C"&amp;1+MATCH(aux_sheet_RRS!$E22,aux_sheet_RRS!$D$2:$D$202,0)))</f>
        <v/>
      </c>
      <c r="E23" s="2" t="str">
        <f ca="1">IF(ISBLANK(Input!D22),"",INDIRECT("Input!D"&amp;1+MATCH(aux_sheet_RRS!$E22,aux_sheet_RRS!$D$2:$D$202,0)))</f>
        <v/>
      </c>
      <c r="F23" s="11" t="str">
        <f ca="1">INDIRECT("Input!H"&amp;1+MATCH(aux_sheet_RRS!$E22,aux_sheet_RRS!$D$2:$D$202,0))</f>
        <v xml:space="preserve"> </v>
      </c>
      <c r="G23" s="88" t="str">
        <f ca="1">IF($B23="","",INDIRECT("aux_sheet_RRS!O"&amp;1+MATCH(aux_sheet_RRS!$E22,aux_sheet_RRS!$D$2:$D$202,0)))</f>
        <v/>
      </c>
      <c r="H23" s="89" t="str">
        <f ca="1">IF($B23="","",INDIRECT("aux_sheet_RRS!P"&amp;1+MATCH(aux_sheet_RRS!$E22,aux_sheet_RRS!$D$2:$D$202,0)))</f>
        <v/>
      </c>
      <c r="I23" s="90" t="str">
        <f ca="1">IF(G23="","",ROUNDDOWN(INDIRECT("aux_sheet_RRS!Q"&amp;1+MATCH(aux_sheet_RRS!$E22,aux_sheet_RRS!$D$2:$D$202,0)),0))</f>
        <v/>
      </c>
      <c r="J23" s="106" t="str">
        <f ca="1">IF($B23="","",INDIRECT("aux_sheet_RRS!R"&amp;1+MATCH(aux_sheet_RRS!$E22,aux_sheet_RRS!$D$2:$D$202,0)))</f>
        <v/>
      </c>
      <c r="K23" s="89" t="str">
        <f ca="1">IF($B23="","",INDIRECT("aux_sheet_RRS!S"&amp;1+MATCH(aux_sheet_RRS!$E22,aux_sheet_RRS!$D$2:$D$202,0)))</f>
        <v/>
      </c>
      <c r="L23" s="90" t="str">
        <f ca="1">IF(J23="","",ROUNDDOWN(INDIRECT("aux_sheet_RRS!T"&amp;1+MATCH(aux_sheet_RRS!$E22,aux_sheet_RRS!$D$2:$D$202,0)),0))</f>
        <v/>
      </c>
      <c r="M23" s="106" t="str">
        <f ca="1">IF($B23="","",INDIRECT("aux_sheet_RRS!U"&amp;1+MATCH(aux_sheet_RRS!$E22,aux_sheet_RRS!$D$2:$D$202,0)))</f>
        <v/>
      </c>
      <c r="N23" s="89" t="str">
        <f ca="1">IF($B23="","",INDIRECT("aux_sheet_RRS!V"&amp;1+MATCH(aux_sheet_RRS!$E22,aux_sheet_RRS!$D$2:$D$202,0)))</f>
        <v/>
      </c>
      <c r="O23" s="90" t="str">
        <f ca="1">IF(M23="","",ROUNDDOWN(INDIRECT("aux_sheet_RRS!W"&amp;1+MATCH(aux_sheet_RRS!$E22,aux_sheet_RRS!$D$2:$D$202,0)),0))</f>
        <v/>
      </c>
      <c r="P23" s="106" t="str">
        <f ca="1">IF($B23="","",INDIRECT("aux_sheet_RRS!X"&amp;1+MATCH(aux_sheet_RRS!$E22,aux_sheet_RRS!$D$2:$D$202,0)))</f>
        <v/>
      </c>
      <c r="Q23" s="89" t="str">
        <f ca="1">IF($B23="","",INDIRECT("aux_sheet_RRS!Y"&amp;1+MATCH(aux_sheet_RRS!$E22,aux_sheet_RRS!$D$2:$D$202,0)))</f>
        <v/>
      </c>
      <c r="R23" s="90" t="str">
        <f ca="1">IF(P23="","",INDIRECT("aux_sheet_RRS!Z"&amp;1+MATCH(aux_sheet_RRS!$E22,aux_sheet_RRS!$D$2:$D$202,0)))</f>
        <v/>
      </c>
      <c r="S23" s="106" t="str">
        <f ca="1">IF($B23="","",INDIRECT("aux_sheet_RRS!AA"&amp;1+MATCH(aux_sheet_RRS!$E22,aux_sheet_RRS!$D$2:$D$202,0)))</f>
        <v/>
      </c>
      <c r="T23" s="89" t="str">
        <f ca="1">IF($B23="","",INDIRECT("aux_sheet_RRS!AB"&amp;1+MATCH(aux_sheet_RRS!$E22,aux_sheet_RRS!$D$2:$D$202,0)))</f>
        <v/>
      </c>
      <c r="U23" s="90" t="str">
        <f ca="1">IF(S23="","",INDIRECT("aux_sheet_RRS!AC"&amp;1+MATCH(aux_sheet_RRS!$E22,aux_sheet_RRS!$D$2:$D$202,0)))</f>
        <v/>
      </c>
      <c r="V23" s="106" t="str">
        <f ca="1">IF($B23="","",INDIRECT("aux_sheet_RRS!AD"&amp;1+MATCH(aux_sheet_RRS!$E22,aux_sheet_RRS!$D$2:$D$202,0)))</f>
        <v/>
      </c>
      <c r="W23" s="89" t="str">
        <f ca="1">IF($B23="","",INDIRECT("aux_sheet_RRS!AE"&amp;1+MATCH(aux_sheet_RRS!$E22,aux_sheet_RRS!$D$2:$D$202,0)))</f>
        <v/>
      </c>
      <c r="X23" s="90" t="str">
        <f ca="1">IF(V23="","",INDIRECT("aux_sheet_RRS!AF"&amp;1+MATCH(aux_sheet_RRS!$E22,aux_sheet_RRS!$D$2:$D$202,0)))</f>
        <v/>
      </c>
      <c r="Y23" s="106" t="str">
        <f ca="1">IF($B23="","",INDIRECT("aux_sheet_RRS!AG"&amp;1+MATCH(aux_sheet_RRS!$E22,aux_sheet_RRS!$D$2:$D$202,0)))</f>
        <v/>
      </c>
      <c r="Z23" s="89" t="str">
        <f ca="1">IF($B23="","",INDIRECT("aux_sheet_RRS!AH"&amp;1+MATCH(aux_sheet_RRS!$E22,aux_sheet_RRS!$D$2:$D$202,0)))</f>
        <v/>
      </c>
      <c r="AA23" s="90" t="str">
        <f ca="1">IF(Y23="","",INDIRECT("aux_sheet_RRS!AI"&amp;1+MATCH(aux_sheet_RRS!$E22,aux_sheet_RRS!$D$2:$D$202,0)))</f>
        <v/>
      </c>
      <c r="AB23" s="88" t="str">
        <f ca="1">IF($B23="","",INDIRECT("aux_sheet_RRS!AJ"&amp;1+MATCH(aux_sheet_RRS!$E22,aux_sheet_RRS!$D$2:$D$202,0)))</f>
        <v/>
      </c>
      <c r="AC23" s="89" t="str">
        <f ca="1">IF($B23="","",INDIRECT("aux_sheet_RRS!AK"&amp;1+MATCH(aux_sheet_RRS!$E22,aux_sheet_RRS!$D$2:$D$202,0)))</f>
        <v/>
      </c>
      <c r="AD23" s="90" t="str">
        <f ca="1">IF(AB23="","",INDIRECT("aux_sheet_RRS!AL"&amp;1+MATCH(aux_sheet_RRS!$E22,aux_sheet_RRS!$D$2:$D$202,0)))</f>
        <v/>
      </c>
      <c r="AE23" s="88" t="str">
        <f ca="1">IF($B23="","",INDIRECT("aux_sheet_RRS!AM"&amp;1+MATCH(aux_sheet_RRS!$E22,aux_sheet_RRS!$D$2:$D$202,0)))</f>
        <v/>
      </c>
      <c r="AF23" s="89" t="str">
        <f ca="1">IF($B23="","",INDIRECT("aux_sheet_RRS!AN"&amp;1+MATCH(aux_sheet_RRS!$E22,aux_sheet_RRS!$D$2:$D$202,0)))</f>
        <v/>
      </c>
      <c r="AG23" s="90" t="str">
        <f ca="1">IF(AE23="","",INDIRECT("aux_sheet_RRS!AO"&amp;1+MATCH(aux_sheet_RRS!$E22,aux_sheet_RRS!$D$2:$D$202,0)))</f>
        <v/>
      </c>
      <c r="AH23" s="14" t="str">
        <f t="shared" ca="1" si="3"/>
        <v/>
      </c>
      <c r="AI23" t="str">
        <f t="shared" ca="1" si="4"/>
        <v/>
      </c>
      <c r="AJ23" t="str">
        <f t="shared" ca="1" si="5"/>
        <v/>
      </c>
    </row>
    <row r="24" spans="1:36" x14ac:dyDescent="0.35">
      <c r="A24" s="2" t="str">
        <f>IF(ISBLANK(Input!A23),"",ROUNDDOWN(aux_sheet_RRS!E23,0))</f>
        <v/>
      </c>
      <c r="B24" s="2" t="str">
        <f ca="1">IF(ISBLANK(Input!A23),"",INDIRECT("Input!A"&amp;1+MATCH(aux_sheet_RRS!$E23,aux_sheet_RRS!$D$2:$D$202,0)))</f>
        <v/>
      </c>
      <c r="C24" s="2" t="str">
        <f ca="1">IF(ISBLANK(Input!B23),"",INDIRECT("Input!B"&amp;1+MATCH(aux_sheet_RRS!$E23,aux_sheet_RRS!$D$2:$D$202,0)))</f>
        <v/>
      </c>
      <c r="D24" s="2" t="str">
        <f ca="1">IF(ISBLANK(Input!C23),"",INDIRECT("Input!C"&amp;1+MATCH(aux_sheet_RRS!$E23,aux_sheet_RRS!$D$2:$D$202,0)))</f>
        <v/>
      </c>
      <c r="E24" s="2" t="str">
        <f ca="1">IF(ISBLANK(Input!D23),"",INDIRECT("Input!D"&amp;1+MATCH(aux_sheet_RRS!$E23,aux_sheet_RRS!$D$2:$D$202,0)))</f>
        <v/>
      </c>
      <c r="F24" s="11" t="str">
        <f ca="1">INDIRECT("Input!H"&amp;1+MATCH(aux_sheet_RRS!$E23,aux_sheet_RRS!$D$2:$D$202,0))</f>
        <v xml:space="preserve"> </v>
      </c>
      <c r="G24" s="88" t="str">
        <f ca="1">IF($B24="","",INDIRECT("aux_sheet_RRS!O"&amp;1+MATCH(aux_sheet_RRS!$E23,aux_sheet_RRS!$D$2:$D$202,0)))</f>
        <v/>
      </c>
      <c r="H24" s="89" t="str">
        <f ca="1">IF($B24="","",INDIRECT("aux_sheet_RRS!P"&amp;1+MATCH(aux_sheet_RRS!$E23,aux_sheet_RRS!$D$2:$D$202,0)))</f>
        <v/>
      </c>
      <c r="I24" s="90" t="str">
        <f ca="1">IF(G24="","",ROUNDDOWN(INDIRECT("aux_sheet_RRS!Q"&amp;1+MATCH(aux_sheet_RRS!$E23,aux_sheet_RRS!$D$2:$D$202,0)),0))</f>
        <v/>
      </c>
      <c r="J24" s="106" t="str">
        <f ca="1">IF($B24="","",INDIRECT("aux_sheet_RRS!R"&amp;1+MATCH(aux_sheet_RRS!$E23,aux_sheet_RRS!$D$2:$D$202,0)))</f>
        <v/>
      </c>
      <c r="K24" s="89" t="str">
        <f ca="1">IF($B24="","",INDIRECT("aux_sheet_RRS!S"&amp;1+MATCH(aux_sheet_RRS!$E23,aux_sheet_RRS!$D$2:$D$202,0)))</f>
        <v/>
      </c>
      <c r="L24" s="90" t="str">
        <f ca="1">IF(J24="","",ROUNDDOWN(INDIRECT("aux_sheet_RRS!T"&amp;1+MATCH(aux_sheet_RRS!$E23,aux_sheet_RRS!$D$2:$D$202,0)),0))</f>
        <v/>
      </c>
      <c r="M24" s="106" t="str">
        <f ca="1">IF($B24="","",INDIRECT("aux_sheet_RRS!U"&amp;1+MATCH(aux_sheet_RRS!$E23,aux_sheet_RRS!$D$2:$D$202,0)))</f>
        <v/>
      </c>
      <c r="N24" s="89" t="str">
        <f ca="1">IF($B24="","",INDIRECT("aux_sheet_RRS!V"&amp;1+MATCH(aux_sheet_RRS!$E23,aux_sheet_RRS!$D$2:$D$202,0)))</f>
        <v/>
      </c>
      <c r="O24" s="90" t="str">
        <f ca="1">IF(M24="","",ROUNDDOWN(INDIRECT("aux_sheet_RRS!W"&amp;1+MATCH(aux_sheet_RRS!$E23,aux_sheet_RRS!$D$2:$D$202,0)),0))</f>
        <v/>
      </c>
      <c r="P24" s="106" t="str">
        <f ca="1">IF($B24="","",INDIRECT("aux_sheet_RRS!X"&amp;1+MATCH(aux_sheet_RRS!$E23,aux_sheet_RRS!$D$2:$D$202,0)))</f>
        <v/>
      </c>
      <c r="Q24" s="89" t="str">
        <f ca="1">IF($B24="","",INDIRECT("aux_sheet_RRS!Y"&amp;1+MATCH(aux_sheet_RRS!$E23,aux_sheet_RRS!$D$2:$D$202,0)))</f>
        <v/>
      </c>
      <c r="R24" s="90" t="str">
        <f ca="1">IF(P24="","",INDIRECT("aux_sheet_RRS!Z"&amp;1+MATCH(aux_sheet_RRS!$E23,aux_sheet_RRS!$D$2:$D$202,0)))</f>
        <v/>
      </c>
      <c r="S24" s="106" t="str">
        <f ca="1">IF($B24="","",INDIRECT("aux_sheet_RRS!AA"&amp;1+MATCH(aux_sheet_RRS!$E23,aux_sheet_RRS!$D$2:$D$202,0)))</f>
        <v/>
      </c>
      <c r="T24" s="89" t="str">
        <f ca="1">IF($B24="","",INDIRECT("aux_sheet_RRS!AB"&amp;1+MATCH(aux_sheet_RRS!$E23,aux_sheet_RRS!$D$2:$D$202,0)))</f>
        <v/>
      </c>
      <c r="U24" s="90" t="str">
        <f ca="1">IF(S24="","",INDIRECT("aux_sheet_RRS!AC"&amp;1+MATCH(aux_sheet_RRS!$E23,aux_sheet_RRS!$D$2:$D$202,0)))</f>
        <v/>
      </c>
      <c r="V24" s="106" t="str">
        <f ca="1">IF($B24="","",INDIRECT("aux_sheet_RRS!AD"&amp;1+MATCH(aux_sheet_RRS!$E23,aux_sheet_RRS!$D$2:$D$202,0)))</f>
        <v/>
      </c>
      <c r="W24" s="89" t="str">
        <f ca="1">IF($B24="","",INDIRECT("aux_sheet_RRS!AE"&amp;1+MATCH(aux_sheet_RRS!$E23,aux_sheet_RRS!$D$2:$D$202,0)))</f>
        <v/>
      </c>
      <c r="X24" s="90" t="str">
        <f ca="1">IF(V24="","",INDIRECT("aux_sheet_RRS!AF"&amp;1+MATCH(aux_sheet_RRS!$E23,aux_sheet_RRS!$D$2:$D$202,0)))</f>
        <v/>
      </c>
      <c r="Y24" s="106" t="str">
        <f ca="1">IF($B24="","",INDIRECT("aux_sheet_RRS!AG"&amp;1+MATCH(aux_sheet_RRS!$E23,aux_sheet_RRS!$D$2:$D$202,0)))</f>
        <v/>
      </c>
      <c r="Z24" s="89" t="str">
        <f ca="1">IF($B24="","",INDIRECT("aux_sheet_RRS!AH"&amp;1+MATCH(aux_sheet_RRS!$E23,aux_sheet_RRS!$D$2:$D$202,0)))</f>
        <v/>
      </c>
      <c r="AA24" s="90" t="str">
        <f ca="1">IF(Y24="","",INDIRECT("aux_sheet_RRS!AI"&amp;1+MATCH(aux_sheet_RRS!$E23,aux_sheet_RRS!$D$2:$D$202,0)))</f>
        <v/>
      </c>
      <c r="AB24" s="88" t="str">
        <f ca="1">IF($B24="","",INDIRECT("aux_sheet_RRS!AJ"&amp;1+MATCH(aux_sheet_RRS!$E23,aux_sheet_RRS!$D$2:$D$202,0)))</f>
        <v/>
      </c>
      <c r="AC24" s="89" t="str">
        <f ca="1">IF($B24="","",INDIRECT("aux_sheet_RRS!AK"&amp;1+MATCH(aux_sheet_RRS!$E23,aux_sheet_RRS!$D$2:$D$202,0)))</f>
        <v/>
      </c>
      <c r="AD24" s="90" t="str">
        <f ca="1">IF(AB24="","",INDIRECT("aux_sheet_RRS!AL"&amp;1+MATCH(aux_sheet_RRS!$E23,aux_sheet_RRS!$D$2:$D$202,0)))</f>
        <v/>
      </c>
      <c r="AE24" s="88" t="str">
        <f ca="1">IF($B24="","",INDIRECT("aux_sheet_RRS!AM"&amp;1+MATCH(aux_sheet_RRS!$E23,aux_sheet_RRS!$D$2:$D$202,0)))</f>
        <v/>
      </c>
      <c r="AF24" s="89" t="str">
        <f ca="1">IF($B24="","",INDIRECT("aux_sheet_RRS!AN"&amp;1+MATCH(aux_sheet_RRS!$E23,aux_sheet_RRS!$D$2:$D$202,0)))</f>
        <v/>
      </c>
      <c r="AG24" s="90" t="str">
        <f ca="1">IF(AE24="","",INDIRECT("aux_sheet_RRS!AO"&amp;1+MATCH(aux_sheet_RRS!$E23,aux_sheet_RRS!$D$2:$D$202,0)))</f>
        <v/>
      </c>
      <c r="AH24" s="14" t="str">
        <f t="shared" ca="1" si="3"/>
        <v/>
      </c>
      <c r="AI24" t="str">
        <f t="shared" ca="1" si="4"/>
        <v/>
      </c>
      <c r="AJ24" t="str">
        <f t="shared" ca="1" si="5"/>
        <v/>
      </c>
    </row>
    <row r="25" spans="1:36" x14ac:dyDescent="0.35">
      <c r="A25" s="2" t="str">
        <f>IF(ISBLANK(Input!A24),"",ROUNDDOWN(aux_sheet_RRS!E24,0))</f>
        <v/>
      </c>
      <c r="B25" s="2" t="str">
        <f ca="1">IF(ISBLANK(Input!A24),"",INDIRECT("Input!A"&amp;1+MATCH(aux_sheet_RRS!$E24,aux_sheet_RRS!$D$2:$D$202,0)))</f>
        <v/>
      </c>
      <c r="C25" s="2" t="str">
        <f ca="1">IF(ISBLANK(Input!B24),"",INDIRECT("Input!B"&amp;1+MATCH(aux_sheet_RRS!$E24,aux_sheet_RRS!$D$2:$D$202,0)))</f>
        <v/>
      </c>
      <c r="D25" s="2" t="str">
        <f ca="1">IF(ISBLANK(Input!C24),"",INDIRECT("Input!C"&amp;1+MATCH(aux_sheet_RRS!$E24,aux_sheet_RRS!$D$2:$D$202,0)))</f>
        <v/>
      </c>
      <c r="E25" s="2" t="str">
        <f ca="1">IF(ISBLANK(Input!D24),"",INDIRECT("Input!D"&amp;1+MATCH(aux_sheet_RRS!$E24,aux_sheet_RRS!$D$2:$D$202,0)))</f>
        <v/>
      </c>
      <c r="F25" s="11" t="str">
        <f ca="1">INDIRECT("Input!H"&amp;1+MATCH(aux_sheet_RRS!$E24,aux_sheet_RRS!$D$2:$D$202,0))</f>
        <v xml:space="preserve"> </v>
      </c>
      <c r="G25" s="88" t="str">
        <f ca="1">IF($B25="","",INDIRECT("aux_sheet_RRS!O"&amp;1+MATCH(aux_sheet_RRS!$E24,aux_sheet_RRS!$D$2:$D$202,0)))</f>
        <v/>
      </c>
      <c r="H25" s="89" t="str">
        <f ca="1">IF($B25="","",INDIRECT("aux_sheet_RRS!P"&amp;1+MATCH(aux_sheet_RRS!$E24,aux_sheet_RRS!$D$2:$D$202,0)))</f>
        <v/>
      </c>
      <c r="I25" s="90" t="str">
        <f ca="1">IF(G25="","",ROUNDDOWN(INDIRECT("aux_sheet_RRS!Q"&amp;1+MATCH(aux_sheet_RRS!$E24,aux_sheet_RRS!$D$2:$D$202,0)),0))</f>
        <v/>
      </c>
      <c r="J25" s="106" t="str">
        <f ca="1">IF($B25="","",INDIRECT("aux_sheet_RRS!R"&amp;1+MATCH(aux_sheet_RRS!$E24,aux_sheet_RRS!$D$2:$D$202,0)))</f>
        <v/>
      </c>
      <c r="K25" s="89" t="str">
        <f ca="1">IF($B25="","",INDIRECT("aux_sheet_RRS!S"&amp;1+MATCH(aux_sheet_RRS!$E24,aux_sheet_RRS!$D$2:$D$202,0)))</f>
        <v/>
      </c>
      <c r="L25" s="90" t="str">
        <f ca="1">IF(J25="","",ROUNDDOWN(INDIRECT("aux_sheet_RRS!T"&amp;1+MATCH(aux_sheet_RRS!$E24,aux_sheet_RRS!$D$2:$D$202,0)),0))</f>
        <v/>
      </c>
      <c r="M25" s="106" t="str">
        <f ca="1">IF($B25="","",INDIRECT("aux_sheet_RRS!U"&amp;1+MATCH(aux_sheet_RRS!$E24,aux_sheet_RRS!$D$2:$D$202,0)))</f>
        <v/>
      </c>
      <c r="N25" s="89" t="str">
        <f ca="1">IF($B25="","",INDIRECT("aux_sheet_RRS!V"&amp;1+MATCH(aux_sheet_RRS!$E24,aux_sheet_RRS!$D$2:$D$202,0)))</f>
        <v/>
      </c>
      <c r="O25" s="90" t="str">
        <f ca="1">IF(M25="","",ROUNDDOWN(INDIRECT("aux_sheet_RRS!W"&amp;1+MATCH(aux_sheet_RRS!$E24,aux_sheet_RRS!$D$2:$D$202,0)),0))</f>
        <v/>
      </c>
      <c r="P25" s="106" t="str">
        <f ca="1">IF($B25="","",INDIRECT("aux_sheet_RRS!X"&amp;1+MATCH(aux_sheet_RRS!$E24,aux_sheet_RRS!$D$2:$D$202,0)))</f>
        <v/>
      </c>
      <c r="Q25" s="89" t="str">
        <f ca="1">IF($B25="","",INDIRECT("aux_sheet_RRS!Y"&amp;1+MATCH(aux_sheet_RRS!$E24,aux_sheet_RRS!$D$2:$D$202,0)))</f>
        <v/>
      </c>
      <c r="R25" s="90" t="str">
        <f ca="1">IF(P25="","",INDIRECT("aux_sheet_RRS!Z"&amp;1+MATCH(aux_sheet_RRS!$E24,aux_sheet_RRS!$D$2:$D$202,0)))</f>
        <v/>
      </c>
      <c r="S25" s="106" t="str">
        <f ca="1">IF($B25="","",INDIRECT("aux_sheet_RRS!AA"&amp;1+MATCH(aux_sheet_RRS!$E24,aux_sheet_RRS!$D$2:$D$202,0)))</f>
        <v/>
      </c>
      <c r="T25" s="89" t="str">
        <f ca="1">IF($B25="","",INDIRECT("aux_sheet_RRS!AB"&amp;1+MATCH(aux_sheet_RRS!$E24,aux_sheet_RRS!$D$2:$D$202,0)))</f>
        <v/>
      </c>
      <c r="U25" s="90" t="str">
        <f ca="1">IF(S25="","",INDIRECT("aux_sheet_RRS!AC"&amp;1+MATCH(aux_sheet_RRS!$E24,aux_sheet_RRS!$D$2:$D$202,0)))</f>
        <v/>
      </c>
      <c r="V25" s="106" t="str">
        <f ca="1">IF($B25="","",INDIRECT("aux_sheet_RRS!AD"&amp;1+MATCH(aux_sheet_RRS!$E24,aux_sheet_RRS!$D$2:$D$202,0)))</f>
        <v/>
      </c>
      <c r="W25" s="89" t="str">
        <f ca="1">IF($B25="","",INDIRECT("aux_sheet_RRS!AE"&amp;1+MATCH(aux_sheet_RRS!$E24,aux_sheet_RRS!$D$2:$D$202,0)))</f>
        <v/>
      </c>
      <c r="X25" s="90" t="str">
        <f ca="1">IF(V25="","",INDIRECT("aux_sheet_RRS!AF"&amp;1+MATCH(aux_sheet_RRS!$E24,aux_sheet_RRS!$D$2:$D$202,0)))</f>
        <v/>
      </c>
      <c r="Y25" s="106" t="str">
        <f ca="1">IF($B25="","",INDIRECT("aux_sheet_RRS!AG"&amp;1+MATCH(aux_sheet_RRS!$E24,aux_sheet_RRS!$D$2:$D$202,0)))</f>
        <v/>
      </c>
      <c r="Z25" s="89" t="str">
        <f ca="1">IF($B25="","",INDIRECT("aux_sheet_RRS!AH"&amp;1+MATCH(aux_sheet_RRS!$E24,aux_sheet_RRS!$D$2:$D$202,0)))</f>
        <v/>
      </c>
      <c r="AA25" s="90" t="str">
        <f ca="1">IF(Y25="","",INDIRECT("aux_sheet_RRS!AI"&amp;1+MATCH(aux_sheet_RRS!$E24,aux_sheet_RRS!$D$2:$D$202,0)))</f>
        <v/>
      </c>
      <c r="AB25" s="88" t="str">
        <f ca="1">IF($B25="","",INDIRECT("aux_sheet_RRS!AJ"&amp;1+MATCH(aux_sheet_RRS!$E24,aux_sheet_RRS!$D$2:$D$202,0)))</f>
        <v/>
      </c>
      <c r="AC25" s="89" t="str">
        <f ca="1">IF($B25="","",INDIRECT("aux_sheet_RRS!AK"&amp;1+MATCH(aux_sheet_RRS!$E24,aux_sheet_RRS!$D$2:$D$202,0)))</f>
        <v/>
      </c>
      <c r="AD25" s="90" t="str">
        <f ca="1">IF(AB25="","",INDIRECT("aux_sheet_RRS!AL"&amp;1+MATCH(aux_sheet_RRS!$E24,aux_sheet_RRS!$D$2:$D$202,0)))</f>
        <v/>
      </c>
      <c r="AE25" s="88" t="str">
        <f ca="1">IF($B25="","",INDIRECT("aux_sheet_RRS!AM"&amp;1+MATCH(aux_sheet_RRS!$E24,aux_sheet_RRS!$D$2:$D$202,0)))</f>
        <v/>
      </c>
      <c r="AF25" s="89" t="str">
        <f ca="1">IF($B25="","",INDIRECT("aux_sheet_RRS!AN"&amp;1+MATCH(aux_sheet_RRS!$E24,aux_sheet_RRS!$D$2:$D$202,0)))</f>
        <v/>
      </c>
      <c r="AG25" s="90" t="str">
        <f ca="1">IF(AE25="","",INDIRECT("aux_sheet_RRS!AO"&amp;1+MATCH(aux_sheet_RRS!$E24,aux_sheet_RRS!$D$2:$D$202,0)))</f>
        <v/>
      </c>
      <c r="AH25" s="14" t="str">
        <f t="shared" ca="1" si="3"/>
        <v/>
      </c>
      <c r="AI25" t="str">
        <f t="shared" ca="1" si="4"/>
        <v/>
      </c>
      <c r="AJ25" t="str">
        <f t="shared" ca="1" si="5"/>
        <v/>
      </c>
    </row>
    <row r="26" spans="1:36" x14ac:dyDescent="0.35">
      <c r="A26" s="2" t="str">
        <f>IF(ISBLANK(Input!A25),"",ROUNDDOWN(aux_sheet_RRS!E25,0))</f>
        <v/>
      </c>
      <c r="B26" s="2" t="str">
        <f ca="1">IF(ISBLANK(Input!A25),"",INDIRECT("Input!A"&amp;1+MATCH(aux_sheet_RRS!$E25,aux_sheet_RRS!$D$2:$D$202,0)))</f>
        <v/>
      </c>
      <c r="C26" s="2" t="str">
        <f ca="1">IF(ISBLANK(Input!B25),"",INDIRECT("Input!B"&amp;1+MATCH(aux_sheet_RRS!$E25,aux_sheet_RRS!$D$2:$D$202,0)))</f>
        <v/>
      </c>
      <c r="D26" s="2" t="str">
        <f ca="1">IF(ISBLANK(Input!C25),"",INDIRECT("Input!C"&amp;1+MATCH(aux_sheet_RRS!$E25,aux_sheet_RRS!$D$2:$D$202,0)))</f>
        <v/>
      </c>
      <c r="E26" s="2" t="str">
        <f ca="1">IF(ISBLANK(Input!D25),"",INDIRECT("Input!D"&amp;1+MATCH(aux_sheet_RRS!$E25,aux_sheet_RRS!$D$2:$D$202,0)))</f>
        <v/>
      </c>
      <c r="F26" s="11" t="str">
        <f ca="1">INDIRECT("Input!H"&amp;1+MATCH(aux_sheet_RRS!$E25,aux_sheet_RRS!$D$2:$D$202,0))</f>
        <v xml:space="preserve"> </v>
      </c>
      <c r="G26" s="88" t="str">
        <f ca="1">IF($B26="","",INDIRECT("aux_sheet_RRS!O"&amp;1+MATCH(aux_sheet_RRS!$E25,aux_sheet_RRS!$D$2:$D$202,0)))</f>
        <v/>
      </c>
      <c r="H26" s="89" t="str">
        <f ca="1">IF($B26="","",INDIRECT("aux_sheet_RRS!P"&amp;1+MATCH(aux_sheet_RRS!$E25,aux_sheet_RRS!$D$2:$D$202,0)))</f>
        <v/>
      </c>
      <c r="I26" s="90" t="str">
        <f ca="1">IF(G26="","",ROUNDDOWN(INDIRECT("aux_sheet_RRS!Q"&amp;1+MATCH(aux_sheet_RRS!$E25,aux_sheet_RRS!$D$2:$D$202,0)),0))</f>
        <v/>
      </c>
      <c r="J26" s="106" t="str">
        <f ca="1">IF($B26="","",INDIRECT("aux_sheet_RRS!R"&amp;1+MATCH(aux_sheet_RRS!$E25,aux_sheet_RRS!$D$2:$D$202,0)))</f>
        <v/>
      </c>
      <c r="K26" s="89" t="str">
        <f ca="1">IF($B26="","",INDIRECT("aux_sheet_RRS!S"&amp;1+MATCH(aux_sheet_RRS!$E25,aux_sheet_RRS!$D$2:$D$202,0)))</f>
        <v/>
      </c>
      <c r="L26" s="90" t="str">
        <f ca="1">IF(J26="","",ROUNDDOWN(INDIRECT("aux_sheet_RRS!T"&amp;1+MATCH(aux_sheet_RRS!$E25,aux_sheet_RRS!$D$2:$D$202,0)),0))</f>
        <v/>
      </c>
      <c r="M26" s="106" t="str">
        <f ca="1">IF($B26="","",INDIRECT("aux_sheet_RRS!U"&amp;1+MATCH(aux_sheet_RRS!$E25,aux_sheet_RRS!$D$2:$D$202,0)))</f>
        <v/>
      </c>
      <c r="N26" s="89" t="str">
        <f ca="1">IF($B26="","",INDIRECT("aux_sheet_RRS!V"&amp;1+MATCH(aux_sheet_RRS!$E25,aux_sheet_RRS!$D$2:$D$202,0)))</f>
        <v/>
      </c>
      <c r="O26" s="90" t="str">
        <f ca="1">IF(M26="","",ROUNDDOWN(INDIRECT("aux_sheet_RRS!W"&amp;1+MATCH(aux_sheet_RRS!$E25,aux_sheet_RRS!$D$2:$D$202,0)),0))</f>
        <v/>
      </c>
      <c r="P26" s="106" t="str">
        <f ca="1">IF($B26="","",INDIRECT("aux_sheet_RRS!X"&amp;1+MATCH(aux_sheet_RRS!$E25,aux_sheet_RRS!$D$2:$D$202,0)))</f>
        <v/>
      </c>
      <c r="Q26" s="89" t="str">
        <f ca="1">IF($B26="","",INDIRECT("aux_sheet_RRS!Y"&amp;1+MATCH(aux_sheet_RRS!$E25,aux_sheet_RRS!$D$2:$D$202,0)))</f>
        <v/>
      </c>
      <c r="R26" s="90" t="str">
        <f ca="1">IF(P26="","",INDIRECT("aux_sheet_RRS!Z"&amp;1+MATCH(aux_sheet_RRS!$E25,aux_sheet_RRS!$D$2:$D$202,0)))</f>
        <v/>
      </c>
      <c r="S26" s="106" t="str">
        <f ca="1">IF($B26="","",INDIRECT("aux_sheet_RRS!AA"&amp;1+MATCH(aux_sheet_RRS!$E25,aux_sheet_RRS!$D$2:$D$202,0)))</f>
        <v/>
      </c>
      <c r="T26" s="89" t="str">
        <f ca="1">IF($B26="","",INDIRECT("aux_sheet_RRS!AB"&amp;1+MATCH(aux_sheet_RRS!$E25,aux_sheet_RRS!$D$2:$D$202,0)))</f>
        <v/>
      </c>
      <c r="U26" s="90" t="str">
        <f ca="1">IF(S26="","",INDIRECT("aux_sheet_RRS!AC"&amp;1+MATCH(aux_sheet_RRS!$E25,aux_sheet_RRS!$D$2:$D$202,0)))</f>
        <v/>
      </c>
      <c r="V26" s="106" t="str">
        <f ca="1">IF($B26="","",INDIRECT("aux_sheet_RRS!AD"&amp;1+MATCH(aux_sheet_RRS!$E25,aux_sheet_RRS!$D$2:$D$202,0)))</f>
        <v/>
      </c>
      <c r="W26" s="89" t="str">
        <f ca="1">IF($B26="","",INDIRECT("aux_sheet_RRS!AE"&amp;1+MATCH(aux_sheet_RRS!$E25,aux_sheet_RRS!$D$2:$D$202,0)))</f>
        <v/>
      </c>
      <c r="X26" s="90" t="str">
        <f ca="1">IF(V26="","",INDIRECT("aux_sheet_RRS!AF"&amp;1+MATCH(aux_sheet_RRS!$E25,aux_sheet_RRS!$D$2:$D$202,0)))</f>
        <v/>
      </c>
      <c r="Y26" s="106" t="str">
        <f ca="1">IF($B26="","",INDIRECT("aux_sheet_RRS!AG"&amp;1+MATCH(aux_sheet_RRS!$E25,aux_sheet_RRS!$D$2:$D$202,0)))</f>
        <v/>
      </c>
      <c r="Z26" s="89" t="str">
        <f ca="1">IF($B26="","",INDIRECT("aux_sheet_RRS!AH"&amp;1+MATCH(aux_sheet_RRS!$E25,aux_sheet_RRS!$D$2:$D$202,0)))</f>
        <v/>
      </c>
      <c r="AA26" s="90" t="str">
        <f ca="1">IF(Y26="","",INDIRECT("aux_sheet_RRS!AI"&amp;1+MATCH(aux_sheet_RRS!$E25,aux_sheet_RRS!$D$2:$D$202,0)))</f>
        <v/>
      </c>
      <c r="AB26" s="88" t="str">
        <f ca="1">IF($B26="","",INDIRECT("aux_sheet_RRS!AJ"&amp;1+MATCH(aux_sheet_RRS!$E25,aux_sheet_RRS!$D$2:$D$202,0)))</f>
        <v/>
      </c>
      <c r="AC26" s="89" t="str">
        <f ca="1">IF($B26="","",INDIRECT("aux_sheet_RRS!AK"&amp;1+MATCH(aux_sheet_RRS!$E25,aux_sheet_RRS!$D$2:$D$202,0)))</f>
        <v/>
      </c>
      <c r="AD26" s="90" t="str">
        <f ca="1">IF(AB26="","",INDIRECT("aux_sheet_RRS!AL"&amp;1+MATCH(aux_sheet_RRS!$E25,aux_sheet_RRS!$D$2:$D$202,0)))</f>
        <v/>
      </c>
      <c r="AE26" s="88" t="str">
        <f ca="1">IF($B26="","",INDIRECT("aux_sheet_RRS!AM"&amp;1+MATCH(aux_sheet_RRS!$E25,aux_sheet_RRS!$D$2:$D$202,0)))</f>
        <v/>
      </c>
      <c r="AF26" s="89" t="str">
        <f ca="1">IF($B26="","",INDIRECT("aux_sheet_RRS!AN"&amp;1+MATCH(aux_sheet_RRS!$E25,aux_sheet_RRS!$D$2:$D$202,0)))</f>
        <v/>
      </c>
      <c r="AG26" s="90" t="str">
        <f ca="1">IF(AE26="","",INDIRECT("aux_sheet_RRS!AO"&amp;1+MATCH(aux_sheet_RRS!$E25,aux_sheet_RRS!$D$2:$D$202,0)))</f>
        <v/>
      </c>
      <c r="AH26" s="14" t="str">
        <f t="shared" ca="1" si="3"/>
        <v/>
      </c>
      <c r="AI26" t="str">
        <f t="shared" ca="1" si="4"/>
        <v/>
      </c>
      <c r="AJ26" t="str">
        <f t="shared" ca="1" si="5"/>
        <v/>
      </c>
    </row>
    <row r="27" spans="1:36" x14ac:dyDescent="0.35">
      <c r="A27" s="2" t="str">
        <f>IF(ISBLANK(Input!A26),"",ROUNDDOWN(aux_sheet_RRS!E26,0))</f>
        <v/>
      </c>
      <c r="B27" s="2" t="str">
        <f ca="1">IF(ISBLANK(Input!A26),"",INDIRECT("Input!A"&amp;1+MATCH(aux_sheet_RRS!$E26,aux_sheet_RRS!$D$2:$D$202,0)))</f>
        <v/>
      </c>
      <c r="C27" s="2" t="str">
        <f ca="1">IF(ISBLANK(Input!B26),"",INDIRECT("Input!B"&amp;1+MATCH(aux_sheet_RRS!$E26,aux_sheet_RRS!$D$2:$D$202,0)))</f>
        <v/>
      </c>
      <c r="D27" s="2" t="str">
        <f ca="1">IF(ISBLANK(Input!C26),"",INDIRECT("Input!C"&amp;1+MATCH(aux_sheet_RRS!$E26,aux_sheet_RRS!$D$2:$D$202,0)))</f>
        <v/>
      </c>
      <c r="E27" s="2" t="str">
        <f ca="1">IF(ISBLANK(Input!D26),"",INDIRECT("Input!D"&amp;1+MATCH(aux_sheet_RRS!$E26,aux_sheet_RRS!$D$2:$D$202,0)))</f>
        <v/>
      </c>
      <c r="F27" s="11" t="str">
        <f ca="1">INDIRECT("Input!H"&amp;1+MATCH(aux_sheet_RRS!$E26,aux_sheet_RRS!$D$2:$D$202,0))</f>
        <v xml:space="preserve"> </v>
      </c>
      <c r="G27" s="88" t="str">
        <f ca="1">IF($B27="","",INDIRECT("aux_sheet_RRS!O"&amp;1+MATCH(aux_sheet_RRS!$E26,aux_sheet_RRS!$D$2:$D$202,0)))</f>
        <v/>
      </c>
      <c r="H27" s="89" t="str">
        <f ca="1">IF($B27="","",INDIRECT("aux_sheet_RRS!P"&amp;1+MATCH(aux_sheet_RRS!$E26,aux_sheet_RRS!$D$2:$D$202,0)))</f>
        <v/>
      </c>
      <c r="I27" s="90" t="str">
        <f ca="1">IF(G27="","",ROUNDDOWN(INDIRECT("aux_sheet_RRS!Q"&amp;1+MATCH(aux_sheet_RRS!$E26,aux_sheet_RRS!$D$2:$D$202,0)),0))</f>
        <v/>
      </c>
      <c r="J27" s="106" t="str">
        <f ca="1">IF($B27="","",INDIRECT("aux_sheet_RRS!R"&amp;1+MATCH(aux_sheet_RRS!$E26,aux_sheet_RRS!$D$2:$D$202,0)))</f>
        <v/>
      </c>
      <c r="K27" s="89" t="str">
        <f ca="1">IF($B27="","",INDIRECT("aux_sheet_RRS!S"&amp;1+MATCH(aux_sheet_RRS!$E26,aux_sheet_RRS!$D$2:$D$202,0)))</f>
        <v/>
      </c>
      <c r="L27" s="90" t="str">
        <f ca="1">IF(J27="","",ROUNDDOWN(INDIRECT("aux_sheet_RRS!T"&amp;1+MATCH(aux_sheet_RRS!$E26,aux_sheet_RRS!$D$2:$D$202,0)),0))</f>
        <v/>
      </c>
      <c r="M27" s="106" t="str">
        <f ca="1">IF($B27="","",INDIRECT("aux_sheet_RRS!U"&amp;1+MATCH(aux_sheet_RRS!$E26,aux_sheet_RRS!$D$2:$D$202,0)))</f>
        <v/>
      </c>
      <c r="N27" s="89" t="str">
        <f ca="1">IF($B27="","",INDIRECT("aux_sheet_RRS!V"&amp;1+MATCH(aux_sheet_RRS!$E26,aux_sheet_RRS!$D$2:$D$202,0)))</f>
        <v/>
      </c>
      <c r="O27" s="90" t="str">
        <f ca="1">IF(M27="","",ROUNDDOWN(INDIRECT("aux_sheet_RRS!W"&amp;1+MATCH(aux_sheet_RRS!$E26,aux_sheet_RRS!$D$2:$D$202,0)),0))</f>
        <v/>
      </c>
      <c r="P27" s="106" t="str">
        <f ca="1">IF($B27="","",INDIRECT("aux_sheet_RRS!X"&amp;1+MATCH(aux_sheet_RRS!$E26,aux_sheet_RRS!$D$2:$D$202,0)))</f>
        <v/>
      </c>
      <c r="Q27" s="89" t="str">
        <f ca="1">IF($B27="","",INDIRECT("aux_sheet_RRS!Y"&amp;1+MATCH(aux_sheet_RRS!$E26,aux_sheet_RRS!$D$2:$D$202,0)))</f>
        <v/>
      </c>
      <c r="R27" s="90" t="str">
        <f ca="1">IF(P27="","",INDIRECT("aux_sheet_RRS!Z"&amp;1+MATCH(aux_sheet_RRS!$E26,aux_sheet_RRS!$D$2:$D$202,0)))</f>
        <v/>
      </c>
      <c r="S27" s="106" t="str">
        <f ca="1">IF($B27="","",INDIRECT("aux_sheet_RRS!AA"&amp;1+MATCH(aux_sheet_RRS!$E26,aux_sheet_RRS!$D$2:$D$202,0)))</f>
        <v/>
      </c>
      <c r="T27" s="89" t="str">
        <f ca="1">IF($B27="","",INDIRECT("aux_sheet_RRS!AB"&amp;1+MATCH(aux_sheet_RRS!$E26,aux_sheet_RRS!$D$2:$D$202,0)))</f>
        <v/>
      </c>
      <c r="U27" s="90" t="str">
        <f ca="1">IF(S27="","",INDIRECT("aux_sheet_RRS!AC"&amp;1+MATCH(aux_sheet_RRS!$E26,aux_sheet_RRS!$D$2:$D$202,0)))</f>
        <v/>
      </c>
      <c r="V27" s="106" t="str">
        <f ca="1">IF($B27="","",INDIRECT("aux_sheet_RRS!AD"&amp;1+MATCH(aux_sheet_RRS!$E26,aux_sheet_RRS!$D$2:$D$202,0)))</f>
        <v/>
      </c>
      <c r="W27" s="89" t="str">
        <f ca="1">IF($B27="","",INDIRECT("aux_sheet_RRS!AE"&amp;1+MATCH(aux_sheet_RRS!$E26,aux_sheet_RRS!$D$2:$D$202,0)))</f>
        <v/>
      </c>
      <c r="X27" s="90" t="str">
        <f ca="1">IF(V27="","",INDIRECT("aux_sheet_RRS!AF"&amp;1+MATCH(aux_sheet_RRS!$E26,aux_sheet_RRS!$D$2:$D$202,0)))</f>
        <v/>
      </c>
      <c r="Y27" s="106" t="str">
        <f ca="1">IF($B27="","",INDIRECT("aux_sheet_RRS!AG"&amp;1+MATCH(aux_sheet_RRS!$E26,aux_sheet_RRS!$D$2:$D$202,0)))</f>
        <v/>
      </c>
      <c r="Z27" s="89" t="str">
        <f ca="1">IF($B27="","",INDIRECT("aux_sheet_RRS!AH"&amp;1+MATCH(aux_sheet_RRS!$E26,aux_sheet_RRS!$D$2:$D$202,0)))</f>
        <v/>
      </c>
      <c r="AA27" s="90" t="str">
        <f ca="1">IF(Y27="","",INDIRECT("aux_sheet_RRS!AI"&amp;1+MATCH(aux_sheet_RRS!$E26,aux_sheet_RRS!$D$2:$D$202,0)))</f>
        <v/>
      </c>
      <c r="AB27" s="88" t="str">
        <f ca="1">IF($B27="","",INDIRECT("aux_sheet_RRS!AJ"&amp;1+MATCH(aux_sheet_RRS!$E26,aux_sheet_RRS!$D$2:$D$202,0)))</f>
        <v/>
      </c>
      <c r="AC27" s="89" t="str">
        <f ca="1">IF($B27="","",INDIRECT("aux_sheet_RRS!AK"&amp;1+MATCH(aux_sheet_RRS!$E26,aux_sheet_RRS!$D$2:$D$202,0)))</f>
        <v/>
      </c>
      <c r="AD27" s="90" t="str">
        <f ca="1">IF(AB27="","",INDIRECT("aux_sheet_RRS!AL"&amp;1+MATCH(aux_sheet_RRS!$E26,aux_sheet_RRS!$D$2:$D$202,0)))</f>
        <v/>
      </c>
      <c r="AE27" s="88" t="str">
        <f ca="1">IF($B27="","",INDIRECT("aux_sheet_RRS!AM"&amp;1+MATCH(aux_sheet_RRS!$E26,aux_sheet_RRS!$D$2:$D$202,0)))</f>
        <v/>
      </c>
      <c r="AF27" s="89" t="str">
        <f ca="1">IF($B27="","",INDIRECT("aux_sheet_RRS!AN"&amp;1+MATCH(aux_sheet_RRS!$E26,aux_sheet_RRS!$D$2:$D$202,0)))</f>
        <v/>
      </c>
      <c r="AG27" s="90" t="str">
        <f ca="1">IF(AE27="","",INDIRECT("aux_sheet_RRS!AO"&amp;1+MATCH(aux_sheet_RRS!$E26,aux_sheet_RRS!$D$2:$D$202,0)))</f>
        <v/>
      </c>
      <c r="AH27" s="14" t="str">
        <f t="shared" ca="1" si="3"/>
        <v/>
      </c>
      <c r="AI27" t="str">
        <f t="shared" ca="1" si="4"/>
        <v/>
      </c>
      <c r="AJ27" t="str">
        <f t="shared" ca="1" si="5"/>
        <v/>
      </c>
    </row>
    <row r="28" spans="1:36" x14ac:dyDescent="0.35">
      <c r="A28" s="2" t="str">
        <f>IF(ISBLANK(Input!A27),"",ROUNDDOWN(aux_sheet_RRS!E27,0))</f>
        <v/>
      </c>
      <c r="B28" s="2" t="str">
        <f ca="1">IF(ISBLANK(Input!A27),"",INDIRECT("Input!A"&amp;1+MATCH(aux_sheet_RRS!$E27,aux_sheet_RRS!$D$2:$D$202,0)))</f>
        <v/>
      </c>
      <c r="C28" s="2" t="str">
        <f ca="1">IF(ISBLANK(Input!B27),"",INDIRECT("Input!B"&amp;1+MATCH(aux_sheet_RRS!$E27,aux_sheet_RRS!$D$2:$D$202,0)))</f>
        <v/>
      </c>
      <c r="D28" s="2" t="str">
        <f ca="1">IF(ISBLANK(Input!C27),"",INDIRECT("Input!C"&amp;1+MATCH(aux_sheet_RRS!$E27,aux_sheet_RRS!$D$2:$D$202,0)))</f>
        <v/>
      </c>
      <c r="E28" s="2" t="str">
        <f ca="1">IF(ISBLANK(Input!D27),"",INDIRECT("Input!D"&amp;1+MATCH(aux_sheet_RRS!$E27,aux_sheet_RRS!$D$2:$D$202,0)))</f>
        <v/>
      </c>
      <c r="F28" s="11" t="str">
        <f ca="1">INDIRECT("Input!H"&amp;1+MATCH(aux_sheet_RRS!$E27,aux_sheet_RRS!$D$2:$D$202,0))</f>
        <v xml:space="preserve"> </v>
      </c>
      <c r="G28" s="88" t="str">
        <f ca="1">IF($B28="","",INDIRECT("aux_sheet_RRS!O"&amp;1+MATCH(aux_sheet_RRS!$E27,aux_sheet_RRS!$D$2:$D$202,0)))</f>
        <v/>
      </c>
      <c r="H28" s="89" t="str">
        <f ca="1">IF($B28="","",INDIRECT("aux_sheet_RRS!P"&amp;1+MATCH(aux_sheet_RRS!$E27,aux_sheet_RRS!$D$2:$D$202,0)))</f>
        <v/>
      </c>
      <c r="I28" s="90" t="str">
        <f ca="1">IF(G28="","",ROUNDDOWN(INDIRECT("aux_sheet_RRS!Q"&amp;1+MATCH(aux_sheet_RRS!$E27,aux_sheet_RRS!$D$2:$D$202,0)),0))</f>
        <v/>
      </c>
      <c r="J28" s="106" t="str">
        <f ca="1">IF($B28="","",INDIRECT("aux_sheet_RRS!R"&amp;1+MATCH(aux_sheet_RRS!$E27,aux_sheet_RRS!$D$2:$D$202,0)))</f>
        <v/>
      </c>
      <c r="K28" s="89" t="str">
        <f ca="1">IF($B28="","",INDIRECT("aux_sheet_RRS!S"&amp;1+MATCH(aux_sheet_RRS!$E27,aux_sheet_RRS!$D$2:$D$202,0)))</f>
        <v/>
      </c>
      <c r="L28" s="90" t="str">
        <f ca="1">IF(J28="","",ROUNDDOWN(INDIRECT("aux_sheet_RRS!T"&amp;1+MATCH(aux_sheet_RRS!$E27,aux_sheet_RRS!$D$2:$D$202,0)),0))</f>
        <v/>
      </c>
      <c r="M28" s="106" t="str">
        <f ca="1">IF($B28="","",INDIRECT("aux_sheet_RRS!U"&amp;1+MATCH(aux_sheet_RRS!$E27,aux_sheet_RRS!$D$2:$D$202,0)))</f>
        <v/>
      </c>
      <c r="N28" s="89" t="str">
        <f ca="1">IF($B28="","",INDIRECT("aux_sheet_RRS!V"&amp;1+MATCH(aux_sheet_RRS!$E27,aux_sheet_RRS!$D$2:$D$202,0)))</f>
        <v/>
      </c>
      <c r="O28" s="90" t="str">
        <f ca="1">IF(M28="","",ROUNDDOWN(INDIRECT("aux_sheet_RRS!W"&amp;1+MATCH(aux_sheet_RRS!$E27,aux_sheet_RRS!$D$2:$D$202,0)),0))</f>
        <v/>
      </c>
      <c r="P28" s="106" t="str">
        <f ca="1">IF($B28="","",INDIRECT("aux_sheet_RRS!X"&amp;1+MATCH(aux_sheet_RRS!$E27,aux_sheet_RRS!$D$2:$D$202,0)))</f>
        <v/>
      </c>
      <c r="Q28" s="89" t="str">
        <f ca="1">IF($B28="","",INDIRECT("aux_sheet_RRS!Y"&amp;1+MATCH(aux_sheet_RRS!$E27,aux_sheet_RRS!$D$2:$D$202,0)))</f>
        <v/>
      </c>
      <c r="R28" s="90" t="str">
        <f ca="1">IF(P28="","",INDIRECT("aux_sheet_RRS!Z"&amp;1+MATCH(aux_sheet_RRS!$E27,aux_sheet_RRS!$D$2:$D$202,0)))</f>
        <v/>
      </c>
      <c r="S28" s="106" t="str">
        <f ca="1">IF($B28="","",INDIRECT("aux_sheet_RRS!AA"&amp;1+MATCH(aux_sheet_RRS!$E27,aux_sheet_RRS!$D$2:$D$202,0)))</f>
        <v/>
      </c>
      <c r="T28" s="89" t="str">
        <f ca="1">IF($B28="","",INDIRECT("aux_sheet_RRS!AB"&amp;1+MATCH(aux_sheet_RRS!$E27,aux_sheet_RRS!$D$2:$D$202,0)))</f>
        <v/>
      </c>
      <c r="U28" s="90" t="str">
        <f ca="1">IF(S28="","",INDIRECT("aux_sheet_RRS!AC"&amp;1+MATCH(aux_sheet_RRS!$E27,aux_sheet_RRS!$D$2:$D$202,0)))</f>
        <v/>
      </c>
      <c r="V28" s="106" t="str">
        <f ca="1">IF($B28="","",INDIRECT("aux_sheet_RRS!AD"&amp;1+MATCH(aux_sheet_RRS!$E27,aux_sheet_RRS!$D$2:$D$202,0)))</f>
        <v/>
      </c>
      <c r="W28" s="89" t="str">
        <f ca="1">IF($B28="","",INDIRECT("aux_sheet_RRS!AE"&amp;1+MATCH(aux_sheet_RRS!$E27,aux_sheet_RRS!$D$2:$D$202,0)))</f>
        <v/>
      </c>
      <c r="X28" s="90" t="str">
        <f ca="1">IF(V28="","",INDIRECT("aux_sheet_RRS!AF"&amp;1+MATCH(aux_sheet_RRS!$E27,aux_sheet_RRS!$D$2:$D$202,0)))</f>
        <v/>
      </c>
      <c r="Y28" s="106" t="str">
        <f ca="1">IF($B28="","",INDIRECT("aux_sheet_RRS!AG"&amp;1+MATCH(aux_sheet_RRS!$E27,aux_sheet_RRS!$D$2:$D$202,0)))</f>
        <v/>
      </c>
      <c r="Z28" s="89" t="str">
        <f ca="1">IF($B28="","",INDIRECT("aux_sheet_RRS!AH"&amp;1+MATCH(aux_sheet_RRS!$E27,aux_sheet_RRS!$D$2:$D$202,0)))</f>
        <v/>
      </c>
      <c r="AA28" s="90" t="str">
        <f ca="1">IF(Y28="","",INDIRECT("aux_sheet_RRS!AI"&amp;1+MATCH(aux_sheet_RRS!$E27,aux_sheet_RRS!$D$2:$D$202,0)))</f>
        <v/>
      </c>
      <c r="AB28" s="88" t="str">
        <f ca="1">IF($B28="","",INDIRECT("aux_sheet_RRS!AJ"&amp;1+MATCH(aux_sheet_RRS!$E27,aux_sheet_RRS!$D$2:$D$202,0)))</f>
        <v/>
      </c>
      <c r="AC28" s="89" t="str">
        <f ca="1">IF($B28="","",INDIRECT("aux_sheet_RRS!AK"&amp;1+MATCH(aux_sheet_RRS!$E27,aux_sheet_RRS!$D$2:$D$202,0)))</f>
        <v/>
      </c>
      <c r="AD28" s="90" t="str">
        <f ca="1">IF(AB28="","",INDIRECT("aux_sheet_RRS!AL"&amp;1+MATCH(aux_sheet_RRS!$E27,aux_sheet_RRS!$D$2:$D$202,0)))</f>
        <v/>
      </c>
      <c r="AE28" s="88" t="str">
        <f ca="1">IF($B28="","",INDIRECT("aux_sheet_RRS!AM"&amp;1+MATCH(aux_sheet_RRS!$E27,aux_sheet_RRS!$D$2:$D$202,0)))</f>
        <v/>
      </c>
      <c r="AF28" s="89" t="str">
        <f ca="1">IF($B28="","",INDIRECT("aux_sheet_RRS!AN"&amp;1+MATCH(aux_sheet_RRS!$E27,aux_sheet_RRS!$D$2:$D$202,0)))</f>
        <v/>
      </c>
      <c r="AG28" s="90" t="str">
        <f ca="1">IF(AE28="","",INDIRECT("aux_sheet_RRS!AO"&amp;1+MATCH(aux_sheet_RRS!$E27,aux_sheet_RRS!$D$2:$D$202,0)))</f>
        <v/>
      </c>
      <c r="AH28" s="14" t="str">
        <f t="shared" ca="1" si="3"/>
        <v/>
      </c>
      <c r="AI28" t="str">
        <f t="shared" ca="1" si="4"/>
        <v/>
      </c>
      <c r="AJ28" t="str">
        <f t="shared" ca="1" si="5"/>
        <v/>
      </c>
    </row>
    <row r="29" spans="1:36" x14ac:dyDescent="0.35">
      <c r="A29" s="2" t="str">
        <f>IF(ISBLANK(Input!A28),"",ROUNDDOWN(aux_sheet_RRS!E28,0))</f>
        <v/>
      </c>
      <c r="B29" s="2" t="str">
        <f ca="1">IF(ISBLANK(Input!A28),"",INDIRECT("Input!A"&amp;1+MATCH(aux_sheet_RRS!$E28,aux_sheet_RRS!$D$2:$D$202,0)))</f>
        <v/>
      </c>
      <c r="C29" s="2" t="str">
        <f ca="1">IF(ISBLANK(Input!B28),"",INDIRECT("Input!B"&amp;1+MATCH(aux_sheet_RRS!$E28,aux_sheet_RRS!$D$2:$D$202,0)))</f>
        <v/>
      </c>
      <c r="D29" s="2" t="str">
        <f ca="1">IF(ISBLANK(Input!C28),"",INDIRECT("Input!C"&amp;1+MATCH(aux_sheet_RRS!$E28,aux_sheet_RRS!$D$2:$D$202,0)))</f>
        <v/>
      </c>
      <c r="E29" s="2" t="str">
        <f ca="1">IF(ISBLANK(Input!D28),"",INDIRECT("Input!D"&amp;1+MATCH(aux_sheet_RRS!$E28,aux_sheet_RRS!$D$2:$D$202,0)))</f>
        <v/>
      </c>
      <c r="F29" s="11" t="str">
        <f ca="1">INDIRECT("Input!H"&amp;1+MATCH(aux_sheet_RRS!$E28,aux_sheet_RRS!$D$2:$D$202,0))</f>
        <v xml:space="preserve"> </v>
      </c>
      <c r="G29" s="88" t="str">
        <f ca="1">IF($B29="","",INDIRECT("aux_sheet_RRS!O"&amp;1+MATCH(aux_sheet_RRS!$E28,aux_sheet_RRS!$D$2:$D$202,0)))</f>
        <v/>
      </c>
      <c r="H29" s="89" t="str">
        <f ca="1">IF($B29="","",INDIRECT("aux_sheet_RRS!P"&amp;1+MATCH(aux_sheet_RRS!$E28,aux_sheet_RRS!$D$2:$D$202,0)))</f>
        <v/>
      </c>
      <c r="I29" s="90" t="str">
        <f ca="1">IF(G29="","",ROUNDDOWN(INDIRECT("aux_sheet_RRS!Q"&amp;1+MATCH(aux_sheet_RRS!$E28,aux_sheet_RRS!$D$2:$D$202,0)),0))</f>
        <v/>
      </c>
      <c r="J29" s="106" t="str">
        <f ca="1">IF($B29="","",INDIRECT("aux_sheet_RRS!R"&amp;1+MATCH(aux_sheet_RRS!$E28,aux_sheet_RRS!$D$2:$D$202,0)))</f>
        <v/>
      </c>
      <c r="K29" s="89" t="str">
        <f ca="1">IF($B29="","",INDIRECT("aux_sheet_RRS!S"&amp;1+MATCH(aux_sheet_RRS!$E28,aux_sheet_RRS!$D$2:$D$202,0)))</f>
        <v/>
      </c>
      <c r="L29" s="90" t="str">
        <f ca="1">IF(J29="","",ROUNDDOWN(INDIRECT("aux_sheet_RRS!T"&amp;1+MATCH(aux_sheet_RRS!$E28,aux_sheet_RRS!$D$2:$D$202,0)),0))</f>
        <v/>
      </c>
      <c r="M29" s="106" t="str">
        <f ca="1">IF($B29="","",INDIRECT("aux_sheet_RRS!U"&amp;1+MATCH(aux_sheet_RRS!$E28,aux_sheet_RRS!$D$2:$D$202,0)))</f>
        <v/>
      </c>
      <c r="N29" s="89" t="str">
        <f ca="1">IF($B29="","",INDIRECT("aux_sheet_RRS!V"&amp;1+MATCH(aux_sheet_RRS!$E28,aux_sheet_RRS!$D$2:$D$202,0)))</f>
        <v/>
      </c>
      <c r="O29" s="90" t="str">
        <f ca="1">IF(M29="","",ROUNDDOWN(INDIRECT("aux_sheet_RRS!W"&amp;1+MATCH(aux_sheet_RRS!$E28,aux_sheet_RRS!$D$2:$D$202,0)),0))</f>
        <v/>
      </c>
      <c r="P29" s="106" t="str">
        <f ca="1">IF($B29="","",INDIRECT("aux_sheet_RRS!X"&amp;1+MATCH(aux_sheet_RRS!$E28,aux_sheet_RRS!$D$2:$D$202,0)))</f>
        <v/>
      </c>
      <c r="Q29" s="89" t="str">
        <f ca="1">IF($B29="","",INDIRECT("aux_sheet_RRS!Y"&amp;1+MATCH(aux_sheet_RRS!$E28,aux_sheet_RRS!$D$2:$D$202,0)))</f>
        <v/>
      </c>
      <c r="R29" s="90" t="str">
        <f ca="1">IF(P29="","",INDIRECT("aux_sheet_RRS!Z"&amp;1+MATCH(aux_sheet_RRS!$E28,aux_sheet_RRS!$D$2:$D$202,0)))</f>
        <v/>
      </c>
      <c r="S29" s="106" t="str">
        <f ca="1">IF($B29="","",INDIRECT("aux_sheet_RRS!AA"&amp;1+MATCH(aux_sheet_RRS!$E28,aux_sheet_RRS!$D$2:$D$202,0)))</f>
        <v/>
      </c>
      <c r="T29" s="89" t="str">
        <f ca="1">IF($B29="","",INDIRECT("aux_sheet_RRS!AB"&amp;1+MATCH(aux_sheet_RRS!$E28,aux_sheet_RRS!$D$2:$D$202,0)))</f>
        <v/>
      </c>
      <c r="U29" s="90" t="str">
        <f ca="1">IF(S29="","",INDIRECT("aux_sheet_RRS!AC"&amp;1+MATCH(aux_sheet_RRS!$E28,aux_sheet_RRS!$D$2:$D$202,0)))</f>
        <v/>
      </c>
      <c r="V29" s="106" t="str">
        <f ca="1">IF($B29="","",INDIRECT("aux_sheet_RRS!AD"&amp;1+MATCH(aux_sheet_RRS!$E28,aux_sheet_RRS!$D$2:$D$202,0)))</f>
        <v/>
      </c>
      <c r="W29" s="89" t="str">
        <f ca="1">IF($B29="","",INDIRECT("aux_sheet_RRS!AE"&amp;1+MATCH(aux_sheet_RRS!$E28,aux_sheet_RRS!$D$2:$D$202,0)))</f>
        <v/>
      </c>
      <c r="X29" s="90" t="str">
        <f ca="1">IF(V29="","",INDIRECT("aux_sheet_RRS!AF"&amp;1+MATCH(aux_sheet_RRS!$E28,aux_sheet_RRS!$D$2:$D$202,0)))</f>
        <v/>
      </c>
      <c r="Y29" s="106" t="str">
        <f ca="1">IF($B29="","",INDIRECT("aux_sheet_RRS!AG"&amp;1+MATCH(aux_sheet_RRS!$E28,aux_sheet_RRS!$D$2:$D$202,0)))</f>
        <v/>
      </c>
      <c r="Z29" s="89" t="str">
        <f ca="1">IF($B29="","",INDIRECT("aux_sheet_RRS!AH"&amp;1+MATCH(aux_sheet_RRS!$E28,aux_sheet_RRS!$D$2:$D$202,0)))</f>
        <v/>
      </c>
      <c r="AA29" s="90" t="str">
        <f ca="1">IF(Y29="","",INDIRECT("aux_sheet_RRS!AI"&amp;1+MATCH(aux_sheet_RRS!$E28,aux_sheet_RRS!$D$2:$D$202,0)))</f>
        <v/>
      </c>
      <c r="AB29" s="88" t="str">
        <f ca="1">IF($B29="","",INDIRECT("aux_sheet_RRS!AJ"&amp;1+MATCH(aux_sheet_RRS!$E28,aux_sheet_RRS!$D$2:$D$202,0)))</f>
        <v/>
      </c>
      <c r="AC29" s="89" t="str">
        <f ca="1">IF($B29="","",INDIRECT("aux_sheet_RRS!AK"&amp;1+MATCH(aux_sheet_RRS!$E28,aux_sheet_RRS!$D$2:$D$202,0)))</f>
        <v/>
      </c>
      <c r="AD29" s="90" t="str">
        <f ca="1">IF(AB29="","",INDIRECT("aux_sheet_RRS!AL"&amp;1+MATCH(aux_sheet_RRS!$E28,aux_sheet_RRS!$D$2:$D$202,0)))</f>
        <v/>
      </c>
      <c r="AE29" s="88" t="str">
        <f ca="1">IF($B29="","",INDIRECT("aux_sheet_RRS!AM"&amp;1+MATCH(aux_sheet_RRS!$E28,aux_sheet_RRS!$D$2:$D$202,0)))</f>
        <v/>
      </c>
      <c r="AF29" s="89" t="str">
        <f ca="1">IF($B29="","",INDIRECT("aux_sheet_RRS!AN"&amp;1+MATCH(aux_sheet_RRS!$E28,aux_sheet_RRS!$D$2:$D$202,0)))</f>
        <v/>
      </c>
      <c r="AG29" s="90" t="str">
        <f ca="1">IF(AE29="","",INDIRECT("aux_sheet_RRS!AO"&amp;1+MATCH(aux_sheet_RRS!$E28,aux_sheet_RRS!$D$2:$D$202,0)))</f>
        <v/>
      </c>
      <c r="AH29" s="14" t="str">
        <f t="shared" ca="1" si="3"/>
        <v/>
      </c>
      <c r="AI29" t="str">
        <f t="shared" ca="1" si="4"/>
        <v/>
      </c>
      <c r="AJ29" t="str">
        <f t="shared" ca="1" si="5"/>
        <v/>
      </c>
    </row>
    <row r="30" spans="1:36" x14ac:dyDescent="0.35">
      <c r="A30" s="2" t="str">
        <f>IF(ISBLANK(Input!A29),"",ROUNDDOWN(aux_sheet_RRS!E29,0))</f>
        <v/>
      </c>
      <c r="B30" s="2" t="str">
        <f ca="1">IF(ISBLANK(Input!A29),"",INDIRECT("Input!A"&amp;1+MATCH(aux_sheet_RRS!$E29,aux_sheet_RRS!$D$2:$D$202,0)))</f>
        <v/>
      </c>
      <c r="C30" s="2" t="str">
        <f ca="1">IF(ISBLANK(Input!B29),"",INDIRECT("Input!B"&amp;1+MATCH(aux_sheet_RRS!$E29,aux_sheet_RRS!$D$2:$D$202,0)))</f>
        <v/>
      </c>
      <c r="D30" s="2" t="str">
        <f ca="1">IF(ISBLANK(Input!C29),"",INDIRECT("Input!C"&amp;1+MATCH(aux_sheet_RRS!$E29,aux_sheet_RRS!$D$2:$D$202,0)))</f>
        <v/>
      </c>
      <c r="E30" s="2" t="str">
        <f ca="1">IF(ISBLANK(Input!D29),"",INDIRECT("Input!D"&amp;1+MATCH(aux_sheet_RRS!$E29,aux_sheet_RRS!$D$2:$D$202,0)))</f>
        <v/>
      </c>
      <c r="F30" s="11" t="str">
        <f ca="1">INDIRECT("Input!H"&amp;1+MATCH(aux_sheet_RRS!$E29,aux_sheet_RRS!$D$2:$D$202,0))</f>
        <v xml:space="preserve"> </v>
      </c>
      <c r="G30" s="88" t="str">
        <f ca="1">IF($B30="","",INDIRECT("aux_sheet_RRS!O"&amp;1+MATCH(aux_sheet_RRS!$E29,aux_sheet_RRS!$D$2:$D$202,0)))</f>
        <v/>
      </c>
      <c r="H30" s="89" t="str">
        <f ca="1">IF($B30="","",INDIRECT("aux_sheet_RRS!P"&amp;1+MATCH(aux_sheet_RRS!$E29,aux_sheet_RRS!$D$2:$D$202,0)))</f>
        <v/>
      </c>
      <c r="I30" s="90" t="str">
        <f ca="1">IF(G30="","",ROUNDDOWN(INDIRECT("aux_sheet_RRS!Q"&amp;1+MATCH(aux_sheet_RRS!$E29,aux_sheet_RRS!$D$2:$D$202,0)),0))</f>
        <v/>
      </c>
      <c r="J30" s="106" t="str">
        <f ca="1">IF($B30="","",INDIRECT("aux_sheet_RRS!R"&amp;1+MATCH(aux_sheet_RRS!$E29,aux_sheet_RRS!$D$2:$D$202,0)))</f>
        <v/>
      </c>
      <c r="K30" s="89" t="str">
        <f ca="1">IF($B30="","",INDIRECT("aux_sheet_RRS!S"&amp;1+MATCH(aux_sheet_RRS!$E29,aux_sheet_RRS!$D$2:$D$202,0)))</f>
        <v/>
      </c>
      <c r="L30" s="90" t="str">
        <f ca="1">IF(J30="","",ROUNDDOWN(INDIRECT("aux_sheet_RRS!T"&amp;1+MATCH(aux_sheet_RRS!$E29,aux_sheet_RRS!$D$2:$D$202,0)),0))</f>
        <v/>
      </c>
      <c r="M30" s="106" t="str">
        <f ca="1">IF($B30="","",INDIRECT("aux_sheet_RRS!U"&amp;1+MATCH(aux_sheet_RRS!$E29,aux_sheet_RRS!$D$2:$D$202,0)))</f>
        <v/>
      </c>
      <c r="N30" s="89" t="str">
        <f ca="1">IF($B30="","",INDIRECT("aux_sheet_RRS!V"&amp;1+MATCH(aux_sheet_RRS!$E29,aux_sheet_RRS!$D$2:$D$202,0)))</f>
        <v/>
      </c>
      <c r="O30" s="90" t="str">
        <f ca="1">IF(M30="","",ROUNDDOWN(INDIRECT("aux_sheet_RRS!W"&amp;1+MATCH(aux_sheet_RRS!$E29,aux_sheet_RRS!$D$2:$D$202,0)),0))</f>
        <v/>
      </c>
      <c r="P30" s="106" t="str">
        <f ca="1">IF($B30="","",INDIRECT("aux_sheet_RRS!X"&amp;1+MATCH(aux_sheet_RRS!$E29,aux_sheet_RRS!$D$2:$D$202,0)))</f>
        <v/>
      </c>
      <c r="Q30" s="89" t="str">
        <f ca="1">IF($B30="","",INDIRECT("aux_sheet_RRS!Y"&amp;1+MATCH(aux_sheet_RRS!$E29,aux_sheet_RRS!$D$2:$D$202,0)))</f>
        <v/>
      </c>
      <c r="R30" s="90" t="str">
        <f ca="1">IF(P30="","",INDIRECT("aux_sheet_RRS!Z"&amp;1+MATCH(aux_sheet_RRS!$E29,aux_sheet_RRS!$D$2:$D$202,0)))</f>
        <v/>
      </c>
      <c r="S30" s="106" t="str">
        <f ca="1">IF($B30="","",INDIRECT("aux_sheet_RRS!AA"&amp;1+MATCH(aux_sheet_RRS!$E29,aux_sheet_RRS!$D$2:$D$202,0)))</f>
        <v/>
      </c>
      <c r="T30" s="89" t="str">
        <f ca="1">IF($B30="","",INDIRECT("aux_sheet_RRS!AB"&amp;1+MATCH(aux_sheet_RRS!$E29,aux_sheet_RRS!$D$2:$D$202,0)))</f>
        <v/>
      </c>
      <c r="U30" s="90" t="str">
        <f ca="1">IF(S30="","",INDIRECT("aux_sheet_RRS!AC"&amp;1+MATCH(aux_sheet_RRS!$E29,aux_sheet_RRS!$D$2:$D$202,0)))</f>
        <v/>
      </c>
      <c r="V30" s="106" t="str">
        <f ca="1">IF($B30="","",INDIRECT("aux_sheet_RRS!AD"&amp;1+MATCH(aux_sheet_RRS!$E29,aux_sheet_RRS!$D$2:$D$202,0)))</f>
        <v/>
      </c>
      <c r="W30" s="89" t="str">
        <f ca="1">IF($B30="","",INDIRECT("aux_sheet_RRS!AE"&amp;1+MATCH(aux_sheet_RRS!$E29,aux_sheet_RRS!$D$2:$D$202,0)))</f>
        <v/>
      </c>
      <c r="X30" s="90" t="str">
        <f ca="1">IF(V30="","",INDIRECT("aux_sheet_RRS!AF"&amp;1+MATCH(aux_sheet_RRS!$E29,aux_sheet_RRS!$D$2:$D$202,0)))</f>
        <v/>
      </c>
      <c r="Y30" s="106" t="str">
        <f ca="1">IF($B30="","",INDIRECT("aux_sheet_RRS!AG"&amp;1+MATCH(aux_sheet_RRS!$E29,aux_sheet_RRS!$D$2:$D$202,0)))</f>
        <v/>
      </c>
      <c r="Z30" s="89" t="str">
        <f ca="1">IF($B30="","",INDIRECT("aux_sheet_RRS!AH"&amp;1+MATCH(aux_sheet_RRS!$E29,aux_sheet_RRS!$D$2:$D$202,0)))</f>
        <v/>
      </c>
      <c r="AA30" s="90" t="str">
        <f ca="1">IF(Y30="","",INDIRECT("aux_sheet_RRS!AI"&amp;1+MATCH(aux_sheet_RRS!$E29,aux_sheet_RRS!$D$2:$D$202,0)))</f>
        <v/>
      </c>
      <c r="AB30" s="88" t="str">
        <f ca="1">IF($B30="","",INDIRECT("aux_sheet_RRS!AJ"&amp;1+MATCH(aux_sheet_RRS!$E29,aux_sheet_RRS!$D$2:$D$202,0)))</f>
        <v/>
      </c>
      <c r="AC30" s="89" t="str">
        <f ca="1">IF($B30="","",INDIRECT("aux_sheet_RRS!AK"&amp;1+MATCH(aux_sheet_RRS!$E29,aux_sheet_RRS!$D$2:$D$202,0)))</f>
        <v/>
      </c>
      <c r="AD30" s="90" t="str">
        <f ca="1">IF(AB30="","",INDIRECT("aux_sheet_RRS!AL"&amp;1+MATCH(aux_sheet_RRS!$E29,aux_sheet_RRS!$D$2:$D$202,0)))</f>
        <v/>
      </c>
      <c r="AE30" s="88" t="str">
        <f ca="1">IF($B30="","",INDIRECT("aux_sheet_RRS!AM"&amp;1+MATCH(aux_sheet_RRS!$E29,aux_sheet_RRS!$D$2:$D$202,0)))</f>
        <v/>
      </c>
      <c r="AF30" s="89" t="str">
        <f ca="1">IF($B30="","",INDIRECT("aux_sheet_RRS!AN"&amp;1+MATCH(aux_sheet_RRS!$E29,aux_sheet_RRS!$D$2:$D$202,0)))</f>
        <v/>
      </c>
      <c r="AG30" s="90" t="str">
        <f ca="1">IF(AE30="","",INDIRECT("aux_sheet_RRS!AO"&amp;1+MATCH(aux_sheet_RRS!$E29,aux_sheet_RRS!$D$2:$D$202,0)))</f>
        <v/>
      </c>
      <c r="AH30" s="14" t="str">
        <f t="shared" ca="1" si="3"/>
        <v/>
      </c>
      <c r="AI30" t="str">
        <f t="shared" ca="1" si="4"/>
        <v/>
      </c>
      <c r="AJ30" t="str">
        <f t="shared" ca="1" si="5"/>
        <v/>
      </c>
    </row>
    <row r="31" spans="1:36" x14ac:dyDescent="0.35">
      <c r="A31" s="2" t="str">
        <f>IF(ISBLANK(Input!A30),"",ROUNDDOWN(aux_sheet_RRS!E30,0))</f>
        <v/>
      </c>
      <c r="B31" s="2" t="str">
        <f ca="1">IF(ISBLANK(Input!A30),"",INDIRECT("Input!A"&amp;1+MATCH(aux_sheet_RRS!$E30,aux_sheet_RRS!$D$2:$D$202,0)))</f>
        <v/>
      </c>
      <c r="C31" s="2" t="str">
        <f ca="1">IF(ISBLANK(Input!B30),"",INDIRECT("Input!B"&amp;1+MATCH(aux_sheet_RRS!$E30,aux_sheet_RRS!$D$2:$D$202,0)))</f>
        <v/>
      </c>
      <c r="D31" s="2" t="str">
        <f ca="1">IF(ISBLANK(Input!C30),"",INDIRECT("Input!C"&amp;1+MATCH(aux_sheet_RRS!$E30,aux_sheet_RRS!$D$2:$D$202,0)))</f>
        <v/>
      </c>
      <c r="E31" s="2" t="str">
        <f ca="1">IF(ISBLANK(Input!D30),"",INDIRECT("Input!D"&amp;1+MATCH(aux_sheet_RRS!$E30,aux_sheet_RRS!$D$2:$D$202,0)))</f>
        <v/>
      </c>
      <c r="F31" s="11" t="str">
        <f ca="1">INDIRECT("Input!H"&amp;1+MATCH(aux_sheet_RRS!$E30,aux_sheet_RRS!$D$2:$D$202,0))</f>
        <v xml:space="preserve"> </v>
      </c>
      <c r="G31" s="88" t="str">
        <f ca="1">IF($B31="","",INDIRECT("aux_sheet_RRS!O"&amp;1+MATCH(aux_sheet_RRS!$E30,aux_sheet_RRS!$D$2:$D$202,0)))</f>
        <v/>
      </c>
      <c r="H31" s="89" t="str">
        <f ca="1">IF($B31="","",INDIRECT("aux_sheet_RRS!P"&amp;1+MATCH(aux_sheet_RRS!$E30,aux_sheet_RRS!$D$2:$D$202,0)))</f>
        <v/>
      </c>
      <c r="I31" s="90" t="str">
        <f ca="1">IF(G31="","",ROUNDDOWN(INDIRECT("aux_sheet_RRS!Q"&amp;1+MATCH(aux_sheet_RRS!$E30,aux_sheet_RRS!$D$2:$D$202,0)),0))</f>
        <v/>
      </c>
      <c r="J31" s="106" t="str">
        <f ca="1">IF($B31="","",INDIRECT("aux_sheet_RRS!R"&amp;1+MATCH(aux_sheet_RRS!$E30,aux_sheet_RRS!$D$2:$D$202,0)))</f>
        <v/>
      </c>
      <c r="K31" s="89" t="str">
        <f ca="1">IF($B31="","",INDIRECT("aux_sheet_RRS!S"&amp;1+MATCH(aux_sheet_RRS!$E30,aux_sheet_RRS!$D$2:$D$202,0)))</f>
        <v/>
      </c>
      <c r="L31" s="90" t="str">
        <f ca="1">IF(J31="","",ROUNDDOWN(INDIRECT("aux_sheet_RRS!T"&amp;1+MATCH(aux_sheet_RRS!$E30,aux_sheet_RRS!$D$2:$D$202,0)),0))</f>
        <v/>
      </c>
      <c r="M31" s="106" t="str">
        <f ca="1">IF($B31="","",INDIRECT("aux_sheet_RRS!U"&amp;1+MATCH(aux_sheet_RRS!$E30,aux_sheet_RRS!$D$2:$D$202,0)))</f>
        <v/>
      </c>
      <c r="N31" s="89" t="str">
        <f ca="1">IF($B31="","",INDIRECT("aux_sheet_RRS!V"&amp;1+MATCH(aux_sheet_RRS!$E30,aux_sheet_RRS!$D$2:$D$202,0)))</f>
        <v/>
      </c>
      <c r="O31" s="90" t="str">
        <f ca="1">IF(M31="","",ROUNDDOWN(INDIRECT("aux_sheet_RRS!W"&amp;1+MATCH(aux_sheet_RRS!$E30,aux_sheet_RRS!$D$2:$D$202,0)),0))</f>
        <v/>
      </c>
      <c r="P31" s="106" t="str">
        <f ca="1">IF($B31="","",INDIRECT("aux_sheet_RRS!X"&amp;1+MATCH(aux_sheet_RRS!$E30,aux_sheet_RRS!$D$2:$D$202,0)))</f>
        <v/>
      </c>
      <c r="Q31" s="89" t="str">
        <f ca="1">IF($B31="","",INDIRECT("aux_sheet_RRS!Y"&amp;1+MATCH(aux_sheet_RRS!$E30,aux_sheet_RRS!$D$2:$D$202,0)))</f>
        <v/>
      </c>
      <c r="R31" s="90" t="str">
        <f ca="1">IF(P31="","",INDIRECT("aux_sheet_RRS!Z"&amp;1+MATCH(aux_sheet_RRS!$E30,aux_sheet_RRS!$D$2:$D$202,0)))</f>
        <v/>
      </c>
      <c r="S31" s="106" t="str">
        <f ca="1">IF($B31="","",INDIRECT("aux_sheet_RRS!AA"&amp;1+MATCH(aux_sheet_RRS!$E30,aux_sheet_RRS!$D$2:$D$202,0)))</f>
        <v/>
      </c>
      <c r="T31" s="89" t="str">
        <f ca="1">IF($B31="","",INDIRECT("aux_sheet_RRS!AB"&amp;1+MATCH(aux_sheet_RRS!$E30,aux_sheet_RRS!$D$2:$D$202,0)))</f>
        <v/>
      </c>
      <c r="U31" s="90" t="str">
        <f ca="1">IF(S31="","",INDIRECT("aux_sheet_RRS!AC"&amp;1+MATCH(aux_sheet_RRS!$E30,aux_sheet_RRS!$D$2:$D$202,0)))</f>
        <v/>
      </c>
      <c r="V31" s="106" t="str">
        <f ca="1">IF($B31="","",INDIRECT("aux_sheet_RRS!AD"&amp;1+MATCH(aux_sheet_RRS!$E30,aux_sheet_RRS!$D$2:$D$202,0)))</f>
        <v/>
      </c>
      <c r="W31" s="89" t="str">
        <f ca="1">IF($B31="","",INDIRECT("aux_sheet_RRS!AE"&amp;1+MATCH(aux_sheet_RRS!$E30,aux_sheet_RRS!$D$2:$D$202,0)))</f>
        <v/>
      </c>
      <c r="X31" s="90" t="str">
        <f ca="1">IF(V31="","",INDIRECT("aux_sheet_RRS!AF"&amp;1+MATCH(aux_sheet_RRS!$E30,aux_sheet_RRS!$D$2:$D$202,0)))</f>
        <v/>
      </c>
      <c r="Y31" s="106" t="str">
        <f ca="1">IF($B31="","",INDIRECT("aux_sheet_RRS!AG"&amp;1+MATCH(aux_sheet_RRS!$E30,aux_sheet_RRS!$D$2:$D$202,0)))</f>
        <v/>
      </c>
      <c r="Z31" s="89" t="str">
        <f ca="1">IF($B31="","",INDIRECT("aux_sheet_RRS!AH"&amp;1+MATCH(aux_sheet_RRS!$E30,aux_sheet_RRS!$D$2:$D$202,0)))</f>
        <v/>
      </c>
      <c r="AA31" s="90" t="str">
        <f ca="1">IF(Y31="","",INDIRECT("aux_sheet_RRS!AI"&amp;1+MATCH(aux_sheet_RRS!$E30,aux_sheet_RRS!$D$2:$D$202,0)))</f>
        <v/>
      </c>
      <c r="AB31" s="88" t="str">
        <f ca="1">IF($B31="","",INDIRECT("aux_sheet_RRS!AJ"&amp;1+MATCH(aux_sheet_RRS!$E30,aux_sheet_RRS!$D$2:$D$202,0)))</f>
        <v/>
      </c>
      <c r="AC31" s="89" t="str">
        <f ca="1">IF($B31="","",INDIRECT("aux_sheet_RRS!AK"&amp;1+MATCH(aux_sheet_RRS!$E30,aux_sheet_RRS!$D$2:$D$202,0)))</f>
        <v/>
      </c>
      <c r="AD31" s="90" t="str">
        <f ca="1">IF(AB31="","",INDIRECT("aux_sheet_RRS!AL"&amp;1+MATCH(aux_sheet_RRS!$E30,aux_sheet_RRS!$D$2:$D$202,0)))</f>
        <v/>
      </c>
      <c r="AE31" s="88" t="str">
        <f ca="1">IF($B31="","",INDIRECT("aux_sheet_RRS!AM"&amp;1+MATCH(aux_sheet_RRS!$E30,aux_sheet_RRS!$D$2:$D$202,0)))</f>
        <v/>
      </c>
      <c r="AF31" s="89" t="str">
        <f ca="1">IF($B31="","",INDIRECT("aux_sheet_RRS!AN"&amp;1+MATCH(aux_sheet_RRS!$E30,aux_sheet_RRS!$D$2:$D$202,0)))</f>
        <v/>
      </c>
      <c r="AG31" s="90" t="str">
        <f ca="1">IF(AE31="","",INDIRECT("aux_sheet_RRS!AO"&amp;1+MATCH(aux_sheet_RRS!$E30,aux_sheet_RRS!$D$2:$D$202,0)))</f>
        <v/>
      </c>
      <c r="AH31" s="14" t="str">
        <f t="shared" ca="1" si="3"/>
        <v/>
      </c>
      <c r="AI31" t="str">
        <f t="shared" ca="1" si="4"/>
        <v/>
      </c>
      <c r="AJ31" t="str">
        <f t="shared" ca="1" si="5"/>
        <v/>
      </c>
    </row>
    <row r="32" spans="1:36" x14ac:dyDescent="0.35">
      <c r="A32" s="2" t="str">
        <f>IF(ISBLANK(Input!A31),"",ROUNDDOWN(aux_sheet_RRS!E31,0))</f>
        <v/>
      </c>
      <c r="B32" s="2" t="str">
        <f ca="1">IF(ISBLANK(Input!A31),"",INDIRECT("Input!A"&amp;1+MATCH(aux_sheet_RRS!$E31,aux_sheet_RRS!$D$2:$D$202,0)))</f>
        <v/>
      </c>
      <c r="C32" s="2" t="str">
        <f ca="1">IF(ISBLANK(Input!B31),"",INDIRECT("Input!B"&amp;1+MATCH(aux_sheet_RRS!$E31,aux_sheet_RRS!$D$2:$D$202,0)))</f>
        <v/>
      </c>
      <c r="D32" s="2" t="str">
        <f ca="1">IF(ISBLANK(Input!C31),"",INDIRECT("Input!C"&amp;1+MATCH(aux_sheet_RRS!$E31,aux_sheet_RRS!$D$2:$D$202,0)))</f>
        <v/>
      </c>
      <c r="E32" s="2" t="str">
        <f ca="1">IF(ISBLANK(Input!D31),"",INDIRECT("Input!D"&amp;1+MATCH(aux_sheet_RRS!$E31,aux_sheet_RRS!$D$2:$D$202,0)))</f>
        <v/>
      </c>
      <c r="F32" s="11" t="str">
        <f ca="1">INDIRECT("Input!H"&amp;1+MATCH(aux_sheet_RRS!$E31,aux_sheet_RRS!$D$2:$D$202,0))</f>
        <v xml:space="preserve"> </v>
      </c>
      <c r="G32" s="88" t="str">
        <f ca="1">IF($B32="","",INDIRECT("aux_sheet_RRS!O"&amp;1+MATCH(aux_sheet_RRS!$E31,aux_sheet_RRS!$D$2:$D$202,0)))</f>
        <v/>
      </c>
      <c r="H32" s="89" t="str">
        <f ca="1">IF($B32="","",INDIRECT("aux_sheet_RRS!P"&amp;1+MATCH(aux_sheet_RRS!$E31,aux_sheet_RRS!$D$2:$D$202,0)))</f>
        <v/>
      </c>
      <c r="I32" s="90" t="str">
        <f ca="1">IF(G32="","",ROUNDDOWN(INDIRECT("aux_sheet_RRS!Q"&amp;1+MATCH(aux_sheet_RRS!$E31,aux_sheet_RRS!$D$2:$D$202,0)),0))</f>
        <v/>
      </c>
      <c r="J32" s="106" t="str">
        <f ca="1">IF($B32="","",INDIRECT("aux_sheet_RRS!R"&amp;1+MATCH(aux_sheet_RRS!$E31,aux_sheet_RRS!$D$2:$D$202,0)))</f>
        <v/>
      </c>
      <c r="K32" s="89" t="str">
        <f ca="1">IF($B32="","",INDIRECT("aux_sheet_RRS!S"&amp;1+MATCH(aux_sheet_RRS!$E31,aux_sheet_RRS!$D$2:$D$202,0)))</f>
        <v/>
      </c>
      <c r="L32" s="90" t="str">
        <f ca="1">IF(J32="","",ROUNDDOWN(INDIRECT("aux_sheet_RRS!T"&amp;1+MATCH(aux_sheet_RRS!$E31,aux_sheet_RRS!$D$2:$D$202,0)),0))</f>
        <v/>
      </c>
      <c r="M32" s="106" t="str">
        <f ca="1">IF($B32="","",INDIRECT("aux_sheet_RRS!U"&amp;1+MATCH(aux_sheet_RRS!$E31,aux_sheet_RRS!$D$2:$D$202,0)))</f>
        <v/>
      </c>
      <c r="N32" s="89" t="str">
        <f ca="1">IF($B32="","",INDIRECT("aux_sheet_RRS!V"&amp;1+MATCH(aux_sheet_RRS!$E31,aux_sheet_RRS!$D$2:$D$202,0)))</f>
        <v/>
      </c>
      <c r="O32" s="90" t="str">
        <f ca="1">IF(M32="","",ROUNDDOWN(INDIRECT("aux_sheet_RRS!W"&amp;1+MATCH(aux_sheet_RRS!$E31,aux_sheet_RRS!$D$2:$D$202,0)),0))</f>
        <v/>
      </c>
      <c r="P32" s="106" t="str">
        <f ca="1">IF($B32="","",INDIRECT("aux_sheet_RRS!X"&amp;1+MATCH(aux_sheet_RRS!$E31,aux_sheet_RRS!$D$2:$D$202,0)))</f>
        <v/>
      </c>
      <c r="Q32" s="89" t="str">
        <f ca="1">IF($B32="","",INDIRECT("aux_sheet_RRS!Y"&amp;1+MATCH(aux_sheet_RRS!$E31,aux_sheet_RRS!$D$2:$D$202,0)))</f>
        <v/>
      </c>
      <c r="R32" s="90" t="str">
        <f ca="1">IF(P32="","",INDIRECT("aux_sheet_RRS!Z"&amp;1+MATCH(aux_sheet_RRS!$E31,aux_sheet_RRS!$D$2:$D$202,0)))</f>
        <v/>
      </c>
      <c r="S32" s="106" t="str">
        <f ca="1">IF($B32="","",INDIRECT("aux_sheet_RRS!AA"&amp;1+MATCH(aux_sheet_RRS!$E31,aux_sheet_RRS!$D$2:$D$202,0)))</f>
        <v/>
      </c>
      <c r="T32" s="89" t="str">
        <f ca="1">IF($B32="","",INDIRECT("aux_sheet_RRS!AB"&amp;1+MATCH(aux_sheet_RRS!$E31,aux_sheet_RRS!$D$2:$D$202,0)))</f>
        <v/>
      </c>
      <c r="U32" s="90" t="str">
        <f ca="1">IF(S32="","",INDIRECT("aux_sheet_RRS!AC"&amp;1+MATCH(aux_sheet_RRS!$E31,aux_sheet_RRS!$D$2:$D$202,0)))</f>
        <v/>
      </c>
      <c r="V32" s="106" t="str">
        <f ca="1">IF($B32="","",INDIRECT("aux_sheet_RRS!AD"&amp;1+MATCH(aux_sheet_RRS!$E31,aux_sheet_RRS!$D$2:$D$202,0)))</f>
        <v/>
      </c>
      <c r="W32" s="89" t="str">
        <f ca="1">IF($B32="","",INDIRECT("aux_sheet_RRS!AE"&amp;1+MATCH(aux_sheet_RRS!$E31,aux_sheet_RRS!$D$2:$D$202,0)))</f>
        <v/>
      </c>
      <c r="X32" s="90" t="str">
        <f ca="1">IF(V32="","",INDIRECT("aux_sheet_RRS!AF"&amp;1+MATCH(aux_sheet_RRS!$E31,aux_sheet_RRS!$D$2:$D$202,0)))</f>
        <v/>
      </c>
      <c r="Y32" s="106" t="str">
        <f ca="1">IF($B32="","",INDIRECT("aux_sheet_RRS!AG"&amp;1+MATCH(aux_sheet_RRS!$E31,aux_sheet_RRS!$D$2:$D$202,0)))</f>
        <v/>
      </c>
      <c r="Z32" s="89" t="str">
        <f ca="1">IF($B32="","",INDIRECT("aux_sheet_RRS!AH"&amp;1+MATCH(aux_sheet_RRS!$E31,aux_sheet_RRS!$D$2:$D$202,0)))</f>
        <v/>
      </c>
      <c r="AA32" s="90" t="str">
        <f ca="1">IF(Y32="","",INDIRECT("aux_sheet_RRS!AI"&amp;1+MATCH(aux_sheet_RRS!$E31,aux_sheet_RRS!$D$2:$D$202,0)))</f>
        <v/>
      </c>
      <c r="AB32" s="88" t="str">
        <f ca="1">IF($B32="","",INDIRECT("aux_sheet_RRS!AJ"&amp;1+MATCH(aux_sheet_RRS!$E31,aux_sheet_RRS!$D$2:$D$202,0)))</f>
        <v/>
      </c>
      <c r="AC32" s="89" t="str">
        <f ca="1">IF($B32="","",INDIRECT("aux_sheet_RRS!AK"&amp;1+MATCH(aux_sheet_RRS!$E31,aux_sheet_RRS!$D$2:$D$202,0)))</f>
        <v/>
      </c>
      <c r="AD32" s="90" t="str">
        <f ca="1">IF(AB32="","",INDIRECT("aux_sheet_RRS!AL"&amp;1+MATCH(aux_sheet_RRS!$E31,aux_sheet_RRS!$D$2:$D$202,0)))</f>
        <v/>
      </c>
      <c r="AE32" s="88" t="str">
        <f ca="1">IF($B32="","",INDIRECT("aux_sheet_RRS!AM"&amp;1+MATCH(aux_sheet_RRS!$E31,aux_sheet_RRS!$D$2:$D$202,0)))</f>
        <v/>
      </c>
      <c r="AF32" s="89" t="str">
        <f ca="1">IF($B32="","",INDIRECT("aux_sheet_RRS!AN"&amp;1+MATCH(aux_sheet_RRS!$E31,aux_sheet_RRS!$D$2:$D$202,0)))</f>
        <v/>
      </c>
      <c r="AG32" s="90" t="str">
        <f ca="1">IF(AE32="","",INDIRECT("aux_sheet_RRS!AO"&amp;1+MATCH(aux_sheet_RRS!$E31,aux_sheet_RRS!$D$2:$D$202,0)))</f>
        <v/>
      </c>
      <c r="AH32" s="14" t="str">
        <f t="shared" ca="1" si="3"/>
        <v/>
      </c>
      <c r="AI32" t="str">
        <f t="shared" ca="1" si="4"/>
        <v/>
      </c>
      <c r="AJ32" t="str">
        <f t="shared" ca="1" si="5"/>
        <v/>
      </c>
    </row>
    <row r="33" spans="1:36" x14ac:dyDescent="0.35">
      <c r="A33" s="2" t="str">
        <f>IF(ISBLANK(Input!A32),"",ROUNDDOWN(aux_sheet_RRS!E32,0))</f>
        <v/>
      </c>
      <c r="B33" s="2" t="str">
        <f ca="1">IF(ISBLANK(Input!A32),"",INDIRECT("Input!A"&amp;1+MATCH(aux_sheet_RRS!$E32,aux_sheet_RRS!$D$2:$D$202,0)))</f>
        <v/>
      </c>
      <c r="C33" s="2" t="str">
        <f ca="1">IF(ISBLANK(Input!B32),"",INDIRECT("Input!B"&amp;1+MATCH(aux_sheet_RRS!$E32,aux_sheet_RRS!$D$2:$D$202,0)))</f>
        <v/>
      </c>
      <c r="D33" s="2" t="str">
        <f ca="1">IF(ISBLANK(Input!C32),"",INDIRECT("Input!C"&amp;1+MATCH(aux_sheet_RRS!$E32,aux_sheet_RRS!$D$2:$D$202,0)))</f>
        <v/>
      </c>
      <c r="E33" s="2" t="str">
        <f ca="1">IF(ISBLANK(Input!D32),"",INDIRECT("Input!D"&amp;1+MATCH(aux_sheet_RRS!$E32,aux_sheet_RRS!$D$2:$D$202,0)))</f>
        <v/>
      </c>
      <c r="F33" s="11" t="str">
        <f ca="1">INDIRECT("Input!H"&amp;1+MATCH(aux_sheet_RRS!$E32,aux_sheet_RRS!$D$2:$D$202,0))</f>
        <v xml:space="preserve"> </v>
      </c>
      <c r="G33" s="88" t="str">
        <f ca="1">IF($B33="","",INDIRECT("aux_sheet_RRS!O"&amp;1+MATCH(aux_sheet_RRS!$E32,aux_sheet_RRS!$D$2:$D$202,0)))</f>
        <v/>
      </c>
      <c r="H33" s="89" t="str">
        <f ca="1">IF($B33="","",INDIRECT("aux_sheet_RRS!P"&amp;1+MATCH(aux_sheet_RRS!$E32,aux_sheet_RRS!$D$2:$D$202,0)))</f>
        <v/>
      </c>
      <c r="I33" s="90" t="str">
        <f ca="1">IF(G33="","",ROUNDDOWN(INDIRECT("aux_sheet_RRS!Q"&amp;1+MATCH(aux_sheet_RRS!$E32,aux_sheet_RRS!$D$2:$D$202,0)),0))</f>
        <v/>
      </c>
      <c r="J33" s="106" t="str">
        <f ca="1">IF($B33="","",INDIRECT("aux_sheet_RRS!R"&amp;1+MATCH(aux_sheet_RRS!$E32,aux_sheet_RRS!$D$2:$D$202,0)))</f>
        <v/>
      </c>
      <c r="K33" s="89" t="str">
        <f ca="1">IF($B33="","",INDIRECT("aux_sheet_RRS!S"&amp;1+MATCH(aux_sheet_RRS!$E32,aux_sheet_RRS!$D$2:$D$202,0)))</f>
        <v/>
      </c>
      <c r="L33" s="90" t="str">
        <f ca="1">IF(J33="","",ROUNDDOWN(INDIRECT("aux_sheet_RRS!T"&amp;1+MATCH(aux_sheet_RRS!$E32,aux_sheet_RRS!$D$2:$D$202,0)),0))</f>
        <v/>
      </c>
      <c r="M33" s="106" t="str">
        <f ca="1">IF($B33="","",INDIRECT("aux_sheet_RRS!U"&amp;1+MATCH(aux_sheet_RRS!$E32,aux_sheet_RRS!$D$2:$D$202,0)))</f>
        <v/>
      </c>
      <c r="N33" s="89" t="str">
        <f ca="1">IF($B33="","",INDIRECT("aux_sheet_RRS!V"&amp;1+MATCH(aux_sheet_RRS!$E32,aux_sheet_RRS!$D$2:$D$202,0)))</f>
        <v/>
      </c>
      <c r="O33" s="90" t="str">
        <f ca="1">IF(M33="","",ROUNDDOWN(INDIRECT("aux_sheet_RRS!W"&amp;1+MATCH(aux_sheet_RRS!$E32,aux_sheet_RRS!$D$2:$D$202,0)),0))</f>
        <v/>
      </c>
      <c r="P33" s="106" t="str">
        <f ca="1">IF($B33="","",INDIRECT("aux_sheet_RRS!X"&amp;1+MATCH(aux_sheet_RRS!$E32,aux_sheet_RRS!$D$2:$D$202,0)))</f>
        <v/>
      </c>
      <c r="Q33" s="89" t="str">
        <f ca="1">IF($B33="","",INDIRECT("aux_sheet_RRS!Y"&amp;1+MATCH(aux_sheet_RRS!$E32,aux_sheet_RRS!$D$2:$D$202,0)))</f>
        <v/>
      </c>
      <c r="R33" s="90" t="str">
        <f ca="1">IF(P33="","",INDIRECT("aux_sheet_RRS!Z"&amp;1+MATCH(aux_sheet_RRS!$E32,aux_sheet_RRS!$D$2:$D$202,0)))</f>
        <v/>
      </c>
      <c r="S33" s="106" t="str">
        <f ca="1">IF($B33="","",INDIRECT("aux_sheet_RRS!AA"&amp;1+MATCH(aux_sheet_RRS!$E32,aux_sheet_RRS!$D$2:$D$202,0)))</f>
        <v/>
      </c>
      <c r="T33" s="89" t="str">
        <f ca="1">IF($B33="","",INDIRECT("aux_sheet_RRS!AB"&amp;1+MATCH(aux_sheet_RRS!$E32,aux_sheet_RRS!$D$2:$D$202,0)))</f>
        <v/>
      </c>
      <c r="U33" s="90" t="str">
        <f ca="1">IF(S33="","",INDIRECT("aux_sheet_RRS!AC"&amp;1+MATCH(aux_sheet_RRS!$E32,aux_sheet_RRS!$D$2:$D$202,0)))</f>
        <v/>
      </c>
      <c r="V33" s="106" t="str">
        <f ca="1">IF($B33="","",INDIRECT("aux_sheet_RRS!AD"&amp;1+MATCH(aux_sheet_RRS!$E32,aux_sheet_RRS!$D$2:$D$202,0)))</f>
        <v/>
      </c>
      <c r="W33" s="89" t="str">
        <f ca="1">IF($B33="","",INDIRECT("aux_sheet_RRS!AE"&amp;1+MATCH(aux_sheet_RRS!$E32,aux_sheet_RRS!$D$2:$D$202,0)))</f>
        <v/>
      </c>
      <c r="X33" s="90" t="str">
        <f ca="1">IF(V33="","",INDIRECT("aux_sheet_RRS!AF"&amp;1+MATCH(aux_sheet_RRS!$E32,aux_sheet_RRS!$D$2:$D$202,0)))</f>
        <v/>
      </c>
      <c r="Y33" s="106" t="str">
        <f ca="1">IF($B33="","",INDIRECT("aux_sheet_RRS!AG"&amp;1+MATCH(aux_sheet_RRS!$E32,aux_sheet_RRS!$D$2:$D$202,0)))</f>
        <v/>
      </c>
      <c r="Z33" s="89" t="str">
        <f ca="1">IF($B33="","",INDIRECT("aux_sheet_RRS!AH"&amp;1+MATCH(aux_sheet_RRS!$E32,aux_sheet_RRS!$D$2:$D$202,0)))</f>
        <v/>
      </c>
      <c r="AA33" s="90" t="str">
        <f ca="1">IF(Y33="","",INDIRECT("aux_sheet_RRS!AI"&amp;1+MATCH(aux_sheet_RRS!$E32,aux_sheet_RRS!$D$2:$D$202,0)))</f>
        <v/>
      </c>
      <c r="AB33" s="88" t="str">
        <f ca="1">IF($B33="","",INDIRECT("aux_sheet_RRS!AJ"&amp;1+MATCH(aux_sheet_RRS!$E32,aux_sheet_RRS!$D$2:$D$202,0)))</f>
        <v/>
      </c>
      <c r="AC33" s="89" t="str">
        <f ca="1">IF($B33="","",INDIRECT("aux_sheet_RRS!AK"&amp;1+MATCH(aux_sheet_RRS!$E32,aux_sheet_RRS!$D$2:$D$202,0)))</f>
        <v/>
      </c>
      <c r="AD33" s="90" t="str">
        <f ca="1">IF(AB33="","",INDIRECT("aux_sheet_RRS!AL"&amp;1+MATCH(aux_sheet_RRS!$E32,aux_sheet_RRS!$D$2:$D$202,0)))</f>
        <v/>
      </c>
      <c r="AE33" s="88" t="str">
        <f ca="1">IF($B33="","",INDIRECT("aux_sheet_RRS!AM"&amp;1+MATCH(aux_sheet_RRS!$E32,aux_sheet_RRS!$D$2:$D$202,0)))</f>
        <v/>
      </c>
      <c r="AF33" s="89" t="str">
        <f ca="1">IF($B33="","",INDIRECT("aux_sheet_RRS!AN"&amp;1+MATCH(aux_sheet_RRS!$E32,aux_sheet_RRS!$D$2:$D$202,0)))</f>
        <v/>
      </c>
      <c r="AG33" s="90" t="str">
        <f ca="1">IF(AE33="","",INDIRECT("aux_sheet_RRS!AO"&amp;1+MATCH(aux_sheet_RRS!$E32,aux_sheet_RRS!$D$2:$D$202,0)))</f>
        <v/>
      </c>
      <c r="AH33" s="14" t="str">
        <f t="shared" ca="1" si="3"/>
        <v/>
      </c>
      <c r="AI33" t="str">
        <f t="shared" ca="1" si="4"/>
        <v/>
      </c>
      <c r="AJ33" t="str">
        <f t="shared" ca="1" si="5"/>
        <v/>
      </c>
    </row>
    <row r="34" spans="1:36" x14ac:dyDescent="0.35">
      <c r="A34" s="2" t="str">
        <f>IF(ISBLANK(Input!A33),"",ROUNDDOWN(aux_sheet_RRS!E33,0))</f>
        <v/>
      </c>
      <c r="B34" s="2" t="str">
        <f ca="1">IF(ISBLANK(Input!A33),"",INDIRECT("Input!A"&amp;1+MATCH(aux_sheet_RRS!$E33,aux_sheet_RRS!$D$2:$D$202,0)))</f>
        <v/>
      </c>
      <c r="C34" s="2" t="str">
        <f ca="1">IF(ISBLANK(Input!B33),"",INDIRECT("Input!B"&amp;1+MATCH(aux_sheet_RRS!$E33,aux_sheet_RRS!$D$2:$D$202,0)))</f>
        <v/>
      </c>
      <c r="D34" s="2" t="str">
        <f ca="1">IF(ISBLANK(Input!C33),"",INDIRECT("Input!C"&amp;1+MATCH(aux_sheet_RRS!$E33,aux_sheet_RRS!$D$2:$D$202,0)))</f>
        <v/>
      </c>
      <c r="E34" s="2" t="str">
        <f ca="1">IF(ISBLANK(Input!D33),"",INDIRECT("Input!D"&amp;1+MATCH(aux_sheet_RRS!$E33,aux_sheet_RRS!$D$2:$D$202,0)))</f>
        <v/>
      </c>
      <c r="F34" s="11" t="str">
        <f ca="1">INDIRECT("Input!H"&amp;1+MATCH(aux_sheet_RRS!$E33,aux_sheet_RRS!$D$2:$D$202,0))</f>
        <v xml:space="preserve"> </v>
      </c>
      <c r="G34" s="88" t="str">
        <f ca="1">IF($B34="","",INDIRECT("aux_sheet_RRS!O"&amp;1+MATCH(aux_sheet_RRS!$E33,aux_sheet_RRS!$D$2:$D$202,0)))</f>
        <v/>
      </c>
      <c r="H34" s="89" t="str">
        <f ca="1">IF($B34="","",INDIRECT("aux_sheet_RRS!P"&amp;1+MATCH(aux_sheet_RRS!$E33,aux_sheet_RRS!$D$2:$D$202,0)))</f>
        <v/>
      </c>
      <c r="I34" s="90" t="str">
        <f ca="1">IF(G34="","",ROUNDDOWN(INDIRECT("aux_sheet_RRS!Q"&amp;1+MATCH(aux_sheet_RRS!$E33,aux_sheet_RRS!$D$2:$D$202,0)),0))</f>
        <v/>
      </c>
      <c r="J34" s="106" t="str">
        <f ca="1">IF($B34="","",INDIRECT("aux_sheet_RRS!R"&amp;1+MATCH(aux_sheet_RRS!$E33,aux_sheet_RRS!$D$2:$D$202,0)))</f>
        <v/>
      </c>
      <c r="K34" s="89" t="str">
        <f ca="1">IF($B34="","",INDIRECT("aux_sheet_RRS!S"&amp;1+MATCH(aux_sheet_RRS!$E33,aux_sheet_RRS!$D$2:$D$202,0)))</f>
        <v/>
      </c>
      <c r="L34" s="90" t="str">
        <f ca="1">IF(J34="","",ROUNDDOWN(INDIRECT("aux_sheet_RRS!T"&amp;1+MATCH(aux_sheet_RRS!$E33,aux_sheet_RRS!$D$2:$D$202,0)),0))</f>
        <v/>
      </c>
      <c r="M34" s="106" t="str">
        <f ca="1">IF($B34="","",INDIRECT("aux_sheet_RRS!U"&amp;1+MATCH(aux_sheet_RRS!$E33,aux_sheet_RRS!$D$2:$D$202,0)))</f>
        <v/>
      </c>
      <c r="N34" s="89" t="str">
        <f ca="1">IF($B34="","",INDIRECT("aux_sheet_RRS!V"&amp;1+MATCH(aux_sheet_RRS!$E33,aux_sheet_RRS!$D$2:$D$202,0)))</f>
        <v/>
      </c>
      <c r="O34" s="90" t="str">
        <f ca="1">IF(M34="","",ROUNDDOWN(INDIRECT("aux_sheet_RRS!W"&amp;1+MATCH(aux_sheet_RRS!$E33,aux_sheet_RRS!$D$2:$D$202,0)),0))</f>
        <v/>
      </c>
      <c r="P34" s="106" t="str">
        <f ca="1">IF($B34="","",INDIRECT("aux_sheet_RRS!X"&amp;1+MATCH(aux_sheet_RRS!$E33,aux_sheet_RRS!$D$2:$D$202,0)))</f>
        <v/>
      </c>
      <c r="Q34" s="89" t="str">
        <f ca="1">IF($B34="","",INDIRECT("aux_sheet_RRS!Y"&amp;1+MATCH(aux_sheet_RRS!$E33,aux_sheet_RRS!$D$2:$D$202,0)))</f>
        <v/>
      </c>
      <c r="R34" s="90" t="str">
        <f ca="1">IF(P34="","",INDIRECT("aux_sheet_RRS!Z"&amp;1+MATCH(aux_sheet_RRS!$E33,aux_sheet_RRS!$D$2:$D$202,0)))</f>
        <v/>
      </c>
      <c r="S34" s="106" t="str">
        <f ca="1">IF($B34="","",INDIRECT("aux_sheet_RRS!AA"&amp;1+MATCH(aux_sheet_RRS!$E33,aux_sheet_RRS!$D$2:$D$202,0)))</f>
        <v/>
      </c>
      <c r="T34" s="89" t="str">
        <f ca="1">IF($B34="","",INDIRECT("aux_sheet_RRS!AB"&amp;1+MATCH(aux_sheet_RRS!$E33,aux_sheet_RRS!$D$2:$D$202,0)))</f>
        <v/>
      </c>
      <c r="U34" s="90" t="str">
        <f ca="1">IF(S34="","",INDIRECT("aux_sheet_RRS!AC"&amp;1+MATCH(aux_sheet_RRS!$E33,aux_sheet_RRS!$D$2:$D$202,0)))</f>
        <v/>
      </c>
      <c r="V34" s="106" t="str">
        <f ca="1">IF($B34="","",INDIRECT("aux_sheet_RRS!AD"&amp;1+MATCH(aux_sheet_RRS!$E33,aux_sheet_RRS!$D$2:$D$202,0)))</f>
        <v/>
      </c>
      <c r="W34" s="89" t="str">
        <f ca="1">IF($B34="","",INDIRECT("aux_sheet_RRS!AE"&amp;1+MATCH(aux_sheet_RRS!$E33,aux_sheet_RRS!$D$2:$D$202,0)))</f>
        <v/>
      </c>
      <c r="X34" s="90" t="str">
        <f ca="1">IF(V34="","",INDIRECT("aux_sheet_RRS!AF"&amp;1+MATCH(aux_sheet_RRS!$E33,aux_sheet_RRS!$D$2:$D$202,0)))</f>
        <v/>
      </c>
      <c r="Y34" s="106" t="str">
        <f ca="1">IF($B34="","",INDIRECT("aux_sheet_RRS!AG"&amp;1+MATCH(aux_sheet_RRS!$E33,aux_sheet_RRS!$D$2:$D$202,0)))</f>
        <v/>
      </c>
      <c r="Z34" s="89" t="str">
        <f ca="1">IF($B34="","",INDIRECT("aux_sheet_RRS!AH"&amp;1+MATCH(aux_sheet_RRS!$E33,aux_sheet_RRS!$D$2:$D$202,0)))</f>
        <v/>
      </c>
      <c r="AA34" s="90" t="str">
        <f ca="1">IF(Y34="","",INDIRECT("aux_sheet_RRS!AI"&amp;1+MATCH(aux_sheet_RRS!$E33,aux_sheet_RRS!$D$2:$D$202,0)))</f>
        <v/>
      </c>
      <c r="AB34" s="88" t="str">
        <f ca="1">IF($B34="","",INDIRECT("aux_sheet_RRS!AJ"&amp;1+MATCH(aux_sheet_RRS!$E33,aux_sheet_RRS!$D$2:$D$202,0)))</f>
        <v/>
      </c>
      <c r="AC34" s="89" t="str">
        <f ca="1">IF($B34="","",INDIRECT("aux_sheet_RRS!AK"&amp;1+MATCH(aux_sheet_RRS!$E33,aux_sheet_RRS!$D$2:$D$202,0)))</f>
        <v/>
      </c>
      <c r="AD34" s="90" t="str">
        <f ca="1">IF(AB34="","",INDIRECT("aux_sheet_RRS!AL"&amp;1+MATCH(aux_sheet_RRS!$E33,aux_sheet_RRS!$D$2:$D$202,0)))</f>
        <v/>
      </c>
      <c r="AE34" s="88" t="str">
        <f ca="1">IF($B34="","",INDIRECT("aux_sheet_RRS!AM"&amp;1+MATCH(aux_sheet_RRS!$E33,aux_sheet_RRS!$D$2:$D$202,0)))</f>
        <v/>
      </c>
      <c r="AF34" s="89" t="str">
        <f ca="1">IF($B34="","",INDIRECT("aux_sheet_RRS!AN"&amp;1+MATCH(aux_sheet_RRS!$E33,aux_sheet_RRS!$D$2:$D$202,0)))</f>
        <v/>
      </c>
      <c r="AG34" s="90" t="str">
        <f ca="1">IF(AE34="","",INDIRECT("aux_sheet_RRS!AO"&amp;1+MATCH(aux_sheet_RRS!$E33,aux_sheet_RRS!$D$2:$D$202,0)))</f>
        <v/>
      </c>
      <c r="AH34" s="14" t="str">
        <f t="shared" ca="1" si="3"/>
        <v/>
      </c>
      <c r="AI34" t="str">
        <f t="shared" ca="1" si="4"/>
        <v/>
      </c>
      <c r="AJ34" t="str">
        <f t="shared" ca="1" si="5"/>
        <v/>
      </c>
    </row>
    <row r="35" spans="1:36" x14ac:dyDescent="0.35">
      <c r="A35" s="2" t="str">
        <f>IF(ISBLANK(Input!A34),"",ROUNDDOWN(aux_sheet_RRS!E34,0))</f>
        <v/>
      </c>
      <c r="B35" s="2" t="str">
        <f ca="1">IF(ISBLANK(Input!A34),"",INDIRECT("Input!A"&amp;1+MATCH(aux_sheet_RRS!$E34,aux_sheet_RRS!$D$2:$D$202,0)))</f>
        <v/>
      </c>
      <c r="C35" s="2" t="str">
        <f ca="1">IF(ISBLANK(Input!B34),"",INDIRECT("Input!B"&amp;1+MATCH(aux_sheet_RRS!$E34,aux_sheet_RRS!$D$2:$D$202,0)))</f>
        <v/>
      </c>
      <c r="D35" s="2" t="str">
        <f ca="1">IF(ISBLANK(Input!C34),"",INDIRECT("Input!C"&amp;1+MATCH(aux_sheet_RRS!$E34,aux_sheet_RRS!$D$2:$D$202,0)))</f>
        <v/>
      </c>
      <c r="E35" s="2" t="str">
        <f ca="1">IF(ISBLANK(Input!D34),"",INDIRECT("Input!D"&amp;1+MATCH(aux_sheet_RRS!$E34,aux_sheet_RRS!$D$2:$D$202,0)))</f>
        <v/>
      </c>
      <c r="F35" s="11" t="str">
        <f ca="1">INDIRECT("Input!H"&amp;1+MATCH(aux_sheet_RRS!$E34,aux_sheet_RRS!$D$2:$D$202,0))</f>
        <v xml:space="preserve"> </v>
      </c>
      <c r="G35" s="88" t="str">
        <f ca="1">IF($B35="","",INDIRECT("aux_sheet_RRS!O"&amp;1+MATCH(aux_sheet_RRS!$E34,aux_sheet_RRS!$D$2:$D$202,0)))</f>
        <v/>
      </c>
      <c r="H35" s="89" t="str">
        <f ca="1">IF($B35="","",INDIRECT("aux_sheet_RRS!P"&amp;1+MATCH(aux_sheet_RRS!$E34,aux_sheet_RRS!$D$2:$D$202,0)))</f>
        <v/>
      </c>
      <c r="I35" s="90" t="str">
        <f ca="1">IF(G35="","",ROUNDDOWN(INDIRECT("aux_sheet_RRS!Q"&amp;1+MATCH(aux_sheet_RRS!$E34,aux_sheet_RRS!$D$2:$D$202,0)),0))</f>
        <v/>
      </c>
      <c r="J35" s="106" t="str">
        <f ca="1">IF($B35="","",INDIRECT("aux_sheet_RRS!R"&amp;1+MATCH(aux_sheet_RRS!$E34,aux_sheet_RRS!$D$2:$D$202,0)))</f>
        <v/>
      </c>
      <c r="K35" s="89" t="str">
        <f ca="1">IF($B35="","",INDIRECT("aux_sheet_RRS!S"&amp;1+MATCH(aux_sheet_RRS!$E34,aux_sheet_RRS!$D$2:$D$202,0)))</f>
        <v/>
      </c>
      <c r="L35" s="90" t="str">
        <f ca="1">IF(J35="","",ROUNDDOWN(INDIRECT("aux_sheet_RRS!T"&amp;1+MATCH(aux_sheet_RRS!$E34,aux_sheet_RRS!$D$2:$D$202,0)),0))</f>
        <v/>
      </c>
      <c r="M35" s="106" t="str">
        <f ca="1">IF($B35="","",INDIRECT("aux_sheet_RRS!U"&amp;1+MATCH(aux_sheet_RRS!$E34,aux_sheet_RRS!$D$2:$D$202,0)))</f>
        <v/>
      </c>
      <c r="N35" s="89" t="str">
        <f ca="1">IF($B35="","",INDIRECT("aux_sheet_RRS!V"&amp;1+MATCH(aux_sheet_RRS!$E34,aux_sheet_RRS!$D$2:$D$202,0)))</f>
        <v/>
      </c>
      <c r="O35" s="90" t="str">
        <f ca="1">IF(M35="","",ROUNDDOWN(INDIRECT("aux_sheet_RRS!W"&amp;1+MATCH(aux_sheet_RRS!$E34,aux_sheet_RRS!$D$2:$D$202,0)),0))</f>
        <v/>
      </c>
      <c r="P35" s="106" t="str">
        <f ca="1">IF($B35="","",INDIRECT("aux_sheet_RRS!X"&amp;1+MATCH(aux_sheet_RRS!$E34,aux_sheet_RRS!$D$2:$D$202,0)))</f>
        <v/>
      </c>
      <c r="Q35" s="89" t="str">
        <f ca="1">IF($B35="","",INDIRECT("aux_sheet_RRS!Y"&amp;1+MATCH(aux_sheet_RRS!$E34,aux_sheet_RRS!$D$2:$D$202,0)))</f>
        <v/>
      </c>
      <c r="R35" s="90" t="str">
        <f ca="1">IF(P35="","",INDIRECT("aux_sheet_RRS!Z"&amp;1+MATCH(aux_sheet_RRS!$E34,aux_sheet_RRS!$D$2:$D$202,0)))</f>
        <v/>
      </c>
      <c r="S35" s="106" t="str">
        <f ca="1">IF($B35="","",INDIRECT("aux_sheet_RRS!AA"&amp;1+MATCH(aux_sheet_RRS!$E34,aux_sheet_RRS!$D$2:$D$202,0)))</f>
        <v/>
      </c>
      <c r="T35" s="89" t="str">
        <f ca="1">IF($B35="","",INDIRECT("aux_sheet_RRS!AB"&amp;1+MATCH(aux_sheet_RRS!$E34,aux_sheet_RRS!$D$2:$D$202,0)))</f>
        <v/>
      </c>
      <c r="U35" s="90" t="str">
        <f ca="1">IF(S35="","",INDIRECT("aux_sheet_RRS!AC"&amp;1+MATCH(aux_sheet_RRS!$E34,aux_sheet_RRS!$D$2:$D$202,0)))</f>
        <v/>
      </c>
      <c r="V35" s="106" t="str">
        <f ca="1">IF($B35="","",INDIRECT("aux_sheet_RRS!AD"&amp;1+MATCH(aux_sheet_RRS!$E34,aux_sheet_RRS!$D$2:$D$202,0)))</f>
        <v/>
      </c>
      <c r="W35" s="89" t="str">
        <f ca="1">IF($B35="","",INDIRECT("aux_sheet_RRS!AE"&amp;1+MATCH(aux_sheet_RRS!$E34,aux_sheet_RRS!$D$2:$D$202,0)))</f>
        <v/>
      </c>
      <c r="X35" s="90" t="str">
        <f ca="1">IF(V35="","",INDIRECT("aux_sheet_RRS!AF"&amp;1+MATCH(aux_sheet_RRS!$E34,aux_sheet_RRS!$D$2:$D$202,0)))</f>
        <v/>
      </c>
      <c r="Y35" s="106" t="str">
        <f ca="1">IF($B35="","",INDIRECT("aux_sheet_RRS!AG"&amp;1+MATCH(aux_sheet_RRS!$E34,aux_sheet_RRS!$D$2:$D$202,0)))</f>
        <v/>
      </c>
      <c r="Z35" s="89" t="str">
        <f ca="1">IF($B35="","",INDIRECT("aux_sheet_RRS!AH"&amp;1+MATCH(aux_sheet_RRS!$E34,aux_sheet_RRS!$D$2:$D$202,0)))</f>
        <v/>
      </c>
      <c r="AA35" s="90" t="str">
        <f ca="1">IF(Y35="","",INDIRECT("aux_sheet_RRS!AI"&amp;1+MATCH(aux_sheet_RRS!$E34,aux_sheet_RRS!$D$2:$D$202,0)))</f>
        <v/>
      </c>
      <c r="AB35" s="88" t="str">
        <f ca="1">IF($B35="","",INDIRECT("aux_sheet_RRS!AJ"&amp;1+MATCH(aux_sheet_RRS!$E34,aux_sheet_RRS!$D$2:$D$202,0)))</f>
        <v/>
      </c>
      <c r="AC35" s="89" t="str">
        <f ca="1">IF($B35="","",INDIRECT("aux_sheet_RRS!AK"&amp;1+MATCH(aux_sheet_RRS!$E34,aux_sheet_RRS!$D$2:$D$202,0)))</f>
        <v/>
      </c>
      <c r="AD35" s="90" t="str">
        <f ca="1">IF(AB35="","",INDIRECT("aux_sheet_RRS!AL"&amp;1+MATCH(aux_sheet_RRS!$E34,aux_sheet_RRS!$D$2:$D$202,0)))</f>
        <v/>
      </c>
      <c r="AE35" s="88" t="str">
        <f ca="1">IF($B35="","",INDIRECT("aux_sheet_RRS!AM"&amp;1+MATCH(aux_sheet_RRS!$E34,aux_sheet_RRS!$D$2:$D$202,0)))</f>
        <v/>
      </c>
      <c r="AF35" s="89" t="str">
        <f ca="1">IF($B35="","",INDIRECT("aux_sheet_RRS!AN"&amp;1+MATCH(aux_sheet_RRS!$E34,aux_sheet_RRS!$D$2:$D$202,0)))</f>
        <v/>
      </c>
      <c r="AG35" s="90" t="str">
        <f ca="1">IF(AE35="","",INDIRECT("aux_sheet_RRS!AO"&amp;1+MATCH(aux_sheet_RRS!$E34,aux_sheet_RRS!$D$2:$D$202,0)))</f>
        <v/>
      </c>
      <c r="AH35" s="14" t="str">
        <f t="shared" ca="1" si="3"/>
        <v/>
      </c>
      <c r="AI35" t="str">
        <f t="shared" ca="1" si="4"/>
        <v/>
      </c>
      <c r="AJ35" t="str">
        <f t="shared" ca="1" si="5"/>
        <v/>
      </c>
    </row>
    <row r="36" spans="1:36" x14ac:dyDescent="0.35">
      <c r="A36" s="2" t="str">
        <f>IF(ISBLANK(Input!A35),"",ROUNDDOWN(aux_sheet_RRS!E35,0))</f>
        <v/>
      </c>
      <c r="B36" s="2" t="str">
        <f ca="1">IF(ISBLANK(Input!A35),"",INDIRECT("Input!A"&amp;1+MATCH(aux_sheet_RRS!$E35,aux_sheet_RRS!$D$2:$D$202,0)))</f>
        <v/>
      </c>
      <c r="C36" s="2" t="str">
        <f ca="1">IF(ISBLANK(Input!B35),"",INDIRECT("Input!B"&amp;1+MATCH(aux_sheet_RRS!$E35,aux_sheet_RRS!$D$2:$D$202,0)))</f>
        <v/>
      </c>
      <c r="D36" s="2" t="str">
        <f ca="1">IF(ISBLANK(Input!C35),"",INDIRECT("Input!C"&amp;1+MATCH(aux_sheet_RRS!$E35,aux_sheet_RRS!$D$2:$D$202,0)))</f>
        <v/>
      </c>
      <c r="E36" s="2" t="str">
        <f ca="1">IF(ISBLANK(Input!D35),"",INDIRECT("Input!D"&amp;1+MATCH(aux_sheet_RRS!$E35,aux_sheet_RRS!$D$2:$D$202,0)))</f>
        <v/>
      </c>
      <c r="F36" s="11" t="str">
        <f ca="1">INDIRECT("Input!H"&amp;1+MATCH(aux_sheet_RRS!$E35,aux_sheet_RRS!$D$2:$D$202,0))</f>
        <v xml:space="preserve"> </v>
      </c>
      <c r="G36" s="88" t="str">
        <f ca="1">IF($B36="","",INDIRECT("aux_sheet_RRS!O"&amp;1+MATCH(aux_sheet_RRS!$E35,aux_sheet_RRS!$D$2:$D$202,0)))</f>
        <v/>
      </c>
      <c r="H36" s="89" t="str">
        <f ca="1">IF($B36="","",INDIRECT("aux_sheet_RRS!P"&amp;1+MATCH(aux_sheet_RRS!$E35,aux_sheet_RRS!$D$2:$D$202,0)))</f>
        <v/>
      </c>
      <c r="I36" s="90" t="str">
        <f ca="1">IF(G36="","",ROUNDDOWN(INDIRECT("aux_sheet_RRS!Q"&amp;1+MATCH(aux_sheet_RRS!$E35,aux_sheet_RRS!$D$2:$D$202,0)),0))</f>
        <v/>
      </c>
      <c r="J36" s="106" t="str">
        <f ca="1">IF($B36="","",INDIRECT("aux_sheet_RRS!R"&amp;1+MATCH(aux_sheet_RRS!$E35,aux_sheet_RRS!$D$2:$D$202,0)))</f>
        <v/>
      </c>
      <c r="K36" s="89" t="str">
        <f ca="1">IF($B36="","",INDIRECT("aux_sheet_RRS!S"&amp;1+MATCH(aux_sheet_RRS!$E35,aux_sheet_RRS!$D$2:$D$202,0)))</f>
        <v/>
      </c>
      <c r="L36" s="90" t="str">
        <f ca="1">IF(J36="","",ROUNDDOWN(INDIRECT("aux_sheet_RRS!T"&amp;1+MATCH(aux_sheet_RRS!$E35,aux_sheet_RRS!$D$2:$D$202,0)),0))</f>
        <v/>
      </c>
      <c r="M36" s="106" t="str">
        <f ca="1">IF($B36="","",INDIRECT("aux_sheet_RRS!U"&amp;1+MATCH(aux_sheet_RRS!$E35,aux_sheet_RRS!$D$2:$D$202,0)))</f>
        <v/>
      </c>
      <c r="N36" s="89" t="str">
        <f ca="1">IF($B36="","",INDIRECT("aux_sheet_RRS!V"&amp;1+MATCH(aux_sheet_RRS!$E35,aux_sheet_RRS!$D$2:$D$202,0)))</f>
        <v/>
      </c>
      <c r="O36" s="90" t="str">
        <f ca="1">IF(M36="","",ROUNDDOWN(INDIRECT("aux_sheet_RRS!W"&amp;1+MATCH(aux_sheet_RRS!$E35,aux_sheet_RRS!$D$2:$D$202,0)),0))</f>
        <v/>
      </c>
      <c r="P36" s="106" t="str">
        <f ca="1">IF($B36="","",INDIRECT("aux_sheet_RRS!X"&amp;1+MATCH(aux_sheet_RRS!$E35,aux_sheet_RRS!$D$2:$D$202,0)))</f>
        <v/>
      </c>
      <c r="Q36" s="89" t="str">
        <f ca="1">IF($B36="","",INDIRECT("aux_sheet_RRS!Y"&amp;1+MATCH(aux_sheet_RRS!$E35,aux_sheet_RRS!$D$2:$D$202,0)))</f>
        <v/>
      </c>
      <c r="R36" s="90" t="str">
        <f ca="1">IF(P36="","",INDIRECT("aux_sheet_RRS!Z"&amp;1+MATCH(aux_sheet_RRS!$E35,aux_sheet_RRS!$D$2:$D$202,0)))</f>
        <v/>
      </c>
      <c r="S36" s="106" t="str">
        <f ca="1">IF($B36="","",INDIRECT("aux_sheet_RRS!AA"&amp;1+MATCH(aux_sheet_RRS!$E35,aux_sheet_RRS!$D$2:$D$202,0)))</f>
        <v/>
      </c>
      <c r="T36" s="89" t="str">
        <f ca="1">IF($B36="","",INDIRECT("aux_sheet_RRS!AB"&amp;1+MATCH(aux_sheet_RRS!$E35,aux_sheet_RRS!$D$2:$D$202,0)))</f>
        <v/>
      </c>
      <c r="U36" s="90" t="str">
        <f ca="1">IF(S36="","",INDIRECT("aux_sheet_RRS!AC"&amp;1+MATCH(aux_sheet_RRS!$E35,aux_sheet_RRS!$D$2:$D$202,0)))</f>
        <v/>
      </c>
      <c r="V36" s="106" t="str">
        <f ca="1">IF($B36="","",INDIRECT("aux_sheet_RRS!AD"&amp;1+MATCH(aux_sheet_RRS!$E35,aux_sheet_RRS!$D$2:$D$202,0)))</f>
        <v/>
      </c>
      <c r="W36" s="89" t="str">
        <f ca="1">IF($B36="","",INDIRECT("aux_sheet_RRS!AE"&amp;1+MATCH(aux_sheet_RRS!$E35,aux_sheet_RRS!$D$2:$D$202,0)))</f>
        <v/>
      </c>
      <c r="X36" s="90" t="str">
        <f ca="1">IF(V36="","",INDIRECT("aux_sheet_RRS!AF"&amp;1+MATCH(aux_sheet_RRS!$E35,aux_sheet_RRS!$D$2:$D$202,0)))</f>
        <v/>
      </c>
      <c r="Y36" s="106" t="str">
        <f ca="1">IF($B36="","",INDIRECT("aux_sheet_RRS!AG"&amp;1+MATCH(aux_sheet_RRS!$E35,aux_sheet_RRS!$D$2:$D$202,0)))</f>
        <v/>
      </c>
      <c r="Z36" s="89" t="str">
        <f ca="1">IF($B36="","",INDIRECT("aux_sheet_RRS!AH"&amp;1+MATCH(aux_sheet_RRS!$E35,aux_sheet_RRS!$D$2:$D$202,0)))</f>
        <v/>
      </c>
      <c r="AA36" s="90" t="str">
        <f ca="1">IF(Y36="","",INDIRECT("aux_sheet_RRS!AI"&amp;1+MATCH(aux_sheet_RRS!$E35,aux_sheet_RRS!$D$2:$D$202,0)))</f>
        <v/>
      </c>
      <c r="AB36" s="88" t="str">
        <f ca="1">IF($B36="","",INDIRECT("aux_sheet_RRS!AJ"&amp;1+MATCH(aux_sheet_RRS!$E35,aux_sheet_RRS!$D$2:$D$202,0)))</f>
        <v/>
      </c>
      <c r="AC36" s="89" t="str">
        <f ca="1">IF($B36="","",INDIRECT("aux_sheet_RRS!AK"&amp;1+MATCH(aux_sheet_RRS!$E35,aux_sheet_RRS!$D$2:$D$202,0)))</f>
        <v/>
      </c>
      <c r="AD36" s="90" t="str">
        <f ca="1">IF(AB36="","",INDIRECT("aux_sheet_RRS!AL"&amp;1+MATCH(aux_sheet_RRS!$E35,aux_sheet_RRS!$D$2:$D$202,0)))</f>
        <v/>
      </c>
      <c r="AE36" s="88" t="str">
        <f ca="1">IF($B36="","",INDIRECT("aux_sheet_RRS!AM"&amp;1+MATCH(aux_sheet_RRS!$E35,aux_sheet_RRS!$D$2:$D$202,0)))</f>
        <v/>
      </c>
      <c r="AF36" s="89" t="str">
        <f ca="1">IF($B36="","",INDIRECT("aux_sheet_RRS!AN"&amp;1+MATCH(aux_sheet_RRS!$E35,aux_sheet_RRS!$D$2:$D$202,0)))</f>
        <v/>
      </c>
      <c r="AG36" s="90" t="str">
        <f ca="1">IF(AE36="","",INDIRECT("aux_sheet_RRS!AO"&amp;1+MATCH(aux_sheet_RRS!$E35,aux_sheet_RRS!$D$2:$D$202,0)))</f>
        <v/>
      </c>
      <c r="AH36" s="14" t="str">
        <f t="shared" ca="1" si="3"/>
        <v/>
      </c>
      <c r="AI36" t="str">
        <f t="shared" ca="1" si="4"/>
        <v/>
      </c>
      <c r="AJ36" t="str">
        <f t="shared" ca="1" si="5"/>
        <v/>
      </c>
    </row>
    <row r="37" spans="1:36" x14ac:dyDescent="0.35">
      <c r="A37" s="2" t="str">
        <f>IF(ISBLANK(Input!A36),"",ROUNDDOWN(aux_sheet_RRS!E36,0))</f>
        <v/>
      </c>
      <c r="B37" s="2" t="str">
        <f ca="1">IF(ISBLANK(Input!A36),"",INDIRECT("Input!A"&amp;1+MATCH(aux_sheet_RRS!$E36,aux_sheet_RRS!$D$2:$D$202,0)))</f>
        <v/>
      </c>
      <c r="C37" s="2" t="str">
        <f ca="1">IF(ISBLANK(Input!B36),"",INDIRECT("Input!B"&amp;1+MATCH(aux_sheet_RRS!$E36,aux_sheet_RRS!$D$2:$D$202,0)))</f>
        <v/>
      </c>
      <c r="D37" s="2" t="str">
        <f ca="1">IF(ISBLANK(Input!C36),"",INDIRECT("Input!C"&amp;1+MATCH(aux_sheet_RRS!$E36,aux_sheet_RRS!$D$2:$D$202,0)))</f>
        <v/>
      </c>
      <c r="E37" s="2" t="str">
        <f ca="1">IF(ISBLANK(Input!D36),"",INDIRECT("Input!D"&amp;1+MATCH(aux_sheet_RRS!$E36,aux_sheet_RRS!$D$2:$D$202,0)))</f>
        <v/>
      </c>
      <c r="F37" s="11" t="str">
        <f ca="1">INDIRECT("Input!H"&amp;1+MATCH(aux_sheet_RRS!$E36,aux_sheet_RRS!$D$2:$D$202,0))</f>
        <v xml:space="preserve"> </v>
      </c>
      <c r="G37" s="88" t="str">
        <f ca="1">IF($B37="","",INDIRECT("aux_sheet_RRS!O"&amp;1+MATCH(aux_sheet_RRS!$E36,aux_sheet_RRS!$D$2:$D$202,0)))</f>
        <v/>
      </c>
      <c r="H37" s="89" t="str">
        <f ca="1">IF($B37="","",INDIRECT("aux_sheet_RRS!P"&amp;1+MATCH(aux_sheet_RRS!$E36,aux_sheet_RRS!$D$2:$D$202,0)))</f>
        <v/>
      </c>
      <c r="I37" s="90" t="str">
        <f ca="1">IF(G37="","",ROUNDDOWN(INDIRECT("aux_sheet_RRS!Q"&amp;1+MATCH(aux_sheet_RRS!$E36,aux_sheet_RRS!$D$2:$D$202,0)),0))</f>
        <v/>
      </c>
      <c r="J37" s="106" t="str">
        <f ca="1">IF($B37="","",INDIRECT("aux_sheet_RRS!R"&amp;1+MATCH(aux_sheet_RRS!$E36,aux_sheet_RRS!$D$2:$D$202,0)))</f>
        <v/>
      </c>
      <c r="K37" s="89" t="str">
        <f ca="1">IF($B37="","",INDIRECT("aux_sheet_RRS!S"&amp;1+MATCH(aux_sheet_RRS!$E36,aux_sheet_RRS!$D$2:$D$202,0)))</f>
        <v/>
      </c>
      <c r="L37" s="90" t="str">
        <f ca="1">IF(J37="","",ROUNDDOWN(INDIRECT("aux_sheet_RRS!T"&amp;1+MATCH(aux_sheet_RRS!$E36,aux_sheet_RRS!$D$2:$D$202,0)),0))</f>
        <v/>
      </c>
      <c r="M37" s="106" t="str">
        <f ca="1">IF($B37="","",INDIRECT("aux_sheet_RRS!U"&amp;1+MATCH(aux_sheet_RRS!$E36,aux_sheet_RRS!$D$2:$D$202,0)))</f>
        <v/>
      </c>
      <c r="N37" s="89" t="str">
        <f ca="1">IF($B37="","",INDIRECT("aux_sheet_RRS!V"&amp;1+MATCH(aux_sheet_RRS!$E36,aux_sheet_RRS!$D$2:$D$202,0)))</f>
        <v/>
      </c>
      <c r="O37" s="90" t="str">
        <f ca="1">IF(M37="","",ROUNDDOWN(INDIRECT("aux_sheet_RRS!W"&amp;1+MATCH(aux_sheet_RRS!$E36,aux_sheet_RRS!$D$2:$D$202,0)),0))</f>
        <v/>
      </c>
      <c r="P37" s="106" t="str">
        <f ca="1">IF($B37="","",INDIRECT("aux_sheet_RRS!X"&amp;1+MATCH(aux_sheet_RRS!$E36,aux_sheet_RRS!$D$2:$D$202,0)))</f>
        <v/>
      </c>
      <c r="Q37" s="89" t="str">
        <f ca="1">IF($B37="","",INDIRECT("aux_sheet_RRS!Y"&amp;1+MATCH(aux_sheet_RRS!$E36,aux_sheet_RRS!$D$2:$D$202,0)))</f>
        <v/>
      </c>
      <c r="R37" s="90" t="str">
        <f ca="1">IF(P37="","",INDIRECT("aux_sheet_RRS!Z"&amp;1+MATCH(aux_sheet_RRS!$E36,aux_sheet_RRS!$D$2:$D$202,0)))</f>
        <v/>
      </c>
      <c r="S37" s="106" t="str">
        <f ca="1">IF($B37="","",INDIRECT("aux_sheet_RRS!AA"&amp;1+MATCH(aux_sheet_RRS!$E36,aux_sheet_RRS!$D$2:$D$202,0)))</f>
        <v/>
      </c>
      <c r="T37" s="89" t="str">
        <f ca="1">IF($B37="","",INDIRECT("aux_sheet_RRS!AB"&amp;1+MATCH(aux_sheet_RRS!$E36,aux_sheet_RRS!$D$2:$D$202,0)))</f>
        <v/>
      </c>
      <c r="U37" s="90" t="str">
        <f ca="1">IF(S37="","",INDIRECT("aux_sheet_RRS!AC"&amp;1+MATCH(aux_sheet_RRS!$E36,aux_sheet_RRS!$D$2:$D$202,0)))</f>
        <v/>
      </c>
      <c r="V37" s="106" t="str">
        <f ca="1">IF($B37="","",INDIRECT("aux_sheet_RRS!AD"&amp;1+MATCH(aux_sheet_RRS!$E36,aux_sheet_RRS!$D$2:$D$202,0)))</f>
        <v/>
      </c>
      <c r="W37" s="89" t="str">
        <f ca="1">IF($B37="","",INDIRECT("aux_sheet_RRS!AE"&amp;1+MATCH(aux_sheet_RRS!$E36,aux_sheet_RRS!$D$2:$D$202,0)))</f>
        <v/>
      </c>
      <c r="X37" s="90" t="str">
        <f ca="1">IF(V37="","",INDIRECT("aux_sheet_RRS!AF"&amp;1+MATCH(aux_sheet_RRS!$E36,aux_sheet_RRS!$D$2:$D$202,0)))</f>
        <v/>
      </c>
      <c r="Y37" s="106" t="str">
        <f ca="1">IF($B37="","",INDIRECT("aux_sheet_RRS!AG"&amp;1+MATCH(aux_sheet_RRS!$E36,aux_sheet_RRS!$D$2:$D$202,0)))</f>
        <v/>
      </c>
      <c r="Z37" s="89" t="str">
        <f ca="1">IF($B37="","",INDIRECT("aux_sheet_RRS!AH"&amp;1+MATCH(aux_sheet_RRS!$E36,aux_sheet_RRS!$D$2:$D$202,0)))</f>
        <v/>
      </c>
      <c r="AA37" s="90" t="str">
        <f ca="1">IF(Y37="","",INDIRECT("aux_sheet_RRS!AI"&amp;1+MATCH(aux_sheet_RRS!$E36,aux_sheet_RRS!$D$2:$D$202,0)))</f>
        <v/>
      </c>
      <c r="AB37" s="88" t="str">
        <f ca="1">IF($B37="","",INDIRECT("aux_sheet_RRS!AJ"&amp;1+MATCH(aux_sheet_RRS!$E36,aux_sheet_RRS!$D$2:$D$202,0)))</f>
        <v/>
      </c>
      <c r="AC37" s="89" t="str">
        <f ca="1">IF($B37="","",INDIRECT("aux_sheet_RRS!AK"&amp;1+MATCH(aux_sheet_RRS!$E36,aux_sheet_RRS!$D$2:$D$202,0)))</f>
        <v/>
      </c>
      <c r="AD37" s="90" t="str">
        <f ca="1">IF(AB37="","",INDIRECT("aux_sheet_RRS!AL"&amp;1+MATCH(aux_sheet_RRS!$E36,aux_sheet_RRS!$D$2:$D$202,0)))</f>
        <v/>
      </c>
      <c r="AE37" s="88" t="str">
        <f ca="1">IF($B37="","",INDIRECT("aux_sheet_RRS!AM"&amp;1+MATCH(aux_sheet_RRS!$E36,aux_sheet_RRS!$D$2:$D$202,0)))</f>
        <v/>
      </c>
      <c r="AF37" s="89" t="str">
        <f ca="1">IF($B37="","",INDIRECT("aux_sheet_RRS!AN"&amp;1+MATCH(aux_sheet_RRS!$E36,aux_sheet_RRS!$D$2:$D$202,0)))</f>
        <v/>
      </c>
      <c r="AG37" s="90" t="str">
        <f ca="1">IF(AE37="","",INDIRECT("aux_sheet_RRS!AO"&amp;1+MATCH(aux_sheet_RRS!$E36,aux_sheet_RRS!$D$2:$D$202,0)))</f>
        <v/>
      </c>
      <c r="AH37" s="14" t="str">
        <f t="shared" ca="1" si="3"/>
        <v/>
      </c>
      <c r="AI37" t="str">
        <f t="shared" ca="1" si="4"/>
        <v/>
      </c>
      <c r="AJ37" t="str">
        <f t="shared" ca="1" si="5"/>
        <v/>
      </c>
    </row>
    <row r="38" spans="1:36" x14ac:dyDescent="0.35">
      <c r="A38" s="2" t="str">
        <f>IF(ISBLANK(Input!A37),"",ROUNDDOWN(aux_sheet_RRS!E37,0))</f>
        <v/>
      </c>
      <c r="B38" s="2" t="str">
        <f ca="1">IF(ISBLANK(Input!A37),"",INDIRECT("Input!A"&amp;1+MATCH(aux_sheet_RRS!$E37,aux_sheet_RRS!$D$2:$D$202,0)))</f>
        <v/>
      </c>
      <c r="C38" s="2" t="str">
        <f ca="1">IF(ISBLANK(Input!B37),"",INDIRECT("Input!B"&amp;1+MATCH(aux_sheet_RRS!$E37,aux_sheet_RRS!$D$2:$D$202,0)))</f>
        <v/>
      </c>
      <c r="D38" s="2" t="str">
        <f ca="1">IF(ISBLANK(Input!C37),"",INDIRECT("Input!C"&amp;1+MATCH(aux_sheet_RRS!$E37,aux_sheet_RRS!$D$2:$D$202,0)))</f>
        <v/>
      </c>
      <c r="E38" s="2" t="str">
        <f ca="1">IF(ISBLANK(Input!D37),"",INDIRECT("Input!D"&amp;1+MATCH(aux_sheet_RRS!$E37,aux_sheet_RRS!$D$2:$D$202,0)))</f>
        <v/>
      </c>
      <c r="F38" s="11" t="str">
        <f ca="1">INDIRECT("Input!H"&amp;1+MATCH(aux_sheet_RRS!$E37,aux_sheet_RRS!$D$2:$D$202,0))</f>
        <v xml:space="preserve"> </v>
      </c>
      <c r="G38" s="88" t="str">
        <f ca="1">IF($B38="","",INDIRECT("aux_sheet_RRS!O"&amp;1+MATCH(aux_sheet_RRS!$E37,aux_sheet_RRS!$D$2:$D$202,0)))</f>
        <v/>
      </c>
      <c r="H38" s="89" t="str">
        <f ca="1">IF($B38="","",INDIRECT("aux_sheet_RRS!P"&amp;1+MATCH(aux_sheet_RRS!$E37,aux_sheet_RRS!$D$2:$D$202,0)))</f>
        <v/>
      </c>
      <c r="I38" s="90" t="str">
        <f ca="1">IF(G38="","",ROUNDDOWN(INDIRECT("aux_sheet_RRS!Q"&amp;1+MATCH(aux_sheet_RRS!$E37,aux_sheet_RRS!$D$2:$D$202,0)),0))</f>
        <v/>
      </c>
      <c r="J38" s="106" t="str">
        <f ca="1">IF($B38="","",INDIRECT("aux_sheet_RRS!R"&amp;1+MATCH(aux_sheet_RRS!$E37,aux_sheet_RRS!$D$2:$D$202,0)))</f>
        <v/>
      </c>
      <c r="K38" s="89" t="str">
        <f ca="1">IF($B38="","",INDIRECT("aux_sheet_RRS!S"&amp;1+MATCH(aux_sheet_RRS!$E37,aux_sheet_RRS!$D$2:$D$202,0)))</f>
        <v/>
      </c>
      <c r="L38" s="90" t="str">
        <f ca="1">IF(J38="","",ROUNDDOWN(INDIRECT("aux_sheet_RRS!T"&amp;1+MATCH(aux_sheet_RRS!$E37,aux_sheet_RRS!$D$2:$D$202,0)),0))</f>
        <v/>
      </c>
      <c r="M38" s="106" t="str">
        <f ca="1">IF($B38="","",INDIRECT("aux_sheet_RRS!U"&amp;1+MATCH(aux_sheet_RRS!$E37,aux_sheet_RRS!$D$2:$D$202,0)))</f>
        <v/>
      </c>
      <c r="N38" s="89" t="str">
        <f ca="1">IF($B38="","",INDIRECT("aux_sheet_RRS!V"&amp;1+MATCH(aux_sheet_RRS!$E37,aux_sheet_RRS!$D$2:$D$202,0)))</f>
        <v/>
      </c>
      <c r="O38" s="90" t="str">
        <f ca="1">IF(M38="","",ROUNDDOWN(INDIRECT("aux_sheet_RRS!W"&amp;1+MATCH(aux_sheet_RRS!$E37,aux_sheet_RRS!$D$2:$D$202,0)),0))</f>
        <v/>
      </c>
      <c r="P38" s="106" t="str">
        <f ca="1">IF($B38="","",INDIRECT("aux_sheet_RRS!X"&amp;1+MATCH(aux_sheet_RRS!$E37,aux_sheet_RRS!$D$2:$D$202,0)))</f>
        <v/>
      </c>
      <c r="Q38" s="89" t="str">
        <f ca="1">IF($B38="","",INDIRECT("aux_sheet_RRS!Y"&amp;1+MATCH(aux_sheet_RRS!$E37,aux_sheet_RRS!$D$2:$D$202,0)))</f>
        <v/>
      </c>
      <c r="R38" s="90" t="str">
        <f ca="1">IF(P38="","",INDIRECT("aux_sheet_RRS!Z"&amp;1+MATCH(aux_sheet_RRS!$E37,aux_sheet_RRS!$D$2:$D$202,0)))</f>
        <v/>
      </c>
      <c r="S38" s="106" t="str">
        <f ca="1">IF($B38="","",INDIRECT("aux_sheet_RRS!AA"&amp;1+MATCH(aux_sheet_RRS!$E37,aux_sheet_RRS!$D$2:$D$202,0)))</f>
        <v/>
      </c>
      <c r="T38" s="89" t="str">
        <f ca="1">IF($B38="","",INDIRECT("aux_sheet_RRS!AB"&amp;1+MATCH(aux_sheet_RRS!$E37,aux_sheet_RRS!$D$2:$D$202,0)))</f>
        <v/>
      </c>
      <c r="U38" s="90" t="str">
        <f ca="1">IF(S38="","",INDIRECT("aux_sheet_RRS!AC"&amp;1+MATCH(aux_sheet_RRS!$E37,aux_sheet_RRS!$D$2:$D$202,0)))</f>
        <v/>
      </c>
      <c r="V38" s="106" t="str">
        <f ca="1">IF($B38="","",INDIRECT("aux_sheet_RRS!AD"&amp;1+MATCH(aux_sheet_RRS!$E37,aux_sheet_RRS!$D$2:$D$202,0)))</f>
        <v/>
      </c>
      <c r="W38" s="89" t="str">
        <f ca="1">IF($B38="","",INDIRECT("aux_sheet_RRS!AE"&amp;1+MATCH(aux_sheet_RRS!$E37,aux_sheet_RRS!$D$2:$D$202,0)))</f>
        <v/>
      </c>
      <c r="X38" s="90" t="str">
        <f ca="1">IF(V38="","",INDIRECT("aux_sheet_RRS!AF"&amp;1+MATCH(aux_sheet_RRS!$E37,aux_sheet_RRS!$D$2:$D$202,0)))</f>
        <v/>
      </c>
      <c r="Y38" s="106" t="str">
        <f ca="1">IF($B38="","",INDIRECT("aux_sheet_RRS!AG"&amp;1+MATCH(aux_sheet_RRS!$E37,aux_sheet_RRS!$D$2:$D$202,0)))</f>
        <v/>
      </c>
      <c r="Z38" s="89" t="str">
        <f ca="1">IF($B38="","",INDIRECT("aux_sheet_RRS!AH"&amp;1+MATCH(aux_sheet_RRS!$E37,aux_sheet_RRS!$D$2:$D$202,0)))</f>
        <v/>
      </c>
      <c r="AA38" s="90" t="str">
        <f ca="1">IF(Y38="","",INDIRECT("aux_sheet_RRS!AI"&amp;1+MATCH(aux_sheet_RRS!$E37,aux_sheet_RRS!$D$2:$D$202,0)))</f>
        <v/>
      </c>
      <c r="AB38" s="88" t="str">
        <f ca="1">IF($B38="","",INDIRECT("aux_sheet_RRS!AJ"&amp;1+MATCH(aux_sheet_RRS!$E37,aux_sheet_RRS!$D$2:$D$202,0)))</f>
        <v/>
      </c>
      <c r="AC38" s="89" t="str">
        <f ca="1">IF($B38="","",INDIRECT("aux_sheet_RRS!AK"&amp;1+MATCH(aux_sheet_RRS!$E37,aux_sheet_RRS!$D$2:$D$202,0)))</f>
        <v/>
      </c>
      <c r="AD38" s="90" t="str">
        <f ca="1">IF(AB38="","",INDIRECT("aux_sheet_RRS!AL"&amp;1+MATCH(aux_sheet_RRS!$E37,aux_sheet_RRS!$D$2:$D$202,0)))</f>
        <v/>
      </c>
      <c r="AE38" s="88" t="str">
        <f ca="1">IF($B38="","",INDIRECT("aux_sheet_RRS!AM"&amp;1+MATCH(aux_sheet_RRS!$E37,aux_sheet_RRS!$D$2:$D$202,0)))</f>
        <v/>
      </c>
      <c r="AF38" s="89" t="str">
        <f ca="1">IF($B38="","",INDIRECT("aux_sheet_RRS!AN"&amp;1+MATCH(aux_sheet_RRS!$E37,aux_sheet_RRS!$D$2:$D$202,0)))</f>
        <v/>
      </c>
      <c r="AG38" s="90" t="str">
        <f ca="1">IF(AE38="","",INDIRECT("aux_sheet_RRS!AO"&amp;1+MATCH(aux_sheet_RRS!$E37,aux_sheet_RRS!$D$2:$D$202,0)))</f>
        <v/>
      </c>
      <c r="AH38" s="14" t="str">
        <f t="shared" ca="1" si="3"/>
        <v/>
      </c>
      <c r="AI38" t="str">
        <f t="shared" ca="1" si="4"/>
        <v/>
      </c>
      <c r="AJ38" t="str">
        <f t="shared" ca="1" si="5"/>
        <v/>
      </c>
    </row>
    <row r="39" spans="1:36" x14ac:dyDescent="0.35">
      <c r="A39" s="2" t="str">
        <f>IF(ISBLANK(Input!A38),"",ROUNDDOWN(aux_sheet_RRS!E38,0))</f>
        <v/>
      </c>
      <c r="B39" s="2" t="str">
        <f ca="1">IF(ISBLANK(Input!A38),"",INDIRECT("Input!A"&amp;1+MATCH(aux_sheet_RRS!$E38,aux_sheet_RRS!$D$2:$D$202,0)))</f>
        <v/>
      </c>
      <c r="C39" s="2" t="str">
        <f ca="1">IF(ISBLANK(Input!B38),"",INDIRECT("Input!B"&amp;1+MATCH(aux_sheet_RRS!$E38,aux_sheet_RRS!$D$2:$D$202,0)))</f>
        <v/>
      </c>
      <c r="D39" s="2" t="str">
        <f ca="1">IF(ISBLANK(Input!C38),"",INDIRECT("Input!C"&amp;1+MATCH(aux_sheet_RRS!$E38,aux_sheet_RRS!$D$2:$D$202,0)))</f>
        <v/>
      </c>
      <c r="E39" s="2" t="str">
        <f ca="1">IF(ISBLANK(Input!D38),"",INDIRECT("Input!D"&amp;1+MATCH(aux_sheet_RRS!$E38,aux_sheet_RRS!$D$2:$D$202,0)))</f>
        <v/>
      </c>
      <c r="F39" s="11" t="str">
        <f ca="1">INDIRECT("Input!H"&amp;1+MATCH(aux_sheet_RRS!$E38,aux_sheet_RRS!$D$2:$D$202,0))</f>
        <v xml:space="preserve"> </v>
      </c>
      <c r="G39" s="88" t="str">
        <f ca="1">IF($B39="","",INDIRECT("aux_sheet_RRS!O"&amp;1+MATCH(aux_sheet_RRS!$E38,aux_sheet_RRS!$D$2:$D$202,0)))</f>
        <v/>
      </c>
      <c r="H39" s="89" t="str">
        <f ca="1">IF($B39="","",INDIRECT("aux_sheet_RRS!P"&amp;1+MATCH(aux_sheet_RRS!$E38,aux_sheet_RRS!$D$2:$D$202,0)))</f>
        <v/>
      </c>
      <c r="I39" s="90" t="str">
        <f ca="1">IF(G39="","",ROUNDDOWN(INDIRECT("aux_sheet_RRS!Q"&amp;1+MATCH(aux_sheet_RRS!$E38,aux_sheet_RRS!$D$2:$D$202,0)),0))</f>
        <v/>
      </c>
      <c r="J39" s="106" t="str">
        <f ca="1">IF($B39="","",INDIRECT("aux_sheet_RRS!R"&amp;1+MATCH(aux_sheet_RRS!$E38,aux_sheet_RRS!$D$2:$D$202,0)))</f>
        <v/>
      </c>
      <c r="K39" s="89" t="str">
        <f ca="1">IF($B39="","",INDIRECT("aux_sheet_RRS!S"&amp;1+MATCH(aux_sheet_RRS!$E38,aux_sheet_RRS!$D$2:$D$202,0)))</f>
        <v/>
      </c>
      <c r="L39" s="90" t="str">
        <f ca="1">IF(J39="","",ROUNDDOWN(INDIRECT("aux_sheet_RRS!T"&amp;1+MATCH(aux_sheet_RRS!$E38,aux_sheet_RRS!$D$2:$D$202,0)),0))</f>
        <v/>
      </c>
      <c r="M39" s="106" t="str">
        <f ca="1">IF($B39="","",INDIRECT("aux_sheet_RRS!U"&amp;1+MATCH(aux_sheet_RRS!$E38,aux_sheet_RRS!$D$2:$D$202,0)))</f>
        <v/>
      </c>
      <c r="N39" s="89" t="str">
        <f ca="1">IF($B39="","",INDIRECT("aux_sheet_RRS!V"&amp;1+MATCH(aux_sheet_RRS!$E38,aux_sheet_RRS!$D$2:$D$202,0)))</f>
        <v/>
      </c>
      <c r="O39" s="90" t="str">
        <f ca="1">IF(M39="","",ROUNDDOWN(INDIRECT("aux_sheet_RRS!W"&amp;1+MATCH(aux_sheet_RRS!$E38,aux_sheet_RRS!$D$2:$D$202,0)),0))</f>
        <v/>
      </c>
      <c r="P39" s="106" t="str">
        <f ca="1">IF($B39="","",INDIRECT("aux_sheet_RRS!X"&amp;1+MATCH(aux_sheet_RRS!$E38,aux_sheet_RRS!$D$2:$D$202,0)))</f>
        <v/>
      </c>
      <c r="Q39" s="89" t="str">
        <f ca="1">IF($B39="","",INDIRECT("aux_sheet_RRS!Y"&amp;1+MATCH(aux_sheet_RRS!$E38,aux_sheet_RRS!$D$2:$D$202,0)))</f>
        <v/>
      </c>
      <c r="R39" s="90" t="str">
        <f ca="1">IF(P39="","",INDIRECT("aux_sheet_RRS!Z"&amp;1+MATCH(aux_sheet_RRS!$E38,aux_sheet_RRS!$D$2:$D$202,0)))</f>
        <v/>
      </c>
      <c r="S39" s="106" t="str">
        <f ca="1">IF($B39="","",INDIRECT("aux_sheet_RRS!AA"&amp;1+MATCH(aux_sheet_RRS!$E38,aux_sheet_RRS!$D$2:$D$202,0)))</f>
        <v/>
      </c>
      <c r="T39" s="89" t="str">
        <f ca="1">IF($B39="","",INDIRECT("aux_sheet_RRS!AB"&amp;1+MATCH(aux_sheet_RRS!$E38,aux_sheet_RRS!$D$2:$D$202,0)))</f>
        <v/>
      </c>
      <c r="U39" s="90" t="str">
        <f ca="1">IF(S39="","",INDIRECT("aux_sheet_RRS!AC"&amp;1+MATCH(aux_sheet_RRS!$E38,aux_sheet_RRS!$D$2:$D$202,0)))</f>
        <v/>
      </c>
      <c r="V39" s="106" t="str">
        <f ca="1">IF($B39="","",INDIRECT("aux_sheet_RRS!AD"&amp;1+MATCH(aux_sheet_RRS!$E38,aux_sheet_RRS!$D$2:$D$202,0)))</f>
        <v/>
      </c>
      <c r="W39" s="89" t="str">
        <f ca="1">IF($B39="","",INDIRECT("aux_sheet_RRS!AE"&amp;1+MATCH(aux_sheet_RRS!$E38,aux_sheet_RRS!$D$2:$D$202,0)))</f>
        <v/>
      </c>
      <c r="X39" s="90" t="str">
        <f ca="1">IF(V39="","",INDIRECT("aux_sheet_RRS!AF"&amp;1+MATCH(aux_sheet_RRS!$E38,aux_sheet_RRS!$D$2:$D$202,0)))</f>
        <v/>
      </c>
      <c r="Y39" s="106" t="str">
        <f ca="1">IF($B39="","",INDIRECT("aux_sheet_RRS!AG"&amp;1+MATCH(aux_sheet_RRS!$E38,aux_sheet_RRS!$D$2:$D$202,0)))</f>
        <v/>
      </c>
      <c r="Z39" s="89" t="str">
        <f ca="1">IF($B39="","",INDIRECT("aux_sheet_RRS!AH"&amp;1+MATCH(aux_sheet_RRS!$E38,aux_sheet_RRS!$D$2:$D$202,0)))</f>
        <v/>
      </c>
      <c r="AA39" s="90" t="str">
        <f ca="1">IF(Y39="","",INDIRECT("aux_sheet_RRS!AI"&amp;1+MATCH(aux_sheet_RRS!$E38,aux_sheet_RRS!$D$2:$D$202,0)))</f>
        <v/>
      </c>
      <c r="AB39" s="88" t="str">
        <f ca="1">IF($B39="","",INDIRECT("aux_sheet_RRS!AJ"&amp;1+MATCH(aux_sheet_RRS!$E38,aux_sheet_RRS!$D$2:$D$202,0)))</f>
        <v/>
      </c>
      <c r="AC39" s="89" t="str">
        <f ca="1">IF($B39="","",INDIRECT("aux_sheet_RRS!AK"&amp;1+MATCH(aux_sheet_RRS!$E38,aux_sheet_RRS!$D$2:$D$202,0)))</f>
        <v/>
      </c>
      <c r="AD39" s="90" t="str">
        <f ca="1">IF(AB39="","",INDIRECT("aux_sheet_RRS!AL"&amp;1+MATCH(aux_sheet_RRS!$E38,aux_sheet_RRS!$D$2:$D$202,0)))</f>
        <v/>
      </c>
      <c r="AE39" s="88" t="str">
        <f ca="1">IF($B39="","",INDIRECT("aux_sheet_RRS!AM"&amp;1+MATCH(aux_sheet_RRS!$E38,aux_sheet_RRS!$D$2:$D$202,0)))</f>
        <v/>
      </c>
      <c r="AF39" s="89" t="str">
        <f ca="1">IF($B39="","",INDIRECT("aux_sheet_RRS!AN"&amp;1+MATCH(aux_sheet_RRS!$E38,aux_sheet_RRS!$D$2:$D$202,0)))</f>
        <v/>
      </c>
      <c r="AG39" s="90" t="str">
        <f ca="1">IF(AE39="","",INDIRECT("aux_sheet_RRS!AO"&amp;1+MATCH(aux_sheet_RRS!$E38,aux_sheet_RRS!$D$2:$D$202,0)))</f>
        <v/>
      </c>
      <c r="AH39" s="14" t="str">
        <f t="shared" ca="1" si="3"/>
        <v/>
      </c>
      <c r="AI39" t="str">
        <f t="shared" ca="1" si="4"/>
        <v/>
      </c>
      <c r="AJ39" t="str">
        <f t="shared" ca="1" si="5"/>
        <v/>
      </c>
    </row>
    <row r="40" spans="1:36" x14ac:dyDescent="0.35">
      <c r="A40" s="2" t="str">
        <f>IF(ISBLANK(Input!A39),"",ROUNDDOWN(aux_sheet_RRS!E39,0))</f>
        <v/>
      </c>
      <c r="B40" s="2" t="str">
        <f ca="1">IF(ISBLANK(Input!A39),"",INDIRECT("Input!A"&amp;1+MATCH(aux_sheet_RRS!$E39,aux_sheet_RRS!$D$2:$D$202,0)))</f>
        <v/>
      </c>
      <c r="C40" s="2" t="str">
        <f ca="1">IF(ISBLANK(Input!B39),"",INDIRECT("Input!B"&amp;1+MATCH(aux_sheet_RRS!$E39,aux_sheet_RRS!$D$2:$D$202,0)))</f>
        <v/>
      </c>
      <c r="D40" s="2" t="str">
        <f ca="1">IF(ISBLANK(Input!C39),"",INDIRECT("Input!C"&amp;1+MATCH(aux_sheet_RRS!$E39,aux_sheet_RRS!$D$2:$D$202,0)))</f>
        <v/>
      </c>
      <c r="E40" s="2" t="str">
        <f ca="1">IF(ISBLANK(Input!D39),"",INDIRECT("Input!D"&amp;1+MATCH(aux_sheet_RRS!$E39,aux_sheet_RRS!$D$2:$D$202,0)))</f>
        <v/>
      </c>
      <c r="F40" s="11" t="str">
        <f ca="1">INDIRECT("Input!H"&amp;1+MATCH(aux_sheet_RRS!$E39,aux_sheet_RRS!$D$2:$D$202,0))</f>
        <v xml:space="preserve"> </v>
      </c>
      <c r="G40" s="88" t="str">
        <f ca="1">IF($B40="","",INDIRECT("aux_sheet_RRS!O"&amp;1+MATCH(aux_sheet_RRS!$E39,aux_sheet_RRS!$D$2:$D$202,0)))</f>
        <v/>
      </c>
      <c r="H40" s="89" t="str">
        <f ca="1">IF($B40="","",INDIRECT("aux_sheet_RRS!P"&amp;1+MATCH(aux_sheet_RRS!$E39,aux_sheet_RRS!$D$2:$D$202,0)))</f>
        <v/>
      </c>
      <c r="I40" s="90" t="str">
        <f ca="1">IF(G40="","",ROUNDDOWN(INDIRECT("aux_sheet_RRS!Q"&amp;1+MATCH(aux_sheet_RRS!$E39,aux_sheet_RRS!$D$2:$D$202,0)),0))</f>
        <v/>
      </c>
      <c r="J40" s="106" t="str">
        <f ca="1">IF($B40="","",INDIRECT("aux_sheet_RRS!R"&amp;1+MATCH(aux_sheet_RRS!$E39,aux_sheet_RRS!$D$2:$D$202,0)))</f>
        <v/>
      </c>
      <c r="K40" s="89" t="str">
        <f ca="1">IF($B40="","",INDIRECT("aux_sheet_RRS!S"&amp;1+MATCH(aux_sheet_RRS!$E39,aux_sheet_RRS!$D$2:$D$202,0)))</f>
        <v/>
      </c>
      <c r="L40" s="90" t="str">
        <f ca="1">IF(J40="","",ROUNDDOWN(INDIRECT("aux_sheet_RRS!T"&amp;1+MATCH(aux_sheet_RRS!$E39,aux_sheet_RRS!$D$2:$D$202,0)),0))</f>
        <v/>
      </c>
      <c r="M40" s="106" t="str">
        <f ca="1">IF($B40="","",INDIRECT("aux_sheet_RRS!U"&amp;1+MATCH(aux_sheet_RRS!$E39,aux_sheet_RRS!$D$2:$D$202,0)))</f>
        <v/>
      </c>
      <c r="N40" s="89" t="str">
        <f ca="1">IF($B40="","",INDIRECT("aux_sheet_RRS!V"&amp;1+MATCH(aux_sheet_RRS!$E39,aux_sheet_RRS!$D$2:$D$202,0)))</f>
        <v/>
      </c>
      <c r="O40" s="90" t="str">
        <f ca="1">IF(M40="","",ROUNDDOWN(INDIRECT("aux_sheet_RRS!W"&amp;1+MATCH(aux_sheet_RRS!$E39,aux_sheet_RRS!$D$2:$D$202,0)),0))</f>
        <v/>
      </c>
      <c r="P40" s="106" t="str">
        <f ca="1">IF($B40="","",INDIRECT("aux_sheet_RRS!X"&amp;1+MATCH(aux_sheet_RRS!$E39,aux_sheet_RRS!$D$2:$D$202,0)))</f>
        <v/>
      </c>
      <c r="Q40" s="89" t="str">
        <f ca="1">IF($B40="","",INDIRECT("aux_sheet_RRS!Y"&amp;1+MATCH(aux_sheet_RRS!$E39,aux_sheet_RRS!$D$2:$D$202,0)))</f>
        <v/>
      </c>
      <c r="R40" s="90" t="str">
        <f ca="1">IF(P40="","",INDIRECT("aux_sheet_RRS!Z"&amp;1+MATCH(aux_sheet_RRS!$E39,aux_sheet_RRS!$D$2:$D$202,0)))</f>
        <v/>
      </c>
      <c r="S40" s="106" t="str">
        <f ca="1">IF($B40="","",INDIRECT("aux_sheet_RRS!AA"&amp;1+MATCH(aux_sheet_RRS!$E39,aux_sheet_RRS!$D$2:$D$202,0)))</f>
        <v/>
      </c>
      <c r="T40" s="89" t="str">
        <f ca="1">IF($B40="","",INDIRECT("aux_sheet_RRS!AB"&amp;1+MATCH(aux_sheet_RRS!$E39,aux_sheet_RRS!$D$2:$D$202,0)))</f>
        <v/>
      </c>
      <c r="U40" s="90" t="str">
        <f ca="1">IF(S40="","",INDIRECT("aux_sheet_RRS!AC"&amp;1+MATCH(aux_sheet_RRS!$E39,aux_sheet_RRS!$D$2:$D$202,0)))</f>
        <v/>
      </c>
      <c r="V40" s="106" t="str">
        <f ca="1">IF($B40="","",INDIRECT("aux_sheet_RRS!AD"&amp;1+MATCH(aux_sheet_RRS!$E39,aux_sheet_RRS!$D$2:$D$202,0)))</f>
        <v/>
      </c>
      <c r="W40" s="89" t="str">
        <f ca="1">IF($B40="","",INDIRECT("aux_sheet_RRS!AE"&amp;1+MATCH(aux_sheet_RRS!$E39,aux_sheet_RRS!$D$2:$D$202,0)))</f>
        <v/>
      </c>
      <c r="X40" s="90" t="str">
        <f ca="1">IF(V40="","",INDIRECT("aux_sheet_RRS!AF"&amp;1+MATCH(aux_sheet_RRS!$E39,aux_sheet_RRS!$D$2:$D$202,0)))</f>
        <v/>
      </c>
      <c r="Y40" s="106" t="str">
        <f ca="1">IF($B40="","",INDIRECT("aux_sheet_RRS!AG"&amp;1+MATCH(aux_sheet_RRS!$E39,aux_sheet_RRS!$D$2:$D$202,0)))</f>
        <v/>
      </c>
      <c r="Z40" s="89" t="str">
        <f ca="1">IF($B40="","",INDIRECT("aux_sheet_RRS!AH"&amp;1+MATCH(aux_sheet_RRS!$E39,aux_sheet_RRS!$D$2:$D$202,0)))</f>
        <v/>
      </c>
      <c r="AA40" s="90" t="str">
        <f ca="1">IF(Y40="","",INDIRECT("aux_sheet_RRS!AI"&amp;1+MATCH(aux_sheet_RRS!$E39,aux_sheet_RRS!$D$2:$D$202,0)))</f>
        <v/>
      </c>
      <c r="AB40" s="88" t="str">
        <f ca="1">IF($B40="","",INDIRECT("aux_sheet_RRS!AJ"&amp;1+MATCH(aux_sheet_RRS!$E39,aux_sheet_RRS!$D$2:$D$202,0)))</f>
        <v/>
      </c>
      <c r="AC40" s="89" t="str">
        <f ca="1">IF($B40="","",INDIRECT("aux_sheet_RRS!AK"&amp;1+MATCH(aux_sheet_RRS!$E39,aux_sheet_RRS!$D$2:$D$202,0)))</f>
        <v/>
      </c>
      <c r="AD40" s="90" t="str">
        <f ca="1">IF(AB40="","",INDIRECT("aux_sheet_RRS!AL"&amp;1+MATCH(aux_sheet_RRS!$E39,aux_sheet_RRS!$D$2:$D$202,0)))</f>
        <v/>
      </c>
      <c r="AE40" s="88" t="str">
        <f ca="1">IF($B40="","",INDIRECT("aux_sheet_RRS!AM"&amp;1+MATCH(aux_sheet_RRS!$E39,aux_sheet_RRS!$D$2:$D$202,0)))</f>
        <v/>
      </c>
      <c r="AF40" s="89" t="str">
        <f ca="1">IF($B40="","",INDIRECT("aux_sheet_RRS!AN"&amp;1+MATCH(aux_sheet_RRS!$E39,aux_sheet_RRS!$D$2:$D$202,0)))</f>
        <v/>
      </c>
      <c r="AG40" s="90" t="str">
        <f ca="1">IF(AE40="","",INDIRECT("aux_sheet_RRS!AO"&amp;1+MATCH(aux_sheet_RRS!$E39,aux_sheet_RRS!$D$2:$D$202,0)))</f>
        <v/>
      </c>
      <c r="AH40" s="14" t="str">
        <f t="shared" ca="1" si="3"/>
        <v/>
      </c>
      <c r="AI40" t="str">
        <f t="shared" ca="1" si="4"/>
        <v/>
      </c>
      <c r="AJ40" t="str">
        <f t="shared" ca="1" si="5"/>
        <v/>
      </c>
    </row>
    <row r="41" spans="1:36" x14ac:dyDescent="0.35">
      <c r="A41" s="2" t="str">
        <f>IF(ISBLANK(Input!A40),"",ROUNDDOWN(aux_sheet_RRS!E40,0))</f>
        <v/>
      </c>
      <c r="B41" s="2" t="str">
        <f ca="1">IF(ISBLANK(Input!A40),"",INDIRECT("Input!A"&amp;1+MATCH(aux_sheet_RRS!$E40,aux_sheet_RRS!$D$2:$D$202,0)))</f>
        <v/>
      </c>
      <c r="C41" s="2" t="str">
        <f ca="1">IF(ISBLANK(Input!B40),"",INDIRECT("Input!B"&amp;1+MATCH(aux_sheet_RRS!$E40,aux_sheet_RRS!$D$2:$D$202,0)))</f>
        <v/>
      </c>
      <c r="D41" s="2" t="str">
        <f ca="1">IF(ISBLANK(Input!C40),"",INDIRECT("Input!C"&amp;1+MATCH(aux_sheet_RRS!$E40,aux_sheet_RRS!$D$2:$D$202,0)))</f>
        <v/>
      </c>
      <c r="E41" s="2" t="str">
        <f ca="1">IF(ISBLANK(Input!D40),"",INDIRECT("Input!D"&amp;1+MATCH(aux_sheet_RRS!$E40,aux_sheet_RRS!$D$2:$D$202,0)))</f>
        <v/>
      </c>
      <c r="F41" s="11" t="str">
        <f ca="1">INDIRECT("Input!H"&amp;1+MATCH(aux_sheet_RRS!$E40,aux_sheet_RRS!$D$2:$D$202,0))</f>
        <v xml:space="preserve"> </v>
      </c>
      <c r="G41" s="88" t="str">
        <f ca="1">IF($B41="","",INDIRECT("aux_sheet_RRS!O"&amp;1+MATCH(aux_sheet_RRS!$E40,aux_sheet_RRS!$D$2:$D$202,0)))</f>
        <v/>
      </c>
      <c r="H41" s="89" t="str">
        <f ca="1">IF($B41="","",INDIRECT("aux_sheet_RRS!P"&amp;1+MATCH(aux_sheet_RRS!$E40,aux_sheet_RRS!$D$2:$D$202,0)))</f>
        <v/>
      </c>
      <c r="I41" s="90" t="str">
        <f ca="1">IF(G41="","",ROUNDDOWN(INDIRECT("aux_sheet_RRS!Q"&amp;1+MATCH(aux_sheet_RRS!$E40,aux_sheet_RRS!$D$2:$D$202,0)),0))</f>
        <v/>
      </c>
      <c r="J41" s="106" t="str">
        <f ca="1">IF($B41="","",INDIRECT("aux_sheet_RRS!R"&amp;1+MATCH(aux_sheet_RRS!$E40,aux_sheet_RRS!$D$2:$D$202,0)))</f>
        <v/>
      </c>
      <c r="K41" s="89" t="str">
        <f ca="1">IF($B41="","",INDIRECT("aux_sheet_RRS!S"&amp;1+MATCH(aux_sheet_RRS!$E40,aux_sheet_RRS!$D$2:$D$202,0)))</f>
        <v/>
      </c>
      <c r="L41" s="90" t="str">
        <f ca="1">IF(J41="","",ROUNDDOWN(INDIRECT("aux_sheet_RRS!T"&amp;1+MATCH(aux_sheet_RRS!$E40,aux_sheet_RRS!$D$2:$D$202,0)),0))</f>
        <v/>
      </c>
      <c r="M41" s="106" t="str">
        <f ca="1">IF($B41="","",INDIRECT("aux_sheet_RRS!U"&amp;1+MATCH(aux_sheet_RRS!$E40,aux_sheet_RRS!$D$2:$D$202,0)))</f>
        <v/>
      </c>
      <c r="N41" s="89" t="str">
        <f ca="1">IF($B41="","",INDIRECT("aux_sheet_RRS!V"&amp;1+MATCH(aux_sheet_RRS!$E40,aux_sheet_RRS!$D$2:$D$202,0)))</f>
        <v/>
      </c>
      <c r="O41" s="90" t="str">
        <f ca="1">IF(M41="","",ROUNDDOWN(INDIRECT("aux_sheet_RRS!W"&amp;1+MATCH(aux_sheet_RRS!$E40,aux_sheet_RRS!$D$2:$D$202,0)),0))</f>
        <v/>
      </c>
      <c r="P41" s="106" t="str">
        <f ca="1">IF($B41="","",INDIRECT("aux_sheet_RRS!X"&amp;1+MATCH(aux_sheet_RRS!$E40,aux_sheet_RRS!$D$2:$D$202,0)))</f>
        <v/>
      </c>
      <c r="Q41" s="89" t="str">
        <f ca="1">IF($B41="","",INDIRECT("aux_sheet_RRS!Y"&amp;1+MATCH(aux_sheet_RRS!$E40,aux_sheet_RRS!$D$2:$D$202,0)))</f>
        <v/>
      </c>
      <c r="R41" s="90" t="str">
        <f ca="1">IF(P41="","",INDIRECT("aux_sheet_RRS!Z"&amp;1+MATCH(aux_sheet_RRS!$E40,aux_sheet_RRS!$D$2:$D$202,0)))</f>
        <v/>
      </c>
      <c r="S41" s="106" t="str">
        <f ca="1">IF($B41="","",INDIRECT("aux_sheet_RRS!AA"&amp;1+MATCH(aux_sheet_RRS!$E40,aux_sheet_RRS!$D$2:$D$202,0)))</f>
        <v/>
      </c>
      <c r="T41" s="89" t="str">
        <f ca="1">IF($B41="","",INDIRECT("aux_sheet_RRS!AB"&amp;1+MATCH(aux_sheet_RRS!$E40,aux_sheet_RRS!$D$2:$D$202,0)))</f>
        <v/>
      </c>
      <c r="U41" s="90" t="str">
        <f ca="1">IF(S41="","",INDIRECT("aux_sheet_RRS!AC"&amp;1+MATCH(aux_sheet_RRS!$E40,aux_sheet_RRS!$D$2:$D$202,0)))</f>
        <v/>
      </c>
      <c r="V41" s="106" t="str">
        <f ca="1">IF($B41="","",INDIRECT("aux_sheet_RRS!AD"&amp;1+MATCH(aux_sheet_RRS!$E40,aux_sheet_RRS!$D$2:$D$202,0)))</f>
        <v/>
      </c>
      <c r="W41" s="89" t="str">
        <f ca="1">IF($B41="","",INDIRECT("aux_sheet_RRS!AE"&amp;1+MATCH(aux_sheet_RRS!$E40,aux_sheet_RRS!$D$2:$D$202,0)))</f>
        <v/>
      </c>
      <c r="X41" s="90" t="str">
        <f ca="1">IF(V41="","",INDIRECT("aux_sheet_RRS!AF"&amp;1+MATCH(aux_sheet_RRS!$E40,aux_sheet_RRS!$D$2:$D$202,0)))</f>
        <v/>
      </c>
      <c r="Y41" s="106" t="str">
        <f ca="1">IF($B41="","",INDIRECT("aux_sheet_RRS!AG"&amp;1+MATCH(aux_sheet_RRS!$E40,aux_sheet_RRS!$D$2:$D$202,0)))</f>
        <v/>
      </c>
      <c r="Z41" s="89" t="str">
        <f ca="1">IF($B41="","",INDIRECT("aux_sheet_RRS!AH"&amp;1+MATCH(aux_sheet_RRS!$E40,aux_sheet_RRS!$D$2:$D$202,0)))</f>
        <v/>
      </c>
      <c r="AA41" s="90" t="str">
        <f ca="1">IF(Y41="","",INDIRECT("aux_sheet_RRS!AI"&amp;1+MATCH(aux_sheet_RRS!$E40,aux_sheet_RRS!$D$2:$D$202,0)))</f>
        <v/>
      </c>
      <c r="AB41" s="88" t="str">
        <f ca="1">IF($B41="","",INDIRECT("aux_sheet_RRS!AJ"&amp;1+MATCH(aux_sheet_RRS!$E40,aux_sheet_RRS!$D$2:$D$202,0)))</f>
        <v/>
      </c>
      <c r="AC41" s="89" t="str">
        <f ca="1">IF($B41="","",INDIRECT("aux_sheet_RRS!AK"&amp;1+MATCH(aux_sheet_RRS!$E40,aux_sheet_RRS!$D$2:$D$202,0)))</f>
        <v/>
      </c>
      <c r="AD41" s="90" t="str">
        <f ca="1">IF(AB41="","",INDIRECT("aux_sheet_RRS!AL"&amp;1+MATCH(aux_sheet_RRS!$E40,aux_sheet_RRS!$D$2:$D$202,0)))</f>
        <v/>
      </c>
      <c r="AE41" s="88" t="str">
        <f ca="1">IF($B41="","",INDIRECT("aux_sheet_RRS!AM"&amp;1+MATCH(aux_sheet_RRS!$E40,aux_sheet_RRS!$D$2:$D$202,0)))</f>
        <v/>
      </c>
      <c r="AF41" s="89" t="str">
        <f ca="1">IF($B41="","",INDIRECT("aux_sheet_RRS!AN"&amp;1+MATCH(aux_sheet_RRS!$E40,aux_sheet_RRS!$D$2:$D$202,0)))</f>
        <v/>
      </c>
      <c r="AG41" s="90" t="str">
        <f ca="1">IF(AE41="","",INDIRECT("aux_sheet_RRS!AO"&amp;1+MATCH(aux_sheet_RRS!$E40,aux_sheet_RRS!$D$2:$D$202,0)))</f>
        <v/>
      </c>
      <c r="AH41" s="14" t="str">
        <f t="shared" ca="1" si="3"/>
        <v/>
      </c>
      <c r="AI41" t="str">
        <f t="shared" ca="1" si="4"/>
        <v/>
      </c>
      <c r="AJ41" t="str">
        <f t="shared" ca="1" si="5"/>
        <v/>
      </c>
    </row>
    <row r="42" spans="1:36" x14ac:dyDescent="0.35">
      <c r="A42" s="2" t="str">
        <f>IF(ISBLANK(Input!A41),"",ROUNDDOWN(aux_sheet_RRS!E41,0))</f>
        <v/>
      </c>
      <c r="B42" s="2" t="str">
        <f ca="1">IF(ISBLANK(Input!A41),"",INDIRECT("Input!A"&amp;1+MATCH(aux_sheet_RRS!$E41,aux_sheet_RRS!$D$2:$D$202,0)))</f>
        <v/>
      </c>
      <c r="C42" s="2" t="str">
        <f ca="1">IF(ISBLANK(Input!B41),"",INDIRECT("Input!B"&amp;1+MATCH(aux_sheet_RRS!$E41,aux_sheet_RRS!$D$2:$D$202,0)))</f>
        <v/>
      </c>
      <c r="D42" s="2" t="str">
        <f ca="1">IF(ISBLANK(Input!C41),"",INDIRECT("Input!C"&amp;1+MATCH(aux_sheet_RRS!$E41,aux_sheet_RRS!$D$2:$D$202,0)))</f>
        <v/>
      </c>
      <c r="E42" s="2" t="str">
        <f ca="1">IF(ISBLANK(Input!D41),"",INDIRECT("Input!D"&amp;1+MATCH(aux_sheet_RRS!$E41,aux_sheet_RRS!$D$2:$D$202,0)))</f>
        <v/>
      </c>
      <c r="F42" s="11" t="str">
        <f ca="1">INDIRECT("Input!H"&amp;1+MATCH(aux_sheet_RRS!$E41,aux_sheet_RRS!$D$2:$D$202,0))</f>
        <v xml:space="preserve"> </v>
      </c>
      <c r="G42" s="88" t="str">
        <f ca="1">IF($B42="","",INDIRECT("aux_sheet_RRS!O"&amp;1+MATCH(aux_sheet_RRS!$E41,aux_sheet_RRS!$D$2:$D$202,0)))</f>
        <v/>
      </c>
      <c r="H42" s="89" t="str">
        <f ca="1">IF($B42="","",INDIRECT("aux_sheet_RRS!P"&amp;1+MATCH(aux_sheet_RRS!$E41,aux_sheet_RRS!$D$2:$D$202,0)))</f>
        <v/>
      </c>
      <c r="I42" s="90" t="str">
        <f ca="1">IF(G42="","",ROUNDDOWN(INDIRECT("aux_sheet_RRS!Q"&amp;1+MATCH(aux_sheet_RRS!$E41,aux_sheet_RRS!$D$2:$D$202,0)),0))</f>
        <v/>
      </c>
      <c r="J42" s="106" t="str">
        <f ca="1">IF($B42="","",INDIRECT("aux_sheet_RRS!R"&amp;1+MATCH(aux_sheet_RRS!$E41,aux_sheet_RRS!$D$2:$D$202,0)))</f>
        <v/>
      </c>
      <c r="K42" s="89" t="str">
        <f ca="1">IF($B42="","",INDIRECT("aux_sheet_RRS!S"&amp;1+MATCH(aux_sheet_RRS!$E41,aux_sheet_RRS!$D$2:$D$202,0)))</f>
        <v/>
      </c>
      <c r="L42" s="90" t="str">
        <f ca="1">IF(J42="","",ROUNDDOWN(INDIRECT("aux_sheet_RRS!T"&amp;1+MATCH(aux_sheet_RRS!$E41,aux_sheet_RRS!$D$2:$D$202,0)),0))</f>
        <v/>
      </c>
      <c r="M42" s="106" t="str">
        <f ca="1">IF($B42="","",INDIRECT("aux_sheet_RRS!U"&amp;1+MATCH(aux_sheet_RRS!$E41,aux_sheet_RRS!$D$2:$D$202,0)))</f>
        <v/>
      </c>
      <c r="N42" s="89" t="str">
        <f ca="1">IF($B42="","",INDIRECT("aux_sheet_RRS!V"&amp;1+MATCH(aux_sheet_RRS!$E41,aux_sheet_RRS!$D$2:$D$202,0)))</f>
        <v/>
      </c>
      <c r="O42" s="90" t="str">
        <f ca="1">IF(M42="","",ROUNDDOWN(INDIRECT("aux_sheet_RRS!W"&amp;1+MATCH(aux_sheet_RRS!$E41,aux_sheet_RRS!$D$2:$D$202,0)),0))</f>
        <v/>
      </c>
      <c r="P42" s="106" t="str">
        <f ca="1">IF($B42="","",INDIRECT("aux_sheet_RRS!X"&amp;1+MATCH(aux_sheet_RRS!$E41,aux_sheet_RRS!$D$2:$D$202,0)))</f>
        <v/>
      </c>
      <c r="Q42" s="89" t="str">
        <f ca="1">IF($B42="","",INDIRECT("aux_sheet_RRS!Y"&amp;1+MATCH(aux_sheet_RRS!$E41,aux_sheet_RRS!$D$2:$D$202,0)))</f>
        <v/>
      </c>
      <c r="R42" s="90" t="str">
        <f ca="1">IF(P42="","",INDIRECT("aux_sheet_RRS!Z"&amp;1+MATCH(aux_sheet_RRS!$E41,aux_sheet_RRS!$D$2:$D$202,0)))</f>
        <v/>
      </c>
      <c r="S42" s="106" t="str">
        <f ca="1">IF($B42="","",INDIRECT("aux_sheet_RRS!AA"&amp;1+MATCH(aux_sheet_RRS!$E41,aux_sheet_RRS!$D$2:$D$202,0)))</f>
        <v/>
      </c>
      <c r="T42" s="89" t="str">
        <f ca="1">IF($B42="","",INDIRECT("aux_sheet_RRS!AB"&amp;1+MATCH(aux_sheet_RRS!$E41,aux_sheet_RRS!$D$2:$D$202,0)))</f>
        <v/>
      </c>
      <c r="U42" s="90" t="str">
        <f ca="1">IF(S42="","",INDIRECT("aux_sheet_RRS!AC"&amp;1+MATCH(aux_sheet_RRS!$E41,aux_sheet_RRS!$D$2:$D$202,0)))</f>
        <v/>
      </c>
      <c r="V42" s="106" t="str">
        <f ca="1">IF($B42="","",INDIRECT("aux_sheet_RRS!AD"&amp;1+MATCH(aux_sheet_RRS!$E41,aux_sheet_RRS!$D$2:$D$202,0)))</f>
        <v/>
      </c>
      <c r="W42" s="89" t="str">
        <f ca="1">IF($B42="","",INDIRECT("aux_sheet_RRS!AE"&amp;1+MATCH(aux_sheet_RRS!$E41,aux_sheet_RRS!$D$2:$D$202,0)))</f>
        <v/>
      </c>
      <c r="X42" s="90" t="str">
        <f ca="1">IF(V42="","",INDIRECT("aux_sheet_RRS!AF"&amp;1+MATCH(aux_sheet_RRS!$E41,aux_sheet_RRS!$D$2:$D$202,0)))</f>
        <v/>
      </c>
      <c r="Y42" s="106" t="str">
        <f ca="1">IF($B42="","",INDIRECT("aux_sheet_RRS!AG"&amp;1+MATCH(aux_sheet_RRS!$E41,aux_sheet_RRS!$D$2:$D$202,0)))</f>
        <v/>
      </c>
      <c r="Z42" s="89" t="str">
        <f ca="1">IF($B42="","",INDIRECT("aux_sheet_RRS!AH"&amp;1+MATCH(aux_sheet_RRS!$E41,aux_sheet_RRS!$D$2:$D$202,0)))</f>
        <v/>
      </c>
      <c r="AA42" s="90" t="str">
        <f ca="1">IF(Y42="","",INDIRECT("aux_sheet_RRS!AI"&amp;1+MATCH(aux_sheet_RRS!$E41,aux_sheet_RRS!$D$2:$D$202,0)))</f>
        <v/>
      </c>
      <c r="AB42" s="88" t="str">
        <f ca="1">IF($B42="","",INDIRECT("aux_sheet_RRS!AJ"&amp;1+MATCH(aux_sheet_RRS!$E41,aux_sheet_RRS!$D$2:$D$202,0)))</f>
        <v/>
      </c>
      <c r="AC42" s="89" t="str">
        <f ca="1">IF($B42="","",INDIRECT("aux_sheet_RRS!AK"&amp;1+MATCH(aux_sheet_RRS!$E41,aux_sheet_RRS!$D$2:$D$202,0)))</f>
        <v/>
      </c>
      <c r="AD42" s="90" t="str">
        <f ca="1">IF(AB42="","",INDIRECT("aux_sheet_RRS!AL"&amp;1+MATCH(aux_sheet_RRS!$E41,aux_sheet_RRS!$D$2:$D$202,0)))</f>
        <v/>
      </c>
      <c r="AE42" s="88" t="str">
        <f ca="1">IF($B42="","",INDIRECT("aux_sheet_RRS!AM"&amp;1+MATCH(aux_sheet_RRS!$E41,aux_sheet_RRS!$D$2:$D$202,0)))</f>
        <v/>
      </c>
      <c r="AF42" s="89" t="str">
        <f ca="1">IF($B42="","",INDIRECT("aux_sheet_RRS!AN"&amp;1+MATCH(aux_sheet_RRS!$E41,aux_sheet_RRS!$D$2:$D$202,0)))</f>
        <v/>
      </c>
      <c r="AG42" s="90" t="str">
        <f ca="1">IF(AE42="","",INDIRECT("aux_sheet_RRS!AO"&amp;1+MATCH(aux_sheet_RRS!$E41,aux_sheet_RRS!$D$2:$D$202,0)))</f>
        <v/>
      </c>
      <c r="AH42" s="14" t="str">
        <f t="shared" ca="1" si="3"/>
        <v/>
      </c>
      <c r="AI42" t="str">
        <f t="shared" ca="1" si="4"/>
        <v/>
      </c>
      <c r="AJ42" t="str">
        <f t="shared" ca="1" si="5"/>
        <v/>
      </c>
    </row>
    <row r="43" spans="1:36" x14ac:dyDescent="0.35">
      <c r="A43" s="2" t="str">
        <f>IF(ISBLANK(Input!A42),"",ROUNDDOWN(aux_sheet_RRS!E42,0))</f>
        <v/>
      </c>
      <c r="B43" s="2" t="str">
        <f ca="1">IF(ISBLANK(Input!A42),"",INDIRECT("Input!A"&amp;1+MATCH(aux_sheet_RRS!$E42,aux_sheet_RRS!$D$2:$D$202,0)))</f>
        <v/>
      </c>
      <c r="C43" s="2" t="str">
        <f ca="1">IF(ISBLANK(Input!B42),"",INDIRECT("Input!B"&amp;1+MATCH(aux_sheet_RRS!$E42,aux_sheet_RRS!$D$2:$D$202,0)))</f>
        <v/>
      </c>
      <c r="D43" s="2" t="str">
        <f ca="1">IF(ISBLANK(Input!C42),"",INDIRECT("Input!C"&amp;1+MATCH(aux_sheet_RRS!$E42,aux_sheet_RRS!$D$2:$D$202,0)))</f>
        <v/>
      </c>
      <c r="E43" s="2" t="str">
        <f ca="1">IF(ISBLANK(Input!D42),"",INDIRECT("Input!D"&amp;1+MATCH(aux_sheet_RRS!$E42,aux_sheet_RRS!$D$2:$D$202,0)))</f>
        <v/>
      </c>
      <c r="F43" s="11" t="str">
        <f ca="1">INDIRECT("Input!H"&amp;1+MATCH(aux_sheet_RRS!$E42,aux_sheet_RRS!$D$2:$D$202,0))</f>
        <v xml:space="preserve"> </v>
      </c>
      <c r="G43" s="88" t="str">
        <f ca="1">IF($B43="","",INDIRECT("aux_sheet_RRS!O"&amp;1+MATCH(aux_sheet_RRS!$E42,aux_sheet_RRS!$D$2:$D$202,0)))</f>
        <v/>
      </c>
      <c r="H43" s="89" t="str">
        <f ca="1">IF($B43="","",INDIRECT("aux_sheet_RRS!P"&amp;1+MATCH(aux_sheet_RRS!$E42,aux_sheet_RRS!$D$2:$D$202,0)))</f>
        <v/>
      </c>
      <c r="I43" s="90" t="str">
        <f ca="1">IF(G43="","",ROUNDDOWN(INDIRECT("aux_sheet_RRS!Q"&amp;1+MATCH(aux_sheet_RRS!$E42,aux_sheet_RRS!$D$2:$D$202,0)),0))</f>
        <v/>
      </c>
      <c r="J43" s="106" t="str">
        <f ca="1">IF($B43="","",INDIRECT("aux_sheet_RRS!R"&amp;1+MATCH(aux_sheet_RRS!$E42,aux_sheet_RRS!$D$2:$D$202,0)))</f>
        <v/>
      </c>
      <c r="K43" s="89" t="str">
        <f ca="1">IF($B43="","",INDIRECT("aux_sheet_RRS!S"&amp;1+MATCH(aux_sheet_RRS!$E42,aux_sheet_RRS!$D$2:$D$202,0)))</f>
        <v/>
      </c>
      <c r="L43" s="90" t="str">
        <f ca="1">IF(J43="","",ROUNDDOWN(INDIRECT("aux_sheet_RRS!T"&amp;1+MATCH(aux_sheet_RRS!$E42,aux_sheet_RRS!$D$2:$D$202,0)),0))</f>
        <v/>
      </c>
      <c r="M43" s="106" t="str">
        <f ca="1">IF($B43="","",INDIRECT("aux_sheet_RRS!U"&amp;1+MATCH(aux_sheet_RRS!$E42,aux_sheet_RRS!$D$2:$D$202,0)))</f>
        <v/>
      </c>
      <c r="N43" s="89" t="str">
        <f ca="1">IF($B43="","",INDIRECT("aux_sheet_RRS!V"&amp;1+MATCH(aux_sheet_RRS!$E42,aux_sheet_RRS!$D$2:$D$202,0)))</f>
        <v/>
      </c>
      <c r="O43" s="90" t="str">
        <f ca="1">IF(M43="","",ROUNDDOWN(INDIRECT("aux_sheet_RRS!W"&amp;1+MATCH(aux_sheet_RRS!$E42,aux_sheet_RRS!$D$2:$D$202,0)),0))</f>
        <v/>
      </c>
      <c r="P43" s="106" t="str">
        <f ca="1">IF($B43="","",INDIRECT("aux_sheet_RRS!X"&amp;1+MATCH(aux_sheet_RRS!$E42,aux_sheet_RRS!$D$2:$D$202,0)))</f>
        <v/>
      </c>
      <c r="Q43" s="89" t="str">
        <f ca="1">IF($B43="","",INDIRECT("aux_sheet_RRS!Y"&amp;1+MATCH(aux_sheet_RRS!$E42,aux_sheet_RRS!$D$2:$D$202,0)))</f>
        <v/>
      </c>
      <c r="R43" s="90" t="str">
        <f ca="1">IF(P43="","",INDIRECT("aux_sheet_RRS!Z"&amp;1+MATCH(aux_sheet_RRS!$E42,aux_sheet_RRS!$D$2:$D$202,0)))</f>
        <v/>
      </c>
      <c r="S43" s="106" t="str">
        <f ca="1">IF($B43="","",INDIRECT("aux_sheet_RRS!AA"&amp;1+MATCH(aux_sheet_RRS!$E42,aux_sheet_RRS!$D$2:$D$202,0)))</f>
        <v/>
      </c>
      <c r="T43" s="89" t="str">
        <f ca="1">IF($B43="","",INDIRECT("aux_sheet_RRS!AB"&amp;1+MATCH(aux_sheet_RRS!$E42,aux_sheet_RRS!$D$2:$D$202,0)))</f>
        <v/>
      </c>
      <c r="U43" s="90" t="str">
        <f ca="1">IF(S43="","",INDIRECT("aux_sheet_RRS!AC"&amp;1+MATCH(aux_sheet_RRS!$E42,aux_sheet_RRS!$D$2:$D$202,0)))</f>
        <v/>
      </c>
      <c r="V43" s="106" t="str">
        <f ca="1">IF($B43="","",INDIRECT("aux_sheet_RRS!AD"&amp;1+MATCH(aux_sheet_RRS!$E42,aux_sheet_RRS!$D$2:$D$202,0)))</f>
        <v/>
      </c>
      <c r="W43" s="89" t="str">
        <f ca="1">IF($B43="","",INDIRECT("aux_sheet_RRS!AE"&amp;1+MATCH(aux_sheet_RRS!$E42,aux_sheet_RRS!$D$2:$D$202,0)))</f>
        <v/>
      </c>
      <c r="X43" s="90" t="str">
        <f ca="1">IF(V43="","",INDIRECT("aux_sheet_RRS!AF"&amp;1+MATCH(aux_sheet_RRS!$E42,aux_sheet_RRS!$D$2:$D$202,0)))</f>
        <v/>
      </c>
      <c r="Y43" s="106" t="str">
        <f ca="1">IF($B43="","",INDIRECT("aux_sheet_RRS!AG"&amp;1+MATCH(aux_sheet_RRS!$E42,aux_sheet_RRS!$D$2:$D$202,0)))</f>
        <v/>
      </c>
      <c r="Z43" s="89" t="str">
        <f ca="1">IF($B43="","",INDIRECT("aux_sheet_RRS!AH"&amp;1+MATCH(aux_sheet_RRS!$E42,aux_sheet_RRS!$D$2:$D$202,0)))</f>
        <v/>
      </c>
      <c r="AA43" s="90" t="str">
        <f ca="1">IF(Y43="","",INDIRECT("aux_sheet_RRS!AI"&amp;1+MATCH(aux_sheet_RRS!$E42,aux_sheet_RRS!$D$2:$D$202,0)))</f>
        <v/>
      </c>
      <c r="AB43" s="88" t="str">
        <f ca="1">IF($B43="","",INDIRECT("aux_sheet_RRS!AJ"&amp;1+MATCH(aux_sheet_RRS!$E42,aux_sheet_RRS!$D$2:$D$202,0)))</f>
        <v/>
      </c>
      <c r="AC43" s="89" t="str">
        <f ca="1">IF($B43="","",INDIRECT("aux_sheet_RRS!AK"&amp;1+MATCH(aux_sheet_RRS!$E42,aux_sheet_RRS!$D$2:$D$202,0)))</f>
        <v/>
      </c>
      <c r="AD43" s="90" t="str">
        <f ca="1">IF(AB43="","",INDIRECT("aux_sheet_RRS!AL"&amp;1+MATCH(aux_sheet_RRS!$E42,aux_sheet_RRS!$D$2:$D$202,0)))</f>
        <v/>
      </c>
      <c r="AE43" s="88" t="str">
        <f ca="1">IF($B43="","",INDIRECT("aux_sheet_RRS!AM"&amp;1+MATCH(aux_sheet_RRS!$E42,aux_sheet_RRS!$D$2:$D$202,0)))</f>
        <v/>
      </c>
      <c r="AF43" s="89" t="str">
        <f ca="1">IF($B43="","",INDIRECT("aux_sheet_RRS!AN"&amp;1+MATCH(aux_sheet_RRS!$E42,aux_sheet_RRS!$D$2:$D$202,0)))</f>
        <v/>
      </c>
      <c r="AG43" s="90" t="str">
        <f ca="1">IF(AE43="","",INDIRECT("aux_sheet_RRS!AO"&amp;1+MATCH(aux_sheet_RRS!$E42,aux_sheet_RRS!$D$2:$D$202,0)))</f>
        <v/>
      </c>
      <c r="AH43" s="14" t="str">
        <f t="shared" ca="1" si="3"/>
        <v/>
      </c>
      <c r="AI43" t="str">
        <f t="shared" ca="1" si="4"/>
        <v/>
      </c>
      <c r="AJ43" t="str">
        <f t="shared" ca="1" si="5"/>
        <v/>
      </c>
    </row>
    <row r="44" spans="1:36" x14ac:dyDescent="0.35">
      <c r="A44" s="2" t="str">
        <f>IF(ISBLANK(Input!A43),"",ROUNDDOWN(aux_sheet_RRS!E43,0))</f>
        <v/>
      </c>
      <c r="B44" s="2" t="str">
        <f ca="1">IF(ISBLANK(Input!A43),"",INDIRECT("Input!A"&amp;1+MATCH(aux_sheet_RRS!$E43,aux_sheet_RRS!$D$2:$D$202,0)))</f>
        <v/>
      </c>
      <c r="C44" s="2" t="str">
        <f ca="1">IF(ISBLANK(Input!B43),"",INDIRECT("Input!B"&amp;1+MATCH(aux_sheet_RRS!$E43,aux_sheet_RRS!$D$2:$D$202,0)))</f>
        <v/>
      </c>
      <c r="D44" s="2" t="str">
        <f ca="1">IF(ISBLANK(Input!C43),"",INDIRECT("Input!C"&amp;1+MATCH(aux_sheet_RRS!$E43,aux_sheet_RRS!$D$2:$D$202,0)))</f>
        <v/>
      </c>
      <c r="E44" s="2" t="str">
        <f ca="1">IF(ISBLANK(Input!D43),"",INDIRECT("Input!D"&amp;1+MATCH(aux_sheet_RRS!$E43,aux_sheet_RRS!$D$2:$D$202,0)))</f>
        <v/>
      </c>
      <c r="F44" s="11" t="str">
        <f ca="1">INDIRECT("Input!H"&amp;1+MATCH(aux_sheet_RRS!$E43,aux_sheet_RRS!$D$2:$D$202,0))</f>
        <v xml:space="preserve"> </v>
      </c>
      <c r="G44" s="88" t="str">
        <f ca="1">IF($B44="","",INDIRECT("aux_sheet_RRS!O"&amp;1+MATCH(aux_sheet_RRS!$E43,aux_sheet_RRS!$D$2:$D$202,0)))</f>
        <v/>
      </c>
      <c r="H44" s="89" t="str">
        <f ca="1">IF($B44="","",INDIRECT("aux_sheet_RRS!P"&amp;1+MATCH(aux_sheet_RRS!$E43,aux_sheet_RRS!$D$2:$D$202,0)))</f>
        <v/>
      </c>
      <c r="I44" s="90" t="str">
        <f ca="1">IF(G44="","",ROUNDDOWN(INDIRECT("aux_sheet_RRS!Q"&amp;1+MATCH(aux_sheet_RRS!$E43,aux_sheet_RRS!$D$2:$D$202,0)),0))</f>
        <v/>
      </c>
      <c r="J44" s="106" t="str">
        <f ca="1">IF($B44="","",INDIRECT("aux_sheet_RRS!R"&amp;1+MATCH(aux_sheet_RRS!$E43,aux_sheet_RRS!$D$2:$D$202,0)))</f>
        <v/>
      </c>
      <c r="K44" s="89" t="str">
        <f ca="1">IF($B44="","",INDIRECT("aux_sheet_RRS!S"&amp;1+MATCH(aux_sheet_RRS!$E43,aux_sheet_RRS!$D$2:$D$202,0)))</f>
        <v/>
      </c>
      <c r="L44" s="90" t="str">
        <f ca="1">IF(J44="","",ROUNDDOWN(INDIRECT("aux_sheet_RRS!T"&amp;1+MATCH(aux_sheet_RRS!$E43,aux_sheet_RRS!$D$2:$D$202,0)),0))</f>
        <v/>
      </c>
      <c r="M44" s="106" t="str">
        <f ca="1">IF($B44="","",INDIRECT("aux_sheet_RRS!U"&amp;1+MATCH(aux_sheet_RRS!$E43,aux_sheet_RRS!$D$2:$D$202,0)))</f>
        <v/>
      </c>
      <c r="N44" s="89" t="str">
        <f ca="1">IF($B44="","",INDIRECT("aux_sheet_RRS!V"&amp;1+MATCH(aux_sheet_RRS!$E43,aux_sheet_RRS!$D$2:$D$202,0)))</f>
        <v/>
      </c>
      <c r="O44" s="90" t="str">
        <f ca="1">IF(M44="","",ROUNDDOWN(INDIRECT("aux_sheet_RRS!W"&amp;1+MATCH(aux_sheet_RRS!$E43,aux_sheet_RRS!$D$2:$D$202,0)),0))</f>
        <v/>
      </c>
      <c r="P44" s="106" t="str">
        <f ca="1">IF($B44="","",INDIRECT("aux_sheet_RRS!X"&amp;1+MATCH(aux_sheet_RRS!$E43,aux_sheet_RRS!$D$2:$D$202,0)))</f>
        <v/>
      </c>
      <c r="Q44" s="89" t="str">
        <f ca="1">IF($B44="","",INDIRECT("aux_sheet_RRS!Y"&amp;1+MATCH(aux_sheet_RRS!$E43,aux_sheet_RRS!$D$2:$D$202,0)))</f>
        <v/>
      </c>
      <c r="R44" s="90" t="str">
        <f ca="1">IF(P44="","",INDIRECT("aux_sheet_RRS!Z"&amp;1+MATCH(aux_sheet_RRS!$E43,aux_sheet_RRS!$D$2:$D$202,0)))</f>
        <v/>
      </c>
      <c r="S44" s="106" t="str">
        <f ca="1">IF($B44="","",INDIRECT("aux_sheet_RRS!AA"&amp;1+MATCH(aux_sheet_RRS!$E43,aux_sheet_RRS!$D$2:$D$202,0)))</f>
        <v/>
      </c>
      <c r="T44" s="89" t="str">
        <f ca="1">IF($B44="","",INDIRECT("aux_sheet_RRS!AB"&amp;1+MATCH(aux_sheet_RRS!$E43,aux_sheet_RRS!$D$2:$D$202,0)))</f>
        <v/>
      </c>
      <c r="U44" s="90" t="str">
        <f ca="1">IF(S44="","",INDIRECT("aux_sheet_RRS!AC"&amp;1+MATCH(aux_sheet_RRS!$E43,aux_sheet_RRS!$D$2:$D$202,0)))</f>
        <v/>
      </c>
      <c r="V44" s="106" t="str">
        <f ca="1">IF($B44="","",INDIRECT("aux_sheet_RRS!AD"&amp;1+MATCH(aux_sheet_RRS!$E43,aux_sheet_RRS!$D$2:$D$202,0)))</f>
        <v/>
      </c>
      <c r="W44" s="89" t="str">
        <f ca="1">IF($B44="","",INDIRECT("aux_sheet_RRS!AE"&amp;1+MATCH(aux_sheet_RRS!$E43,aux_sheet_RRS!$D$2:$D$202,0)))</f>
        <v/>
      </c>
      <c r="X44" s="90" t="str">
        <f ca="1">IF(V44="","",INDIRECT("aux_sheet_RRS!AF"&amp;1+MATCH(aux_sheet_RRS!$E43,aux_sheet_RRS!$D$2:$D$202,0)))</f>
        <v/>
      </c>
      <c r="Y44" s="106" t="str">
        <f ca="1">IF($B44="","",INDIRECT("aux_sheet_RRS!AG"&amp;1+MATCH(aux_sheet_RRS!$E43,aux_sheet_RRS!$D$2:$D$202,0)))</f>
        <v/>
      </c>
      <c r="Z44" s="89" t="str">
        <f ca="1">IF($B44="","",INDIRECT("aux_sheet_RRS!AH"&amp;1+MATCH(aux_sheet_RRS!$E43,aux_sheet_RRS!$D$2:$D$202,0)))</f>
        <v/>
      </c>
      <c r="AA44" s="90" t="str">
        <f ca="1">IF(Y44="","",INDIRECT("aux_sheet_RRS!AI"&amp;1+MATCH(aux_sheet_RRS!$E43,aux_sheet_RRS!$D$2:$D$202,0)))</f>
        <v/>
      </c>
      <c r="AB44" s="88" t="str">
        <f ca="1">IF($B44="","",INDIRECT("aux_sheet_RRS!AJ"&amp;1+MATCH(aux_sheet_RRS!$E43,aux_sheet_RRS!$D$2:$D$202,0)))</f>
        <v/>
      </c>
      <c r="AC44" s="89" t="str">
        <f ca="1">IF($B44="","",INDIRECT("aux_sheet_RRS!AK"&amp;1+MATCH(aux_sheet_RRS!$E43,aux_sheet_RRS!$D$2:$D$202,0)))</f>
        <v/>
      </c>
      <c r="AD44" s="90" t="str">
        <f ca="1">IF(AB44="","",INDIRECT("aux_sheet_RRS!AL"&amp;1+MATCH(aux_sheet_RRS!$E43,aux_sheet_RRS!$D$2:$D$202,0)))</f>
        <v/>
      </c>
      <c r="AE44" s="88" t="str">
        <f ca="1">IF($B44="","",INDIRECT("aux_sheet_RRS!AM"&amp;1+MATCH(aux_sheet_RRS!$E43,aux_sheet_RRS!$D$2:$D$202,0)))</f>
        <v/>
      </c>
      <c r="AF44" s="89" t="str">
        <f ca="1">IF($B44="","",INDIRECT("aux_sheet_RRS!AN"&amp;1+MATCH(aux_sheet_RRS!$E43,aux_sheet_RRS!$D$2:$D$202,0)))</f>
        <v/>
      </c>
      <c r="AG44" s="90" t="str">
        <f ca="1">IF(AE44="","",INDIRECT("aux_sheet_RRS!AO"&amp;1+MATCH(aux_sheet_RRS!$E43,aux_sheet_RRS!$D$2:$D$202,0)))</f>
        <v/>
      </c>
      <c r="AH44" s="14" t="str">
        <f t="shared" ca="1" si="3"/>
        <v/>
      </c>
      <c r="AI44" t="str">
        <f t="shared" ca="1" si="4"/>
        <v/>
      </c>
      <c r="AJ44" t="str">
        <f t="shared" ca="1" si="5"/>
        <v/>
      </c>
    </row>
    <row r="45" spans="1:36" x14ac:dyDescent="0.35">
      <c r="A45" s="2" t="str">
        <f>IF(ISBLANK(Input!A44),"",ROUNDDOWN(aux_sheet_RRS!E44,0))</f>
        <v/>
      </c>
      <c r="B45" s="2" t="str">
        <f ca="1">IF(ISBLANK(Input!A44),"",INDIRECT("Input!A"&amp;1+MATCH(aux_sheet_RRS!$E44,aux_sheet_RRS!$D$2:$D$202,0)))</f>
        <v/>
      </c>
      <c r="C45" s="2" t="str">
        <f ca="1">IF(ISBLANK(Input!B44),"",INDIRECT("Input!B"&amp;1+MATCH(aux_sheet_RRS!$E44,aux_sheet_RRS!$D$2:$D$202,0)))</f>
        <v/>
      </c>
      <c r="D45" s="2" t="str">
        <f ca="1">IF(ISBLANK(Input!C44),"",INDIRECT("Input!C"&amp;1+MATCH(aux_sheet_RRS!$E44,aux_sheet_RRS!$D$2:$D$202,0)))</f>
        <v/>
      </c>
      <c r="E45" s="2" t="str">
        <f ca="1">IF(ISBLANK(Input!D44),"",INDIRECT("Input!D"&amp;1+MATCH(aux_sheet_RRS!$E44,aux_sheet_RRS!$D$2:$D$202,0)))</f>
        <v/>
      </c>
      <c r="F45" s="11" t="str">
        <f ca="1">INDIRECT("Input!H"&amp;1+MATCH(aux_sheet_RRS!$E44,aux_sheet_RRS!$D$2:$D$202,0))</f>
        <v xml:space="preserve"> </v>
      </c>
      <c r="G45" s="88" t="str">
        <f ca="1">IF($B45="","",INDIRECT("aux_sheet_RRS!O"&amp;1+MATCH(aux_sheet_RRS!$E44,aux_sheet_RRS!$D$2:$D$202,0)))</f>
        <v/>
      </c>
      <c r="H45" s="89" t="str">
        <f ca="1">IF($B45="","",INDIRECT("aux_sheet_RRS!P"&amp;1+MATCH(aux_sheet_RRS!$E44,aux_sheet_RRS!$D$2:$D$202,0)))</f>
        <v/>
      </c>
      <c r="I45" s="90" t="str">
        <f ca="1">IF(G45="","",ROUNDDOWN(INDIRECT("aux_sheet_RRS!Q"&amp;1+MATCH(aux_sheet_RRS!$E44,aux_sheet_RRS!$D$2:$D$202,0)),0))</f>
        <v/>
      </c>
      <c r="J45" s="106" t="str">
        <f ca="1">IF($B45="","",INDIRECT("aux_sheet_RRS!R"&amp;1+MATCH(aux_sheet_RRS!$E44,aux_sheet_RRS!$D$2:$D$202,0)))</f>
        <v/>
      </c>
      <c r="K45" s="89" t="str">
        <f ca="1">IF($B45="","",INDIRECT("aux_sheet_RRS!S"&amp;1+MATCH(aux_sheet_RRS!$E44,aux_sheet_RRS!$D$2:$D$202,0)))</f>
        <v/>
      </c>
      <c r="L45" s="90" t="str">
        <f ca="1">IF(J45="","",ROUNDDOWN(INDIRECT("aux_sheet_RRS!T"&amp;1+MATCH(aux_sheet_RRS!$E44,aux_sheet_RRS!$D$2:$D$202,0)),0))</f>
        <v/>
      </c>
      <c r="M45" s="106" t="str">
        <f ca="1">IF($B45="","",INDIRECT("aux_sheet_RRS!U"&amp;1+MATCH(aux_sheet_RRS!$E44,aux_sheet_RRS!$D$2:$D$202,0)))</f>
        <v/>
      </c>
      <c r="N45" s="89" t="str">
        <f ca="1">IF($B45="","",INDIRECT("aux_sheet_RRS!V"&amp;1+MATCH(aux_sheet_RRS!$E44,aux_sheet_RRS!$D$2:$D$202,0)))</f>
        <v/>
      </c>
      <c r="O45" s="90" t="str">
        <f ca="1">IF(M45="","",ROUNDDOWN(INDIRECT("aux_sheet_RRS!W"&amp;1+MATCH(aux_sheet_RRS!$E44,aux_sheet_RRS!$D$2:$D$202,0)),0))</f>
        <v/>
      </c>
      <c r="P45" s="106" t="str">
        <f ca="1">IF($B45="","",INDIRECT("aux_sheet_RRS!X"&amp;1+MATCH(aux_sheet_RRS!$E44,aux_sheet_RRS!$D$2:$D$202,0)))</f>
        <v/>
      </c>
      <c r="Q45" s="89" t="str">
        <f ca="1">IF($B45="","",INDIRECT("aux_sheet_RRS!Y"&amp;1+MATCH(aux_sheet_RRS!$E44,aux_sheet_RRS!$D$2:$D$202,0)))</f>
        <v/>
      </c>
      <c r="R45" s="90" t="str">
        <f ca="1">IF(P45="","",INDIRECT("aux_sheet_RRS!Z"&amp;1+MATCH(aux_sheet_RRS!$E44,aux_sheet_RRS!$D$2:$D$202,0)))</f>
        <v/>
      </c>
      <c r="S45" s="106" t="str">
        <f ca="1">IF($B45="","",INDIRECT("aux_sheet_RRS!AA"&amp;1+MATCH(aux_sheet_RRS!$E44,aux_sheet_RRS!$D$2:$D$202,0)))</f>
        <v/>
      </c>
      <c r="T45" s="89" t="str">
        <f ca="1">IF($B45="","",INDIRECT("aux_sheet_RRS!AB"&amp;1+MATCH(aux_sheet_RRS!$E44,aux_sheet_RRS!$D$2:$D$202,0)))</f>
        <v/>
      </c>
      <c r="U45" s="90" t="str">
        <f ca="1">IF(S45="","",INDIRECT("aux_sheet_RRS!AC"&amp;1+MATCH(aux_sheet_RRS!$E44,aux_sheet_RRS!$D$2:$D$202,0)))</f>
        <v/>
      </c>
      <c r="V45" s="106" t="str">
        <f ca="1">IF($B45="","",INDIRECT("aux_sheet_RRS!AD"&amp;1+MATCH(aux_sheet_RRS!$E44,aux_sheet_RRS!$D$2:$D$202,0)))</f>
        <v/>
      </c>
      <c r="W45" s="89" t="str">
        <f ca="1">IF($B45="","",INDIRECT("aux_sheet_RRS!AE"&amp;1+MATCH(aux_sheet_RRS!$E44,aux_sheet_RRS!$D$2:$D$202,0)))</f>
        <v/>
      </c>
      <c r="X45" s="90" t="str">
        <f ca="1">IF(V45="","",INDIRECT("aux_sheet_RRS!AF"&amp;1+MATCH(aux_sheet_RRS!$E44,aux_sheet_RRS!$D$2:$D$202,0)))</f>
        <v/>
      </c>
      <c r="Y45" s="106" t="str">
        <f ca="1">IF($B45="","",INDIRECT("aux_sheet_RRS!AG"&amp;1+MATCH(aux_sheet_RRS!$E44,aux_sheet_RRS!$D$2:$D$202,0)))</f>
        <v/>
      </c>
      <c r="Z45" s="89" t="str">
        <f ca="1">IF($B45="","",INDIRECT("aux_sheet_RRS!AH"&amp;1+MATCH(aux_sheet_RRS!$E44,aux_sheet_RRS!$D$2:$D$202,0)))</f>
        <v/>
      </c>
      <c r="AA45" s="90" t="str">
        <f ca="1">IF(Y45="","",INDIRECT("aux_sheet_RRS!AI"&amp;1+MATCH(aux_sheet_RRS!$E44,aux_sheet_RRS!$D$2:$D$202,0)))</f>
        <v/>
      </c>
      <c r="AB45" s="88" t="str">
        <f ca="1">IF($B45="","",INDIRECT("aux_sheet_RRS!AJ"&amp;1+MATCH(aux_sheet_RRS!$E44,aux_sheet_RRS!$D$2:$D$202,0)))</f>
        <v/>
      </c>
      <c r="AC45" s="89" t="str">
        <f ca="1">IF($B45="","",INDIRECT("aux_sheet_RRS!AK"&amp;1+MATCH(aux_sheet_RRS!$E44,aux_sheet_RRS!$D$2:$D$202,0)))</f>
        <v/>
      </c>
      <c r="AD45" s="90" t="str">
        <f ca="1">IF(AB45="","",INDIRECT("aux_sheet_RRS!AL"&amp;1+MATCH(aux_sheet_RRS!$E44,aux_sheet_RRS!$D$2:$D$202,0)))</f>
        <v/>
      </c>
      <c r="AE45" s="88" t="str">
        <f ca="1">IF($B45="","",INDIRECT("aux_sheet_RRS!AM"&amp;1+MATCH(aux_sheet_RRS!$E44,aux_sheet_RRS!$D$2:$D$202,0)))</f>
        <v/>
      </c>
      <c r="AF45" s="89" t="str">
        <f ca="1">IF($B45="","",INDIRECT("aux_sheet_RRS!AN"&amp;1+MATCH(aux_sheet_RRS!$E44,aux_sheet_RRS!$D$2:$D$202,0)))</f>
        <v/>
      </c>
      <c r="AG45" s="90" t="str">
        <f ca="1">IF(AE45="","",INDIRECT("aux_sheet_RRS!AO"&amp;1+MATCH(aux_sheet_RRS!$E44,aux_sheet_RRS!$D$2:$D$202,0)))</f>
        <v/>
      </c>
      <c r="AH45" s="14" t="str">
        <f t="shared" ca="1" si="3"/>
        <v/>
      </c>
      <c r="AI45" t="str">
        <f t="shared" ca="1" si="4"/>
        <v/>
      </c>
      <c r="AJ45" t="str">
        <f t="shared" ca="1" si="5"/>
        <v/>
      </c>
    </row>
    <row r="46" spans="1:36" x14ac:dyDescent="0.35">
      <c r="A46" s="2" t="str">
        <f>IF(ISBLANK(Input!A45),"",ROUNDDOWN(aux_sheet_RRS!E45,0))</f>
        <v/>
      </c>
      <c r="B46" s="2" t="str">
        <f ca="1">IF(ISBLANK(Input!A45),"",INDIRECT("Input!A"&amp;1+MATCH(aux_sheet_RRS!$E45,aux_sheet_RRS!$D$2:$D$202,0)))</f>
        <v/>
      </c>
      <c r="C46" s="2" t="str">
        <f ca="1">IF(ISBLANK(Input!B45),"",INDIRECT("Input!B"&amp;1+MATCH(aux_sheet_RRS!$E45,aux_sheet_RRS!$D$2:$D$202,0)))</f>
        <v/>
      </c>
      <c r="D46" s="2" t="str">
        <f ca="1">IF(ISBLANK(Input!C45),"",INDIRECT("Input!C"&amp;1+MATCH(aux_sheet_RRS!$E45,aux_sheet_RRS!$D$2:$D$202,0)))</f>
        <v/>
      </c>
      <c r="E46" s="2" t="str">
        <f ca="1">IF(ISBLANK(Input!D45),"",INDIRECT("Input!D"&amp;1+MATCH(aux_sheet_RRS!$E45,aux_sheet_RRS!$D$2:$D$202,0)))</f>
        <v/>
      </c>
      <c r="F46" s="11" t="str">
        <f ca="1">INDIRECT("Input!H"&amp;1+MATCH(aux_sheet_RRS!$E45,aux_sheet_RRS!$D$2:$D$202,0))</f>
        <v xml:space="preserve"> </v>
      </c>
      <c r="G46" s="88" t="str">
        <f ca="1">IF($B46="","",INDIRECT("aux_sheet_RRS!O"&amp;1+MATCH(aux_sheet_RRS!$E45,aux_sheet_RRS!$D$2:$D$202,0)))</f>
        <v/>
      </c>
      <c r="H46" s="89" t="str">
        <f ca="1">IF($B46="","",INDIRECT("aux_sheet_RRS!P"&amp;1+MATCH(aux_sheet_RRS!$E45,aux_sheet_RRS!$D$2:$D$202,0)))</f>
        <v/>
      </c>
      <c r="I46" s="90" t="str">
        <f ca="1">IF(G46="","",ROUNDDOWN(INDIRECT("aux_sheet_RRS!Q"&amp;1+MATCH(aux_sheet_RRS!$E45,aux_sheet_RRS!$D$2:$D$202,0)),0))</f>
        <v/>
      </c>
      <c r="J46" s="106" t="str">
        <f ca="1">IF($B46="","",INDIRECT("aux_sheet_RRS!R"&amp;1+MATCH(aux_sheet_RRS!$E45,aux_sheet_RRS!$D$2:$D$202,0)))</f>
        <v/>
      </c>
      <c r="K46" s="89" t="str">
        <f ca="1">IF($B46="","",INDIRECT("aux_sheet_RRS!S"&amp;1+MATCH(aux_sheet_RRS!$E45,aux_sheet_RRS!$D$2:$D$202,0)))</f>
        <v/>
      </c>
      <c r="L46" s="90" t="str">
        <f ca="1">IF(J46="","",ROUNDDOWN(INDIRECT("aux_sheet_RRS!T"&amp;1+MATCH(aux_sheet_RRS!$E45,aux_sheet_RRS!$D$2:$D$202,0)),0))</f>
        <v/>
      </c>
      <c r="M46" s="106" t="str">
        <f ca="1">IF($B46="","",INDIRECT("aux_sheet_RRS!U"&amp;1+MATCH(aux_sheet_RRS!$E45,aux_sheet_RRS!$D$2:$D$202,0)))</f>
        <v/>
      </c>
      <c r="N46" s="89" t="str">
        <f ca="1">IF($B46="","",INDIRECT("aux_sheet_RRS!V"&amp;1+MATCH(aux_sheet_RRS!$E45,aux_sheet_RRS!$D$2:$D$202,0)))</f>
        <v/>
      </c>
      <c r="O46" s="90" t="str">
        <f ca="1">IF(M46="","",ROUNDDOWN(INDIRECT("aux_sheet_RRS!W"&amp;1+MATCH(aux_sheet_RRS!$E45,aux_sheet_RRS!$D$2:$D$202,0)),0))</f>
        <v/>
      </c>
      <c r="P46" s="106" t="str">
        <f ca="1">IF($B46="","",INDIRECT("aux_sheet_RRS!X"&amp;1+MATCH(aux_sheet_RRS!$E45,aux_sheet_RRS!$D$2:$D$202,0)))</f>
        <v/>
      </c>
      <c r="Q46" s="89" t="str">
        <f ca="1">IF($B46="","",INDIRECT("aux_sheet_RRS!Y"&amp;1+MATCH(aux_sheet_RRS!$E45,aux_sheet_RRS!$D$2:$D$202,0)))</f>
        <v/>
      </c>
      <c r="R46" s="90" t="str">
        <f ca="1">IF(P46="","",INDIRECT("aux_sheet_RRS!Z"&amp;1+MATCH(aux_sheet_RRS!$E45,aux_sheet_RRS!$D$2:$D$202,0)))</f>
        <v/>
      </c>
      <c r="S46" s="106" t="str">
        <f ca="1">IF($B46="","",INDIRECT("aux_sheet_RRS!AA"&amp;1+MATCH(aux_sheet_RRS!$E45,aux_sheet_RRS!$D$2:$D$202,0)))</f>
        <v/>
      </c>
      <c r="T46" s="89" t="str">
        <f ca="1">IF($B46="","",INDIRECT("aux_sheet_RRS!AB"&amp;1+MATCH(aux_sheet_RRS!$E45,aux_sheet_RRS!$D$2:$D$202,0)))</f>
        <v/>
      </c>
      <c r="U46" s="90" t="str">
        <f ca="1">IF(S46="","",INDIRECT("aux_sheet_RRS!AC"&amp;1+MATCH(aux_sheet_RRS!$E45,aux_sheet_RRS!$D$2:$D$202,0)))</f>
        <v/>
      </c>
      <c r="V46" s="106" t="str">
        <f ca="1">IF($B46="","",INDIRECT("aux_sheet_RRS!AD"&amp;1+MATCH(aux_sheet_RRS!$E45,aux_sheet_RRS!$D$2:$D$202,0)))</f>
        <v/>
      </c>
      <c r="W46" s="89" t="str">
        <f ca="1">IF($B46="","",INDIRECT("aux_sheet_RRS!AE"&amp;1+MATCH(aux_sheet_RRS!$E45,aux_sheet_RRS!$D$2:$D$202,0)))</f>
        <v/>
      </c>
      <c r="X46" s="90" t="str">
        <f ca="1">IF(V46="","",INDIRECT("aux_sheet_RRS!AF"&amp;1+MATCH(aux_sheet_RRS!$E45,aux_sheet_RRS!$D$2:$D$202,0)))</f>
        <v/>
      </c>
      <c r="Y46" s="106" t="str">
        <f ca="1">IF($B46="","",INDIRECT("aux_sheet_RRS!AG"&amp;1+MATCH(aux_sheet_RRS!$E45,aux_sheet_RRS!$D$2:$D$202,0)))</f>
        <v/>
      </c>
      <c r="Z46" s="89" t="str">
        <f ca="1">IF($B46="","",INDIRECT("aux_sheet_RRS!AH"&amp;1+MATCH(aux_sheet_RRS!$E45,aux_sheet_RRS!$D$2:$D$202,0)))</f>
        <v/>
      </c>
      <c r="AA46" s="90" t="str">
        <f ca="1">IF(Y46="","",INDIRECT("aux_sheet_RRS!AI"&amp;1+MATCH(aux_sheet_RRS!$E45,aux_sheet_RRS!$D$2:$D$202,0)))</f>
        <v/>
      </c>
      <c r="AB46" s="88" t="str">
        <f ca="1">IF($B46="","",INDIRECT("aux_sheet_RRS!AJ"&amp;1+MATCH(aux_sheet_RRS!$E45,aux_sheet_RRS!$D$2:$D$202,0)))</f>
        <v/>
      </c>
      <c r="AC46" s="89" t="str">
        <f ca="1">IF($B46="","",INDIRECT("aux_sheet_RRS!AK"&amp;1+MATCH(aux_sheet_RRS!$E45,aux_sheet_RRS!$D$2:$D$202,0)))</f>
        <v/>
      </c>
      <c r="AD46" s="90" t="str">
        <f ca="1">IF(AB46="","",INDIRECT("aux_sheet_RRS!AL"&amp;1+MATCH(aux_sheet_RRS!$E45,aux_sheet_RRS!$D$2:$D$202,0)))</f>
        <v/>
      </c>
      <c r="AE46" s="88" t="str">
        <f ca="1">IF($B46="","",INDIRECT("aux_sheet_RRS!AM"&amp;1+MATCH(aux_sheet_RRS!$E45,aux_sheet_RRS!$D$2:$D$202,0)))</f>
        <v/>
      </c>
      <c r="AF46" s="89" t="str">
        <f ca="1">IF($B46="","",INDIRECT("aux_sheet_RRS!AN"&amp;1+MATCH(aux_sheet_RRS!$E45,aux_sheet_RRS!$D$2:$D$202,0)))</f>
        <v/>
      </c>
      <c r="AG46" s="90" t="str">
        <f ca="1">IF(AE46="","",INDIRECT("aux_sheet_RRS!AO"&amp;1+MATCH(aux_sheet_RRS!$E45,aux_sheet_RRS!$D$2:$D$202,0)))</f>
        <v/>
      </c>
      <c r="AH46" s="14" t="str">
        <f t="shared" ca="1" si="3"/>
        <v/>
      </c>
      <c r="AI46" t="str">
        <f t="shared" ca="1" si="4"/>
        <v/>
      </c>
      <c r="AJ46" t="str">
        <f t="shared" ca="1" si="5"/>
        <v/>
      </c>
    </row>
    <row r="47" spans="1:36" x14ac:dyDescent="0.35">
      <c r="A47" s="2" t="str">
        <f>IF(ISBLANK(Input!A46),"",ROUNDDOWN(aux_sheet_RRS!E46,0))</f>
        <v/>
      </c>
      <c r="B47" s="2" t="str">
        <f ca="1">IF(ISBLANK(Input!A46),"",INDIRECT("Input!A"&amp;1+MATCH(aux_sheet_RRS!$E46,aux_sheet_RRS!$D$2:$D$202,0)))</f>
        <v/>
      </c>
      <c r="C47" s="2" t="str">
        <f ca="1">IF(ISBLANK(Input!B46),"",INDIRECT("Input!B"&amp;1+MATCH(aux_sheet_RRS!$E46,aux_sheet_RRS!$D$2:$D$202,0)))</f>
        <v/>
      </c>
      <c r="D47" s="2" t="str">
        <f ca="1">IF(ISBLANK(Input!C46),"",INDIRECT("Input!C"&amp;1+MATCH(aux_sheet_RRS!$E46,aux_sheet_RRS!$D$2:$D$202,0)))</f>
        <v/>
      </c>
      <c r="E47" s="2" t="str">
        <f ca="1">IF(ISBLANK(Input!D46),"",INDIRECT("Input!D"&amp;1+MATCH(aux_sheet_RRS!$E46,aux_sheet_RRS!$D$2:$D$202,0)))</f>
        <v/>
      </c>
      <c r="F47" s="11" t="str">
        <f ca="1">INDIRECT("Input!H"&amp;1+MATCH(aux_sheet_RRS!$E46,aux_sheet_RRS!$D$2:$D$202,0))</f>
        <v xml:space="preserve"> </v>
      </c>
      <c r="G47" s="88" t="str">
        <f ca="1">IF($B47="","",INDIRECT("aux_sheet_RRS!O"&amp;1+MATCH(aux_sheet_RRS!$E46,aux_sheet_RRS!$D$2:$D$202,0)))</f>
        <v/>
      </c>
      <c r="H47" s="89" t="str">
        <f ca="1">IF($B47="","",INDIRECT("aux_sheet_RRS!P"&amp;1+MATCH(aux_sheet_RRS!$E46,aux_sheet_RRS!$D$2:$D$202,0)))</f>
        <v/>
      </c>
      <c r="I47" s="90" t="str">
        <f ca="1">IF(G47="","",ROUNDDOWN(INDIRECT("aux_sheet_RRS!Q"&amp;1+MATCH(aux_sheet_RRS!$E46,aux_sheet_RRS!$D$2:$D$202,0)),0))</f>
        <v/>
      </c>
      <c r="J47" s="106" t="str">
        <f ca="1">IF($B47="","",INDIRECT("aux_sheet_RRS!R"&amp;1+MATCH(aux_sheet_RRS!$E46,aux_sheet_RRS!$D$2:$D$202,0)))</f>
        <v/>
      </c>
      <c r="K47" s="89" t="str">
        <f ca="1">IF($B47="","",INDIRECT("aux_sheet_RRS!S"&amp;1+MATCH(aux_sheet_RRS!$E46,aux_sheet_RRS!$D$2:$D$202,0)))</f>
        <v/>
      </c>
      <c r="L47" s="90" t="str">
        <f ca="1">IF(J47="","",ROUNDDOWN(INDIRECT("aux_sheet_RRS!T"&amp;1+MATCH(aux_sheet_RRS!$E46,aux_sheet_RRS!$D$2:$D$202,0)),0))</f>
        <v/>
      </c>
      <c r="M47" s="106" t="str">
        <f ca="1">IF($B47="","",INDIRECT("aux_sheet_RRS!U"&amp;1+MATCH(aux_sheet_RRS!$E46,aux_sheet_RRS!$D$2:$D$202,0)))</f>
        <v/>
      </c>
      <c r="N47" s="89" t="str">
        <f ca="1">IF($B47="","",INDIRECT("aux_sheet_RRS!V"&amp;1+MATCH(aux_sheet_RRS!$E46,aux_sheet_RRS!$D$2:$D$202,0)))</f>
        <v/>
      </c>
      <c r="O47" s="90" t="str">
        <f ca="1">IF(M47="","",ROUNDDOWN(INDIRECT("aux_sheet_RRS!W"&amp;1+MATCH(aux_sheet_RRS!$E46,aux_sheet_RRS!$D$2:$D$202,0)),0))</f>
        <v/>
      </c>
      <c r="P47" s="106" t="str">
        <f ca="1">IF($B47="","",INDIRECT("aux_sheet_RRS!X"&amp;1+MATCH(aux_sheet_RRS!$E46,aux_sheet_RRS!$D$2:$D$202,0)))</f>
        <v/>
      </c>
      <c r="Q47" s="89" t="str">
        <f ca="1">IF($B47="","",INDIRECT("aux_sheet_RRS!Y"&amp;1+MATCH(aux_sheet_RRS!$E46,aux_sheet_RRS!$D$2:$D$202,0)))</f>
        <v/>
      </c>
      <c r="R47" s="90" t="str">
        <f ca="1">IF(P47="","",INDIRECT("aux_sheet_RRS!Z"&amp;1+MATCH(aux_sheet_RRS!$E46,aux_sheet_RRS!$D$2:$D$202,0)))</f>
        <v/>
      </c>
      <c r="S47" s="106" t="str">
        <f ca="1">IF($B47="","",INDIRECT("aux_sheet_RRS!AA"&amp;1+MATCH(aux_sheet_RRS!$E46,aux_sheet_RRS!$D$2:$D$202,0)))</f>
        <v/>
      </c>
      <c r="T47" s="89" t="str">
        <f ca="1">IF($B47="","",INDIRECT("aux_sheet_RRS!AB"&amp;1+MATCH(aux_sheet_RRS!$E46,aux_sheet_RRS!$D$2:$D$202,0)))</f>
        <v/>
      </c>
      <c r="U47" s="90" t="str">
        <f ca="1">IF(S47="","",INDIRECT("aux_sheet_RRS!AC"&amp;1+MATCH(aux_sheet_RRS!$E46,aux_sheet_RRS!$D$2:$D$202,0)))</f>
        <v/>
      </c>
      <c r="V47" s="106" t="str">
        <f ca="1">IF($B47="","",INDIRECT("aux_sheet_RRS!AD"&amp;1+MATCH(aux_sheet_RRS!$E46,aux_sheet_RRS!$D$2:$D$202,0)))</f>
        <v/>
      </c>
      <c r="W47" s="89" t="str">
        <f ca="1">IF($B47="","",INDIRECT("aux_sheet_RRS!AE"&amp;1+MATCH(aux_sheet_RRS!$E46,aux_sheet_RRS!$D$2:$D$202,0)))</f>
        <v/>
      </c>
      <c r="X47" s="90" t="str">
        <f ca="1">IF(V47="","",INDIRECT("aux_sheet_RRS!AF"&amp;1+MATCH(aux_sheet_RRS!$E46,aux_sheet_RRS!$D$2:$D$202,0)))</f>
        <v/>
      </c>
      <c r="Y47" s="106" t="str">
        <f ca="1">IF($B47="","",INDIRECT("aux_sheet_RRS!AG"&amp;1+MATCH(aux_sheet_RRS!$E46,aux_sheet_RRS!$D$2:$D$202,0)))</f>
        <v/>
      </c>
      <c r="Z47" s="89" t="str">
        <f ca="1">IF($B47="","",INDIRECT("aux_sheet_RRS!AH"&amp;1+MATCH(aux_sheet_RRS!$E46,aux_sheet_RRS!$D$2:$D$202,0)))</f>
        <v/>
      </c>
      <c r="AA47" s="90" t="str">
        <f ca="1">IF(Y47="","",INDIRECT("aux_sheet_RRS!AI"&amp;1+MATCH(aux_sheet_RRS!$E46,aux_sheet_RRS!$D$2:$D$202,0)))</f>
        <v/>
      </c>
      <c r="AB47" s="88" t="str">
        <f ca="1">IF($B47="","",INDIRECT("aux_sheet_RRS!AJ"&amp;1+MATCH(aux_sheet_RRS!$E46,aux_sheet_RRS!$D$2:$D$202,0)))</f>
        <v/>
      </c>
      <c r="AC47" s="89" t="str">
        <f ca="1">IF($B47="","",INDIRECT("aux_sheet_RRS!AK"&amp;1+MATCH(aux_sheet_RRS!$E46,aux_sheet_RRS!$D$2:$D$202,0)))</f>
        <v/>
      </c>
      <c r="AD47" s="90" t="str">
        <f ca="1">IF(AB47="","",INDIRECT("aux_sheet_RRS!AL"&amp;1+MATCH(aux_sheet_RRS!$E46,aux_sheet_RRS!$D$2:$D$202,0)))</f>
        <v/>
      </c>
      <c r="AE47" s="88" t="str">
        <f ca="1">IF($B47="","",INDIRECT("aux_sheet_RRS!AM"&amp;1+MATCH(aux_sheet_RRS!$E46,aux_sheet_RRS!$D$2:$D$202,0)))</f>
        <v/>
      </c>
      <c r="AF47" s="89" t="str">
        <f ca="1">IF($B47="","",INDIRECT("aux_sheet_RRS!AN"&amp;1+MATCH(aux_sheet_RRS!$E46,aux_sheet_RRS!$D$2:$D$202,0)))</f>
        <v/>
      </c>
      <c r="AG47" s="90" t="str">
        <f ca="1">IF(AE47="","",INDIRECT("aux_sheet_RRS!AO"&amp;1+MATCH(aux_sheet_RRS!$E46,aux_sheet_RRS!$D$2:$D$202,0)))</f>
        <v/>
      </c>
      <c r="AH47" s="14" t="str">
        <f t="shared" ca="1" si="3"/>
        <v/>
      </c>
      <c r="AI47" t="str">
        <f t="shared" ca="1" si="4"/>
        <v/>
      </c>
      <c r="AJ47" t="str">
        <f t="shared" ca="1" si="5"/>
        <v/>
      </c>
    </row>
    <row r="48" spans="1:36" x14ac:dyDescent="0.35">
      <c r="A48" s="2" t="str">
        <f>IF(ISBLANK(Input!A47),"",ROUNDDOWN(aux_sheet_RRS!E47,0))</f>
        <v/>
      </c>
      <c r="B48" s="2" t="str">
        <f ca="1">IF(ISBLANK(Input!A47),"",INDIRECT("Input!A"&amp;1+MATCH(aux_sheet_RRS!$E47,aux_sheet_RRS!$D$2:$D$202,0)))</f>
        <v/>
      </c>
      <c r="C48" s="2" t="str">
        <f ca="1">IF(ISBLANK(Input!B47),"",INDIRECT("Input!B"&amp;1+MATCH(aux_sheet_RRS!$E47,aux_sheet_RRS!$D$2:$D$202,0)))</f>
        <v/>
      </c>
      <c r="D48" s="2" t="str">
        <f ca="1">IF(ISBLANK(Input!C47),"",INDIRECT("Input!C"&amp;1+MATCH(aux_sheet_RRS!$E47,aux_sheet_RRS!$D$2:$D$202,0)))</f>
        <v/>
      </c>
      <c r="E48" s="2" t="str">
        <f ca="1">IF(ISBLANK(Input!D47),"",INDIRECT("Input!D"&amp;1+MATCH(aux_sheet_RRS!$E47,aux_sheet_RRS!$D$2:$D$202,0)))</f>
        <v/>
      </c>
      <c r="F48" s="11" t="str">
        <f ca="1">INDIRECT("Input!H"&amp;1+MATCH(aux_sheet_RRS!$E47,aux_sheet_RRS!$D$2:$D$202,0))</f>
        <v xml:space="preserve"> </v>
      </c>
      <c r="G48" s="88" t="str">
        <f ca="1">IF($B48="","",INDIRECT("aux_sheet_RRS!O"&amp;1+MATCH(aux_sheet_RRS!$E47,aux_sheet_RRS!$D$2:$D$202,0)))</f>
        <v/>
      </c>
      <c r="H48" s="89" t="str">
        <f ca="1">IF($B48="","",INDIRECT("aux_sheet_RRS!P"&amp;1+MATCH(aux_sheet_RRS!$E47,aux_sheet_RRS!$D$2:$D$202,0)))</f>
        <v/>
      </c>
      <c r="I48" s="90" t="str">
        <f ca="1">IF(G48="","",ROUNDDOWN(INDIRECT("aux_sheet_RRS!Q"&amp;1+MATCH(aux_sheet_RRS!$E47,aux_sheet_RRS!$D$2:$D$202,0)),0))</f>
        <v/>
      </c>
      <c r="J48" s="106" t="str">
        <f ca="1">IF($B48="","",INDIRECT("aux_sheet_RRS!R"&amp;1+MATCH(aux_sheet_RRS!$E47,aux_sheet_RRS!$D$2:$D$202,0)))</f>
        <v/>
      </c>
      <c r="K48" s="89" t="str">
        <f ca="1">IF($B48="","",INDIRECT("aux_sheet_RRS!S"&amp;1+MATCH(aux_sheet_RRS!$E47,aux_sheet_RRS!$D$2:$D$202,0)))</f>
        <v/>
      </c>
      <c r="L48" s="90" t="str">
        <f ca="1">IF(J48="","",ROUNDDOWN(INDIRECT("aux_sheet_RRS!T"&amp;1+MATCH(aux_sheet_RRS!$E47,aux_sheet_RRS!$D$2:$D$202,0)),0))</f>
        <v/>
      </c>
      <c r="M48" s="106" t="str">
        <f ca="1">IF($B48="","",INDIRECT("aux_sheet_RRS!U"&amp;1+MATCH(aux_sheet_RRS!$E47,aux_sheet_RRS!$D$2:$D$202,0)))</f>
        <v/>
      </c>
      <c r="N48" s="89" t="str">
        <f ca="1">IF($B48="","",INDIRECT("aux_sheet_RRS!V"&amp;1+MATCH(aux_sheet_RRS!$E47,aux_sheet_RRS!$D$2:$D$202,0)))</f>
        <v/>
      </c>
      <c r="O48" s="90" t="str">
        <f ca="1">IF(M48="","",ROUNDDOWN(INDIRECT("aux_sheet_RRS!W"&amp;1+MATCH(aux_sheet_RRS!$E47,aux_sheet_RRS!$D$2:$D$202,0)),0))</f>
        <v/>
      </c>
      <c r="P48" s="106" t="str">
        <f ca="1">IF($B48="","",INDIRECT("aux_sheet_RRS!X"&amp;1+MATCH(aux_sheet_RRS!$E47,aux_sheet_RRS!$D$2:$D$202,0)))</f>
        <v/>
      </c>
      <c r="Q48" s="89" t="str">
        <f ca="1">IF($B48="","",INDIRECT("aux_sheet_RRS!Y"&amp;1+MATCH(aux_sheet_RRS!$E47,aux_sheet_RRS!$D$2:$D$202,0)))</f>
        <v/>
      </c>
      <c r="R48" s="90" t="str">
        <f ca="1">IF(P48="","",INDIRECT("aux_sheet_RRS!Z"&amp;1+MATCH(aux_sheet_RRS!$E47,aux_sheet_RRS!$D$2:$D$202,0)))</f>
        <v/>
      </c>
      <c r="S48" s="106" t="str">
        <f ca="1">IF($B48="","",INDIRECT("aux_sheet_RRS!AA"&amp;1+MATCH(aux_sheet_RRS!$E47,aux_sheet_RRS!$D$2:$D$202,0)))</f>
        <v/>
      </c>
      <c r="T48" s="89" t="str">
        <f ca="1">IF($B48="","",INDIRECT("aux_sheet_RRS!AB"&amp;1+MATCH(aux_sheet_RRS!$E47,aux_sheet_RRS!$D$2:$D$202,0)))</f>
        <v/>
      </c>
      <c r="U48" s="90" t="str">
        <f ca="1">IF(S48="","",INDIRECT("aux_sheet_RRS!AC"&amp;1+MATCH(aux_sheet_RRS!$E47,aux_sheet_RRS!$D$2:$D$202,0)))</f>
        <v/>
      </c>
      <c r="V48" s="106" t="str">
        <f ca="1">IF($B48="","",INDIRECT("aux_sheet_RRS!AD"&amp;1+MATCH(aux_sheet_RRS!$E47,aux_sheet_RRS!$D$2:$D$202,0)))</f>
        <v/>
      </c>
      <c r="W48" s="89" t="str">
        <f ca="1">IF($B48="","",INDIRECT("aux_sheet_RRS!AE"&amp;1+MATCH(aux_sheet_RRS!$E47,aux_sheet_RRS!$D$2:$D$202,0)))</f>
        <v/>
      </c>
      <c r="X48" s="90" t="str">
        <f ca="1">IF(V48="","",INDIRECT("aux_sheet_RRS!AF"&amp;1+MATCH(aux_sheet_RRS!$E47,aux_sheet_RRS!$D$2:$D$202,0)))</f>
        <v/>
      </c>
      <c r="Y48" s="106" t="str">
        <f ca="1">IF($B48="","",INDIRECT("aux_sheet_RRS!AG"&amp;1+MATCH(aux_sheet_RRS!$E47,aux_sheet_RRS!$D$2:$D$202,0)))</f>
        <v/>
      </c>
      <c r="Z48" s="89" t="str">
        <f ca="1">IF($B48="","",INDIRECT("aux_sheet_RRS!AH"&amp;1+MATCH(aux_sheet_RRS!$E47,aux_sheet_RRS!$D$2:$D$202,0)))</f>
        <v/>
      </c>
      <c r="AA48" s="90" t="str">
        <f ca="1">IF(Y48="","",INDIRECT("aux_sheet_RRS!AI"&amp;1+MATCH(aux_sheet_RRS!$E47,aux_sheet_RRS!$D$2:$D$202,0)))</f>
        <v/>
      </c>
      <c r="AB48" s="88" t="str">
        <f ca="1">IF($B48="","",INDIRECT("aux_sheet_RRS!AJ"&amp;1+MATCH(aux_sheet_RRS!$E47,aux_sheet_RRS!$D$2:$D$202,0)))</f>
        <v/>
      </c>
      <c r="AC48" s="89" t="str">
        <f ca="1">IF($B48="","",INDIRECT("aux_sheet_RRS!AK"&amp;1+MATCH(aux_sheet_RRS!$E47,aux_sheet_RRS!$D$2:$D$202,0)))</f>
        <v/>
      </c>
      <c r="AD48" s="90" t="str">
        <f ca="1">IF(AB48="","",INDIRECT("aux_sheet_RRS!AL"&amp;1+MATCH(aux_sheet_RRS!$E47,aux_sheet_RRS!$D$2:$D$202,0)))</f>
        <v/>
      </c>
      <c r="AE48" s="88" t="str">
        <f ca="1">IF($B48="","",INDIRECT("aux_sheet_RRS!AM"&amp;1+MATCH(aux_sheet_RRS!$E47,aux_sheet_RRS!$D$2:$D$202,0)))</f>
        <v/>
      </c>
      <c r="AF48" s="89" t="str">
        <f ca="1">IF($B48="","",INDIRECT("aux_sheet_RRS!AN"&amp;1+MATCH(aux_sheet_RRS!$E47,aux_sheet_RRS!$D$2:$D$202,0)))</f>
        <v/>
      </c>
      <c r="AG48" s="90" t="str">
        <f ca="1">IF(AE48="","",INDIRECT("aux_sheet_RRS!AO"&amp;1+MATCH(aux_sheet_RRS!$E47,aux_sheet_RRS!$D$2:$D$202,0)))</f>
        <v/>
      </c>
      <c r="AH48" s="14" t="str">
        <f t="shared" ca="1" si="3"/>
        <v/>
      </c>
      <c r="AI48" t="str">
        <f t="shared" ca="1" si="4"/>
        <v/>
      </c>
      <c r="AJ48" t="str">
        <f t="shared" ca="1" si="5"/>
        <v/>
      </c>
    </row>
    <row r="49" spans="1:36" x14ac:dyDescent="0.35">
      <c r="A49" s="2" t="str">
        <f>IF(ISBLANK(Input!A48),"",ROUNDDOWN(aux_sheet_RRS!E48,0))</f>
        <v/>
      </c>
      <c r="B49" s="2" t="str">
        <f ca="1">IF(ISBLANK(Input!A48),"",INDIRECT("Input!A"&amp;1+MATCH(aux_sheet_RRS!$E48,aux_sheet_RRS!$D$2:$D$202,0)))</f>
        <v/>
      </c>
      <c r="C49" s="2" t="str">
        <f ca="1">IF(ISBLANK(Input!B48),"",INDIRECT("Input!B"&amp;1+MATCH(aux_sheet_RRS!$E48,aux_sheet_RRS!$D$2:$D$202,0)))</f>
        <v/>
      </c>
      <c r="D49" s="2" t="str">
        <f ca="1">IF(ISBLANK(Input!C48),"",INDIRECT("Input!C"&amp;1+MATCH(aux_sheet_RRS!$E48,aux_sheet_RRS!$D$2:$D$202,0)))</f>
        <v/>
      </c>
      <c r="E49" s="2" t="str">
        <f ca="1">IF(ISBLANK(Input!D48),"",INDIRECT("Input!D"&amp;1+MATCH(aux_sheet_RRS!$E48,aux_sheet_RRS!$D$2:$D$202,0)))</f>
        <v/>
      </c>
      <c r="F49" s="11" t="str">
        <f ca="1">INDIRECT("Input!H"&amp;1+MATCH(aux_sheet_RRS!$E48,aux_sheet_RRS!$D$2:$D$202,0))</f>
        <v xml:space="preserve"> </v>
      </c>
      <c r="G49" s="88" t="str">
        <f ca="1">IF($B49="","",INDIRECT("aux_sheet_RRS!O"&amp;1+MATCH(aux_sheet_RRS!$E48,aux_sheet_RRS!$D$2:$D$202,0)))</f>
        <v/>
      </c>
      <c r="H49" s="89" t="str">
        <f ca="1">IF($B49="","",INDIRECT("aux_sheet_RRS!P"&amp;1+MATCH(aux_sheet_RRS!$E48,aux_sheet_RRS!$D$2:$D$202,0)))</f>
        <v/>
      </c>
      <c r="I49" s="90" t="str">
        <f ca="1">IF(G49="","",ROUNDDOWN(INDIRECT("aux_sheet_RRS!Q"&amp;1+MATCH(aux_sheet_RRS!$E48,aux_sheet_RRS!$D$2:$D$202,0)),0))</f>
        <v/>
      </c>
      <c r="J49" s="106" t="str">
        <f ca="1">IF($B49="","",INDIRECT("aux_sheet_RRS!R"&amp;1+MATCH(aux_sheet_RRS!$E48,aux_sheet_RRS!$D$2:$D$202,0)))</f>
        <v/>
      </c>
      <c r="K49" s="89" t="str">
        <f ca="1">IF($B49="","",INDIRECT("aux_sheet_RRS!S"&amp;1+MATCH(aux_sheet_RRS!$E48,aux_sheet_RRS!$D$2:$D$202,0)))</f>
        <v/>
      </c>
      <c r="L49" s="90" t="str">
        <f ca="1">IF(J49="","",ROUNDDOWN(INDIRECT("aux_sheet_RRS!T"&amp;1+MATCH(aux_sheet_RRS!$E48,aux_sheet_RRS!$D$2:$D$202,0)),0))</f>
        <v/>
      </c>
      <c r="M49" s="106" t="str">
        <f ca="1">IF($B49="","",INDIRECT("aux_sheet_RRS!U"&amp;1+MATCH(aux_sheet_RRS!$E48,aux_sheet_RRS!$D$2:$D$202,0)))</f>
        <v/>
      </c>
      <c r="N49" s="89" t="str">
        <f ca="1">IF($B49="","",INDIRECT("aux_sheet_RRS!V"&amp;1+MATCH(aux_sheet_RRS!$E48,aux_sheet_RRS!$D$2:$D$202,0)))</f>
        <v/>
      </c>
      <c r="O49" s="90" t="str">
        <f ca="1">IF(M49="","",ROUNDDOWN(INDIRECT("aux_sheet_RRS!W"&amp;1+MATCH(aux_sheet_RRS!$E48,aux_sheet_RRS!$D$2:$D$202,0)),0))</f>
        <v/>
      </c>
      <c r="P49" s="106" t="str">
        <f ca="1">IF($B49="","",INDIRECT("aux_sheet_RRS!X"&amp;1+MATCH(aux_sheet_RRS!$E48,aux_sheet_RRS!$D$2:$D$202,0)))</f>
        <v/>
      </c>
      <c r="Q49" s="89" t="str">
        <f ca="1">IF($B49="","",INDIRECT("aux_sheet_RRS!Y"&amp;1+MATCH(aux_sheet_RRS!$E48,aux_sheet_RRS!$D$2:$D$202,0)))</f>
        <v/>
      </c>
      <c r="R49" s="90" t="str">
        <f ca="1">IF(P49="","",INDIRECT("aux_sheet_RRS!Z"&amp;1+MATCH(aux_sheet_RRS!$E48,aux_sheet_RRS!$D$2:$D$202,0)))</f>
        <v/>
      </c>
      <c r="S49" s="106" t="str">
        <f ca="1">IF($B49="","",INDIRECT("aux_sheet_RRS!AA"&amp;1+MATCH(aux_sheet_RRS!$E48,aux_sheet_RRS!$D$2:$D$202,0)))</f>
        <v/>
      </c>
      <c r="T49" s="89" t="str">
        <f ca="1">IF($B49="","",INDIRECT("aux_sheet_RRS!AB"&amp;1+MATCH(aux_sheet_RRS!$E48,aux_sheet_RRS!$D$2:$D$202,0)))</f>
        <v/>
      </c>
      <c r="U49" s="90" t="str">
        <f ca="1">IF(S49="","",INDIRECT("aux_sheet_RRS!AC"&amp;1+MATCH(aux_sheet_RRS!$E48,aux_sheet_RRS!$D$2:$D$202,0)))</f>
        <v/>
      </c>
      <c r="V49" s="106" t="str">
        <f ca="1">IF($B49="","",INDIRECT("aux_sheet_RRS!AD"&amp;1+MATCH(aux_sheet_RRS!$E48,aux_sheet_RRS!$D$2:$D$202,0)))</f>
        <v/>
      </c>
      <c r="W49" s="89" t="str">
        <f ca="1">IF($B49="","",INDIRECT("aux_sheet_RRS!AE"&amp;1+MATCH(aux_sheet_RRS!$E48,aux_sheet_RRS!$D$2:$D$202,0)))</f>
        <v/>
      </c>
      <c r="X49" s="90" t="str">
        <f ca="1">IF(V49="","",INDIRECT("aux_sheet_RRS!AF"&amp;1+MATCH(aux_sheet_RRS!$E48,aux_sheet_RRS!$D$2:$D$202,0)))</f>
        <v/>
      </c>
      <c r="Y49" s="106" t="str">
        <f ca="1">IF($B49="","",INDIRECT("aux_sheet_RRS!AG"&amp;1+MATCH(aux_sheet_RRS!$E48,aux_sheet_RRS!$D$2:$D$202,0)))</f>
        <v/>
      </c>
      <c r="Z49" s="89" t="str">
        <f ca="1">IF($B49="","",INDIRECT("aux_sheet_RRS!AH"&amp;1+MATCH(aux_sheet_RRS!$E48,aux_sheet_RRS!$D$2:$D$202,0)))</f>
        <v/>
      </c>
      <c r="AA49" s="90" t="str">
        <f ca="1">IF(Y49="","",INDIRECT("aux_sheet_RRS!AI"&amp;1+MATCH(aux_sheet_RRS!$E48,aux_sheet_RRS!$D$2:$D$202,0)))</f>
        <v/>
      </c>
      <c r="AB49" s="88" t="str">
        <f ca="1">IF($B49="","",INDIRECT("aux_sheet_RRS!AJ"&amp;1+MATCH(aux_sheet_RRS!$E48,aux_sheet_RRS!$D$2:$D$202,0)))</f>
        <v/>
      </c>
      <c r="AC49" s="89" t="str">
        <f ca="1">IF($B49="","",INDIRECT("aux_sheet_RRS!AK"&amp;1+MATCH(aux_sheet_RRS!$E48,aux_sheet_RRS!$D$2:$D$202,0)))</f>
        <v/>
      </c>
      <c r="AD49" s="90" t="str">
        <f ca="1">IF(AB49="","",INDIRECT("aux_sheet_RRS!AL"&amp;1+MATCH(aux_sheet_RRS!$E48,aux_sheet_RRS!$D$2:$D$202,0)))</f>
        <v/>
      </c>
      <c r="AE49" s="88" t="str">
        <f ca="1">IF($B49="","",INDIRECT("aux_sheet_RRS!AM"&amp;1+MATCH(aux_sheet_RRS!$E48,aux_sheet_RRS!$D$2:$D$202,0)))</f>
        <v/>
      </c>
      <c r="AF49" s="89" t="str">
        <f ca="1">IF($B49="","",INDIRECT("aux_sheet_RRS!AN"&amp;1+MATCH(aux_sheet_RRS!$E48,aux_sheet_RRS!$D$2:$D$202,0)))</f>
        <v/>
      </c>
      <c r="AG49" s="90" t="str">
        <f ca="1">IF(AE49="","",INDIRECT("aux_sheet_RRS!AO"&amp;1+MATCH(aux_sheet_RRS!$E48,aux_sheet_RRS!$D$2:$D$202,0)))</f>
        <v/>
      </c>
      <c r="AH49" s="14" t="str">
        <f t="shared" ca="1" si="3"/>
        <v/>
      </c>
      <c r="AI49" t="str">
        <f t="shared" ca="1" si="4"/>
        <v/>
      </c>
      <c r="AJ49" t="str">
        <f t="shared" ca="1" si="5"/>
        <v/>
      </c>
    </row>
    <row r="50" spans="1:36" x14ac:dyDescent="0.35">
      <c r="A50" s="2" t="str">
        <f>IF(ISBLANK(Input!A49),"",ROUNDDOWN(aux_sheet_RRS!E49,0))</f>
        <v/>
      </c>
      <c r="B50" s="2" t="str">
        <f ca="1">IF(ISBLANK(Input!A49),"",INDIRECT("Input!A"&amp;1+MATCH(aux_sheet_RRS!$E49,aux_sheet_RRS!$D$2:$D$202,0)))</f>
        <v/>
      </c>
      <c r="C50" s="2" t="str">
        <f ca="1">IF(ISBLANK(Input!B49),"",INDIRECT("Input!B"&amp;1+MATCH(aux_sheet_RRS!$E49,aux_sheet_RRS!$D$2:$D$202,0)))</f>
        <v/>
      </c>
      <c r="D50" s="2" t="str">
        <f ca="1">IF(ISBLANK(Input!C49),"",INDIRECT("Input!C"&amp;1+MATCH(aux_sheet_RRS!$E49,aux_sheet_RRS!$D$2:$D$202,0)))</f>
        <v/>
      </c>
      <c r="E50" s="2" t="str">
        <f ca="1">IF(ISBLANK(Input!D49),"",INDIRECT("Input!D"&amp;1+MATCH(aux_sheet_RRS!$E49,aux_sheet_RRS!$D$2:$D$202,0)))</f>
        <v/>
      </c>
      <c r="F50" s="11" t="str">
        <f ca="1">INDIRECT("Input!H"&amp;1+MATCH(aux_sheet_RRS!$E49,aux_sheet_RRS!$D$2:$D$202,0))</f>
        <v xml:space="preserve"> </v>
      </c>
      <c r="G50" s="88" t="str">
        <f ca="1">IF($B50="","",INDIRECT("aux_sheet_RRS!O"&amp;1+MATCH(aux_sheet_RRS!$E49,aux_sheet_RRS!$D$2:$D$202,0)))</f>
        <v/>
      </c>
      <c r="H50" s="89" t="str">
        <f ca="1">IF($B50="","",INDIRECT("aux_sheet_RRS!P"&amp;1+MATCH(aux_sheet_RRS!$E49,aux_sheet_RRS!$D$2:$D$202,0)))</f>
        <v/>
      </c>
      <c r="I50" s="90" t="str">
        <f ca="1">IF(G50="","",ROUNDDOWN(INDIRECT("aux_sheet_RRS!Q"&amp;1+MATCH(aux_sheet_RRS!$E49,aux_sheet_RRS!$D$2:$D$202,0)),0))</f>
        <v/>
      </c>
      <c r="J50" s="106" t="str">
        <f ca="1">IF($B50="","",INDIRECT("aux_sheet_RRS!R"&amp;1+MATCH(aux_sheet_RRS!$E49,aux_sheet_RRS!$D$2:$D$202,0)))</f>
        <v/>
      </c>
      <c r="K50" s="89" t="str">
        <f ca="1">IF($B50="","",INDIRECT("aux_sheet_RRS!S"&amp;1+MATCH(aux_sheet_RRS!$E49,aux_sheet_RRS!$D$2:$D$202,0)))</f>
        <v/>
      </c>
      <c r="L50" s="90" t="str">
        <f ca="1">IF(J50="","",ROUNDDOWN(INDIRECT("aux_sheet_RRS!T"&amp;1+MATCH(aux_sheet_RRS!$E49,aux_sheet_RRS!$D$2:$D$202,0)),0))</f>
        <v/>
      </c>
      <c r="M50" s="106" t="str">
        <f ca="1">IF($B50="","",INDIRECT("aux_sheet_RRS!U"&amp;1+MATCH(aux_sheet_RRS!$E49,aux_sheet_RRS!$D$2:$D$202,0)))</f>
        <v/>
      </c>
      <c r="N50" s="89" t="str">
        <f ca="1">IF($B50="","",INDIRECT("aux_sheet_RRS!V"&amp;1+MATCH(aux_sheet_RRS!$E49,aux_sheet_RRS!$D$2:$D$202,0)))</f>
        <v/>
      </c>
      <c r="O50" s="90" t="str">
        <f ca="1">IF(M50="","",ROUNDDOWN(INDIRECT("aux_sheet_RRS!W"&amp;1+MATCH(aux_sheet_RRS!$E49,aux_sheet_RRS!$D$2:$D$202,0)),0))</f>
        <v/>
      </c>
      <c r="P50" s="106" t="str">
        <f ca="1">IF($B50="","",INDIRECT("aux_sheet_RRS!X"&amp;1+MATCH(aux_sheet_RRS!$E49,aux_sheet_RRS!$D$2:$D$202,0)))</f>
        <v/>
      </c>
      <c r="Q50" s="89" t="str">
        <f ca="1">IF($B50="","",INDIRECT("aux_sheet_RRS!Y"&amp;1+MATCH(aux_sheet_RRS!$E49,aux_sheet_RRS!$D$2:$D$202,0)))</f>
        <v/>
      </c>
      <c r="R50" s="90" t="str">
        <f ca="1">IF(P50="","",INDIRECT("aux_sheet_RRS!Z"&amp;1+MATCH(aux_sheet_RRS!$E49,aux_sheet_RRS!$D$2:$D$202,0)))</f>
        <v/>
      </c>
      <c r="S50" s="106" t="str">
        <f ca="1">IF($B50="","",INDIRECT("aux_sheet_RRS!AA"&amp;1+MATCH(aux_sheet_RRS!$E49,aux_sheet_RRS!$D$2:$D$202,0)))</f>
        <v/>
      </c>
      <c r="T50" s="89" t="str">
        <f ca="1">IF($B50="","",INDIRECT("aux_sheet_RRS!AB"&amp;1+MATCH(aux_sheet_RRS!$E49,aux_sheet_RRS!$D$2:$D$202,0)))</f>
        <v/>
      </c>
      <c r="U50" s="90" t="str">
        <f ca="1">IF(S50="","",INDIRECT("aux_sheet_RRS!AC"&amp;1+MATCH(aux_sheet_RRS!$E49,aux_sheet_RRS!$D$2:$D$202,0)))</f>
        <v/>
      </c>
      <c r="V50" s="106" t="str">
        <f ca="1">IF($B50="","",INDIRECT("aux_sheet_RRS!AD"&amp;1+MATCH(aux_sheet_RRS!$E49,aux_sheet_RRS!$D$2:$D$202,0)))</f>
        <v/>
      </c>
      <c r="W50" s="89" t="str">
        <f ca="1">IF($B50="","",INDIRECT("aux_sheet_RRS!AE"&amp;1+MATCH(aux_sheet_RRS!$E49,aux_sheet_RRS!$D$2:$D$202,0)))</f>
        <v/>
      </c>
      <c r="X50" s="90" t="str">
        <f ca="1">IF(V50="","",INDIRECT("aux_sheet_RRS!AF"&amp;1+MATCH(aux_sheet_RRS!$E49,aux_sheet_RRS!$D$2:$D$202,0)))</f>
        <v/>
      </c>
      <c r="Y50" s="106" t="str">
        <f ca="1">IF($B50="","",INDIRECT("aux_sheet_RRS!AG"&amp;1+MATCH(aux_sheet_RRS!$E49,aux_sheet_RRS!$D$2:$D$202,0)))</f>
        <v/>
      </c>
      <c r="Z50" s="89" t="str">
        <f ca="1">IF($B50="","",INDIRECT("aux_sheet_RRS!AH"&amp;1+MATCH(aux_sheet_RRS!$E49,aux_sheet_RRS!$D$2:$D$202,0)))</f>
        <v/>
      </c>
      <c r="AA50" s="90" t="str">
        <f ca="1">IF(Y50="","",INDIRECT("aux_sheet_RRS!AI"&amp;1+MATCH(aux_sheet_RRS!$E49,aux_sheet_RRS!$D$2:$D$202,0)))</f>
        <v/>
      </c>
      <c r="AB50" s="88" t="str">
        <f ca="1">IF($B50="","",INDIRECT("aux_sheet_RRS!AJ"&amp;1+MATCH(aux_sheet_RRS!$E49,aux_sheet_RRS!$D$2:$D$202,0)))</f>
        <v/>
      </c>
      <c r="AC50" s="89" t="str">
        <f ca="1">IF($B50="","",INDIRECT("aux_sheet_RRS!AK"&amp;1+MATCH(aux_sheet_RRS!$E49,aux_sheet_RRS!$D$2:$D$202,0)))</f>
        <v/>
      </c>
      <c r="AD50" s="90" t="str">
        <f ca="1">IF(AB50="","",INDIRECT("aux_sheet_RRS!AL"&amp;1+MATCH(aux_sheet_RRS!$E49,aux_sheet_RRS!$D$2:$D$202,0)))</f>
        <v/>
      </c>
      <c r="AE50" s="88" t="str">
        <f ca="1">IF($B50="","",INDIRECT("aux_sheet_RRS!AM"&amp;1+MATCH(aux_sheet_RRS!$E49,aux_sheet_RRS!$D$2:$D$202,0)))</f>
        <v/>
      </c>
      <c r="AF50" s="89" t="str">
        <f ca="1">IF($B50="","",INDIRECT("aux_sheet_RRS!AN"&amp;1+MATCH(aux_sheet_RRS!$E49,aux_sheet_RRS!$D$2:$D$202,0)))</f>
        <v/>
      </c>
      <c r="AG50" s="90" t="str">
        <f ca="1">IF(AE50="","",INDIRECT("aux_sheet_RRS!AO"&amp;1+MATCH(aux_sheet_RRS!$E49,aux_sheet_RRS!$D$2:$D$202,0)))</f>
        <v/>
      </c>
      <c r="AH50" s="14" t="str">
        <f t="shared" ca="1" si="3"/>
        <v/>
      </c>
      <c r="AI50" t="str">
        <f t="shared" ca="1" si="4"/>
        <v/>
      </c>
      <c r="AJ50" t="str">
        <f t="shared" ca="1" si="5"/>
        <v/>
      </c>
    </row>
    <row r="51" spans="1:36" x14ac:dyDescent="0.35">
      <c r="A51" s="2" t="str">
        <f>IF(ISBLANK(Input!A50),"",ROUNDDOWN(aux_sheet_RRS!E50,0))</f>
        <v/>
      </c>
      <c r="B51" s="2" t="str">
        <f ca="1">IF(ISBLANK(Input!A50),"",INDIRECT("Input!A"&amp;1+MATCH(aux_sheet_RRS!$E50,aux_sheet_RRS!$D$2:$D$202,0)))</f>
        <v/>
      </c>
      <c r="C51" s="2" t="str">
        <f ca="1">IF(ISBLANK(Input!B50),"",INDIRECT("Input!B"&amp;1+MATCH(aux_sheet_RRS!$E50,aux_sheet_RRS!$D$2:$D$202,0)))</f>
        <v/>
      </c>
      <c r="D51" s="2" t="str">
        <f ca="1">IF(ISBLANK(Input!C50),"",INDIRECT("Input!C"&amp;1+MATCH(aux_sheet_RRS!$E50,aux_sheet_RRS!$D$2:$D$202,0)))</f>
        <v/>
      </c>
      <c r="E51" s="2" t="str">
        <f ca="1">IF(ISBLANK(Input!D50),"",INDIRECT("Input!D"&amp;1+MATCH(aux_sheet_RRS!$E50,aux_sheet_RRS!$D$2:$D$202,0)))</f>
        <v/>
      </c>
      <c r="F51" s="11" t="str">
        <f ca="1">INDIRECT("Input!H"&amp;1+MATCH(aux_sheet_RRS!$E50,aux_sheet_RRS!$D$2:$D$202,0))</f>
        <v xml:space="preserve"> </v>
      </c>
      <c r="G51" s="88" t="str">
        <f ca="1">IF($B51="","",INDIRECT("aux_sheet_RRS!O"&amp;1+MATCH(aux_sheet_RRS!$E50,aux_sheet_RRS!$D$2:$D$202,0)))</f>
        <v/>
      </c>
      <c r="H51" s="89" t="str">
        <f ca="1">IF($B51="","",INDIRECT("aux_sheet_RRS!P"&amp;1+MATCH(aux_sheet_RRS!$E50,aux_sheet_RRS!$D$2:$D$202,0)))</f>
        <v/>
      </c>
      <c r="I51" s="90" t="str">
        <f ca="1">IF(G51="","",ROUNDDOWN(INDIRECT("aux_sheet_RRS!Q"&amp;1+MATCH(aux_sheet_RRS!$E50,aux_sheet_RRS!$D$2:$D$202,0)),0))</f>
        <v/>
      </c>
      <c r="J51" s="106" t="str">
        <f ca="1">IF($B51="","",INDIRECT("aux_sheet_RRS!R"&amp;1+MATCH(aux_sheet_RRS!$E50,aux_sheet_RRS!$D$2:$D$202,0)))</f>
        <v/>
      </c>
      <c r="K51" s="89" t="str">
        <f ca="1">IF($B51="","",INDIRECT("aux_sheet_RRS!S"&amp;1+MATCH(aux_sheet_RRS!$E50,aux_sheet_RRS!$D$2:$D$202,0)))</f>
        <v/>
      </c>
      <c r="L51" s="90" t="str">
        <f ca="1">IF(J51="","",ROUNDDOWN(INDIRECT("aux_sheet_RRS!T"&amp;1+MATCH(aux_sheet_RRS!$E50,aux_sheet_RRS!$D$2:$D$202,0)),0))</f>
        <v/>
      </c>
      <c r="M51" s="106" t="str">
        <f ca="1">IF($B51="","",INDIRECT("aux_sheet_RRS!U"&amp;1+MATCH(aux_sheet_RRS!$E50,aux_sheet_RRS!$D$2:$D$202,0)))</f>
        <v/>
      </c>
      <c r="N51" s="89" t="str">
        <f ca="1">IF($B51="","",INDIRECT("aux_sheet_RRS!V"&amp;1+MATCH(aux_sheet_RRS!$E50,aux_sheet_RRS!$D$2:$D$202,0)))</f>
        <v/>
      </c>
      <c r="O51" s="90" t="str">
        <f ca="1">IF(M51="","",ROUNDDOWN(INDIRECT("aux_sheet_RRS!W"&amp;1+MATCH(aux_sheet_RRS!$E50,aux_sheet_RRS!$D$2:$D$202,0)),0))</f>
        <v/>
      </c>
      <c r="P51" s="106" t="str">
        <f ca="1">IF($B51="","",INDIRECT("aux_sheet_RRS!X"&amp;1+MATCH(aux_sheet_RRS!$E50,aux_sheet_RRS!$D$2:$D$202,0)))</f>
        <v/>
      </c>
      <c r="Q51" s="89" t="str">
        <f ca="1">IF($B51="","",INDIRECT("aux_sheet_RRS!Y"&amp;1+MATCH(aux_sheet_RRS!$E50,aux_sheet_RRS!$D$2:$D$202,0)))</f>
        <v/>
      </c>
      <c r="R51" s="90" t="str">
        <f ca="1">IF(P51="","",INDIRECT("aux_sheet_RRS!Z"&amp;1+MATCH(aux_sheet_RRS!$E50,aux_sheet_RRS!$D$2:$D$202,0)))</f>
        <v/>
      </c>
      <c r="S51" s="106" t="str">
        <f ca="1">IF($B51="","",INDIRECT("aux_sheet_RRS!AA"&amp;1+MATCH(aux_sheet_RRS!$E50,aux_sheet_RRS!$D$2:$D$202,0)))</f>
        <v/>
      </c>
      <c r="T51" s="89" t="str">
        <f ca="1">IF($B51="","",INDIRECT("aux_sheet_RRS!AB"&amp;1+MATCH(aux_sheet_RRS!$E50,aux_sheet_RRS!$D$2:$D$202,0)))</f>
        <v/>
      </c>
      <c r="U51" s="90" t="str">
        <f ca="1">IF(S51="","",INDIRECT("aux_sheet_RRS!AC"&amp;1+MATCH(aux_sheet_RRS!$E50,aux_sheet_RRS!$D$2:$D$202,0)))</f>
        <v/>
      </c>
      <c r="V51" s="106" t="str">
        <f ca="1">IF($B51="","",INDIRECT("aux_sheet_RRS!AD"&amp;1+MATCH(aux_sheet_RRS!$E50,aux_sheet_RRS!$D$2:$D$202,0)))</f>
        <v/>
      </c>
      <c r="W51" s="89" t="str">
        <f ca="1">IF($B51="","",INDIRECT("aux_sheet_RRS!AE"&amp;1+MATCH(aux_sheet_RRS!$E50,aux_sheet_RRS!$D$2:$D$202,0)))</f>
        <v/>
      </c>
      <c r="X51" s="90" t="str">
        <f ca="1">IF(V51="","",INDIRECT("aux_sheet_RRS!AF"&amp;1+MATCH(aux_sheet_RRS!$E50,aux_sheet_RRS!$D$2:$D$202,0)))</f>
        <v/>
      </c>
      <c r="Y51" s="106" t="str">
        <f ca="1">IF($B51="","",INDIRECT("aux_sheet_RRS!AG"&amp;1+MATCH(aux_sheet_RRS!$E50,aux_sheet_RRS!$D$2:$D$202,0)))</f>
        <v/>
      </c>
      <c r="Z51" s="89" t="str">
        <f ca="1">IF($B51="","",INDIRECT("aux_sheet_RRS!AH"&amp;1+MATCH(aux_sheet_RRS!$E50,aux_sheet_RRS!$D$2:$D$202,0)))</f>
        <v/>
      </c>
      <c r="AA51" s="90" t="str">
        <f ca="1">IF(Y51="","",INDIRECT("aux_sheet_RRS!AI"&amp;1+MATCH(aux_sheet_RRS!$E50,aux_sheet_RRS!$D$2:$D$202,0)))</f>
        <v/>
      </c>
      <c r="AB51" s="88" t="str">
        <f ca="1">IF($B51="","",INDIRECT("aux_sheet_RRS!AJ"&amp;1+MATCH(aux_sheet_RRS!$E50,aux_sheet_RRS!$D$2:$D$202,0)))</f>
        <v/>
      </c>
      <c r="AC51" s="89" t="str">
        <f ca="1">IF($B51="","",INDIRECT("aux_sheet_RRS!AK"&amp;1+MATCH(aux_sheet_RRS!$E50,aux_sheet_RRS!$D$2:$D$202,0)))</f>
        <v/>
      </c>
      <c r="AD51" s="90" t="str">
        <f ca="1">IF(AB51="","",INDIRECT("aux_sheet_RRS!AL"&amp;1+MATCH(aux_sheet_RRS!$E50,aux_sheet_RRS!$D$2:$D$202,0)))</f>
        <v/>
      </c>
      <c r="AE51" s="88" t="str">
        <f ca="1">IF($B51="","",INDIRECT("aux_sheet_RRS!AM"&amp;1+MATCH(aux_sheet_RRS!$E50,aux_sheet_RRS!$D$2:$D$202,0)))</f>
        <v/>
      </c>
      <c r="AF51" s="89" t="str">
        <f ca="1">IF($B51="","",INDIRECT("aux_sheet_RRS!AN"&amp;1+MATCH(aux_sheet_RRS!$E50,aux_sheet_RRS!$D$2:$D$202,0)))</f>
        <v/>
      </c>
      <c r="AG51" s="90" t="str">
        <f ca="1">IF(AE51="","",INDIRECT("aux_sheet_RRS!AO"&amp;1+MATCH(aux_sheet_RRS!$E50,aux_sheet_RRS!$D$2:$D$202,0)))</f>
        <v/>
      </c>
      <c r="AH51" s="14" t="str">
        <f t="shared" ca="1" si="3"/>
        <v/>
      </c>
      <c r="AI51" t="str">
        <f t="shared" ca="1" si="4"/>
        <v/>
      </c>
      <c r="AJ51" t="str">
        <f t="shared" ca="1" si="5"/>
        <v/>
      </c>
    </row>
    <row r="52" spans="1:36" x14ac:dyDescent="0.35">
      <c r="A52" s="2" t="str">
        <f>IF(ISBLANK(Input!A51),"",ROUNDDOWN(aux_sheet_RRS!E51,0))</f>
        <v/>
      </c>
      <c r="B52" s="2" t="str">
        <f ca="1">IF(ISBLANK(Input!A51),"",INDIRECT("Input!A"&amp;1+MATCH(aux_sheet_RRS!$E51,aux_sheet_RRS!$D$2:$D$202,0)))</f>
        <v/>
      </c>
      <c r="C52" s="2" t="str">
        <f ca="1">IF(ISBLANK(Input!B51),"",INDIRECT("Input!B"&amp;1+MATCH(aux_sheet_RRS!$E51,aux_sheet_RRS!$D$2:$D$202,0)))</f>
        <v/>
      </c>
      <c r="D52" s="2" t="str">
        <f ca="1">IF(ISBLANK(Input!C51),"",INDIRECT("Input!C"&amp;1+MATCH(aux_sheet_RRS!$E51,aux_sheet_RRS!$D$2:$D$202,0)))</f>
        <v/>
      </c>
      <c r="E52" s="2" t="str">
        <f ca="1">IF(ISBLANK(Input!D51),"",INDIRECT("Input!D"&amp;1+MATCH(aux_sheet_RRS!$E51,aux_sheet_RRS!$D$2:$D$202,0)))</f>
        <v/>
      </c>
      <c r="F52" s="11" t="str">
        <f ca="1">INDIRECT("Input!H"&amp;1+MATCH(aux_sheet_RRS!$E51,aux_sheet_RRS!$D$2:$D$202,0))</f>
        <v xml:space="preserve"> </v>
      </c>
      <c r="G52" s="88" t="str">
        <f ca="1">IF($B52="","",INDIRECT("aux_sheet_RRS!O"&amp;1+MATCH(aux_sheet_RRS!$E51,aux_sheet_RRS!$D$2:$D$202,0)))</f>
        <v/>
      </c>
      <c r="H52" s="89" t="str">
        <f ca="1">IF($B52="","",INDIRECT("aux_sheet_RRS!P"&amp;1+MATCH(aux_sheet_RRS!$E51,aux_sheet_RRS!$D$2:$D$202,0)))</f>
        <v/>
      </c>
      <c r="I52" s="90" t="str">
        <f ca="1">IF(G52="","",ROUNDDOWN(INDIRECT("aux_sheet_RRS!Q"&amp;1+MATCH(aux_sheet_RRS!$E51,aux_sheet_RRS!$D$2:$D$202,0)),0))</f>
        <v/>
      </c>
      <c r="J52" s="106" t="str">
        <f ca="1">IF($B52="","",INDIRECT("aux_sheet_RRS!R"&amp;1+MATCH(aux_sheet_RRS!$E51,aux_sheet_RRS!$D$2:$D$202,0)))</f>
        <v/>
      </c>
      <c r="K52" s="89" t="str">
        <f ca="1">IF($B52="","",INDIRECT("aux_sheet_RRS!S"&amp;1+MATCH(aux_sheet_RRS!$E51,aux_sheet_RRS!$D$2:$D$202,0)))</f>
        <v/>
      </c>
      <c r="L52" s="90" t="str">
        <f ca="1">IF(J52="","",ROUNDDOWN(INDIRECT("aux_sheet_RRS!T"&amp;1+MATCH(aux_sheet_RRS!$E51,aux_sheet_RRS!$D$2:$D$202,0)),0))</f>
        <v/>
      </c>
      <c r="M52" s="106" t="str">
        <f ca="1">IF($B52="","",INDIRECT("aux_sheet_RRS!U"&amp;1+MATCH(aux_sheet_RRS!$E51,aux_sheet_RRS!$D$2:$D$202,0)))</f>
        <v/>
      </c>
      <c r="N52" s="89" t="str">
        <f ca="1">IF($B52="","",INDIRECT("aux_sheet_RRS!V"&amp;1+MATCH(aux_sheet_RRS!$E51,aux_sheet_RRS!$D$2:$D$202,0)))</f>
        <v/>
      </c>
      <c r="O52" s="90" t="str">
        <f ca="1">IF(M52="","",ROUNDDOWN(INDIRECT("aux_sheet_RRS!W"&amp;1+MATCH(aux_sheet_RRS!$E51,aux_sheet_RRS!$D$2:$D$202,0)),0))</f>
        <v/>
      </c>
      <c r="P52" s="106" t="str">
        <f ca="1">IF($B52="","",INDIRECT("aux_sheet_RRS!X"&amp;1+MATCH(aux_sheet_RRS!$E51,aux_sheet_RRS!$D$2:$D$202,0)))</f>
        <v/>
      </c>
      <c r="Q52" s="89" t="str">
        <f ca="1">IF($B52="","",INDIRECT("aux_sheet_RRS!Y"&amp;1+MATCH(aux_sheet_RRS!$E51,aux_sheet_RRS!$D$2:$D$202,0)))</f>
        <v/>
      </c>
      <c r="R52" s="90" t="str">
        <f ca="1">IF(P52="","",INDIRECT("aux_sheet_RRS!Z"&amp;1+MATCH(aux_sheet_RRS!$E51,aux_sheet_RRS!$D$2:$D$202,0)))</f>
        <v/>
      </c>
      <c r="S52" s="106" t="str">
        <f ca="1">IF($B52="","",INDIRECT("aux_sheet_RRS!AA"&amp;1+MATCH(aux_sheet_RRS!$E51,aux_sheet_RRS!$D$2:$D$202,0)))</f>
        <v/>
      </c>
      <c r="T52" s="89" t="str">
        <f ca="1">IF($B52="","",INDIRECT("aux_sheet_RRS!AB"&amp;1+MATCH(aux_sheet_RRS!$E51,aux_sheet_RRS!$D$2:$D$202,0)))</f>
        <v/>
      </c>
      <c r="U52" s="90" t="str">
        <f ca="1">IF(S52="","",INDIRECT("aux_sheet_RRS!AC"&amp;1+MATCH(aux_sheet_RRS!$E51,aux_sheet_RRS!$D$2:$D$202,0)))</f>
        <v/>
      </c>
      <c r="V52" s="106" t="str">
        <f ca="1">IF($B52="","",INDIRECT("aux_sheet_RRS!AD"&amp;1+MATCH(aux_sheet_RRS!$E51,aux_sheet_RRS!$D$2:$D$202,0)))</f>
        <v/>
      </c>
      <c r="W52" s="89" t="str">
        <f ca="1">IF($B52="","",INDIRECT("aux_sheet_RRS!AE"&amp;1+MATCH(aux_sheet_RRS!$E51,aux_sheet_RRS!$D$2:$D$202,0)))</f>
        <v/>
      </c>
      <c r="X52" s="90" t="str">
        <f ca="1">IF(V52="","",INDIRECT("aux_sheet_RRS!AF"&amp;1+MATCH(aux_sheet_RRS!$E51,aux_sheet_RRS!$D$2:$D$202,0)))</f>
        <v/>
      </c>
      <c r="Y52" s="106" t="str">
        <f ca="1">IF($B52="","",INDIRECT("aux_sheet_RRS!AG"&amp;1+MATCH(aux_sheet_RRS!$E51,aux_sheet_RRS!$D$2:$D$202,0)))</f>
        <v/>
      </c>
      <c r="Z52" s="89" t="str">
        <f ca="1">IF($B52="","",INDIRECT("aux_sheet_RRS!AH"&amp;1+MATCH(aux_sheet_RRS!$E51,aux_sheet_RRS!$D$2:$D$202,0)))</f>
        <v/>
      </c>
      <c r="AA52" s="90" t="str">
        <f ca="1">IF(Y52="","",INDIRECT("aux_sheet_RRS!AI"&amp;1+MATCH(aux_sheet_RRS!$E51,aux_sheet_RRS!$D$2:$D$202,0)))</f>
        <v/>
      </c>
      <c r="AB52" s="88" t="str">
        <f ca="1">IF($B52="","",INDIRECT("aux_sheet_RRS!AJ"&amp;1+MATCH(aux_sheet_RRS!$E51,aux_sheet_RRS!$D$2:$D$202,0)))</f>
        <v/>
      </c>
      <c r="AC52" s="89" t="str">
        <f ca="1">IF($B52="","",INDIRECT("aux_sheet_RRS!AK"&amp;1+MATCH(aux_sheet_RRS!$E51,aux_sheet_RRS!$D$2:$D$202,0)))</f>
        <v/>
      </c>
      <c r="AD52" s="90" t="str">
        <f ca="1">IF(AB52="","",INDIRECT("aux_sheet_RRS!AL"&amp;1+MATCH(aux_sheet_RRS!$E51,aux_sheet_RRS!$D$2:$D$202,0)))</f>
        <v/>
      </c>
      <c r="AE52" s="88" t="str">
        <f ca="1">IF($B52="","",INDIRECT("aux_sheet_RRS!AM"&amp;1+MATCH(aux_sheet_RRS!$E51,aux_sheet_RRS!$D$2:$D$202,0)))</f>
        <v/>
      </c>
      <c r="AF52" s="89" t="str">
        <f ca="1">IF($B52="","",INDIRECT("aux_sheet_RRS!AN"&amp;1+MATCH(aux_sheet_RRS!$E51,aux_sheet_RRS!$D$2:$D$202,0)))</f>
        <v/>
      </c>
      <c r="AG52" s="90" t="str">
        <f ca="1">IF(AE52="","",INDIRECT("aux_sheet_RRS!AO"&amp;1+MATCH(aux_sheet_RRS!$E51,aux_sheet_RRS!$D$2:$D$202,0)))</f>
        <v/>
      </c>
      <c r="AH52" s="14" t="str">
        <f t="shared" ca="1" si="3"/>
        <v/>
      </c>
      <c r="AI52" t="str">
        <f t="shared" ca="1" si="4"/>
        <v/>
      </c>
      <c r="AJ52" t="str">
        <f t="shared" ca="1" si="5"/>
        <v/>
      </c>
    </row>
    <row r="53" spans="1:36" x14ac:dyDescent="0.35">
      <c r="A53" s="2" t="str">
        <f>IF(ISBLANK(Input!A52),"",ROUNDDOWN(aux_sheet_RRS!E52,0))</f>
        <v/>
      </c>
      <c r="B53" s="2" t="str">
        <f ca="1">IF(ISBLANK(Input!A52),"",INDIRECT("Input!A"&amp;1+MATCH(aux_sheet_RRS!$E52,aux_sheet_RRS!$D$2:$D$202,0)))</f>
        <v/>
      </c>
      <c r="C53" s="2" t="str">
        <f ca="1">IF(ISBLANK(Input!B52),"",INDIRECT("Input!B"&amp;1+MATCH(aux_sheet_RRS!$E52,aux_sheet_RRS!$D$2:$D$202,0)))</f>
        <v/>
      </c>
      <c r="D53" s="2" t="str">
        <f ca="1">IF(ISBLANK(Input!C52),"",INDIRECT("Input!C"&amp;1+MATCH(aux_sheet_RRS!$E52,aux_sheet_RRS!$D$2:$D$202,0)))</f>
        <v/>
      </c>
      <c r="E53" s="2" t="str">
        <f ca="1">IF(ISBLANK(Input!D52),"",INDIRECT("Input!D"&amp;1+MATCH(aux_sheet_RRS!$E52,aux_sheet_RRS!$D$2:$D$202,0)))</f>
        <v/>
      </c>
      <c r="F53" s="11" t="str">
        <f ca="1">INDIRECT("Input!H"&amp;1+MATCH(aux_sheet_RRS!$E52,aux_sheet_RRS!$D$2:$D$202,0))</f>
        <v xml:space="preserve"> </v>
      </c>
      <c r="G53" s="88" t="str">
        <f ca="1">IF($B53="","",INDIRECT("aux_sheet_RRS!O"&amp;1+MATCH(aux_sheet_RRS!$E52,aux_sheet_RRS!$D$2:$D$202,0)))</f>
        <v/>
      </c>
      <c r="H53" s="89" t="str">
        <f ca="1">IF($B53="","",INDIRECT("aux_sheet_RRS!P"&amp;1+MATCH(aux_sheet_RRS!$E52,aux_sheet_RRS!$D$2:$D$202,0)))</f>
        <v/>
      </c>
      <c r="I53" s="90" t="str">
        <f ca="1">IF(G53="","",ROUNDDOWN(INDIRECT("aux_sheet_RRS!Q"&amp;1+MATCH(aux_sheet_RRS!$E52,aux_sheet_RRS!$D$2:$D$202,0)),0))</f>
        <v/>
      </c>
      <c r="J53" s="106" t="str">
        <f ca="1">IF($B53="","",INDIRECT("aux_sheet_RRS!R"&amp;1+MATCH(aux_sheet_RRS!$E52,aux_sheet_RRS!$D$2:$D$202,0)))</f>
        <v/>
      </c>
      <c r="K53" s="89" t="str">
        <f ca="1">IF($B53="","",INDIRECT("aux_sheet_RRS!S"&amp;1+MATCH(aux_sheet_RRS!$E52,aux_sheet_RRS!$D$2:$D$202,0)))</f>
        <v/>
      </c>
      <c r="L53" s="90" t="str">
        <f ca="1">IF(J53="","",ROUNDDOWN(INDIRECT("aux_sheet_RRS!T"&amp;1+MATCH(aux_sheet_RRS!$E52,aux_sheet_RRS!$D$2:$D$202,0)),0))</f>
        <v/>
      </c>
      <c r="M53" s="106" t="str">
        <f ca="1">IF($B53="","",INDIRECT("aux_sheet_RRS!U"&amp;1+MATCH(aux_sheet_RRS!$E52,aux_sheet_RRS!$D$2:$D$202,0)))</f>
        <v/>
      </c>
      <c r="N53" s="89" t="str">
        <f ca="1">IF($B53="","",INDIRECT("aux_sheet_RRS!V"&amp;1+MATCH(aux_sheet_RRS!$E52,aux_sheet_RRS!$D$2:$D$202,0)))</f>
        <v/>
      </c>
      <c r="O53" s="90" t="str">
        <f ca="1">IF(M53="","",ROUNDDOWN(INDIRECT("aux_sheet_RRS!W"&amp;1+MATCH(aux_sheet_RRS!$E52,aux_sheet_RRS!$D$2:$D$202,0)),0))</f>
        <v/>
      </c>
      <c r="P53" s="106" t="str">
        <f ca="1">IF($B53="","",INDIRECT("aux_sheet_RRS!X"&amp;1+MATCH(aux_sheet_RRS!$E52,aux_sheet_RRS!$D$2:$D$202,0)))</f>
        <v/>
      </c>
      <c r="Q53" s="89" t="str">
        <f ca="1">IF($B53="","",INDIRECT("aux_sheet_RRS!Y"&amp;1+MATCH(aux_sheet_RRS!$E52,aux_sheet_RRS!$D$2:$D$202,0)))</f>
        <v/>
      </c>
      <c r="R53" s="90" t="str">
        <f ca="1">IF(P53="","",INDIRECT("aux_sheet_RRS!Z"&amp;1+MATCH(aux_sheet_RRS!$E52,aux_sheet_RRS!$D$2:$D$202,0)))</f>
        <v/>
      </c>
      <c r="S53" s="106" t="str">
        <f ca="1">IF($B53="","",INDIRECT("aux_sheet_RRS!AA"&amp;1+MATCH(aux_sheet_RRS!$E52,aux_sheet_RRS!$D$2:$D$202,0)))</f>
        <v/>
      </c>
      <c r="T53" s="89" t="str">
        <f ca="1">IF($B53="","",INDIRECT("aux_sheet_RRS!AB"&amp;1+MATCH(aux_sheet_RRS!$E52,aux_sheet_RRS!$D$2:$D$202,0)))</f>
        <v/>
      </c>
      <c r="U53" s="90" t="str">
        <f ca="1">IF(S53="","",INDIRECT("aux_sheet_RRS!AC"&amp;1+MATCH(aux_sheet_RRS!$E52,aux_sheet_RRS!$D$2:$D$202,0)))</f>
        <v/>
      </c>
      <c r="V53" s="106" t="str">
        <f ca="1">IF($B53="","",INDIRECT("aux_sheet_RRS!AD"&amp;1+MATCH(aux_sheet_RRS!$E52,aux_sheet_RRS!$D$2:$D$202,0)))</f>
        <v/>
      </c>
      <c r="W53" s="89" t="str">
        <f ca="1">IF($B53="","",INDIRECT("aux_sheet_RRS!AE"&amp;1+MATCH(aux_sheet_RRS!$E52,aux_sheet_RRS!$D$2:$D$202,0)))</f>
        <v/>
      </c>
      <c r="X53" s="90" t="str">
        <f ca="1">IF(V53="","",INDIRECT("aux_sheet_RRS!AF"&amp;1+MATCH(aux_sheet_RRS!$E52,aux_sheet_RRS!$D$2:$D$202,0)))</f>
        <v/>
      </c>
      <c r="Y53" s="106" t="str">
        <f ca="1">IF($B53="","",INDIRECT("aux_sheet_RRS!AG"&amp;1+MATCH(aux_sheet_RRS!$E52,aux_sheet_RRS!$D$2:$D$202,0)))</f>
        <v/>
      </c>
      <c r="Z53" s="89" t="str">
        <f ca="1">IF($B53="","",INDIRECT("aux_sheet_RRS!AH"&amp;1+MATCH(aux_sheet_RRS!$E52,aux_sheet_RRS!$D$2:$D$202,0)))</f>
        <v/>
      </c>
      <c r="AA53" s="90" t="str">
        <f ca="1">IF(Y53="","",INDIRECT("aux_sheet_RRS!AI"&amp;1+MATCH(aux_sheet_RRS!$E52,aux_sheet_RRS!$D$2:$D$202,0)))</f>
        <v/>
      </c>
      <c r="AB53" s="88" t="str">
        <f ca="1">IF($B53="","",INDIRECT("aux_sheet_RRS!AJ"&amp;1+MATCH(aux_sheet_RRS!$E52,aux_sheet_RRS!$D$2:$D$202,0)))</f>
        <v/>
      </c>
      <c r="AC53" s="89" t="str">
        <f ca="1">IF($B53="","",INDIRECT("aux_sheet_RRS!AK"&amp;1+MATCH(aux_sheet_RRS!$E52,aux_sheet_RRS!$D$2:$D$202,0)))</f>
        <v/>
      </c>
      <c r="AD53" s="90" t="str">
        <f ca="1">IF(AB53="","",INDIRECT("aux_sheet_RRS!AL"&amp;1+MATCH(aux_sheet_RRS!$E52,aux_sheet_RRS!$D$2:$D$202,0)))</f>
        <v/>
      </c>
      <c r="AE53" s="88" t="str">
        <f ca="1">IF($B53="","",INDIRECT("aux_sheet_RRS!AM"&amp;1+MATCH(aux_sheet_RRS!$E52,aux_sheet_RRS!$D$2:$D$202,0)))</f>
        <v/>
      </c>
      <c r="AF53" s="89" t="str">
        <f ca="1">IF($B53="","",INDIRECT("aux_sheet_RRS!AN"&amp;1+MATCH(aux_sheet_RRS!$E52,aux_sheet_RRS!$D$2:$D$202,0)))</f>
        <v/>
      </c>
      <c r="AG53" s="90" t="str">
        <f ca="1">IF(AE53="","",INDIRECT("aux_sheet_RRS!AO"&amp;1+MATCH(aux_sheet_RRS!$E52,aux_sheet_RRS!$D$2:$D$202,0)))</f>
        <v/>
      </c>
      <c r="AH53" s="14" t="str">
        <f t="shared" ca="1" si="3"/>
        <v/>
      </c>
      <c r="AI53" t="str">
        <f t="shared" ca="1" si="4"/>
        <v/>
      </c>
      <c r="AJ53" t="str">
        <f t="shared" ca="1" si="5"/>
        <v/>
      </c>
    </row>
    <row r="54" spans="1:36" x14ac:dyDescent="0.35">
      <c r="A54" s="2" t="str">
        <f>IF(ISBLANK(Input!A53),"",ROUNDDOWN(aux_sheet_RRS!E53,0))</f>
        <v/>
      </c>
      <c r="B54" s="2" t="str">
        <f ca="1">IF(ISBLANK(Input!A53),"",INDIRECT("Input!A"&amp;1+MATCH(aux_sheet_RRS!$E53,aux_sheet_RRS!$D$2:$D$202,0)))</f>
        <v/>
      </c>
      <c r="C54" s="2" t="str">
        <f ca="1">IF(ISBLANK(Input!B53),"",INDIRECT("Input!B"&amp;1+MATCH(aux_sheet_RRS!$E53,aux_sheet_RRS!$D$2:$D$202,0)))</f>
        <v/>
      </c>
      <c r="D54" s="2" t="str">
        <f ca="1">IF(ISBLANK(Input!C53),"",INDIRECT("Input!C"&amp;1+MATCH(aux_sheet_RRS!$E53,aux_sheet_RRS!$D$2:$D$202,0)))</f>
        <v/>
      </c>
      <c r="E54" s="2" t="str">
        <f ca="1">IF(ISBLANK(Input!D53),"",INDIRECT("Input!D"&amp;1+MATCH(aux_sheet_RRS!$E53,aux_sheet_RRS!$D$2:$D$202,0)))</f>
        <v/>
      </c>
      <c r="F54" s="11" t="str">
        <f ca="1">INDIRECT("Input!H"&amp;1+MATCH(aux_sheet_RRS!$E53,aux_sheet_RRS!$D$2:$D$202,0))</f>
        <v xml:space="preserve"> </v>
      </c>
      <c r="G54" s="88" t="str">
        <f ca="1">IF($B54="","",INDIRECT("aux_sheet_RRS!O"&amp;1+MATCH(aux_sheet_RRS!$E53,aux_sheet_RRS!$D$2:$D$202,0)))</f>
        <v/>
      </c>
      <c r="H54" s="89" t="str">
        <f ca="1">IF($B54="","",INDIRECT("aux_sheet_RRS!P"&amp;1+MATCH(aux_sheet_RRS!$E53,aux_sheet_RRS!$D$2:$D$202,0)))</f>
        <v/>
      </c>
      <c r="I54" s="90" t="str">
        <f ca="1">IF(G54="","",ROUNDDOWN(INDIRECT("aux_sheet_RRS!Q"&amp;1+MATCH(aux_sheet_RRS!$E53,aux_sheet_RRS!$D$2:$D$202,0)),0))</f>
        <v/>
      </c>
      <c r="J54" s="106" t="str">
        <f ca="1">IF($B54="","",INDIRECT("aux_sheet_RRS!R"&amp;1+MATCH(aux_sheet_RRS!$E53,aux_sheet_RRS!$D$2:$D$202,0)))</f>
        <v/>
      </c>
      <c r="K54" s="89" t="str">
        <f ca="1">IF($B54="","",INDIRECT("aux_sheet_RRS!S"&amp;1+MATCH(aux_sheet_RRS!$E53,aux_sheet_RRS!$D$2:$D$202,0)))</f>
        <v/>
      </c>
      <c r="L54" s="90" t="str">
        <f ca="1">IF(J54="","",ROUNDDOWN(INDIRECT("aux_sheet_RRS!T"&amp;1+MATCH(aux_sheet_RRS!$E53,aux_sheet_RRS!$D$2:$D$202,0)),0))</f>
        <v/>
      </c>
      <c r="M54" s="106" t="str">
        <f ca="1">IF($B54="","",INDIRECT("aux_sheet_RRS!U"&amp;1+MATCH(aux_sheet_RRS!$E53,aux_sheet_RRS!$D$2:$D$202,0)))</f>
        <v/>
      </c>
      <c r="N54" s="89" t="str">
        <f ca="1">IF($B54="","",INDIRECT("aux_sheet_RRS!V"&amp;1+MATCH(aux_sheet_RRS!$E53,aux_sheet_RRS!$D$2:$D$202,0)))</f>
        <v/>
      </c>
      <c r="O54" s="90" t="str">
        <f ca="1">IF(M54="","",ROUNDDOWN(INDIRECT("aux_sheet_RRS!W"&amp;1+MATCH(aux_sheet_RRS!$E53,aux_sheet_RRS!$D$2:$D$202,0)),0))</f>
        <v/>
      </c>
      <c r="P54" s="106" t="str">
        <f ca="1">IF($B54="","",INDIRECT("aux_sheet_RRS!X"&amp;1+MATCH(aux_sheet_RRS!$E53,aux_sheet_RRS!$D$2:$D$202,0)))</f>
        <v/>
      </c>
      <c r="Q54" s="89" t="str">
        <f ca="1">IF($B54="","",INDIRECT("aux_sheet_RRS!Y"&amp;1+MATCH(aux_sheet_RRS!$E53,aux_sheet_RRS!$D$2:$D$202,0)))</f>
        <v/>
      </c>
      <c r="R54" s="90" t="str">
        <f ca="1">IF(P54="","",INDIRECT("aux_sheet_RRS!Z"&amp;1+MATCH(aux_sheet_RRS!$E53,aux_sheet_RRS!$D$2:$D$202,0)))</f>
        <v/>
      </c>
      <c r="S54" s="106" t="str">
        <f ca="1">IF($B54="","",INDIRECT("aux_sheet_RRS!AA"&amp;1+MATCH(aux_sheet_RRS!$E53,aux_sheet_RRS!$D$2:$D$202,0)))</f>
        <v/>
      </c>
      <c r="T54" s="89" t="str">
        <f ca="1">IF($B54="","",INDIRECT("aux_sheet_RRS!AB"&amp;1+MATCH(aux_sheet_RRS!$E53,aux_sheet_RRS!$D$2:$D$202,0)))</f>
        <v/>
      </c>
      <c r="U54" s="90" t="str">
        <f ca="1">IF(S54="","",INDIRECT("aux_sheet_RRS!AC"&amp;1+MATCH(aux_sheet_RRS!$E53,aux_sheet_RRS!$D$2:$D$202,0)))</f>
        <v/>
      </c>
      <c r="V54" s="106" t="str">
        <f ca="1">IF($B54="","",INDIRECT("aux_sheet_RRS!AD"&amp;1+MATCH(aux_sheet_RRS!$E53,aux_sheet_RRS!$D$2:$D$202,0)))</f>
        <v/>
      </c>
      <c r="W54" s="89" t="str">
        <f ca="1">IF($B54="","",INDIRECT("aux_sheet_RRS!AE"&amp;1+MATCH(aux_sheet_RRS!$E53,aux_sheet_RRS!$D$2:$D$202,0)))</f>
        <v/>
      </c>
      <c r="X54" s="90" t="str">
        <f ca="1">IF(V54="","",INDIRECT("aux_sheet_RRS!AF"&amp;1+MATCH(aux_sheet_RRS!$E53,aux_sheet_RRS!$D$2:$D$202,0)))</f>
        <v/>
      </c>
      <c r="Y54" s="106" t="str">
        <f ca="1">IF($B54="","",INDIRECT("aux_sheet_RRS!AG"&amp;1+MATCH(aux_sheet_RRS!$E53,aux_sheet_RRS!$D$2:$D$202,0)))</f>
        <v/>
      </c>
      <c r="Z54" s="89" t="str">
        <f ca="1">IF($B54="","",INDIRECT("aux_sheet_RRS!AH"&amp;1+MATCH(aux_sheet_RRS!$E53,aux_sheet_RRS!$D$2:$D$202,0)))</f>
        <v/>
      </c>
      <c r="AA54" s="90" t="str">
        <f ca="1">IF(Y54="","",INDIRECT("aux_sheet_RRS!AI"&amp;1+MATCH(aux_sheet_RRS!$E53,aux_sheet_RRS!$D$2:$D$202,0)))</f>
        <v/>
      </c>
      <c r="AB54" s="88" t="str">
        <f ca="1">IF($B54="","",INDIRECT("aux_sheet_RRS!AJ"&amp;1+MATCH(aux_sheet_RRS!$E53,aux_sheet_RRS!$D$2:$D$202,0)))</f>
        <v/>
      </c>
      <c r="AC54" s="89" t="str">
        <f ca="1">IF($B54="","",INDIRECT("aux_sheet_RRS!AK"&amp;1+MATCH(aux_sheet_RRS!$E53,aux_sheet_RRS!$D$2:$D$202,0)))</f>
        <v/>
      </c>
      <c r="AD54" s="90" t="str">
        <f ca="1">IF(AB54="","",INDIRECT("aux_sheet_RRS!AL"&amp;1+MATCH(aux_sheet_RRS!$E53,aux_sheet_RRS!$D$2:$D$202,0)))</f>
        <v/>
      </c>
      <c r="AE54" s="88" t="str">
        <f ca="1">IF($B54="","",INDIRECT("aux_sheet_RRS!AM"&amp;1+MATCH(aux_sheet_RRS!$E53,aux_sheet_RRS!$D$2:$D$202,0)))</f>
        <v/>
      </c>
      <c r="AF54" s="89" t="str">
        <f ca="1">IF($B54="","",INDIRECT("aux_sheet_RRS!AN"&amp;1+MATCH(aux_sheet_RRS!$E53,aux_sheet_RRS!$D$2:$D$202,0)))</f>
        <v/>
      </c>
      <c r="AG54" s="90" t="str">
        <f ca="1">IF(AE54="","",INDIRECT("aux_sheet_RRS!AO"&amp;1+MATCH(aux_sheet_RRS!$E53,aux_sheet_RRS!$D$2:$D$202,0)))</f>
        <v/>
      </c>
      <c r="AH54" s="14" t="str">
        <f t="shared" ca="1" si="3"/>
        <v/>
      </c>
      <c r="AI54" t="str">
        <f t="shared" ca="1" si="4"/>
        <v/>
      </c>
      <c r="AJ54" t="str">
        <f t="shared" ca="1" si="5"/>
        <v/>
      </c>
    </row>
    <row r="55" spans="1:36" x14ac:dyDescent="0.35">
      <c r="A55" s="2" t="str">
        <f>IF(ISBLANK(Input!A54),"",ROUNDDOWN(aux_sheet_RRS!E54,0))</f>
        <v/>
      </c>
      <c r="B55" s="2" t="str">
        <f ca="1">IF(ISBLANK(Input!A54),"",INDIRECT("Input!A"&amp;1+MATCH(aux_sheet_RRS!$E54,aux_sheet_RRS!$D$2:$D$202,0)))</f>
        <v/>
      </c>
      <c r="C55" s="2" t="str">
        <f ca="1">IF(ISBLANK(Input!B54),"",INDIRECT("Input!B"&amp;1+MATCH(aux_sheet_RRS!$E54,aux_sheet_RRS!$D$2:$D$202,0)))</f>
        <v/>
      </c>
      <c r="D55" s="2" t="str">
        <f ca="1">IF(ISBLANK(Input!C54),"",INDIRECT("Input!C"&amp;1+MATCH(aux_sheet_RRS!$E54,aux_sheet_RRS!$D$2:$D$202,0)))</f>
        <v/>
      </c>
      <c r="E55" s="2" t="str">
        <f ca="1">IF(ISBLANK(Input!D54),"",INDIRECT("Input!D"&amp;1+MATCH(aux_sheet_RRS!$E54,aux_sheet_RRS!$D$2:$D$202,0)))</f>
        <v/>
      </c>
      <c r="F55" s="11" t="str">
        <f ca="1">INDIRECT("Input!H"&amp;1+MATCH(aux_sheet_RRS!$E54,aux_sheet_RRS!$D$2:$D$202,0))</f>
        <v xml:space="preserve"> </v>
      </c>
      <c r="G55" s="88" t="str">
        <f ca="1">IF($B55="","",INDIRECT("aux_sheet_RRS!O"&amp;1+MATCH(aux_sheet_RRS!$E54,aux_sheet_RRS!$D$2:$D$202,0)))</f>
        <v/>
      </c>
      <c r="H55" s="89" t="str">
        <f ca="1">IF($B55="","",INDIRECT("aux_sheet_RRS!P"&amp;1+MATCH(aux_sheet_RRS!$E54,aux_sheet_RRS!$D$2:$D$202,0)))</f>
        <v/>
      </c>
      <c r="I55" s="90" t="str">
        <f ca="1">IF(G55="","",ROUNDDOWN(INDIRECT("aux_sheet_RRS!Q"&amp;1+MATCH(aux_sheet_RRS!$E54,aux_sheet_RRS!$D$2:$D$202,0)),0))</f>
        <v/>
      </c>
      <c r="J55" s="106" t="str">
        <f ca="1">IF($B55="","",INDIRECT("aux_sheet_RRS!R"&amp;1+MATCH(aux_sheet_RRS!$E54,aux_sheet_RRS!$D$2:$D$202,0)))</f>
        <v/>
      </c>
      <c r="K55" s="89" t="str">
        <f ca="1">IF($B55="","",INDIRECT("aux_sheet_RRS!S"&amp;1+MATCH(aux_sheet_RRS!$E54,aux_sheet_RRS!$D$2:$D$202,0)))</f>
        <v/>
      </c>
      <c r="L55" s="90" t="str">
        <f ca="1">IF(J55="","",ROUNDDOWN(INDIRECT("aux_sheet_RRS!T"&amp;1+MATCH(aux_sheet_RRS!$E54,aux_sheet_RRS!$D$2:$D$202,0)),0))</f>
        <v/>
      </c>
      <c r="M55" s="106" t="str">
        <f ca="1">IF($B55="","",INDIRECT("aux_sheet_RRS!U"&amp;1+MATCH(aux_sheet_RRS!$E54,aux_sheet_RRS!$D$2:$D$202,0)))</f>
        <v/>
      </c>
      <c r="N55" s="89" t="str">
        <f ca="1">IF($B55="","",INDIRECT("aux_sheet_RRS!V"&amp;1+MATCH(aux_sheet_RRS!$E54,aux_sheet_RRS!$D$2:$D$202,0)))</f>
        <v/>
      </c>
      <c r="O55" s="90" t="str">
        <f ca="1">IF(M55="","",ROUNDDOWN(INDIRECT("aux_sheet_RRS!W"&amp;1+MATCH(aux_sheet_RRS!$E54,aux_sheet_RRS!$D$2:$D$202,0)),0))</f>
        <v/>
      </c>
      <c r="P55" s="106" t="str">
        <f ca="1">IF($B55="","",INDIRECT("aux_sheet_RRS!X"&amp;1+MATCH(aux_sheet_RRS!$E54,aux_sheet_RRS!$D$2:$D$202,0)))</f>
        <v/>
      </c>
      <c r="Q55" s="89" t="str">
        <f ca="1">IF($B55="","",INDIRECT("aux_sheet_RRS!Y"&amp;1+MATCH(aux_sheet_RRS!$E54,aux_sheet_RRS!$D$2:$D$202,0)))</f>
        <v/>
      </c>
      <c r="R55" s="90" t="str">
        <f ca="1">IF(P55="","",INDIRECT("aux_sheet_RRS!Z"&amp;1+MATCH(aux_sheet_RRS!$E54,aux_sheet_RRS!$D$2:$D$202,0)))</f>
        <v/>
      </c>
      <c r="S55" s="106" t="str">
        <f ca="1">IF($B55="","",INDIRECT("aux_sheet_RRS!AA"&amp;1+MATCH(aux_sheet_RRS!$E54,aux_sheet_RRS!$D$2:$D$202,0)))</f>
        <v/>
      </c>
      <c r="T55" s="89" t="str">
        <f ca="1">IF($B55="","",INDIRECT("aux_sheet_RRS!AB"&amp;1+MATCH(aux_sheet_RRS!$E54,aux_sheet_RRS!$D$2:$D$202,0)))</f>
        <v/>
      </c>
      <c r="U55" s="90" t="str">
        <f ca="1">IF(S55="","",INDIRECT("aux_sheet_RRS!AC"&amp;1+MATCH(aux_sheet_RRS!$E54,aux_sheet_RRS!$D$2:$D$202,0)))</f>
        <v/>
      </c>
      <c r="V55" s="106" t="str">
        <f ca="1">IF($B55="","",INDIRECT("aux_sheet_RRS!AD"&amp;1+MATCH(aux_sheet_RRS!$E54,aux_sheet_RRS!$D$2:$D$202,0)))</f>
        <v/>
      </c>
      <c r="W55" s="89" t="str">
        <f ca="1">IF($B55="","",INDIRECT("aux_sheet_RRS!AE"&amp;1+MATCH(aux_sheet_RRS!$E54,aux_sheet_RRS!$D$2:$D$202,0)))</f>
        <v/>
      </c>
      <c r="X55" s="90" t="str">
        <f ca="1">IF(V55="","",INDIRECT("aux_sheet_RRS!AF"&amp;1+MATCH(aux_sheet_RRS!$E54,aux_sheet_RRS!$D$2:$D$202,0)))</f>
        <v/>
      </c>
      <c r="Y55" s="106" t="str">
        <f ca="1">IF($B55="","",INDIRECT("aux_sheet_RRS!AG"&amp;1+MATCH(aux_sheet_RRS!$E54,aux_sheet_RRS!$D$2:$D$202,0)))</f>
        <v/>
      </c>
      <c r="Z55" s="89" t="str">
        <f ca="1">IF($B55="","",INDIRECT("aux_sheet_RRS!AH"&amp;1+MATCH(aux_sheet_RRS!$E54,aux_sheet_RRS!$D$2:$D$202,0)))</f>
        <v/>
      </c>
      <c r="AA55" s="90" t="str">
        <f ca="1">IF(Y55="","",INDIRECT("aux_sheet_RRS!AI"&amp;1+MATCH(aux_sheet_RRS!$E54,aux_sheet_RRS!$D$2:$D$202,0)))</f>
        <v/>
      </c>
      <c r="AB55" s="88" t="str">
        <f ca="1">IF($B55="","",INDIRECT("aux_sheet_RRS!AJ"&amp;1+MATCH(aux_sheet_RRS!$E54,aux_sheet_RRS!$D$2:$D$202,0)))</f>
        <v/>
      </c>
      <c r="AC55" s="89" t="str">
        <f ca="1">IF($B55="","",INDIRECT("aux_sheet_RRS!AK"&amp;1+MATCH(aux_sheet_RRS!$E54,aux_sheet_RRS!$D$2:$D$202,0)))</f>
        <v/>
      </c>
      <c r="AD55" s="90" t="str">
        <f ca="1">IF(AB55="","",INDIRECT("aux_sheet_RRS!AL"&amp;1+MATCH(aux_sheet_RRS!$E54,aux_sheet_RRS!$D$2:$D$202,0)))</f>
        <v/>
      </c>
      <c r="AE55" s="88" t="str">
        <f ca="1">IF($B55="","",INDIRECT("aux_sheet_RRS!AM"&amp;1+MATCH(aux_sheet_RRS!$E54,aux_sheet_RRS!$D$2:$D$202,0)))</f>
        <v/>
      </c>
      <c r="AF55" s="89" t="str">
        <f ca="1">IF($B55="","",INDIRECT("aux_sheet_RRS!AN"&amp;1+MATCH(aux_sheet_RRS!$E54,aux_sheet_RRS!$D$2:$D$202,0)))</f>
        <v/>
      </c>
      <c r="AG55" s="90" t="str">
        <f ca="1">IF(AE55="","",INDIRECT("aux_sheet_RRS!AO"&amp;1+MATCH(aux_sheet_RRS!$E54,aux_sheet_RRS!$D$2:$D$202,0)))</f>
        <v/>
      </c>
      <c r="AH55" s="14" t="str">
        <f t="shared" ca="1" si="3"/>
        <v/>
      </c>
      <c r="AI55" t="str">
        <f t="shared" ca="1" si="4"/>
        <v/>
      </c>
      <c r="AJ55" t="str">
        <f t="shared" ca="1" si="5"/>
        <v/>
      </c>
    </row>
    <row r="56" spans="1:36" x14ac:dyDescent="0.35">
      <c r="A56" s="2" t="str">
        <f>IF(ISBLANK(Input!A55),"",ROUNDDOWN(aux_sheet_RRS!E55,0))</f>
        <v/>
      </c>
      <c r="B56" s="2" t="str">
        <f ca="1">IF(ISBLANK(Input!A55),"",INDIRECT("Input!A"&amp;1+MATCH(aux_sheet_RRS!$E55,aux_sheet_RRS!$D$2:$D$202,0)))</f>
        <v/>
      </c>
      <c r="C56" s="2" t="str">
        <f ca="1">IF(ISBLANK(Input!B55),"",INDIRECT("Input!B"&amp;1+MATCH(aux_sheet_RRS!$E55,aux_sheet_RRS!$D$2:$D$202,0)))</f>
        <v/>
      </c>
      <c r="D56" s="2" t="str">
        <f ca="1">IF(ISBLANK(Input!C55),"",INDIRECT("Input!C"&amp;1+MATCH(aux_sheet_RRS!$E55,aux_sheet_RRS!$D$2:$D$202,0)))</f>
        <v/>
      </c>
      <c r="E56" s="2" t="str">
        <f ca="1">IF(ISBLANK(Input!D55),"",INDIRECT("Input!D"&amp;1+MATCH(aux_sheet_RRS!$E55,aux_sheet_RRS!$D$2:$D$202,0)))</f>
        <v/>
      </c>
      <c r="F56" s="11" t="str">
        <f ca="1">INDIRECT("Input!H"&amp;1+MATCH(aux_sheet_RRS!$E55,aux_sheet_RRS!$D$2:$D$202,0))</f>
        <v xml:space="preserve"> </v>
      </c>
      <c r="G56" s="88" t="str">
        <f ca="1">IF($B56="","",INDIRECT("aux_sheet_RRS!O"&amp;1+MATCH(aux_sheet_RRS!$E55,aux_sheet_RRS!$D$2:$D$202,0)))</f>
        <v/>
      </c>
      <c r="H56" s="89" t="str">
        <f ca="1">IF($B56="","",INDIRECT("aux_sheet_RRS!P"&amp;1+MATCH(aux_sheet_RRS!$E55,aux_sheet_RRS!$D$2:$D$202,0)))</f>
        <v/>
      </c>
      <c r="I56" s="90" t="str">
        <f ca="1">IF(G56="","",ROUNDDOWN(INDIRECT("aux_sheet_RRS!Q"&amp;1+MATCH(aux_sheet_RRS!$E55,aux_sheet_RRS!$D$2:$D$202,0)),0))</f>
        <v/>
      </c>
      <c r="J56" s="106" t="str">
        <f ca="1">IF($B56="","",INDIRECT("aux_sheet_RRS!R"&amp;1+MATCH(aux_sheet_RRS!$E55,aux_sheet_RRS!$D$2:$D$202,0)))</f>
        <v/>
      </c>
      <c r="K56" s="89" t="str">
        <f ca="1">IF($B56="","",INDIRECT("aux_sheet_RRS!S"&amp;1+MATCH(aux_sheet_RRS!$E55,aux_sheet_RRS!$D$2:$D$202,0)))</f>
        <v/>
      </c>
      <c r="L56" s="90" t="str">
        <f ca="1">IF(J56="","",ROUNDDOWN(INDIRECT("aux_sheet_RRS!T"&amp;1+MATCH(aux_sheet_RRS!$E55,aux_sheet_RRS!$D$2:$D$202,0)),0))</f>
        <v/>
      </c>
      <c r="M56" s="106" t="str">
        <f ca="1">IF($B56="","",INDIRECT("aux_sheet_RRS!U"&amp;1+MATCH(aux_sheet_RRS!$E55,aux_sheet_RRS!$D$2:$D$202,0)))</f>
        <v/>
      </c>
      <c r="N56" s="89" t="str">
        <f ca="1">IF($B56="","",INDIRECT("aux_sheet_RRS!V"&amp;1+MATCH(aux_sheet_RRS!$E55,aux_sheet_RRS!$D$2:$D$202,0)))</f>
        <v/>
      </c>
      <c r="O56" s="90" t="str">
        <f ca="1">IF(M56="","",ROUNDDOWN(INDIRECT("aux_sheet_RRS!W"&amp;1+MATCH(aux_sheet_RRS!$E55,aux_sheet_RRS!$D$2:$D$202,0)),0))</f>
        <v/>
      </c>
      <c r="P56" s="106" t="str">
        <f ca="1">IF($B56="","",INDIRECT("aux_sheet_RRS!X"&amp;1+MATCH(aux_sheet_RRS!$E55,aux_sheet_RRS!$D$2:$D$202,0)))</f>
        <v/>
      </c>
      <c r="Q56" s="89" t="str">
        <f ca="1">IF($B56="","",INDIRECT("aux_sheet_RRS!Y"&amp;1+MATCH(aux_sheet_RRS!$E55,aux_sheet_RRS!$D$2:$D$202,0)))</f>
        <v/>
      </c>
      <c r="R56" s="90" t="str">
        <f ca="1">IF(P56="","",INDIRECT("aux_sheet_RRS!Z"&amp;1+MATCH(aux_sheet_RRS!$E55,aux_sheet_RRS!$D$2:$D$202,0)))</f>
        <v/>
      </c>
      <c r="S56" s="106" t="str">
        <f ca="1">IF($B56="","",INDIRECT("aux_sheet_RRS!AA"&amp;1+MATCH(aux_sheet_RRS!$E55,aux_sheet_RRS!$D$2:$D$202,0)))</f>
        <v/>
      </c>
      <c r="T56" s="89" t="str">
        <f ca="1">IF($B56="","",INDIRECT("aux_sheet_RRS!AB"&amp;1+MATCH(aux_sheet_RRS!$E55,aux_sheet_RRS!$D$2:$D$202,0)))</f>
        <v/>
      </c>
      <c r="U56" s="90" t="str">
        <f ca="1">IF(S56="","",INDIRECT("aux_sheet_RRS!AC"&amp;1+MATCH(aux_sheet_RRS!$E55,aux_sheet_RRS!$D$2:$D$202,0)))</f>
        <v/>
      </c>
      <c r="V56" s="106" t="str">
        <f ca="1">IF($B56="","",INDIRECT("aux_sheet_RRS!AD"&amp;1+MATCH(aux_sheet_RRS!$E55,aux_sheet_RRS!$D$2:$D$202,0)))</f>
        <v/>
      </c>
      <c r="W56" s="89" t="str">
        <f ca="1">IF($B56="","",INDIRECT("aux_sheet_RRS!AE"&amp;1+MATCH(aux_sheet_RRS!$E55,aux_sheet_RRS!$D$2:$D$202,0)))</f>
        <v/>
      </c>
      <c r="X56" s="90" t="str">
        <f ca="1">IF(V56="","",INDIRECT("aux_sheet_RRS!AF"&amp;1+MATCH(aux_sheet_RRS!$E55,aux_sheet_RRS!$D$2:$D$202,0)))</f>
        <v/>
      </c>
      <c r="Y56" s="106" t="str">
        <f ca="1">IF($B56="","",INDIRECT("aux_sheet_RRS!AG"&amp;1+MATCH(aux_sheet_RRS!$E55,aux_sheet_RRS!$D$2:$D$202,0)))</f>
        <v/>
      </c>
      <c r="Z56" s="89" t="str">
        <f ca="1">IF($B56="","",INDIRECT("aux_sheet_RRS!AH"&amp;1+MATCH(aux_sheet_RRS!$E55,aux_sheet_RRS!$D$2:$D$202,0)))</f>
        <v/>
      </c>
      <c r="AA56" s="90" t="str">
        <f ca="1">IF(Y56="","",INDIRECT("aux_sheet_RRS!AI"&amp;1+MATCH(aux_sheet_RRS!$E55,aux_sheet_RRS!$D$2:$D$202,0)))</f>
        <v/>
      </c>
      <c r="AB56" s="88" t="str">
        <f ca="1">IF($B56="","",INDIRECT("aux_sheet_RRS!AJ"&amp;1+MATCH(aux_sheet_RRS!$E55,aux_sheet_RRS!$D$2:$D$202,0)))</f>
        <v/>
      </c>
      <c r="AC56" s="89" t="str">
        <f ca="1">IF($B56="","",INDIRECT("aux_sheet_RRS!AK"&amp;1+MATCH(aux_sheet_RRS!$E55,aux_sheet_RRS!$D$2:$D$202,0)))</f>
        <v/>
      </c>
      <c r="AD56" s="90" t="str">
        <f ca="1">IF(AB56="","",INDIRECT("aux_sheet_RRS!AL"&amp;1+MATCH(aux_sheet_RRS!$E55,aux_sheet_RRS!$D$2:$D$202,0)))</f>
        <v/>
      </c>
      <c r="AE56" s="88" t="str">
        <f ca="1">IF($B56="","",INDIRECT("aux_sheet_RRS!AM"&amp;1+MATCH(aux_sheet_RRS!$E55,aux_sheet_RRS!$D$2:$D$202,0)))</f>
        <v/>
      </c>
      <c r="AF56" s="89" t="str">
        <f ca="1">IF($B56="","",INDIRECT("aux_sheet_RRS!AN"&amp;1+MATCH(aux_sheet_RRS!$E55,aux_sheet_RRS!$D$2:$D$202,0)))</f>
        <v/>
      </c>
      <c r="AG56" s="90" t="str">
        <f ca="1">IF(AE56="","",INDIRECT("aux_sheet_RRS!AO"&amp;1+MATCH(aux_sheet_RRS!$E55,aux_sheet_RRS!$D$2:$D$202,0)))</f>
        <v/>
      </c>
      <c r="AH56" s="14" t="str">
        <f t="shared" ca="1" si="3"/>
        <v/>
      </c>
      <c r="AI56" t="str">
        <f t="shared" ca="1" si="4"/>
        <v/>
      </c>
      <c r="AJ56" t="str">
        <f t="shared" ca="1" si="5"/>
        <v/>
      </c>
    </row>
    <row r="57" spans="1:36" x14ac:dyDescent="0.35">
      <c r="A57" s="2" t="str">
        <f>IF(ISBLANK(Input!A56),"",ROUNDDOWN(aux_sheet_RRS!E56,0))</f>
        <v/>
      </c>
      <c r="B57" s="2" t="str">
        <f ca="1">IF(ISBLANK(Input!A56),"",INDIRECT("Input!A"&amp;1+MATCH(aux_sheet_RRS!$E56,aux_sheet_RRS!$D$2:$D$202,0)))</f>
        <v/>
      </c>
      <c r="C57" s="2" t="str">
        <f ca="1">IF(ISBLANK(Input!B56),"",INDIRECT("Input!B"&amp;1+MATCH(aux_sheet_RRS!$E56,aux_sheet_RRS!$D$2:$D$202,0)))</f>
        <v/>
      </c>
      <c r="D57" s="2" t="str">
        <f ca="1">IF(ISBLANK(Input!C56),"",INDIRECT("Input!C"&amp;1+MATCH(aux_sheet_RRS!$E56,aux_sheet_RRS!$D$2:$D$202,0)))</f>
        <v/>
      </c>
      <c r="E57" s="2" t="str">
        <f ca="1">IF(ISBLANK(Input!D56),"",INDIRECT("Input!D"&amp;1+MATCH(aux_sheet_RRS!$E56,aux_sheet_RRS!$D$2:$D$202,0)))</f>
        <v/>
      </c>
      <c r="F57" s="11" t="str">
        <f ca="1">INDIRECT("Input!H"&amp;1+MATCH(aux_sheet_RRS!$E56,aux_sheet_RRS!$D$2:$D$202,0))</f>
        <v xml:space="preserve"> </v>
      </c>
      <c r="G57" s="88" t="str">
        <f ca="1">IF($B57="","",INDIRECT("aux_sheet_RRS!O"&amp;1+MATCH(aux_sheet_RRS!$E56,aux_sheet_RRS!$D$2:$D$202,0)))</f>
        <v/>
      </c>
      <c r="H57" s="89" t="str">
        <f ca="1">IF($B57="","",INDIRECT("aux_sheet_RRS!P"&amp;1+MATCH(aux_sheet_RRS!$E56,aux_sheet_RRS!$D$2:$D$202,0)))</f>
        <v/>
      </c>
      <c r="I57" s="90" t="str">
        <f ca="1">IF(G57="","",ROUNDDOWN(INDIRECT("aux_sheet_RRS!Q"&amp;1+MATCH(aux_sheet_RRS!$E56,aux_sheet_RRS!$D$2:$D$202,0)),0))</f>
        <v/>
      </c>
      <c r="J57" s="106" t="str">
        <f ca="1">IF($B57="","",INDIRECT("aux_sheet_RRS!R"&amp;1+MATCH(aux_sheet_RRS!$E56,aux_sheet_RRS!$D$2:$D$202,0)))</f>
        <v/>
      </c>
      <c r="K57" s="89" t="str">
        <f ca="1">IF($B57="","",INDIRECT("aux_sheet_RRS!S"&amp;1+MATCH(aux_sheet_RRS!$E56,aux_sheet_RRS!$D$2:$D$202,0)))</f>
        <v/>
      </c>
      <c r="L57" s="90" t="str">
        <f ca="1">IF(J57="","",ROUNDDOWN(INDIRECT("aux_sheet_RRS!T"&amp;1+MATCH(aux_sheet_RRS!$E56,aux_sheet_RRS!$D$2:$D$202,0)),0))</f>
        <v/>
      </c>
      <c r="M57" s="106" t="str">
        <f ca="1">IF($B57="","",INDIRECT("aux_sheet_RRS!U"&amp;1+MATCH(aux_sheet_RRS!$E56,aux_sheet_RRS!$D$2:$D$202,0)))</f>
        <v/>
      </c>
      <c r="N57" s="89" t="str">
        <f ca="1">IF($B57="","",INDIRECT("aux_sheet_RRS!V"&amp;1+MATCH(aux_sheet_RRS!$E56,aux_sheet_RRS!$D$2:$D$202,0)))</f>
        <v/>
      </c>
      <c r="O57" s="90" t="str">
        <f ca="1">IF(M57="","",ROUNDDOWN(INDIRECT("aux_sheet_RRS!W"&amp;1+MATCH(aux_sheet_RRS!$E56,aux_sheet_RRS!$D$2:$D$202,0)),0))</f>
        <v/>
      </c>
      <c r="P57" s="106" t="str">
        <f ca="1">IF($B57="","",INDIRECT("aux_sheet_RRS!X"&amp;1+MATCH(aux_sheet_RRS!$E56,aux_sheet_RRS!$D$2:$D$202,0)))</f>
        <v/>
      </c>
      <c r="Q57" s="89" t="str">
        <f ca="1">IF($B57="","",INDIRECT("aux_sheet_RRS!Y"&amp;1+MATCH(aux_sheet_RRS!$E56,aux_sheet_RRS!$D$2:$D$202,0)))</f>
        <v/>
      </c>
      <c r="R57" s="90" t="str">
        <f ca="1">IF(P57="","",INDIRECT("aux_sheet_RRS!Z"&amp;1+MATCH(aux_sheet_RRS!$E56,aux_sheet_RRS!$D$2:$D$202,0)))</f>
        <v/>
      </c>
      <c r="S57" s="106" t="str">
        <f ca="1">IF($B57="","",INDIRECT("aux_sheet_RRS!AA"&amp;1+MATCH(aux_sheet_RRS!$E56,aux_sheet_RRS!$D$2:$D$202,0)))</f>
        <v/>
      </c>
      <c r="T57" s="89" t="str">
        <f ca="1">IF($B57="","",INDIRECT("aux_sheet_RRS!AB"&amp;1+MATCH(aux_sheet_RRS!$E56,aux_sheet_RRS!$D$2:$D$202,0)))</f>
        <v/>
      </c>
      <c r="U57" s="90" t="str">
        <f ca="1">IF(S57="","",INDIRECT("aux_sheet_RRS!AC"&amp;1+MATCH(aux_sheet_RRS!$E56,aux_sheet_RRS!$D$2:$D$202,0)))</f>
        <v/>
      </c>
      <c r="V57" s="106" t="str">
        <f ca="1">IF($B57="","",INDIRECT("aux_sheet_RRS!AD"&amp;1+MATCH(aux_sheet_RRS!$E56,aux_sheet_RRS!$D$2:$D$202,0)))</f>
        <v/>
      </c>
      <c r="W57" s="89" t="str">
        <f ca="1">IF($B57="","",INDIRECT("aux_sheet_RRS!AE"&amp;1+MATCH(aux_sheet_RRS!$E56,aux_sheet_RRS!$D$2:$D$202,0)))</f>
        <v/>
      </c>
      <c r="X57" s="90" t="str">
        <f ca="1">IF(V57="","",INDIRECT("aux_sheet_RRS!AF"&amp;1+MATCH(aux_sheet_RRS!$E56,aux_sheet_RRS!$D$2:$D$202,0)))</f>
        <v/>
      </c>
      <c r="Y57" s="106" t="str">
        <f ca="1">IF($B57="","",INDIRECT("aux_sheet_RRS!AG"&amp;1+MATCH(aux_sheet_RRS!$E56,aux_sheet_RRS!$D$2:$D$202,0)))</f>
        <v/>
      </c>
      <c r="Z57" s="89" t="str">
        <f ca="1">IF($B57="","",INDIRECT("aux_sheet_RRS!AH"&amp;1+MATCH(aux_sheet_RRS!$E56,aux_sheet_RRS!$D$2:$D$202,0)))</f>
        <v/>
      </c>
      <c r="AA57" s="90" t="str">
        <f ca="1">IF(Y57="","",INDIRECT("aux_sheet_RRS!AI"&amp;1+MATCH(aux_sheet_RRS!$E56,aux_sheet_RRS!$D$2:$D$202,0)))</f>
        <v/>
      </c>
      <c r="AB57" s="88" t="str">
        <f ca="1">IF($B57="","",INDIRECT("aux_sheet_RRS!AJ"&amp;1+MATCH(aux_sheet_RRS!$E56,aux_sheet_RRS!$D$2:$D$202,0)))</f>
        <v/>
      </c>
      <c r="AC57" s="89" t="str">
        <f ca="1">IF($B57="","",INDIRECT("aux_sheet_RRS!AK"&amp;1+MATCH(aux_sheet_RRS!$E56,aux_sheet_RRS!$D$2:$D$202,0)))</f>
        <v/>
      </c>
      <c r="AD57" s="90" t="str">
        <f ca="1">IF(AB57="","",INDIRECT("aux_sheet_RRS!AL"&amp;1+MATCH(aux_sheet_RRS!$E56,aux_sheet_RRS!$D$2:$D$202,0)))</f>
        <v/>
      </c>
      <c r="AE57" s="88" t="str">
        <f ca="1">IF($B57="","",INDIRECT("aux_sheet_RRS!AM"&amp;1+MATCH(aux_sheet_RRS!$E56,aux_sheet_RRS!$D$2:$D$202,0)))</f>
        <v/>
      </c>
      <c r="AF57" s="89" t="str">
        <f ca="1">IF($B57="","",INDIRECT("aux_sheet_RRS!AN"&amp;1+MATCH(aux_sheet_RRS!$E56,aux_sheet_RRS!$D$2:$D$202,0)))</f>
        <v/>
      </c>
      <c r="AG57" s="90" t="str">
        <f ca="1">IF(AE57="","",INDIRECT("aux_sheet_RRS!AO"&amp;1+MATCH(aux_sheet_RRS!$E56,aux_sheet_RRS!$D$2:$D$202,0)))</f>
        <v/>
      </c>
      <c r="AH57" s="14" t="str">
        <f t="shared" ca="1" si="3"/>
        <v/>
      </c>
      <c r="AI57" t="str">
        <f t="shared" ca="1" si="4"/>
        <v/>
      </c>
      <c r="AJ57" t="str">
        <f t="shared" ca="1" si="5"/>
        <v/>
      </c>
    </row>
    <row r="58" spans="1:36" x14ac:dyDescent="0.35">
      <c r="A58" s="2" t="str">
        <f>IF(ISBLANK(Input!A57),"",ROUNDDOWN(aux_sheet_RRS!E57,0))</f>
        <v/>
      </c>
      <c r="B58" s="2" t="str">
        <f ca="1">IF(ISBLANK(Input!A57),"",INDIRECT("Input!A"&amp;1+MATCH(aux_sheet_RRS!$E57,aux_sheet_RRS!$D$2:$D$202,0)))</f>
        <v/>
      </c>
      <c r="C58" s="2" t="str">
        <f ca="1">IF(ISBLANK(Input!B57),"",INDIRECT("Input!B"&amp;1+MATCH(aux_sheet_RRS!$E57,aux_sheet_RRS!$D$2:$D$202,0)))</f>
        <v/>
      </c>
      <c r="D58" s="2" t="str">
        <f ca="1">IF(ISBLANK(Input!C57),"",INDIRECT("Input!C"&amp;1+MATCH(aux_sheet_RRS!$E57,aux_sheet_RRS!$D$2:$D$202,0)))</f>
        <v/>
      </c>
      <c r="E58" s="2" t="str">
        <f ca="1">IF(ISBLANK(Input!D57),"",INDIRECT("Input!D"&amp;1+MATCH(aux_sheet_RRS!$E57,aux_sheet_RRS!$D$2:$D$202,0)))</f>
        <v/>
      </c>
      <c r="F58" s="11" t="str">
        <f ca="1">INDIRECT("Input!H"&amp;1+MATCH(aux_sheet_RRS!$E57,aux_sheet_RRS!$D$2:$D$202,0))</f>
        <v xml:space="preserve"> </v>
      </c>
      <c r="G58" s="88" t="str">
        <f ca="1">IF($B58="","",INDIRECT("aux_sheet_RRS!O"&amp;1+MATCH(aux_sheet_RRS!$E57,aux_sheet_RRS!$D$2:$D$202,0)))</f>
        <v/>
      </c>
      <c r="H58" s="89" t="str">
        <f ca="1">IF($B58="","",INDIRECT("aux_sheet_RRS!P"&amp;1+MATCH(aux_sheet_RRS!$E57,aux_sheet_RRS!$D$2:$D$202,0)))</f>
        <v/>
      </c>
      <c r="I58" s="90" t="str">
        <f ca="1">IF(G58="","",ROUNDDOWN(INDIRECT("aux_sheet_RRS!Q"&amp;1+MATCH(aux_sheet_RRS!$E57,aux_sheet_RRS!$D$2:$D$202,0)),0))</f>
        <v/>
      </c>
      <c r="J58" s="106" t="str">
        <f ca="1">IF($B58="","",INDIRECT("aux_sheet_RRS!R"&amp;1+MATCH(aux_sheet_RRS!$E57,aux_sheet_RRS!$D$2:$D$202,0)))</f>
        <v/>
      </c>
      <c r="K58" s="89" t="str">
        <f ca="1">IF($B58="","",INDIRECT("aux_sheet_RRS!S"&amp;1+MATCH(aux_sheet_RRS!$E57,aux_sheet_RRS!$D$2:$D$202,0)))</f>
        <v/>
      </c>
      <c r="L58" s="90" t="str">
        <f ca="1">IF(J58="","",ROUNDDOWN(INDIRECT("aux_sheet_RRS!T"&amp;1+MATCH(aux_sheet_RRS!$E57,aux_sheet_RRS!$D$2:$D$202,0)),0))</f>
        <v/>
      </c>
      <c r="M58" s="106" t="str">
        <f ca="1">IF($B58="","",INDIRECT("aux_sheet_RRS!U"&amp;1+MATCH(aux_sheet_RRS!$E57,aux_sheet_RRS!$D$2:$D$202,0)))</f>
        <v/>
      </c>
      <c r="N58" s="89" t="str">
        <f ca="1">IF($B58="","",INDIRECT("aux_sheet_RRS!V"&amp;1+MATCH(aux_sheet_RRS!$E57,aux_sheet_RRS!$D$2:$D$202,0)))</f>
        <v/>
      </c>
      <c r="O58" s="90" t="str">
        <f ca="1">IF(M58="","",ROUNDDOWN(INDIRECT("aux_sheet_RRS!W"&amp;1+MATCH(aux_sheet_RRS!$E57,aux_sheet_RRS!$D$2:$D$202,0)),0))</f>
        <v/>
      </c>
      <c r="P58" s="106" t="str">
        <f ca="1">IF($B58="","",INDIRECT("aux_sheet_RRS!X"&amp;1+MATCH(aux_sheet_RRS!$E57,aux_sheet_RRS!$D$2:$D$202,0)))</f>
        <v/>
      </c>
      <c r="Q58" s="89" t="str">
        <f ca="1">IF($B58="","",INDIRECT("aux_sheet_RRS!Y"&amp;1+MATCH(aux_sheet_RRS!$E57,aux_sheet_RRS!$D$2:$D$202,0)))</f>
        <v/>
      </c>
      <c r="R58" s="90" t="str">
        <f ca="1">IF(P58="","",INDIRECT("aux_sheet_RRS!Z"&amp;1+MATCH(aux_sheet_RRS!$E57,aux_sheet_RRS!$D$2:$D$202,0)))</f>
        <v/>
      </c>
      <c r="S58" s="106" t="str">
        <f ca="1">IF($B58="","",INDIRECT("aux_sheet_RRS!AA"&amp;1+MATCH(aux_sheet_RRS!$E57,aux_sheet_RRS!$D$2:$D$202,0)))</f>
        <v/>
      </c>
      <c r="T58" s="89" t="str">
        <f ca="1">IF($B58="","",INDIRECT("aux_sheet_RRS!AB"&amp;1+MATCH(aux_sheet_RRS!$E57,aux_sheet_RRS!$D$2:$D$202,0)))</f>
        <v/>
      </c>
      <c r="U58" s="90" t="str">
        <f ca="1">IF(S58="","",INDIRECT("aux_sheet_RRS!AC"&amp;1+MATCH(aux_sheet_RRS!$E57,aux_sheet_RRS!$D$2:$D$202,0)))</f>
        <v/>
      </c>
      <c r="V58" s="106" t="str">
        <f ca="1">IF($B58="","",INDIRECT("aux_sheet_RRS!AD"&amp;1+MATCH(aux_sheet_RRS!$E57,aux_sheet_RRS!$D$2:$D$202,0)))</f>
        <v/>
      </c>
      <c r="W58" s="89" t="str">
        <f ca="1">IF($B58="","",INDIRECT("aux_sheet_RRS!AE"&amp;1+MATCH(aux_sheet_RRS!$E57,aux_sheet_RRS!$D$2:$D$202,0)))</f>
        <v/>
      </c>
      <c r="X58" s="90" t="str">
        <f ca="1">IF(V58="","",INDIRECT("aux_sheet_RRS!AF"&amp;1+MATCH(aux_sheet_RRS!$E57,aux_sheet_RRS!$D$2:$D$202,0)))</f>
        <v/>
      </c>
      <c r="Y58" s="106" t="str">
        <f ca="1">IF($B58="","",INDIRECT("aux_sheet_RRS!AG"&amp;1+MATCH(aux_sheet_RRS!$E57,aux_sheet_RRS!$D$2:$D$202,0)))</f>
        <v/>
      </c>
      <c r="Z58" s="89" t="str">
        <f ca="1">IF($B58="","",INDIRECT("aux_sheet_RRS!AH"&amp;1+MATCH(aux_sheet_RRS!$E57,aux_sheet_RRS!$D$2:$D$202,0)))</f>
        <v/>
      </c>
      <c r="AA58" s="90" t="str">
        <f ca="1">IF(Y58="","",INDIRECT("aux_sheet_RRS!AI"&amp;1+MATCH(aux_sheet_RRS!$E57,aux_sheet_RRS!$D$2:$D$202,0)))</f>
        <v/>
      </c>
      <c r="AB58" s="88" t="str">
        <f ca="1">IF($B58="","",INDIRECT("aux_sheet_RRS!AJ"&amp;1+MATCH(aux_sheet_RRS!$E57,aux_sheet_RRS!$D$2:$D$202,0)))</f>
        <v/>
      </c>
      <c r="AC58" s="89" t="str">
        <f ca="1">IF($B58="","",INDIRECT("aux_sheet_RRS!AK"&amp;1+MATCH(aux_sheet_RRS!$E57,aux_sheet_RRS!$D$2:$D$202,0)))</f>
        <v/>
      </c>
      <c r="AD58" s="90" t="str">
        <f ca="1">IF(AB58="","",INDIRECT("aux_sheet_RRS!AL"&amp;1+MATCH(aux_sheet_RRS!$E57,aux_sheet_RRS!$D$2:$D$202,0)))</f>
        <v/>
      </c>
      <c r="AE58" s="88" t="str">
        <f ca="1">IF($B58="","",INDIRECT("aux_sheet_RRS!AM"&amp;1+MATCH(aux_sheet_RRS!$E57,aux_sheet_RRS!$D$2:$D$202,0)))</f>
        <v/>
      </c>
      <c r="AF58" s="89" t="str">
        <f ca="1">IF($B58="","",INDIRECT("aux_sheet_RRS!AN"&amp;1+MATCH(aux_sheet_RRS!$E57,aux_sheet_RRS!$D$2:$D$202,0)))</f>
        <v/>
      </c>
      <c r="AG58" s="90" t="str">
        <f ca="1">IF(AE58="","",INDIRECT("aux_sheet_RRS!AO"&amp;1+MATCH(aux_sheet_RRS!$E57,aux_sheet_RRS!$D$2:$D$202,0)))</f>
        <v/>
      </c>
      <c r="AH58" s="14" t="str">
        <f t="shared" ca="1" si="3"/>
        <v/>
      </c>
      <c r="AI58" t="str">
        <f t="shared" ca="1" si="4"/>
        <v/>
      </c>
      <c r="AJ58" t="str">
        <f t="shared" ca="1" si="5"/>
        <v/>
      </c>
    </row>
    <row r="59" spans="1:36" x14ac:dyDescent="0.35">
      <c r="A59" s="2" t="str">
        <f>IF(ISBLANK(Input!A58),"",ROUNDDOWN(aux_sheet_RRS!E58,0))</f>
        <v/>
      </c>
      <c r="B59" s="2" t="str">
        <f ca="1">IF(ISBLANK(Input!A58),"",INDIRECT("Input!A"&amp;1+MATCH(aux_sheet_RRS!$E58,aux_sheet_RRS!$D$2:$D$202,0)))</f>
        <v/>
      </c>
      <c r="C59" s="2" t="str">
        <f ca="1">IF(ISBLANK(Input!B58),"",INDIRECT("Input!B"&amp;1+MATCH(aux_sheet_RRS!$E58,aux_sheet_RRS!$D$2:$D$202,0)))</f>
        <v/>
      </c>
      <c r="D59" s="2" t="str">
        <f ca="1">IF(ISBLANK(Input!C58),"",INDIRECT("Input!C"&amp;1+MATCH(aux_sheet_RRS!$E58,aux_sheet_RRS!$D$2:$D$202,0)))</f>
        <v/>
      </c>
      <c r="E59" s="2" t="str">
        <f ca="1">IF(ISBLANK(Input!D58),"",INDIRECT("Input!D"&amp;1+MATCH(aux_sheet_RRS!$E58,aux_sheet_RRS!$D$2:$D$202,0)))</f>
        <v/>
      </c>
      <c r="F59" s="11" t="str">
        <f ca="1">INDIRECT("Input!H"&amp;1+MATCH(aux_sheet_RRS!$E58,aux_sheet_RRS!$D$2:$D$202,0))</f>
        <v xml:space="preserve"> </v>
      </c>
      <c r="G59" s="88" t="str">
        <f ca="1">IF($B59="","",INDIRECT("aux_sheet_RRS!O"&amp;1+MATCH(aux_sheet_RRS!$E58,aux_sheet_RRS!$D$2:$D$202,0)))</f>
        <v/>
      </c>
      <c r="H59" s="89" t="str">
        <f ca="1">IF($B59="","",INDIRECT("aux_sheet_RRS!P"&amp;1+MATCH(aux_sheet_RRS!$E58,aux_sheet_RRS!$D$2:$D$202,0)))</f>
        <v/>
      </c>
      <c r="I59" s="90" t="str">
        <f ca="1">IF(G59="","",ROUNDDOWN(INDIRECT("aux_sheet_RRS!Q"&amp;1+MATCH(aux_sheet_RRS!$E58,aux_sheet_RRS!$D$2:$D$202,0)),0))</f>
        <v/>
      </c>
      <c r="J59" s="106" t="str">
        <f ca="1">IF($B59="","",INDIRECT("aux_sheet_RRS!R"&amp;1+MATCH(aux_sheet_RRS!$E58,aux_sheet_RRS!$D$2:$D$202,0)))</f>
        <v/>
      </c>
      <c r="K59" s="89" t="str">
        <f ca="1">IF($B59="","",INDIRECT("aux_sheet_RRS!S"&amp;1+MATCH(aux_sheet_RRS!$E58,aux_sheet_RRS!$D$2:$D$202,0)))</f>
        <v/>
      </c>
      <c r="L59" s="90" t="str">
        <f ca="1">IF(J59="","",ROUNDDOWN(INDIRECT("aux_sheet_RRS!T"&amp;1+MATCH(aux_sheet_RRS!$E58,aux_sheet_RRS!$D$2:$D$202,0)),0))</f>
        <v/>
      </c>
      <c r="M59" s="106" t="str">
        <f ca="1">IF($B59="","",INDIRECT("aux_sheet_RRS!U"&amp;1+MATCH(aux_sheet_RRS!$E58,aux_sheet_RRS!$D$2:$D$202,0)))</f>
        <v/>
      </c>
      <c r="N59" s="89" t="str">
        <f ca="1">IF($B59="","",INDIRECT("aux_sheet_RRS!V"&amp;1+MATCH(aux_sheet_RRS!$E58,aux_sheet_RRS!$D$2:$D$202,0)))</f>
        <v/>
      </c>
      <c r="O59" s="90" t="str">
        <f ca="1">IF(M59="","",ROUNDDOWN(INDIRECT("aux_sheet_RRS!W"&amp;1+MATCH(aux_sheet_RRS!$E58,aux_sheet_RRS!$D$2:$D$202,0)),0))</f>
        <v/>
      </c>
      <c r="P59" s="106" t="str">
        <f ca="1">IF($B59="","",INDIRECT("aux_sheet_RRS!X"&amp;1+MATCH(aux_sheet_RRS!$E58,aux_sheet_RRS!$D$2:$D$202,0)))</f>
        <v/>
      </c>
      <c r="Q59" s="89" t="str">
        <f ca="1">IF($B59="","",INDIRECT("aux_sheet_RRS!Y"&amp;1+MATCH(aux_sheet_RRS!$E58,aux_sheet_RRS!$D$2:$D$202,0)))</f>
        <v/>
      </c>
      <c r="R59" s="90" t="str">
        <f ca="1">IF(P59="","",INDIRECT("aux_sheet_RRS!Z"&amp;1+MATCH(aux_sheet_RRS!$E58,aux_sheet_RRS!$D$2:$D$202,0)))</f>
        <v/>
      </c>
      <c r="S59" s="106" t="str">
        <f ca="1">IF($B59="","",INDIRECT("aux_sheet_RRS!AA"&amp;1+MATCH(aux_sheet_RRS!$E58,aux_sheet_RRS!$D$2:$D$202,0)))</f>
        <v/>
      </c>
      <c r="T59" s="89" t="str">
        <f ca="1">IF($B59="","",INDIRECT("aux_sheet_RRS!AB"&amp;1+MATCH(aux_sheet_RRS!$E58,aux_sheet_RRS!$D$2:$D$202,0)))</f>
        <v/>
      </c>
      <c r="U59" s="90" t="str">
        <f ca="1">IF(S59="","",INDIRECT("aux_sheet_RRS!AC"&amp;1+MATCH(aux_sheet_RRS!$E58,aux_sheet_RRS!$D$2:$D$202,0)))</f>
        <v/>
      </c>
      <c r="V59" s="106" t="str">
        <f ca="1">IF($B59="","",INDIRECT("aux_sheet_RRS!AD"&amp;1+MATCH(aux_sheet_RRS!$E58,aux_sheet_RRS!$D$2:$D$202,0)))</f>
        <v/>
      </c>
      <c r="W59" s="89" t="str">
        <f ca="1">IF($B59="","",INDIRECT("aux_sheet_RRS!AE"&amp;1+MATCH(aux_sheet_RRS!$E58,aux_sheet_RRS!$D$2:$D$202,0)))</f>
        <v/>
      </c>
      <c r="X59" s="90" t="str">
        <f ca="1">IF(V59="","",INDIRECT("aux_sheet_RRS!AF"&amp;1+MATCH(aux_sheet_RRS!$E58,aux_sheet_RRS!$D$2:$D$202,0)))</f>
        <v/>
      </c>
      <c r="Y59" s="106" t="str">
        <f ca="1">IF($B59="","",INDIRECT("aux_sheet_RRS!AG"&amp;1+MATCH(aux_sheet_RRS!$E58,aux_sheet_RRS!$D$2:$D$202,0)))</f>
        <v/>
      </c>
      <c r="Z59" s="89" t="str">
        <f ca="1">IF($B59="","",INDIRECT("aux_sheet_RRS!AH"&amp;1+MATCH(aux_sheet_RRS!$E58,aux_sheet_RRS!$D$2:$D$202,0)))</f>
        <v/>
      </c>
      <c r="AA59" s="90" t="str">
        <f ca="1">IF(Y59="","",INDIRECT("aux_sheet_RRS!AI"&amp;1+MATCH(aux_sheet_RRS!$E58,aux_sheet_RRS!$D$2:$D$202,0)))</f>
        <v/>
      </c>
      <c r="AB59" s="88" t="str">
        <f ca="1">IF($B59="","",INDIRECT("aux_sheet_RRS!AJ"&amp;1+MATCH(aux_sheet_RRS!$E58,aux_sheet_RRS!$D$2:$D$202,0)))</f>
        <v/>
      </c>
      <c r="AC59" s="89" t="str">
        <f ca="1">IF($B59="","",INDIRECT("aux_sheet_RRS!AK"&amp;1+MATCH(aux_sheet_RRS!$E58,aux_sheet_RRS!$D$2:$D$202,0)))</f>
        <v/>
      </c>
      <c r="AD59" s="90" t="str">
        <f ca="1">IF(AB59="","",INDIRECT("aux_sheet_RRS!AL"&amp;1+MATCH(aux_sheet_RRS!$E58,aux_sheet_RRS!$D$2:$D$202,0)))</f>
        <v/>
      </c>
      <c r="AE59" s="88" t="str">
        <f ca="1">IF($B59="","",INDIRECT("aux_sheet_RRS!AM"&amp;1+MATCH(aux_sheet_RRS!$E58,aux_sheet_RRS!$D$2:$D$202,0)))</f>
        <v/>
      </c>
      <c r="AF59" s="89" t="str">
        <f ca="1">IF($B59="","",INDIRECT("aux_sheet_RRS!AN"&amp;1+MATCH(aux_sheet_RRS!$E58,aux_sheet_RRS!$D$2:$D$202,0)))</f>
        <v/>
      </c>
      <c r="AG59" s="90" t="str">
        <f ca="1">IF(AE59="","",INDIRECT("aux_sheet_RRS!AO"&amp;1+MATCH(aux_sheet_RRS!$E58,aux_sheet_RRS!$D$2:$D$202,0)))</f>
        <v/>
      </c>
      <c r="AH59" s="14" t="str">
        <f t="shared" ca="1" si="3"/>
        <v/>
      </c>
      <c r="AI59" t="str">
        <f t="shared" ca="1" si="4"/>
        <v/>
      </c>
      <c r="AJ59" t="str">
        <f t="shared" ca="1" si="5"/>
        <v/>
      </c>
    </row>
    <row r="60" spans="1:36" x14ac:dyDescent="0.35">
      <c r="A60" s="2" t="str">
        <f>IF(ISBLANK(Input!A59),"",ROUNDDOWN(aux_sheet_RRS!E59,0))</f>
        <v/>
      </c>
      <c r="B60" s="2" t="str">
        <f ca="1">IF(ISBLANK(Input!A59),"",INDIRECT("Input!A"&amp;1+MATCH(aux_sheet_RRS!$E59,aux_sheet_RRS!$D$2:$D$202,0)))</f>
        <v/>
      </c>
      <c r="C60" s="2" t="str">
        <f ca="1">IF(ISBLANK(Input!B59),"",INDIRECT("Input!B"&amp;1+MATCH(aux_sheet_RRS!$E59,aux_sheet_RRS!$D$2:$D$202,0)))</f>
        <v/>
      </c>
      <c r="D60" s="2" t="str">
        <f ca="1">IF(ISBLANK(Input!C59),"",INDIRECT("Input!C"&amp;1+MATCH(aux_sheet_RRS!$E59,aux_sheet_RRS!$D$2:$D$202,0)))</f>
        <v/>
      </c>
      <c r="E60" s="2" t="str">
        <f ca="1">IF(ISBLANK(Input!D59),"",INDIRECT("Input!D"&amp;1+MATCH(aux_sheet_RRS!$E59,aux_sheet_RRS!$D$2:$D$202,0)))</f>
        <v/>
      </c>
      <c r="F60" s="11" t="str">
        <f ca="1">INDIRECT("Input!H"&amp;1+MATCH(aux_sheet_RRS!$E59,aux_sheet_RRS!$D$2:$D$202,0))</f>
        <v xml:space="preserve"> </v>
      </c>
      <c r="G60" s="88" t="str">
        <f ca="1">IF($B60="","",INDIRECT("aux_sheet_RRS!O"&amp;1+MATCH(aux_sheet_RRS!$E59,aux_sheet_RRS!$D$2:$D$202,0)))</f>
        <v/>
      </c>
      <c r="H60" s="89" t="str">
        <f ca="1">IF($B60="","",INDIRECT("aux_sheet_RRS!P"&amp;1+MATCH(aux_sheet_RRS!$E59,aux_sheet_RRS!$D$2:$D$202,0)))</f>
        <v/>
      </c>
      <c r="I60" s="90" t="str">
        <f ca="1">IF(G60="","",ROUNDDOWN(INDIRECT("aux_sheet_RRS!Q"&amp;1+MATCH(aux_sheet_RRS!$E59,aux_sheet_RRS!$D$2:$D$202,0)),0))</f>
        <v/>
      </c>
      <c r="J60" s="106" t="str">
        <f ca="1">IF($B60="","",INDIRECT("aux_sheet_RRS!R"&amp;1+MATCH(aux_sheet_RRS!$E59,aux_sheet_RRS!$D$2:$D$202,0)))</f>
        <v/>
      </c>
      <c r="K60" s="89" t="str">
        <f ca="1">IF($B60="","",INDIRECT("aux_sheet_RRS!S"&amp;1+MATCH(aux_sheet_RRS!$E59,aux_sheet_RRS!$D$2:$D$202,0)))</f>
        <v/>
      </c>
      <c r="L60" s="90" t="str">
        <f ca="1">IF(J60="","",ROUNDDOWN(INDIRECT("aux_sheet_RRS!T"&amp;1+MATCH(aux_sheet_RRS!$E59,aux_sheet_RRS!$D$2:$D$202,0)),0))</f>
        <v/>
      </c>
      <c r="M60" s="106" t="str">
        <f ca="1">IF($B60="","",INDIRECT("aux_sheet_RRS!U"&amp;1+MATCH(aux_sheet_RRS!$E59,aux_sheet_RRS!$D$2:$D$202,0)))</f>
        <v/>
      </c>
      <c r="N60" s="89" t="str">
        <f ca="1">IF($B60="","",INDIRECT("aux_sheet_RRS!V"&amp;1+MATCH(aux_sheet_RRS!$E59,aux_sheet_RRS!$D$2:$D$202,0)))</f>
        <v/>
      </c>
      <c r="O60" s="90" t="str">
        <f ca="1">IF(M60="","",ROUNDDOWN(INDIRECT("aux_sheet_RRS!W"&amp;1+MATCH(aux_sheet_RRS!$E59,aux_sheet_RRS!$D$2:$D$202,0)),0))</f>
        <v/>
      </c>
      <c r="P60" s="106" t="str">
        <f ca="1">IF($B60="","",INDIRECT("aux_sheet_RRS!X"&amp;1+MATCH(aux_sheet_RRS!$E59,aux_sheet_RRS!$D$2:$D$202,0)))</f>
        <v/>
      </c>
      <c r="Q60" s="89" t="str">
        <f ca="1">IF($B60="","",INDIRECT("aux_sheet_RRS!Y"&amp;1+MATCH(aux_sheet_RRS!$E59,aux_sheet_RRS!$D$2:$D$202,0)))</f>
        <v/>
      </c>
      <c r="R60" s="90" t="str">
        <f ca="1">IF(P60="","",INDIRECT("aux_sheet_RRS!Z"&amp;1+MATCH(aux_sheet_RRS!$E59,aux_sheet_RRS!$D$2:$D$202,0)))</f>
        <v/>
      </c>
      <c r="S60" s="106" t="str">
        <f ca="1">IF($B60="","",INDIRECT("aux_sheet_RRS!AA"&amp;1+MATCH(aux_sheet_RRS!$E59,aux_sheet_RRS!$D$2:$D$202,0)))</f>
        <v/>
      </c>
      <c r="T60" s="89" t="str">
        <f ca="1">IF($B60="","",INDIRECT("aux_sheet_RRS!AB"&amp;1+MATCH(aux_sheet_RRS!$E59,aux_sheet_RRS!$D$2:$D$202,0)))</f>
        <v/>
      </c>
      <c r="U60" s="90" t="str">
        <f ca="1">IF(S60="","",INDIRECT("aux_sheet_RRS!AC"&amp;1+MATCH(aux_sheet_RRS!$E59,aux_sheet_RRS!$D$2:$D$202,0)))</f>
        <v/>
      </c>
      <c r="V60" s="106" t="str">
        <f ca="1">IF($B60="","",INDIRECT("aux_sheet_RRS!AD"&amp;1+MATCH(aux_sheet_RRS!$E59,aux_sheet_RRS!$D$2:$D$202,0)))</f>
        <v/>
      </c>
      <c r="W60" s="89" t="str">
        <f ca="1">IF($B60="","",INDIRECT("aux_sheet_RRS!AE"&amp;1+MATCH(aux_sheet_RRS!$E59,aux_sheet_RRS!$D$2:$D$202,0)))</f>
        <v/>
      </c>
      <c r="X60" s="90" t="str">
        <f ca="1">IF(V60="","",INDIRECT("aux_sheet_RRS!AF"&amp;1+MATCH(aux_sheet_RRS!$E59,aux_sheet_RRS!$D$2:$D$202,0)))</f>
        <v/>
      </c>
      <c r="Y60" s="106" t="str">
        <f ca="1">IF($B60="","",INDIRECT("aux_sheet_RRS!AG"&amp;1+MATCH(aux_sheet_RRS!$E59,aux_sheet_RRS!$D$2:$D$202,0)))</f>
        <v/>
      </c>
      <c r="Z60" s="89" t="str">
        <f ca="1">IF($B60="","",INDIRECT("aux_sheet_RRS!AH"&amp;1+MATCH(aux_sheet_RRS!$E59,aux_sheet_RRS!$D$2:$D$202,0)))</f>
        <v/>
      </c>
      <c r="AA60" s="90" t="str">
        <f ca="1">IF(Y60="","",INDIRECT("aux_sheet_RRS!AI"&amp;1+MATCH(aux_sheet_RRS!$E59,aux_sheet_RRS!$D$2:$D$202,0)))</f>
        <v/>
      </c>
      <c r="AB60" s="88" t="str">
        <f ca="1">IF($B60="","",INDIRECT("aux_sheet_RRS!AJ"&amp;1+MATCH(aux_sheet_RRS!$E59,aux_sheet_RRS!$D$2:$D$202,0)))</f>
        <v/>
      </c>
      <c r="AC60" s="89" t="str">
        <f ca="1">IF($B60="","",INDIRECT("aux_sheet_RRS!AK"&amp;1+MATCH(aux_sheet_RRS!$E59,aux_sheet_RRS!$D$2:$D$202,0)))</f>
        <v/>
      </c>
      <c r="AD60" s="90" t="str">
        <f ca="1">IF(AB60="","",INDIRECT("aux_sheet_RRS!AL"&amp;1+MATCH(aux_sheet_RRS!$E59,aux_sheet_RRS!$D$2:$D$202,0)))</f>
        <v/>
      </c>
      <c r="AE60" s="88" t="str">
        <f ca="1">IF($B60="","",INDIRECT("aux_sheet_RRS!AM"&amp;1+MATCH(aux_sheet_RRS!$E59,aux_sheet_RRS!$D$2:$D$202,0)))</f>
        <v/>
      </c>
      <c r="AF60" s="89" t="str">
        <f ca="1">IF($B60="","",INDIRECT("aux_sheet_RRS!AN"&amp;1+MATCH(aux_sheet_RRS!$E59,aux_sheet_RRS!$D$2:$D$202,0)))</f>
        <v/>
      </c>
      <c r="AG60" s="90" t="str">
        <f ca="1">IF(AE60="","",INDIRECT("aux_sheet_RRS!AO"&amp;1+MATCH(aux_sheet_RRS!$E59,aux_sheet_RRS!$D$2:$D$202,0)))</f>
        <v/>
      </c>
      <c r="AH60" s="14" t="str">
        <f t="shared" ca="1" si="3"/>
        <v/>
      </c>
      <c r="AI60" t="str">
        <f t="shared" ca="1" si="4"/>
        <v/>
      </c>
      <c r="AJ60" t="str">
        <f t="shared" ca="1" si="5"/>
        <v/>
      </c>
    </row>
    <row r="61" spans="1:36" x14ac:dyDescent="0.35">
      <c r="A61" s="2" t="str">
        <f>IF(ISBLANK(Input!A60),"",ROUNDDOWN(aux_sheet_RRS!E60,0))</f>
        <v/>
      </c>
      <c r="B61" s="2" t="str">
        <f ca="1">IF(ISBLANK(Input!A60),"",INDIRECT("Input!A"&amp;1+MATCH(aux_sheet_RRS!$E60,aux_sheet_RRS!$D$2:$D$202,0)))</f>
        <v/>
      </c>
      <c r="C61" s="2" t="str">
        <f ca="1">IF(ISBLANK(Input!B60),"",INDIRECT("Input!B"&amp;1+MATCH(aux_sheet_RRS!$E60,aux_sheet_RRS!$D$2:$D$202,0)))</f>
        <v/>
      </c>
      <c r="D61" s="2" t="str">
        <f ca="1">IF(ISBLANK(Input!C60),"",INDIRECT("Input!C"&amp;1+MATCH(aux_sheet_RRS!$E60,aux_sheet_RRS!$D$2:$D$202,0)))</f>
        <v/>
      </c>
      <c r="E61" s="2" t="str">
        <f ca="1">IF(ISBLANK(Input!D60),"",INDIRECT("Input!D"&amp;1+MATCH(aux_sheet_RRS!$E60,aux_sheet_RRS!$D$2:$D$202,0)))</f>
        <v/>
      </c>
      <c r="F61" s="11" t="str">
        <f ca="1">INDIRECT("Input!H"&amp;1+MATCH(aux_sheet_RRS!$E60,aux_sheet_RRS!$D$2:$D$202,0))</f>
        <v xml:space="preserve"> </v>
      </c>
      <c r="G61" s="88" t="str">
        <f ca="1">IF($B61="","",INDIRECT("aux_sheet_RRS!O"&amp;1+MATCH(aux_sheet_RRS!$E60,aux_sheet_RRS!$D$2:$D$202,0)))</f>
        <v/>
      </c>
      <c r="H61" s="89" t="str">
        <f ca="1">IF($B61="","",INDIRECT("aux_sheet_RRS!P"&amp;1+MATCH(aux_sheet_RRS!$E60,aux_sheet_RRS!$D$2:$D$202,0)))</f>
        <v/>
      </c>
      <c r="I61" s="90" t="str">
        <f ca="1">IF(G61="","",ROUNDDOWN(INDIRECT("aux_sheet_RRS!Q"&amp;1+MATCH(aux_sheet_RRS!$E60,aux_sheet_RRS!$D$2:$D$202,0)),0))</f>
        <v/>
      </c>
      <c r="J61" s="106" t="str">
        <f ca="1">IF($B61="","",INDIRECT("aux_sheet_RRS!R"&amp;1+MATCH(aux_sheet_RRS!$E60,aux_sheet_RRS!$D$2:$D$202,0)))</f>
        <v/>
      </c>
      <c r="K61" s="89" t="str">
        <f ca="1">IF($B61="","",INDIRECT("aux_sheet_RRS!S"&amp;1+MATCH(aux_sheet_RRS!$E60,aux_sheet_RRS!$D$2:$D$202,0)))</f>
        <v/>
      </c>
      <c r="L61" s="90" t="str">
        <f ca="1">IF(J61="","",ROUNDDOWN(INDIRECT("aux_sheet_RRS!T"&amp;1+MATCH(aux_sheet_RRS!$E60,aux_sheet_RRS!$D$2:$D$202,0)),0))</f>
        <v/>
      </c>
      <c r="M61" s="106" t="str">
        <f ca="1">IF($B61="","",INDIRECT("aux_sheet_RRS!U"&amp;1+MATCH(aux_sheet_RRS!$E60,aux_sheet_RRS!$D$2:$D$202,0)))</f>
        <v/>
      </c>
      <c r="N61" s="89" t="str">
        <f ca="1">IF($B61="","",INDIRECT("aux_sheet_RRS!V"&amp;1+MATCH(aux_sheet_RRS!$E60,aux_sheet_RRS!$D$2:$D$202,0)))</f>
        <v/>
      </c>
      <c r="O61" s="90" t="str">
        <f ca="1">IF(M61="","",ROUNDDOWN(INDIRECT("aux_sheet_RRS!W"&amp;1+MATCH(aux_sheet_RRS!$E60,aux_sheet_RRS!$D$2:$D$202,0)),0))</f>
        <v/>
      </c>
      <c r="P61" s="106" t="str">
        <f ca="1">IF($B61="","",INDIRECT("aux_sheet_RRS!X"&amp;1+MATCH(aux_sheet_RRS!$E60,aux_sheet_RRS!$D$2:$D$202,0)))</f>
        <v/>
      </c>
      <c r="Q61" s="89" t="str">
        <f ca="1">IF($B61="","",INDIRECT("aux_sheet_RRS!Y"&amp;1+MATCH(aux_sheet_RRS!$E60,aux_sheet_RRS!$D$2:$D$202,0)))</f>
        <v/>
      </c>
      <c r="R61" s="90" t="str">
        <f ca="1">IF(P61="","",INDIRECT("aux_sheet_RRS!Z"&amp;1+MATCH(aux_sheet_RRS!$E60,aux_sheet_RRS!$D$2:$D$202,0)))</f>
        <v/>
      </c>
      <c r="S61" s="106" t="str">
        <f ca="1">IF($B61="","",INDIRECT("aux_sheet_RRS!AA"&amp;1+MATCH(aux_sheet_RRS!$E60,aux_sheet_RRS!$D$2:$D$202,0)))</f>
        <v/>
      </c>
      <c r="T61" s="89" t="str">
        <f ca="1">IF($B61="","",INDIRECT("aux_sheet_RRS!AB"&amp;1+MATCH(aux_sheet_RRS!$E60,aux_sheet_RRS!$D$2:$D$202,0)))</f>
        <v/>
      </c>
      <c r="U61" s="90" t="str">
        <f ca="1">IF(S61="","",INDIRECT("aux_sheet_RRS!AC"&amp;1+MATCH(aux_sheet_RRS!$E60,aux_sheet_RRS!$D$2:$D$202,0)))</f>
        <v/>
      </c>
      <c r="V61" s="106" t="str">
        <f ca="1">IF($B61="","",INDIRECT("aux_sheet_RRS!AD"&amp;1+MATCH(aux_sheet_RRS!$E60,aux_sheet_RRS!$D$2:$D$202,0)))</f>
        <v/>
      </c>
      <c r="W61" s="89" t="str">
        <f ca="1">IF($B61="","",INDIRECT("aux_sheet_RRS!AE"&amp;1+MATCH(aux_sheet_RRS!$E60,aux_sheet_RRS!$D$2:$D$202,0)))</f>
        <v/>
      </c>
      <c r="X61" s="90" t="str">
        <f ca="1">IF(V61="","",INDIRECT("aux_sheet_RRS!AF"&amp;1+MATCH(aux_sheet_RRS!$E60,aux_sheet_RRS!$D$2:$D$202,0)))</f>
        <v/>
      </c>
      <c r="Y61" s="106" t="str">
        <f ca="1">IF($B61="","",INDIRECT("aux_sheet_RRS!AG"&amp;1+MATCH(aux_sheet_RRS!$E60,aux_sheet_RRS!$D$2:$D$202,0)))</f>
        <v/>
      </c>
      <c r="Z61" s="89" t="str">
        <f ca="1">IF($B61="","",INDIRECT("aux_sheet_RRS!AH"&amp;1+MATCH(aux_sheet_RRS!$E60,aux_sheet_RRS!$D$2:$D$202,0)))</f>
        <v/>
      </c>
      <c r="AA61" s="90" t="str">
        <f ca="1">IF(Y61="","",INDIRECT("aux_sheet_RRS!AI"&amp;1+MATCH(aux_sheet_RRS!$E60,aux_sheet_RRS!$D$2:$D$202,0)))</f>
        <v/>
      </c>
      <c r="AB61" s="88" t="str">
        <f ca="1">IF($B61="","",INDIRECT("aux_sheet_RRS!AJ"&amp;1+MATCH(aux_sheet_RRS!$E60,aux_sheet_RRS!$D$2:$D$202,0)))</f>
        <v/>
      </c>
      <c r="AC61" s="89" t="str">
        <f ca="1">IF($B61="","",INDIRECT("aux_sheet_RRS!AK"&amp;1+MATCH(aux_sheet_RRS!$E60,aux_sheet_RRS!$D$2:$D$202,0)))</f>
        <v/>
      </c>
      <c r="AD61" s="90" t="str">
        <f ca="1">IF(AB61="","",INDIRECT("aux_sheet_RRS!AL"&amp;1+MATCH(aux_sheet_RRS!$E60,aux_sheet_RRS!$D$2:$D$202,0)))</f>
        <v/>
      </c>
      <c r="AE61" s="88" t="str">
        <f ca="1">IF($B61="","",INDIRECT("aux_sheet_RRS!AM"&amp;1+MATCH(aux_sheet_RRS!$E60,aux_sheet_RRS!$D$2:$D$202,0)))</f>
        <v/>
      </c>
      <c r="AF61" s="89" t="str">
        <f ca="1">IF($B61="","",INDIRECT("aux_sheet_RRS!AN"&amp;1+MATCH(aux_sheet_RRS!$E60,aux_sheet_RRS!$D$2:$D$202,0)))</f>
        <v/>
      </c>
      <c r="AG61" s="90" t="str">
        <f ca="1">IF(AE61="","",INDIRECT("aux_sheet_RRS!AO"&amp;1+MATCH(aux_sheet_RRS!$E60,aux_sheet_RRS!$D$2:$D$202,0)))</f>
        <v/>
      </c>
      <c r="AH61" s="14" t="str">
        <f t="shared" ca="1" si="3"/>
        <v/>
      </c>
      <c r="AI61" t="str">
        <f t="shared" ca="1" si="4"/>
        <v/>
      </c>
      <c r="AJ61" t="str">
        <f t="shared" ca="1" si="5"/>
        <v/>
      </c>
    </row>
    <row r="62" spans="1:36" x14ac:dyDescent="0.35">
      <c r="A62" s="2" t="str">
        <f>IF(ISBLANK(Input!A61),"",ROUNDDOWN(aux_sheet_RRS!E61,0))</f>
        <v/>
      </c>
      <c r="B62" s="2" t="str">
        <f ca="1">IF(ISBLANK(Input!A61),"",INDIRECT("Input!A"&amp;1+MATCH(aux_sheet_RRS!$E61,aux_sheet_RRS!$D$2:$D$202,0)))</f>
        <v/>
      </c>
      <c r="C62" s="2" t="str">
        <f ca="1">IF(ISBLANK(Input!B61),"",INDIRECT("Input!B"&amp;1+MATCH(aux_sheet_RRS!$E61,aux_sheet_RRS!$D$2:$D$202,0)))</f>
        <v/>
      </c>
      <c r="D62" s="2" t="str">
        <f ca="1">IF(ISBLANK(Input!C61),"",INDIRECT("Input!C"&amp;1+MATCH(aux_sheet_RRS!$E61,aux_sheet_RRS!$D$2:$D$202,0)))</f>
        <v/>
      </c>
      <c r="E62" s="2" t="str">
        <f ca="1">IF(ISBLANK(Input!D61),"",INDIRECT("Input!D"&amp;1+MATCH(aux_sheet_RRS!$E61,aux_sheet_RRS!$D$2:$D$202,0)))</f>
        <v/>
      </c>
      <c r="F62" s="11" t="str">
        <f ca="1">INDIRECT("Input!H"&amp;1+MATCH(aux_sheet_RRS!$E61,aux_sheet_RRS!$D$2:$D$202,0))</f>
        <v xml:space="preserve"> </v>
      </c>
      <c r="G62" s="88" t="str">
        <f ca="1">IF($B62="","",INDIRECT("aux_sheet_RRS!O"&amp;1+MATCH(aux_sheet_RRS!$E61,aux_sheet_RRS!$D$2:$D$202,0)))</f>
        <v/>
      </c>
      <c r="H62" s="89" t="str">
        <f ca="1">IF($B62="","",INDIRECT("aux_sheet_RRS!P"&amp;1+MATCH(aux_sheet_RRS!$E61,aux_sheet_RRS!$D$2:$D$202,0)))</f>
        <v/>
      </c>
      <c r="I62" s="90" t="str">
        <f ca="1">IF(G62="","",ROUNDDOWN(INDIRECT("aux_sheet_RRS!Q"&amp;1+MATCH(aux_sheet_RRS!$E61,aux_sheet_RRS!$D$2:$D$202,0)),0))</f>
        <v/>
      </c>
      <c r="J62" s="106" t="str">
        <f ca="1">IF($B62="","",INDIRECT("aux_sheet_RRS!R"&amp;1+MATCH(aux_sheet_RRS!$E61,aux_sheet_RRS!$D$2:$D$202,0)))</f>
        <v/>
      </c>
      <c r="K62" s="89" t="str">
        <f ca="1">IF($B62="","",INDIRECT("aux_sheet_RRS!S"&amp;1+MATCH(aux_sheet_RRS!$E61,aux_sheet_RRS!$D$2:$D$202,0)))</f>
        <v/>
      </c>
      <c r="L62" s="90" t="str">
        <f ca="1">IF(J62="","",ROUNDDOWN(INDIRECT("aux_sheet_RRS!T"&amp;1+MATCH(aux_sheet_RRS!$E61,aux_sheet_RRS!$D$2:$D$202,0)),0))</f>
        <v/>
      </c>
      <c r="M62" s="106" t="str">
        <f ca="1">IF($B62="","",INDIRECT("aux_sheet_RRS!U"&amp;1+MATCH(aux_sheet_RRS!$E61,aux_sheet_RRS!$D$2:$D$202,0)))</f>
        <v/>
      </c>
      <c r="N62" s="89" t="str">
        <f ca="1">IF($B62="","",INDIRECT("aux_sheet_RRS!V"&amp;1+MATCH(aux_sheet_RRS!$E61,aux_sheet_RRS!$D$2:$D$202,0)))</f>
        <v/>
      </c>
      <c r="O62" s="90" t="str">
        <f ca="1">IF(M62="","",ROUNDDOWN(INDIRECT("aux_sheet_RRS!W"&amp;1+MATCH(aux_sheet_RRS!$E61,aux_sheet_RRS!$D$2:$D$202,0)),0))</f>
        <v/>
      </c>
      <c r="P62" s="106" t="str">
        <f ca="1">IF($B62="","",INDIRECT("aux_sheet_RRS!X"&amp;1+MATCH(aux_sheet_RRS!$E61,aux_sheet_RRS!$D$2:$D$202,0)))</f>
        <v/>
      </c>
      <c r="Q62" s="89" t="str">
        <f ca="1">IF($B62="","",INDIRECT("aux_sheet_RRS!Y"&amp;1+MATCH(aux_sheet_RRS!$E61,aux_sheet_RRS!$D$2:$D$202,0)))</f>
        <v/>
      </c>
      <c r="R62" s="90" t="str">
        <f ca="1">IF(P62="","",INDIRECT("aux_sheet_RRS!Z"&amp;1+MATCH(aux_sheet_RRS!$E61,aux_sheet_RRS!$D$2:$D$202,0)))</f>
        <v/>
      </c>
      <c r="S62" s="106" t="str">
        <f ca="1">IF($B62="","",INDIRECT("aux_sheet_RRS!AA"&amp;1+MATCH(aux_sheet_RRS!$E61,aux_sheet_RRS!$D$2:$D$202,0)))</f>
        <v/>
      </c>
      <c r="T62" s="89" t="str">
        <f ca="1">IF($B62="","",INDIRECT("aux_sheet_RRS!AB"&amp;1+MATCH(aux_sheet_RRS!$E61,aux_sheet_RRS!$D$2:$D$202,0)))</f>
        <v/>
      </c>
      <c r="U62" s="90" t="str">
        <f ca="1">IF(S62="","",INDIRECT("aux_sheet_RRS!AC"&amp;1+MATCH(aux_sheet_RRS!$E61,aux_sheet_RRS!$D$2:$D$202,0)))</f>
        <v/>
      </c>
      <c r="V62" s="106" t="str">
        <f ca="1">IF($B62="","",INDIRECT("aux_sheet_RRS!AD"&amp;1+MATCH(aux_sheet_RRS!$E61,aux_sheet_RRS!$D$2:$D$202,0)))</f>
        <v/>
      </c>
      <c r="W62" s="89" t="str">
        <f ca="1">IF($B62="","",INDIRECT("aux_sheet_RRS!AE"&amp;1+MATCH(aux_sheet_RRS!$E61,aux_sheet_RRS!$D$2:$D$202,0)))</f>
        <v/>
      </c>
      <c r="X62" s="90" t="str">
        <f ca="1">IF(V62="","",INDIRECT("aux_sheet_RRS!AF"&amp;1+MATCH(aux_sheet_RRS!$E61,aux_sheet_RRS!$D$2:$D$202,0)))</f>
        <v/>
      </c>
      <c r="Y62" s="106" t="str">
        <f ca="1">IF($B62="","",INDIRECT("aux_sheet_RRS!AG"&amp;1+MATCH(aux_sheet_RRS!$E61,aux_sheet_RRS!$D$2:$D$202,0)))</f>
        <v/>
      </c>
      <c r="Z62" s="89" t="str">
        <f ca="1">IF($B62="","",INDIRECT("aux_sheet_RRS!AH"&amp;1+MATCH(aux_sheet_RRS!$E61,aux_sheet_RRS!$D$2:$D$202,0)))</f>
        <v/>
      </c>
      <c r="AA62" s="90" t="str">
        <f ca="1">IF(Y62="","",INDIRECT("aux_sheet_RRS!AI"&amp;1+MATCH(aux_sheet_RRS!$E61,aux_sheet_RRS!$D$2:$D$202,0)))</f>
        <v/>
      </c>
      <c r="AB62" s="88" t="str">
        <f ca="1">IF($B62="","",INDIRECT("aux_sheet_RRS!AJ"&amp;1+MATCH(aux_sheet_RRS!$E61,aux_sheet_RRS!$D$2:$D$202,0)))</f>
        <v/>
      </c>
      <c r="AC62" s="89" t="str">
        <f ca="1">IF($B62="","",INDIRECT("aux_sheet_RRS!AK"&amp;1+MATCH(aux_sheet_RRS!$E61,aux_sheet_RRS!$D$2:$D$202,0)))</f>
        <v/>
      </c>
      <c r="AD62" s="90" t="str">
        <f ca="1">IF(AB62="","",INDIRECT("aux_sheet_RRS!AL"&amp;1+MATCH(aux_sheet_RRS!$E61,aux_sheet_RRS!$D$2:$D$202,0)))</f>
        <v/>
      </c>
      <c r="AE62" s="88" t="str">
        <f ca="1">IF($B62="","",INDIRECT("aux_sheet_RRS!AM"&amp;1+MATCH(aux_sheet_RRS!$E61,aux_sheet_RRS!$D$2:$D$202,0)))</f>
        <v/>
      </c>
      <c r="AF62" s="89" t="str">
        <f ca="1">IF($B62="","",INDIRECT("aux_sheet_RRS!AN"&amp;1+MATCH(aux_sheet_RRS!$E61,aux_sheet_RRS!$D$2:$D$202,0)))</f>
        <v/>
      </c>
      <c r="AG62" s="90" t="str">
        <f ca="1">IF(AE62="","",INDIRECT("aux_sheet_RRS!AO"&amp;1+MATCH(aux_sheet_RRS!$E61,aux_sheet_RRS!$D$2:$D$202,0)))</f>
        <v/>
      </c>
      <c r="AH62" s="14" t="str">
        <f t="shared" ca="1" si="3"/>
        <v/>
      </c>
      <c r="AI62" t="str">
        <f t="shared" ca="1" si="4"/>
        <v/>
      </c>
      <c r="AJ62" t="str">
        <f t="shared" ca="1" si="5"/>
        <v/>
      </c>
    </row>
    <row r="63" spans="1:36" x14ac:dyDescent="0.35">
      <c r="A63" s="2" t="str">
        <f>IF(ISBLANK(Input!A62),"",ROUNDDOWN(aux_sheet_RRS!E62,0))</f>
        <v/>
      </c>
      <c r="B63" s="2" t="str">
        <f ca="1">IF(ISBLANK(Input!A62),"",INDIRECT("Input!A"&amp;1+MATCH(aux_sheet_RRS!$E62,aux_sheet_RRS!$D$2:$D$202,0)))</f>
        <v/>
      </c>
      <c r="C63" s="2" t="str">
        <f ca="1">IF(ISBLANK(Input!B62),"",INDIRECT("Input!B"&amp;1+MATCH(aux_sheet_RRS!$E62,aux_sheet_RRS!$D$2:$D$202,0)))</f>
        <v/>
      </c>
      <c r="D63" s="2" t="str">
        <f ca="1">IF(ISBLANK(Input!C62),"",INDIRECT("Input!C"&amp;1+MATCH(aux_sheet_RRS!$E62,aux_sheet_RRS!$D$2:$D$202,0)))</f>
        <v/>
      </c>
      <c r="E63" s="2" t="str">
        <f ca="1">IF(ISBLANK(Input!D62),"",INDIRECT("Input!D"&amp;1+MATCH(aux_sheet_RRS!$E62,aux_sheet_RRS!$D$2:$D$202,0)))</f>
        <v/>
      </c>
      <c r="F63" s="11" t="str">
        <f ca="1">INDIRECT("Input!H"&amp;1+MATCH(aux_sheet_RRS!$E62,aux_sheet_RRS!$D$2:$D$202,0))</f>
        <v xml:space="preserve"> </v>
      </c>
      <c r="G63" s="88" t="str">
        <f ca="1">IF($B63="","",INDIRECT("aux_sheet_RRS!O"&amp;1+MATCH(aux_sheet_RRS!$E62,aux_sheet_RRS!$D$2:$D$202,0)))</f>
        <v/>
      </c>
      <c r="H63" s="89" t="str">
        <f ca="1">IF($B63="","",INDIRECT("aux_sheet_RRS!P"&amp;1+MATCH(aux_sheet_RRS!$E62,aux_sheet_RRS!$D$2:$D$202,0)))</f>
        <v/>
      </c>
      <c r="I63" s="90" t="str">
        <f ca="1">IF(G63="","",ROUNDDOWN(INDIRECT("aux_sheet_RRS!Q"&amp;1+MATCH(aux_sheet_RRS!$E62,aux_sheet_RRS!$D$2:$D$202,0)),0))</f>
        <v/>
      </c>
      <c r="J63" s="106" t="str">
        <f ca="1">IF($B63="","",INDIRECT("aux_sheet_RRS!R"&amp;1+MATCH(aux_sheet_RRS!$E62,aux_sheet_RRS!$D$2:$D$202,0)))</f>
        <v/>
      </c>
      <c r="K63" s="89" t="str">
        <f ca="1">IF($B63="","",INDIRECT("aux_sheet_RRS!S"&amp;1+MATCH(aux_sheet_RRS!$E62,aux_sheet_RRS!$D$2:$D$202,0)))</f>
        <v/>
      </c>
      <c r="L63" s="90" t="str">
        <f ca="1">IF(J63="","",ROUNDDOWN(INDIRECT("aux_sheet_RRS!T"&amp;1+MATCH(aux_sheet_RRS!$E62,aux_sheet_RRS!$D$2:$D$202,0)),0))</f>
        <v/>
      </c>
      <c r="M63" s="106" t="str">
        <f ca="1">IF($B63="","",INDIRECT("aux_sheet_RRS!U"&amp;1+MATCH(aux_sheet_RRS!$E62,aux_sheet_RRS!$D$2:$D$202,0)))</f>
        <v/>
      </c>
      <c r="N63" s="89" t="str">
        <f ca="1">IF($B63="","",INDIRECT("aux_sheet_RRS!V"&amp;1+MATCH(aux_sheet_RRS!$E62,aux_sheet_RRS!$D$2:$D$202,0)))</f>
        <v/>
      </c>
      <c r="O63" s="90" t="str">
        <f ca="1">IF(M63="","",ROUNDDOWN(INDIRECT("aux_sheet_RRS!W"&amp;1+MATCH(aux_sheet_RRS!$E62,aux_sheet_RRS!$D$2:$D$202,0)),0))</f>
        <v/>
      </c>
      <c r="P63" s="106" t="str">
        <f ca="1">IF($B63="","",INDIRECT("aux_sheet_RRS!X"&amp;1+MATCH(aux_sheet_RRS!$E62,aux_sheet_RRS!$D$2:$D$202,0)))</f>
        <v/>
      </c>
      <c r="Q63" s="89" t="str">
        <f ca="1">IF($B63="","",INDIRECT("aux_sheet_RRS!Y"&amp;1+MATCH(aux_sheet_RRS!$E62,aux_sheet_RRS!$D$2:$D$202,0)))</f>
        <v/>
      </c>
      <c r="R63" s="90" t="str">
        <f ca="1">IF(P63="","",INDIRECT("aux_sheet_RRS!Z"&amp;1+MATCH(aux_sheet_RRS!$E62,aux_sheet_RRS!$D$2:$D$202,0)))</f>
        <v/>
      </c>
      <c r="S63" s="106" t="str">
        <f ca="1">IF($B63="","",INDIRECT("aux_sheet_RRS!AA"&amp;1+MATCH(aux_sheet_RRS!$E62,aux_sheet_RRS!$D$2:$D$202,0)))</f>
        <v/>
      </c>
      <c r="T63" s="89" t="str">
        <f ca="1">IF($B63="","",INDIRECT("aux_sheet_RRS!AB"&amp;1+MATCH(aux_sheet_RRS!$E62,aux_sheet_RRS!$D$2:$D$202,0)))</f>
        <v/>
      </c>
      <c r="U63" s="90" t="str">
        <f ca="1">IF(S63="","",INDIRECT("aux_sheet_RRS!AC"&amp;1+MATCH(aux_sheet_RRS!$E62,aux_sheet_RRS!$D$2:$D$202,0)))</f>
        <v/>
      </c>
      <c r="V63" s="106" t="str">
        <f ca="1">IF($B63="","",INDIRECT("aux_sheet_RRS!AD"&amp;1+MATCH(aux_sheet_RRS!$E62,aux_sheet_RRS!$D$2:$D$202,0)))</f>
        <v/>
      </c>
      <c r="W63" s="89" t="str">
        <f ca="1">IF($B63="","",INDIRECT("aux_sheet_RRS!AE"&amp;1+MATCH(aux_sheet_RRS!$E62,aux_sheet_RRS!$D$2:$D$202,0)))</f>
        <v/>
      </c>
      <c r="X63" s="90" t="str">
        <f ca="1">IF(V63="","",INDIRECT("aux_sheet_RRS!AF"&amp;1+MATCH(aux_sheet_RRS!$E62,aux_sheet_RRS!$D$2:$D$202,0)))</f>
        <v/>
      </c>
      <c r="Y63" s="106" t="str">
        <f ca="1">IF($B63="","",INDIRECT("aux_sheet_RRS!AG"&amp;1+MATCH(aux_sheet_RRS!$E62,aux_sheet_RRS!$D$2:$D$202,0)))</f>
        <v/>
      </c>
      <c r="Z63" s="89" t="str">
        <f ca="1">IF($B63="","",INDIRECT("aux_sheet_RRS!AH"&amp;1+MATCH(aux_sheet_RRS!$E62,aux_sheet_RRS!$D$2:$D$202,0)))</f>
        <v/>
      </c>
      <c r="AA63" s="90" t="str">
        <f ca="1">IF(Y63="","",INDIRECT("aux_sheet_RRS!AI"&amp;1+MATCH(aux_sheet_RRS!$E62,aux_sheet_RRS!$D$2:$D$202,0)))</f>
        <v/>
      </c>
      <c r="AB63" s="88" t="str">
        <f ca="1">IF($B63="","",INDIRECT("aux_sheet_RRS!AJ"&amp;1+MATCH(aux_sheet_RRS!$E62,aux_sheet_RRS!$D$2:$D$202,0)))</f>
        <v/>
      </c>
      <c r="AC63" s="89" t="str">
        <f ca="1">IF($B63="","",INDIRECT("aux_sheet_RRS!AK"&amp;1+MATCH(aux_sheet_RRS!$E62,aux_sheet_RRS!$D$2:$D$202,0)))</f>
        <v/>
      </c>
      <c r="AD63" s="90" t="str">
        <f ca="1">IF(AB63="","",INDIRECT("aux_sheet_RRS!AL"&amp;1+MATCH(aux_sheet_RRS!$E62,aux_sheet_RRS!$D$2:$D$202,0)))</f>
        <v/>
      </c>
      <c r="AE63" s="88" t="str">
        <f ca="1">IF($B63="","",INDIRECT("aux_sheet_RRS!AM"&amp;1+MATCH(aux_sheet_RRS!$E62,aux_sheet_RRS!$D$2:$D$202,0)))</f>
        <v/>
      </c>
      <c r="AF63" s="89" t="str">
        <f ca="1">IF($B63="","",INDIRECT("aux_sheet_RRS!AN"&amp;1+MATCH(aux_sheet_RRS!$E62,aux_sheet_RRS!$D$2:$D$202,0)))</f>
        <v/>
      </c>
      <c r="AG63" s="90" t="str">
        <f ca="1">IF(AE63="","",INDIRECT("aux_sheet_RRS!AO"&amp;1+MATCH(aux_sheet_RRS!$E62,aux_sheet_RRS!$D$2:$D$202,0)))</f>
        <v/>
      </c>
      <c r="AH63" s="14" t="str">
        <f t="shared" ca="1" si="3"/>
        <v/>
      </c>
      <c r="AI63" t="str">
        <f t="shared" ca="1" si="4"/>
        <v/>
      </c>
      <c r="AJ63" t="str">
        <f t="shared" ca="1" si="5"/>
        <v/>
      </c>
    </row>
    <row r="64" spans="1:36" x14ac:dyDescent="0.35">
      <c r="A64" s="2" t="str">
        <f>IF(ISBLANK(Input!A63),"",ROUNDDOWN(aux_sheet_RRS!E63,0))</f>
        <v/>
      </c>
      <c r="B64" s="2" t="str">
        <f ca="1">IF(ISBLANK(Input!A63),"",INDIRECT("Input!A"&amp;1+MATCH(aux_sheet_RRS!$E63,aux_sheet_RRS!$D$2:$D$202,0)))</f>
        <v/>
      </c>
      <c r="C64" s="2" t="str">
        <f ca="1">IF(ISBLANK(Input!B63),"",INDIRECT("Input!B"&amp;1+MATCH(aux_sheet_RRS!$E63,aux_sheet_RRS!$D$2:$D$202,0)))</f>
        <v/>
      </c>
      <c r="D64" s="2" t="str">
        <f ca="1">IF(ISBLANK(Input!C63),"",INDIRECT("Input!C"&amp;1+MATCH(aux_sheet_RRS!$E63,aux_sheet_RRS!$D$2:$D$202,0)))</f>
        <v/>
      </c>
      <c r="E64" s="2" t="str">
        <f ca="1">IF(ISBLANK(Input!D63),"",INDIRECT("Input!D"&amp;1+MATCH(aux_sheet_RRS!$E63,aux_sheet_RRS!$D$2:$D$202,0)))</f>
        <v/>
      </c>
      <c r="F64" s="11" t="str">
        <f ca="1">INDIRECT("Input!H"&amp;1+MATCH(aux_sheet_RRS!$E63,aux_sheet_RRS!$D$2:$D$202,0))</f>
        <v xml:space="preserve"> </v>
      </c>
      <c r="G64" s="88" t="str">
        <f ca="1">IF($B64="","",INDIRECT("aux_sheet_RRS!O"&amp;1+MATCH(aux_sheet_RRS!$E63,aux_sheet_RRS!$D$2:$D$202,0)))</f>
        <v/>
      </c>
      <c r="H64" s="89" t="str">
        <f ca="1">IF($B64="","",INDIRECT("aux_sheet_RRS!P"&amp;1+MATCH(aux_sheet_RRS!$E63,aux_sheet_RRS!$D$2:$D$202,0)))</f>
        <v/>
      </c>
      <c r="I64" s="90" t="str">
        <f ca="1">IF(G64="","",ROUNDDOWN(INDIRECT("aux_sheet_RRS!Q"&amp;1+MATCH(aux_sheet_RRS!$E63,aux_sheet_RRS!$D$2:$D$202,0)),0))</f>
        <v/>
      </c>
      <c r="J64" s="106" t="str">
        <f ca="1">IF($B64="","",INDIRECT("aux_sheet_RRS!R"&amp;1+MATCH(aux_sheet_RRS!$E63,aux_sheet_RRS!$D$2:$D$202,0)))</f>
        <v/>
      </c>
      <c r="K64" s="89" t="str">
        <f ca="1">IF($B64="","",INDIRECT("aux_sheet_RRS!S"&amp;1+MATCH(aux_sheet_RRS!$E63,aux_sheet_RRS!$D$2:$D$202,0)))</f>
        <v/>
      </c>
      <c r="L64" s="90" t="str">
        <f ca="1">IF(J64="","",ROUNDDOWN(INDIRECT("aux_sheet_RRS!T"&amp;1+MATCH(aux_sheet_RRS!$E63,aux_sheet_RRS!$D$2:$D$202,0)),0))</f>
        <v/>
      </c>
      <c r="M64" s="106" t="str">
        <f ca="1">IF($B64="","",INDIRECT("aux_sheet_RRS!U"&amp;1+MATCH(aux_sheet_RRS!$E63,aux_sheet_RRS!$D$2:$D$202,0)))</f>
        <v/>
      </c>
      <c r="N64" s="89" t="str">
        <f ca="1">IF($B64="","",INDIRECT("aux_sheet_RRS!V"&amp;1+MATCH(aux_sheet_RRS!$E63,aux_sheet_RRS!$D$2:$D$202,0)))</f>
        <v/>
      </c>
      <c r="O64" s="90" t="str">
        <f ca="1">IF(M64="","",ROUNDDOWN(INDIRECT("aux_sheet_RRS!W"&amp;1+MATCH(aux_sheet_RRS!$E63,aux_sheet_RRS!$D$2:$D$202,0)),0))</f>
        <v/>
      </c>
      <c r="P64" s="106" t="str">
        <f ca="1">IF($B64="","",INDIRECT("aux_sheet_RRS!X"&amp;1+MATCH(aux_sheet_RRS!$E63,aux_sheet_RRS!$D$2:$D$202,0)))</f>
        <v/>
      </c>
      <c r="Q64" s="89" t="str">
        <f ca="1">IF($B64="","",INDIRECT("aux_sheet_RRS!Y"&amp;1+MATCH(aux_sheet_RRS!$E63,aux_sheet_RRS!$D$2:$D$202,0)))</f>
        <v/>
      </c>
      <c r="R64" s="90" t="str">
        <f ca="1">IF(P64="","",INDIRECT("aux_sheet_RRS!Z"&amp;1+MATCH(aux_sheet_RRS!$E63,aux_sheet_RRS!$D$2:$D$202,0)))</f>
        <v/>
      </c>
      <c r="S64" s="106" t="str">
        <f ca="1">IF($B64="","",INDIRECT("aux_sheet_RRS!AA"&amp;1+MATCH(aux_sheet_RRS!$E63,aux_sheet_RRS!$D$2:$D$202,0)))</f>
        <v/>
      </c>
      <c r="T64" s="89" t="str">
        <f ca="1">IF($B64="","",INDIRECT("aux_sheet_RRS!AB"&amp;1+MATCH(aux_sheet_RRS!$E63,aux_sheet_RRS!$D$2:$D$202,0)))</f>
        <v/>
      </c>
      <c r="U64" s="90" t="str">
        <f ca="1">IF(S64="","",INDIRECT("aux_sheet_RRS!AC"&amp;1+MATCH(aux_sheet_RRS!$E63,aux_sheet_RRS!$D$2:$D$202,0)))</f>
        <v/>
      </c>
      <c r="V64" s="106" t="str">
        <f ca="1">IF($B64="","",INDIRECT("aux_sheet_RRS!AD"&amp;1+MATCH(aux_sheet_RRS!$E63,aux_sheet_RRS!$D$2:$D$202,0)))</f>
        <v/>
      </c>
      <c r="W64" s="89" t="str">
        <f ca="1">IF($B64="","",INDIRECT("aux_sheet_RRS!AE"&amp;1+MATCH(aux_sheet_RRS!$E63,aux_sheet_RRS!$D$2:$D$202,0)))</f>
        <v/>
      </c>
      <c r="X64" s="90" t="str">
        <f ca="1">IF(V64="","",INDIRECT("aux_sheet_RRS!AF"&amp;1+MATCH(aux_sheet_RRS!$E63,aux_sheet_RRS!$D$2:$D$202,0)))</f>
        <v/>
      </c>
      <c r="Y64" s="106" t="str">
        <f ca="1">IF($B64="","",INDIRECT("aux_sheet_RRS!AG"&amp;1+MATCH(aux_sheet_RRS!$E63,aux_sheet_RRS!$D$2:$D$202,0)))</f>
        <v/>
      </c>
      <c r="Z64" s="89" t="str">
        <f ca="1">IF($B64="","",INDIRECT("aux_sheet_RRS!AH"&amp;1+MATCH(aux_sheet_RRS!$E63,aux_sheet_RRS!$D$2:$D$202,0)))</f>
        <v/>
      </c>
      <c r="AA64" s="90" t="str">
        <f ca="1">IF(Y64="","",INDIRECT("aux_sheet_RRS!AI"&amp;1+MATCH(aux_sheet_RRS!$E63,aux_sheet_RRS!$D$2:$D$202,0)))</f>
        <v/>
      </c>
      <c r="AB64" s="88" t="str">
        <f ca="1">IF($B64="","",INDIRECT("aux_sheet_RRS!AJ"&amp;1+MATCH(aux_sheet_RRS!$E63,aux_sheet_RRS!$D$2:$D$202,0)))</f>
        <v/>
      </c>
      <c r="AC64" s="89" t="str">
        <f ca="1">IF($B64="","",INDIRECT("aux_sheet_RRS!AK"&amp;1+MATCH(aux_sheet_RRS!$E63,aux_sheet_RRS!$D$2:$D$202,0)))</f>
        <v/>
      </c>
      <c r="AD64" s="90" t="str">
        <f ca="1">IF(AB64="","",INDIRECT("aux_sheet_RRS!AL"&amp;1+MATCH(aux_sheet_RRS!$E63,aux_sheet_RRS!$D$2:$D$202,0)))</f>
        <v/>
      </c>
      <c r="AE64" s="88" t="str">
        <f ca="1">IF($B64="","",INDIRECT("aux_sheet_RRS!AM"&amp;1+MATCH(aux_sheet_RRS!$E63,aux_sheet_RRS!$D$2:$D$202,0)))</f>
        <v/>
      </c>
      <c r="AF64" s="89" t="str">
        <f ca="1">IF($B64="","",INDIRECT("aux_sheet_RRS!AN"&amp;1+MATCH(aux_sheet_RRS!$E63,aux_sheet_RRS!$D$2:$D$202,0)))</f>
        <v/>
      </c>
      <c r="AG64" s="90" t="str">
        <f ca="1">IF(AE64="","",INDIRECT("aux_sheet_RRS!AO"&amp;1+MATCH(aux_sheet_RRS!$E63,aux_sheet_RRS!$D$2:$D$202,0)))</f>
        <v/>
      </c>
      <c r="AH64" s="14" t="str">
        <f t="shared" ca="1" si="3"/>
        <v/>
      </c>
      <c r="AI64" t="str">
        <f t="shared" ca="1" si="4"/>
        <v/>
      </c>
      <c r="AJ64" t="str">
        <f t="shared" ca="1" si="5"/>
        <v/>
      </c>
    </row>
    <row r="65" spans="1:36" x14ac:dyDescent="0.35">
      <c r="A65" s="2" t="str">
        <f>IF(ISBLANK(Input!A64),"",ROUNDDOWN(aux_sheet_RRS!E64,0))</f>
        <v/>
      </c>
      <c r="B65" s="2" t="str">
        <f ca="1">IF(ISBLANK(Input!A64),"",INDIRECT("Input!A"&amp;1+MATCH(aux_sheet_RRS!$E64,aux_sheet_RRS!$D$2:$D$202,0)))</f>
        <v/>
      </c>
      <c r="C65" s="2" t="str">
        <f ca="1">IF(ISBLANK(Input!B64),"",INDIRECT("Input!B"&amp;1+MATCH(aux_sheet_RRS!$E64,aux_sheet_RRS!$D$2:$D$202,0)))</f>
        <v/>
      </c>
      <c r="D65" s="2" t="str">
        <f ca="1">IF(ISBLANK(Input!C64),"",INDIRECT("Input!C"&amp;1+MATCH(aux_sheet_RRS!$E64,aux_sheet_RRS!$D$2:$D$202,0)))</f>
        <v/>
      </c>
      <c r="E65" s="2" t="str">
        <f ca="1">IF(ISBLANK(Input!D64),"",INDIRECT("Input!D"&amp;1+MATCH(aux_sheet_RRS!$E64,aux_sheet_RRS!$D$2:$D$202,0)))</f>
        <v/>
      </c>
      <c r="F65" s="11" t="str">
        <f ca="1">INDIRECT("Input!H"&amp;1+MATCH(aux_sheet_RRS!$E64,aux_sheet_RRS!$D$2:$D$202,0))</f>
        <v xml:space="preserve"> </v>
      </c>
      <c r="G65" s="88" t="str">
        <f ca="1">IF($B65="","",INDIRECT("aux_sheet_RRS!O"&amp;1+MATCH(aux_sheet_RRS!$E64,aux_sheet_RRS!$D$2:$D$202,0)))</f>
        <v/>
      </c>
      <c r="H65" s="89" t="str">
        <f ca="1">IF($B65="","",INDIRECT("aux_sheet_RRS!P"&amp;1+MATCH(aux_sheet_RRS!$E64,aux_sheet_RRS!$D$2:$D$202,0)))</f>
        <v/>
      </c>
      <c r="I65" s="90" t="str">
        <f ca="1">IF(G65="","",ROUNDDOWN(INDIRECT("aux_sheet_RRS!Q"&amp;1+MATCH(aux_sheet_RRS!$E64,aux_sheet_RRS!$D$2:$D$202,0)),0))</f>
        <v/>
      </c>
      <c r="J65" s="106" t="str">
        <f ca="1">IF($B65="","",INDIRECT("aux_sheet_RRS!R"&amp;1+MATCH(aux_sheet_RRS!$E64,aux_sheet_RRS!$D$2:$D$202,0)))</f>
        <v/>
      </c>
      <c r="K65" s="89" t="str">
        <f ca="1">IF($B65="","",INDIRECT("aux_sheet_RRS!S"&amp;1+MATCH(aux_sheet_RRS!$E64,aux_sheet_RRS!$D$2:$D$202,0)))</f>
        <v/>
      </c>
      <c r="L65" s="90" t="str">
        <f ca="1">IF(J65="","",ROUNDDOWN(INDIRECT("aux_sheet_RRS!T"&amp;1+MATCH(aux_sheet_RRS!$E64,aux_sheet_RRS!$D$2:$D$202,0)),0))</f>
        <v/>
      </c>
      <c r="M65" s="106" t="str">
        <f ca="1">IF($B65="","",INDIRECT("aux_sheet_RRS!U"&amp;1+MATCH(aux_sheet_RRS!$E64,aux_sheet_RRS!$D$2:$D$202,0)))</f>
        <v/>
      </c>
      <c r="N65" s="89" t="str">
        <f ca="1">IF($B65="","",INDIRECT("aux_sheet_RRS!V"&amp;1+MATCH(aux_sheet_RRS!$E64,aux_sheet_RRS!$D$2:$D$202,0)))</f>
        <v/>
      </c>
      <c r="O65" s="90" t="str">
        <f ca="1">IF(M65="","",ROUNDDOWN(INDIRECT("aux_sheet_RRS!W"&amp;1+MATCH(aux_sheet_RRS!$E64,aux_sheet_RRS!$D$2:$D$202,0)),0))</f>
        <v/>
      </c>
      <c r="P65" s="106" t="str">
        <f ca="1">IF($B65="","",INDIRECT("aux_sheet_RRS!X"&amp;1+MATCH(aux_sheet_RRS!$E64,aux_sheet_RRS!$D$2:$D$202,0)))</f>
        <v/>
      </c>
      <c r="Q65" s="89" t="str">
        <f ca="1">IF($B65="","",INDIRECT("aux_sheet_RRS!Y"&amp;1+MATCH(aux_sheet_RRS!$E64,aux_sheet_RRS!$D$2:$D$202,0)))</f>
        <v/>
      </c>
      <c r="R65" s="90" t="str">
        <f ca="1">IF(P65="","",INDIRECT("aux_sheet_RRS!Z"&amp;1+MATCH(aux_sheet_RRS!$E64,aux_sheet_RRS!$D$2:$D$202,0)))</f>
        <v/>
      </c>
      <c r="S65" s="106" t="str">
        <f ca="1">IF($B65="","",INDIRECT("aux_sheet_RRS!AA"&amp;1+MATCH(aux_sheet_RRS!$E64,aux_sheet_RRS!$D$2:$D$202,0)))</f>
        <v/>
      </c>
      <c r="T65" s="89" t="str">
        <f ca="1">IF($B65="","",INDIRECT("aux_sheet_RRS!AB"&amp;1+MATCH(aux_sheet_RRS!$E64,aux_sheet_RRS!$D$2:$D$202,0)))</f>
        <v/>
      </c>
      <c r="U65" s="90" t="str">
        <f ca="1">IF(S65="","",INDIRECT("aux_sheet_RRS!AC"&amp;1+MATCH(aux_sheet_RRS!$E64,aux_sheet_RRS!$D$2:$D$202,0)))</f>
        <v/>
      </c>
      <c r="V65" s="106" t="str">
        <f ca="1">IF($B65="","",INDIRECT("aux_sheet_RRS!AD"&amp;1+MATCH(aux_sheet_RRS!$E64,aux_sheet_RRS!$D$2:$D$202,0)))</f>
        <v/>
      </c>
      <c r="W65" s="89" t="str">
        <f ca="1">IF($B65="","",INDIRECT("aux_sheet_RRS!AE"&amp;1+MATCH(aux_sheet_RRS!$E64,aux_sheet_RRS!$D$2:$D$202,0)))</f>
        <v/>
      </c>
      <c r="X65" s="90" t="str">
        <f ca="1">IF(V65="","",INDIRECT("aux_sheet_RRS!AF"&amp;1+MATCH(aux_sheet_RRS!$E64,aux_sheet_RRS!$D$2:$D$202,0)))</f>
        <v/>
      </c>
      <c r="Y65" s="106" t="str">
        <f ca="1">IF($B65="","",INDIRECT("aux_sheet_RRS!AG"&amp;1+MATCH(aux_sheet_RRS!$E64,aux_sheet_RRS!$D$2:$D$202,0)))</f>
        <v/>
      </c>
      <c r="Z65" s="89" t="str">
        <f ca="1">IF($B65="","",INDIRECT("aux_sheet_RRS!AH"&amp;1+MATCH(aux_sheet_RRS!$E64,aux_sheet_RRS!$D$2:$D$202,0)))</f>
        <v/>
      </c>
      <c r="AA65" s="90" t="str">
        <f ca="1">IF(Y65="","",INDIRECT("aux_sheet_RRS!AI"&amp;1+MATCH(aux_sheet_RRS!$E64,aux_sheet_RRS!$D$2:$D$202,0)))</f>
        <v/>
      </c>
      <c r="AB65" s="88" t="str">
        <f ca="1">IF($B65="","",INDIRECT("aux_sheet_RRS!AJ"&amp;1+MATCH(aux_sheet_RRS!$E64,aux_sheet_RRS!$D$2:$D$202,0)))</f>
        <v/>
      </c>
      <c r="AC65" s="89" t="str">
        <f ca="1">IF($B65="","",INDIRECT("aux_sheet_RRS!AK"&amp;1+MATCH(aux_sheet_RRS!$E64,aux_sheet_RRS!$D$2:$D$202,0)))</f>
        <v/>
      </c>
      <c r="AD65" s="90" t="str">
        <f ca="1">IF(AB65="","",INDIRECT("aux_sheet_RRS!AL"&amp;1+MATCH(aux_sheet_RRS!$E64,aux_sheet_RRS!$D$2:$D$202,0)))</f>
        <v/>
      </c>
      <c r="AE65" s="88" t="str">
        <f ca="1">IF($B65="","",INDIRECT("aux_sheet_RRS!AM"&amp;1+MATCH(aux_sheet_RRS!$E64,aux_sheet_RRS!$D$2:$D$202,0)))</f>
        <v/>
      </c>
      <c r="AF65" s="89" t="str">
        <f ca="1">IF($B65="","",INDIRECT("aux_sheet_RRS!AN"&amp;1+MATCH(aux_sheet_RRS!$E64,aux_sheet_RRS!$D$2:$D$202,0)))</f>
        <v/>
      </c>
      <c r="AG65" s="90" t="str">
        <f ca="1">IF(AE65="","",INDIRECT("aux_sheet_RRS!AO"&amp;1+MATCH(aux_sheet_RRS!$E64,aux_sheet_RRS!$D$2:$D$202,0)))</f>
        <v/>
      </c>
      <c r="AH65" s="14" t="str">
        <f t="shared" ca="1" si="3"/>
        <v/>
      </c>
      <c r="AI65" t="str">
        <f t="shared" ca="1" si="4"/>
        <v/>
      </c>
      <c r="AJ65" t="str">
        <f t="shared" ca="1" si="5"/>
        <v/>
      </c>
    </row>
    <row r="66" spans="1:36" x14ac:dyDescent="0.35">
      <c r="A66" s="2" t="str">
        <f>IF(ISBLANK(Input!A65),"",ROUNDDOWN(aux_sheet_RRS!E65,0))</f>
        <v/>
      </c>
      <c r="B66" s="2" t="str">
        <f ca="1">IF(ISBLANK(Input!A65),"",INDIRECT("Input!A"&amp;1+MATCH(aux_sheet_RRS!$E65,aux_sheet_RRS!$D$2:$D$202,0)))</f>
        <v/>
      </c>
      <c r="C66" s="2" t="str">
        <f ca="1">IF(ISBLANK(Input!B65),"",INDIRECT("Input!B"&amp;1+MATCH(aux_sheet_RRS!$E65,aux_sheet_RRS!$D$2:$D$202,0)))</f>
        <v/>
      </c>
      <c r="D66" s="2" t="str">
        <f ca="1">IF(ISBLANK(Input!C65),"",INDIRECT("Input!C"&amp;1+MATCH(aux_sheet_RRS!$E65,aux_sheet_RRS!$D$2:$D$202,0)))</f>
        <v/>
      </c>
      <c r="E66" s="2" t="str">
        <f ca="1">IF(ISBLANK(Input!D65),"",INDIRECT("Input!D"&amp;1+MATCH(aux_sheet_RRS!$E65,aux_sheet_RRS!$D$2:$D$202,0)))</f>
        <v/>
      </c>
      <c r="F66" s="11" t="str">
        <f ca="1">INDIRECT("Input!H"&amp;1+MATCH(aux_sheet_RRS!$E65,aux_sheet_RRS!$D$2:$D$202,0))</f>
        <v xml:space="preserve"> </v>
      </c>
      <c r="G66" s="88" t="str">
        <f ca="1">IF($B66="","",INDIRECT("aux_sheet_RRS!O"&amp;1+MATCH(aux_sheet_RRS!$E65,aux_sheet_RRS!$D$2:$D$202,0)))</f>
        <v/>
      </c>
      <c r="H66" s="89" t="str">
        <f ca="1">IF($B66="","",INDIRECT("aux_sheet_RRS!P"&amp;1+MATCH(aux_sheet_RRS!$E65,aux_sheet_RRS!$D$2:$D$202,0)))</f>
        <v/>
      </c>
      <c r="I66" s="90" t="str">
        <f ca="1">IF(G66="","",ROUNDDOWN(INDIRECT("aux_sheet_RRS!Q"&amp;1+MATCH(aux_sheet_RRS!$E65,aux_sheet_RRS!$D$2:$D$202,0)),0))</f>
        <v/>
      </c>
      <c r="J66" s="106" t="str">
        <f ca="1">IF($B66="","",INDIRECT("aux_sheet_RRS!R"&amp;1+MATCH(aux_sheet_RRS!$E65,aux_sheet_RRS!$D$2:$D$202,0)))</f>
        <v/>
      </c>
      <c r="K66" s="89" t="str">
        <f ca="1">IF($B66="","",INDIRECT("aux_sheet_RRS!S"&amp;1+MATCH(aux_sheet_RRS!$E65,aux_sheet_RRS!$D$2:$D$202,0)))</f>
        <v/>
      </c>
      <c r="L66" s="90" t="str">
        <f ca="1">IF(J66="","",ROUNDDOWN(INDIRECT("aux_sheet_RRS!T"&amp;1+MATCH(aux_sheet_RRS!$E65,aux_sheet_RRS!$D$2:$D$202,0)),0))</f>
        <v/>
      </c>
      <c r="M66" s="106" t="str">
        <f ca="1">IF($B66="","",INDIRECT("aux_sheet_RRS!U"&amp;1+MATCH(aux_sheet_RRS!$E65,aux_sheet_RRS!$D$2:$D$202,0)))</f>
        <v/>
      </c>
      <c r="N66" s="89" t="str">
        <f ca="1">IF($B66="","",INDIRECT("aux_sheet_RRS!V"&amp;1+MATCH(aux_sheet_RRS!$E65,aux_sheet_RRS!$D$2:$D$202,0)))</f>
        <v/>
      </c>
      <c r="O66" s="90" t="str">
        <f ca="1">IF(M66="","",ROUNDDOWN(INDIRECT("aux_sheet_RRS!W"&amp;1+MATCH(aux_sheet_RRS!$E65,aux_sheet_RRS!$D$2:$D$202,0)),0))</f>
        <v/>
      </c>
      <c r="P66" s="106" t="str">
        <f ca="1">IF($B66="","",INDIRECT("aux_sheet_RRS!X"&amp;1+MATCH(aux_sheet_RRS!$E65,aux_sheet_RRS!$D$2:$D$202,0)))</f>
        <v/>
      </c>
      <c r="Q66" s="89" t="str">
        <f ca="1">IF($B66="","",INDIRECT("aux_sheet_RRS!Y"&amp;1+MATCH(aux_sheet_RRS!$E65,aux_sheet_RRS!$D$2:$D$202,0)))</f>
        <v/>
      </c>
      <c r="R66" s="90" t="str">
        <f ca="1">IF(P66="","",INDIRECT("aux_sheet_RRS!Z"&amp;1+MATCH(aux_sheet_RRS!$E65,aux_sheet_RRS!$D$2:$D$202,0)))</f>
        <v/>
      </c>
      <c r="S66" s="106" t="str">
        <f ca="1">IF($B66="","",INDIRECT("aux_sheet_RRS!AA"&amp;1+MATCH(aux_sheet_RRS!$E65,aux_sheet_RRS!$D$2:$D$202,0)))</f>
        <v/>
      </c>
      <c r="T66" s="89" t="str">
        <f ca="1">IF($B66="","",INDIRECT("aux_sheet_RRS!AB"&amp;1+MATCH(aux_sheet_RRS!$E65,aux_sheet_RRS!$D$2:$D$202,0)))</f>
        <v/>
      </c>
      <c r="U66" s="90" t="str">
        <f ca="1">IF(S66="","",INDIRECT("aux_sheet_RRS!AC"&amp;1+MATCH(aux_sheet_RRS!$E65,aux_sheet_RRS!$D$2:$D$202,0)))</f>
        <v/>
      </c>
      <c r="V66" s="106" t="str">
        <f ca="1">IF($B66="","",INDIRECT("aux_sheet_RRS!AD"&amp;1+MATCH(aux_sheet_RRS!$E65,aux_sheet_RRS!$D$2:$D$202,0)))</f>
        <v/>
      </c>
      <c r="W66" s="89" t="str">
        <f ca="1">IF($B66="","",INDIRECT("aux_sheet_RRS!AE"&amp;1+MATCH(aux_sheet_RRS!$E65,aux_sheet_RRS!$D$2:$D$202,0)))</f>
        <v/>
      </c>
      <c r="X66" s="90" t="str">
        <f ca="1">IF(V66="","",INDIRECT("aux_sheet_RRS!AF"&amp;1+MATCH(aux_sheet_RRS!$E65,aux_sheet_RRS!$D$2:$D$202,0)))</f>
        <v/>
      </c>
      <c r="Y66" s="106" t="str">
        <f ca="1">IF($B66="","",INDIRECT("aux_sheet_RRS!AG"&amp;1+MATCH(aux_sheet_RRS!$E65,aux_sheet_RRS!$D$2:$D$202,0)))</f>
        <v/>
      </c>
      <c r="Z66" s="89" t="str">
        <f ca="1">IF($B66="","",INDIRECT("aux_sheet_RRS!AH"&amp;1+MATCH(aux_sheet_RRS!$E65,aux_sheet_RRS!$D$2:$D$202,0)))</f>
        <v/>
      </c>
      <c r="AA66" s="90" t="str">
        <f ca="1">IF(Y66="","",INDIRECT("aux_sheet_RRS!AI"&amp;1+MATCH(aux_sheet_RRS!$E65,aux_sheet_RRS!$D$2:$D$202,0)))</f>
        <v/>
      </c>
      <c r="AB66" s="88" t="str">
        <f ca="1">IF($B66="","",INDIRECT("aux_sheet_RRS!AJ"&amp;1+MATCH(aux_sheet_RRS!$E65,aux_sheet_RRS!$D$2:$D$202,0)))</f>
        <v/>
      </c>
      <c r="AC66" s="89" t="str">
        <f ca="1">IF($B66="","",INDIRECT("aux_sheet_RRS!AK"&amp;1+MATCH(aux_sheet_RRS!$E65,aux_sheet_RRS!$D$2:$D$202,0)))</f>
        <v/>
      </c>
      <c r="AD66" s="90" t="str">
        <f ca="1">IF(AB66="","",INDIRECT("aux_sheet_RRS!AL"&amp;1+MATCH(aux_sheet_RRS!$E65,aux_sheet_RRS!$D$2:$D$202,0)))</f>
        <v/>
      </c>
      <c r="AE66" s="88" t="str">
        <f ca="1">IF($B66="","",INDIRECT("aux_sheet_RRS!AM"&amp;1+MATCH(aux_sheet_RRS!$E65,aux_sheet_RRS!$D$2:$D$202,0)))</f>
        <v/>
      </c>
      <c r="AF66" s="89" t="str">
        <f ca="1">IF($B66="","",INDIRECT("aux_sheet_RRS!AN"&amp;1+MATCH(aux_sheet_RRS!$E65,aux_sheet_RRS!$D$2:$D$202,0)))</f>
        <v/>
      </c>
      <c r="AG66" s="90" t="str">
        <f ca="1">IF(AE66="","",INDIRECT("aux_sheet_RRS!AO"&amp;1+MATCH(aux_sheet_RRS!$E65,aux_sheet_RRS!$D$2:$D$202,0)))</f>
        <v/>
      </c>
      <c r="AH66" s="14" t="str">
        <f t="shared" ca="1" si="3"/>
        <v/>
      </c>
      <c r="AI66" t="str">
        <f t="shared" ca="1" si="4"/>
        <v/>
      </c>
      <c r="AJ66" t="str">
        <f t="shared" ca="1" si="5"/>
        <v/>
      </c>
    </row>
    <row r="67" spans="1:36" x14ac:dyDescent="0.35">
      <c r="A67" s="2" t="str">
        <f>IF(ISBLANK(Input!A66),"",ROUNDDOWN(aux_sheet_RRS!E66,0))</f>
        <v/>
      </c>
      <c r="B67" s="2" t="str">
        <f ca="1">IF(ISBLANK(Input!A66),"",INDIRECT("Input!A"&amp;1+MATCH(aux_sheet_RRS!$E66,aux_sheet_RRS!$D$2:$D$202,0)))</f>
        <v/>
      </c>
      <c r="C67" s="2" t="str">
        <f ca="1">IF(ISBLANK(Input!B66),"",INDIRECT("Input!B"&amp;1+MATCH(aux_sheet_RRS!$E66,aux_sheet_RRS!$D$2:$D$202,0)))</f>
        <v/>
      </c>
      <c r="D67" s="2" t="str">
        <f ca="1">IF(ISBLANK(Input!C66),"",INDIRECT("Input!C"&amp;1+MATCH(aux_sheet_RRS!$E66,aux_sheet_RRS!$D$2:$D$202,0)))</f>
        <v/>
      </c>
      <c r="E67" s="2" t="str">
        <f ca="1">IF(ISBLANK(Input!D66),"",INDIRECT("Input!D"&amp;1+MATCH(aux_sheet_RRS!$E66,aux_sheet_RRS!$D$2:$D$202,0)))</f>
        <v/>
      </c>
      <c r="F67" s="11" t="str">
        <f ca="1">INDIRECT("Input!H"&amp;1+MATCH(aux_sheet_RRS!$E66,aux_sheet_RRS!$D$2:$D$202,0))</f>
        <v xml:space="preserve"> </v>
      </c>
      <c r="G67" s="88" t="str">
        <f ca="1">IF($B67="","",INDIRECT("aux_sheet_RRS!O"&amp;1+MATCH(aux_sheet_RRS!$E66,aux_sheet_RRS!$D$2:$D$202,0)))</f>
        <v/>
      </c>
      <c r="H67" s="89" t="str">
        <f ca="1">IF($B67="","",INDIRECT("aux_sheet_RRS!P"&amp;1+MATCH(aux_sheet_RRS!$E66,aux_sheet_RRS!$D$2:$D$202,0)))</f>
        <v/>
      </c>
      <c r="I67" s="90" t="str">
        <f ca="1">IF(G67="","",ROUNDDOWN(INDIRECT("aux_sheet_RRS!Q"&amp;1+MATCH(aux_sheet_RRS!$E66,aux_sheet_RRS!$D$2:$D$202,0)),0))</f>
        <v/>
      </c>
      <c r="J67" s="106" t="str">
        <f ca="1">IF($B67="","",INDIRECT("aux_sheet_RRS!R"&amp;1+MATCH(aux_sheet_RRS!$E66,aux_sheet_RRS!$D$2:$D$202,0)))</f>
        <v/>
      </c>
      <c r="K67" s="89" t="str">
        <f ca="1">IF($B67="","",INDIRECT("aux_sheet_RRS!S"&amp;1+MATCH(aux_sheet_RRS!$E66,aux_sheet_RRS!$D$2:$D$202,0)))</f>
        <v/>
      </c>
      <c r="L67" s="90" t="str">
        <f ca="1">IF(J67="","",ROUNDDOWN(INDIRECT("aux_sheet_RRS!T"&amp;1+MATCH(aux_sheet_RRS!$E66,aux_sheet_RRS!$D$2:$D$202,0)),0))</f>
        <v/>
      </c>
      <c r="M67" s="106" t="str">
        <f ca="1">IF($B67="","",INDIRECT("aux_sheet_RRS!U"&amp;1+MATCH(aux_sheet_RRS!$E66,aux_sheet_RRS!$D$2:$D$202,0)))</f>
        <v/>
      </c>
      <c r="N67" s="89" t="str">
        <f ca="1">IF($B67="","",INDIRECT("aux_sheet_RRS!V"&amp;1+MATCH(aux_sheet_RRS!$E66,aux_sheet_RRS!$D$2:$D$202,0)))</f>
        <v/>
      </c>
      <c r="O67" s="90" t="str">
        <f ca="1">IF(M67="","",ROUNDDOWN(INDIRECT("aux_sheet_RRS!W"&amp;1+MATCH(aux_sheet_RRS!$E66,aux_sheet_RRS!$D$2:$D$202,0)),0))</f>
        <v/>
      </c>
      <c r="P67" s="106" t="str">
        <f ca="1">IF($B67="","",INDIRECT("aux_sheet_RRS!X"&amp;1+MATCH(aux_sheet_RRS!$E66,aux_sheet_RRS!$D$2:$D$202,0)))</f>
        <v/>
      </c>
      <c r="Q67" s="89" t="str">
        <f ca="1">IF($B67="","",INDIRECT("aux_sheet_RRS!Y"&amp;1+MATCH(aux_sheet_RRS!$E66,aux_sheet_RRS!$D$2:$D$202,0)))</f>
        <v/>
      </c>
      <c r="R67" s="90" t="str">
        <f ca="1">IF(P67="","",INDIRECT("aux_sheet_RRS!Z"&amp;1+MATCH(aux_sheet_RRS!$E66,aux_sheet_RRS!$D$2:$D$202,0)))</f>
        <v/>
      </c>
      <c r="S67" s="106" t="str">
        <f ca="1">IF($B67="","",INDIRECT("aux_sheet_RRS!AA"&amp;1+MATCH(aux_sheet_RRS!$E66,aux_sheet_RRS!$D$2:$D$202,0)))</f>
        <v/>
      </c>
      <c r="T67" s="89" t="str">
        <f ca="1">IF($B67="","",INDIRECT("aux_sheet_RRS!AB"&amp;1+MATCH(aux_sheet_RRS!$E66,aux_sheet_RRS!$D$2:$D$202,0)))</f>
        <v/>
      </c>
      <c r="U67" s="90" t="str">
        <f ca="1">IF(S67="","",INDIRECT("aux_sheet_RRS!AC"&amp;1+MATCH(aux_sheet_RRS!$E66,aux_sheet_RRS!$D$2:$D$202,0)))</f>
        <v/>
      </c>
      <c r="V67" s="106" t="str">
        <f ca="1">IF($B67="","",INDIRECT("aux_sheet_RRS!AD"&amp;1+MATCH(aux_sheet_RRS!$E66,aux_sheet_RRS!$D$2:$D$202,0)))</f>
        <v/>
      </c>
      <c r="W67" s="89" t="str">
        <f ca="1">IF($B67="","",INDIRECT("aux_sheet_RRS!AE"&amp;1+MATCH(aux_sheet_RRS!$E66,aux_sheet_RRS!$D$2:$D$202,0)))</f>
        <v/>
      </c>
      <c r="X67" s="90" t="str">
        <f ca="1">IF(V67="","",INDIRECT("aux_sheet_RRS!AF"&amp;1+MATCH(aux_sheet_RRS!$E66,aux_sheet_RRS!$D$2:$D$202,0)))</f>
        <v/>
      </c>
      <c r="Y67" s="106" t="str">
        <f ca="1">IF($B67="","",INDIRECT("aux_sheet_RRS!AG"&amp;1+MATCH(aux_sheet_RRS!$E66,aux_sheet_RRS!$D$2:$D$202,0)))</f>
        <v/>
      </c>
      <c r="Z67" s="89" t="str">
        <f ca="1">IF($B67="","",INDIRECT("aux_sheet_RRS!AH"&amp;1+MATCH(aux_sheet_RRS!$E66,aux_sheet_RRS!$D$2:$D$202,0)))</f>
        <v/>
      </c>
      <c r="AA67" s="90" t="str">
        <f ca="1">IF(Y67="","",INDIRECT("aux_sheet_RRS!AI"&amp;1+MATCH(aux_sheet_RRS!$E66,aux_sheet_RRS!$D$2:$D$202,0)))</f>
        <v/>
      </c>
      <c r="AB67" s="88" t="str">
        <f ca="1">IF($B67="","",INDIRECT("aux_sheet_RRS!AJ"&amp;1+MATCH(aux_sheet_RRS!$E66,aux_sheet_RRS!$D$2:$D$202,0)))</f>
        <v/>
      </c>
      <c r="AC67" s="89" t="str">
        <f ca="1">IF($B67="","",INDIRECT("aux_sheet_RRS!AK"&amp;1+MATCH(aux_sheet_RRS!$E66,aux_sheet_RRS!$D$2:$D$202,0)))</f>
        <v/>
      </c>
      <c r="AD67" s="90" t="str">
        <f ca="1">IF(AB67="","",INDIRECT("aux_sheet_RRS!AL"&amp;1+MATCH(aux_sheet_RRS!$E66,aux_sheet_RRS!$D$2:$D$202,0)))</f>
        <v/>
      </c>
      <c r="AE67" s="88" t="str">
        <f ca="1">IF($B67="","",INDIRECT("aux_sheet_RRS!AM"&amp;1+MATCH(aux_sheet_RRS!$E66,aux_sheet_RRS!$D$2:$D$202,0)))</f>
        <v/>
      </c>
      <c r="AF67" s="89" t="str">
        <f ca="1">IF($B67="","",INDIRECT("aux_sheet_RRS!AN"&amp;1+MATCH(aux_sheet_RRS!$E66,aux_sheet_RRS!$D$2:$D$202,0)))</f>
        <v/>
      </c>
      <c r="AG67" s="90" t="str">
        <f ca="1">IF(AE67="","",INDIRECT("aux_sheet_RRS!AO"&amp;1+MATCH(aux_sheet_RRS!$E66,aux_sheet_RRS!$D$2:$D$202,0)))</f>
        <v/>
      </c>
      <c r="AH67" s="14" t="str">
        <f t="shared" ca="1" si="3"/>
        <v/>
      </c>
      <c r="AI67" t="str">
        <f t="shared" ca="1" si="4"/>
        <v/>
      </c>
      <c r="AJ67" t="str">
        <f t="shared" ca="1" si="5"/>
        <v/>
      </c>
    </row>
    <row r="68" spans="1:36" x14ac:dyDescent="0.35">
      <c r="A68" s="2" t="str">
        <f>IF(ISBLANK(Input!A67),"",ROUNDDOWN(aux_sheet_RRS!E67,0))</f>
        <v/>
      </c>
      <c r="B68" s="2" t="str">
        <f ca="1">IF(ISBLANK(Input!A67),"",INDIRECT("Input!A"&amp;1+MATCH(aux_sheet_RRS!$E67,aux_sheet_RRS!$D$2:$D$202,0)))</f>
        <v/>
      </c>
      <c r="C68" s="2" t="str">
        <f ca="1">IF(ISBLANK(Input!B67),"",INDIRECT("Input!B"&amp;1+MATCH(aux_sheet_RRS!$E67,aux_sheet_RRS!$D$2:$D$202,0)))</f>
        <v/>
      </c>
      <c r="D68" s="2" t="str">
        <f ca="1">IF(ISBLANK(Input!C67),"",INDIRECT("Input!C"&amp;1+MATCH(aux_sheet_RRS!$E67,aux_sheet_RRS!$D$2:$D$202,0)))</f>
        <v/>
      </c>
      <c r="E68" s="2" t="str">
        <f ca="1">IF(ISBLANK(Input!D67),"",INDIRECT("Input!D"&amp;1+MATCH(aux_sheet_RRS!$E67,aux_sheet_RRS!$D$2:$D$202,0)))</f>
        <v/>
      </c>
      <c r="F68" s="11" t="str">
        <f ca="1">INDIRECT("Input!H"&amp;1+MATCH(aux_sheet_RRS!$E67,aux_sheet_RRS!$D$2:$D$202,0))</f>
        <v xml:space="preserve"> </v>
      </c>
      <c r="G68" s="88" t="str">
        <f ca="1">IF($B68="","",INDIRECT("aux_sheet_RRS!O"&amp;1+MATCH(aux_sheet_RRS!$E67,aux_sheet_RRS!$D$2:$D$202,0)))</f>
        <v/>
      </c>
      <c r="H68" s="89" t="str">
        <f ca="1">IF($B68="","",INDIRECT("aux_sheet_RRS!P"&amp;1+MATCH(aux_sheet_RRS!$E67,aux_sheet_RRS!$D$2:$D$202,0)))</f>
        <v/>
      </c>
      <c r="I68" s="90" t="str">
        <f ca="1">IF(G68="","",ROUNDDOWN(INDIRECT("aux_sheet_RRS!Q"&amp;1+MATCH(aux_sheet_RRS!$E67,aux_sheet_RRS!$D$2:$D$202,0)),0))</f>
        <v/>
      </c>
      <c r="J68" s="106" t="str">
        <f ca="1">IF($B68="","",INDIRECT("aux_sheet_RRS!R"&amp;1+MATCH(aux_sheet_RRS!$E67,aux_sheet_RRS!$D$2:$D$202,0)))</f>
        <v/>
      </c>
      <c r="K68" s="89" t="str">
        <f ca="1">IF($B68="","",INDIRECT("aux_sheet_RRS!S"&amp;1+MATCH(aux_sheet_RRS!$E67,aux_sheet_RRS!$D$2:$D$202,0)))</f>
        <v/>
      </c>
      <c r="L68" s="90" t="str">
        <f ca="1">IF(J68="","",ROUNDDOWN(INDIRECT("aux_sheet_RRS!T"&amp;1+MATCH(aux_sheet_RRS!$E67,aux_sheet_RRS!$D$2:$D$202,0)),0))</f>
        <v/>
      </c>
      <c r="M68" s="106" t="str">
        <f ca="1">IF($B68="","",INDIRECT("aux_sheet_RRS!U"&amp;1+MATCH(aux_sheet_RRS!$E67,aux_sheet_RRS!$D$2:$D$202,0)))</f>
        <v/>
      </c>
      <c r="N68" s="89" t="str">
        <f ca="1">IF($B68="","",INDIRECT("aux_sheet_RRS!V"&amp;1+MATCH(aux_sheet_RRS!$E67,aux_sheet_RRS!$D$2:$D$202,0)))</f>
        <v/>
      </c>
      <c r="O68" s="90" t="str">
        <f ca="1">IF(M68="","",ROUNDDOWN(INDIRECT("aux_sheet_RRS!W"&amp;1+MATCH(aux_sheet_RRS!$E67,aux_sheet_RRS!$D$2:$D$202,0)),0))</f>
        <v/>
      </c>
      <c r="P68" s="106" t="str">
        <f ca="1">IF($B68="","",INDIRECT("aux_sheet_RRS!X"&amp;1+MATCH(aux_sheet_RRS!$E67,aux_sheet_RRS!$D$2:$D$202,0)))</f>
        <v/>
      </c>
      <c r="Q68" s="89" t="str">
        <f ca="1">IF($B68="","",INDIRECT("aux_sheet_RRS!Y"&amp;1+MATCH(aux_sheet_RRS!$E67,aux_sheet_RRS!$D$2:$D$202,0)))</f>
        <v/>
      </c>
      <c r="R68" s="90" t="str">
        <f ca="1">IF(P68="","",INDIRECT("aux_sheet_RRS!Z"&amp;1+MATCH(aux_sheet_RRS!$E67,aux_sheet_RRS!$D$2:$D$202,0)))</f>
        <v/>
      </c>
      <c r="S68" s="106" t="str">
        <f ca="1">IF($B68="","",INDIRECT("aux_sheet_RRS!AA"&amp;1+MATCH(aux_sheet_RRS!$E67,aux_sheet_RRS!$D$2:$D$202,0)))</f>
        <v/>
      </c>
      <c r="T68" s="89" t="str">
        <f ca="1">IF($B68="","",INDIRECT("aux_sheet_RRS!AB"&amp;1+MATCH(aux_sheet_RRS!$E67,aux_sheet_RRS!$D$2:$D$202,0)))</f>
        <v/>
      </c>
      <c r="U68" s="90" t="str">
        <f ca="1">IF(S68="","",INDIRECT("aux_sheet_RRS!AC"&amp;1+MATCH(aux_sheet_RRS!$E67,aux_sheet_RRS!$D$2:$D$202,0)))</f>
        <v/>
      </c>
      <c r="V68" s="106" t="str">
        <f ca="1">IF($B68="","",INDIRECT("aux_sheet_RRS!AD"&amp;1+MATCH(aux_sheet_RRS!$E67,aux_sheet_RRS!$D$2:$D$202,0)))</f>
        <v/>
      </c>
      <c r="W68" s="89" t="str">
        <f ca="1">IF($B68="","",INDIRECT("aux_sheet_RRS!AE"&amp;1+MATCH(aux_sheet_RRS!$E67,aux_sheet_RRS!$D$2:$D$202,0)))</f>
        <v/>
      </c>
      <c r="X68" s="90" t="str">
        <f ca="1">IF(V68="","",INDIRECT("aux_sheet_RRS!AF"&amp;1+MATCH(aux_sheet_RRS!$E67,aux_sheet_RRS!$D$2:$D$202,0)))</f>
        <v/>
      </c>
      <c r="Y68" s="106" t="str">
        <f ca="1">IF($B68="","",INDIRECT("aux_sheet_RRS!AG"&amp;1+MATCH(aux_sheet_RRS!$E67,aux_sheet_RRS!$D$2:$D$202,0)))</f>
        <v/>
      </c>
      <c r="Z68" s="89" t="str">
        <f ca="1">IF($B68="","",INDIRECT("aux_sheet_RRS!AH"&amp;1+MATCH(aux_sheet_RRS!$E67,aux_sheet_RRS!$D$2:$D$202,0)))</f>
        <v/>
      </c>
      <c r="AA68" s="90" t="str">
        <f ca="1">IF(Y68="","",INDIRECT("aux_sheet_RRS!AI"&amp;1+MATCH(aux_sheet_RRS!$E67,aux_sheet_RRS!$D$2:$D$202,0)))</f>
        <v/>
      </c>
      <c r="AB68" s="88" t="str">
        <f ca="1">IF($B68="","",INDIRECT("aux_sheet_RRS!AJ"&amp;1+MATCH(aux_sheet_RRS!$E67,aux_sheet_RRS!$D$2:$D$202,0)))</f>
        <v/>
      </c>
      <c r="AC68" s="89" t="str">
        <f ca="1">IF($B68="","",INDIRECT("aux_sheet_RRS!AK"&amp;1+MATCH(aux_sheet_RRS!$E67,aux_sheet_RRS!$D$2:$D$202,0)))</f>
        <v/>
      </c>
      <c r="AD68" s="90" t="str">
        <f ca="1">IF(AB68="","",INDIRECT("aux_sheet_RRS!AL"&amp;1+MATCH(aux_sheet_RRS!$E67,aux_sheet_RRS!$D$2:$D$202,0)))</f>
        <v/>
      </c>
      <c r="AE68" s="88" t="str">
        <f ca="1">IF($B68="","",INDIRECT("aux_sheet_RRS!AM"&amp;1+MATCH(aux_sheet_RRS!$E67,aux_sheet_RRS!$D$2:$D$202,0)))</f>
        <v/>
      </c>
      <c r="AF68" s="89" t="str">
        <f ca="1">IF($B68="","",INDIRECT("aux_sheet_RRS!AN"&amp;1+MATCH(aux_sheet_RRS!$E67,aux_sheet_RRS!$D$2:$D$202,0)))</f>
        <v/>
      </c>
      <c r="AG68" s="90" t="str">
        <f ca="1">IF(AE68="","",INDIRECT("aux_sheet_RRS!AO"&amp;1+MATCH(aux_sheet_RRS!$E67,aux_sheet_RRS!$D$2:$D$202,0)))</f>
        <v/>
      </c>
      <c r="AH68" s="14" t="str">
        <f t="shared" ca="1" si="3"/>
        <v/>
      </c>
      <c r="AI68" t="str">
        <f t="shared" ca="1" si="4"/>
        <v/>
      </c>
      <c r="AJ68" t="str">
        <f t="shared" ca="1" si="5"/>
        <v/>
      </c>
    </row>
    <row r="69" spans="1:36" x14ac:dyDescent="0.35">
      <c r="A69" s="2" t="str">
        <f>IF(ISBLANK(Input!A68),"",ROUNDDOWN(aux_sheet_RRS!E68,0))</f>
        <v/>
      </c>
      <c r="B69" s="2" t="str">
        <f ca="1">IF(ISBLANK(Input!A68),"",INDIRECT("Input!A"&amp;1+MATCH(aux_sheet_RRS!$E68,aux_sheet_RRS!$D$2:$D$202,0)))</f>
        <v/>
      </c>
      <c r="C69" s="2" t="str">
        <f ca="1">IF(ISBLANK(Input!B68),"",INDIRECT("Input!B"&amp;1+MATCH(aux_sheet_RRS!$E68,aux_sheet_RRS!$D$2:$D$202,0)))</f>
        <v/>
      </c>
      <c r="D69" s="2" t="str">
        <f ca="1">IF(ISBLANK(Input!C68),"",INDIRECT("Input!C"&amp;1+MATCH(aux_sheet_RRS!$E68,aux_sheet_RRS!$D$2:$D$202,0)))</f>
        <v/>
      </c>
      <c r="E69" s="2" t="str">
        <f ca="1">IF(ISBLANK(Input!D68),"",INDIRECT("Input!D"&amp;1+MATCH(aux_sheet_RRS!$E68,aux_sheet_RRS!$D$2:$D$202,0)))</f>
        <v/>
      </c>
      <c r="F69" s="11" t="str">
        <f ca="1">INDIRECT("Input!H"&amp;1+MATCH(aux_sheet_RRS!$E68,aux_sheet_RRS!$D$2:$D$202,0))</f>
        <v xml:space="preserve"> </v>
      </c>
      <c r="G69" s="88" t="str">
        <f ca="1">IF($B69="","",INDIRECT("aux_sheet_RRS!O"&amp;1+MATCH(aux_sheet_RRS!$E68,aux_sheet_RRS!$D$2:$D$202,0)))</f>
        <v/>
      </c>
      <c r="H69" s="89" t="str">
        <f ca="1">IF($B69="","",INDIRECT("aux_sheet_RRS!P"&amp;1+MATCH(aux_sheet_RRS!$E68,aux_sheet_RRS!$D$2:$D$202,0)))</f>
        <v/>
      </c>
      <c r="I69" s="90" t="str">
        <f ca="1">IF(G69="","",ROUNDDOWN(INDIRECT("aux_sheet_RRS!Q"&amp;1+MATCH(aux_sheet_RRS!$E68,aux_sheet_RRS!$D$2:$D$202,0)),0))</f>
        <v/>
      </c>
      <c r="J69" s="106" t="str">
        <f ca="1">IF($B69="","",INDIRECT("aux_sheet_RRS!R"&amp;1+MATCH(aux_sheet_RRS!$E68,aux_sheet_RRS!$D$2:$D$202,0)))</f>
        <v/>
      </c>
      <c r="K69" s="89" t="str">
        <f ca="1">IF($B69="","",INDIRECT("aux_sheet_RRS!S"&amp;1+MATCH(aux_sheet_RRS!$E68,aux_sheet_RRS!$D$2:$D$202,0)))</f>
        <v/>
      </c>
      <c r="L69" s="90" t="str">
        <f ca="1">IF(J69="","",ROUNDDOWN(INDIRECT("aux_sheet_RRS!T"&amp;1+MATCH(aux_sheet_RRS!$E68,aux_sheet_RRS!$D$2:$D$202,0)),0))</f>
        <v/>
      </c>
      <c r="M69" s="106" t="str">
        <f ca="1">IF($B69="","",INDIRECT("aux_sheet_RRS!U"&amp;1+MATCH(aux_sheet_RRS!$E68,aux_sheet_RRS!$D$2:$D$202,0)))</f>
        <v/>
      </c>
      <c r="N69" s="89" t="str">
        <f ca="1">IF($B69="","",INDIRECT("aux_sheet_RRS!V"&amp;1+MATCH(aux_sheet_RRS!$E68,aux_sheet_RRS!$D$2:$D$202,0)))</f>
        <v/>
      </c>
      <c r="O69" s="90" t="str">
        <f ca="1">IF(M69="","",ROUNDDOWN(INDIRECT("aux_sheet_RRS!W"&amp;1+MATCH(aux_sheet_RRS!$E68,aux_sheet_RRS!$D$2:$D$202,0)),0))</f>
        <v/>
      </c>
      <c r="P69" s="106" t="str">
        <f ca="1">IF($B69="","",INDIRECT("aux_sheet_RRS!X"&amp;1+MATCH(aux_sheet_RRS!$E68,aux_sheet_RRS!$D$2:$D$202,0)))</f>
        <v/>
      </c>
      <c r="Q69" s="89" t="str">
        <f ca="1">IF($B69="","",INDIRECT("aux_sheet_RRS!Y"&amp;1+MATCH(aux_sheet_RRS!$E68,aux_sheet_RRS!$D$2:$D$202,0)))</f>
        <v/>
      </c>
      <c r="R69" s="90" t="str">
        <f ca="1">IF(P69="","",INDIRECT("aux_sheet_RRS!Z"&amp;1+MATCH(aux_sheet_RRS!$E68,aux_sheet_RRS!$D$2:$D$202,0)))</f>
        <v/>
      </c>
      <c r="S69" s="106" t="str">
        <f ca="1">IF($B69="","",INDIRECT("aux_sheet_RRS!AA"&amp;1+MATCH(aux_sheet_RRS!$E68,aux_sheet_RRS!$D$2:$D$202,0)))</f>
        <v/>
      </c>
      <c r="T69" s="89" t="str">
        <f ca="1">IF($B69="","",INDIRECT("aux_sheet_RRS!AB"&amp;1+MATCH(aux_sheet_RRS!$E68,aux_sheet_RRS!$D$2:$D$202,0)))</f>
        <v/>
      </c>
      <c r="U69" s="90" t="str">
        <f ca="1">IF(S69="","",INDIRECT("aux_sheet_RRS!AC"&amp;1+MATCH(aux_sheet_RRS!$E68,aux_sheet_RRS!$D$2:$D$202,0)))</f>
        <v/>
      </c>
      <c r="V69" s="106" t="str">
        <f ca="1">IF($B69="","",INDIRECT("aux_sheet_RRS!AD"&amp;1+MATCH(aux_sheet_RRS!$E68,aux_sheet_RRS!$D$2:$D$202,0)))</f>
        <v/>
      </c>
      <c r="W69" s="89" t="str">
        <f ca="1">IF($B69="","",INDIRECT("aux_sheet_RRS!AE"&amp;1+MATCH(aux_sheet_RRS!$E68,aux_sheet_RRS!$D$2:$D$202,0)))</f>
        <v/>
      </c>
      <c r="X69" s="90" t="str">
        <f ca="1">IF(V69="","",INDIRECT("aux_sheet_RRS!AF"&amp;1+MATCH(aux_sheet_RRS!$E68,aux_sheet_RRS!$D$2:$D$202,0)))</f>
        <v/>
      </c>
      <c r="Y69" s="106" t="str">
        <f ca="1">IF($B69="","",INDIRECT("aux_sheet_RRS!AG"&amp;1+MATCH(aux_sheet_RRS!$E68,aux_sheet_RRS!$D$2:$D$202,0)))</f>
        <v/>
      </c>
      <c r="Z69" s="89" t="str">
        <f ca="1">IF($B69="","",INDIRECT("aux_sheet_RRS!AH"&amp;1+MATCH(aux_sheet_RRS!$E68,aux_sheet_RRS!$D$2:$D$202,0)))</f>
        <v/>
      </c>
      <c r="AA69" s="90" t="str">
        <f ca="1">IF(Y69="","",INDIRECT("aux_sheet_RRS!AI"&amp;1+MATCH(aux_sheet_RRS!$E68,aux_sheet_RRS!$D$2:$D$202,0)))</f>
        <v/>
      </c>
      <c r="AB69" s="88" t="str">
        <f ca="1">IF($B69="","",INDIRECT("aux_sheet_RRS!AJ"&amp;1+MATCH(aux_sheet_RRS!$E68,aux_sheet_RRS!$D$2:$D$202,0)))</f>
        <v/>
      </c>
      <c r="AC69" s="89" t="str">
        <f ca="1">IF($B69="","",INDIRECT("aux_sheet_RRS!AK"&amp;1+MATCH(aux_sheet_RRS!$E68,aux_sheet_RRS!$D$2:$D$202,0)))</f>
        <v/>
      </c>
      <c r="AD69" s="90" t="str">
        <f ca="1">IF(AB69="","",INDIRECT("aux_sheet_RRS!AL"&amp;1+MATCH(aux_sheet_RRS!$E68,aux_sheet_RRS!$D$2:$D$202,0)))</f>
        <v/>
      </c>
      <c r="AE69" s="88" t="str">
        <f ca="1">IF($B69="","",INDIRECT("aux_sheet_RRS!AM"&amp;1+MATCH(aux_sheet_RRS!$E68,aux_sheet_RRS!$D$2:$D$202,0)))</f>
        <v/>
      </c>
      <c r="AF69" s="89" t="str">
        <f ca="1">IF($B69="","",INDIRECT("aux_sheet_RRS!AN"&amp;1+MATCH(aux_sheet_RRS!$E68,aux_sheet_RRS!$D$2:$D$202,0)))</f>
        <v/>
      </c>
      <c r="AG69" s="90" t="str">
        <f ca="1">IF(AE69="","",INDIRECT("aux_sheet_RRS!AO"&amp;1+MATCH(aux_sheet_RRS!$E68,aux_sheet_RRS!$D$2:$D$202,0)))</f>
        <v/>
      </c>
      <c r="AH69" s="14" t="str">
        <f t="shared" ca="1" si="3"/>
        <v/>
      </c>
      <c r="AI69" t="str">
        <f t="shared" ca="1" si="4"/>
        <v/>
      </c>
      <c r="AJ69" t="str">
        <f t="shared" ca="1" si="5"/>
        <v/>
      </c>
    </row>
    <row r="70" spans="1:36" x14ac:dyDescent="0.35">
      <c r="A70" s="2" t="str">
        <f>IF(ISBLANK(Input!A69),"",ROUNDDOWN(aux_sheet_RRS!E69,0))</f>
        <v/>
      </c>
      <c r="B70" s="2" t="str">
        <f ca="1">IF(ISBLANK(Input!A69),"",INDIRECT("Input!A"&amp;1+MATCH(aux_sheet_RRS!$E69,aux_sheet_RRS!$D$2:$D$202,0)))</f>
        <v/>
      </c>
      <c r="C70" s="2" t="str">
        <f ca="1">IF(ISBLANK(Input!B69),"",INDIRECT("Input!B"&amp;1+MATCH(aux_sheet_RRS!$E69,aux_sheet_RRS!$D$2:$D$202,0)))</f>
        <v/>
      </c>
      <c r="D70" s="2" t="str">
        <f ca="1">IF(ISBLANK(Input!C69),"",INDIRECT("Input!C"&amp;1+MATCH(aux_sheet_RRS!$E69,aux_sheet_RRS!$D$2:$D$202,0)))</f>
        <v/>
      </c>
      <c r="E70" s="2" t="str">
        <f ca="1">IF(ISBLANK(Input!D69),"",INDIRECT("Input!D"&amp;1+MATCH(aux_sheet_RRS!$E69,aux_sheet_RRS!$D$2:$D$202,0)))</f>
        <v/>
      </c>
      <c r="F70" s="11" t="str">
        <f ca="1">INDIRECT("Input!H"&amp;1+MATCH(aux_sheet_RRS!$E69,aux_sheet_RRS!$D$2:$D$202,0))</f>
        <v xml:space="preserve"> </v>
      </c>
      <c r="G70" s="88" t="str">
        <f ca="1">IF($B70="","",INDIRECT("aux_sheet_RRS!O"&amp;1+MATCH(aux_sheet_RRS!$E69,aux_sheet_RRS!$D$2:$D$202,0)))</f>
        <v/>
      </c>
      <c r="H70" s="89" t="str">
        <f ca="1">IF($B70="","",INDIRECT("aux_sheet_RRS!P"&amp;1+MATCH(aux_sheet_RRS!$E69,aux_sheet_RRS!$D$2:$D$202,0)))</f>
        <v/>
      </c>
      <c r="I70" s="90" t="str">
        <f ca="1">IF(G70="","",ROUNDDOWN(INDIRECT("aux_sheet_RRS!Q"&amp;1+MATCH(aux_sheet_RRS!$E69,aux_sheet_RRS!$D$2:$D$202,0)),0))</f>
        <v/>
      </c>
      <c r="J70" s="106" t="str">
        <f ca="1">IF($B70="","",INDIRECT("aux_sheet_RRS!R"&amp;1+MATCH(aux_sheet_RRS!$E69,aux_sheet_RRS!$D$2:$D$202,0)))</f>
        <v/>
      </c>
      <c r="K70" s="89" t="str">
        <f ca="1">IF($B70="","",INDIRECT("aux_sheet_RRS!S"&amp;1+MATCH(aux_sheet_RRS!$E69,aux_sheet_RRS!$D$2:$D$202,0)))</f>
        <v/>
      </c>
      <c r="L70" s="90" t="str">
        <f ca="1">IF(J70="","",ROUNDDOWN(INDIRECT("aux_sheet_RRS!T"&amp;1+MATCH(aux_sheet_RRS!$E69,aux_sheet_RRS!$D$2:$D$202,0)),0))</f>
        <v/>
      </c>
      <c r="M70" s="106" t="str">
        <f ca="1">IF($B70="","",INDIRECT("aux_sheet_RRS!U"&amp;1+MATCH(aux_sheet_RRS!$E69,aux_sheet_RRS!$D$2:$D$202,0)))</f>
        <v/>
      </c>
      <c r="N70" s="89" t="str">
        <f ca="1">IF($B70="","",INDIRECT("aux_sheet_RRS!V"&amp;1+MATCH(aux_sheet_RRS!$E69,aux_sheet_RRS!$D$2:$D$202,0)))</f>
        <v/>
      </c>
      <c r="O70" s="90" t="str">
        <f ca="1">IF(M70="","",ROUNDDOWN(INDIRECT("aux_sheet_RRS!W"&amp;1+MATCH(aux_sheet_RRS!$E69,aux_sheet_RRS!$D$2:$D$202,0)),0))</f>
        <v/>
      </c>
      <c r="P70" s="106" t="str">
        <f ca="1">IF($B70="","",INDIRECT("aux_sheet_RRS!X"&amp;1+MATCH(aux_sheet_RRS!$E69,aux_sheet_RRS!$D$2:$D$202,0)))</f>
        <v/>
      </c>
      <c r="Q70" s="89" t="str">
        <f ca="1">IF($B70="","",INDIRECT("aux_sheet_RRS!Y"&amp;1+MATCH(aux_sheet_RRS!$E69,aux_sheet_RRS!$D$2:$D$202,0)))</f>
        <v/>
      </c>
      <c r="R70" s="90" t="str">
        <f ca="1">IF(P70="","",INDIRECT("aux_sheet_RRS!Z"&amp;1+MATCH(aux_sheet_RRS!$E69,aux_sheet_RRS!$D$2:$D$202,0)))</f>
        <v/>
      </c>
      <c r="S70" s="106" t="str">
        <f ca="1">IF($B70="","",INDIRECT("aux_sheet_RRS!AA"&amp;1+MATCH(aux_sheet_RRS!$E69,aux_sheet_RRS!$D$2:$D$202,0)))</f>
        <v/>
      </c>
      <c r="T70" s="89" t="str">
        <f ca="1">IF($B70="","",INDIRECT("aux_sheet_RRS!AB"&amp;1+MATCH(aux_sheet_RRS!$E69,aux_sheet_RRS!$D$2:$D$202,0)))</f>
        <v/>
      </c>
      <c r="U70" s="90" t="str">
        <f ca="1">IF(S70="","",INDIRECT("aux_sheet_RRS!AC"&amp;1+MATCH(aux_sheet_RRS!$E69,aux_sheet_RRS!$D$2:$D$202,0)))</f>
        <v/>
      </c>
      <c r="V70" s="106" t="str">
        <f ca="1">IF($B70="","",INDIRECT("aux_sheet_RRS!AD"&amp;1+MATCH(aux_sheet_RRS!$E69,aux_sheet_RRS!$D$2:$D$202,0)))</f>
        <v/>
      </c>
      <c r="W70" s="89" t="str">
        <f ca="1">IF($B70="","",INDIRECT("aux_sheet_RRS!AE"&amp;1+MATCH(aux_sheet_RRS!$E69,aux_sheet_RRS!$D$2:$D$202,0)))</f>
        <v/>
      </c>
      <c r="X70" s="90" t="str">
        <f ca="1">IF(V70="","",INDIRECT("aux_sheet_RRS!AF"&amp;1+MATCH(aux_sheet_RRS!$E69,aux_sheet_RRS!$D$2:$D$202,0)))</f>
        <v/>
      </c>
      <c r="Y70" s="106" t="str">
        <f ca="1">IF($B70="","",INDIRECT("aux_sheet_RRS!AG"&amp;1+MATCH(aux_sheet_RRS!$E69,aux_sheet_RRS!$D$2:$D$202,0)))</f>
        <v/>
      </c>
      <c r="Z70" s="89" t="str">
        <f ca="1">IF($B70="","",INDIRECT("aux_sheet_RRS!AH"&amp;1+MATCH(aux_sheet_RRS!$E69,aux_sheet_RRS!$D$2:$D$202,0)))</f>
        <v/>
      </c>
      <c r="AA70" s="90" t="str">
        <f ca="1">IF(Y70="","",INDIRECT("aux_sheet_RRS!AI"&amp;1+MATCH(aux_sheet_RRS!$E69,aux_sheet_RRS!$D$2:$D$202,0)))</f>
        <v/>
      </c>
      <c r="AB70" s="88" t="str">
        <f ca="1">IF($B70="","",INDIRECT("aux_sheet_RRS!AJ"&amp;1+MATCH(aux_sheet_RRS!$E69,aux_sheet_RRS!$D$2:$D$202,0)))</f>
        <v/>
      </c>
      <c r="AC70" s="89" t="str">
        <f ca="1">IF($B70="","",INDIRECT("aux_sheet_RRS!AK"&amp;1+MATCH(aux_sheet_RRS!$E69,aux_sheet_RRS!$D$2:$D$202,0)))</f>
        <v/>
      </c>
      <c r="AD70" s="90" t="str">
        <f ca="1">IF(AB70="","",INDIRECT("aux_sheet_RRS!AL"&amp;1+MATCH(aux_sheet_RRS!$E69,aux_sheet_RRS!$D$2:$D$202,0)))</f>
        <v/>
      </c>
      <c r="AE70" s="88" t="str">
        <f ca="1">IF($B70="","",INDIRECT("aux_sheet_RRS!AM"&amp;1+MATCH(aux_sheet_RRS!$E69,aux_sheet_RRS!$D$2:$D$202,0)))</f>
        <v/>
      </c>
      <c r="AF70" s="89" t="str">
        <f ca="1">IF($B70="","",INDIRECT("aux_sheet_RRS!AN"&amp;1+MATCH(aux_sheet_RRS!$E69,aux_sheet_RRS!$D$2:$D$202,0)))</f>
        <v/>
      </c>
      <c r="AG70" s="90" t="str">
        <f ca="1">IF(AE70="","",INDIRECT("aux_sheet_RRS!AO"&amp;1+MATCH(aux_sheet_RRS!$E69,aux_sheet_RRS!$D$2:$D$202,0)))</f>
        <v/>
      </c>
      <c r="AH70" s="14" t="str">
        <f t="shared" ca="1" si="3"/>
        <v/>
      </c>
      <c r="AI70" t="str">
        <f t="shared" ca="1" si="4"/>
        <v/>
      </c>
      <c r="AJ70" t="str">
        <f t="shared" ca="1" si="5"/>
        <v/>
      </c>
    </row>
    <row r="71" spans="1:36" x14ac:dyDescent="0.35">
      <c r="A71" s="2" t="str">
        <f>IF(ISBLANK(Input!A70),"",ROUNDDOWN(aux_sheet_RRS!E70,0))</f>
        <v/>
      </c>
      <c r="B71" s="2" t="str">
        <f ca="1">IF(ISBLANK(Input!A70),"",INDIRECT("Input!A"&amp;1+MATCH(aux_sheet_RRS!$E70,aux_sheet_RRS!$D$2:$D$202,0)))</f>
        <v/>
      </c>
      <c r="C71" s="2" t="str">
        <f ca="1">IF(ISBLANK(Input!B70),"",INDIRECT("Input!B"&amp;1+MATCH(aux_sheet_RRS!$E70,aux_sheet_RRS!$D$2:$D$202,0)))</f>
        <v/>
      </c>
      <c r="D71" s="2" t="str">
        <f ca="1">IF(ISBLANK(Input!C70),"",INDIRECT("Input!C"&amp;1+MATCH(aux_sheet_RRS!$E70,aux_sheet_RRS!$D$2:$D$202,0)))</f>
        <v/>
      </c>
      <c r="E71" s="2" t="str">
        <f ca="1">IF(ISBLANK(Input!D70),"",INDIRECT("Input!D"&amp;1+MATCH(aux_sheet_RRS!$E70,aux_sheet_RRS!$D$2:$D$202,0)))</f>
        <v/>
      </c>
      <c r="F71" s="11" t="str">
        <f ca="1">INDIRECT("Input!H"&amp;1+MATCH(aux_sheet_RRS!$E70,aux_sheet_RRS!$D$2:$D$202,0))</f>
        <v xml:space="preserve"> </v>
      </c>
      <c r="G71" s="88" t="str">
        <f ca="1">IF($B71="","",INDIRECT("aux_sheet_RRS!O"&amp;1+MATCH(aux_sheet_RRS!$E70,aux_sheet_RRS!$D$2:$D$202,0)))</f>
        <v/>
      </c>
      <c r="H71" s="89" t="str">
        <f ca="1">IF($B71="","",INDIRECT("aux_sheet_RRS!P"&amp;1+MATCH(aux_sheet_RRS!$E70,aux_sheet_RRS!$D$2:$D$202,0)))</f>
        <v/>
      </c>
      <c r="I71" s="90" t="str">
        <f ca="1">IF(G71="","",ROUNDDOWN(INDIRECT("aux_sheet_RRS!Q"&amp;1+MATCH(aux_sheet_RRS!$E70,aux_sheet_RRS!$D$2:$D$202,0)),0))</f>
        <v/>
      </c>
      <c r="J71" s="106" t="str">
        <f ca="1">IF($B71="","",INDIRECT("aux_sheet_RRS!R"&amp;1+MATCH(aux_sheet_RRS!$E70,aux_sheet_RRS!$D$2:$D$202,0)))</f>
        <v/>
      </c>
      <c r="K71" s="89" t="str">
        <f ca="1">IF($B71="","",INDIRECT("aux_sheet_RRS!S"&amp;1+MATCH(aux_sheet_RRS!$E70,aux_sheet_RRS!$D$2:$D$202,0)))</f>
        <v/>
      </c>
      <c r="L71" s="90" t="str">
        <f ca="1">IF(J71="","",ROUNDDOWN(INDIRECT("aux_sheet_RRS!T"&amp;1+MATCH(aux_sheet_RRS!$E70,aux_sheet_RRS!$D$2:$D$202,0)),0))</f>
        <v/>
      </c>
      <c r="M71" s="106" t="str">
        <f ca="1">IF($B71="","",INDIRECT("aux_sheet_RRS!U"&amp;1+MATCH(aux_sheet_RRS!$E70,aux_sheet_RRS!$D$2:$D$202,0)))</f>
        <v/>
      </c>
      <c r="N71" s="89" t="str">
        <f ca="1">IF($B71="","",INDIRECT("aux_sheet_RRS!V"&amp;1+MATCH(aux_sheet_RRS!$E70,aux_sheet_RRS!$D$2:$D$202,0)))</f>
        <v/>
      </c>
      <c r="O71" s="90" t="str">
        <f ca="1">IF(M71="","",ROUNDDOWN(INDIRECT("aux_sheet_RRS!W"&amp;1+MATCH(aux_sheet_RRS!$E70,aux_sheet_RRS!$D$2:$D$202,0)),0))</f>
        <v/>
      </c>
      <c r="P71" s="106" t="str">
        <f ca="1">IF($B71="","",INDIRECT("aux_sheet_RRS!X"&amp;1+MATCH(aux_sheet_RRS!$E70,aux_sheet_RRS!$D$2:$D$202,0)))</f>
        <v/>
      </c>
      <c r="Q71" s="89" t="str">
        <f ca="1">IF($B71="","",INDIRECT("aux_sheet_RRS!Y"&amp;1+MATCH(aux_sheet_RRS!$E70,aux_sheet_RRS!$D$2:$D$202,0)))</f>
        <v/>
      </c>
      <c r="R71" s="90" t="str">
        <f ca="1">IF(P71="","",INDIRECT("aux_sheet_RRS!Z"&amp;1+MATCH(aux_sheet_RRS!$E70,aux_sheet_RRS!$D$2:$D$202,0)))</f>
        <v/>
      </c>
      <c r="S71" s="106" t="str">
        <f ca="1">IF($B71="","",INDIRECT("aux_sheet_RRS!AA"&amp;1+MATCH(aux_sheet_RRS!$E70,aux_sheet_RRS!$D$2:$D$202,0)))</f>
        <v/>
      </c>
      <c r="T71" s="89" t="str">
        <f ca="1">IF($B71="","",INDIRECT("aux_sheet_RRS!AB"&amp;1+MATCH(aux_sheet_RRS!$E70,aux_sheet_RRS!$D$2:$D$202,0)))</f>
        <v/>
      </c>
      <c r="U71" s="90" t="str">
        <f ca="1">IF(S71="","",INDIRECT("aux_sheet_RRS!AC"&amp;1+MATCH(aux_sheet_RRS!$E70,aux_sheet_RRS!$D$2:$D$202,0)))</f>
        <v/>
      </c>
      <c r="V71" s="106" t="str">
        <f ca="1">IF($B71="","",INDIRECT("aux_sheet_RRS!AD"&amp;1+MATCH(aux_sheet_RRS!$E70,aux_sheet_RRS!$D$2:$D$202,0)))</f>
        <v/>
      </c>
      <c r="W71" s="89" t="str">
        <f ca="1">IF($B71="","",INDIRECT("aux_sheet_RRS!AE"&amp;1+MATCH(aux_sheet_RRS!$E70,aux_sheet_RRS!$D$2:$D$202,0)))</f>
        <v/>
      </c>
      <c r="X71" s="90" t="str">
        <f ca="1">IF(V71="","",INDIRECT("aux_sheet_RRS!AF"&amp;1+MATCH(aux_sheet_RRS!$E70,aux_sheet_RRS!$D$2:$D$202,0)))</f>
        <v/>
      </c>
      <c r="Y71" s="106" t="str">
        <f ca="1">IF($B71="","",INDIRECT("aux_sheet_RRS!AG"&amp;1+MATCH(aux_sheet_RRS!$E70,aux_sheet_RRS!$D$2:$D$202,0)))</f>
        <v/>
      </c>
      <c r="Z71" s="89" t="str">
        <f ca="1">IF($B71="","",INDIRECT("aux_sheet_RRS!AH"&amp;1+MATCH(aux_sheet_RRS!$E70,aux_sheet_RRS!$D$2:$D$202,0)))</f>
        <v/>
      </c>
      <c r="AA71" s="90" t="str">
        <f ca="1">IF(Y71="","",INDIRECT("aux_sheet_RRS!AI"&amp;1+MATCH(aux_sheet_RRS!$E70,aux_sheet_RRS!$D$2:$D$202,0)))</f>
        <v/>
      </c>
      <c r="AB71" s="88" t="str">
        <f ca="1">IF($B71="","",INDIRECT("aux_sheet_RRS!AJ"&amp;1+MATCH(aux_sheet_RRS!$E70,aux_sheet_RRS!$D$2:$D$202,0)))</f>
        <v/>
      </c>
      <c r="AC71" s="89" t="str">
        <f ca="1">IF($B71="","",INDIRECT("aux_sheet_RRS!AK"&amp;1+MATCH(aux_sheet_RRS!$E70,aux_sheet_RRS!$D$2:$D$202,0)))</f>
        <v/>
      </c>
      <c r="AD71" s="90" t="str">
        <f ca="1">IF(AB71="","",INDIRECT("aux_sheet_RRS!AL"&amp;1+MATCH(aux_sheet_RRS!$E70,aux_sheet_RRS!$D$2:$D$202,0)))</f>
        <v/>
      </c>
      <c r="AE71" s="88" t="str">
        <f ca="1">IF($B71="","",INDIRECT("aux_sheet_RRS!AM"&amp;1+MATCH(aux_sheet_RRS!$E70,aux_sheet_RRS!$D$2:$D$202,0)))</f>
        <v/>
      </c>
      <c r="AF71" s="89" t="str">
        <f ca="1">IF($B71="","",INDIRECT("aux_sheet_RRS!AN"&amp;1+MATCH(aux_sheet_RRS!$E70,aux_sheet_RRS!$D$2:$D$202,0)))</f>
        <v/>
      </c>
      <c r="AG71" s="90" t="str">
        <f ca="1">IF(AE71="","",INDIRECT("aux_sheet_RRS!AO"&amp;1+MATCH(aux_sheet_RRS!$E70,aux_sheet_RRS!$D$2:$D$202,0)))</f>
        <v/>
      </c>
      <c r="AH71" s="14" t="str">
        <f t="shared" ca="1" si="3"/>
        <v/>
      </c>
      <c r="AI71" t="str">
        <f t="shared" ca="1" si="4"/>
        <v/>
      </c>
      <c r="AJ71" t="str">
        <f t="shared" ca="1" si="5"/>
        <v/>
      </c>
    </row>
    <row r="72" spans="1:36" x14ac:dyDescent="0.35">
      <c r="A72" s="2" t="str">
        <f>IF(ISBLANK(Input!A71),"",ROUNDDOWN(aux_sheet_RRS!E71,0))</f>
        <v/>
      </c>
      <c r="B72" s="2" t="str">
        <f ca="1">IF(ISBLANK(Input!A71),"",INDIRECT("Input!A"&amp;1+MATCH(aux_sheet_RRS!$E71,aux_sheet_RRS!$D$2:$D$202,0)))</f>
        <v/>
      </c>
      <c r="C72" s="2" t="str">
        <f ca="1">IF(ISBLANK(Input!B71),"",INDIRECT("Input!B"&amp;1+MATCH(aux_sheet_RRS!$E71,aux_sheet_RRS!$D$2:$D$202,0)))</f>
        <v/>
      </c>
      <c r="D72" s="2" t="str">
        <f ca="1">IF(ISBLANK(Input!C71),"",INDIRECT("Input!C"&amp;1+MATCH(aux_sheet_RRS!$E71,aux_sheet_RRS!$D$2:$D$202,0)))</f>
        <v/>
      </c>
      <c r="E72" s="2" t="str">
        <f ca="1">IF(ISBLANK(Input!D71),"",INDIRECT("Input!D"&amp;1+MATCH(aux_sheet_RRS!$E71,aux_sheet_RRS!$D$2:$D$202,0)))</f>
        <v/>
      </c>
      <c r="F72" s="11" t="str">
        <f ca="1">INDIRECT("Input!H"&amp;1+MATCH(aux_sheet_RRS!$E71,aux_sheet_RRS!$D$2:$D$202,0))</f>
        <v xml:space="preserve"> </v>
      </c>
      <c r="G72" s="88" t="str">
        <f ca="1">IF($B72="","",INDIRECT("aux_sheet_RRS!O"&amp;1+MATCH(aux_sheet_RRS!$E71,aux_sheet_RRS!$D$2:$D$202,0)))</f>
        <v/>
      </c>
      <c r="H72" s="89" t="str">
        <f ca="1">IF($B72="","",INDIRECT("aux_sheet_RRS!P"&amp;1+MATCH(aux_sheet_RRS!$E71,aux_sheet_RRS!$D$2:$D$202,0)))</f>
        <v/>
      </c>
      <c r="I72" s="90" t="str">
        <f ca="1">IF(G72="","",ROUNDDOWN(INDIRECT("aux_sheet_RRS!Q"&amp;1+MATCH(aux_sheet_RRS!$E71,aux_sheet_RRS!$D$2:$D$202,0)),0))</f>
        <v/>
      </c>
      <c r="J72" s="106" t="str">
        <f ca="1">IF($B72="","",INDIRECT("aux_sheet_RRS!R"&amp;1+MATCH(aux_sheet_RRS!$E71,aux_sheet_RRS!$D$2:$D$202,0)))</f>
        <v/>
      </c>
      <c r="K72" s="89" t="str">
        <f ca="1">IF($B72="","",INDIRECT("aux_sheet_RRS!S"&amp;1+MATCH(aux_sheet_RRS!$E71,aux_sheet_RRS!$D$2:$D$202,0)))</f>
        <v/>
      </c>
      <c r="L72" s="90" t="str">
        <f ca="1">IF(J72="","",ROUNDDOWN(INDIRECT("aux_sheet_RRS!T"&amp;1+MATCH(aux_sheet_RRS!$E71,aux_sheet_RRS!$D$2:$D$202,0)),0))</f>
        <v/>
      </c>
      <c r="M72" s="106" t="str">
        <f ca="1">IF($B72="","",INDIRECT("aux_sheet_RRS!U"&amp;1+MATCH(aux_sheet_RRS!$E71,aux_sheet_RRS!$D$2:$D$202,0)))</f>
        <v/>
      </c>
      <c r="N72" s="89" t="str">
        <f ca="1">IF($B72="","",INDIRECT("aux_sheet_RRS!V"&amp;1+MATCH(aux_sheet_RRS!$E71,aux_sheet_RRS!$D$2:$D$202,0)))</f>
        <v/>
      </c>
      <c r="O72" s="90" t="str">
        <f ca="1">IF(M72="","",ROUNDDOWN(INDIRECT("aux_sheet_RRS!W"&amp;1+MATCH(aux_sheet_RRS!$E71,aux_sheet_RRS!$D$2:$D$202,0)),0))</f>
        <v/>
      </c>
      <c r="P72" s="106" t="str">
        <f ca="1">IF($B72="","",INDIRECT("aux_sheet_RRS!X"&amp;1+MATCH(aux_sheet_RRS!$E71,aux_sheet_RRS!$D$2:$D$202,0)))</f>
        <v/>
      </c>
      <c r="Q72" s="89" t="str">
        <f ca="1">IF($B72="","",INDIRECT("aux_sheet_RRS!Y"&amp;1+MATCH(aux_sheet_RRS!$E71,aux_sheet_RRS!$D$2:$D$202,0)))</f>
        <v/>
      </c>
      <c r="R72" s="90" t="str">
        <f ca="1">IF(P72="","",INDIRECT("aux_sheet_RRS!Z"&amp;1+MATCH(aux_sheet_RRS!$E71,aux_sheet_RRS!$D$2:$D$202,0)))</f>
        <v/>
      </c>
      <c r="S72" s="106" t="str">
        <f ca="1">IF($B72="","",INDIRECT("aux_sheet_RRS!AA"&amp;1+MATCH(aux_sheet_RRS!$E71,aux_sheet_RRS!$D$2:$D$202,0)))</f>
        <v/>
      </c>
      <c r="T72" s="89" t="str">
        <f ca="1">IF($B72="","",INDIRECT("aux_sheet_RRS!AB"&amp;1+MATCH(aux_sheet_RRS!$E71,aux_sheet_RRS!$D$2:$D$202,0)))</f>
        <v/>
      </c>
      <c r="U72" s="90" t="str">
        <f ca="1">IF(S72="","",INDIRECT("aux_sheet_RRS!AC"&amp;1+MATCH(aux_sheet_RRS!$E71,aux_sheet_RRS!$D$2:$D$202,0)))</f>
        <v/>
      </c>
      <c r="V72" s="106" t="str">
        <f ca="1">IF($B72="","",INDIRECT("aux_sheet_RRS!AD"&amp;1+MATCH(aux_sheet_RRS!$E71,aux_sheet_RRS!$D$2:$D$202,0)))</f>
        <v/>
      </c>
      <c r="W72" s="89" t="str">
        <f ca="1">IF($B72="","",INDIRECT("aux_sheet_RRS!AE"&amp;1+MATCH(aux_sheet_RRS!$E71,aux_sheet_RRS!$D$2:$D$202,0)))</f>
        <v/>
      </c>
      <c r="X72" s="90" t="str">
        <f ca="1">IF(V72="","",INDIRECT("aux_sheet_RRS!AF"&amp;1+MATCH(aux_sheet_RRS!$E71,aux_sheet_RRS!$D$2:$D$202,0)))</f>
        <v/>
      </c>
      <c r="Y72" s="106" t="str">
        <f ca="1">IF($B72="","",INDIRECT("aux_sheet_RRS!AG"&amp;1+MATCH(aux_sheet_RRS!$E71,aux_sheet_RRS!$D$2:$D$202,0)))</f>
        <v/>
      </c>
      <c r="Z72" s="89" t="str">
        <f ca="1">IF($B72="","",INDIRECT("aux_sheet_RRS!AH"&amp;1+MATCH(aux_sheet_RRS!$E71,aux_sheet_RRS!$D$2:$D$202,0)))</f>
        <v/>
      </c>
      <c r="AA72" s="90" t="str">
        <f ca="1">IF(Y72="","",INDIRECT("aux_sheet_RRS!AI"&amp;1+MATCH(aux_sheet_RRS!$E71,aux_sheet_RRS!$D$2:$D$202,0)))</f>
        <v/>
      </c>
      <c r="AB72" s="88" t="str">
        <f ca="1">IF($B72="","",INDIRECT("aux_sheet_RRS!AJ"&amp;1+MATCH(aux_sheet_RRS!$E71,aux_sheet_RRS!$D$2:$D$202,0)))</f>
        <v/>
      </c>
      <c r="AC72" s="89" t="str">
        <f ca="1">IF($B72="","",INDIRECT("aux_sheet_RRS!AK"&amp;1+MATCH(aux_sheet_RRS!$E71,aux_sheet_RRS!$D$2:$D$202,0)))</f>
        <v/>
      </c>
      <c r="AD72" s="90" t="str">
        <f ca="1">IF(AB72="","",INDIRECT("aux_sheet_RRS!AL"&amp;1+MATCH(aux_sheet_RRS!$E71,aux_sheet_RRS!$D$2:$D$202,0)))</f>
        <v/>
      </c>
      <c r="AE72" s="88" t="str">
        <f ca="1">IF($B72="","",INDIRECT("aux_sheet_RRS!AM"&amp;1+MATCH(aux_sheet_RRS!$E71,aux_sheet_RRS!$D$2:$D$202,0)))</f>
        <v/>
      </c>
      <c r="AF72" s="89" t="str">
        <f ca="1">IF($B72="","",INDIRECT("aux_sheet_RRS!AN"&amp;1+MATCH(aux_sheet_RRS!$E71,aux_sheet_RRS!$D$2:$D$202,0)))</f>
        <v/>
      </c>
      <c r="AG72" s="90" t="str">
        <f ca="1">IF(AE72="","",INDIRECT("aux_sheet_RRS!AO"&amp;1+MATCH(aux_sheet_RRS!$E71,aux_sheet_RRS!$D$2:$D$202,0)))</f>
        <v/>
      </c>
      <c r="AH72" s="14" t="str">
        <f t="shared" ca="1" si="3"/>
        <v/>
      </c>
      <c r="AI72" t="str">
        <f t="shared" ca="1" si="4"/>
        <v/>
      </c>
      <c r="AJ72" t="str">
        <f t="shared" ca="1" si="5"/>
        <v/>
      </c>
    </row>
    <row r="73" spans="1:36" x14ac:dyDescent="0.35">
      <c r="A73" s="2" t="str">
        <f>IF(ISBLANK(Input!A72),"",ROUNDDOWN(aux_sheet_RRS!E72,0))</f>
        <v/>
      </c>
      <c r="B73" s="2" t="str">
        <f ca="1">IF(ISBLANK(Input!A72),"",INDIRECT("Input!A"&amp;1+MATCH(aux_sheet_RRS!$E72,aux_sheet_RRS!$D$2:$D$202,0)))</f>
        <v/>
      </c>
      <c r="C73" s="2" t="str">
        <f ca="1">IF(ISBLANK(Input!B72),"",INDIRECT("Input!B"&amp;1+MATCH(aux_sheet_RRS!$E72,aux_sheet_RRS!$D$2:$D$202,0)))</f>
        <v/>
      </c>
      <c r="D73" s="2" t="str">
        <f ca="1">IF(ISBLANK(Input!C72),"",INDIRECT("Input!C"&amp;1+MATCH(aux_sheet_RRS!$E72,aux_sheet_RRS!$D$2:$D$202,0)))</f>
        <v/>
      </c>
      <c r="E73" s="2" t="str">
        <f ca="1">IF(ISBLANK(Input!D72),"",INDIRECT("Input!D"&amp;1+MATCH(aux_sheet_RRS!$E72,aux_sheet_RRS!$D$2:$D$202,0)))</f>
        <v/>
      </c>
      <c r="F73" s="11" t="str">
        <f ca="1">INDIRECT("Input!H"&amp;1+MATCH(aux_sheet_RRS!$E72,aux_sheet_RRS!$D$2:$D$202,0))</f>
        <v xml:space="preserve"> </v>
      </c>
      <c r="G73" s="88" t="str">
        <f ca="1">IF($B73="","",INDIRECT("aux_sheet_RRS!O"&amp;1+MATCH(aux_sheet_RRS!$E72,aux_sheet_RRS!$D$2:$D$202,0)))</f>
        <v/>
      </c>
      <c r="H73" s="89" t="str">
        <f ca="1">IF($B73="","",INDIRECT("aux_sheet_RRS!P"&amp;1+MATCH(aux_sheet_RRS!$E72,aux_sheet_RRS!$D$2:$D$202,0)))</f>
        <v/>
      </c>
      <c r="I73" s="90" t="str">
        <f ca="1">IF(G73="","",ROUNDDOWN(INDIRECT("aux_sheet_RRS!Q"&amp;1+MATCH(aux_sheet_RRS!$E72,aux_sheet_RRS!$D$2:$D$202,0)),0))</f>
        <v/>
      </c>
      <c r="J73" s="106" t="str">
        <f ca="1">IF($B73="","",INDIRECT("aux_sheet_RRS!R"&amp;1+MATCH(aux_sheet_RRS!$E72,aux_sheet_RRS!$D$2:$D$202,0)))</f>
        <v/>
      </c>
      <c r="K73" s="89" t="str">
        <f ca="1">IF($B73="","",INDIRECT("aux_sheet_RRS!S"&amp;1+MATCH(aux_sheet_RRS!$E72,aux_sheet_RRS!$D$2:$D$202,0)))</f>
        <v/>
      </c>
      <c r="L73" s="90" t="str">
        <f ca="1">IF(J73="","",ROUNDDOWN(INDIRECT("aux_sheet_RRS!T"&amp;1+MATCH(aux_sheet_RRS!$E72,aux_sheet_RRS!$D$2:$D$202,0)),0))</f>
        <v/>
      </c>
      <c r="M73" s="106" t="str">
        <f ca="1">IF($B73="","",INDIRECT("aux_sheet_RRS!U"&amp;1+MATCH(aux_sheet_RRS!$E72,aux_sheet_RRS!$D$2:$D$202,0)))</f>
        <v/>
      </c>
      <c r="N73" s="89" t="str">
        <f ca="1">IF($B73="","",INDIRECT("aux_sheet_RRS!V"&amp;1+MATCH(aux_sheet_RRS!$E72,aux_sheet_RRS!$D$2:$D$202,0)))</f>
        <v/>
      </c>
      <c r="O73" s="90" t="str">
        <f ca="1">IF(M73="","",ROUNDDOWN(INDIRECT("aux_sheet_RRS!W"&amp;1+MATCH(aux_sheet_RRS!$E72,aux_sheet_RRS!$D$2:$D$202,0)),0))</f>
        <v/>
      </c>
      <c r="P73" s="106" t="str">
        <f ca="1">IF($B73="","",INDIRECT("aux_sheet_RRS!X"&amp;1+MATCH(aux_sheet_RRS!$E72,aux_sheet_RRS!$D$2:$D$202,0)))</f>
        <v/>
      </c>
      <c r="Q73" s="89" t="str">
        <f ca="1">IF($B73="","",INDIRECT("aux_sheet_RRS!Y"&amp;1+MATCH(aux_sheet_RRS!$E72,aux_sheet_RRS!$D$2:$D$202,0)))</f>
        <v/>
      </c>
      <c r="R73" s="90" t="str">
        <f ca="1">IF(P73="","",INDIRECT("aux_sheet_RRS!Z"&amp;1+MATCH(aux_sheet_RRS!$E72,aux_sheet_RRS!$D$2:$D$202,0)))</f>
        <v/>
      </c>
      <c r="S73" s="106" t="str">
        <f ca="1">IF($B73="","",INDIRECT("aux_sheet_RRS!AA"&amp;1+MATCH(aux_sheet_RRS!$E72,aux_sheet_RRS!$D$2:$D$202,0)))</f>
        <v/>
      </c>
      <c r="T73" s="89" t="str">
        <f ca="1">IF($B73="","",INDIRECT("aux_sheet_RRS!AB"&amp;1+MATCH(aux_sheet_RRS!$E72,aux_sheet_RRS!$D$2:$D$202,0)))</f>
        <v/>
      </c>
      <c r="U73" s="90" t="str">
        <f ca="1">IF(S73="","",INDIRECT("aux_sheet_RRS!AC"&amp;1+MATCH(aux_sheet_RRS!$E72,aux_sheet_RRS!$D$2:$D$202,0)))</f>
        <v/>
      </c>
      <c r="V73" s="106" t="str">
        <f ca="1">IF($B73="","",INDIRECT("aux_sheet_RRS!AD"&amp;1+MATCH(aux_sheet_RRS!$E72,aux_sheet_RRS!$D$2:$D$202,0)))</f>
        <v/>
      </c>
      <c r="W73" s="89" t="str">
        <f ca="1">IF($B73="","",INDIRECT("aux_sheet_RRS!AE"&amp;1+MATCH(aux_sheet_RRS!$E72,aux_sheet_RRS!$D$2:$D$202,0)))</f>
        <v/>
      </c>
      <c r="X73" s="90" t="str">
        <f ca="1">IF(V73="","",INDIRECT("aux_sheet_RRS!AF"&amp;1+MATCH(aux_sheet_RRS!$E72,aux_sheet_RRS!$D$2:$D$202,0)))</f>
        <v/>
      </c>
      <c r="Y73" s="106" t="str">
        <f ca="1">IF($B73="","",INDIRECT("aux_sheet_RRS!AG"&amp;1+MATCH(aux_sheet_RRS!$E72,aux_sheet_RRS!$D$2:$D$202,0)))</f>
        <v/>
      </c>
      <c r="Z73" s="89" t="str">
        <f ca="1">IF($B73="","",INDIRECT("aux_sheet_RRS!AH"&amp;1+MATCH(aux_sheet_RRS!$E72,aux_sheet_RRS!$D$2:$D$202,0)))</f>
        <v/>
      </c>
      <c r="AA73" s="90" t="str">
        <f ca="1">IF(Y73="","",INDIRECT("aux_sheet_RRS!AI"&amp;1+MATCH(aux_sheet_RRS!$E72,aux_sheet_RRS!$D$2:$D$202,0)))</f>
        <v/>
      </c>
      <c r="AB73" s="88" t="str">
        <f ca="1">IF($B73="","",INDIRECT("aux_sheet_RRS!AJ"&amp;1+MATCH(aux_sheet_RRS!$E72,aux_sheet_RRS!$D$2:$D$202,0)))</f>
        <v/>
      </c>
      <c r="AC73" s="89" t="str">
        <f ca="1">IF($B73="","",INDIRECT("aux_sheet_RRS!AK"&amp;1+MATCH(aux_sheet_RRS!$E72,aux_sheet_RRS!$D$2:$D$202,0)))</f>
        <v/>
      </c>
      <c r="AD73" s="90" t="str">
        <f ca="1">IF(AB73="","",INDIRECT("aux_sheet_RRS!AL"&amp;1+MATCH(aux_sheet_RRS!$E72,aux_sheet_RRS!$D$2:$D$202,0)))</f>
        <v/>
      </c>
      <c r="AE73" s="88" t="str">
        <f ca="1">IF($B73="","",INDIRECT("aux_sheet_RRS!AM"&amp;1+MATCH(aux_sheet_RRS!$E72,aux_sheet_RRS!$D$2:$D$202,0)))</f>
        <v/>
      </c>
      <c r="AF73" s="89" t="str">
        <f ca="1">IF($B73="","",INDIRECT("aux_sheet_RRS!AN"&amp;1+MATCH(aux_sheet_RRS!$E72,aux_sheet_RRS!$D$2:$D$202,0)))</f>
        <v/>
      </c>
      <c r="AG73" s="90" t="str">
        <f ca="1">IF(AE73="","",INDIRECT("aux_sheet_RRS!AO"&amp;1+MATCH(aux_sheet_RRS!$E72,aux_sheet_RRS!$D$2:$D$202,0)))</f>
        <v/>
      </c>
      <c r="AH73" s="14" t="str">
        <f t="shared" ca="1" si="3"/>
        <v/>
      </c>
      <c r="AI73" t="str">
        <f t="shared" ca="1" si="4"/>
        <v/>
      </c>
      <c r="AJ73" t="str">
        <f t="shared" ca="1" si="5"/>
        <v/>
      </c>
    </row>
    <row r="74" spans="1:36" x14ac:dyDescent="0.35">
      <c r="A74" s="2" t="str">
        <f>IF(ISBLANK(Input!A73),"",ROUNDDOWN(aux_sheet_RRS!E73,0))</f>
        <v/>
      </c>
      <c r="B74" s="2" t="str">
        <f ca="1">IF(ISBLANK(Input!A73),"",INDIRECT("Input!A"&amp;1+MATCH(aux_sheet_RRS!$E73,aux_sheet_RRS!$D$2:$D$202,0)))</f>
        <v/>
      </c>
      <c r="C74" s="2" t="str">
        <f ca="1">IF(ISBLANK(Input!B73),"",INDIRECT("Input!B"&amp;1+MATCH(aux_sheet_RRS!$E73,aux_sheet_RRS!$D$2:$D$202,0)))</f>
        <v/>
      </c>
      <c r="D74" s="2" t="str">
        <f ca="1">IF(ISBLANK(Input!C73),"",INDIRECT("Input!C"&amp;1+MATCH(aux_sheet_RRS!$E73,aux_sheet_RRS!$D$2:$D$202,0)))</f>
        <v/>
      </c>
      <c r="E74" s="2" t="str">
        <f ca="1">IF(ISBLANK(Input!D73),"",INDIRECT("Input!D"&amp;1+MATCH(aux_sheet_RRS!$E73,aux_sheet_RRS!$D$2:$D$202,0)))</f>
        <v/>
      </c>
      <c r="F74" s="11" t="str">
        <f ca="1">INDIRECT("Input!H"&amp;1+MATCH(aux_sheet_RRS!$E73,aux_sheet_RRS!$D$2:$D$202,0))</f>
        <v xml:space="preserve"> </v>
      </c>
      <c r="G74" s="88" t="str">
        <f ca="1">IF($B74="","",INDIRECT("aux_sheet_RRS!O"&amp;1+MATCH(aux_sheet_RRS!$E73,aux_sheet_RRS!$D$2:$D$202,0)))</f>
        <v/>
      </c>
      <c r="H74" s="89" t="str">
        <f ca="1">IF($B74="","",INDIRECT("aux_sheet_RRS!P"&amp;1+MATCH(aux_sheet_RRS!$E73,aux_sheet_RRS!$D$2:$D$202,0)))</f>
        <v/>
      </c>
      <c r="I74" s="90" t="str">
        <f ca="1">IF(G74="","",ROUNDDOWN(INDIRECT("aux_sheet_RRS!Q"&amp;1+MATCH(aux_sheet_RRS!$E73,aux_sheet_RRS!$D$2:$D$202,0)),0))</f>
        <v/>
      </c>
      <c r="J74" s="106" t="str">
        <f ca="1">IF($B74="","",INDIRECT("aux_sheet_RRS!R"&amp;1+MATCH(aux_sheet_RRS!$E73,aux_sheet_RRS!$D$2:$D$202,0)))</f>
        <v/>
      </c>
      <c r="K74" s="89" t="str">
        <f ca="1">IF($B74="","",INDIRECT("aux_sheet_RRS!S"&amp;1+MATCH(aux_sheet_RRS!$E73,aux_sheet_RRS!$D$2:$D$202,0)))</f>
        <v/>
      </c>
      <c r="L74" s="90" t="str">
        <f ca="1">IF(J74="","",ROUNDDOWN(INDIRECT("aux_sheet_RRS!T"&amp;1+MATCH(aux_sheet_RRS!$E73,aux_sheet_RRS!$D$2:$D$202,0)),0))</f>
        <v/>
      </c>
      <c r="M74" s="106" t="str">
        <f ca="1">IF($B74="","",INDIRECT("aux_sheet_RRS!U"&amp;1+MATCH(aux_sheet_RRS!$E73,aux_sheet_RRS!$D$2:$D$202,0)))</f>
        <v/>
      </c>
      <c r="N74" s="89" t="str">
        <f ca="1">IF($B74="","",INDIRECT("aux_sheet_RRS!V"&amp;1+MATCH(aux_sheet_RRS!$E73,aux_sheet_RRS!$D$2:$D$202,0)))</f>
        <v/>
      </c>
      <c r="O74" s="90" t="str">
        <f ca="1">IF(M74="","",ROUNDDOWN(INDIRECT("aux_sheet_RRS!W"&amp;1+MATCH(aux_sheet_RRS!$E73,aux_sheet_RRS!$D$2:$D$202,0)),0))</f>
        <v/>
      </c>
      <c r="P74" s="106" t="str">
        <f ca="1">IF($B74="","",INDIRECT("aux_sheet_RRS!X"&amp;1+MATCH(aux_sheet_RRS!$E73,aux_sheet_RRS!$D$2:$D$202,0)))</f>
        <v/>
      </c>
      <c r="Q74" s="89" t="str">
        <f ca="1">IF($B74="","",INDIRECT("aux_sheet_RRS!Y"&amp;1+MATCH(aux_sheet_RRS!$E73,aux_sheet_RRS!$D$2:$D$202,0)))</f>
        <v/>
      </c>
      <c r="R74" s="90" t="str">
        <f ca="1">IF(P74="","",INDIRECT("aux_sheet_RRS!Z"&amp;1+MATCH(aux_sheet_RRS!$E73,aux_sheet_RRS!$D$2:$D$202,0)))</f>
        <v/>
      </c>
      <c r="S74" s="106" t="str">
        <f ca="1">IF($B74="","",INDIRECT("aux_sheet_RRS!AA"&amp;1+MATCH(aux_sheet_RRS!$E73,aux_sheet_RRS!$D$2:$D$202,0)))</f>
        <v/>
      </c>
      <c r="T74" s="89" t="str">
        <f ca="1">IF($B74="","",INDIRECT("aux_sheet_RRS!AB"&amp;1+MATCH(aux_sheet_RRS!$E73,aux_sheet_RRS!$D$2:$D$202,0)))</f>
        <v/>
      </c>
      <c r="U74" s="90" t="str">
        <f ca="1">IF(S74="","",INDIRECT("aux_sheet_RRS!AC"&amp;1+MATCH(aux_sheet_RRS!$E73,aux_sheet_RRS!$D$2:$D$202,0)))</f>
        <v/>
      </c>
      <c r="V74" s="106" t="str">
        <f ca="1">IF($B74="","",INDIRECT("aux_sheet_RRS!AD"&amp;1+MATCH(aux_sheet_RRS!$E73,aux_sheet_RRS!$D$2:$D$202,0)))</f>
        <v/>
      </c>
      <c r="W74" s="89" t="str">
        <f ca="1">IF($B74="","",INDIRECT("aux_sheet_RRS!AE"&amp;1+MATCH(aux_sheet_RRS!$E73,aux_sheet_RRS!$D$2:$D$202,0)))</f>
        <v/>
      </c>
      <c r="X74" s="90" t="str">
        <f ca="1">IF(V74="","",INDIRECT("aux_sheet_RRS!AF"&amp;1+MATCH(aux_sheet_RRS!$E73,aux_sheet_RRS!$D$2:$D$202,0)))</f>
        <v/>
      </c>
      <c r="Y74" s="106" t="str">
        <f ca="1">IF($B74="","",INDIRECT("aux_sheet_RRS!AG"&amp;1+MATCH(aux_sheet_RRS!$E73,aux_sheet_RRS!$D$2:$D$202,0)))</f>
        <v/>
      </c>
      <c r="Z74" s="89" t="str">
        <f ca="1">IF($B74="","",INDIRECT("aux_sheet_RRS!AH"&amp;1+MATCH(aux_sheet_RRS!$E73,aux_sheet_RRS!$D$2:$D$202,0)))</f>
        <v/>
      </c>
      <c r="AA74" s="90" t="str">
        <f ca="1">IF(Y74="","",INDIRECT("aux_sheet_RRS!AI"&amp;1+MATCH(aux_sheet_RRS!$E73,aux_sheet_RRS!$D$2:$D$202,0)))</f>
        <v/>
      </c>
      <c r="AB74" s="88" t="str">
        <f ca="1">IF($B74="","",INDIRECT("aux_sheet_RRS!AJ"&amp;1+MATCH(aux_sheet_RRS!$E73,aux_sheet_RRS!$D$2:$D$202,0)))</f>
        <v/>
      </c>
      <c r="AC74" s="89" t="str">
        <f ca="1">IF($B74="","",INDIRECT("aux_sheet_RRS!AK"&amp;1+MATCH(aux_sheet_RRS!$E73,aux_sheet_RRS!$D$2:$D$202,0)))</f>
        <v/>
      </c>
      <c r="AD74" s="90" t="str">
        <f ca="1">IF(AB74="","",INDIRECT("aux_sheet_RRS!AL"&amp;1+MATCH(aux_sheet_RRS!$E73,aux_sheet_RRS!$D$2:$D$202,0)))</f>
        <v/>
      </c>
      <c r="AE74" s="88" t="str">
        <f ca="1">IF($B74="","",INDIRECT("aux_sheet_RRS!AM"&amp;1+MATCH(aux_sheet_RRS!$E73,aux_sheet_RRS!$D$2:$D$202,0)))</f>
        <v/>
      </c>
      <c r="AF74" s="89" t="str">
        <f ca="1">IF($B74="","",INDIRECT("aux_sheet_RRS!AN"&amp;1+MATCH(aux_sheet_RRS!$E73,aux_sheet_RRS!$D$2:$D$202,0)))</f>
        <v/>
      </c>
      <c r="AG74" s="90" t="str">
        <f ca="1">IF(AE74="","",INDIRECT("aux_sheet_RRS!AO"&amp;1+MATCH(aux_sheet_RRS!$E73,aux_sheet_RRS!$D$2:$D$202,0)))</f>
        <v/>
      </c>
      <c r="AH74" s="14" t="str">
        <f t="shared" ca="1" si="3"/>
        <v/>
      </c>
      <c r="AI74" t="str">
        <f t="shared" ca="1" si="4"/>
        <v/>
      </c>
      <c r="AJ74" t="str">
        <f t="shared" ca="1" si="5"/>
        <v/>
      </c>
    </row>
    <row r="75" spans="1:36" x14ac:dyDescent="0.35">
      <c r="A75" s="2" t="str">
        <f>IF(ISBLANK(Input!A74),"",ROUNDDOWN(aux_sheet_RRS!E74,0))</f>
        <v/>
      </c>
      <c r="B75" s="2" t="str">
        <f ca="1">IF(ISBLANK(Input!A74),"",INDIRECT("Input!A"&amp;1+MATCH(aux_sheet_RRS!$E74,aux_sheet_RRS!$D$2:$D$202,0)))</f>
        <v/>
      </c>
      <c r="C75" s="2" t="str">
        <f ca="1">IF(ISBLANK(Input!B74),"",INDIRECT("Input!B"&amp;1+MATCH(aux_sheet_RRS!$E74,aux_sheet_RRS!$D$2:$D$202,0)))</f>
        <v/>
      </c>
      <c r="D75" s="2" t="str">
        <f ca="1">IF(ISBLANK(Input!C74),"",INDIRECT("Input!C"&amp;1+MATCH(aux_sheet_RRS!$E74,aux_sheet_RRS!$D$2:$D$202,0)))</f>
        <v/>
      </c>
      <c r="E75" s="2" t="str">
        <f ca="1">IF(ISBLANK(Input!D74),"",INDIRECT("Input!D"&amp;1+MATCH(aux_sheet_RRS!$E74,aux_sheet_RRS!$D$2:$D$202,0)))</f>
        <v/>
      </c>
      <c r="F75" s="11" t="str">
        <f ca="1">INDIRECT("Input!H"&amp;1+MATCH(aux_sheet_RRS!$E74,aux_sheet_RRS!$D$2:$D$202,0))</f>
        <v xml:space="preserve"> </v>
      </c>
      <c r="G75" s="88" t="str">
        <f ca="1">IF($B75="","",INDIRECT("aux_sheet_RRS!O"&amp;1+MATCH(aux_sheet_RRS!$E74,aux_sheet_RRS!$D$2:$D$202,0)))</f>
        <v/>
      </c>
      <c r="H75" s="89" t="str">
        <f ca="1">IF($B75="","",INDIRECT("aux_sheet_RRS!P"&amp;1+MATCH(aux_sheet_RRS!$E74,aux_sheet_RRS!$D$2:$D$202,0)))</f>
        <v/>
      </c>
      <c r="I75" s="90" t="str">
        <f ca="1">IF(G75="","",ROUNDDOWN(INDIRECT("aux_sheet_RRS!Q"&amp;1+MATCH(aux_sheet_RRS!$E74,aux_sheet_RRS!$D$2:$D$202,0)),0))</f>
        <v/>
      </c>
      <c r="J75" s="106" t="str">
        <f ca="1">IF($B75="","",INDIRECT("aux_sheet_RRS!R"&amp;1+MATCH(aux_sheet_RRS!$E74,aux_sheet_RRS!$D$2:$D$202,0)))</f>
        <v/>
      </c>
      <c r="K75" s="89" t="str">
        <f ca="1">IF($B75="","",INDIRECT("aux_sheet_RRS!S"&amp;1+MATCH(aux_sheet_RRS!$E74,aux_sheet_RRS!$D$2:$D$202,0)))</f>
        <v/>
      </c>
      <c r="L75" s="90" t="str">
        <f ca="1">IF(J75="","",ROUNDDOWN(INDIRECT("aux_sheet_RRS!T"&amp;1+MATCH(aux_sheet_RRS!$E74,aux_sheet_RRS!$D$2:$D$202,0)),0))</f>
        <v/>
      </c>
      <c r="M75" s="106" t="str">
        <f ca="1">IF($B75="","",INDIRECT("aux_sheet_RRS!U"&amp;1+MATCH(aux_sheet_RRS!$E74,aux_sheet_RRS!$D$2:$D$202,0)))</f>
        <v/>
      </c>
      <c r="N75" s="89" t="str">
        <f ca="1">IF($B75="","",INDIRECT("aux_sheet_RRS!V"&amp;1+MATCH(aux_sheet_RRS!$E74,aux_sheet_RRS!$D$2:$D$202,0)))</f>
        <v/>
      </c>
      <c r="O75" s="90" t="str">
        <f ca="1">IF(M75="","",ROUNDDOWN(INDIRECT("aux_sheet_RRS!W"&amp;1+MATCH(aux_sheet_RRS!$E74,aux_sheet_RRS!$D$2:$D$202,0)),0))</f>
        <v/>
      </c>
      <c r="P75" s="106" t="str">
        <f ca="1">IF($B75="","",INDIRECT("aux_sheet_RRS!X"&amp;1+MATCH(aux_sheet_RRS!$E74,aux_sheet_RRS!$D$2:$D$202,0)))</f>
        <v/>
      </c>
      <c r="Q75" s="89" t="str">
        <f ca="1">IF($B75="","",INDIRECT("aux_sheet_RRS!Y"&amp;1+MATCH(aux_sheet_RRS!$E74,aux_sheet_RRS!$D$2:$D$202,0)))</f>
        <v/>
      </c>
      <c r="R75" s="90" t="str">
        <f ca="1">IF(P75="","",INDIRECT("aux_sheet_RRS!Z"&amp;1+MATCH(aux_sheet_RRS!$E74,aux_sheet_RRS!$D$2:$D$202,0)))</f>
        <v/>
      </c>
      <c r="S75" s="106" t="str">
        <f ca="1">IF($B75="","",INDIRECT("aux_sheet_RRS!AA"&amp;1+MATCH(aux_sheet_RRS!$E74,aux_sheet_RRS!$D$2:$D$202,0)))</f>
        <v/>
      </c>
      <c r="T75" s="89" t="str">
        <f ca="1">IF($B75="","",INDIRECT("aux_sheet_RRS!AB"&amp;1+MATCH(aux_sheet_RRS!$E74,aux_sheet_RRS!$D$2:$D$202,0)))</f>
        <v/>
      </c>
      <c r="U75" s="90" t="str">
        <f ca="1">IF(S75="","",INDIRECT("aux_sheet_RRS!AC"&amp;1+MATCH(aux_sheet_RRS!$E74,aux_sheet_RRS!$D$2:$D$202,0)))</f>
        <v/>
      </c>
      <c r="V75" s="106" t="str">
        <f ca="1">IF($B75="","",INDIRECT("aux_sheet_RRS!AD"&amp;1+MATCH(aux_sheet_RRS!$E74,aux_sheet_RRS!$D$2:$D$202,0)))</f>
        <v/>
      </c>
      <c r="W75" s="89" t="str">
        <f ca="1">IF($B75="","",INDIRECT("aux_sheet_RRS!AE"&amp;1+MATCH(aux_sheet_RRS!$E74,aux_sheet_RRS!$D$2:$D$202,0)))</f>
        <v/>
      </c>
      <c r="X75" s="90" t="str">
        <f ca="1">IF(V75="","",INDIRECT("aux_sheet_RRS!AF"&amp;1+MATCH(aux_sheet_RRS!$E74,aux_sheet_RRS!$D$2:$D$202,0)))</f>
        <v/>
      </c>
      <c r="Y75" s="106" t="str">
        <f ca="1">IF($B75="","",INDIRECT("aux_sheet_RRS!AG"&amp;1+MATCH(aux_sheet_RRS!$E74,aux_sheet_RRS!$D$2:$D$202,0)))</f>
        <v/>
      </c>
      <c r="Z75" s="89" t="str">
        <f ca="1">IF($B75="","",INDIRECT("aux_sheet_RRS!AH"&amp;1+MATCH(aux_sheet_RRS!$E74,aux_sheet_RRS!$D$2:$D$202,0)))</f>
        <v/>
      </c>
      <c r="AA75" s="90" t="str">
        <f ca="1">IF(Y75="","",INDIRECT("aux_sheet_RRS!AI"&amp;1+MATCH(aux_sheet_RRS!$E74,aux_sheet_RRS!$D$2:$D$202,0)))</f>
        <v/>
      </c>
      <c r="AB75" s="88" t="str">
        <f ca="1">IF($B75="","",INDIRECT("aux_sheet_RRS!AJ"&amp;1+MATCH(aux_sheet_RRS!$E74,aux_sheet_RRS!$D$2:$D$202,0)))</f>
        <v/>
      </c>
      <c r="AC75" s="89" t="str">
        <f ca="1">IF($B75="","",INDIRECT("aux_sheet_RRS!AK"&amp;1+MATCH(aux_sheet_RRS!$E74,aux_sheet_RRS!$D$2:$D$202,0)))</f>
        <v/>
      </c>
      <c r="AD75" s="90" t="str">
        <f ca="1">IF(AB75="","",INDIRECT("aux_sheet_RRS!AL"&amp;1+MATCH(aux_sheet_RRS!$E74,aux_sheet_RRS!$D$2:$D$202,0)))</f>
        <v/>
      </c>
      <c r="AE75" s="88" t="str">
        <f ca="1">IF($B75="","",INDIRECT("aux_sheet_RRS!AM"&amp;1+MATCH(aux_sheet_RRS!$E74,aux_sheet_RRS!$D$2:$D$202,0)))</f>
        <v/>
      </c>
      <c r="AF75" s="89" t="str">
        <f ca="1">IF($B75="","",INDIRECT("aux_sheet_RRS!AN"&amp;1+MATCH(aux_sheet_RRS!$E74,aux_sheet_RRS!$D$2:$D$202,0)))</f>
        <v/>
      </c>
      <c r="AG75" s="90" t="str">
        <f ca="1">IF(AE75="","",INDIRECT("aux_sheet_RRS!AO"&amp;1+MATCH(aux_sheet_RRS!$E74,aux_sheet_RRS!$D$2:$D$202,0)))</f>
        <v/>
      </c>
      <c r="AH75" s="14" t="str">
        <f t="shared" ca="1" si="3"/>
        <v/>
      </c>
      <c r="AI75" t="str">
        <f t="shared" ca="1" si="4"/>
        <v/>
      </c>
      <c r="AJ75" t="str">
        <f t="shared" ca="1" si="5"/>
        <v/>
      </c>
    </row>
    <row r="76" spans="1:36" x14ac:dyDescent="0.35">
      <c r="A76" s="2" t="str">
        <f>IF(ISBLANK(Input!A75),"",ROUNDDOWN(aux_sheet_RRS!E75,0))</f>
        <v/>
      </c>
      <c r="B76" s="2" t="str">
        <f ca="1">IF(ISBLANK(Input!A75),"",INDIRECT("Input!A"&amp;1+MATCH(aux_sheet_RRS!$E75,aux_sheet_RRS!$D$2:$D$202,0)))</f>
        <v/>
      </c>
      <c r="C76" s="2" t="str">
        <f ca="1">IF(ISBLANK(Input!B75),"",INDIRECT("Input!B"&amp;1+MATCH(aux_sheet_RRS!$E75,aux_sheet_RRS!$D$2:$D$202,0)))</f>
        <v/>
      </c>
      <c r="D76" s="2" t="str">
        <f ca="1">IF(ISBLANK(Input!C75),"",INDIRECT("Input!C"&amp;1+MATCH(aux_sheet_RRS!$E75,aux_sheet_RRS!$D$2:$D$202,0)))</f>
        <v/>
      </c>
      <c r="E76" s="2" t="str">
        <f ca="1">IF(ISBLANK(Input!D75),"",INDIRECT("Input!D"&amp;1+MATCH(aux_sheet_RRS!$E75,aux_sheet_RRS!$D$2:$D$202,0)))</f>
        <v/>
      </c>
      <c r="F76" s="11" t="str">
        <f ca="1">INDIRECT("Input!H"&amp;1+MATCH(aux_sheet_RRS!$E75,aux_sheet_RRS!$D$2:$D$202,0))</f>
        <v xml:space="preserve"> </v>
      </c>
      <c r="G76" s="88" t="str">
        <f ca="1">IF($B76="","",INDIRECT("aux_sheet_RRS!O"&amp;1+MATCH(aux_sheet_RRS!$E75,aux_sheet_RRS!$D$2:$D$202,0)))</f>
        <v/>
      </c>
      <c r="H76" s="89" t="str">
        <f ca="1">IF($B76="","",INDIRECT("aux_sheet_RRS!P"&amp;1+MATCH(aux_sheet_RRS!$E75,aux_sheet_RRS!$D$2:$D$202,0)))</f>
        <v/>
      </c>
      <c r="I76" s="90" t="str">
        <f ca="1">IF(G76="","",ROUNDDOWN(INDIRECT("aux_sheet_RRS!Q"&amp;1+MATCH(aux_sheet_RRS!$E75,aux_sheet_RRS!$D$2:$D$202,0)),0))</f>
        <v/>
      </c>
      <c r="J76" s="106" t="str">
        <f ca="1">IF($B76="","",INDIRECT("aux_sheet_RRS!R"&amp;1+MATCH(aux_sheet_RRS!$E75,aux_sheet_RRS!$D$2:$D$202,0)))</f>
        <v/>
      </c>
      <c r="K76" s="89" t="str">
        <f ca="1">IF($B76="","",INDIRECT("aux_sheet_RRS!S"&amp;1+MATCH(aux_sheet_RRS!$E75,aux_sheet_RRS!$D$2:$D$202,0)))</f>
        <v/>
      </c>
      <c r="L76" s="90" t="str">
        <f ca="1">IF(J76="","",ROUNDDOWN(INDIRECT("aux_sheet_RRS!T"&amp;1+MATCH(aux_sheet_RRS!$E75,aux_sheet_RRS!$D$2:$D$202,0)),0))</f>
        <v/>
      </c>
      <c r="M76" s="106" t="str">
        <f ca="1">IF($B76="","",INDIRECT("aux_sheet_RRS!U"&amp;1+MATCH(aux_sheet_RRS!$E75,aux_sheet_RRS!$D$2:$D$202,0)))</f>
        <v/>
      </c>
      <c r="N76" s="89" t="str">
        <f ca="1">IF($B76="","",INDIRECT("aux_sheet_RRS!V"&amp;1+MATCH(aux_sheet_RRS!$E75,aux_sheet_RRS!$D$2:$D$202,0)))</f>
        <v/>
      </c>
      <c r="O76" s="90" t="str">
        <f ca="1">IF(M76="","",ROUNDDOWN(INDIRECT("aux_sheet_RRS!W"&amp;1+MATCH(aux_sheet_RRS!$E75,aux_sheet_RRS!$D$2:$D$202,0)),0))</f>
        <v/>
      </c>
      <c r="P76" s="106" t="str">
        <f ca="1">IF($B76="","",INDIRECT("aux_sheet_RRS!X"&amp;1+MATCH(aux_sheet_RRS!$E75,aux_sheet_RRS!$D$2:$D$202,0)))</f>
        <v/>
      </c>
      <c r="Q76" s="89" t="str">
        <f ca="1">IF($B76="","",INDIRECT("aux_sheet_RRS!Y"&amp;1+MATCH(aux_sheet_RRS!$E75,aux_sheet_RRS!$D$2:$D$202,0)))</f>
        <v/>
      </c>
      <c r="R76" s="90" t="str">
        <f ca="1">IF(P76="","",INDIRECT("aux_sheet_RRS!Z"&amp;1+MATCH(aux_sheet_RRS!$E75,aux_sheet_RRS!$D$2:$D$202,0)))</f>
        <v/>
      </c>
      <c r="S76" s="106" t="str">
        <f ca="1">IF($B76="","",INDIRECT("aux_sheet_RRS!AA"&amp;1+MATCH(aux_sheet_RRS!$E75,aux_sheet_RRS!$D$2:$D$202,0)))</f>
        <v/>
      </c>
      <c r="T76" s="89" t="str">
        <f ca="1">IF($B76="","",INDIRECT("aux_sheet_RRS!AB"&amp;1+MATCH(aux_sheet_RRS!$E75,aux_sheet_RRS!$D$2:$D$202,0)))</f>
        <v/>
      </c>
      <c r="U76" s="90" t="str">
        <f ca="1">IF(S76="","",INDIRECT("aux_sheet_RRS!AC"&amp;1+MATCH(aux_sheet_RRS!$E75,aux_sheet_RRS!$D$2:$D$202,0)))</f>
        <v/>
      </c>
      <c r="V76" s="106" t="str">
        <f ca="1">IF($B76="","",INDIRECT("aux_sheet_RRS!AD"&amp;1+MATCH(aux_sheet_RRS!$E75,aux_sheet_RRS!$D$2:$D$202,0)))</f>
        <v/>
      </c>
      <c r="W76" s="89" t="str">
        <f ca="1">IF($B76="","",INDIRECT("aux_sheet_RRS!AE"&amp;1+MATCH(aux_sheet_RRS!$E75,aux_sheet_RRS!$D$2:$D$202,0)))</f>
        <v/>
      </c>
      <c r="X76" s="90" t="str">
        <f ca="1">IF(V76="","",INDIRECT("aux_sheet_RRS!AF"&amp;1+MATCH(aux_sheet_RRS!$E75,aux_sheet_RRS!$D$2:$D$202,0)))</f>
        <v/>
      </c>
      <c r="Y76" s="106" t="str">
        <f ca="1">IF($B76="","",INDIRECT("aux_sheet_RRS!AG"&amp;1+MATCH(aux_sheet_RRS!$E75,aux_sheet_RRS!$D$2:$D$202,0)))</f>
        <v/>
      </c>
      <c r="Z76" s="89" t="str">
        <f ca="1">IF($B76="","",INDIRECT("aux_sheet_RRS!AH"&amp;1+MATCH(aux_sheet_RRS!$E75,aux_sheet_RRS!$D$2:$D$202,0)))</f>
        <v/>
      </c>
      <c r="AA76" s="90" t="str">
        <f ca="1">IF(Y76="","",INDIRECT("aux_sheet_RRS!AI"&amp;1+MATCH(aux_sheet_RRS!$E75,aux_sheet_RRS!$D$2:$D$202,0)))</f>
        <v/>
      </c>
      <c r="AB76" s="88" t="str">
        <f ca="1">IF($B76="","",INDIRECT("aux_sheet_RRS!AJ"&amp;1+MATCH(aux_sheet_RRS!$E75,aux_sheet_RRS!$D$2:$D$202,0)))</f>
        <v/>
      </c>
      <c r="AC76" s="89" t="str">
        <f ca="1">IF($B76="","",INDIRECT("aux_sheet_RRS!AK"&amp;1+MATCH(aux_sheet_RRS!$E75,aux_sheet_RRS!$D$2:$D$202,0)))</f>
        <v/>
      </c>
      <c r="AD76" s="90" t="str">
        <f ca="1">IF(AB76="","",INDIRECT("aux_sheet_RRS!AL"&amp;1+MATCH(aux_sheet_RRS!$E75,aux_sheet_RRS!$D$2:$D$202,0)))</f>
        <v/>
      </c>
      <c r="AE76" s="88" t="str">
        <f ca="1">IF($B76="","",INDIRECT("aux_sheet_RRS!AM"&amp;1+MATCH(aux_sheet_RRS!$E75,aux_sheet_RRS!$D$2:$D$202,0)))</f>
        <v/>
      </c>
      <c r="AF76" s="89" t="str">
        <f ca="1">IF($B76="","",INDIRECT("aux_sheet_RRS!AN"&amp;1+MATCH(aux_sheet_RRS!$E75,aux_sheet_RRS!$D$2:$D$202,0)))</f>
        <v/>
      </c>
      <c r="AG76" s="90" t="str">
        <f ca="1">IF(AE76="","",INDIRECT("aux_sheet_RRS!AO"&amp;1+MATCH(aux_sheet_RRS!$E75,aux_sheet_RRS!$D$2:$D$202,0)))</f>
        <v/>
      </c>
      <c r="AH76" s="14" t="str">
        <f t="shared" ca="1" si="3"/>
        <v/>
      </c>
      <c r="AI76" t="str">
        <f t="shared" ca="1" si="4"/>
        <v/>
      </c>
      <c r="AJ76" t="str">
        <f t="shared" ca="1" si="5"/>
        <v/>
      </c>
    </row>
    <row r="77" spans="1:36" x14ac:dyDescent="0.35">
      <c r="A77" s="2" t="str">
        <f>IF(ISBLANK(Input!A76),"",ROUNDDOWN(aux_sheet_RRS!E76,0))</f>
        <v/>
      </c>
      <c r="B77" s="2" t="str">
        <f ca="1">IF(ISBLANK(Input!A76),"",INDIRECT("Input!A"&amp;1+MATCH(aux_sheet_RRS!$E76,aux_sheet_RRS!$D$2:$D$202,0)))</f>
        <v/>
      </c>
      <c r="C77" s="2" t="str">
        <f ca="1">IF(ISBLANK(Input!B76),"",INDIRECT("Input!B"&amp;1+MATCH(aux_sheet_RRS!$E76,aux_sheet_RRS!$D$2:$D$202,0)))</f>
        <v/>
      </c>
      <c r="D77" s="2" t="str">
        <f ca="1">IF(ISBLANK(Input!C76),"",INDIRECT("Input!C"&amp;1+MATCH(aux_sheet_RRS!$E76,aux_sheet_RRS!$D$2:$D$202,0)))</f>
        <v/>
      </c>
      <c r="E77" s="2" t="str">
        <f ca="1">IF(ISBLANK(Input!D76),"",INDIRECT("Input!D"&amp;1+MATCH(aux_sheet_RRS!$E76,aux_sheet_RRS!$D$2:$D$202,0)))</f>
        <v/>
      </c>
      <c r="F77" s="11" t="str">
        <f ca="1">INDIRECT("Input!H"&amp;1+MATCH(aux_sheet_RRS!$E76,aux_sheet_RRS!$D$2:$D$202,0))</f>
        <v xml:space="preserve"> </v>
      </c>
      <c r="G77" s="88" t="str">
        <f ca="1">IF($B77="","",INDIRECT("aux_sheet_RRS!O"&amp;1+MATCH(aux_sheet_RRS!$E76,aux_sheet_RRS!$D$2:$D$202,0)))</f>
        <v/>
      </c>
      <c r="H77" s="89" t="str">
        <f ca="1">IF($B77="","",INDIRECT("aux_sheet_RRS!P"&amp;1+MATCH(aux_sheet_RRS!$E76,aux_sheet_RRS!$D$2:$D$202,0)))</f>
        <v/>
      </c>
      <c r="I77" s="90" t="str">
        <f ca="1">IF(G77="","",ROUNDDOWN(INDIRECT("aux_sheet_RRS!Q"&amp;1+MATCH(aux_sheet_RRS!$E76,aux_sheet_RRS!$D$2:$D$202,0)),0))</f>
        <v/>
      </c>
      <c r="J77" s="106" t="str">
        <f ca="1">IF($B77="","",INDIRECT("aux_sheet_RRS!R"&amp;1+MATCH(aux_sheet_RRS!$E76,aux_sheet_RRS!$D$2:$D$202,0)))</f>
        <v/>
      </c>
      <c r="K77" s="89" t="str">
        <f ca="1">IF($B77="","",INDIRECT("aux_sheet_RRS!S"&amp;1+MATCH(aux_sheet_RRS!$E76,aux_sheet_RRS!$D$2:$D$202,0)))</f>
        <v/>
      </c>
      <c r="L77" s="90" t="str">
        <f ca="1">IF(J77="","",ROUNDDOWN(INDIRECT("aux_sheet_RRS!T"&amp;1+MATCH(aux_sheet_RRS!$E76,aux_sheet_RRS!$D$2:$D$202,0)),0))</f>
        <v/>
      </c>
      <c r="M77" s="106" t="str">
        <f ca="1">IF($B77="","",INDIRECT("aux_sheet_RRS!U"&amp;1+MATCH(aux_sheet_RRS!$E76,aux_sheet_RRS!$D$2:$D$202,0)))</f>
        <v/>
      </c>
      <c r="N77" s="89" t="str">
        <f ca="1">IF($B77="","",INDIRECT("aux_sheet_RRS!V"&amp;1+MATCH(aux_sheet_RRS!$E76,aux_sheet_RRS!$D$2:$D$202,0)))</f>
        <v/>
      </c>
      <c r="O77" s="90" t="str">
        <f ca="1">IF(M77="","",ROUNDDOWN(INDIRECT("aux_sheet_RRS!W"&amp;1+MATCH(aux_sheet_RRS!$E76,aux_sheet_RRS!$D$2:$D$202,0)),0))</f>
        <v/>
      </c>
      <c r="P77" s="106" t="str">
        <f ca="1">IF($B77="","",INDIRECT("aux_sheet_RRS!X"&amp;1+MATCH(aux_sheet_RRS!$E76,aux_sheet_RRS!$D$2:$D$202,0)))</f>
        <v/>
      </c>
      <c r="Q77" s="89" t="str">
        <f ca="1">IF($B77="","",INDIRECT("aux_sheet_RRS!Y"&amp;1+MATCH(aux_sheet_RRS!$E76,aux_sheet_RRS!$D$2:$D$202,0)))</f>
        <v/>
      </c>
      <c r="R77" s="90" t="str">
        <f ca="1">IF(P77="","",INDIRECT("aux_sheet_RRS!Z"&amp;1+MATCH(aux_sheet_RRS!$E76,aux_sheet_RRS!$D$2:$D$202,0)))</f>
        <v/>
      </c>
      <c r="S77" s="106" t="str">
        <f ca="1">IF($B77="","",INDIRECT("aux_sheet_RRS!AA"&amp;1+MATCH(aux_sheet_RRS!$E76,aux_sheet_RRS!$D$2:$D$202,0)))</f>
        <v/>
      </c>
      <c r="T77" s="89" t="str">
        <f ca="1">IF($B77="","",INDIRECT("aux_sheet_RRS!AB"&amp;1+MATCH(aux_sheet_RRS!$E76,aux_sheet_RRS!$D$2:$D$202,0)))</f>
        <v/>
      </c>
      <c r="U77" s="90" t="str">
        <f ca="1">IF(S77="","",INDIRECT("aux_sheet_RRS!AC"&amp;1+MATCH(aux_sheet_RRS!$E76,aux_sheet_RRS!$D$2:$D$202,0)))</f>
        <v/>
      </c>
      <c r="V77" s="106" t="str">
        <f ca="1">IF($B77="","",INDIRECT("aux_sheet_RRS!AD"&amp;1+MATCH(aux_sheet_RRS!$E76,aux_sheet_RRS!$D$2:$D$202,0)))</f>
        <v/>
      </c>
      <c r="W77" s="89" t="str">
        <f ca="1">IF($B77="","",INDIRECT("aux_sheet_RRS!AE"&amp;1+MATCH(aux_sheet_RRS!$E76,aux_sheet_RRS!$D$2:$D$202,0)))</f>
        <v/>
      </c>
      <c r="X77" s="90" t="str">
        <f ca="1">IF(V77="","",INDIRECT("aux_sheet_RRS!AF"&amp;1+MATCH(aux_sheet_RRS!$E76,aux_sheet_RRS!$D$2:$D$202,0)))</f>
        <v/>
      </c>
      <c r="Y77" s="106" t="str">
        <f ca="1">IF($B77="","",INDIRECT("aux_sheet_RRS!AG"&amp;1+MATCH(aux_sheet_RRS!$E76,aux_sheet_RRS!$D$2:$D$202,0)))</f>
        <v/>
      </c>
      <c r="Z77" s="89" t="str">
        <f ca="1">IF($B77="","",INDIRECT("aux_sheet_RRS!AH"&amp;1+MATCH(aux_sheet_RRS!$E76,aux_sheet_RRS!$D$2:$D$202,0)))</f>
        <v/>
      </c>
      <c r="AA77" s="90" t="str">
        <f ca="1">IF(Y77="","",INDIRECT("aux_sheet_RRS!AI"&amp;1+MATCH(aux_sheet_RRS!$E76,aux_sheet_RRS!$D$2:$D$202,0)))</f>
        <v/>
      </c>
      <c r="AB77" s="88" t="str">
        <f ca="1">IF($B77="","",INDIRECT("aux_sheet_RRS!AJ"&amp;1+MATCH(aux_sheet_RRS!$E76,aux_sheet_RRS!$D$2:$D$202,0)))</f>
        <v/>
      </c>
      <c r="AC77" s="89" t="str">
        <f ca="1">IF($B77="","",INDIRECT("aux_sheet_RRS!AK"&amp;1+MATCH(aux_sheet_RRS!$E76,aux_sheet_RRS!$D$2:$D$202,0)))</f>
        <v/>
      </c>
      <c r="AD77" s="90" t="str">
        <f ca="1">IF(AB77="","",INDIRECT("aux_sheet_RRS!AL"&amp;1+MATCH(aux_sheet_RRS!$E76,aux_sheet_RRS!$D$2:$D$202,0)))</f>
        <v/>
      </c>
      <c r="AE77" s="88" t="str">
        <f ca="1">IF($B77="","",INDIRECT("aux_sheet_RRS!AM"&amp;1+MATCH(aux_sheet_RRS!$E76,aux_sheet_RRS!$D$2:$D$202,0)))</f>
        <v/>
      </c>
      <c r="AF77" s="89" t="str">
        <f ca="1">IF($B77="","",INDIRECT("aux_sheet_RRS!AN"&amp;1+MATCH(aux_sheet_RRS!$E76,aux_sheet_RRS!$D$2:$D$202,0)))</f>
        <v/>
      </c>
      <c r="AG77" s="90" t="str">
        <f ca="1">IF(AE77="","",INDIRECT("aux_sheet_RRS!AO"&amp;1+MATCH(aux_sheet_RRS!$E76,aux_sheet_RRS!$D$2:$D$202,0)))</f>
        <v/>
      </c>
      <c r="AH77" s="14" t="str">
        <f t="shared" ref="AH77:AH140" ca="1" si="6">IF(B77&lt;&gt;"",F76-F77,"")</f>
        <v/>
      </c>
      <c r="AI77" t="str">
        <f t="shared" ref="AI77:AI140" ca="1" si="7">IF(B77&lt;&gt;"",ROUNDUP(10^((F76-F77)/500)*100-100,0),"")</f>
        <v/>
      </c>
      <c r="AJ77" t="str">
        <f t="shared" ref="AJ77:AJ140" ca="1" si="8">IF(B77&lt;&gt;"",ROUNDUP(10^((F76-F77)/500),2),"")</f>
        <v/>
      </c>
    </row>
    <row r="78" spans="1:36" x14ac:dyDescent="0.35">
      <c r="A78" s="2" t="str">
        <f>IF(ISBLANK(Input!A77),"",ROUNDDOWN(aux_sheet_RRS!E77,0))</f>
        <v/>
      </c>
      <c r="B78" s="2" t="str">
        <f ca="1">IF(ISBLANK(Input!A77),"",INDIRECT("Input!A"&amp;1+MATCH(aux_sheet_RRS!$E77,aux_sheet_RRS!$D$2:$D$202,0)))</f>
        <v/>
      </c>
      <c r="C78" s="2" t="str">
        <f ca="1">IF(ISBLANK(Input!B77),"",INDIRECT("Input!B"&amp;1+MATCH(aux_sheet_RRS!$E77,aux_sheet_RRS!$D$2:$D$202,0)))</f>
        <v/>
      </c>
      <c r="D78" s="2" t="str">
        <f ca="1">IF(ISBLANK(Input!C77),"",INDIRECT("Input!C"&amp;1+MATCH(aux_sheet_RRS!$E77,aux_sheet_RRS!$D$2:$D$202,0)))</f>
        <v/>
      </c>
      <c r="E78" s="2" t="str">
        <f ca="1">IF(ISBLANK(Input!D77),"",INDIRECT("Input!D"&amp;1+MATCH(aux_sheet_RRS!$E77,aux_sheet_RRS!$D$2:$D$202,0)))</f>
        <v/>
      </c>
      <c r="F78" s="11" t="str">
        <f ca="1">INDIRECT("Input!H"&amp;1+MATCH(aux_sheet_RRS!$E77,aux_sheet_RRS!$D$2:$D$202,0))</f>
        <v xml:space="preserve"> </v>
      </c>
      <c r="G78" s="88" t="str">
        <f ca="1">IF($B78="","",INDIRECT("aux_sheet_RRS!O"&amp;1+MATCH(aux_sheet_RRS!$E77,aux_sheet_RRS!$D$2:$D$202,0)))</f>
        <v/>
      </c>
      <c r="H78" s="89" t="str">
        <f ca="1">IF($B78="","",INDIRECT("aux_sheet_RRS!P"&amp;1+MATCH(aux_sheet_RRS!$E77,aux_sheet_RRS!$D$2:$D$202,0)))</f>
        <v/>
      </c>
      <c r="I78" s="90" t="str">
        <f ca="1">IF(G78="","",ROUNDDOWN(INDIRECT("aux_sheet_RRS!Q"&amp;1+MATCH(aux_sheet_RRS!$E77,aux_sheet_RRS!$D$2:$D$202,0)),0))</f>
        <v/>
      </c>
      <c r="J78" s="106" t="str">
        <f ca="1">IF($B78="","",INDIRECT("aux_sheet_RRS!R"&amp;1+MATCH(aux_sheet_RRS!$E77,aux_sheet_RRS!$D$2:$D$202,0)))</f>
        <v/>
      </c>
      <c r="K78" s="89" t="str">
        <f ca="1">IF($B78="","",INDIRECT("aux_sheet_RRS!S"&amp;1+MATCH(aux_sheet_RRS!$E77,aux_sheet_RRS!$D$2:$D$202,0)))</f>
        <v/>
      </c>
      <c r="L78" s="90" t="str">
        <f ca="1">IF(J78="","",ROUNDDOWN(INDIRECT("aux_sheet_RRS!T"&amp;1+MATCH(aux_sheet_RRS!$E77,aux_sheet_RRS!$D$2:$D$202,0)),0))</f>
        <v/>
      </c>
      <c r="M78" s="106" t="str">
        <f ca="1">IF($B78="","",INDIRECT("aux_sheet_RRS!U"&amp;1+MATCH(aux_sheet_RRS!$E77,aux_sheet_RRS!$D$2:$D$202,0)))</f>
        <v/>
      </c>
      <c r="N78" s="89" t="str">
        <f ca="1">IF($B78="","",INDIRECT("aux_sheet_RRS!V"&amp;1+MATCH(aux_sheet_RRS!$E77,aux_sheet_RRS!$D$2:$D$202,0)))</f>
        <v/>
      </c>
      <c r="O78" s="90" t="str">
        <f ca="1">IF(M78="","",ROUNDDOWN(INDIRECT("aux_sheet_RRS!W"&amp;1+MATCH(aux_sheet_RRS!$E77,aux_sheet_RRS!$D$2:$D$202,0)),0))</f>
        <v/>
      </c>
      <c r="P78" s="106" t="str">
        <f ca="1">IF($B78="","",INDIRECT("aux_sheet_RRS!X"&amp;1+MATCH(aux_sheet_RRS!$E77,aux_sheet_RRS!$D$2:$D$202,0)))</f>
        <v/>
      </c>
      <c r="Q78" s="89" t="str">
        <f ca="1">IF($B78="","",INDIRECT("aux_sheet_RRS!Y"&amp;1+MATCH(aux_sheet_RRS!$E77,aux_sheet_RRS!$D$2:$D$202,0)))</f>
        <v/>
      </c>
      <c r="R78" s="90" t="str">
        <f ca="1">IF(P78="","",INDIRECT("aux_sheet_RRS!Z"&amp;1+MATCH(aux_sheet_RRS!$E77,aux_sheet_RRS!$D$2:$D$202,0)))</f>
        <v/>
      </c>
      <c r="S78" s="106" t="str">
        <f ca="1">IF($B78="","",INDIRECT("aux_sheet_RRS!AA"&amp;1+MATCH(aux_sheet_RRS!$E77,aux_sheet_RRS!$D$2:$D$202,0)))</f>
        <v/>
      </c>
      <c r="T78" s="89" t="str">
        <f ca="1">IF($B78="","",INDIRECT("aux_sheet_RRS!AB"&amp;1+MATCH(aux_sheet_RRS!$E77,aux_sheet_RRS!$D$2:$D$202,0)))</f>
        <v/>
      </c>
      <c r="U78" s="90" t="str">
        <f ca="1">IF(S78="","",INDIRECT("aux_sheet_RRS!AC"&amp;1+MATCH(aux_sheet_RRS!$E77,aux_sheet_RRS!$D$2:$D$202,0)))</f>
        <v/>
      </c>
      <c r="V78" s="106" t="str">
        <f ca="1">IF($B78="","",INDIRECT("aux_sheet_RRS!AD"&amp;1+MATCH(aux_sheet_RRS!$E77,aux_sheet_RRS!$D$2:$D$202,0)))</f>
        <v/>
      </c>
      <c r="W78" s="89" t="str">
        <f ca="1">IF($B78="","",INDIRECT("aux_sheet_RRS!AE"&amp;1+MATCH(aux_sheet_RRS!$E77,aux_sheet_RRS!$D$2:$D$202,0)))</f>
        <v/>
      </c>
      <c r="X78" s="90" t="str">
        <f ca="1">IF(V78="","",INDIRECT("aux_sheet_RRS!AF"&amp;1+MATCH(aux_sheet_RRS!$E77,aux_sheet_RRS!$D$2:$D$202,0)))</f>
        <v/>
      </c>
      <c r="Y78" s="106" t="str">
        <f ca="1">IF($B78="","",INDIRECT("aux_sheet_RRS!AG"&amp;1+MATCH(aux_sheet_RRS!$E77,aux_sheet_RRS!$D$2:$D$202,0)))</f>
        <v/>
      </c>
      <c r="Z78" s="89" t="str">
        <f ca="1">IF($B78="","",INDIRECT("aux_sheet_RRS!AH"&amp;1+MATCH(aux_sheet_RRS!$E77,aux_sheet_RRS!$D$2:$D$202,0)))</f>
        <v/>
      </c>
      <c r="AA78" s="90" t="str">
        <f ca="1">IF(Y78="","",INDIRECT("aux_sheet_RRS!AI"&amp;1+MATCH(aux_sheet_RRS!$E77,aux_sheet_RRS!$D$2:$D$202,0)))</f>
        <v/>
      </c>
      <c r="AB78" s="88" t="str">
        <f ca="1">IF($B78="","",INDIRECT("aux_sheet_RRS!AJ"&amp;1+MATCH(aux_sheet_RRS!$E77,aux_sheet_RRS!$D$2:$D$202,0)))</f>
        <v/>
      </c>
      <c r="AC78" s="89" t="str">
        <f ca="1">IF($B78="","",INDIRECT("aux_sheet_RRS!AK"&amp;1+MATCH(aux_sheet_RRS!$E77,aux_sheet_RRS!$D$2:$D$202,0)))</f>
        <v/>
      </c>
      <c r="AD78" s="90" t="str">
        <f ca="1">IF(AB78="","",INDIRECT("aux_sheet_RRS!AL"&amp;1+MATCH(aux_sheet_RRS!$E77,aux_sheet_RRS!$D$2:$D$202,0)))</f>
        <v/>
      </c>
      <c r="AE78" s="88" t="str">
        <f ca="1">IF($B78="","",INDIRECT("aux_sheet_RRS!AM"&amp;1+MATCH(aux_sheet_RRS!$E77,aux_sheet_RRS!$D$2:$D$202,0)))</f>
        <v/>
      </c>
      <c r="AF78" s="89" t="str">
        <f ca="1">IF($B78="","",INDIRECT("aux_sheet_RRS!AN"&amp;1+MATCH(aux_sheet_RRS!$E77,aux_sheet_RRS!$D$2:$D$202,0)))</f>
        <v/>
      </c>
      <c r="AG78" s="90" t="str">
        <f ca="1">IF(AE78="","",INDIRECT("aux_sheet_RRS!AO"&amp;1+MATCH(aux_sheet_RRS!$E77,aux_sheet_RRS!$D$2:$D$202,0)))</f>
        <v/>
      </c>
      <c r="AH78" s="14" t="str">
        <f t="shared" ca="1" si="6"/>
        <v/>
      </c>
      <c r="AI78" t="str">
        <f t="shared" ca="1" si="7"/>
        <v/>
      </c>
      <c r="AJ78" t="str">
        <f t="shared" ca="1" si="8"/>
        <v/>
      </c>
    </row>
    <row r="79" spans="1:36" x14ac:dyDescent="0.35">
      <c r="A79" s="2" t="str">
        <f>IF(ISBLANK(Input!A78),"",ROUNDDOWN(aux_sheet_RRS!E78,0))</f>
        <v/>
      </c>
      <c r="B79" s="2" t="str">
        <f ca="1">IF(ISBLANK(Input!A78),"",INDIRECT("Input!A"&amp;1+MATCH(aux_sheet_RRS!$E78,aux_sheet_RRS!$D$2:$D$202,0)))</f>
        <v/>
      </c>
      <c r="C79" s="2" t="str">
        <f ca="1">IF(ISBLANK(Input!B78),"",INDIRECT("Input!B"&amp;1+MATCH(aux_sheet_RRS!$E78,aux_sheet_RRS!$D$2:$D$202,0)))</f>
        <v/>
      </c>
      <c r="D79" s="2" t="str">
        <f ca="1">IF(ISBLANK(Input!C78),"",INDIRECT("Input!C"&amp;1+MATCH(aux_sheet_RRS!$E78,aux_sheet_RRS!$D$2:$D$202,0)))</f>
        <v/>
      </c>
      <c r="E79" s="2" t="str">
        <f ca="1">IF(ISBLANK(Input!D78),"",INDIRECT("Input!D"&amp;1+MATCH(aux_sheet_RRS!$E78,aux_sheet_RRS!$D$2:$D$202,0)))</f>
        <v/>
      </c>
      <c r="F79" s="11" t="str">
        <f ca="1">INDIRECT("Input!H"&amp;1+MATCH(aux_sheet_RRS!$E78,aux_sheet_RRS!$D$2:$D$202,0))</f>
        <v xml:space="preserve"> </v>
      </c>
      <c r="G79" s="88" t="str">
        <f ca="1">IF($B79="","",INDIRECT("aux_sheet_RRS!O"&amp;1+MATCH(aux_sheet_RRS!$E78,aux_sheet_RRS!$D$2:$D$202,0)))</f>
        <v/>
      </c>
      <c r="H79" s="89" t="str">
        <f ca="1">IF($B79="","",INDIRECT("aux_sheet_RRS!P"&amp;1+MATCH(aux_sheet_RRS!$E78,aux_sheet_RRS!$D$2:$D$202,0)))</f>
        <v/>
      </c>
      <c r="I79" s="90" t="str">
        <f ca="1">IF(G79="","",ROUNDDOWN(INDIRECT("aux_sheet_RRS!Q"&amp;1+MATCH(aux_sheet_RRS!$E78,aux_sheet_RRS!$D$2:$D$202,0)),0))</f>
        <v/>
      </c>
      <c r="J79" s="106" t="str">
        <f ca="1">IF($B79="","",INDIRECT("aux_sheet_RRS!R"&amp;1+MATCH(aux_sheet_RRS!$E78,aux_sheet_RRS!$D$2:$D$202,0)))</f>
        <v/>
      </c>
      <c r="K79" s="89" t="str">
        <f ca="1">IF($B79="","",INDIRECT("aux_sheet_RRS!S"&amp;1+MATCH(aux_sheet_RRS!$E78,aux_sheet_RRS!$D$2:$D$202,0)))</f>
        <v/>
      </c>
      <c r="L79" s="90" t="str">
        <f ca="1">IF(J79="","",ROUNDDOWN(INDIRECT("aux_sheet_RRS!T"&amp;1+MATCH(aux_sheet_RRS!$E78,aux_sheet_RRS!$D$2:$D$202,0)),0))</f>
        <v/>
      </c>
      <c r="M79" s="106" t="str">
        <f ca="1">IF($B79="","",INDIRECT("aux_sheet_RRS!U"&amp;1+MATCH(aux_sheet_RRS!$E78,aux_sheet_RRS!$D$2:$D$202,0)))</f>
        <v/>
      </c>
      <c r="N79" s="89" t="str">
        <f ca="1">IF($B79="","",INDIRECT("aux_sheet_RRS!V"&amp;1+MATCH(aux_sheet_RRS!$E78,aux_sheet_RRS!$D$2:$D$202,0)))</f>
        <v/>
      </c>
      <c r="O79" s="90" t="str">
        <f ca="1">IF(M79="","",ROUNDDOWN(INDIRECT("aux_sheet_RRS!W"&amp;1+MATCH(aux_sheet_RRS!$E78,aux_sheet_RRS!$D$2:$D$202,0)),0))</f>
        <v/>
      </c>
      <c r="P79" s="106" t="str">
        <f ca="1">IF($B79="","",INDIRECT("aux_sheet_RRS!X"&amp;1+MATCH(aux_sheet_RRS!$E78,aux_sheet_RRS!$D$2:$D$202,0)))</f>
        <v/>
      </c>
      <c r="Q79" s="89" t="str">
        <f ca="1">IF($B79="","",INDIRECT("aux_sheet_RRS!Y"&amp;1+MATCH(aux_sheet_RRS!$E78,aux_sheet_RRS!$D$2:$D$202,0)))</f>
        <v/>
      </c>
      <c r="R79" s="90" t="str">
        <f ca="1">IF(P79="","",INDIRECT("aux_sheet_RRS!Z"&amp;1+MATCH(aux_sheet_RRS!$E78,aux_sheet_RRS!$D$2:$D$202,0)))</f>
        <v/>
      </c>
      <c r="S79" s="106" t="str">
        <f ca="1">IF($B79="","",INDIRECT("aux_sheet_RRS!AA"&amp;1+MATCH(aux_sheet_RRS!$E78,aux_sheet_RRS!$D$2:$D$202,0)))</f>
        <v/>
      </c>
      <c r="T79" s="89" t="str">
        <f ca="1">IF($B79="","",INDIRECT("aux_sheet_RRS!AB"&amp;1+MATCH(aux_sheet_RRS!$E78,aux_sheet_RRS!$D$2:$D$202,0)))</f>
        <v/>
      </c>
      <c r="U79" s="90" t="str">
        <f ca="1">IF(S79="","",INDIRECT("aux_sheet_RRS!AC"&amp;1+MATCH(aux_sheet_RRS!$E78,aux_sheet_RRS!$D$2:$D$202,0)))</f>
        <v/>
      </c>
      <c r="V79" s="106" t="str">
        <f ca="1">IF($B79="","",INDIRECT("aux_sheet_RRS!AD"&amp;1+MATCH(aux_sheet_RRS!$E78,aux_sheet_RRS!$D$2:$D$202,0)))</f>
        <v/>
      </c>
      <c r="W79" s="89" t="str">
        <f ca="1">IF($B79="","",INDIRECT("aux_sheet_RRS!AE"&amp;1+MATCH(aux_sheet_RRS!$E78,aux_sheet_RRS!$D$2:$D$202,0)))</f>
        <v/>
      </c>
      <c r="X79" s="90" t="str">
        <f ca="1">IF(V79="","",INDIRECT("aux_sheet_RRS!AF"&amp;1+MATCH(aux_sheet_RRS!$E78,aux_sheet_RRS!$D$2:$D$202,0)))</f>
        <v/>
      </c>
      <c r="Y79" s="106" t="str">
        <f ca="1">IF($B79="","",INDIRECT("aux_sheet_RRS!AG"&amp;1+MATCH(aux_sheet_RRS!$E78,aux_sheet_RRS!$D$2:$D$202,0)))</f>
        <v/>
      </c>
      <c r="Z79" s="89" t="str">
        <f ca="1">IF($B79="","",INDIRECT("aux_sheet_RRS!AH"&amp;1+MATCH(aux_sheet_RRS!$E78,aux_sheet_RRS!$D$2:$D$202,0)))</f>
        <v/>
      </c>
      <c r="AA79" s="90" t="str">
        <f ca="1">IF(Y79="","",INDIRECT("aux_sheet_RRS!AI"&amp;1+MATCH(aux_sheet_RRS!$E78,aux_sheet_RRS!$D$2:$D$202,0)))</f>
        <v/>
      </c>
      <c r="AB79" s="88" t="str">
        <f ca="1">IF($B79="","",INDIRECT("aux_sheet_RRS!AJ"&amp;1+MATCH(aux_sheet_RRS!$E78,aux_sheet_RRS!$D$2:$D$202,0)))</f>
        <v/>
      </c>
      <c r="AC79" s="89" t="str">
        <f ca="1">IF($B79="","",INDIRECT("aux_sheet_RRS!AK"&amp;1+MATCH(aux_sheet_RRS!$E78,aux_sheet_RRS!$D$2:$D$202,0)))</f>
        <v/>
      </c>
      <c r="AD79" s="90" t="str">
        <f ca="1">IF(AB79="","",INDIRECT("aux_sheet_RRS!AL"&amp;1+MATCH(aux_sheet_RRS!$E78,aux_sheet_RRS!$D$2:$D$202,0)))</f>
        <v/>
      </c>
      <c r="AE79" s="88" t="str">
        <f ca="1">IF($B79="","",INDIRECT("aux_sheet_RRS!AM"&amp;1+MATCH(aux_sheet_RRS!$E78,aux_sheet_RRS!$D$2:$D$202,0)))</f>
        <v/>
      </c>
      <c r="AF79" s="89" t="str">
        <f ca="1">IF($B79="","",INDIRECT("aux_sheet_RRS!AN"&amp;1+MATCH(aux_sheet_RRS!$E78,aux_sheet_RRS!$D$2:$D$202,0)))</f>
        <v/>
      </c>
      <c r="AG79" s="90" t="str">
        <f ca="1">IF(AE79="","",INDIRECT("aux_sheet_RRS!AO"&amp;1+MATCH(aux_sheet_RRS!$E78,aux_sheet_RRS!$D$2:$D$202,0)))</f>
        <v/>
      </c>
      <c r="AH79" s="14" t="str">
        <f t="shared" ca="1" si="6"/>
        <v/>
      </c>
      <c r="AI79" t="str">
        <f t="shared" ca="1" si="7"/>
        <v/>
      </c>
      <c r="AJ79" t="str">
        <f t="shared" ca="1" si="8"/>
        <v/>
      </c>
    </row>
    <row r="80" spans="1:36" x14ac:dyDescent="0.35">
      <c r="A80" s="2" t="str">
        <f>IF(ISBLANK(Input!A79),"",ROUNDDOWN(aux_sheet_RRS!E79,0))</f>
        <v/>
      </c>
      <c r="B80" s="2" t="str">
        <f ca="1">IF(ISBLANK(Input!A79),"",INDIRECT("Input!A"&amp;1+MATCH(aux_sheet_RRS!$E79,aux_sheet_RRS!$D$2:$D$202,0)))</f>
        <v/>
      </c>
      <c r="C80" s="2" t="str">
        <f ca="1">IF(ISBLANK(Input!B79),"",INDIRECT("Input!B"&amp;1+MATCH(aux_sheet_RRS!$E79,aux_sheet_RRS!$D$2:$D$202,0)))</f>
        <v/>
      </c>
      <c r="D80" s="2" t="str">
        <f ca="1">IF(ISBLANK(Input!C79),"",INDIRECT("Input!C"&amp;1+MATCH(aux_sheet_RRS!$E79,aux_sheet_RRS!$D$2:$D$202,0)))</f>
        <v/>
      </c>
      <c r="E80" s="2" t="str">
        <f ca="1">IF(ISBLANK(Input!D79),"",INDIRECT("Input!D"&amp;1+MATCH(aux_sheet_RRS!$E79,aux_sheet_RRS!$D$2:$D$202,0)))</f>
        <v/>
      </c>
      <c r="F80" s="11" t="str">
        <f ca="1">INDIRECT("Input!H"&amp;1+MATCH(aux_sheet_RRS!$E79,aux_sheet_RRS!$D$2:$D$202,0))</f>
        <v xml:space="preserve"> </v>
      </c>
      <c r="G80" s="88" t="str">
        <f ca="1">IF($B80="","",INDIRECT("aux_sheet_RRS!O"&amp;1+MATCH(aux_sheet_RRS!$E79,aux_sheet_RRS!$D$2:$D$202,0)))</f>
        <v/>
      </c>
      <c r="H80" s="89" t="str">
        <f ca="1">IF($B80="","",INDIRECT("aux_sheet_RRS!P"&amp;1+MATCH(aux_sheet_RRS!$E79,aux_sheet_RRS!$D$2:$D$202,0)))</f>
        <v/>
      </c>
      <c r="I80" s="90" t="str">
        <f ca="1">IF(G80="","",ROUNDDOWN(INDIRECT("aux_sheet_RRS!Q"&amp;1+MATCH(aux_sheet_RRS!$E79,aux_sheet_RRS!$D$2:$D$202,0)),0))</f>
        <v/>
      </c>
      <c r="J80" s="106" t="str">
        <f ca="1">IF($B80="","",INDIRECT("aux_sheet_RRS!R"&amp;1+MATCH(aux_sheet_RRS!$E79,aux_sheet_RRS!$D$2:$D$202,0)))</f>
        <v/>
      </c>
      <c r="K80" s="89" t="str">
        <f ca="1">IF($B80="","",INDIRECT("aux_sheet_RRS!S"&amp;1+MATCH(aux_sheet_RRS!$E79,aux_sheet_RRS!$D$2:$D$202,0)))</f>
        <v/>
      </c>
      <c r="L80" s="90" t="str">
        <f ca="1">IF(J80="","",ROUNDDOWN(INDIRECT("aux_sheet_RRS!T"&amp;1+MATCH(aux_sheet_RRS!$E79,aux_sheet_RRS!$D$2:$D$202,0)),0))</f>
        <v/>
      </c>
      <c r="M80" s="106" t="str">
        <f ca="1">IF($B80="","",INDIRECT("aux_sheet_RRS!U"&amp;1+MATCH(aux_sheet_RRS!$E79,aux_sheet_RRS!$D$2:$D$202,0)))</f>
        <v/>
      </c>
      <c r="N80" s="89" t="str">
        <f ca="1">IF($B80="","",INDIRECT("aux_sheet_RRS!V"&amp;1+MATCH(aux_sheet_RRS!$E79,aux_sheet_RRS!$D$2:$D$202,0)))</f>
        <v/>
      </c>
      <c r="O80" s="90" t="str">
        <f ca="1">IF(M80="","",ROUNDDOWN(INDIRECT("aux_sheet_RRS!W"&amp;1+MATCH(aux_sheet_RRS!$E79,aux_sheet_RRS!$D$2:$D$202,0)),0))</f>
        <v/>
      </c>
      <c r="P80" s="106" t="str">
        <f ca="1">IF($B80="","",INDIRECT("aux_sheet_RRS!X"&amp;1+MATCH(aux_sheet_RRS!$E79,aux_sheet_RRS!$D$2:$D$202,0)))</f>
        <v/>
      </c>
      <c r="Q80" s="89" t="str">
        <f ca="1">IF($B80="","",INDIRECT("aux_sheet_RRS!Y"&amp;1+MATCH(aux_sheet_RRS!$E79,aux_sheet_RRS!$D$2:$D$202,0)))</f>
        <v/>
      </c>
      <c r="R80" s="90" t="str">
        <f ca="1">IF(P80="","",INDIRECT("aux_sheet_RRS!Z"&amp;1+MATCH(aux_sheet_RRS!$E79,aux_sheet_RRS!$D$2:$D$202,0)))</f>
        <v/>
      </c>
      <c r="S80" s="106" t="str">
        <f ca="1">IF($B80="","",INDIRECT("aux_sheet_RRS!AA"&amp;1+MATCH(aux_sheet_RRS!$E79,aux_sheet_RRS!$D$2:$D$202,0)))</f>
        <v/>
      </c>
      <c r="T80" s="89" t="str">
        <f ca="1">IF($B80="","",INDIRECT("aux_sheet_RRS!AB"&amp;1+MATCH(aux_sheet_RRS!$E79,aux_sheet_RRS!$D$2:$D$202,0)))</f>
        <v/>
      </c>
      <c r="U80" s="90" t="str">
        <f ca="1">IF(S80="","",INDIRECT("aux_sheet_RRS!AC"&amp;1+MATCH(aux_sheet_RRS!$E79,aux_sheet_RRS!$D$2:$D$202,0)))</f>
        <v/>
      </c>
      <c r="V80" s="106" t="str">
        <f ca="1">IF($B80="","",INDIRECT("aux_sheet_RRS!AD"&amp;1+MATCH(aux_sheet_RRS!$E79,aux_sheet_RRS!$D$2:$D$202,0)))</f>
        <v/>
      </c>
      <c r="W80" s="89" t="str">
        <f ca="1">IF($B80="","",INDIRECT("aux_sheet_RRS!AE"&amp;1+MATCH(aux_sheet_RRS!$E79,aux_sheet_RRS!$D$2:$D$202,0)))</f>
        <v/>
      </c>
      <c r="X80" s="90" t="str">
        <f ca="1">IF(V80="","",INDIRECT("aux_sheet_RRS!AF"&amp;1+MATCH(aux_sheet_RRS!$E79,aux_sheet_RRS!$D$2:$D$202,0)))</f>
        <v/>
      </c>
      <c r="Y80" s="106" t="str">
        <f ca="1">IF($B80="","",INDIRECT("aux_sheet_RRS!AG"&amp;1+MATCH(aux_sheet_RRS!$E79,aux_sheet_RRS!$D$2:$D$202,0)))</f>
        <v/>
      </c>
      <c r="Z80" s="89" t="str">
        <f ca="1">IF($B80="","",INDIRECT("aux_sheet_RRS!AH"&amp;1+MATCH(aux_sheet_RRS!$E79,aux_sheet_RRS!$D$2:$D$202,0)))</f>
        <v/>
      </c>
      <c r="AA80" s="90" t="str">
        <f ca="1">IF(Y80="","",INDIRECT("aux_sheet_RRS!AI"&amp;1+MATCH(aux_sheet_RRS!$E79,aux_sheet_RRS!$D$2:$D$202,0)))</f>
        <v/>
      </c>
      <c r="AB80" s="88" t="str">
        <f ca="1">IF($B80="","",INDIRECT("aux_sheet_RRS!AJ"&amp;1+MATCH(aux_sheet_RRS!$E79,aux_sheet_RRS!$D$2:$D$202,0)))</f>
        <v/>
      </c>
      <c r="AC80" s="89" t="str">
        <f ca="1">IF($B80="","",INDIRECT("aux_sheet_RRS!AK"&amp;1+MATCH(aux_sheet_RRS!$E79,aux_sheet_RRS!$D$2:$D$202,0)))</f>
        <v/>
      </c>
      <c r="AD80" s="90" t="str">
        <f ca="1">IF(AB80="","",INDIRECT("aux_sheet_RRS!AL"&amp;1+MATCH(aux_sheet_RRS!$E79,aux_sheet_RRS!$D$2:$D$202,0)))</f>
        <v/>
      </c>
      <c r="AE80" s="88" t="str">
        <f ca="1">IF($B80="","",INDIRECT("aux_sheet_RRS!AM"&amp;1+MATCH(aux_sheet_RRS!$E79,aux_sheet_RRS!$D$2:$D$202,0)))</f>
        <v/>
      </c>
      <c r="AF80" s="89" t="str">
        <f ca="1">IF($B80="","",INDIRECT("aux_sheet_RRS!AN"&amp;1+MATCH(aux_sheet_RRS!$E79,aux_sheet_RRS!$D$2:$D$202,0)))</f>
        <v/>
      </c>
      <c r="AG80" s="90" t="str">
        <f ca="1">IF(AE80="","",INDIRECT("aux_sheet_RRS!AO"&amp;1+MATCH(aux_sheet_RRS!$E79,aux_sheet_RRS!$D$2:$D$202,0)))</f>
        <v/>
      </c>
      <c r="AH80" s="14" t="str">
        <f t="shared" ca="1" si="6"/>
        <v/>
      </c>
      <c r="AI80" t="str">
        <f t="shared" ca="1" si="7"/>
        <v/>
      </c>
      <c r="AJ80" t="str">
        <f t="shared" ca="1" si="8"/>
        <v/>
      </c>
    </row>
    <row r="81" spans="1:36" x14ac:dyDescent="0.35">
      <c r="A81" s="2" t="str">
        <f>IF(ISBLANK(Input!A80),"",ROUNDDOWN(aux_sheet_RRS!E80,0))</f>
        <v/>
      </c>
      <c r="B81" s="2" t="str">
        <f ca="1">IF(ISBLANK(Input!A80),"",INDIRECT("Input!A"&amp;1+MATCH(aux_sheet_RRS!$E80,aux_sheet_RRS!$D$2:$D$202,0)))</f>
        <v/>
      </c>
      <c r="C81" s="2" t="str">
        <f ca="1">IF(ISBLANK(Input!B80),"",INDIRECT("Input!B"&amp;1+MATCH(aux_sheet_RRS!$E80,aux_sheet_RRS!$D$2:$D$202,0)))</f>
        <v/>
      </c>
      <c r="D81" s="2" t="str">
        <f ca="1">IF(ISBLANK(Input!C80),"",INDIRECT("Input!C"&amp;1+MATCH(aux_sheet_RRS!$E80,aux_sheet_RRS!$D$2:$D$202,0)))</f>
        <v/>
      </c>
      <c r="E81" s="2" t="str">
        <f ca="1">IF(ISBLANK(Input!D80),"",INDIRECT("Input!D"&amp;1+MATCH(aux_sheet_RRS!$E80,aux_sheet_RRS!$D$2:$D$202,0)))</f>
        <v/>
      </c>
      <c r="F81" s="11" t="str">
        <f ca="1">INDIRECT("Input!H"&amp;1+MATCH(aux_sheet_RRS!$E80,aux_sheet_RRS!$D$2:$D$202,0))</f>
        <v xml:space="preserve"> </v>
      </c>
      <c r="G81" s="88" t="str">
        <f ca="1">IF($B81="","",INDIRECT("aux_sheet_RRS!O"&amp;1+MATCH(aux_sheet_RRS!$E80,aux_sheet_RRS!$D$2:$D$202,0)))</f>
        <v/>
      </c>
      <c r="H81" s="89" t="str">
        <f ca="1">IF($B81="","",INDIRECT("aux_sheet_RRS!P"&amp;1+MATCH(aux_sheet_RRS!$E80,aux_sheet_RRS!$D$2:$D$202,0)))</f>
        <v/>
      </c>
      <c r="I81" s="90" t="str">
        <f ca="1">IF(G81="","",ROUNDDOWN(INDIRECT("aux_sheet_RRS!Q"&amp;1+MATCH(aux_sheet_RRS!$E80,aux_sheet_RRS!$D$2:$D$202,0)),0))</f>
        <v/>
      </c>
      <c r="J81" s="106" t="str">
        <f ca="1">IF($B81="","",INDIRECT("aux_sheet_RRS!R"&amp;1+MATCH(aux_sheet_RRS!$E80,aux_sheet_RRS!$D$2:$D$202,0)))</f>
        <v/>
      </c>
      <c r="K81" s="89" t="str">
        <f ca="1">IF($B81="","",INDIRECT("aux_sheet_RRS!S"&amp;1+MATCH(aux_sheet_RRS!$E80,aux_sheet_RRS!$D$2:$D$202,0)))</f>
        <v/>
      </c>
      <c r="L81" s="90" t="str">
        <f ca="1">IF(J81="","",ROUNDDOWN(INDIRECT("aux_sheet_RRS!T"&amp;1+MATCH(aux_sheet_RRS!$E80,aux_sheet_RRS!$D$2:$D$202,0)),0))</f>
        <v/>
      </c>
      <c r="M81" s="106" t="str">
        <f ca="1">IF($B81="","",INDIRECT("aux_sheet_RRS!U"&amp;1+MATCH(aux_sheet_RRS!$E80,aux_sheet_RRS!$D$2:$D$202,0)))</f>
        <v/>
      </c>
      <c r="N81" s="89" t="str">
        <f ca="1">IF($B81="","",INDIRECT("aux_sheet_RRS!V"&amp;1+MATCH(aux_sheet_RRS!$E80,aux_sheet_RRS!$D$2:$D$202,0)))</f>
        <v/>
      </c>
      <c r="O81" s="90" t="str">
        <f ca="1">IF(M81="","",ROUNDDOWN(INDIRECT("aux_sheet_RRS!W"&amp;1+MATCH(aux_sheet_RRS!$E80,aux_sheet_RRS!$D$2:$D$202,0)),0))</f>
        <v/>
      </c>
      <c r="P81" s="106" t="str">
        <f ca="1">IF($B81="","",INDIRECT("aux_sheet_RRS!X"&amp;1+MATCH(aux_sheet_RRS!$E80,aux_sheet_RRS!$D$2:$D$202,0)))</f>
        <v/>
      </c>
      <c r="Q81" s="89" t="str">
        <f ca="1">IF($B81="","",INDIRECT("aux_sheet_RRS!Y"&amp;1+MATCH(aux_sheet_RRS!$E80,aux_sheet_RRS!$D$2:$D$202,0)))</f>
        <v/>
      </c>
      <c r="R81" s="90" t="str">
        <f ca="1">IF(P81="","",INDIRECT("aux_sheet_RRS!Z"&amp;1+MATCH(aux_sheet_RRS!$E80,aux_sheet_RRS!$D$2:$D$202,0)))</f>
        <v/>
      </c>
      <c r="S81" s="106" t="str">
        <f ca="1">IF($B81="","",INDIRECT("aux_sheet_RRS!AA"&amp;1+MATCH(aux_sheet_RRS!$E80,aux_sheet_RRS!$D$2:$D$202,0)))</f>
        <v/>
      </c>
      <c r="T81" s="89" t="str">
        <f ca="1">IF($B81="","",INDIRECT("aux_sheet_RRS!AB"&amp;1+MATCH(aux_sheet_RRS!$E80,aux_sheet_RRS!$D$2:$D$202,0)))</f>
        <v/>
      </c>
      <c r="U81" s="90" t="str">
        <f ca="1">IF(S81="","",INDIRECT("aux_sheet_RRS!AC"&amp;1+MATCH(aux_sheet_RRS!$E80,aux_sheet_RRS!$D$2:$D$202,0)))</f>
        <v/>
      </c>
      <c r="V81" s="106" t="str">
        <f ca="1">IF($B81="","",INDIRECT("aux_sheet_RRS!AD"&amp;1+MATCH(aux_sheet_RRS!$E80,aux_sheet_RRS!$D$2:$D$202,0)))</f>
        <v/>
      </c>
      <c r="W81" s="89" t="str">
        <f ca="1">IF($B81="","",INDIRECT("aux_sheet_RRS!AE"&amp;1+MATCH(aux_sheet_RRS!$E80,aux_sheet_RRS!$D$2:$D$202,0)))</f>
        <v/>
      </c>
      <c r="X81" s="90" t="str">
        <f ca="1">IF(V81="","",INDIRECT("aux_sheet_RRS!AF"&amp;1+MATCH(aux_sheet_RRS!$E80,aux_sheet_RRS!$D$2:$D$202,0)))</f>
        <v/>
      </c>
      <c r="Y81" s="106" t="str">
        <f ca="1">IF($B81="","",INDIRECT("aux_sheet_RRS!AG"&amp;1+MATCH(aux_sheet_RRS!$E80,aux_sheet_RRS!$D$2:$D$202,0)))</f>
        <v/>
      </c>
      <c r="Z81" s="89" t="str">
        <f ca="1">IF($B81="","",INDIRECT("aux_sheet_RRS!AH"&amp;1+MATCH(aux_sheet_RRS!$E80,aux_sheet_RRS!$D$2:$D$202,0)))</f>
        <v/>
      </c>
      <c r="AA81" s="90" t="str">
        <f ca="1">IF(Y81="","",INDIRECT("aux_sheet_RRS!AI"&amp;1+MATCH(aux_sheet_RRS!$E80,aux_sheet_RRS!$D$2:$D$202,0)))</f>
        <v/>
      </c>
      <c r="AB81" s="88" t="str">
        <f ca="1">IF($B81="","",INDIRECT("aux_sheet_RRS!AJ"&amp;1+MATCH(aux_sheet_RRS!$E80,aux_sheet_RRS!$D$2:$D$202,0)))</f>
        <v/>
      </c>
      <c r="AC81" s="89" t="str">
        <f ca="1">IF($B81="","",INDIRECT("aux_sheet_RRS!AK"&amp;1+MATCH(aux_sheet_RRS!$E80,aux_sheet_RRS!$D$2:$D$202,0)))</f>
        <v/>
      </c>
      <c r="AD81" s="90" t="str">
        <f ca="1">IF(AB81="","",INDIRECT("aux_sheet_RRS!AL"&amp;1+MATCH(aux_sheet_RRS!$E80,aux_sheet_RRS!$D$2:$D$202,0)))</f>
        <v/>
      </c>
      <c r="AE81" s="88" t="str">
        <f ca="1">IF($B81="","",INDIRECT("aux_sheet_RRS!AM"&amp;1+MATCH(aux_sheet_RRS!$E80,aux_sheet_RRS!$D$2:$D$202,0)))</f>
        <v/>
      </c>
      <c r="AF81" s="89" t="str">
        <f ca="1">IF($B81="","",INDIRECT("aux_sheet_RRS!AN"&amp;1+MATCH(aux_sheet_RRS!$E80,aux_sheet_RRS!$D$2:$D$202,0)))</f>
        <v/>
      </c>
      <c r="AG81" s="90" t="str">
        <f ca="1">IF(AE81="","",INDIRECT("aux_sheet_RRS!AO"&amp;1+MATCH(aux_sheet_RRS!$E80,aux_sheet_RRS!$D$2:$D$202,0)))</f>
        <v/>
      </c>
      <c r="AH81" s="14" t="str">
        <f t="shared" ca="1" si="6"/>
        <v/>
      </c>
      <c r="AI81" t="str">
        <f t="shared" ca="1" si="7"/>
        <v/>
      </c>
      <c r="AJ81" t="str">
        <f t="shared" ca="1" si="8"/>
        <v/>
      </c>
    </row>
    <row r="82" spans="1:36" x14ac:dyDescent="0.35">
      <c r="A82" s="2" t="str">
        <f>IF(ISBLANK(Input!A81),"",ROUNDDOWN(aux_sheet_RRS!E81,0))</f>
        <v/>
      </c>
      <c r="B82" s="2" t="str">
        <f ca="1">IF(ISBLANK(Input!A81),"",INDIRECT("Input!A"&amp;1+MATCH(aux_sheet_RRS!$E81,aux_sheet_RRS!$D$2:$D$202,0)))</f>
        <v/>
      </c>
      <c r="C82" s="2" t="str">
        <f ca="1">IF(ISBLANK(Input!B81),"",INDIRECT("Input!B"&amp;1+MATCH(aux_sheet_RRS!$E81,aux_sheet_RRS!$D$2:$D$202,0)))</f>
        <v/>
      </c>
      <c r="D82" s="2" t="str">
        <f ca="1">IF(ISBLANK(Input!C81),"",INDIRECT("Input!C"&amp;1+MATCH(aux_sheet_RRS!$E81,aux_sheet_RRS!$D$2:$D$202,0)))</f>
        <v/>
      </c>
      <c r="E82" s="2" t="str">
        <f ca="1">IF(ISBLANK(Input!D81),"",INDIRECT("Input!D"&amp;1+MATCH(aux_sheet_RRS!$E81,aux_sheet_RRS!$D$2:$D$202,0)))</f>
        <v/>
      </c>
      <c r="F82" s="11" t="str">
        <f ca="1">INDIRECT("Input!H"&amp;1+MATCH(aux_sheet_RRS!$E81,aux_sheet_RRS!$D$2:$D$202,0))</f>
        <v xml:space="preserve"> </v>
      </c>
      <c r="G82" s="88" t="str">
        <f ca="1">IF($B82="","",INDIRECT("aux_sheet_RRS!O"&amp;1+MATCH(aux_sheet_RRS!$E81,aux_sheet_RRS!$D$2:$D$202,0)))</f>
        <v/>
      </c>
      <c r="H82" s="89" t="str">
        <f ca="1">IF($B82="","",INDIRECT("aux_sheet_RRS!P"&amp;1+MATCH(aux_sheet_RRS!$E81,aux_sheet_RRS!$D$2:$D$202,0)))</f>
        <v/>
      </c>
      <c r="I82" s="90" t="str">
        <f ca="1">IF(G82="","",ROUNDDOWN(INDIRECT("aux_sheet_RRS!Q"&amp;1+MATCH(aux_sheet_RRS!$E81,aux_sheet_RRS!$D$2:$D$202,0)),0))</f>
        <v/>
      </c>
      <c r="J82" s="106" t="str">
        <f ca="1">IF($B82="","",INDIRECT("aux_sheet_RRS!R"&amp;1+MATCH(aux_sheet_RRS!$E81,aux_sheet_RRS!$D$2:$D$202,0)))</f>
        <v/>
      </c>
      <c r="K82" s="89" t="str">
        <f ca="1">IF($B82="","",INDIRECT("aux_sheet_RRS!S"&amp;1+MATCH(aux_sheet_RRS!$E81,aux_sheet_RRS!$D$2:$D$202,0)))</f>
        <v/>
      </c>
      <c r="L82" s="90" t="str">
        <f ca="1">IF(J82="","",ROUNDDOWN(INDIRECT("aux_sheet_RRS!T"&amp;1+MATCH(aux_sheet_RRS!$E81,aux_sheet_RRS!$D$2:$D$202,0)),0))</f>
        <v/>
      </c>
      <c r="M82" s="106" t="str">
        <f ca="1">IF($B82="","",INDIRECT("aux_sheet_RRS!U"&amp;1+MATCH(aux_sheet_RRS!$E81,aux_sheet_RRS!$D$2:$D$202,0)))</f>
        <v/>
      </c>
      <c r="N82" s="89" t="str">
        <f ca="1">IF($B82="","",INDIRECT("aux_sheet_RRS!V"&amp;1+MATCH(aux_sheet_RRS!$E81,aux_sheet_RRS!$D$2:$D$202,0)))</f>
        <v/>
      </c>
      <c r="O82" s="90" t="str">
        <f ca="1">IF(M82="","",ROUNDDOWN(INDIRECT("aux_sheet_RRS!W"&amp;1+MATCH(aux_sheet_RRS!$E81,aux_sheet_RRS!$D$2:$D$202,0)),0))</f>
        <v/>
      </c>
      <c r="P82" s="106" t="str">
        <f ca="1">IF($B82="","",INDIRECT("aux_sheet_RRS!X"&amp;1+MATCH(aux_sheet_RRS!$E81,aux_sheet_RRS!$D$2:$D$202,0)))</f>
        <v/>
      </c>
      <c r="Q82" s="89" t="str">
        <f ca="1">IF($B82="","",INDIRECT("aux_sheet_RRS!Y"&amp;1+MATCH(aux_sheet_RRS!$E81,aux_sheet_RRS!$D$2:$D$202,0)))</f>
        <v/>
      </c>
      <c r="R82" s="90" t="str">
        <f ca="1">IF(P82="","",INDIRECT("aux_sheet_RRS!Z"&amp;1+MATCH(aux_sheet_RRS!$E81,aux_sheet_RRS!$D$2:$D$202,0)))</f>
        <v/>
      </c>
      <c r="S82" s="106" t="str">
        <f ca="1">IF($B82="","",INDIRECT("aux_sheet_RRS!AA"&amp;1+MATCH(aux_sheet_RRS!$E81,aux_sheet_RRS!$D$2:$D$202,0)))</f>
        <v/>
      </c>
      <c r="T82" s="89" t="str">
        <f ca="1">IF($B82="","",INDIRECT("aux_sheet_RRS!AB"&amp;1+MATCH(aux_sheet_RRS!$E81,aux_sheet_RRS!$D$2:$D$202,0)))</f>
        <v/>
      </c>
      <c r="U82" s="90" t="str">
        <f ca="1">IF(S82="","",INDIRECT("aux_sheet_RRS!AC"&amp;1+MATCH(aux_sheet_RRS!$E81,aux_sheet_RRS!$D$2:$D$202,0)))</f>
        <v/>
      </c>
      <c r="V82" s="106" t="str">
        <f ca="1">IF($B82="","",INDIRECT("aux_sheet_RRS!AD"&amp;1+MATCH(aux_sheet_RRS!$E81,aux_sheet_RRS!$D$2:$D$202,0)))</f>
        <v/>
      </c>
      <c r="W82" s="89" t="str">
        <f ca="1">IF($B82="","",INDIRECT("aux_sheet_RRS!AE"&amp;1+MATCH(aux_sheet_RRS!$E81,aux_sheet_RRS!$D$2:$D$202,0)))</f>
        <v/>
      </c>
      <c r="X82" s="90" t="str">
        <f ca="1">IF(V82="","",INDIRECT("aux_sheet_RRS!AF"&amp;1+MATCH(aux_sheet_RRS!$E81,aux_sheet_RRS!$D$2:$D$202,0)))</f>
        <v/>
      </c>
      <c r="Y82" s="106" t="str">
        <f ca="1">IF($B82="","",INDIRECT("aux_sheet_RRS!AG"&amp;1+MATCH(aux_sheet_RRS!$E81,aux_sheet_RRS!$D$2:$D$202,0)))</f>
        <v/>
      </c>
      <c r="Z82" s="89" t="str">
        <f ca="1">IF($B82="","",INDIRECT("aux_sheet_RRS!AH"&amp;1+MATCH(aux_sheet_RRS!$E81,aux_sheet_RRS!$D$2:$D$202,0)))</f>
        <v/>
      </c>
      <c r="AA82" s="90" t="str">
        <f ca="1">IF(Y82="","",INDIRECT("aux_sheet_RRS!AI"&amp;1+MATCH(aux_sheet_RRS!$E81,aux_sheet_RRS!$D$2:$D$202,0)))</f>
        <v/>
      </c>
      <c r="AB82" s="88" t="str">
        <f ca="1">IF($B82="","",INDIRECT("aux_sheet_RRS!AJ"&amp;1+MATCH(aux_sheet_RRS!$E81,aux_sheet_RRS!$D$2:$D$202,0)))</f>
        <v/>
      </c>
      <c r="AC82" s="89" t="str">
        <f ca="1">IF($B82="","",INDIRECT("aux_sheet_RRS!AK"&amp;1+MATCH(aux_sheet_RRS!$E81,aux_sheet_RRS!$D$2:$D$202,0)))</f>
        <v/>
      </c>
      <c r="AD82" s="90" t="str">
        <f ca="1">IF(AB82="","",INDIRECT("aux_sheet_RRS!AL"&amp;1+MATCH(aux_sheet_RRS!$E81,aux_sheet_RRS!$D$2:$D$202,0)))</f>
        <v/>
      </c>
      <c r="AE82" s="88" t="str">
        <f ca="1">IF($B82="","",INDIRECT("aux_sheet_RRS!AM"&amp;1+MATCH(aux_sheet_RRS!$E81,aux_sheet_RRS!$D$2:$D$202,0)))</f>
        <v/>
      </c>
      <c r="AF82" s="89" t="str">
        <f ca="1">IF($B82="","",INDIRECT("aux_sheet_RRS!AN"&amp;1+MATCH(aux_sheet_RRS!$E81,aux_sheet_RRS!$D$2:$D$202,0)))</f>
        <v/>
      </c>
      <c r="AG82" s="90" t="str">
        <f ca="1">IF(AE82="","",INDIRECT("aux_sheet_RRS!AO"&amp;1+MATCH(aux_sheet_RRS!$E81,aux_sheet_RRS!$D$2:$D$202,0)))</f>
        <v/>
      </c>
      <c r="AH82" s="14" t="str">
        <f t="shared" ca="1" si="6"/>
        <v/>
      </c>
      <c r="AI82" t="str">
        <f t="shared" ca="1" si="7"/>
        <v/>
      </c>
      <c r="AJ82" t="str">
        <f t="shared" ca="1" si="8"/>
        <v/>
      </c>
    </row>
    <row r="83" spans="1:36" x14ac:dyDescent="0.35">
      <c r="A83" s="2" t="str">
        <f>IF(ISBLANK(Input!A82),"",ROUNDDOWN(aux_sheet_RRS!E82,0))</f>
        <v/>
      </c>
      <c r="B83" s="2" t="str">
        <f ca="1">IF(ISBLANK(Input!A82),"",INDIRECT("Input!A"&amp;1+MATCH(aux_sheet_RRS!$E82,aux_sheet_RRS!$D$2:$D$202,0)))</f>
        <v/>
      </c>
      <c r="C83" s="2" t="str">
        <f ca="1">IF(ISBLANK(Input!B82),"",INDIRECT("Input!B"&amp;1+MATCH(aux_sheet_RRS!$E82,aux_sheet_RRS!$D$2:$D$202,0)))</f>
        <v/>
      </c>
      <c r="D83" s="2" t="str">
        <f ca="1">IF(ISBLANK(Input!C82),"",INDIRECT("Input!C"&amp;1+MATCH(aux_sheet_RRS!$E82,aux_sheet_RRS!$D$2:$D$202,0)))</f>
        <v/>
      </c>
      <c r="E83" s="2" t="str">
        <f ca="1">IF(ISBLANK(Input!D82),"",INDIRECT("Input!D"&amp;1+MATCH(aux_sheet_RRS!$E82,aux_sheet_RRS!$D$2:$D$202,0)))</f>
        <v/>
      </c>
      <c r="F83" s="11" t="str">
        <f ca="1">INDIRECT("Input!H"&amp;1+MATCH(aux_sheet_RRS!$E82,aux_sheet_RRS!$D$2:$D$202,0))</f>
        <v xml:space="preserve"> </v>
      </c>
      <c r="G83" s="88" t="str">
        <f ca="1">IF($B83="","",INDIRECT("aux_sheet_RRS!O"&amp;1+MATCH(aux_sheet_RRS!$E82,aux_sheet_RRS!$D$2:$D$202,0)))</f>
        <v/>
      </c>
      <c r="H83" s="89" t="str">
        <f ca="1">IF($B83="","",INDIRECT("aux_sheet_RRS!P"&amp;1+MATCH(aux_sheet_RRS!$E82,aux_sheet_RRS!$D$2:$D$202,0)))</f>
        <v/>
      </c>
      <c r="I83" s="90" t="str">
        <f ca="1">IF(G83="","",ROUNDDOWN(INDIRECT("aux_sheet_RRS!Q"&amp;1+MATCH(aux_sheet_RRS!$E82,aux_sheet_RRS!$D$2:$D$202,0)),0))</f>
        <v/>
      </c>
      <c r="J83" s="106" t="str">
        <f ca="1">IF($B83="","",INDIRECT("aux_sheet_RRS!R"&amp;1+MATCH(aux_sheet_RRS!$E82,aux_sheet_RRS!$D$2:$D$202,0)))</f>
        <v/>
      </c>
      <c r="K83" s="89" t="str">
        <f ca="1">IF($B83="","",INDIRECT("aux_sheet_RRS!S"&amp;1+MATCH(aux_sheet_RRS!$E82,aux_sheet_RRS!$D$2:$D$202,0)))</f>
        <v/>
      </c>
      <c r="L83" s="90" t="str">
        <f ca="1">IF(J83="","",ROUNDDOWN(INDIRECT("aux_sheet_RRS!T"&amp;1+MATCH(aux_sheet_RRS!$E82,aux_sheet_RRS!$D$2:$D$202,0)),0))</f>
        <v/>
      </c>
      <c r="M83" s="106" t="str">
        <f ca="1">IF($B83="","",INDIRECT("aux_sheet_RRS!U"&amp;1+MATCH(aux_sheet_RRS!$E82,aux_sheet_RRS!$D$2:$D$202,0)))</f>
        <v/>
      </c>
      <c r="N83" s="89" t="str">
        <f ca="1">IF($B83="","",INDIRECT("aux_sheet_RRS!V"&amp;1+MATCH(aux_sheet_RRS!$E82,aux_sheet_RRS!$D$2:$D$202,0)))</f>
        <v/>
      </c>
      <c r="O83" s="90" t="str">
        <f ca="1">IF(M83="","",ROUNDDOWN(INDIRECT("aux_sheet_RRS!W"&amp;1+MATCH(aux_sheet_RRS!$E82,aux_sheet_RRS!$D$2:$D$202,0)),0))</f>
        <v/>
      </c>
      <c r="P83" s="106" t="str">
        <f ca="1">IF($B83="","",INDIRECT("aux_sheet_RRS!X"&amp;1+MATCH(aux_sheet_RRS!$E82,aux_sheet_RRS!$D$2:$D$202,0)))</f>
        <v/>
      </c>
      <c r="Q83" s="89" t="str">
        <f ca="1">IF($B83="","",INDIRECT("aux_sheet_RRS!Y"&amp;1+MATCH(aux_sheet_RRS!$E82,aux_sheet_RRS!$D$2:$D$202,0)))</f>
        <v/>
      </c>
      <c r="R83" s="90" t="str">
        <f ca="1">IF(P83="","",INDIRECT("aux_sheet_RRS!Z"&amp;1+MATCH(aux_sheet_RRS!$E82,aux_sheet_RRS!$D$2:$D$202,0)))</f>
        <v/>
      </c>
      <c r="S83" s="106" t="str">
        <f ca="1">IF($B83="","",INDIRECT("aux_sheet_RRS!AA"&amp;1+MATCH(aux_sheet_RRS!$E82,aux_sheet_RRS!$D$2:$D$202,0)))</f>
        <v/>
      </c>
      <c r="T83" s="89" t="str">
        <f ca="1">IF($B83="","",INDIRECT("aux_sheet_RRS!AB"&amp;1+MATCH(aux_sheet_RRS!$E82,aux_sheet_RRS!$D$2:$D$202,0)))</f>
        <v/>
      </c>
      <c r="U83" s="90" t="str">
        <f ca="1">IF(S83="","",INDIRECT("aux_sheet_RRS!AC"&amp;1+MATCH(aux_sheet_RRS!$E82,aux_sheet_RRS!$D$2:$D$202,0)))</f>
        <v/>
      </c>
      <c r="V83" s="106" t="str">
        <f ca="1">IF($B83="","",INDIRECT("aux_sheet_RRS!AD"&amp;1+MATCH(aux_sheet_RRS!$E82,aux_sheet_RRS!$D$2:$D$202,0)))</f>
        <v/>
      </c>
      <c r="W83" s="89" t="str">
        <f ca="1">IF($B83="","",INDIRECT("aux_sheet_RRS!AE"&amp;1+MATCH(aux_sheet_RRS!$E82,aux_sheet_RRS!$D$2:$D$202,0)))</f>
        <v/>
      </c>
      <c r="X83" s="90" t="str">
        <f ca="1">IF(V83="","",INDIRECT("aux_sheet_RRS!AF"&amp;1+MATCH(aux_sheet_RRS!$E82,aux_sheet_RRS!$D$2:$D$202,0)))</f>
        <v/>
      </c>
      <c r="Y83" s="106" t="str">
        <f ca="1">IF($B83="","",INDIRECT("aux_sheet_RRS!AG"&amp;1+MATCH(aux_sheet_RRS!$E82,aux_sheet_RRS!$D$2:$D$202,0)))</f>
        <v/>
      </c>
      <c r="Z83" s="89" t="str">
        <f ca="1">IF($B83="","",INDIRECT("aux_sheet_RRS!AH"&amp;1+MATCH(aux_sheet_RRS!$E82,aux_sheet_RRS!$D$2:$D$202,0)))</f>
        <v/>
      </c>
      <c r="AA83" s="90" t="str">
        <f ca="1">IF(Y83="","",INDIRECT("aux_sheet_RRS!AI"&amp;1+MATCH(aux_sheet_RRS!$E82,aux_sheet_RRS!$D$2:$D$202,0)))</f>
        <v/>
      </c>
      <c r="AB83" s="88" t="str">
        <f ca="1">IF($B83="","",INDIRECT("aux_sheet_RRS!AJ"&amp;1+MATCH(aux_sheet_RRS!$E82,aux_sheet_RRS!$D$2:$D$202,0)))</f>
        <v/>
      </c>
      <c r="AC83" s="89" t="str">
        <f ca="1">IF($B83="","",INDIRECT("aux_sheet_RRS!AK"&amp;1+MATCH(aux_sheet_RRS!$E82,aux_sheet_RRS!$D$2:$D$202,0)))</f>
        <v/>
      </c>
      <c r="AD83" s="90" t="str">
        <f ca="1">IF(AB83="","",INDIRECT("aux_sheet_RRS!AL"&amp;1+MATCH(aux_sheet_RRS!$E82,aux_sheet_RRS!$D$2:$D$202,0)))</f>
        <v/>
      </c>
      <c r="AE83" s="88" t="str">
        <f ca="1">IF($B83="","",INDIRECT("aux_sheet_RRS!AM"&amp;1+MATCH(aux_sheet_RRS!$E82,aux_sheet_RRS!$D$2:$D$202,0)))</f>
        <v/>
      </c>
      <c r="AF83" s="89" t="str">
        <f ca="1">IF($B83="","",INDIRECT("aux_sheet_RRS!AN"&amp;1+MATCH(aux_sheet_RRS!$E82,aux_sheet_RRS!$D$2:$D$202,0)))</f>
        <v/>
      </c>
      <c r="AG83" s="90" t="str">
        <f ca="1">IF(AE83="","",INDIRECT("aux_sheet_RRS!AO"&amp;1+MATCH(aux_sheet_RRS!$E82,aux_sheet_RRS!$D$2:$D$202,0)))</f>
        <v/>
      </c>
      <c r="AH83" s="14" t="str">
        <f t="shared" ca="1" si="6"/>
        <v/>
      </c>
      <c r="AI83" t="str">
        <f t="shared" ca="1" si="7"/>
        <v/>
      </c>
      <c r="AJ83" t="str">
        <f t="shared" ca="1" si="8"/>
        <v/>
      </c>
    </row>
    <row r="84" spans="1:36" x14ac:dyDescent="0.35">
      <c r="A84" s="2" t="str">
        <f>IF(ISBLANK(Input!A83),"",ROUNDDOWN(aux_sheet_RRS!E83,0))</f>
        <v/>
      </c>
      <c r="B84" s="2" t="str">
        <f ca="1">IF(ISBLANK(Input!A83),"",INDIRECT("Input!A"&amp;1+MATCH(aux_sheet_RRS!$E83,aux_sheet_RRS!$D$2:$D$202,0)))</f>
        <v/>
      </c>
      <c r="C84" s="2" t="str">
        <f ca="1">IF(ISBLANK(Input!B83),"",INDIRECT("Input!B"&amp;1+MATCH(aux_sheet_RRS!$E83,aux_sheet_RRS!$D$2:$D$202,0)))</f>
        <v/>
      </c>
      <c r="D84" s="2" t="str">
        <f ca="1">IF(ISBLANK(Input!C83),"",INDIRECT("Input!C"&amp;1+MATCH(aux_sheet_RRS!$E83,aux_sheet_RRS!$D$2:$D$202,0)))</f>
        <v/>
      </c>
      <c r="E84" s="2" t="str">
        <f ca="1">IF(ISBLANK(Input!D83),"",INDIRECT("Input!D"&amp;1+MATCH(aux_sheet_RRS!$E83,aux_sheet_RRS!$D$2:$D$202,0)))</f>
        <v/>
      </c>
      <c r="F84" s="11" t="str">
        <f ca="1">INDIRECT("Input!H"&amp;1+MATCH(aux_sheet_RRS!$E83,aux_sheet_RRS!$D$2:$D$202,0))</f>
        <v xml:space="preserve"> </v>
      </c>
      <c r="G84" s="88" t="str">
        <f ca="1">IF($B84="","",INDIRECT("aux_sheet_RRS!O"&amp;1+MATCH(aux_sheet_RRS!$E83,aux_sheet_RRS!$D$2:$D$202,0)))</f>
        <v/>
      </c>
      <c r="H84" s="89" t="str">
        <f ca="1">IF($B84="","",INDIRECT("aux_sheet_RRS!P"&amp;1+MATCH(aux_sheet_RRS!$E83,aux_sheet_RRS!$D$2:$D$202,0)))</f>
        <v/>
      </c>
      <c r="I84" s="90" t="str">
        <f ca="1">IF(G84="","",ROUNDDOWN(INDIRECT("aux_sheet_RRS!Q"&amp;1+MATCH(aux_sheet_RRS!$E83,aux_sheet_RRS!$D$2:$D$202,0)),0))</f>
        <v/>
      </c>
      <c r="J84" s="106" t="str">
        <f ca="1">IF($B84="","",INDIRECT("aux_sheet_RRS!R"&amp;1+MATCH(aux_sheet_RRS!$E83,aux_sheet_RRS!$D$2:$D$202,0)))</f>
        <v/>
      </c>
      <c r="K84" s="89" t="str">
        <f ca="1">IF($B84="","",INDIRECT("aux_sheet_RRS!S"&amp;1+MATCH(aux_sheet_RRS!$E83,aux_sheet_RRS!$D$2:$D$202,0)))</f>
        <v/>
      </c>
      <c r="L84" s="90" t="str">
        <f ca="1">IF(J84="","",ROUNDDOWN(INDIRECT("aux_sheet_RRS!T"&amp;1+MATCH(aux_sheet_RRS!$E83,aux_sheet_RRS!$D$2:$D$202,0)),0))</f>
        <v/>
      </c>
      <c r="M84" s="106" t="str">
        <f ca="1">IF($B84="","",INDIRECT("aux_sheet_RRS!U"&amp;1+MATCH(aux_sheet_RRS!$E83,aux_sheet_RRS!$D$2:$D$202,0)))</f>
        <v/>
      </c>
      <c r="N84" s="89" t="str">
        <f ca="1">IF($B84="","",INDIRECT("aux_sheet_RRS!V"&amp;1+MATCH(aux_sheet_RRS!$E83,aux_sheet_RRS!$D$2:$D$202,0)))</f>
        <v/>
      </c>
      <c r="O84" s="90" t="str">
        <f ca="1">IF(M84="","",ROUNDDOWN(INDIRECT("aux_sheet_RRS!W"&amp;1+MATCH(aux_sheet_RRS!$E83,aux_sheet_RRS!$D$2:$D$202,0)),0))</f>
        <v/>
      </c>
      <c r="P84" s="106" t="str">
        <f ca="1">IF($B84="","",INDIRECT("aux_sheet_RRS!X"&amp;1+MATCH(aux_sheet_RRS!$E83,aux_sheet_RRS!$D$2:$D$202,0)))</f>
        <v/>
      </c>
      <c r="Q84" s="89" t="str">
        <f ca="1">IF($B84="","",INDIRECT("aux_sheet_RRS!Y"&amp;1+MATCH(aux_sheet_RRS!$E83,aux_sheet_RRS!$D$2:$D$202,0)))</f>
        <v/>
      </c>
      <c r="R84" s="90" t="str">
        <f ca="1">IF(P84="","",INDIRECT("aux_sheet_RRS!Z"&amp;1+MATCH(aux_sheet_RRS!$E83,aux_sheet_RRS!$D$2:$D$202,0)))</f>
        <v/>
      </c>
      <c r="S84" s="106" t="str">
        <f ca="1">IF($B84="","",INDIRECT("aux_sheet_RRS!AA"&amp;1+MATCH(aux_sheet_RRS!$E83,aux_sheet_RRS!$D$2:$D$202,0)))</f>
        <v/>
      </c>
      <c r="T84" s="89" t="str">
        <f ca="1">IF($B84="","",INDIRECT("aux_sheet_RRS!AB"&amp;1+MATCH(aux_sheet_RRS!$E83,aux_sheet_RRS!$D$2:$D$202,0)))</f>
        <v/>
      </c>
      <c r="U84" s="90" t="str">
        <f ca="1">IF(S84="","",INDIRECT("aux_sheet_RRS!AC"&amp;1+MATCH(aux_sheet_RRS!$E83,aux_sheet_RRS!$D$2:$D$202,0)))</f>
        <v/>
      </c>
      <c r="V84" s="106" t="str">
        <f ca="1">IF($B84="","",INDIRECT("aux_sheet_RRS!AD"&amp;1+MATCH(aux_sheet_RRS!$E83,aux_sheet_RRS!$D$2:$D$202,0)))</f>
        <v/>
      </c>
      <c r="W84" s="89" t="str">
        <f ca="1">IF($B84="","",INDIRECT("aux_sheet_RRS!AE"&amp;1+MATCH(aux_sheet_RRS!$E83,aux_sheet_RRS!$D$2:$D$202,0)))</f>
        <v/>
      </c>
      <c r="X84" s="90" t="str">
        <f ca="1">IF(V84="","",INDIRECT("aux_sheet_RRS!AF"&amp;1+MATCH(aux_sheet_RRS!$E83,aux_sheet_RRS!$D$2:$D$202,0)))</f>
        <v/>
      </c>
      <c r="Y84" s="106" t="str">
        <f ca="1">IF($B84="","",INDIRECT("aux_sheet_RRS!AG"&amp;1+MATCH(aux_sheet_RRS!$E83,aux_sheet_RRS!$D$2:$D$202,0)))</f>
        <v/>
      </c>
      <c r="Z84" s="89" t="str">
        <f ca="1">IF($B84="","",INDIRECT("aux_sheet_RRS!AH"&amp;1+MATCH(aux_sheet_RRS!$E83,aux_sheet_RRS!$D$2:$D$202,0)))</f>
        <v/>
      </c>
      <c r="AA84" s="90" t="str">
        <f ca="1">IF(Y84="","",INDIRECT("aux_sheet_RRS!AI"&amp;1+MATCH(aux_sheet_RRS!$E83,aux_sheet_RRS!$D$2:$D$202,0)))</f>
        <v/>
      </c>
      <c r="AB84" s="88" t="str">
        <f ca="1">IF($B84="","",INDIRECT("aux_sheet_RRS!AJ"&amp;1+MATCH(aux_sheet_RRS!$E83,aux_sheet_RRS!$D$2:$D$202,0)))</f>
        <v/>
      </c>
      <c r="AC84" s="89" t="str">
        <f ca="1">IF($B84="","",INDIRECT("aux_sheet_RRS!AK"&amp;1+MATCH(aux_sheet_RRS!$E83,aux_sheet_RRS!$D$2:$D$202,0)))</f>
        <v/>
      </c>
      <c r="AD84" s="90" t="str">
        <f ca="1">IF(AB84="","",INDIRECT("aux_sheet_RRS!AL"&amp;1+MATCH(aux_sheet_RRS!$E83,aux_sheet_RRS!$D$2:$D$202,0)))</f>
        <v/>
      </c>
      <c r="AE84" s="88" t="str">
        <f ca="1">IF($B84="","",INDIRECT("aux_sheet_RRS!AM"&amp;1+MATCH(aux_sheet_RRS!$E83,aux_sheet_RRS!$D$2:$D$202,0)))</f>
        <v/>
      </c>
      <c r="AF84" s="89" t="str">
        <f ca="1">IF($B84="","",INDIRECT("aux_sheet_RRS!AN"&amp;1+MATCH(aux_sheet_RRS!$E83,aux_sheet_RRS!$D$2:$D$202,0)))</f>
        <v/>
      </c>
      <c r="AG84" s="90" t="str">
        <f ca="1">IF(AE84="","",INDIRECT("aux_sheet_RRS!AO"&amp;1+MATCH(aux_sheet_RRS!$E83,aux_sheet_RRS!$D$2:$D$202,0)))</f>
        <v/>
      </c>
      <c r="AH84" s="14" t="str">
        <f t="shared" ca="1" si="6"/>
        <v/>
      </c>
      <c r="AI84" t="str">
        <f t="shared" ca="1" si="7"/>
        <v/>
      </c>
      <c r="AJ84" t="str">
        <f t="shared" ca="1" si="8"/>
        <v/>
      </c>
    </row>
    <row r="85" spans="1:36" x14ac:dyDescent="0.35">
      <c r="A85" s="2" t="str">
        <f>IF(ISBLANK(Input!A84),"",ROUNDDOWN(aux_sheet_RRS!E84,0))</f>
        <v/>
      </c>
      <c r="B85" s="2" t="str">
        <f ca="1">IF(ISBLANK(Input!A84),"",INDIRECT("Input!A"&amp;1+MATCH(aux_sheet_RRS!$E84,aux_sheet_RRS!$D$2:$D$202,0)))</f>
        <v/>
      </c>
      <c r="C85" s="2" t="str">
        <f ca="1">IF(ISBLANK(Input!B84),"",INDIRECT("Input!B"&amp;1+MATCH(aux_sheet_RRS!$E84,aux_sheet_RRS!$D$2:$D$202,0)))</f>
        <v/>
      </c>
      <c r="D85" s="2" t="str">
        <f ca="1">IF(ISBLANK(Input!C84),"",INDIRECT("Input!C"&amp;1+MATCH(aux_sheet_RRS!$E84,aux_sheet_RRS!$D$2:$D$202,0)))</f>
        <v/>
      </c>
      <c r="E85" s="2" t="str">
        <f ca="1">IF(ISBLANK(Input!D84),"",INDIRECT("Input!D"&amp;1+MATCH(aux_sheet_RRS!$E84,aux_sheet_RRS!$D$2:$D$202,0)))</f>
        <v/>
      </c>
      <c r="F85" s="11" t="str">
        <f ca="1">INDIRECT("Input!H"&amp;1+MATCH(aux_sheet_RRS!$E84,aux_sheet_RRS!$D$2:$D$202,0))</f>
        <v xml:space="preserve"> </v>
      </c>
      <c r="G85" s="88" t="str">
        <f ca="1">IF($B85="","",INDIRECT("aux_sheet_RRS!O"&amp;1+MATCH(aux_sheet_RRS!$E84,aux_sheet_RRS!$D$2:$D$202,0)))</f>
        <v/>
      </c>
      <c r="H85" s="89" t="str">
        <f ca="1">IF($B85="","",INDIRECT("aux_sheet_RRS!P"&amp;1+MATCH(aux_sheet_RRS!$E84,aux_sheet_RRS!$D$2:$D$202,0)))</f>
        <v/>
      </c>
      <c r="I85" s="90" t="str">
        <f ca="1">IF(G85="","",ROUNDDOWN(INDIRECT("aux_sheet_RRS!Q"&amp;1+MATCH(aux_sheet_RRS!$E84,aux_sheet_RRS!$D$2:$D$202,0)),0))</f>
        <v/>
      </c>
      <c r="J85" s="106" t="str">
        <f ca="1">IF($B85="","",INDIRECT("aux_sheet_RRS!R"&amp;1+MATCH(aux_sheet_RRS!$E84,aux_sheet_RRS!$D$2:$D$202,0)))</f>
        <v/>
      </c>
      <c r="K85" s="89" t="str">
        <f ca="1">IF($B85="","",INDIRECT("aux_sheet_RRS!S"&amp;1+MATCH(aux_sheet_RRS!$E84,aux_sheet_RRS!$D$2:$D$202,0)))</f>
        <v/>
      </c>
      <c r="L85" s="90" t="str">
        <f ca="1">IF(J85="","",ROUNDDOWN(INDIRECT("aux_sheet_RRS!T"&amp;1+MATCH(aux_sheet_RRS!$E84,aux_sheet_RRS!$D$2:$D$202,0)),0))</f>
        <v/>
      </c>
      <c r="M85" s="106" t="str">
        <f ca="1">IF($B85="","",INDIRECT("aux_sheet_RRS!U"&amp;1+MATCH(aux_sheet_RRS!$E84,aux_sheet_RRS!$D$2:$D$202,0)))</f>
        <v/>
      </c>
      <c r="N85" s="89" t="str">
        <f ca="1">IF($B85="","",INDIRECT("aux_sheet_RRS!V"&amp;1+MATCH(aux_sheet_RRS!$E84,aux_sheet_RRS!$D$2:$D$202,0)))</f>
        <v/>
      </c>
      <c r="O85" s="90" t="str">
        <f ca="1">IF(M85="","",ROUNDDOWN(INDIRECT("aux_sheet_RRS!W"&amp;1+MATCH(aux_sheet_RRS!$E84,aux_sheet_RRS!$D$2:$D$202,0)),0))</f>
        <v/>
      </c>
      <c r="P85" s="106" t="str">
        <f ca="1">IF($B85="","",INDIRECT("aux_sheet_RRS!X"&amp;1+MATCH(aux_sheet_RRS!$E84,aux_sheet_RRS!$D$2:$D$202,0)))</f>
        <v/>
      </c>
      <c r="Q85" s="89" t="str">
        <f ca="1">IF($B85="","",INDIRECT("aux_sheet_RRS!Y"&amp;1+MATCH(aux_sheet_RRS!$E84,aux_sheet_RRS!$D$2:$D$202,0)))</f>
        <v/>
      </c>
      <c r="R85" s="90" t="str">
        <f ca="1">IF(P85="","",INDIRECT("aux_sheet_RRS!Z"&amp;1+MATCH(aux_sheet_RRS!$E84,aux_sheet_RRS!$D$2:$D$202,0)))</f>
        <v/>
      </c>
      <c r="S85" s="106" t="str">
        <f ca="1">IF($B85="","",INDIRECT("aux_sheet_RRS!AA"&amp;1+MATCH(aux_sheet_RRS!$E84,aux_sheet_RRS!$D$2:$D$202,0)))</f>
        <v/>
      </c>
      <c r="T85" s="89" t="str">
        <f ca="1">IF($B85="","",INDIRECT("aux_sheet_RRS!AB"&amp;1+MATCH(aux_sheet_RRS!$E84,aux_sheet_RRS!$D$2:$D$202,0)))</f>
        <v/>
      </c>
      <c r="U85" s="90" t="str">
        <f ca="1">IF(S85="","",INDIRECT("aux_sheet_RRS!AC"&amp;1+MATCH(aux_sheet_RRS!$E84,aux_sheet_RRS!$D$2:$D$202,0)))</f>
        <v/>
      </c>
      <c r="V85" s="106" t="str">
        <f ca="1">IF($B85="","",INDIRECT("aux_sheet_RRS!AD"&amp;1+MATCH(aux_sheet_RRS!$E84,aux_sheet_RRS!$D$2:$D$202,0)))</f>
        <v/>
      </c>
      <c r="W85" s="89" t="str">
        <f ca="1">IF($B85="","",INDIRECT("aux_sheet_RRS!AE"&amp;1+MATCH(aux_sheet_RRS!$E84,aux_sheet_RRS!$D$2:$D$202,0)))</f>
        <v/>
      </c>
      <c r="X85" s="90" t="str">
        <f ca="1">IF(V85="","",INDIRECT("aux_sheet_RRS!AF"&amp;1+MATCH(aux_sheet_RRS!$E84,aux_sheet_RRS!$D$2:$D$202,0)))</f>
        <v/>
      </c>
      <c r="Y85" s="106" t="str">
        <f ca="1">IF($B85="","",INDIRECT("aux_sheet_RRS!AG"&amp;1+MATCH(aux_sheet_RRS!$E84,aux_sheet_RRS!$D$2:$D$202,0)))</f>
        <v/>
      </c>
      <c r="Z85" s="89" t="str">
        <f ca="1">IF($B85="","",INDIRECT("aux_sheet_RRS!AH"&amp;1+MATCH(aux_sheet_RRS!$E84,aux_sheet_RRS!$D$2:$D$202,0)))</f>
        <v/>
      </c>
      <c r="AA85" s="90" t="str">
        <f ca="1">IF(Y85="","",INDIRECT("aux_sheet_RRS!AI"&amp;1+MATCH(aux_sheet_RRS!$E84,aux_sheet_RRS!$D$2:$D$202,0)))</f>
        <v/>
      </c>
      <c r="AB85" s="88" t="str">
        <f ca="1">IF($B85="","",INDIRECT("aux_sheet_RRS!AJ"&amp;1+MATCH(aux_sheet_RRS!$E84,aux_sheet_RRS!$D$2:$D$202,0)))</f>
        <v/>
      </c>
      <c r="AC85" s="89" t="str">
        <f ca="1">IF($B85="","",INDIRECT("aux_sheet_RRS!AK"&amp;1+MATCH(aux_sheet_RRS!$E84,aux_sheet_RRS!$D$2:$D$202,0)))</f>
        <v/>
      </c>
      <c r="AD85" s="90" t="str">
        <f ca="1">IF(AB85="","",INDIRECT("aux_sheet_RRS!AL"&amp;1+MATCH(aux_sheet_RRS!$E84,aux_sheet_RRS!$D$2:$D$202,0)))</f>
        <v/>
      </c>
      <c r="AE85" s="88" t="str">
        <f ca="1">IF($B85="","",INDIRECT("aux_sheet_RRS!AM"&amp;1+MATCH(aux_sheet_RRS!$E84,aux_sheet_RRS!$D$2:$D$202,0)))</f>
        <v/>
      </c>
      <c r="AF85" s="89" t="str">
        <f ca="1">IF($B85="","",INDIRECT("aux_sheet_RRS!AN"&amp;1+MATCH(aux_sheet_RRS!$E84,aux_sheet_RRS!$D$2:$D$202,0)))</f>
        <v/>
      </c>
      <c r="AG85" s="90" t="str">
        <f ca="1">IF(AE85="","",INDIRECT("aux_sheet_RRS!AO"&amp;1+MATCH(aux_sheet_RRS!$E84,aux_sheet_RRS!$D$2:$D$202,0)))</f>
        <v/>
      </c>
      <c r="AH85" s="14" t="str">
        <f t="shared" ca="1" si="6"/>
        <v/>
      </c>
      <c r="AI85" t="str">
        <f t="shared" ca="1" si="7"/>
        <v/>
      </c>
      <c r="AJ85" t="str">
        <f t="shared" ca="1" si="8"/>
        <v/>
      </c>
    </row>
    <row r="86" spans="1:36" x14ac:dyDescent="0.35">
      <c r="A86" s="2" t="str">
        <f>IF(ISBLANK(Input!A85),"",ROUNDDOWN(aux_sheet_RRS!E85,0))</f>
        <v/>
      </c>
      <c r="B86" s="2" t="str">
        <f ca="1">IF(ISBLANK(Input!A85),"",INDIRECT("Input!A"&amp;1+MATCH(aux_sheet_RRS!$E85,aux_sheet_RRS!$D$2:$D$202,0)))</f>
        <v/>
      </c>
      <c r="C86" s="2" t="str">
        <f ca="1">IF(ISBLANK(Input!B85),"",INDIRECT("Input!B"&amp;1+MATCH(aux_sheet_RRS!$E85,aux_sheet_RRS!$D$2:$D$202,0)))</f>
        <v/>
      </c>
      <c r="D86" s="2" t="str">
        <f ca="1">IF(ISBLANK(Input!C85),"",INDIRECT("Input!C"&amp;1+MATCH(aux_sheet_RRS!$E85,aux_sheet_RRS!$D$2:$D$202,0)))</f>
        <v/>
      </c>
      <c r="E86" s="2" t="str">
        <f ca="1">IF(ISBLANK(Input!D85),"",INDIRECT("Input!D"&amp;1+MATCH(aux_sheet_RRS!$E85,aux_sheet_RRS!$D$2:$D$202,0)))</f>
        <v/>
      </c>
      <c r="F86" s="11" t="str">
        <f ca="1">INDIRECT("Input!H"&amp;1+MATCH(aux_sheet_RRS!$E85,aux_sheet_RRS!$D$2:$D$202,0))</f>
        <v xml:space="preserve"> </v>
      </c>
      <c r="G86" s="88" t="str">
        <f ca="1">IF($B86="","",INDIRECT("aux_sheet_RRS!O"&amp;1+MATCH(aux_sheet_RRS!$E85,aux_sheet_RRS!$D$2:$D$202,0)))</f>
        <v/>
      </c>
      <c r="H86" s="89" t="str">
        <f ca="1">IF($B86="","",INDIRECT("aux_sheet_RRS!P"&amp;1+MATCH(aux_sheet_RRS!$E85,aux_sheet_RRS!$D$2:$D$202,0)))</f>
        <v/>
      </c>
      <c r="I86" s="90" t="str">
        <f ca="1">IF(G86="","",ROUNDDOWN(INDIRECT("aux_sheet_RRS!Q"&amp;1+MATCH(aux_sheet_RRS!$E85,aux_sheet_RRS!$D$2:$D$202,0)),0))</f>
        <v/>
      </c>
      <c r="J86" s="106" t="str">
        <f ca="1">IF($B86="","",INDIRECT("aux_sheet_RRS!R"&amp;1+MATCH(aux_sheet_RRS!$E85,aux_sheet_RRS!$D$2:$D$202,0)))</f>
        <v/>
      </c>
      <c r="K86" s="89" t="str">
        <f ca="1">IF($B86="","",INDIRECT("aux_sheet_RRS!S"&amp;1+MATCH(aux_sheet_RRS!$E85,aux_sheet_RRS!$D$2:$D$202,0)))</f>
        <v/>
      </c>
      <c r="L86" s="90" t="str">
        <f ca="1">IF(J86="","",ROUNDDOWN(INDIRECT("aux_sheet_RRS!T"&amp;1+MATCH(aux_sheet_RRS!$E85,aux_sheet_RRS!$D$2:$D$202,0)),0))</f>
        <v/>
      </c>
      <c r="M86" s="106" t="str">
        <f ca="1">IF($B86="","",INDIRECT("aux_sheet_RRS!U"&amp;1+MATCH(aux_sheet_RRS!$E85,aux_sheet_RRS!$D$2:$D$202,0)))</f>
        <v/>
      </c>
      <c r="N86" s="89" t="str">
        <f ca="1">IF($B86="","",INDIRECT("aux_sheet_RRS!V"&amp;1+MATCH(aux_sheet_RRS!$E85,aux_sheet_RRS!$D$2:$D$202,0)))</f>
        <v/>
      </c>
      <c r="O86" s="90" t="str">
        <f ca="1">IF(M86="","",ROUNDDOWN(INDIRECT("aux_sheet_RRS!W"&amp;1+MATCH(aux_sheet_RRS!$E85,aux_sheet_RRS!$D$2:$D$202,0)),0))</f>
        <v/>
      </c>
      <c r="P86" s="106" t="str">
        <f ca="1">IF($B86="","",INDIRECT("aux_sheet_RRS!X"&amp;1+MATCH(aux_sheet_RRS!$E85,aux_sheet_RRS!$D$2:$D$202,0)))</f>
        <v/>
      </c>
      <c r="Q86" s="89" t="str">
        <f ca="1">IF($B86="","",INDIRECT("aux_sheet_RRS!Y"&amp;1+MATCH(aux_sheet_RRS!$E85,aux_sheet_RRS!$D$2:$D$202,0)))</f>
        <v/>
      </c>
      <c r="R86" s="90" t="str">
        <f ca="1">IF(P86="","",INDIRECT("aux_sheet_RRS!Z"&amp;1+MATCH(aux_sheet_RRS!$E85,aux_sheet_RRS!$D$2:$D$202,0)))</f>
        <v/>
      </c>
      <c r="S86" s="106" t="str">
        <f ca="1">IF($B86="","",INDIRECT("aux_sheet_RRS!AA"&amp;1+MATCH(aux_sheet_RRS!$E85,aux_sheet_RRS!$D$2:$D$202,0)))</f>
        <v/>
      </c>
      <c r="T86" s="89" t="str">
        <f ca="1">IF($B86="","",INDIRECT("aux_sheet_RRS!AB"&amp;1+MATCH(aux_sheet_RRS!$E85,aux_sheet_RRS!$D$2:$D$202,0)))</f>
        <v/>
      </c>
      <c r="U86" s="90" t="str">
        <f ca="1">IF(S86="","",INDIRECT("aux_sheet_RRS!AC"&amp;1+MATCH(aux_sheet_RRS!$E85,aux_sheet_RRS!$D$2:$D$202,0)))</f>
        <v/>
      </c>
      <c r="V86" s="106" t="str">
        <f ca="1">IF($B86="","",INDIRECT("aux_sheet_RRS!AD"&amp;1+MATCH(aux_sheet_RRS!$E85,aux_sheet_RRS!$D$2:$D$202,0)))</f>
        <v/>
      </c>
      <c r="W86" s="89" t="str">
        <f ca="1">IF($B86="","",INDIRECT("aux_sheet_RRS!AE"&amp;1+MATCH(aux_sheet_RRS!$E85,aux_sheet_RRS!$D$2:$D$202,0)))</f>
        <v/>
      </c>
      <c r="X86" s="90" t="str">
        <f ca="1">IF(V86="","",INDIRECT("aux_sheet_RRS!AF"&amp;1+MATCH(aux_sheet_RRS!$E85,aux_sheet_RRS!$D$2:$D$202,0)))</f>
        <v/>
      </c>
      <c r="Y86" s="106" t="str">
        <f ca="1">IF($B86="","",INDIRECT("aux_sheet_RRS!AG"&amp;1+MATCH(aux_sheet_RRS!$E85,aux_sheet_RRS!$D$2:$D$202,0)))</f>
        <v/>
      </c>
      <c r="Z86" s="89" t="str">
        <f ca="1">IF($B86="","",INDIRECT("aux_sheet_RRS!AH"&amp;1+MATCH(aux_sheet_RRS!$E85,aux_sheet_RRS!$D$2:$D$202,0)))</f>
        <v/>
      </c>
      <c r="AA86" s="90" t="str">
        <f ca="1">IF(Y86="","",INDIRECT("aux_sheet_RRS!AI"&amp;1+MATCH(aux_sheet_RRS!$E85,aux_sheet_RRS!$D$2:$D$202,0)))</f>
        <v/>
      </c>
      <c r="AB86" s="88" t="str">
        <f ca="1">IF($B86="","",INDIRECT("aux_sheet_RRS!AJ"&amp;1+MATCH(aux_sheet_RRS!$E85,aux_sheet_RRS!$D$2:$D$202,0)))</f>
        <v/>
      </c>
      <c r="AC86" s="89" t="str">
        <f ca="1">IF($B86="","",INDIRECT("aux_sheet_RRS!AK"&amp;1+MATCH(aux_sheet_RRS!$E85,aux_sheet_RRS!$D$2:$D$202,0)))</f>
        <v/>
      </c>
      <c r="AD86" s="90" t="str">
        <f ca="1">IF(AB86="","",INDIRECT("aux_sheet_RRS!AL"&amp;1+MATCH(aux_sheet_RRS!$E85,aux_sheet_RRS!$D$2:$D$202,0)))</f>
        <v/>
      </c>
      <c r="AE86" s="88" t="str">
        <f ca="1">IF($B86="","",INDIRECT("aux_sheet_RRS!AM"&amp;1+MATCH(aux_sheet_RRS!$E85,aux_sheet_RRS!$D$2:$D$202,0)))</f>
        <v/>
      </c>
      <c r="AF86" s="89" t="str">
        <f ca="1">IF($B86="","",INDIRECT("aux_sheet_RRS!AN"&amp;1+MATCH(aux_sheet_RRS!$E85,aux_sheet_RRS!$D$2:$D$202,0)))</f>
        <v/>
      </c>
      <c r="AG86" s="90" t="str">
        <f ca="1">IF(AE86="","",INDIRECT("aux_sheet_RRS!AO"&amp;1+MATCH(aux_sheet_RRS!$E85,aux_sheet_RRS!$D$2:$D$202,0)))</f>
        <v/>
      </c>
      <c r="AH86" s="14" t="str">
        <f t="shared" ca="1" si="6"/>
        <v/>
      </c>
      <c r="AI86" t="str">
        <f t="shared" ca="1" si="7"/>
        <v/>
      </c>
      <c r="AJ86" t="str">
        <f t="shared" ca="1" si="8"/>
        <v/>
      </c>
    </row>
    <row r="87" spans="1:36" x14ac:dyDescent="0.35">
      <c r="A87" s="2" t="str">
        <f>IF(ISBLANK(Input!A86),"",ROUNDDOWN(aux_sheet_RRS!E86,0))</f>
        <v/>
      </c>
      <c r="B87" s="2" t="str">
        <f ca="1">IF(ISBLANK(Input!A86),"",INDIRECT("Input!A"&amp;1+MATCH(aux_sheet_RRS!$E86,aux_sheet_RRS!$D$2:$D$202,0)))</f>
        <v/>
      </c>
      <c r="C87" s="2" t="str">
        <f ca="1">IF(ISBLANK(Input!B86),"",INDIRECT("Input!B"&amp;1+MATCH(aux_sheet_RRS!$E86,aux_sheet_RRS!$D$2:$D$202,0)))</f>
        <v/>
      </c>
      <c r="D87" s="2" t="str">
        <f ca="1">IF(ISBLANK(Input!C86),"",INDIRECT("Input!C"&amp;1+MATCH(aux_sheet_RRS!$E86,aux_sheet_RRS!$D$2:$D$202,0)))</f>
        <v/>
      </c>
      <c r="E87" s="2" t="str">
        <f ca="1">IF(ISBLANK(Input!D86),"",INDIRECT("Input!D"&amp;1+MATCH(aux_sheet_RRS!$E86,aux_sheet_RRS!$D$2:$D$202,0)))</f>
        <v/>
      </c>
      <c r="F87" s="11" t="str">
        <f ca="1">INDIRECT("Input!H"&amp;1+MATCH(aux_sheet_RRS!$E86,aux_sheet_RRS!$D$2:$D$202,0))</f>
        <v xml:space="preserve"> </v>
      </c>
      <c r="G87" s="88" t="str">
        <f ca="1">IF($B87="","",INDIRECT("aux_sheet_RRS!O"&amp;1+MATCH(aux_sheet_RRS!$E86,aux_sheet_RRS!$D$2:$D$202,0)))</f>
        <v/>
      </c>
      <c r="H87" s="89" t="str">
        <f ca="1">IF($B87="","",INDIRECT("aux_sheet_RRS!P"&amp;1+MATCH(aux_sheet_RRS!$E86,aux_sheet_RRS!$D$2:$D$202,0)))</f>
        <v/>
      </c>
      <c r="I87" s="90" t="str">
        <f ca="1">IF(G87="","",ROUNDDOWN(INDIRECT("aux_sheet_RRS!Q"&amp;1+MATCH(aux_sheet_RRS!$E86,aux_sheet_RRS!$D$2:$D$202,0)),0))</f>
        <v/>
      </c>
      <c r="J87" s="106" t="str">
        <f ca="1">IF($B87="","",INDIRECT("aux_sheet_RRS!R"&amp;1+MATCH(aux_sheet_RRS!$E86,aux_sheet_RRS!$D$2:$D$202,0)))</f>
        <v/>
      </c>
      <c r="K87" s="89" t="str">
        <f ca="1">IF($B87="","",INDIRECT("aux_sheet_RRS!S"&amp;1+MATCH(aux_sheet_RRS!$E86,aux_sheet_RRS!$D$2:$D$202,0)))</f>
        <v/>
      </c>
      <c r="L87" s="90" t="str">
        <f ca="1">IF(J87="","",ROUNDDOWN(INDIRECT("aux_sheet_RRS!T"&amp;1+MATCH(aux_sheet_RRS!$E86,aux_sheet_RRS!$D$2:$D$202,0)),0))</f>
        <v/>
      </c>
      <c r="M87" s="106" t="str">
        <f ca="1">IF($B87="","",INDIRECT("aux_sheet_RRS!U"&amp;1+MATCH(aux_sheet_RRS!$E86,aux_sheet_RRS!$D$2:$D$202,0)))</f>
        <v/>
      </c>
      <c r="N87" s="89" t="str">
        <f ca="1">IF($B87="","",INDIRECT("aux_sheet_RRS!V"&amp;1+MATCH(aux_sheet_RRS!$E86,aux_sheet_RRS!$D$2:$D$202,0)))</f>
        <v/>
      </c>
      <c r="O87" s="90" t="str">
        <f ca="1">IF(M87="","",ROUNDDOWN(INDIRECT("aux_sheet_RRS!W"&amp;1+MATCH(aux_sheet_RRS!$E86,aux_sheet_RRS!$D$2:$D$202,0)),0))</f>
        <v/>
      </c>
      <c r="P87" s="106" t="str">
        <f ca="1">IF($B87="","",INDIRECT("aux_sheet_RRS!X"&amp;1+MATCH(aux_sheet_RRS!$E86,aux_sheet_RRS!$D$2:$D$202,0)))</f>
        <v/>
      </c>
      <c r="Q87" s="89" t="str">
        <f ca="1">IF($B87="","",INDIRECT("aux_sheet_RRS!Y"&amp;1+MATCH(aux_sheet_RRS!$E86,aux_sheet_RRS!$D$2:$D$202,0)))</f>
        <v/>
      </c>
      <c r="R87" s="90" t="str">
        <f ca="1">IF(P87="","",INDIRECT("aux_sheet_RRS!Z"&amp;1+MATCH(aux_sheet_RRS!$E86,aux_sheet_RRS!$D$2:$D$202,0)))</f>
        <v/>
      </c>
      <c r="S87" s="106" t="str">
        <f ca="1">IF($B87="","",INDIRECT("aux_sheet_RRS!AA"&amp;1+MATCH(aux_sheet_RRS!$E86,aux_sheet_RRS!$D$2:$D$202,0)))</f>
        <v/>
      </c>
      <c r="T87" s="89" t="str">
        <f ca="1">IF($B87="","",INDIRECT("aux_sheet_RRS!AB"&amp;1+MATCH(aux_sheet_RRS!$E86,aux_sheet_RRS!$D$2:$D$202,0)))</f>
        <v/>
      </c>
      <c r="U87" s="90" t="str">
        <f ca="1">IF(S87="","",INDIRECT("aux_sheet_RRS!AC"&amp;1+MATCH(aux_sheet_RRS!$E86,aux_sheet_RRS!$D$2:$D$202,0)))</f>
        <v/>
      </c>
      <c r="V87" s="106" t="str">
        <f ca="1">IF($B87="","",INDIRECT("aux_sheet_RRS!AD"&amp;1+MATCH(aux_sheet_RRS!$E86,aux_sheet_RRS!$D$2:$D$202,0)))</f>
        <v/>
      </c>
      <c r="W87" s="89" t="str">
        <f ca="1">IF($B87="","",INDIRECT("aux_sheet_RRS!AE"&amp;1+MATCH(aux_sheet_RRS!$E86,aux_sheet_RRS!$D$2:$D$202,0)))</f>
        <v/>
      </c>
      <c r="X87" s="90" t="str">
        <f ca="1">IF(V87="","",INDIRECT("aux_sheet_RRS!AF"&amp;1+MATCH(aux_sheet_RRS!$E86,aux_sheet_RRS!$D$2:$D$202,0)))</f>
        <v/>
      </c>
      <c r="Y87" s="106" t="str">
        <f ca="1">IF($B87="","",INDIRECT("aux_sheet_RRS!AG"&amp;1+MATCH(aux_sheet_RRS!$E86,aux_sheet_RRS!$D$2:$D$202,0)))</f>
        <v/>
      </c>
      <c r="Z87" s="89" t="str">
        <f ca="1">IF($B87="","",INDIRECT("aux_sheet_RRS!AH"&amp;1+MATCH(aux_sheet_RRS!$E86,aux_sheet_RRS!$D$2:$D$202,0)))</f>
        <v/>
      </c>
      <c r="AA87" s="90" t="str">
        <f ca="1">IF(Y87="","",INDIRECT("aux_sheet_RRS!AI"&amp;1+MATCH(aux_sheet_RRS!$E86,aux_sheet_RRS!$D$2:$D$202,0)))</f>
        <v/>
      </c>
      <c r="AB87" s="88" t="str">
        <f ca="1">IF($B87="","",INDIRECT("aux_sheet_RRS!AJ"&amp;1+MATCH(aux_sheet_RRS!$E86,aux_sheet_RRS!$D$2:$D$202,0)))</f>
        <v/>
      </c>
      <c r="AC87" s="89" t="str">
        <f ca="1">IF($B87="","",INDIRECT("aux_sheet_RRS!AK"&amp;1+MATCH(aux_sheet_RRS!$E86,aux_sheet_RRS!$D$2:$D$202,0)))</f>
        <v/>
      </c>
      <c r="AD87" s="90" t="str">
        <f ca="1">IF(AB87="","",INDIRECT("aux_sheet_RRS!AL"&amp;1+MATCH(aux_sheet_RRS!$E86,aux_sheet_RRS!$D$2:$D$202,0)))</f>
        <v/>
      </c>
      <c r="AE87" s="88" t="str">
        <f ca="1">IF($B87="","",INDIRECT("aux_sheet_RRS!AM"&amp;1+MATCH(aux_sheet_RRS!$E86,aux_sheet_RRS!$D$2:$D$202,0)))</f>
        <v/>
      </c>
      <c r="AF87" s="89" t="str">
        <f ca="1">IF($B87="","",INDIRECT("aux_sheet_RRS!AN"&amp;1+MATCH(aux_sheet_RRS!$E86,aux_sheet_RRS!$D$2:$D$202,0)))</f>
        <v/>
      </c>
      <c r="AG87" s="90" t="str">
        <f ca="1">IF(AE87="","",INDIRECT("aux_sheet_RRS!AO"&amp;1+MATCH(aux_sheet_RRS!$E86,aux_sheet_RRS!$D$2:$D$202,0)))</f>
        <v/>
      </c>
      <c r="AH87" s="14" t="str">
        <f t="shared" ca="1" si="6"/>
        <v/>
      </c>
      <c r="AI87" t="str">
        <f t="shared" ca="1" si="7"/>
        <v/>
      </c>
      <c r="AJ87" t="str">
        <f t="shared" ca="1" si="8"/>
        <v/>
      </c>
    </row>
    <row r="88" spans="1:36" x14ac:dyDescent="0.35">
      <c r="A88" s="2" t="str">
        <f>IF(ISBLANK(Input!A87),"",ROUNDDOWN(aux_sheet_RRS!E87,0))</f>
        <v/>
      </c>
      <c r="B88" s="2" t="str">
        <f ca="1">IF(ISBLANK(Input!A87),"",INDIRECT("Input!A"&amp;1+MATCH(aux_sheet_RRS!$E87,aux_sheet_RRS!$D$2:$D$202,0)))</f>
        <v/>
      </c>
      <c r="C88" s="2" t="str">
        <f ca="1">IF(ISBLANK(Input!B87),"",INDIRECT("Input!B"&amp;1+MATCH(aux_sheet_RRS!$E87,aux_sheet_RRS!$D$2:$D$202,0)))</f>
        <v/>
      </c>
      <c r="D88" s="2" t="str">
        <f ca="1">IF(ISBLANK(Input!C87),"",INDIRECT("Input!C"&amp;1+MATCH(aux_sheet_RRS!$E87,aux_sheet_RRS!$D$2:$D$202,0)))</f>
        <v/>
      </c>
      <c r="E88" s="2" t="str">
        <f ca="1">IF(ISBLANK(Input!D87),"",INDIRECT("Input!D"&amp;1+MATCH(aux_sheet_RRS!$E87,aux_sheet_RRS!$D$2:$D$202,0)))</f>
        <v/>
      </c>
      <c r="F88" s="11" t="str">
        <f ca="1">INDIRECT("Input!H"&amp;1+MATCH(aux_sheet_RRS!$E87,aux_sheet_RRS!$D$2:$D$202,0))</f>
        <v xml:space="preserve"> </v>
      </c>
      <c r="G88" s="88" t="str">
        <f ca="1">IF($B88="","",INDIRECT("aux_sheet_RRS!O"&amp;1+MATCH(aux_sheet_RRS!$E87,aux_sheet_RRS!$D$2:$D$202,0)))</f>
        <v/>
      </c>
      <c r="H88" s="89" t="str">
        <f ca="1">IF($B88="","",INDIRECT("aux_sheet_RRS!P"&amp;1+MATCH(aux_sheet_RRS!$E87,aux_sheet_RRS!$D$2:$D$202,0)))</f>
        <v/>
      </c>
      <c r="I88" s="90" t="str">
        <f ca="1">IF(G88="","",ROUNDDOWN(INDIRECT("aux_sheet_RRS!Q"&amp;1+MATCH(aux_sheet_RRS!$E87,aux_sheet_RRS!$D$2:$D$202,0)),0))</f>
        <v/>
      </c>
      <c r="J88" s="106" t="str">
        <f ca="1">IF($B88="","",INDIRECT("aux_sheet_RRS!R"&amp;1+MATCH(aux_sheet_RRS!$E87,aux_sheet_RRS!$D$2:$D$202,0)))</f>
        <v/>
      </c>
      <c r="K88" s="89" t="str">
        <f ca="1">IF($B88="","",INDIRECT("aux_sheet_RRS!S"&amp;1+MATCH(aux_sheet_RRS!$E87,aux_sheet_RRS!$D$2:$D$202,0)))</f>
        <v/>
      </c>
      <c r="L88" s="90" t="str">
        <f ca="1">IF(J88="","",ROUNDDOWN(INDIRECT("aux_sheet_RRS!T"&amp;1+MATCH(aux_sheet_RRS!$E87,aux_sheet_RRS!$D$2:$D$202,0)),0))</f>
        <v/>
      </c>
      <c r="M88" s="106" t="str">
        <f ca="1">IF($B88="","",INDIRECT("aux_sheet_RRS!U"&amp;1+MATCH(aux_sheet_RRS!$E87,aux_sheet_RRS!$D$2:$D$202,0)))</f>
        <v/>
      </c>
      <c r="N88" s="89" t="str">
        <f ca="1">IF($B88="","",INDIRECT("aux_sheet_RRS!V"&amp;1+MATCH(aux_sheet_RRS!$E87,aux_sheet_RRS!$D$2:$D$202,0)))</f>
        <v/>
      </c>
      <c r="O88" s="90" t="str">
        <f ca="1">IF(M88="","",ROUNDDOWN(INDIRECT("aux_sheet_RRS!W"&amp;1+MATCH(aux_sheet_RRS!$E87,aux_sheet_RRS!$D$2:$D$202,0)),0))</f>
        <v/>
      </c>
      <c r="P88" s="106" t="str">
        <f ca="1">IF($B88="","",INDIRECT("aux_sheet_RRS!X"&amp;1+MATCH(aux_sheet_RRS!$E87,aux_sheet_RRS!$D$2:$D$202,0)))</f>
        <v/>
      </c>
      <c r="Q88" s="89" t="str">
        <f ca="1">IF($B88="","",INDIRECT("aux_sheet_RRS!Y"&amp;1+MATCH(aux_sheet_RRS!$E87,aux_sheet_RRS!$D$2:$D$202,0)))</f>
        <v/>
      </c>
      <c r="R88" s="90" t="str">
        <f ca="1">IF(P88="","",INDIRECT("aux_sheet_RRS!Z"&amp;1+MATCH(aux_sheet_RRS!$E87,aux_sheet_RRS!$D$2:$D$202,0)))</f>
        <v/>
      </c>
      <c r="S88" s="106" t="str">
        <f ca="1">IF($B88="","",INDIRECT("aux_sheet_RRS!AA"&amp;1+MATCH(aux_sheet_RRS!$E87,aux_sheet_RRS!$D$2:$D$202,0)))</f>
        <v/>
      </c>
      <c r="T88" s="89" t="str">
        <f ca="1">IF($B88="","",INDIRECT("aux_sheet_RRS!AB"&amp;1+MATCH(aux_sheet_RRS!$E87,aux_sheet_RRS!$D$2:$D$202,0)))</f>
        <v/>
      </c>
      <c r="U88" s="90" t="str">
        <f ca="1">IF(S88="","",INDIRECT("aux_sheet_RRS!AC"&amp;1+MATCH(aux_sheet_RRS!$E87,aux_sheet_RRS!$D$2:$D$202,0)))</f>
        <v/>
      </c>
      <c r="V88" s="106" t="str">
        <f ca="1">IF($B88="","",INDIRECT("aux_sheet_RRS!AD"&amp;1+MATCH(aux_sheet_RRS!$E87,aux_sheet_RRS!$D$2:$D$202,0)))</f>
        <v/>
      </c>
      <c r="W88" s="89" t="str">
        <f ca="1">IF($B88="","",INDIRECT("aux_sheet_RRS!AE"&amp;1+MATCH(aux_sheet_RRS!$E87,aux_sheet_RRS!$D$2:$D$202,0)))</f>
        <v/>
      </c>
      <c r="X88" s="90" t="str">
        <f ca="1">IF(V88="","",INDIRECT("aux_sheet_RRS!AF"&amp;1+MATCH(aux_sheet_RRS!$E87,aux_sheet_RRS!$D$2:$D$202,0)))</f>
        <v/>
      </c>
      <c r="Y88" s="106" t="str">
        <f ca="1">IF($B88="","",INDIRECT("aux_sheet_RRS!AG"&amp;1+MATCH(aux_sheet_RRS!$E87,aux_sheet_RRS!$D$2:$D$202,0)))</f>
        <v/>
      </c>
      <c r="Z88" s="89" t="str">
        <f ca="1">IF($B88="","",INDIRECT("aux_sheet_RRS!AH"&amp;1+MATCH(aux_sheet_RRS!$E87,aux_sheet_RRS!$D$2:$D$202,0)))</f>
        <v/>
      </c>
      <c r="AA88" s="90" t="str">
        <f ca="1">IF(Y88="","",INDIRECT("aux_sheet_RRS!AI"&amp;1+MATCH(aux_sheet_RRS!$E87,aux_sheet_RRS!$D$2:$D$202,0)))</f>
        <v/>
      </c>
      <c r="AB88" s="88" t="str">
        <f ca="1">IF($B88="","",INDIRECT("aux_sheet_RRS!AJ"&amp;1+MATCH(aux_sheet_RRS!$E87,aux_sheet_RRS!$D$2:$D$202,0)))</f>
        <v/>
      </c>
      <c r="AC88" s="89" t="str">
        <f ca="1">IF($B88="","",INDIRECT("aux_sheet_RRS!AK"&amp;1+MATCH(aux_sheet_RRS!$E87,aux_sheet_RRS!$D$2:$D$202,0)))</f>
        <v/>
      </c>
      <c r="AD88" s="90" t="str">
        <f ca="1">IF(AB88="","",INDIRECT("aux_sheet_RRS!AL"&amp;1+MATCH(aux_sheet_RRS!$E87,aux_sheet_RRS!$D$2:$D$202,0)))</f>
        <v/>
      </c>
      <c r="AE88" s="88" t="str">
        <f ca="1">IF($B88="","",INDIRECT("aux_sheet_RRS!AM"&amp;1+MATCH(aux_sheet_RRS!$E87,aux_sheet_RRS!$D$2:$D$202,0)))</f>
        <v/>
      </c>
      <c r="AF88" s="89" t="str">
        <f ca="1">IF($B88="","",INDIRECT("aux_sheet_RRS!AN"&amp;1+MATCH(aux_sheet_RRS!$E87,aux_sheet_RRS!$D$2:$D$202,0)))</f>
        <v/>
      </c>
      <c r="AG88" s="90" t="str">
        <f ca="1">IF(AE88="","",INDIRECT("aux_sheet_RRS!AO"&amp;1+MATCH(aux_sheet_RRS!$E87,aux_sheet_RRS!$D$2:$D$202,0)))</f>
        <v/>
      </c>
      <c r="AH88" s="14" t="str">
        <f t="shared" ca="1" si="6"/>
        <v/>
      </c>
      <c r="AI88" t="str">
        <f t="shared" ca="1" si="7"/>
        <v/>
      </c>
      <c r="AJ88" t="str">
        <f t="shared" ca="1" si="8"/>
        <v/>
      </c>
    </row>
    <row r="89" spans="1:36" x14ac:dyDescent="0.35">
      <c r="A89" s="2" t="str">
        <f>IF(ISBLANK(Input!A88),"",ROUNDDOWN(aux_sheet_RRS!E88,0))</f>
        <v/>
      </c>
      <c r="B89" s="2" t="str">
        <f ca="1">IF(ISBLANK(Input!A88),"",INDIRECT("Input!A"&amp;1+MATCH(aux_sheet_RRS!$E88,aux_sheet_RRS!$D$2:$D$202,0)))</f>
        <v/>
      </c>
      <c r="C89" s="2" t="str">
        <f ca="1">IF(ISBLANK(Input!B88),"",INDIRECT("Input!B"&amp;1+MATCH(aux_sheet_RRS!$E88,aux_sheet_RRS!$D$2:$D$202,0)))</f>
        <v/>
      </c>
      <c r="D89" s="2" t="str">
        <f ca="1">IF(ISBLANK(Input!C88),"",INDIRECT("Input!C"&amp;1+MATCH(aux_sheet_RRS!$E88,aux_sheet_RRS!$D$2:$D$202,0)))</f>
        <v/>
      </c>
      <c r="E89" s="2" t="str">
        <f ca="1">IF(ISBLANK(Input!D88),"",INDIRECT("Input!D"&amp;1+MATCH(aux_sheet_RRS!$E88,aux_sheet_RRS!$D$2:$D$202,0)))</f>
        <v/>
      </c>
      <c r="F89" s="11" t="str">
        <f ca="1">INDIRECT("Input!H"&amp;1+MATCH(aux_sheet_RRS!$E88,aux_sheet_RRS!$D$2:$D$202,0))</f>
        <v xml:space="preserve"> </v>
      </c>
      <c r="G89" s="88" t="str">
        <f ca="1">IF($B89="","",INDIRECT("aux_sheet_RRS!O"&amp;1+MATCH(aux_sheet_RRS!$E88,aux_sheet_RRS!$D$2:$D$202,0)))</f>
        <v/>
      </c>
      <c r="H89" s="89" t="str">
        <f ca="1">IF($B89="","",INDIRECT("aux_sheet_RRS!P"&amp;1+MATCH(aux_sheet_RRS!$E88,aux_sheet_RRS!$D$2:$D$202,0)))</f>
        <v/>
      </c>
      <c r="I89" s="90" t="str">
        <f ca="1">IF(G89="","",ROUNDDOWN(INDIRECT("aux_sheet_RRS!Q"&amp;1+MATCH(aux_sheet_RRS!$E88,aux_sheet_RRS!$D$2:$D$202,0)),0))</f>
        <v/>
      </c>
      <c r="J89" s="106" t="str">
        <f ca="1">IF($B89="","",INDIRECT("aux_sheet_RRS!R"&amp;1+MATCH(aux_sheet_RRS!$E88,aux_sheet_RRS!$D$2:$D$202,0)))</f>
        <v/>
      </c>
      <c r="K89" s="89" t="str">
        <f ca="1">IF($B89="","",INDIRECT("aux_sheet_RRS!S"&amp;1+MATCH(aux_sheet_RRS!$E88,aux_sheet_RRS!$D$2:$D$202,0)))</f>
        <v/>
      </c>
      <c r="L89" s="90" t="str">
        <f ca="1">IF(J89="","",ROUNDDOWN(INDIRECT("aux_sheet_RRS!T"&amp;1+MATCH(aux_sheet_RRS!$E88,aux_sheet_RRS!$D$2:$D$202,0)),0))</f>
        <v/>
      </c>
      <c r="M89" s="106" t="str">
        <f ca="1">IF($B89="","",INDIRECT("aux_sheet_RRS!U"&amp;1+MATCH(aux_sheet_RRS!$E88,aux_sheet_RRS!$D$2:$D$202,0)))</f>
        <v/>
      </c>
      <c r="N89" s="89" t="str">
        <f ca="1">IF($B89="","",INDIRECT("aux_sheet_RRS!V"&amp;1+MATCH(aux_sheet_RRS!$E88,aux_sheet_RRS!$D$2:$D$202,0)))</f>
        <v/>
      </c>
      <c r="O89" s="90" t="str">
        <f ca="1">IF(M89="","",ROUNDDOWN(INDIRECT("aux_sheet_RRS!W"&amp;1+MATCH(aux_sheet_RRS!$E88,aux_sheet_RRS!$D$2:$D$202,0)),0))</f>
        <v/>
      </c>
      <c r="P89" s="106" t="str">
        <f ca="1">IF($B89="","",INDIRECT("aux_sheet_RRS!X"&amp;1+MATCH(aux_sheet_RRS!$E88,aux_sheet_RRS!$D$2:$D$202,0)))</f>
        <v/>
      </c>
      <c r="Q89" s="89" t="str">
        <f ca="1">IF($B89="","",INDIRECT("aux_sheet_RRS!Y"&amp;1+MATCH(aux_sheet_RRS!$E88,aux_sheet_RRS!$D$2:$D$202,0)))</f>
        <v/>
      </c>
      <c r="R89" s="90" t="str">
        <f ca="1">IF(P89="","",INDIRECT("aux_sheet_RRS!Z"&amp;1+MATCH(aux_sheet_RRS!$E88,aux_sheet_RRS!$D$2:$D$202,0)))</f>
        <v/>
      </c>
      <c r="S89" s="106" t="str">
        <f ca="1">IF($B89="","",INDIRECT("aux_sheet_RRS!AA"&amp;1+MATCH(aux_sheet_RRS!$E88,aux_sheet_RRS!$D$2:$D$202,0)))</f>
        <v/>
      </c>
      <c r="T89" s="89" t="str">
        <f ca="1">IF($B89="","",INDIRECT("aux_sheet_RRS!AB"&amp;1+MATCH(aux_sheet_RRS!$E88,aux_sheet_RRS!$D$2:$D$202,0)))</f>
        <v/>
      </c>
      <c r="U89" s="90" t="str">
        <f ca="1">IF(S89="","",INDIRECT("aux_sheet_RRS!AC"&amp;1+MATCH(aux_sheet_RRS!$E88,aux_sheet_RRS!$D$2:$D$202,0)))</f>
        <v/>
      </c>
      <c r="V89" s="106" t="str">
        <f ca="1">IF($B89="","",INDIRECT("aux_sheet_RRS!AD"&amp;1+MATCH(aux_sheet_RRS!$E88,aux_sheet_RRS!$D$2:$D$202,0)))</f>
        <v/>
      </c>
      <c r="W89" s="89" t="str">
        <f ca="1">IF($B89="","",INDIRECT("aux_sheet_RRS!AE"&amp;1+MATCH(aux_sheet_RRS!$E88,aux_sheet_RRS!$D$2:$D$202,0)))</f>
        <v/>
      </c>
      <c r="X89" s="90" t="str">
        <f ca="1">IF(V89="","",INDIRECT("aux_sheet_RRS!AF"&amp;1+MATCH(aux_sheet_RRS!$E88,aux_sheet_RRS!$D$2:$D$202,0)))</f>
        <v/>
      </c>
      <c r="Y89" s="106" t="str">
        <f ca="1">IF($B89="","",INDIRECT("aux_sheet_RRS!AG"&amp;1+MATCH(aux_sheet_RRS!$E88,aux_sheet_RRS!$D$2:$D$202,0)))</f>
        <v/>
      </c>
      <c r="Z89" s="89" t="str">
        <f ca="1">IF($B89="","",INDIRECT("aux_sheet_RRS!AH"&amp;1+MATCH(aux_sheet_RRS!$E88,aux_sheet_RRS!$D$2:$D$202,0)))</f>
        <v/>
      </c>
      <c r="AA89" s="90" t="str">
        <f ca="1">IF(Y89="","",INDIRECT("aux_sheet_RRS!AI"&amp;1+MATCH(aux_sheet_RRS!$E88,aux_sheet_RRS!$D$2:$D$202,0)))</f>
        <v/>
      </c>
      <c r="AB89" s="88" t="str">
        <f ca="1">IF($B89="","",INDIRECT("aux_sheet_RRS!AJ"&amp;1+MATCH(aux_sheet_RRS!$E88,aux_sheet_RRS!$D$2:$D$202,0)))</f>
        <v/>
      </c>
      <c r="AC89" s="89" t="str">
        <f ca="1">IF($B89="","",INDIRECT("aux_sheet_RRS!AK"&amp;1+MATCH(aux_sheet_RRS!$E88,aux_sheet_RRS!$D$2:$D$202,0)))</f>
        <v/>
      </c>
      <c r="AD89" s="90" t="str">
        <f ca="1">IF(AB89="","",INDIRECT("aux_sheet_RRS!AL"&amp;1+MATCH(aux_sheet_RRS!$E88,aux_sheet_RRS!$D$2:$D$202,0)))</f>
        <v/>
      </c>
      <c r="AE89" s="88" t="str">
        <f ca="1">IF($B89="","",INDIRECT("aux_sheet_RRS!AM"&amp;1+MATCH(aux_sheet_RRS!$E88,aux_sheet_RRS!$D$2:$D$202,0)))</f>
        <v/>
      </c>
      <c r="AF89" s="89" t="str">
        <f ca="1">IF($B89="","",INDIRECT("aux_sheet_RRS!AN"&amp;1+MATCH(aux_sheet_RRS!$E88,aux_sheet_RRS!$D$2:$D$202,0)))</f>
        <v/>
      </c>
      <c r="AG89" s="90" t="str">
        <f ca="1">IF(AE89="","",INDIRECT("aux_sheet_RRS!AO"&amp;1+MATCH(aux_sheet_RRS!$E88,aux_sheet_RRS!$D$2:$D$202,0)))</f>
        <v/>
      </c>
      <c r="AH89" s="14" t="str">
        <f t="shared" ca="1" si="6"/>
        <v/>
      </c>
      <c r="AI89" t="str">
        <f t="shared" ca="1" si="7"/>
        <v/>
      </c>
      <c r="AJ89" t="str">
        <f t="shared" ca="1" si="8"/>
        <v/>
      </c>
    </row>
    <row r="90" spans="1:36" x14ac:dyDescent="0.35">
      <c r="A90" s="2" t="str">
        <f>IF(ISBLANK(Input!A89),"",ROUNDDOWN(aux_sheet_RRS!E89,0))</f>
        <v/>
      </c>
      <c r="B90" s="2" t="str">
        <f ca="1">IF(ISBLANK(Input!A89),"",INDIRECT("Input!A"&amp;1+MATCH(aux_sheet_RRS!$E89,aux_sheet_RRS!$D$2:$D$202,0)))</f>
        <v/>
      </c>
      <c r="C90" s="2" t="str">
        <f ca="1">IF(ISBLANK(Input!B89),"",INDIRECT("Input!B"&amp;1+MATCH(aux_sheet_RRS!$E89,aux_sheet_RRS!$D$2:$D$202,0)))</f>
        <v/>
      </c>
      <c r="D90" s="2" t="str">
        <f ca="1">IF(ISBLANK(Input!C89),"",INDIRECT("Input!C"&amp;1+MATCH(aux_sheet_RRS!$E89,aux_sheet_RRS!$D$2:$D$202,0)))</f>
        <v/>
      </c>
      <c r="E90" s="2" t="str">
        <f ca="1">IF(ISBLANK(Input!D89),"",INDIRECT("Input!D"&amp;1+MATCH(aux_sheet_RRS!$E89,aux_sheet_RRS!$D$2:$D$202,0)))</f>
        <v/>
      </c>
      <c r="F90" s="11" t="str">
        <f ca="1">INDIRECT("Input!H"&amp;1+MATCH(aux_sheet_RRS!$E89,aux_sheet_RRS!$D$2:$D$202,0))</f>
        <v xml:space="preserve"> </v>
      </c>
      <c r="G90" s="88" t="str">
        <f ca="1">IF($B90="","",INDIRECT("aux_sheet_RRS!O"&amp;1+MATCH(aux_sheet_RRS!$E89,aux_sheet_RRS!$D$2:$D$202,0)))</f>
        <v/>
      </c>
      <c r="H90" s="89" t="str">
        <f ca="1">IF($B90="","",INDIRECT("aux_sheet_RRS!P"&amp;1+MATCH(aux_sheet_RRS!$E89,aux_sheet_RRS!$D$2:$D$202,0)))</f>
        <v/>
      </c>
      <c r="I90" s="90" t="str">
        <f ca="1">IF(G90="","",ROUNDDOWN(INDIRECT("aux_sheet_RRS!Q"&amp;1+MATCH(aux_sheet_RRS!$E89,aux_sheet_RRS!$D$2:$D$202,0)),0))</f>
        <v/>
      </c>
      <c r="J90" s="106" t="str">
        <f ca="1">IF($B90="","",INDIRECT("aux_sheet_RRS!R"&amp;1+MATCH(aux_sheet_RRS!$E89,aux_sheet_RRS!$D$2:$D$202,0)))</f>
        <v/>
      </c>
      <c r="K90" s="89" t="str">
        <f ca="1">IF($B90="","",INDIRECT("aux_sheet_RRS!S"&amp;1+MATCH(aux_sheet_RRS!$E89,aux_sheet_RRS!$D$2:$D$202,0)))</f>
        <v/>
      </c>
      <c r="L90" s="90" t="str">
        <f ca="1">IF(J90="","",ROUNDDOWN(INDIRECT("aux_sheet_RRS!T"&amp;1+MATCH(aux_sheet_RRS!$E89,aux_sheet_RRS!$D$2:$D$202,0)),0))</f>
        <v/>
      </c>
      <c r="M90" s="106" t="str">
        <f ca="1">IF($B90="","",INDIRECT("aux_sheet_RRS!U"&amp;1+MATCH(aux_sheet_RRS!$E89,aux_sheet_RRS!$D$2:$D$202,0)))</f>
        <v/>
      </c>
      <c r="N90" s="89" t="str">
        <f ca="1">IF($B90="","",INDIRECT("aux_sheet_RRS!V"&amp;1+MATCH(aux_sheet_RRS!$E89,aux_sheet_RRS!$D$2:$D$202,0)))</f>
        <v/>
      </c>
      <c r="O90" s="90" t="str">
        <f ca="1">IF(M90="","",ROUNDDOWN(INDIRECT("aux_sheet_RRS!W"&amp;1+MATCH(aux_sheet_RRS!$E89,aux_sheet_RRS!$D$2:$D$202,0)),0))</f>
        <v/>
      </c>
      <c r="P90" s="106" t="str">
        <f ca="1">IF($B90="","",INDIRECT("aux_sheet_RRS!X"&amp;1+MATCH(aux_sheet_RRS!$E89,aux_sheet_RRS!$D$2:$D$202,0)))</f>
        <v/>
      </c>
      <c r="Q90" s="89" t="str">
        <f ca="1">IF($B90="","",INDIRECT("aux_sheet_RRS!Y"&amp;1+MATCH(aux_sheet_RRS!$E89,aux_sheet_RRS!$D$2:$D$202,0)))</f>
        <v/>
      </c>
      <c r="R90" s="90" t="str">
        <f ca="1">IF(P90="","",INDIRECT("aux_sheet_RRS!Z"&amp;1+MATCH(aux_sheet_RRS!$E89,aux_sheet_RRS!$D$2:$D$202,0)))</f>
        <v/>
      </c>
      <c r="S90" s="106" t="str">
        <f ca="1">IF($B90="","",INDIRECT("aux_sheet_RRS!AA"&amp;1+MATCH(aux_sheet_RRS!$E89,aux_sheet_RRS!$D$2:$D$202,0)))</f>
        <v/>
      </c>
      <c r="T90" s="89" t="str">
        <f ca="1">IF($B90="","",INDIRECT("aux_sheet_RRS!AB"&amp;1+MATCH(aux_sheet_RRS!$E89,aux_sheet_RRS!$D$2:$D$202,0)))</f>
        <v/>
      </c>
      <c r="U90" s="90" t="str">
        <f ca="1">IF(S90="","",INDIRECT("aux_sheet_RRS!AC"&amp;1+MATCH(aux_sheet_RRS!$E89,aux_sheet_RRS!$D$2:$D$202,0)))</f>
        <v/>
      </c>
      <c r="V90" s="106" t="str">
        <f ca="1">IF($B90="","",INDIRECT("aux_sheet_RRS!AD"&amp;1+MATCH(aux_sheet_RRS!$E89,aux_sheet_RRS!$D$2:$D$202,0)))</f>
        <v/>
      </c>
      <c r="W90" s="89" t="str">
        <f ca="1">IF($B90="","",INDIRECT("aux_sheet_RRS!AE"&amp;1+MATCH(aux_sheet_RRS!$E89,aux_sheet_RRS!$D$2:$D$202,0)))</f>
        <v/>
      </c>
      <c r="X90" s="90" t="str">
        <f ca="1">IF(V90="","",INDIRECT("aux_sheet_RRS!AF"&amp;1+MATCH(aux_sheet_RRS!$E89,aux_sheet_RRS!$D$2:$D$202,0)))</f>
        <v/>
      </c>
      <c r="Y90" s="106" t="str">
        <f ca="1">IF($B90="","",INDIRECT("aux_sheet_RRS!AG"&amp;1+MATCH(aux_sheet_RRS!$E89,aux_sheet_RRS!$D$2:$D$202,0)))</f>
        <v/>
      </c>
      <c r="Z90" s="89" t="str">
        <f ca="1">IF($B90="","",INDIRECT("aux_sheet_RRS!AH"&amp;1+MATCH(aux_sheet_RRS!$E89,aux_sheet_RRS!$D$2:$D$202,0)))</f>
        <v/>
      </c>
      <c r="AA90" s="90" t="str">
        <f ca="1">IF(Y90="","",INDIRECT("aux_sheet_RRS!AI"&amp;1+MATCH(aux_sheet_RRS!$E89,aux_sheet_RRS!$D$2:$D$202,0)))</f>
        <v/>
      </c>
      <c r="AB90" s="88" t="str">
        <f ca="1">IF($B90="","",INDIRECT("aux_sheet_RRS!AJ"&amp;1+MATCH(aux_sheet_RRS!$E89,aux_sheet_RRS!$D$2:$D$202,0)))</f>
        <v/>
      </c>
      <c r="AC90" s="89" t="str">
        <f ca="1">IF($B90="","",INDIRECT("aux_sheet_RRS!AK"&amp;1+MATCH(aux_sheet_RRS!$E89,aux_sheet_RRS!$D$2:$D$202,0)))</f>
        <v/>
      </c>
      <c r="AD90" s="90" t="str">
        <f ca="1">IF(AB90="","",INDIRECT("aux_sheet_RRS!AL"&amp;1+MATCH(aux_sheet_RRS!$E89,aux_sheet_RRS!$D$2:$D$202,0)))</f>
        <v/>
      </c>
      <c r="AE90" s="88" t="str">
        <f ca="1">IF($B90="","",INDIRECT("aux_sheet_RRS!AM"&amp;1+MATCH(aux_sheet_RRS!$E89,aux_sheet_RRS!$D$2:$D$202,0)))</f>
        <v/>
      </c>
      <c r="AF90" s="89" t="str">
        <f ca="1">IF($B90="","",INDIRECT("aux_sheet_RRS!AN"&amp;1+MATCH(aux_sheet_RRS!$E89,aux_sheet_RRS!$D$2:$D$202,0)))</f>
        <v/>
      </c>
      <c r="AG90" s="90" t="str">
        <f ca="1">IF(AE90="","",INDIRECT("aux_sheet_RRS!AO"&amp;1+MATCH(aux_sheet_RRS!$E89,aux_sheet_RRS!$D$2:$D$202,0)))</f>
        <v/>
      </c>
      <c r="AH90" s="14" t="str">
        <f t="shared" ca="1" si="6"/>
        <v/>
      </c>
      <c r="AI90" t="str">
        <f t="shared" ca="1" si="7"/>
        <v/>
      </c>
      <c r="AJ90" t="str">
        <f t="shared" ca="1" si="8"/>
        <v/>
      </c>
    </row>
    <row r="91" spans="1:36" x14ac:dyDescent="0.35">
      <c r="A91" s="2" t="str">
        <f>IF(ISBLANK(Input!A90),"",ROUNDDOWN(aux_sheet_RRS!E90,0))</f>
        <v/>
      </c>
      <c r="B91" s="2" t="str">
        <f ca="1">IF(ISBLANK(Input!A90),"",INDIRECT("Input!A"&amp;1+MATCH(aux_sheet_RRS!$E90,aux_sheet_RRS!$D$2:$D$202,0)))</f>
        <v/>
      </c>
      <c r="C91" s="2" t="str">
        <f ca="1">IF(ISBLANK(Input!B90),"",INDIRECT("Input!B"&amp;1+MATCH(aux_sheet_RRS!$E90,aux_sheet_RRS!$D$2:$D$202,0)))</f>
        <v/>
      </c>
      <c r="D91" s="2" t="str">
        <f ca="1">IF(ISBLANK(Input!C90),"",INDIRECT("Input!C"&amp;1+MATCH(aux_sheet_RRS!$E90,aux_sheet_RRS!$D$2:$D$202,0)))</f>
        <v/>
      </c>
      <c r="E91" s="2" t="str">
        <f ca="1">IF(ISBLANK(Input!D90),"",INDIRECT("Input!D"&amp;1+MATCH(aux_sheet_RRS!$E90,aux_sheet_RRS!$D$2:$D$202,0)))</f>
        <v/>
      </c>
      <c r="F91" s="11" t="str">
        <f ca="1">INDIRECT("Input!H"&amp;1+MATCH(aux_sheet_RRS!$E90,aux_sheet_RRS!$D$2:$D$202,0))</f>
        <v xml:space="preserve"> </v>
      </c>
      <c r="G91" s="88" t="str">
        <f ca="1">IF($B91="","",INDIRECT("aux_sheet_RRS!O"&amp;1+MATCH(aux_sheet_RRS!$E90,aux_sheet_RRS!$D$2:$D$202,0)))</f>
        <v/>
      </c>
      <c r="H91" s="89" t="str">
        <f ca="1">IF($B91="","",INDIRECT("aux_sheet_RRS!P"&amp;1+MATCH(aux_sheet_RRS!$E90,aux_sheet_RRS!$D$2:$D$202,0)))</f>
        <v/>
      </c>
      <c r="I91" s="90" t="str">
        <f ca="1">IF(G91="","",ROUNDDOWN(INDIRECT("aux_sheet_RRS!Q"&amp;1+MATCH(aux_sheet_RRS!$E90,aux_sheet_RRS!$D$2:$D$202,0)),0))</f>
        <v/>
      </c>
      <c r="J91" s="106" t="str">
        <f ca="1">IF($B91="","",INDIRECT("aux_sheet_RRS!R"&amp;1+MATCH(aux_sheet_RRS!$E90,aux_sheet_RRS!$D$2:$D$202,0)))</f>
        <v/>
      </c>
      <c r="K91" s="89" t="str">
        <f ca="1">IF($B91="","",INDIRECT("aux_sheet_RRS!S"&amp;1+MATCH(aux_sheet_RRS!$E90,aux_sheet_RRS!$D$2:$D$202,0)))</f>
        <v/>
      </c>
      <c r="L91" s="90" t="str">
        <f ca="1">IF(J91="","",ROUNDDOWN(INDIRECT("aux_sheet_RRS!T"&amp;1+MATCH(aux_sheet_RRS!$E90,aux_sheet_RRS!$D$2:$D$202,0)),0))</f>
        <v/>
      </c>
      <c r="M91" s="106" t="str">
        <f ca="1">IF($B91="","",INDIRECT("aux_sheet_RRS!U"&amp;1+MATCH(aux_sheet_RRS!$E90,aux_sheet_RRS!$D$2:$D$202,0)))</f>
        <v/>
      </c>
      <c r="N91" s="89" t="str">
        <f ca="1">IF($B91="","",INDIRECT("aux_sheet_RRS!V"&amp;1+MATCH(aux_sheet_RRS!$E90,aux_sheet_RRS!$D$2:$D$202,0)))</f>
        <v/>
      </c>
      <c r="O91" s="90" t="str">
        <f ca="1">IF(M91="","",ROUNDDOWN(INDIRECT("aux_sheet_RRS!W"&amp;1+MATCH(aux_sheet_RRS!$E90,aux_sheet_RRS!$D$2:$D$202,0)),0))</f>
        <v/>
      </c>
      <c r="P91" s="106" t="str">
        <f ca="1">IF($B91="","",INDIRECT("aux_sheet_RRS!X"&amp;1+MATCH(aux_sheet_RRS!$E90,aux_sheet_RRS!$D$2:$D$202,0)))</f>
        <v/>
      </c>
      <c r="Q91" s="89" t="str">
        <f ca="1">IF($B91="","",INDIRECT("aux_sheet_RRS!Y"&amp;1+MATCH(aux_sheet_RRS!$E90,aux_sheet_RRS!$D$2:$D$202,0)))</f>
        <v/>
      </c>
      <c r="R91" s="90" t="str">
        <f ca="1">IF(P91="","",INDIRECT("aux_sheet_RRS!Z"&amp;1+MATCH(aux_sheet_RRS!$E90,aux_sheet_RRS!$D$2:$D$202,0)))</f>
        <v/>
      </c>
      <c r="S91" s="106" t="str">
        <f ca="1">IF($B91="","",INDIRECT("aux_sheet_RRS!AA"&amp;1+MATCH(aux_sheet_RRS!$E90,aux_sheet_RRS!$D$2:$D$202,0)))</f>
        <v/>
      </c>
      <c r="T91" s="89" t="str">
        <f ca="1">IF($B91="","",INDIRECT("aux_sheet_RRS!AB"&amp;1+MATCH(aux_sheet_RRS!$E90,aux_sheet_RRS!$D$2:$D$202,0)))</f>
        <v/>
      </c>
      <c r="U91" s="90" t="str">
        <f ca="1">IF(S91="","",INDIRECT("aux_sheet_RRS!AC"&amp;1+MATCH(aux_sheet_RRS!$E90,aux_sheet_RRS!$D$2:$D$202,0)))</f>
        <v/>
      </c>
      <c r="V91" s="106" t="str">
        <f ca="1">IF($B91="","",INDIRECT("aux_sheet_RRS!AD"&amp;1+MATCH(aux_sheet_RRS!$E90,aux_sheet_RRS!$D$2:$D$202,0)))</f>
        <v/>
      </c>
      <c r="W91" s="89" t="str">
        <f ca="1">IF($B91="","",INDIRECT("aux_sheet_RRS!AE"&amp;1+MATCH(aux_sheet_RRS!$E90,aux_sheet_RRS!$D$2:$D$202,0)))</f>
        <v/>
      </c>
      <c r="X91" s="90" t="str">
        <f ca="1">IF(V91="","",INDIRECT("aux_sheet_RRS!AF"&amp;1+MATCH(aux_sheet_RRS!$E90,aux_sheet_RRS!$D$2:$D$202,0)))</f>
        <v/>
      </c>
      <c r="Y91" s="106" t="str">
        <f ca="1">IF($B91="","",INDIRECT("aux_sheet_RRS!AG"&amp;1+MATCH(aux_sheet_RRS!$E90,aux_sheet_RRS!$D$2:$D$202,0)))</f>
        <v/>
      </c>
      <c r="Z91" s="89" t="str">
        <f ca="1">IF($B91="","",INDIRECT("aux_sheet_RRS!AH"&amp;1+MATCH(aux_sheet_RRS!$E90,aux_sheet_RRS!$D$2:$D$202,0)))</f>
        <v/>
      </c>
      <c r="AA91" s="90" t="str">
        <f ca="1">IF(Y91="","",INDIRECT("aux_sheet_RRS!AI"&amp;1+MATCH(aux_sheet_RRS!$E90,aux_sheet_RRS!$D$2:$D$202,0)))</f>
        <v/>
      </c>
      <c r="AB91" s="88" t="str">
        <f ca="1">IF($B91="","",INDIRECT("aux_sheet_RRS!AJ"&amp;1+MATCH(aux_sheet_RRS!$E90,aux_sheet_RRS!$D$2:$D$202,0)))</f>
        <v/>
      </c>
      <c r="AC91" s="89" t="str">
        <f ca="1">IF($B91="","",INDIRECT("aux_sheet_RRS!AK"&amp;1+MATCH(aux_sheet_RRS!$E90,aux_sheet_RRS!$D$2:$D$202,0)))</f>
        <v/>
      </c>
      <c r="AD91" s="90" t="str">
        <f ca="1">IF(AB91="","",INDIRECT("aux_sheet_RRS!AL"&amp;1+MATCH(aux_sheet_RRS!$E90,aux_sheet_RRS!$D$2:$D$202,0)))</f>
        <v/>
      </c>
      <c r="AE91" s="88" t="str">
        <f ca="1">IF($B91="","",INDIRECT("aux_sheet_RRS!AM"&amp;1+MATCH(aux_sheet_RRS!$E90,aux_sheet_RRS!$D$2:$D$202,0)))</f>
        <v/>
      </c>
      <c r="AF91" s="89" t="str">
        <f ca="1">IF($B91="","",INDIRECT("aux_sheet_RRS!AN"&amp;1+MATCH(aux_sheet_RRS!$E90,aux_sheet_RRS!$D$2:$D$202,0)))</f>
        <v/>
      </c>
      <c r="AG91" s="90" t="str">
        <f ca="1">IF(AE91="","",INDIRECT("aux_sheet_RRS!AO"&amp;1+MATCH(aux_sheet_RRS!$E90,aux_sheet_RRS!$D$2:$D$202,0)))</f>
        <v/>
      </c>
      <c r="AH91" s="14" t="str">
        <f t="shared" ca="1" si="6"/>
        <v/>
      </c>
      <c r="AI91" t="str">
        <f t="shared" ca="1" si="7"/>
        <v/>
      </c>
      <c r="AJ91" t="str">
        <f t="shared" ca="1" si="8"/>
        <v/>
      </c>
    </row>
    <row r="92" spans="1:36" x14ac:dyDescent="0.35">
      <c r="A92" s="2" t="str">
        <f>IF(ISBLANK(Input!A91),"",ROUNDDOWN(aux_sheet_RRS!E91,0))</f>
        <v/>
      </c>
      <c r="B92" s="2" t="str">
        <f ca="1">IF(ISBLANK(Input!A91),"",INDIRECT("Input!A"&amp;1+MATCH(aux_sheet_RRS!$E91,aux_sheet_RRS!$D$2:$D$202,0)))</f>
        <v/>
      </c>
      <c r="C92" s="2" t="str">
        <f ca="1">IF(ISBLANK(Input!B91),"",INDIRECT("Input!B"&amp;1+MATCH(aux_sheet_RRS!$E91,aux_sheet_RRS!$D$2:$D$202,0)))</f>
        <v/>
      </c>
      <c r="D92" s="2" t="str">
        <f ca="1">IF(ISBLANK(Input!C91),"",INDIRECT("Input!C"&amp;1+MATCH(aux_sheet_RRS!$E91,aux_sheet_RRS!$D$2:$D$202,0)))</f>
        <v/>
      </c>
      <c r="E92" s="2" t="str">
        <f ca="1">IF(ISBLANK(Input!D91),"",INDIRECT("Input!D"&amp;1+MATCH(aux_sheet_RRS!$E91,aux_sheet_RRS!$D$2:$D$202,0)))</f>
        <v/>
      </c>
      <c r="F92" s="11" t="str">
        <f ca="1">INDIRECT("Input!H"&amp;1+MATCH(aux_sheet_RRS!$E91,aux_sheet_RRS!$D$2:$D$202,0))</f>
        <v xml:space="preserve"> </v>
      </c>
      <c r="G92" s="88" t="str">
        <f ca="1">IF($B92="","",INDIRECT("aux_sheet_RRS!O"&amp;1+MATCH(aux_sheet_RRS!$E91,aux_sheet_RRS!$D$2:$D$202,0)))</f>
        <v/>
      </c>
      <c r="H92" s="89" t="str">
        <f ca="1">IF($B92="","",INDIRECT("aux_sheet_RRS!P"&amp;1+MATCH(aux_sheet_RRS!$E91,aux_sheet_RRS!$D$2:$D$202,0)))</f>
        <v/>
      </c>
      <c r="I92" s="90" t="str">
        <f ca="1">IF(G92="","",ROUNDDOWN(INDIRECT("aux_sheet_RRS!Q"&amp;1+MATCH(aux_sheet_RRS!$E91,aux_sheet_RRS!$D$2:$D$202,0)),0))</f>
        <v/>
      </c>
      <c r="J92" s="106" t="str">
        <f ca="1">IF($B92="","",INDIRECT("aux_sheet_RRS!R"&amp;1+MATCH(aux_sheet_RRS!$E91,aux_sheet_RRS!$D$2:$D$202,0)))</f>
        <v/>
      </c>
      <c r="K92" s="89" t="str">
        <f ca="1">IF($B92="","",INDIRECT("aux_sheet_RRS!S"&amp;1+MATCH(aux_sheet_RRS!$E91,aux_sheet_RRS!$D$2:$D$202,0)))</f>
        <v/>
      </c>
      <c r="L92" s="90" t="str">
        <f ca="1">IF(J92="","",ROUNDDOWN(INDIRECT("aux_sheet_RRS!T"&amp;1+MATCH(aux_sheet_RRS!$E91,aux_sheet_RRS!$D$2:$D$202,0)),0))</f>
        <v/>
      </c>
      <c r="M92" s="106" t="str">
        <f ca="1">IF($B92="","",INDIRECT("aux_sheet_RRS!U"&amp;1+MATCH(aux_sheet_RRS!$E91,aux_sheet_RRS!$D$2:$D$202,0)))</f>
        <v/>
      </c>
      <c r="N92" s="89" t="str">
        <f ca="1">IF($B92="","",INDIRECT("aux_sheet_RRS!V"&amp;1+MATCH(aux_sheet_RRS!$E91,aux_sheet_RRS!$D$2:$D$202,0)))</f>
        <v/>
      </c>
      <c r="O92" s="90" t="str">
        <f ca="1">IF(M92="","",ROUNDDOWN(INDIRECT("aux_sheet_RRS!W"&amp;1+MATCH(aux_sheet_RRS!$E91,aux_sheet_RRS!$D$2:$D$202,0)),0))</f>
        <v/>
      </c>
      <c r="P92" s="106" t="str">
        <f ca="1">IF($B92="","",INDIRECT("aux_sheet_RRS!X"&amp;1+MATCH(aux_sheet_RRS!$E91,aux_sheet_RRS!$D$2:$D$202,0)))</f>
        <v/>
      </c>
      <c r="Q92" s="89" t="str">
        <f ca="1">IF($B92="","",INDIRECT("aux_sheet_RRS!Y"&amp;1+MATCH(aux_sheet_RRS!$E91,aux_sheet_RRS!$D$2:$D$202,0)))</f>
        <v/>
      </c>
      <c r="R92" s="90" t="str">
        <f ca="1">IF(P92="","",INDIRECT("aux_sheet_RRS!Z"&amp;1+MATCH(aux_sheet_RRS!$E91,aux_sheet_RRS!$D$2:$D$202,0)))</f>
        <v/>
      </c>
      <c r="S92" s="106" t="str">
        <f ca="1">IF($B92="","",INDIRECT("aux_sheet_RRS!AA"&amp;1+MATCH(aux_sheet_RRS!$E91,aux_sheet_RRS!$D$2:$D$202,0)))</f>
        <v/>
      </c>
      <c r="T92" s="89" t="str">
        <f ca="1">IF($B92="","",INDIRECT("aux_sheet_RRS!AB"&amp;1+MATCH(aux_sheet_RRS!$E91,aux_sheet_RRS!$D$2:$D$202,0)))</f>
        <v/>
      </c>
      <c r="U92" s="90" t="str">
        <f ca="1">IF(S92="","",INDIRECT("aux_sheet_RRS!AC"&amp;1+MATCH(aux_sheet_RRS!$E91,aux_sheet_RRS!$D$2:$D$202,0)))</f>
        <v/>
      </c>
      <c r="V92" s="106" t="str">
        <f ca="1">IF($B92="","",INDIRECT("aux_sheet_RRS!AD"&amp;1+MATCH(aux_sheet_RRS!$E91,aux_sheet_RRS!$D$2:$D$202,0)))</f>
        <v/>
      </c>
      <c r="W92" s="89" t="str">
        <f ca="1">IF($B92="","",INDIRECT("aux_sheet_RRS!AE"&amp;1+MATCH(aux_sheet_RRS!$E91,aux_sheet_RRS!$D$2:$D$202,0)))</f>
        <v/>
      </c>
      <c r="X92" s="90" t="str">
        <f ca="1">IF(V92="","",INDIRECT("aux_sheet_RRS!AF"&amp;1+MATCH(aux_sheet_RRS!$E91,aux_sheet_RRS!$D$2:$D$202,0)))</f>
        <v/>
      </c>
      <c r="Y92" s="106" t="str">
        <f ca="1">IF($B92="","",INDIRECT("aux_sheet_RRS!AG"&amp;1+MATCH(aux_sheet_RRS!$E91,aux_sheet_RRS!$D$2:$D$202,0)))</f>
        <v/>
      </c>
      <c r="Z92" s="89" t="str">
        <f ca="1">IF($B92="","",INDIRECT("aux_sheet_RRS!AH"&amp;1+MATCH(aux_sheet_RRS!$E91,aux_sheet_RRS!$D$2:$D$202,0)))</f>
        <v/>
      </c>
      <c r="AA92" s="90" t="str">
        <f ca="1">IF(Y92="","",INDIRECT("aux_sheet_RRS!AI"&amp;1+MATCH(aux_sheet_RRS!$E91,aux_sheet_RRS!$D$2:$D$202,0)))</f>
        <v/>
      </c>
      <c r="AB92" s="88" t="str">
        <f ca="1">IF($B92="","",INDIRECT("aux_sheet_RRS!AJ"&amp;1+MATCH(aux_sheet_RRS!$E91,aux_sheet_RRS!$D$2:$D$202,0)))</f>
        <v/>
      </c>
      <c r="AC92" s="89" t="str">
        <f ca="1">IF($B92="","",INDIRECT("aux_sheet_RRS!AK"&amp;1+MATCH(aux_sheet_RRS!$E91,aux_sheet_RRS!$D$2:$D$202,0)))</f>
        <v/>
      </c>
      <c r="AD92" s="90" t="str">
        <f ca="1">IF(AB92="","",INDIRECT("aux_sheet_RRS!AL"&amp;1+MATCH(aux_sheet_RRS!$E91,aux_sheet_RRS!$D$2:$D$202,0)))</f>
        <v/>
      </c>
      <c r="AE92" s="88" t="str">
        <f ca="1">IF($B92="","",INDIRECT("aux_sheet_RRS!AM"&amp;1+MATCH(aux_sheet_RRS!$E91,aux_sheet_RRS!$D$2:$D$202,0)))</f>
        <v/>
      </c>
      <c r="AF92" s="89" t="str">
        <f ca="1">IF($B92="","",INDIRECT("aux_sheet_RRS!AN"&amp;1+MATCH(aux_sheet_RRS!$E91,aux_sheet_RRS!$D$2:$D$202,0)))</f>
        <v/>
      </c>
      <c r="AG92" s="90" t="str">
        <f ca="1">IF(AE92="","",INDIRECT("aux_sheet_RRS!AO"&amp;1+MATCH(aux_sheet_RRS!$E91,aux_sheet_RRS!$D$2:$D$202,0)))</f>
        <v/>
      </c>
      <c r="AH92" s="14" t="str">
        <f t="shared" ca="1" si="6"/>
        <v/>
      </c>
      <c r="AI92" t="str">
        <f t="shared" ca="1" si="7"/>
        <v/>
      </c>
      <c r="AJ92" t="str">
        <f t="shared" ca="1" si="8"/>
        <v/>
      </c>
    </row>
    <row r="93" spans="1:36" x14ac:dyDescent="0.35">
      <c r="A93" s="2" t="str">
        <f>IF(ISBLANK(Input!A92),"",ROUNDDOWN(aux_sheet_RRS!E92,0))</f>
        <v/>
      </c>
      <c r="B93" s="2" t="str">
        <f ca="1">IF(ISBLANK(Input!A92),"",INDIRECT("Input!A"&amp;1+MATCH(aux_sheet_RRS!$E92,aux_sheet_RRS!$D$2:$D$202,0)))</f>
        <v/>
      </c>
      <c r="C93" s="2" t="str">
        <f ca="1">IF(ISBLANK(Input!B92),"",INDIRECT("Input!B"&amp;1+MATCH(aux_sheet_RRS!$E92,aux_sheet_RRS!$D$2:$D$202,0)))</f>
        <v/>
      </c>
      <c r="D93" s="2" t="str">
        <f ca="1">IF(ISBLANK(Input!C92),"",INDIRECT("Input!C"&amp;1+MATCH(aux_sheet_RRS!$E92,aux_sheet_RRS!$D$2:$D$202,0)))</f>
        <v/>
      </c>
      <c r="E93" s="2" t="str">
        <f ca="1">IF(ISBLANK(Input!D92),"",INDIRECT("Input!D"&amp;1+MATCH(aux_sheet_RRS!$E92,aux_sheet_RRS!$D$2:$D$202,0)))</f>
        <v/>
      </c>
      <c r="F93" s="11" t="str">
        <f ca="1">INDIRECT("Input!H"&amp;1+MATCH(aux_sheet_RRS!$E92,aux_sheet_RRS!$D$2:$D$202,0))</f>
        <v xml:space="preserve"> </v>
      </c>
      <c r="G93" s="88" t="str">
        <f ca="1">IF($B93="","",INDIRECT("aux_sheet_RRS!O"&amp;1+MATCH(aux_sheet_RRS!$E92,aux_sheet_RRS!$D$2:$D$202,0)))</f>
        <v/>
      </c>
      <c r="H93" s="89" t="str">
        <f ca="1">IF($B93="","",INDIRECT("aux_sheet_RRS!P"&amp;1+MATCH(aux_sheet_RRS!$E92,aux_sheet_RRS!$D$2:$D$202,0)))</f>
        <v/>
      </c>
      <c r="I93" s="90" t="str">
        <f ca="1">IF(G93="","",ROUNDDOWN(INDIRECT("aux_sheet_RRS!Q"&amp;1+MATCH(aux_sheet_RRS!$E92,aux_sheet_RRS!$D$2:$D$202,0)),0))</f>
        <v/>
      </c>
      <c r="J93" s="106" t="str">
        <f ca="1">IF($B93="","",INDIRECT("aux_sheet_RRS!R"&amp;1+MATCH(aux_sheet_RRS!$E92,aux_sheet_RRS!$D$2:$D$202,0)))</f>
        <v/>
      </c>
      <c r="K93" s="89" t="str">
        <f ca="1">IF($B93="","",INDIRECT("aux_sheet_RRS!S"&amp;1+MATCH(aux_sheet_RRS!$E92,aux_sheet_RRS!$D$2:$D$202,0)))</f>
        <v/>
      </c>
      <c r="L93" s="90" t="str">
        <f ca="1">IF(J93="","",ROUNDDOWN(INDIRECT("aux_sheet_RRS!T"&amp;1+MATCH(aux_sheet_RRS!$E92,aux_sheet_RRS!$D$2:$D$202,0)),0))</f>
        <v/>
      </c>
      <c r="M93" s="106" t="str">
        <f ca="1">IF($B93="","",INDIRECT("aux_sheet_RRS!U"&amp;1+MATCH(aux_sheet_RRS!$E92,aux_sheet_RRS!$D$2:$D$202,0)))</f>
        <v/>
      </c>
      <c r="N93" s="89" t="str">
        <f ca="1">IF($B93="","",INDIRECT("aux_sheet_RRS!V"&amp;1+MATCH(aux_sheet_RRS!$E92,aux_sheet_RRS!$D$2:$D$202,0)))</f>
        <v/>
      </c>
      <c r="O93" s="90" t="str">
        <f ca="1">IF(M93="","",ROUNDDOWN(INDIRECT("aux_sheet_RRS!W"&amp;1+MATCH(aux_sheet_RRS!$E92,aux_sheet_RRS!$D$2:$D$202,0)),0))</f>
        <v/>
      </c>
      <c r="P93" s="106" t="str">
        <f ca="1">IF($B93="","",INDIRECT("aux_sheet_RRS!X"&amp;1+MATCH(aux_sheet_RRS!$E92,aux_sheet_RRS!$D$2:$D$202,0)))</f>
        <v/>
      </c>
      <c r="Q93" s="89" t="str">
        <f ca="1">IF($B93="","",INDIRECT("aux_sheet_RRS!Y"&amp;1+MATCH(aux_sheet_RRS!$E92,aux_sheet_RRS!$D$2:$D$202,0)))</f>
        <v/>
      </c>
      <c r="R93" s="90" t="str">
        <f ca="1">IF(P93="","",INDIRECT("aux_sheet_RRS!Z"&amp;1+MATCH(aux_sheet_RRS!$E92,aux_sheet_RRS!$D$2:$D$202,0)))</f>
        <v/>
      </c>
      <c r="S93" s="106" t="str">
        <f ca="1">IF($B93="","",INDIRECT("aux_sheet_RRS!AA"&amp;1+MATCH(aux_sheet_RRS!$E92,aux_sheet_RRS!$D$2:$D$202,0)))</f>
        <v/>
      </c>
      <c r="T93" s="89" t="str">
        <f ca="1">IF($B93="","",INDIRECT("aux_sheet_RRS!AB"&amp;1+MATCH(aux_sheet_RRS!$E92,aux_sheet_RRS!$D$2:$D$202,0)))</f>
        <v/>
      </c>
      <c r="U93" s="90" t="str">
        <f ca="1">IF(S93="","",INDIRECT("aux_sheet_RRS!AC"&amp;1+MATCH(aux_sheet_RRS!$E92,aux_sheet_RRS!$D$2:$D$202,0)))</f>
        <v/>
      </c>
      <c r="V93" s="106" t="str">
        <f ca="1">IF($B93="","",INDIRECT("aux_sheet_RRS!AD"&amp;1+MATCH(aux_sheet_RRS!$E92,aux_sheet_RRS!$D$2:$D$202,0)))</f>
        <v/>
      </c>
      <c r="W93" s="89" t="str">
        <f ca="1">IF($B93="","",INDIRECT("aux_sheet_RRS!AE"&amp;1+MATCH(aux_sheet_RRS!$E92,aux_sheet_RRS!$D$2:$D$202,0)))</f>
        <v/>
      </c>
      <c r="X93" s="90" t="str">
        <f ca="1">IF(V93="","",INDIRECT("aux_sheet_RRS!AF"&amp;1+MATCH(aux_sheet_RRS!$E92,aux_sheet_RRS!$D$2:$D$202,0)))</f>
        <v/>
      </c>
      <c r="Y93" s="106" t="str">
        <f ca="1">IF($B93="","",INDIRECT("aux_sheet_RRS!AG"&amp;1+MATCH(aux_sheet_RRS!$E92,aux_sheet_RRS!$D$2:$D$202,0)))</f>
        <v/>
      </c>
      <c r="Z93" s="89" t="str">
        <f ca="1">IF($B93="","",INDIRECT("aux_sheet_RRS!AH"&amp;1+MATCH(aux_sheet_RRS!$E92,aux_sheet_RRS!$D$2:$D$202,0)))</f>
        <v/>
      </c>
      <c r="AA93" s="90" t="str">
        <f ca="1">IF(Y93="","",INDIRECT("aux_sheet_RRS!AI"&amp;1+MATCH(aux_sheet_RRS!$E92,aux_sheet_RRS!$D$2:$D$202,0)))</f>
        <v/>
      </c>
      <c r="AB93" s="88" t="str">
        <f ca="1">IF($B93="","",INDIRECT("aux_sheet_RRS!AJ"&amp;1+MATCH(aux_sheet_RRS!$E92,aux_sheet_RRS!$D$2:$D$202,0)))</f>
        <v/>
      </c>
      <c r="AC93" s="89" t="str">
        <f ca="1">IF($B93="","",INDIRECT("aux_sheet_RRS!AK"&amp;1+MATCH(aux_sheet_RRS!$E92,aux_sheet_RRS!$D$2:$D$202,0)))</f>
        <v/>
      </c>
      <c r="AD93" s="90" t="str">
        <f ca="1">IF(AB93="","",INDIRECT("aux_sheet_RRS!AL"&amp;1+MATCH(aux_sheet_RRS!$E92,aux_sheet_RRS!$D$2:$D$202,0)))</f>
        <v/>
      </c>
      <c r="AE93" s="88" t="str">
        <f ca="1">IF($B93="","",INDIRECT("aux_sheet_RRS!AM"&amp;1+MATCH(aux_sheet_RRS!$E92,aux_sheet_RRS!$D$2:$D$202,0)))</f>
        <v/>
      </c>
      <c r="AF93" s="89" t="str">
        <f ca="1">IF($B93="","",INDIRECT("aux_sheet_RRS!AN"&amp;1+MATCH(aux_sheet_RRS!$E92,aux_sheet_RRS!$D$2:$D$202,0)))</f>
        <v/>
      </c>
      <c r="AG93" s="90" t="str">
        <f ca="1">IF(AE93="","",INDIRECT("aux_sheet_RRS!AO"&amp;1+MATCH(aux_sheet_RRS!$E92,aux_sheet_RRS!$D$2:$D$202,0)))</f>
        <v/>
      </c>
      <c r="AH93" s="14" t="str">
        <f t="shared" ca="1" si="6"/>
        <v/>
      </c>
      <c r="AI93" t="str">
        <f t="shared" ca="1" si="7"/>
        <v/>
      </c>
      <c r="AJ93" t="str">
        <f t="shared" ca="1" si="8"/>
        <v/>
      </c>
    </row>
    <row r="94" spans="1:36" x14ac:dyDescent="0.35">
      <c r="A94" s="2" t="str">
        <f>IF(ISBLANK(Input!A93),"",ROUNDDOWN(aux_sheet_RRS!E93,0))</f>
        <v/>
      </c>
      <c r="B94" s="2" t="str">
        <f ca="1">IF(ISBLANK(Input!A93),"",INDIRECT("Input!A"&amp;1+MATCH(aux_sheet_RRS!$E93,aux_sheet_RRS!$D$2:$D$202,0)))</f>
        <v/>
      </c>
      <c r="C94" s="2" t="str">
        <f ca="1">IF(ISBLANK(Input!B93),"",INDIRECT("Input!B"&amp;1+MATCH(aux_sheet_RRS!$E93,aux_sheet_RRS!$D$2:$D$202,0)))</f>
        <v/>
      </c>
      <c r="D94" s="2" t="str">
        <f ca="1">IF(ISBLANK(Input!C93),"",INDIRECT("Input!C"&amp;1+MATCH(aux_sheet_RRS!$E93,aux_sheet_RRS!$D$2:$D$202,0)))</f>
        <v/>
      </c>
      <c r="E94" s="2" t="str">
        <f ca="1">IF(ISBLANK(Input!D93),"",INDIRECT("Input!D"&amp;1+MATCH(aux_sheet_RRS!$E93,aux_sheet_RRS!$D$2:$D$202,0)))</f>
        <v/>
      </c>
      <c r="F94" s="11" t="str">
        <f ca="1">INDIRECT("Input!H"&amp;1+MATCH(aux_sheet_RRS!$E93,aux_sheet_RRS!$D$2:$D$202,0))</f>
        <v xml:space="preserve"> </v>
      </c>
      <c r="G94" s="88" t="str">
        <f ca="1">IF($B94="","",INDIRECT("aux_sheet_RRS!O"&amp;1+MATCH(aux_sheet_RRS!$E93,aux_sheet_RRS!$D$2:$D$202,0)))</f>
        <v/>
      </c>
      <c r="H94" s="89" t="str">
        <f ca="1">IF($B94="","",INDIRECT("aux_sheet_RRS!P"&amp;1+MATCH(aux_sheet_RRS!$E93,aux_sheet_RRS!$D$2:$D$202,0)))</f>
        <v/>
      </c>
      <c r="I94" s="90" t="str">
        <f ca="1">IF(G94="","",ROUNDDOWN(INDIRECT("aux_sheet_RRS!Q"&amp;1+MATCH(aux_sheet_RRS!$E93,aux_sheet_RRS!$D$2:$D$202,0)),0))</f>
        <v/>
      </c>
      <c r="J94" s="106" t="str">
        <f ca="1">IF($B94="","",INDIRECT("aux_sheet_RRS!R"&amp;1+MATCH(aux_sheet_RRS!$E93,aux_sheet_RRS!$D$2:$D$202,0)))</f>
        <v/>
      </c>
      <c r="K94" s="89" t="str">
        <f ca="1">IF($B94="","",INDIRECT("aux_sheet_RRS!S"&amp;1+MATCH(aux_sheet_RRS!$E93,aux_sheet_RRS!$D$2:$D$202,0)))</f>
        <v/>
      </c>
      <c r="L94" s="90" t="str">
        <f ca="1">IF(J94="","",ROUNDDOWN(INDIRECT("aux_sheet_RRS!T"&amp;1+MATCH(aux_sheet_RRS!$E93,aux_sheet_RRS!$D$2:$D$202,0)),0))</f>
        <v/>
      </c>
      <c r="M94" s="106" t="str">
        <f ca="1">IF($B94="","",INDIRECT("aux_sheet_RRS!U"&amp;1+MATCH(aux_sheet_RRS!$E93,aux_sheet_RRS!$D$2:$D$202,0)))</f>
        <v/>
      </c>
      <c r="N94" s="89" t="str">
        <f ca="1">IF($B94="","",INDIRECT("aux_sheet_RRS!V"&amp;1+MATCH(aux_sheet_RRS!$E93,aux_sheet_RRS!$D$2:$D$202,0)))</f>
        <v/>
      </c>
      <c r="O94" s="90" t="str">
        <f ca="1">IF(M94="","",ROUNDDOWN(INDIRECT("aux_sheet_RRS!W"&amp;1+MATCH(aux_sheet_RRS!$E93,aux_sheet_RRS!$D$2:$D$202,0)),0))</f>
        <v/>
      </c>
      <c r="P94" s="106" t="str">
        <f ca="1">IF($B94="","",INDIRECT("aux_sheet_RRS!X"&amp;1+MATCH(aux_sheet_RRS!$E93,aux_sheet_RRS!$D$2:$D$202,0)))</f>
        <v/>
      </c>
      <c r="Q94" s="89" t="str">
        <f ca="1">IF($B94="","",INDIRECT("aux_sheet_RRS!Y"&amp;1+MATCH(aux_sheet_RRS!$E93,aux_sheet_RRS!$D$2:$D$202,0)))</f>
        <v/>
      </c>
      <c r="R94" s="90" t="str">
        <f ca="1">IF(P94="","",INDIRECT("aux_sheet_RRS!Z"&amp;1+MATCH(aux_sheet_RRS!$E93,aux_sheet_RRS!$D$2:$D$202,0)))</f>
        <v/>
      </c>
      <c r="S94" s="106" t="str">
        <f ca="1">IF($B94="","",INDIRECT("aux_sheet_RRS!AA"&amp;1+MATCH(aux_sheet_RRS!$E93,aux_sheet_RRS!$D$2:$D$202,0)))</f>
        <v/>
      </c>
      <c r="T94" s="89" t="str">
        <f ca="1">IF($B94="","",INDIRECT("aux_sheet_RRS!AB"&amp;1+MATCH(aux_sheet_RRS!$E93,aux_sheet_RRS!$D$2:$D$202,0)))</f>
        <v/>
      </c>
      <c r="U94" s="90" t="str">
        <f ca="1">IF(S94="","",INDIRECT("aux_sheet_RRS!AC"&amp;1+MATCH(aux_sheet_RRS!$E93,aux_sheet_RRS!$D$2:$D$202,0)))</f>
        <v/>
      </c>
      <c r="V94" s="106" t="str">
        <f ca="1">IF($B94="","",INDIRECT("aux_sheet_RRS!AD"&amp;1+MATCH(aux_sheet_RRS!$E93,aux_sheet_RRS!$D$2:$D$202,0)))</f>
        <v/>
      </c>
      <c r="W94" s="89" t="str">
        <f ca="1">IF($B94="","",INDIRECT("aux_sheet_RRS!AE"&amp;1+MATCH(aux_sheet_RRS!$E93,aux_sheet_RRS!$D$2:$D$202,0)))</f>
        <v/>
      </c>
      <c r="X94" s="90" t="str">
        <f ca="1">IF(V94="","",INDIRECT("aux_sheet_RRS!AF"&amp;1+MATCH(aux_sheet_RRS!$E93,aux_sheet_RRS!$D$2:$D$202,0)))</f>
        <v/>
      </c>
      <c r="Y94" s="106" t="str">
        <f ca="1">IF($B94="","",INDIRECT("aux_sheet_RRS!AG"&amp;1+MATCH(aux_sheet_RRS!$E93,aux_sheet_RRS!$D$2:$D$202,0)))</f>
        <v/>
      </c>
      <c r="Z94" s="89" t="str">
        <f ca="1">IF($B94="","",INDIRECT("aux_sheet_RRS!AH"&amp;1+MATCH(aux_sheet_RRS!$E93,aux_sheet_RRS!$D$2:$D$202,0)))</f>
        <v/>
      </c>
      <c r="AA94" s="90" t="str">
        <f ca="1">IF(Y94="","",INDIRECT("aux_sheet_RRS!AI"&amp;1+MATCH(aux_sheet_RRS!$E93,aux_sheet_RRS!$D$2:$D$202,0)))</f>
        <v/>
      </c>
      <c r="AB94" s="88" t="str">
        <f ca="1">IF($B94="","",INDIRECT("aux_sheet_RRS!AJ"&amp;1+MATCH(aux_sheet_RRS!$E93,aux_sheet_RRS!$D$2:$D$202,0)))</f>
        <v/>
      </c>
      <c r="AC94" s="89" t="str">
        <f ca="1">IF($B94="","",INDIRECT("aux_sheet_RRS!AK"&amp;1+MATCH(aux_sheet_RRS!$E93,aux_sheet_RRS!$D$2:$D$202,0)))</f>
        <v/>
      </c>
      <c r="AD94" s="90" t="str">
        <f ca="1">IF(AB94="","",INDIRECT("aux_sheet_RRS!AL"&amp;1+MATCH(aux_sheet_RRS!$E93,aux_sheet_RRS!$D$2:$D$202,0)))</f>
        <v/>
      </c>
      <c r="AE94" s="88" t="str">
        <f ca="1">IF($B94="","",INDIRECT("aux_sheet_RRS!AM"&amp;1+MATCH(aux_sheet_RRS!$E93,aux_sheet_RRS!$D$2:$D$202,0)))</f>
        <v/>
      </c>
      <c r="AF94" s="89" t="str">
        <f ca="1">IF($B94="","",INDIRECT("aux_sheet_RRS!AN"&amp;1+MATCH(aux_sheet_RRS!$E93,aux_sheet_RRS!$D$2:$D$202,0)))</f>
        <v/>
      </c>
      <c r="AG94" s="90" t="str">
        <f ca="1">IF(AE94="","",INDIRECT("aux_sheet_RRS!AO"&amp;1+MATCH(aux_sheet_RRS!$E93,aux_sheet_RRS!$D$2:$D$202,0)))</f>
        <v/>
      </c>
      <c r="AH94" s="14" t="str">
        <f t="shared" ca="1" si="6"/>
        <v/>
      </c>
      <c r="AI94" t="str">
        <f t="shared" ca="1" si="7"/>
        <v/>
      </c>
      <c r="AJ94" t="str">
        <f t="shared" ca="1" si="8"/>
        <v/>
      </c>
    </row>
    <row r="95" spans="1:36" x14ac:dyDescent="0.35">
      <c r="A95" s="2" t="str">
        <f>IF(ISBLANK(Input!A94),"",ROUNDDOWN(aux_sheet_RRS!E94,0))</f>
        <v/>
      </c>
      <c r="B95" s="2" t="str">
        <f ca="1">IF(ISBLANK(Input!A94),"",INDIRECT("Input!A"&amp;1+MATCH(aux_sheet_RRS!$E94,aux_sheet_RRS!$D$2:$D$202,0)))</f>
        <v/>
      </c>
      <c r="C95" s="2" t="str">
        <f ca="1">IF(ISBLANK(Input!B94),"",INDIRECT("Input!B"&amp;1+MATCH(aux_sheet_RRS!$E94,aux_sheet_RRS!$D$2:$D$202,0)))</f>
        <v/>
      </c>
      <c r="D95" s="2" t="str">
        <f ca="1">IF(ISBLANK(Input!C94),"",INDIRECT("Input!C"&amp;1+MATCH(aux_sheet_RRS!$E94,aux_sheet_RRS!$D$2:$D$202,0)))</f>
        <v/>
      </c>
      <c r="E95" s="2" t="str">
        <f ca="1">IF(ISBLANK(Input!D94),"",INDIRECT("Input!D"&amp;1+MATCH(aux_sheet_RRS!$E94,aux_sheet_RRS!$D$2:$D$202,0)))</f>
        <v/>
      </c>
      <c r="F95" s="11" t="str">
        <f ca="1">INDIRECT("Input!H"&amp;1+MATCH(aux_sheet_RRS!$E94,aux_sheet_RRS!$D$2:$D$202,0))</f>
        <v xml:space="preserve"> </v>
      </c>
      <c r="G95" s="88" t="str">
        <f ca="1">IF($B95="","",INDIRECT("aux_sheet_RRS!O"&amp;1+MATCH(aux_sheet_RRS!$E94,aux_sheet_RRS!$D$2:$D$202,0)))</f>
        <v/>
      </c>
      <c r="H95" s="89" t="str">
        <f ca="1">IF($B95="","",INDIRECT("aux_sheet_RRS!P"&amp;1+MATCH(aux_sheet_RRS!$E94,aux_sheet_RRS!$D$2:$D$202,0)))</f>
        <v/>
      </c>
      <c r="I95" s="90" t="str">
        <f ca="1">IF(G95="","",ROUNDDOWN(INDIRECT("aux_sheet_RRS!Q"&amp;1+MATCH(aux_sheet_RRS!$E94,aux_sheet_RRS!$D$2:$D$202,0)),0))</f>
        <v/>
      </c>
      <c r="J95" s="106" t="str">
        <f ca="1">IF($B95="","",INDIRECT("aux_sheet_RRS!R"&amp;1+MATCH(aux_sheet_RRS!$E94,aux_sheet_RRS!$D$2:$D$202,0)))</f>
        <v/>
      </c>
      <c r="K95" s="89" t="str">
        <f ca="1">IF($B95="","",INDIRECT("aux_sheet_RRS!S"&amp;1+MATCH(aux_sheet_RRS!$E94,aux_sheet_RRS!$D$2:$D$202,0)))</f>
        <v/>
      </c>
      <c r="L95" s="90" t="str">
        <f ca="1">IF(J95="","",ROUNDDOWN(INDIRECT("aux_sheet_RRS!T"&amp;1+MATCH(aux_sheet_RRS!$E94,aux_sheet_RRS!$D$2:$D$202,0)),0))</f>
        <v/>
      </c>
      <c r="M95" s="106" t="str">
        <f ca="1">IF($B95="","",INDIRECT("aux_sheet_RRS!U"&amp;1+MATCH(aux_sheet_RRS!$E94,aux_sheet_RRS!$D$2:$D$202,0)))</f>
        <v/>
      </c>
      <c r="N95" s="89" t="str">
        <f ca="1">IF($B95="","",INDIRECT("aux_sheet_RRS!V"&amp;1+MATCH(aux_sheet_RRS!$E94,aux_sheet_RRS!$D$2:$D$202,0)))</f>
        <v/>
      </c>
      <c r="O95" s="90" t="str">
        <f ca="1">IF(M95="","",ROUNDDOWN(INDIRECT("aux_sheet_RRS!W"&amp;1+MATCH(aux_sheet_RRS!$E94,aux_sheet_RRS!$D$2:$D$202,0)),0))</f>
        <v/>
      </c>
      <c r="P95" s="106" t="str">
        <f ca="1">IF($B95="","",INDIRECT("aux_sheet_RRS!X"&amp;1+MATCH(aux_sheet_RRS!$E94,aux_sheet_RRS!$D$2:$D$202,0)))</f>
        <v/>
      </c>
      <c r="Q95" s="89" t="str">
        <f ca="1">IF($B95="","",INDIRECT("aux_sheet_RRS!Y"&amp;1+MATCH(aux_sheet_RRS!$E94,aux_sheet_RRS!$D$2:$D$202,0)))</f>
        <v/>
      </c>
      <c r="R95" s="90" t="str">
        <f ca="1">IF(P95="","",INDIRECT("aux_sheet_RRS!Z"&amp;1+MATCH(aux_sheet_RRS!$E94,aux_sheet_RRS!$D$2:$D$202,0)))</f>
        <v/>
      </c>
      <c r="S95" s="106" t="str">
        <f ca="1">IF($B95="","",INDIRECT("aux_sheet_RRS!AA"&amp;1+MATCH(aux_sheet_RRS!$E94,aux_sheet_RRS!$D$2:$D$202,0)))</f>
        <v/>
      </c>
      <c r="T95" s="89" t="str">
        <f ca="1">IF($B95="","",INDIRECT("aux_sheet_RRS!AB"&amp;1+MATCH(aux_sheet_RRS!$E94,aux_sheet_RRS!$D$2:$D$202,0)))</f>
        <v/>
      </c>
      <c r="U95" s="90" t="str">
        <f ca="1">IF(S95="","",INDIRECT("aux_sheet_RRS!AC"&amp;1+MATCH(aux_sheet_RRS!$E94,aux_sheet_RRS!$D$2:$D$202,0)))</f>
        <v/>
      </c>
      <c r="V95" s="106" t="str">
        <f ca="1">IF($B95="","",INDIRECT("aux_sheet_RRS!AD"&amp;1+MATCH(aux_sheet_RRS!$E94,aux_sheet_RRS!$D$2:$D$202,0)))</f>
        <v/>
      </c>
      <c r="W95" s="89" t="str">
        <f ca="1">IF($B95="","",INDIRECT("aux_sheet_RRS!AE"&amp;1+MATCH(aux_sheet_RRS!$E94,aux_sheet_RRS!$D$2:$D$202,0)))</f>
        <v/>
      </c>
      <c r="X95" s="90" t="str">
        <f ca="1">IF(V95="","",INDIRECT("aux_sheet_RRS!AF"&amp;1+MATCH(aux_sheet_RRS!$E94,aux_sheet_RRS!$D$2:$D$202,0)))</f>
        <v/>
      </c>
      <c r="Y95" s="106" t="str">
        <f ca="1">IF($B95="","",INDIRECT("aux_sheet_RRS!AG"&amp;1+MATCH(aux_sheet_RRS!$E94,aux_sheet_RRS!$D$2:$D$202,0)))</f>
        <v/>
      </c>
      <c r="Z95" s="89" t="str">
        <f ca="1">IF($B95="","",INDIRECT("aux_sheet_RRS!AH"&amp;1+MATCH(aux_sheet_RRS!$E94,aux_sheet_RRS!$D$2:$D$202,0)))</f>
        <v/>
      </c>
      <c r="AA95" s="90" t="str">
        <f ca="1">IF(Y95="","",INDIRECT("aux_sheet_RRS!AI"&amp;1+MATCH(aux_sheet_RRS!$E94,aux_sheet_RRS!$D$2:$D$202,0)))</f>
        <v/>
      </c>
      <c r="AB95" s="88" t="str">
        <f ca="1">IF($B95="","",INDIRECT("aux_sheet_RRS!AJ"&amp;1+MATCH(aux_sheet_RRS!$E94,aux_sheet_RRS!$D$2:$D$202,0)))</f>
        <v/>
      </c>
      <c r="AC95" s="89" t="str">
        <f ca="1">IF($B95="","",INDIRECT("aux_sheet_RRS!AK"&amp;1+MATCH(aux_sheet_RRS!$E94,aux_sheet_RRS!$D$2:$D$202,0)))</f>
        <v/>
      </c>
      <c r="AD95" s="90" t="str">
        <f ca="1">IF(AB95="","",INDIRECT("aux_sheet_RRS!AL"&amp;1+MATCH(aux_sheet_RRS!$E94,aux_sheet_RRS!$D$2:$D$202,0)))</f>
        <v/>
      </c>
      <c r="AE95" s="88" t="str">
        <f ca="1">IF($B95="","",INDIRECT("aux_sheet_RRS!AM"&amp;1+MATCH(aux_sheet_RRS!$E94,aux_sheet_RRS!$D$2:$D$202,0)))</f>
        <v/>
      </c>
      <c r="AF95" s="89" t="str">
        <f ca="1">IF($B95="","",INDIRECT("aux_sheet_RRS!AN"&amp;1+MATCH(aux_sheet_RRS!$E94,aux_sheet_RRS!$D$2:$D$202,0)))</f>
        <v/>
      </c>
      <c r="AG95" s="90" t="str">
        <f ca="1">IF(AE95="","",INDIRECT("aux_sheet_RRS!AO"&amp;1+MATCH(aux_sheet_RRS!$E94,aux_sheet_RRS!$D$2:$D$202,0)))</f>
        <v/>
      </c>
      <c r="AH95" s="14" t="str">
        <f t="shared" ca="1" si="6"/>
        <v/>
      </c>
      <c r="AI95" t="str">
        <f t="shared" ca="1" si="7"/>
        <v/>
      </c>
      <c r="AJ95" t="str">
        <f t="shared" ca="1" si="8"/>
        <v/>
      </c>
    </row>
    <row r="96" spans="1:36" x14ac:dyDescent="0.35">
      <c r="A96" s="2" t="str">
        <f>IF(ISBLANK(Input!A95),"",ROUNDDOWN(aux_sheet_RRS!E95,0))</f>
        <v/>
      </c>
      <c r="B96" s="2" t="str">
        <f ca="1">IF(ISBLANK(Input!A95),"",INDIRECT("Input!A"&amp;1+MATCH(aux_sheet_RRS!$E95,aux_sheet_RRS!$D$2:$D$202,0)))</f>
        <v/>
      </c>
      <c r="C96" s="2" t="str">
        <f ca="1">IF(ISBLANK(Input!B95),"",INDIRECT("Input!B"&amp;1+MATCH(aux_sheet_RRS!$E95,aux_sheet_RRS!$D$2:$D$202,0)))</f>
        <v/>
      </c>
      <c r="D96" s="2" t="str">
        <f ca="1">IF(ISBLANK(Input!C95),"",INDIRECT("Input!C"&amp;1+MATCH(aux_sheet_RRS!$E95,aux_sheet_RRS!$D$2:$D$202,0)))</f>
        <v/>
      </c>
      <c r="E96" s="2" t="str">
        <f ca="1">IF(ISBLANK(Input!D95),"",INDIRECT("Input!D"&amp;1+MATCH(aux_sheet_RRS!$E95,aux_sheet_RRS!$D$2:$D$202,0)))</f>
        <v/>
      </c>
      <c r="F96" s="11" t="str">
        <f ca="1">INDIRECT("Input!H"&amp;1+MATCH(aux_sheet_RRS!$E95,aux_sheet_RRS!$D$2:$D$202,0))</f>
        <v xml:space="preserve"> </v>
      </c>
      <c r="G96" s="88" t="str">
        <f ca="1">IF($B96="","",INDIRECT("aux_sheet_RRS!O"&amp;1+MATCH(aux_sheet_RRS!$E95,aux_sheet_RRS!$D$2:$D$202,0)))</f>
        <v/>
      </c>
      <c r="H96" s="89" t="str">
        <f ca="1">IF($B96="","",INDIRECT("aux_sheet_RRS!P"&amp;1+MATCH(aux_sheet_RRS!$E95,aux_sheet_RRS!$D$2:$D$202,0)))</f>
        <v/>
      </c>
      <c r="I96" s="90" t="str">
        <f ca="1">IF(G96="","",ROUNDDOWN(INDIRECT("aux_sheet_RRS!Q"&amp;1+MATCH(aux_sheet_RRS!$E95,aux_sheet_RRS!$D$2:$D$202,0)),0))</f>
        <v/>
      </c>
      <c r="J96" s="106" t="str">
        <f ca="1">IF($B96="","",INDIRECT("aux_sheet_RRS!R"&amp;1+MATCH(aux_sheet_RRS!$E95,aux_sheet_RRS!$D$2:$D$202,0)))</f>
        <v/>
      </c>
      <c r="K96" s="89" t="str">
        <f ca="1">IF($B96="","",INDIRECT("aux_sheet_RRS!S"&amp;1+MATCH(aux_sheet_RRS!$E95,aux_sheet_RRS!$D$2:$D$202,0)))</f>
        <v/>
      </c>
      <c r="L96" s="90" t="str">
        <f ca="1">IF(J96="","",ROUNDDOWN(INDIRECT("aux_sheet_RRS!T"&amp;1+MATCH(aux_sheet_RRS!$E95,aux_sheet_RRS!$D$2:$D$202,0)),0))</f>
        <v/>
      </c>
      <c r="M96" s="106" t="str">
        <f ca="1">IF($B96="","",INDIRECT("aux_sheet_RRS!U"&amp;1+MATCH(aux_sheet_RRS!$E95,aux_sheet_RRS!$D$2:$D$202,0)))</f>
        <v/>
      </c>
      <c r="N96" s="89" t="str">
        <f ca="1">IF($B96="","",INDIRECT("aux_sheet_RRS!V"&amp;1+MATCH(aux_sheet_RRS!$E95,aux_sheet_RRS!$D$2:$D$202,0)))</f>
        <v/>
      </c>
      <c r="O96" s="90" t="str">
        <f ca="1">IF(M96="","",ROUNDDOWN(INDIRECT("aux_sheet_RRS!W"&amp;1+MATCH(aux_sheet_RRS!$E95,aux_sheet_RRS!$D$2:$D$202,0)),0))</f>
        <v/>
      </c>
      <c r="P96" s="106" t="str">
        <f ca="1">IF($B96="","",INDIRECT("aux_sheet_RRS!X"&amp;1+MATCH(aux_sheet_RRS!$E95,aux_sheet_RRS!$D$2:$D$202,0)))</f>
        <v/>
      </c>
      <c r="Q96" s="89" t="str">
        <f ca="1">IF($B96="","",INDIRECT("aux_sheet_RRS!Y"&amp;1+MATCH(aux_sheet_RRS!$E95,aux_sheet_RRS!$D$2:$D$202,0)))</f>
        <v/>
      </c>
      <c r="R96" s="90" t="str">
        <f ca="1">IF(P96="","",INDIRECT("aux_sheet_RRS!Z"&amp;1+MATCH(aux_sheet_RRS!$E95,aux_sheet_RRS!$D$2:$D$202,0)))</f>
        <v/>
      </c>
      <c r="S96" s="106" t="str">
        <f ca="1">IF($B96="","",INDIRECT("aux_sheet_RRS!AA"&amp;1+MATCH(aux_sheet_RRS!$E95,aux_sheet_RRS!$D$2:$D$202,0)))</f>
        <v/>
      </c>
      <c r="T96" s="89" t="str">
        <f ca="1">IF($B96="","",INDIRECT("aux_sheet_RRS!AB"&amp;1+MATCH(aux_sheet_RRS!$E95,aux_sheet_RRS!$D$2:$D$202,0)))</f>
        <v/>
      </c>
      <c r="U96" s="90" t="str">
        <f ca="1">IF(S96="","",INDIRECT("aux_sheet_RRS!AC"&amp;1+MATCH(aux_sheet_RRS!$E95,aux_sheet_RRS!$D$2:$D$202,0)))</f>
        <v/>
      </c>
      <c r="V96" s="106" t="str">
        <f ca="1">IF($B96="","",INDIRECT("aux_sheet_RRS!AD"&amp;1+MATCH(aux_sheet_RRS!$E95,aux_sheet_RRS!$D$2:$D$202,0)))</f>
        <v/>
      </c>
      <c r="W96" s="89" t="str">
        <f ca="1">IF($B96="","",INDIRECT("aux_sheet_RRS!AE"&amp;1+MATCH(aux_sheet_RRS!$E95,aux_sheet_RRS!$D$2:$D$202,0)))</f>
        <v/>
      </c>
      <c r="X96" s="90" t="str">
        <f ca="1">IF(V96="","",INDIRECT("aux_sheet_RRS!AF"&amp;1+MATCH(aux_sheet_RRS!$E95,aux_sheet_RRS!$D$2:$D$202,0)))</f>
        <v/>
      </c>
      <c r="Y96" s="106" t="str">
        <f ca="1">IF($B96="","",INDIRECT("aux_sheet_RRS!AG"&amp;1+MATCH(aux_sheet_RRS!$E95,aux_sheet_RRS!$D$2:$D$202,0)))</f>
        <v/>
      </c>
      <c r="Z96" s="89" t="str">
        <f ca="1">IF($B96="","",INDIRECT("aux_sheet_RRS!AH"&amp;1+MATCH(aux_sheet_RRS!$E95,aux_sheet_RRS!$D$2:$D$202,0)))</f>
        <v/>
      </c>
      <c r="AA96" s="90" t="str">
        <f ca="1">IF(Y96="","",INDIRECT("aux_sheet_RRS!AI"&amp;1+MATCH(aux_sheet_RRS!$E95,aux_sheet_RRS!$D$2:$D$202,0)))</f>
        <v/>
      </c>
      <c r="AB96" s="88" t="str">
        <f ca="1">IF($B96="","",INDIRECT("aux_sheet_RRS!AJ"&amp;1+MATCH(aux_sheet_RRS!$E95,aux_sheet_RRS!$D$2:$D$202,0)))</f>
        <v/>
      </c>
      <c r="AC96" s="89" t="str">
        <f ca="1">IF($B96="","",INDIRECT("aux_sheet_RRS!AK"&amp;1+MATCH(aux_sheet_RRS!$E95,aux_sheet_RRS!$D$2:$D$202,0)))</f>
        <v/>
      </c>
      <c r="AD96" s="90" t="str">
        <f ca="1">IF(AB96="","",INDIRECT("aux_sheet_RRS!AL"&amp;1+MATCH(aux_sheet_RRS!$E95,aux_sheet_RRS!$D$2:$D$202,0)))</f>
        <v/>
      </c>
      <c r="AE96" s="88" t="str">
        <f ca="1">IF($B96="","",INDIRECT("aux_sheet_RRS!AM"&amp;1+MATCH(aux_sheet_RRS!$E95,aux_sheet_RRS!$D$2:$D$202,0)))</f>
        <v/>
      </c>
      <c r="AF96" s="89" t="str">
        <f ca="1">IF($B96="","",INDIRECT("aux_sheet_RRS!AN"&amp;1+MATCH(aux_sheet_RRS!$E95,aux_sheet_RRS!$D$2:$D$202,0)))</f>
        <v/>
      </c>
      <c r="AG96" s="90" t="str">
        <f ca="1">IF(AE96="","",INDIRECT("aux_sheet_RRS!AO"&amp;1+MATCH(aux_sheet_RRS!$E95,aux_sheet_RRS!$D$2:$D$202,0)))</f>
        <v/>
      </c>
      <c r="AH96" s="14" t="str">
        <f t="shared" ca="1" si="6"/>
        <v/>
      </c>
      <c r="AI96" t="str">
        <f t="shared" ca="1" si="7"/>
        <v/>
      </c>
      <c r="AJ96" t="str">
        <f t="shared" ca="1" si="8"/>
        <v/>
      </c>
    </row>
    <row r="97" spans="1:36" x14ac:dyDescent="0.35">
      <c r="A97" s="2" t="str">
        <f>IF(ISBLANK(Input!A96),"",ROUNDDOWN(aux_sheet_RRS!E96,0))</f>
        <v/>
      </c>
      <c r="B97" s="2" t="str">
        <f ca="1">IF(ISBLANK(Input!A96),"",INDIRECT("Input!A"&amp;1+MATCH(aux_sheet_RRS!$E96,aux_sheet_RRS!$D$2:$D$202,0)))</f>
        <v/>
      </c>
      <c r="C97" s="2" t="str">
        <f ca="1">IF(ISBLANK(Input!B96),"",INDIRECT("Input!B"&amp;1+MATCH(aux_sheet_RRS!$E96,aux_sheet_RRS!$D$2:$D$202,0)))</f>
        <v/>
      </c>
      <c r="D97" s="2" t="str">
        <f ca="1">IF(ISBLANK(Input!C96),"",INDIRECT("Input!C"&amp;1+MATCH(aux_sheet_RRS!$E96,aux_sheet_RRS!$D$2:$D$202,0)))</f>
        <v/>
      </c>
      <c r="E97" s="2" t="str">
        <f ca="1">IF(ISBLANK(Input!D96),"",INDIRECT("Input!D"&amp;1+MATCH(aux_sheet_RRS!$E96,aux_sheet_RRS!$D$2:$D$202,0)))</f>
        <v/>
      </c>
      <c r="F97" s="11" t="str">
        <f ca="1">INDIRECT("Input!H"&amp;1+MATCH(aux_sheet_RRS!$E96,aux_sheet_RRS!$D$2:$D$202,0))</f>
        <v xml:space="preserve"> </v>
      </c>
      <c r="G97" s="88" t="str">
        <f ca="1">IF($B97="","",INDIRECT("aux_sheet_RRS!O"&amp;1+MATCH(aux_sheet_RRS!$E96,aux_sheet_RRS!$D$2:$D$202,0)))</f>
        <v/>
      </c>
      <c r="H97" s="89" t="str">
        <f ca="1">IF($B97="","",INDIRECT("aux_sheet_RRS!P"&amp;1+MATCH(aux_sheet_RRS!$E96,aux_sheet_RRS!$D$2:$D$202,0)))</f>
        <v/>
      </c>
      <c r="I97" s="90" t="str">
        <f ca="1">IF(G97="","",ROUNDDOWN(INDIRECT("aux_sheet_RRS!Q"&amp;1+MATCH(aux_sheet_RRS!$E96,aux_sheet_RRS!$D$2:$D$202,0)),0))</f>
        <v/>
      </c>
      <c r="J97" s="106" t="str">
        <f ca="1">IF($B97="","",INDIRECT("aux_sheet_RRS!R"&amp;1+MATCH(aux_sheet_RRS!$E96,aux_sheet_RRS!$D$2:$D$202,0)))</f>
        <v/>
      </c>
      <c r="K97" s="89" t="str">
        <f ca="1">IF($B97="","",INDIRECT("aux_sheet_RRS!S"&amp;1+MATCH(aux_sheet_RRS!$E96,aux_sheet_RRS!$D$2:$D$202,0)))</f>
        <v/>
      </c>
      <c r="L97" s="90" t="str">
        <f ca="1">IF(J97="","",ROUNDDOWN(INDIRECT("aux_sheet_RRS!T"&amp;1+MATCH(aux_sheet_RRS!$E96,aux_sheet_RRS!$D$2:$D$202,0)),0))</f>
        <v/>
      </c>
      <c r="M97" s="106" t="str">
        <f ca="1">IF($B97="","",INDIRECT("aux_sheet_RRS!U"&amp;1+MATCH(aux_sheet_RRS!$E96,aux_sheet_RRS!$D$2:$D$202,0)))</f>
        <v/>
      </c>
      <c r="N97" s="89" t="str">
        <f ca="1">IF($B97="","",INDIRECT("aux_sheet_RRS!V"&amp;1+MATCH(aux_sheet_RRS!$E96,aux_sheet_RRS!$D$2:$D$202,0)))</f>
        <v/>
      </c>
      <c r="O97" s="90" t="str">
        <f ca="1">IF(M97="","",ROUNDDOWN(INDIRECT("aux_sheet_RRS!W"&amp;1+MATCH(aux_sheet_RRS!$E96,aux_sheet_RRS!$D$2:$D$202,0)),0))</f>
        <v/>
      </c>
      <c r="P97" s="106" t="str">
        <f ca="1">IF($B97="","",INDIRECT("aux_sheet_RRS!X"&amp;1+MATCH(aux_sheet_RRS!$E96,aux_sheet_RRS!$D$2:$D$202,0)))</f>
        <v/>
      </c>
      <c r="Q97" s="89" t="str">
        <f ca="1">IF($B97="","",INDIRECT("aux_sheet_RRS!Y"&amp;1+MATCH(aux_sheet_RRS!$E96,aux_sheet_RRS!$D$2:$D$202,0)))</f>
        <v/>
      </c>
      <c r="R97" s="90" t="str">
        <f ca="1">IF(P97="","",INDIRECT("aux_sheet_RRS!Z"&amp;1+MATCH(aux_sheet_RRS!$E96,aux_sheet_RRS!$D$2:$D$202,0)))</f>
        <v/>
      </c>
      <c r="S97" s="106" t="str">
        <f ca="1">IF($B97="","",INDIRECT("aux_sheet_RRS!AA"&amp;1+MATCH(aux_sheet_RRS!$E96,aux_sheet_RRS!$D$2:$D$202,0)))</f>
        <v/>
      </c>
      <c r="T97" s="89" t="str">
        <f ca="1">IF($B97="","",INDIRECT("aux_sheet_RRS!AB"&amp;1+MATCH(aux_sheet_RRS!$E96,aux_sheet_RRS!$D$2:$D$202,0)))</f>
        <v/>
      </c>
      <c r="U97" s="90" t="str">
        <f ca="1">IF(S97="","",INDIRECT("aux_sheet_RRS!AC"&amp;1+MATCH(aux_sheet_RRS!$E96,aux_sheet_RRS!$D$2:$D$202,0)))</f>
        <v/>
      </c>
      <c r="V97" s="106" t="str">
        <f ca="1">IF($B97="","",INDIRECT("aux_sheet_RRS!AD"&amp;1+MATCH(aux_sheet_RRS!$E96,aux_sheet_RRS!$D$2:$D$202,0)))</f>
        <v/>
      </c>
      <c r="W97" s="89" t="str">
        <f ca="1">IF($B97="","",INDIRECT("aux_sheet_RRS!AE"&amp;1+MATCH(aux_sheet_RRS!$E96,aux_sheet_RRS!$D$2:$D$202,0)))</f>
        <v/>
      </c>
      <c r="X97" s="90" t="str">
        <f ca="1">IF(V97="","",INDIRECT("aux_sheet_RRS!AF"&amp;1+MATCH(aux_sheet_RRS!$E96,aux_sheet_RRS!$D$2:$D$202,0)))</f>
        <v/>
      </c>
      <c r="Y97" s="106" t="str">
        <f ca="1">IF($B97="","",INDIRECT("aux_sheet_RRS!AG"&amp;1+MATCH(aux_sheet_RRS!$E96,aux_sheet_RRS!$D$2:$D$202,0)))</f>
        <v/>
      </c>
      <c r="Z97" s="89" t="str">
        <f ca="1">IF($B97="","",INDIRECT("aux_sheet_RRS!AH"&amp;1+MATCH(aux_sheet_RRS!$E96,aux_sheet_RRS!$D$2:$D$202,0)))</f>
        <v/>
      </c>
      <c r="AA97" s="90" t="str">
        <f ca="1">IF(Y97="","",INDIRECT("aux_sheet_RRS!AI"&amp;1+MATCH(aux_sheet_RRS!$E96,aux_sheet_RRS!$D$2:$D$202,0)))</f>
        <v/>
      </c>
      <c r="AB97" s="88" t="str">
        <f ca="1">IF($B97="","",INDIRECT("aux_sheet_RRS!AJ"&amp;1+MATCH(aux_sheet_RRS!$E96,aux_sheet_RRS!$D$2:$D$202,0)))</f>
        <v/>
      </c>
      <c r="AC97" s="89" t="str">
        <f ca="1">IF($B97="","",INDIRECT("aux_sheet_RRS!AK"&amp;1+MATCH(aux_sheet_RRS!$E96,aux_sheet_RRS!$D$2:$D$202,0)))</f>
        <v/>
      </c>
      <c r="AD97" s="90" t="str">
        <f ca="1">IF(AB97="","",INDIRECT("aux_sheet_RRS!AL"&amp;1+MATCH(aux_sheet_RRS!$E96,aux_sheet_RRS!$D$2:$D$202,0)))</f>
        <v/>
      </c>
      <c r="AE97" s="88" t="str">
        <f ca="1">IF($B97="","",INDIRECT("aux_sheet_RRS!AM"&amp;1+MATCH(aux_sheet_RRS!$E96,aux_sheet_RRS!$D$2:$D$202,0)))</f>
        <v/>
      </c>
      <c r="AF97" s="89" t="str">
        <f ca="1">IF($B97="","",INDIRECT("aux_sheet_RRS!AN"&amp;1+MATCH(aux_sheet_RRS!$E96,aux_sheet_RRS!$D$2:$D$202,0)))</f>
        <v/>
      </c>
      <c r="AG97" s="90" t="str">
        <f ca="1">IF(AE97="","",INDIRECT("aux_sheet_RRS!AO"&amp;1+MATCH(aux_sheet_RRS!$E96,aux_sheet_RRS!$D$2:$D$202,0)))</f>
        <v/>
      </c>
      <c r="AH97" s="14" t="str">
        <f t="shared" ca="1" si="6"/>
        <v/>
      </c>
      <c r="AI97" t="str">
        <f t="shared" ca="1" si="7"/>
        <v/>
      </c>
      <c r="AJ97" t="str">
        <f t="shared" ca="1" si="8"/>
        <v/>
      </c>
    </row>
    <row r="98" spans="1:36" x14ac:dyDescent="0.35">
      <c r="A98" s="2" t="str">
        <f>IF(ISBLANK(Input!A97),"",ROUNDDOWN(aux_sheet_RRS!E97,0))</f>
        <v/>
      </c>
      <c r="B98" s="2" t="str">
        <f ca="1">IF(ISBLANK(Input!A97),"",INDIRECT("Input!A"&amp;1+MATCH(aux_sheet_RRS!$E97,aux_sheet_RRS!$D$2:$D$202,0)))</f>
        <v/>
      </c>
      <c r="C98" s="2" t="str">
        <f ca="1">IF(ISBLANK(Input!B97),"",INDIRECT("Input!B"&amp;1+MATCH(aux_sheet_RRS!$E97,aux_sheet_RRS!$D$2:$D$202,0)))</f>
        <v/>
      </c>
      <c r="D98" s="2" t="str">
        <f ca="1">IF(ISBLANK(Input!C97),"",INDIRECT("Input!C"&amp;1+MATCH(aux_sheet_RRS!$E97,aux_sheet_RRS!$D$2:$D$202,0)))</f>
        <v/>
      </c>
      <c r="E98" s="2" t="str">
        <f ca="1">IF(ISBLANK(Input!D97),"",INDIRECT("Input!D"&amp;1+MATCH(aux_sheet_RRS!$E97,aux_sheet_RRS!$D$2:$D$202,0)))</f>
        <v/>
      </c>
      <c r="F98" s="11" t="str">
        <f ca="1">INDIRECT("Input!H"&amp;1+MATCH(aux_sheet_RRS!$E97,aux_sheet_RRS!$D$2:$D$202,0))</f>
        <v xml:space="preserve"> </v>
      </c>
      <c r="G98" s="88" t="str">
        <f ca="1">IF($B98="","",INDIRECT("aux_sheet_RRS!O"&amp;1+MATCH(aux_sheet_RRS!$E97,aux_sheet_RRS!$D$2:$D$202,0)))</f>
        <v/>
      </c>
      <c r="H98" s="89" t="str">
        <f ca="1">IF($B98="","",INDIRECT("aux_sheet_RRS!P"&amp;1+MATCH(aux_sheet_RRS!$E97,aux_sheet_RRS!$D$2:$D$202,0)))</f>
        <v/>
      </c>
      <c r="I98" s="90" t="str">
        <f ca="1">IF(G98="","",ROUNDDOWN(INDIRECT("aux_sheet_RRS!Q"&amp;1+MATCH(aux_sheet_RRS!$E97,aux_sheet_RRS!$D$2:$D$202,0)),0))</f>
        <v/>
      </c>
      <c r="J98" s="106" t="str">
        <f ca="1">IF($B98="","",INDIRECT("aux_sheet_RRS!R"&amp;1+MATCH(aux_sheet_RRS!$E97,aux_sheet_RRS!$D$2:$D$202,0)))</f>
        <v/>
      </c>
      <c r="K98" s="89" t="str">
        <f ca="1">IF($B98="","",INDIRECT("aux_sheet_RRS!S"&amp;1+MATCH(aux_sheet_RRS!$E97,aux_sheet_RRS!$D$2:$D$202,0)))</f>
        <v/>
      </c>
      <c r="L98" s="90" t="str">
        <f ca="1">IF(J98="","",ROUNDDOWN(INDIRECT("aux_sheet_RRS!T"&amp;1+MATCH(aux_sheet_RRS!$E97,aux_sheet_RRS!$D$2:$D$202,0)),0))</f>
        <v/>
      </c>
      <c r="M98" s="106" t="str">
        <f ca="1">IF($B98="","",INDIRECT("aux_sheet_RRS!U"&amp;1+MATCH(aux_sheet_RRS!$E97,aux_sheet_RRS!$D$2:$D$202,0)))</f>
        <v/>
      </c>
      <c r="N98" s="89" t="str">
        <f ca="1">IF($B98="","",INDIRECT("aux_sheet_RRS!V"&amp;1+MATCH(aux_sheet_RRS!$E97,aux_sheet_RRS!$D$2:$D$202,0)))</f>
        <v/>
      </c>
      <c r="O98" s="90" t="str">
        <f ca="1">IF(M98="","",ROUNDDOWN(INDIRECT("aux_sheet_RRS!W"&amp;1+MATCH(aux_sheet_RRS!$E97,aux_sheet_RRS!$D$2:$D$202,0)),0))</f>
        <v/>
      </c>
      <c r="P98" s="106" t="str">
        <f ca="1">IF($B98="","",INDIRECT("aux_sheet_RRS!X"&amp;1+MATCH(aux_sheet_RRS!$E97,aux_sheet_RRS!$D$2:$D$202,0)))</f>
        <v/>
      </c>
      <c r="Q98" s="89" t="str">
        <f ca="1">IF($B98="","",INDIRECT("aux_sheet_RRS!Y"&amp;1+MATCH(aux_sheet_RRS!$E97,aux_sheet_RRS!$D$2:$D$202,0)))</f>
        <v/>
      </c>
      <c r="R98" s="90" t="str">
        <f ca="1">IF(P98="","",INDIRECT("aux_sheet_RRS!Z"&amp;1+MATCH(aux_sheet_RRS!$E97,aux_sheet_RRS!$D$2:$D$202,0)))</f>
        <v/>
      </c>
      <c r="S98" s="106" t="str">
        <f ca="1">IF($B98="","",INDIRECT("aux_sheet_RRS!AA"&amp;1+MATCH(aux_sheet_RRS!$E97,aux_sheet_RRS!$D$2:$D$202,0)))</f>
        <v/>
      </c>
      <c r="T98" s="89" t="str">
        <f ca="1">IF($B98="","",INDIRECT("aux_sheet_RRS!AB"&amp;1+MATCH(aux_sheet_RRS!$E97,aux_sheet_RRS!$D$2:$D$202,0)))</f>
        <v/>
      </c>
      <c r="U98" s="90" t="str">
        <f ca="1">IF(S98="","",INDIRECT("aux_sheet_RRS!AC"&amp;1+MATCH(aux_sheet_RRS!$E97,aux_sheet_RRS!$D$2:$D$202,0)))</f>
        <v/>
      </c>
      <c r="V98" s="106" t="str">
        <f ca="1">IF($B98="","",INDIRECT("aux_sheet_RRS!AD"&amp;1+MATCH(aux_sheet_RRS!$E97,aux_sheet_RRS!$D$2:$D$202,0)))</f>
        <v/>
      </c>
      <c r="W98" s="89" t="str">
        <f ca="1">IF($B98="","",INDIRECT("aux_sheet_RRS!AE"&amp;1+MATCH(aux_sheet_RRS!$E97,aux_sheet_RRS!$D$2:$D$202,0)))</f>
        <v/>
      </c>
      <c r="X98" s="90" t="str">
        <f ca="1">IF(V98="","",INDIRECT("aux_sheet_RRS!AF"&amp;1+MATCH(aux_sheet_RRS!$E97,aux_sheet_RRS!$D$2:$D$202,0)))</f>
        <v/>
      </c>
      <c r="Y98" s="106" t="str">
        <f ca="1">IF($B98="","",INDIRECT("aux_sheet_RRS!AG"&amp;1+MATCH(aux_sheet_RRS!$E97,aux_sheet_RRS!$D$2:$D$202,0)))</f>
        <v/>
      </c>
      <c r="Z98" s="89" t="str">
        <f ca="1">IF($B98="","",INDIRECT("aux_sheet_RRS!AH"&amp;1+MATCH(aux_sheet_RRS!$E97,aux_sheet_RRS!$D$2:$D$202,0)))</f>
        <v/>
      </c>
      <c r="AA98" s="90" t="str">
        <f ca="1">IF(Y98="","",INDIRECT("aux_sheet_RRS!AI"&amp;1+MATCH(aux_sheet_RRS!$E97,aux_sheet_RRS!$D$2:$D$202,0)))</f>
        <v/>
      </c>
      <c r="AB98" s="88" t="str">
        <f ca="1">IF($B98="","",INDIRECT("aux_sheet_RRS!AJ"&amp;1+MATCH(aux_sheet_RRS!$E97,aux_sheet_RRS!$D$2:$D$202,0)))</f>
        <v/>
      </c>
      <c r="AC98" s="89" t="str">
        <f ca="1">IF($B98="","",INDIRECT("aux_sheet_RRS!AK"&amp;1+MATCH(aux_sheet_RRS!$E97,aux_sheet_RRS!$D$2:$D$202,0)))</f>
        <v/>
      </c>
      <c r="AD98" s="90" t="str">
        <f ca="1">IF(AB98="","",INDIRECT("aux_sheet_RRS!AL"&amp;1+MATCH(aux_sheet_RRS!$E97,aux_sheet_RRS!$D$2:$D$202,0)))</f>
        <v/>
      </c>
      <c r="AE98" s="88" t="str">
        <f ca="1">IF($B98="","",INDIRECT("aux_sheet_RRS!AM"&amp;1+MATCH(aux_sheet_RRS!$E97,aux_sheet_RRS!$D$2:$D$202,0)))</f>
        <v/>
      </c>
      <c r="AF98" s="89" t="str">
        <f ca="1">IF($B98="","",INDIRECT("aux_sheet_RRS!AN"&amp;1+MATCH(aux_sheet_RRS!$E97,aux_sheet_RRS!$D$2:$D$202,0)))</f>
        <v/>
      </c>
      <c r="AG98" s="90" t="str">
        <f ca="1">IF(AE98="","",INDIRECT("aux_sheet_RRS!AO"&amp;1+MATCH(aux_sheet_RRS!$E97,aux_sheet_RRS!$D$2:$D$202,0)))</f>
        <v/>
      </c>
      <c r="AH98" s="14" t="str">
        <f t="shared" ca="1" si="6"/>
        <v/>
      </c>
      <c r="AI98" t="str">
        <f t="shared" ca="1" si="7"/>
        <v/>
      </c>
      <c r="AJ98" t="str">
        <f t="shared" ca="1" si="8"/>
        <v/>
      </c>
    </row>
    <row r="99" spans="1:36" x14ac:dyDescent="0.35">
      <c r="A99" s="2" t="str">
        <f>IF(ISBLANK(Input!A98),"",ROUNDDOWN(aux_sheet_RRS!E98,0))</f>
        <v/>
      </c>
      <c r="B99" s="2" t="str">
        <f ca="1">IF(ISBLANK(Input!A98),"",INDIRECT("Input!A"&amp;1+MATCH(aux_sheet_RRS!$E98,aux_sheet_RRS!$D$2:$D$202,0)))</f>
        <v/>
      </c>
      <c r="C99" s="2" t="str">
        <f ca="1">IF(ISBLANK(Input!B98),"",INDIRECT("Input!B"&amp;1+MATCH(aux_sheet_RRS!$E98,aux_sheet_RRS!$D$2:$D$202,0)))</f>
        <v/>
      </c>
      <c r="D99" s="2" t="str">
        <f ca="1">IF(ISBLANK(Input!C98),"",INDIRECT("Input!C"&amp;1+MATCH(aux_sheet_RRS!$E98,aux_sheet_RRS!$D$2:$D$202,0)))</f>
        <v/>
      </c>
      <c r="E99" s="2" t="str">
        <f ca="1">IF(ISBLANK(Input!D98),"",INDIRECT("Input!D"&amp;1+MATCH(aux_sheet_RRS!$E98,aux_sheet_RRS!$D$2:$D$202,0)))</f>
        <v/>
      </c>
      <c r="F99" s="11" t="str">
        <f ca="1">INDIRECT("Input!H"&amp;1+MATCH(aux_sheet_RRS!$E98,aux_sheet_RRS!$D$2:$D$202,0))</f>
        <v xml:space="preserve"> </v>
      </c>
      <c r="G99" s="88" t="str">
        <f ca="1">IF($B99="","",INDIRECT("aux_sheet_RRS!O"&amp;1+MATCH(aux_sheet_RRS!$E98,aux_sheet_RRS!$D$2:$D$202,0)))</f>
        <v/>
      </c>
      <c r="H99" s="89" t="str">
        <f ca="1">IF($B99="","",INDIRECT("aux_sheet_RRS!P"&amp;1+MATCH(aux_sheet_RRS!$E98,aux_sheet_RRS!$D$2:$D$202,0)))</f>
        <v/>
      </c>
      <c r="I99" s="90" t="str">
        <f ca="1">IF(G99="","",ROUNDDOWN(INDIRECT("aux_sheet_RRS!Q"&amp;1+MATCH(aux_sheet_RRS!$E98,aux_sheet_RRS!$D$2:$D$202,0)),0))</f>
        <v/>
      </c>
      <c r="J99" s="106" t="str">
        <f ca="1">IF($B99="","",INDIRECT("aux_sheet_RRS!R"&amp;1+MATCH(aux_sheet_RRS!$E98,aux_sheet_RRS!$D$2:$D$202,0)))</f>
        <v/>
      </c>
      <c r="K99" s="89" t="str">
        <f ca="1">IF($B99="","",INDIRECT("aux_sheet_RRS!S"&amp;1+MATCH(aux_sheet_RRS!$E98,aux_sheet_RRS!$D$2:$D$202,0)))</f>
        <v/>
      </c>
      <c r="L99" s="90" t="str">
        <f ca="1">IF(J99="","",ROUNDDOWN(INDIRECT("aux_sheet_RRS!T"&amp;1+MATCH(aux_sheet_RRS!$E98,aux_sheet_RRS!$D$2:$D$202,0)),0))</f>
        <v/>
      </c>
      <c r="M99" s="106" t="str">
        <f ca="1">IF($B99="","",INDIRECT("aux_sheet_RRS!U"&amp;1+MATCH(aux_sheet_RRS!$E98,aux_sheet_RRS!$D$2:$D$202,0)))</f>
        <v/>
      </c>
      <c r="N99" s="89" t="str">
        <f ca="1">IF($B99="","",INDIRECT("aux_sheet_RRS!V"&amp;1+MATCH(aux_sheet_RRS!$E98,aux_sheet_RRS!$D$2:$D$202,0)))</f>
        <v/>
      </c>
      <c r="O99" s="90" t="str">
        <f ca="1">IF(M99="","",ROUNDDOWN(INDIRECT("aux_sheet_RRS!W"&amp;1+MATCH(aux_sheet_RRS!$E98,aux_sheet_RRS!$D$2:$D$202,0)),0))</f>
        <v/>
      </c>
      <c r="P99" s="106" t="str">
        <f ca="1">IF($B99="","",INDIRECT("aux_sheet_RRS!X"&amp;1+MATCH(aux_sheet_RRS!$E98,aux_sheet_RRS!$D$2:$D$202,0)))</f>
        <v/>
      </c>
      <c r="Q99" s="89" t="str">
        <f ca="1">IF($B99="","",INDIRECT("aux_sheet_RRS!Y"&amp;1+MATCH(aux_sheet_RRS!$E98,aux_sheet_RRS!$D$2:$D$202,0)))</f>
        <v/>
      </c>
      <c r="R99" s="90" t="str">
        <f ca="1">IF(P99="","",INDIRECT("aux_sheet_RRS!Z"&amp;1+MATCH(aux_sheet_RRS!$E98,aux_sheet_RRS!$D$2:$D$202,0)))</f>
        <v/>
      </c>
      <c r="S99" s="106" t="str">
        <f ca="1">IF($B99="","",INDIRECT("aux_sheet_RRS!AA"&amp;1+MATCH(aux_sheet_RRS!$E98,aux_sheet_RRS!$D$2:$D$202,0)))</f>
        <v/>
      </c>
      <c r="T99" s="89" t="str">
        <f ca="1">IF($B99="","",INDIRECT("aux_sheet_RRS!AB"&amp;1+MATCH(aux_sheet_RRS!$E98,aux_sheet_RRS!$D$2:$D$202,0)))</f>
        <v/>
      </c>
      <c r="U99" s="90" t="str">
        <f ca="1">IF(S99="","",INDIRECT("aux_sheet_RRS!AC"&amp;1+MATCH(aux_sheet_RRS!$E98,aux_sheet_RRS!$D$2:$D$202,0)))</f>
        <v/>
      </c>
      <c r="V99" s="106" t="str">
        <f ca="1">IF($B99="","",INDIRECT("aux_sheet_RRS!AD"&amp;1+MATCH(aux_sheet_RRS!$E98,aux_sheet_RRS!$D$2:$D$202,0)))</f>
        <v/>
      </c>
      <c r="W99" s="89" t="str">
        <f ca="1">IF($B99="","",INDIRECT("aux_sheet_RRS!AE"&amp;1+MATCH(aux_sheet_RRS!$E98,aux_sheet_RRS!$D$2:$D$202,0)))</f>
        <v/>
      </c>
      <c r="X99" s="90" t="str">
        <f ca="1">IF(V99="","",INDIRECT("aux_sheet_RRS!AF"&amp;1+MATCH(aux_sheet_RRS!$E98,aux_sheet_RRS!$D$2:$D$202,0)))</f>
        <v/>
      </c>
      <c r="Y99" s="106" t="str">
        <f ca="1">IF($B99="","",INDIRECT("aux_sheet_RRS!AG"&amp;1+MATCH(aux_sheet_RRS!$E98,aux_sheet_RRS!$D$2:$D$202,0)))</f>
        <v/>
      </c>
      <c r="Z99" s="89" t="str">
        <f ca="1">IF($B99="","",INDIRECT("aux_sheet_RRS!AH"&amp;1+MATCH(aux_sheet_RRS!$E98,aux_sheet_RRS!$D$2:$D$202,0)))</f>
        <v/>
      </c>
      <c r="AA99" s="90" t="str">
        <f ca="1">IF(Y99="","",INDIRECT("aux_sheet_RRS!AI"&amp;1+MATCH(aux_sheet_RRS!$E98,aux_sheet_RRS!$D$2:$D$202,0)))</f>
        <v/>
      </c>
      <c r="AB99" s="88" t="str">
        <f ca="1">IF($B99="","",INDIRECT("aux_sheet_RRS!AJ"&amp;1+MATCH(aux_sheet_RRS!$E98,aux_sheet_RRS!$D$2:$D$202,0)))</f>
        <v/>
      </c>
      <c r="AC99" s="89" t="str">
        <f ca="1">IF($B99="","",INDIRECT("aux_sheet_RRS!AK"&amp;1+MATCH(aux_sheet_RRS!$E98,aux_sheet_RRS!$D$2:$D$202,0)))</f>
        <v/>
      </c>
      <c r="AD99" s="90" t="str">
        <f ca="1">IF(AB99="","",INDIRECT("aux_sheet_RRS!AL"&amp;1+MATCH(aux_sheet_RRS!$E98,aux_sheet_RRS!$D$2:$D$202,0)))</f>
        <v/>
      </c>
      <c r="AE99" s="88" t="str">
        <f ca="1">IF($B99="","",INDIRECT("aux_sheet_RRS!AM"&amp;1+MATCH(aux_sheet_RRS!$E98,aux_sheet_RRS!$D$2:$D$202,0)))</f>
        <v/>
      </c>
      <c r="AF99" s="89" t="str">
        <f ca="1">IF($B99="","",INDIRECT("aux_sheet_RRS!AN"&amp;1+MATCH(aux_sheet_RRS!$E98,aux_sheet_RRS!$D$2:$D$202,0)))</f>
        <v/>
      </c>
      <c r="AG99" s="90" t="str">
        <f ca="1">IF(AE99="","",INDIRECT("aux_sheet_RRS!AO"&amp;1+MATCH(aux_sheet_RRS!$E98,aux_sheet_RRS!$D$2:$D$202,0)))</f>
        <v/>
      </c>
      <c r="AH99" s="14" t="str">
        <f t="shared" ca="1" si="6"/>
        <v/>
      </c>
      <c r="AI99" t="str">
        <f t="shared" ca="1" si="7"/>
        <v/>
      </c>
      <c r="AJ99" t="str">
        <f t="shared" ca="1" si="8"/>
        <v/>
      </c>
    </row>
    <row r="100" spans="1:36" x14ac:dyDescent="0.35">
      <c r="A100" s="2" t="str">
        <f>IF(ISBLANK(Input!A99),"",ROUNDDOWN(aux_sheet_RRS!E99,0))</f>
        <v/>
      </c>
      <c r="B100" s="2" t="str">
        <f ca="1">IF(ISBLANK(Input!A99),"",INDIRECT("Input!A"&amp;1+MATCH(aux_sheet_RRS!$E99,aux_sheet_RRS!$D$2:$D$202,0)))</f>
        <v/>
      </c>
      <c r="C100" s="2" t="str">
        <f ca="1">IF(ISBLANK(Input!B99),"",INDIRECT("Input!B"&amp;1+MATCH(aux_sheet_RRS!$E99,aux_sheet_RRS!$D$2:$D$202,0)))</f>
        <v/>
      </c>
      <c r="D100" s="2" t="str">
        <f ca="1">IF(ISBLANK(Input!C99),"",INDIRECT("Input!C"&amp;1+MATCH(aux_sheet_RRS!$E99,aux_sheet_RRS!$D$2:$D$202,0)))</f>
        <v/>
      </c>
      <c r="E100" s="2" t="str">
        <f ca="1">IF(ISBLANK(Input!D99),"",INDIRECT("Input!D"&amp;1+MATCH(aux_sheet_RRS!$E99,aux_sheet_RRS!$D$2:$D$202,0)))</f>
        <v/>
      </c>
      <c r="F100" s="11" t="str">
        <f ca="1">INDIRECT("Input!H"&amp;1+MATCH(aux_sheet_RRS!$E99,aux_sheet_RRS!$D$2:$D$202,0))</f>
        <v xml:space="preserve"> </v>
      </c>
      <c r="G100" s="88" t="str">
        <f ca="1">IF($B100="","",INDIRECT("aux_sheet_RRS!O"&amp;1+MATCH(aux_sheet_RRS!$E99,aux_sheet_RRS!$D$2:$D$202,0)))</f>
        <v/>
      </c>
      <c r="H100" s="89" t="str">
        <f ca="1">IF($B100="","",INDIRECT("aux_sheet_RRS!P"&amp;1+MATCH(aux_sheet_RRS!$E99,aux_sheet_RRS!$D$2:$D$202,0)))</f>
        <v/>
      </c>
      <c r="I100" s="90" t="str">
        <f ca="1">IF(G100="","",ROUNDDOWN(INDIRECT("aux_sheet_RRS!Q"&amp;1+MATCH(aux_sheet_RRS!$E99,aux_sheet_RRS!$D$2:$D$202,0)),0))</f>
        <v/>
      </c>
      <c r="J100" s="106" t="str">
        <f ca="1">IF($B100="","",INDIRECT("aux_sheet_RRS!R"&amp;1+MATCH(aux_sheet_RRS!$E99,aux_sheet_RRS!$D$2:$D$202,0)))</f>
        <v/>
      </c>
      <c r="K100" s="89" t="str">
        <f ca="1">IF($B100="","",INDIRECT("aux_sheet_RRS!S"&amp;1+MATCH(aux_sheet_RRS!$E99,aux_sheet_RRS!$D$2:$D$202,0)))</f>
        <v/>
      </c>
      <c r="L100" s="90" t="str">
        <f ca="1">IF(J100="","",ROUNDDOWN(INDIRECT("aux_sheet_RRS!T"&amp;1+MATCH(aux_sheet_RRS!$E99,aux_sheet_RRS!$D$2:$D$202,0)),0))</f>
        <v/>
      </c>
      <c r="M100" s="106" t="str">
        <f ca="1">IF($B100="","",INDIRECT("aux_sheet_RRS!U"&amp;1+MATCH(aux_sheet_RRS!$E99,aux_sheet_RRS!$D$2:$D$202,0)))</f>
        <v/>
      </c>
      <c r="N100" s="89" t="str">
        <f ca="1">IF($B100="","",INDIRECT("aux_sheet_RRS!V"&amp;1+MATCH(aux_sheet_RRS!$E99,aux_sheet_RRS!$D$2:$D$202,0)))</f>
        <v/>
      </c>
      <c r="O100" s="90" t="str">
        <f ca="1">IF(M100="","",ROUNDDOWN(INDIRECT("aux_sheet_RRS!W"&amp;1+MATCH(aux_sheet_RRS!$E99,aux_sheet_RRS!$D$2:$D$202,0)),0))</f>
        <v/>
      </c>
      <c r="P100" s="106" t="str">
        <f ca="1">IF($B100="","",INDIRECT("aux_sheet_RRS!X"&amp;1+MATCH(aux_sheet_RRS!$E99,aux_sheet_RRS!$D$2:$D$202,0)))</f>
        <v/>
      </c>
      <c r="Q100" s="89" t="str">
        <f ca="1">IF($B100="","",INDIRECT("aux_sheet_RRS!Y"&amp;1+MATCH(aux_sheet_RRS!$E99,aux_sheet_RRS!$D$2:$D$202,0)))</f>
        <v/>
      </c>
      <c r="R100" s="90" t="str">
        <f ca="1">IF(P100="","",INDIRECT("aux_sheet_RRS!Z"&amp;1+MATCH(aux_sheet_RRS!$E99,aux_sheet_RRS!$D$2:$D$202,0)))</f>
        <v/>
      </c>
      <c r="S100" s="106" t="str">
        <f ca="1">IF($B100="","",INDIRECT("aux_sheet_RRS!AA"&amp;1+MATCH(aux_sheet_RRS!$E99,aux_sheet_RRS!$D$2:$D$202,0)))</f>
        <v/>
      </c>
      <c r="T100" s="89" t="str">
        <f ca="1">IF($B100="","",INDIRECT("aux_sheet_RRS!AB"&amp;1+MATCH(aux_sheet_RRS!$E99,aux_sheet_RRS!$D$2:$D$202,0)))</f>
        <v/>
      </c>
      <c r="U100" s="90" t="str">
        <f ca="1">IF(S100="","",INDIRECT("aux_sheet_RRS!AC"&amp;1+MATCH(aux_sheet_RRS!$E99,aux_sheet_RRS!$D$2:$D$202,0)))</f>
        <v/>
      </c>
      <c r="V100" s="106" t="str">
        <f ca="1">IF($B100="","",INDIRECT("aux_sheet_RRS!AD"&amp;1+MATCH(aux_sheet_RRS!$E99,aux_sheet_RRS!$D$2:$D$202,0)))</f>
        <v/>
      </c>
      <c r="W100" s="89" t="str">
        <f ca="1">IF($B100="","",INDIRECT("aux_sheet_RRS!AE"&amp;1+MATCH(aux_sheet_RRS!$E99,aux_sheet_RRS!$D$2:$D$202,0)))</f>
        <v/>
      </c>
      <c r="X100" s="90" t="str">
        <f ca="1">IF(V100="","",INDIRECT("aux_sheet_RRS!AF"&amp;1+MATCH(aux_sheet_RRS!$E99,aux_sheet_RRS!$D$2:$D$202,0)))</f>
        <v/>
      </c>
      <c r="Y100" s="106" t="str">
        <f ca="1">IF($B100="","",INDIRECT("aux_sheet_RRS!AG"&amp;1+MATCH(aux_sheet_RRS!$E99,aux_sheet_RRS!$D$2:$D$202,0)))</f>
        <v/>
      </c>
      <c r="Z100" s="89" t="str">
        <f ca="1">IF($B100="","",INDIRECT("aux_sheet_RRS!AH"&amp;1+MATCH(aux_sheet_RRS!$E99,aux_sheet_RRS!$D$2:$D$202,0)))</f>
        <v/>
      </c>
      <c r="AA100" s="90" t="str">
        <f ca="1">IF(Y100="","",INDIRECT("aux_sheet_RRS!AI"&amp;1+MATCH(aux_sheet_RRS!$E99,aux_sheet_RRS!$D$2:$D$202,0)))</f>
        <v/>
      </c>
      <c r="AB100" s="88" t="str">
        <f ca="1">IF($B100="","",INDIRECT("aux_sheet_RRS!AJ"&amp;1+MATCH(aux_sheet_RRS!$E99,aux_sheet_RRS!$D$2:$D$202,0)))</f>
        <v/>
      </c>
      <c r="AC100" s="89" t="str">
        <f ca="1">IF($B100="","",INDIRECT("aux_sheet_RRS!AK"&amp;1+MATCH(aux_sheet_RRS!$E99,aux_sheet_RRS!$D$2:$D$202,0)))</f>
        <v/>
      </c>
      <c r="AD100" s="90" t="str">
        <f ca="1">IF(AB100="","",INDIRECT("aux_sheet_RRS!AL"&amp;1+MATCH(aux_sheet_RRS!$E99,aux_sheet_RRS!$D$2:$D$202,0)))</f>
        <v/>
      </c>
      <c r="AE100" s="88" t="str">
        <f ca="1">IF($B100="","",INDIRECT("aux_sheet_RRS!AM"&amp;1+MATCH(aux_sheet_RRS!$E99,aux_sheet_RRS!$D$2:$D$202,0)))</f>
        <v/>
      </c>
      <c r="AF100" s="89" t="str">
        <f ca="1">IF($B100="","",INDIRECT("aux_sheet_RRS!AN"&amp;1+MATCH(aux_sheet_RRS!$E99,aux_sheet_RRS!$D$2:$D$202,0)))</f>
        <v/>
      </c>
      <c r="AG100" s="90" t="str">
        <f ca="1">IF(AE100="","",INDIRECT("aux_sheet_RRS!AO"&amp;1+MATCH(aux_sheet_RRS!$E99,aux_sheet_RRS!$D$2:$D$202,0)))</f>
        <v/>
      </c>
      <c r="AH100" s="14" t="str">
        <f t="shared" ca="1" si="6"/>
        <v/>
      </c>
      <c r="AI100" t="str">
        <f t="shared" ca="1" si="7"/>
        <v/>
      </c>
      <c r="AJ100" t="str">
        <f t="shared" ca="1" si="8"/>
        <v/>
      </c>
    </row>
    <row r="101" spans="1:36" x14ac:dyDescent="0.35">
      <c r="A101" s="2" t="str">
        <f>IF(ISBLANK(Input!A100),"",ROUNDDOWN(aux_sheet_RRS!E100,0))</f>
        <v/>
      </c>
      <c r="B101" s="2" t="str">
        <f ca="1">IF(ISBLANK(Input!A100),"",INDIRECT("Input!A"&amp;1+MATCH(aux_sheet_RRS!$E100,aux_sheet_RRS!$D$2:$D$202,0)))</f>
        <v/>
      </c>
      <c r="C101" s="2" t="str">
        <f ca="1">IF(ISBLANK(Input!B100),"",INDIRECT("Input!B"&amp;1+MATCH(aux_sheet_RRS!$E100,aux_sheet_RRS!$D$2:$D$202,0)))</f>
        <v/>
      </c>
      <c r="D101" s="2" t="str">
        <f ca="1">IF(ISBLANK(Input!C100),"",INDIRECT("Input!C"&amp;1+MATCH(aux_sheet_RRS!$E100,aux_sheet_RRS!$D$2:$D$202,0)))</f>
        <v/>
      </c>
      <c r="E101" s="2" t="str">
        <f ca="1">IF(ISBLANK(Input!D100),"",INDIRECT("Input!D"&amp;1+MATCH(aux_sheet_RRS!$E100,aux_sheet_RRS!$D$2:$D$202,0)))</f>
        <v/>
      </c>
      <c r="F101" s="11" t="str">
        <f ca="1">INDIRECT("Input!H"&amp;1+MATCH(aux_sheet_RRS!$E100,aux_sheet_RRS!$D$2:$D$202,0))</f>
        <v xml:space="preserve"> </v>
      </c>
      <c r="G101" s="88" t="str">
        <f ca="1">IF($B101="","",INDIRECT("aux_sheet_RRS!O"&amp;1+MATCH(aux_sheet_RRS!$E100,aux_sheet_RRS!$D$2:$D$202,0)))</f>
        <v/>
      </c>
      <c r="H101" s="89" t="str">
        <f ca="1">IF($B101="","",INDIRECT("aux_sheet_RRS!P"&amp;1+MATCH(aux_sheet_RRS!$E100,aux_sheet_RRS!$D$2:$D$202,0)))</f>
        <v/>
      </c>
      <c r="I101" s="90" t="str">
        <f ca="1">IF(G101="","",ROUNDDOWN(INDIRECT("aux_sheet_RRS!Q"&amp;1+MATCH(aux_sheet_RRS!$E100,aux_sheet_RRS!$D$2:$D$202,0)),0))</f>
        <v/>
      </c>
      <c r="J101" s="106" t="str">
        <f ca="1">IF($B101="","",INDIRECT("aux_sheet_RRS!R"&amp;1+MATCH(aux_sheet_RRS!$E100,aux_sheet_RRS!$D$2:$D$202,0)))</f>
        <v/>
      </c>
      <c r="K101" s="89" t="str">
        <f ca="1">IF($B101="","",INDIRECT("aux_sheet_RRS!S"&amp;1+MATCH(aux_sheet_RRS!$E100,aux_sheet_RRS!$D$2:$D$202,0)))</f>
        <v/>
      </c>
      <c r="L101" s="90" t="str">
        <f ca="1">IF(J101="","",ROUNDDOWN(INDIRECT("aux_sheet_RRS!T"&amp;1+MATCH(aux_sheet_RRS!$E100,aux_sheet_RRS!$D$2:$D$202,0)),0))</f>
        <v/>
      </c>
      <c r="M101" s="106" t="str">
        <f ca="1">IF($B101="","",INDIRECT("aux_sheet_RRS!U"&amp;1+MATCH(aux_sheet_RRS!$E100,aux_sheet_RRS!$D$2:$D$202,0)))</f>
        <v/>
      </c>
      <c r="N101" s="89" t="str">
        <f ca="1">IF($B101="","",INDIRECT("aux_sheet_RRS!V"&amp;1+MATCH(aux_sheet_RRS!$E100,aux_sheet_RRS!$D$2:$D$202,0)))</f>
        <v/>
      </c>
      <c r="O101" s="90" t="str">
        <f ca="1">IF(M101="","",ROUNDDOWN(INDIRECT("aux_sheet_RRS!W"&amp;1+MATCH(aux_sheet_RRS!$E100,aux_sheet_RRS!$D$2:$D$202,0)),0))</f>
        <v/>
      </c>
      <c r="P101" s="106" t="str">
        <f ca="1">IF($B101="","",INDIRECT("aux_sheet_RRS!X"&amp;1+MATCH(aux_sheet_RRS!$E100,aux_sheet_RRS!$D$2:$D$202,0)))</f>
        <v/>
      </c>
      <c r="Q101" s="89" t="str">
        <f ca="1">IF($B101="","",INDIRECT("aux_sheet_RRS!Y"&amp;1+MATCH(aux_sheet_RRS!$E100,aux_sheet_RRS!$D$2:$D$202,0)))</f>
        <v/>
      </c>
      <c r="R101" s="90" t="str">
        <f ca="1">IF(P101="","",INDIRECT("aux_sheet_RRS!Z"&amp;1+MATCH(aux_sheet_RRS!$E100,aux_sheet_RRS!$D$2:$D$202,0)))</f>
        <v/>
      </c>
      <c r="S101" s="106" t="str">
        <f ca="1">IF($B101="","",INDIRECT("aux_sheet_RRS!AA"&amp;1+MATCH(aux_sheet_RRS!$E100,aux_sheet_RRS!$D$2:$D$202,0)))</f>
        <v/>
      </c>
      <c r="T101" s="89" t="str">
        <f ca="1">IF($B101="","",INDIRECT("aux_sheet_RRS!AB"&amp;1+MATCH(aux_sheet_RRS!$E100,aux_sheet_RRS!$D$2:$D$202,0)))</f>
        <v/>
      </c>
      <c r="U101" s="90" t="str">
        <f ca="1">IF(S101="","",INDIRECT("aux_sheet_RRS!AC"&amp;1+MATCH(aux_sheet_RRS!$E100,aux_sheet_RRS!$D$2:$D$202,0)))</f>
        <v/>
      </c>
      <c r="V101" s="106" t="str">
        <f ca="1">IF($B101="","",INDIRECT("aux_sheet_RRS!AD"&amp;1+MATCH(aux_sheet_RRS!$E100,aux_sheet_RRS!$D$2:$D$202,0)))</f>
        <v/>
      </c>
      <c r="W101" s="89" t="str">
        <f ca="1">IF($B101="","",INDIRECT("aux_sheet_RRS!AE"&amp;1+MATCH(aux_sheet_RRS!$E100,aux_sheet_RRS!$D$2:$D$202,0)))</f>
        <v/>
      </c>
      <c r="X101" s="90" t="str">
        <f ca="1">IF(V101="","",INDIRECT("aux_sheet_RRS!AF"&amp;1+MATCH(aux_sheet_RRS!$E100,aux_sheet_RRS!$D$2:$D$202,0)))</f>
        <v/>
      </c>
      <c r="Y101" s="106" t="str">
        <f ca="1">IF($B101="","",INDIRECT("aux_sheet_RRS!AG"&amp;1+MATCH(aux_sheet_RRS!$E100,aux_sheet_RRS!$D$2:$D$202,0)))</f>
        <v/>
      </c>
      <c r="Z101" s="89" t="str">
        <f ca="1">IF($B101="","",INDIRECT("aux_sheet_RRS!AH"&amp;1+MATCH(aux_sheet_RRS!$E100,aux_sheet_RRS!$D$2:$D$202,0)))</f>
        <v/>
      </c>
      <c r="AA101" s="90" t="str">
        <f ca="1">IF(Y101="","",INDIRECT("aux_sheet_RRS!AI"&amp;1+MATCH(aux_sheet_RRS!$E100,aux_sheet_RRS!$D$2:$D$202,0)))</f>
        <v/>
      </c>
      <c r="AB101" s="88" t="str">
        <f ca="1">IF($B101="","",INDIRECT("aux_sheet_RRS!AJ"&amp;1+MATCH(aux_sheet_RRS!$E100,aux_sheet_RRS!$D$2:$D$202,0)))</f>
        <v/>
      </c>
      <c r="AC101" s="89" t="str">
        <f ca="1">IF($B101="","",INDIRECT("aux_sheet_RRS!AK"&amp;1+MATCH(aux_sheet_RRS!$E100,aux_sheet_RRS!$D$2:$D$202,0)))</f>
        <v/>
      </c>
      <c r="AD101" s="90" t="str">
        <f ca="1">IF(AB101="","",INDIRECT("aux_sheet_RRS!AL"&amp;1+MATCH(aux_sheet_RRS!$E100,aux_sheet_RRS!$D$2:$D$202,0)))</f>
        <v/>
      </c>
      <c r="AE101" s="88" t="str">
        <f ca="1">IF($B101="","",INDIRECT("aux_sheet_RRS!AM"&amp;1+MATCH(aux_sheet_RRS!$E100,aux_sheet_RRS!$D$2:$D$202,0)))</f>
        <v/>
      </c>
      <c r="AF101" s="89" t="str">
        <f ca="1">IF($B101="","",INDIRECT("aux_sheet_RRS!AN"&amp;1+MATCH(aux_sheet_RRS!$E100,aux_sheet_RRS!$D$2:$D$202,0)))</f>
        <v/>
      </c>
      <c r="AG101" s="90" t="str">
        <f ca="1">IF(AE101="","",INDIRECT("aux_sheet_RRS!AO"&amp;1+MATCH(aux_sheet_RRS!$E100,aux_sheet_RRS!$D$2:$D$202,0)))</f>
        <v/>
      </c>
      <c r="AH101" s="14" t="str">
        <f t="shared" ca="1" si="6"/>
        <v/>
      </c>
      <c r="AI101" t="str">
        <f t="shared" ca="1" si="7"/>
        <v/>
      </c>
      <c r="AJ101" t="str">
        <f t="shared" ca="1" si="8"/>
        <v/>
      </c>
    </row>
    <row r="102" spans="1:36" x14ac:dyDescent="0.35">
      <c r="A102" s="2" t="str">
        <f>IF(ISBLANK(Input!A101),"",ROUNDDOWN(aux_sheet_RRS!E101,0))</f>
        <v/>
      </c>
      <c r="B102" s="2" t="str">
        <f ca="1">IF(ISBLANK(Input!A101),"",INDIRECT("Input!A"&amp;1+MATCH(aux_sheet_RRS!$E101,aux_sheet_RRS!$D$2:$D$202,0)))</f>
        <v/>
      </c>
      <c r="C102" s="2" t="str">
        <f ca="1">IF(ISBLANK(Input!B101),"",INDIRECT("Input!B"&amp;1+MATCH(aux_sheet_RRS!$E101,aux_sheet_RRS!$D$2:$D$202,0)))</f>
        <v/>
      </c>
      <c r="D102" s="2" t="str">
        <f ca="1">IF(ISBLANK(Input!C101),"",INDIRECT("Input!C"&amp;1+MATCH(aux_sheet_RRS!$E101,aux_sheet_RRS!$D$2:$D$202,0)))</f>
        <v/>
      </c>
      <c r="E102" s="2" t="str">
        <f ca="1">IF(ISBLANK(Input!D101),"",INDIRECT("Input!D"&amp;1+MATCH(aux_sheet_RRS!$E101,aux_sheet_RRS!$D$2:$D$202,0)))</f>
        <v/>
      </c>
      <c r="F102" s="11" t="str">
        <f ca="1">INDIRECT("Input!H"&amp;1+MATCH(aux_sheet_RRS!$E101,aux_sheet_RRS!$D$2:$D$202,0))</f>
        <v xml:space="preserve"> </v>
      </c>
      <c r="G102" s="88" t="str">
        <f ca="1">IF($B102="","",INDIRECT("aux_sheet_RRS!O"&amp;1+MATCH(aux_sheet_RRS!$E101,aux_sheet_RRS!$D$2:$D$202,0)))</f>
        <v/>
      </c>
      <c r="H102" s="89" t="str">
        <f ca="1">IF($B102="","",INDIRECT("aux_sheet_RRS!P"&amp;1+MATCH(aux_sheet_RRS!$E101,aux_sheet_RRS!$D$2:$D$202,0)))</f>
        <v/>
      </c>
      <c r="I102" s="90" t="str">
        <f ca="1">IF(G102="","",ROUNDDOWN(INDIRECT("aux_sheet_RRS!Q"&amp;1+MATCH(aux_sheet_RRS!$E101,aux_sheet_RRS!$D$2:$D$202,0)),0))</f>
        <v/>
      </c>
      <c r="J102" s="106" t="str">
        <f ca="1">IF($B102="","",INDIRECT("aux_sheet_RRS!R"&amp;1+MATCH(aux_sheet_RRS!$E101,aux_sheet_RRS!$D$2:$D$202,0)))</f>
        <v/>
      </c>
      <c r="K102" s="89" t="str">
        <f ca="1">IF($B102="","",INDIRECT("aux_sheet_RRS!S"&amp;1+MATCH(aux_sheet_RRS!$E101,aux_sheet_RRS!$D$2:$D$202,0)))</f>
        <v/>
      </c>
      <c r="L102" s="90" t="str">
        <f ca="1">IF(J102="","",ROUNDDOWN(INDIRECT("aux_sheet_RRS!T"&amp;1+MATCH(aux_sheet_RRS!$E101,aux_sheet_RRS!$D$2:$D$202,0)),0))</f>
        <v/>
      </c>
      <c r="M102" s="106" t="str">
        <f ca="1">IF($B102="","",INDIRECT("aux_sheet_RRS!U"&amp;1+MATCH(aux_sheet_RRS!$E101,aux_sheet_RRS!$D$2:$D$202,0)))</f>
        <v/>
      </c>
      <c r="N102" s="89" t="str">
        <f ca="1">IF($B102="","",INDIRECT("aux_sheet_RRS!V"&amp;1+MATCH(aux_sheet_RRS!$E101,aux_sheet_RRS!$D$2:$D$202,0)))</f>
        <v/>
      </c>
      <c r="O102" s="90" t="str">
        <f ca="1">IF(M102="","",ROUNDDOWN(INDIRECT("aux_sheet_RRS!W"&amp;1+MATCH(aux_sheet_RRS!$E101,aux_sheet_RRS!$D$2:$D$202,0)),0))</f>
        <v/>
      </c>
      <c r="P102" s="106" t="str">
        <f ca="1">IF($B102="","",INDIRECT("aux_sheet_RRS!X"&amp;1+MATCH(aux_sheet_RRS!$E101,aux_sheet_RRS!$D$2:$D$202,0)))</f>
        <v/>
      </c>
      <c r="Q102" s="89" t="str">
        <f ca="1">IF($B102="","",INDIRECT("aux_sheet_RRS!Y"&amp;1+MATCH(aux_sheet_RRS!$E101,aux_sheet_RRS!$D$2:$D$202,0)))</f>
        <v/>
      </c>
      <c r="R102" s="90" t="str">
        <f ca="1">IF(P102="","",INDIRECT("aux_sheet_RRS!Z"&amp;1+MATCH(aux_sheet_RRS!$E101,aux_sheet_RRS!$D$2:$D$202,0)))</f>
        <v/>
      </c>
      <c r="S102" s="106" t="str">
        <f ca="1">IF($B102="","",INDIRECT("aux_sheet_RRS!AA"&amp;1+MATCH(aux_sheet_RRS!$E101,aux_sheet_RRS!$D$2:$D$202,0)))</f>
        <v/>
      </c>
      <c r="T102" s="89" t="str">
        <f ca="1">IF($B102="","",INDIRECT("aux_sheet_RRS!AB"&amp;1+MATCH(aux_sheet_RRS!$E101,aux_sheet_RRS!$D$2:$D$202,0)))</f>
        <v/>
      </c>
      <c r="U102" s="90" t="str">
        <f ca="1">IF(S102="","",INDIRECT("aux_sheet_RRS!AC"&amp;1+MATCH(aux_sheet_RRS!$E101,aux_sheet_RRS!$D$2:$D$202,0)))</f>
        <v/>
      </c>
      <c r="V102" s="106" t="str">
        <f ca="1">IF($B102="","",INDIRECT("aux_sheet_RRS!AD"&amp;1+MATCH(aux_sheet_RRS!$E101,aux_sheet_RRS!$D$2:$D$202,0)))</f>
        <v/>
      </c>
      <c r="W102" s="89" t="str">
        <f ca="1">IF($B102="","",INDIRECT("aux_sheet_RRS!AE"&amp;1+MATCH(aux_sheet_RRS!$E101,aux_sheet_RRS!$D$2:$D$202,0)))</f>
        <v/>
      </c>
      <c r="X102" s="90" t="str">
        <f ca="1">IF(V102="","",INDIRECT("aux_sheet_RRS!AF"&amp;1+MATCH(aux_sheet_RRS!$E101,aux_sheet_RRS!$D$2:$D$202,0)))</f>
        <v/>
      </c>
      <c r="Y102" s="106" t="str">
        <f ca="1">IF($B102="","",INDIRECT("aux_sheet_RRS!AG"&amp;1+MATCH(aux_sheet_RRS!$E101,aux_sheet_RRS!$D$2:$D$202,0)))</f>
        <v/>
      </c>
      <c r="Z102" s="89" t="str">
        <f ca="1">IF($B102="","",INDIRECT("aux_sheet_RRS!AH"&amp;1+MATCH(aux_sheet_RRS!$E101,aux_sheet_RRS!$D$2:$D$202,0)))</f>
        <v/>
      </c>
      <c r="AA102" s="90" t="str">
        <f ca="1">IF(Y102="","",INDIRECT("aux_sheet_RRS!AI"&amp;1+MATCH(aux_sheet_RRS!$E101,aux_sheet_RRS!$D$2:$D$202,0)))</f>
        <v/>
      </c>
      <c r="AB102" s="88" t="str">
        <f ca="1">IF($B102="","",INDIRECT("aux_sheet_RRS!AJ"&amp;1+MATCH(aux_sheet_RRS!$E101,aux_sheet_RRS!$D$2:$D$202,0)))</f>
        <v/>
      </c>
      <c r="AC102" s="89" t="str">
        <f ca="1">IF($B102="","",INDIRECT("aux_sheet_RRS!AK"&amp;1+MATCH(aux_sheet_RRS!$E101,aux_sheet_RRS!$D$2:$D$202,0)))</f>
        <v/>
      </c>
      <c r="AD102" s="90" t="str">
        <f ca="1">IF(AB102="","",INDIRECT("aux_sheet_RRS!AL"&amp;1+MATCH(aux_sheet_RRS!$E101,aux_sheet_RRS!$D$2:$D$202,0)))</f>
        <v/>
      </c>
      <c r="AE102" s="88" t="str">
        <f ca="1">IF($B102="","",INDIRECT("aux_sheet_RRS!AM"&amp;1+MATCH(aux_sheet_RRS!$E101,aux_sheet_RRS!$D$2:$D$202,0)))</f>
        <v/>
      </c>
      <c r="AF102" s="89" t="str">
        <f ca="1">IF($B102="","",INDIRECT("aux_sheet_RRS!AN"&amp;1+MATCH(aux_sheet_RRS!$E101,aux_sheet_RRS!$D$2:$D$202,0)))</f>
        <v/>
      </c>
      <c r="AG102" s="90" t="str">
        <f ca="1">IF(AE102="","",INDIRECT("aux_sheet_RRS!AO"&amp;1+MATCH(aux_sheet_RRS!$E101,aux_sheet_RRS!$D$2:$D$202,0)))</f>
        <v/>
      </c>
      <c r="AH102" s="14" t="str">
        <f t="shared" ca="1" si="6"/>
        <v/>
      </c>
      <c r="AI102" t="str">
        <f t="shared" ca="1" si="7"/>
        <v/>
      </c>
      <c r="AJ102" t="str">
        <f t="shared" ca="1" si="8"/>
        <v/>
      </c>
    </row>
    <row r="103" spans="1:36" x14ac:dyDescent="0.35">
      <c r="A103" s="2" t="str">
        <f>IF(ISBLANK(Input!A102),"",ROUNDDOWN(aux_sheet_RRS!E102,0))</f>
        <v/>
      </c>
      <c r="B103" s="2" t="str">
        <f ca="1">IF(ISBLANK(Input!A102),"",INDIRECT("Input!A"&amp;1+MATCH(aux_sheet_RRS!$E102,aux_sheet_RRS!$D$2:$D$202,0)))</f>
        <v/>
      </c>
      <c r="C103" s="2" t="str">
        <f ca="1">IF(ISBLANK(Input!B102),"",INDIRECT("Input!B"&amp;1+MATCH(aux_sheet_RRS!$E102,aux_sheet_RRS!$D$2:$D$202,0)))</f>
        <v/>
      </c>
      <c r="D103" s="2" t="str">
        <f ca="1">IF(ISBLANK(Input!C102),"",INDIRECT("Input!C"&amp;1+MATCH(aux_sheet_RRS!$E102,aux_sheet_RRS!$D$2:$D$202,0)))</f>
        <v/>
      </c>
      <c r="E103" s="2" t="str">
        <f ca="1">IF(ISBLANK(Input!D102),"",INDIRECT("Input!D"&amp;1+MATCH(aux_sheet_RRS!$E102,aux_sheet_RRS!$D$2:$D$202,0)))</f>
        <v/>
      </c>
      <c r="F103" s="11" t="str">
        <f ca="1">INDIRECT("Input!H"&amp;1+MATCH(aux_sheet_RRS!$E102,aux_sheet_RRS!$D$2:$D$202,0))</f>
        <v xml:space="preserve"> </v>
      </c>
      <c r="G103" s="88" t="str">
        <f ca="1">IF($B103="","",INDIRECT("aux_sheet_RRS!O"&amp;1+MATCH(aux_sheet_RRS!$E102,aux_sheet_RRS!$D$2:$D$202,0)))</f>
        <v/>
      </c>
      <c r="H103" s="89" t="str">
        <f ca="1">IF($B103="","",INDIRECT("aux_sheet_RRS!P"&amp;1+MATCH(aux_sheet_RRS!$E102,aux_sheet_RRS!$D$2:$D$202,0)))</f>
        <v/>
      </c>
      <c r="I103" s="90" t="str">
        <f ca="1">IF(G103="","",ROUNDDOWN(INDIRECT("aux_sheet_RRS!Q"&amp;1+MATCH(aux_sheet_RRS!$E102,aux_sheet_RRS!$D$2:$D$202,0)),0))</f>
        <v/>
      </c>
      <c r="J103" s="106" t="str">
        <f ca="1">IF($B103="","",INDIRECT("aux_sheet_RRS!R"&amp;1+MATCH(aux_sheet_RRS!$E102,aux_sheet_RRS!$D$2:$D$202,0)))</f>
        <v/>
      </c>
      <c r="K103" s="89" t="str">
        <f ca="1">IF($B103="","",INDIRECT("aux_sheet_RRS!S"&amp;1+MATCH(aux_sheet_RRS!$E102,aux_sheet_RRS!$D$2:$D$202,0)))</f>
        <v/>
      </c>
      <c r="L103" s="90" t="str">
        <f ca="1">IF(J103="","",ROUNDDOWN(INDIRECT("aux_sheet_RRS!T"&amp;1+MATCH(aux_sheet_RRS!$E102,aux_sheet_RRS!$D$2:$D$202,0)),0))</f>
        <v/>
      </c>
      <c r="M103" s="106" t="str">
        <f ca="1">IF($B103="","",INDIRECT("aux_sheet_RRS!U"&amp;1+MATCH(aux_sheet_RRS!$E102,aux_sheet_RRS!$D$2:$D$202,0)))</f>
        <v/>
      </c>
      <c r="N103" s="89" t="str">
        <f ca="1">IF($B103="","",INDIRECT("aux_sheet_RRS!V"&amp;1+MATCH(aux_sheet_RRS!$E102,aux_sheet_RRS!$D$2:$D$202,0)))</f>
        <v/>
      </c>
      <c r="O103" s="90" t="str">
        <f ca="1">IF(M103="","",ROUNDDOWN(INDIRECT("aux_sheet_RRS!W"&amp;1+MATCH(aux_sheet_RRS!$E102,aux_sheet_RRS!$D$2:$D$202,0)),0))</f>
        <v/>
      </c>
      <c r="P103" s="106" t="str">
        <f ca="1">IF($B103="","",INDIRECT("aux_sheet_RRS!X"&amp;1+MATCH(aux_sheet_RRS!$E102,aux_sheet_RRS!$D$2:$D$202,0)))</f>
        <v/>
      </c>
      <c r="Q103" s="89" t="str">
        <f ca="1">IF($B103="","",INDIRECT("aux_sheet_RRS!Y"&amp;1+MATCH(aux_sheet_RRS!$E102,aux_sheet_RRS!$D$2:$D$202,0)))</f>
        <v/>
      </c>
      <c r="R103" s="90" t="str">
        <f ca="1">IF(P103="","",INDIRECT("aux_sheet_RRS!Z"&amp;1+MATCH(aux_sheet_RRS!$E102,aux_sheet_RRS!$D$2:$D$202,0)))</f>
        <v/>
      </c>
      <c r="S103" s="106" t="str">
        <f ca="1">IF($B103="","",INDIRECT("aux_sheet_RRS!AA"&amp;1+MATCH(aux_sheet_RRS!$E102,aux_sheet_RRS!$D$2:$D$202,0)))</f>
        <v/>
      </c>
      <c r="T103" s="89" t="str">
        <f ca="1">IF($B103="","",INDIRECT("aux_sheet_RRS!AB"&amp;1+MATCH(aux_sheet_RRS!$E102,aux_sheet_RRS!$D$2:$D$202,0)))</f>
        <v/>
      </c>
      <c r="U103" s="90" t="str">
        <f ca="1">IF(S103="","",INDIRECT("aux_sheet_RRS!AC"&amp;1+MATCH(aux_sheet_RRS!$E102,aux_sheet_RRS!$D$2:$D$202,0)))</f>
        <v/>
      </c>
      <c r="V103" s="106" t="str">
        <f ca="1">IF($B103="","",INDIRECT("aux_sheet_RRS!AD"&amp;1+MATCH(aux_sheet_RRS!$E102,aux_sheet_RRS!$D$2:$D$202,0)))</f>
        <v/>
      </c>
      <c r="W103" s="89" t="str">
        <f ca="1">IF($B103="","",INDIRECT("aux_sheet_RRS!AE"&amp;1+MATCH(aux_sheet_RRS!$E102,aux_sheet_RRS!$D$2:$D$202,0)))</f>
        <v/>
      </c>
      <c r="X103" s="90" t="str">
        <f ca="1">IF(V103="","",INDIRECT("aux_sheet_RRS!AF"&amp;1+MATCH(aux_sheet_RRS!$E102,aux_sheet_RRS!$D$2:$D$202,0)))</f>
        <v/>
      </c>
      <c r="Y103" s="106" t="str">
        <f ca="1">IF($B103="","",INDIRECT("aux_sheet_RRS!AG"&amp;1+MATCH(aux_sheet_RRS!$E102,aux_sheet_RRS!$D$2:$D$202,0)))</f>
        <v/>
      </c>
      <c r="Z103" s="89" t="str">
        <f ca="1">IF($B103="","",INDIRECT("aux_sheet_RRS!AH"&amp;1+MATCH(aux_sheet_RRS!$E102,aux_sheet_RRS!$D$2:$D$202,0)))</f>
        <v/>
      </c>
      <c r="AA103" s="90" t="str">
        <f ca="1">IF(Y103="","",INDIRECT("aux_sheet_RRS!AI"&amp;1+MATCH(aux_sheet_RRS!$E102,aux_sheet_RRS!$D$2:$D$202,0)))</f>
        <v/>
      </c>
      <c r="AB103" s="88" t="str">
        <f ca="1">IF($B103="","",INDIRECT("aux_sheet_RRS!AJ"&amp;1+MATCH(aux_sheet_RRS!$E102,aux_sheet_RRS!$D$2:$D$202,0)))</f>
        <v/>
      </c>
      <c r="AC103" s="89" t="str">
        <f ca="1">IF($B103="","",INDIRECT("aux_sheet_RRS!AK"&amp;1+MATCH(aux_sheet_RRS!$E102,aux_sheet_RRS!$D$2:$D$202,0)))</f>
        <v/>
      </c>
      <c r="AD103" s="90" t="str">
        <f ca="1">IF(AB103="","",INDIRECT("aux_sheet_RRS!AL"&amp;1+MATCH(aux_sheet_RRS!$E102,aux_sheet_RRS!$D$2:$D$202,0)))</f>
        <v/>
      </c>
      <c r="AE103" s="88" t="str">
        <f ca="1">IF($B103="","",INDIRECT("aux_sheet_RRS!AM"&amp;1+MATCH(aux_sheet_RRS!$E102,aux_sheet_RRS!$D$2:$D$202,0)))</f>
        <v/>
      </c>
      <c r="AF103" s="89" t="str">
        <f ca="1">IF($B103="","",INDIRECT("aux_sheet_RRS!AN"&amp;1+MATCH(aux_sheet_RRS!$E102,aux_sheet_RRS!$D$2:$D$202,0)))</f>
        <v/>
      </c>
      <c r="AG103" s="90" t="str">
        <f ca="1">IF(AE103="","",INDIRECT("aux_sheet_RRS!AO"&amp;1+MATCH(aux_sheet_RRS!$E102,aux_sheet_RRS!$D$2:$D$202,0)))</f>
        <v/>
      </c>
      <c r="AH103" s="14" t="str">
        <f t="shared" ca="1" si="6"/>
        <v/>
      </c>
      <c r="AI103" t="str">
        <f t="shared" ca="1" si="7"/>
        <v/>
      </c>
      <c r="AJ103" t="str">
        <f t="shared" ca="1" si="8"/>
        <v/>
      </c>
    </row>
    <row r="104" spans="1:36" x14ac:dyDescent="0.35">
      <c r="A104" s="2" t="str">
        <f>IF(ISBLANK(Input!A103),"",ROUNDDOWN(aux_sheet_RRS!E103,0))</f>
        <v/>
      </c>
      <c r="B104" s="2" t="str">
        <f ca="1">IF(ISBLANK(Input!A103),"",INDIRECT("Input!A"&amp;1+MATCH(aux_sheet_RRS!$E103,aux_sheet_RRS!$D$2:$D$202,0)))</f>
        <v/>
      </c>
      <c r="C104" s="2" t="str">
        <f ca="1">IF(ISBLANK(Input!B103),"",INDIRECT("Input!B"&amp;1+MATCH(aux_sheet_RRS!$E103,aux_sheet_RRS!$D$2:$D$202,0)))</f>
        <v/>
      </c>
      <c r="D104" s="2" t="str">
        <f ca="1">IF(ISBLANK(Input!C103),"",INDIRECT("Input!C"&amp;1+MATCH(aux_sheet_RRS!$E103,aux_sheet_RRS!$D$2:$D$202,0)))</f>
        <v/>
      </c>
      <c r="E104" s="2" t="str">
        <f ca="1">IF(ISBLANK(Input!D103),"",INDIRECT("Input!D"&amp;1+MATCH(aux_sheet_RRS!$E103,aux_sheet_RRS!$D$2:$D$202,0)))</f>
        <v/>
      </c>
      <c r="F104" s="11" t="str">
        <f ca="1">INDIRECT("Input!H"&amp;1+MATCH(aux_sheet_RRS!$E103,aux_sheet_RRS!$D$2:$D$202,0))</f>
        <v xml:space="preserve"> </v>
      </c>
      <c r="G104" s="88" t="str">
        <f ca="1">IF($B104="","",INDIRECT("aux_sheet_RRS!O"&amp;1+MATCH(aux_sheet_RRS!$E103,aux_sheet_RRS!$D$2:$D$202,0)))</f>
        <v/>
      </c>
      <c r="H104" s="89" t="str">
        <f ca="1">IF($B104="","",INDIRECT("aux_sheet_RRS!P"&amp;1+MATCH(aux_sheet_RRS!$E103,aux_sheet_RRS!$D$2:$D$202,0)))</f>
        <v/>
      </c>
      <c r="I104" s="90" t="str">
        <f ca="1">IF(G104="","",ROUNDDOWN(INDIRECT("aux_sheet_RRS!Q"&amp;1+MATCH(aux_sheet_RRS!$E103,aux_sheet_RRS!$D$2:$D$202,0)),0))</f>
        <v/>
      </c>
      <c r="J104" s="106" t="str">
        <f ca="1">IF($B104="","",INDIRECT("aux_sheet_RRS!R"&amp;1+MATCH(aux_sheet_RRS!$E103,aux_sheet_RRS!$D$2:$D$202,0)))</f>
        <v/>
      </c>
      <c r="K104" s="89" t="str">
        <f ca="1">IF($B104="","",INDIRECT("aux_sheet_RRS!S"&amp;1+MATCH(aux_sheet_RRS!$E103,aux_sheet_RRS!$D$2:$D$202,0)))</f>
        <v/>
      </c>
      <c r="L104" s="90" t="str">
        <f ca="1">IF(J104="","",ROUNDDOWN(INDIRECT("aux_sheet_RRS!T"&amp;1+MATCH(aux_sheet_RRS!$E103,aux_sheet_RRS!$D$2:$D$202,0)),0))</f>
        <v/>
      </c>
      <c r="M104" s="106" t="str">
        <f ca="1">IF($B104="","",INDIRECT("aux_sheet_RRS!U"&amp;1+MATCH(aux_sheet_RRS!$E103,aux_sheet_RRS!$D$2:$D$202,0)))</f>
        <v/>
      </c>
      <c r="N104" s="89" t="str">
        <f ca="1">IF($B104="","",INDIRECT("aux_sheet_RRS!V"&amp;1+MATCH(aux_sheet_RRS!$E103,aux_sheet_RRS!$D$2:$D$202,0)))</f>
        <v/>
      </c>
      <c r="O104" s="90" t="str">
        <f ca="1">IF(M104="","",ROUNDDOWN(INDIRECT("aux_sheet_RRS!W"&amp;1+MATCH(aux_sheet_RRS!$E103,aux_sheet_RRS!$D$2:$D$202,0)),0))</f>
        <v/>
      </c>
      <c r="P104" s="106" t="str">
        <f ca="1">IF($B104="","",INDIRECT("aux_sheet_RRS!X"&amp;1+MATCH(aux_sheet_RRS!$E103,aux_sheet_RRS!$D$2:$D$202,0)))</f>
        <v/>
      </c>
      <c r="Q104" s="89" t="str">
        <f ca="1">IF($B104="","",INDIRECT("aux_sheet_RRS!Y"&amp;1+MATCH(aux_sheet_RRS!$E103,aux_sheet_RRS!$D$2:$D$202,0)))</f>
        <v/>
      </c>
      <c r="R104" s="90" t="str">
        <f ca="1">IF(P104="","",INDIRECT("aux_sheet_RRS!Z"&amp;1+MATCH(aux_sheet_RRS!$E103,aux_sheet_RRS!$D$2:$D$202,0)))</f>
        <v/>
      </c>
      <c r="S104" s="106" t="str">
        <f ca="1">IF($B104="","",INDIRECT("aux_sheet_RRS!AA"&amp;1+MATCH(aux_sheet_RRS!$E103,aux_sheet_RRS!$D$2:$D$202,0)))</f>
        <v/>
      </c>
      <c r="T104" s="89" t="str">
        <f ca="1">IF($B104="","",INDIRECT("aux_sheet_RRS!AB"&amp;1+MATCH(aux_sheet_RRS!$E103,aux_sheet_RRS!$D$2:$D$202,0)))</f>
        <v/>
      </c>
      <c r="U104" s="90" t="str">
        <f ca="1">IF(S104="","",INDIRECT("aux_sheet_RRS!AC"&amp;1+MATCH(aux_sheet_RRS!$E103,aux_sheet_RRS!$D$2:$D$202,0)))</f>
        <v/>
      </c>
      <c r="V104" s="106" t="str">
        <f ca="1">IF($B104="","",INDIRECT("aux_sheet_RRS!AD"&amp;1+MATCH(aux_sheet_RRS!$E103,aux_sheet_RRS!$D$2:$D$202,0)))</f>
        <v/>
      </c>
      <c r="W104" s="89" t="str">
        <f ca="1">IF($B104="","",INDIRECT("aux_sheet_RRS!AE"&amp;1+MATCH(aux_sheet_RRS!$E103,aux_sheet_RRS!$D$2:$D$202,0)))</f>
        <v/>
      </c>
      <c r="X104" s="90" t="str">
        <f ca="1">IF(V104="","",INDIRECT("aux_sheet_RRS!AF"&amp;1+MATCH(aux_sheet_RRS!$E103,aux_sheet_RRS!$D$2:$D$202,0)))</f>
        <v/>
      </c>
      <c r="Y104" s="106" t="str">
        <f ca="1">IF($B104="","",INDIRECT("aux_sheet_RRS!AG"&amp;1+MATCH(aux_sheet_RRS!$E103,aux_sheet_RRS!$D$2:$D$202,0)))</f>
        <v/>
      </c>
      <c r="Z104" s="89" t="str">
        <f ca="1">IF($B104="","",INDIRECT("aux_sheet_RRS!AH"&amp;1+MATCH(aux_sheet_RRS!$E103,aux_sheet_RRS!$D$2:$D$202,0)))</f>
        <v/>
      </c>
      <c r="AA104" s="90" t="str">
        <f ca="1">IF(Y104="","",INDIRECT("aux_sheet_RRS!AI"&amp;1+MATCH(aux_sheet_RRS!$E103,aux_sheet_RRS!$D$2:$D$202,0)))</f>
        <v/>
      </c>
      <c r="AB104" s="88" t="str">
        <f ca="1">IF($B104="","",INDIRECT("aux_sheet_RRS!AJ"&amp;1+MATCH(aux_sheet_RRS!$E103,aux_sheet_RRS!$D$2:$D$202,0)))</f>
        <v/>
      </c>
      <c r="AC104" s="89" t="str">
        <f ca="1">IF($B104="","",INDIRECT("aux_sheet_RRS!AK"&amp;1+MATCH(aux_sheet_RRS!$E103,aux_sheet_RRS!$D$2:$D$202,0)))</f>
        <v/>
      </c>
      <c r="AD104" s="90" t="str">
        <f ca="1">IF(AB104="","",INDIRECT("aux_sheet_RRS!AL"&amp;1+MATCH(aux_sheet_RRS!$E103,aux_sheet_RRS!$D$2:$D$202,0)))</f>
        <v/>
      </c>
      <c r="AE104" s="88" t="str">
        <f ca="1">IF($B104="","",INDIRECT("aux_sheet_RRS!AM"&amp;1+MATCH(aux_sheet_RRS!$E103,aux_sheet_RRS!$D$2:$D$202,0)))</f>
        <v/>
      </c>
      <c r="AF104" s="89" t="str">
        <f ca="1">IF($B104="","",INDIRECT("aux_sheet_RRS!AN"&amp;1+MATCH(aux_sheet_RRS!$E103,aux_sheet_RRS!$D$2:$D$202,0)))</f>
        <v/>
      </c>
      <c r="AG104" s="90" t="str">
        <f ca="1">IF(AE104="","",INDIRECT("aux_sheet_RRS!AO"&amp;1+MATCH(aux_sheet_RRS!$E103,aux_sheet_RRS!$D$2:$D$202,0)))</f>
        <v/>
      </c>
      <c r="AH104" s="14" t="str">
        <f t="shared" ca="1" si="6"/>
        <v/>
      </c>
      <c r="AI104" t="str">
        <f t="shared" ca="1" si="7"/>
        <v/>
      </c>
      <c r="AJ104" t="str">
        <f t="shared" ca="1" si="8"/>
        <v/>
      </c>
    </row>
    <row r="105" spans="1:36" x14ac:dyDescent="0.35">
      <c r="A105" s="2" t="str">
        <f>IF(ISBLANK(Input!A104),"",ROUNDDOWN(aux_sheet_RRS!E104,0))</f>
        <v/>
      </c>
      <c r="B105" s="2" t="str">
        <f ca="1">IF(ISBLANK(Input!A104),"",INDIRECT("Input!A"&amp;1+MATCH(aux_sheet_RRS!$E104,aux_sheet_RRS!$D$2:$D$202,0)))</f>
        <v/>
      </c>
      <c r="C105" s="2" t="str">
        <f ca="1">IF(ISBLANK(Input!B104),"",INDIRECT("Input!B"&amp;1+MATCH(aux_sheet_RRS!$E104,aux_sheet_RRS!$D$2:$D$202,0)))</f>
        <v/>
      </c>
      <c r="D105" s="2" t="str">
        <f ca="1">IF(ISBLANK(Input!C104),"",INDIRECT("Input!C"&amp;1+MATCH(aux_sheet_RRS!$E104,aux_sheet_RRS!$D$2:$D$202,0)))</f>
        <v/>
      </c>
      <c r="E105" s="2" t="str">
        <f ca="1">IF(ISBLANK(Input!D104),"",INDIRECT("Input!D"&amp;1+MATCH(aux_sheet_RRS!$E104,aux_sheet_RRS!$D$2:$D$202,0)))</f>
        <v/>
      </c>
      <c r="F105" s="11" t="str">
        <f ca="1">INDIRECT("Input!H"&amp;1+MATCH(aux_sheet_RRS!$E104,aux_sheet_RRS!$D$2:$D$202,0))</f>
        <v xml:space="preserve"> </v>
      </c>
      <c r="G105" s="88" t="str">
        <f ca="1">IF($B105="","",INDIRECT("aux_sheet_RRS!O"&amp;1+MATCH(aux_sheet_RRS!$E104,aux_sheet_RRS!$D$2:$D$202,0)))</f>
        <v/>
      </c>
      <c r="H105" s="89" t="str">
        <f ca="1">IF($B105="","",INDIRECT("aux_sheet_RRS!P"&amp;1+MATCH(aux_sheet_RRS!$E104,aux_sheet_RRS!$D$2:$D$202,0)))</f>
        <v/>
      </c>
      <c r="I105" s="90" t="str">
        <f ca="1">IF(G105="","",ROUNDDOWN(INDIRECT("aux_sheet_RRS!Q"&amp;1+MATCH(aux_sheet_RRS!$E104,aux_sheet_RRS!$D$2:$D$202,0)),0))</f>
        <v/>
      </c>
      <c r="J105" s="106" t="str">
        <f ca="1">IF($B105="","",INDIRECT("aux_sheet_RRS!R"&amp;1+MATCH(aux_sheet_RRS!$E104,aux_sheet_RRS!$D$2:$D$202,0)))</f>
        <v/>
      </c>
      <c r="K105" s="89" t="str">
        <f ca="1">IF($B105="","",INDIRECT("aux_sheet_RRS!S"&amp;1+MATCH(aux_sheet_RRS!$E104,aux_sheet_RRS!$D$2:$D$202,0)))</f>
        <v/>
      </c>
      <c r="L105" s="90" t="str">
        <f ca="1">IF(J105="","",ROUNDDOWN(INDIRECT("aux_sheet_RRS!T"&amp;1+MATCH(aux_sheet_RRS!$E104,aux_sheet_RRS!$D$2:$D$202,0)),0))</f>
        <v/>
      </c>
      <c r="M105" s="106" t="str">
        <f ca="1">IF($B105="","",INDIRECT("aux_sheet_RRS!U"&amp;1+MATCH(aux_sheet_RRS!$E104,aux_sheet_RRS!$D$2:$D$202,0)))</f>
        <v/>
      </c>
      <c r="N105" s="89" t="str">
        <f ca="1">IF($B105="","",INDIRECT("aux_sheet_RRS!V"&amp;1+MATCH(aux_sheet_RRS!$E104,aux_sheet_RRS!$D$2:$D$202,0)))</f>
        <v/>
      </c>
      <c r="O105" s="90" t="str">
        <f ca="1">IF(M105="","",ROUNDDOWN(INDIRECT("aux_sheet_RRS!W"&amp;1+MATCH(aux_sheet_RRS!$E104,aux_sheet_RRS!$D$2:$D$202,0)),0))</f>
        <v/>
      </c>
      <c r="P105" s="106" t="str">
        <f ca="1">IF($B105="","",INDIRECT("aux_sheet_RRS!X"&amp;1+MATCH(aux_sheet_RRS!$E104,aux_sheet_RRS!$D$2:$D$202,0)))</f>
        <v/>
      </c>
      <c r="Q105" s="89" t="str">
        <f ca="1">IF($B105="","",INDIRECT("aux_sheet_RRS!Y"&amp;1+MATCH(aux_sheet_RRS!$E104,aux_sheet_RRS!$D$2:$D$202,0)))</f>
        <v/>
      </c>
      <c r="R105" s="90" t="str">
        <f ca="1">IF(P105="","",INDIRECT("aux_sheet_RRS!Z"&amp;1+MATCH(aux_sheet_RRS!$E104,aux_sheet_RRS!$D$2:$D$202,0)))</f>
        <v/>
      </c>
      <c r="S105" s="106" t="str">
        <f ca="1">IF($B105="","",INDIRECT("aux_sheet_RRS!AA"&amp;1+MATCH(aux_sheet_RRS!$E104,aux_sheet_RRS!$D$2:$D$202,0)))</f>
        <v/>
      </c>
      <c r="T105" s="89" t="str">
        <f ca="1">IF($B105="","",INDIRECT("aux_sheet_RRS!AB"&amp;1+MATCH(aux_sheet_RRS!$E104,aux_sheet_RRS!$D$2:$D$202,0)))</f>
        <v/>
      </c>
      <c r="U105" s="90" t="str">
        <f ca="1">IF(S105="","",INDIRECT("aux_sheet_RRS!AC"&amp;1+MATCH(aux_sheet_RRS!$E104,aux_sheet_RRS!$D$2:$D$202,0)))</f>
        <v/>
      </c>
      <c r="V105" s="106" t="str">
        <f ca="1">IF($B105="","",INDIRECT("aux_sheet_RRS!AD"&amp;1+MATCH(aux_sheet_RRS!$E104,aux_sheet_RRS!$D$2:$D$202,0)))</f>
        <v/>
      </c>
      <c r="W105" s="89" t="str">
        <f ca="1">IF($B105="","",INDIRECT("aux_sheet_RRS!AE"&amp;1+MATCH(aux_sheet_RRS!$E104,aux_sheet_RRS!$D$2:$D$202,0)))</f>
        <v/>
      </c>
      <c r="X105" s="90" t="str">
        <f ca="1">IF(V105="","",INDIRECT("aux_sheet_RRS!AF"&amp;1+MATCH(aux_sheet_RRS!$E104,aux_sheet_RRS!$D$2:$D$202,0)))</f>
        <v/>
      </c>
      <c r="Y105" s="106" t="str">
        <f ca="1">IF($B105="","",INDIRECT("aux_sheet_RRS!AG"&amp;1+MATCH(aux_sheet_RRS!$E104,aux_sheet_RRS!$D$2:$D$202,0)))</f>
        <v/>
      </c>
      <c r="Z105" s="89" t="str">
        <f ca="1">IF($B105="","",INDIRECT("aux_sheet_RRS!AH"&amp;1+MATCH(aux_sheet_RRS!$E104,aux_sheet_RRS!$D$2:$D$202,0)))</f>
        <v/>
      </c>
      <c r="AA105" s="90" t="str">
        <f ca="1">IF(Y105="","",INDIRECT("aux_sheet_RRS!AI"&amp;1+MATCH(aux_sheet_RRS!$E104,aux_sheet_RRS!$D$2:$D$202,0)))</f>
        <v/>
      </c>
      <c r="AB105" s="88" t="str">
        <f ca="1">IF($B105="","",INDIRECT("aux_sheet_RRS!AJ"&amp;1+MATCH(aux_sheet_RRS!$E104,aux_sheet_RRS!$D$2:$D$202,0)))</f>
        <v/>
      </c>
      <c r="AC105" s="89" t="str">
        <f ca="1">IF($B105="","",INDIRECT("aux_sheet_RRS!AK"&amp;1+MATCH(aux_sheet_RRS!$E104,aux_sheet_RRS!$D$2:$D$202,0)))</f>
        <v/>
      </c>
      <c r="AD105" s="90" t="str">
        <f ca="1">IF(AB105="","",INDIRECT("aux_sheet_RRS!AL"&amp;1+MATCH(aux_sheet_RRS!$E104,aux_sheet_RRS!$D$2:$D$202,0)))</f>
        <v/>
      </c>
      <c r="AE105" s="88" t="str">
        <f ca="1">IF($B105="","",INDIRECT("aux_sheet_RRS!AM"&amp;1+MATCH(aux_sheet_RRS!$E104,aux_sheet_RRS!$D$2:$D$202,0)))</f>
        <v/>
      </c>
      <c r="AF105" s="89" t="str">
        <f ca="1">IF($B105="","",INDIRECT("aux_sheet_RRS!AN"&amp;1+MATCH(aux_sheet_RRS!$E104,aux_sheet_RRS!$D$2:$D$202,0)))</f>
        <v/>
      </c>
      <c r="AG105" s="90" t="str">
        <f ca="1">IF(AE105="","",INDIRECT("aux_sheet_RRS!AO"&amp;1+MATCH(aux_sheet_RRS!$E104,aux_sheet_RRS!$D$2:$D$202,0)))</f>
        <v/>
      </c>
      <c r="AH105" s="14" t="str">
        <f t="shared" ca="1" si="6"/>
        <v/>
      </c>
      <c r="AI105" t="str">
        <f t="shared" ca="1" si="7"/>
        <v/>
      </c>
      <c r="AJ105" t="str">
        <f t="shared" ca="1" si="8"/>
        <v/>
      </c>
    </row>
    <row r="106" spans="1:36" x14ac:dyDescent="0.35">
      <c r="A106" s="2" t="str">
        <f>IF(ISBLANK(Input!A105),"",ROUNDDOWN(aux_sheet_RRS!E105,0))</f>
        <v/>
      </c>
      <c r="B106" s="2" t="str">
        <f ca="1">IF(ISBLANK(Input!A105),"",INDIRECT("Input!A"&amp;1+MATCH(aux_sheet_RRS!$E105,aux_sheet_RRS!$D$2:$D$202,0)))</f>
        <v/>
      </c>
      <c r="C106" s="2" t="str">
        <f ca="1">IF(ISBLANK(Input!B105),"",INDIRECT("Input!B"&amp;1+MATCH(aux_sheet_RRS!$E105,aux_sheet_RRS!$D$2:$D$202,0)))</f>
        <v/>
      </c>
      <c r="D106" s="2" t="str">
        <f ca="1">IF(ISBLANK(Input!C105),"",INDIRECT("Input!C"&amp;1+MATCH(aux_sheet_RRS!$E105,aux_sheet_RRS!$D$2:$D$202,0)))</f>
        <v/>
      </c>
      <c r="E106" s="2" t="str">
        <f ca="1">IF(ISBLANK(Input!D105),"",INDIRECT("Input!D"&amp;1+MATCH(aux_sheet_RRS!$E105,aux_sheet_RRS!$D$2:$D$202,0)))</f>
        <v/>
      </c>
      <c r="F106" s="11" t="str">
        <f ca="1">INDIRECT("Input!H"&amp;1+MATCH(aux_sheet_RRS!$E105,aux_sheet_RRS!$D$2:$D$202,0))</f>
        <v xml:space="preserve"> </v>
      </c>
      <c r="G106" s="88" t="str">
        <f ca="1">IF($B106="","",INDIRECT("aux_sheet_RRS!O"&amp;1+MATCH(aux_sheet_RRS!$E105,aux_sheet_RRS!$D$2:$D$202,0)))</f>
        <v/>
      </c>
      <c r="H106" s="89" t="str">
        <f ca="1">IF($B106="","",INDIRECT("aux_sheet_RRS!P"&amp;1+MATCH(aux_sheet_RRS!$E105,aux_sheet_RRS!$D$2:$D$202,0)))</f>
        <v/>
      </c>
      <c r="I106" s="90" t="str">
        <f ca="1">IF(G106="","",ROUNDDOWN(INDIRECT("aux_sheet_RRS!Q"&amp;1+MATCH(aux_sheet_RRS!$E105,aux_sheet_RRS!$D$2:$D$202,0)),0))</f>
        <v/>
      </c>
      <c r="J106" s="106" t="str">
        <f ca="1">IF($B106="","",INDIRECT("aux_sheet_RRS!R"&amp;1+MATCH(aux_sheet_RRS!$E105,aux_sheet_RRS!$D$2:$D$202,0)))</f>
        <v/>
      </c>
      <c r="K106" s="89" t="str">
        <f ca="1">IF($B106="","",INDIRECT("aux_sheet_RRS!S"&amp;1+MATCH(aux_sheet_RRS!$E105,aux_sheet_RRS!$D$2:$D$202,0)))</f>
        <v/>
      </c>
      <c r="L106" s="90" t="str">
        <f ca="1">IF(J106="","",ROUNDDOWN(INDIRECT("aux_sheet_RRS!T"&amp;1+MATCH(aux_sheet_RRS!$E105,aux_sheet_RRS!$D$2:$D$202,0)),0))</f>
        <v/>
      </c>
      <c r="M106" s="106" t="str">
        <f ca="1">IF($B106="","",INDIRECT("aux_sheet_RRS!U"&amp;1+MATCH(aux_sheet_RRS!$E105,aux_sheet_RRS!$D$2:$D$202,0)))</f>
        <v/>
      </c>
      <c r="N106" s="89" t="str">
        <f ca="1">IF($B106="","",INDIRECT("aux_sheet_RRS!V"&amp;1+MATCH(aux_sheet_RRS!$E105,aux_sheet_RRS!$D$2:$D$202,0)))</f>
        <v/>
      </c>
      <c r="O106" s="90" t="str">
        <f ca="1">IF(M106="","",ROUNDDOWN(INDIRECT("aux_sheet_RRS!W"&amp;1+MATCH(aux_sheet_RRS!$E105,aux_sheet_RRS!$D$2:$D$202,0)),0))</f>
        <v/>
      </c>
      <c r="P106" s="106" t="str">
        <f ca="1">IF($B106="","",INDIRECT("aux_sheet_RRS!X"&amp;1+MATCH(aux_sheet_RRS!$E105,aux_sheet_RRS!$D$2:$D$202,0)))</f>
        <v/>
      </c>
      <c r="Q106" s="89" t="str">
        <f ca="1">IF($B106="","",INDIRECT("aux_sheet_RRS!Y"&amp;1+MATCH(aux_sheet_RRS!$E105,aux_sheet_RRS!$D$2:$D$202,0)))</f>
        <v/>
      </c>
      <c r="R106" s="90" t="str">
        <f ca="1">IF(P106="","",INDIRECT("aux_sheet_RRS!Z"&amp;1+MATCH(aux_sheet_RRS!$E105,aux_sheet_RRS!$D$2:$D$202,0)))</f>
        <v/>
      </c>
      <c r="S106" s="106" t="str">
        <f ca="1">IF($B106="","",INDIRECT("aux_sheet_RRS!AA"&amp;1+MATCH(aux_sheet_RRS!$E105,aux_sheet_RRS!$D$2:$D$202,0)))</f>
        <v/>
      </c>
      <c r="T106" s="89" t="str">
        <f ca="1">IF($B106="","",INDIRECT("aux_sheet_RRS!AB"&amp;1+MATCH(aux_sheet_RRS!$E105,aux_sheet_RRS!$D$2:$D$202,0)))</f>
        <v/>
      </c>
      <c r="U106" s="90" t="str">
        <f ca="1">IF(S106="","",INDIRECT("aux_sheet_RRS!AC"&amp;1+MATCH(aux_sheet_RRS!$E105,aux_sheet_RRS!$D$2:$D$202,0)))</f>
        <v/>
      </c>
      <c r="V106" s="106" t="str">
        <f ca="1">IF($B106="","",INDIRECT("aux_sheet_RRS!AD"&amp;1+MATCH(aux_sheet_RRS!$E105,aux_sheet_RRS!$D$2:$D$202,0)))</f>
        <v/>
      </c>
      <c r="W106" s="89" t="str">
        <f ca="1">IF($B106="","",INDIRECT("aux_sheet_RRS!AE"&amp;1+MATCH(aux_sheet_RRS!$E105,aux_sheet_RRS!$D$2:$D$202,0)))</f>
        <v/>
      </c>
      <c r="X106" s="90" t="str">
        <f ca="1">IF(V106="","",INDIRECT("aux_sheet_RRS!AF"&amp;1+MATCH(aux_sheet_RRS!$E105,aux_sheet_RRS!$D$2:$D$202,0)))</f>
        <v/>
      </c>
      <c r="Y106" s="106" t="str">
        <f ca="1">IF($B106="","",INDIRECT("aux_sheet_RRS!AG"&amp;1+MATCH(aux_sheet_RRS!$E105,aux_sheet_RRS!$D$2:$D$202,0)))</f>
        <v/>
      </c>
      <c r="Z106" s="89" t="str">
        <f ca="1">IF($B106="","",INDIRECT("aux_sheet_RRS!AH"&amp;1+MATCH(aux_sheet_RRS!$E105,aux_sheet_RRS!$D$2:$D$202,0)))</f>
        <v/>
      </c>
      <c r="AA106" s="90" t="str">
        <f ca="1">IF(Y106="","",INDIRECT("aux_sheet_RRS!AI"&amp;1+MATCH(aux_sheet_RRS!$E105,aux_sheet_RRS!$D$2:$D$202,0)))</f>
        <v/>
      </c>
      <c r="AB106" s="88" t="str">
        <f ca="1">IF($B106="","",INDIRECT("aux_sheet_RRS!AJ"&amp;1+MATCH(aux_sheet_RRS!$E105,aux_sheet_RRS!$D$2:$D$202,0)))</f>
        <v/>
      </c>
      <c r="AC106" s="89" t="str">
        <f ca="1">IF($B106="","",INDIRECT("aux_sheet_RRS!AK"&amp;1+MATCH(aux_sheet_RRS!$E105,aux_sheet_RRS!$D$2:$D$202,0)))</f>
        <v/>
      </c>
      <c r="AD106" s="90" t="str">
        <f ca="1">IF(AB106="","",INDIRECT("aux_sheet_RRS!AL"&amp;1+MATCH(aux_sheet_RRS!$E105,aux_sheet_RRS!$D$2:$D$202,0)))</f>
        <v/>
      </c>
      <c r="AE106" s="88" t="str">
        <f ca="1">IF($B106="","",INDIRECT("aux_sheet_RRS!AM"&amp;1+MATCH(aux_sheet_RRS!$E105,aux_sheet_RRS!$D$2:$D$202,0)))</f>
        <v/>
      </c>
      <c r="AF106" s="89" t="str">
        <f ca="1">IF($B106="","",INDIRECT("aux_sheet_RRS!AN"&amp;1+MATCH(aux_sheet_RRS!$E105,aux_sheet_RRS!$D$2:$D$202,0)))</f>
        <v/>
      </c>
      <c r="AG106" s="90" t="str">
        <f ca="1">IF(AE106="","",INDIRECT("aux_sheet_RRS!AO"&amp;1+MATCH(aux_sheet_RRS!$E105,aux_sheet_RRS!$D$2:$D$202,0)))</f>
        <v/>
      </c>
      <c r="AH106" s="14" t="str">
        <f t="shared" ca="1" si="6"/>
        <v/>
      </c>
      <c r="AI106" t="str">
        <f t="shared" ca="1" si="7"/>
        <v/>
      </c>
      <c r="AJ106" t="str">
        <f t="shared" ca="1" si="8"/>
        <v/>
      </c>
    </row>
    <row r="107" spans="1:36" x14ac:dyDescent="0.35">
      <c r="A107" s="2" t="str">
        <f>IF(ISBLANK(Input!A106),"",ROUNDDOWN(aux_sheet_RRS!E106,0))</f>
        <v/>
      </c>
      <c r="B107" s="2" t="str">
        <f ca="1">IF(ISBLANK(Input!A106),"",INDIRECT("Input!A"&amp;1+MATCH(aux_sheet_RRS!$E106,aux_sheet_RRS!$D$2:$D$202,0)))</f>
        <v/>
      </c>
      <c r="C107" s="2" t="str">
        <f ca="1">IF(ISBLANK(Input!B106),"",INDIRECT("Input!B"&amp;1+MATCH(aux_sheet_RRS!$E106,aux_sheet_RRS!$D$2:$D$202,0)))</f>
        <v/>
      </c>
      <c r="D107" s="2" t="str">
        <f ca="1">IF(ISBLANK(Input!C106),"",INDIRECT("Input!C"&amp;1+MATCH(aux_sheet_RRS!$E106,aux_sheet_RRS!$D$2:$D$202,0)))</f>
        <v/>
      </c>
      <c r="E107" s="2" t="str">
        <f ca="1">IF(ISBLANK(Input!D106),"",INDIRECT("Input!D"&amp;1+MATCH(aux_sheet_RRS!$E106,aux_sheet_RRS!$D$2:$D$202,0)))</f>
        <v/>
      </c>
      <c r="F107" s="11" t="str">
        <f ca="1">INDIRECT("Input!H"&amp;1+MATCH(aux_sheet_RRS!$E106,aux_sheet_RRS!$D$2:$D$202,0))</f>
        <v xml:space="preserve"> </v>
      </c>
      <c r="G107" s="88" t="str">
        <f ca="1">IF($B107="","",INDIRECT("aux_sheet_RRS!O"&amp;1+MATCH(aux_sheet_RRS!$E106,aux_sheet_RRS!$D$2:$D$202,0)))</f>
        <v/>
      </c>
      <c r="H107" s="89" t="str">
        <f ca="1">IF($B107="","",INDIRECT("aux_sheet_RRS!P"&amp;1+MATCH(aux_sheet_RRS!$E106,aux_sheet_RRS!$D$2:$D$202,0)))</f>
        <v/>
      </c>
      <c r="I107" s="90" t="str">
        <f ca="1">IF(G107="","",ROUNDDOWN(INDIRECT("aux_sheet_RRS!Q"&amp;1+MATCH(aux_sheet_RRS!$E106,aux_sheet_RRS!$D$2:$D$202,0)),0))</f>
        <v/>
      </c>
      <c r="J107" s="106" t="str">
        <f ca="1">IF($B107="","",INDIRECT("aux_sheet_RRS!R"&amp;1+MATCH(aux_sheet_RRS!$E106,aux_sheet_RRS!$D$2:$D$202,0)))</f>
        <v/>
      </c>
      <c r="K107" s="89" t="str">
        <f ca="1">IF($B107="","",INDIRECT("aux_sheet_RRS!S"&amp;1+MATCH(aux_sheet_RRS!$E106,aux_sheet_RRS!$D$2:$D$202,0)))</f>
        <v/>
      </c>
      <c r="L107" s="90" t="str">
        <f ca="1">IF(J107="","",ROUNDDOWN(INDIRECT("aux_sheet_RRS!T"&amp;1+MATCH(aux_sheet_RRS!$E106,aux_sheet_RRS!$D$2:$D$202,0)),0))</f>
        <v/>
      </c>
      <c r="M107" s="106" t="str">
        <f ca="1">IF($B107="","",INDIRECT("aux_sheet_RRS!U"&amp;1+MATCH(aux_sheet_RRS!$E106,aux_sheet_RRS!$D$2:$D$202,0)))</f>
        <v/>
      </c>
      <c r="N107" s="89" t="str">
        <f ca="1">IF($B107="","",INDIRECT("aux_sheet_RRS!V"&amp;1+MATCH(aux_sheet_RRS!$E106,aux_sheet_RRS!$D$2:$D$202,0)))</f>
        <v/>
      </c>
      <c r="O107" s="90" t="str">
        <f ca="1">IF(M107="","",ROUNDDOWN(INDIRECT("aux_sheet_RRS!W"&amp;1+MATCH(aux_sheet_RRS!$E106,aux_sheet_RRS!$D$2:$D$202,0)),0))</f>
        <v/>
      </c>
      <c r="P107" s="106" t="str">
        <f ca="1">IF($B107="","",INDIRECT("aux_sheet_RRS!X"&amp;1+MATCH(aux_sheet_RRS!$E106,aux_sheet_RRS!$D$2:$D$202,0)))</f>
        <v/>
      </c>
      <c r="Q107" s="89" t="str">
        <f ca="1">IF($B107="","",INDIRECT("aux_sheet_RRS!Y"&amp;1+MATCH(aux_sheet_RRS!$E106,aux_sheet_RRS!$D$2:$D$202,0)))</f>
        <v/>
      </c>
      <c r="R107" s="90" t="str">
        <f ca="1">IF(P107="","",INDIRECT("aux_sheet_RRS!Z"&amp;1+MATCH(aux_sheet_RRS!$E106,aux_sheet_RRS!$D$2:$D$202,0)))</f>
        <v/>
      </c>
      <c r="S107" s="106" t="str">
        <f ca="1">IF($B107="","",INDIRECT("aux_sheet_RRS!AA"&amp;1+MATCH(aux_sheet_RRS!$E106,aux_sheet_RRS!$D$2:$D$202,0)))</f>
        <v/>
      </c>
      <c r="T107" s="89" t="str">
        <f ca="1">IF($B107="","",INDIRECT("aux_sheet_RRS!AB"&amp;1+MATCH(aux_sheet_RRS!$E106,aux_sheet_RRS!$D$2:$D$202,0)))</f>
        <v/>
      </c>
      <c r="U107" s="90" t="str">
        <f ca="1">IF(S107="","",INDIRECT("aux_sheet_RRS!AC"&amp;1+MATCH(aux_sheet_RRS!$E106,aux_sheet_RRS!$D$2:$D$202,0)))</f>
        <v/>
      </c>
      <c r="V107" s="106" t="str">
        <f ca="1">IF($B107="","",INDIRECT("aux_sheet_RRS!AD"&amp;1+MATCH(aux_sheet_RRS!$E106,aux_sheet_RRS!$D$2:$D$202,0)))</f>
        <v/>
      </c>
      <c r="W107" s="89" t="str">
        <f ca="1">IF($B107="","",INDIRECT("aux_sheet_RRS!AE"&amp;1+MATCH(aux_sheet_RRS!$E106,aux_sheet_RRS!$D$2:$D$202,0)))</f>
        <v/>
      </c>
      <c r="X107" s="90" t="str">
        <f ca="1">IF(V107="","",INDIRECT("aux_sheet_RRS!AF"&amp;1+MATCH(aux_sheet_RRS!$E106,aux_sheet_RRS!$D$2:$D$202,0)))</f>
        <v/>
      </c>
      <c r="Y107" s="106" t="str">
        <f ca="1">IF($B107="","",INDIRECT("aux_sheet_RRS!AG"&amp;1+MATCH(aux_sheet_RRS!$E106,aux_sheet_RRS!$D$2:$D$202,0)))</f>
        <v/>
      </c>
      <c r="Z107" s="89" t="str">
        <f ca="1">IF($B107="","",INDIRECT("aux_sheet_RRS!AH"&amp;1+MATCH(aux_sheet_RRS!$E106,aux_sheet_RRS!$D$2:$D$202,0)))</f>
        <v/>
      </c>
      <c r="AA107" s="90" t="str">
        <f ca="1">IF(Y107="","",INDIRECT("aux_sheet_RRS!AI"&amp;1+MATCH(aux_sheet_RRS!$E106,aux_sheet_RRS!$D$2:$D$202,0)))</f>
        <v/>
      </c>
      <c r="AB107" s="88" t="str">
        <f ca="1">IF($B107="","",INDIRECT("aux_sheet_RRS!AJ"&amp;1+MATCH(aux_sheet_RRS!$E106,aux_sheet_RRS!$D$2:$D$202,0)))</f>
        <v/>
      </c>
      <c r="AC107" s="89" t="str">
        <f ca="1">IF($B107="","",INDIRECT("aux_sheet_RRS!AK"&amp;1+MATCH(aux_sheet_RRS!$E106,aux_sheet_RRS!$D$2:$D$202,0)))</f>
        <v/>
      </c>
      <c r="AD107" s="90" t="str">
        <f ca="1">IF(AB107="","",INDIRECT("aux_sheet_RRS!AL"&amp;1+MATCH(aux_sheet_RRS!$E106,aux_sheet_RRS!$D$2:$D$202,0)))</f>
        <v/>
      </c>
      <c r="AE107" s="88" t="str">
        <f ca="1">IF($B107="","",INDIRECT("aux_sheet_RRS!AM"&amp;1+MATCH(aux_sheet_RRS!$E106,aux_sheet_RRS!$D$2:$D$202,0)))</f>
        <v/>
      </c>
      <c r="AF107" s="89" t="str">
        <f ca="1">IF($B107="","",INDIRECT("aux_sheet_RRS!AN"&amp;1+MATCH(aux_sheet_RRS!$E106,aux_sheet_RRS!$D$2:$D$202,0)))</f>
        <v/>
      </c>
      <c r="AG107" s="90" t="str">
        <f ca="1">IF(AE107="","",INDIRECT("aux_sheet_RRS!AO"&amp;1+MATCH(aux_sheet_RRS!$E106,aux_sheet_RRS!$D$2:$D$202,0)))</f>
        <v/>
      </c>
      <c r="AH107" s="14" t="str">
        <f t="shared" ca="1" si="6"/>
        <v/>
      </c>
      <c r="AI107" t="str">
        <f t="shared" ca="1" si="7"/>
        <v/>
      </c>
      <c r="AJ107" t="str">
        <f t="shared" ca="1" si="8"/>
        <v/>
      </c>
    </row>
    <row r="108" spans="1:36" x14ac:dyDescent="0.35">
      <c r="A108" s="2" t="str">
        <f>IF(ISBLANK(Input!A107),"",ROUNDDOWN(aux_sheet_RRS!E107,0))</f>
        <v/>
      </c>
      <c r="B108" s="2" t="str">
        <f ca="1">IF(ISBLANK(Input!A107),"",INDIRECT("Input!A"&amp;1+MATCH(aux_sheet_RRS!$E107,aux_sheet_RRS!$D$2:$D$202,0)))</f>
        <v/>
      </c>
      <c r="C108" s="2" t="str">
        <f ca="1">IF(ISBLANK(Input!B107),"",INDIRECT("Input!B"&amp;1+MATCH(aux_sheet_RRS!$E107,aux_sheet_RRS!$D$2:$D$202,0)))</f>
        <v/>
      </c>
      <c r="D108" s="2" t="str">
        <f ca="1">IF(ISBLANK(Input!C107),"",INDIRECT("Input!C"&amp;1+MATCH(aux_sheet_RRS!$E107,aux_sheet_RRS!$D$2:$D$202,0)))</f>
        <v/>
      </c>
      <c r="E108" s="2" t="str">
        <f ca="1">IF(ISBLANK(Input!D107),"",INDIRECT("Input!D"&amp;1+MATCH(aux_sheet_RRS!$E107,aux_sheet_RRS!$D$2:$D$202,0)))</f>
        <v/>
      </c>
      <c r="F108" s="11" t="str">
        <f ca="1">INDIRECT("Input!H"&amp;1+MATCH(aux_sheet_RRS!$E107,aux_sheet_RRS!$D$2:$D$202,0))</f>
        <v xml:space="preserve"> </v>
      </c>
      <c r="G108" s="88" t="str">
        <f ca="1">IF($B108="","",INDIRECT("aux_sheet_RRS!O"&amp;1+MATCH(aux_sheet_RRS!$E107,aux_sheet_RRS!$D$2:$D$202,0)))</f>
        <v/>
      </c>
      <c r="H108" s="89" t="str">
        <f ca="1">IF($B108="","",INDIRECT("aux_sheet_RRS!P"&amp;1+MATCH(aux_sheet_RRS!$E107,aux_sheet_RRS!$D$2:$D$202,0)))</f>
        <v/>
      </c>
      <c r="I108" s="90" t="str">
        <f ca="1">IF(G108="","",ROUNDDOWN(INDIRECT("aux_sheet_RRS!Q"&amp;1+MATCH(aux_sheet_RRS!$E107,aux_sheet_RRS!$D$2:$D$202,0)),0))</f>
        <v/>
      </c>
      <c r="J108" s="106" t="str">
        <f ca="1">IF($B108="","",INDIRECT("aux_sheet_RRS!R"&amp;1+MATCH(aux_sheet_RRS!$E107,aux_sheet_RRS!$D$2:$D$202,0)))</f>
        <v/>
      </c>
      <c r="K108" s="89" t="str">
        <f ca="1">IF($B108="","",INDIRECT("aux_sheet_RRS!S"&amp;1+MATCH(aux_sheet_RRS!$E107,aux_sheet_RRS!$D$2:$D$202,0)))</f>
        <v/>
      </c>
      <c r="L108" s="90" t="str">
        <f ca="1">IF(J108="","",ROUNDDOWN(INDIRECT("aux_sheet_RRS!T"&amp;1+MATCH(aux_sheet_RRS!$E107,aux_sheet_RRS!$D$2:$D$202,0)),0))</f>
        <v/>
      </c>
      <c r="M108" s="106" t="str">
        <f ca="1">IF($B108="","",INDIRECT("aux_sheet_RRS!U"&amp;1+MATCH(aux_sheet_RRS!$E107,aux_sheet_RRS!$D$2:$D$202,0)))</f>
        <v/>
      </c>
      <c r="N108" s="89" t="str">
        <f ca="1">IF($B108="","",INDIRECT("aux_sheet_RRS!V"&amp;1+MATCH(aux_sheet_RRS!$E107,aux_sheet_RRS!$D$2:$D$202,0)))</f>
        <v/>
      </c>
      <c r="O108" s="90" t="str">
        <f ca="1">IF(M108="","",ROUNDDOWN(INDIRECT("aux_sheet_RRS!W"&amp;1+MATCH(aux_sheet_RRS!$E107,aux_sheet_RRS!$D$2:$D$202,0)),0))</f>
        <v/>
      </c>
      <c r="P108" s="106" t="str">
        <f ca="1">IF($B108="","",INDIRECT("aux_sheet_RRS!X"&amp;1+MATCH(aux_sheet_RRS!$E107,aux_sheet_RRS!$D$2:$D$202,0)))</f>
        <v/>
      </c>
      <c r="Q108" s="89" t="str">
        <f ca="1">IF($B108="","",INDIRECT("aux_sheet_RRS!Y"&amp;1+MATCH(aux_sheet_RRS!$E107,aux_sheet_RRS!$D$2:$D$202,0)))</f>
        <v/>
      </c>
      <c r="R108" s="90" t="str">
        <f ca="1">IF(P108="","",INDIRECT("aux_sheet_RRS!Z"&amp;1+MATCH(aux_sheet_RRS!$E107,aux_sheet_RRS!$D$2:$D$202,0)))</f>
        <v/>
      </c>
      <c r="S108" s="106" t="str">
        <f ca="1">IF($B108="","",INDIRECT("aux_sheet_RRS!AA"&amp;1+MATCH(aux_sheet_RRS!$E107,aux_sheet_RRS!$D$2:$D$202,0)))</f>
        <v/>
      </c>
      <c r="T108" s="89" t="str">
        <f ca="1">IF($B108="","",INDIRECT("aux_sheet_RRS!AB"&amp;1+MATCH(aux_sheet_RRS!$E107,aux_sheet_RRS!$D$2:$D$202,0)))</f>
        <v/>
      </c>
      <c r="U108" s="90" t="str">
        <f ca="1">IF(S108="","",INDIRECT("aux_sheet_RRS!AC"&amp;1+MATCH(aux_sheet_RRS!$E107,aux_sheet_RRS!$D$2:$D$202,0)))</f>
        <v/>
      </c>
      <c r="V108" s="106" t="str">
        <f ca="1">IF($B108="","",INDIRECT("aux_sheet_RRS!AD"&amp;1+MATCH(aux_sheet_RRS!$E107,aux_sheet_RRS!$D$2:$D$202,0)))</f>
        <v/>
      </c>
      <c r="W108" s="89" t="str">
        <f ca="1">IF($B108="","",INDIRECT("aux_sheet_RRS!AE"&amp;1+MATCH(aux_sheet_RRS!$E107,aux_sheet_RRS!$D$2:$D$202,0)))</f>
        <v/>
      </c>
      <c r="X108" s="90" t="str">
        <f ca="1">IF(V108="","",INDIRECT("aux_sheet_RRS!AF"&amp;1+MATCH(aux_sheet_RRS!$E107,aux_sheet_RRS!$D$2:$D$202,0)))</f>
        <v/>
      </c>
      <c r="Y108" s="106" t="str">
        <f ca="1">IF($B108="","",INDIRECT("aux_sheet_RRS!AG"&amp;1+MATCH(aux_sheet_RRS!$E107,aux_sheet_RRS!$D$2:$D$202,0)))</f>
        <v/>
      </c>
      <c r="Z108" s="89" t="str">
        <f ca="1">IF($B108="","",INDIRECT("aux_sheet_RRS!AH"&amp;1+MATCH(aux_sheet_RRS!$E107,aux_sheet_RRS!$D$2:$D$202,0)))</f>
        <v/>
      </c>
      <c r="AA108" s="90" t="str">
        <f ca="1">IF(Y108="","",INDIRECT("aux_sheet_RRS!AI"&amp;1+MATCH(aux_sheet_RRS!$E107,aux_sheet_RRS!$D$2:$D$202,0)))</f>
        <v/>
      </c>
      <c r="AB108" s="88" t="str">
        <f ca="1">IF($B108="","",INDIRECT("aux_sheet_RRS!AJ"&amp;1+MATCH(aux_sheet_RRS!$E107,aux_sheet_RRS!$D$2:$D$202,0)))</f>
        <v/>
      </c>
      <c r="AC108" s="89" t="str">
        <f ca="1">IF($B108="","",INDIRECT("aux_sheet_RRS!AK"&amp;1+MATCH(aux_sheet_RRS!$E107,aux_sheet_RRS!$D$2:$D$202,0)))</f>
        <v/>
      </c>
      <c r="AD108" s="90" t="str">
        <f ca="1">IF(AB108="","",INDIRECT("aux_sheet_RRS!AL"&amp;1+MATCH(aux_sheet_RRS!$E107,aux_sheet_RRS!$D$2:$D$202,0)))</f>
        <v/>
      </c>
      <c r="AE108" s="88" t="str">
        <f ca="1">IF($B108="","",INDIRECT("aux_sheet_RRS!AM"&amp;1+MATCH(aux_sheet_RRS!$E107,aux_sheet_RRS!$D$2:$D$202,0)))</f>
        <v/>
      </c>
      <c r="AF108" s="89" t="str">
        <f ca="1">IF($B108="","",INDIRECT("aux_sheet_RRS!AN"&amp;1+MATCH(aux_sheet_RRS!$E107,aux_sheet_RRS!$D$2:$D$202,0)))</f>
        <v/>
      </c>
      <c r="AG108" s="90" t="str">
        <f ca="1">IF(AE108="","",INDIRECT("aux_sheet_RRS!AO"&amp;1+MATCH(aux_sheet_RRS!$E107,aux_sheet_RRS!$D$2:$D$202,0)))</f>
        <v/>
      </c>
      <c r="AH108" s="14" t="str">
        <f t="shared" ca="1" si="6"/>
        <v/>
      </c>
      <c r="AI108" t="str">
        <f t="shared" ca="1" si="7"/>
        <v/>
      </c>
      <c r="AJ108" t="str">
        <f t="shared" ca="1" si="8"/>
        <v/>
      </c>
    </row>
    <row r="109" spans="1:36" x14ac:dyDescent="0.35">
      <c r="A109" s="2" t="str">
        <f>IF(ISBLANK(Input!A108),"",ROUNDDOWN(aux_sheet_RRS!E108,0))</f>
        <v/>
      </c>
      <c r="B109" s="2" t="str">
        <f ca="1">IF(ISBLANK(Input!A108),"",INDIRECT("Input!A"&amp;1+MATCH(aux_sheet_RRS!$E108,aux_sheet_RRS!$D$2:$D$202,0)))</f>
        <v/>
      </c>
      <c r="C109" s="2" t="str">
        <f ca="1">IF(ISBLANK(Input!B108),"",INDIRECT("Input!B"&amp;1+MATCH(aux_sheet_RRS!$E108,aux_sheet_RRS!$D$2:$D$202,0)))</f>
        <v/>
      </c>
      <c r="D109" s="2" t="str">
        <f ca="1">IF(ISBLANK(Input!C108),"",INDIRECT("Input!C"&amp;1+MATCH(aux_sheet_RRS!$E108,aux_sheet_RRS!$D$2:$D$202,0)))</f>
        <v/>
      </c>
      <c r="E109" s="2" t="str">
        <f ca="1">IF(ISBLANK(Input!D108),"",INDIRECT("Input!D"&amp;1+MATCH(aux_sheet_RRS!$E108,aux_sheet_RRS!$D$2:$D$202,0)))</f>
        <v/>
      </c>
      <c r="F109" s="11" t="str">
        <f ca="1">INDIRECT("Input!H"&amp;1+MATCH(aux_sheet_RRS!$E108,aux_sheet_RRS!$D$2:$D$202,0))</f>
        <v xml:space="preserve"> </v>
      </c>
      <c r="G109" s="88" t="str">
        <f ca="1">IF($B109="","",INDIRECT("aux_sheet_RRS!O"&amp;1+MATCH(aux_sheet_RRS!$E108,aux_sheet_RRS!$D$2:$D$202,0)))</f>
        <v/>
      </c>
      <c r="H109" s="89" t="str">
        <f ca="1">IF($B109="","",INDIRECT("aux_sheet_RRS!P"&amp;1+MATCH(aux_sheet_RRS!$E108,aux_sheet_RRS!$D$2:$D$202,0)))</f>
        <v/>
      </c>
      <c r="I109" s="90" t="str">
        <f ca="1">IF(G109="","",ROUNDDOWN(INDIRECT("aux_sheet_RRS!Q"&amp;1+MATCH(aux_sheet_RRS!$E108,aux_sheet_RRS!$D$2:$D$202,0)),0))</f>
        <v/>
      </c>
      <c r="J109" s="106" t="str">
        <f ca="1">IF($B109="","",INDIRECT("aux_sheet_RRS!R"&amp;1+MATCH(aux_sheet_RRS!$E108,aux_sheet_RRS!$D$2:$D$202,0)))</f>
        <v/>
      </c>
      <c r="K109" s="89" t="str">
        <f ca="1">IF($B109="","",INDIRECT("aux_sheet_RRS!S"&amp;1+MATCH(aux_sheet_RRS!$E108,aux_sheet_RRS!$D$2:$D$202,0)))</f>
        <v/>
      </c>
      <c r="L109" s="90" t="str">
        <f ca="1">IF(J109="","",ROUNDDOWN(INDIRECT("aux_sheet_RRS!T"&amp;1+MATCH(aux_sheet_RRS!$E108,aux_sheet_RRS!$D$2:$D$202,0)),0))</f>
        <v/>
      </c>
      <c r="M109" s="106" t="str">
        <f ca="1">IF($B109="","",INDIRECT("aux_sheet_RRS!U"&amp;1+MATCH(aux_sheet_RRS!$E108,aux_sheet_RRS!$D$2:$D$202,0)))</f>
        <v/>
      </c>
      <c r="N109" s="89" t="str">
        <f ca="1">IF($B109="","",INDIRECT("aux_sheet_RRS!V"&amp;1+MATCH(aux_sheet_RRS!$E108,aux_sheet_RRS!$D$2:$D$202,0)))</f>
        <v/>
      </c>
      <c r="O109" s="90" t="str">
        <f ca="1">IF(M109="","",ROUNDDOWN(INDIRECT("aux_sheet_RRS!W"&amp;1+MATCH(aux_sheet_RRS!$E108,aux_sheet_RRS!$D$2:$D$202,0)),0))</f>
        <v/>
      </c>
      <c r="P109" s="106" t="str">
        <f ca="1">IF($B109="","",INDIRECT("aux_sheet_RRS!X"&amp;1+MATCH(aux_sheet_RRS!$E108,aux_sheet_RRS!$D$2:$D$202,0)))</f>
        <v/>
      </c>
      <c r="Q109" s="89" t="str">
        <f ca="1">IF($B109="","",INDIRECT("aux_sheet_RRS!Y"&amp;1+MATCH(aux_sheet_RRS!$E108,aux_sheet_RRS!$D$2:$D$202,0)))</f>
        <v/>
      </c>
      <c r="R109" s="90" t="str">
        <f ca="1">IF(P109="","",INDIRECT("aux_sheet_RRS!Z"&amp;1+MATCH(aux_sheet_RRS!$E108,aux_sheet_RRS!$D$2:$D$202,0)))</f>
        <v/>
      </c>
      <c r="S109" s="106" t="str">
        <f ca="1">IF($B109="","",INDIRECT("aux_sheet_RRS!AA"&amp;1+MATCH(aux_sheet_RRS!$E108,aux_sheet_RRS!$D$2:$D$202,0)))</f>
        <v/>
      </c>
      <c r="T109" s="89" t="str">
        <f ca="1">IF($B109="","",INDIRECT("aux_sheet_RRS!AB"&amp;1+MATCH(aux_sheet_RRS!$E108,aux_sheet_RRS!$D$2:$D$202,0)))</f>
        <v/>
      </c>
      <c r="U109" s="90" t="str">
        <f ca="1">IF(S109="","",INDIRECT("aux_sheet_RRS!AC"&amp;1+MATCH(aux_sheet_RRS!$E108,aux_sheet_RRS!$D$2:$D$202,0)))</f>
        <v/>
      </c>
      <c r="V109" s="106" t="str">
        <f ca="1">IF($B109="","",INDIRECT("aux_sheet_RRS!AD"&amp;1+MATCH(aux_sheet_RRS!$E108,aux_sheet_RRS!$D$2:$D$202,0)))</f>
        <v/>
      </c>
      <c r="W109" s="89" t="str">
        <f ca="1">IF($B109="","",INDIRECT("aux_sheet_RRS!AE"&amp;1+MATCH(aux_sheet_RRS!$E108,aux_sheet_RRS!$D$2:$D$202,0)))</f>
        <v/>
      </c>
      <c r="X109" s="90" t="str">
        <f ca="1">IF(V109="","",INDIRECT("aux_sheet_RRS!AF"&amp;1+MATCH(aux_sheet_RRS!$E108,aux_sheet_RRS!$D$2:$D$202,0)))</f>
        <v/>
      </c>
      <c r="Y109" s="106" t="str">
        <f ca="1">IF($B109="","",INDIRECT("aux_sheet_RRS!AG"&amp;1+MATCH(aux_sheet_RRS!$E108,aux_sheet_RRS!$D$2:$D$202,0)))</f>
        <v/>
      </c>
      <c r="Z109" s="89" t="str">
        <f ca="1">IF($B109="","",INDIRECT("aux_sheet_RRS!AH"&amp;1+MATCH(aux_sheet_RRS!$E108,aux_sheet_RRS!$D$2:$D$202,0)))</f>
        <v/>
      </c>
      <c r="AA109" s="90" t="str">
        <f ca="1">IF(Y109="","",INDIRECT("aux_sheet_RRS!AI"&amp;1+MATCH(aux_sheet_RRS!$E108,aux_sheet_RRS!$D$2:$D$202,0)))</f>
        <v/>
      </c>
      <c r="AB109" s="88" t="str">
        <f ca="1">IF($B109="","",INDIRECT("aux_sheet_RRS!AJ"&amp;1+MATCH(aux_sheet_RRS!$E108,aux_sheet_RRS!$D$2:$D$202,0)))</f>
        <v/>
      </c>
      <c r="AC109" s="89" t="str">
        <f ca="1">IF($B109="","",INDIRECT("aux_sheet_RRS!AK"&amp;1+MATCH(aux_sheet_RRS!$E108,aux_sheet_RRS!$D$2:$D$202,0)))</f>
        <v/>
      </c>
      <c r="AD109" s="90" t="str">
        <f ca="1">IF(AB109="","",INDIRECT("aux_sheet_RRS!AL"&amp;1+MATCH(aux_sheet_RRS!$E108,aux_sheet_RRS!$D$2:$D$202,0)))</f>
        <v/>
      </c>
      <c r="AE109" s="88" t="str">
        <f ca="1">IF($B109="","",INDIRECT("aux_sheet_RRS!AM"&amp;1+MATCH(aux_sheet_RRS!$E108,aux_sheet_RRS!$D$2:$D$202,0)))</f>
        <v/>
      </c>
      <c r="AF109" s="89" t="str">
        <f ca="1">IF($B109="","",INDIRECT("aux_sheet_RRS!AN"&amp;1+MATCH(aux_sheet_RRS!$E108,aux_sheet_RRS!$D$2:$D$202,0)))</f>
        <v/>
      </c>
      <c r="AG109" s="90" t="str">
        <f ca="1">IF(AE109="","",INDIRECT("aux_sheet_RRS!AO"&amp;1+MATCH(aux_sheet_RRS!$E108,aux_sheet_RRS!$D$2:$D$202,0)))</f>
        <v/>
      </c>
      <c r="AH109" s="14" t="str">
        <f t="shared" ca="1" si="6"/>
        <v/>
      </c>
      <c r="AI109" t="str">
        <f t="shared" ca="1" si="7"/>
        <v/>
      </c>
      <c r="AJ109" t="str">
        <f t="shared" ca="1" si="8"/>
        <v/>
      </c>
    </row>
    <row r="110" spans="1:36" x14ac:dyDescent="0.35">
      <c r="A110" s="2" t="str">
        <f>IF(ISBLANK(Input!A109),"",ROUNDDOWN(aux_sheet_RRS!E109,0))</f>
        <v/>
      </c>
      <c r="B110" s="2" t="str">
        <f ca="1">IF(ISBLANK(Input!A109),"",INDIRECT("Input!A"&amp;1+MATCH(aux_sheet_RRS!$E109,aux_sheet_RRS!$D$2:$D$202,0)))</f>
        <v/>
      </c>
      <c r="C110" s="2" t="str">
        <f ca="1">IF(ISBLANK(Input!B109),"",INDIRECT("Input!B"&amp;1+MATCH(aux_sheet_RRS!$E109,aux_sheet_RRS!$D$2:$D$202,0)))</f>
        <v/>
      </c>
      <c r="D110" s="2" t="str">
        <f ca="1">IF(ISBLANK(Input!C109),"",INDIRECT("Input!C"&amp;1+MATCH(aux_sheet_RRS!$E109,aux_sheet_RRS!$D$2:$D$202,0)))</f>
        <v/>
      </c>
      <c r="E110" s="2" t="str">
        <f ca="1">IF(ISBLANK(Input!D109),"",INDIRECT("Input!D"&amp;1+MATCH(aux_sheet_RRS!$E109,aux_sheet_RRS!$D$2:$D$202,0)))</f>
        <v/>
      </c>
      <c r="F110" s="11" t="str">
        <f ca="1">INDIRECT("Input!H"&amp;1+MATCH(aux_sheet_RRS!$E109,aux_sheet_RRS!$D$2:$D$202,0))</f>
        <v xml:space="preserve"> </v>
      </c>
      <c r="G110" s="88" t="str">
        <f ca="1">IF($B110="","",INDIRECT("aux_sheet_RRS!O"&amp;1+MATCH(aux_sheet_RRS!$E109,aux_sheet_RRS!$D$2:$D$202,0)))</f>
        <v/>
      </c>
      <c r="H110" s="89" t="str">
        <f ca="1">IF($B110="","",INDIRECT("aux_sheet_RRS!P"&amp;1+MATCH(aux_sheet_RRS!$E109,aux_sheet_RRS!$D$2:$D$202,0)))</f>
        <v/>
      </c>
      <c r="I110" s="90" t="str">
        <f ca="1">IF(G110="","",ROUNDDOWN(INDIRECT("aux_sheet_RRS!Q"&amp;1+MATCH(aux_sheet_RRS!$E109,aux_sheet_RRS!$D$2:$D$202,0)),0))</f>
        <v/>
      </c>
      <c r="J110" s="106" t="str">
        <f ca="1">IF($B110="","",INDIRECT("aux_sheet_RRS!R"&amp;1+MATCH(aux_sheet_RRS!$E109,aux_sheet_RRS!$D$2:$D$202,0)))</f>
        <v/>
      </c>
      <c r="K110" s="89" t="str">
        <f ca="1">IF($B110="","",INDIRECT("aux_sheet_RRS!S"&amp;1+MATCH(aux_sheet_RRS!$E109,aux_sheet_RRS!$D$2:$D$202,0)))</f>
        <v/>
      </c>
      <c r="L110" s="90" t="str">
        <f ca="1">IF(J110="","",ROUNDDOWN(INDIRECT("aux_sheet_RRS!T"&amp;1+MATCH(aux_sheet_RRS!$E109,aux_sheet_RRS!$D$2:$D$202,0)),0))</f>
        <v/>
      </c>
      <c r="M110" s="106" t="str">
        <f ca="1">IF($B110="","",INDIRECT("aux_sheet_RRS!U"&amp;1+MATCH(aux_sheet_RRS!$E109,aux_sheet_RRS!$D$2:$D$202,0)))</f>
        <v/>
      </c>
      <c r="N110" s="89" t="str">
        <f ca="1">IF($B110="","",INDIRECT("aux_sheet_RRS!V"&amp;1+MATCH(aux_sheet_RRS!$E109,aux_sheet_RRS!$D$2:$D$202,0)))</f>
        <v/>
      </c>
      <c r="O110" s="90" t="str">
        <f ca="1">IF(M110="","",ROUNDDOWN(INDIRECT("aux_sheet_RRS!W"&amp;1+MATCH(aux_sheet_RRS!$E109,aux_sheet_RRS!$D$2:$D$202,0)),0))</f>
        <v/>
      </c>
      <c r="P110" s="106" t="str">
        <f ca="1">IF($B110="","",INDIRECT("aux_sheet_RRS!X"&amp;1+MATCH(aux_sheet_RRS!$E109,aux_sheet_RRS!$D$2:$D$202,0)))</f>
        <v/>
      </c>
      <c r="Q110" s="89" t="str">
        <f ca="1">IF($B110="","",INDIRECT("aux_sheet_RRS!Y"&amp;1+MATCH(aux_sheet_RRS!$E109,aux_sheet_RRS!$D$2:$D$202,0)))</f>
        <v/>
      </c>
      <c r="R110" s="90" t="str">
        <f ca="1">IF(P110="","",INDIRECT("aux_sheet_RRS!Z"&amp;1+MATCH(aux_sheet_RRS!$E109,aux_sheet_RRS!$D$2:$D$202,0)))</f>
        <v/>
      </c>
      <c r="S110" s="106" t="str">
        <f ca="1">IF($B110="","",INDIRECT("aux_sheet_RRS!AA"&amp;1+MATCH(aux_sheet_RRS!$E109,aux_sheet_RRS!$D$2:$D$202,0)))</f>
        <v/>
      </c>
      <c r="T110" s="89" t="str">
        <f ca="1">IF($B110="","",INDIRECT("aux_sheet_RRS!AB"&amp;1+MATCH(aux_sheet_RRS!$E109,aux_sheet_RRS!$D$2:$D$202,0)))</f>
        <v/>
      </c>
      <c r="U110" s="90" t="str">
        <f ca="1">IF(S110="","",INDIRECT("aux_sheet_RRS!AC"&amp;1+MATCH(aux_sheet_RRS!$E109,aux_sheet_RRS!$D$2:$D$202,0)))</f>
        <v/>
      </c>
      <c r="V110" s="106" t="str">
        <f ca="1">IF($B110="","",INDIRECT("aux_sheet_RRS!AD"&amp;1+MATCH(aux_sheet_RRS!$E109,aux_sheet_RRS!$D$2:$D$202,0)))</f>
        <v/>
      </c>
      <c r="W110" s="89" t="str">
        <f ca="1">IF($B110="","",INDIRECT("aux_sheet_RRS!AE"&amp;1+MATCH(aux_sheet_RRS!$E109,aux_sheet_RRS!$D$2:$D$202,0)))</f>
        <v/>
      </c>
      <c r="X110" s="90" t="str">
        <f ca="1">IF(V110="","",INDIRECT("aux_sheet_RRS!AF"&amp;1+MATCH(aux_sheet_RRS!$E109,aux_sheet_RRS!$D$2:$D$202,0)))</f>
        <v/>
      </c>
      <c r="Y110" s="106" t="str">
        <f ca="1">IF($B110="","",INDIRECT("aux_sheet_RRS!AG"&amp;1+MATCH(aux_sheet_RRS!$E109,aux_sheet_RRS!$D$2:$D$202,0)))</f>
        <v/>
      </c>
      <c r="Z110" s="89" t="str">
        <f ca="1">IF($B110="","",INDIRECT("aux_sheet_RRS!AH"&amp;1+MATCH(aux_sheet_RRS!$E109,aux_sheet_RRS!$D$2:$D$202,0)))</f>
        <v/>
      </c>
      <c r="AA110" s="90" t="str">
        <f ca="1">IF(Y110="","",INDIRECT("aux_sheet_RRS!AI"&amp;1+MATCH(aux_sheet_RRS!$E109,aux_sheet_RRS!$D$2:$D$202,0)))</f>
        <v/>
      </c>
      <c r="AB110" s="88" t="str">
        <f ca="1">IF($B110="","",INDIRECT("aux_sheet_RRS!AJ"&amp;1+MATCH(aux_sheet_RRS!$E109,aux_sheet_RRS!$D$2:$D$202,0)))</f>
        <v/>
      </c>
      <c r="AC110" s="89" t="str">
        <f ca="1">IF($B110="","",INDIRECT("aux_sheet_RRS!AK"&amp;1+MATCH(aux_sheet_RRS!$E109,aux_sheet_RRS!$D$2:$D$202,0)))</f>
        <v/>
      </c>
      <c r="AD110" s="90" t="str">
        <f ca="1">IF(AB110="","",INDIRECT("aux_sheet_RRS!AL"&amp;1+MATCH(aux_sheet_RRS!$E109,aux_sheet_RRS!$D$2:$D$202,0)))</f>
        <v/>
      </c>
      <c r="AE110" s="88" t="str">
        <f ca="1">IF($B110="","",INDIRECT("aux_sheet_RRS!AM"&amp;1+MATCH(aux_sheet_RRS!$E109,aux_sheet_RRS!$D$2:$D$202,0)))</f>
        <v/>
      </c>
      <c r="AF110" s="89" t="str">
        <f ca="1">IF($B110="","",INDIRECT("aux_sheet_RRS!AN"&amp;1+MATCH(aux_sheet_RRS!$E109,aux_sheet_RRS!$D$2:$D$202,0)))</f>
        <v/>
      </c>
      <c r="AG110" s="90" t="str">
        <f ca="1">IF(AE110="","",INDIRECT("aux_sheet_RRS!AO"&amp;1+MATCH(aux_sheet_RRS!$E109,aux_sheet_RRS!$D$2:$D$202,0)))</f>
        <v/>
      </c>
      <c r="AH110" s="14" t="str">
        <f t="shared" ca="1" si="6"/>
        <v/>
      </c>
      <c r="AI110" t="str">
        <f t="shared" ca="1" si="7"/>
        <v/>
      </c>
      <c r="AJ110" t="str">
        <f t="shared" ca="1" si="8"/>
        <v/>
      </c>
    </row>
    <row r="111" spans="1:36" x14ac:dyDescent="0.35">
      <c r="A111" s="2" t="str">
        <f>IF(ISBLANK(Input!A110),"",ROUNDDOWN(aux_sheet_RRS!E110,0))</f>
        <v/>
      </c>
      <c r="B111" s="2" t="str">
        <f ca="1">IF(ISBLANK(Input!A110),"",INDIRECT("Input!A"&amp;1+MATCH(aux_sheet_RRS!$E110,aux_sheet_RRS!$D$2:$D$202,0)))</f>
        <v/>
      </c>
      <c r="C111" s="2" t="str">
        <f ca="1">IF(ISBLANK(Input!B110),"",INDIRECT("Input!B"&amp;1+MATCH(aux_sheet_RRS!$E110,aux_sheet_RRS!$D$2:$D$202,0)))</f>
        <v/>
      </c>
      <c r="D111" s="2" t="str">
        <f ca="1">IF(ISBLANK(Input!C110),"",INDIRECT("Input!C"&amp;1+MATCH(aux_sheet_RRS!$E110,aux_sheet_RRS!$D$2:$D$202,0)))</f>
        <v/>
      </c>
      <c r="E111" s="2" t="str">
        <f ca="1">IF(ISBLANK(Input!D110),"",INDIRECT("Input!D"&amp;1+MATCH(aux_sheet_RRS!$E110,aux_sheet_RRS!$D$2:$D$202,0)))</f>
        <v/>
      </c>
      <c r="F111" s="11" t="str">
        <f ca="1">INDIRECT("Input!H"&amp;1+MATCH(aux_sheet_RRS!$E110,aux_sheet_RRS!$D$2:$D$202,0))</f>
        <v xml:space="preserve"> </v>
      </c>
      <c r="G111" s="88" t="str">
        <f ca="1">IF($B111="","",INDIRECT("aux_sheet_RRS!O"&amp;1+MATCH(aux_sheet_RRS!$E110,aux_sheet_RRS!$D$2:$D$202,0)))</f>
        <v/>
      </c>
      <c r="H111" s="89" t="str">
        <f ca="1">IF($B111="","",INDIRECT("aux_sheet_RRS!P"&amp;1+MATCH(aux_sheet_RRS!$E110,aux_sheet_RRS!$D$2:$D$202,0)))</f>
        <v/>
      </c>
      <c r="I111" s="90" t="str">
        <f ca="1">IF(G111="","",ROUNDDOWN(INDIRECT("aux_sheet_RRS!Q"&amp;1+MATCH(aux_sheet_RRS!$E110,aux_sheet_RRS!$D$2:$D$202,0)),0))</f>
        <v/>
      </c>
      <c r="J111" s="106" t="str">
        <f ca="1">IF($B111="","",INDIRECT("aux_sheet_RRS!R"&amp;1+MATCH(aux_sheet_RRS!$E110,aux_sheet_RRS!$D$2:$D$202,0)))</f>
        <v/>
      </c>
      <c r="K111" s="89" t="str">
        <f ca="1">IF($B111="","",INDIRECT("aux_sheet_RRS!S"&amp;1+MATCH(aux_sheet_RRS!$E110,aux_sheet_RRS!$D$2:$D$202,0)))</f>
        <v/>
      </c>
      <c r="L111" s="90" t="str">
        <f ca="1">IF(J111="","",ROUNDDOWN(INDIRECT("aux_sheet_RRS!T"&amp;1+MATCH(aux_sheet_RRS!$E110,aux_sheet_RRS!$D$2:$D$202,0)),0))</f>
        <v/>
      </c>
      <c r="M111" s="106" t="str">
        <f ca="1">IF($B111="","",INDIRECT("aux_sheet_RRS!U"&amp;1+MATCH(aux_sheet_RRS!$E110,aux_sheet_RRS!$D$2:$D$202,0)))</f>
        <v/>
      </c>
      <c r="N111" s="89" t="str">
        <f ca="1">IF($B111="","",INDIRECT("aux_sheet_RRS!V"&amp;1+MATCH(aux_sheet_RRS!$E110,aux_sheet_RRS!$D$2:$D$202,0)))</f>
        <v/>
      </c>
      <c r="O111" s="90" t="str">
        <f ca="1">IF(M111="","",ROUNDDOWN(INDIRECT("aux_sheet_RRS!W"&amp;1+MATCH(aux_sheet_RRS!$E110,aux_sheet_RRS!$D$2:$D$202,0)),0))</f>
        <v/>
      </c>
      <c r="P111" s="106" t="str">
        <f ca="1">IF($B111="","",INDIRECT("aux_sheet_RRS!X"&amp;1+MATCH(aux_sheet_RRS!$E110,aux_sheet_RRS!$D$2:$D$202,0)))</f>
        <v/>
      </c>
      <c r="Q111" s="89" t="str">
        <f ca="1">IF($B111="","",INDIRECT("aux_sheet_RRS!Y"&amp;1+MATCH(aux_sheet_RRS!$E110,aux_sheet_RRS!$D$2:$D$202,0)))</f>
        <v/>
      </c>
      <c r="R111" s="90" t="str">
        <f ca="1">IF(P111="","",INDIRECT("aux_sheet_RRS!Z"&amp;1+MATCH(aux_sheet_RRS!$E110,aux_sheet_RRS!$D$2:$D$202,0)))</f>
        <v/>
      </c>
      <c r="S111" s="106" t="str">
        <f ca="1">IF($B111="","",INDIRECT("aux_sheet_RRS!AA"&amp;1+MATCH(aux_sheet_RRS!$E110,aux_sheet_RRS!$D$2:$D$202,0)))</f>
        <v/>
      </c>
      <c r="T111" s="89" t="str">
        <f ca="1">IF($B111="","",INDIRECT("aux_sheet_RRS!AB"&amp;1+MATCH(aux_sheet_RRS!$E110,aux_sheet_RRS!$D$2:$D$202,0)))</f>
        <v/>
      </c>
      <c r="U111" s="90" t="str">
        <f ca="1">IF(S111="","",INDIRECT("aux_sheet_RRS!AC"&amp;1+MATCH(aux_sheet_RRS!$E110,aux_sheet_RRS!$D$2:$D$202,0)))</f>
        <v/>
      </c>
      <c r="V111" s="106" t="str">
        <f ca="1">IF($B111="","",INDIRECT("aux_sheet_RRS!AD"&amp;1+MATCH(aux_sheet_RRS!$E110,aux_sheet_RRS!$D$2:$D$202,0)))</f>
        <v/>
      </c>
      <c r="W111" s="89" t="str">
        <f ca="1">IF($B111="","",INDIRECT("aux_sheet_RRS!AE"&amp;1+MATCH(aux_sheet_RRS!$E110,aux_sheet_RRS!$D$2:$D$202,0)))</f>
        <v/>
      </c>
      <c r="X111" s="90" t="str">
        <f ca="1">IF(V111="","",INDIRECT("aux_sheet_RRS!AF"&amp;1+MATCH(aux_sheet_RRS!$E110,aux_sheet_RRS!$D$2:$D$202,0)))</f>
        <v/>
      </c>
      <c r="Y111" s="106" t="str">
        <f ca="1">IF($B111="","",INDIRECT("aux_sheet_RRS!AG"&amp;1+MATCH(aux_sheet_RRS!$E110,aux_sheet_RRS!$D$2:$D$202,0)))</f>
        <v/>
      </c>
      <c r="Z111" s="89" t="str">
        <f ca="1">IF($B111="","",INDIRECT("aux_sheet_RRS!AH"&amp;1+MATCH(aux_sheet_RRS!$E110,aux_sheet_RRS!$D$2:$D$202,0)))</f>
        <v/>
      </c>
      <c r="AA111" s="90" t="str">
        <f ca="1">IF(Y111="","",INDIRECT("aux_sheet_RRS!AI"&amp;1+MATCH(aux_sheet_RRS!$E110,aux_sheet_RRS!$D$2:$D$202,0)))</f>
        <v/>
      </c>
      <c r="AB111" s="88" t="str">
        <f ca="1">IF($B111="","",INDIRECT("aux_sheet_RRS!AJ"&amp;1+MATCH(aux_sheet_RRS!$E110,aux_sheet_RRS!$D$2:$D$202,0)))</f>
        <v/>
      </c>
      <c r="AC111" s="89" t="str">
        <f ca="1">IF($B111="","",INDIRECT("aux_sheet_RRS!AK"&amp;1+MATCH(aux_sheet_RRS!$E110,aux_sheet_RRS!$D$2:$D$202,0)))</f>
        <v/>
      </c>
      <c r="AD111" s="90" t="str">
        <f ca="1">IF(AB111="","",INDIRECT("aux_sheet_RRS!AL"&amp;1+MATCH(aux_sheet_RRS!$E110,aux_sheet_RRS!$D$2:$D$202,0)))</f>
        <v/>
      </c>
      <c r="AE111" s="88" t="str">
        <f ca="1">IF($B111="","",INDIRECT("aux_sheet_RRS!AM"&amp;1+MATCH(aux_sheet_RRS!$E110,aux_sheet_RRS!$D$2:$D$202,0)))</f>
        <v/>
      </c>
      <c r="AF111" s="89" t="str">
        <f ca="1">IF($B111="","",INDIRECT("aux_sheet_RRS!AN"&amp;1+MATCH(aux_sheet_RRS!$E110,aux_sheet_RRS!$D$2:$D$202,0)))</f>
        <v/>
      </c>
      <c r="AG111" s="90" t="str">
        <f ca="1">IF(AE111="","",INDIRECT("aux_sheet_RRS!AO"&amp;1+MATCH(aux_sheet_RRS!$E110,aux_sheet_RRS!$D$2:$D$202,0)))</f>
        <v/>
      </c>
      <c r="AH111" s="14" t="str">
        <f t="shared" ca="1" si="6"/>
        <v/>
      </c>
      <c r="AI111" t="str">
        <f t="shared" ca="1" si="7"/>
        <v/>
      </c>
      <c r="AJ111" t="str">
        <f t="shared" ca="1" si="8"/>
        <v/>
      </c>
    </row>
    <row r="112" spans="1:36" x14ac:dyDescent="0.35">
      <c r="A112" s="2" t="str">
        <f>IF(ISBLANK(Input!A111),"",ROUNDDOWN(aux_sheet_RRS!E111,0))</f>
        <v/>
      </c>
      <c r="B112" s="2" t="str">
        <f ca="1">IF(ISBLANK(Input!A111),"",INDIRECT("Input!A"&amp;1+MATCH(aux_sheet_RRS!$E111,aux_sheet_RRS!$D$2:$D$202,0)))</f>
        <v/>
      </c>
      <c r="C112" s="2" t="str">
        <f ca="1">IF(ISBLANK(Input!B111),"",INDIRECT("Input!B"&amp;1+MATCH(aux_sheet_RRS!$E111,aux_sheet_RRS!$D$2:$D$202,0)))</f>
        <v/>
      </c>
      <c r="D112" s="2" t="str">
        <f ca="1">IF(ISBLANK(Input!C111),"",INDIRECT("Input!C"&amp;1+MATCH(aux_sheet_RRS!$E111,aux_sheet_RRS!$D$2:$D$202,0)))</f>
        <v/>
      </c>
      <c r="E112" s="2" t="str">
        <f ca="1">IF(ISBLANK(Input!D111),"",INDIRECT("Input!D"&amp;1+MATCH(aux_sheet_RRS!$E111,aux_sheet_RRS!$D$2:$D$202,0)))</f>
        <v/>
      </c>
      <c r="F112" s="11" t="str">
        <f ca="1">INDIRECT("Input!H"&amp;1+MATCH(aux_sheet_RRS!$E111,aux_sheet_RRS!$D$2:$D$202,0))</f>
        <v xml:space="preserve"> </v>
      </c>
      <c r="G112" s="88" t="str">
        <f ca="1">IF($B112="","",INDIRECT("aux_sheet_RRS!O"&amp;1+MATCH(aux_sheet_RRS!$E111,aux_sheet_RRS!$D$2:$D$202,0)))</f>
        <v/>
      </c>
      <c r="H112" s="89" t="str">
        <f ca="1">IF($B112="","",INDIRECT("aux_sheet_RRS!P"&amp;1+MATCH(aux_sheet_RRS!$E111,aux_sheet_RRS!$D$2:$D$202,0)))</f>
        <v/>
      </c>
      <c r="I112" s="90" t="str">
        <f ca="1">IF(G112="","",ROUNDDOWN(INDIRECT("aux_sheet_RRS!Q"&amp;1+MATCH(aux_sheet_RRS!$E111,aux_sheet_RRS!$D$2:$D$202,0)),0))</f>
        <v/>
      </c>
      <c r="J112" s="106" t="str">
        <f ca="1">IF($B112="","",INDIRECT("aux_sheet_RRS!R"&amp;1+MATCH(aux_sheet_RRS!$E111,aux_sheet_RRS!$D$2:$D$202,0)))</f>
        <v/>
      </c>
      <c r="K112" s="89" t="str">
        <f ca="1">IF($B112="","",INDIRECT("aux_sheet_RRS!S"&amp;1+MATCH(aux_sheet_RRS!$E111,aux_sheet_RRS!$D$2:$D$202,0)))</f>
        <v/>
      </c>
      <c r="L112" s="90" t="str">
        <f ca="1">IF(J112="","",ROUNDDOWN(INDIRECT("aux_sheet_RRS!T"&amp;1+MATCH(aux_sheet_RRS!$E111,aux_sheet_RRS!$D$2:$D$202,0)),0))</f>
        <v/>
      </c>
      <c r="M112" s="106" t="str">
        <f ca="1">IF($B112="","",INDIRECT("aux_sheet_RRS!U"&amp;1+MATCH(aux_sheet_RRS!$E111,aux_sheet_RRS!$D$2:$D$202,0)))</f>
        <v/>
      </c>
      <c r="N112" s="89" t="str">
        <f ca="1">IF($B112="","",INDIRECT("aux_sheet_RRS!V"&amp;1+MATCH(aux_sheet_RRS!$E111,aux_sheet_RRS!$D$2:$D$202,0)))</f>
        <v/>
      </c>
      <c r="O112" s="90" t="str">
        <f ca="1">IF(M112="","",ROUNDDOWN(INDIRECT("aux_sheet_RRS!W"&amp;1+MATCH(aux_sheet_RRS!$E111,aux_sheet_RRS!$D$2:$D$202,0)),0))</f>
        <v/>
      </c>
      <c r="P112" s="106" t="str">
        <f ca="1">IF($B112="","",INDIRECT("aux_sheet_RRS!X"&amp;1+MATCH(aux_sheet_RRS!$E111,aux_sheet_RRS!$D$2:$D$202,0)))</f>
        <v/>
      </c>
      <c r="Q112" s="89" t="str">
        <f ca="1">IF($B112="","",INDIRECT("aux_sheet_RRS!Y"&amp;1+MATCH(aux_sheet_RRS!$E111,aux_sheet_RRS!$D$2:$D$202,0)))</f>
        <v/>
      </c>
      <c r="R112" s="90" t="str">
        <f ca="1">IF(P112="","",INDIRECT("aux_sheet_RRS!Z"&amp;1+MATCH(aux_sheet_RRS!$E111,aux_sheet_RRS!$D$2:$D$202,0)))</f>
        <v/>
      </c>
      <c r="S112" s="106" t="str">
        <f ca="1">IF($B112="","",INDIRECT("aux_sheet_RRS!AA"&amp;1+MATCH(aux_sheet_RRS!$E111,aux_sheet_RRS!$D$2:$D$202,0)))</f>
        <v/>
      </c>
      <c r="T112" s="89" t="str">
        <f ca="1">IF($B112="","",INDIRECT("aux_sheet_RRS!AB"&amp;1+MATCH(aux_sheet_RRS!$E111,aux_sheet_RRS!$D$2:$D$202,0)))</f>
        <v/>
      </c>
      <c r="U112" s="90" t="str">
        <f ca="1">IF(S112="","",INDIRECT("aux_sheet_RRS!AC"&amp;1+MATCH(aux_sheet_RRS!$E111,aux_sheet_RRS!$D$2:$D$202,0)))</f>
        <v/>
      </c>
      <c r="V112" s="106" t="str">
        <f ca="1">IF($B112="","",INDIRECT("aux_sheet_RRS!AD"&amp;1+MATCH(aux_sheet_RRS!$E111,aux_sheet_RRS!$D$2:$D$202,0)))</f>
        <v/>
      </c>
      <c r="W112" s="89" t="str">
        <f ca="1">IF($B112="","",INDIRECT("aux_sheet_RRS!AE"&amp;1+MATCH(aux_sheet_RRS!$E111,aux_sheet_RRS!$D$2:$D$202,0)))</f>
        <v/>
      </c>
      <c r="X112" s="90" t="str">
        <f ca="1">IF(V112="","",INDIRECT("aux_sheet_RRS!AF"&amp;1+MATCH(aux_sheet_RRS!$E111,aux_sheet_RRS!$D$2:$D$202,0)))</f>
        <v/>
      </c>
      <c r="Y112" s="106" t="str">
        <f ca="1">IF($B112="","",INDIRECT("aux_sheet_RRS!AG"&amp;1+MATCH(aux_sheet_RRS!$E111,aux_sheet_RRS!$D$2:$D$202,0)))</f>
        <v/>
      </c>
      <c r="Z112" s="89" t="str">
        <f ca="1">IF($B112="","",INDIRECT("aux_sheet_RRS!AH"&amp;1+MATCH(aux_sheet_RRS!$E111,aux_sheet_RRS!$D$2:$D$202,0)))</f>
        <v/>
      </c>
      <c r="AA112" s="90" t="str">
        <f ca="1">IF(Y112="","",INDIRECT("aux_sheet_RRS!AI"&amp;1+MATCH(aux_sheet_RRS!$E111,aux_sheet_RRS!$D$2:$D$202,0)))</f>
        <v/>
      </c>
      <c r="AB112" s="88" t="str">
        <f ca="1">IF($B112="","",INDIRECT("aux_sheet_RRS!AJ"&amp;1+MATCH(aux_sheet_RRS!$E111,aux_sheet_RRS!$D$2:$D$202,0)))</f>
        <v/>
      </c>
      <c r="AC112" s="89" t="str">
        <f ca="1">IF($B112="","",INDIRECT("aux_sheet_RRS!AK"&amp;1+MATCH(aux_sheet_RRS!$E111,aux_sheet_RRS!$D$2:$D$202,0)))</f>
        <v/>
      </c>
      <c r="AD112" s="90" t="str">
        <f ca="1">IF(AB112="","",INDIRECT("aux_sheet_RRS!AL"&amp;1+MATCH(aux_sheet_RRS!$E111,aux_sheet_RRS!$D$2:$D$202,0)))</f>
        <v/>
      </c>
      <c r="AE112" s="88" t="str">
        <f ca="1">IF($B112="","",INDIRECT("aux_sheet_RRS!AM"&amp;1+MATCH(aux_sheet_RRS!$E111,aux_sheet_RRS!$D$2:$D$202,0)))</f>
        <v/>
      </c>
      <c r="AF112" s="89" t="str">
        <f ca="1">IF($B112="","",INDIRECT("aux_sheet_RRS!AN"&amp;1+MATCH(aux_sheet_RRS!$E111,aux_sheet_RRS!$D$2:$D$202,0)))</f>
        <v/>
      </c>
      <c r="AG112" s="90" t="str">
        <f ca="1">IF(AE112="","",INDIRECT("aux_sheet_RRS!AO"&amp;1+MATCH(aux_sheet_RRS!$E111,aux_sheet_RRS!$D$2:$D$202,0)))</f>
        <v/>
      </c>
      <c r="AH112" s="14" t="str">
        <f t="shared" ca="1" si="6"/>
        <v/>
      </c>
      <c r="AI112" t="str">
        <f t="shared" ca="1" si="7"/>
        <v/>
      </c>
      <c r="AJ112" t="str">
        <f t="shared" ca="1" si="8"/>
        <v/>
      </c>
    </row>
    <row r="113" spans="1:36" x14ac:dyDescent="0.35">
      <c r="A113" s="2" t="str">
        <f>IF(ISBLANK(Input!A112),"",ROUNDDOWN(aux_sheet_RRS!E112,0))</f>
        <v/>
      </c>
      <c r="B113" s="2" t="str">
        <f ca="1">IF(ISBLANK(Input!A112),"",INDIRECT("Input!A"&amp;1+MATCH(aux_sheet_RRS!$E112,aux_sheet_RRS!$D$2:$D$202,0)))</f>
        <v/>
      </c>
      <c r="C113" s="2" t="str">
        <f ca="1">IF(ISBLANK(Input!B112),"",INDIRECT("Input!B"&amp;1+MATCH(aux_sheet_RRS!$E112,aux_sheet_RRS!$D$2:$D$202,0)))</f>
        <v/>
      </c>
      <c r="D113" s="2" t="str">
        <f ca="1">IF(ISBLANK(Input!C112),"",INDIRECT("Input!C"&amp;1+MATCH(aux_sheet_RRS!$E112,aux_sheet_RRS!$D$2:$D$202,0)))</f>
        <v/>
      </c>
      <c r="E113" s="2" t="str">
        <f ca="1">IF(ISBLANK(Input!D112),"",INDIRECT("Input!D"&amp;1+MATCH(aux_sheet_RRS!$E112,aux_sheet_RRS!$D$2:$D$202,0)))</f>
        <v/>
      </c>
      <c r="F113" s="11" t="str">
        <f ca="1">INDIRECT("Input!H"&amp;1+MATCH(aux_sheet_RRS!$E112,aux_sheet_RRS!$D$2:$D$202,0))</f>
        <v xml:space="preserve"> </v>
      </c>
      <c r="G113" s="88" t="str">
        <f ca="1">IF($B113="","",INDIRECT("aux_sheet_RRS!O"&amp;1+MATCH(aux_sheet_RRS!$E112,aux_sheet_RRS!$D$2:$D$202,0)))</f>
        <v/>
      </c>
      <c r="H113" s="89" t="str">
        <f ca="1">IF($B113="","",INDIRECT("aux_sheet_RRS!P"&amp;1+MATCH(aux_sheet_RRS!$E112,aux_sheet_RRS!$D$2:$D$202,0)))</f>
        <v/>
      </c>
      <c r="I113" s="90" t="str">
        <f ca="1">IF(G113="","",ROUNDDOWN(INDIRECT("aux_sheet_RRS!Q"&amp;1+MATCH(aux_sheet_RRS!$E112,aux_sheet_RRS!$D$2:$D$202,0)),0))</f>
        <v/>
      </c>
      <c r="J113" s="106" t="str">
        <f ca="1">IF($B113="","",INDIRECT("aux_sheet_RRS!R"&amp;1+MATCH(aux_sheet_RRS!$E112,aux_sheet_RRS!$D$2:$D$202,0)))</f>
        <v/>
      </c>
      <c r="K113" s="89" t="str">
        <f ca="1">IF($B113="","",INDIRECT("aux_sheet_RRS!S"&amp;1+MATCH(aux_sheet_RRS!$E112,aux_sheet_RRS!$D$2:$D$202,0)))</f>
        <v/>
      </c>
      <c r="L113" s="90" t="str">
        <f ca="1">IF(J113="","",ROUNDDOWN(INDIRECT("aux_sheet_RRS!T"&amp;1+MATCH(aux_sheet_RRS!$E112,aux_sheet_RRS!$D$2:$D$202,0)),0))</f>
        <v/>
      </c>
      <c r="M113" s="106" t="str">
        <f ca="1">IF($B113="","",INDIRECT("aux_sheet_RRS!U"&amp;1+MATCH(aux_sheet_RRS!$E112,aux_sheet_RRS!$D$2:$D$202,0)))</f>
        <v/>
      </c>
      <c r="N113" s="89" t="str">
        <f ca="1">IF($B113="","",INDIRECT("aux_sheet_RRS!V"&amp;1+MATCH(aux_sheet_RRS!$E112,aux_sheet_RRS!$D$2:$D$202,0)))</f>
        <v/>
      </c>
      <c r="O113" s="90" t="str">
        <f ca="1">IF(M113="","",ROUNDDOWN(INDIRECT("aux_sheet_RRS!W"&amp;1+MATCH(aux_sheet_RRS!$E112,aux_sheet_RRS!$D$2:$D$202,0)),0))</f>
        <v/>
      </c>
      <c r="P113" s="106" t="str">
        <f ca="1">IF($B113="","",INDIRECT("aux_sheet_RRS!X"&amp;1+MATCH(aux_sheet_RRS!$E112,aux_sheet_RRS!$D$2:$D$202,0)))</f>
        <v/>
      </c>
      <c r="Q113" s="89" t="str">
        <f ca="1">IF($B113="","",INDIRECT("aux_sheet_RRS!Y"&amp;1+MATCH(aux_sheet_RRS!$E112,aux_sheet_RRS!$D$2:$D$202,0)))</f>
        <v/>
      </c>
      <c r="R113" s="90" t="str">
        <f ca="1">IF(P113="","",INDIRECT("aux_sheet_RRS!Z"&amp;1+MATCH(aux_sheet_RRS!$E112,aux_sheet_RRS!$D$2:$D$202,0)))</f>
        <v/>
      </c>
      <c r="S113" s="106" t="str">
        <f ca="1">IF($B113="","",INDIRECT("aux_sheet_RRS!AA"&amp;1+MATCH(aux_sheet_RRS!$E112,aux_sheet_RRS!$D$2:$D$202,0)))</f>
        <v/>
      </c>
      <c r="T113" s="89" t="str">
        <f ca="1">IF($B113="","",INDIRECT("aux_sheet_RRS!AB"&amp;1+MATCH(aux_sheet_RRS!$E112,aux_sheet_RRS!$D$2:$D$202,0)))</f>
        <v/>
      </c>
      <c r="U113" s="90" t="str">
        <f ca="1">IF(S113="","",INDIRECT("aux_sheet_RRS!AC"&amp;1+MATCH(aux_sheet_RRS!$E112,aux_sheet_RRS!$D$2:$D$202,0)))</f>
        <v/>
      </c>
      <c r="V113" s="106" t="str">
        <f ca="1">IF($B113="","",INDIRECT("aux_sheet_RRS!AD"&amp;1+MATCH(aux_sheet_RRS!$E112,aux_sheet_RRS!$D$2:$D$202,0)))</f>
        <v/>
      </c>
      <c r="W113" s="89" t="str">
        <f ca="1">IF($B113="","",INDIRECT("aux_sheet_RRS!AE"&amp;1+MATCH(aux_sheet_RRS!$E112,aux_sheet_RRS!$D$2:$D$202,0)))</f>
        <v/>
      </c>
      <c r="X113" s="90" t="str">
        <f ca="1">IF(V113="","",INDIRECT("aux_sheet_RRS!AF"&amp;1+MATCH(aux_sheet_RRS!$E112,aux_sheet_RRS!$D$2:$D$202,0)))</f>
        <v/>
      </c>
      <c r="Y113" s="106" t="str">
        <f ca="1">IF($B113="","",INDIRECT("aux_sheet_RRS!AG"&amp;1+MATCH(aux_sheet_RRS!$E112,aux_sheet_RRS!$D$2:$D$202,0)))</f>
        <v/>
      </c>
      <c r="Z113" s="89" t="str">
        <f ca="1">IF($B113="","",INDIRECT("aux_sheet_RRS!AH"&amp;1+MATCH(aux_sheet_RRS!$E112,aux_sheet_RRS!$D$2:$D$202,0)))</f>
        <v/>
      </c>
      <c r="AA113" s="90" t="str">
        <f ca="1">IF(Y113="","",INDIRECT("aux_sheet_RRS!AI"&amp;1+MATCH(aux_sheet_RRS!$E112,aux_sheet_RRS!$D$2:$D$202,0)))</f>
        <v/>
      </c>
      <c r="AB113" s="88" t="str">
        <f ca="1">IF($B113="","",INDIRECT("aux_sheet_RRS!AJ"&amp;1+MATCH(aux_sheet_RRS!$E112,aux_sheet_RRS!$D$2:$D$202,0)))</f>
        <v/>
      </c>
      <c r="AC113" s="89" t="str">
        <f ca="1">IF($B113="","",INDIRECT("aux_sheet_RRS!AK"&amp;1+MATCH(aux_sheet_RRS!$E112,aux_sheet_RRS!$D$2:$D$202,0)))</f>
        <v/>
      </c>
      <c r="AD113" s="90" t="str">
        <f ca="1">IF(AB113="","",INDIRECT("aux_sheet_RRS!AL"&amp;1+MATCH(aux_sheet_RRS!$E112,aux_sheet_RRS!$D$2:$D$202,0)))</f>
        <v/>
      </c>
      <c r="AE113" s="88" t="str">
        <f ca="1">IF($B113="","",INDIRECT("aux_sheet_RRS!AM"&amp;1+MATCH(aux_sheet_RRS!$E112,aux_sheet_RRS!$D$2:$D$202,0)))</f>
        <v/>
      </c>
      <c r="AF113" s="89" t="str">
        <f ca="1">IF($B113="","",INDIRECT("aux_sheet_RRS!AN"&amp;1+MATCH(aux_sheet_RRS!$E112,aux_sheet_RRS!$D$2:$D$202,0)))</f>
        <v/>
      </c>
      <c r="AG113" s="90" t="str">
        <f ca="1">IF(AE113="","",INDIRECT("aux_sheet_RRS!AO"&amp;1+MATCH(aux_sheet_RRS!$E112,aux_sheet_RRS!$D$2:$D$202,0)))</f>
        <v/>
      </c>
      <c r="AH113" s="14" t="str">
        <f t="shared" ca="1" si="6"/>
        <v/>
      </c>
      <c r="AI113" t="str">
        <f t="shared" ca="1" si="7"/>
        <v/>
      </c>
      <c r="AJ113" t="str">
        <f t="shared" ca="1" si="8"/>
        <v/>
      </c>
    </row>
    <row r="114" spans="1:36" x14ac:dyDescent="0.35">
      <c r="A114" s="2" t="str">
        <f>IF(ISBLANK(Input!A113),"",ROUNDDOWN(aux_sheet_RRS!E113,0))</f>
        <v/>
      </c>
      <c r="B114" s="2" t="str">
        <f ca="1">IF(ISBLANK(Input!A113),"",INDIRECT("Input!A"&amp;1+MATCH(aux_sheet_RRS!$E113,aux_sheet_RRS!$D$2:$D$202,0)))</f>
        <v/>
      </c>
      <c r="C114" s="2" t="str">
        <f ca="1">IF(ISBLANK(Input!B113),"",INDIRECT("Input!B"&amp;1+MATCH(aux_sheet_RRS!$E113,aux_sheet_RRS!$D$2:$D$202,0)))</f>
        <v/>
      </c>
      <c r="D114" s="2" t="str">
        <f ca="1">IF(ISBLANK(Input!C113),"",INDIRECT("Input!C"&amp;1+MATCH(aux_sheet_RRS!$E113,aux_sheet_RRS!$D$2:$D$202,0)))</f>
        <v/>
      </c>
      <c r="E114" s="2" t="str">
        <f ca="1">IF(ISBLANK(Input!D113),"",INDIRECT("Input!D"&amp;1+MATCH(aux_sheet_RRS!$E113,aux_sheet_RRS!$D$2:$D$202,0)))</f>
        <v/>
      </c>
      <c r="F114" s="11" t="str">
        <f ca="1">INDIRECT("Input!H"&amp;1+MATCH(aux_sheet_RRS!$E113,aux_sheet_RRS!$D$2:$D$202,0))</f>
        <v xml:space="preserve"> </v>
      </c>
      <c r="G114" s="88" t="str">
        <f ca="1">IF($B114="","",INDIRECT("aux_sheet_RRS!O"&amp;1+MATCH(aux_sheet_RRS!$E113,aux_sheet_RRS!$D$2:$D$202,0)))</f>
        <v/>
      </c>
      <c r="H114" s="89" t="str">
        <f ca="1">IF($B114="","",INDIRECT("aux_sheet_RRS!P"&amp;1+MATCH(aux_sheet_RRS!$E113,aux_sheet_RRS!$D$2:$D$202,0)))</f>
        <v/>
      </c>
      <c r="I114" s="90" t="str">
        <f ca="1">IF(G114="","",ROUNDDOWN(INDIRECT("aux_sheet_RRS!Q"&amp;1+MATCH(aux_sheet_RRS!$E113,aux_sheet_RRS!$D$2:$D$202,0)),0))</f>
        <v/>
      </c>
      <c r="J114" s="106" t="str">
        <f ca="1">IF($B114="","",INDIRECT("aux_sheet_RRS!R"&amp;1+MATCH(aux_sheet_RRS!$E113,aux_sheet_RRS!$D$2:$D$202,0)))</f>
        <v/>
      </c>
      <c r="K114" s="89" t="str">
        <f ca="1">IF($B114="","",INDIRECT("aux_sheet_RRS!S"&amp;1+MATCH(aux_sheet_RRS!$E113,aux_sheet_RRS!$D$2:$D$202,0)))</f>
        <v/>
      </c>
      <c r="L114" s="90" t="str">
        <f ca="1">IF(J114="","",ROUNDDOWN(INDIRECT("aux_sheet_RRS!T"&amp;1+MATCH(aux_sheet_RRS!$E113,aux_sheet_RRS!$D$2:$D$202,0)),0))</f>
        <v/>
      </c>
      <c r="M114" s="106" t="str">
        <f ca="1">IF($B114="","",INDIRECT("aux_sheet_RRS!U"&amp;1+MATCH(aux_sheet_RRS!$E113,aux_sheet_RRS!$D$2:$D$202,0)))</f>
        <v/>
      </c>
      <c r="N114" s="89" t="str">
        <f ca="1">IF($B114="","",INDIRECT("aux_sheet_RRS!V"&amp;1+MATCH(aux_sheet_RRS!$E113,aux_sheet_RRS!$D$2:$D$202,0)))</f>
        <v/>
      </c>
      <c r="O114" s="90" t="str">
        <f ca="1">IF(M114="","",ROUNDDOWN(INDIRECT("aux_sheet_RRS!W"&amp;1+MATCH(aux_sheet_RRS!$E113,aux_sheet_RRS!$D$2:$D$202,0)),0))</f>
        <v/>
      </c>
      <c r="P114" s="106" t="str">
        <f ca="1">IF($B114="","",INDIRECT("aux_sheet_RRS!X"&amp;1+MATCH(aux_sheet_RRS!$E113,aux_sheet_RRS!$D$2:$D$202,0)))</f>
        <v/>
      </c>
      <c r="Q114" s="89" t="str">
        <f ca="1">IF($B114="","",INDIRECT("aux_sheet_RRS!Y"&amp;1+MATCH(aux_sheet_RRS!$E113,aux_sheet_RRS!$D$2:$D$202,0)))</f>
        <v/>
      </c>
      <c r="R114" s="90" t="str">
        <f ca="1">IF(P114="","",INDIRECT("aux_sheet_RRS!Z"&amp;1+MATCH(aux_sheet_RRS!$E113,aux_sheet_RRS!$D$2:$D$202,0)))</f>
        <v/>
      </c>
      <c r="S114" s="106" t="str">
        <f ca="1">IF($B114="","",INDIRECT("aux_sheet_RRS!AA"&amp;1+MATCH(aux_sheet_RRS!$E113,aux_sheet_RRS!$D$2:$D$202,0)))</f>
        <v/>
      </c>
      <c r="T114" s="89" t="str">
        <f ca="1">IF($B114="","",INDIRECT("aux_sheet_RRS!AB"&amp;1+MATCH(aux_sheet_RRS!$E113,aux_sheet_RRS!$D$2:$D$202,0)))</f>
        <v/>
      </c>
      <c r="U114" s="90" t="str">
        <f ca="1">IF(S114="","",INDIRECT("aux_sheet_RRS!AC"&amp;1+MATCH(aux_sheet_RRS!$E113,aux_sheet_RRS!$D$2:$D$202,0)))</f>
        <v/>
      </c>
      <c r="V114" s="106" t="str">
        <f ca="1">IF($B114="","",INDIRECT("aux_sheet_RRS!AD"&amp;1+MATCH(aux_sheet_RRS!$E113,aux_sheet_RRS!$D$2:$D$202,0)))</f>
        <v/>
      </c>
      <c r="W114" s="89" t="str">
        <f ca="1">IF($B114="","",INDIRECT("aux_sheet_RRS!AE"&amp;1+MATCH(aux_sheet_RRS!$E113,aux_sheet_RRS!$D$2:$D$202,0)))</f>
        <v/>
      </c>
      <c r="X114" s="90" t="str">
        <f ca="1">IF(V114="","",INDIRECT("aux_sheet_RRS!AF"&amp;1+MATCH(aux_sheet_RRS!$E113,aux_sheet_RRS!$D$2:$D$202,0)))</f>
        <v/>
      </c>
      <c r="Y114" s="106" t="str">
        <f ca="1">IF($B114="","",INDIRECT("aux_sheet_RRS!AG"&amp;1+MATCH(aux_sheet_RRS!$E113,aux_sheet_RRS!$D$2:$D$202,0)))</f>
        <v/>
      </c>
      <c r="Z114" s="89" t="str">
        <f ca="1">IF($B114="","",INDIRECT("aux_sheet_RRS!AH"&amp;1+MATCH(aux_sheet_RRS!$E113,aux_sheet_RRS!$D$2:$D$202,0)))</f>
        <v/>
      </c>
      <c r="AA114" s="90" t="str">
        <f ca="1">IF(Y114="","",INDIRECT("aux_sheet_RRS!AI"&amp;1+MATCH(aux_sheet_RRS!$E113,aux_sheet_RRS!$D$2:$D$202,0)))</f>
        <v/>
      </c>
      <c r="AB114" s="88" t="str">
        <f ca="1">IF($B114="","",INDIRECT("aux_sheet_RRS!AJ"&amp;1+MATCH(aux_sheet_RRS!$E113,aux_sheet_RRS!$D$2:$D$202,0)))</f>
        <v/>
      </c>
      <c r="AC114" s="89" t="str">
        <f ca="1">IF($B114="","",INDIRECT("aux_sheet_RRS!AK"&amp;1+MATCH(aux_sheet_RRS!$E113,aux_sheet_RRS!$D$2:$D$202,0)))</f>
        <v/>
      </c>
      <c r="AD114" s="90" t="str">
        <f ca="1">IF(AB114="","",INDIRECT("aux_sheet_RRS!AL"&amp;1+MATCH(aux_sheet_RRS!$E113,aux_sheet_RRS!$D$2:$D$202,0)))</f>
        <v/>
      </c>
      <c r="AE114" s="88" t="str">
        <f ca="1">IF($B114="","",INDIRECT("aux_sheet_RRS!AM"&amp;1+MATCH(aux_sheet_RRS!$E113,aux_sheet_RRS!$D$2:$D$202,0)))</f>
        <v/>
      </c>
      <c r="AF114" s="89" t="str">
        <f ca="1">IF($B114="","",INDIRECT("aux_sheet_RRS!AN"&amp;1+MATCH(aux_sheet_RRS!$E113,aux_sheet_RRS!$D$2:$D$202,0)))</f>
        <v/>
      </c>
      <c r="AG114" s="90" t="str">
        <f ca="1">IF(AE114="","",INDIRECT("aux_sheet_RRS!AO"&amp;1+MATCH(aux_sheet_RRS!$E113,aux_sheet_RRS!$D$2:$D$202,0)))</f>
        <v/>
      </c>
      <c r="AH114" s="14" t="str">
        <f t="shared" ca="1" si="6"/>
        <v/>
      </c>
      <c r="AI114" t="str">
        <f t="shared" ca="1" si="7"/>
        <v/>
      </c>
      <c r="AJ114" t="str">
        <f t="shared" ca="1" si="8"/>
        <v/>
      </c>
    </row>
    <row r="115" spans="1:36" x14ac:dyDescent="0.35">
      <c r="A115" s="2" t="str">
        <f>IF(ISBLANK(Input!A114),"",ROUNDDOWN(aux_sheet_RRS!E114,0))</f>
        <v/>
      </c>
      <c r="B115" s="2" t="str">
        <f ca="1">IF(ISBLANK(Input!A114),"",INDIRECT("Input!A"&amp;1+MATCH(aux_sheet_RRS!$E114,aux_sheet_RRS!$D$2:$D$202,0)))</f>
        <v/>
      </c>
      <c r="C115" s="2" t="str">
        <f ca="1">IF(ISBLANK(Input!B114),"",INDIRECT("Input!B"&amp;1+MATCH(aux_sheet_RRS!$E114,aux_sheet_RRS!$D$2:$D$202,0)))</f>
        <v/>
      </c>
      <c r="D115" s="2" t="str">
        <f ca="1">IF(ISBLANK(Input!C114),"",INDIRECT("Input!C"&amp;1+MATCH(aux_sheet_RRS!$E114,aux_sheet_RRS!$D$2:$D$202,0)))</f>
        <v/>
      </c>
      <c r="E115" s="2" t="str">
        <f ca="1">IF(ISBLANK(Input!D114),"",INDIRECT("Input!D"&amp;1+MATCH(aux_sheet_RRS!$E114,aux_sheet_RRS!$D$2:$D$202,0)))</f>
        <v/>
      </c>
      <c r="F115" s="11" t="str">
        <f ca="1">INDIRECT("Input!H"&amp;1+MATCH(aux_sheet_RRS!$E114,aux_sheet_RRS!$D$2:$D$202,0))</f>
        <v xml:space="preserve"> </v>
      </c>
      <c r="G115" s="88" t="str">
        <f ca="1">IF($B115="","",INDIRECT("aux_sheet_RRS!O"&amp;1+MATCH(aux_sheet_RRS!$E114,aux_sheet_RRS!$D$2:$D$202,0)))</f>
        <v/>
      </c>
      <c r="H115" s="89" t="str">
        <f ca="1">IF($B115="","",INDIRECT("aux_sheet_RRS!P"&amp;1+MATCH(aux_sheet_RRS!$E114,aux_sheet_RRS!$D$2:$D$202,0)))</f>
        <v/>
      </c>
      <c r="I115" s="90" t="str">
        <f ca="1">IF(G115="","",ROUNDDOWN(INDIRECT("aux_sheet_RRS!Q"&amp;1+MATCH(aux_sheet_RRS!$E114,aux_sheet_RRS!$D$2:$D$202,0)),0))</f>
        <v/>
      </c>
      <c r="J115" s="106" t="str">
        <f ca="1">IF($B115="","",INDIRECT("aux_sheet_RRS!R"&amp;1+MATCH(aux_sheet_RRS!$E114,aux_sheet_RRS!$D$2:$D$202,0)))</f>
        <v/>
      </c>
      <c r="K115" s="89" t="str">
        <f ca="1">IF($B115="","",INDIRECT("aux_sheet_RRS!S"&amp;1+MATCH(aux_sheet_RRS!$E114,aux_sheet_RRS!$D$2:$D$202,0)))</f>
        <v/>
      </c>
      <c r="L115" s="90" t="str">
        <f ca="1">IF(J115="","",ROUNDDOWN(INDIRECT("aux_sheet_RRS!T"&amp;1+MATCH(aux_sheet_RRS!$E114,aux_sheet_RRS!$D$2:$D$202,0)),0))</f>
        <v/>
      </c>
      <c r="M115" s="106" t="str">
        <f ca="1">IF($B115="","",INDIRECT("aux_sheet_RRS!U"&amp;1+MATCH(aux_sheet_RRS!$E114,aux_sheet_RRS!$D$2:$D$202,0)))</f>
        <v/>
      </c>
      <c r="N115" s="89" t="str">
        <f ca="1">IF($B115="","",INDIRECT("aux_sheet_RRS!V"&amp;1+MATCH(aux_sheet_RRS!$E114,aux_sheet_RRS!$D$2:$D$202,0)))</f>
        <v/>
      </c>
      <c r="O115" s="90" t="str">
        <f ca="1">IF(M115="","",ROUNDDOWN(INDIRECT("aux_sheet_RRS!W"&amp;1+MATCH(aux_sheet_RRS!$E114,aux_sheet_RRS!$D$2:$D$202,0)),0))</f>
        <v/>
      </c>
      <c r="P115" s="106" t="str">
        <f ca="1">IF($B115="","",INDIRECT("aux_sheet_RRS!X"&amp;1+MATCH(aux_sheet_RRS!$E114,aux_sheet_RRS!$D$2:$D$202,0)))</f>
        <v/>
      </c>
      <c r="Q115" s="89" t="str">
        <f ca="1">IF($B115="","",INDIRECT("aux_sheet_RRS!Y"&amp;1+MATCH(aux_sheet_RRS!$E114,aux_sheet_RRS!$D$2:$D$202,0)))</f>
        <v/>
      </c>
      <c r="R115" s="90" t="str">
        <f ca="1">IF(P115="","",INDIRECT("aux_sheet_RRS!Z"&amp;1+MATCH(aux_sheet_RRS!$E114,aux_sheet_RRS!$D$2:$D$202,0)))</f>
        <v/>
      </c>
      <c r="S115" s="106" t="str">
        <f ca="1">IF($B115="","",INDIRECT("aux_sheet_RRS!AA"&amp;1+MATCH(aux_sheet_RRS!$E114,aux_sheet_RRS!$D$2:$D$202,0)))</f>
        <v/>
      </c>
      <c r="T115" s="89" t="str">
        <f ca="1">IF($B115="","",INDIRECT("aux_sheet_RRS!AB"&amp;1+MATCH(aux_sheet_RRS!$E114,aux_sheet_RRS!$D$2:$D$202,0)))</f>
        <v/>
      </c>
      <c r="U115" s="90" t="str">
        <f ca="1">IF(S115="","",INDIRECT("aux_sheet_RRS!AC"&amp;1+MATCH(aux_sheet_RRS!$E114,aux_sheet_RRS!$D$2:$D$202,0)))</f>
        <v/>
      </c>
      <c r="V115" s="106" t="str">
        <f ca="1">IF($B115="","",INDIRECT("aux_sheet_RRS!AD"&amp;1+MATCH(aux_sheet_RRS!$E114,aux_sheet_RRS!$D$2:$D$202,0)))</f>
        <v/>
      </c>
      <c r="W115" s="89" t="str">
        <f ca="1">IF($B115="","",INDIRECT("aux_sheet_RRS!AE"&amp;1+MATCH(aux_sheet_RRS!$E114,aux_sheet_RRS!$D$2:$D$202,0)))</f>
        <v/>
      </c>
      <c r="X115" s="90" t="str">
        <f ca="1">IF(V115="","",INDIRECT("aux_sheet_RRS!AF"&amp;1+MATCH(aux_sheet_RRS!$E114,aux_sheet_RRS!$D$2:$D$202,0)))</f>
        <v/>
      </c>
      <c r="Y115" s="106" t="str">
        <f ca="1">IF($B115="","",INDIRECT("aux_sheet_RRS!AG"&amp;1+MATCH(aux_sheet_RRS!$E114,aux_sheet_RRS!$D$2:$D$202,0)))</f>
        <v/>
      </c>
      <c r="Z115" s="89" t="str">
        <f ca="1">IF($B115="","",INDIRECT("aux_sheet_RRS!AH"&amp;1+MATCH(aux_sheet_RRS!$E114,aux_sheet_RRS!$D$2:$D$202,0)))</f>
        <v/>
      </c>
      <c r="AA115" s="90" t="str">
        <f ca="1">IF(Y115="","",INDIRECT("aux_sheet_RRS!AI"&amp;1+MATCH(aux_sheet_RRS!$E114,aux_sheet_RRS!$D$2:$D$202,0)))</f>
        <v/>
      </c>
      <c r="AB115" s="88" t="str">
        <f ca="1">IF($B115="","",INDIRECT("aux_sheet_RRS!AJ"&amp;1+MATCH(aux_sheet_RRS!$E114,aux_sheet_RRS!$D$2:$D$202,0)))</f>
        <v/>
      </c>
      <c r="AC115" s="89" t="str">
        <f ca="1">IF($B115="","",INDIRECT("aux_sheet_RRS!AK"&amp;1+MATCH(aux_sheet_RRS!$E114,aux_sheet_RRS!$D$2:$D$202,0)))</f>
        <v/>
      </c>
      <c r="AD115" s="90" t="str">
        <f ca="1">IF(AB115="","",INDIRECT("aux_sheet_RRS!AL"&amp;1+MATCH(aux_sheet_RRS!$E114,aux_sheet_RRS!$D$2:$D$202,0)))</f>
        <v/>
      </c>
      <c r="AE115" s="88" t="str">
        <f ca="1">IF($B115="","",INDIRECT("aux_sheet_RRS!AM"&amp;1+MATCH(aux_sheet_RRS!$E114,aux_sheet_RRS!$D$2:$D$202,0)))</f>
        <v/>
      </c>
      <c r="AF115" s="89" t="str">
        <f ca="1">IF($B115="","",INDIRECT("aux_sheet_RRS!AN"&amp;1+MATCH(aux_sheet_RRS!$E114,aux_sheet_RRS!$D$2:$D$202,0)))</f>
        <v/>
      </c>
      <c r="AG115" s="90" t="str">
        <f ca="1">IF(AE115="","",INDIRECT("aux_sheet_RRS!AO"&amp;1+MATCH(aux_sheet_RRS!$E114,aux_sheet_RRS!$D$2:$D$202,0)))</f>
        <v/>
      </c>
      <c r="AH115" s="14" t="str">
        <f t="shared" ca="1" si="6"/>
        <v/>
      </c>
      <c r="AI115" t="str">
        <f t="shared" ca="1" si="7"/>
        <v/>
      </c>
      <c r="AJ115" t="str">
        <f t="shared" ca="1" si="8"/>
        <v/>
      </c>
    </row>
    <row r="116" spans="1:36" x14ac:dyDescent="0.35">
      <c r="A116" s="2" t="str">
        <f>IF(ISBLANK(Input!A115),"",ROUNDDOWN(aux_sheet_RRS!E115,0))</f>
        <v/>
      </c>
      <c r="B116" s="2" t="str">
        <f ca="1">IF(ISBLANK(Input!A115),"",INDIRECT("Input!A"&amp;1+MATCH(aux_sheet_RRS!$E115,aux_sheet_RRS!$D$2:$D$202,0)))</f>
        <v/>
      </c>
      <c r="C116" s="2" t="str">
        <f ca="1">IF(ISBLANK(Input!B115),"",INDIRECT("Input!B"&amp;1+MATCH(aux_sheet_RRS!$E115,aux_sheet_RRS!$D$2:$D$202,0)))</f>
        <v/>
      </c>
      <c r="D116" s="2" t="str">
        <f ca="1">IF(ISBLANK(Input!C115),"",INDIRECT("Input!C"&amp;1+MATCH(aux_sheet_RRS!$E115,aux_sheet_RRS!$D$2:$D$202,0)))</f>
        <v/>
      </c>
      <c r="E116" s="2" t="str">
        <f ca="1">IF(ISBLANK(Input!D115),"",INDIRECT("Input!D"&amp;1+MATCH(aux_sheet_RRS!$E115,aux_sheet_RRS!$D$2:$D$202,0)))</f>
        <v/>
      </c>
      <c r="F116" s="11" t="str">
        <f ca="1">INDIRECT("Input!H"&amp;1+MATCH(aux_sheet_RRS!$E115,aux_sheet_RRS!$D$2:$D$202,0))</f>
        <v xml:space="preserve"> </v>
      </c>
      <c r="G116" s="88" t="str">
        <f ca="1">IF($B116="","",INDIRECT("aux_sheet_RRS!O"&amp;1+MATCH(aux_sheet_RRS!$E115,aux_sheet_RRS!$D$2:$D$202,0)))</f>
        <v/>
      </c>
      <c r="H116" s="89" t="str">
        <f ca="1">IF($B116="","",INDIRECT("aux_sheet_RRS!P"&amp;1+MATCH(aux_sheet_RRS!$E115,aux_sheet_RRS!$D$2:$D$202,0)))</f>
        <v/>
      </c>
      <c r="I116" s="90" t="str">
        <f ca="1">IF(G116="","",ROUNDDOWN(INDIRECT("aux_sheet_RRS!Q"&amp;1+MATCH(aux_sheet_RRS!$E115,aux_sheet_RRS!$D$2:$D$202,0)),0))</f>
        <v/>
      </c>
      <c r="J116" s="106" t="str">
        <f ca="1">IF($B116="","",INDIRECT("aux_sheet_RRS!R"&amp;1+MATCH(aux_sheet_RRS!$E115,aux_sheet_RRS!$D$2:$D$202,0)))</f>
        <v/>
      </c>
      <c r="K116" s="89" t="str">
        <f ca="1">IF($B116="","",INDIRECT("aux_sheet_RRS!S"&amp;1+MATCH(aux_sheet_RRS!$E115,aux_sheet_RRS!$D$2:$D$202,0)))</f>
        <v/>
      </c>
      <c r="L116" s="90" t="str">
        <f ca="1">IF(J116="","",ROUNDDOWN(INDIRECT("aux_sheet_RRS!T"&amp;1+MATCH(aux_sheet_RRS!$E115,aux_sheet_RRS!$D$2:$D$202,0)),0))</f>
        <v/>
      </c>
      <c r="M116" s="106" t="str">
        <f ca="1">IF($B116="","",INDIRECT("aux_sheet_RRS!U"&amp;1+MATCH(aux_sheet_RRS!$E115,aux_sheet_RRS!$D$2:$D$202,0)))</f>
        <v/>
      </c>
      <c r="N116" s="89" t="str">
        <f ca="1">IF($B116="","",INDIRECT("aux_sheet_RRS!V"&amp;1+MATCH(aux_sheet_RRS!$E115,aux_sheet_RRS!$D$2:$D$202,0)))</f>
        <v/>
      </c>
      <c r="O116" s="90" t="str">
        <f ca="1">IF(M116="","",ROUNDDOWN(INDIRECT("aux_sheet_RRS!W"&amp;1+MATCH(aux_sheet_RRS!$E115,aux_sheet_RRS!$D$2:$D$202,0)),0))</f>
        <v/>
      </c>
      <c r="P116" s="106" t="str">
        <f ca="1">IF($B116="","",INDIRECT("aux_sheet_RRS!X"&amp;1+MATCH(aux_sheet_RRS!$E115,aux_sheet_RRS!$D$2:$D$202,0)))</f>
        <v/>
      </c>
      <c r="Q116" s="89" t="str">
        <f ca="1">IF($B116="","",INDIRECT("aux_sheet_RRS!Y"&amp;1+MATCH(aux_sheet_RRS!$E115,aux_sheet_RRS!$D$2:$D$202,0)))</f>
        <v/>
      </c>
      <c r="R116" s="90" t="str">
        <f ca="1">IF(P116="","",INDIRECT("aux_sheet_RRS!Z"&amp;1+MATCH(aux_sheet_RRS!$E115,aux_sheet_RRS!$D$2:$D$202,0)))</f>
        <v/>
      </c>
      <c r="S116" s="106" t="str">
        <f ca="1">IF($B116="","",INDIRECT("aux_sheet_RRS!AA"&amp;1+MATCH(aux_sheet_RRS!$E115,aux_sheet_RRS!$D$2:$D$202,0)))</f>
        <v/>
      </c>
      <c r="T116" s="89" t="str">
        <f ca="1">IF($B116="","",INDIRECT("aux_sheet_RRS!AB"&amp;1+MATCH(aux_sheet_RRS!$E115,aux_sheet_RRS!$D$2:$D$202,0)))</f>
        <v/>
      </c>
      <c r="U116" s="90" t="str">
        <f ca="1">IF(S116="","",INDIRECT("aux_sheet_RRS!AC"&amp;1+MATCH(aux_sheet_RRS!$E115,aux_sheet_RRS!$D$2:$D$202,0)))</f>
        <v/>
      </c>
      <c r="V116" s="106" t="str">
        <f ca="1">IF($B116="","",INDIRECT("aux_sheet_RRS!AD"&amp;1+MATCH(aux_sheet_RRS!$E115,aux_sheet_RRS!$D$2:$D$202,0)))</f>
        <v/>
      </c>
      <c r="W116" s="89" t="str">
        <f ca="1">IF($B116="","",INDIRECT("aux_sheet_RRS!AE"&amp;1+MATCH(aux_sheet_RRS!$E115,aux_sheet_RRS!$D$2:$D$202,0)))</f>
        <v/>
      </c>
      <c r="X116" s="90" t="str">
        <f ca="1">IF(V116="","",INDIRECT("aux_sheet_RRS!AF"&amp;1+MATCH(aux_sheet_RRS!$E115,aux_sheet_RRS!$D$2:$D$202,0)))</f>
        <v/>
      </c>
      <c r="Y116" s="106" t="str">
        <f ca="1">IF($B116="","",INDIRECT("aux_sheet_RRS!AG"&amp;1+MATCH(aux_sheet_RRS!$E115,aux_sheet_RRS!$D$2:$D$202,0)))</f>
        <v/>
      </c>
      <c r="Z116" s="89" t="str">
        <f ca="1">IF($B116="","",INDIRECT("aux_sheet_RRS!AH"&amp;1+MATCH(aux_sheet_RRS!$E115,aux_sheet_RRS!$D$2:$D$202,0)))</f>
        <v/>
      </c>
      <c r="AA116" s="90" t="str">
        <f ca="1">IF(Y116="","",INDIRECT("aux_sheet_RRS!AI"&amp;1+MATCH(aux_sheet_RRS!$E115,aux_sheet_RRS!$D$2:$D$202,0)))</f>
        <v/>
      </c>
      <c r="AB116" s="88" t="str">
        <f ca="1">IF($B116="","",INDIRECT("aux_sheet_RRS!AJ"&amp;1+MATCH(aux_sheet_RRS!$E115,aux_sheet_RRS!$D$2:$D$202,0)))</f>
        <v/>
      </c>
      <c r="AC116" s="89" t="str">
        <f ca="1">IF($B116="","",INDIRECT("aux_sheet_RRS!AK"&amp;1+MATCH(aux_sheet_RRS!$E115,aux_sheet_RRS!$D$2:$D$202,0)))</f>
        <v/>
      </c>
      <c r="AD116" s="90" t="str">
        <f ca="1">IF(AB116="","",INDIRECT("aux_sheet_RRS!AL"&amp;1+MATCH(aux_sheet_RRS!$E115,aux_sheet_RRS!$D$2:$D$202,0)))</f>
        <v/>
      </c>
      <c r="AE116" s="88" t="str">
        <f ca="1">IF($B116="","",INDIRECT("aux_sheet_RRS!AM"&amp;1+MATCH(aux_sheet_RRS!$E115,aux_sheet_RRS!$D$2:$D$202,0)))</f>
        <v/>
      </c>
      <c r="AF116" s="89" t="str">
        <f ca="1">IF($B116="","",INDIRECT("aux_sheet_RRS!AN"&amp;1+MATCH(aux_sheet_RRS!$E115,aux_sheet_RRS!$D$2:$D$202,0)))</f>
        <v/>
      </c>
      <c r="AG116" s="90" t="str">
        <f ca="1">IF(AE116="","",INDIRECT("aux_sheet_RRS!AO"&amp;1+MATCH(aux_sheet_RRS!$E115,aux_sheet_RRS!$D$2:$D$202,0)))</f>
        <v/>
      </c>
      <c r="AH116" s="14" t="str">
        <f t="shared" ca="1" si="6"/>
        <v/>
      </c>
      <c r="AI116" t="str">
        <f t="shared" ca="1" si="7"/>
        <v/>
      </c>
      <c r="AJ116" t="str">
        <f t="shared" ca="1" si="8"/>
        <v/>
      </c>
    </row>
    <row r="117" spans="1:36" x14ac:dyDescent="0.35">
      <c r="A117" s="2" t="str">
        <f>IF(ISBLANK(Input!A116),"",ROUNDDOWN(aux_sheet_RRS!E116,0))</f>
        <v/>
      </c>
      <c r="B117" s="2" t="str">
        <f ca="1">IF(ISBLANK(Input!A116),"",INDIRECT("Input!A"&amp;1+MATCH(aux_sheet_RRS!$E116,aux_sheet_RRS!$D$2:$D$202,0)))</f>
        <v/>
      </c>
      <c r="C117" s="2" t="str">
        <f ca="1">IF(ISBLANK(Input!B116),"",INDIRECT("Input!B"&amp;1+MATCH(aux_sheet_RRS!$E116,aux_sheet_RRS!$D$2:$D$202,0)))</f>
        <v/>
      </c>
      <c r="D117" s="2" t="str">
        <f ca="1">IF(ISBLANK(Input!C116),"",INDIRECT("Input!C"&amp;1+MATCH(aux_sheet_RRS!$E116,aux_sheet_RRS!$D$2:$D$202,0)))</f>
        <v/>
      </c>
      <c r="E117" s="2" t="str">
        <f ca="1">IF(ISBLANK(Input!D116),"",INDIRECT("Input!D"&amp;1+MATCH(aux_sheet_RRS!$E116,aux_sheet_RRS!$D$2:$D$202,0)))</f>
        <v/>
      </c>
      <c r="F117" s="11" t="str">
        <f ca="1">INDIRECT("Input!H"&amp;1+MATCH(aux_sheet_RRS!$E116,aux_sheet_RRS!$D$2:$D$202,0))</f>
        <v xml:space="preserve"> </v>
      </c>
      <c r="G117" s="88" t="str">
        <f ca="1">IF($B117="","",INDIRECT("aux_sheet_RRS!O"&amp;1+MATCH(aux_sheet_RRS!$E116,aux_sheet_RRS!$D$2:$D$202,0)))</f>
        <v/>
      </c>
      <c r="H117" s="89" t="str">
        <f ca="1">IF($B117="","",INDIRECT("aux_sheet_RRS!P"&amp;1+MATCH(aux_sheet_RRS!$E116,aux_sheet_RRS!$D$2:$D$202,0)))</f>
        <v/>
      </c>
      <c r="I117" s="90" t="str">
        <f ca="1">IF(G117="","",ROUNDDOWN(INDIRECT("aux_sheet_RRS!Q"&amp;1+MATCH(aux_sheet_RRS!$E116,aux_sheet_RRS!$D$2:$D$202,0)),0))</f>
        <v/>
      </c>
      <c r="J117" s="106" t="str">
        <f ca="1">IF($B117="","",INDIRECT("aux_sheet_RRS!R"&amp;1+MATCH(aux_sheet_RRS!$E116,aux_sheet_RRS!$D$2:$D$202,0)))</f>
        <v/>
      </c>
      <c r="K117" s="89" t="str">
        <f ca="1">IF($B117="","",INDIRECT("aux_sheet_RRS!S"&amp;1+MATCH(aux_sheet_RRS!$E116,aux_sheet_RRS!$D$2:$D$202,0)))</f>
        <v/>
      </c>
      <c r="L117" s="90" t="str">
        <f ca="1">IF(J117="","",ROUNDDOWN(INDIRECT("aux_sheet_RRS!T"&amp;1+MATCH(aux_sheet_RRS!$E116,aux_sheet_RRS!$D$2:$D$202,0)),0))</f>
        <v/>
      </c>
      <c r="M117" s="106" t="str">
        <f ca="1">IF($B117="","",INDIRECT("aux_sheet_RRS!U"&amp;1+MATCH(aux_sheet_RRS!$E116,aux_sheet_RRS!$D$2:$D$202,0)))</f>
        <v/>
      </c>
      <c r="N117" s="89" t="str">
        <f ca="1">IF($B117="","",INDIRECT("aux_sheet_RRS!V"&amp;1+MATCH(aux_sheet_RRS!$E116,aux_sheet_RRS!$D$2:$D$202,0)))</f>
        <v/>
      </c>
      <c r="O117" s="90" t="str">
        <f ca="1">IF(M117="","",ROUNDDOWN(INDIRECT("aux_sheet_RRS!W"&amp;1+MATCH(aux_sheet_RRS!$E116,aux_sheet_RRS!$D$2:$D$202,0)),0))</f>
        <v/>
      </c>
      <c r="P117" s="106" t="str">
        <f ca="1">IF($B117="","",INDIRECT("aux_sheet_RRS!X"&amp;1+MATCH(aux_sheet_RRS!$E116,aux_sheet_RRS!$D$2:$D$202,0)))</f>
        <v/>
      </c>
      <c r="Q117" s="89" t="str">
        <f ca="1">IF($B117="","",INDIRECT("aux_sheet_RRS!Y"&amp;1+MATCH(aux_sheet_RRS!$E116,aux_sheet_RRS!$D$2:$D$202,0)))</f>
        <v/>
      </c>
      <c r="R117" s="90" t="str">
        <f ca="1">IF(P117="","",INDIRECT("aux_sheet_RRS!Z"&amp;1+MATCH(aux_sheet_RRS!$E116,aux_sheet_RRS!$D$2:$D$202,0)))</f>
        <v/>
      </c>
      <c r="S117" s="106" t="str">
        <f ca="1">IF($B117="","",INDIRECT("aux_sheet_RRS!AA"&amp;1+MATCH(aux_sheet_RRS!$E116,aux_sheet_RRS!$D$2:$D$202,0)))</f>
        <v/>
      </c>
      <c r="T117" s="89" t="str">
        <f ca="1">IF($B117="","",INDIRECT("aux_sheet_RRS!AB"&amp;1+MATCH(aux_sheet_RRS!$E116,aux_sheet_RRS!$D$2:$D$202,0)))</f>
        <v/>
      </c>
      <c r="U117" s="90" t="str">
        <f ca="1">IF(S117="","",INDIRECT("aux_sheet_RRS!AC"&amp;1+MATCH(aux_sheet_RRS!$E116,aux_sheet_RRS!$D$2:$D$202,0)))</f>
        <v/>
      </c>
      <c r="V117" s="106" t="str">
        <f ca="1">IF($B117="","",INDIRECT("aux_sheet_RRS!AD"&amp;1+MATCH(aux_sheet_RRS!$E116,aux_sheet_RRS!$D$2:$D$202,0)))</f>
        <v/>
      </c>
      <c r="W117" s="89" t="str">
        <f ca="1">IF($B117="","",INDIRECT("aux_sheet_RRS!AE"&amp;1+MATCH(aux_sheet_RRS!$E116,aux_sheet_RRS!$D$2:$D$202,0)))</f>
        <v/>
      </c>
      <c r="X117" s="90" t="str">
        <f ca="1">IF(V117="","",INDIRECT("aux_sheet_RRS!AF"&amp;1+MATCH(aux_sheet_RRS!$E116,aux_sheet_RRS!$D$2:$D$202,0)))</f>
        <v/>
      </c>
      <c r="Y117" s="106" t="str">
        <f ca="1">IF($B117="","",INDIRECT("aux_sheet_RRS!AG"&amp;1+MATCH(aux_sheet_RRS!$E116,aux_sheet_RRS!$D$2:$D$202,0)))</f>
        <v/>
      </c>
      <c r="Z117" s="89" t="str">
        <f ca="1">IF($B117="","",INDIRECT("aux_sheet_RRS!AH"&amp;1+MATCH(aux_sheet_RRS!$E116,aux_sheet_RRS!$D$2:$D$202,0)))</f>
        <v/>
      </c>
      <c r="AA117" s="90" t="str">
        <f ca="1">IF(Y117="","",INDIRECT("aux_sheet_RRS!AI"&amp;1+MATCH(aux_sheet_RRS!$E116,aux_sheet_RRS!$D$2:$D$202,0)))</f>
        <v/>
      </c>
      <c r="AB117" s="88" t="str">
        <f ca="1">IF($B117="","",INDIRECT("aux_sheet_RRS!AJ"&amp;1+MATCH(aux_sheet_RRS!$E116,aux_sheet_RRS!$D$2:$D$202,0)))</f>
        <v/>
      </c>
      <c r="AC117" s="89" t="str">
        <f ca="1">IF($B117="","",INDIRECT("aux_sheet_RRS!AK"&amp;1+MATCH(aux_sheet_RRS!$E116,aux_sheet_RRS!$D$2:$D$202,0)))</f>
        <v/>
      </c>
      <c r="AD117" s="90" t="str">
        <f ca="1">IF(AB117="","",INDIRECT("aux_sheet_RRS!AL"&amp;1+MATCH(aux_sheet_RRS!$E116,aux_sheet_RRS!$D$2:$D$202,0)))</f>
        <v/>
      </c>
      <c r="AE117" s="88" t="str">
        <f ca="1">IF($B117="","",INDIRECT("aux_sheet_RRS!AM"&amp;1+MATCH(aux_sheet_RRS!$E116,aux_sheet_RRS!$D$2:$D$202,0)))</f>
        <v/>
      </c>
      <c r="AF117" s="89" t="str">
        <f ca="1">IF($B117="","",INDIRECT("aux_sheet_RRS!AN"&amp;1+MATCH(aux_sheet_RRS!$E116,aux_sheet_RRS!$D$2:$D$202,0)))</f>
        <v/>
      </c>
      <c r="AG117" s="90" t="str">
        <f ca="1">IF(AE117="","",INDIRECT("aux_sheet_RRS!AO"&amp;1+MATCH(aux_sheet_RRS!$E116,aux_sheet_RRS!$D$2:$D$202,0)))</f>
        <v/>
      </c>
      <c r="AH117" s="14" t="str">
        <f t="shared" ca="1" si="6"/>
        <v/>
      </c>
      <c r="AI117" t="str">
        <f t="shared" ca="1" si="7"/>
        <v/>
      </c>
      <c r="AJ117" t="str">
        <f t="shared" ca="1" si="8"/>
        <v/>
      </c>
    </row>
    <row r="118" spans="1:36" x14ac:dyDescent="0.35">
      <c r="A118" s="2" t="str">
        <f>IF(ISBLANK(Input!A117),"",ROUNDDOWN(aux_sheet_RRS!E117,0))</f>
        <v/>
      </c>
      <c r="B118" s="2" t="str">
        <f ca="1">IF(ISBLANK(Input!A117),"",INDIRECT("Input!A"&amp;1+MATCH(aux_sheet_RRS!$E117,aux_sheet_RRS!$D$2:$D$202,0)))</f>
        <v/>
      </c>
      <c r="C118" s="2" t="str">
        <f ca="1">IF(ISBLANK(Input!B117),"",INDIRECT("Input!B"&amp;1+MATCH(aux_sheet_RRS!$E117,aux_sheet_RRS!$D$2:$D$202,0)))</f>
        <v/>
      </c>
      <c r="D118" s="2" t="str">
        <f ca="1">IF(ISBLANK(Input!C117),"",INDIRECT("Input!C"&amp;1+MATCH(aux_sheet_RRS!$E117,aux_sheet_RRS!$D$2:$D$202,0)))</f>
        <v/>
      </c>
      <c r="E118" s="2" t="str">
        <f ca="1">IF(ISBLANK(Input!D117),"",INDIRECT("Input!D"&amp;1+MATCH(aux_sheet_RRS!$E117,aux_sheet_RRS!$D$2:$D$202,0)))</f>
        <v/>
      </c>
      <c r="F118" s="11" t="str">
        <f ca="1">INDIRECT("Input!H"&amp;1+MATCH(aux_sheet_RRS!$E117,aux_sheet_RRS!$D$2:$D$202,0))</f>
        <v xml:space="preserve"> </v>
      </c>
      <c r="G118" s="88" t="str">
        <f ca="1">IF($B118="","",INDIRECT("aux_sheet_RRS!O"&amp;1+MATCH(aux_sheet_RRS!$E117,aux_sheet_RRS!$D$2:$D$202,0)))</f>
        <v/>
      </c>
      <c r="H118" s="89" t="str">
        <f ca="1">IF($B118="","",INDIRECT("aux_sheet_RRS!P"&amp;1+MATCH(aux_sheet_RRS!$E117,aux_sheet_RRS!$D$2:$D$202,0)))</f>
        <v/>
      </c>
      <c r="I118" s="90" t="str">
        <f ca="1">IF(G118="","",ROUNDDOWN(INDIRECT("aux_sheet_RRS!Q"&amp;1+MATCH(aux_sheet_RRS!$E117,aux_sheet_RRS!$D$2:$D$202,0)),0))</f>
        <v/>
      </c>
      <c r="J118" s="106" t="str">
        <f ca="1">IF($B118="","",INDIRECT("aux_sheet_RRS!R"&amp;1+MATCH(aux_sheet_RRS!$E117,aux_sheet_RRS!$D$2:$D$202,0)))</f>
        <v/>
      </c>
      <c r="K118" s="89" t="str">
        <f ca="1">IF($B118="","",INDIRECT("aux_sheet_RRS!S"&amp;1+MATCH(aux_sheet_RRS!$E117,aux_sheet_RRS!$D$2:$D$202,0)))</f>
        <v/>
      </c>
      <c r="L118" s="90" t="str">
        <f ca="1">IF(J118="","",ROUNDDOWN(INDIRECT("aux_sheet_RRS!T"&amp;1+MATCH(aux_sheet_RRS!$E117,aux_sheet_RRS!$D$2:$D$202,0)),0))</f>
        <v/>
      </c>
      <c r="M118" s="106" t="str">
        <f ca="1">IF($B118="","",INDIRECT("aux_sheet_RRS!U"&amp;1+MATCH(aux_sheet_RRS!$E117,aux_sheet_RRS!$D$2:$D$202,0)))</f>
        <v/>
      </c>
      <c r="N118" s="89" t="str">
        <f ca="1">IF($B118="","",INDIRECT("aux_sheet_RRS!V"&amp;1+MATCH(aux_sheet_RRS!$E117,aux_sheet_RRS!$D$2:$D$202,0)))</f>
        <v/>
      </c>
      <c r="O118" s="90" t="str">
        <f ca="1">IF(M118="","",ROUNDDOWN(INDIRECT("aux_sheet_RRS!W"&amp;1+MATCH(aux_sheet_RRS!$E117,aux_sheet_RRS!$D$2:$D$202,0)),0))</f>
        <v/>
      </c>
      <c r="P118" s="106" t="str">
        <f ca="1">IF($B118="","",INDIRECT("aux_sheet_RRS!X"&amp;1+MATCH(aux_sheet_RRS!$E117,aux_sheet_RRS!$D$2:$D$202,0)))</f>
        <v/>
      </c>
      <c r="Q118" s="89" t="str">
        <f ca="1">IF($B118="","",INDIRECT("aux_sheet_RRS!Y"&amp;1+MATCH(aux_sheet_RRS!$E117,aux_sheet_RRS!$D$2:$D$202,0)))</f>
        <v/>
      </c>
      <c r="R118" s="90" t="str">
        <f ca="1">IF(P118="","",INDIRECT("aux_sheet_RRS!Z"&amp;1+MATCH(aux_sheet_RRS!$E117,aux_sheet_RRS!$D$2:$D$202,0)))</f>
        <v/>
      </c>
      <c r="S118" s="106" t="str">
        <f ca="1">IF($B118="","",INDIRECT("aux_sheet_RRS!AA"&amp;1+MATCH(aux_sheet_RRS!$E117,aux_sheet_RRS!$D$2:$D$202,0)))</f>
        <v/>
      </c>
      <c r="T118" s="89" t="str">
        <f ca="1">IF($B118="","",INDIRECT("aux_sheet_RRS!AB"&amp;1+MATCH(aux_sheet_RRS!$E117,aux_sheet_RRS!$D$2:$D$202,0)))</f>
        <v/>
      </c>
      <c r="U118" s="90" t="str">
        <f ca="1">IF(S118="","",INDIRECT("aux_sheet_RRS!AC"&amp;1+MATCH(aux_sheet_RRS!$E117,aux_sheet_RRS!$D$2:$D$202,0)))</f>
        <v/>
      </c>
      <c r="V118" s="106" t="str">
        <f ca="1">IF($B118="","",INDIRECT("aux_sheet_RRS!AD"&amp;1+MATCH(aux_sheet_RRS!$E117,aux_sheet_RRS!$D$2:$D$202,0)))</f>
        <v/>
      </c>
      <c r="W118" s="89" t="str">
        <f ca="1">IF($B118="","",INDIRECT("aux_sheet_RRS!AE"&amp;1+MATCH(aux_sheet_RRS!$E117,aux_sheet_RRS!$D$2:$D$202,0)))</f>
        <v/>
      </c>
      <c r="X118" s="90" t="str">
        <f ca="1">IF(V118="","",INDIRECT("aux_sheet_RRS!AF"&amp;1+MATCH(aux_sheet_RRS!$E117,aux_sheet_RRS!$D$2:$D$202,0)))</f>
        <v/>
      </c>
      <c r="Y118" s="106" t="str">
        <f ca="1">IF($B118="","",INDIRECT("aux_sheet_RRS!AG"&amp;1+MATCH(aux_sheet_RRS!$E117,aux_sheet_RRS!$D$2:$D$202,0)))</f>
        <v/>
      </c>
      <c r="Z118" s="89" t="str">
        <f ca="1">IF($B118="","",INDIRECT("aux_sheet_RRS!AH"&amp;1+MATCH(aux_sheet_RRS!$E117,aux_sheet_RRS!$D$2:$D$202,0)))</f>
        <v/>
      </c>
      <c r="AA118" s="90" t="str">
        <f ca="1">IF(Y118="","",INDIRECT("aux_sheet_RRS!AI"&amp;1+MATCH(aux_sheet_RRS!$E117,aux_sheet_RRS!$D$2:$D$202,0)))</f>
        <v/>
      </c>
      <c r="AB118" s="88" t="str">
        <f ca="1">IF($B118="","",INDIRECT("aux_sheet_RRS!AJ"&amp;1+MATCH(aux_sheet_RRS!$E117,aux_sheet_RRS!$D$2:$D$202,0)))</f>
        <v/>
      </c>
      <c r="AC118" s="89" t="str">
        <f ca="1">IF($B118="","",INDIRECT("aux_sheet_RRS!AK"&amp;1+MATCH(aux_sheet_RRS!$E117,aux_sheet_RRS!$D$2:$D$202,0)))</f>
        <v/>
      </c>
      <c r="AD118" s="90" t="str">
        <f ca="1">IF(AB118="","",INDIRECT("aux_sheet_RRS!AL"&amp;1+MATCH(aux_sheet_RRS!$E117,aux_sheet_RRS!$D$2:$D$202,0)))</f>
        <v/>
      </c>
      <c r="AE118" s="88" t="str">
        <f ca="1">IF($B118="","",INDIRECT("aux_sheet_RRS!AM"&amp;1+MATCH(aux_sheet_RRS!$E117,aux_sheet_RRS!$D$2:$D$202,0)))</f>
        <v/>
      </c>
      <c r="AF118" s="89" t="str">
        <f ca="1">IF($B118="","",INDIRECT("aux_sheet_RRS!AN"&amp;1+MATCH(aux_sheet_RRS!$E117,aux_sheet_RRS!$D$2:$D$202,0)))</f>
        <v/>
      </c>
      <c r="AG118" s="90" t="str">
        <f ca="1">IF(AE118="","",INDIRECT("aux_sheet_RRS!AO"&amp;1+MATCH(aux_sheet_RRS!$E117,aux_sheet_RRS!$D$2:$D$202,0)))</f>
        <v/>
      </c>
      <c r="AH118" s="14" t="str">
        <f t="shared" ca="1" si="6"/>
        <v/>
      </c>
      <c r="AI118" t="str">
        <f t="shared" ca="1" si="7"/>
        <v/>
      </c>
      <c r="AJ118" t="str">
        <f t="shared" ca="1" si="8"/>
        <v/>
      </c>
    </row>
    <row r="119" spans="1:36" x14ac:dyDescent="0.35">
      <c r="A119" s="2" t="str">
        <f>IF(ISBLANK(Input!A118),"",ROUNDDOWN(aux_sheet_RRS!E118,0))</f>
        <v/>
      </c>
      <c r="B119" s="2" t="str">
        <f ca="1">IF(ISBLANK(Input!A118),"",INDIRECT("Input!A"&amp;1+MATCH(aux_sheet_RRS!$E118,aux_sheet_RRS!$D$2:$D$202,0)))</f>
        <v/>
      </c>
      <c r="C119" s="2" t="str">
        <f ca="1">IF(ISBLANK(Input!B118),"",INDIRECT("Input!B"&amp;1+MATCH(aux_sheet_RRS!$E118,aux_sheet_RRS!$D$2:$D$202,0)))</f>
        <v/>
      </c>
      <c r="D119" s="2" t="str">
        <f ca="1">IF(ISBLANK(Input!C118),"",INDIRECT("Input!C"&amp;1+MATCH(aux_sheet_RRS!$E118,aux_sheet_RRS!$D$2:$D$202,0)))</f>
        <v/>
      </c>
      <c r="E119" s="2" t="str">
        <f ca="1">IF(ISBLANK(Input!D118),"",INDIRECT("Input!D"&amp;1+MATCH(aux_sheet_RRS!$E118,aux_sheet_RRS!$D$2:$D$202,0)))</f>
        <v/>
      </c>
      <c r="F119" s="11" t="str">
        <f ca="1">INDIRECT("Input!H"&amp;1+MATCH(aux_sheet_RRS!$E118,aux_sheet_RRS!$D$2:$D$202,0))</f>
        <v xml:space="preserve"> </v>
      </c>
      <c r="G119" s="88" t="str">
        <f ca="1">IF($B119="","",INDIRECT("aux_sheet_RRS!O"&amp;1+MATCH(aux_sheet_RRS!$E118,aux_sheet_RRS!$D$2:$D$202,0)))</f>
        <v/>
      </c>
      <c r="H119" s="89" t="str">
        <f ca="1">IF($B119="","",INDIRECT("aux_sheet_RRS!P"&amp;1+MATCH(aux_sheet_RRS!$E118,aux_sheet_RRS!$D$2:$D$202,0)))</f>
        <v/>
      </c>
      <c r="I119" s="90" t="str">
        <f ca="1">IF(G119="","",ROUNDDOWN(INDIRECT("aux_sheet_RRS!Q"&amp;1+MATCH(aux_sheet_RRS!$E118,aux_sheet_RRS!$D$2:$D$202,0)),0))</f>
        <v/>
      </c>
      <c r="J119" s="106" t="str">
        <f ca="1">IF($B119="","",INDIRECT("aux_sheet_RRS!R"&amp;1+MATCH(aux_sheet_RRS!$E118,aux_sheet_RRS!$D$2:$D$202,0)))</f>
        <v/>
      </c>
      <c r="K119" s="89" t="str">
        <f ca="1">IF($B119="","",INDIRECT("aux_sheet_RRS!S"&amp;1+MATCH(aux_sheet_RRS!$E118,aux_sheet_RRS!$D$2:$D$202,0)))</f>
        <v/>
      </c>
      <c r="L119" s="90" t="str">
        <f ca="1">IF(J119="","",ROUNDDOWN(INDIRECT("aux_sheet_RRS!T"&amp;1+MATCH(aux_sheet_RRS!$E118,aux_sheet_RRS!$D$2:$D$202,0)),0))</f>
        <v/>
      </c>
      <c r="M119" s="106" t="str">
        <f ca="1">IF($B119="","",INDIRECT("aux_sheet_RRS!U"&amp;1+MATCH(aux_sheet_RRS!$E118,aux_sheet_RRS!$D$2:$D$202,0)))</f>
        <v/>
      </c>
      <c r="N119" s="89" t="str">
        <f ca="1">IF($B119="","",INDIRECT("aux_sheet_RRS!V"&amp;1+MATCH(aux_sheet_RRS!$E118,aux_sheet_RRS!$D$2:$D$202,0)))</f>
        <v/>
      </c>
      <c r="O119" s="90" t="str">
        <f ca="1">IF(M119="","",ROUNDDOWN(INDIRECT("aux_sheet_RRS!W"&amp;1+MATCH(aux_sheet_RRS!$E118,aux_sheet_RRS!$D$2:$D$202,0)),0))</f>
        <v/>
      </c>
      <c r="P119" s="106" t="str">
        <f ca="1">IF($B119="","",INDIRECT("aux_sheet_RRS!X"&amp;1+MATCH(aux_sheet_RRS!$E118,aux_sheet_RRS!$D$2:$D$202,0)))</f>
        <v/>
      </c>
      <c r="Q119" s="89" t="str">
        <f ca="1">IF($B119="","",INDIRECT("aux_sheet_RRS!Y"&amp;1+MATCH(aux_sheet_RRS!$E118,aux_sheet_RRS!$D$2:$D$202,0)))</f>
        <v/>
      </c>
      <c r="R119" s="90" t="str">
        <f ca="1">IF(P119="","",INDIRECT("aux_sheet_RRS!Z"&amp;1+MATCH(aux_sheet_RRS!$E118,aux_sheet_RRS!$D$2:$D$202,0)))</f>
        <v/>
      </c>
      <c r="S119" s="106" t="str">
        <f ca="1">IF($B119="","",INDIRECT("aux_sheet_RRS!AA"&amp;1+MATCH(aux_sheet_RRS!$E118,aux_sheet_RRS!$D$2:$D$202,0)))</f>
        <v/>
      </c>
      <c r="T119" s="89" t="str">
        <f ca="1">IF($B119="","",INDIRECT("aux_sheet_RRS!AB"&amp;1+MATCH(aux_sheet_RRS!$E118,aux_sheet_RRS!$D$2:$D$202,0)))</f>
        <v/>
      </c>
      <c r="U119" s="90" t="str">
        <f ca="1">IF(S119="","",INDIRECT("aux_sheet_RRS!AC"&amp;1+MATCH(aux_sheet_RRS!$E118,aux_sheet_RRS!$D$2:$D$202,0)))</f>
        <v/>
      </c>
      <c r="V119" s="106" t="str">
        <f ca="1">IF($B119="","",INDIRECT("aux_sheet_RRS!AD"&amp;1+MATCH(aux_sheet_RRS!$E118,aux_sheet_RRS!$D$2:$D$202,0)))</f>
        <v/>
      </c>
      <c r="W119" s="89" t="str">
        <f ca="1">IF($B119="","",INDIRECT("aux_sheet_RRS!AE"&amp;1+MATCH(aux_sheet_RRS!$E118,aux_sheet_RRS!$D$2:$D$202,0)))</f>
        <v/>
      </c>
      <c r="X119" s="90" t="str">
        <f ca="1">IF(V119="","",INDIRECT("aux_sheet_RRS!AF"&amp;1+MATCH(aux_sheet_RRS!$E118,aux_sheet_RRS!$D$2:$D$202,0)))</f>
        <v/>
      </c>
      <c r="Y119" s="106" t="str">
        <f ca="1">IF($B119="","",INDIRECT("aux_sheet_RRS!AG"&amp;1+MATCH(aux_sheet_RRS!$E118,aux_sheet_RRS!$D$2:$D$202,0)))</f>
        <v/>
      </c>
      <c r="Z119" s="89" t="str">
        <f ca="1">IF($B119="","",INDIRECT("aux_sheet_RRS!AH"&amp;1+MATCH(aux_sheet_RRS!$E118,aux_sheet_RRS!$D$2:$D$202,0)))</f>
        <v/>
      </c>
      <c r="AA119" s="90" t="str">
        <f ca="1">IF(Y119="","",INDIRECT("aux_sheet_RRS!AI"&amp;1+MATCH(aux_sheet_RRS!$E118,aux_sheet_RRS!$D$2:$D$202,0)))</f>
        <v/>
      </c>
      <c r="AB119" s="88" t="str">
        <f ca="1">IF($B119="","",INDIRECT("aux_sheet_RRS!AJ"&amp;1+MATCH(aux_sheet_RRS!$E118,aux_sheet_RRS!$D$2:$D$202,0)))</f>
        <v/>
      </c>
      <c r="AC119" s="89" t="str">
        <f ca="1">IF($B119="","",INDIRECT("aux_sheet_RRS!AK"&amp;1+MATCH(aux_sheet_RRS!$E118,aux_sheet_RRS!$D$2:$D$202,0)))</f>
        <v/>
      </c>
      <c r="AD119" s="90" t="str">
        <f ca="1">IF(AB119="","",INDIRECT("aux_sheet_RRS!AL"&amp;1+MATCH(aux_sheet_RRS!$E118,aux_sheet_RRS!$D$2:$D$202,0)))</f>
        <v/>
      </c>
      <c r="AE119" s="88" t="str">
        <f ca="1">IF($B119="","",INDIRECT("aux_sheet_RRS!AM"&amp;1+MATCH(aux_sheet_RRS!$E118,aux_sheet_RRS!$D$2:$D$202,0)))</f>
        <v/>
      </c>
      <c r="AF119" s="89" t="str">
        <f ca="1">IF($B119="","",INDIRECT("aux_sheet_RRS!AN"&amp;1+MATCH(aux_sheet_RRS!$E118,aux_sheet_RRS!$D$2:$D$202,0)))</f>
        <v/>
      </c>
      <c r="AG119" s="90" t="str">
        <f ca="1">IF(AE119="","",INDIRECT("aux_sheet_RRS!AO"&amp;1+MATCH(aux_sheet_RRS!$E118,aux_sheet_RRS!$D$2:$D$202,0)))</f>
        <v/>
      </c>
      <c r="AH119" s="14" t="str">
        <f t="shared" ca="1" si="6"/>
        <v/>
      </c>
      <c r="AI119" t="str">
        <f t="shared" ca="1" si="7"/>
        <v/>
      </c>
      <c r="AJ119" t="str">
        <f t="shared" ca="1" si="8"/>
        <v/>
      </c>
    </row>
    <row r="120" spans="1:36" x14ac:dyDescent="0.35">
      <c r="A120" s="2" t="str">
        <f>IF(ISBLANK(Input!A119),"",ROUNDDOWN(aux_sheet_RRS!E119,0))</f>
        <v/>
      </c>
      <c r="B120" s="2" t="str">
        <f ca="1">IF(ISBLANK(Input!A119),"",INDIRECT("Input!A"&amp;1+MATCH(aux_sheet_RRS!$E119,aux_sheet_RRS!$D$2:$D$202,0)))</f>
        <v/>
      </c>
      <c r="C120" s="2" t="str">
        <f ca="1">IF(ISBLANK(Input!B119),"",INDIRECT("Input!B"&amp;1+MATCH(aux_sheet_RRS!$E119,aux_sheet_RRS!$D$2:$D$202,0)))</f>
        <v/>
      </c>
      <c r="D120" s="2" t="str">
        <f ca="1">IF(ISBLANK(Input!C119),"",INDIRECT("Input!C"&amp;1+MATCH(aux_sheet_RRS!$E119,aux_sheet_RRS!$D$2:$D$202,0)))</f>
        <v/>
      </c>
      <c r="E120" s="2" t="str">
        <f ca="1">IF(ISBLANK(Input!D119),"",INDIRECT("Input!D"&amp;1+MATCH(aux_sheet_RRS!$E119,aux_sheet_RRS!$D$2:$D$202,0)))</f>
        <v/>
      </c>
      <c r="F120" s="11" t="str">
        <f ca="1">INDIRECT("Input!H"&amp;1+MATCH(aux_sheet_RRS!$E119,aux_sheet_RRS!$D$2:$D$202,0))</f>
        <v xml:space="preserve"> </v>
      </c>
      <c r="G120" s="88" t="str">
        <f ca="1">IF($B120="","",INDIRECT("aux_sheet_RRS!O"&amp;1+MATCH(aux_sheet_RRS!$E119,aux_sheet_RRS!$D$2:$D$202,0)))</f>
        <v/>
      </c>
      <c r="H120" s="89" t="str">
        <f ca="1">IF($B120="","",INDIRECT("aux_sheet_RRS!P"&amp;1+MATCH(aux_sheet_RRS!$E119,aux_sheet_RRS!$D$2:$D$202,0)))</f>
        <v/>
      </c>
      <c r="I120" s="90" t="str">
        <f ca="1">IF(G120="","",ROUNDDOWN(INDIRECT("aux_sheet_RRS!Q"&amp;1+MATCH(aux_sheet_RRS!$E119,aux_sheet_RRS!$D$2:$D$202,0)),0))</f>
        <v/>
      </c>
      <c r="J120" s="106" t="str">
        <f ca="1">IF($B120="","",INDIRECT("aux_sheet_RRS!R"&amp;1+MATCH(aux_sheet_RRS!$E119,aux_sheet_RRS!$D$2:$D$202,0)))</f>
        <v/>
      </c>
      <c r="K120" s="89" t="str">
        <f ca="1">IF($B120="","",INDIRECT("aux_sheet_RRS!S"&amp;1+MATCH(aux_sheet_RRS!$E119,aux_sheet_RRS!$D$2:$D$202,0)))</f>
        <v/>
      </c>
      <c r="L120" s="90" t="str">
        <f ca="1">IF(J120="","",ROUNDDOWN(INDIRECT("aux_sheet_RRS!T"&amp;1+MATCH(aux_sheet_RRS!$E119,aux_sheet_RRS!$D$2:$D$202,0)),0))</f>
        <v/>
      </c>
      <c r="M120" s="106" t="str">
        <f ca="1">IF($B120="","",INDIRECT("aux_sheet_RRS!U"&amp;1+MATCH(aux_sheet_RRS!$E119,aux_sheet_RRS!$D$2:$D$202,0)))</f>
        <v/>
      </c>
      <c r="N120" s="89" t="str">
        <f ca="1">IF($B120="","",INDIRECT("aux_sheet_RRS!V"&amp;1+MATCH(aux_sheet_RRS!$E119,aux_sheet_RRS!$D$2:$D$202,0)))</f>
        <v/>
      </c>
      <c r="O120" s="90" t="str">
        <f ca="1">IF(M120="","",ROUNDDOWN(INDIRECT("aux_sheet_RRS!W"&amp;1+MATCH(aux_sheet_RRS!$E119,aux_sheet_RRS!$D$2:$D$202,0)),0))</f>
        <v/>
      </c>
      <c r="P120" s="106" t="str">
        <f ca="1">IF($B120="","",INDIRECT("aux_sheet_RRS!X"&amp;1+MATCH(aux_sheet_RRS!$E119,aux_sheet_RRS!$D$2:$D$202,0)))</f>
        <v/>
      </c>
      <c r="Q120" s="89" t="str">
        <f ca="1">IF($B120="","",INDIRECT("aux_sheet_RRS!Y"&amp;1+MATCH(aux_sheet_RRS!$E119,aux_sheet_RRS!$D$2:$D$202,0)))</f>
        <v/>
      </c>
      <c r="R120" s="90" t="str">
        <f ca="1">IF(P120="","",INDIRECT("aux_sheet_RRS!Z"&amp;1+MATCH(aux_sheet_RRS!$E119,aux_sheet_RRS!$D$2:$D$202,0)))</f>
        <v/>
      </c>
      <c r="S120" s="106" t="str">
        <f ca="1">IF($B120="","",INDIRECT("aux_sheet_RRS!AA"&amp;1+MATCH(aux_sheet_RRS!$E119,aux_sheet_RRS!$D$2:$D$202,0)))</f>
        <v/>
      </c>
      <c r="T120" s="89" t="str">
        <f ca="1">IF($B120="","",INDIRECT("aux_sheet_RRS!AB"&amp;1+MATCH(aux_sheet_RRS!$E119,aux_sheet_RRS!$D$2:$D$202,0)))</f>
        <v/>
      </c>
      <c r="U120" s="90" t="str">
        <f ca="1">IF(S120="","",INDIRECT("aux_sheet_RRS!AC"&amp;1+MATCH(aux_sheet_RRS!$E119,aux_sheet_RRS!$D$2:$D$202,0)))</f>
        <v/>
      </c>
      <c r="V120" s="106" t="str">
        <f ca="1">IF($B120="","",INDIRECT("aux_sheet_RRS!AD"&amp;1+MATCH(aux_sheet_RRS!$E119,aux_sheet_RRS!$D$2:$D$202,0)))</f>
        <v/>
      </c>
      <c r="W120" s="89" t="str">
        <f ca="1">IF($B120="","",INDIRECT("aux_sheet_RRS!AE"&amp;1+MATCH(aux_sheet_RRS!$E119,aux_sheet_RRS!$D$2:$D$202,0)))</f>
        <v/>
      </c>
      <c r="X120" s="90" t="str">
        <f ca="1">IF(V120="","",INDIRECT("aux_sheet_RRS!AF"&amp;1+MATCH(aux_sheet_RRS!$E119,aux_sheet_RRS!$D$2:$D$202,0)))</f>
        <v/>
      </c>
      <c r="Y120" s="106" t="str">
        <f ca="1">IF($B120="","",INDIRECT("aux_sheet_RRS!AG"&amp;1+MATCH(aux_sheet_RRS!$E119,aux_sheet_RRS!$D$2:$D$202,0)))</f>
        <v/>
      </c>
      <c r="Z120" s="89" t="str">
        <f ca="1">IF($B120="","",INDIRECT("aux_sheet_RRS!AH"&amp;1+MATCH(aux_sheet_RRS!$E119,aux_sheet_RRS!$D$2:$D$202,0)))</f>
        <v/>
      </c>
      <c r="AA120" s="90" t="str">
        <f ca="1">IF(Y120="","",INDIRECT("aux_sheet_RRS!AI"&amp;1+MATCH(aux_sheet_RRS!$E119,aux_sheet_RRS!$D$2:$D$202,0)))</f>
        <v/>
      </c>
      <c r="AB120" s="88" t="str">
        <f ca="1">IF($B120="","",INDIRECT("aux_sheet_RRS!AJ"&amp;1+MATCH(aux_sheet_RRS!$E119,aux_sheet_RRS!$D$2:$D$202,0)))</f>
        <v/>
      </c>
      <c r="AC120" s="89" t="str">
        <f ca="1">IF($B120="","",INDIRECT("aux_sheet_RRS!AK"&amp;1+MATCH(aux_sheet_RRS!$E119,aux_sheet_RRS!$D$2:$D$202,0)))</f>
        <v/>
      </c>
      <c r="AD120" s="90" t="str">
        <f ca="1">IF(AB120="","",INDIRECT("aux_sheet_RRS!AL"&amp;1+MATCH(aux_sheet_RRS!$E119,aux_sheet_RRS!$D$2:$D$202,0)))</f>
        <v/>
      </c>
      <c r="AE120" s="88" t="str">
        <f ca="1">IF($B120="","",INDIRECT("aux_sheet_RRS!AM"&amp;1+MATCH(aux_sheet_RRS!$E119,aux_sheet_RRS!$D$2:$D$202,0)))</f>
        <v/>
      </c>
      <c r="AF120" s="89" t="str">
        <f ca="1">IF($B120="","",INDIRECT("aux_sheet_RRS!AN"&amp;1+MATCH(aux_sheet_RRS!$E119,aux_sheet_RRS!$D$2:$D$202,0)))</f>
        <v/>
      </c>
      <c r="AG120" s="90" t="str">
        <f ca="1">IF(AE120="","",INDIRECT("aux_sheet_RRS!AO"&amp;1+MATCH(aux_sheet_RRS!$E119,aux_sheet_RRS!$D$2:$D$202,0)))</f>
        <v/>
      </c>
      <c r="AH120" s="14" t="str">
        <f t="shared" ca="1" si="6"/>
        <v/>
      </c>
      <c r="AI120" t="str">
        <f t="shared" ca="1" si="7"/>
        <v/>
      </c>
      <c r="AJ120" t="str">
        <f t="shared" ca="1" si="8"/>
        <v/>
      </c>
    </row>
    <row r="121" spans="1:36" x14ac:dyDescent="0.35">
      <c r="A121" s="2" t="str">
        <f>IF(ISBLANK(Input!A120),"",ROUNDDOWN(aux_sheet_RRS!E120,0))</f>
        <v/>
      </c>
      <c r="B121" s="2" t="str">
        <f ca="1">IF(ISBLANK(Input!A120),"",INDIRECT("Input!A"&amp;1+MATCH(aux_sheet_RRS!$E120,aux_sheet_RRS!$D$2:$D$202,0)))</f>
        <v/>
      </c>
      <c r="C121" s="2" t="str">
        <f ca="1">IF(ISBLANK(Input!B120),"",INDIRECT("Input!B"&amp;1+MATCH(aux_sheet_RRS!$E120,aux_sheet_RRS!$D$2:$D$202,0)))</f>
        <v/>
      </c>
      <c r="D121" s="2" t="str">
        <f ca="1">IF(ISBLANK(Input!C120),"",INDIRECT("Input!C"&amp;1+MATCH(aux_sheet_RRS!$E120,aux_sheet_RRS!$D$2:$D$202,0)))</f>
        <v/>
      </c>
      <c r="E121" s="2" t="str">
        <f ca="1">IF(ISBLANK(Input!D120),"",INDIRECT("Input!D"&amp;1+MATCH(aux_sheet_RRS!$E120,aux_sheet_RRS!$D$2:$D$202,0)))</f>
        <v/>
      </c>
      <c r="F121" s="11" t="str">
        <f ca="1">INDIRECT("Input!H"&amp;1+MATCH(aux_sheet_RRS!$E120,aux_sheet_RRS!$D$2:$D$202,0))</f>
        <v xml:space="preserve"> </v>
      </c>
      <c r="G121" s="88" t="str">
        <f ca="1">IF($B121="","",INDIRECT("aux_sheet_RRS!O"&amp;1+MATCH(aux_sheet_RRS!$E120,aux_sheet_RRS!$D$2:$D$202,0)))</f>
        <v/>
      </c>
      <c r="H121" s="89" t="str">
        <f ca="1">IF($B121="","",INDIRECT("aux_sheet_RRS!P"&amp;1+MATCH(aux_sheet_RRS!$E120,aux_sheet_RRS!$D$2:$D$202,0)))</f>
        <v/>
      </c>
      <c r="I121" s="90" t="str">
        <f ca="1">IF(G121="","",ROUNDDOWN(INDIRECT("aux_sheet_RRS!Q"&amp;1+MATCH(aux_sheet_RRS!$E120,aux_sheet_RRS!$D$2:$D$202,0)),0))</f>
        <v/>
      </c>
      <c r="J121" s="106" t="str">
        <f ca="1">IF($B121="","",INDIRECT("aux_sheet_RRS!R"&amp;1+MATCH(aux_sheet_RRS!$E120,aux_sheet_RRS!$D$2:$D$202,0)))</f>
        <v/>
      </c>
      <c r="K121" s="89" t="str">
        <f ca="1">IF($B121="","",INDIRECT("aux_sheet_RRS!S"&amp;1+MATCH(aux_sheet_RRS!$E120,aux_sheet_RRS!$D$2:$D$202,0)))</f>
        <v/>
      </c>
      <c r="L121" s="90" t="str">
        <f ca="1">IF(J121="","",ROUNDDOWN(INDIRECT("aux_sheet_RRS!T"&amp;1+MATCH(aux_sheet_RRS!$E120,aux_sheet_RRS!$D$2:$D$202,0)),0))</f>
        <v/>
      </c>
      <c r="M121" s="106" t="str">
        <f ca="1">IF($B121="","",INDIRECT("aux_sheet_RRS!U"&amp;1+MATCH(aux_sheet_RRS!$E120,aux_sheet_RRS!$D$2:$D$202,0)))</f>
        <v/>
      </c>
      <c r="N121" s="89" t="str">
        <f ca="1">IF($B121="","",INDIRECT("aux_sheet_RRS!V"&amp;1+MATCH(aux_sheet_RRS!$E120,aux_sheet_RRS!$D$2:$D$202,0)))</f>
        <v/>
      </c>
      <c r="O121" s="90" t="str">
        <f ca="1">IF(M121="","",ROUNDDOWN(INDIRECT("aux_sheet_RRS!W"&amp;1+MATCH(aux_sheet_RRS!$E120,aux_sheet_RRS!$D$2:$D$202,0)),0))</f>
        <v/>
      </c>
      <c r="P121" s="106" t="str">
        <f ca="1">IF($B121="","",INDIRECT("aux_sheet_RRS!X"&amp;1+MATCH(aux_sheet_RRS!$E120,aux_sheet_RRS!$D$2:$D$202,0)))</f>
        <v/>
      </c>
      <c r="Q121" s="89" t="str">
        <f ca="1">IF($B121="","",INDIRECT("aux_sheet_RRS!Y"&amp;1+MATCH(aux_sheet_RRS!$E120,aux_sheet_RRS!$D$2:$D$202,0)))</f>
        <v/>
      </c>
      <c r="R121" s="90" t="str">
        <f ca="1">IF(P121="","",INDIRECT("aux_sheet_RRS!Z"&amp;1+MATCH(aux_sheet_RRS!$E120,aux_sheet_RRS!$D$2:$D$202,0)))</f>
        <v/>
      </c>
      <c r="S121" s="106" t="str">
        <f ca="1">IF($B121="","",INDIRECT("aux_sheet_RRS!AA"&amp;1+MATCH(aux_sheet_RRS!$E120,aux_sheet_RRS!$D$2:$D$202,0)))</f>
        <v/>
      </c>
      <c r="T121" s="89" t="str">
        <f ca="1">IF($B121="","",INDIRECT("aux_sheet_RRS!AB"&amp;1+MATCH(aux_sheet_RRS!$E120,aux_sheet_RRS!$D$2:$D$202,0)))</f>
        <v/>
      </c>
      <c r="U121" s="90" t="str">
        <f ca="1">IF(S121="","",INDIRECT("aux_sheet_RRS!AC"&amp;1+MATCH(aux_sheet_RRS!$E120,aux_sheet_RRS!$D$2:$D$202,0)))</f>
        <v/>
      </c>
      <c r="V121" s="106" t="str">
        <f ca="1">IF($B121="","",INDIRECT("aux_sheet_RRS!AD"&amp;1+MATCH(aux_sheet_RRS!$E120,aux_sheet_RRS!$D$2:$D$202,0)))</f>
        <v/>
      </c>
      <c r="W121" s="89" t="str">
        <f ca="1">IF($B121="","",INDIRECT("aux_sheet_RRS!AE"&amp;1+MATCH(aux_sheet_RRS!$E120,aux_sheet_RRS!$D$2:$D$202,0)))</f>
        <v/>
      </c>
      <c r="X121" s="90" t="str">
        <f ca="1">IF(V121="","",INDIRECT("aux_sheet_RRS!AF"&amp;1+MATCH(aux_sheet_RRS!$E120,aux_sheet_RRS!$D$2:$D$202,0)))</f>
        <v/>
      </c>
      <c r="Y121" s="106" t="str">
        <f ca="1">IF($B121="","",INDIRECT("aux_sheet_RRS!AG"&amp;1+MATCH(aux_sheet_RRS!$E120,aux_sheet_RRS!$D$2:$D$202,0)))</f>
        <v/>
      </c>
      <c r="Z121" s="89" t="str">
        <f ca="1">IF($B121="","",INDIRECT("aux_sheet_RRS!AH"&amp;1+MATCH(aux_sheet_RRS!$E120,aux_sheet_RRS!$D$2:$D$202,0)))</f>
        <v/>
      </c>
      <c r="AA121" s="90" t="str">
        <f ca="1">IF(Y121="","",INDIRECT("aux_sheet_RRS!AI"&amp;1+MATCH(aux_sheet_RRS!$E120,aux_sheet_RRS!$D$2:$D$202,0)))</f>
        <v/>
      </c>
      <c r="AB121" s="88" t="str">
        <f ca="1">IF($B121="","",INDIRECT("aux_sheet_RRS!AJ"&amp;1+MATCH(aux_sheet_RRS!$E120,aux_sheet_RRS!$D$2:$D$202,0)))</f>
        <v/>
      </c>
      <c r="AC121" s="89" t="str">
        <f ca="1">IF($B121="","",INDIRECT("aux_sheet_RRS!AK"&amp;1+MATCH(aux_sheet_RRS!$E120,aux_sheet_RRS!$D$2:$D$202,0)))</f>
        <v/>
      </c>
      <c r="AD121" s="90" t="str">
        <f ca="1">IF(AB121="","",INDIRECT("aux_sheet_RRS!AL"&amp;1+MATCH(aux_sheet_RRS!$E120,aux_sheet_RRS!$D$2:$D$202,0)))</f>
        <v/>
      </c>
      <c r="AE121" s="88" t="str">
        <f ca="1">IF($B121="","",INDIRECT("aux_sheet_RRS!AM"&amp;1+MATCH(aux_sheet_RRS!$E120,aux_sheet_RRS!$D$2:$D$202,0)))</f>
        <v/>
      </c>
      <c r="AF121" s="89" t="str">
        <f ca="1">IF($B121="","",INDIRECT("aux_sheet_RRS!AN"&amp;1+MATCH(aux_sheet_RRS!$E120,aux_sheet_RRS!$D$2:$D$202,0)))</f>
        <v/>
      </c>
      <c r="AG121" s="90" t="str">
        <f ca="1">IF(AE121="","",INDIRECT("aux_sheet_RRS!AO"&amp;1+MATCH(aux_sheet_RRS!$E120,aux_sheet_RRS!$D$2:$D$202,0)))</f>
        <v/>
      </c>
      <c r="AH121" s="14" t="str">
        <f t="shared" ca="1" si="6"/>
        <v/>
      </c>
      <c r="AI121" t="str">
        <f t="shared" ca="1" si="7"/>
        <v/>
      </c>
      <c r="AJ121" t="str">
        <f t="shared" ca="1" si="8"/>
        <v/>
      </c>
    </row>
    <row r="122" spans="1:36" x14ac:dyDescent="0.35">
      <c r="A122" s="2" t="str">
        <f>IF(ISBLANK(Input!A121),"",ROUNDDOWN(aux_sheet_RRS!E121,0))</f>
        <v/>
      </c>
      <c r="B122" s="2" t="str">
        <f ca="1">IF(ISBLANK(Input!A121),"",INDIRECT("Input!A"&amp;1+MATCH(aux_sheet_RRS!$E121,aux_sheet_RRS!$D$2:$D$202,0)))</f>
        <v/>
      </c>
      <c r="C122" s="2" t="str">
        <f ca="1">IF(ISBLANK(Input!B121),"",INDIRECT("Input!B"&amp;1+MATCH(aux_sheet_RRS!$E121,aux_sheet_RRS!$D$2:$D$202,0)))</f>
        <v/>
      </c>
      <c r="D122" s="2" t="str">
        <f ca="1">IF(ISBLANK(Input!C121),"",INDIRECT("Input!C"&amp;1+MATCH(aux_sheet_RRS!$E121,aux_sheet_RRS!$D$2:$D$202,0)))</f>
        <v/>
      </c>
      <c r="E122" s="2" t="str">
        <f ca="1">IF(ISBLANK(Input!D121),"",INDIRECT("Input!D"&amp;1+MATCH(aux_sheet_RRS!$E121,aux_sheet_RRS!$D$2:$D$202,0)))</f>
        <v/>
      </c>
      <c r="F122" s="11" t="str">
        <f ca="1">INDIRECT("Input!H"&amp;1+MATCH(aux_sheet_RRS!$E121,aux_sheet_RRS!$D$2:$D$202,0))</f>
        <v xml:space="preserve"> </v>
      </c>
      <c r="G122" s="88" t="str">
        <f ca="1">IF($B122="","",INDIRECT("aux_sheet_RRS!O"&amp;1+MATCH(aux_sheet_RRS!$E121,aux_sheet_RRS!$D$2:$D$202,0)))</f>
        <v/>
      </c>
      <c r="H122" s="89" t="str">
        <f ca="1">IF($B122="","",INDIRECT("aux_sheet_RRS!P"&amp;1+MATCH(aux_sheet_RRS!$E121,aux_sheet_RRS!$D$2:$D$202,0)))</f>
        <v/>
      </c>
      <c r="I122" s="90" t="str">
        <f ca="1">IF(G122="","",ROUNDDOWN(INDIRECT("aux_sheet_RRS!Q"&amp;1+MATCH(aux_sheet_RRS!$E121,aux_sheet_RRS!$D$2:$D$202,0)),0))</f>
        <v/>
      </c>
      <c r="J122" s="106" t="str">
        <f ca="1">IF($B122="","",INDIRECT("aux_sheet_RRS!R"&amp;1+MATCH(aux_sheet_RRS!$E121,aux_sheet_RRS!$D$2:$D$202,0)))</f>
        <v/>
      </c>
      <c r="K122" s="89" t="str">
        <f ca="1">IF($B122="","",INDIRECT("aux_sheet_RRS!S"&amp;1+MATCH(aux_sheet_RRS!$E121,aux_sheet_RRS!$D$2:$D$202,0)))</f>
        <v/>
      </c>
      <c r="L122" s="90" t="str">
        <f ca="1">IF(J122="","",ROUNDDOWN(INDIRECT("aux_sheet_RRS!T"&amp;1+MATCH(aux_sheet_RRS!$E121,aux_sheet_RRS!$D$2:$D$202,0)),0))</f>
        <v/>
      </c>
      <c r="M122" s="106" t="str">
        <f ca="1">IF($B122="","",INDIRECT("aux_sheet_RRS!U"&amp;1+MATCH(aux_sheet_RRS!$E121,aux_sheet_RRS!$D$2:$D$202,0)))</f>
        <v/>
      </c>
      <c r="N122" s="89" t="str">
        <f ca="1">IF($B122="","",INDIRECT("aux_sheet_RRS!V"&amp;1+MATCH(aux_sheet_RRS!$E121,aux_sheet_RRS!$D$2:$D$202,0)))</f>
        <v/>
      </c>
      <c r="O122" s="90" t="str">
        <f ca="1">IF(M122="","",ROUNDDOWN(INDIRECT("aux_sheet_RRS!W"&amp;1+MATCH(aux_sheet_RRS!$E121,aux_sheet_RRS!$D$2:$D$202,0)),0))</f>
        <v/>
      </c>
      <c r="P122" s="106" t="str">
        <f ca="1">IF($B122="","",INDIRECT("aux_sheet_RRS!X"&amp;1+MATCH(aux_sheet_RRS!$E121,aux_sheet_RRS!$D$2:$D$202,0)))</f>
        <v/>
      </c>
      <c r="Q122" s="89" t="str">
        <f ca="1">IF($B122="","",INDIRECT("aux_sheet_RRS!Y"&amp;1+MATCH(aux_sheet_RRS!$E121,aux_sheet_RRS!$D$2:$D$202,0)))</f>
        <v/>
      </c>
      <c r="R122" s="90" t="str">
        <f ca="1">IF(P122="","",INDIRECT("aux_sheet_RRS!Z"&amp;1+MATCH(aux_sheet_RRS!$E121,aux_sheet_RRS!$D$2:$D$202,0)))</f>
        <v/>
      </c>
      <c r="S122" s="106" t="str">
        <f ca="1">IF($B122="","",INDIRECT("aux_sheet_RRS!AA"&amp;1+MATCH(aux_sheet_RRS!$E121,aux_sheet_RRS!$D$2:$D$202,0)))</f>
        <v/>
      </c>
      <c r="T122" s="89" t="str">
        <f ca="1">IF($B122="","",INDIRECT("aux_sheet_RRS!AB"&amp;1+MATCH(aux_sheet_RRS!$E121,aux_sheet_RRS!$D$2:$D$202,0)))</f>
        <v/>
      </c>
      <c r="U122" s="90" t="str">
        <f ca="1">IF(S122="","",INDIRECT("aux_sheet_RRS!AC"&amp;1+MATCH(aux_sheet_RRS!$E121,aux_sheet_RRS!$D$2:$D$202,0)))</f>
        <v/>
      </c>
      <c r="V122" s="106" t="str">
        <f ca="1">IF($B122="","",INDIRECT("aux_sheet_RRS!AD"&amp;1+MATCH(aux_sheet_RRS!$E121,aux_sheet_RRS!$D$2:$D$202,0)))</f>
        <v/>
      </c>
      <c r="W122" s="89" t="str">
        <f ca="1">IF($B122="","",INDIRECT("aux_sheet_RRS!AE"&amp;1+MATCH(aux_sheet_RRS!$E121,aux_sheet_RRS!$D$2:$D$202,0)))</f>
        <v/>
      </c>
      <c r="X122" s="90" t="str">
        <f ca="1">IF(V122="","",INDIRECT("aux_sheet_RRS!AF"&amp;1+MATCH(aux_sheet_RRS!$E121,aux_sheet_RRS!$D$2:$D$202,0)))</f>
        <v/>
      </c>
      <c r="Y122" s="106" t="str">
        <f ca="1">IF($B122="","",INDIRECT("aux_sheet_RRS!AG"&amp;1+MATCH(aux_sheet_RRS!$E121,aux_sheet_RRS!$D$2:$D$202,0)))</f>
        <v/>
      </c>
      <c r="Z122" s="89" t="str">
        <f ca="1">IF($B122="","",INDIRECT("aux_sheet_RRS!AH"&amp;1+MATCH(aux_sheet_RRS!$E121,aux_sheet_RRS!$D$2:$D$202,0)))</f>
        <v/>
      </c>
      <c r="AA122" s="90" t="str">
        <f ca="1">IF(Y122="","",INDIRECT("aux_sheet_RRS!AI"&amp;1+MATCH(aux_sheet_RRS!$E121,aux_sheet_RRS!$D$2:$D$202,0)))</f>
        <v/>
      </c>
      <c r="AB122" s="88" t="str">
        <f ca="1">IF($B122="","",INDIRECT("aux_sheet_RRS!AJ"&amp;1+MATCH(aux_sheet_RRS!$E121,aux_sheet_RRS!$D$2:$D$202,0)))</f>
        <v/>
      </c>
      <c r="AC122" s="89" t="str">
        <f ca="1">IF($B122="","",INDIRECT("aux_sheet_RRS!AK"&amp;1+MATCH(aux_sheet_RRS!$E121,aux_sheet_RRS!$D$2:$D$202,0)))</f>
        <v/>
      </c>
      <c r="AD122" s="90" t="str">
        <f ca="1">IF(AB122="","",INDIRECT("aux_sheet_RRS!AL"&amp;1+MATCH(aux_sheet_RRS!$E121,aux_sheet_RRS!$D$2:$D$202,0)))</f>
        <v/>
      </c>
      <c r="AE122" s="88" t="str">
        <f ca="1">IF($B122="","",INDIRECT("aux_sheet_RRS!AM"&amp;1+MATCH(aux_sheet_RRS!$E121,aux_sheet_RRS!$D$2:$D$202,0)))</f>
        <v/>
      </c>
      <c r="AF122" s="89" t="str">
        <f ca="1">IF($B122="","",INDIRECT("aux_sheet_RRS!AN"&amp;1+MATCH(aux_sheet_RRS!$E121,aux_sheet_RRS!$D$2:$D$202,0)))</f>
        <v/>
      </c>
      <c r="AG122" s="90" t="str">
        <f ca="1">IF(AE122="","",INDIRECT("aux_sheet_RRS!AO"&amp;1+MATCH(aux_sheet_RRS!$E121,aux_sheet_RRS!$D$2:$D$202,0)))</f>
        <v/>
      </c>
      <c r="AH122" s="14" t="str">
        <f t="shared" ca="1" si="6"/>
        <v/>
      </c>
      <c r="AI122" t="str">
        <f t="shared" ca="1" si="7"/>
        <v/>
      </c>
      <c r="AJ122" t="str">
        <f t="shared" ca="1" si="8"/>
        <v/>
      </c>
    </row>
    <row r="123" spans="1:36" x14ac:dyDescent="0.35">
      <c r="A123" s="2" t="str">
        <f>IF(ISBLANK(Input!A122),"",ROUNDDOWN(aux_sheet_RRS!E122,0))</f>
        <v/>
      </c>
      <c r="B123" s="2" t="str">
        <f ca="1">IF(ISBLANK(Input!A122),"",INDIRECT("Input!A"&amp;1+MATCH(aux_sheet_RRS!$E122,aux_sheet_RRS!$D$2:$D$202,0)))</f>
        <v/>
      </c>
      <c r="C123" s="2" t="str">
        <f ca="1">IF(ISBLANK(Input!B122),"",INDIRECT("Input!B"&amp;1+MATCH(aux_sheet_RRS!$E122,aux_sheet_RRS!$D$2:$D$202,0)))</f>
        <v/>
      </c>
      <c r="D123" s="2" t="str">
        <f ca="1">IF(ISBLANK(Input!C122),"",INDIRECT("Input!C"&amp;1+MATCH(aux_sheet_RRS!$E122,aux_sheet_RRS!$D$2:$D$202,0)))</f>
        <v/>
      </c>
      <c r="E123" s="2" t="str">
        <f ca="1">IF(ISBLANK(Input!D122),"",INDIRECT("Input!D"&amp;1+MATCH(aux_sheet_RRS!$E122,aux_sheet_RRS!$D$2:$D$202,0)))</f>
        <v/>
      </c>
      <c r="F123" s="11" t="str">
        <f ca="1">INDIRECT("Input!H"&amp;1+MATCH(aux_sheet_RRS!$E122,aux_sheet_RRS!$D$2:$D$202,0))</f>
        <v xml:space="preserve"> </v>
      </c>
      <c r="G123" s="88" t="str">
        <f ca="1">IF($B123="","",INDIRECT("aux_sheet_RRS!O"&amp;1+MATCH(aux_sheet_RRS!$E122,aux_sheet_RRS!$D$2:$D$202,0)))</f>
        <v/>
      </c>
      <c r="H123" s="89" t="str">
        <f ca="1">IF($B123="","",INDIRECT("aux_sheet_RRS!P"&amp;1+MATCH(aux_sheet_RRS!$E122,aux_sheet_RRS!$D$2:$D$202,0)))</f>
        <v/>
      </c>
      <c r="I123" s="90" t="str">
        <f ca="1">IF(G123="","",ROUNDDOWN(INDIRECT("aux_sheet_RRS!Q"&amp;1+MATCH(aux_sheet_RRS!$E122,aux_sheet_RRS!$D$2:$D$202,0)),0))</f>
        <v/>
      </c>
      <c r="J123" s="106" t="str">
        <f ca="1">IF($B123="","",INDIRECT("aux_sheet_RRS!R"&amp;1+MATCH(aux_sheet_RRS!$E122,aux_sheet_RRS!$D$2:$D$202,0)))</f>
        <v/>
      </c>
      <c r="K123" s="89" t="str">
        <f ca="1">IF($B123="","",INDIRECT("aux_sheet_RRS!S"&amp;1+MATCH(aux_sheet_RRS!$E122,aux_sheet_RRS!$D$2:$D$202,0)))</f>
        <v/>
      </c>
      <c r="L123" s="90" t="str">
        <f ca="1">IF(J123="","",ROUNDDOWN(INDIRECT("aux_sheet_RRS!T"&amp;1+MATCH(aux_sheet_RRS!$E122,aux_sheet_RRS!$D$2:$D$202,0)),0))</f>
        <v/>
      </c>
      <c r="M123" s="106" t="str">
        <f ca="1">IF($B123="","",INDIRECT("aux_sheet_RRS!U"&amp;1+MATCH(aux_sheet_RRS!$E122,aux_sheet_RRS!$D$2:$D$202,0)))</f>
        <v/>
      </c>
      <c r="N123" s="89" t="str">
        <f ca="1">IF($B123="","",INDIRECT("aux_sheet_RRS!V"&amp;1+MATCH(aux_sheet_RRS!$E122,aux_sheet_RRS!$D$2:$D$202,0)))</f>
        <v/>
      </c>
      <c r="O123" s="90" t="str">
        <f ca="1">IF(M123="","",ROUNDDOWN(INDIRECT("aux_sheet_RRS!W"&amp;1+MATCH(aux_sheet_RRS!$E122,aux_sheet_RRS!$D$2:$D$202,0)),0))</f>
        <v/>
      </c>
      <c r="P123" s="106" t="str">
        <f ca="1">IF($B123="","",INDIRECT("aux_sheet_RRS!X"&amp;1+MATCH(aux_sheet_RRS!$E122,aux_sheet_RRS!$D$2:$D$202,0)))</f>
        <v/>
      </c>
      <c r="Q123" s="89" t="str">
        <f ca="1">IF($B123="","",INDIRECT("aux_sheet_RRS!Y"&amp;1+MATCH(aux_sheet_RRS!$E122,aux_sheet_RRS!$D$2:$D$202,0)))</f>
        <v/>
      </c>
      <c r="R123" s="90" t="str">
        <f ca="1">IF(P123="","",INDIRECT("aux_sheet_RRS!Z"&amp;1+MATCH(aux_sheet_RRS!$E122,aux_sheet_RRS!$D$2:$D$202,0)))</f>
        <v/>
      </c>
      <c r="S123" s="106" t="str">
        <f ca="1">IF($B123="","",INDIRECT("aux_sheet_RRS!AA"&amp;1+MATCH(aux_sheet_RRS!$E122,aux_sheet_RRS!$D$2:$D$202,0)))</f>
        <v/>
      </c>
      <c r="T123" s="89" t="str">
        <f ca="1">IF($B123="","",INDIRECT("aux_sheet_RRS!AB"&amp;1+MATCH(aux_sheet_RRS!$E122,aux_sheet_RRS!$D$2:$D$202,0)))</f>
        <v/>
      </c>
      <c r="U123" s="90" t="str">
        <f ca="1">IF(S123="","",INDIRECT("aux_sheet_RRS!AC"&amp;1+MATCH(aux_sheet_RRS!$E122,aux_sheet_RRS!$D$2:$D$202,0)))</f>
        <v/>
      </c>
      <c r="V123" s="106" t="str">
        <f ca="1">IF($B123="","",INDIRECT("aux_sheet_RRS!AD"&amp;1+MATCH(aux_sheet_RRS!$E122,aux_sheet_RRS!$D$2:$D$202,0)))</f>
        <v/>
      </c>
      <c r="W123" s="89" t="str">
        <f ca="1">IF($B123="","",INDIRECT("aux_sheet_RRS!AE"&amp;1+MATCH(aux_sheet_RRS!$E122,aux_sheet_RRS!$D$2:$D$202,0)))</f>
        <v/>
      </c>
      <c r="X123" s="90" t="str">
        <f ca="1">IF(V123="","",INDIRECT("aux_sheet_RRS!AF"&amp;1+MATCH(aux_sheet_RRS!$E122,aux_sheet_RRS!$D$2:$D$202,0)))</f>
        <v/>
      </c>
      <c r="Y123" s="106" t="str">
        <f ca="1">IF($B123="","",INDIRECT("aux_sheet_RRS!AG"&amp;1+MATCH(aux_sheet_RRS!$E122,aux_sheet_RRS!$D$2:$D$202,0)))</f>
        <v/>
      </c>
      <c r="Z123" s="89" t="str">
        <f ca="1">IF($B123="","",INDIRECT("aux_sheet_RRS!AH"&amp;1+MATCH(aux_sheet_RRS!$E122,aux_sheet_RRS!$D$2:$D$202,0)))</f>
        <v/>
      </c>
      <c r="AA123" s="90" t="str">
        <f ca="1">IF(Y123="","",INDIRECT("aux_sheet_RRS!AI"&amp;1+MATCH(aux_sheet_RRS!$E122,aux_sheet_RRS!$D$2:$D$202,0)))</f>
        <v/>
      </c>
      <c r="AB123" s="88" t="str">
        <f ca="1">IF($B123="","",INDIRECT("aux_sheet_RRS!AJ"&amp;1+MATCH(aux_sheet_RRS!$E122,aux_sheet_RRS!$D$2:$D$202,0)))</f>
        <v/>
      </c>
      <c r="AC123" s="89" t="str">
        <f ca="1">IF($B123="","",INDIRECT("aux_sheet_RRS!AK"&amp;1+MATCH(aux_sheet_RRS!$E122,aux_sheet_RRS!$D$2:$D$202,0)))</f>
        <v/>
      </c>
      <c r="AD123" s="90" t="str">
        <f ca="1">IF(AB123="","",INDIRECT("aux_sheet_RRS!AL"&amp;1+MATCH(aux_sheet_RRS!$E122,aux_sheet_RRS!$D$2:$D$202,0)))</f>
        <v/>
      </c>
      <c r="AE123" s="88" t="str">
        <f ca="1">IF($B123="","",INDIRECT("aux_sheet_RRS!AM"&amp;1+MATCH(aux_sheet_RRS!$E122,aux_sheet_RRS!$D$2:$D$202,0)))</f>
        <v/>
      </c>
      <c r="AF123" s="89" t="str">
        <f ca="1">IF($B123="","",INDIRECT("aux_sheet_RRS!AN"&amp;1+MATCH(aux_sheet_RRS!$E122,aux_sheet_RRS!$D$2:$D$202,0)))</f>
        <v/>
      </c>
      <c r="AG123" s="90" t="str">
        <f ca="1">IF(AE123="","",INDIRECT("aux_sheet_RRS!AO"&amp;1+MATCH(aux_sheet_RRS!$E122,aux_sheet_RRS!$D$2:$D$202,0)))</f>
        <v/>
      </c>
      <c r="AH123" s="14" t="str">
        <f t="shared" ca="1" si="6"/>
        <v/>
      </c>
      <c r="AI123" t="str">
        <f t="shared" ca="1" si="7"/>
        <v/>
      </c>
      <c r="AJ123" t="str">
        <f t="shared" ca="1" si="8"/>
        <v/>
      </c>
    </row>
    <row r="124" spans="1:36" x14ac:dyDescent="0.35">
      <c r="A124" s="2" t="str">
        <f>IF(ISBLANK(Input!A123),"",ROUNDDOWN(aux_sheet_RRS!E123,0))</f>
        <v/>
      </c>
      <c r="B124" s="2" t="str">
        <f ca="1">IF(ISBLANK(Input!A123),"",INDIRECT("Input!A"&amp;1+MATCH(aux_sheet_RRS!$E123,aux_sheet_RRS!$D$2:$D$202,0)))</f>
        <v/>
      </c>
      <c r="C124" s="2" t="str">
        <f ca="1">IF(ISBLANK(Input!B123),"",INDIRECT("Input!B"&amp;1+MATCH(aux_sheet_RRS!$E123,aux_sheet_RRS!$D$2:$D$202,0)))</f>
        <v/>
      </c>
      <c r="D124" s="2" t="str">
        <f ca="1">IF(ISBLANK(Input!C123),"",INDIRECT("Input!C"&amp;1+MATCH(aux_sheet_RRS!$E123,aux_sheet_RRS!$D$2:$D$202,0)))</f>
        <v/>
      </c>
      <c r="E124" s="2" t="str">
        <f ca="1">IF(ISBLANK(Input!D123),"",INDIRECT("Input!D"&amp;1+MATCH(aux_sheet_RRS!$E123,aux_sheet_RRS!$D$2:$D$202,0)))</f>
        <v/>
      </c>
      <c r="F124" s="11" t="str">
        <f ca="1">INDIRECT("Input!H"&amp;1+MATCH(aux_sheet_RRS!$E123,aux_sheet_RRS!$D$2:$D$202,0))</f>
        <v xml:space="preserve"> </v>
      </c>
      <c r="G124" s="88" t="str">
        <f ca="1">IF($B124="","",INDIRECT("aux_sheet_RRS!O"&amp;1+MATCH(aux_sheet_RRS!$E123,aux_sheet_RRS!$D$2:$D$202,0)))</f>
        <v/>
      </c>
      <c r="H124" s="89" t="str">
        <f ca="1">IF($B124="","",INDIRECT("aux_sheet_RRS!P"&amp;1+MATCH(aux_sheet_RRS!$E123,aux_sheet_RRS!$D$2:$D$202,0)))</f>
        <v/>
      </c>
      <c r="I124" s="90" t="str">
        <f ca="1">IF(G124="","",ROUNDDOWN(INDIRECT("aux_sheet_RRS!Q"&amp;1+MATCH(aux_sheet_RRS!$E123,aux_sheet_RRS!$D$2:$D$202,0)),0))</f>
        <v/>
      </c>
      <c r="J124" s="106" t="str">
        <f ca="1">IF($B124="","",INDIRECT("aux_sheet_RRS!R"&amp;1+MATCH(aux_sheet_RRS!$E123,aux_sheet_RRS!$D$2:$D$202,0)))</f>
        <v/>
      </c>
      <c r="K124" s="89" t="str">
        <f ca="1">IF($B124="","",INDIRECT("aux_sheet_RRS!S"&amp;1+MATCH(aux_sheet_RRS!$E123,aux_sheet_RRS!$D$2:$D$202,0)))</f>
        <v/>
      </c>
      <c r="L124" s="90" t="str">
        <f ca="1">IF(J124="","",ROUNDDOWN(INDIRECT("aux_sheet_RRS!T"&amp;1+MATCH(aux_sheet_RRS!$E123,aux_sheet_RRS!$D$2:$D$202,0)),0))</f>
        <v/>
      </c>
      <c r="M124" s="106" t="str">
        <f ca="1">IF($B124="","",INDIRECT("aux_sheet_RRS!U"&amp;1+MATCH(aux_sheet_RRS!$E123,aux_sheet_RRS!$D$2:$D$202,0)))</f>
        <v/>
      </c>
      <c r="N124" s="89" t="str">
        <f ca="1">IF($B124="","",INDIRECT("aux_sheet_RRS!V"&amp;1+MATCH(aux_sheet_RRS!$E123,aux_sheet_RRS!$D$2:$D$202,0)))</f>
        <v/>
      </c>
      <c r="O124" s="90" t="str">
        <f ca="1">IF(M124="","",ROUNDDOWN(INDIRECT("aux_sheet_RRS!W"&amp;1+MATCH(aux_sheet_RRS!$E123,aux_sheet_RRS!$D$2:$D$202,0)),0))</f>
        <v/>
      </c>
      <c r="P124" s="106" t="str">
        <f ca="1">IF($B124="","",INDIRECT("aux_sheet_RRS!X"&amp;1+MATCH(aux_sheet_RRS!$E123,aux_sheet_RRS!$D$2:$D$202,0)))</f>
        <v/>
      </c>
      <c r="Q124" s="89" t="str">
        <f ca="1">IF($B124="","",INDIRECT("aux_sheet_RRS!Y"&amp;1+MATCH(aux_sheet_RRS!$E123,aux_sheet_RRS!$D$2:$D$202,0)))</f>
        <v/>
      </c>
      <c r="R124" s="90" t="str">
        <f ca="1">IF(P124="","",INDIRECT("aux_sheet_RRS!Z"&amp;1+MATCH(aux_sheet_RRS!$E123,aux_sheet_RRS!$D$2:$D$202,0)))</f>
        <v/>
      </c>
      <c r="S124" s="106" t="str">
        <f ca="1">IF($B124="","",INDIRECT("aux_sheet_RRS!AA"&amp;1+MATCH(aux_sheet_RRS!$E123,aux_sheet_RRS!$D$2:$D$202,0)))</f>
        <v/>
      </c>
      <c r="T124" s="89" t="str">
        <f ca="1">IF($B124="","",INDIRECT("aux_sheet_RRS!AB"&amp;1+MATCH(aux_sheet_RRS!$E123,aux_sheet_RRS!$D$2:$D$202,0)))</f>
        <v/>
      </c>
      <c r="U124" s="90" t="str">
        <f ca="1">IF(S124="","",INDIRECT("aux_sheet_RRS!AC"&amp;1+MATCH(aux_sheet_RRS!$E123,aux_sheet_RRS!$D$2:$D$202,0)))</f>
        <v/>
      </c>
      <c r="V124" s="106" t="str">
        <f ca="1">IF($B124="","",INDIRECT("aux_sheet_RRS!AD"&amp;1+MATCH(aux_sheet_RRS!$E123,aux_sheet_RRS!$D$2:$D$202,0)))</f>
        <v/>
      </c>
      <c r="W124" s="89" t="str">
        <f ca="1">IF($B124="","",INDIRECT("aux_sheet_RRS!AE"&amp;1+MATCH(aux_sheet_RRS!$E123,aux_sheet_RRS!$D$2:$D$202,0)))</f>
        <v/>
      </c>
      <c r="X124" s="90" t="str">
        <f ca="1">IF(V124="","",INDIRECT("aux_sheet_RRS!AF"&amp;1+MATCH(aux_sheet_RRS!$E123,aux_sheet_RRS!$D$2:$D$202,0)))</f>
        <v/>
      </c>
      <c r="Y124" s="106" t="str">
        <f ca="1">IF($B124="","",INDIRECT("aux_sheet_RRS!AG"&amp;1+MATCH(aux_sheet_RRS!$E123,aux_sheet_RRS!$D$2:$D$202,0)))</f>
        <v/>
      </c>
      <c r="Z124" s="89" t="str">
        <f ca="1">IF($B124="","",INDIRECT("aux_sheet_RRS!AH"&amp;1+MATCH(aux_sheet_RRS!$E123,aux_sheet_RRS!$D$2:$D$202,0)))</f>
        <v/>
      </c>
      <c r="AA124" s="90" t="str">
        <f ca="1">IF(Y124="","",INDIRECT("aux_sheet_RRS!AI"&amp;1+MATCH(aux_sheet_RRS!$E123,aux_sheet_RRS!$D$2:$D$202,0)))</f>
        <v/>
      </c>
      <c r="AB124" s="88" t="str">
        <f ca="1">IF($B124="","",INDIRECT("aux_sheet_RRS!AJ"&amp;1+MATCH(aux_sheet_RRS!$E123,aux_sheet_RRS!$D$2:$D$202,0)))</f>
        <v/>
      </c>
      <c r="AC124" s="89" t="str">
        <f ca="1">IF($B124="","",INDIRECT("aux_sheet_RRS!AK"&amp;1+MATCH(aux_sheet_RRS!$E123,aux_sheet_RRS!$D$2:$D$202,0)))</f>
        <v/>
      </c>
      <c r="AD124" s="90" t="str">
        <f ca="1">IF(AB124="","",INDIRECT("aux_sheet_RRS!AL"&amp;1+MATCH(aux_sheet_RRS!$E123,aux_sheet_RRS!$D$2:$D$202,0)))</f>
        <v/>
      </c>
      <c r="AE124" s="88" t="str">
        <f ca="1">IF($B124="","",INDIRECT("aux_sheet_RRS!AM"&amp;1+MATCH(aux_sheet_RRS!$E123,aux_sheet_RRS!$D$2:$D$202,0)))</f>
        <v/>
      </c>
      <c r="AF124" s="89" t="str">
        <f ca="1">IF($B124="","",INDIRECT("aux_sheet_RRS!AN"&amp;1+MATCH(aux_sheet_RRS!$E123,aux_sheet_RRS!$D$2:$D$202,0)))</f>
        <v/>
      </c>
      <c r="AG124" s="90" t="str">
        <f ca="1">IF(AE124="","",INDIRECT("aux_sheet_RRS!AO"&amp;1+MATCH(aux_sheet_RRS!$E123,aux_sheet_RRS!$D$2:$D$202,0)))</f>
        <v/>
      </c>
      <c r="AH124" s="14" t="str">
        <f t="shared" ca="1" si="6"/>
        <v/>
      </c>
      <c r="AI124" t="str">
        <f t="shared" ca="1" si="7"/>
        <v/>
      </c>
      <c r="AJ124" t="str">
        <f t="shared" ca="1" si="8"/>
        <v/>
      </c>
    </row>
    <row r="125" spans="1:36" x14ac:dyDescent="0.35">
      <c r="A125" s="2" t="str">
        <f>IF(ISBLANK(Input!A124),"",ROUNDDOWN(aux_sheet_RRS!E124,0))</f>
        <v/>
      </c>
      <c r="B125" s="2" t="str">
        <f ca="1">IF(ISBLANK(Input!A124),"",INDIRECT("Input!A"&amp;1+MATCH(aux_sheet_RRS!$E124,aux_sheet_RRS!$D$2:$D$202,0)))</f>
        <v/>
      </c>
      <c r="C125" s="2" t="str">
        <f ca="1">IF(ISBLANK(Input!B124),"",INDIRECT("Input!B"&amp;1+MATCH(aux_sheet_RRS!$E124,aux_sheet_RRS!$D$2:$D$202,0)))</f>
        <v/>
      </c>
      <c r="D125" s="2" t="str">
        <f ca="1">IF(ISBLANK(Input!C124),"",INDIRECT("Input!C"&amp;1+MATCH(aux_sheet_RRS!$E124,aux_sheet_RRS!$D$2:$D$202,0)))</f>
        <v/>
      </c>
      <c r="E125" s="2" t="str">
        <f ca="1">IF(ISBLANK(Input!D124),"",INDIRECT("Input!D"&amp;1+MATCH(aux_sheet_RRS!$E124,aux_sheet_RRS!$D$2:$D$202,0)))</f>
        <v/>
      </c>
      <c r="F125" s="11" t="str">
        <f ca="1">INDIRECT("Input!H"&amp;1+MATCH(aux_sheet_RRS!$E124,aux_sheet_RRS!$D$2:$D$202,0))</f>
        <v xml:space="preserve"> </v>
      </c>
      <c r="G125" s="88" t="str">
        <f ca="1">IF($B125="","",INDIRECT("aux_sheet_RRS!O"&amp;1+MATCH(aux_sheet_RRS!$E124,aux_sheet_RRS!$D$2:$D$202,0)))</f>
        <v/>
      </c>
      <c r="H125" s="89" t="str">
        <f ca="1">IF($B125="","",INDIRECT("aux_sheet_RRS!P"&amp;1+MATCH(aux_sheet_RRS!$E124,aux_sheet_RRS!$D$2:$D$202,0)))</f>
        <v/>
      </c>
      <c r="I125" s="90" t="str">
        <f ca="1">IF(G125="","",ROUNDDOWN(INDIRECT("aux_sheet_RRS!Q"&amp;1+MATCH(aux_sheet_RRS!$E124,aux_sheet_RRS!$D$2:$D$202,0)),0))</f>
        <v/>
      </c>
      <c r="J125" s="106" t="str">
        <f ca="1">IF($B125="","",INDIRECT("aux_sheet_RRS!R"&amp;1+MATCH(aux_sheet_RRS!$E124,aux_sheet_RRS!$D$2:$D$202,0)))</f>
        <v/>
      </c>
      <c r="K125" s="89" t="str">
        <f ca="1">IF($B125="","",INDIRECT("aux_sheet_RRS!S"&amp;1+MATCH(aux_sheet_RRS!$E124,aux_sheet_RRS!$D$2:$D$202,0)))</f>
        <v/>
      </c>
      <c r="L125" s="90" t="str">
        <f ca="1">IF(J125="","",ROUNDDOWN(INDIRECT("aux_sheet_RRS!T"&amp;1+MATCH(aux_sheet_RRS!$E124,aux_sheet_RRS!$D$2:$D$202,0)),0))</f>
        <v/>
      </c>
      <c r="M125" s="106" t="str">
        <f ca="1">IF($B125="","",INDIRECT("aux_sheet_RRS!U"&amp;1+MATCH(aux_sheet_RRS!$E124,aux_sheet_RRS!$D$2:$D$202,0)))</f>
        <v/>
      </c>
      <c r="N125" s="89" t="str">
        <f ca="1">IF($B125="","",INDIRECT("aux_sheet_RRS!V"&amp;1+MATCH(aux_sheet_RRS!$E124,aux_sheet_RRS!$D$2:$D$202,0)))</f>
        <v/>
      </c>
      <c r="O125" s="90" t="str">
        <f ca="1">IF(M125="","",ROUNDDOWN(INDIRECT("aux_sheet_RRS!W"&amp;1+MATCH(aux_sheet_RRS!$E124,aux_sheet_RRS!$D$2:$D$202,0)),0))</f>
        <v/>
      </c>
      <c r="P125" s="106" t="str">
        <f ca="1">IF($B125="","",INDIRECT("aux_sheet_RRS!X"&amp;1+MATCH(aux_sheet_RRS!$E124,aux_sheet_RRS!$D$2:$D$202,0)))</f>
        <v/>
      </c>
      <c r="Q125" s="89" t="str">
        <f ca="1">IF($B125="","",INDIRECT("aux_sheet_RRS!Y"&amp;1+MATCH(aux_sheet_RRS!$E124,aux_sheet_RRS!$D$2:$D$202,0)))</f>
        <v/>
      </c>
      <c r="R125" s="90" t="str">
        <f ca="1">IF(P125="","",INDIRECT("aux_sheet_RRS!Z"&amp;1+MATCH(aux_sheet_RRS!$E124,aux_sheet_RRS!$D$2:$D$202,0)))</f>
        <v/>
      </c>
      <c r="S125" s="106" t="str">
        <f ca="1">IF($B125="","",INDIRECT("aux_sheet_RRS!AA"&amp;1+MATCH(aux_sheet_RRS!$E124,aux_sheet_RRS!$D$2:$D$202,0)))</f>
        <v/>
      </c>
      <c r="T125" s="89" t="str">
        <f ca="1">IF($B125="","",INDIRECT("aux_sheet_RRS!AB"&amp;1+MATCH(aux_sheet_RRS!$E124,aux_sheet_RRS!$D$2:$D$202,0)))</f>
        <v/>
      </c>
      <c r="U125" s="90" t="str">
        <f ca="1">IF(S125="","",INDIRECT("aux_sheet_RRS!AC"&amp;1+MATCH(aux_sheet_RRS!$E124,aux_sheet_RRS!$D$2:$D$202,0)))</f>
        <v/>
      </c>
      <c r="V125" s="106" t="str">
        <f ca="1">IF($B125="","",INDIRECT("aux_sheet_RRS!AD"&amp;1+MATCH(aux_sheet_RRS!$E124,aux_sheet_RRS!$D$2:$D$202,0)))</f>
        <v/>
      </c>
      <c r="W125" s="89" t="str">
        <f ca="1">IF($B125="","",INDIRECT("aux_sheet_RRS!AE"&amp;1+MATCH(aux_sheet_RRS!$E124,aux_sheet_RRS!$D$2:$D$202,0)))</f>
        <v/>
      </c>
      <c r="X125" s="90" t="str">
        <f ca="1">IF(V125="","",INDIRECT("aux_sheet_RRS!AF"&amp;1+MATCH(aux_sheet_RRS!$E124,aux_sheet_RRS!$D$2:$D$202,0)))</f>
        <v/>
      </c>
      <c r="Y125" s="106" t="str">
        <f ca="1">IF($B125="","",INDIRECT("aux_sheet_RRS!AG"&amp;1+MATCH(aux_sheet_RRS!$E124,aux_sheet_RRS!$D$2:$D$202,0)))</f>
        <v/>
      </c>
      <c r="Z125" s="89" t="str">
        <f ca="1">IF($B125="","",INDIRECT("aux_sheet_RRS!AH"&amp;1+MATCH(aux_sheet_RRS!$E124,aux_sheet_RRS!$D$2:$D$202,0)))</f>
        <v/>
      </c>
      <c r="AA125" s="90" t="str">
        <f ca="1">IF(Y125="","",INDIRECT("aux_sheet_RRS!AI"&amp;1+MATCH(aux_sheet_RRS!$E124,aux_sheet_RRS!$D$2:$D$202,0)))</f>
        <v/>
      </c>
      <c r="AB125" s="88" t="str">
        <f ca="1">IF($B125="","",INDIRECT("aux_sheet_RRS!AJ"&amp;1+MATCH(aux_sheet_RRS!$E124,aux_sheet_RRS!$D$2:$D$202,0)))</f>
        <v/>
      </c>
      <c r="AC125" s="89" t="str">
        <f ca="1">IF($B125="","",INDIRECT("aux_sheet_RRS!AK"&amp;1+MATCH(aux_sheet_RRS!$E124,aux_sheet_RRS!$D$2:$D$202,0)))</f>
        <v/>
      </c>
      <c r="AD125" s="90" t="str">
        <f ca="1">IF(AB125="","",INDIRECT("aux_sheet_RRS!AL"&amp;1+MATCH(aux_sheet_RRS!$E124,aux_sheet_RRS!$D$2:$D$202,0)))</f>
        <v/>
      </c>
      <c r="AE125" s="88" t="str">
        <f ca="1">IF($B125="","",INDIRECT("aux_sheet_RRS!AM"&amp;1+MATCH(aux_sheet_RRS!$E124,aux_sheet_RRS!$D$2:$D$202,0)))</f>
        <v/>
      </c>
      <c r="AF125" s="89" t="str">
        <f ca="1">IF($B125="","",INDIRECT("aux_sheet_RRS!AN"&amp;1+MATCH(aux_sheet_RRS!$E124,aux_sheet_RRS!$D$2:$D$202,0)))</f>
        <v/>
      </c>
      <c r="AG125" s="90" t="str">
        <f ca="1">IF(AE125="","",INDIRECT("aux_sheet_RRS!AO"&amp;1+MATCH(aux_sheet_RRS!$E124,aux_sheet_RRS!$D$2:$D$202,0)))</f>
        <v/>
      </c>
      <c r="AH125" s="14" t="str">
        <f t="shared" ca="1" si="6"/>
        <v/>
      </c>
      <c r="AI125" t="str">
        <f t="shared" ca="1" si="7"/>
        <v/>
      </c>
      <c r="AJ125" t="str">
        <f t="shared" ca="1" si="8"/>
        <v/>
      </c>
    </row>
    <row r="126" spans="1:36" x14ac:dyDescent="0.35">
      <c r="A126" s="2" t="str">
        <f>IF(ISBLANK(Input!A125),"",ROUNDDOWN(aux_sheet_RRS!E125,0))</f>
        <v/>
      </c>
      <c r="B126" s="2" t="str">
        <f ca="1">IF(ISBLANK(Input!A125),"",INDIRECT("Input!A"&amp;1+MATCH(aux_sheet_RRS!$E125,aux_sheet_RRS!$D$2:$D$202,0)))</f>
        <v/>
      </c>
      <c r="C126" s="2" t="str">
        <f ca="1">IF(ISBLANK(Input!B125),"",INDIRECT("Input!B"&amp;1+MATCH(aux_sheet_RRS!$E125,aux_sheet_RRS!$D$2:$D$202,0)))</f>
        <v/>
      </c>
      <c r="D126" s="2" t="str">
        <f ca="1">IF(ISBLANK(Input!C125),"",INDIRECT("Input!C"&amp;1+MATCH(aux_sheet_RRS!$E125,aux_sheet_RRS!$D$2:$D$202,0)))</f>
        <v/>
      </c>
      <c r="E126" s="2" t="str">
        <f ca="1">IF(ISBLANK(Input!D125),"",INDIRECT("Input!D"&amp;1+MATCH(aux_sheet_RRS!$E125,aux_sheet_RRS!$D$2:$D$202,0)))</f>
        <v/>
      </c>
      <c r="F126" s="11" t="str">
        <f ca="1">INDIRECT("Input!H"&amp;1+MATCH(aux_sheet_RRS!$E125,aux_sheet_RRS!$D$2:$D$202,0))</f>
        <v xml:space="preserve"> </v>
      </c>
      <c r="G126" s="88" t="str">
        <f ca="1">IF($B126="","",INDIRECT("aux_sheet_RRS!O"&amp;1+MATCH(aux_sheet_RRS!$E125,aux_sheet_RRS!$D$2:$D$202,0)))</f>
        <v/>
      </c>
      <c r="H126" s="89" t="str">
        <f ca="1">IF($B126="","",INDIRECT("aux_sheet_RRS!P"&amp;1+MATCH(aux_sheet_RRS!$E125,aux_sheet_RRS!$D$2:$D$202,0)))</f>
        <v/>
      </c>
      <c r="I126" s="90" t="str">
        <f ca="1">IF(G126="","",ROUNDDOWN(INDIRECT("aux_sheet_RRS!Q"&amp;1+MATCH(aux_sheet_RRS!$E125,aux_sheet_RRS!$D$2:$D$202,0)),0))</f>
        <v/>
      </c>
      <c r="J126" s="106" t="str">
        <f ca="1">IF($B126="","",INDIRECT("aux_sheet_RRS!R"&amp;1+MATCH(aux_sheet_RRS!$E125,aux_sheet_RRS!$D$2:$D$202,0)))</f>
        <v/>
      </c>
      <c r="K126" s="89" t="str">
        <f ca="1">IF($B126="","",INDIRECT("aux_sheet_RRS!S"&amp;1+MATCH(aux_sheet_RRS!$E125,aux_sheet_RRS!$D$2:$D$202,0)))</f>
        <v/>
      </c>
      <c r="L126" s="90" t="str">
        <f ca="1">IF(J126="","",ROUNDDOWN(INDIRECT("aux_sheet_RRS!T"&amp;1+MATCH(aux_sheet_RRS!$E125,aux_sheet_RRS!$D$2:$D$202,0)),0))</f>
        <v/>
      </c>
      <c r="M126" s="106" t="str">
        <f ca="1">IF($B126="","",INDIRECT("aux_sheet_RRS!U"&amp;1+MATCH(aux_sheet_RRS!$E125,aux_sheet_RRS!$D$2:$D$202,0)))</f>
        <v/>
      </c>
      <c r="N126" s="89" t="str">
        <f ca="1">IF($B126="","",INDIRECT("aux_sheet_RRS!V"&amp;1+MATCH(aux_sheet_RRS!$E125,aux_sheet_RRS!$D$2:$D$202,0)))</f>
        <v/>
      </c>
      <c r="O126" s="90" t="str">
        <f ca="1">IF(M126="","",ROUNDDOWN(INDIRECT("aux_sheet_RRS!W"&amp;1+MATCH(aux_sheet_RRS!$E125,aux_sheet_RRS!$D$2:$D$202,0)),0))</f>
        <v/>
      </c>
      <c r="P126" s="106" t="str">
        <f ca="1">IF($B126="","",INDIRECT("aux_sheet_RRS!X"&amp;1+MATCH(aux_sheet_RRS!$E125,aux_sheet_RRS!$D$2:$D$202,0)))</f>
        <v/>
      </c>
      <c r="Q126" s="89" t="str">
        <f ca="1">IF($B126="","",INDIRECT("aux_sheet_RRS!Y"&amp;1+MATCH(aux_sheet_RRS!$E125,aux_sheet_RRS!$D$2:$D$202,0)))</f>
        <v/>
      </c>
      <c r="R126" s="90" t="str">
        <f ca="1">IF(P126="","",INDIRECT("aux_sheet_RRS!Z"&amp;1+MATCH(aux_sheet_RRS!$E125,aux_sheet_RRS!$D$2:$D$202,0)))</f>
        <v/>
      </c>
      <c r="S126" s="106" t="str">
        <f ca="1">IF($B126="","",INDIRECT("aux_sheet_RRS!AA"&amp;1+MATCH(aux_sheet_RRS!$E125,aux_sheet_RRS!$D$2:$D$202,0)))</f>
        <v/>
      </c>
      <c r="T126" s="89" t="str">
        <f ca="1">IF($B126="","",INDIRECT("aux_sheet_RRS!AB"&amp;1+MATCH(aux_sheet_RRS!$E125,aux_sheet_RRS!$D$2:$D$202,0)))</f>
        <v/>
      </c>
      <c r="U126" s="90" t="str">
        <f ca="1">IF(S126="","",INDIRECT("aux_sheet_RRS!AC"&amp;1+MATCH(aux_sheet_RRS!$E125,aux_sheet_RRS!$D$2:$D$202,0)))</f>
        <v/>
      </c>
      <c r="V126" s="106" t="str">
        <f ca="1">IF($B126="","",INDIRECT("aux_sheet_RRS!AD"&amp;1+MATCH(aux_sheet_RRS!$E125,aux_sheet_RRS!$D$2:$D$202,0)))</f>
        <v/>
      </c>
      <c r="W126" s="89" t="str">
        <f ca="1">IF($B126="","",INDIRECT("aux_sheet_RRS!AE"&amp;1+MATCH(aux_sheet_RRS!$E125,aux_sheet_RRS!$D$2:$D$202,0)))</f>
        <v/>
      </c>
      <c r="X126" s="90" t="str">
        <f ca="1">IF(V126="","",INDIRECT("aux_sheet_RRS!AF"&amp;1+MATCH(aux_sheet_RRS!$E125,aux_sheet_RRS!$D$2:$D$202,0)))</f>
        <v/>
      </c>
      <c r="Y126" s="106" t="str">
        <f ca="1">IF($B126="","",INDIRECT("aux_sheet_RRS!AG"&amp;1+MATCH(aux_sheet_RRS!$E125,aux_sheet_RRS!$D$2:$D$202,0)))</f>
        <v/>
      </c>
      <c r="Z126" s="89" t="str">
        <f ca="1">IF($B126="","",INDIRECT("aux_sheet_RRS!AH"&amp;1+MATCH(aux_sheet_RRS!$E125,aux_sheet_RRS!$D$2:$D$202,0)))</f>
        <v/>
      </c>
      <c r="AA126" s="90" t="str">
        <f ca="1">IF(Y126="","",INDIRECT("aux_sheet_RRS!AI"&amp;1+MATCH(aux_sheet_RRS!$E125,aux_sheet_RRS!$D$2:$D$202,0)))</f>
        <v/>
      </c>
      <c r="AB126" s="88" t="str">
        <f ca="1">IF($B126="","",INDIRECT("aux_sheet_RRS!AJ"&amp;1+MATCH(aux_sheet_RRS!$E125,aux_sheet_RRS!$D$2:$D$202,0)))</f>
        <v/>
      </c>
      <c r="AC126" s="89" t="str">
        <f ca="1">IF($B126="","",INDIRECT("aux_sheet_RRS!AK"&amp;1+MATCH(aux_sheet_RRS!$E125,aux_sheet_RRS!$D$2:$D$202,0)))</f>
        <v/>
      </c>
      <c r="AD126" s="90" t="str">
        <f ca="1">IF(AB126="","",INDIRECT("aux_sheet_RRS!AL"&amp;1+MATCH(aux_sheet_RRS!$E125,aux_sheet_RRS!$D$2:$D$202,0)))</f>
        <v/>
      </c>
      <c r="AE126" s="88" t="str">
        <f ca="1">IF($B126="","",INDIRECT("aux_sheet_RRS!AM"&amp;1+MATCH(aux_sheet_RRS!$E125,aux_sheet_RRS!$D$2:$D$202,0)))</f>
        <v/>
      </c>
      <c r="AF126" s="89" t="str">
        <f ca="1">IF($B126="","",INDIRECT("aux_sheet_RRS!AN"&amp;1+MATCH(aux_sheet_RRS!$E125,aux_sheet_RRS!$D$2:$D$202,0)))</f>
        <v/>
      </c>
      <c r="AG126" s="90" t="str">
        <f ca="1">IF(AE126="","",INDIRECT("aux_sheet_RRS!AO"&amp;1+MATCH(aux_sheet_RRS!$E125,aux_sheet_RRS!$D$2:$D$202,0)))</f>
        <v/>
      </c>
      <c r="AH126" s="14" t="str">
        <f t="shared" ca="1" si="6"/>
        <v/>
      </c>
      <c r="AI126" t="str">
        <f t="shared" ca="1" si="7"/>
        <v/>
      </c>
      <c r="AJ126" t="str">
        <f t="shared" ca="1" si="8"/>
        <v/>
      </c>
    </row>
    <row r="127" spans="1:36" x14ac:dyDescent="0.35">
      <c r="A127" s="2" t="str">
        <f>IF(ISBLANK(Input!A126),"",ROUNDDOWN(aux_sheet_RRS!E126,0))</f>
        <v/>
      </c>
      <c r="B127" s="2" t="str">
        <f ca="1">IF(ISBLANK(Input!A126),"",INDIRECT("Input!A"&amp;1+MATCH(aux_sheet_RRS!$E126,aux_sheet_RRS!$D$2:$D$202,0)))</f>
        <v/>
      </c>
      <c r="C127" s="2" t="str">
        <f ca="1">IF(ISBLANK(Input!B126),"",INDIRECT("Input!B"&amp;1+MATCH(aux_sheet_RRS!$E126,aux_sheet_RRS!$D$2:$D$202,0)))</f>
        <v/>
      </c>
      <c r="D127" s="2" t="str">
        <f ca="1">IF(ISBLANK(Input!C126),"",INDIRECT("Input!C"&amp;1+MATCH(aux_sheet_RRS!$E126,aux_sheet_RRS!$D$2:$D$202,0)))</f>
        <v/>
      </c>
      <c r="E127" s="2" t="str">
        <f ca="1">IF(ISBLANK(Input!D126),"",INDIRECT("Input!D"&amp;1+MATCH(aux_sheet_RRS!$E126,aux_sheet_RRS!$D$2:$D$202,0)))</f>
        <v/>
      </c>
      <c r="F127" s="11" t="str">
        <f ca="1">INDIRECT("Input!H"&amp;1+MATCH(aux_sheet_RRS!$E126,aux_sheet_RRS!$D$2:$D$202,0))</f>
        <v xml:space="preserve"> </v>
      </c>
      <c r="G127" s="88" t="str">
        <f ca="1">IF($B127="","",INDIRECT("aux_sheet_RRS!O"&amp;1+MATCH(aux_sheet_RRS!$E126,aux_sheet_RRS!$D$2:$D$202,0)))</f>
        <v/>
      </c>
      <c r="H127" s="89" t="str">
        <f ca="1">IF($B127="","",INDIRECT("aux_sheet_RRS!P"&amp;1+MATCH(aux_sheet_RRS!$E126,aux_sheet_RRS!$D$2:$D$202,0)))</f>
        <v/>
      </c>
      <c r="I127" s="90" t="str">
        <f ca="1">IF(G127="","",ROUNDDOWN(INDIRECT("aux_sheet_RRS!Q"&amp;1+MATCH(aux_sheet_RRS!$E126,aux_sheet_RRS!$D$2:$D$202,0)),0))</f>
        <v/>
      </c>
      <c r="J127" s="106" t="str">
        <f ca="1">IF($B127="","",INDIRECT("aux_sheet_RRS!R"&amp;1+MATCH(aux_sheet_RRS!$E126,aux_sheet_RRS!$D$2:$D$202,0)))</f>
        <v/>
      </c>
      <c r="K127" s="89" t="str">
        <f ca="1">IF($B127="","",INDIRECT("aux_sheet_RRS!S"&amp;1+MATCH(aux_sheet_RRS!$E126,aux_sheet_RRS!$D$2:$D$202,0)))</f>
        <v/>
      </c>
      <c r="L127" s="90" t="str">
        <f ca="1">IF(J127="","",ROUNDDOWN(INDIRECT("aux_sheet_RRS!T"&amp;1+MATCH(aux_sheet_RRS!$E126,aux_sheet_RRS!$D$2:$D$202,0)),0))</f>
        <v/>
      </c>
      <c r="M127" s="106" t="str">
        <f ca="1">IF($B127="","",INDIRECT("aux_sheet_RRS!U"&amp;1+MATCH(aux_sheet_RRS!$E126,aux_sheet_RRS!$D$2:$D$202,0)))</f>
        <v/>
      </c>
      <c r="N127" s="89" t="str">
        <f ca="1">IF($B127="","",INDIRECT("aux_sheet_RRS!V"&amp;1+MATCH(aux_sheet_RRS!$E126,aux_sheet_RRS!$D$2:$D$202,0)))</f>
        <v/>
      </c>
      <c r="O127" s="90" t="str">
        <f ca="1">IF(M127="","",ROUNDDOWN(INDIRECT("aux_sheet_RRS!W"&amp;1+MATCH(aux_sheet_RRS!$E126,aux_sheet_RRS!$D$2:$D$202,0)),0))</f>
        <v/>
      </c>
      <c r="P127" s="106" t="str">
        <f ca="1">IF($B127="","",INDIRECT("aux_sheet_RRS!X"&amp;1+MATCH(aux_sheet_RRS!$E126,aux_sheet_RRS!$D$2:$D$202,0)))</f>
        <v/>
      </c>
      <c r="Q127" s="89" t="str">
        <f ca="1">IF($B127="","",INDIRECT("aux_sheet_RRS!Y"&amp;1+MATCH(aux_sheet_RRS!$E126,aux_sheet_RRS!$D$2:$D$202,0)))</f>
        <v/>
      </c>
      <c r="R127" s="90" t="str">
        <f ca="1">IF(P127="","",INDIRECT("aux_sheet_RRS!Z"&amp;1+MATCH(aux_sheet_RRS!$E126,aux_sheet_RRS!$D$2:$D$202,0)))</f>
        <v/>
      </c>
      <c r="S127" s="106" t="str">
        <f ca="1">IF($B127="","",INDIRECT("aux_sheet_RRS!AA"&amp;1+MATCH(aux_sheet_RRS!$E126,aux_sheet_RRS!$D$2:$D$202,0)))</f>
        <v/>
      </c>
      <c r="T127" s="89" t="str">
        <f ca="1">IF($B127="","",INDIRECT("aux_sheet_RRS!AB"&amp;1+MATCH(aux_sheet_RRS!$E126,aux_sheet_RRS!$D$2:$D$202,0)))</f>
        <v/>
      </c>
      <c r="U127" s="90" t="str">
        <f ca="1">IF(S127="","",INDIRECT("aux_sheet_RRS!AC"&amp;1+MATCH(aux_sheet_RRS!$E126,aux_sheet_RRS!$D$2:$D$202,0)))</f>
        <v/>
      </c>
      <c r="V127" s="106" t="str">
        <f ca="1">IF($B127="","",INDIRECT("aux_sheet_RRS!AD"&amp;1+MATCH(aux_sheet_RRS!$E126,aux_sheet_RRS!$D$2:$D$202,0)))</f>
        <v/>
      </c>
      <c r="W127" s="89" t="str">
        <f ca="1">IF($B127="","",INDIRECT("aux_sheet_RRS!AE"&amp;1+MATCH(aux_sheet_RRS!$E126,aux_sheet_RRS!$D$2:$D$202,0)))</f>
        <v/>
      </c>
      <c r="X127" s="90" t="str">
        <f ca="1">IF(V127="","",INDIRECT("aux_sheet_RRS!AF"&amp;1+MATCH(aux_sheet_RRS!$E126,aux_sheet_RRS!$D$2:$D$202,0)))</f>
        <v/>
      </c>
      <c r="Y127" s="106" t="str">
        <f ca="1">IF($B127="","",INDIRECT("aux_sheet_RRS!AG"&amp;1+MATCH(aux_sheet_RRS!$E126,aux_sheet_RRS!$D$2:$D$202,0)))</f>
        <v/>
      </c>
      <c r="Z127" s="89" t="str">
        <f ca="1">IF($B127="","",INDIRECT("aux_sheet_RRS!AH"&amp;1+MATCH(aux_sheet_RRS!$E126,aux_sheet_RRS!$D$2:$D$202,0)))</f>
        <v/>
      </c>
      <c r="AA127" s="90" t="str">
        <f ca="1">IF(Y127="","",INDIRECT("aux_sheet_RRS!AI"&amp;1+MATCH(aux_sheet_RRS!$E126,aux_sheet_RRS!$D$2:$D$202,0)))</f>
        <v/>
      </c>
      <c r="AB127" s="88" t="str">
        <f ca="1">IF($B127="","",INDIRECT("aux_sheet_RRS!AJ"&amp;1+MATCH(aux_sheet_RRS!$E126,aux_sheet_RRS!$D$2:$D$202,0)))</f>
        <v/>
      </c>
      <c r="AC127" s="89" t="str">
        <f ca="1">IF($B127="","",INDIRECT("aux_sheet_RRS!AK"&amp;1+MATCH(aux_sheet_RRS!$E126,aux_sheet_RRS!$D$2:$D$202,0)))</f>
        <v/>
      </c>
      <c r="AD127" s="90" t="str">
        <f ca="1">IF(AB127="","",INDIRECT("aux_sheet_RRS!AL"&amp;1+MATCH(aux_sheet_RRS!$E126,aux_sheet_RRS!$D$2:$D$202,0)))</f>
        <v/>
      </c>
      <c r="AE127" s="88" t="str">
        <f ca="1">IF($B127="","",INDIRECT("aux_sheet_RRS!AM"&amp;1+MATCH(aux_sheet_RRS!$E126,aux_sheet_RRS!$D$2:$D$202,0)))</f>
        <v/>
      </c>
      <c r="AF127" s="89" t="str">
        <f ca="1">IF($B127="","",INDIRECT("aux_sheet_RRS!AN"&amp;1+MATCH(aux_sheet_RRS!$E126,aux_sheet_RRS!$D$2:$D$202,0)))</f>
        <v/>
      </c>
      <c r="AG127" s="90" t="str">
        <f ca="1">IF(AE127="","",INDIRECT("aux_sheet_RRS!AO"&amp;1+MATCH(aux_sheet_RRS!$E126,aux_sheet_RRS!$D$2:$D$202,0)))</f>
        <v/>
      </c>
      <c r="AH127" s="14" t="str">
        <f t="shared" ca="1" si="6"/>
        <v/>
      </c>
      <c r="AI127" t="str">
        <f t="shared" ca="1" si="7"/>
        <v/>
      </c>
      <c r="AJ127" t="str">
        <f t="shared" ca="1" si="8"/>
        <v/>
      </c>
    </row>
    <row r="128" spans="1:36" x14ac:dyDescent="0.35">
      <c r="A128" s="2" t="str">
        <f>IF(ISBLANK(Input!A127),"",ROUNDDOWN(aux_sheet_RRS!E127,0))</f>
        <v/>
      </c>
      <c r="B128" s="2" t="str">
        <f ca="1">IF(ISBLANK(Input!A127),"",INDIRECT("Input!A"&amp;1+MATCH(aux_sheet_RRS!$E127,aux_sheet_RRS!$D$2:$D$202,0)))</f>
        <v/>
      </c>
      <c r="C128" s="2" t="str">
        <f ca="1">IF(ISBLANK(Input!B127),"",INDIRECT("Input!B"&amp;1+MATCH(aux_sheet_RRS!$E127,aux_sheet_RRS!$D$2:$D$202,0)))</f>
        <v/>
      </c>
      <c r="D128" s="2" t="str">
        <f ca="1">IF(ISBLANK(Input!C127),"",INDIRECT("Input!C"&amp;1+MATCH(aux_sheet_RRS!$E127,aux_sheet_RRS!$D$2:$D$202,0)))</f>
        <v/>
      </c>
      <c r="E128" s="2" t="str">
        <f ca="1">IF(ISBLANK(Input!D127),"",INDIRECT("Input!D"&amp;1+MATCH(aux_sheet_RRS!$E127,aux_sheet_RRS!$D$2:$D$202,0)))</f>
        <v/>
      </c>
      <c r="F128" s="11" t="str">
        <f ca="1">INDIRECT("Input!H"&amp;1+MATCH(aux_sheet_RRS!$E127,aux_sheet_RRS!$D$2:$D$202,0))</f>
        <v xml:space="preserve"> </v>
      </c>
      <c r="G128" s="88" t="str">
        <f ca="1">IF($B128="","",INDIRECT("aux_sheet_RRS!O"&amp;1+MATCH(aux_sheet_RRS!$E127,aux_sheet_RRS!$D$2:$D$202,0)))</f>
        <v/>
      </c>
      <c r="H128" s="89" t="str">
        <f ca="1">IF($B128="","",INDIRECT("aux_sheet_RRS!P"&amp;1+MATCH(aux_sheet_RRS!$E127,aux_sheet_RRS!$D$2:$D$202,0)))</f>
        <v/>
      </c>
      <c r="I128" s="90" t="str">
        <f ca="1">IF(G128="","",ROUNDDOWN(INDIRECT("aux_sheet_RRS!Q"&amp;1+MATCH(aux_sheet_RRS!$E127,aux_sheet_RRS!$D$2:$D$202,0)),0))</f>
        <v/>
      </c>
      <c r="J128" s="106" t="str">
        <f ca="1">IF($B128="","",INDIRECT("aux_sheet_RRS!R"&amp;1+MATCH(aux_sheet_RRS!$E127,aux_sheet_RRS!$D$2:$D$202,0)))</f>
        <v/>
      </c>
      <c r="K128" s="89" t="str">
        <f ca="1">IF($B128="","",INDIRECT("aux_sheet_RRS!S"&amp;1+MATCH(aux_sheet_RRS!$E127,aux_sheet_RRS!$D$2:$D$202,0)))</f>
        <v/>
      </c>
      <c r="L128" s="90" t="str">
        <f ca="1">IF(J128="","",ROUNDDOWN(INDIRECT("aux_sheet_RRS!T"&amp;1+MATCH(aux_sheet_RRS!$E127,aux_sheet_RRS!$D$2:$D$202,0)),0))</f>
        <v/>
      </c>
      <c r="M128" s="106" t="str">
        <f ca="1">IF($B128="","",INDIRECT("aux_sheet_RRS!U"&amp;1+MATCH(aux_sheet_RRS!$E127,aux_sheet_RRS!$D$2:$D$202,0)))</f>
        <v/>
      </c>
      <c r="N128" s="89" t="str">
        <f ca="1">IF($B128="","",INDIRECT("aux_sheet_RRS!V"&amp;1+MATCH(aux_sheet_RRS!$E127,aux_sheet_RRS!$D$2:$D$202,0)))</f>
        <v/>
      </c>
      <c r="O128" s="90" t="str">
        <f ca="1">IF(M128="","",ROUNDDOWN(INDIRECT("aux_sheet_RRS!W"&amp;1+MATCH(aux_sheet_RRS!$E127,aux_sheet_RRS!$D$2:$D$202,0)),0))</f>
        <v/>
      </c>
      <c r="P128" s="106" t="str">
        <f ca="1">IF($B128="","",INDIRECT("aux_sheet_RRS!X"&amp;1+MATCH(aux_sheet_RRS!$E127,aux_sheet_RRS!$D$2:$D$202,0)))</f>
        <v/>
      </c>
      <c r="Q128" s="89" t="str">
        <f ca="1">IF($B128="","",INDIRECT("aux_sheet_RRS!Y"&amp;1+MATCH(aux_sheet_RRS!$E127,aux_sheet_RRS!$D$2:$D$202,0)))</f>
        <v/>
      </c>
      <c r="R128" s="90" t="str">
        <f ca="1">IF(P128="","",INDIRECT("aux_sheet_RRS!Z"&amp;1+MATCH(aux_sheet_RRS!$E127,aux_sheet_RRS!$D$2:$D$202,0)))</f>
        <v/>
      </c>
      <c r="S128" s="106" t="str">
        <f ca="1">IF($B128="","",INDIRECT("aux_sheet_RRS!AA"&amp;1+MATCH(aux_sheet_RRS!$E127,aux_sheet_RRS!$D$2:$D$202,0)))</f>
        <v/>
      </c>
      <c r="T128" s="89" t="str">
        <f ca="1">IF($B128="","",INDIRECT("aux_sheet_RRS!AB"&amp;1+MATCH(aux_sheet_RRS!$E127,aux_sheet_RRS!$D$2:$D$202,0)))</f>
        <v/>
      </c>
      <c r="U128" s="90" t="str">
        <f ca="1">IF(S128="","",INDIRECT("aux_sheet_RRS!AC"&amp;1+MATCH(aux_sheet_RRS!$E127,aux_sheet_RRS!$D$2:$D$202,0)))</f>
        <v/>
      </c>
      <c r="V128" s="106" t="str">
        <f ca="1">IF($B128="","",INDIRECT("aux_sheet_RRS!AD"&amp;1+MATCH(aux_sheet_RRS!$E127,aux_sheet_RRS!$D$2:$D$202,0)))</f>
        <v/>
      </c>
      <c r="W128" s="89" t="str">
        <f ca="1">IF($B128="","",INDIRECT("aux_sheet_RRS!AE"&amp;1+MATCH(aux_sheet_RRS!$E127,aux_sheet_RRS!$D$2:$D$202,0)))</f>
        <v/>
      </c>
      <c r="X128" s="90" t="str">
        <f ca="1">IF(V128="","",INDIRECT("aux_sheet_RRS!AF"&amp;1+MATCH(aux_sheet_RRS!$E127,aux_sheet_RRS!$D$2:$D$202,0)))</f>
        <v/>
      </c>
      <c r="Y128" s="106" t="str">
        <f ca="1">IF($B128="","",INDIRECT("aux_sheet_RRS!AG"&amp;1+MATCH(aux_sheet_RRS!$E127,aux_sheet_RRS!$D$2:$D$202,0)))</f>
        <v/>
      </c>
      <c r="Z128" s="89" t="str">
        <f ca="1">IF($B128="","",INDIRECT("aux_sheet_RRS!AH"&amp;1+MATCH(aux_sheet_RRS!$E127,aux_sheet_RRS!$D$2:$D$202,0)))</f>
        <v/>
      </c>
      <c r="AA128" s="90" t="str">
        <f ca="1">IF(Y128="","",INDIRECT("aux_sheet_RRS!AI"&amp;1+MATCH(aux_sheet_RRS!$E127,aux_sheet_RRS!$D$2:$D$202,0)))</f>
        <v/>
      </c>
      <c r="AB128" s="88" t="str">
        <f ca="1">IF($B128="","",INDIRECT("aux_sheet_RRS!AJ"&amp;1+MATCH(aux_sheet_RRS!$E127,aux_sheet_RRS!$D$2:$D$202,0)))</f>
        <v/>
      </c>
      <c r="AC128" s="89" t="str">
        <f ca="1">IF($B128="","",INDIRECT("aux_sheet_RRS!AK"&amp;1+MATCH(aux_sheet_RRS!$E127,aux_sheet_RRS!$D$2:$D$202,0)))</f>
        <v/>
      </c>
      <c r="AD128" s="90" t="str">
        <f ca="1">IF(AB128="","",INDIRECT("aux_sheet_RRS!AL"&amp;1+MATCH(aux_sheet_RRS!$E127,aux_sheet_RRS!$D$2:$D$202,0)))</f>
        <v/>
      </c>
      <c r="AE128" s="88" t="str">
        <f ca="1">IF($B128="","",INDIRECT("aux_sheet_RRS!AM"&amp;1+MATCH(aux_sheet_RRS!$E127,aux_sheet_RRS!$D$2:$D$202,0)))</f>
        <v/>
      </c>
      <c r="AF128" s="89" t="str">
        <f ca="1">IF($B128="","",INDIRECT("aux_sheet_RRS!AN"&amp;1+MATCH(aux_sheet_RRS!$E127,aux_sheet_RRS!$D$2:$D$202,0)))</f>
        <v/>
      </c>
      <c r="AG128" s="90" t="str">
        <f ca="1">IF(AE128="","",INDIRECT("aux_sheet_RRS!AO"&amp;1+MATCH(aux_sheet_RRS!$E127,aux_sheet_RRS!$D$2:$D$202,0)))</f>
        <v/>
      </c>
      <c r="AH128" s="14" t="str">
        <f t="shared" ca="1" si="6"/>
        <v/>
      </c>
      <c r="AI128" t="str">
        <f t="shared" ca="1" si="7"/>
        <v/>
      </c>
      <c r="AJ128" t="str">
        <f t="shared" ca="1" si="8"/>
        <v/>
      </c>
    </row>
    <row r="129" spans="1:36" x14ac:dyDescent="0.35">
      <c r="A129" s="2" t="str">
        <f>IF(ISBLANK(Input!A128),"",ROUNDDOWN(aux_sheet_RRS!E128,0))</f>
        <v/>
      </c>
      <c r="B129" s="2" t="str">
        <f ca="1">IF(ISBLANK(Input!A128),"",INDIRECT("Input!A"&amp;1+MATCH(aux_sheet_RRS!$E128,aux_sheet_RRS!$D$2:$D$202,0)))</f>
        <v/>
      </c>
      <c r="C129" s="2" t="str">
        <f ca="1">IF(ISBLANK(Input!B128),"",INDIRECT("Input!B"&amp;1+MATCH(aux_sheet_RRS!$E128,aux_sheet_RRS!$D$2:$D$202,0)))</f>
        <v/>
      </c>
      <c r="D129" s="2" t="str">
        <f ca="1">IF(ISBLANK(Input!C128),"",INDIRECT("Input!C"&amp;1+MATCH(aux_sheet_RRS!$E128,aux_sheet_RRS!$D$2:$D$202,0)))</f>
        <v/>
      </c>
      <c r="E129" s="2" t="str">
        <f ca="1">IF(ISBLANK(Input!D128),"",INDIRECT("Input!D"&amp;1+MATCH(aux_sheet_RRS!$E128,aux_sheet_RRS!$D$2:$D$202,0)))</f>
        <v/>
      </c>
      <c r="F129" s="11" t="str">
        <f ca="1">INDIRECT("Input!H"&amp;1+MATCH(aux_sheet_RRS!$E128,aux_sheet_RRS!$D$2:$D$202,0))</f>
        <v xml:space="preserve"> </v>
      </c>
      <c r="G129" s="88" t="str">
        <f ca="1">IF($B129="","",INDIRECT("aux_sheet_RRS!O"&amp;1+MATCH(aux_sheet_RRS!$E128,aux_sheet_RRS!$D$2:$D$202,0)))</f>
        <v/>
      </c>
      <c r="H129" s="89" t="str">
        <f ca="1">IF($B129="","",INDIRECT("aux_sheet_RRS!P"&amp;1+MATCH(aux_sheet_RRS!$E128,aux_sheet_RRS!$D$2:$D$202,0)))</f>
        <v/>
      </c>
      <c r="I129" s="90" t="str">
        <f ca="1">IF(G129="","",ROUNDDOWN(INDIRECT("aux_sheet_RRS!Q"&amp;1+MATCH(aux_sheet_RRS!$E128,aux_sheet_RRS!$D$2:$D$202,0)),0))</f>
        <v/>
      </c>
      <c r="J129" s="106" t="str">
        <f ca="1">IF($B129="","",INDIRECT("aux_sheet_RRS!R"&amp;1+MATCH(aux_sheet_RRS!$E128,aux_sheet_RRS!$D$2:$D$202,0)))</f>
        <v/>
      </c>
      <c r="K129" s="89" t="str">
        <f ca="1">IF($B129="","",INDIRECT("aux_sheet_RRS!S"&amp;1+MATCH(aux_sheet_RRS!$E128,aux_sheet_RRS!$D$2:$D$202,0)))</f>
        <v/>
      </c>
      <c r="L129" s="90" t="str">
        <f ca="1">IF(J129="","",ROUNDDOWN(INDIRECT("aux_sheet_RRS!T"&amp;1+MATCH(aux_sheet_RRS!$E128,aux_sheet_RRS!$D$2:$D$202,0)),0))</f>
        <v/>
      </c>
      <c r="M129" s="106" t="str">
        <f ca="1">IF($B129="","",INDIRECT("aux_sheet_RRS!U"&amp;1+MATCH(aux_sheet_RRS!$E128,aux_sheet_RRS!$D$2:$D$202,0)))</f>
        <v/>
      </c>
      <c r="N129" s="89" t="str">
        <f ca="1">IF($B129="","",INDIRECT("aux_sheet_RRS!V"&amp;1+MATCH(aux_sheet_RRS!$E128,aux_sheet_RRS!$D$2:$D$202,0)))</f>
        <v/>
      </c>
      <c r="O129" s="90" t="str">
        <f ca="1">IF(M129="","",ROUNDDOWN(INDIRECT("aux_sheet_RRS!W"&amp;1+MATCH(aux_sheet_RRS!$E128,aux_sheet_RRS!$D$2:$D$202,0)),0))</f>
        <v/>
      </c>
      <c r="P129" s="106" t="str">
        <f ca="1">IF($B129="","",INDIRECT("aux_sheet_RRS!X"&amp;1+MATCH(aux_sheet_RRS!$E128,aux_sheet_RRS!$D$2:$D$202,0)))</f>
        <v/>
      </c>
      <c r="Q129" s="89" t="str">
        <f ca="1">IF($B129="","",INDIRECT("aux_sheet_RRS!Y"&amp;1+MATCH(aux_sheet_RRS!$E128,aux_sheet_RRS!$D$2:$D$202,0)))</f>
        <v/>
      </c>
      <c r="R129" s="90" t="str">
        <f ca="1">IF(P129="","",INDIRECT("aux_sheet_RRS!Z"&amp;1+MATCH(aux_sheet_RRS!$E128,aux_sheet_RRS!$D$2:$D$202,0)))</f>
        <v/>
      </c>
      <c r="S129" s="106" t="str">
        <f ca="1">IF($B129="","",INDIRECT("aux_sheet_RRS!AA"&amp;1+MATCH(aux_sheet_RRS!$E128,aux_sheet_RRS!$D$2:$D$202,0)))</f>
        <v/>
      </c>
      <c r="T129" s="89" t="str">
        <f ca="1">IF($B129="","",INDIRECT("aux_sheet_RRS!AB"&amp;1+MATCH(aux_sheet_RRS!$E128,aux_sheet_RRS!$D$2:$D$202,0)))</f>
        <v/>
      </c>
      <c r="U129" s="90" t="str">
        <f ca="1">IF(S129="","",INDIRECT("aux_sheet_RRS!AC"&amp;1+MATCH(aux_sheet_RRS!$E128,aux_sheet_RRS!$D$2:$D$202,0)))</f>
        <v/>
      </c>
      <c r="V129" s="106" t="str">
        <f ca="1">IF($B129="","",INDIRECT("aux_sheet_RRS!AD"&amp;1+MATCH(aux_sheet_RRS!$E128,aux_sheet_RRS!$D$2:$D$202,0)))</f>
        <v/>
      </c>
      <c r="W129" s="89" t="str">
        <f ca="1">IF($B129="","",INDIRECT("aux_sheet_RRS!AE"&amp;1+MATCH(aux_sheet_RRS!$E128,aux_sheet_RRS!$D$2:$D$202,0)))</f>
        <v/>
      </c>
      <c r="X129" s="90" t="str">
        <f ca="1">IF(V129="","",INDIRECT("aux_sheet_RRS!AF"&amp;1+MATCH(aux_sheet_RRS!$E128,aux_sheet_RRS!$D$2:$D$202,0)))</f>
        <v/>
      </c>
      <c r="Y129" s="106" t="str">
        <f ca="1">IF($B129="","",INDIRECT("aux_sheet_RRS!AG"&amp;1+MATCH(aux_sheet_RRS!$E128,aux_sheet_RRS!$D$2:$D$202,0)))</f>
        <v/>
      </c>
      <c r="Z129" s="89" t="str">
        <f ca="1">IF($B129="","",INDIRECT("aux_sheet_RRS!AH"&amp;1+MATCH(aux_sheet_RRS!$E128,aux_sheet_RRS!$D$2:$D$202,0)))</f>
        <v/>
      </c>
      <c r="AA129" s="90" t="str">
        <f ca="1">IF(Y129="","",INDIRECT("aux_sheet_RRS!AI"&amp;1+MATCH(aux_sheet_RRS!$E128,aux_sheet_RRS!$D$2:$D$202,0)))</f>
        <v/>
      </c>
      <c r="AB129" s="88" t="str">
        <f ca="1">IF($B129="","",INDIRECT("aux_sheet_RRS!AJ"&amp;1+MATCH(aux_sheet_RRS!$E128,aux_sheet_RRS!$D$2:$D$202,0)))</f>
        <v/>
      </c>
      <c r="AC129" s="89" t="str">
        <f ca="1">IF($B129="","",INDIRECT("aux_sheet_RRS!AK"&amp;1+MATCH(aux_sheet_RRS!$E128,aux_sheet_RRS!$D$2:$D$202,0)))</f>
        <v/>
      </c>
      <c r="AD129" s="90" t="str">
        <f ca="1">IF(AB129="","",INDIRECT("aux_sheet_RRS!AL"&amp;1+MATCH(aux_sheet_RRS!$E128,aux_sheet_RRS!$D$2:$D$202,0)))</f>
        <v/>
      </c>
      <c r="AE129" s="88" t="str">
        <f ca="1">IF($B129="","",INDIRECT("aux_sheet_RRS!AM"&amp;1+MATCH(aux_sheet_RRS!$E128,aux_sheet_RRS!$D$2:$D$202,0)))</f>
        <v/>
      </c>
      <c r="AF129" s="89" t="str">
        <f ca="1">IF($B129="","",INDIRECT("aux_sheet_RRS!AN"&amp;1+MATCH(aux_sheet_RRS!$E128,aux_sheet_RRS!$D$2:$D$202,0)))</f>
        <v/>
      </c>
      <c r="AG129" s="90" t="str">
        <f ca="1">IF(AE129="","",INDIRECT("aux_sheet_RRS!AO"&amp;1+MATCH(aux_sheet_RRS!$E128,aux_sheet_RRS!$D$2:$D$202,0)))</f>
        <v/>
      </c>
      <c r="AH129" s="14" t="str">
        <f t="shared" ca="1" si="6"/>
        <v/>
      </c>
      <c r="AI129" t="str">
        <f t="shared" ca="1" si="7"/>
        <v/>
      </c>
      <c r="AJ129" t="str">
        <f t="shared" ca="1" si="8"/>
        <v/>
      </c>
    </row>
    <row r="130" spans="1:36" x14ac:dyDescent="0.35">
      <c r="A130" s="2" t="str">
        <f>IF(ISBLANK(Input!A129),"",ROUNDDOWN(aux_sheet_RRS!E129,0))</f>
        <v/>
      </c>
      <c r="B130" s="2" t="str">
        <f ca="1">IF(ISBLANK(Input!A129),"",INDIRECT("Input!A"&amp;1+MATCH(aux_sheet_RRS!$E129,aux_sheet_RRS!$D$2:$D$202,0)))</f>
        <v/>
      </c>
      <c r="C130" s="2" t="str">
        <f ca="1">IF(ISBLANK(Input!B129),"",INDIRECT("Input!B"&amp;1+MATCH(aux_sheet_RRS!$E129,aux_sheet_RRS!$D$2:$D$202,0)))</f>
        <v/>
      </c>
      <c r="D130" s="2" t="str">
        <f ca="1">IF(ISBLANK(Input!C129),"",INDIRECT("Input!C"&amp;1+MATCH(aux_sheet_RRS!$E129,aux_sheet_RRS!$D$2:$D$202,0)))</f>
        <v/>
      </c>
      <c r="E130" s="2" t="str">
        <f ca="1">IF(ISBLANK(Input!D129),"",INDIRECT("Input!D"&amp;1+MATCH(aux_sheet_RRS!$E129,aux_sheet_RRS!$D$2:$D$202,0)))</f>
        <v/>
      </c>
      <c r="F130" s="11" t="str">
        <f ca="1">INDIRECT("Input!H"&amp;1+MATCH(aux_sheet_RRS!$E129,aux_sheet_RRS!$D$2:$D$202,0))</f>
        <v xml:space="preserve"> </v>
      </c>
      <c r="G130" s="88" t="str">
        <f ca="1">IF($B130="","",INDIRECT("aux_sheet_RRS!O"&amp;1+MATCH(aux_sheet_RRS!$E129,aux_sheet_RRS!$D$2:$D$202,0)))</f>
        <v/>
      </c>
      <c r="H130" s="89" t="str">
        <f ca="1">IF($B130="","",INDIRECT("aux_sheet_RRS!P"&amp;1+MATCH(aux_sheet_RRS!$E129,aux_sheet_RRS!$D$2:$D$202,0)))</f>
        <v/>
      </c>
      <c r="I130" s="90" t="str">
        <f ca="1">IF(G130="","",ROUNDDOWN(INDIRECT("aux_sheet_RRS!Q"&amp;1+MATCH(aux_sheet_RRS!$E129,aux_sheet_RRS!$D$2:$D$202,0)),0))</f>
        <v/>
      </c>
      <c r="J130" s="106" t="str">
        <f ca="1">IF($B130="","",INDIRECT("aux_sheet_RRS!R"&amp;1+MATCH(aux_sheet_RRS!$E129,aux_sheet_RRS!$D$2:$D$202,0)))</f>
        <v/>
      </c>
      <c r="K130" s="89" t="str">
        <f ca="1">IF($B130="","",INDIRECT("aux_sheet_RRS!S"&amp;1+MATCH(aux_sheet_RRS!$E129,aux_sheet_RRS!$D$2:$D$202,0)))</f>
        <v/>
      </c>
      <c r="L130" s="90" t="str">
        <f ca="1">IF(J130="","",ROUNDDOWN(INDIRECT("aux_sheet_RRS!T"&amp;1+MATCH(aux_sheet_RRS!$E129,aux_sheet_RRS!$D$2:$D$202,0)),0))</f>
        <v/>
      </c>
      <c r="M130" s="106" t="str">
        <f ca="1">IF($B130="","",INDIRECT("aux_sheet_RRS!U"&amp;1+MATCH(aux_sheet_RRS!$E129,aux_sheet_RRS!$D$2:$D$202,0)))</f>
        <v/>
      </c>
      <c r="N130" s="89" t="str">
        <f ca="1">IF($B130="","",INDIRECT("aux_sheet_RRS!V"&amp;1+MATCH(aux_sheet_RRS!$E129,aux_sheet_RRS!$D$2:$D$202,0)))</f>
        <v/>
      </c>
      <c r="O130" s="90" t="str">
        <f ca="1">IF(M130="","",ROUNDDOWN(INDIRECT("aux_sheet_RRS!W"&amp;1+MATCH(aux_sheet_RRS!$E129,aux_sheet_RRS!$D$2:$D$202,0)),0))</f>
        <v/>
      </c>
      <c r="P130" s="106" t="str">
        <f ca="1">IF($B130="","",INDIRECT("aux_sheet_RRS!X"&amp;1+MATCH(aux_sheet_RRS!$E129,aux_sheet_RRS!$D$2:$D$202,0)))</f>
        <v/>
      </c>
      <c r="Q130" s="89" t="str">
        <f ca="1">IF($B130="","",INDIRECT("aux_sheet_RRS!Y"&amp;1+MATCH(aux_sheet_RRS!$E129,aux_sheet_RRS!$D$2:$D$202,0)))</f>
        <v/>
      </c>
      <c r="R130" s="90" t="str">
        <f ca="1">IF(P130="","",INDIRECT("aux_sheet_RRS!Z"&amp;1+MATCH(aux_sheet_RRS!$E129,aux_sheet_RRS!$D$2:$D$202,0)))</f>
        <v/>
      </c>
      <c r="S130" s="106" t="str">
        <f ca="1">IF($B130="","",INDIRECT("aux_sheet_RRS!AA"&amp;1+MATCH(aux_sheet_RRS!$E129,aux_sheet_RRS!$D$2:$D$202,0)))</f>
        <v/>
      </c>
      <c r="T130" s="89" t="str">
        <f ca="1">IF($B130="","",INDIRECT("aux_sheet_RRS!AB"&amp;1+MATCH(aux_sheet_RRS!$E129,aux_sheet_RRS!$D$2:$D$202,0)))</f>
        <v/>
      </c>
      <c r="U130" s="90" t="str">
        <f ca="1">IF(S130="","",INDIRECT("aux_sheet_RRS!AC"&amp;1+MATCH(aux_sheet_RRS!$E129,aux_sheet_RRS!$D$2:$D$202,0)))</f>
        <v/>
      </c>
      <c r="V130" s="106" t="str">
        <f ca="1">IF($B130="","",INDIRECT("aux_sheet_RRS!AD"&amp;1+MATCH(aux_sheet_RRS!$E129,aux_sheet_RRS!$D$2:$D$202,0)))</f>
        <v/>
      </c>
      <c r="W130" s="89" t="str">
        <f ca="1">IF($B130="","",INDIRECT("aux_sheet_RRS!AE"&amp;1+MATCH(aux_sheet_RRS!$E129,aux_sheet_RRS!$D$2:$D$202,0)))</f>
        <v/>
      </c>
      <c r="X130" s="90" t="str">
        <f ca="1">IF(V130="","",INDIRECT("aux_sheet_RRS!AF"&amp;1+MATCH(aux_sheet_RRS!$E129,aux_sheet_RRS!$D$2:$D$202,0)))</f>
        <v/>
      </c>
      <c r="Y130" s="106" t="str">
        <f ca="1">IF($B130="","",INDIRECT("aux_sheet_RRS!AG"&amp;1+MATCH(aux_sheet_RRS!$E129,aux_sheet_RRS!$D$2:$D$202,0)))</f>
        <v/>
      </c>
      <c r="Z130" s="89" t="str">
        <f ca="1">IF($B130="","",INDIRECT("aux_sheet_RRS!AH"&amp;1+MATCH(aux_sheet_RRS!$E129,aux_sheet_RRS!$D$2:$D$202,0)))</f>
        <v/>
      </c>
      <c r="AA130" s="90" t="str">
        <f ca="1">IF(Y130="","",INDIRECT("aux_sheet_RRS!AI"&amp;1+MATCH(aux_sheet_RRS!$E129,aux_sheet_RRS!$D$2:$D$202,0)))</f>
        <v/>
      </c>
      <c r="AB130" s="88" t="str">
        <f ca="1">IF($B130="","",INDIRECT("aux_sheet_RRS!AJ"&amp;1+MATCH(aux_sheet_RRS!$E129,aux_sheet_RRS!$D$2:$D$202,0)))</f>
        <v/>
      </c>
      <c r="AC130" s="89" t="str">
        <f ca="1">IF($B130="","",INDIRECT("aux_sheet_RRS!AK"&amp;1+MATCH(aux_sheet_RRS!$E129,aux_sheet_RRS!$D$2:$D$202,0)))</f>
        <v/>
      </c>
      <c r="AD130" s="90" t="str">
        <f ca="1">IF(AB130="","",INDIRECT("aux_sheet_RRS!AL"&amp;1+MATCH(aux_sheet_RRS!$E129,aux_sheet_RRS!$D$2:$D$202,0)))</f>
        <v/>
      </c>
      <c r="AE130" s="88" t="str">
        <f ca="1">IF($B130="","",INDIRECT("aux_sheet_RRS!AM"&amp;1+MATCH(aux_sheet_RRS!$E129,aux_sheet_RRS!$D$2:$D$202,0)))</f>
        <v/>
      </c>
      <c r="AF130" s="89" t="str">
        <f ca="1">IF($B130="","",INDIRECT("aux_sheet_RRS!AN"&amp;1+MATCH(aux_sheet_RRS!$E129,aux_sheet_RRS!$D$2:$D$202,0)))</f>
        <v/>
      </c>
      <c r="AG130" s="90" t="str">
        <f ca="1">IF(AE130="","",INDIRECT("aux_sheet_RRS!AO"&amp;1+MATCH(aux_sheet_RRS!$E129,aux_sheet_RRS!$D$2:$D$202,0)))</f>
        <v/>
      </c>
      <c r="AH130" s="14" t="str">
        <f t="shared" ca="1" si="6"/>
        <v/>
      </c>
      <c r="AI130" t="str">
        <f t="shared" ca="1" si="7"/>
        <v/>
      </c>
      <c r="AJ130" t="str">
        <f t="shared" ca="1" si="8"/>
        <v/>
      </c>
    </row>
    <row r="131" spans="1:36" x14ac:dyDescent="0.35">
      <c r="A131" s="2" t="str">
        <f>IF(ISBLANK(Input!A130),"",ROUNDDOWN(aux_sheet_RRS!E130,0))</f>
        <v/>
      </c>
      <c r="B131" s="2" t="str">
        <f ca="1">IF(ISBLANK(Input!A130),"",INDIRECT("Input!A"&amp;1+MATCH(aux_sheet_RRS!$E130,aux_sheet_RRS!$D$2:$D$202,0)))</f>
        <v/>
      </c>
      <c r="C131" s="2" t="str">
        <f ca="1">IF(ISBLANK(Input!B130),"",INDIRECT("Input!B"&amp;1+MATCH(aux_sheet_RRS!$E130,aux_sheet_RRS!$D$2:$D$202,0)))</f>
        <v/>
      </c>
      <c r="D131" s="2" t="str">
        <f ca="1">IF(ISBLANK(Input!C130),"",INDIRECT("Input!C"&amp;1+MATCH(aux_sheet_RRS!$E130,aux_sheet_RRS!$D$2:$D$202,0)))</f>
        <v/>
      </c>
      <c r="E131" s="2" t="str">
        <f ca="1">IF(ISBLANK(Input!D130),"",INDIRECT("Input!D"&amp;1+MATCH(aux_sheet_RRS!$E130,aux_sheet_RRS!$D$2:$D$202,0)))</f>
        <v/>
      </c>
      <c r="F131" s="11" t="str">
        <f ca="1">INDIRECT("Input!H"&amp;1+MATCH(aux_sheet_RRS!$E130,aux_sheet_RRS!$D$2:$D$202,0))</f>
        <v xml:space="preserve"> </v>
      </c>
      <c r="G131" s="88" t="str">
        <f ca="1">IF($B131="","",INDIRECT("aux_sheet_RRS!O"&amp;1+MATCH(aux_sheet_RRS!$E130,aux_sheet_RRS!$D$2:$D$202,0)))</f>
        <v/>
      </c>
      <c r="H131" s="89" t="str">
        <f ca="1">IF($B131="","",INDIRECT("aux_sheet_RRS!P"&amp;1+MATCH(aux_sheet_RRS!$E130,aux_sheet_RRS!$D$2:$D$202,0)))</f>
        <v/>
      </c>
      <c r="I131" s="90" t="str">
        <f ca="1">IF(G131="","",ROUNDDOWN(INDIRECT("aux_sheet_RRS!Q"&amp;1+MATCH(aux_sheet_RRS!$E130,aux_sheet_RRS!$D$2:$D$202,0)),0))</f>
        <v/>
      </c>
      <c r="J131" s="106" t="str">
        <f ca="1">IF($B131="","",INDIRECT("aux_sheet_RRS!R"&amp;1+MATCH(aux_sheet_RRS!$E130,aux_sheet_RRS!$D$2:$D$202,0)))</f>
        <v/>
      </c>
      <c r="K131" s="89" t="str">
        <f ca="1">IF($B131="","",INDIRECT("aux_sheet_RRS!S"&amp;1+MATCH(aux_sheet_RRS!$E130,aux_sheet_RRS!$D$2:$D$202,0)))</f>
        <v/>
      </c>
      <c r="L131" s="90" t="str">
        <f ca="1">IF(J131="","",ROUNDDOWN(INDIRECT("aux_sheet_RRS!T"&amp;1+MATCH(aux_sheet_RRS!$E130,aux_sheet_RRS!$D$2:$D$202,0)),0))</f>
        <v/>
      </c>
      <c r="M131" s="106" t="str">
        <f ca="1">IF($B131="","",INDIRECT("aux_sheet_RRS!U"&amp;1+MATCH(aux_sheet_RRS!$E130,aux_sheet_RRS!$D$2:$D$202,0)))</f>
        <v/>
      </c>
      <c r="N131" s="89" t="str">
        <f ca="1">IF($B131="","",INDIRECT("aux_sheet_RRS!V"&amp;1+MATCH(aux_sheet_RRS!$E130,aux_sheet_RRS!$D$2:$D$202,0)))</f>
        <v/>
      </c>
      <c r="O131" s="90" t="str">
        <f ca="1">IF(M131="","",ROUNDDOWN(INDIRECT("aux_sheet_RRS!W"&amp;1+MATCH(aux_sheet_RRS!$E130,aux_sheet_RRS!$D$2:$D$202,0)),0))</f>
        <v/>
      </c>
      <c r="P131" s="106" t="str">
        <f ca="1">IF($B131="","",INDIRECT("aux_sheet_RRS!X"&amp;1+MATCH(aux_sheet_RRS!$E130,aux_sheet_RRS!$D$2:$D$202,0)))</f>
        <v/>
      </c>
      <c r="Q131" s="89" t="str">
        <f ca="1">IF($B131="","",INDIRECT("aux_sheet_RRS!Y"&amp;1+MATCH(aux_sheet_RRS!$E130,aux_sheet_RRS!$D$2:$D$202,0)))</f>
        <v/>
      </c>
      <c r="R131" s="90" t="str">
        <f ca="1">IF(P131="","",INDIRECT("aux_sheet_RRS!Z"&amp;1+MATCH(aux_sheet_RRS!$E130,aux_sheet_RRS!$D$2:$D$202,0)))</f>
        <v/>
      </c>
      <c r="S131" s="106" t="str">
        <f ca="1">IF($B131="","",INDIRECT("aux_sheet_RRS!AA"&amp;1+MATCH(aux_sheet_RRS!$E130,aux_sheet_RRS!$D$2:$D$202,0)))</f>
        <v/>
      </c>
      <c r="T131" s="89" t="str">
        <f ca="1">IF($B131="","",INDIRECT("aux_sheet_RRS!AB"&amp;1+MATCH(aux_sheet_RRS!$E130,aux_sheet_RRS!$D$2:$D$202,0)))</f>
        <v/>
      </c>
      <c r="U131" s="90" t="str">
        <f ca="1">IF(S131="","",INDIRECT("aux_sheet_RRS!AC"&amp;1+MATCH(aux_sheet_RRS!$E130,aux_sheet_RRS!$D$2:$D$202,0)))</f>
        <v/>
      </c>
      <c r="V131" s="106" t="str">
        <f ca="1">IF($B131="","",INDIRECT("aux_sheet_RRS!AD"&amp;1+MATCH(aux_sheet_RRS!$E130,aux_sheet_RRS!$D$2:$D$202,0)))</f>
        <v/>
      </c>
      <c r="W131" s="89" t="str">
        <f ca="1">IF($B131="","",INDIRECT("aux_sheet_RRS!AE"&amp;1+MATCH(aux_sheet_RRS!$E130,aux_sheet_RRS!$D$2:$D$202,0)))</f>
        <v/>
      </c>
      <c r="X131" s="90" t="str">
        <f ca="1">IF(V131="","",INDIRECT("aux_sheet_RRS!AF"&amp;1+MATCH(aux_sheet_RRS!$E130,aux_sheet_RRS!$D$2:$D$202,0)))</f>
        <v/>
      </c>
      <c r="Y131" s="106" t="str">
        <f ca="1">IF($B131="","",INDIRECT("aux_sheet_RRS!AG"&amp;1+MATCH(aux_sheet_RRS!$E130,aux_sheet_RRS!$D$2:$D$202,0)))</f>
        <v/>
      </c>
      <c r="Z131" s="89" t="str">
        <f ca="1">IF($B131="","",INDIRECT("aux_sheet_RRS!AH"&amp;1+MATCH(aux_sheet_RRS!$E130,aux_sheet_RRS!$D$2:$D$202,0)))</f>
        <v/>
      </c>
      <c r="AA131" s="90" t="str">
        <f ca="1">IF(Y131="","",INDIRECT("aux_sheet_RRS!AI"&amp;1+MATCH(aux_sheet_RRS!$E130,aux_sheet_RRS!$D$2:$D$202,0)))</f>
        <v/>
      </c>
      <c r="AB131" s="88" t="str">
        <f ca="1">IF($B131="","",INDIRECT("aux_sheet_RRS!AJ"&amp;1+MATCH(aux_sheet_RRS!$E130,aux_sheet_RRS!$D$2:$D$202,0)))</f>
        <v/>
      </c>
      <c r="AC131" s="89" t="str">
        <f ca="1">IF($B131="","",INDIRECT("aux_sheet_RRS!AK"&amp;1+MATCH(aux_sheet_RRS!$E130,aux_sheet_RRS!$D$2:$D$202,0)))</f>
        <v/>
      </c>
      <c r="AD131" s="90" t="str">
        <f ca="1">IF(AB131="","",INDIRECT("aux_sheet_RRS!AL"&amp;1+MATCH(aux_sheet_RRS!$E130,aux_sheet_RRS!$D$2:$D$202,0)))</f>
        <v/>
      </c>
      <c r="AE131" s="88" t="str">
        <f ca="1">IF($B131="","",INDIRECT("aux_sheet_RRS!AM"&amp;1+MATCH(aux_sheet_RRS!$E130,aux_sheet_RRS!$D$2:$D$202,0)))</f>
        <v/>
      </c>
      <c r="AF131" s="89" t="str">
        <f ca="1">IF($B131="","",INDIRECT("aux_sheet_RRS!AN"&amp;1+MATCH(aux_sheet_RRS!$E130,aux_sheet_RRS!$D$2:$D$202,0)))</f>
        <v/>
      </c>
      <c r="AG131" s="90" t="str">
        <f ca="1">IF(AE131="","",INDIRECT("aux_sheet_RRS!AO"&amp;1+MATCH(aux_sheet_RRS!$E130,aux_sheet_RRS!$D$2:$D$202,0)))</f>
        <v/>
      </c>
      <c r="AH131" s="14" t="str">
        <f t="shared" ca="1" si="6"/>
        <v/>
      </c>
      <c r="AI131" t="str">
        <f t="shared" ca="1" si="7"/>
        <v/>
      </c>
      <c r="AJ131" t="str">
        <f t="shared" ca="1" si="8"/>
        <v/>
      </c>
    </row>
    <row r="132" spans="1:36" x14ac:dyDescent="0.35">
      <c r="A132" s="2" t="str">
        <f>IF(ISBLANK(Input!A131),"",ROUNDDOWN(aux_sheet_RRS!E131,0))</f>
        <v/>
      </c>
      <c r="B132" s="2" t="str">
        <f ca="1">IF(ISBLANK(Input!A131),"",INDIRECT("Input!A"&amp;1+MATCH(aux_sheet_RRS!$E131,aux_sheet_RRS!$D$2:$D$202,0)))</f>
        <v/>
      </c>
      <c r="C132" s="2" t="str">
        <f ca="1">IF(ISBLANK(Input!B131),"",INDIRECT("Input!B"&amp;1+MATCH(aux_sheet_RRS!$E131,aux_sheet_RRS!$D$2:$D$202,0)))</f>
        <v/>
      </c>
      <c r="D132" s="2" t="str">
        <f ca="1">IF(ISBLANK(Input!C131),"",INDIRECT("Input!C"&amp;1+MATCH(aux_sheet_RRS!$E131,aux_sheet_RRS!$D$2:$D$202,0)))</f>
        <v/>
      </c>
      <c r="E132" s="2" t="str">
        <f ca="1">IF(ISBLANK(Input!D131),"",INDIRECT("Input!D"&amp;1+MATCH(aux_sheet_RRS!$E131,aux_sheet_RRS!$D$2:$D$202,0)))</f>
        <v/>
      </c>
      <c r="F132" s="11" t="str">
        <f ca="1">INDIRECT("Input!H"&amp;1+MATCH(aux_sheet_RRS!$E131,aux_sheet_RRS!$D$2:$D$202,0))</f>
        <v xml:space="preserve"> </v>
      </c>
      <c r="G132" s="88" t="str">
        <f ca="1">IF($B132="","",INDIRECT("aux_sheet_RRS!O"&amp;1+MATCH(aux_sheet_RRS!$E131,aux_sheet_RRS!$D$2:$D$202,0)))</f>
        <v/>
      </c>
      <c r="H132" s="89" t="str">
        <f ca="1">IF($B132="","",INDIRECT("aux_sheet_RRS!P"&amp;1+MATCH(aux_sheet_RRS!$E131,aux_sheet_RRS!$D$2:$D$202,0)))</f>
        <v/>
      </c>
      <c r="I132" s="90" t="str">
        <f ca="1">IF(G132="","",ROUNDDOWN(INDIRECT("aux_sheet_RRS!Q"&amp;1+MATCH(aux_sheet_RRS!$E131,aux_sheet_RRS!$D$2:$D$202,0)),0))</f>
        <v/>
      </c>
      <c r="J132" s="106" t="str">
        <f ca="1">IF($B132="","",INDIRECT("aux_sheet_RRS!R"&amp;1+MATCH(aux_sheet_RRS!$E131,aux_sheet_RRS!$D$2:$D$202,0)))</f>
        <v/>
      </c>
      <c r="K132" s="89" t="str">
        <f ca="1">IF($B132="","",INDIRECT("aux_sheet_RRS!S"&amp;1+MATCH(aux_sheet_RRS!$E131,aux_sheet_RRS!$D$2:$D$202,0)))</f>
        <v/>
      </c>
      <c r="L132" s="90" t="str">
        <f ca="1">IF(J132="","",ROUNDDOWN(INDIRECT("aux_sheet_RRS!T"&amp;1+MATCH(aux_sheet_RRS!$E131,aux_sheet_RRS!$D$2:$D$202,0)),0))</f>
        <v/>
      </c>
      <c r="M132" s="106" t="str">
        <f ca="1">IF($B132="","",INDIRECT("aux_sheet_RRS!U"&amp;1+MATCH(aux_sheet_RRS!$E131,aux_sheet_RRS!$D$2:$D$202,0)))</f>
        <v/>
      </c>
      <c r="N132" s="89" t="str">
        <f ca="1">IF($B132="","",INDIRECT("aux_sheet_RRS!V"&amp;1+MATCH(aux_sheet_RRS!$E131,aux_sheet_RRS!$D$2:$D$202,0)))</f>
        <v/>
      </c>
      <c r="O132" s="90" t="str">
        <f ca="1">IF(M132="","",ROUNDDOWN(INDIRECT("aux_sheet_RRS!W"&amp;1+MATCH(aux_sheet_RRS!$E131,aux_sheet_RRS!$D$2:$D$202,0)),0))</f>
        <v/>
      </c>
      <c r="P132" s="106" t="str">
        <f ca="1">IF($B132="","",INDIRECT("aux_sheet_RRS!X"&amp;1+MATCH(aux_sheet_RRS!$E131,aux_sheet_RRS!$D$2:$D$202,0)))</f>
        <v/>
      </c>
      <c r="Q132" s="89" t="str">
        <f ca="1">IF($B132="","",INDIRECT("aux_sheet_RRS!Y"&amp;1+MATCH(aux_sheet_RRS!$E131,aux_sheet_RRS!$D$2:$D$202,0)))</f>
        <v/>
      </c>
      <c r="R132" s="90" t="str">
        <f ca="1">IF(P132="","",INDIRECT("aux_sheet_RRS!Z"&amp;1+MATCH(aux_sheet_RRS!$E131,aux_sheet_RRS!$D$2:$D$202,0)))</f>
        <v/>
      </c>
      <c r="S132" s="106" t="str">
        <f ca="1">IF($B132="","",INDIRECT("aux_sheet_RRS!AA"&amp;1+MATCH(aux_sheet_RRS!$E131,aux_sheet_RRS!$D$2:$D$202,0)))</f>
        <v/>
      </c>
      <c r="T132" s="89" t="str">
        <f ca="1">IF($B132="","",INDIRECT("aux_sheet_RRS!AB"&amp;1+MATCH(aux_sheet_RRS!$E131,aux_sheet_RRS!$D$2:$D$202,0)))</f>
        <v/>
      </c>
      <c r="U132" s="90" t="str">
        <f ca="1">IF(S132="","",INDIRECT("aux_sheet_RRS!AC"&amp;1+MATCH(aux_sheet_RRS!$E131,aux_sheet_RRS!$D$2:$D$202,0)))</f>
        <v/>
      </c>
      <c r="V132" s="106" t="str">
        <f ca="1">IF($B132="","",INDIRECT("aux_sheet_RRS!AD"&amp;1+MATCH(aux_sheet_RRS!$E131,aux_sheet_RRS!$D$2:$D$202,0)))</f>
        <v/>
      </c>
      <c r="W132" s="89" t="str">
        <f ca="1">IF($B132="","",INDIRECT("aux_sheet_RRS!AE"&amp;1+MATCH(aux_sheet_RRS!$E131,aux_sheet_RRS!$D$2:$D$202,0)))</f>
        <v/>
      </c>
      <c r="X132" s="90" t="str">
        <f ca="1">IF(V132="","",INDIRECT("aux_sheet_RRS!AF"&amp;1+MATCH(aux_sheet_RRS!$E131,aux_sheet_RRS!$D$2:$D$202,0)))</f>
        <v/>
      </c>
      <c r="Y132" s="106" t="str">
        <f ca="1">IF($B132="","",INDIRECT("aux_sheet_RRS!AG"&amp;1+MATCH(aux_sheet_RRS!$E131,aux_sheet_RRS!$D$2:$D$202,0)))</f>
        <v/>
      </c>
      <c r="Z132" s="89" t="str">
        <f ca="1">IF($B132="","",INDIRECT("aux_sheet_RRS!AH"&amp;1+MATCH(aux_sheet_RRS!$E131,aux_sheet_RRS!$D$2:$D$202,0)))</f>
        <v/>
      </c>
      <c r="AA132" s="90" t="str">
        <f ca="1">IF(Y132="","",INDIRECT("aux_sheet_RRS!AI"&amp;1+MATCH(aux_sheet_RRS!$E131,aux_sheet_RRS!$D$2:$D$202,0)))</f>
        <v/>
      </c>
      <c r="AB132" s="88" t="str">
        <f ca="1">IF($B132="","",INDIRECT("aux_sheet_RRS!AJ"&amp;1+MATCH(aux_sheet_RRS!$E131,aux_sheet_RRS!$D$2:$D$202,0)))</f>
        <v/>
      </c>
      <c r="AC132" s="89" t="str">
        <f ca="1">IF($B132="","",INDIRECT("aux_sheet_RRS!AK"&amp;1+MATCH(aux_sheet_RRS!$E131,aux_sheet_RRS!$D$2:$D$202,0)))</f>
        <v/>
      </c>
      <c r="AD132" s="90" t="str">
        <f ca="1">IF(AB132="","",INDIRECT("aux_sheet_RRS!AL"&amp;1+MATCH(aux_sheet_RRS!$E131,aux_sheet_RRS!$D$2:$D$202,0)))</f>
        <v/>
      </c>
      <c r="AE132" s="88" t="str">
        <f ca="1">IF($B132="","",INDIRECT("aux_sheet_RRS!AM"&amp;1+MATCH(aux_sheet_RRS!$E131,aux_sheet_RRS!$D$2:$D$202,0)))</f>
        <v/>
      </c>
      <c r="AF132" s="89" t="str">
        <f ca="1">IF($B132="","",INDIRECT("aux_sheet_RRS!AN"&amp;1+MATCH(aux_sheet_RRS!$E131,aux_sheet_RRS!$D$2:$D$202,0)))</f>
        <v/>
      </c>
      <c r="AG132" s="90" t="str">
        <f ca="1">IF(AE132="","",INDIRECT("aux_sheet_RRS!AO"&amp;1+MATCH(aux_sheet_RRS!$E131,aux_sheet_RRS!$D$2:$D$202,0)))</f>
        <v/>
      </c>
      <c r="AH132" s="14" t="str">
        <f t="shared" ca="1" si="6"/>
        <v/>
      </c>
      <c r="AI132" t="str">
        <f t="shared" ca="1" si="7"/>
        <v/>
      </c>
      <c r="AJ132" t="str">
        <f t="shared" ca="1" si="8"/>
        <v/>
      </c>
    </row>
    <row r="133" spans="1:36" x14ac:dyDescent="0.35">
      <c r="A133" s="2" t="str">
        <f>IF(ISBLANK(Input!A132),"",ROUNDDOWN(aux_sheet_RRS!E132,0))</f>
        <v/>
      </c>
      <c r="B133" s="2" t="str">
        <f ca="1">IF(ISBLANK(Input!A132),"",INDIRECT("Input!A"&amp;1+MATCH(aux_sheet_RRS!$E132,aux_sheet_RRS!$D$2:$D$202,0)))</f>
        <v/>
      </c>
      <c r="C133" s="2" t="str">
        <f ca="1">IF(ISBLANK(Input!B132),"",INDIRECT("Input!B"&amp;1+MATCH(aux_sheet_RRS!$E132,aux_sheet_RRS!$D$2:$D$202,0)))</f>
        <v/>
      </c>
      <c r="D133" s="2" t="str">
        <f ca="1">IF(ISBLANK(Input!C132),"",INDIRECT("Input!C"&amp;1+MATCH(aux_sheet_RRS!$E132,aux_sheet_RRS!$D$2:$D$202,0)))</f>
        <v/>
      </c>
      <c r="E133" s="2" t="str">
        <f ca="1">IF(ISBLANK(Input!D132),"",INDIRECT("Input!D"&amp;1+MATCH(aux_sheet_RRS!$E132,aux_sheet_RRS!$D$2:$D$202,0)))</f>
        <v/>
      </c>
      <c r="F133" s="11" t="str">
        <f ca="1">INDIRECT("Input!H"&amp;1+MATCH(aux_sheet_RRS!$E132,aux_sheet_RRS!$D$2:$D$202,0))</f>
        <v xml:space="preserve"> </v>
      </c>
      <c r="G133" s="88" t="str">
        <f ca="1">IF($B133="","",INDIRECT("aux_sheet_RRS!O"&amp;1+MATCH(aux_sheet_RRS!$E132,aux_sheet_RRS!$D$2:$D$202,0)))</f>
        <v/>
      </c>
      <c r="H133" s="89" t="str">
        <f ca="1">IF($B133="","",INDIRECT("aux_sheet_RRS!P"&amp;1+MATCH(aux_sheet_RRS!$E132,aux_sheet_RRS!$D$2:$D$202,0)))</f>
        <v/>
      </c>
      <c r="I133" s="90" t="str">
        <f ca="1">IF(G133="","",ROUNDDOWN(INDIRECT("aux_sheet_RRS!Q"&amp;1+MATCH(aux_sheet_RRS!$E132,aux_sheet_RRS!$D$2:$D$202,0)),0))</f>
        <v/>
      </c>
      <c r="J133" s="106" t="str">
        <f ca="1">IF($B133="","",INDIRECT("aux_sheet_RRS!R"&amp;1+MATCH(aux_sheet_RRS!$E132,aux_sheet_RRS!$D$2:$D$202,0)))</f>
        <v/>
      </c>
      <c r="K133" s="89" t="str">
        <f ca="1">IF($B133="","",INDIRECT("aux_sheet_RRS!S"&amp;1+MATCH(aux_sheet_RRS!$E132,aux_sheet_RRS!$D$2:$D$202,0)))</f>
        <v/>
      </c>
      <c r="L133" s="90" t="str">
        <f ca="1">IF(J133="","",ROUNDDOWN(INDIRECT("aux_sheet_RRS!T"&amp;1+MATCH(aux_sheet_RRS!$E132,aux_sheet_RRS!$D$2:$D$202,0)),0))</f>
        <v/>
      </c>
      <c r="M133" s="106" t="str">
        <f ca="1">IF($B133="","",INDIRECT("aux_sheet_RRS!U"&amp;1+MATCH(aux_sheet_RRS!$E132,aux_sheet_RRS!$D$2:$D$202,0)))</f>
        <v/>
      </c>
      <c r="N133" s="89" t="str">
        <f ca="1">IF($B133="","",INDIRECT("aux_sheet_RRS!V"&amp;1+MATCH(aux_sheet_RRS!$E132,aux_sheet_RRS!$D$2:$D$202,0)))</f>
        <v/>
      </c>
      <c r="O133" s="90" t="str">
        <f ca="1">IF(M133="","",ROUNDDOWN(INDIRECT("aux_sheet_RRS!W"&amp;1+MATCH(aux_sheet_RRS!$E132,aux_sheet_RRS!$D$2:$D$202,0)),0))</f>
        <v/>
      </c>
      <c r="P133" s="106" t="str">
        <f ca="1">IF($B133="","",INDIRECT("aux_sheet_RRS!X"&amp;1+MATCH(aux_sheet_RRS!$E132,aux_sheet_RRS!$D$2:$D$202,0)))</f>
        <v/>
      </c>
      <c r="Q133" s="89" t="str">
        <f ca="1">IF($B133="","",INDIRECT("aux_sheet_RRS!Y"&amp;1+MATCH(aux_sheet_RRS!$E132,aux_sheet_RRS!$D$2:$D$202,0)))</f>
        <v/>
      </c>
      <c r="R133" s="90" t="str">
        <f ca="1">IF(P133="","",INDIRECT("aux_sheet_RRS!Z"&amp;1+MATCH(aux_sheet_RRS!$E132,aux_sheet_RRS!$D$2:$D$202,0)))</f>
        <v/>
      </c>
      <c r="S133" s="106" t="str">
        <f ca="1">IF($B133="","",INDIRECT("aux_sheet_RRS!AA"&amp;1+MATCH(aux_sheet_RRS!$E132,aux_sheet_RRS!$D$2:$D$202,0)))</f>
        <v/>
      </c>
      <c r="T133" s="89" t="str">
        <f ca="1">IF($B133="","",INDIRECT("aux_sheet_RRS!AB"&amp;1+MATCH(aux_sheet_RRS!$E132,aux_sheet_RRS!$D$2:$D$202,0)))</f>
        <v/>
      </c>
      <c r="U133" s="90" t="str">
        <f ca="1">IF(S133="","",INDIRECT("aux_sheet_RRS!AC"&amp;1+MATCH(aux_sheet_RRS!$E132,aux_sheet_RRS!$D$2:$D$202,0)))</f>
        <v/>
      </c>
      <c r="V133" s="106" t="str">
        <f ca="1">IF($B133="","",INDIRECT("aux_sheet_RRS!AD"&amp;1+MATCH(aux_sheet_RRS!$E132,aux_sheet_RRS!$D$2:$D$202,0)))</f>
        <v/>
      </c>
      <c r="W133" s="89" t="str">
        <f ca="1">IF($B133="","",INDIRECT("aux_sheet_RRS!AE"&amp;1+MATCH(aux_sheet_RRS!$E132,aux_sheet_RRS!$D$2:$D$202,0)))</f>
        <v/>
      </c>
      <c r="X133" s="90" t="str">
        <f ca="1">IF(V133="","",INDIRECT("aux_sheet_RRS!AF"&amp;1+MATCH(aux_sheet_RRS!$E132,aux_sheet_RRS!$D$2:$D$202,0)))</f>
        <v/>
      </c>
      <c r="Y133" s="106" t="str">
        <f ca="1">IF($B133="","",INDIRECT("aux_sheet_RRS!AG"&amp;1+MATCH(aux_sheet_RRS!$E132,aux_sheet_RRS!$D$2:$D$202,0)))</f>
        <v/>
      </c>
      <c r="Z133" s="89" t="str">
        <f ca="1">IF($B133="","",INDIRECT("aux_sheet_RRS!AH"&amp;1+MATCH(aux_sheet_RRS!$E132,aux_sheet_RRS!$D$2:$D$202,0)))</f>
        <v/>
      </c>
      <c r="AA133" s="90" t="str">
        <f ca="1">IF(Y133="","",INDIRECT("aux_sheet_RRS!AI"&amp;1+MATCH(aux_sheet_RRS!$E132,aux_sheet_RRS!$D$2:$D$202,0)))</f>
        <v/>
      </c>
      <c r="AB133" s="88" t="str">
        <f ca="1">IF($B133="","",INDIRECT("aux_sheet_RRS!AJ"&amp;1+MATCH(aux_sheet_RRS!$E132,aux_sheet_RRS!$D$2:$D$202,0)))</f>
        <v/>
      </c>
      <c r="AC133" s="89" t="str">
        <f ca="1">IF($B133="","",INDIRECT("aux_sheet_RRS!AK"&amp;1+MATCH(aux_sheet_RRS!$E132,aux_sheet_RRS!$D$2:$D$202,0)))</f>
        <v/>
      </c>
      <c r="AD133" s="90" t="str">
        <f ca="1">IF(AB133="","",INDIRECT("aux_sheet_RRS!AL"&amp;1+MATCH(aux_sheet_RRS!$E132,aux_sheet_RRS!$D$2:$D$202,0)))</f>
        <v/>
      </c>
      <c r="AE133" s="88" t="str">
        <f ca="1">IF($B133="","",INDIRECT("aux_sheet_RRS!AM"&amp;1+MATCH(aux_sheet_RRS!$E132,aux_sheet_RRS!$D$2:$D$202,0)))</f>
        <v/>
      </c>
      <c r="AF133" s="89" t="str">
        <f ca="1">IF($B133="","",INDIRECT("aux_sheet_RRS!AN"&amp;1+MATCH(aux_sheet_RRS!$E132,aux_sheet_RRS!$D$2:$D$202,0)))</f>
        <v/>
      </c>
      <c r="AG133" s="90" t="str">
        <f ca="1">IF(AE133="","",INDIRECT("aux_sheet_RRS!AO"&amp;1+MATCH(aux_sheet_RRS!$E132,aux_sheet_RRS!$D$2:$D$202,0)))</f>
        <v/>
      </c>
      <c r="AH133" s="14" t="str">
        <f t="shared" ca="1" si="6"/>
        <v/>
      </c>
      <c r="AI133" t="str">
        <f t="shared" ca="1" si="7"/>
        <v/>
      </c>
      <c r="AJ133" t="str">
        <f t="shared" ca="1" si="8"/>
        <v/>
      </c>
    </row>
    <row r="134" spans="1:36" x14ac:dyDescent="0.35">
      <c r="A134" s="2" t="str">
        <f>IF(ISBLANK(Input!A133),"",ROUNDDOWN(aux_sheet_RRS!E133,0))</f>
        <v/>
      </c>
      <c r="B134" s="2" t="str">
        <f ca="1">IF(ISBLANK(Input!A133),"",INDIRECT("Input!A"&amp;1+MATCH(aux_sheet_RRS!$E133,aux_sheet_RRS!$D$2:$D$202,0)))</f>
        <v/>
      </c>
      <c r="C134" s="2" t="str">
        <f ca="1">IF(ISBLANK(Input!B133),"",INDIRECT("Input!B"&amp;1+MATCH(aux_sheet_RRS!$E133,aux_sheet_RRS!$D$2:$D$202,0)))</f>
        <v/>
      </c>
      <c r="D134" s="2" t="str">
        <f ca="1">IF(ISBLANK(Input!C133),"",INDIRECT("Input!C"&amp;1+MATCH(aux_sheet_RRS!$E133,aux_sheet_RRS!$D$2:$D$202,0)))</f>
        <v/>
      </c>
      <c r="E134" s="2" t="str">
        <f ca="1">IF(ISBLANK(Input!D133),"",INDIRECT("Input!D"&amp;1+MATCH(aux_sheet_RRS!$E133,aux_sheet_RRS!$D$2:$D$202,0)))</f>
        <v/>
      </c>
      <c r="F134" s="11" t="str">
        <f ca="1">INDIRECT("Input!H"&amp;1+MATCH(aux_sheet_RRS!$E133,aux_sheet_RRS!$D$2:$D$202,0))</f>
        <v xml:space="preserve"> </v>
      </c>
      <c r="G134" s="88" t="str">
        <f ca="1">IF($B134="","",INDIRECT("aux_sheet_RRS!O"&amp;1+MATCH(aux_sheet_RRS!$E133,aux_sheet_RRS!$D$2:$D$202,0)))</f>
        <v/>
      </c>
      <c r="H134" s="89" t="str">
        <f ca="1">IF($B134="","",INDIRECT("aux_sheet_RRS!P"&amp;1+MATCH(aux_sheet_RRS!$E133,aux_sheet_RRS!$D$2:$D$202,0)))</f>
        <v/>
      </c>
      <c r="I134" s="90" t="str">
        <f ca="1">IF(G134="","",ROUNDDOWN(INDIRECT("aux_sheet_RRS!Q"&amp;1+MATCH(aux_sheet_RRS!$E133,aux_sheet_RRS!$D$2:$D$202,0)),0))</f>
        <v/>
      </c>
      <c r="J134" s="106" t="str">
        <f ca="1">IF($B134="","",INDIRECT("aux_sheet_RRS!R"&amp;1+MATCH(aux_sheet_RRS!$E133,aux_sheet_RRS!$D$2:$D$202,0)))</f>
        <v/>
      </c>
      <c r="K134" s="89" t="str">
        <f ca="1">IF($B134="","",INDIRECT("aux_sheet_RRS!S"&amp;1+MATCH(aux_sheet_RRS!$E133,aux_sheet_RRS!$D$2:$D$202,0)))</f>
        <v/>
      </c>
      <c r="L134" s="90" t="str">
        <f ca="1">IF(J134="","",ROUNDDOWN(INDIRECT("aux_sheet_RRS!T"&amp;1+MATCH(aux_sheet_RRS!$E133,aux_sheet_RRS!$D$2:$D$202,0)),0))</f>
        <v/>
      </c>
      <c r="M134" s="106" t="str">
        <f ca="1">IF($B134="","",INDIRECT("aux_sheet_RRS!U"&amp;1+MATCH(aux_sheet_RRS!$E133,aux_sheet_RRS!$D$2:$D$202,0)))</f>
        <v/>
      </c>
      <c r="N134" s="89" t="str">
        <f ca="1">IF($B134="","",INDIRECT("aux_sheet_RRS!V"&amp;1+MATCH(aux_sheet_RRS!$E133,aux_sheet_RRS!$D$2:$D$202,0)))</f>
        <v/>
      </c>
      <c r="O134" s="90" t="str">
        <f ca="1">IF(M134="","",ROUNDDOWN(INDIRECT("aux_sheet_RRS!W"&amp;1+MATCH(aux_sheet_RRS!$E133,aux_sheet_RRS!$D$2:$D$202,0)),0))</f>
        <v/>
      </c>
      <c r="P134" s="106" t="str">
        <f ca="1">IF($B134="","",INDIRECT("aux_sheet_RRS!X"&amp;1+MATCH(aux_sheet_RRS!$E133,aux_sheet_RRS!$D$2:$D$202,0)))</f>
        <v/>
      </c>
      <c r="Q134" s="89" t="str">
        <f ca="1">IF($B134="","",INDIRECT("aux_sheet_RRS!Y"&amp;1+MATCH(aux_sheet_RRS!$E133,aux_sheet_RRS!$D$2:$D$202,0)))</f>
        <v/>
      </c>
      <c r="R134" s="90" t="str">
        <f ca="1">IF(P134="","",INDIRECT("aux_sheet_RRS!Z"&amp;1+MATCH(aux_sheet_RRS!$E133,aux_sheet_RRS!$D$2:$D$202,0)))</f>
        <v/>
      </c>
      <c r="S134" s="106" t="str">
        <f ca="1">IF($B134="","",INDIRECT("aux_sheet_RRS!AA"&amp;1+MATCH(aux_sheet_RRS!$E133,aux_sheet_RRS!$D$2:$D$202,0)))</f>
        <v/>
      </c>
      <c r="T134" s="89" t="str">
        <f ca="1">IF($B134="","",INDIRECT("aux_sheet_RRS!AB"&amp;1+MATCH(aux_sheet_RRS!$E133,aux_sheet_RRS!$D$2:$D$202,0)))</f>
        <v/>
      </c>
      <c r="U134" s="90" t="str">
        <f ca="1">IF(S134="","",INDIRECT("aux_sheet_RRS!AC"&amp;1+MATCH(aux_sheet_RRS!$E133,aux_sheet_RRS!$D$2:$D$202,0)))</f>
        <v/>
      </c>
      <c r="V134" s="106" t="str">
        <f ca="1">IF($B134="","",INDIRECT("aux_sheet_RRS!AD"&amp;1+MATCH(aux_sheet_RRS!$E133,aux_sheet_RRS!$D$2:$D$202,0)))</f>
        <v/>
      </c>
      <c r="W134" s="89" t="str">
        <f ca="1">IF($B134="","",INDIRECT("aux_sheet_RRS!AE"&amp;1+MATCH(aux_sheet_RRS!$E133,aux_sheet_RRS!$D$2:$D$202,0)))</f>
        <v/>
      </c>
      <c r="X134" s="90" t="str">
        <f ca="1">IF(V134="","",INDIRECT("aux_sheet_RRS!AF"&amp;1+MATCH(aux_sheet_RRS!$E133,aux_sheet_RRS!$D$2:$D$202,0)))</f>
        <v/>
      </c>
      <c r="Y134" s="106" t="str">
        <f ca="1">IF($B134="","",INDIRECT("aux_sheet_RRS!AG"&amp;1+MATCH(aux_sheet_RRS!$E133,aux_sheet_RRS!$D$2:$D$202,0)))</f>
        <v/>
      </c>
      <c r="Z134" s="89" t="str">
        <f ca="1">IF($B134="","",INDIRECT("aux_sheet_RRS!AH"&amp;1+MATCH(aux_sheet_RRS!$E133,aux_sheet_RRS!$D$2:$D$202,0)))</f>
        <v/>
      </c>
      <c r="AA134" s="90" t="str">
        <f ca="1">IF(Y134="","",INDIRECT("aux_sheet_RRS!AI"&amp;1+MATCH(aux_sheet_RRS!$E133,aux_sheet_RRS!$D$2:$D$202,0)))</f>
        <v/>
      </c>
      <c r="AB134" s="88" t="str">
        <f ca="1">IF($B134="","",INDIRECT("aux_sheet_RRS!AJ"&amp;1+MATCH(aux_sheet_RRS!$E133,aux_sheet_RRS!$D$2:$D$202,0)))</f>
        <v/>
      </c>
      <c r="AC134" s="89" t="str">
        <f ca="1">IF($B134="","",INDIRECT("aux_sheet_RRS!AK"&amp;1+MATCH(aux_sheet_RRS!$E133,aux_sheet_RRS!$D$2:$D$202,0)))</f>
        <v/>
      </c>
      <c r="AD134" s="90" t="str">
        <f ca="1">IF(AB134="","",INDIRECT("aux_sheet_RRS!AL"&amp;1+MATCH(aux_sheet_RRS!$E133,aux_sheet_RRS!$D$2:$D$202,0)))</f>
        <v/>
      </c>
      <c r="AE134" s="88" t="str">
        <f ca="1">IF($B134="","",INDIRECT("aux_sheet_RRS!AM"&amp;1+MATCH(aux_sheet_RRS!$E133,aux_sheet_RRS!$D$2:$D$202,0)))</f>
        <v/>
      </c>
      <c r="AF134" s="89" t="str">
        <f ca="1">IF($B134="","",INDIRECT("aux_sheet_RRS!AN"&amp;1+MATCH(aux_sheet_RRS!$E133,aux_sheet_RRS!$D$2:$D$202,0)))</f>
        <v/>
      </c>
      <c r="AG134" s="90" t="str">
        <f ca="1">IF(AE134="","",INDIRECT("aux_sheet_RRS!AO"&amp;1+MATCH(aux_sheet_RRS!$E133,aux_sheet_RRS!$D$2:$D$202,0)))</f>
        <v/>
      </c>
      <c r="AH134" s="14" t="str">
        <f t="shared" ca="1" si="6"/>
        <v/>
      </c>
      <c r="AI134" t="str">
        <f t="shared" ca="1" si="7"/>
        <v/>
      </c>
      <c r="AJ134" t="str">
        <f t="shared" ca="1" si="8"/>
        <v/>
      </c>
    </row>
    <row r="135" spans="1:36" x14ac:dyDescent="0.35">
      <c r="A135" s="2" t="str">
        <f>IF(ISBLANK(Input!A134),"",ROUNDDOWN(aux_sheet_RRS!E134,0))</f>
        <v/>
      </c>
      <c r="B135" s="2" t="str">
        <f ca="1">IF(ISBLANK(Input!A134),"",INDIRECT("Input!A"&amp;1+MATCH(aux_sheet_RRS!$E134,aux_sheet_RRS!$D$2:$D$202,0)))</f>
        <v/>
      </c>
      <c r="C135" s="2" t="str">
        <f ca="1">IF(ISBLANK(Input!B134),"",INDIRECT("Input!B"&amp;1+MATCH(aux_sheet_RRS!$E134,aux_sheet_RRS!$D$2:$D$202,0)))</f>
        <v/>
      </c>
      <c r="D135" s="2" t="str">
        <f ca="1">IF(ISBLANK(Input!C134),"",INDIRECT("Input!C"&amp;1+MATCH(aux_sheet_RRS!$E134,aux_sheet_RRS!$D$2:$D$202,0)))</f>
        <v/>
      </c>
      <c r="E135" s="2" t="str">
        <f ca="1">IF(ISBLANK(Input!D134),"",INDIRECT("Input!D"&amp;1+MATCH(aux_sheet_RRS!$E134,aux_sheet_RRS!$D$2:$D$202,0)))</f>
        <v/>
      </c>
      <c r="F135" s="11" t="str">
        <f ca="1">INDIRECT("Input!H"&amp;1+MATCH(aux_sheet_RRS!$E134,aux_sheet_RRS!$D$2:$D$202,0))</f>
        <v xml:space="preserve"> </v>
      </c>
      <c r="G135" s="88" t="str">
        <f ca="1">IF($B135="","",INDIRECT("aux_sheet_RRS!O"&amp;1+MATCH(aux_sheet_RRS!$E134,aux_sheet_RRS!$D$2:$D$202,0)))</f>
        <v/>
      </c>
      <c r="H135" s="89" t="str">
        <f ca="1">IF($B135="","",INDIRECT("aux_sheet_RRS!P"&amp;1+MATCH(aux_sheet_RRS!$E134,aux_sheet_RRS!$D$2:$D$202,0)))</f>
        <v/>
      </c>
      <c r="I135" s="90" t="str">
        <f ca="1">IF(G135="","",ROUNDDOWN(INDIRECT("aux_sheet_RRS!Q"&amp;1+MATCH(aux_sheet_RRS!$E134,aux_sheet_RRS!$D$2:$D$202,0)),0))</f>
        <v/>
      </c>
      <c r="J135" s="106" t="str">
        <f ca="1">IF($B135="","",INDIRECT("aux_sheet_RRS!R"&amp;1+MATCH(aux_sheet_RRS!$E134,aux_sheet_RRS!$D$2:$D$202,0)))</f>
        <v/>
      </c>
      <c r="K135" s="89" t="str">
        <f ca="1">IF($B135="","",INDIRECT("aux_sheet_RRS!S"&amp;1+MATCH(aux_sheet_RRS!$E134,aux_sheet_RRS!$D$2:$D$202,0)))</f>
        <v/>
      </c>
      <c r="L135" s="90" t="str">
        <f ca="1">IF(J135="","",ROUNDDOWN(INDIRECT("aux_sheet_RRS!T"&amp;1+MATCH(aux_sheet_RRS!$E134,aux_sheet_RRS!$D$2:$D$202,0)),0))</f>
        <v/>
      </c>
      <c r="M135" s="106" t="str">
        <f ca="1">IF($B135="","",INDIRECT("aux_sheet_RRS!U"&amp;1+MATCH(aux_sheet_RRS!$E134,aux_sheet_RRS!$D$2:$D$202,0)))</f>
        <v/>
      </c>
      <c r="N135" s="89" t="str">
        <f ca="1">IF($B135="","",INDIRECT("aux_sheet_RRS!V"&amp;1+MATCH(aux_sheet_RRS!$E134,aux_sheet_RRS!$D$2:$D$202,0)))</f>
        <v/>
      </c>
      <c r="O135" s="90" t="str">
        <f ca="1">IF(M135="","",ROUNDDOWN(INDIRECT("aux_sheet_RRS!W"&amp;1+MATCH(aux_sheet_RRS!$E134,aux_sheet_RRS!$D$2:$D$202,0)),0))</f>
        <v/>
      </c>
      <c r="P135" s="106" t="str">
        <f ca="1">IF($B135="","",INDIRECT("aux_sheet_RRS!X"&amp;1+MATCH(aux_sheet_RRS!$E134,aux_sheet_RRS!$D$2:$D$202,0)))</f>
        <v/>
      </c>
      <c r="Q135" s="89" t="str">
        <f ca="1">IF($B135="","",INDIRECT("aux_sheet_RRS!Y"&amp;1+MATCH(aux_sheet_RRS!$E134,aux_sheet_RRS!$D$2:$D$202,0)))</f>
        <v/>
      </c>
      <c r="R135" s="90" t="str">
        <f ca="1">IF(P135="","",INDIRECT("aux_sheet_RRS!Z"&amp;1+MATCH(aux_sheet_RRS!$E134,aux_sheet_RRS!$D$2:$D$202,0)))</f>
        <v/>
      </c>
      <c r="S135" s="106" t="str">
        <f ca="1">IF($B135="","",INDIRECT("aux_sheet_RRS!AA"&amp;1+MATCH(aux_sheet_RRS!$E134,aux_sheet_RRS!$D$2:$D$202,0)))</f>
        <v/>
      </c>
      <c r="T135" s="89" t="str">
        <f ca="1">IF($B135="","",INDIRECT("aux_sheet_RRS!AB"&amp;1+MATCH(aux_sheet_RRS!$E134,aux_sheet_RRS!$D$2:$D$202,0)))</f>
        <v/>
      </c>
      <c r="U135" s="90" t="str">
        <f ca="1">IF(S135="","",INDIRECT("aux_sheet_RRS!AC"&amp;1+MATCH(aux_sheet_RRS!$E134,aux_sheet_RRS!$D$2:$D$202,0)))</f>
        <v/>
      </c>
      <c r="V135" s="106" t="str">
        <f ca="1">IF($B135="","",INDIRECT("aux_sheet_RRS!AD"&amp;1+MATCH(aux_sheet_RRS!$E134,aux_sheet_RRS!$D$2:$D$202,0)))</f>
        <v/>
      </c>
      <c r="W135" s="89" t="str">
        <f ca="1">IF($B135="","",INDIRECT("aux_sheet_RRS!AE"&amp;1+MATCH(aux_sheet_RRS!$E134,aux_sheet_RRS!$D$2:$D$202,0)))</f>
        <v/>
      </c>
      <c r="X135" s="90" t="str">
        <f ca="1">IF(V135="","",INDIRECT("aux_sheet_RRS!AF"&amp;1+MATCH(aux_sheet_RRS!$E134,aux_sheet_RRS!$D$2:$D$202,0)))</f>
        <v/>
      </c>
      <c r="Y135" s="106" t="str">
        <f ca="1">IF($B135="","",INDIRECT("aux_sheet_RRS!AG"&amp;1+MATCH(aux_sheet_RRS!$E134,aux_sheet_RRS!$D$2:$D$202,0)))</f>
        <v/>
      </c>
      <c r="Z135" s="89" t="str">
        <f ca="1">IF($B135="","",INDIRECT("aux_sheet_RRS!AH"&amp;1+MATCH(aux_sheet_RRS!$E134,aux_sheet_RRS!$D$2:$D$202,0)))</f>
        <v/>
      </c>
      <c r="AA135" s="90" t="str">
        <f ca="1">IF(Y135="","",INDIRECT("aux_sheet_RRS!AI"&amp;1+MATCH(aux_sheet_RRS!$E134,aux_sheet_RRS!$D$2:$D$202,0)))</f>
        <v/>
      </c>
      <c r="AB135" s="88" t="str">
        <f ca="1">IF($B135="","",INDIRECT("aux_sheet_RRS!AJ"&amp;1+MATCH(aux_sheet_RRS!$E134,aux_sheet_RRS!$D$2:$D$202,0)))</f>
        <v/>
      </c>
      <c r="AC135" s="89" t="str">
        <f ca="1">IF($B135="","",INDIRECT("aux_sheet_RRS!AK"&amp;1+MATCH(aux_sheet_RRS!$E134,aux_sheet_RRS!$D$2:$D$202,0)))</f>
        <v/>
      </c>
      <c r="AD135" s="90" t="str">
        <f ca="1">IF(AB135="","",INDIRECT("aux_sheet_RRS!AL"&amp;1+MATCH(aux_sheet_RRS!$E134,aux_sheet_RRS!$D$2:$D$202,0)))</f>
        <v/>
      </c>
      <c r="AE135" s="88" t="str">
        <f ca="1">IF($B135="","",INDIRECT("aux_sheet_RRS!AM"&amp;1+MATCH(aux_sheet_RRS!$E134,aux_sheet_RRS!$D$2:$D$202,0)))</f>
        <v/>
      </c>
      <c r="AF135" s="89" t="str">
        <f ca="1">IF($B135="","",INDIRECT("aux_sheet_RRS!AN"&amp;1+MATCH(aux_sheet_RRS!$E134,aux_sheet_RRS!$D$2:$D$202,0)))</f>
        <v/>
      </c>
      <c r="AG135" s="90" t="str">
        <f ca="1">IF(AE135="","",INDIRECT("aux_sheet_RRS!AO"&amp;1+MATCH(aux_sheet_RRS!$E134,aux_sheet_RRS!$D$2:$D$202,0)))</f>
        <v/>
      </c>
      <c r="AH135" s="14" t="str">
        <f t="shared" ca="1" si="6"/>
        <v/>
      </c>
      <c r="AI135" t="str">
        <f t="shared" ca="1" si="7"/>
        <v/>
      </c>
      <c r="AJ135" t="str">
        <f t="shared" ca="1" si="8"/>
        <v/>
      </c>
    </row>
    <row r="136" spans="1:36" x14ac:dyDescent="0.35">
      <c r="A136" s="2" t="str">
        <f>IF(ISBLANK(Input!A135),"",ROUNDDOWN(aux_sheet_RRS!E135,0))</f>
        <v/>
      </c>
      <c r="B136" s="2" t="str">
        <f ca="1">IF(ISBLANK(Input!A135),"",INDIRECT("Input!A"&amp;1+MATCH(aux_sheet_RRS!$E135,aux_sheet_RRS!$D$2:$D$202,0)))</f>
        <v/>
      </c>
      <c r="C136" s="2" t="str">
        <f ca="1">IF(ISBLANK(Input!B135),"",INDIRECT("Input!B"&amp;1+MATCH(aux_sheet_RRS!$E135,aux_sheet_RRS!$D$2:$D$202,0)))</f>
        <v/>
      </c>
      <c r="D136" s="2" t="str">
        <f ca="1">IF(ISBLANK(Input!C135),"",INDIRECT("Input!C"&amp;1+MATCH(aux_sheet_RRS!$E135,aux_sheet_RRS!$D$2:$D$202,0)))</f>
        <v/>
      </c>
      <c r="E136" s="2" t="str">
        <f ca="1">IF(ISBLANK(Input!D135),"",INDIRECT("Input!D"&amp;1+MATCH(aux_sheet_RRS!$E135,aux_sheet_RRS!$D$2:$D$202,0)))</f>
        <v/>
      </c>
      <c r="F136" s="11" t="str">
        <f ca="1">INDIRECT("Input!H"&amp;1+MATCH(aux_sheet_RRS!$E135,aux_sheet_RRS!$D$2:$D$202,0))</f>
        <v xml:space="preserve"> </v>
      </c>
      <c r="G136" s="88" t="str">
        <f ca="1">IF($B136="","",INDIRECT("aux_sheet_RRS!O"&amp;1+MATCH(aux_sheet_RRS!$E135,aux_sheet_RRS!$D$2:$D$202,0)))</f>
        <v/>
      </c>
      <c r="H136" s="89" t="str">
        <f ca="1">IF($B136="","",INDIRECT("aux_sheet_RRS!P"&amp;1+MATCH(aux_sheet_RRS!$E135,aux_sheet_RRS!$D$2:$D$202,0)))</f>
        <v/>
      </c>
      <c r="I136" s="90" t="str">
        <f ca="1">IF(G136="","",ROUNDDOWN(INDIRECT("aux_sheet_RRS!Q"&amp;1+MATCH(aux_sheet_RRS!$E135,aux_sheet_RRS!$D$2:$D$202,0)),0))</f>
        <v/>
      </c>
      <c r="J136" s="106" t="str">
        <f ca="1">IF($B136="","",INDIRECT("aux_sheet_RRS!R"&amp;1+MATCH(aux_sheet_RRS!$E135,aux_sheet_RRS!$D$2:$D$202,0)))</f>
        <v/>
      </c>
      <c r="K136" s="89" t="str">
        <f ca="1">IF($B136="","",INDIRECT("aux_sheet_RRS!S"&amp;1+MATCH(aux_sheet_RRS!$E135,aux_sheet_RRS!$D$2:$D$202,0)))</f>
        <v/>
      </c>
      <c r="L136" s="90" t="str">
        <f ca="1">IF(J136="","",ROUNDDOWN(INDIRECT("aux_sheet_RRS!T"&amp;1+MATCH(aux_sheet_RRS!$E135,aux_sheet_RRS!$D$2:$D$202,0)),0))</f>
        <v/>
      </c>
      <c r="M136" s="106" t="str">
        <f ca="1">IF($B136="","",INDIRECT("aux_sheet_RRS!U"&amp;1+MATCH(aux_sheet_RRS!$E135,aux_sheet_RRS!$D$2:$D$202,0)))</f>
        <v/>
      </c>
      <c r="N136" s="89" t="str">
        <f ca="1">IF($B136="","",INDIRECT("aux_sheet_RRS!V"&amp;1+MATCH(aux_sheet_RRS!$E135,aux_sheet_RRS!$D$2:$D$202,0)))</f>
        <v/>
      </c>
      <c r="O136" s="90" t="str">
        <f ca="1">IF(M136="","",ROUNDDOWN(INDIRECT("aux_sheet_RRS!W"&amp;1+MATCH(aux_sheet_RRS!$E135,aux_sheet_RRS!$D$2:$D$202,0)),0))</f>
        <v/>
      </c>
      <c r="P136" s="106" t="str">
        <f ca="1">IF($B136="","",INDIRECT("aux_sheet_RRS!X"&amp;1+MATCH(aux_sheet_RRS!$E135,aux_sheet_RRS!$D$2:$D$202,0)))</f>
        <v/>
      </c>
      <c r="Q136" s="89" t="str">
        <f ca="1">IF($B136="","",INDIRECT("aux_sheet_RRS!Y"&amp;1+MATCH(aux_sheet_RRS!$E135,aux_sheet_RRS!$D$2:$D$202,0)))</f>
        <v/>
      </c>
      <c r="R136" s="90" t="str">
        <f ca="1">IF(P136="","",INDIRECT("aux_sheet_RRS!Z"&amp;1+MATCH(aux_sheet_RRS!$E135,aux_sheet_RRS!$D$2:$D$202,0)))</f>
        <v/>
      </c>
      <c r="S136" s="106" t="str">
        <f ca="1">IF($B136="","",INDIRECT("aux_sheet_RRS!AA"&amp;1+MATCH(aux_sheet_RRS!$E135,aux_sheet_RRS!$D$2:$D$202,0)))</f>
        <v/>
      </c>
      <c r="T136" s="89" t="str">
        <f ca="1">IF($B136="","",INDIRECT("aux_sheet_RRS!AB"&amp;1+MATCH(aux_sheet_RRS!$E135,aux_sheet_RRS!$D$2:$D$202,0)))</f>
        <v/>
      </c>
      <c r="U136" s="90" t="str">
        <f ca="1">IF(S136="","",INDIRECT("aux_sheet_RRS!AC"&amp;1+MATCH(aux_sheet_RRS!$E135,aux_sheet_RRS!$D$2:$D$202,0)))</f>
        <v/>
      </c>
      <c r="V136" s="106" t="str">
        <f ca="1">IF($B136="","",INDIRECT("aux_sheet_RRS!AD"&amp;1+MATCH(aux_sheet_RRS!$E135,aux_sheet_RRS!$D$2:$D$202,0)))</f>
        <v/>
      </c>
      <c r="W136" s="89" t="str">
        <f ca="1">IF($B136="","",INDIRECT("aux_sheet_RRS!AE"&amp;1+MATCH(aux_sheet_RRS!$E135,aux_sheet_RRS!$D$2:$D$202,0)))</f>
        <v/>
      </c>
      <c r="X136" s="90" t="str">
        <f ca="1">IF(V136="","",INDIRECT("aux_sheet_RRS!AF"&amp;1+MATCH(aux_sheet_RRS!$E135,aux_sheet_RRS!$D$2:$D$202,0)))</f>
        <v/>
      </c>
      <c r="Y136" s="106" t="str">
        <f ca="1">IF($B136="","",INDIRECT("aux_sheet_RRS!AG"&amp;1+MATCH(aux_sheet_RRS!$E135,aux_sheet_RRS!$D$2:$D$202,0)))</f>
        <v/>
      </c>
      <c r="Z136" s="89" t="str">
        <f ca="1">IF($B136="","",INDIRECT("aux_sheet_RRS!AH"&amp;1+MATCH(aux_sheet_RRS!$E135,aux_sheet_RRS!$D$2:$D$202,0)))</f>
        <v/>
      </c>
      <c r="AA136" s="90" t="str">
        <f ca="1">IF(Y136="","",INDIRECT("aux_sheet_RRS!AI"&amp;1+MATCH(aux_sheet_RRS!$E135,aux_sheet_RRS!$D$2:$D$202,0)))</f>
        <v/>
      </c>
      <c r="AB136" s="88" t="str">
        <f ca="1">IF($B136="","",INDIRECT("aux_sheet_RRS!AJ"&amp;1+MATCH(aux_sheet_RRS!$E135,aux_sheet_RRS!$D$2:$D$202,0)))</f>
        <v/>
      </c>
      <c r="AC136" s="89" t="str">
        <f ca="1">IF($B136="","",INDIRECT("aux_sheet_RRS!AK"&amp;1+MATCH(aux_sheet_RRS!$E135,aux_sheet_RRS!$D$2:$D$202,0)))</f>
        <v/>
      </c>
      <c r="AD136" s="90" t="str">
        <f ca="1">IF(AB136="","",INDIRECT("aux_sheet_RRS!AL"&amp;1+MATCH(aux_sheet_RRS!$E135,aux_sheet_RRS!$D$2:$D$202,0)))</f>
        <v/>
      </c>
      <c r="AE136" s="88" t="str">
        <f ca="1">IF($B136="","",INDIRECT("aux_sheet_RRS!AM"&amp;1+MATCH(aux_sheet_RRS!$E135,aux_sheet_RRS!$D$2:$D$202,0)))</f>
        <v/>
      </c>
      <c r="AF136" s="89" t="str">
        <f ca="1">IF($B136="","",INDIRECT("aux_sheet_RRS!AN"&amp;1+MATCH(aux_sheet_RRS!$E135,aux_sheet_RRS!$D$2:$D$202,0)))</f>
        <v/>
      </c>
      <c r="AG136" s="90" t="str">
        <f ca="1">IF(AE136="","",INDIRECT("aux_sheet_RRS!AO"&amp;1+MATCH(aux_sheet_RRS!$E135,aux_sheet_RRS!$D$2:$D$202,0)))</f>
        <v/>
      </c>
      <c r="AH136" s="14" t="str">
        <f t="shared" ca="1" si="6"/>
        <v/>
      </c>
      <c r="AI136" t="str">
        <f t="shared" ca="1" si="7"/>
        <v/>
      </c>
      <c r="AJ136" t="str">
        <f t="shared" ca="1" si="8"/>
        <v/>
      </c>
    </row>
    <row r="137" spans="1:36" x14ac:dyDescent="0.35">
      <c r="A137" s="2" t="str">
        <f>IF(ISBLANK(Input!A136),"",ROUNDDOWN(aux_sheet_RRS!E136,0))</f>
        <v/>
      </c>
      <c r="B137" s="2" t="str">
        <f ca="1">IF(ISBLANK(Input!A136),"",INDIRECT("Input!A"&amp;1+MATCH(aux_sheet_RRS!$E136,aux_sheet_RRS!$D$2:$D$202,0)))</f>
        <v/>
      </c>
      <c r="C137" s="2" t="str">
        <f ca="1">IF(ISBLANK(Input!B136),"",INDIRECT("Input!B"&amp;1+MATCH(aux_sheet_RRS!$E136,aux_sheet_RRS!$D$2:$D$202,0)))</f>
        <v/>
      </c>
      <c r="D137" s="2" t="str">
        <f ca="1">IF(ISBLANK(Input!C136),"",INDIRECT("Input!C"&amp;1+MATCH(aux_sheet_RRS!$E136,aux_sheet_RRS!$D$2:$D$202,0)))</f>
        <v/>
      </c>
      <c r="E137" s="2" t="str">
        <f ca="1">IF(ISBLANK(Input!D136),"",INDIRECT("Input!D"&amp;1+MATCH(aux_sheet_RRS!$E136,aux_sheet_RRS!$D$2:$D$202,0)))</f>
        <v/>
      </c>
      <c r="F137" s="11" t="str">
        <f ca="1">INDIRECT("Input!H"&amp;1+MATCH(aux_sheet_RRS!$E136,aux_sheet_RRS!$D$2:$D$202,0))</f>
        <v xml:space="preserve"> </v>
      </c>
      <c r="G137" s="88" t="str">
        <f ca="1">IF($B137="","",INDIRECT("aux_sheet_RRS!O"&amp;1+MATCH(aux_sheet_RRS!$E136,aux_sheet_RRS!$D$2:$D$202,0)))</f>
        <v/>
      </c>
      <c r="H137" s="89" t="str">
        <f ca="1">IF($B137="","",INDIRECT("aux_sheet_RRS!P"&amp;1+MATCH(aux_sheet_RRS!$E136,aux_sheet_RRS!$D$2:$D$202,0)))</f>
        <v/>
      </c>
      <c r="I137" s="90" t="str">
        <f ca="1">IF(G137="","",ROUNDDOWN(INDIRECT("aux_sheet_RRS!Q"&amp;1+MATCH(aux_sheet_RRS!$E136,aux_sheet_RRS!$D$2:$D$202,0)),0))</f>
        <v/>
      </c>
      <c r="J137" s="106" t="str">
        <f ca="1">IF($B137="","",INDIRECT("aux_sheet_RRS!R"&amp;1+MATCH(aux_sheet_RRS!$E136,aux_sheet_RRS!$D$2:$D$202,0)))</f>
        <v/>
      </c>
      <c r="K137" s="89" t="str">
        <f ca="1">IF($B137="","",INDIRECT("aux_sheet_RRS!S"&amp;1+MATCH(aux_sheet_RRS!$E136,aux_sheet_RRS!$D$2:$D$202,0)))</f>
        <v/>
      </c>
      <c r="L137" s="90" t="str">
        <f ca="1">IF(J137="","",ROUNDDOWN(INDIRECT("aux_sheet_RRS!T"&amp;1+MATCH(aux_sheet_RRS!$E136,aux_sheet_RRS!$D$2:$D$202,0)),0))</f>
        <v/>
      </c>
      <c r="M137" s="106" t="str">
        <f ca="1">IF($B137="","",INDIRECT("aux_sheet_RRS!U"&amp;1+MATCH(aux_sheet_RRS!$E136,aux_sheet_RRS!$D$2:$D$202,0)))</f>
        <v/>
      </c>
      <c r="N137" s="89" t="str">
        <f ca="1">IF($B137="","",INDIRECT("aux_sheet_RRS!V"&amp;1+MATCH(aux_sheet_RRS!$E136,aux_sheet_RRS!$D$2:$D$202,0)))</f>
        <v/>
      </c>
      <c r="O137" s="90" t="str">
        <f ca="1">IF(M137="","",ROUNDDOWN(INDIRECT("aux_sheet_RRS!W"&amp;1+MATCH(aux_sheet_RRS!$E136,aux_sheet_RRS!$D$2:$D$202,0)),0))</f>
        <v/>
      </c>
      <c r="P137" s="106" t="str">
        <f ca="1">IF($B137="","",INDIRECT("aux_sheet_RRS!X"&amp;1+MATCH(aux_sheet_RRS!$E136,aux_sheet_RRS!$D$2:$D$202,0)))</f>
        <v/>
      </c>
      <c r="Q137" s="89" t="str">
        <f ca="1">IF($B137="","",INDIRECT("aux_sheet_RRS!Y"&amp;1+MATCH(aux_sheet_RRS!$E136,aux_sheet_RRS!$D$2:$D$202,0)))</f>
        <v/>
      </c>
      <c r="R137" s="90" t="str">
        <f ca="1">IF(P137="","",INDIRECT("aux_sheet_RRS!Z"&amp;1+MATCH(aux_sheet_RRS!$E136,aux_sheet_RRS!$D$2:$D$202,0)))</f>
        <v/>
      </c>
      <c r="S137" s="106" t="str">
        <f ca="1">IF($B137="","",INDIRECT("aux_sheet_RRS!AA"&amp;1+MATCH(aux_sheet_RRS!$E136,aux_sheet_RRS!$D$2:$D$202,0)))</f>
        <v/>
      </c>
      <c r="T137" s="89" t="str">
        <f ca="1">IF($B137="","",INDIRECT("aux_sheet_RRS!AB"&amp;1+MATCH(aux_sheet_RRS!$E136,aux_sheet_RRS!$D$2:$D$202,0)))</f>
        <v/>
      </c>
      <c r="U137" s="90" t="str">
        <f ca="1">IF(S137="","",INDIRECT("aux_sheet_RRS!AC"&amp;1+MATCH(aux_sheet_RRS!$E136,aux_sheet_RRS!$D$2:$D$202,0)))</f>
        <v/>
      </c>
      <c r="V137" s="106" t="str">
        <f ca="1">IF($B137="","",INDIRECT("aux_sheet_RRS!AD"&amp;1+MATCH(aux_sheet_RRS!$E136,aux_sheet_RRS!$D$2:$D$202,0)))</f>
        <v/>
      </c>
      <c r="W137" s="89" t="str">
        <f ca="1">IF($B137="","",INDIRECT("aux_sheet_RRS!AE"&amp;1+MATCH(aux_sheet_RRS!$E136,aux_sheet_RRS!$D$2:$D$202,0)))</f>
        <v/>
      </c>
      <c r="X137" s="90" t="str">
        <f ca="1">IF(V137="","",INDIRECT("aux_sheet_RRS!AF"&amp;1+MATCH(aux_sheet_RRS!$E136,aux_sheet_RRS!$D$2:$D$202,0)))</f>
        <v/>
      </c>
      <c r="Y137" s="106" t="str">
        <f ca="1">IF($B137="","",INDIRECT("aux_sheet_RRS!AG"&amp;1+MATCH(aux_sheet_RRS!$E136,aux_sheet_RRS!$D$2:$D$202,0)))</f>
        <v/>
      </c>
      <c r="Z137" s="89" t="str">
        <f ca="1">IF($B137="","",INDIRECT("aux_sheet_RRS!AH"&amp;1+MATCH(aux_sheet_RRS!$E136,aux_sheet_RRS!$D$2:$D$202,0)))</f>
        <v/>
      </c>
      <c r="AA137" s="90" t="str">
        <f ca="1">IF(Y137="","",INDIRECT("aux_sheet_RRS!AI"&amp;1+MATCH(aux_sheet_RRS!$E136,aux_sheet_RRS!$D$2:$D$202,0)))</f>
        <v/>
      </c>
      <c r="AB137" s="88" t="str">
        <f ca="1">IF($B137="","",INDIRECT("aux_sheet_RRS!AJ"&amp;1+MATCH(aux_sheet_RRS!$E136,aux_sheet_RRS!$D$2:$D$202,0)))</f>
        <v/>
      </c>
      <c r="AC137" s="89" t="str">
        <f ca="1">IF($B137="","",INDIRECT("aux_sheet_RRS!AK"&amp;1+MATCH(aux_sheet_RRS!$E136,aux_sheet_RRS!$D$2:$D$202,0)))</f>
        <v/>
      </c>
      <c r="AD137" s="90" t="str">
        <f ca="1">IF(AB137="","",INDIRECT("aux_sheet_RRS!AL"&amp;1+MATCH(aux_sheet_RRS!$E136,aux_sheet_RRS!$D$2:$D$202,0)))</f>
        <v/>
      </c>
      <c r="AE137" s="88" t="str">
        <f ca="1">IF($B137="","",INDIRECT("aux_sheet_RRS!AM"&amp;1+MATCH(aux_sheet_RRS!$E136,aux_sheet_RRS!$D$2:$D$202,0)))</f>
        <v/>
      </c>
      <c r="AF137" s="89" t="str">
        <f ca="1">IF($B137="","",INDIRECT("aux_sheet_RRS!AN"&amp;1+MATCH(aux_sheet_RRS!$E136,aux_sheet_RRS!$D$2:$D$202,0)))</f>
        <v/>
      </c>
      <c r="AG137" s="90" t="str">
        <f ca="1">IF(AE137="","",INDIRECT("aux_sheet_RRS!AO"&amp;1+MATCH(aux_sheet_RRS!$E136,aux_sheet_RRS!$D$2:$D$202,0)))</f>
        <v/>
      </c>
      <c r="AH137" s="14" t="str">
        <f t="shared" ca="1" si="6"/>
        <v/>
      </c>
      <c r="AI137" t="str">
        <f t="shared" ca="1" si="7"/>
        <v/>
      </c>
      <c r="AJ137" t="str">
        <f t="shared" ca="1" si="8"/>
        <v/>
      </c>
    </row>
    <row r="138" spans="1:36" x14ac:dyDescent="0.35">
      <c r="A138" s="2" t="str">
        <f>IF(ISBLANK(Input!A137),"",ROUNDDOWN(aux_sheet_RRS!E137,0))</f>
        <v/>
      </c>
      <c r="B138" s="2" t="str">
        <f ca="1">IF(ISBLANK(Input!A137),"",INDIRECT("Input!A"&amp;1+MATCH(aux_sheet_RRS!$E137,aux_sheet_RRS!$D$2:$D$202,0)))</f>
        <v/>
      </c>
      <c r="C138" s="2" t="str">
        <f ca="1">IF(ISBLANK(Input!B137),"",INDIRECT("Input!B"&amp;1+MATCH(aux_sheet_RRS!$E137,aux_sheet_RRS!$D$2:$D$202,0)))</f>
        <v/>
      </c>
      <c r="D138" s="2" t="str">
        <f ca="1">IF(ISBLANK(Input!C137),"",INDIRECT("Input!C"&amp;1+MATCH(aux_sheet_RRS!$E137,aux_sheet_RRS!$D$2:$D$202,0)))</f>
        <v/>
      </c>
      <c r="E138" s="2" t="str">
        <f ca="1">IF(ISBLANK(Input!D137),"",INDIRECT("Input!D"&amp;1+MATCH(aux_sheet_RRS!$E137,aux_sheet_RRS!$D$2:$D$202,0)))</f>
        <v/>
      </c>
      <c r="F138" s="11" t="str">
        <f ca="1">INDIRECT("Input!H"&amp;1+MATCH(aux_sheet_RRS!$E137,aux_sheet_RRS!$D$2:$D$202,0))</f>
        <v xml:space="preserve"> </v>
      </c>
      <c r="G138" s="88" t="str">
        <f ca="1">IF($B138="","",INDIRECT("aux_sheet_RRS!O"&amp;1+MATCH(aux_sheet_RRS!$E137,aux_sheet_RRS!$D$2:$D$202,0)))</f>
        <v/>
      </c>
      <c r="H138" s="89" t="str">
        <f ca="1">IF($B138="","",INDIRECT("aux_sheet_RRS!P"&amp;1+MATCH(aux_sheet_RRS!$E137,aux_sheet_RRS!$D$2:$D$202,0)))</f>
        <v/>
      </c>
      <c r="I138" s="90" t="str">
        <f ca="1">IF(G138="","",ROUNDDOWN(INDIRECT("aux_sheet_RRS!Q"&amp;1+MATCH(aux_sheet_RRS!$E137,aux_sheet_RRS!$D$2:$D$202,0)),0))</f>
        <v/>
      </c>
      <c r="J138" s="106" t="str">
        <f ca="1">IF($B138="","",INDIRECT("aux_sheet_RRS!R"&amp;1+MATCH(aux_sheet_RRS!$E137,aux_sheet_RRS!$D$2:$D$202,0)))</f>
        <v/>
      </c>
      <c r="K138" s="89" t="str">
        <f ca="1">IF($B138="","",INDIRECT("aux_sheet_RRS!S"&amp;1+MATCH(aux_sheet_RRS!$E137,aux_sheet_RRS!$D$2:$D$202,0)))</f>
        <v/>
      </c>
      <c r="L138" s="90" t="str">
        <f ca="1">IF(J138="","",ROUNDDOWN(INDIRECT("aux_sheet_RRS!T"&amp;1+MATCH(aux_sheet_RRS!$E137,aux_sheet_RRS!$D$2:$D$202,0)),0))</f>
        <v/>
      </c>
      <c r="M138" s="106" t="str">
        <f ca="1">IF($B138="","",INDIRECT("aux_sheet_RRS!U"&amp;1+MATCH(aux_sheet_RRS!$E137,aux_sheet_RRS!$D$2:$D$202,0)))</f>
        <v/>
      </c>
      <c r="N138" s="89" t="str">
        <f ca="1">IF($B138="","",INDIRECT("aux_sheet_RRS!V"&amp;1+MATCH(aux_sheet_RRS!$E137,aux_sheet_RRS!$D$2:$D$202,0)))</f>
        <v/>
      </c>
      <c r="O138" s="90" t="str">
        <f ca="1">IF(M138="","",ROUNDDOWN(INDIRECT("aux_sheet_RRS!W"&amp;1+MATCH(aux_sheet_RRS!$E137,aux_sheet_RRS!$D$2:$D$202,0)),0))</f>
        <v/>
      </c>
      <c r="P138" s="106" t="str">
        <f ca="1">IF($B138="","",INDIRECT("aux_sheet_RRS!X"&amp;1+MATCH(aux_sheet_RRS!$E137,aux_sheet_RRS!$D$2:$D$202,0)))</f>
        <v/>
      </c>
      <c r="Q138" s="89" t="str">
        <f ca="1">IF($B138="","",INDIRECT("aux_sheet_RRS!Y"&amp;1+MATCH(aux_sheet_RRS!$E137,aux_sheet_RRS!$D$2:$D$202,0)))</f>
        <v/>
      </c>
      <c r="R138" s="90" t="str">
        <f ca="1">IF(P138="","",INDIRECT("aux_sheet_RRS!Z"&amp;1+MATCH(aux_sheet_RRS!$E137,aux_sheet_RRS!$D$2:$D$202,0)))</f>
        <v/>
      </c>
      <c r="S138" s="106" t="str">
        <f ca="1">IF($B138="","",INDIRECT("aux_sheet_RRS!AA"&amp;1+MATCH(aux_sheet_RRS!$E137,aux_sheet_RRS!$D$2:$D$202,0)))</f>
        <v/>
      </c>
      <c r="T138" s="89" t="str">
        <f ca="1">IF($B138="","",INDIRECT("aux_sheet_RRS!AB"&amp;1+MATCH(aux_sheet_RRS!$E137,aux_sheet_RRS!$D$2:$D$202,0)))</f>
        <v/>
      </c>
      <c r="U138" s="90" t="str">
        <f ca="1">IF(S138="","",INDIRECT("aux_sheet_RRS!AC"&amp;1+MATCH(aux_sheet_RRS!$E137,aux_sheet_RRS!$D$2:$D$202,0)))</f>
        <v/>
      </c>
      <c r="V138" s="106" t="str">
        <f ca="1">IF($B138="","",INDIRECT("aux_sheet_RRS!AD"&amp;1+MATCH(aux_sheet_RRS!$E137,aux_sheet_RRS!$D$2:$D$202,0)))</f>
        <v/>
      </c>
      <c r="W138" s="89" t="str">
        <f ca="1">IF($B138="","",INDIRECT("aux_sheet_RRS!AE"&amp;1+MATCH(aux_sheet_RRS!$E137,aux_sheet_RRS!$D$2:$D$202,0)))</f>
        <v/>
      </c>
      <c r="X138" s="90" t="str">
        <f ca="1">IF(V138="","",INDIRECT("aux_sheet_RRS!AF"&amp;1+MATCH(aux_sheet_RRS!$E137,aux_sheet_RRS!$D$2:$D$202,0)))</f>
        <v/>
      </c>
      <c r="Y138" s="106" t="str">
        <f ca="1">IF($B138="","",INDIRECT("aux_sheet_RRS!AG"&amp;1+MATCH(aux_sheet_RRS!$E137,aux_sheet_RRS!$D$2:$D$202,0)))</f>
        <v/>
      </c>
      <c r="Z138" s="89" t="str">
        <f ca="1">IF($B138="","",INDIRECT("aux_sheet_RRS!AH"&amp;1+MATCH(aux_sheet_RRS!$E137,aux_sheet_RRS!$D$2:$D$202,0)))</f>
        <v/>
      </c>
      <c r="AA138" s="90" t="str">
        <f ca="1">IF(Y138="","",INDIRECT("aux_sheet_RRS!AI"&amp;1+MATCH(aux_sheet_RRS!$E137,aux_sheet_RRS!$D$2:$D$202,0)))</f>
        <v/>
      </c>
      <c r="AB138" s="88" t="str">
        <f ca="1">IF($B138="","",INDIRECT("aux_sheet_RRS!AJ"&amp;1+MATCH(aux_sheet_RRS!$E137,aux_sheet_RRS!$D$2:$D$202,0)))</f>
        <v/>
      </c>
      <c r="AC138" s="89" t="str">
        <f ca="1">IF($B138="","",INDIRECT("aux_sheet_RRS!AK"&amp;1+MATCH(aux_sheet_RRS!$E137,aux_sheet_RRS!$D$2:$D$202,0)))</f>
        <v/>
      </c>
      <c r="AD138" s="90" t="str">
        <f ca="1">IF(AB138="","",INDIRECT("aux_sheet_RRS!AL"&amp;1+MATCH(aux_sheet_RRS!$E137,aux_sheet_RRS!$D$2:$D$202,0)))</f>
        <v/>
      </c>
      <c r="AE138" s="88" t="str">
        <f ca="1">IF($B138="","",INDIRECT("aux_sheet_RRS!AM"&amp;1+MATCH(aux_sheet_RRS!$E137,aux_sheet_RRS!$D$2:$D$202,0)))</f>
        <v/>
      </c>
      <c r="AF138" s="89" t="str">
        <f ca="1">IF($B138="","",INDIRECT("aux_sheet_RRS!AN"&amp;1+MATCH(aux_sheet_RRS!$E137,aux_sheet_RRS!$D$2:$D$202,0)))</f>
        <v/>
      </c>
      <c r="AG138" s="90" t="str">
        <f ca="1">IF(AE138="","",INDIRECT("aux_sheet_RRS!AO"&amp;1+MATCH(aux_sheet_RRS!$E137,aux_sheet_RRS!$D$2:$D$202,0)))</f>
        <v/>
      </c>
      <c r="AH138" s="14" t="str">
        <f t="shared" ca="1" si="6"/>
        <v/>
      </c>
      <c r="AI138" t="str">
        <f t="shared" ca="1" si="7"/>
        <v/>
      </c>
      <c r="AJ138" t="str">
        <f t="shared" ca="1" si="8"/>
        <v/>
      </c>
    </row>
    <row r="139" spans="1:36" x14ac:dyDescent="0.35">
      <c r="A139" s="2" t="str">
        <f>IF(ISBLANK(Input!A138),"",ROUNDDOWN(aux_sheet_RRS!E138,0))</f>
        <v/>
      </c>
      <c r="B139" s="2" t="str">
        <f ca="1">IF(ISBLANK(Input!A138),"",INDIRECT("Input!A"&amp;1+MATCH(aux_sheet_RRS!$E138,aux_sheet_RRS!$D$2:$D$202,0)))</f>
        <v/>
      </c>
      <c r="C139" s="2" t="str">
        <f ca="1">IF(ISBLANK(Input!B138),"",INDIRECT("Input!B"&amp;1+MATCH(aux_sheet_RRS!$E138,aux_sheet_RRS!$D$2:$D$202,0)))</f>
        <v/>
      </c>
      <c r="D139" s="2" t="str">
        <f ca="1">IF(ISBLANK(Input!C138),"",INDIRECT("Input!C"&amp;1+MATCH(aux_sheet_RRS!$E138,aux_sheet_RRS!$D$2:$D$202,0)))</f>
        <v/>
      </c>
      <c r="E139" s="2" t="str">
        <f ca="1">IF(ISBLANK(Input!D138),"",INDIRECT("Input!D"&amp;1+MATCH(aux_sheet_RRS!$E138,aux_sheet_RRS!$D$2:$D$202,0)))</f>
        <v/>
      </c>
      <c r="F139" s="11" t="str">
        <f ca="1">INDIRECT("Input!H"&amp;1+MATCH(aux_sheet_RRS!$E138,aux_sheet_RRS!$D$2:$D$202,0))</f>
        <v xml:space="preserve"> </v>
      </c>
      <c r="G139" s="88" t="str">
        <f ca="1">IF($B139="","",INDIRECT("aux_sheet_RRS!O"&amp;1+MATCH(aux_sheet_RRS!$E138,aux_sheet_RRS!$D$2:$D$202,0)))</f>
        <v/>
      </c>
      <c r="H139" s="89" t="str">
        <f ca="1">IF($B139="","",INDIRECT("aux_sheet_RRS!P"&amp;1+MATCH(aux_sheet_RRS!$E138,aux_sheet_RRS!$D$2:$D$202,0)))</f>
        <v/>
      </c>
      <c r="I139" s="90" t="str">
        <f ca="1">IF(G139="","",ROUNDDOWN(INDIRECT("aux_sheet_RRS!Q"&amp;1+MATCH(aux_sheet_RRS!$E138,aux_sheet_RRS!$D$2:$D$202,0)),0))</f>
        <v/>
      </c>
      <c r="J139" s="106" t="str">
        <f ca="1">IF($B139="","",INDIRECT("aux_sheet_RRS!R"&amp;1+MATCH(aux_sheet_RRS!$E138,aux_sheet_RRS!$D$2:$D$202,0)))</f>
        <v/>
      </c>
      <c r="K139" s="89" t="str">
        <f ca="1">IF($B139="","",INDIRECT("aux_sheet_RRS!S"&amp;1+MATCH(aux_sheet_RRS!$E138,aux_sheet_RRS!$D$2:$D$202,0)))</f>
        <v/>
      </c>
      <c r="L139" s="90" t="str">
        <f ca="1">IF(J139="","",ROUNDDOWN(INDIRECT("aux_sheet_RRS!T"&amp;1+MATCH(aux_sheet_RRS!$E138,aux_sheet_RRS!$D$2:$D$202,0)),0))</f>
        <v/>
      </c>
      <c r="M139" s="106" t="str">
        <f ca="1">IF($B139="","",INDIRECT("aux_sheet_RRS!U"&amp;1+MATCH(aux_sheet_RRS!$E138,aux_sheet_RRS!$D$2:$D$202,0)))</f>
        <v/>
      </c>
      <c r="N139" s="89" t="str">
        <f ca="1">IF($B139="","",INDIRECT("aux_sheet_RRS!V"&amp;1+MATCH(aux_sheet_RRS!$E138,aux_sheet_RRS!$D$2:$D$202,0)))</f>
        <v/>
      </c>
      <c r="O139" s="90" t="str">
        <f ca="1">IF(M139="","",ROUNDDOWN(INDIRECT("aux_sheet_RRS!W"&amp;1+MATCH(aux_sheet_RRS!$E138,aux_sheet_RRS!$D$2:$D$202,0)),0))</f>
        <v/>
      </c>
      <c r="P139" s="106" t="str">
        <f ca="1">IF($B139="","",INDIRECT("aux_sheet_RRS!X"&amp;1+MATCH(aux_sheet_RRS!$E138,aux_sheet_RRS!$D$2:$D$202,0)))</f>
        <v/>
      </c>
      <c r="Q139" s="89" t="str">
        <f ca="1">IF($B139="","",INDIRECT("aux_sheet_RRS!Y"&amp;1+MATCH(aux_sheet_RRS!$E138,aux_sheet_RRS!$D$2:$D$202,0)))</f>
        <v/>
      </c>
      <c r="R139" s="90" t="str">
        <f ca="1">IF(P139="","",INDIRECT("aux_sheet_RRS!Z"&amp;1+MATCH(aux_sheet_RRS!$E138,aux_sheet_RRS!$D$2:$D$202,0)))</f>
        <v/>
      </c>
      <c r="S139" s="106" t="str">
        <f ca="1">IF($B139="","",INDIRECT("aux_sheet_RRS!AA"&amp;1+MATCH(aux_sheet_RRS!$E138,aux_sheet_RRS!$D$2:$D$202,0)))</f>
        <v/>
      </c>
      <c r="T139" s="89" t="str">
        <f ca="1">IF($B139="","",INDIRECT("aux_sheet_RRS!AB"&amp;1+MATCH(aux_sheet_RRS!$E138,aux_sheet_RRS!$D$2:$D$202,0)))</f>
        <v/>
      </c>
      <c r="U139" s="90" t="str">
        <f ca="1">IF(S139="","",INDIRECT("aux_sheet_RRS!AC"&amp;1+MATCH(aux_sheet_RRS!$E138,aux_sheet_RRS!$D$2:$D$202,0)))</f>
        <v/>
      </c>
      <c r="V139" s="106" t="str">
        <f ca="1">IF($B139="","",INDIRECT("aux_sheet_RRS!AD"&amp;1+MATCH(aux_sheet_RRS!$E138,aux_sheet_RRS!$D$2:$D$202,0)))</f>
        <v/>
      </c>
      <c r="W139" s="89" t="str">
        <f ca="1">IF($B139="","",INDIRECT("aux_sheet_RRS!AE"&amp;1+MATCH(aux_sheet_RRS!$E138,aux_sheet_RRS!$D$2:$D$202,0)))</f>
        <v/>
      </c>
      <c r="X139" s="90" t="str">
        <f ca="1">IF(V139="","",INDIRECT("aux_sheet_RRS!AF"&amp;1+MATCH(aux_sheet_RRS!$E138,aux_sheet_RRS!$D$2:$D$202,0)))</f>
        <v/>
      </c>
      <c r="Y139" s="106" t="str">
        <f ca="1">IF($B139="","",INDIRECT("aux_sheet_RRS!AG"&amp;1+MATCH(aux_sheet_RRS!$E138,aux_sheet_RRS!$D$2:$D$202,0)))</f>
        <v/>
      </c>
      <c r="Z139" s="89" t="str">
        <f ca="1">IF($B139="","",INDIRECT("aux_sheet_RRS!AH"&amp;1+MATCH(aux_sheet_RRS!$E138,aux_sheet_RRS!$D$2:$D$202,0)))</f>
        <v/>
      </c>
      <c r="AA139" s="90" t="str">
        <f ca="1">IF(Y139="","",INDIRECT("aux_sheet_RRS!AI"&amp;1+MATCH(aux_sheet_RRS!$E138,aux_sheet_RRS!$D$2:$D$202,0)))</f>
        <v/>
      </c>
      <c r="AB139" s="88" t="str">
        <f ca="1">IF($B139="","",INDIRECT("aux_sheet_RRS!AJ"&amp;1+MATCH(aux_sheet_RRS!$E138,aux_sheet_RRS!$D$2:$D$202,0)))</f>
        <v/>
      </c>
      <c r="AC139" s="89" t="str">
        <f ca="1">IF($B139="","",INDIRECT("aux_sheet_RRS!AK"&amp;1+MATCH(aux_sheet_RRS!$E138,aux_sheet_RRS!$D$2:$D$202,0)))</f>
        <v/>
      </c>
      <c r="AD139" s="90" t="str">
        <f ca="1">IF(AB139="","",INDIRECT("aux_sheet_RRS!AL"&amp;1+MATCH(aux_sheet_RRS!$E138,aux_sheet_RRS!$D$2:$D$202,0)))</f>
        <v/>
      </c>
      <c r="AE139" s="88" t="str">
        <f ca="1">IF($B139="","",INDIRECT("aux_sheet_RRS!AM"&amp;1+MATCH(aux_sheet_RRS!$E138,aux_sheet_RRS!$D$2:$D$202,0)))</f>
        <v/>
      </c>
      <c r="AF139" s="89" t="str">
        <f ca="1">IF($B139="","",INDIRECT("aux_sheet_RRS!AN"&amp;1+MATCH(aux_sheet_RRS!$E138,aux_sheet_RRS!$D$2:$D$202,0)))</f>
        <v/>
      </c>
      <c r="AG139" s="90" t="str">
        <f ca="1">IF(AE139="","",INDIRECT("aux_sheet_RRS!AO"&amp;1+MATCH(aux_sheet_RRS!$E138,aux_sheet_RRS!$D$2:$D$202,0)))</f>
        <v/>
      </c>
      <c r="AH139" s="14" t="str">
        <f t="shared" ca="1" si="6"/>
        <v/>
      </c>
      <c r="AI139" t="str">
        <f t="shared" ca="1" si="7"/>
        <v/>
      </c>
      <c r="AJ139" t="str">
        <f t="shared" ca="1" si="8"/>
        <v/>
      </c>
    </row>
    <row r="140" spans="1:36" x14ac:dyDescent="0.35">
      <c r="A140" s="2" t="str">
        <f>IF(ISBLANK(Input!A139),"",ROUNDDOWN(aux_sheet_RRS!E139,0))</f>
        <v/>
      </c>
      <c r="B140" s="2" t="str">
        <f ca="1">IF(ISBLANK(Input!A139),"",INDIRECT("Input!A"&amp;1+MATCH(aux_sheet_RRS!$E139,aux_sheet_RRS!$D$2:$D$202,0)))</f>
        <v/>
      </c>
      <c r="C140" s="2" t="str">
        <f ca="1">IF(ISBLANK(Input!B139),"",INDIRECT("Input!B"&amp;1+MATCH(aux_sheet_RRS!$E139,aux_sheet_RRS!$D$2:$D$202,0)))</f>
        <v/>
      </c>
      <c r="D140" s="2" t="str">
        <f ca="1">IF(ISBLANK(Input!C139),"",INDIRECT("Input!C"&amp;1+MATCH(aux_sheet_RRS!$E139,aux_sheet_RRS!$D$2:$D$202,0)))</f>
        <v/>
      </c>
      <c r="E140" s="2" t="str">
        <f ca="1">IF(ISBLANK(Input!D139),"",INDIRECT("Input!D"&amp;1+MATCH(aux_sheet_RRS!$E139,aux_sheet_RRS!$D$2:$D$202,0)))</f>
        <v/>
      </c>
      <c r="F140" s="11" t="str">
        <f ca="1">INDIRECT("Input!H"&amp;1+MATCH(aux_sheet_RRS!$E139,aux_sheet_RRS!$D$2:$D$202,0))</f>
        <v xml:space="preserve"> </v>
      </c>
      <c r="G140" s="88" t="str">
        <f ca="1">IF($B140="","",INDIRECT("aux_sheet_RRS!O"&amp;1+MATCH(aux_sheet_RRS!$E139,aux_sheet_RRS!$D$2:$D$202,0)))</f>
        <v/>
      </c>
      <c r="H140" s="89" t="str">
        <f ca="1">IF($B140="","",INDIRECT("aux_sheet_RRS!P"&amp;1+MATCH(aux_sheet_RRS!$E139,aux_sheet_RRS!$D$2:$D$202,0)))</f>
        <v/>
      </c>
      <c r="I140" s="90" t="str">
        <f ca="1">IF(G140="","",ROUNDDOWN(INDIRECT("aux_sheet_RRS!Q"&amp;1+MATCH(aux_sheet_RRS!$E139,aux_sheet_RRS!$D$2:$D$202,0)),0))</f>
        <v/>
      </c>
      <c r="J140" s="106" t="str">
        <f ca="1">IF($B140="","",INDIRECT("aux_sheet_RRS!R"&amp;1+MATCH(aux_sheet_RRS!$E139,aux_sheet_RRS!$D$2:$D$202,0)))</f>
        <v/>
      </c>
      <c r="K140" s="89" t="str">
        <f ca="1">IF($B140="","",INDIRECT("aux_sheet_RRS!S"&amp;1+MATCH(aux_sheet_RRS!$E139,aux_sheet_RRS!$D$2:$D$202,0)))</f>
        <v/>
      </c>
      <c r="L140" s="90" t="str">
        <f ca="1">IF(J140="","",ROUNDDOWN(INDIRECT("aux_sheet_RRS!T"&amp;1+MATCH(aux_sheet_RRS!$E139,aux_sheet_RRS!$D$2:$D$202,0)),0))</f>
        <v/>
      </c>
      <c r="M140" s="106" t="str">
        <f ca="1">IF($B140="","",INDIRECT("aux_sheet_RRS!U"&amp;1+MATCH(aux_sheet_RRS!$E139,aux_sheet_RRS!$D$2:$D$202,0)))</f>
        <v/>
      </c>
      <c r="N140" s="89" t="str">
        <f ca="1">IF($B140="","",INDIRECT("aux_sheet_RRS!V"&amp;1+MATCH(aux_sheet_RRS!$E139,aux_sheet_RRS!$D$2:$D$202,0)))</f>
        <v/>
      </c>
      <c r="O140" s="90" t="str">
        <f ca="1">IF(M140="","",ROUNDDOWN(INDIRECT("aux_sheet_RRS!W"&amp;1+MATCH(aux_sheet_RRS!$E139,aux_sheet_RRS!$D$2:$D$202,0)),0))</f>
        <v/>
      </c>
      <c r="P140" s="106" t="str">
        <f ca="1">IF($B140="","",INDIRECT("aux_sheet_RRS!X"&amp;1+MATCH(aux_sheet_RRS!$E139,aux_sheet_RRS!$D$2:$D$202,0)))</f>
        <v/>
      </c>
      <c r="Q140" s="89" t="str">
        <f ca="1">IF($B140="","",INDIRECT("aux_sheet_RRS!Y"&amp;1+MATCH(aux_sheet_RRS!$E139,aux_sheet_RRS!$D$2:$D$202,0)))</f>
        <v/>
      </c>
      <c r="R140" s="90" t="str">
        <f ca="1">IF(P140="","",INDIRECT("aux_sheet_RRS!Z"&amp;1+MATCH(aux_sheet_RRS!$E139,aux_sheet_RRS!$D$2:$D$202,0)))</f>
        <v/>
      </c>
      <c r="S140" s="106" t="str">
        <f ca="1">IF($B140="","",INDIRECT("aux_sheet_RRS!AA"&amp;1+MATCH(aux_sheet_RRS!$E139,aux_sheet_RRS!$D$2:$D$202,0)))</f>
        <v/>
      </c>
      <c r="T140" s="89" t="str">
        <f ca="1">IF($B140="","",INDIRECT("aux_sheet_RRS!AB"&amp;1+MATCH(aux_sheet_RRS!$E139,aux_sheet_RRS!$D$2:$D$202,0)))</f>
        <v/>
      </c>
      <c r="U140" s="90" t="str">
        <f ca="1">IF(S140="","",INDIRECT("aux_sheet_RRS!AC"&amp;1+MATCH(aux_sheet_RRS!$E139,aux_sheet_RRS!$D$2:$D$202,0)))</f>
        <v/>
      </c>
      <c r="V140" s="106" t="str">
        <f ca="1">IF($B140="","",INDIRECT("aux_sheet_RRS!AD"&amp;1+MATCH(aux_sheet_RRS!$E139,aux_sheet_RRS!$D$2:$D$202,0)))</f>
        <v/>
      </c>
      <c r="W140" s="89" t="str">
        <f ca="1">IF($B140="","",INDIRECT("aux_sheet_RRS!AE"&amp;1+MATCH(aux_sheet_RRS!$E139,aux_sheet_RRS!$D$2:$D$202,0)))</f>
        <v/>
      </c>
      <c r="X140" s="90" t="str">
        <f ca="1">IF(V140="","",INDIRECT("aux_sheet_RRS!AF"&amp;1+MATCH(aux_sheet_RRS!$E139,aux_sheet_RRS!$D$2:$D$202,0)))</f>
        <v/>
      </c>
      <c r="Y140" s="106" t="str">
        <f ca="1">IF($B140="","",INDIRECT("aux_sheet_RRS!AG"&amp;1+MATCH(aux_sheet_RRS!$E139,aux_sheet_RRS!$D$2:$D$202,0)))</f>
        <v/>
      </c>
      <c r="Z140" s="89" t="str">
        <f ca="1">IF($B140="","",INDIRECT("aux_sheet_RRS!AH"&amp;1+MATCH(aux_sheet_RRS!$E139,aux_sheet_RRS!$D$2:$D$202,0)))</f>
        <v/>
      </c>
      <c r="AA140" s="90" t="str">
        <f ca="1">IF(Y140="","",INDIRECT("aux_sheet_RRS!AI"&amp;1+MATCH(aux_sheet_RRS!$E139,aux_sheet_RRS!$D$2:$D$202,0)))</f>
        <v/>
      </c>
      <c r="AB140" s="88" t="str">
        <f ca="1">IF($B140="","",INDIRECT("aux_sheet_RRS!AJ"&amp;1+MATCH(aux_sheet_RRS!$E139,aux_sheet_RRS!$D$2:$D$202,0)))</f>
        <v/>
      </c>
      <c r="AC140" s="89" t="str">
        <f ca="1">IF($B140="","",INDIRECT("aux_sheet_RRS!AK"&amp;1+MATCH(aux_sheet_RRS!$E139,aux_sheet_RRS!$D$2:$D$202,0)))</f>
        <v/>
      </c>
      <c r="AD140" s="90" t="str">
        <f ca="1">IF(AB140="","",INDIRECT("aux_sheet_RRS!AL"&amp;1+MATCH(aux_sheet_RRS!$E139,aux_sheet_RRS!$D$2:$D$202,0)))</f>
        <v/>
      </c>
      <c r="AE140" s="88" t="str">
        <f ca="1">IF($B140="","",INDIRECT("aux_sheet_RRS!AM"&amp;1+MATCH(aux_sheet_RRS!$E139,aux_sheet_RRS!$D$2:$D$202,0)))</f>
        <v/>
      </c>
      <c r="AF140" s="89" t="str">
        <f ca="1">IF($B140="","",INDIRECT("aux_sheet_RRS!AN"&amp;1+MATCH(aux_sheet_RRS!$E139,aux_sheet_RRS!$D$2:$D$202,0)))</f>
        <v/>
      </c>
      <c r="AG140" s="90" t="str">
        <f ca="1">IF(AE140="","",INDIRECT("aux_sheet_RRS!AO"&amp;1+MATCH(aux_sheet_RRS!$E139,aux_sheet_RRS!$D$2:$D$202,0)))</f>
        <v/>
      </c>
      <c r="AH140" s="14" t="str">
        <f t="shared" ca="1" si="6"/>
        <v/>
      </c>
      <c r="AI140" t="str">
        <f t="shared" ca="1" si="7"/>
        <v/>
      </c>
      <c r="AJ140" t="str">
        <f t="shared" ca="1" si="8"/>
        <v/>
      </c>
    </row>
    <row r="141" spans="1:36" x14ac:dyDescent="0.35">
      <c r="A141" s="2" t="str">
        <f>IF(ISBLANK(Input!A140),"",ROUNDDOWN(aux_sheet_RRS!E140,0))</f>
        <v/>
      </c>
      <c r="B141" s="2" t="str">
        <f ca="1">IF(ISBLANK(Input!A140),"",INDIRECT("Input!A"&amp;1+MATCH(aux_sheet_RRS!$E140,aux_sheet_RRS!$D$2:$D$202,0)))</f>
        <v/>
      </c>
      <c r="C141" s="2" t="str">
        <f ca="1">IF(ISBLANK(Input!B140),"",INDIRECT("Input!B"&amp;1+MATCH(aux_sheet_RRS!$E140,aux_sheet_RRS!$D$2:$D$202,0)))</f>
        <v/>
      </c>
      <c r="D141" s="2" t="str">
        <f ca="1">IF(ISBLANK(Input!C140),"",INDIRECT("Input!C"&amp;1+MATCH(aux_sheet_RRS!$E140,aux_sheet_RRS!$D$2:$D$202,0)))</f>
        <v/>
      </c>
      <c r="E141" s="2" t="str">
        <f ca="1">IF(ISBLANK(Input!D140),"",INDIRECT("Input!D"&amp;1+MATCH(aux_sheet_RRS!$E140,aux_sheet_RRS!$D$2:$D$202,0)))</f>
        <v/>
      </c>
      <c r="F141" s="11" t="str">
        <f ca="1">INDIRECT("Input!H"&amp;1+MATCH(aux_sheet_RRS!$E140,aux_sheet_RRS!$D$2:$D$202,0))</f>
        <v xml:space="preserve"> </v>
      </c>
      <c r="G141" s="88" t="str">
        <f ca="1">IF($B141="","",INDIRECT("aux_sheet_RRS!O"&amp;1+MATCH(aux_sheet_RRS!$E140,aux_sheet_RRS!$D$2:$D$202,0)))</f>
        <v/>
      </c>
      <c r="H141" s="89" t="str">
        <f ca="1">IF($B141="","",INDIRECT("aux_sheet_RRS!P"&amp;1+MATCH(aux_sheet_RRS!$E140,aux_sheet_RRS!$D$2:$D$202,0)))</f>
        <v/>
      </c>
      <c r="I141" s="90" t="str">
        <f ca="1">IF(G141="","",ROUNDDOWN(INDIRECT("aux_sheet_RRS!Q"&amp;1+MATCH(aux_sheet_RRS!$E140,aux_sheet_RRS!$D$2:$D$202,0)),0))</f>
        <v/>
      </c>
      <c r="J141" s="106" t="str">
        <f ca="1">IF($B141="","",INDIRECT("aux_sheet_RRS!R"&amp;1+MATCH(aux_sheet_RRS!$E140,aux_sheet_RRS!$D$2:$D$202,0)))</f>
        <v/>
      </c>
      <c r="K141" s="89" t="str">
        <f ca="1">IF($B141="","",INDIRECT("aux_sheet_RRS!S"&amp;1+MATCH(aux_sheet_RRS!$E140,aux_sheet_RRS!$D$2:$D$202,0)))</f>
        <v/>
      </c>
      <c r="L141" s="90" t="str">
        <f ca="1">IF(J141="","",ROUNDDOWN(INDIRECT("aux_sheet_RRS!T"&amp;1+MATCH(aux_sheet_RRS!$E140,aux_sheet_RRS!$D$2:$D$202,0)),0))</f>
        <v/>
      </c>
      <c r="M141" s="106" t="str">
        <f ca="1">IF($B141="","",INDIRECT("aux_sheet_RRS!U"&amp;1+MATCH(aux_sheet_RRS!$E140,aux_sheet_RRS!$D$2:$D$202,0)))</f>
        <v/>
      </c>
      <c r="N141" s="89" t="str">
        <f ca="1">IF($B141="","",INDIRECT("aux_sheet_RRS!V"&amp;1+MATCH(aux_sheet_RRS!$E140,aux_sheet_RRS!$D$2:$D$202,0)))</f>
        <v/>
      </c>
      <c r="O141" s="90" t="str">
        <f ca="1">IF(M141="","",ROUNDDOWN(INDIRECT("aux_sheet_RRS!W"&amp;1+MATCH(aux_sheet_RRS!$E140,aux_sheet_RRS!$D$2:$D$202,0)),0))</f>
        <v/>
      </c>
      <c r="P141" s="106" t="str">
        <f ca="1">IF($B141="","",INDIRECT("aux_sheet_RRS!X"&amp;1+MATCH(aux_sheet_RRS!$E140,aux_sheet_RRS!$D$2:$D$202,0)))</f>
        <v/>
      </c>
      <c r="Q141" s="89" t="str">
        <f ca="1">IF($B141="","",INDIRECT("aux_sheet_RRS!Y"&amp;1+MATCH(aux_sheet_RRS!$E140,aux_sheet_RRS!$D$2:$D$202,0)))</f>
        <v/>
      </c>
      <c r="R141" s="90" t="str">
        <f ca="1">IF(P141="","",INDIRECT("aux_sheet_RRS!Z"&amp;1+MATCH(aux_sheet_RRS!$E140,aux_sheet_RRS!$D$2:$D$202,0)))</f>
        <v/>
      </c>
      <c r="S141" s="106" t="str">
        <f ca="1">IF($B141="","",INDIRECT("aux_sheet_RRS!AA"&amp;1+MATCH(aux_sheet_RRS!$E140,aux_sheet_RRS!$D$2:$D$202,0)))</f>
        <v/>
      </c>
      <c r="T141" s="89" t="str">
        <f ca="1">IF($B141="","",INDIRECT("aux_sheet_RRS!AB"&amp;1+MATCH(aux_sheet_RRS!$E140,aux_sheet_RRS!$D$2:$D$202,0)))</f>
        <v/>
      </c>
      <c r="U141" s="90" t="str">
        <f ca="1">IF(S141="","",INDIRECT("aux_sheet_RRS!AC"&amp;1+MATCH(aux_sheet_RRS!$E140,aux_sheet_RRS!$D$2:$D$202,0)))</f>
        <v/>
      </c>
      <c r="V141" s="106" t="str">
        <f ca="1">IF($B141="","",INDIRECT("aux_sheet_RRS!AD"&amp;1+MATCH(aux_sheet_RRS!$E140,aux_sheet_RRS!$D$2:$D$202,0)))</f>
        <v/>
      </c>
      <c r="W141" s="89" t="str">
        <f ca="1">IF($B141="","",INDIRECT("aux_sheet_RRS!AE"&amp;1+MATCH(aux_sheet_RRS!$E140,aux_sheet_RRS!$D$2:$D$202,0)))</f>
        <v/>
      </c>
      <c r="X141" s="90" t="str">
        <f ca="1">IF(V141="","",INDIRECT("aux_sheet_RRS!AF"&amp;1+MATCH(aux_sheet_RRS!$E140,aux_sheet_RRS!$D$2:$D$202,0)))</f>
        <v/>
      </c>
      <c r="Y141" s="106" t="str">
        <f ca="1">IF($B141="","",INDIRECT("aux_sheet_RRS!AG"&amp;1+MATCH(aux_sheet_RRS!$E140,aux_sheet_RRS!$D$2:$D$202,0)))</f>
        <v/>
      </c>
      <c r="Z141" s="89" t="str">
        <f ca="1">IF($B141="","",INDIRECT("aux_sheet_RRS!AH"&amp;1+MATCH(aux_sheet_RRS!$E140,aux_sheet_RRS!$D$2:$D$202,0)))</f>
        <v/>
      </c>
      <c r="AA141" s="90" t="str">
        <f ca="1">IF(Y141="","",INDIRECT("aux_sheet_RRS!AI"&amp;1+MATCH(aux_sheet_RRS!$E140,aux_sheet_RRS!$D$2:$D$202,0)))</f>
        <v/>
      </c>
      <c r="AB141" s="88" t="str">
        <f ca="1">IF($B141="","",INDIRECT("aux_sheet_RRS!AJ"&amp;1+MATCH(aux_sheet_RRS!$E140,aux_sheet_RRS!$D$2:$D$202,0)))</f>
        <v/>
      </c>
      <c r="AC141" s="89" t="str">
        <f ca="1">IF($B141="","",INDIRECT("aux_sheet_RRS!AK"&amp;1+MATCH(aux_sheet_RRS!$E140,aux_sheet_RRS!$D$2:$D$202,0)))</f>
        <v/>
      </c>
      <c r="AD141" s="90" t="str">
        <f ca="1">IF(AB141="","",INDIRECT("aux_sheet_RRS!AL"&amp;1+MATCH(aux_sheet_RRS!$E140,aux_sheet_RRS!$D$2:$D$202,0)))</f>
        <v/>
      </c>
      <c r="AE141" s="88" t="str">
        <f ca="1">IF($B141="","",INDIRECT("aux_sheet_RRS!AM"&amp;1+MATCH(aux_sheet_RRS!$E140,aux_sheet_RRS!$D$2:$D$202,0)))</f>
        <v/>
      </c>
      <c r="AF141" s="89" t="str">
        <f ca="1">IF($B141="","",INDIRECT("aux_sheet_RRS!AN"&amp;1+MATCH(aux_sheet_RRS!$E140,aux_sheet_RRS!$D$2:$D$202,0)))</f>
        <v/>
      </c>
      <c r="AG141" s="90" t="str">
        <f ca="1">IF(AE141="","",INDIRECT("aux_sheet_RRS!AO"&amp;1+MATCH(aux_sheet_RRS!$E140,aux_sheet_RRS!$D$2:$D$202,0)))</f>
        <v/>
      </c>
      <c r="AH141" s="14" t="str">
        <f t="shared" ref="AH141:AH203" ca="1" si="9">IF(B141&lt;&gt;"",F140-F141,"")</f>
        <v/>
      </c>
      <c r="AI141" t="str">
        <f t="shared" ref="AI141:AI203" ca="1" si="10">IF(B141&lt;&gt;"",ROUNDUP(10^((F140-F141)/500)*100-100,0),"")</f>
        <v/>
      </c>
      <c r="AJ141" t="str">
        <f t="shared" ref="AJ141:AJ203" ca="1" si="11">IF(B141&lt;&gt;"",ROUNDUP(10^((F140-F141)/500),2),"")</f>
        <v/>
      </c>
    </row>
    <row r="142" spans="1:36" x14ac:dyDescent="0.35">
      <c r="A142" s="2" t="str">
        <f>IF(ISBLANK(Input!A141),"",ROUNDDOWN(aux_sheet_RRS!E141,0))</f>
        <v/>
      </c>
      <c r="B142" s="2" t="str">
        <f ca="1">IF(ISBLANK(Input!A141),"",INDIRECT("Input!A"&amp;1+MATCH(aux_sheet_RRS!$E141,aux_sheet_RRS!$D$2:$D$202,0)))</f>
        <v/>
      </c>
      <c r="C142" s="2" t="str">
        <f ca="1">IF(ISBLANK(Input!B141),"",INDIRECT("Input!B"&amp;1+MATCH(aux_sheet_RRS!$E141,aux_sheet_RRS!$D$2:$D$202,0)))</f>
        <v/>
      </c>
      <c r="D142" s="2" t="str">
        <f ca="1">IF(ISBLANK(Input!C141),"",INDIRECT("Input!C"&amp;1+MATCH(aux_sheet_RRS!$E141,aux_sheet_RRS!$D$2:$D$202,0)))</f>
        <v/>
      </c>
      <c r="E142" s="2" t="str">
        <f ca="1">IF(ISBLANK(Input!D141),"",INDIRECT("Input!D"&amp;1+MATCH(aux_sheet_RRS!$E141,aux_sheet_RRS!$D$2:$D$202,0)))</f>
        <v/>
      </c>
      <c r="F142" s="11" t="str">
        <f ca="1">INDIRECT("Input!H"&amp;1+MATCH(aux_sheet_RRS!$E141,aux_sheet_RRS!$D$2:$D$202,0))</f>
        <v xml:space="preserve"> </v>
      </c>
      <c r="G142" s="88" t="str">
        <f ca="1">IF($B142="","",INDIRECT("aux_sheet_RRS!O"&amp;1+MATCH(aux_sheet_RRS!$E141,aux_sheet_RRS!$D$2:$D$202,0)))</f>
        <v/>
      </c>
      <c r="H142" s="89" t="str">
        <f ca="1">IF($B142="","",INDIRECT("aux_sheet_RRS!P"&amp;1+MATCH(aux_sheet_RRS!$E141,aux_sheet_RRS!$D$2:$D$202,0)))</f>
        <v/>
      </c>
      <c r="I142" s="90" t="str">
        <f ca="1">IF(G142="","",ROUNDDOWN(INDIRECT("aux_sheet_RRS!Q"&amp;1+MATCH(aux_sheet_RRS!$E141,aux_sheet_RRS!$D$2:$D$202,0)),0))</f>
        <v/>
      </c>
      <c r="J142" s="106" t="str">
        <f ca="1">IF($B142="","",INDIRECT("aux_sheet_RRS!R"&amp;1+MATCH(aux_sheet_RRS!$E141,aux_sheet_RRS!$D$2:$D$202,0)))</f>
        <v/>
      </c>
      <c r="K142" s="89" t="str">
        <f ca="1">IF($B142="","",INDIRECT("aux_sheet_RRS!S"&amp;1+MATCH(aux_sheet_RRS!$E141,aux_sheet_RRS!$D$2:$D$202,0)))</f>
        <v/>
      </c>
      <c r="L142" s="90" t="str">
        <f ca="1">IF(J142="","",ROUNDDOWN(INDIRECT("aux_sheet_RRS!T"&amp;1+MATCH(aux_sheet_RRS!$E141,aux_sheet_RRS!$D$2:$D$202,0)),0))</f>
        <v/>
      </c>
      <c r="M142" s="106" t="str">
        <f ca="1">IF($B142="","",INDIRECT("aux_sheet_RRS!U"&amp;1+MATCH(aux_sheet_RRS!$E141,aux_sheet_RRS!$D$2:$D$202,0)))</f>
        <v/>
      </c>
      <c r="N142" s="89" t="str">
        <f ca="1">IF($B142="","",INDIRECT("aux_sheet_RRS!V"&amp;1+MATCH(aux_sheet_RRS!$E141,aux_sheet_RRS!$D$2:$D$202,0)))</f>
        <v/>
      </c>
      <c r="O142" s="90" t="str">
        <f ca="1">IF(M142="","",ROUNDDOWN(INDIRECT("aux_sheet_RRS!W"&amp;1+MATCH(aux_sheet_RRS!$E141,aux_sheet_RRS!$D$2:$D$202,0)),0))</f>
        <v/>
      </c>
      <c r="P142" s="106" t="str">
        <f ca="1">IF($B142="","",INDIRECT("aux_sheet_RRS!X"&amp;1+MATCH(aux_sheet_RRS!$E141,aux_sheet_RRS!$D$2:$D$202,0)))</f>
        <v/>
      </c>
      <c r="Q142" s="89" t="str">
        <f ca="1">IF($B142="","",INDIRECT("aux_sheet_RRS!Y"&amp;1+MATCH(aux_sheet_RRS!$E141,aux_sheet_RRS!$D$2:$D$202,0)))</f>
        <v/>
      </c>
      <c r="R142" s="90" t="str">
        <f ca="1">IF(P142="","",INDIRECT("aux_sheet_RRS!Z"&amp;1+MATCH(aux_sheet_RRS!$E141,aux_sheet_RRS!$D$2:$D$202,0)))</f>
        <v/>
      </c>
      <c r="S142" s="106" t="str">
        <f ca="1">IF($B142="","",INDIRECT("aux_sheet_RRS!AA"&amp;1+MATCH(aux_sheet_RRS!$E141,aux_sheet_RRS!$D$2:$D$202,0)))</f>
        <v/>
      </c>
      <c r="T142" s="89" t="str">
        <f ca="1">IF($B142="","",INDIRECT("aux_sheet_RRS!AB"&amp;1+MATCH(aux_sheet_RRS!$E141,aux_sheet_RRS!$D$2:$D$202,0)))</f>
        <v/>
      </c>
      <c r="U142" s="90" t="str">
        <f ca="1">IF(S142="","",INDIRECT("aux_sheet_RRS!AC"&amp;1+MATCH(aux_sheet_RRS!$E141,aux_sheet_RRS!$D$2:$D$202,0)))</f>
        <v/>
      </c>
      <c r="V142" s="106" t="str">
        <f ca="1">IF($B142="","",INDIRECT("aux_sheet_RRS!AD"&amp;1+MATCH(aux_sheet_RRS!$E141,aux_sheet_RRS!$D$2:$D$202,0)))</f>
        <v/>
      </c>
      <c r="W142" s="89" t="str">
        <f ca="1">IF($B142="","",INDIRECT("aux_sheet_RRS!AE"&amp;1+MATCH(aux_sheet_RRS!$E141,aux_sheet_RRS!$D$2:$D$202,0)))</f>
        <v/>
      </c>
      <c r="X142" s="90" t="str">
        <f ca="1">IF(V142="","",INDIRECT("aux_sheet_RRS!AF"&amp;1+MATCH(aux_sheet_RRS!$E141,aux_sheet_RRS!$D$2:$D$202,0)))</f>
        <v/>
      </c>
      <c r="Y142" s="106" t="str">
        <f ca="1">IF($B142="","",INDIRECT("aux_sheet_RRS!AG"&amp;1+MATCH(aux_sheet_RRS!$E141,aux_sheet_RRS!$D$2:$D$202,0)))</f>
        <v/>
      </c>
      <c r="Z142" s="89" t="str">
        <f ca="1">IF($B142="","",INDIRECT("aux_sheet_RRS!AH"&amp;1+MATCH(aux_sheet_RRS!$E141,aux_sheet_RRS!$D$2:$D$202,0)))</f>
        <v/>
      </c>
      <c r="AA142" s="90" t="str">
        <f ca="1">IF(Y142="","",INDIRECT("aux_sheet_RRS!AI"&amp;1+MATCH(aux_sheet_RRS!$E141,aux_sheet_RRS!$D$2:$D$202,0)))</f>
        <v/>
      </c>
      <c r="AB142" s="88" t="str">
        <f ca="1">IF($B142="","",INDIRECT("aux_sheet_RRS!AJ"&amp;1+MATCH(aux_sheet_RRS!$E141,aux_sheet_RRS!$D$2:$D$202,0)))</f>
        <v/>
      </c>
      <c r="AC142" s="89" t="str">
        <f ca="1">IF($B142="","",INDIRECT("aux_sheet_RRS!AK"&amp;1+MATCH(aux_sheet_RRS!$E141,aux_sheet_RRS!$D$2:$D$202,0)))</f>
        <v/>
      </c>
      <c r="AD142" s="90" t="str">
        <f ca="1">IF(AB142="","",INDIRECT("aux_sheet_RRS!AL"&amp;1+MATCH(aux_sheet_RRS!$E141,aux_sheet_RRS!$D$2:$D$202,0)))</f>
        <v/>
      </c>
      <c r="AE142" s="88" t="str">
        <f ca="1">IF($B142="","",INDIRECT("aux_sheet_RRS!AM"&amp;1+MATCH(aux_sheet_RRS!$E141,aux_sheet_RRS!$D$2:$D$202,0)))</f>
        <v/>
      </c>
      <c r="AF142" s="89" t="str">
        <f ca="1">IF($B142="","",INDIRECT("aux_sheet_RRS!AN"&amp;1+MATCH(aux_sheet_RRS!$E141,aux_sheet_RRS!$D$2:$D$202,0)))</f>
        <v/>
      </c>
      <c r="AG142" s="90" t="str">
        <f ca="1">IF(AE142="","",INDIRECT("aux_sheet_RRS!AO"&amp;1+MATCH(aux_sheet_RRS!$E141,aux_sheet_RRS!$D$2:$D$202,0)))</f>
        <v/>
      </c>
      <c r="AH142" s="14" t="str">
        <f t="shared" ca="1" si="9"/>
        <v/>
      </c>
      <c r="AI142" t="str">
        <f t="shared" ca="1" si="10"/>
        <v/>
      </c>
      <c r="AJ142" t="str">
        <f t="shared" ca="1" si="11"/>
        <v/>
      </c>
    </row>
    <row r="143" spans="1:36" x14ac:dyDescent="0.35">
      <c r="A143" s="2" t="str">
        <f>IF(ISBLANK(Input!A142),"",ROUNDDOWN(aux_sheet_RRS!E142,0))</f>
        <v/>
      </c>
      <c r="B143" s="2" t="str">
        <f ca="1">IF(ISBLANK(Input!A142),"",INDIRECT("Input!A"&amp;1+MATCH(aux_sheet_RRS!$E142,aux_sheet_RRS!$D$2:$D$202,0)))</f>
        <v/>
      </c>
      <c r="C143" s="2" t="str">
        <f ca="1">IF(ISBLANK(Input!B142),"",INDIRECT("Input!B"&amp;1+MATCH(aux_sheet_RRS!$E142,aux_sheet_RRS!$D$2:$D$202,0)))</f>
        <v/>
      </c>
      <c r="D143" s="2" t="str">
        <f ca="1">IF(ISBLANK(Input!C142),"",INDIRECT("Input!C"&amp;1+MATCH(aux_sheet_RRS!$E142,aux_sheet_RRS!$D$2:$D$202,0)))</f>
        <v/>
      </c>
      <c r="E143" s="2" t="str">
        <f ca="1">IF(ISBLANK(Input!D142),"",INDIRECT("Input!D"&amp;1+MATCH(aux_sheet_RRS!$E142,aux_sheet_RRS!$D$2:$D$202,0)))</f>
        <v/>
      </c>
      <c r="F143" s="11" t="str">
        <f ca="1">INDIRECT("Input!H"&amp;1+MATCH(aux_sheet_RRS!$E142,aux_sheet_RRS!$D$2:$D$202,0))</f>
        <v xml:space="preserve"> </v>
      </c>
      <c r="G143" s="88" t="str">
        <f ca="1">IF($B143="","",INDIRECT("aux_sheet_RRS!O"&amp;1+MATCH(aux_sheet_RRS!$E142,aux_sheet_RRS!$D$2:$D$202,0)))</f>
        <v/>
      </c>
      <c r="H143" s="89" t="str">
        <f ca="1">IF($B143="","",INDIRECT("aux_sheet_RRS!P"&amp;1+MATCH(aux_sheet_RRS!$E142,aux_sheet_RRS!$D$2:$D$202,0)))</f>
        <v/>
      </c>
      <c r="I143" s="90" t="str">
        <f ca="1">IF(G143="","",ROUNDDOWN(INDIRECT("aux_sheet_RRS!Q"&amp;1+MATCH(aux_sheet_RRS!$E142,aux_sheet_RRS!$D$2:$D$202,0)),0))</f>
        <v/>
      </c>
      <c r="J143" s="106" t="str">
        <f ca="1">IF($B143="","",INDIRECT("aux_sheet_RRS!R"&amp;1+MATCH(aux_sheet_RRS!$E142,aux_sheet_RRS!$D$2:$D$202,0)))</f>
        <v/>
      </c>
      <c r="K143" s="89" t="str">
        <f ca="1">IF($B143="","",INDIRECT("aux_sheet_RRS!S"&amp;1+MATCH(aux_sheet_RRS!$E142,aux_sheet_RRS!$D$2:$D$202,0)))</f>
        <v/>
      </c>
      <c r="L143" s="90" t="str">
        <f ca="1">IF(J143="","",ROUNDDOWN(INDIRECT("aux_sheet_RRS!T"&amp;1+MATCH(aux_sheet_RRS!$E142,aux_sheet_RRS!$D$2:$D$202,0)),0))</f>
        <v/>
      </c>
      <c r="M143" s="106" t="str">
        <f ca="1">IF($B143="","",INDIRECT("aux_sheet_RRS!U"&amp;1+MATCH(aux_sheet_RRS!$E142,aux_sheet_RRS!$D$2:$D$202,0)))</f>
        <v/>
      </c>
      <c r="N143" s="89" t="str">
        <f ca="1">IF($B143="","",INDIRECT("aux_sheet_RRS!V"&amp;1+MATCH(aux_sheet_RRS!$E142,aux_sheet_RRS!$D$2:$D$202,0)))</f>
        <v/>
      </c>
      <c r="O143" s="90" t="str">
        <f ca="1">IF(M143="","",ROUNDDOWN(INDIRECT("aux_sheet_RRS!W"&amp;1+MATCH(aux_sheet_RRS!$E142,aux_sheet_RRS!$D$2:$D$202,0)),0))</f>
        <v/>
      </c>
      <c r="P143" s="106" t="str">
        <f ca="1">IF($B143="","",INDIRECT("aux_sheet_RRS!X"&amp;1+MATCH(aux_sheet_RRS!$E142,aux_sheet_RRS!$D$2:$D$202,0)))</f>
        <v/>
      </c>
      <c r="Q143" s="89" t="str">
        <f ca="1">IF($B143="","",INDIRECT("aux_sheet_RRS!Y"&amp;1+MATCH(aux_sheet_RRS!$E142,aux_sheet_RRS!$D$2:$D$202,0)))</f>
        <v/>
      </c>
      <c r="R143" s="90" t="str">
        <f ca="1">IF(P143="","",INDIRECT("aux_sheet_RRS!Z"&amp;1+MATCH(aux_sheet_RRS!$E142,aux_sheet_RRS!$D$2:$D$202,0)))</f>
        <v/>
      </c>
      <c r="S143" s="106" t="str">
        <f ca="1">IF($B143="","",INDIRECT("aux_sheet_RRS!AA"&amp;1+MATCH(aux_sheet_RRS!$E142,aux_sheet_RRS!$D$2:$D$202,0)))</f>
        <v/>
      </c>
      <c r="T143" s="89" t="str">
        <f ca="1">IF($B143="","",INDIRECT("aux_sheet_RRS!AB"&amp;1+MATCH(aux_sheet_RRS!$E142,aux_sheet_RRS!$D$2:$D$202,0)))</f>
        <v/>
      </c>
      <c r="U143" s="90" t="str">
        <f ca="1">IF(S143="","",INDIRECT("aux_sheet_RRS!AC"&amp;1+MATCH(aux_sheet_RRS!$E142,aux_sheet_RRS!$D$2:$D$202,0)))</f>
        <v/>
      </c>
      <c r="V143" s="106" t="str">
        <f ca="1">IF($B143="","",INDIRECT("aux_sheet_RRS!AD"&amp;1+MATCH(aux_sheet_RRS!$E142,aux_sheet_RRS!$D$2:$D$202,0)))</f>
        <v/>
      </c>
      <c r="W143" s="89" t="str">
        <f ca="1">IF($B143="","",INDIRECT("aux_sheet_RRS!AE"&amp;1+MATCH(aux_sheet_RRS!$E142,aux_sheet_RRS!$D$2:$D$202,0)))</f>
        <v/>
      </c>
      <c r="X143" s="90" t="str">
        <f ca="1">IF(V143="","",INDIRECT("aux_sheet_RRS!AF"&amp;1+MATCH(aux_sheet_RRS!$E142,aux_sheet_RRS!$D$2:$D$202,0)))</f>
        <v/>
      </c>
      <c r="Y143" s="106" t="str">
        <f ca="1">IF($B143="","",INDIRECT("aux_sheet_RRS!AG"&amp;1+MATCH(aux_sheet_RRS!$E142,aux_sheet_RRS!$D$2:$D$202,0)))</f>
        <v/>
      </c>
      <c r="Z143" s="89" t="str">
        <f ca="1">IF($B143="","",INDIRECT("aux_sheet_RRS!AH"&amp;1+MATCH(aux_sheet_RRS!$E142,aux_sheet_RRS!$D$2:$D$202,0)))</f>
        <v/>
      </c>
      <c r="AA143" s="90" t="str">
        <f ca="1">IF(Y143="","",INDIRECT("aux_sheet_RRS!AI"&amp;1+MATCH(aux_sheet_RRS!$E142,aux_sheet_RRS!$D$2:$D$202,0)))</f>
        <v/>
      </c>
      <c r="AB143" s="88" t="str">
        <f ca="1">IF($B143="","",INDIRECT("aux_sheet_RRS!AJ"&amp;1+MATCH(aux_sheet_RRS!$E142,aux_sheet_RRS!$D$2:$D$202,0)))</f>
        <v/>
      </c>
      <c r="AC143" s="89" t="str">
        <f ca="1">IF($B143="","",INDIRECT("aux_sheet_RRS!AK"&amp;1+MATCH(aux_sheet_RRS!$E142,aux_sheet_RRS!$D$2:$D$202,0)))</f>
        <v/>
      </c>
      <c r="AD143" s="90" t="str">
        <f ca="1">IF(AB143="","",INDIRECT("aux_sheet_RRS!AL"&amp;1+MATCH(aux_sheet_RRS!$E142,aux_sheet_RRS!$D$2:$D$202,0)))</f>
        <v/>
      </c>
      <c r="AE143" s="88" t="str">
        <f ca="1">IF($B143="","",INDIRECT("aux_sheet_RRS!AM"&amp;1+MATCH(aux_sheet_RRS!$E142,aux_sheet_RRS!$D$2:$D$202,0)))</f>
        <v/>
      </c>
      <c r="AF143" s="89" t="str">
        <f ca="1">IF($B143="","",INDIRECT("aux_sheet_RRS!AN"&amp;1+MATCH(aux_sheet_RRS!$E142,aux_sheet_RRS!$D$2:$D$202,0)))</f>
        <v/>
      </c>
      <c r="AG143" s="90" t="str">
        <f ca="1">IF(AE143="","",INDIRECT("aux_sheet_RRS!AO"&amp;1+MATCH(aux_sheet_RRS!$E142,aux_sheet_RRS!$D$2:$D$202,0)))</f>
        <v/>
      </c>
      <c r="AH143" s="14" t="str">
        <f t="shared" ca="1" si="9"/>
        <v/>
      </c>
      <c r="AI143" t="str">
        <f t="shared" ca="1" si="10"/>
        <v/>
      </c>
      <c r="AJ143" t="str">
        <f t="shared" ca="1" si="11"/>
        <v/>
      </c>
    </row>
    <row r="144" spans="1:36" x14ac:dyDescent="0.35">
      <c r="A144" s="2" t="str">
        <f>IF(ISBLANK(Input!A143),"",ROUNDDOWN(aux_sheet_RRS!E143,0))</f>
        <v/>
      </c>
      <c r="B144" s="2" t="str">
        <f ca="1">IF(ISBLANK(Input!A143),"",INDIRECT("Input!A"&amp;1+MATCH(aux_sheet_RRS!$E143,aux_sheet_RRS!$D$2:$D$202,0)))</f>
        <v/>
      </c>
      <c r="C144" s="2" t="str">
        <f ca="1">IF(ISBLANK(Input!B143),"",INDIRECT("Input!B"&amp;1+MATCH(aux_sheet_RRS!$E143,aux_sheet_RRS!$D$2:$D$202,0)))</f>
        <v/>
      </c>
      <c r="D144" s="2" t="str">
        <f ca="1">IF(ISBLANK(Input!C143),"",INDIRECT("Input!C"&amp;1+MATCH(aux_sheet_RRS!$E143,aux_sheet_RRS!$D$2:$D$202,0)))</f>
        <v/>
      </c>
      <c r="E144" s="2" t="str">
        <f ca="1">IF(ISBLANK(Input!D143),"",INDIRECT("Input!D"&amp;1+MATCH(aux_sheet_RRS!$E143,aux_sheet_RRS!$D$2:$D$202,0)))</f>
        <v/>
      </c>
      <c r="F144" s="11" t="str">
        <f ca="1">INDIRECT("Input!H"&amp;1+MATCH(aux_sheet_RRS!$E143,aux_sheet_RRS!$D$2:$D$202,0))</f>
        <v xml:space="preserve"> </v>
      </c>
      <c r="G144" s="88" t="str">
        <f ca="1">IF($B144="","",INDIRECT("aux_sheet_RRS!O"&amp;1+MATCH(aux_sheet_RRS!$E143,aux_sheet_RRS!$D$2:$D$202,0)))</f>
        <v/>
      </c>
      <c r="H144" s="89" t="str">
        <f ca="1">IF($B144="","",INDIRECT("aux_sheet_RRS!P"&amp;1+MATCH(aux_sheet_RRS!$E143,aux_sheet_RRS!$D$2:$D$202,0)))</f>
        <v/>
      </c>
      <c r="I144" s="90" t="str">
        <f ca="1">IF(G144="","",ROUNDDOWN(INDIRECT("aux_sheet_RRS!Q"&amp;1+MATCH(aux_sheet_RRS!$E143,aux_sheet_RRS!$D$2:$D$202,0)),0))</f>
        <v/>
      </c>
      <c r="J144" s="106" t="str">
        <f ca="1">IF($B144="","",INDIRECT("aux_sheet_RRS!R"&amp;1+MATCH(aux_sheet_RRS!$E143,aux_sheet_RRS!$D$2:$D$202,0)))</f>
        <v/>
      </c>
      <c r="K144" s="89" t="str">
        <f ca="1">IF($B144="","",INDIRECT("aux_sheet_RRS!S"&amp;1+MATCH(aux_sheet_RRS!$E143,aux_sheet_RRS!$D$2:$D$202,0)))</f>
        <v/>
      </c>
      <c r="L144" s="90" t="str">
        <f ca="1">IF(J144="","",ROUNDDOWN(INDIRECT("aux_sheet_RRS!T"&amp;1+MATCH(aux_sheet_RRS!$E143,aux_sheet_RRS!$D$2:$D$202,0)),0))</f>
        <v/>
      </c>
      <c r="M144" s="106" t="str">
        <f ca="1">IF($B144="","",INDIRECT("aux_sheet_RRS!U"&amp;1+MATCH(aux_sheet_RRS!$E143,aux_sheet_RRS!$D$2:$D$202,0)))</f>
        <v/>
      </c>
      <c r="N144" s="89" t="str">
        <f ca="1">IF($B144="","",INDIRECT("aux_sheet_RRS!V"&amp;1+MATCH(aux_sheet_RRS!$E143,aux_sheet_RRS!$D$2:$D$202,0)))</f>
        <v/>
      </c>
      <c r="O144" s="90" t="str">
        <f ca="1">IF(M144="","",ROUNDDOWN(INDIRECT("aux_sheet_RRS!W"&amp;1+MATCH(aux_sheet_RRS!$E143,aux_sheet_RRS!$D$2:$D$202,0)),0))</f>
        <v/>
      </c>
      <c r="P144" s="106" t="str">
        <f ca="1">IF($B144="","",INDIRECT("aux_sheet_RRS!X"&amp;1+MATCH(aux_sheet_RRS!$E143,aux_sheet_RRS!$D$2:$D$202,0)))</f>
        <v/>
      </c>
      <c r="Q144" s="89" t="str">
        <f ca="1">IF($B144="","",INDIRECT("aux_sheet_RRS!Y"&amp;1+MATCH(aux_sheet_RRS!$E143,aux_sheet_RRS!$D$2:$D$202,0)))</f>
        <v/>
      </c>
      <c r="R144" s="90" t="str">
        <f ca="1">IF(P144="","",INDIRECT("aux_sheet_RRS!Z"&amp;1+MATCH(aux_sheet_RRS!$E143,aux_sheet_RRS!$D$2:$D$202,0)))</f>
        <v/>
      </c>
      <c r="S144" s="106" t="str">
        <f ca="1">IF($B144="","",INDIRECT("aux_sheet_RRS!AA"&amp;1+MATCH(aux_sheet_RRS!$E143,aux_sheet_RRS!$D$2:$D$202,0)))</f>
        <v/>
      </c>
      <c r="T144" s="89" t="str">
        <f ca="1">IF($B144="","",INDIRECT("aux_sheet_RRS!AB"&amp;1+MATCH(aux_sheet_RRS!$E143,aux_sheet_RRS!$D$2:$D$202,0)))</f>
        <v/>
      </c>
      <c r="U144" s="90" t="str">
        <f ca="1">IF(S144="","",INDIRECT("aux_sheet_RRS!AC"&amp;1+MATCH(aux_sheet_RRS!$E143,aux_sheet_RRS!$D$2:$D$202,0)))</f>
        <v/>
      </c>
      <c r="V144" s="106" t="str">
        <f ca="1">IF($B144="","",INDIRECT("aux_sheet_RRS!AD"&amp;1+MATCH(aux_sheet_RRS!$E143,aux_sheet_RRS!$D$2:$D$202,0)))</f>
        <v/>
      </c>
      <c r="W144" s="89" t="str">
        <f ca="1">IF($B144="","",INDIRECT("aux_sheet_RRS!AE"&amp;1+MATCH(aux_sheet_RRS!$E143,aux_sheet_RRS!$D$2:$D$202,0)))</f>
        <v/>
      </c>
      <c r="X144" s="90" t="str">
        <f ca="1">IF(V144="","",INDIRECT("aux_sheet_RRS!AF"&amp;1+MATCH(aux_sheet_RRS!$E143,aux_sheet_RRS!$D$2:$D$202,0)))</f>
        <v/>
      </c>
      <c r="Y144" s="106" t="str">
        <f ca="1">IF($B144="","",INDIRECT("aux_sheet_RRS!AG"&amp;1+MATCH(aux_sheet_RRS!$E143,aux_sheet_RRS!$D$2:$D$202,0)))</f>
        <v/>
      </c>
      <c r="Z144" s="89" t="str">
        <f ca="1">IF($B144="","",INDIRECT("aux_sheet_RRS!AH"&amp;1+MATCH(aux_sheet_RRS!$E143,aux_sheet_RRS!$D$2:$D$202,0)))</f>
        <v/>
      </c>
      <c r="AA144" s="90" t="str">
        <f ca="1">IF(Y144="","",INDIRECT("aux_sheet_RRS!AI"&amp;1+MATCH(aux_sheet_RRS!$E143,aux_sheet_RRS!$D$2:$D$202,0)))</f>
        <v/>
      </c>
      <c r="AB144" s="88" t="str">
        <f ca="1">IF($B144="","",INDIRECT("aux_sheet_RRS!AJ"&amp;1+MATCH(aux_sheet_RRS!$E143,aux_sheet_RRS!$D$2:$D$202,0)))</f>
        <v/>
      </c>
      <c r="AC144" s="89" t="str">
        <f ca="1">IF($B144="","",INDIRECT("aux_sheet_RRS!AK"&amp;1+MATCH(aux_sheet_RRS!$E143,aux_sheet_RRS!$D$2:$D$202,0)))</f>
        <v/>
      </c>
      <c r="AD144" s="90" t="str">
        <f ca="1">IF(AB144="","",INDIRECT("aux_sheet_RRS!AL"&amp;1+MATCH(aux_sheet_RRS!$E143,aux_sheet_RRS!$D$2:$D$202,0)))</f>
        <v/>
      </c>
      <c r="AE144" s="88" t="str">
        <f ca="1">IF($B144="","",INDIRECT("aux_sheet_RRS!AM"&amp;1+MATCH(aux_sheet_RRS!$E143,aux_sheet_RRS!$D$2:$D$202,0)))</f>
        <v/>
      </c>
      <c r="AF144" s="89" t="str">
        <f ca="1">IF($B144="","",INDIRECT("aux_sheet_RRS!AN"&amp;1+MATCH(aux_sheet_RRS!$E143,aux_sheet_RRS!$D$2:$D$202,0)))</f>
        <v/>
      </c>
      <c r="AG144" s="90" t="str">
        <f ca="1">IF(AE144="","",INDIRECT("aux_sheet_RRS!AO"&amp;1+MATCH(aux_sheet_RRS!$E143,aux_sheet_RRS!$D$2:$D$202,0)))</f>
        <v/>
      </c>
      <c r="AH144" s="14" t="str">
        <f t="shared" ca="1" si="9"/>
        <v/>
      </c>
      <c r="AI144" t="str">
        <f t="shared" ca="1" si="10"/>
        <v/>
      </c>
      <c r="AJ144" t="str">
        <f t="shared" ca="1" si="11"/>
        <v/>
      </c>
    </row>
    <row r="145" spans="1:36" x14ac:dyDescent="0.35">
      <c r="A145" s="2" t="str">
        <f>IF(ISBLANK(Input!A144),"",ROUNDDOWN(aux_sheet_RRS!E144,0))</f>
        <v/>
      </c>
      <c r="B145" s="2" t="str">
        <f ca="1">IF(ISBLANK(Input!A144),"",INDIRECT("Input!A"&amp;1+MATCH(aux_sheet_RRS!$E144,aux_sheet_RRS!$D$2:$D$202,0)))</f>
        <v/>
      </c>
      <c r="C145" s="2" t="str">
        <f ca="1">IF(ISBLANK(Input!B144),"",INDIRECT("Input!B"&amp;1+MATCH(aux_sheet_RRS!$E144,aux_sheet_RRS!$D$2:$D$202,0)))</f>
        <v/>
      </c>
      <c r="D145" s="2" t="str">
        <f ca="1">IF(ISBLANK(Input!C144),"",INDIRECT("Input!C"&amp;1+MATCH(aux_sheet_RRS!$E144,aux_sheet_RRS!$D$2:$D$202,0)))</f>
        <v/>
      </c>
      <c r="E145" s="2" t="str">
        <f ca="1">IF(ISBLANK(Input!D144),"",INDIRECT("Input!D"&amp;1+MATCH(aux_sheet_RRS!$E144,aux_sheet_RRS!$D$2:$D$202,0)))</f>
        <v/>
      </c>
      <c r="F145" s="11" t="str">
        <f ca="1">INDIRECT("Input!H"&amp;1+MATCH(aux_sheet_RRS!$E144,aux_sheet_RRS!$D$2:$D$202,0))</f>
        <v xml:space="preserve"> </v>
      </c>
      <c r="G145" s="88" t="str">
        <f ca="1">IF($B145="","",INDIRECT("aux_sheet_RRS!O"&amp;1+MATCH(aux_sheet_RRS!$E144,aux_sheet_RRS!$D$2:$D$202,0)))</f>
        <v/>
      </c>
      <c r="H145" s="89" t="str">
        <f ca="1">IF($B145="","",INDIRECT("aux_sheet_RRS!P"&amp;1+MATCH(aux_sheet_RRS!$E144,aux_sheet_RRS!$D$2:$D$202,0)))</f>
        <v/>
      </c>
      <c r="I145" s="90" t="str">
        <f ca="1">IF(G145="","",ROUNDDOWN(INDIRECT("aux_sheet_RRS!Q"&amp;1+MATCH(aux_sheet_RRS!$E144,aux_sheet_RRS!$D$2:$D$202,0)),0))</f>
        <v/>
      </c>
      <c r="J145" s="106" t="str">
        <f ca="1">IF($B145="","",INDIRECT("aux_sheet_RRS!R"&amp;1+MATCH(aux_sheet_RRS!$E144,aux_sheet_RRS!$D$2:$D$202,0)))</f>
        <v/>
      </c>
      <c r="K145" s="89" t="str">
        <f ca="1">IF($B145="","",INDIRECT("aux_sheet_RRS!S"&amp;1+MATCH(aux_sheet_RRS!$E144,aux_sheet_RRS!$D$2:$D$202,0)))</f>
        <v/>
      </c>
      <c r="L145" s="90" t="str">
        <f ca="1">IF(J145="","",ROUNDDOWN(INDIRECT("aux_sheet_RRS!T"&amp;1+MATCH(aux_sheet_RRS!$E144,aux_sheet_RRS!$D$2:$D$202,0)),0))</f>
        <v/>
      </c>
      <c r="M145" s="106" t="str">
        <f ca="1">IF($B145="","",INDIRECT("aux_sheet_RRS!U"&amp;1+MATCH(aux_sheet_RRS!$E144,aux_sheet_RRS!$D$2:$D$202,0)))</f>
        <v/>
      </c>
      <c r="N145" s="89" t="str">
        <f ca="1">IF($B145="","",INDIRECT("aux_sheet_RRS!V"&amp;1+MATCH(aux_sheet_RRS!$E144,aux_sheet_RRS!$D$2:$D$202,0)))</f>
        <v/>
      </c>
      <c r="O145" s="90" t="str">
        <f ca="1">IF(M145="","",ROUNDDOWN(INDIRECT("aux_sheet_RRS!W"&amp;1+MATCH(aux_sheet_RRS!$E144,aux_sheet_RRS!$D$2:$D$202,0)),0))</f>
        <v/>
      </c>
      <c r="P145" s="106" t="str">
        <f ca="1">IF($B145="","",INDIRECT("aux_sheet_RRS!X"&amp;1+MATCH(aux_sheet_RRS!$E144,aux_sheet_RRS!$D$2:$D$202,0)))</f>
        <v/>
      </c>
      <c r="Q145" s="89" t="str">
        <f ca="1">IF($B145="","",INDIRECT("aux_sheet_RRS!Y"&amp;1+MATCH(aux_sheet_RRS!$E144,aux_sheet_RRS!$D$2:$D$202,0)))</f>
        <v/>
      </c>
      <c r="R145" s="90" t="str">
        <f ca="1">IF(P145="","",INDIRECT("aux_sheet_RRS!Z"&amp;1+MATCH(aux_sheet_RRS!$E144,aux_sheet_RRS!$D$2:$D$202,0)))</f>
        <v/>
      </c>
      <c r="S145" s="106" t="str">
        <f ca="1">IF($B145="","",INDIRECT("aux_sheet_RRS!AA"&amp;1+MATCH(aux_sheet_RRS!$E144,aux_sheet_RRS!$D$2:$D$202,0)))</f>
        <v/>
      </c>
      <c r="T145" s="89" t="str">
        <f ca="1">IF($B145="","",INDIRECT("aux_sheet_RRS!AB"&amp;1+MATCH(aux_sheet_RRS!$E144,aux_sheet_RRS!$D$2:$D$202,0)))</f>
        <v/>
      </c>
      <c r="U145" s="90" t="str">
        <f ca="1">IF(S145="","",INDIRECT("aux_sheet_RRS!AC"&amp;1+MATCH(aux_sheet_RRS!$E144,aux_sheet_RRS!$D$2:$D$202,0)))</f>
        <v/>
      </c>
      <c r="V145" s="106" t="str">
        <f ca="1">IF($B145="","",INDIRECT("aux_sheet_RRS!AD"&amp;1+MATCH(aux_sheet_RRS!$E144,aux_sheet_RRS!$D$2:$D$202,0)))</f>
        <v/>
      </c>
      <c r="W145" s="89" t="str">
        <f ca="1">IF($B145="","",INDIRECT("aux_sheet_RRS!AE"&amp;1+MATCH(aux_sheet_RRS!$E144,aux_sheet_RRS!$D$2:$D$202,0)))</f>
        <v/>
      </c>
      <c r="X145" s="90" t="str">
        <f ca="1">IF(V145="","",INDIRECT("aux_sheet_RRS!AF"&amp;1+MATCH(aux_sheet_RRS!$E144,aux_sheet_RRS!$D$2:$D$202,0)))</f>
        <v/>
      </c>
      <c r="Y145" s="106" t="str">
        <f ca="1">IF($B145="","",INDIRECT("aux_sheet_RRS!AG"&amp;1+MATCH(aux_sheet_RRS!$E144,aux_sheet_RRS!$D$2:$D$202,0)))</f>
        <v/>
      </c>
      <c r="Z145" s="89" t="str">
        <f ca="1">IF($B145="","",INDIRECT("aux_sheet_RRS!AH"&amp;1+MATCH(aux_sheet_RRS!$E144,aux_sheet_RRS!$D$2:$D$202,0)))</f>
        <v/>
      </c>
      <c r="AA145" s="90" t="str">
        <f ca="1">IF(Y145="","",INDIRECT("aux_sheet_RRS!AI"&amp;1+MATCH(aux_sheet_RRS!$E144,aux_sheet_RRS!$D$2:$D$202,0)))</f>
        <v/>
      </c>
      <c r="AB145" s="88" t="str">
        <f ca="1">IF($B145="","",INDIRECT("aux_sheet_RRS!AJ"&amp;1+MATCH(aux_sheet_RRS!$E144,aux_sheet_RRS!$D$2:$D$202,0)))</f>
        <v/>
      </c>
      <c r="AC145" s="89" t="str">
        <f ca="1">IF($B145="","",INDIRECT("aux_sheet_RRS!AK"&amp;1+MATCH(aux_sheet_RRS!$E144,aux_sheet_RRS!$D$2:$D$202,0)))</f>
        <v/>
      </c>
      <c r="AD145" s="90" t="str">
        <f ca="1">IF(AB145="","",INDIRECT("aux_sheet_RRS!AL"&amp;1+MATCH(aux_sheet_RRS!$E144,aux_sheet_RRS!$D$2:$D$202,0)))</f>
        <v/>
      </c>
      <c r="AE145" s="88" t="str">
        <f ca="1">IF($B145="","",INDIRECT("aux_sheet_RRS!AM"&amp;1+MATCH(aux_sheet_RRS!$E144,aux_sheet_RRS!$D$2:$D$202,0)))</f>
        <v/>
      </c>
      <c r="AF145" s="89" t="str">
        <f ca="1">IF($B145="","",INDIRECT("aux_sheet_RRS!AN"&amp;1+MATCH(aux_sheet_RRS!$E144,aux_sheet_RRS!$D$2:$D$202,0)))</f>
        <v/>
      </c>
      <c r="AG145" s="90" t="str">
        <f ca="1">IF(AE145="","",INDIRECT("aux_sheet_RRS!AO"&amp;1+MATCH(aux_sheet_RRS!$E144,aux_sheet_RRS!$D$2:$D$202,0)))</f>
        <v/>
      </c>
      <c r="AH145" s="14" t="str">
        <f t="shared" ca="1" si="9"/>
        <v/>
      </c>
      <c r="AI145" t="str">
        <f t="shared" ca="1" si="10"/>
        <v/>
      </c>
      <c r="AJ145" t="str">
        <f t="shared" ca="1" si="11"/>
        <v/>
      </c>
    </row>
    <row r="146" spans="1:36" x14ac:dyDescent="0.35">
      <c r="A146" s="2" t="str">
        <f>IF(ISBLANK(Input!A145),"",ROUNDDOWN(aux_sheet_RRS!E145,0))</f>
        <v/>
      </c>
      <c r="B146" s="2" t="str">
        <f ca="1">IF(ISBLANK(Input!A145),"",INDIRECT("Input!A"&amp;1+MATCH(aux_sheet_RRS!$E145,aux_sheet_RRS!$D$2:$D$202,0)))</f>
        <v/>
      </c>
      <c r="C146" s="2" t="str">
        <f ca="1">IF(ISBLANK(Input!B145),"",INDIRECT("Input!B"&amp;1+MATCH(aux_sheet_RRS!$E145,aux_sheet_RRS!$D$2:$D$202,0)))</f>
        <v/>
      </c>
      <c r="D146" s="2" t="str">
        <f ca="1">IF(ISBLANK(Input!C145),"",INDIRECT("Input!C"&amp;1+MATCH(aux_sheet_RRS!$E145,aux_sheet_RRS!$D$2:$D$202,0)))</f>
        <v/>
      </c>
      <c r="E146" s="2" t="str">
        <f ca="1">IF(ISBLANK(Input!D145),"",INDIRECT("Input!D"&amp;1+MATCH(aux_sheet_RRS!$E145,aux_sheet_RRS!$D$2:$D$202,0)))</f>
        <v/>
      </c>
      <c r="F146" s="11" t="str">
        <f ca="1">INDIRECT("Input!H"&amp;1+MATCH(aux_sheet_RRS!$E145,aux_sheet_RRS!$D$2:$D$202,0))</f>
        <v xml:space="preserve"> </v>
      </c>
      <c r="G146" s="88" t="str">
        <f ca="1">IF($B146="","",INDIRECT("aux_sheet_RRS!O"&amp;1+MATCH(aux_sheet_RRS!$E145,aux_sheet_RRS!$D$2:$D$202,0)))</f>
        <v/>
      </c>
      <c r="H146" s="89" t="str">
        <f ca="1">IF($B146="","",INDIRECT("aux_sheet_RRS!P"&amp;1+MATCH(aux_sheet_RRS!$E145,aux_sheet_RRS!$D$2:$D$202,0)))</f>
        <v/>
      </c>
      <c r="I146" s="90" t="str">
        <f ca="1">IF(G146="","",ROUNDDOWN(INDIRECT("aux_sheet_RRS!Q"&amp;1+MATCH(aux_sheet_RRS!$E145,aux_sheet_RRS!$D$2:$D$202,0)),0))</f>
        <v/>
      </c>
      <c r="J146" s="106" t="str">
        <f ca="1">IF($B146="","",INDIRECT("aux_sheet_RRS!R"&amp;1+MATCH(aux_sheet_RRS!$E145,aux_sheet_RRS!$D$2:$D$202,0)))</f>
        <v/>
      </c>
      <c r="K146" s="89" t="str">
        <f ca="1">IF($B146="","",INDIRECT("aux_sheet_RRS!S"&amp;1+MATCH(aux_sheet_RRS!$E145,aux_sheet_RRS!$D$2:$D$202,0)))</f>
        <v/>
      </c>
      <c r="L146" s="90" t="str">
        <f ca="1">IF(J146="","",ROUNDDOWN(INDIRECT("aux_sheet_RRS!T"&amp;1+MATCH(aux_sheet_RRS!$E145,aux_sheet_RRS!$D$2:$D$202,0)),0))</f>
        <v/>
      </c>
      <c r="M146" s="106" t="str">
        <f ca="1">IF($B146="","",INDIRECT("aux_sheet_RRS!U"&amp;1+MATCH(aux_sheet_RRS!$E145,aux_sheet_RRS!$D$2:$D$202,0)))</f>
        <v/>
      </c>
      <c r="N146" s="89" t="str">
        <f ca="1">IF($B146="","",INDIRECT("aux_sheet_RRS!V"&amp;1+MATCH(aux_sheet_RRS!$E145,aux_sheet_RRS!$D$2:$D$202,0)))</f>
        <v/>
      </c>
      <c r="O146" s="90" t="str">
        <f ca="1">IF(M146="","",ROUNDDOWN(INDIRECT("aux_sheet_RRS!W"&amp;1+MATCH(aux_sheet_RRS!$E145,aux_sheet_RRS!$D$2:$D$202,0)),0))</f>
        <v/>
      </c>
      <c r="P146" s="106" t="str">
        <f ca="1">IF($B146="","",INDIRECT("aux_sheet_RRS!X"&amp;1+MATCH(aux_sheet_RRS!$E145,aux_sheet_RRS!$D$2:$D$202,0)))</f>
        <v/>
      </c>
      <c r="Q146" s="89" t="str">
        <f ca="1">IF($B146="","",INDIRECT("aux_sheet_RRS!Y"&amp;1+MATCH(aux_sheet_RRS!$E145,aux_sheet_RRS!$D$2:$D$202,0)))</f>
        <v/>
      </c>
      <c r="R146" s="90" t="str">
        <f ca="1">IF(P146="","",INDIRECT("aux_sheet_RRS!Z"&amp;1+MATCH(aux_sheet_RRS!$E145,aux_sheet_RRS!$D$2:$D$202,0)))</f>
        <v/>
      </c>
      <c r="S146" s="106" t="str">
        <f ca="1">IF($B146="","",INDIRECT("aux_sheet_RRS!AA"&amp;1+MATCH(aux_sheet_RRS!$E145,aux_sheet_RRS!$D$2:$D$202,0)))</f>
        <v/>
      </c>
      <c r="T146" s="89" t="str">
        <f ca="1">IF($B146="","",INDIRECT("aux_sheet_RRS!AB"&amp;1+MATCH(aux_sheet_RRS!$E145,aux_sheet_RRS!$D$2:$D$202,0)))</f>
        <v/>
      </c>
      <c r="U146" s="90" t="str">
        <f ca="1">IF(S146="","",INDIRECT("aux_sheet_RRS!AC"&amp;1+MATCH(aux_sheet_RRS!$E145,aux_sheet_RRS!$D$2:$D$202,0)))</f>
        <v/>
      </c>
      <c r="V146" s="106" t="str">
        <f ca="1">IF($B146="","",INDIRECT("aux_sheet_RRS!AD"&amp;1+MATCH(aux_sheet_RRS!$E145,aux_sheet_RRS!$D$2:$D$202,0)))</f>
        <v/>
      </c>
      <c r="W146" s="89" t="str">
        <f ca="1">IF($B146="","",INDIRECT("aux_sheet_RRS!AE"&amp;1+MATCH(aux_sheet_RRS!$E145,aux_sheet_RRS!$D$2:$D$202,0)))</f>
        <v/>
      </c>
      <c r="X146" s="90" t="str">
        <f ca="1">IF(V146="","",INDIRECT("aux_sheet_RRS!AF"&amp;1+MATCH(aux_sheet_RRS!$E145,aux_sheet_RRS!$D$2:$D$202,0)))</f>
        <v/>
      </c>
      <c r="Y146" s="106" t="str">
        <f ca="1">IF($B146="","",INDIRECT("aux_sheet_RRS!AG"&amp;1+MATCH(aux_sheet_RRS!$E145,aux_sheet_RRS!$D$2:$D$202,0)))</f>
        <v/>
      </c>
      <c r="Z146" s="89" t="str">
        <f ca="1">IF($B146="","",INDIRECT("aux_sheet_RRS!AH"&amp;1+MATCH(aux_sheet_RRS!$E145,aux_sheet_RRS!$D$2:$D$202,0)))</f>
        <v/>
      </c>
      <c r="AA146" s="90" t="str">
        <f ca="1">IF(Y146="","",INDIRECT("aux_sheet_RRS!AI"&amp;1+MATCH(aux_sheet_RRS!$E145,aux_sheet_RRS!$D$2:$D$202,0)))</f>
        <v/>
      </c>
      <c r="AB146" s="88" t="str">
        <f ca="1">IF($B146="","",INDIRECT("aux_sheet_RRS!AJ"&amp;1+MATCH(aux_sheet_RRS!$E145,aux_sheet_RRS!$D$2:$D$202,0)))</f>
        <v/>
      </c>
      <c r="AC146" s="89" t="str">
        <f ca="1">IF($B146="","",INDIRECT("aux_sheet_RRS!AK"&amp;1+MATCH(aux_sheet_RRS!$E145,aux_sheet_RRS!$D$2:$D$202,0)))</f>
        <v/>
      </c>
      <c r="AD146" s="90" t="str">
        <f ca="1">IF(AB146="","",INDIRECT("aux_sheet_RRS!AL"&amp;1+MATCH(aux_sheet_RRS!$E145,aux_sheet_RRS!$D$2:$D$202,0)))</f>
        <v/>
      </c>
      <c r="AE146" s="88" t="str">
        <f ca="1">IF($B146="","",INDIRECT("aux_sheet_RRS!AM"&amp;1+MATCH(aux_sheet_RRS!$E145,aux_sheet_RRS!$D$2:$D$202,0)))</f>
        <v/>
      </c>
      <c r="AF146" s="89" t="str">
        <f ca="1">IF($B146="","",INDIRECT("aux_sheet_RRS!AN"&amp;1+MATCH(aux_sheet_RRS!$E145,aux_sheet_RRS!$D$2:$D$202,0)))</f>
        <v/>
      </c>
      <c r="AG146" s="90" t="str">
        <f ca="1">IF(AE146="","",INDIRECT("aux_sheet_RRS!AO"&amp;1+MATCH(aux_sheet_RRS!$E145,aux_sheet_RRS!$D$2:$D$202,0)))</f>
        <v/>
      </c>
      <c r="AH146" s="14" t="str">
        <f t="shared" ca="1" si="9"/>
        <v/>
      </c>
      <c r="AI146" t="str">
        <f t="shared" ca="1" si="10"/>
        <v/>
      </c>
      <c r="AJ146" t="str">
        <f t="shared" ca="1" si="11"/>
        <v/>
      </c>
    </row>
    <row r="147" spans="1:36" x14ac:dyDescent="0.35">
      <c r="A147" s="2" t="str">
        <f>IF(ISBLANK(Input!A146),"",ROUNDDOWN(aux_sheet_RRS!E146,0))</f>
        <v/>
      </c>
      <c r="B147" s="2" t="str">
        <f ca="1">IF(ISBLANK(Input!A146),"",INDIRECT("Input!A"&amp;1+MATCH(aux_sheet_RRS!$E146,aux_sheet_RRS!$D$2:$D$202,0)))</f>
        <v/>
      </c>
      <c r="C147" s="2" t="str">
        <f ca="1">IF(ISBLANK(Input!B146),"",INDIRECT("Input!B"&amp;1+MATCH(aux_sheet_RRS!$E146,aux_sheet_RRS!$D$2:$D$202,0)))</f>
        <v/>
      </c>
      <c r="D147" s="2" t="str">
        <f ca="1">IF(ISBLANK(Input!C146),"",INDIRECT("Input!C"&amp;1+MATCH(aux_sheet_RRS!$E146,aux_sheet_RRS!$D$2:$D$202,0)))</f>
        <v/>
      </c>
      <c r="E147" s="2" t="str">
        <f ca="1">IF(ISBLANK(Input!D146),"",INDIRECT("Input!D"&amp;1+MATCH(aux_sheet_RRS!$E146,aux_sheet_RRS!$D$2:$D$202,0)))</f>
        <v/>
      </c>
      <c r="F147" s="11" t="str">
        <f ca="1">INDIRECT("Input!H"&amp;1+MATCH(aux_sheet_RRS!$E146,aux_sheet_RRS!$D$2:$D$202,0))</f>
        <v xml:space="preserve"> </v>
      </c>
      <c r="G147" s="88" t="str">
        <f ca="1">IF($B147="","",INDIRECT("aux_sheet_RRS!O"&amp;1+MATCH(aux_sheet_RRS!$E146,aux_sheet_RRS!$D$2:$D$202,0)))</f>
        <v/>
      </c>
      <c r="H147" s="89" t="str">
        <f ca="1">IF($B147="","",INDIRECT("aux_sheet_RRS!P"&amp;1+MATCH(aux_sheet_RRS!$E146,aux_sheet_RRS!$D$2:$D$202,0)))</f>
        <v/>
      </c>
      <c r="I147" s="90" t="str">
        <f ca="1">IF(G147="","",ROUNDDOWN(INDIRECT("aux_sheet_RRS!Q"&amp;1+MATCH(aux_sheet_RRS!$E146,aux_sheet_RRS!$D$2:$D$202,0)),0))</f>
        <v/>
      </c>
      <c r="J147" s="106" t="str">
        <f ca="1">IF($B147="","",INDIRECT("aux_sheet_RRS!R"&amp;1+MATCH(aux_sheet_RRS!$E146,aux_sheet_RRS!$D$2:$D$202,0)))</f>
        <v/>
      </c>
      <c r="K147" s="89" t="str">
        <f ca="1">IF($B147="","",INDIRECT("aux_sheet_RRS!S"&amp;1+MATCH(aux_sheet_RRS!$E146,aux_sheet_RRS!$D$2:$D$202,0)))</f>
        <v/>
      </c>
      <c r="L147" s="90" t="str">
        <f ca="1">IF(J147="","",ROUNDDOWN(INDIRECT("aux_sheet_RRS!T"&amp;1+MATCH(aux_sheet_RRS!$E146,aux_sheet_RRS!$D$2:$D$202,0)),0))</f>
        <v/>
      </c>
      <c r="M147" s="106" t="str">
        <f ca="1">IF($B147="","",INDIRECT("aux_sheet_RRS!U"&amp;1+MATCH(aux_sheet_RRS!$E146,aux_sheet_RRS!$D$2:$D$202,0)))</f>
        <v/>
      </c>
      <c r="N147" s="89" t="str">
        <f ca="1">IF($B147="","",INDIRECT("aux_sheet_RRS!V"&amp;1+MATCH(aux_sheet_RRS!$E146,aux_sheet_RRS!$D$2:$D$202,0)))</f>
        <v/>
      </c>
      <c r="O147" s="90" t="str">
        <f ca="1">IF(M147="","",ROUNDDOWN(INDIRECT("aux_sheet_RRS!W"&amp;1+MATCH(aux_sheet_RRS!$E146,aux_sheet_RRS!$D$2:$D$202,0)),0))</f>
        <v/>
      </c>
      <c r="P147" s="106" t="str">
        <f ca="1">IF($B147="","",INDIRECT("aux_sheet_RRS!X"&amp;1+MATCH(aux_sheet_RRS!$E146,aux_sheet_RRS!$D$2:$D$202,0)))</f>
        <v/>
      </c>
      <c r="Q147" s="89" t="str">
        <f ca="1">IF($B147="","",INDIRECT("aux_sheet_RRS!Y"&amp;1+MATCH(aux_sheet_RRS!$E146,aux_sheet_RRS!$D$2:$D$202,0)))</f>
        <v/>
      </c>
      <c r="R147" s="90" t="str">
        <f ca="1">IF(P147="","",INDIRECT("aux_sheet_RRS!Z"&amp;1+MATCH(aux_sheet_RRS!$E146,aux_sheet_RRS!$D$2:$D$202,0)))</f>
        <v/>
      </c>
      <c r="S147" s="106" t="str">
        <f ca="1">IF($B147="","",INDIRECT("aux_sheet_RRS!AA"&amp;1+MATCH(aux_sheet_RRS!$E146,aux_sheet_RRS!$D$2:$D$202,0)))</f>
        <v/>
      </c>
      <c r="T147" s="89" t="str">
        <f ca="1">IF($B147="","",INDIRECT("aux_sheet_RRS!AB"&amp;1+MATCH(aux_sheet_RRS!$E146,aux_sheet_RRS!$D$2:$D$202,0)))</f>
        <v/>
      </c>
      <c r="U147" s="90" t="str">
        <f ca="1">IF(S147="","",INDIRECT("aux_sheet_RRS!AC"&amp;1+MATCH(aux_sheet_RRS!$E146,aux_sheet_RRS!$D$2:$D$202,0)))</f>
        <v/>
      </c>
      <c r="V147" s="106" t="str">
        <f ca="1">IF($B147="","",INDIRECT("aux_sheet_RRS!AD"&amp;1+MATCH(aux_sheet_RRS!$E146,aux_sheet_RRS!$D$2:$D$202,0)))</f>
        <v/>
      </c>
      <c r="W147" s="89" t="str">
        <f ca="1">IF($B147="","",INDIRECT("aux_sheet_RRS!AE"&amp;1+MATCH(aux_sheet_RRS!$E146,aux_sheet_RRS!$D$2:$D$202,0)))</f>
        <v/>
      </c>
      <c r="X147" s="90" t="str">
        <f ca="1">IF(V147="","",INDIRECT("aux_sheet_RRS!AF"&amp;1+MATCH(aux_sheet_RRS!$E146,aux_sheet_RRS!$D$2:$D$202,0)))</f>
        <v/>
      </c>
      <c r="Y147" s="106" t="str">
        <f ca="1">IF($B147="","",INDIRECT("aux_sheet_RRS!AG"&amp;1+MATCH(aux_sheet_RRS!$E146,aux_sheet_RRS!$D$2:$D$202,0)))</f>
        <v/>
      </c>
      <c r="Z147" s="89" t="str">
        <f ca="1">IF($B147="","",INDIRECT("aux_sheet_RRS!AH"&amp;1+MATCH(aux_sheet_RRS!$E146,aux_sheet_RRS!$D$2:$D$202,0)))</f>
        <v/>
      </c>
      <c r="AA147" s="90" t="str">
        <f ca="1">IF(Y147="","",INDIRECT("aux_sheet_RRS!AI"&amp;1+MATCH(aux_sheet_RRS!$E146,aux_sheet_RRS!$D$2:$D$202,0)))</f>
        <v/>
      </c>
      <c r="AB147" s="88" t="str">
        <f ca="1">IF($B147="","",INDIRECT("aux_sheet_RRS!AJ"&amp;1+MATCH(aux_sheet_RRS!$E146,aux_sheet_RRS!$D$2:$D$202,0)))</f>
        <v/>
      </c>
      <c r="AC147" s="89" t="str">
        <f ca="1">IF($B147="","",INDIRECT("aux_sheet_RRS!AK"&amp;1+MATCH(aux_sheet_RRS!$E146,aux_sheet_RRS!$D$2:$D$202,0)))</f>
        <v/>
      </c>
      <c r="AD147" s="90" t="str">
        <f ca="1">IF(AB147="","",INDIRECT("aux_sheet_RRS!AL"&amp;1+MATCH(aux_sheet_RRS!$E146,aux_sheet_RRS!$D$2:$D$202,0)))</f>
        <v/>
      </c>
      <c r="AE147" s="88" t="str">
        <f ca="1">IF($B147="","",INDIRECT("aux_sheet_RRS!AM"&amp;1+MATCH(aux_sheet_RRS!$E146,aux_sheet_RRS!$D$2:$D$202,0)))</f>
        <v/>
      </c>
      <c r="AF147" s="89" t="str">
        <f ca="1">IF($B147="","",INDIRECT("aux_sheet_RRS!AN"&amp;1+MATCH(aux_sheet_RRS!$E146,aux_sheet_RRS!$D$2:$D$202,0)))</f>
        <v/>
      </c>
      <c r="AG147" s="90" t="str">
        <f ca="1">IF(AE147="","",INDIRECT("aux_sheet_RRS!AO"&amp;1+MATCH(aux_sheet_RRS!$E146,aux_sheet_RRS!$D$2:$D$202,0)))</f>
        <v/>
      </c>
      <c r="AH147" s="14" t="str">
        <f t="shared" ca="1" si="9"/>
        <v/>
      </c>
      <c r="AI147" t="str">
        <f t="shared" ca="1" si="10"/>
        <v/>
      </c>
      <c r="AJ147" t="str">
        <f t="shared" ca="1" si="11"/>
        <v/>
      </c>
    </row>
    <row r="148" spans="1:36" x14ac:dyDescent="0.35">
      <c r="A148" s="2" t="str">
        <f>IF(ISBLANK(Input!A147),"",ROUNDDOWN(aux_sheet_RRS!E147,0))</f>
        <v/>
      </c>
      <c r="B148" s="2" t="str">
        <f ca="1">IF(ISBLANK(Input!A147),"",INDIRECT("Input!A"&amp;1+MATCH(aux_sheet_RRS!$E147,aux_sheet_RRS!$D$2:$D$202,0)))</f>
        <v/>
      </c>
      <c r="C148" s="2" t="str">
        <f ca="1">IF(ISBLANK(Input!B147),"",INDIRECT("Input!B"&amp;1+MATCH(aux_sheet_RRS!$E147,aux_sheet_RRS!$D$2:$D$202,0)))</f>
        <v/>
      </c>
      <c r="D148" s="2" t="str">
        <f ca="1">IF(ISBLANK(Input!C147),"",INDIRECT("Input!C"&amp;1+MATCH(aux_sheet_RRS!$E147,aux_sheet_RRS!$D$2:$D$202,0)))</f>
        <v/>
      </c>
      <c r="E148" s="2" t="str">
        <f ca="1">IF(ISBLANK(Input!D147),"",INDIRECT("Input!D"&amp;1+MATCH(aux_sheet_RRS!$E147,aux_sheet_RRS!$D$2:$D$202,0)))</f>
        <v/>
      </c>
      <c r="F148" s="11" t="str">
        <f ca="1">INDIRECT("Input!H"&amp;1+MATCH(aux_sheet_RRS!$E147,aux_sheet_RRS!$D$2:$D$202,0))</f>
        <v xml:space="preserve"> </v>
      </c>
      <c r="G148" s="88" t="str">
        <f ca="1">IF($B148="","",INDIRECT("aux_sheet_RRS!O"&amp;1+MATCH(aux_sheet_RRS!$E147,aux_sheet_RRS!$D$2:$D$202,0)))</f>
        <v/>
      </c>
      <c r="H148" s="89" t="str">
        <f ca="1">IF($B148="","",INDIRECT("aux_sheet_RRS!P"&amp;1+MATCH(aux_sheet_RRS!$E147,aux_sheet_RRS!$D$2:$D$202,0)))</f>
        <v/>
      </c>
      <c r="I148" s="90" t="str">
        <f ca="1">IF(G148="","",ROUNDDOWN(INDIRECT("aux_sheet_RRS!Q"&amp;1+MATCH(aux_sheet_RRS!$E147,aux_sheet_RRS!$D$2:$D$202,0)),0))</f>
        <v/>
      </c>
      <c r="J148" s="106" t="str">
        <f ca="1">IF($B148="","",INDIRECT("aux_sheet_RRS!R"&amp;1+MATCH(aux_sheet_RRS!$E147,aux_sheet_RRS!$D$2:$D$202,0)))</f>
        <v/>
      </c>
      <c r="K148" s="89" t="str">
        <f ca="1">IF($B148="","",INDIRECT("aux_sheet_RRS!S"&amp;1+MATCH(aux_sheet_RRS!$E147,aux_sheet_RRS!$D$2:$D$202,0)))</f>
        <v/>
      </c>
      <c r="L148" s="90" t="str">
        <f ca="1">IF(J148="","",ROUNDDOWN(INDIRECT("aux_sheet_RRS!T"&amp;1+MATCH(aux_sheet_RRS!$E147,aux_sheet_RRS!$D$2:$D$202,0)),0))</f>
        <v/>
      </c>
      <c r="M148" s="106" t="str">
        <f ca="1">IF($B148="","",INDIRECT("aux_sheet_RRS!U"&amp;1+MATCH(aux_sheet_RRS!$E147,aux_sheet_RRS!$D$2:$D$202,0)))</f>
        <v/>
      </c>
      <c r="N148" s="89" t="str">
        <f ca="1">IF($B148="","",INDIRECT("aux_sheet_RRS!V"&amp;1+MATCH(aux_sheet_RRS!$E147,aux_sheet_RRS!$D$2:$D$202,0)))</f>
        <v/>
      </c>
      <c r="O148" s="90" t="str">
        <f ca="1">IF(M148="","",ROUNDDOWN(INDIRECT("aux_sheet_RRS!W"&amp;1+MATCH(aux_sheet_RRS!$E147,aux_sheet_RRS!$D$2:$D$202,0)),0))</f>
        <v/>
      </c>
      <c r="P148" s="106" t="str">
        <f ca="1">IF($B148="","",INDIRECT("aux_sheet_RRS!X"&amp;1+MATCH(aux_sheet_RRS!$E147,aux_sheet_RRS!$D$2:$D$202,0)))</f>
        <v/>
      </c>
      <c r="Q148" s="89" t="str">
        <f ca="1">IF($B148="","",INDIRECT("aux_sheet_RRS!Y"&amp;1+MATCH(aux_sheet_RRS!$E147,aux_sheet_RRS!$D$2:$D$202,0)))</f>
        <v/>
      </c>
      <c r="R148" s="90" t="str">
        <f ca="1">IF(P148="","",INDIRECT("aux_sheet_RRS!Z"&amp;1+MATCH(aux_sheet_RRS!$E147,aux_sheet_RRS!$D$2:$D$202,0)))</f>
        <v/>
      </c>
      <c r="S148" s="106" t="str">
        <f ca="1">IF($B148="","",INDIRECT("aux_sheet_RRS!AA"&amp;1+MATCH(aux_sheet_RRS!$E147,aux_sheet_RRS!$D$2:$D$202,0)))</f>
        <v/>
      </c>
      <c r="T148" s="89" t="str">
        <f ca="1">IF($B148="","",INDIRECT("aux_sheet_RRS!AB"&amp;1+MATCH(aux_sheet_RRS!$E147,aux_sheet_RRS!$D$2:$D$202,0)))</f>
        <v/>
      </c>
      <c r="U148" s="90" t="str">
        <f ca="1">IF(S148="","",INDIRECT("aux_sheet_RRS!AC"&amp;1+MATCH(aux_sheet_RRS!$E147,aux_sheet_RRS!$D$2:$D$202,0)))</f>
        <v/>
      </c>
      <c r="V148" s="106" t="str">
        <f ca="1">IF($B148="","",INDIRECT("aux_sheet_RRS!AD"&amp;1+MATCH(aux_sheet_RRS!$E147,aux_sheet_RRS!$D$2:$D$202,0)))</f>
        <v/>
      </c>
      <c r="W148" s="89" t="str">
        <f ca="1">IF($B148="","",INDIRECT("aux_sheet_RRS!AE"&amp;1+MATCH(aux_sheet_RRS!$E147,aux_sheet_RRS!$D$2:$D$202,0)))</f>
        <v/>
      </c>
      <c r="X148" s="90" t="str">
        <f ca="1">IF(V148="","",INDIRECT("aux_sheet_RRS!AF"&amp;1+MATCH(aux_sheet_RRS!$E147,aux_sheet_RRS!$D$2:$D$202,0)))</f>
        <v/>
      </c>
      <c r="Y148" s="106" t="str">
        <f ca="1">IF($B148="","",INDIRECT("aux_sheet_RRS!AG"&amp;1+MATCH(aux_sheet_RRS!$E147,aux_sheet_RRS!$D$2:$D$202,0)))</f>
        <v/>
      </c>
      <c r="Z148" s="89" t="str">
        <f ca="1">IF($B148="","",INDIRECT("aux_sheet_RRS!AH"&amp;1+MATCH(aux_sheet_RRS!$E147,aux_sheet_RRS!$D$2:$D$202,0)))</f>
        <v/>
      </c>
      <c r="AA148" s="90" t="str">
        <f ca="1">IF(Y148="","",INDIRECT("aux_sheet_RRS!AI"&amp;1+MATCH(aux_sheet_RRS!$E147,aux_sheet_RRS!$D$2:$D$202,0)))</f>
        <v/>
      </c>
      <c r="AB148" s="88" t="str">
        <f ca="1">IF($B148="","",INDIRECT("aux_sheet_RRS!AJ"&amp;1+MATCH(aux_sheet_RRS!$E147,aux_sheet_RRS!$D$2:$D$202,0)))</f>
        <v/>
      </c>
      <c r="AC148" s="89" t="str">
        <f ca="1">IF($B148="","",INDIRECT("aux_sheet_RRS!AK"&amp;1+MATCH(aux_sheet_RRS!$E147,aux_sheet_RRS!$D$2:$D$202,0)))</f>
        <v/>
      </c>
      <c r="AD148" s="90" t="str">
        <f ca="1">IF(AB148="","",INDIRECT("aux_sheet_RRS!AL"&amp;1+MATCH(aux_sheet_RRS!$E147,aux_sheet_RRS!$D$2:$D$202,0)))</f>
        <v/>
      </c>
      <c r="AE148" s="88" t="str">
        <f ca="1">IF($B148="","",INDIRECT("aux_sheet_RRS!AM"&amp;1+MATCH(aux_sheet_RRS!$E147,aux_sheet_RRS!$D$2:$D$202,0)))</f>
        <v/>
      </c>
      <c r="AF148" s="89" t="str">
        <f ca="1">IF($B148="","",INDIRECT("aux_sheet_RRS!AN"&amp;1+MATCH(aux_sheet_RRS!$E147,aux_sheet_RRS!$D$2:$D$202,0)))</f>
        <v/>
      </c>
      <c r="AG148" s="90" t="str">
        <f ca="1">IF(AE148="","",INDIRECT("aux_sheet_RRS!AO"&amp;1+MATCH(aux_sheet_RRS!$E147,aux_sheet_RRS!$D$2:$D$202,0)))</f>
        <v/>
      </c>
      <c r="AH148" s="14" t="str">
        <f t="shared" ca="1" si="9"/>
        <v/>
      </c>
      <c r="AI148" t="str">
        <f t="shared" ca="1" si="10"/>
        <v/>
      </c>
      <c r="AJ148" t="str">
        <f t="shared" ca="1" si="11"/>
        <v/>
      </c>
    </row>
    <row r="149" spans="1:36" x14ac:dyDescent="0.35">
      <c r="A149" s="2" t="str">
        <f>IF(ISBLANK(Input!A148),"",ROUNDDOWN(aux_sheet_RRS!E148,0))</f>
        <v/>
      </c>
      <c r="B149" s="2" t="str">
        <f ca="1">IF(ISBLANK(Input!A148),"",INDIRECT("Input!A"&amp;1+MATCH(aux_sheet_RRS!$E148,aux_sheet_RRS!$D$2:$D$202,0)))</f>
        <v/>
      </c>
      <c r="C149" s="2" t="str">
        <f ca="1">IF(ISBLANK(Input!B148),"",INDIRECT("Input!B"&amp;1+MATCH(aux_sheet_RRS!$E148,aux_sheet_RRS!$D$2:$D$202,0)))</f>
        <v/>
      </c>
      <c r="D149" s="2" t="str">
        <f ca="1">IF(ISBLANK(Input!C148),"",INDIRECT("Input!C"&amp;1+MATCH(aux_sheet_RRS!$E148,aux_sheet_RRS!$D$2:$D$202,0)))</f>
        <v/>
      </c>
      <c r="E149" s="2" t="str">
        <f ca="1">IF(ISBLANK(Input!D148),"",INDIRECT("Input!D"&amp;1+MATCH(aux_sheet_RRS!$E148,aux_sheet_RRS!$D$2:$D$202,0)))</f>
        <v/>
      </c>
      <c r="F149" s="11" t="str">
        <f ca="1">INDIRECT("Input!H"&amp;1+MATCH(aux_sheet_RRS!$E148,aux_sheet_RRS!$D$2:$D$202,0))</f>
        <v xml:space="preserve"> </v>
      </c>
      <c r="G149" s="88" t="str">
        <f ca="1">IF($B149="","",INDIRECT("aux_sheet_RRS!O"&amp;1+MATCH(aux_sheet_RRS!$E148,aux_sheet_RRS!$D$2:$D$202,0)))</f>
        <v/>
      </c>
      <c r="H149" s="89" t="str">
        <f ca="1">IF($B149="","",INDIRECT("aux_sheet_RRS!P"&amp;1+MATCH(aux_sheet_RRS!$E148,aux_sheet_RRS!$D$2:$D$202,0)))</f>
        <v/>
      </c>
      <c r="I149" s="90" t="str">
        <f ca="1">IF(G149="","",ROUNDDOWN(INDIRECT("aux_sheet_RRS!Q"&amp;1+MATCH(aux_sheet_RRS!$E148,aux_sheet_RRS!$D$2:$D$202,0)),0))</f>
        <v/>
      </c>
      <c r="J149" s="106" t="str">
        <f ca="1">IF($B149="","",INDIRECT("aux_sheet_RRS!R"&amp;1+MATCH(aux_sheet_RRS!$E148,aux_sheet_RRS!$D$2:$D$202,0)))</f>
        <v/>
      </c>
      <c r="K149" s="89" t="str">
        <f ca="1">IF($B149="","",INDIRECT("aux_sheet_RRS!S"&amp;1+MATCH(aux_sheet_RRS!$E148,aux_sheet_RRS!$D$2:$D$202,0)))</f>
        <v/>
      </c>
      <c r="L149" s="90" t="str">
        <f ca="1">IF(J149="","",ROUNDDOWN(INDIRECT("aux_sheet_RRS!T"&amp;1+MATCH(aux_sheet_RRS!$E148,aux_sheet_RRS!$D$2:$D$202,0)),0))</f>
        <v/>
      </c>
      <c r="M149" s="106" t="str">
        <f ca="1">IF($B149="","",INDIRECT("aux_sheet_RRS!U"&amp;1+MATCH(aux_sheet_RRS!$E148,aux_sheet_RRS!$D$2:$D$202,0)))</f>
        <v/>
      </c>
      <c r="N149" s="89" t="str">
        <f ca="1">IF($B149="","",INDIRECT("aux_sheet_RRS!V"&amp;1+MATCH(aux_sheet_RRS!$E148,aux_sheet_RRS!$D$2:$D$202,0)))</f>
        <v/>
      </c>
      <c r="O149" s="90" t="str">
        <f ca="1">IF(M149="","",ROUNDDOWN(INDIRECT("aux_sheet_RRS!W"&amp;1+MATCH(aux_sheet_RRS!$E148,aux_sheet_RRS!$D$2:$D$202,0)),0))</f>
        <v/>
      </c>
      <c r="P149" s="106" t="str">
        <f ca="1">IF($B149="","",INDIRECT("aux_sheet_RRS!X"&amp;1+MATCH(aux_sheet_RRS!$E148,aux_sheet_RRS!$D$2:$D$202,0)))</f>
        <v/>
      </c>
      <c r="Q149" s="89" t="str">
        <f ca="1">IF($B149="","",INDIRECT("aux_sheet_RRS!Y"&amp;1+MATCH(aux_sheet_RRS!$E148,aux_sheet_RRS!$D$2:$D$202,0)))</f>
        <v/>
      </c>
      <c r="R149" s="90" t="str">
        <f ca="1">IF(P149="","",INDIRECT("aux_sheet_RRS!Z"&amp;1+MATCH(aux_sheet_RRS!$E148,aux_sheet_RRS!$D$2:$D$202,0)))</f>
        <v/>
      </c>
      <c r="S149" s="106" t="str">
        <f ca="1">IF($B149="","",INDIRECT("aux_sheet_RRS!AA"&amp;1+MATCH(aux_sheet_RRS!$E148,aux_sheet_RRS!$D$2:$D$202,0)))</f>
        <v/>
      </c>
      <c r="T149" s="89" t="str">
        <f ca="1">IF($B149="","",INDIRECT("aux_sheet_RRS!AB"&amp;1+MATCH(aux_sheet_RRS!$E148,aux_sheet_RRS!$D$2:$D$202,0)))</f>
        <v/>
      </c>
      <c r="U149" s="90" t="str">
        <f ca="1">IF(S149="","",INDIRECT("aux_sheet_RRS!AC"&amp;1+MATCH(aux_sheet_RRS!$E148,aux_sheet_RRS!$D$2:$D$202,0)))</f>
        <v/>
      </c>
      <c r="V149" s="106" t="str">
        <f ca="1">IF($B149="","",INDIRECT("aux_sheet_RRS!AD"&amp;1+MATCH(aux_sheet_RRS!$E148,aux_sheet_RRS!$D$2:$D$202,0)))</f>
        <v/>
      </c>
      <c r="W149" s="89" t="str">
        <f ca="1">IF($B149="","",INDIRECT("aux_sheet_RRS!AE"&amp;1+MATCH(aux_sheet_RRS!$E148,aux_sheet_RRS!$D$2:$D$202,0)))</f>
        <v/>
      </c>
      <c r="X149" s="90" t="str">
        <f ca="1">IF(V149="","",INDIRECT("aux_sheet_RRS!AF"&amp;1+MATCH(aux_sheet_RRS!$E148,aux_sheet_RRS!$D$2:$D$202,0)))</f>
        <v/>
      </c>
      <c r="Y149" s="106" t="str">
        <f ca="1">IF($B149="","",INDIRECT("aux_sheet_RRS!AG"&amp;1+MATCH(aux_sheet_RRS!$E148,aux_sheet_RRS!$D$2:$D$202,0)))</f>
        <v/>
      </c>
      <c r="Z149" s="89" t="str">
        <f ca="1">IF($B149="","",INDIRECT("aux_sheet_RRS!AH"&amp;1+MATCH(aux_sheet_RRS!$E148,aux_sheet_RRS!$D$2:$D$202,0)))</f>
        <v/>
      </c>
      <c r="AA149" s="90" t="str">
        <f ca="1">IF(Y149="","",INDIRECT("aux_sheet_RRS!AI"&amp;1+MATCH(aux_sheet_RRS!$E148,aux_sheet_RRS!$D$2:$D$202,0)))</f>
        <v/>
      </c>
      <c r="AB149" s="88" t="str">
        <f ca="1">IF($B149="","",INDIRECT("aux_sheet_RRS!AJ"&amp;1+MATCH(aux_sheet_RRS!$E148,aux_sheet_RRS!$D$2:$D$202,0)))</f>
        <v/>
      </c>
      <c r="AC149" s="89" t="str">
        <f ca="1">IF($B149="","",INDIRECT("aux_sheet_RRS!AK"&amp;1+MATCH(aux_sheet_RRS!$E148,aux_sheet_RRS!$D$2:$D$202,0)))</f>
        <v/>
      </c>
      <c r="AD149" s="90" t="str">
        <f ca="1">IF(AB149="","",INDIRECT("aux_sheet_RRS!AL"&amp;1+MATCH(aux_sheet_RRS!$E148,aux_sheet_RRS!$D$2:$D$202,0)))</f>
        <v/>
      </c>
      <c r="AE149" s="88" t="str">
        <f ca="1">IF($B149="","",INDIRECT("aux_sheet_RRS!AM"&amp;1+MATCH(aux_sheet_RRS!$E148,aux_sheet_RRS!$D$2:$D$202,0)))</f>
        <v/>
      </c>
      <c r="AF149" s="89" t="str">
        <f ca="1">IF($B149="","",INDIRECT("aux_sheet_RRS!AN"&amp;1+MATCH(aux_sheet_RRS!$E148,aux_sheet_RRS!$D$2:$D$202,0)))</f>
        <v/>
      </c>
      <c r="AG149" s="90" t="str">
        <f ca="1">IF(AE149="","",INDIRECT("aux_sheet_RRS!AO"&amp;1+MATCH(aux_sheet_RRS!$E148,aux_sheet_RRS!$D$2:$D$202,0)))</f>
        <v/>
      </c>
      <c r="AH149" s="14" t="str">
        <f t="shared" ca="1" si="9"/>
        <v/>
      </c>
      <c r="AI149" t="str">
        <f t="shared" ca="1" si="10"/>
        <v/>
      </c>
      <c r="AJ149" t="str">
        <f t="shared" ca="1" si="11"/>
        <v/>
      </c>
    </row>
    <row r="150" spans="1:36" x14ac:dyDescent="0.35">
      <c r="A150" s="2" t="str">
        <f>IF(ISBLANK(Input!A149),"",ROUNDDOWN(aux_sheet_RRS!E149,0))</f>
        <v/>
      </c>
      <c r="B150" s="2" t="str">
        <f ca="1">IF(ISBLANK(Input!A149),"",INDIRECT("Input!A"&amp;1+MATCH(aux_sheet_RRS!$E149,aux_sheet_RRS!$D$2:$D$202,0)))</f>
        <v/>
      </c>
      <c r="C150" s="2" t="str">
        <f ca="1">IF(ISBLANK(Input!B149),"",INDIRECT("Input!B"&amp;1+MATCH(aux_sheet_RRS!$E149,aux_sheet_RRS!$D$2:$D$202,0)))</f>
        <v/>
      </c>
      <c r="D150" s="2" t="str">
        <f ca="1">IF(ISBLANK(Input!C149),"",INDIRECT("Input!C"&amp;1+MATCH(aux_sheet_RRS!$E149,aux_sheet_RRS!$D$2:$D$202,0)))</f>
        <v/>
      </c>
      <c r="E150" s="2" t="str">
        <f ca="1">IF(ISBLANK(Input!D149),"",INDIRECT("Input!D"&amp;1+MATCH(aux_sheet_RRS!$E149,aux_sheet_RRS!$D$2:$D$202,0)))</f>
        <v/>
      </c>
      <c r="F150" s="11" t="str">
        <f ca="1">INDIRECT("Input!H"&amp;1+MATCH(aux_sheet_RRS!$E149,aux_sheet_RRS!$D$2:$D$202,0))</f>
        <v xml:space="preserve"> </v>
      </c>
      <c r="G150" s="88" t="str">
        <f ca="1">IF($B150="","",INDIRECT("aux_sheet_RRS!O"&amp;1+MATCH(aux_sheet_RRS!$E149,aux_sheet_RRS!$D$2:$D$202,0)))</f>
        <v/>
      </c>
      <c r="H150" s="89" t="str">
        <f ca="1">IF($B150="","",INDIRECT("aux_sheet_RRS!P"&amp;1+MATCH(aux_sheet_RRS!$E149,aux_sheet_RRS!$D$2:$D$202,0)))</f>
        <v/>
      </c>
      <c r="I150" s="90" t="str">
        <f ca="1">IF(G150="","",ROUNDDOWN(INDIRECT("aux_sheet_RRS!Q"&amp;1+MATCH(aux_sheet_RRS!$E149,aux_sheet_RRS!$D$2:$D$202,0)),0))</f>
        <v/>
      </c>
      <c r="J150" s="106" t="str">
        <f ca="1">IF($B150="","",INDIRECT("aux_sheet_RRS!R"&amp;1+MATCH(aux_sheet_RRS!$E149,aux_sheet_RRS!$D$2:$D$202,0)))</f>
        <v/>
      </c>
      <c r="K150" s="89" t="str">
        <f ca="1">IF($B150="","",INDIRECT("aux_sheet_RRS!S"&amp;1+MATCH(aux_sheet_RRS!$E149,aux_sheet_RRS!$D$2:$D$202,0)))</f>
        <v/>
      </c>
      <c r="L150" s="90" t="str">
        <f ca="1">IF(J150="","",ROUNDDOWN(INDIRECT("aux_sheet_RRS!T"&amp;1+MATCH(aux_sheet_RRS!$E149,aux_sheet_RRS!$D$2:$D$202,0)),0))</f>
        <v/>
      </c>
      <c r="M150" s="106" t="str">
        <f ca="1">IF($B150="","",INDIRECT("aux_sheet_RRS!U"&amp;1+MATCH(aux_sheet_RRS!$E149,aux_sheet_RRS!$D$2:$D$202,0)))</f>
        <v/>
      </c>
      <c r="N150" s="89" t="str">
        <f ca="1">IF($B150="","",INDIRECT("aux_sheet_RRS!V"&amp;1+MATCH(aux_sheet_RRS!$E149,aux_sheet_RRS!$D$2:$D$202,0)))</f>
        <v/>
      </c>
      <c r="O150" s="90" t="str">
        <f ca="1">IF(M150="","",ROUNDDOWN(INDIRECT("aux_sheet_RRS!W"&amp;1+MATCH(aux_sheet_RRS!$E149,aux_sheet_RRS!$D$2:$D$202,0)),0))</f>
        <v/>
      </c>
      <c r="P150" s="106" t="str">
        <f ca="1">IF($B150="","",INDIRECT("aux_sheet_RRS!X"&amp;1+MATCH(aux_sheet_RRS!$E149,aux_sheet_RRS!$D$2:$D$202,0)))</f>
        <v/>
      </c>
      <c r="Q150" s="89" t="str">
        <f ca="1">IF($B150="","",INDIRECT("aux_sheet_RRS!Y"&amp;1+MATCH(aux_sheet_RRS!$E149,aux_sheet_RRS!$D$2:$D$202,0)))</f>
        <v/>
      </c>
      <c r="R150" s="90" t="str">
        <f ca="1">IF(P150="","",INDIRECT("aux_sheet_RRS!Z"&amp;1+MATCH(aux_sheet_RRS!$E149,aux_sheet_RRS!$D$2:$D$202,0)))</f>
        <v/>
      </c>
      <c r="S150" s="106" t="str">
        <f ca="1">IF($B150="","",INDIRECT("aux_sheet_RRS!AA"&amp;1+MATCH(aux_sheet_RRS!$E149,aux_sheet_RRS!$D$2:$D$202,0)))</f>
        <v/>
      </c>
      <c r="T150" s="89" t="str">
        <f ca="1">IF($B150="","",INDIRECT("aux_sheet_RRS!AB"&amp;1+MATCH(aux_sheet_RRS!$E149,aux_sheet_RRS!$D$2:$D$202,0)))</f>
        <v/>
      </c>
      <c r="U150" s="90" t="str">
        <f ca="1">IF(S150="","",INDIRECT("aux_sheet_RRS!AC"&amp;1+MATCH(aux_sheet_RRS!$E149,aux_sheet_RRS!$D$2:$D$202,0)))</f>
        <v/>
      </c>
      <c r="V150" s="106" t="str">
        <f ca="1">IF($B150="","",INDIRECT("aux_sheet_RRS!AD"&amp;1+MATCH(aux_sheet_RRS!$E149,aux_sheet_RRS!$D$2:$D$202,0)))</f>
        <v/>
      </c>
      <c r="W150" s="89" t="str">
        <f ca="1">IF($B150="","",INDIRECT("aux_sheet_RRS!AE"&amp;1+MATCH(aux_sheet_RRS!$E149,aux_sheet_RRS!$D$2:$D$202,0)))</f>
        <v/>
      </c>
      <c r="X150" s="90" t="str">
        <f ca="1">IF(V150="","",INDIRECT("aux_sheet_RRS!AF"&amp;1+MATCH(aux_sheet_RRS!$E149,aux_sheet_RRS!$D$2:$D$202,0)))</f>
        <v/>
      </c>
      <c r="Y150" s="106" t="str">
        <f ca="1">IF($B150="","",INDIRECT("aux_sheet_RRS!AG"&amp;1+MATCH(aux_sheet_RRS!$E149,aux_sheet_RRS!$D$2:$D$202,0)))</f>
        <v/>
      </c>
      <c r="Z150" s="89" t="str">
        <f ca="1">IF($B150="","",INDIRECT("aux_sheet_RRS!AH"&amp;1+MATCH(aux_sheet_RRS!$E149,aux_sheet_RRS!$D$2:$D$202,0)))</f>
        <v/>
      </c>
      <c r="AA150" s="90" t="str">
        <f ca="1">IF(Y150="","",INDIRECT("aux_sheet_RRS!AI"&amp;1+MATCH(aux_sheet_RRS!$E149,aux_sheet_RRS!$D$2:$D$202,0)))</f>
        <v/>
      </c>
      <c r="AB150" s="88" t="str">
        <f ca="1">IF($B150="","",INDIRECT("aux_sheet_RRS!AJ"&amp;1+MATCH(aux_sheet_RRS!$E149,aux_sheet_RRS!$D$2:$D$202,0)))</f>
        <v/>
      </c>
      <c r="AC150" s="89" t="str">
        <f ca="1">IF($B150="","",INDIRECT("aux_sheet_RRS!AK"&amp;1+MATCH(aux_sheet_RRS!$E149,aux_sheet_RRS!$D$2:$D$202,0)))</f>
        <v/>
      </c>
      <c r="AD150" s="90" t="str">
        <f ca="1">IF(AB150="","",INDIRECT("aux_sheet_RRS!AL"&amp;1+MATCH(aux_sheet_RRS!$E149,aux_sheet_RRS!$D$2:$D$202,0)))</f>
        <v/>
      </c>
      <c r="AE150" s="88" t="str">
        <f ca="1">IF($B150="","",INDIRECT("aux_sheet_RRS!AM"&amp;1+MATCH(aux_sheet_RRS!$E149,aux_sheet_RRS!$D$2:$D$202,0)))</f>
        <v/>
      </c>
      <c r="AF150" s="89" t="str">
        <f ca="1">IF($B150="","",INDIRECT("aux_sheet_RRS!AN"&amp;1+MATCH(aux_sheet_RRS!$E149,aux_sheet_RRS!$D$2:$D$202,0)))</f>
        <v/>
      </c>
      <c r="AG150" s="90" t="str">
        <f ca="1">IF(AE150="","",INDIRECT("aux_sheet_RRS!AO"&amp;1+MATCH(aux_sheet_RRS!$E149,aux_sheet_RRS!$D$2:$D$202,0)))</f>
        <v/>
      </c>
      <c r="AH150" s="14" t="str">
        <f t="shared" ca="1" si="9"/>
        <v/>
      </c>
      <c r="AI150" t="str">
        <f t="shared" ca="1" si="10"/>
        <v/>
      </c>
      <c r="AJ150" t="str">
        <f t="shared" ca="1" si="11"/>
        <v/>
      </c>
    </row>
    <row r="151" spans="1:36" x14ac:dyDescent="0.35">
      <c r="A151" s="2" t="str">
        <f>IF(ISBLANK(Input!A150),"",ROUNDDOWN(aux_sheet_RRS!E150,0))</f>
        <v/>
      </c>
      <c r="B151" s="2" t="str">
        <f ca="1">IF(ISBLANK(Input!A150),"",INDIRECT("Input!A"&amp;1+MATCH(aux_sheet_RRS!$E150,aux_sheet_RRS!$D$2:$D$202,0)))</f>
        <v/>
      </c>
      <c r="C151" s="2" t="str">
        <f ca="1">IF(ISBLANK(Input!B150),"",INDIRECT("Input!B"&amp;1+MATCH(aux_sheet_RRS!$E150,aux_sheet_RRS!$D$2:$D$202,0)))</f>
        <v/>
      </c>
      <c r="D151" s="2" t="str">
        <f ca="1">IF(ISBLANK(Input!C150),"",INDIRECT("Input!C"&amp;1+MATCH(aux_sheet_RRS!$E150,aux_sheet_RRS!$D$2:$D$202,0)))</f>
        <v/>
      </c>
      <c r="E151" s="2" t="str">
        <f ca="1">IF(ISBLANK(Input!D150),"",INDIRECT("Input!D"&amp;1+MATCH(aux_sheet_RRS!$E150,aux_sheet_RRS!$D$2:$D$202,0)))</f>
        <v/>
      </c>
      <c r="F151" s="11" t="str">
        <f ca="1">INDIRECT("Input!H"&amp;1+MATCH(aux_sheet_RRS!$E150,aux_sheet_RRS!$D$2:$D$202,0))</f>
        <v xml:space="preserve"> </v>
      </c>
      <c r="G151" s="88" t="str">
        <f ca="1">IF($B151="","",INDIRECT("aux_sheet_RRS!O"&amp;1+MATCH(aux_sheet_RRS!$E150,aux_sheet_RRS!$D$2:$D$202,0)))</f>
        <v/>
      </c>
      <c r="H151" s="89" t="str">
        <f ca="1">IF($B151="","",INDIRECT("aux_sheet_RRS!P"&amp;1+MATCH(aux_sheet_RRS!$E150,aux_sheet_RRS!$D$2:$D$202,0)))</f>
        <v/>
      </c>
      <c r="I151" s="90" t="str">
        <f ca="1">IF(G151="","",ROUNDDOWN(INDIRECT("aux_sheet_RRS!Q"&amp;1+MATCH(aux_sheet_RRS!$E150,aux_sheet_RRS!$D$2:$D$202,0)),0))</f>
        <v/>
      </c>
      <c r="J151" s="106" t="str">
        <f ca="1">IF($B151="","",INDIRECT("aux_sheet_RRS!R"&amp;1+MATCH(aux_sheet_RRS!$E150,aux_sheet_RRS!$D$2:$D$202,0)))</f>
        <v/>
      </c>
      <c r="K151" s="89" t="str">
        <f ca="1">IF($B151="","",INDIRECT("aux_sheet_RRS!S"&amp;1+MATCH(aux_sheet_RRS!$E150,aux_sheet_RRS!$D$2:$D$202,0)))</f>
        <v/>
      </c>
      <c r="L151" s="90" t="str">
        <f ca="1">IF(J151="","",ROUNDDOWN(INDIRECT("aux_sheet_RRS!T"&amp;1+MATCH(aux_sheet_RRS!$E150,aux_sheet_RRS!$D$2:$D$202,0)),0))</f>
        <v/>
      </c>
      <c r="M151" s="106" t="str">
        <f ca="1">IF($B151="","",INDIRECT("aux_sheet_RRS!U"&amp;1+MATCH(aux_sheet_RRS!$E150,aux_sheet_RRS!$D$2:$D$202,0)))</f>
        <v/>
      </c>
      <c r="N151" s="89" t="str">
        <f ca="1">IF($B151="","",INDIRECT("aux_sheet_RRS!V"&amp;1+MATCH(aux_sheet_RRS!$E150,aux_sheet_RRS!$D$2:$D$202,0)))</f>
        <v/>
      </c>
      <c r="O151" s="90" t="str">
        <f ca="1">IF(M151="","",ROUNDDOWN(INDIRECT("aux_sheet_RRS!W"&amp;1+MATCH(aux_sheet_RRS!$E150,aux_sheet_RRS!$D$2:$D$202,0)),0))</f>
        <v/>
      </c>
      <c r="P151" s="106" t="str">
        <f ca="1">IF($B151="","",INDIRECT("aux_sheet_RRS!X"&amp;1+MATCH(aux_sheet_RRS!$E150,aux_sheet_RRS!$D$2:$D$202,0)))</f>
        <v/>
      </c>
      <c r="Q151" s="89" t="str">
        <f ca="1">IF($B151="","",INDIRECT("aux_sheet_RRS!Y"&amp;1+MATCH(aux_sheet_RRS!$E150,aux_sheet_RRS!$D$2:$D$202,0)))</f>
        <v/>
      </c>
      <c r="R151" s="90" t="str">
        <f ca="1">IF(P151="","",INDIRECT("aux_sheet_RRS!Z"&amp;1+MATCH(aux_sheet_RRS!$E150,aux_sheet_RRS!$D$2:$D$202,0)))</f>
        <v/>
      </c>
      <c r="S151" s="106" t="str">
        <f ca="1">IF($B151="","",INDIRECT("aux_sheet_RRS!AA"&amp;1+MATCH(aux_sheet_RRS!$E150,aux_sheet_RRS!$D$2:$D$202,0)))</f>
        <v/>
      </c>
      <c r="T151" s="89" t="str">
        <f ca="1">IF($B151="","",INDIRECT("aux_sheet_RRS!AB"&amp;1+MATCH(aux_sheet_RRS!$E150,aux_sheet_RRS!$D$2:$D$202,0)))</f>
        <v/>
      </c>
      <c r="U151" s="90" t="str">
        <f ca="1">IF(S151="","",INDIRECT("aux_sheet_RRS!AC"&amp;1+MATCH(aux_sheet_RRS!$E150,aux_sheet_RRS!$D$2:$D$202,0)))</f>
        <v/>
      </c>
      <c r="V151" s="106" t="str">
        <f ca="1">IF($B151="","",INDIRECT("aux_sheet_RRS!AD"&amp;1+MATCH(aux_sheet_RRS!$E150,aux_sheet_RRS!$D$2:$D$202,0)))</f>
        <v/>
      </c>
      <c r="W151" s="89" t="str">
        <f ca="1">IF($B151="","",INDIRECT("aux_sheet_RRS!AE"&amp;1+MATCH(aux_sheet_RRS!$E150,aux_sheet_RRS!$D$2:$D$202,0)))</f>
        <v/>
      </c>
      <c r="X151" s="90" t="str">
        <f ca="1">IF(V151="","",INDIRECT("aux_sheet_RRS!AF"&amp;1+MATCH(aux_sheet_RRS!$E150,aux_sheet_RRS!$D$2:$D$202,0)))</f>
        <v/>
      </c>
      <c r="Y151" s="106" t="str">
        <f ca="1">IF($B151="","",INDIRECT("aux_sheet_RRS!AG"&amp;1+MATCH(aux_sheet_RRS!$E150,aux_sheet_RRS!$D$2:$D$202,0)))</f>
        <v/>
      </c>
      <c r="Z151" s="89" t="str">
        <f ca="1">IF($B151="","",INDIRECT("aux_sheet_RRS!AH"&amp;1+MATCH(aux_sheet_RRS!$E150,aux_sheet_RRS!$D$2:$D$202,0)))</f>
        <v/>
      </c>
      <c r="AA151" s="90" t="str">
        <f ca="1">IF(Y151="","",INDIRECT("aux_sheet_RRS!AI"&amp;1+MATCH(aux_sheet_RRS!$E150,aux_sheet_RRS!$D$2:$D$202,0)))</f>
        <v/>
      </c>
      <c r="AB151" s="88" t="str">
        <f ca="1">IF($B151="","",INDIRECT("aux_sheet_RRS!AJ"&amp;1+MATCH(aux_sheet_RRS!$E150,aux_sheet_RRS!$D$2:$D$202,0)))</f>
        <v/>
      </c>
      <c r="AC151" s="89" t="str">
        <f ca="1">IF($B151="","",INDIRECT("aux_sheet_RRS!AK"&amp;1+MATCH(aux_sheet_RRS!$E150,aux_sheet_RRS!$D$2:$D$202,0)))</f>
        <v/>
      </c>
      <c r="AD151" s="90" t="str">
        <f ca="1">IF(AB151="","",INDIRECT("aux_sheet_RRS!AL"&amp;1+MATCH(aux_sheet_RRS!$E150,aux_sheet_RRS!$D$2:$D$202,0)))</f>
        <v/>
      </c>
      <c r="AE151" s="88" t="str">
        <f ca="1">IF($B151="","",INDIRECT("aux_sheet_RRS!AM"&amp;1+MATCH(aux_sheet_RRS!$E150,aux_sheet_RRS!$D$2:$D$202,0)))</f>
        <v/>
      </c>
      <c r="AF151" s="89" t="str">
        <f ca="1">IF($B151="","",INDIRECT("aux_sheet_RRS!AN"&amp;1+MATCH(aux_sheet_RRS!$E150,aux_sheet_RRS!$D$2:$D$202,0)))</f>
        <v/>
      </c>
      <c r="AG151" s="90" t="str">
        <f ca="1">IF(AE151="","",INDIRECT("aux_sheet_RRS!AO"&amp;1+MATCH(aux_sheet_RRS!$E150,aux_sheet_RRS!$D$2:$D$202,0)))</f>
        <v/>
      </c>
      <c r="AH151" s="14" t="str">
        <f t="shared" ca="1" si="9"/>
        <v/>
      </c>
      <c r="AI151" t="str">
        <f t="shared" ca="1" si="10"/>
        <v/>
      </c>
      <c r="AJ151" t="str">
        <f t="shared" ca="1" si="11"/>
        <v/>
      </c>
    </row>
    <row r="152" spans="1:36" x14ac:dyDescent="0.35">
      <c r="A152" s="2" t="str">
        <f>IF(ISBLANK(Input!A151),"",ROUNDDOWN(aux_sheet_RRS!E151,0))</f>
        <v/>
      </c>
      <c r="B152" s="2" t="str">
        <f ca="1">IF(ISBLANK(Input!A151),"",INDIRECT("Input!A"&amp;1+MATCH(aux_sheet_RRS!$E151,aux_sheet_RRS!$D$2:$D$202,0)))</f>
        <v/>
      </c>
      <c r="C152" s="2" t="str">
        <f ca="1">IF(ISBLANK(Input!B151),"",INDIRECT("Input!B"&amp;1+MATCH(aux_sheet_RRS!$E151,aux_sheet_RRS!$D$2:$D$202,0)))</f>
        <v/>
      </c>
      <c r="D152" s="2" t="str">
        <f ca="1">IF(ISBLANK(Input!C151),"",INDIRECT("Input!C"&amp;1+MATCH(aux_sheet_RRS!$E151,aux_sheet_RRS!$D$2:$D$202,0)))</f>
        <v/>
      </c>
      <c r="E152" s="2" t="str">
        <f ca="1">IF(ISBLANK(Input!D151),"",INDIRECT("Input!D"&amp;1+MATCH(aux_sheet_RRS!$E151,aux_sheet_RRS!$D$2:$D$202,0)))</f>
        <v/>
      </c>
      <c r="F152" s="11" t="str">
        <f ca="1">INDIRECT("Input!H"&amp;1+MATCH(aux_sheet_RRS!$E151,aux_sheet_RRS!$D$2:$D$202,0))</f>
        <v xml:space="preserve"> </v>
      </c>
      <c r="G152" s="88" t="str">
        <f ca="1">IF($B152="","",INDIRECT("aux_sheet_RRS!O"&amp;1+MATCH(aux_sheet_RRS!$E151,aux_sheet_RRS!$D$2:$D$202,0)))</f>
        <v/>
      </c>
      <c r="H152" s="89" t="str">
        <f ca="1">IF($B152="","",INDIRECT("aux_sheet_RRS!P"&amp;1+MATCH(aux_sheet_RRS!$E151,aux_sheet_RRS!$D$2:$D$202,0)))</f>
        <v/>
      </c>
      <c r="I152" s="90" t="str">
        <f ca="1">IF(G152="","",ROUNDDOWN(INDIRECT("aux_sheet_RRS!Q"&amp;1+MATCH(aux_sheet_RRS!$E151,aux_sheet_RRS!$D$2:$D$202,0)),0))</f>
        <v/>
      </c>
      <c r="J152" s="106" t="str">
        <f ca="1">IF($B152="","",INDIRECT("aux_sheet_RRS!R"&amp;1+MATCH(aux_sheet_RRS!$E151,aux_sheet_RRS!$D$2:$D$202,0)))</f>
        <v/>
      </c>
      <c r="K152" s="89" t="str">
        <f ca="1">IF($B152="","",INDIRECT("aux_sheet_RRS!S"&amp;1+MATCH(aux_sheet_RRS!$E151,aux_sheet_RRS!$D$2:$D$202,0)))</f>
        <v/>
      </c>
      <c r="L152" s="90" t="str">
        <f ca="1">IF(J152="","",ROUNDDOWN(INDIRECT("aux_sheet_RRS!T"&amp;1+MATCH(aux_sheet_RRS!$E151,aux_sheet_RRS!$D$2:$D$202,0)),0))</f>
        <v/>
      </c>
      <c r="M152" s="106" t="str">
        <f ca="1">IF($B152="","",INDIRECT("aux_sheet_RRS!U"&amp;1+MATCH(aux_sheet_RRS!$E151,aux_sheet_RRS!$D$2:$D$202,0)))</f>
        <v/>
      </c>
      <c r="N152" s="89" t="str">
        <f ca="1">IF($B152="","",INDIRECT("aux_sheet_RRS!V"&amp;1+MATCH(aux_sheet_RRS!$E151,aux_sheet_RRS!$D$2:$D$202,0)))</f>
        <v/>
      </c>
      <c r="O152" s="90" t="str">
        <f ca="1">IF(M152="","",ROUNDDOWN(INDIRECT("aux_sheet_RRS!W"&amp;1+MATCH(aux_sheet_RRS!$E151,aux_sheet_RRS!$D$2:$D$202,0)),0))</f>
        <v/>
      </c>
      <c r="P152" s="106" t="str">
        <f ca="1">IF($B152="","",INDIRECT("aux_sheet_RRS!X"&amp;1+MATCH(aux_sheet_RRS!$E151,aux_sheet_RRS!$D$2:$D$202,0)))</f>
        <v/>
      </c>
      <c r="Q152" s="89" t="str">
        <f ca="1">IF($B152="","",INDIRECT("aux_sheet_RRS!Y"&amp;1+MATCH(aux_sheet_RRS!$E151,aux_sheet_RRS!$D$2:$D$202,0)))</f>
        <v/>
      </c>
      <c r="R152" s="90" t="str">
        <f ca="1">IF(P152="","",INDIRECT("aux_sheet_RRS!Z"&amp;1+MATCH(aux_sheet_RRS!$E151,aux_sheet_RRS!$D$2:$D$202,0)))</f>
        <v/>
      </c>
      <c r="S152" s="106" t="str">
        <f ca="1">IF($B152="","",INDIRECT("aux_sheet_RRS!AA"&amp;1+MATCH(aux_sheet_RRS!$E151,aux_sheet_RRS!$D$2:$D$202,0)))</f>
        <v/>
      </c>
      <c r="T152" s="89" t="str">
        <f ca="1">IF($B152="","",INDIRECT("aux_sheet_RRS!AB"&amp;1+MATCH(aux_sheet_RRS!$E151,aux_sheet_RRS!$D$2:$D$202,0)))</f>
        <v/>
      </c>
      <c r="U152" s="90" t="str">
        <f ca="1">IF(S152="","",INDIRECT("aux_sheet_RRS!AC"&amp;1+MATCH(aux_sheet_RRS!$E151,aux_sheet_RRS!$D$2:$D$202,0)))</f>
        <v/>
      </c>
      <c r="V152" s="106" t="str">
        <f ca="1">IF($B152="","",INDIRECT("aux_sheet_RRS!AD"&amp;1+MATCH(aux_sheet_RRS!$E151,aux_sheet_RRS!$D$2:$D$202,0)))</f>
        <v/>
      </c>
      <c r="W152" s="89" t="str">
        <f ca="1">IF($B152="","",INDIRECT("aux_sheet_RRS!AE"&amp;1+MATCH(aux_sheet_RRS!$E151,aux_sheet_RRS!$D$2:$D$202,0)))</f>
        <v/>
      </c>
      <c r="X152" s="90" t="str">
        <f ca="1">IF(V152="","",INDIRECT("aux_sheet_RRS!AF"&amp;1+MATCH(aux_sheet_RRS!$E151,aux_sheet_RRS!$D$2:$D$202,0)))</f>
        <v/>
      </c>
      <c r="Y152" s="106" t="str">
        <f ca="1">IF($B152="","",INDIRECT("aux_sheet_RRS!AG"&amp;1+MATCH(aux_sheet_RRS!$E151,aux_sheet_RRS!$D$2:$D$202,0)))</f>
        <v/>
      </c>
      <c r="Z152" s="89" t="str">
        <f ca="1">IF($B152="","",INDIRECT("aux_sheet_RRS!AH"&amp;1+MATCH(aux_sheet_RRS!$E151,aux_sheet_RRS!$D$2:$D$202,0)))</f>
        <v/>
      </c>
      <c r="AA152" s="90" t="str">
        <f ca="1">IF(Y152="","",INDIRECT("aux_sheet_RRS!AI"&amp;1+MATCH(aux_sheet_RRS!$E151,aux_sheet_RRS!$D$2:$D$202,0)))</f>
        <v/>
      </c>
      <c r="AB152" s="88" t="str">
        <f ca="1">IF($B152="","",INDIRECT("aux_sheet_RRS!AJ"&amp;1+MATCH(aux_sheet_RRS!$E151,aux_sheet_RRS!$D$2:$D$202,0)))</f>
        <v/>
      </c>
      <c r="AC152" s="89" t="str">
        <f ca="1">IF($B152="","",INDIRECT("aux_sheet_RRS!AK"&amp;1+MATCH(aux_sheet_RRS!$E151,aux_sheet_RRS!$D$2:$D$202,0)))</f>
        <v/>
      </c>
      <c r="AD152" s="90" t="str">
        <f ca="1">IF(AB152="","",INDIRECT("aux_sheet_RRS!AL"&amp;1+MATCH(aux_sheet_RRS!$E151,aux_sheet_RRS!$D$2:$D$202,0)))</f>
        <v/>
      </c>
      <c r="AE152" s="88" t="str">
        <f ca="1">IF($B152="","",INDIRECT("aux_sheet_RRS!AM"&amp;1+MATCH(aux_sheet_RRS!$E151,aux_sheet_RRS!$D$2:$D$202,0)))</f>
        <v/>
      </c>
      <c r="AF152" s="89" t="str">
        <f ca="1">IF($B152="","",INDIRECT("aux_sheet_RRS!AN"&amp;1+MATCH(aux_sheet_RRS!$E151,aux_sheet_RRS!$D$2:$D$202,0)))</f>
        <v/>
      </c>
      <c r="AG152" s="90" t="str">
        <f ca="1">IF(AE152="","",INDIRECT("aux_sheet_RRS!AO"&amp;1+MATCH(aux_sheet_RRS!$E151,aux_sheet_RRS!$D$2:$D$202,0)))</f>
        <v/>
      </c>
      <c r="AH152" s="14" t="str">
        <f t="shared" ca="1" si="9"/>
        <v/>
      </c>
      <c r="AI152" t="str">
        <f t="shared" ca="1" si="10"/>
        <v/>
      </c>
      <c r="AJ152" t="str">
        <f t="shared" ca="1" si="11"/>
        <v/>
      </c>
    </row>
    <row r="153" spans="1:36" x14ac:dyDescent="0.35">
      <c r="A153" s="2" t="str">
        <f>IF(ISBLANK(Input!A152),"",ROUNDDOWN(aux_sheet_RRS!E152,0))</f>
        <v/>
      </c>
      <c r="B153" s="2" t="str">
        <f ca="1">IF(ISBLANK(Input!A152),"",INDIRECT("Input!A"&amp;1+MATCH(aux_sheet_RRS!$E152,aux_sheet_RRS!$D$2:$D$202,0)))</f>
        <v/>
      </c>
      <c r="C153" s="2" t="str">
        <f ca="1">IF(ISBLANK(Input!B152),"",INDIRECT("Input!B"&amp;1+MATCH(aux_sheet_RRS!$E152,aux_sheet_RRS!$D$2:$D$202,0)))</f>
        <v/>
      </c>
      <c r="D153" s="2" t="str">
        <f ca="1">IF(ISBLANK(Input!C152),"",INDIRECT("Input!C"&amp;1+MATCH(aux_sheet_RRS!$E152,aux_sheet_RRS!$D$2:$D$202,0)))</f>
        <v/>
      </c>
      <c r="E153" s="2" t="str">
        <f ca="1">IF(ISBLANK(Input!D152),"",INDIRECT("Input!D"&amp;1+MATCH(aux_sheet_RRS!$E152,aux_sheet_RRS!$D$2:$D$202,0)))</f>
        <v/>
      </c>
      <c r="F153" s="11" t="str">
        <f ca="1">INDIRECT("Input!H"&amp;1+MATCH(aux_sheet_RRS!$E152,aux_sheet_RRS!$D$2:$D$202,0))</f>
        <v xml:space="preserve"> </v>
      </c>
      <c r="G153" s="88" t="str">
        <f ca="1">IF($B153="","",INDIRECT("aux_sheet_RRS!O"&amp;1+MATCH(aux_sheet_RRS!$E152,aux_sheet_RRS!$D$2:$D$202,0)))</f>
        <v/>
      </c>
      <c r="H153" s="89" t="str">
        <f ca="1">IF($B153="","",INDIRECT("aux_sheet_RRS!P"&amp;1+MATCH(aux_sheet_RRS!$E152,aux_sheet_RRS!$D$2:$D$202,0)))</f>
        <v/>
      </c>
      <c r="I153" s="90" t="str">
        <f ca="1">IF(G153="","",ROUNDDOWN(INDIRECT("aux_sheet_RRS!Q"&amp;1+MATCH(aux_sheet_RRS!$E152,aux_sheet_RRS!$D$2:$D$202,0)),0))</f>
        <v/>
      </c>
      <c r="J153" s="106" t="str">
        <f ca="1">IF($B153="","",INDIRECT("aux_sheet_RRS!R"&amp;1+MATCH(aux_sheet_RRS!$E152,aux_sheet_RRS!$D$2:$D$202,0)))</f>
        <v/>
      </c>
      <c r="K153" s="89" t="str">
        <f ca="1">IF($B153="","",INDIRECT("aux_sheet_RRS!S"&amp;1+MATCH(aux_sheet_RRS!$E152,aux_sheet_RRS!$D$2:$D$202,0)))</f>
        <v/>
      </c>
      <c r="L153" s="90" t="str">
        <f ca="1">IF(J153="","",ROUNDDOWN(INDIRECT("aux_sheet_RRS!T"&amp;1+MATCH(aux_sheet_RRS!$E152,aux_sheet_RRS!$D$2:$D$202,0)),0))</f>
        <v/>
      </c>
      <c r="M153" s="106" t="str">
        <f ca="1">IF($B153="","",INDIRECT("aux_sheet_RRS!U"&amp;1+MATCH(aux_sheet_RRS!$E152,aux_sheet_RRS!$D$2:$D$202,0)))</f>
        <v/>
      </c>
      <c r="N153" s="89" t="str">
        <f ca="1">IF($B153="","",INDIRECT("aux_sheet_RRS!V"&amp;1+MATCH(aux_sheet_RRS!$E152,aux_sheet_RRS!$D$2:$D$202,0)))</f>
        <v/>
      </c>
      <c r="O153" s="90" t="str">
        <f ca="1">IF(M153="","",ROUNDDOWN(INDIRECT("aux_sheet_RRS!W"&amp;1+MATCH(aux_sheet_RRS!$E152,aux_sheet_RRS!$D$2:$D$202,0)),0))</f>
        <v/>
      </c>
      <c r="P153" s="106" t="str">
        <f ca="1">IF($B153="","",INDIRECT("aux_sheet_RRS!X"&amp;1+MATCH(aux_sheet_RRS!$E152,aux_sheet_RRS!$D$2:$D$202,0)))</f>
        <v/>
      </c>
      <c r="Q153" s="89" t="str">
        <f ca="1">IF($B153="","",INDIRECT("aux_sheet_RRS!Y"&amp;1+MATCH(aux_sheet_RRS!$E152,aux_sheet_RRS!$D$2:$D$202,0)))</f>
        <v/>
      </c>
      <c r="R153" s="90" t="str">
        <f ca="1">IF(P153="","",INDIRECT("aux_sheet_RRS!Z"&amp;1+MATCH(aux_sheet_RRS!$E152,aux_sheet_RRS!$D$2:$D$202,0)))</f>
        <v/>
      </c>
      <c r="S153" s="106" t="str">
        <f ca="1">IF($B153="","",INDIRECT("aux_sheet_RRS!AA"&amp;1+MATCH(aux_sheet_RRS!$E152,aux_sheet_RRS!$D$2:$D$202,0)))</f>
        <v/>
      </c>
      <c r="T153" s="89" t="str">
        <f ca="1">IF($B153="","",INDIRECT("aux_sheet_RRS!AB"&amp;1+MATCH(aux_sheet_RRS!$E152,aux_sheet_RRS!$D$2:$D$202,0)))</f>
        <v/>
      </c>
      <c r="U153" s="90" t="str">
        <f ca="1">IF(S153="","",INDIRECT("aux_sheet_RRS!AC"&amp;1+MATCH(aux_sheet_RRS!$E152,aux_sheet_RRS!$D$2:$D$202,0)))</f>
        <v/>
      </c>
      <c r="V153" s="106" t="str">
        <f ca="1">IF($B153="","",INDIRECT("aux_sheet_RRS!AD"&amp;1+MATCH(aux_sheet_RRS!$E152,aux_sheet_RRS!$D$2:$D$202,0)))</f>
        <v/>
      </c>
      <c r="W153" s="89" t="str">
        <f ca="1">IF($B153="","",INDIRECT("aux_sheet_RRS!AE"&amp;1+MATCH(aux_sheet_RRS!$E152,aux_sheet_RRS!$D$2:$D$202,0)))</f>
        <v/>
      </c>
      <c r="X153" s="90" t="str">
        <f ca="1">IF(V153="","",INDIRECT("aux_sheet_RRS!AF"&amp;1+MATCH(aux_sheet_RRS!$E152,aux_sheet_RRS!$D$2:$D$202,0)))</f>
        <v/>
      </c>
      <c r="Y153" s="106" t="str">
        <f ca="1">IF($B153="","",INDIRECT("aux_sheet_RRS!AG"&amp;1+MATCH(aux_sheet_RRS!$E152,aux_sheet_RRS!$D$2:$D$202,0)))</f>
        <v/>
      </c>
      <c r="Z153" s="89" t="str">
        <f ca="1">IF($B153="","",INDIRECT("aux_sheet_RRS!AH"&amp;1+MATCH(aux_sheet_RRS!$E152,aux_sheet_RRS!$D$2:$D$202,0)))</f>
        <v/>
      </c>
      <c r="AA153" s="90" t="str">
        <f ca="1">IF(Y153="","",INDIRECT("aux_sheet_RRS!AI"&amp;1+MATCH(aux_sheet_RRS!$E152,aux_sheet_RRS!$D$2:$D$202,0)))</f>
        <v/>
      </c>
      <c r="AB153" s="88" t="str">
        <f ca="1">IF($B153="","",INDIRECT("aux_sheet_RRS!AJ"&amp;1+MATCH(aux_sheet_RRS!$E152,aux_sheet_RRS!$D$2:$D$202,0)))</f>
        <v/>
      </c>
      <c r="AC153" s="89" t="str">
        <f ca="1">IF($B153="","",INDIRECT("aux_sheet_RRS!AK"&amp;1+MATCH(aux_sheet_RRS!$E152,aux_sheet_RRS!$D$2:$D$202,0)))</f>
        <v/>
      </c>
      <c r="AD153" s="90" t="str">
        <f ca="1">IF(AB153="","",INDIRECT("aux_sheet_RRS!AL"&amp;1+MATCH(aux_sheet_RRS!$E152,aux_sheet_RRS!$D$2:$D$202,0)))</f>
        <v/>
      </c>
      <c r="AE153" s="88" t="str">
        <f ca="1">IF($B153="","",INDIRECT("aux_sheet_RRS!AM"&amp;1+MATCH(aux_sheet_RRS!$E152,aux_sheet_RRS!$D$2:$D$202,0)))</f>
        <v/>
      </c>
      <c r="AF153" s="89" t="str">
        <f ca="1">IF($B153="","",INDIRECT("aux_sheet_RRS!AN"&amp;1+MATCH(aux_sheet_RRS!$E152,aux_sheet_RRS!$D$2:$D$202,0)))</f>
        <v/>
      </c>
      <c r="AG153" s="90" t="str">
        <f ca="1">IF(AE153="","",INDIRECT("aux_sheet_RRS!AO"&amp;1+MATCH(aux_sheet_RRS!$E152,aux_sheet_RRS!$D$2:$D$202,0)))</f>
        <v/>
      </c>
      <c r="AH153" s="14" t="str">
        <f t="shared" ca="1" si="9"/>
        <v/>
      </c>
      <c r="AI153" t="str">
        <f t="shared" ca="1" si="10"/>
        <v/>
      </c>
      <c r="AJ153" t="str">
        <f t="shared" ca="1" si="11"/>
        <v/>
      </c>
    </row>
    <row r="154" spans="1:36" x14ac:dyDescent="0.35">
      <c r="A154" s="2" t="str">
        <f>IF(ISBLANK(Input!A153),"",ROUNDDOWN(aux_sheet_RRS!E153,0))</f>
        <v/>
      </c>
      <c r="B154" s="2" t="str">
        <f ca="1">IF(ISBLANK(Input!A153),"",INDIRECT("Input!A"&amp;1+MATCH(aux_sheet_RRS!$E153,aux_sheet_RRS!$D$2:$D$202,0)))</f>
        <v/>
      </c>
      <c r="C154" s="2" t="str">
        <f ca="1">IF(ISBLANK(Input!B153),"",INDIRECT("Input!B"&amp;1+MATCH(aux_sheet_RRS!$E153,aux_sheet_RRS!$D$2:$D$202,0)))</f>
        <v/>
      </c>
      <c r="D154" s="2" t="str">
        <f ca="1">IF(ISBLANK(Input!C153),"",INDIRECT("Input!C"&amp;1+MATCH(aux_sheet_RRS!$E153,aux_sheet_RRS!$D$2:$D$202,0)))</f>
        <v/>
      </c>
      <c r="E154" s="2" t="str">
        <f ca="1">IF(ISBLANK(Input!D153),"",INDIRECT("Input!D"&amp;1+MATCH(aux_sheet_RRS!$E153,aux_sheet_RRS!$D$2:$D$202,0)))</f>
        <v/>
      </c>
      <c r="F154" s="11" t="str">
        <f ca="1">INDIRECT("Input!H"&amp;1+MATCH(aux_sheet_RRS!$E153,aux_sheet_RRS!$D$2:$D$202,0))</f>
        <v xml:space="preserve"> </v>
      </c>
      <c r="G154" s="88" t="str">
        <f ca="1">IF($B154="","",INDIRECT("aux_sheet_RRS!O"&amp;1+MATCH(aux_sheet_RRS!$E153,aux_sheet_RRS!$D$2:$D$202,0)))</f>
        <v/>
      </c>
      <c r="H154" s="89" t="str">
        <f ca="1">IF($B154="","",INDIRECT("aux_sheet_RRS!P"&amp;1+MATCH(aux_sheet_RRS!$E153,aux_sheet_RRS!$D$2:$D$202,0)))</f>
        <v/>
      </c>
      <c r="I154" s="90" t="str">
        <f ca="1">IF(G154="","",ROUNDDOWN(INDIRECT("aux_sheet_RRS!Q"&amp;1+MATCH(aux_sheet_RRS!$E153,aux_sheet_RRS!$D$2:$D$202,0)),0))</f>
        <v/>
      </c>
      <c r="J154" s="106" t="str">
        <f ca="1">IF($B154="","",INDIRECT("aux_sheet_RRS!R"&amp;1+MATCH(aux_sheet_RRS!$E153,aux_sheet_RRS!$D$2:$D$202,0)))</f>
        <v/>
      </c>
      <c r="K154" s="89" t="str">
        <f ca="1">IF($B154="","",INDIRECT("aux_sheet_RRS!S"&amp;1+MATCH(aux_sheet_RRS!$E153,aux_sheet_RRS!$D$2:$D$202,0)))</f>
        <v/>
      </c>
      <c r="L154" s="90" t="str">
        <f ca="1">IF(J154="","",ROUNDDOWN(INDIRECT("aux_sheet_RRS!T"&amp;1+MATCH(aux_sheet_RRS!$E153,aux_sheet_RRS!$D$2:$D$202,0)),0))</f>
        <v/>
      </c>
      <c r="M154" s="106" t="str">
        <f ca="1">IF($B154="","",INDIRECT("aux_sheet_RRS!U"&amp;1+MATCH(aux_sheet_RRS!$E153,aux_sheet_RRS!$D$2:$D$202,0)))</f>
        <v/>
      </c>
      <c r="N154" s="89" t="str">
        <f ca="1">IF($B154="","",INDIRECT("aux_sheet_RRS!V"&amp;1+MATCH(aux_sheet_RRS!$E153,aux_sheet_RRS!$D$2:$D$202,0)))</f>
        <v/>
      </c>
      <c r="O154" s="90" t="str">
        <f ca="1">IF(M154="","",ROUNDDOWN(INDIRECT("aux_sheet_RRS!W"&amp;1+MATCH(aux_sheet_RRS!$E153,aux_sheet_RRS!$D$2:$D$202,0)),0))</f>
        <v/>
      </c>
      <c r="P154" s="106" t="str">
        <f ca="1">IF($B154="","",INDIRECT("aux_sheet_RRS!X"&amp;1+MATCH(aux_sheet_RRS!$E153,aux_sheet_RRS!$D$2:$D$202,0)))</f>
        <v/>
      </c>
      <c r="Q154" s="89" t="str">
        <f ca="1">IF($B154="","",INDIRECT("aux_sheet_RRS!Y"&amp;1+MATCH(aux_sheet_RRS!$E153,aux_sheet_RRS!$D$2:$D$202,0)))</f>
        <v/>
      </c>
      <c r="R154" s="90" t="str">
        <f ca="1">IF(P154="","",INDIRECT("aux_sheet_RRS!Z"&amp;1+MATCH(aux_sheet_RRS!$E153,aux_sheet_RRS!$D$2:$D$202,0)))</f>
        <v/>
      </c>
      <c r="S154" s="106" t="str">
        <f ca="1">IF($B154="","",INDIRECT("aux_sheet_RRS!AA"&amp;1+MATCH(aux_sheet_RRS!$E153,aux_sheet_RRS!$D$2:$D$202,0)))</f>
        <v/>
      </c>
      <c r="T154" s="89" t="str">
        <f ca="1">IF($B154="","",INDIRECT("aux_sheet_RRS!AB"&amp;1+MATCH(aux_sheet_RRS!$E153,aux_sheet_RRS!$D$2:$D$202,0)))</f>
        <v/>
      </c>
      <c r="U154" s="90" t="str">
        <f ca="1">IF(S154="","",INDIRECT("aux_sheet_RRS!AC"&amp;1+MATCH(aux_sheet_RRS!$E153,aux_sheet_RRS!$D$2:$D$202,0)))</f>
        <v/>
      </c>
      <c r="V154" s="106" t="str">
        <f ca="1">IF($B154="","",INDIRECT("aux_sheet_RRS!AD"&amp;1+MATCH(aux_sheet_RRS!$E153,aux_sheet_RRS!$D$2:$D$202,0)))</f>
        <v/>
      </c>
      <c r="W154" s="89" t="str">
        <f ca="1">IF($B154="","",INDIRECT("aux_sheet_RRS!AE"&amp;1+MATCH(aux_sheet_RRS!$E153,aux_sheet_RRS!$D$2:$D$202,0)))</f>
        <v/>
      </c>
      <c r="X154" s="90" t="str">
        <f ca="1">IF(V154="","",INDIRECT("aux_sheet_RRS!AF"&amp;1+MATCH(aux_sheet_RRS!$E153,aux_sheet_RRS!$D$2:$D$202,0)))</f>
        <v/>
      </c>
      <c r="Y154" s="106" t="str">
        <f ca="1">IF($B154="","",INDIRECT("aux_sheet_RRS!AG"&amp;1+MATCH(aux_sheet_RRS!$E153,aux_sheet_RRS!$D$2:$D$202,0)))</f>
        <v/>
      </c>
      <c r="Z154" s="89" t="str">
        <f ca="1">IF($B154="","",INDIRECT("aux_sheet_RRS!AH"&amp;1+MATCH(aux_sheet_RRS!$E153,aux_sheet_RRS!$D$2:$D$202,0)))</f>
        <v/>
      </c>
      <c r="AA154" s="90" t="str">
        <f ca="1">IF(Y154="","",INDIRECT("aux_sheet_RRS!AI"&amp;1+MATCH(aux_sheet_RRS!$E153,aux_sheet_RRS!$D$2:$D$202,0)))</f>
        <v/>
      </c>
      <c r="AB154" s="88" t="str">
        <f ca="1">IF($B154="","",INDIRECT("aux_sheet_RRS!AJ"&amp;1+MATCH(aux_sheet_RRS!$E153,aux_sheet_RRS!$D$2:$D$202,0)))</f>
        <v/>
      </c>
      <c r="AC154" s="89" t="str">
        <f ca="1">IF($B154="","",INDIRECT("aux_sheet_RRS!AK"&amp;1+MATCH(aux_sheet_RRS!$E153,aux_sheet_RRS!$D$2:$D$202,0)))</f>
        <v/>
      </c>
      <c r="AD154" s="90" t="str">
        <f ca="1">IF(AB154="","",INDIRECT("aux_sheet_RRS!AL"&amp;1+MATCH(aux_sheet_RRS!$E153,aux_sheet_RRS!$D$2:$D$202,0)))</f>
        <v/>
      </c>
      <c r="AE154" s="88" t="str">
        <f ca="1">IF($B154="","",INDIRECT("aux_sheet_RRS!AM"&amp;1+MATCH(aux_sheet_RRS!$E153,aux_sheet_RRS!$D$2:$D$202,0)))</f>
        <v/>
      </c>
      <c r="AF154" s="89" t="str">
        <f ca="1">IF($B154="","",INDIRECT("aux_sheet_RRS!AN"&amp;1+MATCH(aux_sheet_RRS!$E153,aux_sheet_RRS!$D$2:$D$202,0)))</f>
        <v/>
      </c>
      <c r="AG154" s="90" t="str">
        <f ca="1">IF(AE154="","",INDIRECT("aux_sheet_RRS!AO"&amp;1+MATCH(aux_sheet_RRS!$E153,aux_sheet_RRS!$D$2:$D$202,0)))</f>
        <v/>
      </c>
      <c r="AH154" s="14" t="str">
        <f t="shared" ca="1" si="9"/>
        <v/>
      </c>
      <c r="AI154" t="str">
        <f t="shared" ca="1" si="10"/>
        <v/>
      </c>
      <c r="AJ154" t="str">
        <f t="shared" ca="1" si="11"/>
        <v/>
      </c>
    </row>
    <row r="155" spans="1:36" x14ac:dyDescent="0.35">
      <c r="A155" s="2" t="str">
        <f>IF(ISBLANK(Input!A154),"",ROUNDDOWN(aux_sheet_RRS!E154,0))</f>
        <v/>
      </c>
      <c r="B155" s="2" t="str">
        <f ca="1">IF(ISBLANK(Input!A154),"",INDIRECT("Input!A"&amp;1+MATCH(aux_sheet_RRS!$E154,aux_sheet_RRS!$D$2:$D$202,0)))</f>
        <v/>
      </c>
      <c r="C155" s="2" t="str">
        <f ca="1">IF(ISBLANK(Input!B154),"",INDIRECT("Input!B"&amp;1+MATCH(aux_sheet_RRS!$E154,aux_sheet_RRS!$D$2:$D$202,0)))</f>
        <v/>
      </c>
      <c r="D155" s="2" t="str">
        <f ca="1">IF(ISBLANK(Input!C154),"",INDIRECT("Input!C"&amp;1+MATCH(aux_sheet_RRS!$E154,aux_sheet_RRS!$D$2:$D$202,0)))</f>
        <v/>
      </c>
      <c r="E155" s="2" t="str">
        <f ca="1">IF(ISBLANK(Input!D154),"",INDIRECT("Input!D"&amp;1+MATCH(aux_sheet_RRS!$E154,aux_sheet_RRS!$D$2:$D$202,0)))</f>
        <v/>
      </c>
      <c r="F155" s="11" t="str">
        <f ca="1">INDIRECT("Input!H"&amp;1+MATCH(aux_sheet_RRS!$E154,aux_sheet_RRS!$D$2:$D$202,0))</f>
        <v xml:space="preserve"> </v>
      </c>
      <c r="G155" s="88" t="str">
        <f ca="1">IF($B155="","",INDIRECT("aux_sheet_RRS!O"&amp;1+MATCH(aux_sheet_RRS!$E154,aux_sheet_RRS!$D$2:$D$202,0)))</f>
        <v/>
      </c>
      <c r="H155" s="89" t="str">
        <f ca="1">IF($B155="","",INDIRECT("aux_sheet_RRS!P"&amp;1+MATCH(aux_sheet_RRS!$E154,aux_sheet_RRS!$D$2:$D$202,0)))</f>
        <v/>
      </c>
      <c r="I155" s="90" t="str">
        <f ca="1">IF(G155="","",ROUNDDOWN(INDIRECT("aux_sheet_RRS!Q"&amp;1+MATCH(aux_sheet_RRS!$E154,aux_sheet_RRS!$D$2:$D$202,0)),0))</f>
        <v/>
      </c>
      <c r="J155" s="106" t="str">
        <f ca="1">IF($B155="","",INDIRECT("aux_sheet_RRS!R"&amp;1+MATCH(aux_sheet_RRS!$E154,aux_sheet_RRS!$D$2:$D$202,0)))</f>
        <v/>
      </c>
      <c r="K155" s="89" t="str">
        <f ca="1">IF($B155="","",INDIRECT("aux_sheet_RRS!S"&amp;1+MATCH(aux_sheet_RRS!$E154,aux_sheet_RRS!$D$2:$D$202,0)))</f>
        <v/>
      </c>
      <c r="L155" s="90" t="str">
        <f ca="1">IF(J155="","",ROUNDDOWN(INDIRECT("aux_sheet_RRS!T"&amp;1+MATCH(aux_sheet_RRS!$E154,aux_sheet_RRS!$D$2:$D$202,0)),0))</f>
        <v/>
      </c>
      <c r="M155" s="106" t="str">
        <f ca="1">IF($B155="","",INDIRECT("aux_sheet_RRS!U"&amp;1+MATCH(aux_sheet_RRS!$E154,aux_sheet_RRS!$D$2:$D$202,0)))</f>
        <v/>
      </c>
      <c r="N155" s="89" t="str">
        <f ca="1">IF($B155="","",INDIRECT("aux_sheet_RRS!V"&amp;1+MATCH(aux_sheet_RRS!$E154,aux_sheet_RRS!$D$2:$D$202,0)))</f>
        <v/>
      </c>
      <c r="O155" s="90" t="str">
        <f ca="1">IF(M155="","",ROUNDDOWN(INDIRECT("aux_sheet_RRS!W"&amp;1+MATCH(aux_sheet_RRS!$E154,aux_sheet_RRS!$D$2:$D$202,0)),0))</f>
        <v/>
      </c>
      <c r="P155" s="106" t="str">
        <f ca="1">IF($B155="","",INDIRECT("aux_sheet_RRS!X"&amp;1+MATCH(aux_sheet_RRS!$E154,aux_sheet_RRS!$D$2:$D$202,0)))</f>
        <v/>
      </c>
      <c r="Q155" s="89" t="str">
        <f ca="1">IF($B155="","",INDIRECT("aux_sheet_RRS!Y"&amp;1+MATCH(aux_sheet_RRS!$E154,aux_sheet_RRS!$D$2:$D$202,0)))</f>
        <v/>
      </c>
      <c r="R155" s="90" t="str">
        <f ca="1">IF(P155="","",INDIRECT("aux_sheet_RRS!Z"&amp;1+MATCH(aux_sheet_RRS!$E154,aux_sheet_RRS!$D$2:$D$202,0)))</f>
        <v/>
      </c>
      <c r="S155" s="106" t="str">
        <f ca="1">IF($B155="","",INDIRECT("aux_sheet_RRS!AA"&amp;1+MATCH(aux_sheet_RRS!$E154,aux_sheet_RRS!$D$2:$D$202,0)))</f>
        <v/>
      </c>
      <c r="T155" s="89" t="str">
        <f ca="1">IF($B155="","",INDIRECT("aux_sheet_RRS!AB"&amp;1+MATCH(aux_sheet_RRS!$E154,aux_sheet_RRS!$D$2:$D$202,0)))</f>
        <v/>
      </c>
      <c r="U155" s="90" t="str">
        <f ca="1">IF(S155="","",INDIRECT("aux_sheet_RRS!AC"&amp;1+MATCH(aux_sheet_RRS!$E154,aux_sheet_RRS!$D$2:$D$202,0)))</f>
        <v/>
      </c>
      <c r="V155" s="106" t="str">
        <f ca="1">IF($B155="","",INDIRECT("aux_sheet_RRS!AD"&amp;1+MATCH(aux_sheet_RRS!$E154,aux_sheet_RRS!$D$2:$D$202,0)))</f>
        <v/>
      </c>
      <c r="W155" s="89" t="str">
        <f ca="1">IF($B155="","",INDIRECT("aux_sheet_RRS!AE"&amp;1+MATCH(aux_sheet_RRS!$E154,aux_sheet_RRS!$D$2:$D$202,0)))</f>
        <v/>
      </c>
      <c r="X155" s="90" t="str">
        <f ca="1">IF(V155="","",INDIRECT("aux_sheet_RRS!AF"&amp;1+MATCH(aux_sheet_RRS!$E154,aux_sheet_RRS!$D$2:$D$202,0)))</f>
        <v/>
      </c>
      <c r="Y155" s="106" t="str">
        <f ca="1">IF($B155="","",INDIRECT("aux_sheet_RRS!AG"&amp;1+MATCH(aux_sheet_RRS!$E154,aux_sheet_RRS!$D$2:$D$202,0)))</f>
        <v/>
      </c>
      <c r="Z155" s="89" t="str">
        <f ca="1">IF($B155="","",INDIRECT("aux_sheet_RRS!AH"&amp;1+MATCH(aux_sheet_RRS!$E154,aux_sheet_RRS!$D$2:$D$202,0)))</f>
        <v/>
      </c>
      <c r="AA155" s="90" t="str">
        <f ca="1">IF(Y155="","",INDIRECT("aux_sheet_RRS!AI"&amp;1+MATCH(aux_sheet_RRS!$E154,aux_sheet_RRS!$D$2:$D$202,0)))</f>
        <v/>
      </c>
      <c r="AB155" s="88" t="str">
        <f ca="1">IF($B155="","",INDIRECT("aux_sheet_RRS!AJ"&amp;1+MATCH(aux_sheet_RRS!$E154,aux_sheet_RRS!$D$2:$D$202,0)))</f>
        <v/>
      </c>
      <c r="AC155" s="89" t="str">
        <f ca="1">IF($B155="","",INDIRECT("aux_sheet_RRS!AK"&amp;1+MATCH(aux_sheet_RRS!$E154,aux_sheet_RRS!$D$2:$D$202,0)))</f>
        <v/>
      </c>
      <c r="AD155" s="90" t="str">
        <f ca="1">IF(AB155="","",INDIRECT("aux_sheet_RRS!AL"&amp;1+MATCH(aux_sheet_RRS!$E154,aux_sheet_RRS!$D$2:$D$202,0)))</f>
        <v/>
      </c>
      <c r="AE155" s="88" t="str">
        <f ca="1">IF($B155="","",INDIRECT("aux_sheet_RRS!AM"&amp;1+MATCH(aux_sheet_RRS!$E154,aux_sheet_RRS!$D$2:$D$202,0)))</f>
        <v/>
      </c>
      <c r="AF155" s="89" t="str">
        <f ca="1">IF($B155="","",INDIRECT("aux_sheet_RRS!AN"&amp;1+MATCH(aux_sheet_RRS!$E154,aux_sheet_RRS!$D$2:$D$202,0)))</f>
        <v/>
      </c>
      <c r="AG155" s="90" t="str">
        <f ca="1">IF(AE155="","",INDIRECT("aux_sheet_RRS!AO"&amp;1+MATCH(aux_sheet_RRS!$E154,aux_sheet_RRS!$D$2:$D$202,0)))</f>
        <v/>
      </c>
      <c r="AH155" s="14" t="str">
        <f t="shared" ca="1" si="9"/>
        <v/>
      </c>
      <c r="AI155" t="str">
        <f t="shared" ca="1" si="10"/>
        <v/>
      </c>
      <c r="AJ155" t="str">
        <f t="shared" ca="1" si="11"/>
        <v/>
      </c>
    </row>
    <row r="156" spans="1:36" x14ac:dyDescent="0.35">
      <c r="A156" s="2" t="str">
        <f>IF(ISBLANK(Input!A155),"",ROUNDDOWN(aux_sheet_RRS!E155,0))</f>
        <v/>
      </c>
      <c r="B156" s="2" t="str">
        <f ca="1">IF(ISBLANK(Input!A155),"",INDIRECT("Input!A"&amp;1+MATCH(aux_sheet_RRS!$E155,aux_sheet_RRS!$D$2:$D$202,0)))</f>
        <v/>
      </c>
      <c r="C156" s="2" t="str">
        <f ca="1">IF(ISBLANK(Input!B155),"",INDIRECT("Input!B"&amp;1+MATCH(aux_sheet_RRS!$E155,aux_sheet_RRS!$D$2:$D$202,0)))</f>
        <v/>
      </c>
      <c r="D156" s="2" t="str">
        <f ca="1">IF(ISBLANK(Input!C155),"",INDIRECT("Input!C"&amp;1+MATCH(aux_sheet_RRS!$E155,aux_sheet_RRS!$D$2:$D$202,0)))</f>
        <v/>
      </c>
      <c r="E156" s="2" t="str">
        <f ca="1">IF(ISBLANK(Input!D155),"",INDIRECT("Input!D"&amp;1+MATCH(aux_sheet_RRS!$E155,aux_sheet_RRS!$D$2:$D$202,0)))</f>
        <v/>
      </c>
      <c r="F156" s="11" t="str">
        <f ca="1">INDIRECT("Input!H"&amp;1+MATCH(aux_sheet_RRS!$E155,aux_sheet_RRS!$D$2:$D$202,0))</f>
        <v xml:space="preserve"> </v>
      </c>
      <c r="G156" s="88" t="str">
        <f ca="1">IF($B156="","",INDIRECT("aux_sheet_RRS!O"&amp;1+MATCH(aux_sheet_RRS!$E155,aux_sheet_RRS!$D$2:$D$202,0)))</f>
        <v/>
      </c>
      <c r="H156" s="89" t="str">
        <f ca="1">IF($B156="","",INDIRECT("aux_sheet_RRS!P"&amp;1+MATCH(aux_sheet_RRS!$E155,aux_sheet_RRS!$D$2:$D$202,0)))</f>
        <v/>
      </c>
      <c r="I156" s="90" t="str">
        <f ca="1">IF(G156="","",ROUNDDOWN(INDIRECT("aux_sheet_RRS!Q"&amp;1+MATCH(aux_sheet_RRS!$E155,aux_sheet_RRS!$D$2:$D$202,0)),0))</f>
        <v/>
      </c>
      <c r="J156" s="106" t="str">
        <f ca="1">IF($B156="","",INDIRECT("aux_sheet_RRS!R"&amp;1+MATCH(aux_sheet_RRS!$E155,aux_sheet_RRS!$D$2:$D$202,0)))</f>
        <v/>
      </c>
      <c r="K156" s="89" t="str">
        <f ca="1">IF($B156="","",INDIRECT("aux_sheet_RRS!S"&amp;1+MATCH(aux_sheet_RRS!$E155,aux_sheet_RRS!$D$2:$D$202,0)))</f>
        <v/>
      </c>
      <c r="L156" s="90" t="str">
        <f ca="1">IF(J156="","",ROUNDDOWN(INDIRECT("aux_sheet_RRS!T"&amp;1+MATCH(aux_sheet_RRS!$E155,aux_sheet_RRS!$D$2:$D$202,0)),0))</f>
        <v/>
      </c>
      <c r="M156" s="106" t="str">
        <f ca="1">IF($B156="","",INDIRECT("aux_sheet_RRS!U"&amp;1+MATCH(aux_sheet_RRS!$E155,aux_sheet_RRS!$D$2:$D$202,0)))</f>
        <v/>
      </c>
      <c r="N156" s="89" t="str">
        <f ca="1">IF($B156="","",INDIRECT("aux_sheet_RRS!V"&amp;1+MATCH(aux_sheet_RRS!$E155,aux_sheet_RRS!$D$2:$D$202,0)))</f>
        <v/>
      </c>
      <c r="O156" s="90" t="str">
        <f ca="1">IF(M156="","",ROUNDDOWN(INDIRECT("aux_sheet_RRS!W"&amp;1+MATCH(aux_sheet_RRS!$E155,aux_sheet_RRS!$D$2:$D$202,0)),0))</f>
        <v/>
      </c>
      <c r="P156" s="106" t="str">
        <f ca="1">IF($B156="","",INDIRECT("aux_sheet_RRS!X"&amp;1+MATCH(aux_sheet_RRS!$E155,aux_sheet_RRS!$D$2:$D$202,0)))</f>
        <v/>
      </c>
      <c r="Q156" s="89" t="str">
        <f ca="1">IF($B156="","",INDIRECT("aux_sheet_RRS!Y"&amp;1+MATCH(aux_sheet_RRS!$E155,aux_sheet_RRS!$D$2:$D$202,0)))</f>
        <v/>
      </c>
      <c r="R156" s="90" t="str">
        <f ca="1">IF(P156="","",INDIRECT("aux_sheet_RRS!Z"&amp;1+MATCH(aux_sheet_RRS!$E155,aux_sheet_RRS!$D$2:$D$202,0)))</f>
        <v/>
      </c>
      <c r="S156" s="106" t="str">
        <f ca="1">IF($B156="","",INDIRECT("aux_sheet_RRS!AA"&amp;1+MATCH(aux_sheet_RRS!$E155,aux_sheet_RRS!$D$2:$D$202,0)))</f>
        <v/>
      </c>
      <c r="T156" s="89" t="str">
        <f ca="1">IF($B156="","",INDIRECT("aux_sheet_RRS!AB"&amp;1+MATCH(aux_sheet_RRS!$E155,aux_sheet_RRS!$D$2:$D$202,0)))</f>
        <v/>
      </c>
      <c r="U156" s="90" t="str">
        <f ca="1">IF(S156="","",INDIRECT("aux_sheet_RRS!AC"&amp;1+MATCH(aux_sheet_RRS!$E155,aux_sheet_RRS!$D$2:$D$202,0)))</f>
        <v/>
      </c>
      <c r="V156" s="106" t="str">
        <f ca="1">IF($B156="","",INDIRECT("aux_sheet_RRS!AD"&amp;1+MATCH(aux_sheet_RRS!$E155,aux_sheet_RRS!$D$2:$D$202,0)))</f>
        <v/>
      </c>
      <c r="W156" s="89" t="str">
        <f ca="1">IF($B156="","",INDIRECT("aux_sheet_RRS!AE"&amp;1+MATCH(aux_sheet_RRS!$E155,aux_sheet_RRS!$D$2:$D$202,0)))</f>
        <v/>
      </c>
      <c r="X156" s="90" t="str">
        <f ca="1">IF(V156="","",INDIRECT("aux_sheet_RRS!AF"&amp;1+MATCH(aux_sheet_RRS!$E155,aux_sheet_RRS!$D$2:$D$202,0)))</f>
        <v/>
      </c>
      <c r="Y156" s="106" t="str">
        <f ca="1">IF($B156="","",INDIRECT("aux_sheet_RRS!AG"&amp;1+MATCH(aux_sheet_RRS!$E155,aux_sheet_RRS!$D$2:$D$202,0)))</f>
        <v/>
      </c>
      <c r="Z156" s="89" t="str">
        <f ca="1">IF($B156="","",INDIRECT("aux_sheet_RRS!AH"&amp;1+MATCH(aux_sheet_RRS!$E155,aux_sheet_RRS!$D$2:$D$202,0)))</f>
        <v/>
      </c>
      <c r="AA156" s="90" t="str">
        <f ca="1">IF(Y156="","",INDIRECT("aux_sheet_RRS!AI"&amp;1+MATCH(aux_sheet_RRS!$E155,aux_sheet_RRS!$D$2:$D$202,0)))</f>
        <v/>
      </c>
      <c r="AB156" s="88" t="str">
        <f ca="1">IF($B156="","",INDIRECT("aux_sheet_RRS!AJ"&amp;1+MATCH(aux_sheet_RRS!$E155,aux_sheet_RRS!$D$2:$D$202,0)))</f>
        <v/>
      </c>
      <c r="AC156" s="89" t="str">
        <f ca="1">IF($B156="","",INDIRECT("aux_sheet_RRS!AK"&amp;1+MATCH(aux_sheet_RRS!$E155,aux_sheet_RRS!$D$2:$D$202,0)))</f>
        <v/>
      </c>
      <c r="AD156" s="90" t="str">
        <f ca="1">IF(AB156="","",INDIRECT("aux_sheet_RRS!AL"&amp;1+MATCH(aux_sheet_RRS!$E155,aux_sheet_RRS!$D$2:$D$202,0)))</f>
        <v/>
      </c>
      <c r="AE156" s="88" t="str">
        <f ca="1">IF($B156="","",INDIRECT("aux_sheet_RRS!AM"&amp;1+MATCH(aux_sheet_RRS!$E155,aux_sheet_RRS!$D$2:$D$202,0)))</f>
        <v/>
      </c>
      <c r="AF156" s="89" t="str">
        <f ca="1">IF($B156="","",INDIRECT("aux_sheet_RRS!AN"&amp;1+MATCH(aux_sheet_RRS!$E155,aux_sheet_RRS!$D$2:$D$202,0)))</f>
        <v/>
      </c>
      <c r="AG156" s="90" t="str">
        <f ca="1">IF(AE156="","",INDIRECT("aux_sheet_RRS!AO"&amp;1+MATCH(aux_sheet_RRS!$E155,aux_sheet_RRS!$D$2:$D$202,0)))</f>
        <v/>
      </c>
      <c r="AH156" s="14" t="str">
        <f t="shared" ca="1" si="9"/>
        <v/>
      </c>
      <c r="AI156" t="str">
        <f t="shared" ca="1" si="10"/>
        <v/>
      </c>
      <c r="AJ156" t="str">
        <f t="shared" ca="1" si="11"/>
        <v/>
      </c>
    </row>
    <row r="157" spans="1:36" x14ac:dyDescent="0.35">
      <c r="A157" s="2" t="str">
        <f>IF(ISBLANK(Input!A156),"",ROUNDDOWN(aux_sheet_RRS!E156,0))</f>
        <v/>
      </c>
      <c r="B157" s="2" t="str">
        <f ca="1">IF(ISBLANK(Input!A156),"",INDIRECT("Input!A"&amp;1+MATCH(aux_sheet_RRS!$E156,aux_sheet_RRS!$D$2:$D$202,0)))</f>
        <v/>
      </c>
      <c r="C157" s="2" t="str">
        <f ca="1">IF(ISBLANK(Input!B156),"",INDIRECT("Input!B"&amp;1+MATCH(aux_sheet_RRS!$E156,aux_sheet_RRS!$D$2:$D$202,0)))</f>
        <v/>
      </c>
      <c r="D157" s="2" t="str">
        <f ca="1">IF(ISBLANK(Input!C156),"",INDIRECT("Input!C"&amp;1+MATCH(aux_sheet_RRS!$E156,aux_sheet_RRS!$D$2:$D$202,0)))</f>
        <v/>
      </c>
      <c r="E157" s="2" t="str">
        <f ca="1">IF(ISBLANK(Input!D156),"",INDIRECT("Input!D"&amp;1+MATCH(aux_sheet_RRS!$E156,aux_sheet_RRS!$D$2:$D$202,0)))</f>
        <v/>
      </c>
      <c r="F157" s="11" t="str">
        <f ca="1">INDIRECT("Input!H"&amp;1+MATCH(aux_sheet_RRS!$E156,aux_sheet_RRS!$D$2:$D$202,0))</f>
        <v xml:space="preserve"> </v>
      </c>
      <c r="G157" s="88" t="str">
        <f ca="1">IF($B157="","",INDIRECT("aux_sheet_RRS!O"&amp;1+MATCH(aux_sheet_RRS!$E156,aux_sheet_RRS!$D$2:$D$202,0)))</f>
        <v/>
      </c>
      <c r="H157" s="89" t="str">
        <f ca="1">IF($B157="","",INDIRECT("aux_sheet_RRS!P"&amp;1+MATCH(aux_sheet_RRS!$E156,aux_sheet_RRS!$D$2:$D$202,0)))</f>
        <v/>
      </c>
      <c r="I157" s="90" t="str">
        <f ca="1">IF(G157="","",ROUNDDOWN(INDIRECT("aux_sheet_RRS!Q"&amp;1+MATCH(aux_sheet_RRS!$E156,aux_sheet_RRS!$D$2:$D$202,0)),0))</f>
        <v/>
      </c>
      <c r="J157" s="106" t="str">
        <f ca="1">IF($B157="","",INDIRECT("aux_sheet_RRS!R"&amp;1+MATCH(aux_sheet_RRS!$E156,aux_sheet_RRS!$D$2:$D$202,0)))</f>
        <v/>
      </c>
      <c r="K157" s="89" t="str">
        <f ca="1">IF($B157="","",INDIRECT("aux_sheet_RRS!S"&amp;1+MATCH(aux_sheet_RRS!$E156,aux_sheet_RRS!$D$2:$D$202,0)))</f>
        <v/>
      </c>
      <c r="L157" s="90" t="str">
        <f ca="1">IF(J157="","",ROUNDDOWN(INDIRECT("aux_sheet_RRS!T"&amp;1+MATCH(aux_sheet_RRS!$E156,aux_sheet_RRS!$D$2:$D$202,0)),0))</f>
        <v/>
      </c>
      <c r="M157" s="106" t="str">
        <f ca="1">IF($B157="","",INDIRECT("aux_sheet_RRS!U"&amp;1+MATCH(aux_sheet_RRS!$E156,aux_sheet_RRS!$D$2:$D$202,0)))</f>
        <v/>
      </c>
      <c r="N157" s="89" t="str">
        <f ca="1">IF($B157="","",INDIRECT("aux_sheet_RRS!V"&amp;1+MATCH(aux_sheet_RRS!$E156,aux_sheet_RRS!$D$2:$D$202,0)))</f>
        <v/>
      </c>
      <c r="O157" s="90" t="str">
        <f ca="1">IF(M157="","",ROUNDDOWN(INDIRECT("aux_sheet_RRS!W"&amp;1+MATCH(aux_sheet_RRS!$E156,aux_sheet_RRS!$D$2:$D$202,0)),0))</f>
        <v/>
      </c>
      <c r="P157" s="106" t="str">
        <f ca="1">IF($B157="","",INDIRECT("aux_sheet_RRS!X"&amp;1+MATCH(aux_sheet_RRS!$E156,aux_sheet_RRS!$D$2:$D$202,0)))</f>
        <v/>
      </c>
      <c r="Q157" s="89" t="str">
        <f ca="1">IF($B157="","",INDIRECT("aux_sheet_RRS!Y"&amp;1+MATCH(aux_sheet_RRS!$E156,aux_sheet_RRS!$D$2:$D$202,0)))</f>
        <v/>
      </c>
      <c r="R157" s="90" t="str">
        <f ca="1">IF(P157="","",INDIRECT("aux_sheet_RRS!Z"&amp;1+MATCH(aux_sheet_RRS!$E156,aux_sheet_RRS!$D$2:$D$202,0)))</f>
        <v/>
      </c>
      <c r="S157" s="106" t="str">
        <f ca="1">IF($B157="","",INDIRECT("aux_sheet_RRS!AA"&amp;1+MATCH(aux_sheet_RRS!$E156,aux_sheet_RRS!$D$2:$D$202,0)))</f>
        <v/>
      </c>
      <c r="T157" s="89" t="str">
        <f ca="1">IF($B157="","",INDIRECT("aux_sheet_RRS!AB"&amp;1+MATCH(aux_sheet_RRS!$E156,aux_sheet_RRS!$D$2:$D$202,0)))</f>
        <v/>
      </c>
      <c r="U157" s="90" t="str">
        <f ca="1">IF(S157="","",INDIRECT("aux_sheet_RRS!AC"&amp;1+MATCH(aux_sheet_RRS!$E156,aux_sheet_RRS!$D$2:$D$202,0)))</f>
        <v/>
      </c>
      <c r="V157" s="106" t="str">
        <f ca="1">IF($B157="","",INDIRECT("aux_sheet_RRS!AD"&amp;1+MATCH(aux_sheet_RRS!$E156,aux_sheet_RRS!$D$2:$D$202,0)))</f>
        <v/>
      </c>
      <c r="W157" s="89" t="str">
        <f ca="1">IF($B157="","",INDIRECT("aux_sheet_RRS!AE"&amp;1+MATCH(aux_sheet_RRS!$E156,aux_sheet_RRS!$D$2:$D$202,0)))</f>
        <v/>
      </c>
      <c r="X157" s="90" t="str">
        <f ca="1">IF(V157="","",INDIRECT("aux_sheet_RRS!AF"&amp;1+MATCH(aux_sheet_RRS!$E156,aux_sheet_RRS!$D$2:$D$202,0)))</f>
        <v/>
      </c>
      <c r="Y157" s="106" t="str">
        <f ca="1">IF($B157="","",INDIRECT("aux_sheet_RRS!AG"&amp;1+MATCH(aux_sheet_RRS!$E156,aux_sheet_RRS!$D$2:$D$202,0)))</f>
        <v/>
      </c>
      <c r="Z157" s="89" t="str">
        <f ca="1">IF($B157="","",INDIRECT("aux_sheet_RRS!AH"&amp;1+MATCH(aux_sheet_RRS!$E156,aux_sheet_RRS!$D$2:$D$202,0)))</f>
        <v/>
      </c>
      <c r="AA157" s="90" t="str">
        <f ca="1">IF(Y157="","",INDIRECT("aux_sheet_RRS!AI"&amp;1+MATCH(aux_sheet_RRS!$E156,aux_sheet_RRS!$D$2:$D$202,0)))</f>
        <v/>
      </c>
      <c r="AB157" s="88" t="str">
        <f ca="1">IF($B157="","",INDIRECT("aux_sheet_RRS!AJ"&amp;1+MATCH(aux_sheet_RRS!$E156,aux_sheet_RRS!$D$2:$D$202,0)))</f>
        <v/>
      </c>
      <c r="AC157" s="89" t="str">
        <f ca="1">IF($B157="","",INDIRECT("aux_sheet_RRS!AK"&amp;1+MATCH(aux_sheet_RRS!$E156,aux_sheet_RRS!$D$2:$D$202,0)))</f>
        <v/>
      </c>
      <c r="AD157" s="90" t="str">
        <f ca="1">IF(AB157="","",INDIRECT("aux_sheet_RRS!AL"&amp;1+MATCH(aux_sheet_RRS!$E156,aux_sheet_RRS!$D$2:$D$202,0)))</f>
        <v/>
      </c>
      <c r="AE157" s="88" t="str">
        <f ca="1">IF($B157="","",INDIRECT("aux_sheet_RRS!AM"&amp;1+MATCH(aux_sheet_RRS!$E156,aux_sheet_RRS!$D$2:$D$202,0)))</f>
        <v/>
      </c>
      <c r="AF157" s="89" t="str">
        <f ca="1">IF($B157="","",INDIRECT("aux_sheet_RRS!AN"&amp;1+MATCH(aux_sheet_RRS!$E156,aux_sheet_RRS!$D$2:$D$202,0)))</f>
        <v/>
      </c>
      <c r="AG157" s="90" t="str">
        <f ca="1">IF(AE157="","",INDIRECT("aux_sheet_RRS!AO"&amp;1+MATCH(aux_sheet_RRS!$E156,aux_sheet_RRS!$D$2:$D$202,0)))</f>
        <v/>
      </c>
      <c r="AH157" s="14" t="str">
        <f t="shared" ca="1" si="9"/>
        <v/>
      </c>
      <c r="AI157" t="str">
        <f t="shared" ca="1" si="10"/>
        <v/>
      </c>
      <c r="AJ157" t="str">
        <f t="shared" ca="1" si="11"/>
        <v/>
      </c>
    </row>
    <row r="158" spans="1:36" x14ac:dyDescent="0.35">
      <c r="A158" s="2" t="str">
        <f>IF(ISBLANK(Input!A157),"",ROUNDDOWN(aux_sheet_RRS!E157,0))</f>
        <v/>
      </c>
      <c r="B158" s="2" t="str">
        <f ca="1">IF(ISBLANK(Input!A157),"",INDIRECT("Input!A"&amp;1+MATCH(aux_sheet_RRS!$E157,aux_sheet_RRS!$D$2:$D$202,0)))</f>
        <v/>
      </c>
      <c r="C158" s="2" t="str">
        <f ca="1">IF(ISBLANK(Input!B157),"",INDIRECT("Input!B"&amp;1+MATCH(aux_sheet_RRS!$E157,aux_sheet_RRS!$D$2:$D$202,0)))</f>
        <v/>
      </c>
      <c r="D158" s="2" t="str">
        <f ca="1">IF(ISBLANK(Input!C157),"",INDIRECT("Input!C"&amp;1+MATCH(aux_sheet_RRS!$E157,aux_sheet_RRS!$D$2:$D$202,0)))</f>
        <v/>
      </c>
      <c r="E158" s="2" t="str">
        <f ca="1">IF(ISBLANK(Input!D157),"",INDIRECT("Input!D"&amp;1+MATCH(aux_sheet_RRS!$E157,aux_sheet_RRS!$D$2:$D$202,0)))</f>
        <v/>
      </c>
      <c r="F158" s="11" t="str">
        <f ca="1">INDIRECT("Input!H"&amp;1+MATCH(aux_sheet_RRS!$E157,aux_sheet_RRS!$D$2:$D$202,0))</f>
        <v xml:space="preserve"> </v>
      </c>
      <c r="G158" s="88" t="str">
        <f ca="1">IF($B158="","",INDIRECT("aux_sheet_RRS!O"&amp;1+MATCH(aux_sheet_RRS!$E157,aux_sheet_RRS!$D$2:$D$202,0)))</f>
        <v/>
      </c>
      <c r="H158" s="89" t="str">
        <f ca="1">IF($B158="","",INDIRECT("aux_sheet_RRS!P"&amp;1+MATCH(aux_sheet_RRS!$E157,aux_sheet_RRS!$D$2:$D$202,0)))</f>
        <v/>
      </c>
      <c r="I158" s="90" t="str">
        <f ca="1">IF(G158="","",ROUNDDOWN(INDIRECT("aux_sheet_RRS!Q"&amp;1+MATCH(aux_sheet_RRS!$E157,aux_sheet_RRS!$D$2:$D$202,0)),0))</f>
        <v/>
      </c>
      <c r="J158" s="106" t="str">
        <f ca="1">IF($B158="","",INDIRECT("aux_sheet_RRS!R"&amp;1+MATCH(aux_sheet_RRS!$E157,aux_sheet_RRS!$D$2:$D$202,0)))</f>
        <v/>
      </c>
      <c r="K158" s="89" t="str">
        <f ca="1">IF($B158="","",INDIRECT("aux_sheet_RRS!S"&amp;1+MATCH(aux_sheet_RRS!$E157,aux_sheet_RRS!$D$2:$D$202,0)))</f>
        <v/>
      </c>
      <c r="L158" s="90" t="str">
        <f ca="1">IF(J158="","",ROUNDDOWN(INDIRECT("aux_sheet_RRS!T"&amp;1+MATCH(aux_sheet_RRS!$E157,aux_sheet_RRS!$D$2:$D$202,0)),0))</f>
        <v/>
      </c>
      <c r="M158" s="106" t="str">
        <f ca="1">IF($B158="","",INDIRECT("aux_sheet_RRS!U"&amp;1+MATCH(aux_sheet_RRS!$E157,aux_sheet_RRS!$D$2:$D$202,0)))</f>
        <v/>
      </c>
      <c r="N158" s="89" t="str">
        <f ca="1">IF($B158="","",INDIRECT("aux_sheet_RRS!V"&amp;1+MATCH(aux_sheet_RRS!$E157,aux_sheet_RRS!$D$2:$D$202,0)))</f>
        <v/>
      </c>
      <c r="O158" s="90" t="str">
        <f ca="1">IF(M158="","",ROUNDDOWN(INDIRECT("aux_sheet_RRS!W"&amp;1+MATCH(aux_sheet_RRS!$E157,aux_sheet_RRS!$D$2:$D$202,0)),0))</f>
        <v/>
      </c>
      <c r="P158" s="106" t="str">
        <f ca="1">IF($B158="","",INDIRECT("aux_sheet_RRS!X"&amp;1+MATCH(aux_sheet_RRS!$E157,aux_sheet_RRS!$D$2:$D$202,0)))</f>
        <v/>
      </c>
      <c r="Q158" s="89" t="str">
        <f ca="1">IF($B158="","",INDIRECT("aux_sheet_RRS!Y"&amp;1+MATCH(aux_sheet_RRS!$E157,aux_sheet_RRS!$D$2:$D$202,0)))</f>
        <v/>
      </c>
      <c r="R158" s="90" t="str">
        <f ca="1">IF(P158="","",INDIRECT("aux_sheet_RRS!Z"&amp;1+MATCH(aux_sheet_RRS!$E157,aux_sheet_RRS!$D$2:$D$202,0)))</f>
        <v/>
      </c>
      <c r="S158" s="106" t="str">
        <f ca="1">IF($B158="","",INDIRECT("aux_sheet_RRS!AA"&amp;1+MATCH(aux_sheet_RRS!$E157,aux_sheet_RRS!$D$2:$D$202,0)))</f>
        <v/>
      </c>
      <c r="T158" s="89" t="str">
        <f ca="1">IF($B158="","",INDIRECT("aux_sheet_RRS!AB"&amp;1+MATCH(aux_sheet_RRS!$E157,aux_sheet_RRS!$D$2:$D$202,0)))</f>
        <v/>
      </c>
      <c r="U158" s="90" t="str">
        <f ca="1">IF(S158="","",INDIRECT("aux_sheet_RRS!AC"&amp;1+MATCH(aux_sheet_RRS!$E157,aux_sheet_RRS!$D$2:$D$202,0)))</f>
        <v/>
      </c>
      <c r="V158" s="106" t="str">
        <f ca="1">IF($B158="","",INDIRECT("aux_sheet_RRS!AD"&amp;1+MATCH(aux_sheet_RRS!$E157,aux_sheet_RRS!$D$2:$D$202,0)))</f>
        <v/>
      </c>
      <c r="W158" s="89" t="str">
        <f ca="1">IF($B158="","",INDIRECT("aux_sheet_RRS!AE"&amp;1+MATCH(aux_sheet_RRS!$E157,aux_sheet_RRS!$D$2:$D$202,0)))</f>
        <v/>
      </c>
      <c r="X158" s="90" t="str">
        <f ca="1">IF(V158="","",INDIRECT("aux_sheet_RRS!AF"&amp;1+MATCH(aux_sheet_RRS!$E157,aux_sheet_RRS!$D$2:$D$202,0)))</f>
        <v/>
      </c>
      <c r="Y158" s="106" t="str">
        <f ca="1">IF($B158="","",INDIRECT("aux_sheet_RRS!AG"&amp;1+MATCH(aux_sheet_RRS!$E157,aux_sheet_RRS!$D$2:$D$202,0)))</f>
        <v/>
      </c>
      <c r="Z158" s="89" t="str">
        <f ca="1">IF($B158="","",INDIRECT("aux_sheet_RRS!AH"&amp;1+MATCH(aux_sheet_RRS!$E157,aux_sheet_RRS!$D$2:$D$202,0)))</f>
        <v/>
      </c>
      <c r="AA158" s="90" t="str">
        <f ca="1">IF(Y158="","",INDIRECT("aux_sheet_RRS!AI"&amp;1+MATCH(aux_sheet_RRS!$E157,aux_sheet_RRS!$D$2:$D$202,0)))</f>
        <v/>
      </c>
      <c r="AB158" s="88" t="str">
        <f ca="1">IF($B158="","",INDIRECT("aux_sheet_RRS!AJ"&amp;1+MATCH(aux_sheet_RRS!$E157,aux_sheet_RRS!$D$2:$D$202,0)))</f>
        <v/>
      </c>
      <c r="AC158" s="89" t="str">
        <f ca="1">IF($B158="","",INDIRECT("aux_sheet_RRS!AK"&amp;1+MATCH(aux_sheet_RRS!$E157,aux_sheet_RRS!$D$2:$D$202,0)))</f>
        <v/>
      </c>
      <c r="AD158" s="90" t="str">
        <f ca="1">IF(AB158="","",INDIRECT("aux_sheet_RRS!AL"&amp;1+MATCH(aux_sheet_RRS!$E157,aux_sheet_RRS!$D$2:$D$202,0)))</f>
        <v/>
      </c>
      <c r="AE158" s="88" t="str">
        <f ca="1">IF($B158="","",INDIRECT("aux_sheet_RRS!AM"&amp;1+MATCH(aux_sheet_RRS!$E157,aux_sheet_RRS!$D$2:$D$202,0)))</f>
        <v/>
      </c>
      <c r="AF158" s="89" t="str">
        <f ca="1">IF($B158="","",INDIRECT("aux_sheet_RRS!AN"&amp;1+MATCH(aux_sheet_RRS!$E157,aux_sheet_RRS!$D$2:$D$202,0)))</f>
        <v/>
      </c>
      <c r="AG158" s="90" t="str">
        <f ca="1">IF(AE158="","",INDIRECT("aux_sheet_RRS!AO"&amp;1+MATCH(aux_sheet_RRS!$E157,aux_sheet_RRS!$D$2:$D$202,0)))</f>
        <v/>
      </c>
      <c r="AH158" s="14" t="str">
        <f t="shared" ca="1" si="9"/>
        <v/>
      </c>
      <c r="AI158" t="str">
        <f t="shared" ca="1" si="10"/>
        <v/>
      </c>
      <c r="AJ158" t="str">
        <f t="shared" ca="1" si="11"/>
        <v/>
      </c>
    </row>
    <row r="159" spans="1:36" x14ac:dyDescent="0.35">
      <c r="A159" s="2" t="str">
        <f>IF(ISBLANK(Input!A158),"",ROUNDDOWN(aux_sheet_RRS!E158,0))</f>
        <v/>
      </c>
      <c r="B159" s="2" t="str">
        <f ca="1">IF(ISBLANK(Input!A158),"",INDIRECT("Input!A"&amp;1+MATCH(aux_sheet_RRS!$E158,aux_sheet_RRS!$D$2:$D$202,0)))</f>
        <v/>
      </c>
      <c r="C159" s="2" t="str">
        <f ca="1">IF(ISBLANK(Input!B158),"",INDIRECT("Input!B"&amp;1+MATCH(aux_sheet_RRS!$E158,aux_sheet_RRS!$D$2:$D$202,0)))</f>
        <v/>
      </c>
      <c r="D159" s="2" t="str">
        <f ca="1">IF(ISBLANK(Input!C158),"",INDIRECT("Input!C"&amp;1+MATCH(aux_sheet_RRS!$E158,aux_sheet_RRS!$D$2:$D$202,0)))</f>
        <v/>
      </c>
      <c r="E159" s="2" t="str">
        <f ca="1">IF(ISBLANK(Input!D158),"",INDIRECT("Input!D"&amp;1+MATCH(aux_sheet_RRS!$E158,aux_sheet_RRS!$D$2:$D$202,0)))</f>
        <v/>
      </c>
      <c r="F159" s="11" t="str">
        <f ca="1">INDIRECT("Input!H"&amp;1+MATCH(aux_sheet_RRS!$E158,aux_sheet_RRS!$D$2:$D$202,0))</f>
        <v xml:space="preserve"> </v>
      </c>
      <c r="G159" s="88" t="str">
        <f ca="1">IF($B159="","",INDIRECT("aux_sheet_RRS!O"&amp;1+MATCH(aux_sheet_RRS!$E158,aux_sheet_RRS!$D$2:$D$202,0)))</f>
        <v/>
      </c>
      <c r="H159" s="89" t="str">
        <f ca="1">IF($B159="","",INDIRECT("aux_sheet_RRS!P"&amp;1+MATCH(aux_sheet_RRS!$E158,aux_sheet_RRS!$D$2:$D$202,0)))</f>
        <v/>
      </c>
      <c r="I159" s="90" t="str">
        <f ca="1">IF(G159="","",ROUNDDOWN(INDIRECT("aux_sheet_RRS!Q"&amp;1+MATCH(aux_sheet_RRS!$E158,aux_sheet_RRS!$D$2:$D$202,0)),0))</f>
        <v/>
      </c>
      <c r="J159" s="106" t="str">
        <f ca="1">IF($B159="","",INDIRECT("aux_sheet_RRS!R"&amp;1+MATCH(aux_sheet_RRS!$E158,aux_sheet_RRS!$D$2:$D$202,0)))</f>
        <v/>
      </c>
      <c r="K159" s="89" t="str">
        <f ca="1">IF($B159="","",INDIRECT("aux_sheet_RRS!S"&amp;1+MATCH(aux_sheet_RRS!$E158,aux_sheet_RRS!$D$2:$D$202,0)))</f>
        <v/>
      </c>
      <c r="L159" s="90" t="str">
        <f ca="1">IF(J159="","",ROUNDDOWN(INDIRECT("aux_sheet_RRS!T"&amp;1+MATCH(aux_sheet_RRS!$E158,aux_sheet_RRS!$D$2:$D$202,0)),0))</f>
        <v/>
      </c>
      <c r="M159" s="106" t="str">
        <f ca="1">IF($B159="","",INDIRECT("aux_sheet_RRS!U"&amp;1+MATCH(aux_sheet_RRS!$E158,aux_sheet_RRS!$D$2:$D$202,0)))</f>
        <v/>
      </c>
      <c r="N159" s="89" t="str">
        <f ca="1">IF($B159="","",INDIRECT("aux_sheet_RRS!V"&amp;1+MATCH(aux_sheet_RRS!$E158,aux_sheet_RRS!$D$2:$D$202,0)))</f>
        <v/>
      </c>
      <c r="O159" s="90" t="str">
        <f ca="1">IF(M159="","",ROUNDDOWN(INDIRECT("aux_sheet_RRS!W"&amp;1+MATCH(aux_sheet_RRS!$E158,aux_sheet_RRS!$D$2:$D$202,0)),0))</f>
        <v/>
      </c>
      <c r="P159" s="106" t="str">
        <f ca="1">IF($B159="","",INDIRECT("aux_sheet_RRS!X"&amp;1+MATCH(aux_sheet_RRS!$E158,aux_sheet_RRS!$D$2:$D$202,0)))</f>
        <v/>
      </c>
      <c r="Q159" s="89" t="str">
        <f ca="1">IF($B159="","",INDIRECT("aux_sheet_RRS!Y"&amp;1+MATCH(aux_sheet_RRS!$E158,aux_sheet_RRS!$D$2:$D$202,0)))</f>
        <v/>
      </c>
      <c r="R159" s="90" t="str">
        <f ca="1">IF(P159="","",INDIRECT("aux_sheet_RRS!Z"&amp;1+MATCH(aux_sheet_RRS!$E158,aux_sheet_RRS!$D$2:$D$202,0)))</f>
        <v/>
      </c>
      <c r="S159" s="106" t="str">
        <f ca="1">IF($B159="","",INDIRECT("aux_sheet_RRS!AA"&amp;1+MATCH(aux_sheet_RRS!$E158,aux_sheet_RRS!$D$2:$D$202,0)))</f>
        <v/>
      </c>
      <c r="T159" s="89" t="str">
        <f ca="1">IF($B159="","",INDIRECT("aux_sheet_RRS!AB"&amp;1+MATCH(aux_sheet_RRS!$E158,aux_sheet_RRS!$D$2:$D$202,0)))</f>
        <v/>
      </c>
      <c r="U159" s="90" t="str">
        <f ca="1">IF(S159="","",INDIRECT("aux_sheet_RRS!AC"&amp;1+MATCH(aux_sheet_RRS!$E158,aux_sheet_RRS!$D$2:$D$202,0)))</f>
        <v/>
      </c>
      <c r="V159" s="106" t="str">
        <f ca="1">IF($B159="","",INDIRECT("aux_sheet_RRS!AD"&amp;1+MATCH(aux_sheet_RRS!$E158,aux_sheet_RRS!$D$2:$D$202,0)))</f>
        <v/>
      </c>
      <c r="W159" s="89" t="str">
        <f ca="1">IF($B159="","",INDIRECT("aux_sheet_RRS!AE"&amp;1+MATCH(aux_sheet_RRS!$E158,aux_sheet_RRS!$D$2:$D$202,0)))</f>
        <v/>
      </c>
      <c r="X159" s="90" t="str">
        <f ca="1">IF(V159="","",INDIRECT("aux_sheet_RRS!AF"&amp;1+MATCH(aux_sheet_RRS!$E158,aux_sheet_RRS!$D$2:$D$202,0)))</f>
        <v/>
      </c>
      <c r="Y159" s="106" t="str">
        <f ca="1">IF($B159="","",INDIRECT("aux_sheet_RRS!AG"&amp;1+MATCH(aux_sheet_RRS!$E158,aux_sheet_RRS!$D$2:$D$202,0)))</f>
        <v/>
      </c>
      <c r="Z159" s="89" t="str">
        <f ca="1">IF($B159="","",INDIRECT("aux_sheet_RRS!AH"&amp;1+MATCH(aux_sheet_RRS!$E158,aux_sheet_RRS!$D$2:$D$202,0)))</f>
        <v/>
      </c>
      <c r="AA159" s="90" t="str">
        <f ca="1">IF(Y159="","",INDIRECT("aux_sheet_RRS!AI"&amp;1+MATCH(aux_sheet_RRS!$E158,aux_sheet_RRS!$D$2:$D$202,0)))</f>
        <v/>
      </c>
      <c r="AB159" s="88" t="str">
        <f ca="1">IF($B159="","",INDIRECT("aux_sheet_RRS!AJ"&amp;1+MATCH(aux_sheet_RRS!$E158,aux_sheet_RRS!$D$2:$D$202,0)))</f>
        <v/>
      </c>
      <c r="AC159" s="89" t="str">
        <f ca="1">IF($B159="","",INDIRECT("aux_sheet_RRS!AK"&amp;1+MATCH(aux_sheet_RRS!$E158,aux_sheet_RRS!$D$2:$D$202,0)))</f>
        <v/>
      </c>
      <c r="AD159" s="90" t="str">
        <f ca="1">IF(AB159="","",INDIRECT("aux_sheet_RRS!AL"&amp;1+MATCH(aux_sheet_RRS!$E158,aux_sheet_RRS!$D$2:$D$202,0)))</f>
        <v/>
      </c>
      <c r="AE159" s="88" t="str">
        <f ca="1">IF($B159="","",INDIRECT("aux_sheet_RRS!AM"&amp;1+MATCH(aux_sheet_RRS!$E158,aux_sheet_RRS!$D$2:$D$202,0)))</f>
        <v/>
      </c>
      <c r="AF159" s="89" t="str">
        <f ca="1">IF($B159="","",INDIRECT("aux_sheet_RRS!AN"&amp;1+MATCH(aux_sheet_RRS!$E158,aux_sheet_RRS!$D$2:$D$202,0)))</f>
        <v/>
      </c>
      <c r="AG159" s="90" t="str">
        <f ca="1">IF(AE159="","",INDIRECT("aux_sheet_RRS!AO"&amp;1+MATCH(aux_sheet_RRS!$E158,aux_sheet_RRS!$D$2:$D$202,0)))</f>
        <v/>
      </c>
      <c r="AH159" s="14" t="str">
        <f t="shared" ca="1" si="9"/>
        <v/>
      </c>
      <c r="AI159" t="str">
        <f t="shared" ca="1" si="10"/>
        <v/>
      </c>
      <c r="AJ159" t="str">
        <f t="shared" ca="1" si="11"/>
        <v/>
      </c>
    </row>
    <row r="160" spans="1:36" x14ac:dyDescent="0.35">
      <c r="A160" s="2" t="str">
        <f>IF(ISBLANK(Input!A159),"",ROUNDDOWN(aux_sheet_RRS!E159,0))</f>
        <v/>
      </c>
      <c r="B160" s="2" t="str">
        <f ca="1">IF(ISBLANK(Input!A159),"",INDIRECT("Input!A"&amp;1+MATCH(aux_sheet_RRS!$E159,aux_sheet_RRS!$D$2:$D$202,0)))</f>
        <v/>
      </c>
      <c r="C160" s="2" t="str">
        <f ca="1">IF(ISBLANK(Input!B159),"",INDIRECT("Input!B"&amp;1+MATCH(aux_sheet_RRS!$E159,aux_sheet_RRS!$D$2:$D$202,0)))</f>
        <v/>
      </c>
      <c r="D160" s="2" t="str">
        <f ca="1">IF(ISBLANK(Input!C159),"",INDIRECT("Input!C"&amp;1+MATCH(aux_sheet_RRS!$E159,aux_sheet_RRS!$D$2:$D$202,0)))</f>
        <v/>
      </c>
      <c r="E160" s="2" t="str">
        <f ca="1">IF(ISBLANK(Input!D159),"",INDIRECT("Input!D"&amp;1+MATCH(aux_sheet_RRS!$E159,aux_sheet_RRS!$D$2:$D$202,0)))</f>
        <v/>
      </c>
      <c r="F160" s="11" t="str">
        <f ca="1">INDIRECT("Input!H"&amp;1+MATCH(aux_sheet_RRS!$E159,aux_sheet_RRS!$D$2:$D$202,0))</f>
        <v xml:space="preserve"> </v>
      </c>
      <c r="G160" s="88" t="str">
        <f ca="1">IF($B160="","",INDIRECT("aux_sheet_RRS!O"&amp;1+MATCH(aux_sheet_RRS!$E159,aux_sheet_RRS!$D$2:$D$202,0)))</f>
        <v/>
      </c>
      <c r="H160" s="89" t="str">
        <f ca="1">IF($B160="","",INDIRECT("aux_sheet_RRS!P"&amp;1+MATCH(aux_sheet_RRS!$E159,aux_sheet_RRS!$D$2:$D$202,0)))</f>
        <v/>
      </c>
      <c r="I160" s="90" t="str">
        <f ca="1">IF(G160="","",ROUNDDOWN(INDIRECT("aux_sheet_RRS!Q"&amp;1+MATCH(aux_sheet_RRS!$E159,aux_sheet_RRS!$D$2:$D$202,0)),0))</f>
        <v/>
      </c>
      <c r="J160" s="106" t="str">
        <f ca="1">IF($B160="","",INDIRECT("aux_sheet_RRS!R"&amp;1+MATCH(aux_sheet_RRS!$E159,aux_sheet_RRS!$D$2:$D$202,0)))</f>
        <v/>
      </c>
      <c r="K160" s="89" t="str">
        <f ca="1">IF($B160="","",INDIRECT("aux_sheet_RRS!S"&amp;1+MATCH(aux_sheet_RRS!$E159,aux_sheet_RRS!$D$2:$D$202,0)))</f>
        <v/>
      </c>
      <c r="L160" s="90" t="str">
        <f ca="1">IF(J160="","",ROUNDDOWN(INDIRECT("aux_sheet_RRS!T"&amp;1+MATCH(aux_sheet_RRS!$E159,aux_sheet_RRS!$D$2:$D$202,0)),0))</f>
        <v/>
      </c>
      <c r="M160" s="106" t="str">
        <f ca="1">IF($B160="","",INDIRECT("aux_sheet_RRS!U"&amp;1+MATCH(aux_sheet_RRS!$E159,aux_sheet_RRS!$D$2:$D$202,0)))</f>
        <v/>
      </c>
      <c r="N160" s="89" t="str">
        <f ca="1">IF($B160="","",INDIRECT("aux_sheet_RRS!V"&amp;1+MATCH(aux_sheet_RRS!$E159,aux_sheet_RRS!$D$2:$D$202,0)))</f>
        <v/>
      </c>
      <c r="O160" s="90" t="str">
        <f ca="1">IF(M160="","",ROUNDDOWN(INDIRECT("aux_sheet_RRS!W"&amp;1+MATCH(aux_sheet_RRS!$E159,aux_sheet_RRS!$D$2:$D$202,0)),0))</f>
        <v/>
      </c>
      <c r="P160" s="106" t="str">
        <f ca="1">IF($B160="","",INDIRECT("aux_sheet_RRS!X"&amp;1+MATCH(aux_sheet_RRS!$E159,aux_sheet_RRS!$D$2:$D$202,0)))</f>
        <v/>
      </c>
      <c r="Q160" s="89" t="str">
        <f ca="1">IF($B160="","",INDIRECT("aux_sheet_RRS!Y"&amp;1+MATCH(aux_sheet_RRS!$E159,aux_sheet_RRS!$D$2:$D$202,0)))</f>
        <v/>
      </c>
      <c r="R160" s="90" t="str">
        <f ca="1">IF(P160="","",INDIRECT("aux_sheet_RRS!Z"&amp;1+MATCH(aux_sheet_RRS!$E159,aux_sheet_RRS!$D$2:$D$202,0)))</f>
        <v/>
      </c>
      <c r="S160" s="106" t="str">
        <f ca="1">IF($B160="","",INDIRECT("aux_sheet_RRS!AA"&amp;1+MATCH(aux_sheet_RRS!$E159,aux_sheet_RRS!$D$2:$D$202,0)))</f>
        <v/>
      </c>
      <c r="T160" s="89" t="str">
        <f ca="1">IF($B160="","",INDIRECT("aux_sheet_RRS!AB"&amp;1+MATCH(aux_sheet_RRS!$E159,aux_sheet_RRS!$D$2:$D$202,0)))</f>
        <v/>
      </c>
      <c r="U160" s="90" t="str">
        <f ca="1">IF(S160="","",INDIRECT("aux_sheet_RRS!AC"&amp;1+MATCH(aux_sheet_RRS!$E159,aux_sheet_RRS!$D$2:$D$202,0)))</f>
        <v/>
      </c>
      <c r="V160" s="106" t="str">
        <f ca="1">IF($B160="","",INDIRECT("aux_sheet_RRS!AD"&amp;1+MATCH(aux_sheet_RRS!$E159,aux_sheet_RRS!$D$2:$D$202,0)))</f>
        <v/>
      </c>
      <c r="W160" s="89" t="str">
        <f ca="1">IF($B160="","",INDIRECT("aux_sheet_RRS!AE"&amp;1+MATCH(aux_sheet_RRS!$E159,aux_sheet_RRS!$D$2:$D$202,0)))</f>
        <v/>
      </c>
      <c r="X160" s="90" t="str">
        <f ca="1">IF(V160="","",INDIRECT("aux_sheet_RRS!AF"&amp;1+MATCH(aux_sheet_RRS!$E159,aux_sheet_RRS!$D$2:$D$202,0)))</f>
        <v/>
      </c>
      <c r="Y160" s="106" t="str">
        <f ca="1">IF($B160="","",INDIRECT("aux_sheet_RRS!AG"&amp;1+MATCH(aux_sheet_RRS!$E159,aux_sheet_RRS!$D$2:$D$202,0)))</f>
        <v/>
      </c>
      <c r="Z160" s="89" t="str">
        <f ca="1">IF($B160="","",INDIRECT("aux_sheet_RRS!AH"&amp;1+MATCH(aux_sheet_RRS!$E159,aux_sheet_RRS!$D$2:$D$202,0)))</f>
        <v/>
      </c>
      <c r="AA160" s="90" t="str">
        <f ca="1">IF(Y160="","",INDIRECT("aux_sheet_RRS!AI"&amp;1+MATCH(aux_sheet_RRS!$E159,aux_sheet_RRS!$D$2:$D$202,0)))</f>
        <v/>
      </c>
      <c r="AB160" s="88" t="str">
        <f ca="1">IF($B160="","",INDIRECT("aux_sheet_RRS!AJ"&amp;1+MATCH(aux_sheet_RRS!$E159,aux_sheet_RRS!$D$2:$D$202,0)))</f>
        <v/>
      </c>
      <c r="AC160" s="89" t="str">
        <f ca="1">IF($B160="","",INDIRECT("aux_sheet_RRS!AK"&amp;1+MATCH(aux_sheet_RRS!$E159,aux_sheet_RRS!$D$2:$D$202,0)))</f>
        <v/>
      </c>
      <c r="AD160" s="90" t="str">
        <f ca="1">IF(AB160="","",INDIRECT("aux_sheet_RRS!AL"&amp;1+MATCH(aux_sheet_RRS!$E159,aux_sheet_RRS!$D$2:$D$202,0)))</f>
        <v/>
      </c>
      <c r="AE160" s="88" t="str">
        <f ca="1">IF($B160="","",INDIRECT("aux_sheet_RRS!AM"&amp;1+MATCH(aux_sheet_RRS!$E159,aux_sheet_RRS!$D$2:$D$202,0)))</f>
        <v/>
      </c>
      <c r="AF160" s="89" t="str">
        <f ca="1">IF($B160="","",INDIRECT("aux_sheet_RRS!AN"&amp;1+MATCH(aux_sheet_RRS!$E159,aux_sheet_RRS!$D$2:$D$202,0)))</f>
        <v/>
      </c>
      <c r="AG160" s="90" t="str">
        <f ca="1">IF(AE160="","",INDIRECT("aux_sheet_RRS!AO"&amp;1+MATCH(aux_sheet_RRS!$E159,aux_sheet_RRS!$D$2:$D$202,0)))</f>
        <v/>
      </c>
      <c r="AH160" s="14" t="str">
        <f t="shared" ca="1" si="9"/>
        <v/>
      </c>
      <c r="AI160" t="str">
        <f t="shared" ca="1" si="10"/>
        <v/>
      </c>
      <c r="AJ160" t="str">
        <f t="shared" ca="1" si="11"/>
        <v/>
      </c>
    </row>
    <row r="161" spans="1:36" x14ac:dyDescent="0.35">
      <c r="A161" s="2" t="str">
        <f>IF(ISBLANK(Input!A160),"",ROUNDDOWN(aux_sheet_RRS!E160,0))</f>
        <v/>
      </c>
      <c r="B161" s="2" t="str">
        <f ca="1">IF(ISBLANK(Input!A160),"",INDIRECT("Input!A"&amp;1+MATCH(aux_sheet_RRS!$E160,aux_sheet_RRS!$D$2:$D$202,0)))</f>
        <v/>
      </c>
      <c r="C161" s="2" t="str">
        <f ca="1">IF(ISBLANK(Input!B160),"",INDIRECT("Input!B"&amp;1+MATCH(aux_sheet_RRS!$E160,aux_sheet_RRS!$D$2:$D$202,0)))</f>
        <v/>
      </c>
      <c r="D161" s="2" t="str">
        <f ca="1">IF(ISBLANK(Input!C160),"",INDIRECT("Input!C"&amp;1+MATCH(aux_sheet_RRS!$E160,aux_sheet_RRS!$D$2:$D$202,0)))</f>
        <v/>
      </c>
      <c r="E161" s="2" t="str">
        <f ca="1">IF(ISBLANK(Input!D160),"",INDIRECT("Input!D"&amp;1+MATCH(aux_sheet_RRS!$E160,aux_sheet_RRS!$D$2:$D$202,0)))</f>
        <v/>
      </c>
      <c r="F161" s="11" t="str">
        <f ca="1">INDIRECT("Input!H"&amp;1+MATCH(aux_sheet_RRS!$E160,aux_sheet_RRS!$D$2:$D$202,0))</f>
        <v xml:space="preserve"> </v>
      </c>
      <c r="G161" s="88" t="str">
        <f ca="1">IF($B161="","",INDIRECT("aux_sheet_RRS!O"&amp;1+MATCH(aux_sheet_RRS!$E160,aux_sheet_RRS!$D$2:$D$202,0)))</f>
        <v/>
      </c>
      <c r="H161" s="89" t="str">
        <f ca="1">IF($B161="","",INDIRECT("aux_sheet_RRS!P"&amp;1+MATCH(aux_sheet_RRS!$E160,aux_sheet_RRS!$D$2:$D$202,0)))</f>
        <v/>
      </c>
      <c r="I161" s="90" t="str">
        <f ca="1">IF(G161="","",ROUNDDOWN(INDIRECT("aux_sheet_RRS!Q"&amp;1+MATCH(aux_sheet_RRS!$E160,aux_sheet_RRS!$D$2:$D$202,0)),0))</f>
        <v/>
      </c>
      <c r="J161" s="106" t="str">
        <f ca="1">IF($B161="","",INDIRECT("aux_sheet_RRS!R"&amp;1+MATCH(aux_sheet_RRS!$E160,aux_sheet_RRS!$D$2:$D$202,0)))</f>
        <v/>
      </c>
      <c r="K161" s="89" t="str">
        <f ca="1">IF($B161="","",INDIRECT("aux_sheet_RRS!S"&amp;1+MATCH(aux_sheet_RRS!$E160,aux_sheet_RRS!$D$2:$D$202,0)))</f>
        <v/>
      </c>
      <c r="L161" s="90" t="str">
        <f ca="1">IF(J161="","",ROUNDDOWN(INDIRECT("aux_sheet_RRS!T"&amp;1+MATCH(aux_sheet_RRS!$E160,aux_sheet_RRS!$D$2:$D$202,0)),0))</f>
        <v/>
      </c>
      <c r="M161" s="106" t="str">
        <f ca="1">IF($B161="","",INDIRECT("aux_sheet_RRS!U"&amp;1+MATCH(aux_sheet_RRS!$E160,aux_sheet_RRS!$D$2:$D$202,0)))</f>
        <v/>
      </c>
      <c r="N161" s="89" t="str">
        <f ca="1">IF($B161="","",INDIRECT("aux_sheet_RRS!V"&amp;1+MATCH(aux_sheet_RRS!$E160,aux_sheet_RRS!$D$2:$D$202,0)))</f>
        <v/>
      </c>
      <c r="O161" s="90" t="str">
        <f ca="1">IF(M161="","",ROUNDDOWN(INDIRECT("aux_sheet_RRS!W"&amp;1+MATCH(aux_sheet_RRS!$E160,aux_sheet_RRS!$D$2:$D$202,0)),0))</f>
        <v/>
      </c>
      <c r="P161" s="106" t="str">
        <f ca="1">IF($B161="","",INDIRECT("aux_sheet_RRS!X"&amp;1+MATCH(aux_sheet_RRS!$E160,aux_sheet_RRS!$D$2:$D$202,0)))</f>
        <v/>
      </c>
      <c r="Q161" s="89" t="str">
        <f ca="1">IF($B161="","",INDIRECT("aux_sheet_RRS!Y"&amp;1+MATCH(aux_sheet_RRS!$E160,aux_sheet_RRS!$D$2:$D$202,0)))</f>
        <v/>
      </c>
      <c r="R161" s="90" t="str">
        <f ca="1">IF(P161="","",INDIRECT("aux_sheet_RRS!Z"&amp;1+MATCH(aux_sheet_RRS!$E160,aux_sheet_RRS!$D$2:$D$202,0)))</f>
        <v/>
      </c>
      <c r="S161" s="106" t="str">
        <f ca="1">IF($B161="","",INDIRECT("aux_sheet_RRS!AA"&amp;1+MATCH(aux_sheet_RRS!$E160,aux_sheet_RRS!$D$2:$D$202,0)))</f>
        <v/>
      </c>
      <c r="T161" s="89" t="str">
        <f ca="1">IF($B161="","",INDIRECT("aux_sheet_RRS!AB"&amp;1+MATCH(aux_sheet_RRS!$E160,aux_sheet_RRS!$D$2:$D$202,0)))</f>
        <v/>
      </c>
      <c r="U161" s="90" t="str">
        <f ca="1">IF(S161="","",INDIRECT("aux_sheet_RRS!AC"&amp;1+MATCH(aux_sheet_RRS!$E160,aux_sheet_RRS!$D$2:$D$202,0)))</f>
        <v/>
      </c>
      <c r="V161" s="106" t="str">
        <f ca="1">IF($B161="","",INDIRECT("aux_sheet_RRS!AD"&amp;1+MATCH(aux_sheet_RRS!$E160,aux_sheet_RRS!$D$2:$D$202,0)))</f>
        <v/>
      </c>
      <c r="W161" s="89" t="str">
        <f ca="1">IF($B161="","",INDIRECT("aux_sheet_RRS!AE"&amp;1+MATCH(aux_sheet_RRS!$E160,aux_sheet_RRS!$D$2:$D$202,0)))</f>
        <v/>
      </c>
      <c r="X161" s="90" t="str">
        <f ca="1">IF(V161="","",INDIRECT("aux_sheet_RRS!AF"&amp;1+MATCH(aux_sheet_RRS!$E160,aux_sheet_RRS!$D$2:$D$202,0)))</f>
        <v/>
      </c>
      <c r="Y161" s="106" t="str">
        <f ca="1">IF($B161="","",INDIRECT("aux_sheet_RRS!AG"&amp;1+MATCH(aux_sheet_RRS!$E160,aux_sheet_RRS!$D$2:$D$202,0)))</f>
        <v/>
      </c>
      <c r="Z161" s="89" t="str">
        <f ca="1">IF($B161="","",INDIRECT("aux_sheet_RRS!AH"&amp;1+MATCH(aux_sheet_RRS!$E160,aux_sheet_RRS!$D$2:$D$202,0)))</f>
        <v/>
      </c>
      <c r="AA161" s="90" t="str">
        <f ca="1">IF(Y161="","",INDIRECT("aux_sheet_RRS!AI"&amp;1+MATCH(aux_sheet_RRS!$E160,aux_sheet_RRS!$D$2:$D$202,0)))</f>
        <v/>
      </c>
      <c r="AB161" s="88" t="str">
        <f ca="1">IF($B161="","",INDIRECT("aux_sheet_RRS!AJ"&amp;1+MATCH(aux_sheet_RRS!$E160,aux_sheet_RRS!$D$2:$D$202,0)))</f>
        <v/>
      </c>
      <c r="AC161" s="89" t="str">
        <f ca="1">IF($B161="","",INDIRECT("aux_sheet_RRS!AK"&amp;1+MATCH(aux_sheet_RRS!$E160,aux_sheet_RRS!$D$2:$D$202,0)))</f>
        <v/>
      </c>
      <c r="AD161" s="90" t="str">
        <f ca="1">IF(AB161="","",INDIRECT("aux_sheet_RRS!AL"&amp;1+MATCH(aux_sheet_RRS!$E160,aux_sheet_RRS!$D$2:$D$202,0)))</f>
        <v/>
      </c>
      <c r="AE161" s="88" t="str">
        <f ca="1">IF($B161="","",INDIRECT("aux_sheet_RRS!AM"&amp;1+MATCH(aux_sheet_RRS!$E160,aux_sheet_RRS!$D$2:$D$202,0)))</f>
        <v/>
      </c>
      <c r="AF161" s="89" t="str">
        <f ca="1">IF($B161="","",INDIRECT("aux_sheet_RRS!AN"&amp;1+MATCH(aux_sheet_RRS!$E160,aux_sheet_RRS!$D$2:$D$202,0)))</f>
        <v/>
      </c>
      <c r="AG161" s="90" t="str">
        <f ca="1">IF(AE161="","",INDIRECT("aux_sheet_RRS!AO"&amp;1+MATCH(aux_sheet_RRS!$E160,aux_sheet_RRS!$D$2:$D$202,0)))</f>
        <v/>
      </c>
      <c r="AH161" s="14" t="str">
        <f t="shared" ca="1" si="9"/>
        <v/>
      </c>
      <c r="AI161" t="str">
        <f t="shared" ca="1" si="10"/>
        <v/>
      </c>
      <c r="AJ161" t="str">
        <f t="shared" ca="1" si="11"/>
        <v/>
      </c>
    </row>
    <row r="162" spans="1:36" x14ac:dyDescent="0.35">
      <c r="A162" s="2" t="str">
        <f>IF(ISBLANK(Input!A161),"",ROUNDDOWN(aux_sheet_RRS!E161,0))</f>
        <v/>
      </c>
      <c r="B162" s="2" t="str">
        <f ca="1">IF(ISBLANK(Input!A161),"",INDIRECT("Input!A"&amp;1+MATCH(aux_sheet_RRS!$E161,aux_sheet_RRS!$D$2:$D$202,0)))</f>
        <v/>
      </c>
      <c r="C162" s="2" t="str">
        <f ca="1">IF(ISBLANK(Input!B161),"",INDIRECT("Input!B"&amp;1+MATCH(aux_sheet_RRS!$E161,aux_sheet_RRS!$D$2:$D$202,0)))</f>
        <v/>
      </c>
      <c r="D162" s="2" t="str">
        <f ca="1">IF(ISBLANK(Input!C161),"",INDIRECT("Input!C"&amp;1+MATCH(aux_sheet_RRS!$E161,aux_sheet_RRS!$D$2:$D$202,0)))</f>
        <v/>
      </c>
      <c r="E162" s="2" t="str">
        <f ca="1">IF(ISBLANK(Input!D161),"",INDIRECT("Input!D"&amp;1+MATCH(aux_sheet_RRS!$E161,aux_sheet_RRS!$D$2:$D$202,0)))</f>
        <v/>
      </c>
      <c r="F162" s="11" t="str">
        <f ca="1">INDIRECT("Input!H"&amp;1+MATCH(aux_sheet_RRS!$E161,aux_sheet_RRS!$D$2:$D$202,0))</f>
        <v xml:space="preserve"> </v>
      </c>
      <c r="G162" s="88" t="str">
        <f ca="1">IF($B162="","",INDIRECT("aux_sheet_RRS!O"&amp;1+MATCH(aux_sheet_RRS!$E161,aux_sheet_RRS!$D$2:$D$202,0)))</f>
        <v/>
      </c>
      <c r="H162" s="89" t="str">
        <f ca="1">IF($B162="","",INDIRECT("aux_sheet_RRS!P"&amp;1+MATCH(aux_sheet_RRS!$E161,aux_sheet_RRS!$D$2:$D$202,0)))</f>
        <v/>
      </c>
      <c r="I162" s="90" t="str">
        <f ca="1">IF(G162="","",ROUNDDOWN(INDIRECT("aux_sheet_RRS!Q"&amp;1+MATCH(aux_sheet_RRS!$E161,aux_sheet_RRS!$D$2:$D$202,0)),0))</f>
        <v/>
      </c>
      <c r="J162" s="106" t="str">
        <f ca="1">IF($B162="","",INDIRECT("aux_sheet_RRS!R"&amp;1+MATCH(aux_sheet_RRS!$E161,aux_sheet_RRS!$D$2:$D$202,0)))</f>
        <v/>
      </c>
      <c r="K162" s="89" t="str">
        <f ca="1">IF($B162="","",INDIRECT("aux_sheet_RRS!S"&amp;1+MATCH(aux_sheet_RRS!$E161,aux_sheet_RRS!$D$2:$D$202,0)))</f>
        <v/>
      </c>
      <c r="L162" s="90" t="str">
        <f ca="1">IF(J162="","",ROUNDDOWN(INDIRECT("aux_sheet_RRS!T"&amp;1+MATCH(aux_sheet_RRS!$E161,aux_sheet_RRS!$D$2:$D$202,0)),0))</f>
        <v/>
      </c>
      <c r="M162" s="106" t="str">
        <f ca="1">IF($B162="","",INDIRECT("aux_sheet_RRS!U"&amp;1+MATCH(aux_sheet_RRS!$E161,aux_sheet_RRS!$D$2:$D$202,0)))</f>
        <v/>
      </c>
      <c r="N162" s="89" t="str">
        <f ca="1">IF($B162="","",INDIRECT("aux_sheet_RRS!V"&amp;1+MATCH(aux_sheet_RRS!$E161,aux_sheet_RRS!$D$2:$D$202,0)))</f>
        <v/>
      </c>
      <c r="O162" s="90" t="str">
        <f ca="1">IF(M162="","",ROUNDDOWN(INDIRECT("aux_sheet_RRS!W"&amp;1+MATCH(aux_sheet_RRS!$E161,aux_sheet_RRS!$D$2:$D$202,0)),0))</f>
        <v/>
      </c>
      <c r="P162" s="106" t="str">
        <f ca="1">IF($B162="","",INDIRECT("aux_sheet_RRS!X"&amp;1+MATCH(aux_sheet_RRS!$E161,aux_sheet_RRS!$D$2:$D$202,0)))</f>
        <v/>
      </c>
      <c r="Q162" s="89" t="str">
        <f ca="1">IF($B162="","",INDIRECT("aux_sheet_RRS!Y"&amp;1+MATCH(aux_sheet_RRS!$E161,aux_sheet_RRS!$D$2:$D$202,0)))</f>
        <v/>
      </c>
      <c r="R162" s="90" t="str">
        <f ca="1">IF(P162="","",INDIRECT("aux_sheet_RRS!Z"&amp;1+MATCH(aux_sheet_RRS!$E161,aux_sheet_RRS!$D$2:$D$202,0)))</f>
        <v/>
      </c>
      <c r="S162" s="106" t="str">
        <f ca="1">IF($B162="","",INDIRECT("aux_sheet_RRS!AA"&amp;1+MATCH(aux_sheet_RRS!$E161,aux_sheet_RRS!$D$2:$D$202,0)))</f>
        <v/>
      </c>
      <c r="T162" s="89" t="str">
        <f ca="1">IF($B162="","",INDIRECT("aux_sheet_RRS!AB"&amp;1+MATCH(aux_sheet_RRS!$E161,aux_sheet_RRS!$D$2:$D$202,0)))</f>
        <v/>
      </c>
      <c r="U162" s="90" t="str">
        <f ca="1">IF(S162="","",INDIRECT("aux_sheet_RRS!AC"&amp;1+MATCH(aux_sheet_RRS!$E161,aux_sheet_RRS!$D$2:$D$202,0)))</f>
        <v/>
      </c>
      <c r="V162" s="106" t="str">
        <f ca="1">IF($B162="","",INDIRECT("aux_sheet_RRS!AD"&amp;1+MATCH(aux_sheet_RRS!$E161,aux_sheet_RRS!$D$2:$D$202,0)))</f>
        <v/>
      </c>
      <c r="W162" s="89" t="str">
        <f ca="1">IF($B162="","",INDIRECT("aux_sheet_RRS!AE"&amp;1+MATCH(aux_sheet_RRS!$E161,aux_sheet_RRS!$D$2:$D$202,0)))</f>
        <v/>
      </c>
      <c r="X162" s="90" t="str">
        <f ca="1">IF(V162="","",INDIRECT("aux_sheet_RRS!AF"&amp;1+MATCH(aux_sheet_RRS!$E161,aux_sheet_RRS!$D$2:$D$202,0)))</f>
        <v/>
      </c>
      <c r="Y162" s="106" t="str">
        <f ca="1">IF($B162="","",INDIRECT("aux_sheet_RRS!AG"&amp;1+MATCH(aux_sheet_RRS!$E161,aux_sheet_RRS!$D$2:$D$202,0)))</f>
        <v/>
      </c>
      <c r="Z162" s="89" t="str">
        <f ca="1">IF($B162="","",INDIRECT("aux_sheet_RRS!AH"&amp;1+MATCH(aux_sheet_RRS!$E161,aux_sheet_RRS!$D$2:$D$202,0)))</f>
        <v/>
      </c>
      <c r="AA162" s="90" t="str">
        <f ca="1">IF(Y162="","",INDIRECT("aux_sheet_RRS!AI"&amp;1+MATCH(aux_sheet_RRS!$E161,aux_sheet_RRS!$D$2:$D$202,0)))</f>
        <v/>
      </c>
      <c r="AB162" s="88" t="str">
        <f ca="1">IF($B162="","",INDIRECT("aux_sheet_RRS!AJ"&amp;1+MATCH(aux_sheet_RRS!$E161,aux_sheet_RRS!$D$2:$D$202,0)))</f>
        <v/>
      </c>
      <c r="AC162" s="89" t="str">
        <f ca="1">IF($B162="","",INDIRECT("aux_sheet_RRS!AK"&amp;1+MATCH(aux_sheet_RRS!$E161,aux_sheet_RRS!$D$2:$D$202,0)))</f>
        <v/>
      </c>
      <c r="AD162" s="90" t="str">
        <f ca="1">IF(AB162="","",INDIRECT("aux_sheet_RRS!AL"&amp;1+MATCH(aux_sheet_RRS!$E161,aux_sheet_RRS!$D$2:$D$202,0)))</f>
        <v/>
      </c>
      <c r="AE162" s="88" t="str">
        <f ca="1">IF($B162="","",INDIRECT("aux_sheet_RRS!AM"&amp;1+MATCH(aux_sheet_RRS!$E161,aux_sheet_RRS!$D$2:$D$202,0)))</f>
        <v/>
      </c>
      <c r="AF162" s="89" t="str">
        <f ca="1">IF($B162="","",INDIRECT("aux_sheet_RRS!AN"&amp;1+MATCH(aux_sheet_RRS!$E161,aux_sheet_RRS!$D$2:$D$202,0)))</f>
        <v/>
      </c>
      <c r="AG162" s="90" t="str">
        <f ca="1">IF(AE162="","",INDIRECT("aux_sheet_RRS!AO"&amp;1+MATCH(aux_sheet_RRS!$E161,aux_sheet_RRS!$D$2:$D$202,0)))</f>
        <v/>
      </c>
      <c r="AH162" s="14" t="str">
        <f t="shared" ca="1" si="9"/>
        <v/>
      </c>
      <c r="AI162" t="str">
        <f t="shared" ca="1" si="10"/>
        <v/>
      </c>
      <c r="AJ162" t="str">
        <f t="shared" ca="1" si="11"/>
        <v/>
      </c>
    </row>
    <row r="163" spans="1:36" x14ac:dyDescent="0.35">
      <c r="A163" s="2" t="str">
        <f>IF(ISBLANK(Input!A162),"",ROUNDDOWN(aux_sheet_RRS!E162,0))</f>
        <v/>
      </c>
      <c r="B163" s="2" t="str">
        <f ca="1">IF(ISBLANK(Input!A162),"",INDIRECT("Input!A"&amp;1+MATCH(aux_sheet_RRS!$E162,aux_sheet_RRS!$D$2:$D$202,0)))</f>
        <v/>
      </c>
      <c r="C163" s="2" t="str">
        <f ca="1">IF(ISBLANK(Input!B162),"",INDIRECT("Input!B"&amp;1+MATCH(aux_sheet_RRS!$E162,aux_sheet_RRS!$D$2:$D$202,0)))</f>
        <v/>
      </c>
      <c r="D163" s="2" t="str">
        <f ca="1">IF(ISBLANK(Input!C162),"",INDIRECT("Input!C"&amp;1+MATCH(aux_sheet_RRS!$E162,aux_sheet_RRS!$D$2:$D$202,0)))</f>
        <v/>
      </c>
      <c r="E163" s="2" t="str">
        <f ca="1">IF(ISBLANK(Input!D162),"",INDIRECT("Input!D"&amp;1+MATCH(aux_sheet_RRS!$E162,aux_sheet_RRS!$D$2:$D$202,0)))</f>
        <v/>
      </c>
      <c r="F163" s="11" t="str">
        <f ca="1">INDIRECT("Input!H"&amp;1+MATCH(aux_sheet_RRS!$E162,aux_sheet_RRS!$D$2:$D$202,0))</f>
        <v xml:space="preserve"> </v>
      </c>
      <c r="G163" s="88" t="str">
        <f ca="1">IF($B163="","",INDIRECT("aux_sheet_RRS!O"&amp;1+MATCH(aux_sheet_RRS!$E162,aux_sheet_RRS!$D$2:$D$202,0)))</f>
        <v/>
      </c>
      <c r="H163" s="89" t="str">
        <f ca="1">IF($B163="","",INDIRECT("aux_sheet_RRS!P"&amp;1+MATCH(aux_sheet_RRS!$E162,aux_sheet_RRS!$D$2:$D$202,0)))</f>
        <v/>
      </c>
      <c r="I163" s="90" t="str">
        <f ca="1">IF(G163="","",ROUNDDOWN(INDIRECT("aux_sheet_RRS!Q"&amp;1+MATCH(aux_sheet_RRS!$E162,aux_sheet_RRS!$D$2:$D$202,0)),0))</f>
        <v/>
      </c>
      <c r="J163" s="106" t="str">
        <f ca="1">IF($B163="","",INDIRECT("aux_sheet_RRS!R"&amp;1+MATCH(aux_sheet_RRS!$E162,aux_sheet_RRS!$D$2:$D$202,0)))</f>
        <v/>
      </c>
      <c r="K163" s="89" t="str">
        <f ca="1">IF($B163="","",INDIRECT("aux_sheet_RRS!S"&amp;1+MATCH(aux_sheet_RRS!$E162,aux_sheet_RRS!$D$2:$D$202,0)))</f>
        <v/>
      </c>
      <c r="L163" s="90" t="str">
        <f ca="1">IF(J163="","",ROUNDDOWN(INDIRECT("aux_sheet_RRS!T"&amp;1+MATCH(aux_sheet_RRS!$E162,aux_sheet_RRS!$D$2:$D$202,0)),0))</f>
        <v/>
      </c>
      <c r="M163" s="106" t="str">
        <f ca="1">IF($B163="","",INDIRECT("aux_sheet_RRS!U"&amp;1+MATCH(aux_sheet_RRS!$E162,aux_sheet_RRS!$D$2:$D$202,0)))</f>
        <v/>
      </c>
      <c r="N163" s="89" t="str">
        <f ca="1">IF($B163="","",INDIRECT("aux_sheet_RRS!V"&amp;1+MATCH(aux_sheet_RRS!$E162,aux_sheet_RRS!$D$2:$D$202,0)))</f>
        <v/>
      </c>
      <c r="O163" s="90" t="str">
        <f ca="1">IF(M163="","",ROUNDDOWN(INDIRECT("aux_sheet_RRS!W"&amp;1+MATCH(aux_sheet_RRS!$E162,aux_sheet_RRS!$D$2:$D$202,0)),0))</f>
        <v/>
      </c>
      <c r="P163" s="106" t="str">
        <f ca="1">IF($B163="","",INDIRECT("aux_sheet_RRS!X"&amp;1+MATCH(aux_sheet_RRS!$E162,aux_sheet_RRS!$D$2:$D$202,0)))</f>
        <v/>
      </c>
      <c r="Q163" s="89" t="str">
        <f ca="1">IF($B163="","",INDIRECT("aux_sheet_RRS!Y"&amp;1+MATCH(aux_sheet_RRS!$E162,aux_sheet_RRS!$D$2:$D$202,0)))</f>
        <v/>
      </c>
      <c r="R163" s="90" t="str">
        <f ca="1">IF(P163="","",INDIRECT("aux_sheet_RRS!Z"&amp;1+MATCH(aux_sheet_RRS!$E162,aux_sheet_RRS!$D$2:$D$202,0)))</f>
        <v/>
      </c>
      <c r="S163" s="106" t="str">
        <f ca="1">IF($B163="","",INDIRECT("aux_sheet_RRS!AA"&amp;1+MATCH(aux_sheet_RRS!$E162,aux_sheet_RRS!$D$2:$D$202,0)))</f>
        <v/>
      </c>
      <c r="T163" s="89" t="str">
        <f ca="1">IF($B163="","",INDIRECT("aux_sheet_RRS!AB"&amp;1+MATCH(aux_sheet_RRS!$E162,aux_sheet_RRS!$D$2:$D$202,0)))</f>
        <v/>
      </c>
      <c r="U163" s="90" t="str">
        <f ca="1">IF(S163="","",INDIRECT("aux_sheet_RRS!AC"&amp;1+MATCH(aux_sheet_RRS!$E162,aux_sheet_RRS!$D$2:$D$202,0)))</f>
        <v/>
      </c>
      <c r="V163" s="106" t="str">
        <f ca="1">IF($B163="","",INDIRECT("aux_sheet_RRS!AD"&amp;1+MATCH(aux_sheet_RRS!$E162,aux_sheet_RRS!$D$2:$D$202,0)))</f>
        <v/>
      </c>
      <c r="W163" s="89" t="str">
        <f ca="1">IF($B163="","",INDIRECT("aux_sheet_RRS!AE"&amp;1+MATCH(aux_sheet_RRS!$E162,aux_sheet_RRS!$D$2:$D$202,0)))</f>
        <v/>
      </c>
      <c r="X163" s="90" t="str">
        <f ca="1">IF(V163="","",INDIRECT("aux_sheet_RRS!AF"&amp;1+MATCH(aux_sheet_RRS!$E162,aux_sheet_RRS!$D$2:$D$202,0)))</f>
        <v/>
      </c>
      <c r="Y163" s="106" t="str">
        <f ca="1">IF($B163="","",INDIRECT("aux_sheet_RRS!AG"&amp;1+MATCH(aux_sheet_RRS!$E162,aux_sheet_RRS!$D$2:$D$202,0)))</f>
        <v/>
      </c>
      <c r="Z163" s="89" t="str">
        <f ca="1">IF($B163="","",INDIRECT("aux_sheet_RRS!AH"&amp;1+MATCH(aux_sheet_RRS!$E162,aux_sheet_RRS!$D$2:$D$202,0)))</f>
        <v/>
      </c>
      <c r="AA163" s="90" t="str">
        <f ca="1">IF(Y163="","",INDIRECT("aux_sheet_RRS!AI"&amp;1+MATCH(aux_sheet_RRS!$E162,aux_sheet_RRS!$D$2:$D$202,0)))</f>
        <v/>
      </c>
      <c r="AB163" s="88" t="str">
        <f ca="1">IF($B163="","",INDIRECT("aux_sheet_RRS!AJ"&amp;1+MATCH(aux_sheet_RRS!$E162,aux_sheet_RRS!$D$2:$D$202,0)))</f>
        <v/>
      </c>
      <c r="AC163" s="89" t="str">
        <f ca="1">IF($B163="","",INDIRECT("aux_sheet_RRS!AK"&amp;1+MATCH(aux_sheet_RRS!$E162,aux_sheet_RRS!$D$2:$D$202,0)))</f>
        <v/>
      </c>
      <c r="AD163" s="90" t="str">
        <f ca="1">IF(AB163="","",INDIRECT("aux_sheet_RRS!AL"&amp;1+MATCH(aux_sheet_RRS!$E162,aux_sheet_RRS!$D$2:$D$202,0)))</f>
        <v/>
      </c>
      <c r="AE163" s="88" t="str">
        <f ca="1">IF($B163="","",INDIRECT("aux_sheet_RRS!AM"&amp;1+MATCH(aux_sheet_RRS!$E162,aux_sheet_RRS!$D$2:$D$202,0)))</f>
        <v/>
      </c>
      <c r="AF163" s="89" t="str">
        <f ca="1">IF($B163="","",INDIRECT("aux_sheet_RRS!AN"&amp;1+MATCH(aux_sheet_RRS!$E162,aux_sheet_RRS!$D$2:$D$202,0)))</f>
        <v/>
      </c>
      <c r="AG163" s="90" t="str">
        <f ca="1">IF(AE163="","",INDIRECT("aux_sheet_RRS!AO"&amp;1+MATCH(aux_sheet_RRS!$E162,aux_sheet_RRS!$D$2:$D$202,0)))</f>
        <v/>
      </c>
      <c r="AH163" s="14" t="str">
        <f t="shared" ca="1" si="9"/>
        <v/>
      </c>
      <c r="AI163" t="str">
        <f t="shared" ca="1" si="10"/>
        <v/>
      </c>
      <c r="AJ163" t="str">
        <f t="shared" ca="1" si="11"/>
        <v/>
      </c>
    </row>
    <row r="164" spans="1:36" x14ac:dyDescent="0.35">
      <c r="A164" s="2" t="str">
        <f>IF(ISBLANK(Input!A163),"",ROUNDDOWN(aux_sheet_RRS!E163,0))</f>
        <v/>
      </c>
      <c r="B164" s="2" t="str">
        <f ca="1">IF(ISBLANK(Input!A163),"",INDIRECT("Input!A"&amp;1+MATCH(aux_sheet_RRS!$E163,aux_sheet_RRS!$D$2:$D$202,0)))</f>
        <v/>
      </c>
      <c r="C164" s="2" t="str">
        <f ca="1">IF(ISBLANK(Input!B163),"",INDIRECT("Input!B"&amp;1+MATCH(aux_sheet_RRS!$E163,aux_sheet_RRS!$D$2:$D$202,0)))</f>
        <v/>
      </c>
      <c r="D164" s="2" t="str">
        <f ca="1">IF(ISBLANK(Input!C163),"",INDIRECT("Input!C"&amp;1+MATCH(aux_sheet_RRS!$E163,aux_sheet_RRS!$D$2:$D$202,0)))</f>
        <v/>
      </c>
      <c r="E164" s="2" t="str">
        <f ca="1">IF(ISBLANK(Input!D163),"",INDIRECT("Input!D"&amp;1+MATCH(aux_sheet_RRS!$E163,aux_sheet_RRS!$D$2:$D$202,0)))</f>
        <v/>
      </c>
      <c r="F164" s="11" t="str">
        <f ca="1">INDIRECT("Input!H"&amp;1+MATCH(aux_sheet_RRS!$E163,aux_sheet_RRS!$D$2:$D$202,0))</f>
        <v xml:space="preserve"> </v>
      </c>
      <c r="G164" s="88" t="str">
        <f ca="1">IF($B164="","",INDIRECT("aux_sheet_RRS!O"&amp;1+MATCH(aux_sheet_RRS!$E163,aux_sheet_RRS!$D$2:$D$202,0)))</f>
        <v/>
      </c>
      <c r="H164" s="89" t="str">
        <f ca="1">IF($B164="","",INDIRECT("aux_sheet_RRS!P"&amp;1+MATCH(aux_sheet_RRS!$E163,aux_sheet_RRS!$D$2:$D$202,0)))</f>
        <v/>
      </c>
      <c r="I164" s="90" t="str">
        <f ca="1">IF(G164="","",ROUNDDOWN(INDIRECT("aux_sheet_RRS!Q"&amp;1+MATCH(aux_sheet_RRS!$E163,aux_sheet_RRS!$D$2:$D$202,0)),0))</f>
        <v/>
      </c>
      <c r="J164" s="106" t="str">
        <f ca="1">IF($B164="","",INDIRECT("aux_sheet_RRS!R"&amp;1+MATCH(aux_sheet_RRS!$E163,aux_sheet_RRS!$D$2:$D$202,0)))</f>
        <v/>
      </c>
      <c r="K164" s="89" t="str">
        <f ca="1">IF($B164="","",INDIRECT("aux_sheet_RRS!S"&amp;1+MATCH(aux_sheet_RRS!$E163,aux_sheet_RRS!$D$2:$D$202,0)))</f>
        <v/>
      </c>
      <c r="L164" s="90" t="str">
        <f ca="1">IF(J164="","",ROUNDDOWN(INDIRECT("aux_sheet_RRS!T"&amp;1+MATCH(aux_sheet_RRS!$E163,aux_sheet_RRS!$D$2:$D$202,0)),0))</f>
        <v/>
      </c>
      <c r="M164" s="106" t="str">
        <f ca="1">IF($B164="","",INDIRECT("aux_sheet_RRS!U"&amp;1+MATCH(aux_sheet_RRS!$E163,aux_sheet_RRS!$D$2:$D$202,0)))</f>
        <v/>
      </c>
      <c r="N164" s="89" t="str">
        <f ca="1">IF($B164="","",INDIRECT("aux_sheet_RRS!V"&amp;1+MATCH(aux_sheet_RRS!$E163,aux_sheet_RRS!$D$2:$D$202,0)))</f>
        <v/>
      </c>
      <c r="O164" s="90" t="str">
        <f ca="1">IF(M164="","",ROUNDDOWN(INDIRECT("aux_sheet_RRS!W"&amp;1+MATCH(aux_sheet_RRS!$E163,aux_sheet_RRS!$D$2:$D$202,0)),0))</f>
        <v/>
      </c>
      <c r="P164" s="106" t="str">
        <f ca="1">IF($B164="","",INDIRECT("aux_sheet_RRS!X"&amp;1+MATCH(aux_sheet_RRS!$E163,aux_sheet_RRS!$D$2:$D$202,0)))</f>
        <v/>
      </c>
      <c r="Q164" s="89" t="str">
        <f ca="1">IF($B164="","",INDIRECT("aux_sheet_RRS!Y"&amp;1+MATCH(aux_sheet_RRS!$E163,aux_sheet_RRS!$D$2:$D$202,0)))</f>
        <v/>
      </c>
      <c r="R164" s="90" t="str">
        <f ca="1">IF(P164="","",INDIRECT("aux_sheet_RRS!Z"&amp;1+MATCH(aux_sheet_RRS!$E163,aux_sheet_RRS!$D$2:$D$202,0)))</f>
        <v/>
      </c>
      <c r="S164" s="106" t="str">
        <f ca="1">IF($B164="","",INDIRECT("aux_sheet_RRS!AA"&amp;1+MATCH(aux_sheet_RRS!$E163,aux_sheet_RRS!$D$2:$D$202,0)))</f>
        <v/>
      </c>
      <c r="T164" s="89" t="str">
        <f ca="1">IF($B164="","",INDIRECT("aux_sheet_RRS!AB"&amp;1+MATCH(aux_sheet_RRS!$E163,aux_sheet_RRS!$D$2:$D$202,0)))</f>
        <v/>
      </c>
      <c r="U164" s="90" t="str">
        <f ca="1">IF(S164="","",INDIRECT("aux_sheet_RRS!AC"&amp;1+MATCH(aux_sheet_RRS!$E163,aux_sheet_RRS!$D$2:$D$202,0)))</f>
        <v/>
      </c>
      <c r="V164" s="106" t="str">
        <f ca="1">IF($B164="","",INDIRECT("aux_sheet_RRS!AD"&amp;1+MATCH(aux_sheet_RRS!$E163,aux_sheet_RRS!$D$2:$D$202,0)))</f>
        <v/>
      </c>
      <c r="W164" s="89" t="str">
        <f ca="1">IF($B164="","",INDIRECT("aux_sheet_RRS!AE"&amp;1+MATCH(aux_sheet_RRS!$E163,aux_sheet_RRS!$D$2:$D$202,0)))</f>
        <v/>
      </c>
      <c r="X164" s="90" t="str">
        <f ca="1">IF(V164="","",INDIRECT("aux_sheet_RRS!AF"&amp;1+MATCH(aux_sheet_RRS!$E163,aux_sheet_RRS!$D$2:$D$202,0)))</f>
        <v/>
      </c>
      <c r="Y164" s="106" t="str">
        <f ca="1">IF($B164="","",INDIRECT("aux_sheet_RRS!AG"&amp;1+MATCH(aux_sheet_RRS!$E163,aux_sheet_RRS!$D$2:$D$202,0)))</f>
        <v/>
      </c>
      <c r="Z164" s="89" t="str">
        <f ca="1">IF($B164="","",INDIRECT("aux_sheet_RRS!AH"&amp;1+MATCH(aux_sheet_RRS!$E163,aux_sheet_RRS!$D$2:$D$202,0)))</f>
        <v/>
      </c>
      <c r="AA164" s="90" t="str">
        <f ca="1">IF(Y164="","",INDIRECT("aux_sheet_RRS!AI"&amp;1+MATCH(aux_sheet_RRS!$E163,aux_sheet_RRS!$D$2:$D$202,0)))</f>
        <v/>
      </c>
      <c r="AB164" s="88" t="str">
        <f ca="1">IF($B164="","",INDIRECT("aux_sheet_RRS!AJ"&amp;1+MATCH(aux_sheet_RRS!$E163,aux_sheet_RRS!$D$2:$D$202,0)))</f>
        <v/>
      </c>
      <c r="AC164" s="89" t="str">
        <f ca="1">IF($B164="","",INDIRECT("aux_sheet_RRS!AK"&amp;1+MATCH(aux_sheet_RRS!$E163,aux_sheet_RRS!$D$2:$D$202,0)))</f>
        <v/>
      </c>
      <c r="AD164" s="90" t="str">
        <f ca="1">IF(AB164="","",INDIRECT("aux_sheet_RRS!AL"&amp;1+MATCH(aux_sheet_RRS!$E163,aux_sheet_RRS!$D$2:$D$202,0)))</f>
        <v/>
      </c>
      <c r="AE164" s="88" t="str">
        <f ca="1">IF($B164="","",INDIRECT("aux_sheet_RRS!AM"&amp;1+MATCH(aux_sheet_RRS!$E163,aux_sheet_RRS!$D$2:$D$202,0)))</f>
        <v/>
      </c>
      <c r="AF164" s="89" t="str">
        <f ca="1">IF($B164="","",INDIRECT("aux_sheet_RRS!AN"&amp;1+MATCH(aux_sheet_RRS!$E163,aux_sheet_RRS!$D$2:$D$202,0)))</f>
        <v/>
      </c>
      <c r="AG164" s="90" t="str">
        <f ca="1">IF(AE164="","",INDIRECT("aux_sheet_RRS!AO"&amp;1+MATCH(aux_sheet_RRS!$E163,aux_sheet_RRS!$D$2:$D$202,0)))</f>
        <v/>
      </c>
      <c r="AH164" s="14" t="str">
        <f t="shared" ca="1" si="9"/>
        <v/>
      </c>
      <c r="AI164" t="str">
        <f t="shared" ca="1" si="10"/>
        <v/>
      </c>
      <c r="AJ164" t="str">
        <f t="shared" ca="1" si="11"/>
        <v/>
      </c>
    </row>
    <row r="165" spans="1:36" x14ac:dyDescent="0.35">
      <c r="A165" s="2" t="str">
        <f>IF(ISBLANK(Input!A164),"",ROUNDDOWN(aux_sheet_RRS!E164,0))</f>
        <v/>
      </c>
      <c r="B165" s="2" t="str">
        <f ca="1">IF(ISBLANK(Input!A164),"",INDIRECT("Input!A"&amp;1+MATCH(aux_sheet_RRS!$E164,aux_sheet_RRS!$D$2:$D$202,0)))</f>
        <v/>
      </c>
      <c r="C165" s="2" t="str">
        <f ca="1">IF(ISBLANK(Input!B164),"",INDIRECT("Input!B"&amp;1+MATCH(aux_sheet_RRS!$E164,aux_sheet_RRS!$D$2:$D$202,0)))</f>
        <v/>
      </c>
      <c r="D165" s="2" t="str">
        <f ca="1">IF(ISBLANK(Input!C164),"",INDIRECT("Input!C"&amp;1+MATCH(aux_sheet_RRS!$E164,aux_sheet_RRS!$D$2:$D$202,0)))</f>
        <v/>
      </c>
      <c r="E165" s="2" t="str">
        <f ca="1">IF(ISBLANK(Input!D164),"",INDIRECT("Input!D"&amp;1+MATCH(aux_sheet_RRS!$E164,aux_sheet_RRS!$D$2:$D$202,0)))</f>
        <v/>
      </c>
      <c r="F165" s="11" t="str">
        <f ca="1">INDIRECT("Input!H"&amp;1+MATCH(aux_sheet_RRS!$E164,aux_sheet_RRS!$D$2:$D$202,0))</f>
        <v xml:space="preserve"> </v>
      </c>
      <c r="G165" s="88" t="str">
        <f ca="1">IF($B165="","",INDIRECT("aux_sheet_RRS!O"&amp;1+MATCH(aux_sheet_RRS!$E164,aux_sheet_RRS!$D$2:$D$202,0)))</f>
        <v/>
      </c>
      <c r="H165" s="89" t="str">
        <f ca="1">IF($B165="","",INDIRECT("aux_sheet_RRS!P"&amp;1+MATCH(aux_sheet_RRS!$E164,aux_sheet_RRS!$D$2:$D$202,0)))</f>
        <v/>
      </c>
      <c r="I165" s="90" t="str">
        <f ca="1">IF(G165="","",ROUNDDOWN(INDIRECT("aux_sheet_RRS!Q"&amp;1+MATCH(aux_sheet_RRS!$E164,aux_sheet_RRS!$D$2:$D$202,0)),0))</f>
        <v/>
      </c>
      <c r="J165" s="106" t="str">
        <f ca="1">IF($B165="","",INDIRECT("aux_sheet_RRS!R"&amp;1+MATCH(aux_sheet_RRS!$E164,aux_sheet_RRS!$D$2:$D$202,0)))</f>
        <v/>
      </c>
      <c r="K165" s="89" t="str">
        <f ca="1">IF($B165="","",INDIRECT("aux_sheet_RRS!S"&amp;1+MATCH(aux_sheet_RRS!$E164,aux_sheet_RRS!$D$2:$D$202,0)))</f>
        <v/>
      </c>
      <c r="L165" s="90" t="str">
        <f ca="1">IF(J165="","",ROUNDDOWN(INDIRECT("aux_sheet_RRS!T"&amp;1+MATCH(aux_sheet_RRS!$E164,aux_sheet_RRS!$D$2:$D$202,0)),0))</f>
        <v/>
      </c>
      <c r="M165" s="106" t="str">
        <f ca="1">IF($B165="","",INDIRECT("aux_sheet_RRS!U"&amp;1+MATCH(aux_sheet_RRS!$E164,aux_sheet_RRS!$D$2:$D$202,0)))</f>
        <v/>
      </c>
      <c r="N165" s="89" t="str">
        <f ca="1">IF($B165="","",INDIRECT("aux_sheet_RRS!V"&amp;1+MATCH(aux_sheet_RRS!$E164,aux_sheet_RRS!$D$2:$D$202,0)))</f>
        <v/>
      </c>
      <c r="O165" s="90" t="str">
        <f ca="1">IF(M165="","",ROUNDDOWN(INDIRECT("aux_sheet_RRS!W"&amp;1+MATCH(aux_sheet_RRS!$E164,aux_sheet_RRS!$D$2:$D$202,0)),0))</f>
        <v/>
      </c>
      <c r="P165" s="106" t="str">
        <f ca="1">IF($B165="","",INDIRECT("aux_sheet_RRS!X"&amp;1+MATCH(aux_sheet_RRS!$E164,aux_sheet_RRS!$D$2:$D$202,0)))</f>
        <v/>
      </c>
      <c r="Q165" s="89" t="str">
        <f ca="1">IF($B165="","",INDIRECT("aux_sheet_RRS!Y"&amp;1+MATCH(aux_sheet_RRS!$E164,aux_sheet_RRS!$D$2:$D$202,0)))</f>
        <v/>
      </c>
      <c r="R165" s="90" t="str">
        <f ca="1">IF(P165="","",INDIRECT("aux_sheet_RRS!Z"&amp;1+MATCH(aux_sheet_RRS!$E164,aux_sheet_RRS!$D$2:$D$202,0)))</f>
        <v/>
      </c>
      <c r="S165" s="106" t="str">
        <f ca="1">IF($B165="","",INDIRECT("aux_sheet_RRS!AA"&amp;1+MATCH(aux_sheet_RRS!$E164,aux_sheet_RRS!$D$2:$D$202,0)))</f>
        <v/>
      </c>
      <c r="T165" s="89" t="str">
        <f ca="1">IF($B165="","",INDIRECT("aux_sheet_RRS!AB"&amp;1+MATCH(aux_sheet_RRS!$E164,aux_sheet_RRS!$D$2:$D$202,0)))</f>
        <v/>
      </c>
      <c r="U165" s="90" t="str">
        <f ca="1">IF(S165="","",INDIRECT("aux_sheet_RRS!AC"&amp;1+MATCH(aux_sheet_RRS!$E164,aux_sheet_RRS!$D$2:$D$202,0)))</f>
        <v/>
      </c>
      <c r="V165" s="106" t="str">
        <f ca="1">IF($B165="","",INDIRECT("aux_sheet_RRS!AD"&amp;1+MATCH(aux_sheet_RRS!$E164,aux_sheet_RRS!$D$2:$D$202,0)))</f>
        <v/>
      </c>
      <c r="W165" s="89" t="str">
        <f ca="1">IF($B165="","",INDIRECT("aux_sheet_RRS!AE"&amp;1+MATCH(aux_sheet_RRS!$E164,aux_sheet_RRS!$D$2:$D$202,0)))</f>
        <v/>
      </c>
      <c r="X165" s="90" t="str">
        <f ca="1">IF(V165="","",INDIRECT("aux_sheet_RRS!AF"&amp;1+MATCH(aux_sheet_RRS!$E164,aux_sheet_RRS!$D$2:$D$202,0)))</f>
        <v/>
      </c>
      <c r="Y165" s="106" t="str">
        <f ca="1">IF($B165="","",INDIRECT("aux_sheet_RRS!AG"&amp;1+MATCH(aux_sheet_RRS!$E164,aux_sheet_RRS!$D$2:$D$202,0)))</f>
        <v/>
      </c>
      <c r="Z165" s="89" t="str">
        <f ca="1">IF($B165="","",INDIRECT("aux_sheet_RRS!AH"&amp;1+MATCH(aux_sheet_RRS!$E164,aux_sheet_RRS!$D$2:$D$202,0)))</f>
        <v/>
      </c>
      <c r="AA165" s="90" t="str">
        <f ca="1">IF(Y165="","",INDIRECT("aux_sheet_RRS!AI"&amp;1+MATCH(aux_sheet_RRS!$E164,aux_sheet_RRS!$D$2:$D$202,0)))</f>
        <v/>
      </c>
      <c r="AB165" s="88" t="str">
        <f ca="1">IF($B165="","",INDIRECT("aux_sheet_RRS!AJ"&amp;1+MATCH(aux_sheet_RRS!$E164,aux_sheet_RRS!$D$2:$D$202,0)))</f>
        <v/>
      </c>
      <c r="AC165" s="89" t="str">
        <f ca="1">IF($B165="","",INDIRECT("aux_sheet_RRS!AK"&amp;1+MATCH(aux_sheet_RRS!$E164,aux_sheet_RRS!$D$2:$D$202,0)))</f>
        <v/>
      </c>
      <c r="AD165" s="90" t="str">
        <f ca="1">IF(AB165="","",INDIRECT("aux_sheet_RRS!AL"&amp;1+MATCH(aux_sheet_RRS!$E164,aux_sheet_RRS!$D$2:$D$202,0)))</f>
        <v/>
      </c>
      <c r="AE165" s="88" t="str">
        <f ca="1">IF($B165="","",INDIRECT("aux_sheet_RRS!AM"&amp;1+MATCH(aux_sheet_RRS!$E164,aux_sheet_RRS!$D$2:$D$202,0)))</f>
        <v/>
      </c>
      <c r="AF165" s="89" t="str">
        <f ca="1">IF($B165="","",INDIRECT("aux_sheet_RRS!AN"&amp;1+MATCH(aux_sheet_RRS!$E164,aux_sheet_RRS!$D$2:$D$202,0)))</f>
        <v/>
      </c>
      <c r="AG165" s="90" t="str">
        <f ca="1">IF(AE165="","",INDIRECT("aux_sheet_RRS!AO"&amp;1+MATCH(aux_sheet_RRS!$E164,aux_sheet_RRS!$D$2:$D$202,0)))</f>
        <v/>
      </c>
      <c r="AH165" s="14" t="str">
        <f t="shared" ca="1" si="9"/>
        <v/>
      </c>
      <c r="AI165" t="str">
        <f t="shared" ca="1" si="10"/>
        <v/>
      </c>
      <c r="AJ165" t="str">
        <f t="shared" ca="1" si="11"/>
        <v/>
      </c>
    </row>
    <row r="166" spans="1:36" x14ac:dyDescent="0.35">
      <c r="A166" s="2" t="str">
        <f>IF(ISBLANK(Input!A165),"",ROUNDDOWN(aux_sheet_RRS!E165,0))</f>
        <v/>
      </c>
      <c r="B166" s="2" t="str">
        <f ca="1">IF(ISBLANK(Input!A165),"",INDIRECT("Input!A"&amp;1+MATCH(aux_sheet_RRS!$E165,aux_sheet_RRS!$D$2:$D$202,0)))</f>
        <v/>
      </c>
      <c r="C166" s="2" t="str">
        <f ca="1">IF(ISBLANK(Input!B165),"",INDIRECT("Input!B"&amp;1+MATCH(aux_sheet_RRS!$E165,aux_sheet_RRS!$D$2:$D$202,0)))</f>
        <v/>
      </c>
      <c r="D166" s="2" t="str">
        <f ca="1">IF(ISBLANK(Input!C165),"",INDIRECT("Input!C"&amp;1+MATCH(aux_sheet_RRS!$E165,aux_sheet_RRS!$D$2:$D$202,0)))</f>
        <v/>
      </c>
      <c r="E166" s="2" t="str">
        <f ca="1">IF(ISBLANK(Input!D165),"",INDIRECT("Input!D"&amp;1+MATCH(aux_sheet_RRS!$E165,aux_sheet_RRS!$D$2:$D$202,0)))</f>
        <v/>
      </c>
      <c r="F166" s="11" t="str">
        <f ca="1">INDIRECT("Input!H"&amp;1+MATCH(aux_sheet_RRS!$E165,aux_sheet_RRS!$D$2:$D$202,0))</f>
        <v xml:space="preserve"> </v>
      </c>
      <c r="G166" s="88" t="str">
        <f ca="1">IF($B166="","",INDIRECT("aux_sheet_RRS!O"&amp;1+MATCH(aux_sheet_RRS!$E165,aux_sheet_RRS!$D$2:$D$202,0)))</f>
        <v/>
      </c>
      <c r="H166" s="89" t="str">
        <f ca="1">IF($B166="","",INDIRECT("aux_sheet_RRS!P"&amp;1+MATCH(aux_sheet_RRS!$E165,aux_sheet_RRS!$D$2:$D$202,0)))</f>
        <v/>
      </c>
      <c r="I166" s="90" t="str">
        <f ca="1">IF(G166="","",ROUNDDOWN(INDIRECT("aux_sheet_RRS!Q"&amp;1+MATCH(aux_sheet_RRS!$E165,aux_sheet_RRS!$D$2:$D$202,0)),0))</f>
        <v/>
      </c>
      <c r="J166" s="106" t="str">
        <f ca="1">IF($B166="","",INDIRECT("aux_sheet_RRS!R"&amp;1+MATCH(aux_sheet_RRS!$E165,aux_sheet_RRS!$D$2:$D$202,0)))</f>
        <v/>
      </c>
      <c r="K166" s="89" t="str">
        <f ca="1">IF($B166="","",INDIRECT("aux_sheet_RRS!S"&amp;1+MATCH(aux_sheet_RRS!$E165,aux_sheet_RRS!$D$2:$D$202,0)))</f>
        <v/>
      </c>
      <c r="L166" s="90" t="str">
        <f ca="1">IF(J166="","",ROUNDDOWN(INDIRECT("aux_sheet_RRS!T"&amp;1+MATCH(aux_sheet_RRS!$E165,aux_sheet_RRS!$D$2:$D$202,0)),0))</f>
        <v/>
      </c>
      <c r="M166" s="106" t="str">
        <f ca="1">IF($B166="","",INDIRECT("aux_sheet_RRS!U"&amp;1+MATCH(aux_sheet_RRS!$E165,aux_sheet_RRS!$D$2:$D$202,0)))</f>
        <v/>
      </c>
      <c r="N166" s="89" t="str">
        <f ca="1">IF($B166="","",INDIRECT("aux_sheet_RRS!V"&amp;1+MATCH(aux_sheet_RRS!$E165,aux_sheet_RRS!$D$2:$D$202,0)))</f>
        <v/>
      </c>
      <c r="O166" s="90" t="str">
        <f ca="1">IF(M166="","",ROUNDDOWN(INDIRECT("aux_sheet_RRS!W"&amp;1+MATCH(aux_sheet_RRS!$E165,aux_sheet_RRS!$D$2:$D$202,0)),0))</f>
        <v/>
      </c>
      <c r="P166" s="106" t="str">
        <f ca="1">IF($B166="","",INDIRECT("aux_sheet_RRS!X"&amp;1+MATCH(aux_sheet_RRS!$E165,aux_sheet_RRS!$D$2:$D$202,0)))</f>
        <v/>
      </c>
      <c r="Q166" s="89" t="str">
        <f ca="1">IF($B166="","",INDIRECT("aux_sheet_RRS!Y"&amp;1+MATCH(aux_sheet_RRS!$E165,aux_sheet_RRS!$D$2:$D$202,0)))</f>
        <v/>
      </c>
      <c r="R166" s="90" t="str">
        <f ca="1">IF(P166="","",INDIRECT("aux_sheet_RRS!Z"&amp;1+MATCH(aux_sheet_RRS!$E165,aux_sheet_RRS!$D$2:$D$202,0)))</f>
        <v/>
      </c>
      <c r="S166" s="106" t="str">
        <f ca="1">IF($B166="","",INDIRECT("aux_sheet_RRS!AA"&amp;1+MATCH(aux_sheet_RRS!$E165,aux_sheet_RRS!$D$2:$D$202,0)))</f>
        <v/>
      </c>
      <c r="T166" s="89" t="str">
        <f ca="1">IF($B166="","",INDIRECT("aux_sheet_RRS!AB"&amp;1+MATCH(aux_sheet_RRS!$E165,aux_sheet_RRS!$D$2:$D$202,0)))</f>
        <v/>
      </c>
      <c r="U166" s="90" t="str">
        <f ca="1">IF(S166="","",INDIRECT("aux_sheet_RRS!AC"&amp;1+MATCH(aux_sheet_RRS!$E165,aux_sheet_RRS!$D$2:$D$202,0)))</f>
        <v/>
      </c>
      <c r="V166" s="106" t="str">
        <f ca="1">IF($B166="","",INDIRECT("aux_sheet_RRS!AD"&amp;1+MATCH(aux_sheet_RRS!$E165,aux_sheet_RRS!$D$2:$D$202,0)))</f>
        <v/>
      </c>
      <c r="W166" s="89" t="str">
        <f ca="1">IF($B166="","",INDIRECT("aux_sheet_RRS!AE"&amp;1+MATCH(aux_sheet_RRS!$E165,aux_sheet_RRS!$D$2:$D$202,0)))</f>
        <v/>
      </c>
      <c r="X166" s="90" t="str">
        <f ca="1">IF(V166="","",INDIRECT("aux_sheet_RRS!AF"&amp;1+MATCH(aux_sheet_RRS!$E165,aux_sheet_RRS!$D$2:$D$202,0)))</f>
        <v/>
      </c>
      <c r="Y166" s="106" t="str">
        <f ca="1">IF($B166="","",INDIRECT("aux_sheet_RRS!AG"&amp;1+MATCH(aux_sheet_RRS!$E165,aux_sheet_RRS!$D$2:$D$202,0)))</f>
        <v/>
      </c>
      <c r="Z166" s="89" t="str">
        <f ca="1">IF($B166="","",INDIRECT("aux_sheet_RRS!AH"&amp;1+MATCH(aux_sheet_RRS!$E165,aux_sheet_RRS!$D$2:$D$202,0)))</f>
        <v/>
      </c>
      <c r="AA166" s="90" t="str">
        <f ca="1">IF(Y166="","",INDIRECT("aux_sheet_RRS!AI"&amp;1+MATCH(aux_sheet_RRS!$E165,aux_sheet_RRS!$D$2:$D$202,0)))</f>
        <v/>
      </c>
      <c r="AB166" s="88" t="str">
        <f ca="1">IF($B166="","",INDIRECT("aux_sheet_RRS!AJ"&amp;1+MATCH(aux_sheet_RRS!$E165,aux_sheet_RRS!$D$2:$D$202,0)))</f>
        <v/>
      </c>
      <c r="AC166" s="89" t="str">
        <f ca="1">IF($B166="","",INDIRECT("aux_sheet_RRS!AK"&amp;1+MATCH(aux_sheet_RRS!$E165,aux_sheet_RRS!$D$2:$D$202,0)))</f>
        <v/>
      </c>
      <c r="AD166" s="90" t="str">
        <f ca="1">IF(AB166="","",INDIRECT("aux_sheet_RRS!AL"&amp;1+MATCH(aux_sheet_RRS!$E165,aux_sheet_RRS!$D$2:$D$202,0)))</f>
        <v/>
      </c>
      <c r="AE166" s="88" t="str">
        <f ca="1">IF($B166="","",INDIRECT("aux_sheet_RRS!AM"&amp;1+MATCH(aux_sheet_RRS!$E165,aux_sheet_RRS!$D$2:$D$202,0)))</f>
        <v/>
      </c>
      <c r="AF166" s="89" t="str">
        <f ca="1">IF($B166="","",INDIRECT("aux_sheet_RRS!AN"&amp;1+MATCH(aux_sheet_RRS!$E165,aux_sheet_RRS!$D$2:$D$202,0)))</f>
        <v/>
      </c>
      <c r="AG166" s="90" t="str">
        <f ca="1">IF(AE166="","",INDIRECT("aux_sheet_RRS!AO"&amp;1+MATCH(aux_sheet_RRS!$E165,aux_sheet_RRS!$D$2:$D$202,0)))</f>
        <v/>
      </c>
      <c r="AH166" s="14" t="str">
        <f t="shared" ca="1" si="9"/>
        <v/>
      </c>
      <c r="AI166" t="str">
        <f t="shared" ca="1" si="10"/>
        <v/>
      </c>
      <c r="AJ166" t="str">
        <f t="shared" ca="1" si="11"/>
        <v/>
      </c>
    </row>
    <row r="167" spans="1:36" x14ac:dyDescent="0.35">
      <c r="A167" s="2" t="str">
        <f>IF(ISBLANK(Input!A166),"",ROUNDDOWN(aux_sheet_RRS!E166,0))</f>
        <v/>
      </c>
      <c r="B167" s="2" t="str">
        <f ca="1">IF(ISBLANK(Input!A166),"",INDIRECT("Input!A"&amp;1+MATCH(aux_sheet_RRS!$E166,aux_sheet_RRS!$D$2:$D$202,0)))</f>
        <v/>
      </c>
      <c r="C167" s="2" t="str">
        <f ca="1">IF(ISBLANK(Input!B166),"",INDIRECT("Input!B"&amp;1+MATCH(aux_sheet_RRS!$E166,aux_sheet_RRS!$D$2:$D$202,0)))</f>
        <v/>
      </c>
      <c r="D167" s="2" t="str">
        <f ca="1">IF(ISBLANK(Input!C166),"",INDIRECT("Input!C"&amp;1+MATCH(aux_sheet_RRS!$E166,aux_sheet_RRS!$D$2:$D$202,0)))</f>
        <v/>
      </c>
      <c r="E167" s="2" t="str">
        <f ca="1">IF(ISBLANK(Input!D166),"",INDIRECT("Input!D"&amp;1+MATCH(aux_sheet_RRS!$E166,aux_sheet_RRS!$D$2:$D$202,0)))</f>
        <v/>
      </c>
      <c r="F167" s="11" t="str">
        <f ca="1">INDIRECT("Input!H"&amp;1+MATCH(aux_sheet_RRS!$E166,aux_sheet_RRS!$D$2:$D$202,0))</f>
        <v xml:space="preserve"> </v>
      </c>
      <c r="G167" s="88" t="str">
        <f ca="1">IF($B167="","",INDIRECT("aux_sheet_RRS!O"&amp;1+MATCH(aux_sheet_RRS!$E166,aux_sheet_RRS!$D$2:$D$202,0)))</f>
        <v/>
      </c>
      <c r="H167" s="89" t="str">
        <f ca="1">IF($B167="","",INDIRECT("aux_sheet_RRS!P"&amp;1+MATCH(aux_sheet_RRS!$E166,aux_sheet_RRS!$D$2:$D$202,0)))</f>
        <v/>
      </c>
      <c r="I167" s="90" t="str">
        <f ca="1">IF(G167="","",ROUNDDOWN(INDIRECT("aux_sheet_RRS!Q"&amp;1+MATCH(aux_sheet_RRS!$E166,aux_sheet_RRS!$D$2:$D$202,0)),0))</f>
        <v/>
      </c>
      <c r="J167" s="106" t="str">
        <f ca="1">IF($B167="","",INDIRECT("aux_sheet_RRS!R"&amp;1+MATCH(aux_sheet_RRS!$E166,aux_sheet_RRS!$D$2:$D$202,0)))</f>
        <v/>
      </c>
      <c r="K167" s="89" t="str">
        <f ca="1">IF($B167="","",INDIRECT("aux_sheet_RRS!S"&amp;1+MATCH(aux_sheet_RRS!$E166,aux_sheet_RRS!$D$2:$D$202,0)))</f>
        <v/>
      </c>
      <c r="L167" s="90" t="str">
        <f ca="1">IF(J167="","",ROUNDDOWN(INDIRECT("aux_sheet_RRS!T"&amp;1+MATCH(aux_sheet_RRS!$E166,aux_sheet_RRS!$D$2:$D$202,0)),0))</f>
        <v/>
      </c>
      <c r="M167" s="106" t="str">
        <f ca="1">IF($B167="","",INDIRECT("aux_sheet_RRS!U"&amp;1+MATCH(aux_sheet_RRS!$E166,aux_sheet_RRS!$D$2:$D$202,0)))</f>
        <v/>
      </c>
      <c r="N167" s="89" t="str">
        <f ca="1">IF($B167="","",INDIRECT("aux_sheet_RRS!V"&amp;1+MATCH(aux_sheet_RRS!$E166,aux_sheet_RRS!$D$2:$D$202,0)))</f>
        <v/>
      </c>
      <c r="O167" s="90" t="str">
        <f ca="1">IF(M167="","",ROUNDDOWN(INDIRECT("aux_sheet_RRS!W"&amp;1+MATCH(aux_sheet_RRS!$E166,aux_sheet_RRS!$D$2:$D$202,0)),0))</f>
        <v/>
      </c>
      <c r="P167" s="106" t="str">
        <f ca="1">IF($B167="","",INDIRECT("aux_sheet_RRS!X"&amp;1+MATCH(aux_sheet_RRS!$E166,aux_sheet_RRS!$D$2:$D$202,0)))</f>
        <v/>
      </c>
      <c r="Q167" s="89" t="str">
        <f ca="1">IF($B167="","",INDIRECT("aux_sheet_RRS!Y"&amp;1+MATCH(aux_sheet_RRS!$E166,aux_sheet_RRS!$D$2:$D$202,0)))</f>
        <v/>
      </c>
      <c r="R167" s="90" t="str">
        <f ca="1">IF(P167="","",INDIRECT("aux_sheet_RRS!Z"&amp;1+MATCH(aux_sheet_RRS!$E166,aux_sheet_RRS!$D$2:$D$202,0)))</f>
        <v/>
      </c>
      <c r="S167" s="106" t="str">
        <f ca="1">IF($B167="","",INDIRECT("aux_sheet_RRS!AA"&amp;1+MATCH(aux_sheet_RRS!$E166,aux_sheet_RRS!$D$2:$D$202,0)))</f>
        <v/>
      </c>
      <c r="T167" s="89" t="str">
        <f ca="1">IF($B167="","",INDIRECT("aux_sheet_RRS!AB"&amp;1+MATCH(aux_sheet_RRS!$E166,aux_sheet_RRS!$D$2:$D$202,0)))</f>
        <v/>
      </c>
      <c r="U167" s="90" t="str">
        <f ca="1">IF(S167="","",INDIRECT("aux_sheet_RRS!AC"&amp;1+MATCH(aux_sheet_RRS!$E166,aux_sheet_RRS!$D$2:$D$202,0)))</f>
        <v/>
      </c>
      <c r="V167" s="106" t="str">
        <f ca="1">IF($B167="","",INDIRECT("aux_sheet_RRS!AD"&amp;1+MATCH(aux_sheet_RRS!$E166,aux_sheet_RRS!$D$2:$D$202,0)))</f>
        <v/>
      </c>
      <c r="W167" s="89" t="str">
        <f ca="1">IF($B167="","",INDIRECT("aux_sheet_RRS!AE"&amp;1+MATCH(aux_sheet_RRS!$E166,aux_sheet_RRS!$D$2:$D$202,0)))</f>
        <v/>
      </c>
      <c r="X167" s="90" t="str">
        <f ca="1">IF(V167="","",INDIRECT("aux_sheet_RRS!AF"&amp;1+MATCH(aux_sheet_RRS!$E166,aux_sheet_RRS!$D$2:$D$202,0)))</f>
        <v/>
      </c>
      <c r="Y167" s="106" t="str">
        <f ca="1">IF($B167="","",INDIRECT("aux_sheet_RRS!AG"&amp;1+MATCH(aux_sheet_RRS!$E166,aux_sheet_RRS!$D$2:$D$202,0)))</f>
        <v/>
      </c>
      <c r="Z167" s="89" t="str">
        <f ca="1">IF($B167="","",INDIRECT("aux_sheet_RRS!AH"&amp;1+MATCH(aux_sheet_RRS!$E166,aux_sheet_RRS!$D$2:$D$202,0)))</f>
        <v/>
      </c>
      <c r="AA167" s="90" t="str">
        <f ca="1">IF(Y167="","",INDIRECT("aux_sheet_RRS!AI"&amp;1+MATCH(aux_sheet_RRS!$E166,aux_sheet_RRS!$D$2:$D$202,0)))</f>
        <v/>
      </c>
      <c r="AB167" s="88" t="str">
        <f ca="1">IF($B167="","",INDIRECT("aux_sheet_RRS!AJ"&amp;1+MATCH(aux_sheet_RRS!$E166,aux_sheet_RRS!$D$2:$D$202,0)))</f>
        <v/>
      </c>
      <c r="AC167" s="89" t="str">
        <f ca="1">IF($B167="","",INDIRECT("aux_sheet_RRS!AK"&amp;1+MATCH(aux_sheet_RRS!$E166,aux_sheet_RRS!$D$2:$D$202,0)))</f>
        <v/>
      </c>
      <c r="AD167" s="90" t="str">
        <f ca="1">IF(AB167="","",INDIRECT("aux_sheet_RRS!AL"&amp;1+MATCH(aux_sheet_RRS!$E166,aux_sheet_RRS!$D$2:$D$202,0)))</f>
        <v/>
      </c>
      <c r="AE167" s="88" t="str">
        <f ca="1">IF($B167="","",INDIRECT("aux_sheet_RRS!AM"&amp;1+MATCH(aux_sheet_RRS!$E166,aux_sheet_RRS!$D$2:$D$202,0)))</f>
        <v/>
      </c>
      <c r="AF167" s="89" t="str">
        <f ca="1">IF($B167="","",INDIRECT("aux_sheet_RRS!AN"&amp;1+MATCH(aux_sheet_RRS!$E166,aux_sheet_RRS!$D$2:$D$202,0)))</f>
        <v/>
      </c>
      <c r="AG167" s="90" t="str">
        <f ca="1">IF(AE167="","",INDIRECT("aux_sheet_RRS!AO"&amp;1+MATCH(aux_sheet_RRS!$E166,aux_sheet_RRS!$D$2:$D$202,0)))</f>
        <v/>
      </c>
      <c r="AH167" s="14" t="str">
        <f t="shared" ca="1" si="9"/>
        <v/>
      </c>
      <c r="AI167" t="str">
        <f t="shared" ca="1" si="10"/>
        <v/>
      </c>
      <c r="AJ167" t="str">
        <f t="shared" ca="1" si="11"/>
        <v/>
      </c>
    </row>
    <row r="168" spans="1:36" x14ac:dyDescent="0.35">
      <c r="A168" s="2" t="str">
        <f>IF(ISBLANK(Input!A167),"",ROUNDDOWN(aux_sheet_RRS!E167,0))</f>
        <v/>
      </c>
      <c r="B168" s="2" t="str">
        <f ca="1">IF(ISBLANK(Input!A167),"",INDIRECT("Input!A"&amp;1+MATCH(aux_sheet_RRS!$E167,aux_sheet_RRS!$D$2:$D$202,0)))</f>
        <v/>
      </c>
      <c r="C168" s="2" t="str">
        <f ca="1">IF(ISBLANK(Input!B167),"",INDIRECT("Input!B"&amp;1+MATCH(aux_sheet_RRS!$E167,aux_sheet_RRS!$D$2:$D$202,0)))</f>
        <v/>
      </c>
      <c r="D168" s="2" t="str">
        <f ca="1">IF(ISBLANK(Input!C167),"",INDIRECT("Input!C"&amp;1+MATCH(aux_sheet_RRS!$E167,aux_sheet_RRS!$D$2:$D$202,0)))</f>
        <v/>
      </c>
      <c r="E168" s="2" t="str">
        <f ca="1">IF(ISBLANK(Input!D167),"",INDIRECT("Input!D"&amp;1+MATCH(aux_sheet_RRS!$E167,aux_sheet_RRS!$D$2:$D$202,0)))</f>
        <v/>
      </c>
      <c r="F168" s="11" t="str">
        <f ca="1">INDIRECT("Input!H"&amp;1+MATCH(aux_sheet_RRS!$E167,aux_sheet_RRS!$D$2:$D$202,0))</f>
        <v xml:space="preserve"> </v>
      </c>
      <c r="G168" s="88" t="str">
        <f ca="1">IF($B168="","",INDIRECT("aux_sheet_RRS!O"&amp;1+MATCH(aux_sheet_RRS!$E167,aux_sheet_RRS!$D$2:$D$202,0)))</f>
        <v/>
      </c>
      <c r="H168" s="89" t="str">
        <f ca="1">IF($B168="","",INDIRECT("aux_sheet_RRS!P"&amp;1+MATCH(aux_sheet_RRS!$E167,aux_sheet_RRS!$D$2:$D$202,0)))</f>
        <v/>
      </c>
      <c r="I168" s="90" t="str">
        <f ca="1">IF(G168="","",ROUNDDOWN(INDIRECT("aux_sheet_RRS!Q"&amp;1+MATCH(aux_sheet_RRS!$E167,aux_sheet_RRS!$D$2:$D$202,0)),0))</f>
        <v/>
      </c>
      <c r="J168" s="106" t="str">
        <f ca="1">IF($B168="","",INDIRECT("aux_sheet_RRS!R"&amp;1+MATCH(aux_sheet_RRS!$E167,aux_sheet_RRS!$D$2:$D$202,0)))</f>
        <v/>
      </c>
      <c r="K168" s="89" t="str">
        <f ca="1">IF($B168="","",INDIRECT("aux_sheet_RRS!S"&amp;1+MATCH(aux_sheet_RRS!$E167,aux_sheet_RRS!$D$2:$D$202,0)))</f>
        <v/>
      </c>
      <c r="L168" s="90" t="str">
        <f ca="1">IF(J168="","",ROUNDDOWN(INDIRECT("aux_sheet_RRS!T"&amp;1+MATCH(aux_sheet_RRS!$E167,aux_sheet_RRS!$D$2:$D$202,0)),0))</f>
        <v/>
      </c>
      <c r="M168" s="106" t="str">
        <f ca="1">IF($B168="","",INDIRECT("aux_sheet_RRS!U"&amp;1+MATCH(aux_sheet_RRS!$E167,aux_sheet_RRS!$D$2:$D$202,0)))</f>
        <v/>
      </c>
      <c r="N168" s="89" t="str">
        <f ca="1">IF($B168="","",INDIRECT("aux_sheet_RRS!V"&amp;1+MATCH(aux_sheet_RRS!$E167,aux_sheet_RRS!$D$2:$D$202,0)))</f>
        <v/>
      </c>
      <c r="O168" s="90" t="str">
        <f ca="1">IF(M168="","",ROUNDDOWN(INDIRECT("aux_sheet_RRS!W"&amp;1+MATCH(aux_sheet_RRS!$E167,aux_sheet_RRS!$D$2:$D$202,0)),0))</f>
        <v/>
      </c>
      <c r="P168" s="106" t="str">
        <f ca="1">IF($B168="","",INDIRECT("aux_sheet_RRS!X"&amp;1+MATCH(aux_sheet_RRS!$E167,aux_sheet_RRS!$D$2:$D$202,0)))</f>
        <v/>
      </c>
      <c r="Q168" s="89" t="str">
        <f ca="1">IF($B168="","",INDIRECT("aux_sheet_RRS!Y"&amp;1+MATCH(aux_sheet_RRS!$E167,aux_sheet_RRS!$D$2:$D$202,0)))</f>
        <v/>
      </c>
      <c r="R168" s="90" t="str">
        <f ca="1">IF(P168="","",INDIRECT("aux_sheet_RRS!Z"&amp;1+MATCH(aux_sheet_RRS!$E167,aux_sheet_RRS!$D$2:$D$202,0)))</f>
        <v/>
      </c>
      <c r="S168" s="106" t="str">
        <f ca="1">IF($B168="","",INDIRECT("aux_sheet_RRS!AA"&amp;1+MATCH(aux_sheet_RRS!$E167,aux_sheet_RRS!$D$2:$D$202,0)))</f>
        <v/>
      </c>
      <c r="T168" s="89" t="str">
        <f ca="1">IF($B168="","",INDIRECT("aux_sheet_RRS!AB"&amp;1+MATCH(aux_sheet_RRS!$E167,aux_sheet_RRS!$D$2:$D$202,0)))</f>
        <v/>
      </c>
      <c r="U168" s="90" t="str">
        <f ca="1">IF(S168="","",INDIRECT("aux_sheet_RRS!AC"&amp;1+MATCH(aux_sheet_RRS!$E167,aux_sheet_RRS!$D$2:$D$202,0)))</f>
        <v/>
      </c>
      <c r="V168" s="106" t="str">
        <f ca="1">IF($B168="","",INDIRECT("aux_sheet_RRS!AD"&amp;1+MATCH(aux_sheet_RRS!$E167,aux_sheet_RRS!$D$2:$D$202,0)))</f>
        <v/>
      </c>
      <c r="W168" s="89" t="str">
        <f ca="1">IF($B168="","",INDIRECT("aux_sheet_RRS!AE"&amp;1+MATCH(aux_sheet_RRS!$E167,aux_sheet_RRS!$D$2:$D$202,0)))</f>
        <v/>
      </c>
      <c r="X168" s="90" t="str">
        <f ca="1">IF(V168="","",INDIRECT("aux_sheet_RRS!AF"&amp;1+MATCH(aux_sheet_RRS!$E167,aux_sheet_RRS!$D$2:$D$202,0)))</f>
        <v/>
      </c>
      <c r="Y168" s="106" t="str">
        <f ca="1">IF($B168="","",INDIRECT("aux_sheet_RRS!AG"&amp;1+MATCH(aux_sheet_RRS!$E167,aux_sheet_RRS!$D$2:$D$202,0)))</f>
        <v/>
      </c>
      <c r="Z168" s="89" t="str">
        <f ca="1">IF($B168="","",INDIRECT("aux_sheet_RRS!AH"&amp;1+MATCH(aux_sheet_RRS!$E167,aux_sheet_RRS!$D$2:$D$202,0)))</f>
        <v/>
      </c>
      <c r="AA168" s="90" t="str">
        <f ca="1">IF(Y168="","",INDIRECT("aux_sheet_RRS!AI"&amp;1+MATCH(aux_sheet_RRS!$E167,aux_sheet_RRS!$D$2:$D$202,0)))</f>
        <v/>
      </c>
      <c r="AB168" s="88" t="str">
        <f ca="1">IF($B168="","",INDIRECT("aux_sheet_RRS!AJ"&amp;1+MATCH(aux_sheet_RRS!$E167,aux_sheet_RRS!$D$2:$D$202,0)))</f>
        <v/>
      </c>
      <c r="AC168" s="89" t="str">
        <f ca="1">IF($B168="","",INDIRECT("aux_sheet_RRS!AK"&amp;1+MATCH(aux_sheet_RRS!$E167,aux_sheet_RRS!$D$2:$D$202,0)))</f>
        <v/>
      </c>
      <c r="AD168" s="90" t="str">
        <f ca="1">IF(AB168="","",INDIRECT("aux_sheet_RRS!AL"&amp;1+MATCH(aux_sheet_RRS!$E167,aux_sheet_RRS!$D$2:$D$202,0)))</f>
        <v/>
      </c>
      <c r="AE168" s="88" t="str">
        <f ca="1">IF($B168="","",INDIRECT("aux_sheet_RRS!AM"&amp;1+MATCH(aux_sheet_RRS!$E167,aux_sheet_RRS!$D$2:$D$202,0)))</f>
        <v/>
      </c>
      <c r="AF168" s="89" t="str">
        <f ca="1">IF($B168="","",INDIRECT("aux_sheet_RRS!AN"&amp;1+MATCH(aux_sheet_RRS!$E167,aux_sheet_RRS!$D$2:$D$202,0)))</f>
        <v/>
      </c>
      <c r="AG168" s="90" t="str">
        <f ca="1">IF(AE168="","",INDIRECT("aux_sheet_RRS!AO"&amp;1+MATCH(aux_sheet_RRS!$E167,aux_sheet_RRS!$D$2:$D$202,0)))</f>
        <v/>
      </c>
      <c r="AH168" s="14" t="str">
        <f t="shared" ca="1" si="9"/>
        <v/>
      </c>
      <c r="AI168" t="str">
        <f t="shared" ca="1" si="10"/>
        <v/>
      </c>
      <c r="AJ168" t="str">
        <f t="shared" ca="1" si="11"/>
        <v/>
      </c>
    </row>
    <row r="169" spans="1:36" x14ac:dyDescent="0.35">
      <c r="A169" s="2" t="str">
        <f>IF(ISBLANK(Input!A168),"",ROUNDDOWN(aux_sheet_RRS!E168,0))</f>
        <v/>
      </c>
      <c r="B169" s="2" t="str">
        <f ca="1">IF(ISBLANK(Input!A168),"",INDIRECT("Input!A"&amp;1+MATCH(aux_sheet_RRS!$E168,aux_sheet_RRS!$D$2:$D$202,0)))</f>
        <v/>
      </c>
      <c r="C169" s="2" t="str">
        <f ca="1">IF(ISBLANK(Input!B168),"",INDIRECT("Input!B"&amp;1+MATCH(aux_sheet_RRS!$E168,aux_sheet_RRS!$D$2:$D$202,0)))</f>
        <v/>
      </c>
      <c r="D169" s="2" t="str">
        <f ca="1">IF(ISBLANK(Input!C168),"",INDIRECT("Input!C"&amp;1+MATCH(aux_sheet_RRS!$E168,aux_sheet_RRS!$D$2:$D$202,0)))</f>
        <v/>
      </c>
      <c r="E169" s="2" t="str">
        <f ca="1">IF(ISBLANK(Input!D168),"",INDIRECT("Input!D"&amp;1+MATCH(aux_sheet_RRS!$E168,aux_sheet_RRS!$D$2:$D$202,0)))</f>
        <v/>
      </c>
      <c r="F169" s="11" t="str">
        <f ca="1">INDIRECT("Input!H"&amp;1+MATCH(aux_sheet_RRS!$E168,aux_sheet_RRS!$D$2:$D$202,0))</f>
        <v xml:space="preserve"> </v>
      </c>
      <c r="G169" s="88" t="str">
        <f ca="1">IF($B169="","",INDIRECT("aux_sheet_RRS!O"&amp;1+MATCH(aux_sheet_RRS!$E168,aux_sheet_RRS!$D$2:$D$202,0)))</f>
        <v/>
      </c>
      <c r="H169" s="89" t="str">
        <f ca="1">IF($B169="","",INDIRECT("aux_sheet_RRS!P"&amp;1+MATCH(aux_sheet_RRS!$E168,aux_sheet_RRS!$D$2:$D$202,0)))</f>
        <v/>
      </c>
      <c r="I169" s="90" t="str">
        <f ca="1">IF(G169="","",ROUNDDOWN(INDIRECT("aux_sheet_RRS!Q"&amp;1+MATCH(aux_sheet_RRS!$E168,aux_sheet_RRS!$D$2:$D$202,0)),0))</f>
        <v/>
      </c>
      <c r="J169" s="106" t="str">
        <f ca="1">IF($B169="","",INDIRECT("aux_sheet_RRS!R"&amp;1+MATCH(aux_sheet_RRS!$E168,aux_sheet_RRS!$D$2:$D$202,0)))</f>
        <v/>
      </c>
      <c r="K169" s="89" t="str">
        <f ca="1">IF($B169="","",INDIRECT("aux_sheet_RRS!S"&amp;1+MATCH(aux_sheet_RRS!$E168,aux_sheet_RRS!$D$2:$D$202,0)))</f>
        <v/>
      </c>
      <c r="L169" s="90" t="str">
        <f ca="1">IF(J169="","",ROUNDDOWN(INDIRECT("aux_sheet_RRS!T"&amp;1+MATCH(aux_sheet_RRS!$E168,aux_sheet_RRS!$D$2:$D$202,0)),0))</f>
        <v/>
      </c>
      <c r="M169" s="106" t="str">
        <f ca="1">IF($B169="","",INDIRECT("aux_sheet_RRS!U"&amp;1+MATCH(aux_sheet_RRS!$E168,aux_sheet_RRS!$D$2:$D$202,0)))</f>
        <v/>
      </c>
      <c r="N169" s="89" t="str">
        <f ca="1">IF($B169="","",INDIRECT("aux_sheet_RRS!V"&amp;1+MATCH(aux_sheet_RRS!$E168,aux_sheet_RRS!$D$2:$D$202,0)))</f>
        <v/>
      </c>
      <c r="O169" s="90" t="str">
        <f ca="1">IF(M169="","",ROUNDDOWN(INDIRECT("aux_sheet_RRS!W"&amp;1+MATCH(aux_sheet_RRS!$E168,aux_sheet_RRS!$D$2:$D$202,0)),0))</f>
        <v/>
      </c>
      <c r="P169" s="106" t="str">
        <f ca="1">IF($B169="","",INDIRECT("aux_sheet_RRS!X"&amp;1+MATCH(aux_sheet_RRS!$E168,aux_sheet_RRS!$D$2:$D$202,0)))</f>
        <v/>
      </c>
      <c r="Q169" s="89" t="str">
        <f ca="1">IF($B169="","",INDIRECT("aux_sheet_RRS!Y"&amp;1+MATCH(aux_sheet_RRS!$E168,aux_sheet_RRS!$D$2:$D$202,0)))</f>
        <v/>
      </c>
      <c r="R169" s="90" t="str">
        <f ca="1">IF(P169="","",INDIRECT("aux_sheet_RRS!Z"&amp;1+MATCH(aux_sheet_RRS!$E168,aux_sheet_RRS!$D$2:$D$202,0)))</f>
        <v/>
      </c>
      <c r="S169" s="106" t="str">
        <f ca="1">IF($B169="","",INDIRECT("aux_sheet_RRS!AA"&amp;1+MATCH(aux_sheet_RRS!$E168,aux_sheet_RRS!$D$2:$D$202,0)))</f>
        <v/>
      </c>
      <c r="T169" s="89" t="str">
        <f ca="1">IF($B169="","",INDIRECT("aux_sheet_RRS!AB"&amp;1+MATCH(aux_sheet_RRS!$E168,aux_sheet_RRS!$D$2:$D$202,0)))</f>
        <v/>
      </c>
      <c r="U169" s="90" t="str">
        <f ca="1">IF(S169="","",INDIRECT("aux_sheet_RRS!AC"&amp;1+MATCH(aux_sheet_RRS!$E168,aux_sheet_RRS!$D$2:$D$202,0)))</f>
        <v/>
      </c>
      <c r="V169" s="106" t="str">
        <f ca="1">IF($B169="","",INDIRECT("aux_sheet_RRS!AD"&amp;1+MATCH(aux_sheet_RRS!$E168,aux_sheet_RRS!$D$2:$D$202,0)))</f>
        <v/>
      </c>
      <c r="W169" s="89" t="str">
        <f ca="1">IF($B169="","",INDIRECT("aux_sheet_RRS!AE"&amp;1+MATCH(aux_sheet_RRS!$E168,aux_sheet_RRS!$D$2:$D$202,0)))</f>
        <v/>
      </c>
      <c r="X169" s="90" t="str">
        <f ca="1">IF(V169="","",INDIRECT("aux_sheet_RRS!AF"&amp;1+MATCH(aux_sheet_RRS!$E168,aux_sheet_RRS!$D$2:$D$202,0)))</f>
        <v/>
      </c>
      <c r="Y169" s="106" t="str">
        <f ca="1">IF($B169="","",INDIRECT("aux_sheet_RRS!AG"&amp;1+MATCH(aux_sheet_RRS!$E168,aux_sheet_RRS!$D$2:$D$202,0)))</f>
        <v/>
      </c>
      <c r="Z169" s="89" t="str">
        <f ca="1">IF($B169="","",INDIRECT("aux_sheet_RRS!AH"&amp;1+MATCH(aux_sheet_RRS!$E168,aux_sheet_RRS!$D$2:$D$202,0)))</f>
        <v/>
      </c>
      <c r="AA169" s="90" t="str">
        <f ca="1">IF(Y169="","",INDIRECT("aux_sheet_RRS!AI"&amp;1+MATCH(aux_sheet_RRS!$E168,aux_sheet_RRS!$D$2:$D$202,0)))</f>
        <v/>
      </c>
      <c r="AB169" s="88" t="str">
        <f ca="1">IF($B169="","",INDIRECT("aux_sheet_RRS!AJ"&amp;1+MATCH(aux_sheet_RRS!$E168,aux_sheet_RRS!$D$2:$D$202,0)))</f>
        <v/>
      </c>
      <c r="AC169" s="89" t="str">
        <f ca="1">IF($B169="","",INDIRECT("aux_sheet_RRS!AK"&amp;1+MATCH(aux_sheet_RRS!$E168,aux_sheet_RRS!$D$2:$D$202,0)))</f>
        <v/>
      </c>
      <c r="AD169" s="90" t="str">
        <f ca="1">IF(AB169="","",INDIRECT("aux_sheet_RRS!AL"&amp;1+MATCH(aux_sheet_RRS!$E168,aux_sheet_RRS!$D$2:$D$202,0)))</f>
        <v/>
      </c>
      <c r="AE169" s="88" t="str">
        <f ca="1">IF($B169="","",INDIRECT("aux_sheet_RRS!AM"&amp;1+MATCH(aux_sheet_RRS!$E168,aux_sheet_RRS!$D$2:$D$202,0)))</f>
        <v/>
      </c>
      <c r="AF169" s="89" t="str">
        <f ca="1">IF($B169="","",INDIRECT("aux_sheet_RRS!AN"&amp;1+MATCH(aux_sheet_RRS!$E168,aux_sheet_RRS!$D$2:$D$202,0)))</f>
        <v/>
      </c>
      <c r="AG169" s="90" t="str">
        <f ca="1">IF(AE169="","",INDIRECT("aux_sheet_RRS!AO"&amp;1+MATCH(aux_sheet_RRS!$E168,aux_sheet_RRS!$D$2:$D$202,0)))</f>
        <v/>
      </c>
      <c r="AH169" s="14" t="str">
        <f t="shared" ca="1" si="9"/>
        <v/>
      </c>
      <c r="AI169" t="str">
        <f t="shared" ca="1" si="10"/>
        <v/>
      </c>
      <c r="AJ169" t="str">
        <f t="shared" ca="1" si="11"/>
        <v/>
      </c>
    </row>
    <row r="170" spans="1:36" x14ac:dyDescent="0.35">
      <c r="A170" s="2" t="str">
        <f>IF(ISBLANK(Input!A169),"",ROUNDDOWN(aux_sheet_RRS!E169,0))</f>
        <v/>
      </c>
      <c r="B170" s="2" t="str">
        <f ca="1">IF(ISBLANK(Input!A169),"",INDIRECT("Input!A"&amp;1+MATCH(aux_sheet_RRS!$E169,aux_sheet_RRS!$D$2:$D$202,0)))</f>
        <v/>
      </c>
      <c r="C170" s="2" t="str">
        <f ca="1">IF(ISBLANK(Input!B169),"",INDIRECT("Input!B"&amp;1+MATCH(aux_sheet_RRS!$E169,aux_sheet_RRS!$D$2:$D$202,0)))</f>
        <v/>
      </c>
      <c r="D170" s="2" t="str">
        <f ca="1">IF(ISBLANK(Input!C169),"",INDIRECT("Input!C"&amp;1+MATCH(aux_sheet_RRS!$E169,aux_sheet_RRS!$D$2:$D$202,0)))</f>
        <v/>
      </c>
      <c r="E170" s="2" t="str">
        <f ca="1">IF(ISBLANK(Input!D169),"",INDIRECT("Input!D"&amp;1+MATCH(aux_sheet_RRS!$E169,aux_sheet_RRS!$D$2:$D$202,0)))</f>
        <v/>
      </c>
      <c r="F170" s="11" t="str">
        <f ca="1">INDIRECT("Input!H"&amp;1+MATCH(aux_sheet_RRS!$E169,aux_sheet_RRS!$D$2:$D$202,0))</f>
        <v xml:space="preserve"> </v>
      </c>
      <c r="G170" s="88" t="str">
        <f ca="1">IF($B170="","",INDIRECT("aux_sheet_RRS!O"&amp;1+MATCH(aux_sheet_RRS!$E169,aux_sheet_RRS!$D$2:$D$202,0)))</f>
        <v/>
      </c>
      <c r="H170" s="89" t="str">
        <f ca="1">IF($B170="","",INDIRECT("aux_sheet_RRS!P"&amp;1+MATCH(aux_sheet_RRS!$E169,aux_sheet_RRS!$D$2:$D$202,0)))</f>
        <v/>
      </c>
      <c r="I170" s="90" t="str">
        <f ca="1">IF(G170="","",ROUNDDOWN(INDIRECT("aux_sheet_RRS!Q"&amp;1+MATCH(aux_sheet_RRS!$E169,aux_sheet_RRS!$D$2:$D$202,0)),0))</f>
        <v/>
      </c>
      <c r="J170" s="106" t="str">
        <f ca="1">IF($B170="","",INDIRECT("aux_sheet_RRS!R"&amp;1+MATCH(aux_sheet_RRS!$E169,aux_sheet_RRS!$D$2:$D$202,0)))</f>
        <v/>
      </c>
      <c r="K170" s="89" t="str">
        <f ca="1">IF($B170="","",INDIRECT("aux_sheet_RRS!S"&amp;1+MATCH(aux_sheet_RRS!$E169,aux_sheet_RRS!$D$2:$D$202,0)))</f>
        <v/>
      </c>
      <c r="L170" s="90" t="str">
        <f ca="1">IF(J170="","",ROUNDDOWN(INDIRECT("aux_sheet_RRS!T"&amp;1+MATCH(aux_sheet_RRS!$E169,aux_sheet_RRS!$D$2:$D$202,0)),0))</f>
        <v/>
      </c>
      <c r="M170" s="106" t="str">
        <f ca="1">IF($B170="","",INDIRECT("aux_sheet_RRS!U"&amp;1+MATCH(aux_sheet_RRS!$E169,aux_sheet_RRS!$D$2:$D$202,0)))</f>
        <v/>
      </c>
      <c r="N170" s="89" t="str">
        <f ca="1">IF($B170="","",INDIRECT("aux_sheet_RRS!V"&amp;1+MATCH(aux_sheet_RRS!$E169,aux_sheet_RRS!$D$2:$D$202,0)))</f>
        <v/>
      </c>
      <c r="O170" s="90" t="str">
        <f ca="1">IF(M170="","",ROUNDDOWN(INDIRECT("aux_sheet_RRS!W"&amp;1+MATCH(aux_sheet_RRS!$E169,aux_sheet_RRS!$D$2:$D$202,0)),0))</f>
        <v/>
      </c>
      <c r="P170" s="106" t="str">
        <f ca="1">IF($B170="","",INDIRECT("aux_sheet_RRS!X"&amp;1+MATCH(aux_sheet_RRS!$E169,aux_sheet_RRS!$D$2:$D$202,0)))</f>
        <v/>
      </c>
      <c r="Q170" s="89" t="str">
        <f ca="1">IF($B170="","",INDIRECT("aux_sheet_RRS!Y"&amp;1+MATCH(aux_sheet_RRS!$E169,aux_sheet_RRS!$D$2:$D$202,0)))</f>
        <v/>
      </c>
      <c r="R170" s="90" t="str">
        <f ca="1">IF(P170="","",INDIRECT("aux_sheet_RRS!Z"&amp;1+MATCH(aux_sheet_RRS!$E169,aux_sheet_RRS!$D$2:$D$202,0)))</f>
        <v/>
      </c>
      <c r="S170" s="106" t="str">
        <f ca="1">IF($B170="","",INDIRECT("aux_sheet_RRS!AA"&amp;1+MATCH(aux_sheet_RRS!$E169,aux_sheet_RRS!$D$2:$D$202,0)))</f>
        <v/>
      </c>
      <c r="T170" s="89" t="str">
        <f ca="1">IF($B170="","",INDIRECT("aux_sheet_RRS!AB"&amp;1+MATCH(aux_sheet_RRS!$E169,aux_sheet_RRS!$D$2:$D$202,0)))</f>
        <v/>
      </c>
      <c r="U170" s="90" t="str">
        <f ca="1">IF(S170="","",INDIRECT("aux_sheet_RRS!AC"&amp;1+MATCH(aux_sheet_RRS!$E169,aux_sheet_RRS!$D$2:$D$202,0)))</f>
        <v/>
      </c>
      <c r="V170" s="106" t="str">
        <f ca="1">IF($B170="","",INDIRECT("aux_sheet_RRS!AD"&amp;1+MATCH(aux_sheet_RRS!$E169,aux_sheet_RRS!$D$2:$D$202,0)))</f>
        <v/>
      </c>
      <c r="W170" s="89" t="str">
        <f ca="1">IF($B170="","",INDIRECT("aux_sheet_RRS!AE"&amp;1+MATCH(aux_sheet_RRS!$E169,aux_sheet_RRS!$D$2:$D$202,0)))</f>
        <v/>
      </c>
      <c r="X170" s="90" t="str">
        <f ca="1">IF(V170="","",INDIRECT("aux_sheet_RRS!AF"&amp;1+MATCH(aux_sheet_RRS!$E169,aux_sheet_RRS!$D$2:$D$202,0)))</f>
        <v/>
      </c>
      <c r="Y170" s="106" t="str">
        <f ca="1">IF($B170="","",INDIRECT("aux_sheet_RRS!AG"&amp;1+MATCH(aux_sheet_RRS!$E169,aux_sheet_RRS!$D$2:$D$202,0)))</f>
        <v/>
      </c>
      <c r="Z170" s="89" t="str">
        <f ca="1">IF($B170="","",INDIRECT("aux_sheet_RRS!AH"&amp;1+MATCH(aux_sheet_RRS!$E169,aux_sheet_RRS!$D$2:$D$202,0)))</f>
        <v/>
      </c>
      <c r="AA170" s="90" t="str">
        <f ca="1">IF(Y170="","",INDIRECT("aux_sheet_RRS!AI"&amp;1+MATCH(aux_sheet_RRS!$E169,aux_sheet_RRS!$D$2:$D$202,0)))</f>
        <v/>
      </c>
      <c r="AB170" s="88" t="str">
        <f ca="1">IF($B170="","",INDIRECT("aux_sheet_RRS!AJ"&amp;1+MATCH(aux_sheet_RRS!$E169,aux_sheet_RRS!$D$2:$D$202,0)))</f>
        <v/>
      </c>
      <c r="AC170" s="89" t="str">
        <f ca="1">IF($B170="","",INDIRECT("aux_sheet_RRS!AK"&amp;1+MATCH(aux_sheet_RRS!$E169,aux_sheet_RRS!$D$2:$D$202,0)))</f>
        <v/>
      </c>
      <c r="AD170" s="90" t="str">
        <f ca="1">IF(AB170="","",INDIRECT("aux_sheet_RRS!AL"&amp;1+MATCH(aux_sheet_RRS!$E169,aux_sheet_RRS!$D$2:$D$202,0)))</f>
        <v/>
      </c>
      <c r="AE170" s="88" t="str">
        <f ca="1">IF($B170="","",INDIRECT("aux_sheet_RRS!AM"&amp;1+MATCH(aux_sheet_RRS!$E169,aux_sheet_RRS!$D$2:$D$202,0)))</f>
        <v/>
      </c>
      <c r="AF170" s="89" t="str">
        <f ca="1">IF($B170="","",INDIRECT("aux_sheet_RRS!AN"&amp;1+MATCH(aux_sheet_RRS!$E169,aux_sheet_RRS!$D$2:$D$202,0)))</f>
        <v/>
      </c>
      <c r="AG170" s="90" t="str">
        <f ca="1">IF(AE170="","",INDIRECT("aux_sheet_RRS!AO"&amp;1+MATCH(aux_sheet_RRS!$E169,aux_sheet_RRS!$D$2:$D$202,0)))</f>
        <v/>
      </c>
      <c r="AH170" s="14" t="str">
        <f t="shared" ca="1" si="9"/>
        <v/>
      </c>
      <c r="AI170" t="str">
        <f t="shared" ca="1" si="10"/>
        <v/>
      </c>
      <c r="AJ170" t="str">
        <f t="shared" ca="1" si="11"/>
        <v/>
      </c>
    </row>
    <row r="171" spans="1:36" x14ac:dyDescent="0.35">
      <c r="A171" s="2" t="str">
        <f>IF(ISBLANK(Input!A170),"",ROUNDDOWN(aux_sheet_RRS!E170,0))</f>
        <v/>
      </c>
      <c r="B171" s="2" t="str">
        <f ca="1">IF(ISBLANK(Input!A170),"",INDIRECT("Input!A"&amp;1+MATCH(aux_sheet_RRS!$E170,aux_sheet_RRS!$D$2:$D$202,0)))</f>
        <v/>
      </c>
      <c r="C171" s="2" t="str">
        <f ca="1">IF(ISBLANK(Input!B170),"",INDIRECT("Input!B"&amp;1+MATCH(aux_sheet_RRS!$E170,aux_sheet_RRS!$D$2:$D$202,0)))</f>
        <v/>
      </c>
      <c r="D171" s="2" t="str">
        <f ca="1">IF(ISBLANK(Input!C170),"",INDIRECT("Input!C"&amp;1+MATCH(aux_sheet_RRS!$E170,aux_sheet_RRS!$D$2:$D$202,0)))</f>
        <v/>
      </c>
      <c r="E171" s="2" t="str">
        <f ca="1">IF(ISBLANK(Input!D170),"",INDIRECT("Input!D"&amp;1+MATCH(aux_sheet_RRS!$E170,aux_sheet_RRS!$D$2:$D$202,0)))</f>
        <v/>
      </c>
      <c r="F171" s="11" t="str">
        <f ca="1">INDIRECT("Input!H"&amp;1+MATCH(aux_sheet_RRS!$E170,aux_sheet_RRS!$D$2:$D$202,0))</f>
        <v xml:space="preserve"> </v>
      </c>
      <c r="G171" s="88" t="str">
        <f ca="1">IF($B171="","",INDIRECT("aux_sheet_RRS!O"&amp;1+MATCH(aux_sheet_RRS!$E170,aux_sheet_RRS!$D$2:$D$202,0)))</f>
        <v/>
      </c>
      <c r="H171" s="89" t="str">
        <f ca="1">IF($B171="","",INDIRECT("aux_sheet_RRS!P"&amp;1+MATCH(aux_sheet_RRS!$E170,aux_sheet_RRS!$D$2:$D$202,0)))</f>
        <v/>
      </c>
      <c r="I171" s="90" t="str">
        <f ca="1">IF(G171="","",ROUNDDOWN(INDIRECT("aux_sheet_RRS!Q"&amp;1+MATCH(aux_sheet_RRS!$E170,aux_sheet_RRS!$D$2:$D$202,0)),0))</f>
        <v/>
      </c>
      <c r="J171" s="106" t="str">
        <f ca="1">IF($B171="","",INDIRECT("aux_sheet_RRS!R"&amp;1+MATCH(aux_sheet_RRS!$E170,aux_sheet_RRS!$D$2:$D$202,0)))</f>
        <v/>
      </c>
      <c r="K171" s="89" t="str">
        <f ca="1">IF($B171="","",INDIRECT("aux_sheet_RRS!S"&amp;1+MATCH(aux_sheet_RRS!$E170,aux_sheet_RRS!$D$2:$D$202,0)))</f>
        <v/>
      </c>
      <c r="L171" s="90" t="str">
        <f ca="1">IF(J171="","",ROUNDDOWN(INDIRECT("aux_sheet_RRS!T"&amp;1+MATCH(aux_sheet_RRS!$E170,aux_sheet_RRS!$D$2:$D$202,0)),0))</f>
        <v/>
      </c>
      <c r="M171" s="106" t="str">
        <f ca="1">IF($B171="","",INDIRECT("aux_sheet_RRS!U"&amp;1+MATCH(aux_sheet_RRS!$E170,aux_sheet_RRS!$D$2:$D$202,0)))</f>
        <v/>
      </c>
      <c r="N171" s="89" t="str">
        <f ca="1">IF($B171="","",INDIRECT("aux_sheet_RRS!V"&amp;1+MATCH(aux_sheet_RRS!$E170,aux_sheet_RRS!$D$2:$D$202,0)))</f>
        <v/>
      </c>
      <c r="O171" s="90" t="str">
        <f ca="1">IF(M171="","",ROUNDDOWN(INDIRECT("aux_sheet_RRS!W"&amp;1+MATCH(aux_sheet_RRS!$E170,aux_sheet_RRS!$D$2:$D$202,0)),0))</f>
        <v/>
      </c>
      <c r="P171" s="106" t="str">
        <f ca="1">IF($B171="","",INDIRECT("aux_sheet_RRS!X"&amp;1+MATCH(aux_sheet_RRS!$E170,aux_sheet_RRS!$D$2:$D$202,0)))</f>
        <v/>
      </c>
      <c r="Q171" s="89" t="str">
        <f ca="1">IF($B171="","",INDIRECT("aux_sheet_RRS!Y"&amp;1+MATCH(aux_sheet_RRS!$E170,aux_sheet_RRS!$D$2:$D$202,0)))</f>
        <v/>
      </c>
      <c r="R171" s="90" t="str">
        <f ca="1">IF(P171="","",INDIRECT("aux_sheet_RRS!Z"&amp;1+MATCH(aux_sheet_RRS!$E170,aux_sheet_RRS!$D$2:$D$202,0)))</f>
        <v/>
      </c>
      <c r="S171" s="106" t="str">
        <f ca="1">IF($B171="","",INDIRECT("aux_sheet_RRS!AA"&amp;1+MATCH(aux_sheet_RRS!$E170,aux_sheet_RRS!$D$2:$D$202,0)))</f>
        <v/>
      </c>
      <c r="T171" s="89" t="str">
        <f ca="1">IF($B171="","",INDIRECT("aux_sheet_RRS!AB"&amp;1+MATCH(aux_sheet_RRS!$E170,aux_sheet_RRS!$D$2:$D$202,0)))</f>
        <v/>
      </c>
      <c r="U171" s="90" t="str">
        <f ca="1">IF(S171="","",INDIRECT("aux_sheet_RRS!AC"&amp;1+MATCH(aux_sheet_RRS!$E170,aux_sheet_RRS!$D$2:$D$202,0)))</f>
        <v/>
      </c>
      <c r="V171" s="106" t="str">
        <f ca="1">IF($B171="","",INDIRECT("aux_sheet_RRS!AD"&amp;1+MATCH(aux_sheet_RRS!$E170,aux_sheet_RRS!$D$2:$D$202,0)))</f>
        <v/>
      </c>
      <c r="W171" s="89" t="str">
        <f ca="1">IF($B171="","",INDIRECT("aux_sheet_RRS!AE"&amp;1+MATCH(aux_sheet_RRS!$E170,aux_sheet_RRS!$D$2:$D$202,0)))</f>
        <v/>
      </c>
      <c r="X171" s="90" t="str">
        <f ca="1">IF(V171="","",INDIRECT("aux_sheet_RRS!AF"&amp;1+MATCH(aux_sheet_RRS!$E170,aux_sheet_RRS!$D$2:$D$202,0)))</f>
        <v/>
      </c>
      <c r="Y171" s="106" t="str">
        <f ca="1">IF($B171="","",INDIRECT("aux_sheet_RRS!AG"&amp;1+MATCH(aux_sheet_RRS!$E170,aux_sheet_RRS!$D$2:$D$202,0)))</f>
        <v/>
      </c>
      <c r="Z171" s="89" t="str">
        <f ca="1">IF($B171="","",INDIRECT("aux_sheet_RRS!AH"&amp;1+MATCH(aux_sheet_RRS!$E170,aux_sheet_RRS!$D$2:$D$202,0)))</f>
        <v/>
      </c>
      <c r="AA171" s="90" t="str">
        <f ca="1">IF(Y171="","",INDIRECT("aux_sheet_RRS!AI"&amp;1+MATCH(aux_sheet_RRS!$E170,aux_sheet_RRS!$D$2:$D$202,0)))</f>
        <v/>
      </c>
      <c r="AB171" s="88" t="str">
        <f ca="1">IF($B171="","",INDIRECT("aux_sheet_RRS!AJ"&amp;1+MATCH(aux_sheet_RRS!$E170,aux_sheet_RRS!$D$2:$D$202,0)))</f>
        <v/>
      </c>
      <c r="AC171" s="89" t="str">
        <f ca="1">IF($B171="","",INDIRECT("aux_sheet_RRS!AK"&amp;1+MATCH(aux_sheet_RRS!$E170,aux_sheet_RRS!$D$2:$D$202,0)))</f>
        <v/>
      </c>
      <c r="AD171" s="90" t="str">
        <f ca="1">IF(AB171="","",INDIRECT("aux_sheet_RRS!AL"&amp;1+MATCH(aux_sheet_RRS!$E170,aux_sheet_RRS!$D$2:$D$202,0)))</f>
        <v/>
      </c>
      <c r="AE171" s="88" t="str">
        <f ca="1">IF($B171="","",INDIRECT("aux_sheet_RRS!AM"&amp;1+MATCH(aux_sheet_RRS!$E170,aux_sheet_RRS!$D$2:$D$202,0)))</f>
        <v/>
      </c>
      <c r="AF171" s="89" t="str">
        <f ca="1">IF($B171="","",INDIRECT("aux_sheet_RRS!AN"&amp;1+MATCH(aux_sheet_RRS!$E170,aux_sheet_RRS!$D$2:$D$202,0)))</f>
        <v/>
      </c>
      <c r="AG171" s="90" t="str">
        <f ca="1">IF(AE171="","",INDIRECT("aux_sheet_RRS!AO"&amp;1+MATCH(aux_sheet_RRS!$E170,aux_sheet_RRS!$D$2:$D$202,0)))</f>
        <v/>
      </c>
      <c r="AH171" s="14" t="str">
        <f t="shared" ca="1" si="9"/>
        <v/>
      </c>
      <c r="AI171" t="str">
        <f t="shared" ca="1" si="10"/>
        <v/>
      </c>
      <c r="AJ171" t="str">
        <f t="shared" ca="1" si="11"/>
        <v/>
      </c>
    </row>
    <row r="172" spans="1:36" x14ac:dyDescent="0.35">
      <c r="A172" s="2" t="str">
        <f>IF(ISBLANK(Input!A171),"",ROUNDDOWN(aux_sheet_RRS!E171,0))</f>
        <v/>
      </c>
      <c r="B172" s="2" t="str">
        <f ca="1">IF(ISBLANK(Input!A171),"",INDIRECT("Input!A"&amp;1+MATCH(aux_sheet_RRS!$E171,aux_sheet_RRS!$D$2:$D$202,0)))</f>
        <v/>
      </c>
      <c r="C172" s="2" t="str">
        <f ca="1">IF(ISBLANK(Input!B171),"",INDIRECT("Input!B"&amp;1+MATCH(aux_sheet_RRS!$E171,aux_sheet_RRS!$D$2:$D$202,0)))</f>
        <v/>
      </c>
      <c r="D172" s="2" t="str">
        <f ca="1">IF(ISBLANK(Input!C171),"",INDIRECT("Input!C"&amp;1+MATCH(aux_sheet_RRS!$E171,aux_sheet_RRS!$D$2:$D$202,0)))</f>
        <v/>
      </c>
      <c r="E172" s="2" t="str">
        <f ca="1">IF(ISBLANK(Input!D171),"",INDIRECT("Input!D"&amp;1+MATCH(aux_sheet_RRS!$E171,aux_sheet_RRS!$D$2:$D$202,0)))</f>
        <v/>
      </c>
      <c r="F172" s="11" t="str">
        <f ca="1">INDIRECT("Input!H"&amp;1+MATCH(aux_sheet_RRS!$E171,aux_sheet_RRS!$D$2:$D$202,0))</f>
        <v xml:space="preserve"> </v>
      </c>
      <c r="G172" s="88" t="str">
        <f ca="1">IF($B172="","",INDIRECT("aux_sheet_RRS!O"&amp;1+MATCH(aux_sheet_RRS!$E171,aux_sheet_RRS!$D$2:$D$202,0)))</f>
        <v/>
      </c>
      <c r="H172" s="89" t="str">
        <f ca="1">IF($B172="","",INDIRECT("aux_sheet_RRS!P"&amp;1+MATCH(aux_sheet_RRS!$E171,aux_sheet_RRS!$D$2:$D$202,0)))</f>
        <v/>
      </c>
      <c r="I172" s="90" t="str">
        <f ca="1">IF(G172="","",ROUNDDOWN(INDIRECT("aux_sheet_RRS!Q"&amp;1+MATCH(aux_sheet_RRS!$E171,aux_sheet_RRS!$D$2:$D$202,0)),0))</f>
        <v/>
      </c>
      <c r="J172" s="106" t="str">
        <f ca="1">IF($B172="","",INDIRECT("aux_sheet_RRS!R"&amp;1+MATCH(aux_sheet_RRS!$E171,aux_sheet_RRS!$D$2:$D$202,0)))</f>
        <v/>
      </c>
      <c r="K172" s="89" t="str">
        <f ca="1">IF($B172="","",INDIRECT("aux_sheet_RRS!S"&amp;1+MATCH(aux_sheet_RRS!$E171,aux_sheet_RRS!$D$2:$D$202,0)))</f>
        <v/>
      </c>
      <c r="L172" s="90" t="str">
        <f ca="1">IF(J172="","",ROUNDDOWN(INDIRECT("aux_sheet_RRS!T"&amp;1+MATCH(aux_sheet_RRS!$E171,aux_sheet_RRS!$D$2:$D$202,0)),0))</f>
        <v/>
      </c>
      <c r="M172" s="106" t="str">
        <f ca="1">IF($B172="","",INDIRECT("aux_sheet_RRS!U"&amp;1+MATCH(aux_sheet_RRS!$E171,aux_sheet_RRS!$D$2:$D$202,0)))</f>
        <v/>
      </c>
      <c r="N172" s="89" t="str">
        <f ca="1">IF($B172="","",INDIRECT("aux_sheet_RRS!V"&amp;1+MATCH(aux_sheet_RRS!$E171,aux_sheet_RRS!$D$2:$D$202,0)))</f>
        <v/>
      </c>
      <c r="O172" s="90" t="str">
        <f ca="1">IF(M172="","",ROUNDDOWN(INDIRECT("aux_sheet_RRS!W"&amp;1+MATCH(aux_sheet_RRS!$E171,aux_sheet_RRS!$D$2:$D$202,0)),0))</f>
        <v/>
      </c>
      <c r="P172" s="106" t="str">
        <f ca="1">IF($B172="","",INDIRECT("aux_sheet_RRS!X"&amp;1+MATCH(aux_sheet_RRS!$E171,aux_sheet_RRS!$D$2:$D$202,0)))</f>
        <v/>
      </c>
      <c r="Q172" s="89" t="str">
        <f ca="1">IF($B172="","",INDIRECT("aux_sheet_RRS!Y"&amp;1+MATCH(aux_sheet_RRS!$E171,aux_sheet_RRS!$D$2:$D$202,0)))</f>
        <v/>
      </c>
      <c r="R172" s="90" t="str">
        <f ca="1">IF(P172="","",INDIRECT("aux_sheet_RRS!Z"&amp;1+MATCH(aux_sheet_RRS!$E171,aux_sheet_RRS!$D$2:$D$202,0)))</f>
        <v/>
      </c>
      <c r="S172" s="106" t="str">
        <f ca="1">IF($B172="","",INDIRECT("aux_sheet_RRS!AA"&amp;1+MATCH(aux_sheet_RRS!$E171,aux_sheet_RRS!$D$2:$D$202,0)))</f>
        <v/>
      </c>
      <c r="T172" s="89" t="str">
        <f ca="1">IF($B172="","",INDIRECT("aux_sheet_RRS!AB"&amp;1+MATCH(aux_sheet_RRS!$E171,aux_sheet_RRS!$D$2:$D$202,0)))</f>
        <v/>
      </c>
      <c r="U172" s="90" t="str">
        <f ca="1">IF(S172="","",INDIRECT("aux_sheet_RRS!AC"&amp;1+MATCH(aux_sheet_RRS!$E171,aux_sheet_RRS!$D$2:$D$202,0)))</f>
        <v/>
      </c>
      <c r="V172" s="106" t="str">
        <f ca="1">IF($B172="","",INDIRECT("aux_sheet_RRS!AD"&amp;1+MATCH(aux_sheet_RRS!$E171,aux_sheet_RRS!$D$2:$D$202,0)))</f>
        <v/>
      </c>
      <c r="W172" s="89" t="str">
        <f ca="1">IF($B172="","",INDIRECT("aux_sheet_RRS!AE"&amp;1+MATCH(aux_sheet_RRS!$E171,aux_sheet_RRS!$D$2:$D$202,0)))</f>
        <v/>
      </c>
      <c r="X172" s="90" t="str">
        <f ca="1">IF(V172="","",INDIRECT("aux_sheet_RRS!AF"&amp;1+MATCH(aux_sheet_RRS!$E171,aux_sheet_RRS!$D$2:$D$202,0)))</f>
        <v/>
      </c>
      <c r="Y172" s="106" t="str">
        <f ca="1">IF($B172="","",INDIRECT("aux_sheet_RRS!AG"&amp;1+MATCH(aux_sheet_RRS!$E171,aux_sheet_RRS!$D$2:$D$202,0)))</f>
        <v/>
      </c>
      <c r="Z172" s="89" t="str">
        <f ca="1">IF($B172="","",INDIRECT("aux_sheet_RRS!AH"&amp;1+MATCH(aux_sheet_RRS!$E171,aux_sheet_RRS!$D$2:$D$202,0)))</f>
        <v/>
      </c>
      <c r="AA172" s="90" t="str">
        <f ca="1">IF(Y172="","",INDIRECT("aux_sheet_RRS!AI"&amp;1+MATCH(aux_sheet_RRS!$E171,aux_sheet_RRS!$D$2:$D$202,0)))</f>
        <v/>
      </c>
      <c r="AB172" s="88" t="str">
        <f ca="1">IF($B172="","",INDIRECT("aux_sheet_RRS!AJ"&amp;1+MATCH(aux_sheet_RRS!$E171,aux_sheet_RRS!$D$2:$D$202,0)))</f>
        <v/>
      </c>
      <c r="AC172" s="89" t="str">
        <f ca="1">IF($B172="","",INDIRECT("aux_sheet_RRS!AK"&amp;1+MATCH(aux_sheet_RRS!$E171,aux_sheet_RRS!$D$2:$D$202,0)))</f>
        <v/>
      </c>
      <c r="AD172" s="90" t="str">
        <f ca="1">IF(AB172="","",INDIRECT("aux_sheet_RRS!AL"&amp;1+MATCH(aux_sheet_RRS!$E171,aux_sheet_RRS!$D$2:$D$202,0)))</f>
        <v/>
      </c>
      <c r="AE172" s="88" t="str">
        <f ca="1">IF($B172="","",INDIRECT("aux_sheet_RRS!AM"&amp;1+MATCH(aux_sheet_RRS!$E171,aux_sheet_RRS!$D$2:$D$202,0)))</f>
        <v/>
      </c>
      <c r="AF172" s="89" t="str">
        <f ca="1">IF($B172="","",INDIRECT("aux_sheet_RRS!AN"&amp;1+MATCH(aux_sheet_RRS!$E171,aux_sheet_RRS!$D$2:$D$202,0)))</f>
        <v/>
      </c>
      <c r="AG172" s="90" t="str">
        <f ca="1">IF(AE172="","",INDIRECT("aux_sheet_RRS!AO"&amp;1+MATCH(aux_sheet_RRS!$E171,aux_sheet_RRS!$D$2:$D$202,0)))</f>
        <v/>
      </c>
      <c r="AH172" s="14" t="str">
        <f t="shared" ca="1" si="9"/>
        <v/>
      </c>
      <c r="AI172" t="str">
        <f t="shared" ca="1" si="10"/>
        <v/>
      </c>
      <c r="AJ172" t="str">
        <f t="shared" ca="1" si="11"/>
        <v/>
      </c>
    </row>
    <row r="173" spans="1:36" x14ac:dyDescent="0.35">
      <c r="A173" s="2" t="str">
        <f>IF(ISBLANK(Input!A172),"",ROUNDDOWN(aux_sheet_RRS!E172,0))</f>
        <v/>
      </c>
      <c r="B173" s="2" t="str">
        <f ca="1">IF(ISBLANK(Input!A172),"",INDIRECT("Input!A"&amp;1+MATCH(aux_sheet_RRS!$E172,aux_sheet_RRS!$D$2:$D$202,0)))</f>
        <v/>
      </c>
      <c r="C173" s="2" t="str">
        <f ca="1">IF(ISBLANK(Input!B172),"",INDIRECT("Input!B"&amp;1+MATCH(aux_sheet_RRS!$E172,aux_sheet_RRS!$D$2:$D$202,0)))</f>
        <v/>
      </c>
      <c r="D173" s="2" t="str">
        <f ca="1">IF(ISBLANK(Input!C172),"",INDIRECT("Input!C"&amp;1+MATCH(aux_sheet_RRS!$E172,aux_sheet_RRS!$D$2:$D$202,0)))</f>
        <v/>
      </c>
      <c r="E173" s="2" t="str">
        <f ca="1">IF(ISBLANK(Input!D172),"",INDIRECT("Input!D"&amp;1+MATCH(aux_sheet_RRS!$E172,aux_sheet_RRS!$D$2:$D$202,0)))</f>
        <v/>
      </c>
      <c r="F173" s="11" t="str">
        <f ca="1">INDIRECT("Input!H"&amp;1+MATCH(aux_sheet_RRS!$E172,aux_sheet_RRS!$D$2:$D$202,0))</f>
        <v xml:space="preserve"> </v>
      </c>
      <c r="G173" s="88" t="str">
        <f ca="1">IF($B173="","",INDIRECT("aux_sheet_RRS!O"&amp;1+MATCH(aux_sheet_RRS!$E172,aux_sheet_RRS!$D$2:$D$202,0)))</f>
        <v/>
      </c>
      <c r="H173" s="89" t="str">
        <f ca="1">IF($B173="","",INDIRECT("aux_sheet_RRS!P"&amp;1+MATCH(aux_sheet_RRS!$E172,aux_sheet_RRS!$D$2:$D$202,0)))</f>
        <v/>
      </c>
      <c r="I173" s="90" t="str">
        <f ca="1">IF(G173="","",ROUNDDOWN(INDIRECT("aux_sheet_RRS!Q"&amp;1+MATCH(aux_sheet_RRS!$E172,aux_sheet_RRS!$D$2:$D$202,0)),0))</f>
        <v/>
      </c>
      <c r="J173" s="106" t="str">
        <f ca="1">IF($B173="","",INDIRECT("aux_sheet_RRS!R"&amp;1+MATCH(aux_sheet_RRS!$E172,aux_sheet_RRS!$D$2:$D$202,0)))</f>
        <v/>
      </c>
      <c r="K173" s="89" t="str">
        <f ca="1">IF($B173="","",INDIRECT("aux_sheet_RRS!S"&amp;1+MATCH(aux_sheet_RRS!$E172,aux_sheet_RRS!$D$2:$D$202,0)))</f>
        <v/>
      </c>
      <c r="L173" s="90" t="str">
        <f ca="1">IF(J173="","",ROUNDDOWN(INDIRECT("aux_sheet_RRS!T"&amp;1+MATCH(aux_sheet_RRS!$E172,aux_sheet_RRS!$D$2:$D$202,0)),0))</f>
        <v/>
      </c>
      <c r="M173" s="106" t="str">
        <f ca="1">IF($B173="","",INDIRECT("aux_sheet_RRS!U"&amp;1+MATCH(aux_sheet_RRS!$E172,aux_sheet_RRS!$D$2:$D$202,0)))</f>
        <v/>
      </c>
      <c r="N173" s="89" t="str">
        <f ca="1">IF($B173="","",INDIRECT("aux_sheet_RRS!V"&amp;1+MATCH(aux_sheet_RRS!$E172,aux_sheet_RRS!$D$2:$D$202,0)))</f>
        <v/>
      </c>
      <c r="O173" s="90" t="str">
        <f ca="1">IF(M173="","",ROUNDDOWN(INDIRECT("aux_sheet_RRS!W"&amp;1+MATCH(aux_sheet_RRS!$E172,aux_sheet_RRS!$D$2:$D$202,0)),0))</f>
        <v/>
      </c>
      <c r="P173" s="106" t="str">
        <f ca="1">IF($B173="","",INDIRECT("aux_sheet_RRS!X"&amp;1+MATCH(aux_sheet_RRS!$E172,aux_sheet_RRS!$D$2:$D$202,0)))</f>
        <v/>
      </c>
      <c r="Q173" s="89" t="str">
        <f ca="1">IF($B173="","",INDIRECT("aux_sheet_RRS!Y"&amp;1+MATCH(aux_sheet_RRS!$E172,aux_sheet_RRS!$D$2:$D$202,0)))</f>
        <v/>
      </c>
      <c r="R173" s="90" t="str">
        <f ca="1">IF(P173="","",INDIRECT("aux_sheet_RRS!Z"&amp;1+MATCH(aux_sheet_RRS!$E172,aux_sheet_RRS!$D$2:$D$202,0)))</f>
        <v/>
      </c>
      <c r="S173" s="106" t="str">
        <f ca="1">IF($B173="","",INDIRECT("aux_sheet_RRS!AA"&amp;1+MATCH(aux_sheet_RRS!$E172,aux_sheet_RRS!$D$2:$D$202,0)))</f>
        <v/>
      </c>
      <c r="T173" s="89" t="str">
        <f ca="1">IF($B173="","",INDIRECT("aux_sheet_RRS!AB"&amp;1+MATCH(aux_sheet_RRS!$E172,aux_sheet_RRS!$D$2:$D$202,0)))</f>
        <v/>
      </c>
      <c r="U173" s="90" t="str">
        <f ca="1">IF(S173="","",INDIRECT("aux_sheet_RRS!AC"&amp;1+MATCH(aux_sheet_RRS!$E172,aux_sheet_RRS!$D$2:$D$202,0)))</f>
        <v/>
      </c>
      <c r="V173" s="106" t="str">
        <f ca="1">IF($B173="","",INDIRECT("aux_sheet_RRS!AD"&amp;1+MATCH(aux_sheet_RRS!$E172,aux_sheet_RRS!$D$2:$D$202,0)))</f>
        <v/>
      </c>
      <c r="W173" s="89" t="str">
        <f ca="1">IF($B173="","",INDIRECT("aux_sheet_RRS!AE"&amp;1+MATCH(aux_sheet_RRS!$E172,aux_sheet_RRS!$D$2:$D$202,0)))</f>
        <v/>
      </c>
      <c r="X173" s="90" t="str">
        <f ca="1">IF(V173="","",INDIRECT("aux_sheet_RRS!AF"&amp;1+MATCH(aux_sheet_RRS!$E172,aux_sheet_RRS!$D$2:$D$202,0)))</f>
        <v/>
      </c>
      <c r="Y173" s="106" t="str">
        <f ca="1">IF($B173="","",INDIRECT("aux_sheet_RRS!AG"&amp;1+MATCH(aux_sheet_RRS!$E172,aux_sheet_RRS!$D$2:$D$202,0)))</f>
        <v/>
      </c>
      <c r="Z173" s="89" t="str">
        <f ca="1">IF($B173="","",INDIRECT("aux_sheet_RRS!AH"&amp;1+MATCH(aux_sheet_RRS!$E172,aux_sheet_RRS!$D$2:$D$202,0)))</f>
        <v/>
      </c>
      <c r="AA173" s="90" t="str">
        <f ca="1">IF(Y173="","",INDIRECT("aux_sheet_RRS!AI"&amp;1+MATCH(aux_sheet_RRS!$E172,aux_sheet_RRS!$D$2:$D$202,0)))</f>
        <v/>
      </c>
      <c r="AB173" s="88" t="str">
        <f ca="1">IF($B173="","",INDIRECT("aux_sheet_RRS!AJ"&amp;1+MATCH(aux_sheet_RRS!$E172,aux_sheet_RRS!$D$2:$D$202,0)))</f>
        <v/>
      </c>
      <c r="AC173" s="89" t="str">
        <f ca="1">IF($B173="","",INDIRECT("aux_sheet_RRS!AK"&amp;1+MATCH(aux_sheet_RRS!$E172,aux_sheet_RRS!$D$2:$D$202,0)))</f>
        <v/>
      </c>
      <c r="AD173" s="90" t="str">
        <f ca="1">IF(AB173="","",INDIRECT("aux_sheet_RRS!AL"&amp;1+MATCH(aux_sheet_RRS!$E172,aux_sheet_RRS!$D$2:$D$202,0)))</f>
        <v/>
      </c>
      <c r="AE173" s="88" t="str">
        <f ca="1">IF($B173="","",INDIRECT("aux_sheet_RRS!AM"&amp;1+MATCH(aux_sheet_RRS!$E172,aux_sheet_RRS!$D$2:$D$202,0)))</f>
        <v/>
      </c>
      <c r="AF173" s="89" t="str">
        <f ca="1">IF($B173="","",INDIRECT("aux_sheet_RRS!AN"&amp;1+MATCH(aux_sheet_RRS!$E172,aux_sheet_RRS!$D$2:$D$202,0)))</f>
        <v/>
      </c>
      <c r="AG173" s="90" t="str">
        <f ca="1">IF(AE173="","",INDIRECT("aux_sheet_RRS!AO"&amp;1+MATCH(aux_sheet_RRS!$E172,aux_sheet_RRS!$D$2:$D$202,0)))</f>
        <v/>
      </c>
      <c r="AH173" s="14" t="str">
        <f t="shared" ca="1" si="9"/>
        <v/>
      </c>
      <c r="AI173" t="str">
        <f t="shared" ca="1" si="10"/>
        <v/>
      </c>
      <c r="AJ173" t="str">
        <f t="shared" ca="1" si="11"/>
        <v/>
      </c>
    </row>
    <row r="174" spans="1:36" x14ac:dyDescent="0.35">
      <c r="A174" s="2" t="str">
        <f>IF(ISBLANK(Input!A173),"",ROUNDDOWN(aux_sheet_RRS!E173,0))</f>
        <v/>
      </c>
      <c r="B174" s="2" t="str">
        <f ca="1">IF(ISBLANK(Input!A173),"",INDIRECT("Input!A"&amp;1+MATCH(aux_sheet_RRS!$E173,aux_sheet_RRS!$D$2:$D$202,0)))</f>
        <v/>
      </c>
      <c r="C174" s="2" t="str">
        <f ca="1">IF(ISBLANK(Input!B173),"",INDIRECT("Input!B"&amp;1+MATCH(aux_sheet_RRS!$E173,aux_sheet_RRS!$D$2:$D$202,0)))</f>
        <v/>
      </c>
      <c r="D174" s="2" t="str">
        <f ca="1">IF(ISBLANK(Input!C173),"",INDIRECT("Input!C"&amp;1+MATCH(aux_sheet_RRS!$E173,aux_sheet_RRS!$D$2:$D$202,0)))</f>
        <v/>
      </c>
      <c r="E174" s="2" t="str">
        <f ca="1">IF(ISBLANK(Input!D173),"",INDIRECT("Input!D"&amp;1+MATCH(aux_sheet_RRS!$E173,aux_sheet_RRS!$D$2:$D$202,0)))</f>
        <v/>
      </c>
      <c r="F174" s="11" t="str">
        <f ca="1">INDIRECT("Input!H"&amp;1+MATCH(aux_sheet_RRS!$E173,aux_sheet_RRS!$D$2:$D$202,0))</f>
        <v xml:space="preserve"> </v>
      </c>
      <c r="G174" s="88" t="str">
        <f ca="1">IF($B174="","",INDIRECT("aux_sheet_RRS!O"&amp;1+MATCH(aux_sheet_RRS!$E173,aux_sheet_RRS!$D$2:$D$202,0)))</f>
        <v/>
      </c>
      <c r="H174" s="89" t="str">
        <f ca="1">IF($B174="","",INDIRECT("aux_sheet_RRS!P"&amp;1+MATCH(aux_sheet_RRS!$E173,aux_sheet_RRS!$D$2:$D$202,0)))</f>
        <v/>
      </c>
      <c r="I174" s="90" t="str">
        <f ca="1">IF(G174="","",ROUNDDOWN(INDIRECT("aux_sheet_RRS!Q"&amp;1+MATCH(aux_sheet_RRS!$E173,aux_sheet_RRS!$D$2:$D$202,0)),0))</f>
        <v/>
      </c>
      <c r="J174" s="106" t="str">
        <f ca="1">IF($B174="","",INDIRECT("aux_sheet_RRS!R"&amp;1+MATCH(aux_sheet_RRS!$E173,aux_sheet_RRS!$D$2:$D$202,0)))</f>
        <v/>
      </c>
      <c r="K174" s="89" t="str">
        <f ca="1">IF($B174="","",INDIRECT("aux_sheet_RRS!S"&amp;1+MATCH(aux_sheet_RRS!$E173,aux_sheet_RRS!$D$2:$D$202,0)))</f>
        <v/>
      </c>
      <c r="L174" s="90" t="str">
        <f ca="1">IF(J174="","",ROUNDDOWN(INDIRECT("aux_sheet_RRS!T"&amp;1+MATCH(aux_sheet_RRS!$E173,aux_sheet_RRS!$D$2:$D$202,0)),0))</f>
        <v/>
      </c>
      <c r="M174" s="106" t="str">
        <f ca="1">IF($B174="","",INDIRECT("aux_sheet_RRS!U"&amp;1+MATCH(aux_sheet_RRS!$E173,aux_sheet_RRS!$D$2:$D$202,0)))</f>
        <v/>
      </c>
      <c r="N174" s="89" t="str">
        <f ca="1">IF($B174="","",INDIRECT("aux_sheet_RRS!V"&amp;1+MATCH(aux_sheet_RRS!$E173,aux_sheet_RRS!$D$2:$D$202,0)))</f>
        <v/>
      </c>
      <c r="O174" s="90" t="str">
        <f ca="1">IF(M174="","",ROUNDDOWN(INDIRECT("aux_sheet_RRS!W"&amp;1+MATCH(aux_sheet_RRS!$E173,aux_sheet_RRS!$D$2:$D$202,0)),0))</f>
        <v/>
      </c>
      <c r="P174" s="106" t="str">
        <f ca="1">IF($B174="","",INDIRECT("aux_sheet_RRS!X"&amp;1+MATCH(aux_sheet_RRS!$E173,aux_sheet_RRS!$D$2:$D$202,0)))</f>
        <v/>
      </c>
      <c r="Q174" s="89" t="str">
        <f ca="1">IF($B174="","",INDIRECT("aux_sheet_RRS!Y"&amp;1+MATCH(aux_sheet_RRS!$E173,aux_sheet_RRS!$D$2:$D$202,0)))</f>
        <v/>
      </c>
      <c r="R174" s="90" t="str">
        <f ca="1">IF(P174="","",INDIRECT("aux_sheet_RRS!Z"&amp;1+MATCH(aux_sheet_RRS!$E173,aux_sheet_RRS!$D$2:$D$202,0)))</f>
        <v/>
      </c>
      <c r="S174" s="106" t="str">
        <f ca="1">IF($B174="","",INDIRECT("aux_sheet_RRS!AA"&amp;1+MATCH(aux_sheet_RRS!$E173,aux_sheet_RRS!$D$2:$D$202,0)))</f>
        <v/>
      </c>
      <c r="T174" s="89" t="str">
        <f ca="1">IF($B174="","",INDIRECT("aux_sheet_RRS!AB"&amp;1+MATCH(aux_sheet_RRS!$E173,aux_sheet_RRS!$D$2:$D$202,0)))</f>
        <v/>
      </c>
      <c r="U174" s="90" t="str">
        <f ca="1">IF(S174="","",INDIRECT("aux_sheet_RRS!AC"&amp;1+MATCH(aux_sheet_RRS!$E173,aux_sheet_RRS!$D$2:$D$202,0)))</f>
        <v/>
      </c>
      <c r="V174" s="106" t="str">
        <f ca="1">IF($B174="","",INDIRECT("aux_sheet_RRS!AD"&amp;1+MATCH(aux_sheet_RRS!$E173,aux_sheet_RRS!$D$2:$D$202,0)))</f>
        <v/>
      </c>
      <c r="W174" s="89" t="str">
        <f ca="1">IF($B174="","",INDIRECT("aux_sheet_RRS!AE"&amp;1+MATCH(aux_sheet_RRS!$E173,aux_sheet_RRS!$D$2:$D$202,0)))</f>
        <v/>
      </c>
      <c r="X174" s="90" t="str">
        <f ca="1">IF(V174="","",INDIRECT("aux_sheet_RRS!AF"&amp;1+MATCH(aux_sheet_RRS!$E173,aux_sheet_RRS!$D$2:$D$202,0)))</f>
        <v/>
      </c>
      <c r="Y174" s="106" t="str">
        <f ca="1">IF($B174="","",INDIRECT("aux_sheet_RRS!AG"&amp;1+MATCH(aux_sheet_RRS!$E173,aux_sheet_RRS!$D$2:$D$202,0)))</f>
        <v/>
      </c>
      <c r="Z174" s="89" t="str">
        <f ca="1">IF($B174="","",INDIRECT("aux_sheet_RRS!AH"&amp;1+MATCH(aux_sheet_RRS!$E173,aux_sheet_RRS!$D$2:$D$202,0)))</f>
        <v/>
      </c>
      <c r="AA174" s="90" t="str">
        <f ca="1">IF(Y174="","",INDIRECT("aux_sheet_RRS!AI"&amp;1+MATCH(aux_sheet_RRS!$E173,aux_sheet_RRS!$D$2:$D$202,0)))</f>
        <v/>
      </c>
      <c r="AB174" s="88" t="str">
        <f ca="1">IF($B174="","",INDIRECT("aux_sheet_RRS!AJ"&amp;1+MATCH(aux_sheet_RRS!$E173,aux_sheet_RRS!$D$2:$D$202,0)))</f>
        <v/>
      </c>
      <c r="AC174" s="89" t="str">
        <f ca="1">IF($B174="","",INDIRECT("aux_sheet_RRS!AK"&amp;1+MATCH(aux_sheet_RRS!$E173,aux_sheet_RRS!$D$2:$D$202,0)))</f>
        <v/>
      </c>
      <c r="AD174" s="90" t="str">
        <f ca="1">IF(AB174="","",INDIRECT("aux_sheet_RRS!AL"&amp;1+MATCH(aux_sheet_RRS!$E173,aux_sheet_RRS!$D$2:$D$202,0)))</f>
        <v/>
      </c>
      <c r="AE174" s="88" t="str">
        <f ca="1">IF($B174="","",INDIRECT("aux_sheet_RRS!AM"&amp;1+MATCH(aux_sheet_RRS!$E173,aux_sheet_RRS!$D$2:$D$202,0)))</f>
        <v/>
      </c>
      <c r="AF174" s="89" t="str">
        <f ca="1">IF($B174="","",INDIRECT("aux_sheet_RRS!AN"&amp;1+MATCH(aux_sheet_RRS!$E173,aux_sheet_RRS!$D$2:$D$202,0)))</f>
        <v/>
      </c>
      <c r="AG174" s="90" t="str">
        <f ca="1">IF(AE174="","",INDIRECT("aux_sheet_RRS!AO"&amp;1+MATCH(aux_sheet_RRS!$E173,aux_sheet_RRS!$D$2:$D$202,0)))</f>
        <v/>
      </c>
      <c r="AH174" s="14" t="str">
        <f t="shared" ca="1" si="9"/>
        <v/>
      </c>
      <c r="AI174" t="str">
        <f t="shared" ca="1" si="10"/>
        <v/>
      </c>
      <c r="AJ174" t="str">
        <f t="shared" ca="1" si="11"/>
        <v/>
      </c>
    </row>
    <row r="175" spans="1:36" x14ac:dyDescent="0.35">
      <c r="A175" s="2" t="str">
        <f>IF(ISBLANK(Input!A174),"",ROUNDDOWN(aux_sheet_RRS!E174,0))</f>
        <v/>
      </c>
      <c r="B175" s="2" t="str">
        <f ca="1">IF(ISBLANK(Input!A174),"",INDIRECT("Input!A"&amp;1+MATCH(aux_sheet_RRS!$E174,aux_sheet_RRS!$D$2:$D$202,0)))</f>
        <v/>
      </c>
      <c r="C175" s="2" t="str">
        <f ca="1">IF(ISBLANK(Input!B174),"",INDIRECT("Input!B"&amp;1+MATCH(aux_sheet_RRS!$E174,aux_sheet_RRS!$D$2:$D$202,0)))</f>
        <v/>
      </c>
      <c r="D175" s="2" t="str">
        <f ca="1">IF(ISBLANK(Input!C174),"",INDIRECT("Input!C"&amp;1+MATCH(aux_sheet_RRS!$E174,aux_sheet_RRS!$D$2:$D$202,0)))</f>
        <v/>
      </c>
      <c r="E175" s="2" t="str">
        <f ca="1">IF(ISBLANK(Input!D174),"",INDIRECT("Input!D"&amp;1+MATCH(aux_sheet_RRS!$E174,aux_sheet_RRS!$D$2:$D$202,0)))</f>
        <v/>
      </c>
      <c r="F175" s="11" t="str">
        <f ca="1">INDIRECT("Input!H"&amp;1+MATCH(aux_sheet_RRS!$E174,aux_sheet_RRS!$D$2:$D$202,0))</f>
        <v xml:space="preserve"> </v>
      </c>
      <c r="G175" s="88" t="str">
        <f ca="1">IF($B175="","",INDIRECT("aux_sheet_RRS!O"&amp;1+MATCH(aux_sheet_RRS!$E174,aux_sheet_RRS!$D$2:$D$202,0)))</f>
        <v/>
      </c>
      <c r="H175" s="89" t="str">
        <f ca="1">IF($B175="","",INDIRECT("aux_sheet_RRS!P"&amp;1+MATCH(aux_sheet_RRS!$E174,aux_sheet_RRS!$D$2:$D$202,0)))</f>
        <v/>
      </c>
      <c r="I175" s="90" t="str">
        <f ca="1">IF(G175="","",ROUNDDOWN(INDIRECT("aux_sheet_RRS!Q"&amp;1+MATCH(aux_sheet_RRS!$E174,aux_sheet_RRS!$D$2:$D$202,0)),0))</f>
        <v/>
      </c>
      <c r="J175" s="106" t="str">
        <f ca="1">IF($B175="","",INDIRECT("aux_sheet_RRS!R"&amp;1+MATCH(aux_sheet_RRS!$E174,aux_sheet_RRS!$D$2:$D$202,0)))</f>
        <v/>
      </c>
      <c r="K175" s="89" t="str">
        <f ca="1">IF($B175="","",INDIRECT("aux_sheet_RRS!S"&amp;1+MATCH(aux_sheet_RRS!$E174,aux_sheet_RRS!$D$2:$D$202,0)))</f>
        <v/>
      </c>
      <c r="L175" s="90" t="str">
        <f ca="1">IF(J175="","",ROUNDDOWN(INDIRECT("aux_sheet_RRS!T"&amp;1+MATCH(aux_sheet_RRS!$E174,aux_sheet_RRS!$D$2:$D$202,0)),0))</f>
        <v/>
      </c>
      <c r="M175" s="106" t="str">
        <f ca="1">IF($B175="","",INDIRECT("aux_sheet_RRS!U"&amp;1+MATCH(aux_sheet_RRS!$E174,aux_sheet_RRS!$D$2:$D$202,0)))</f>
        <v/>
      </c>
      <c r="N175" s="89" t="str">
        <f ca="1">IF($B175="","",INDIRECT("aux_sheet_RRS!V"&amp;1+MATCH(aux_sheet_RRS!$E174,aux_sheet_RRS!$D$2:$D$202,0)))</f>
        <v/>
      </c>
      <c r="O175" s="90" t="str">
        <f ca="1">IF(M175="","",ROUNDDOWN(INDIRECT("aux_sheet_RRS!W"&amp;1+MATCH(aux_sheet_RRS!$E174,aux_sheet_RRS!$D$2:$D$202,0)),0))</f>
        <v/>
      </c>
      <c r="P175" s="106" t="str">
        <f ca="1">IF($B175="","",INDIRECT("aux_sheet_RRS!X"&amp;1+MATCH(aux_sheet_RRS!$E174,aux_sheet_RRS!$D$2:$D$202,0)))</f>
        <v/>
      </c>
      <c r="Q175" s="89" t="str">
        <f ca="1">IF($B175="","",INDIRECT("aux_sheet_RRS!Y"&amp;1+MATCH(aux_sheet_RRS!$E174,aux_sheet_RRS!$D$2:$D$202,0)))</f>
        <v/>
      </c>
      <c r="R175" s="90" t="str">
        <f ca="1">IF(P175="","",INDIRECT("aux_sheet_RRS!Z"&amp;1+MATCH(aux_sheet_RRS!$E174,aux_sheet_RRS!$D$2:$D$202,0)))</f>
        <v/>
      </c>
      <c r="S175" s="106" t="str">
        <f ca="1">IF($B175="","",INDIRECT("aux_sheet_RRS!AA"&amp;1+MATCH(aux_sheet_RRS!$E174,aux_sheet_RRS!$D$2:$D$202,0)))</f>
        <v/>
      </c>
      <c r="T175" s="89" t="str">
        <f ca="1">IF($B175="","",INDIRECT("aux_sheet_RRS!AB"&amp;1+MATCH(aux_sheet_RRS!$E174,aux_sheet_RRS!$D$2:$D$202,0)))</f>
        <v/>
      </c>
      <c r="U175" s="90" t="str">
        <f ca="1">IF(S175="","",INDIRECT("aux_sheet_RRS!AC"&amp;1+MATCH(aux_sheet_RRS!$E174,aux_sheet_RRS!$D$2:$D$202,0)))</f>
        <v/>
      </c>
      <c r="V175" s="106" t="str">
        <f ca="1">IF($B175="","",INDIRECT("aux_sheet_RRS!AD"&amp;1+MATCH(aux_sheet_RRS!$E174,aux_sheet_RRS!$D$2:$D$202,0)))</f>
        <v/>
      </c>
      <c r="W175" s="89" t="str">
        <f ca="1">IF($B175="","",INDIRECT("aux_sheet_RRS!AE"&amp;1+MATCH(aux_sheet_RRS!$E174,aux_sheet_RRS!$D$2:$D$202,0)))</f>
        <v/>
      </c>
      <c r="X175" s="90" t="str">
        <f ca="1">IF(V175="","",INDIRECT("aux_sheet_RRS!AF"&amp;1+MATCH(aux_sheet_RRS!$E174,aux_sheet_RRS!$D$2:$D$202,0)))</f>
        <v/>
      </c>
      <c r="Y175" s="106" t="str">
        <f ca="1">IF($B175="","",INDIRECT("aux_sheet_RRS!AG"&amp;1+MATCH(aux_sheet_RRS!$E174,aux_sheet_RRS!$D$2:$D$202,0)))</f>
        <v/>
      </c>
      <c r="Z175" s="89" t="str">
        <f ca="1">IF($B175="","",INDIRECT("aux_sheet_RRS!AH"&amp;1+MATCH(aux_sheet_RRS!$E174,aux_sheet_RRS!$D$2:$D$202,0)))</f>
        <v/>
      </c>
      <c r="AA175" s="90" t="str">
        <f ca="1">IF(Y175="","",INDIRECT("aux_sheet_RRS!AI"&amp;1+MATCH(aux_sheet_RRS!$E174,aux_sheet_RRS!$D$2:$D$202,0)))</f>
        <v/>
      </c>
      <c r="AB175" s="88" t="str">
        <f ca="1">IF($B175="","",INDIRECT("aux_sheet_RRS!AJ"&amp;1+MATCH(aux_sheet_RRS!$E174,aux_sheet_RRS!$D$2:$D$202,0)))</f>
        <v/>
      </c>
      <c r="AC175" s="89" t="str">
        <f ca="1">IF($B175="","",INDIRECT("aux_sheet_RRS!AK"&amp;1+MATCH(aux_sheet_RRS!$E174,aux_sheet_RRS!$D$2:$D$202,0)))</f>
        <v/>
      </c>
      <c r="AD175" s="90" t="str">
        <f ca="1">IF(AB175="","",INDIRECT("aux_sheet_RRS!AL"&amp;1+MATCH(aux_sheet_RRS!$E174,aux_sheet_RRS!$D$2:$D$202,0)))</f>
        <v/>
      </c>
      <c r="AE175" s="88" t="str">
        <f ca="1">IF($B175="","",INDIRECT("aux_sheet_RRS!AM"&amp;1+MATCH(aux_sheet_RRS!$E174,aux_sheet_RRS!$D$2:$D$202,0)))</f>
        <v/>
      </c>
      <c r="AF175" s="89" t="str">
        <f ca="1">IF($B175="","",INDIRECT("aux_sheet_RRS!AN"&amp;1+MATCH(aux_sheet_RRS!$E174,aux_sheet_RRS!$D$2:$D$202,0)))</f>
        <v/>
      </c>
      <c r="AG175" s="90" t="str">
        <f ca="1">IF(AE175="","",INDIRECT("aux_sheet_RRS!AO"&amp;1+MATCH(aux_sheet_RRS!$E174,aux_sheet_RRS!$D$2:$D$202,0)))</f>
        <v/>
      </c>
      <c r="AH175" s="14" t="str">
        <f t="shared" ca="1" si="9"/>
        <v/>
      </c>
      <c r="AI175" t="str">
        <f t="shared" ca="1" si="10"/>
        <v/>
      </c>
      <c r="AJ175" t="str">
        <f t="shared" ca="1" si="11"/>
        <v/>
      </c>
    </row>
    <row r="176" spans="1:36" x14ac:dyDescent="0.35">
      <c r="A176" s="2" t="str">
        <f>IF(ISBLANK(Input!A175),"",ROUNDDOWN(aux_sheet_RRS!E175,0))</f>
        <v/>
      </c>
      <c r="B176" s="2" t="str">
        <f ca="1">IF(ISBLANK(Input!A175),"",INDIRECT("Input!A"&amp;1+MATCH(aux_sheet_RRS!$E175,aux_sheet_RRS!$D$2:$D$202,0)))</f>
        <v/>
      </c>
      <c r="C176" s="2" t="str">
        <f ca="1">IF(ISBLANK(Input!B175),"",INDIRECT("Input!B"&amp;1+MATCH(aux_sheet_RRS!$E175,aux_sheet_RRS!$D$2:$D$202,0)))</f>
        <v/>
      </c>
      <c r="D176" s="2" t="str">
        <f ca="1">IF(ISBLANK(Input!C175),"",INDIRECT("Input!C"&amp;1+MATCH(aux_sheet_RRS!$E175,aux_sheet_RRS!$D$2:$D$202,0)))</f>
        <v/>
      </c>
      <c r="E176" s="2" t="str">
        <f ca="1">IF(ISBLANK(Input!D175),"",INDIRECT("Input!D"&amp;1+MATCH(aux_sheet_RRS!$E175,aux_sheet_RRS!$D$2:$D$202,0)))</f>
        <v/>
      </c>
      <c r="F176" s="11" t="str">
        <f ca="1">INDIRECT("Input!H"&amp;1+MATCH(aux_sheet_RRS!$E175,aux_sheet_RRS!$D$2:$D$202,0))</f>
        <v xml:space="preserve"> </v>
      </c>
      <c r="G176" s="88" t="str">
        <f ca="1">IF($B176="","",INDIRECT("aux_sheet_RRS!O"&amp;1+MATCH(aux_sheet_RRS!$E175,aux_sheet_RRS!$D$2:$D$202,0)))</f>
        <v/>
      </c>
      <c r="H176" s="89" t="str">
        <f ca="1">IF($B176="","",INDIRECT("aux_sheet_RRS!P"&amp;1+MATCH(aux_sheet_RRS!$E175,aux_sheet_RRS!$D$2:$D$202,0)))</f>
        <v/>
      </c>
      <c r="I176" s="90" t="str">
        <f ca="1">IF(G176="","",ROUNDDOWN(INDIRECT("aux_sheet_RRS!Q"&amp;1+MATCH(aux_sheet_RRS!$E175,aux_sheet_RRS!$D$2:$D$202,0)),0))</f>
        <v/>
      </c>
      <c r="J176" s="106" t="str">
        <f ca="1">IF($B176="","",INDIRECT("aux_sheet_RRS!R"&amp;1+MATCH(aux_sheet_RRS!$E175,aux_sheet_RRS!$D$2:$D$202,0)))</f>
        <v/>
      </c>
      <c r="K176" s="89" t="str">
        <f ca="1">IF($B176="","",INDIRECT("aux_sheet_RRS!S"&amp;1+MATCH(aux_sheet_RRS!$E175,aux_sheet_RRS!$D$2:$D$202,0)))</f>
        <v/>
      </c>
      <c r="L176" s="90" t="str">
        <f ca="1">IF(J176="","",ROUNDDOWN(INDIRECT("aux_sheet_RRS!T"&amp;1+MATCH(aux_sheet_RRS!$E175,aux_sheet_RRS!$D$2:$D$202,0)),0))</f>
        <v/>
      </c>
      <c r="M176" s="106" t="str">
        <f ca="1">IF($B176="","",INDIRECT("aux_sheet_RRS!U"&amp;1+MATCH(aux_sheet_RRS!$E175,aux_sheet_RRS!$D$2:$D$202,0)))</f>
        <v/>
      </c>
      <c r="N176" s="89" t="str">
        <f ca="1">IF($B176="","",INDIRECT("aux_sheet_RRS!V"&amp;1+MATCH(aux_sheet_RRS!$E175,aux_sheet_RRS!$D$2:$D$202,0)))</f>
        <v/>
      </c>
      <c r="O176" s="90" t="str">
        <f ca="1">IF(M176="","",ROUNDDOWN(INDIRECT("aux_sheet_RRS!W"&amp;1+MATCH(aux_sheet_RRS!$E175,aux_sheet_RRS!$D$2:$D$202,0)),0))</f>
        <v/>
      </c>
      <c r="P176" s="106" t="str">
        <f ca="1">IF($B176="","",INDIRECT("aux_sheet_RRS!X"&amp;1+MATCH(aux_sheet_RRS!$E175,aux_sheet_RRS!$D$2:$D$202,0)))</f>
        <v/>
      </c>
      <c r="Q176" s="89" t="str">
        <f ca="1">IF($B176="","",INDIRECT("aux_sheet_RRS!Y"&amp;1+MATCH(aux_sheet_RRS!$E175,aux_sheet_RRS!$D$2:$D$202,0)))</f>
        <v/>
      </c>
      <c r="R176" s="90" t="str">
        <f ca="1">IF(P176="","",INDIRECT("aux_sheet_RRS!Z"&amp;1+MATCH(aux_sheet_RRS!$E175,aux_sheet_RRS!$D$2:$D$202,0)))</f>
        <v/>
      </c>
      <c r="S176" s="106" t="str">
        <f ca="1">IF($B176="","",INDIRECT("aux_sheet_RRS!AA"&amp;1+MATCH(aux_sheet_RRS!$E175,aux_sheet_RRS!$D$2:$D$202,0)))</f>
        <v/>
      </c>
      <c r="T176" s="89" t="str">
        <f ca="1">IF($B176="","",INDIRECT("aux_sheet_RRS!AB"&amp;1+MATCH(aux_sheet_RRS!$E175,aux_sheet_RRS!$D$2:$D$202,0)))</f>
        <v/>
      </c>
      <c r="U176" s="90" t="str">
        <f ca="1">IF(S176="","",INDIRECT("aux_sheet_RRS!AC"&amp;1+MATCH(aux_sheet_RRS!$E175,aux_sheet_RRS!$D$2:$D$202,0)))</f>
        <v/>
      </c>
      <c r="V176" s="106" t="str">
        <f ca="1">IF($B176="","",INDIRECT("aux_sheet_RRS!AD"&amp;1+MATCH(aux_sheet_RRS!$E175,aux_sheet_RRS!$D$2:$D$202,0)))</f>
        <v/>
      </c>
      <c r="W176" s="89" t="str">
        <f ca="1">IF($B176="","",INDIRECT("aux_sheet_RRS!AE"&amp;1+MATCH(aux_sheet_RRS!$E175,aux_sheet_RRS!$D$2:$D$202,0)))</f>
        <v/>
      </c>
      <c r="X176" s="90" t="str">
        <f ca="1">IF(V176="","",INDIRECT("aux_sheet_RRS!AF"&amp;1+MATCH(aux_sheet_RRS!$E175,aux_sheet_RRS!$D$2:$D$202,0)))</f>
        <v/>
      </c>
      <c r="Y176" s="106" t="str">
        <f ca="1">IF($B176="","",INDIRECT("aux_sheet_RRS!AG"&amp;1+MATCH(aux_sheet_RRS!$E175,aux_sheet_RRS!$D$2:$D$202,0)))</f>
        <v/>
      </c>
      <c r="Z176" s="89" t="str">
        <f ca="1">IF($B176="","",INDIRECT("aux_sheet_RRS!AH"&amp;1+MATCH(aux_sheet_RRS!$E175,aux_sheet_RRS!$D$2:$D$202,0)))</f>
        <v/>
      </c>
      <c r="AA176" s="90" t="str">
        <f ca="1">IF(Y176="","",INDIRECT("aux_sheet_RRS!AI"&amp;1+MATCH(aux_sheet_RRS!$E175,aux_sheet_RRS!$D$2:$D$202,0)))</f>
        <v/>
      </c>
      <c r="AB176" s="88" t="str">
        <f ca="1">IF($B176="","",INDIRECT("aux_sheet_RRS!AJ"&amp;1+MATCH(aux_sheet_RRS!$E175,aux_sheet_RRS!$D$2:$D$202,0)))</f>
        <v/>
      </c>
      <c r="AC176" s="89" t="str">
        <f ca="1">IF($B176="","",INDIRECT("aux_sheet_RRS!AK"&amp;1+MATCH(aux_sheet_RRS!$E175,aux_sheet_RRS!$D$2:$D$202,0)))</f>
        <v/>
      </c>
      <c r="AD176" s="90" t="str">
        <f ca="1">IF(AB176="","",INDIRECT("aux_sheet_RRS!AL"&amp;1+MATCH(aux_sheet_RRS!$E175,aux_sheet_RRS!$D$2:$D$202,0)))</f>
        <v/>
      </c>
      <c r="AE176" s="88" t="str">
        <f ca="1">IF($B176="","",INDIRECT("aux_sheet_RRS!AM"&amp;1+MATCH(aux_sheet_RRS!$E175,aux_sheet_RRS!$D$2:$D$202,0)))</f>
        <v/>
      </c>
      <c r="AF176" s="89" t="str">
        <f ca="1">IF($B176="","",INDIRECT("aux_sheet_RRS!AN"&amp;1+MATCH(aux_sheet_RRS!$E175,aux_sheet_RRS!$D$2:$D$202,0)))</f>
        <v/>
      </c>
      <c r="AG176" s="90" t="str">
        <f ca="1">IF(AE176="","",INDIRECT("aux_sheet_RRS!AO"&amp;1+MATCH(aux_sheet_RRS!$E175,aux_sheet_RRS!$D$2:$D$202,0)))</f>
        <v/>
      </c>
      <c r="AH176" s="14" t="str">
        <f t="shared" ca="1" si="9"/>
        <v/>
      </c>
      <c r="AI176" t="str">
        <f t="shared" ca="1" si="10"/>
        <v/>
      </c>
      <c r="AJ176" t="str">
        <f t="shared" ca="1" si="11"/>
        <v/>
      </c>
    </row>
    <row r="177" spans="1:36" x14ac:dyDescent="0.35">
      <c r="A177" s="2" t="str">
        <f>IF(ISBLANK(Input!A176),"",ROUNDDOWN(aux_sheet_RRS!E176,0))</f>
        <v/>
      </c>
      <c r="B177" s="2" t="str">
        <f ca="1">IF(ISBLANK(Input!A176),"",INDIRECT("Input!A"&amp;1+MATCH(aux_sheet_RRS!$E176,aux_sheet_RRS!$D$2:$D$202,0)))</f>
        <v/>
      </c>
      <c r="C177" s="2" t="str">
        <f ca="1">IF(ISBLANK(Input!B176),"",INDIRECT("Input!B"&amp;1+MATCH(aux_sheet_RRS!$E176,aux_sheet_RRS!$D$2:$D$202,0)))</f>
        <v/>
      </c>
      <c r="D177" s="2" t="str">
        <f ca="1">IF(ISBLANK(Input!C176),"",INDIRECT("Input!C"&amp;1+MATCH(aux_sheet_RRS!$E176,aux_sheet_RRS!$D$2:$D$202,0)))</f>
        <v/>
      </c>
      <c r="E177" s="2" t="str">
        <f ca="1">IF(ISBLANK(Input!D176),"",INDIRECT("Input!D"&amp;1+MATCH(aux_sheet_RRS!$E176,aux_sheet_RRS!$D$2:$D$202,0)))</f>
        <v/>
      </c>
      <c r="F177" s="11" t="str">
        <f ca="1">INDIRECT("Input!H"&amp;1+MATCH(aux_sheet_RRS!$E176,aux_sheet_RRS!$D$2:$D$202,0))</f>
        <v xml:space="preserve"> </v>
      </c>
      <c r="G177" s="88" t="str">
        <f ca="1">IF($B177="","",INDIRECT("aux_sheet_RRS!O"&amp;1+MATCH(aux_sheet_RRS!$E176,aux_sheet_RRS!$D$2:$D$202,0)))</f>
        <v/>
      </c>
      <c r="H177" s="89" t="str">
        <f ca="1">IF($B177="","",INDIRECT("aux_sheet_RRS!P"&amp;1+MATCH(aux_sheet_RRS!$E176,aux_sheet_RRS!$D$2:$D$202,0)))</f>
        <v/>
      </c>
      <c r="I177" s="90" t="str">
        <f ca="1">IF(G177="","",ROUNDDOWN(INDIRECT("aux_sheet_RRS!Q"&amp;1+MATCH(aux_sheet_RRS!$E176,aux_sheet_RRS!$D$2:$D$202,0)),0))</f>
        <v/>
      </c>
      <c r="J177" s="106" t="str">
        <f ca="1">IF($B177="","",INDIRECT("aux_sheet_RRS!R"&amp;1+MATCH(aux_sheet_RRS!$E176,aux_sheet_RRS!$D$2:$D$202,0)))</f>
        <v/>
      </c>
      <c r="K177" s="89" t="str">
        <f ca="1">IF($B177="","",INDIRECT("aux_sheet_RRS!S"&amp;1+MATCH(aux_sheet_RRS!$E176,aux_sheet_RRS!$D$2:$D$202,0)))</f>
        <v/>
      </c>
      <c r="L177" s="90" t="str">
        <f ca="1">IF(J177="","",ROUNDDOWN(INDIRECT("aux_sheet_RRS!T"&amp;1+MATCH(aux_sheet_RRS!$E176,aux_sheet_RRS!$D$2:$D$202,0)),0))</f>
        <v/>
      </c>
      <c r="M177" s="106" t="str">
        <f ca="1">IF($B177="","",INDIRECT("aux_sheet_RRS!U"&amp;1+MATCH(aux_sheet_RRS!$E176,aux_sheet_RRS!$D$2:$D$202,0)))</f>
        <v/>
      </c>
      <c r="N177" s="89" t="str">
        <f ca="1">IF($B177="","",INDIRECT("aux_sheet_RRS!V"&amp;1+MATCH(aux_sheet_RRS!$E176,aux_sheet_RRS!$D$2:$D$202,0)))</f>
        <v/>
      </c>
      <c r="O177" s="90" t="str">
        <f ca="1">IF(M177="","",ROUNDDOWN(INDIRECT("aux_sheet_RRS!W"&amp;1+MATCH(aux_sheet_RRS!$E176,aux_sheet_RRS!$D$2:$D$202,0)),0))</f>
        <v/>
      </c>
      <c r="P177" s="106" t="str">
        <f ca="1">IF($B177="","",INDIRECT("aux_sheet_RRS!X"&amp;1+MATCH(aux_sheet_RRS!$E176,aux_sheet_RRS!$D$2:$D$202,0)))</f>
        <v/>
      </c>
      <c r="Q177" s="89" t="str">
        <f ca="1">IF($B177="","",INDIRECT("aux_sheet_RRS!Y"&amp;1+MATCH(aux_sheet_RRS!$E176,aux_sheet_RRS!$D$2:$D$202,0)))</f>
        <v/>
      </c>
      <c r="R177" s="90" t="str">
        <f ca="1">IF(P177="","",INDIRECT("aux_sheet_RRS!Z"&amp;1+MATCH(aux_sheet_RRS!$E176,aux_sheet_RRS!$D$2:$D$202,0)))</f>
        <v/>
      </c>
      <c r="S177" s="106" t="str">
        <f ca="1">IF($B177="","",INDIRECT("aux_sheet_RRS!AA"&amp;1+MATCH(aux_sheet_RRS!$E176,aux_sheet_RRS!$D$2:$D$202,0)))</f>
        <v/>
      </c>
      <c r="T177" s="89" t="str">
        <f ca="1">IF($B177="","",INDIRECT("aux_sheet_RRS!AB"&amp;1+MATCH(aux_sheet_RRS!$E176,aux_sheet_RRS!$D$2:$D$202,0)))</f>
        <v/>
      </c>
      <c r="U177" s="90" t="str">
        <f ca="1">IF(S177="","",INDIRECT("aux_sheet_RRS!AC"&amp;1+MATCH(aux_sheet_RRS!$E176,aux_sheet_RRS!$D$2:$D$202,0)))</f>
        <v/>
      </c>
      <c r="V177" s="106" t="str">
        <f ca="1">IF($B177="","",INDIRECT("aux_sheet_RRS!AD"&amp;1+MATCH(aux_sheet_RRS!$E176,aux_sheet_RRS!$D$2:$D$202,0)))</f>
        <v/>
      </c>
      <c r="W177" s="89" t="str">
        <f ca="1">IF($B177="","",INDIRECT("aux_sheet_RRS!AE"&amp;1+MATCH(aux_sheet_RRS!$E176,aux_sheet_RRS!$D$2:$D$202,0)))</f>
        <v/>
      </c>
      <c r="X177" s="90" t="str">
        <f ca="1">IF(V177="","",INDIRECT("aux_sheet_RRS!AF"&amp;1+MATCH(aux_sheet_RRS!$E176,aux_sheet_RRS!$D$2:$D$202,0)))</f>
        <v/>
      </c>
      <c r="Y177" s="106" t="str">
        <f ca="1">IF($B177="","",INDIRECT("aux_sheet_RRS!AG"&amp;1+MATCH(aux_sheet_RRS!$E176,aux_sheet_RRS!$D$2:$D$202,0)))</f>
        <v/>
      </c>
      <c r="Z177" s="89" t="str">
        <f ca="1">IF($B177="","",INDIRECT("aux_sheet_RRS!AH"&amp;1+MATCH(aux_sheet_RRS!$E176,aux_sheet_RRS!$D$2:$D$202,0)))</f>
        <v/>
      </c>
      <c r="AA177" s="90" t="str">
        <f ca="1">IF(Y177="","",INDIRECT("aux_sheet_RRS!AI"&amp;1+MATCH(aux_sheet_RRS!$E176,aux_sheet_RRS!$D$2:$D$202,0)))</f>
        <v/>
      </c>
      <c r="AB177" s="88" t="str">
        <f ca="1">IF($B177="","",INDIRECT("aux_sheet_RRS!AJ"&amp;1+MATCH(aux_sheet_RRS!$E176,aux_sheet_RRS!$D$2:$D$202,0)))</f>
        <v/>
      </c>
      <c r="AC177" s="89" t="str">
        <f ca="1">IF($B177="","",INDIRECT("aux_sheet_RRS!AK"&amp;1+MATCH(aux_sheet_RRS!$E176,aux_sheet_RRS!$D$2:$D$202,0)))</f>
        <v/>
      </c>
      <c r="AD177" s="90" t="str">
        <f ca="1">IF(AB177="","",INDIRECT("aux_sheet_RRS!AL"&amp;1+MATCH(aux_sheet_RRS!$E176,aux_sheet_RRS!$D$2:$D$202,0)))</f>
        <v/>
      </c>
      <c r="AE177" s="88" t="str">
        <f ca="1">IF($B177="","",INDIRECT("aux_sheet_RRS!AM"&amp;1+MATCH(aux_sheet_RRS!$E176,aux_sheet_RRS!$D$2:$D$202,0)))</f>
        <v/>
      </c>
      <c r="AF177" s="89" t="str">
        <f ca="1">IF($B177="","",INDIRECT("aux_sheet_RRS!AN"&amp;1+MATCH(aux_sheet_RRS!$E176,aux_sheet_RRS!$D$2:$D$202,0)))</f>
        <v/>
      </c>
      <c r="AG177" s="90" t="str">
        <f ca="1">IF(AE177="","",INDIRECT("aux_sheet_RRS!AO"&amp;1+MATCH(aux_sheet_RRS!$E176,aux_sheet_RRS!$D$2:$D$202,0)))</f>
        <v/>
      </c>
      <c r="AH177" s="14" t="str">
        <f t="shared" ca="1" si="9"/>
        <v/>
      </c>
      <c r="AI177" t="str">
        <f t="shared" ca="1" si="10"/>
        <v/>
      </c>
      <c r="AJ177" t="str">
        <f t="shared" ca="1" si="11"/>
        <v/>
      </c>
    </row>
    <row r="178" spans="1:36" x14ac:dyDescent="0.35">
      <c r="A178" s="2" t="str">
        <f>IF(ISBLANK(Input!A177),"",ROUNDDOWN(aux_sheet_RRS!E177,0))</f>
        <v/>
      </c>
      <c r="B178" s="2" t="str">
        <f ca="1">IF(ISBLANK(Input!A177),"",INDIRECT("Input!A"&amp;1+MATCH(aux_sheet_RRS!$E177,aux_sheet_RRS!$D$2:$D$202,0)))</f>
        <v/>
      </c>
      <c r="C178" s="2" t="str">
        <f ca="1">IF(ISBLANK(Input!B177),"",INDIRECT("Input!B"&amp;1+MATCH(aux_sheet_RRS!$E177,aux_sheet_RRS!$D$2:$D$202,0)))</f>
        <v/>
      </c>
      <c r="D178" s="2" t="str">
        <f ca="1">IF(ISBLANK(Input!C177),"",INDIRECT("Input!C"&amp;1+MATCH(aux_sheet_RRS!$E177,aux_sheet_RRS!$D$2:$D$202,0)))</f>
        <v/>
      </c>
      <c r="E178" s="2" t="str">
        <f ca="1">IF(ISBLANK(Input!D177),"",INDIRECT("Input!D"&amp;1+MATCH(aux_sheet_RRS!$E177,aux_sheet_RRS!$D$2:$D$202,0)))</f>
        <v/>
      </c>
      <c r="F178" s="11" t="str">
        <f ca="1">INDIRECT("Input!H"&amp;1+MATCH(aux_sheet_RRS!$E177,aux_sheet_RRS!$D$2:$D$202,0))</f>
        <v xml:space="preserve"> </v>
      </c>
      <c r="G178" s="88" t="str">
        <f ca="1">IF($B178="","",INDIRECT("aux_sheet_RRS!O"&amp;1+MATCH(aux_sheet_RRS!$E177,aux_sheet_RRS!$D$2:$D$202,0)))</f>
        <v/>
      </c>
      <c r="H178" s="89" t="str">
        <f ca="1">IF($B178="","",INDIRECT("aux_sheet_RRS!P"&amp;1+MATCH(aux_sheet_RRS!$E177,aux_sheet_RRS!$D$2:$D$202,0)))</f>
        <v/>
      </c>
      <c r="I178" s="90" t="str">
        <f ca="1">IF(G178="","",ROUNDDOWN(INDIRECT("aux_sheet_RRS!Q"&amp;1+MATCH(aux_sheet_RRS!$E177,aux_sheet_RRS!$D$2:$D$202,0)),0))</f>
        <v/>
      </c>
      <c r="J178" s="106" t="str">
        <f ca="1">IF($B178="","",INDIRECT("aux_sheet_RRS!R"&amp;1+MATCH(aux_sheet_RRS!$E177,aux_sheet_RRS!$D$2:$D$202,0)))</f>
        <v/>
      </c>
      <c r="K178" s="89" t="str">
        <f ca="1">IF($B178="","",INDIRECT("aux_sheet_RRS!S"&amp;1+MATCH(aux_sheet_RRS!$E177,aux_sheet_RRS!$D$2:$D$202,0)))</f>
        <v/>
      </c>
      <c r="L178" s="90" t="str">
        <f ca="1">IF(J178="","",ROUNDDOWN(INDIRECT("aux_sheet_RRS!T"&amp;1+MATCH(aux_sheet_RRS!$E177,aux_sheet_RRS!$D$2:$D$202,0)),0))</f>
        <v/>
      </c>
      <c r="M178" s="106" t="str">
        <f ca="1">IF($B178="","",INDIRECT("aux_sheet_RRS!U"&amp;1+MATCH(aux_sheet_RRS!$E177,aux_sheet_RRS!$D$2:$D$202,0)))</f>
        <v/>
      </c>
      <c r="N178" s="89" t="str">
        <f ca="1">IF($B178="","",INDIRECT("aux_sheet_RRS!V"&amp;1+MATCH(aux_sheet_RRS!$E177,aux_sheet_RRS!$D$2:$D$202,0)))</f>
        <v/>
      </c>
      <c r="O178" s="90" t="str">
        <f ca="1">IF(M178="","",ROUNDDOWN(INDIRECT("aux_sheet_RRS!W"&amp;1+MATCH(aux_sheet_RRS!$E177,aux_sheet_RRS!$D$2:$D$202,0)),0))</f>
        <v/>
      </c>
      <c r="P178" s="106" t="str">
        <f ca="1">IF($B178="","",INDIRECT("aux_sheet_RRS!X"&amp;1+MATCH(aux_sheet_RRS!$E177,aux_sheet_RRS!$D$2:$D$202,0)))</f>
        <v/>
      </c>
      <c r="Q178" s="89" t="str">
        <f ca="1">IF($B178="","",INDIRECT("aux_sheet_RRS!Y"&amp;1+MATCH(aux_sheet_RRS!$E177,aux_sheet_RRS!$D$2:$D$202,0)))</f>
        <v/>
      </c>
      <c r="R178" s="90" t="str">
        <f ca="1">IF(P178="","",INDIRECT("aux_sheet_RRS!Z"&amp;1+MATCH(aux_sheet_RRS!$E177,aux_sheet_RRS!$D$2:$D$202,0)))</f>
        <v/>
      </c>
      <c r="S178" s="106" t="str">
        <f ca="1">IF($B178="","",INDIRECT("aux_sheet_RRS!AA"&amp;1+MATCH(aux_sheet_RRS!$E177,aux_sheet_RRS!$D$2:$D$202,0)))</f>
        <v/>
      </c>
      <c r="T178" s="89" t="str">
        <f ca="1">IF($B178="","",INDIRECT("aux_sheet_RRS!AB"&amp;1+MATCH(aux_sheet_RRS!$E177,aux_sheet_RRS!$D$2:$D$202,0)))</f>
        <v/>
      </c>
      <c r="U178" s="90" t="str">
        <f ca="1">IF(S178="","",INDIRECT("aux_sheet_RRS!AC"&amp;1+MATCH(aux_sheet_RRS!$E177,aux_sheet_RRS!$D$2:$D$202,0)))</f>
        <v/>
      </c>
      <c r="V178" s="106" t="str">
        <f ca="1">IF($B178="","",INDIRECT("aux_sheet_RRS!AD"&amp;1+MATCH(aux_sheet_RRS!$E177,aux_sheet_RRS!$D$2:$D$202,0)))</f>
        <v/>
      </c>
      <c r="W178" s="89" t="str">
        <f ca="1">IF($B178="","",INDIRECT("aux_sheet_RRS!AE"&amp;1+MATCH(aux_sheet_RRS!$E177,aux_sheet_RRS!$D$2:$D$202,0)))</f>
        <v/>
      </c>
      <c r="X178" s="90" t="str">
        <f ca="1">IF(V178="","",INDIRECT("aux_sheet_RRS!AF"&amp;1+MATCH(aux_sheet_RRS!$E177,aux_sheet_RRS!$D$2:$D$202,0)))</f>
        <v/>
      </c>
      <c r="Y178" s="106" t="str">
        <f ca="1">IF($B178="","",INDIRECT("aux_sheet_RRS!AG"&amp;1+MATCH(aux_sheet_RRS!$E177,aux_sheet_RRS!$D$2:$D$202,0)))</f>
        <v/>
      </c>
      <c r="Z178" s="89" t="str">
        <f ca="1">IF($B178="","",INDIRECT("aux_sheet_RRS!AH"&amp;1+MATCH(aux_sheet_RRS!$E177,aux_sheet_RRS!$D$2:$D$202,0)))</f>
        <v/>
      </c>
      <c r="AA178" s="90" t="str">
        <f ca="1">IF(Y178="","",INDIRECT("aux_sheet_RRS!AI"&amp;1+MATCH(aux_sheet_RRS!$E177,aux_sheet_RRS!$D$2:$D$202,0)))</f>
        <v/>
      </c>
      <c r="AB178" s="88" t="str">
        <f ca="1">IF($B178="","",INDIRECT("aux_sheet_RRS!AJ"&amp;1+MATCH(aux_sheet_RRS!$E177,aux_sheet_RRS!$D$2:$D$202,0)))</f>
        <v/>
      </c>
      <c r="AC178" s="89" t="str">
        <f ca="1">IF($B178="","",INDIRECT("aux_sheet_RRS!AK"&amp;1+MATCH(aux_sheet_RRS!$E177,aux_sheet_RRS!$D$2:$D$202,0)))</f>
        <v/>
      </c>
      <c r="AD178" s="90" t="str">
        <f ca="1">IF(AB178="","",INDIRECT("aux_sheet_RRS!AL"&amp;1+MATCH(aux_sheet_RRS!$E177,aux_sheet_RRS!$D$2:$D$202,0)))</f>
        <v/>
      </c>
      <c r="AE178" s="88" t="str">
        <f ca="1">IF($B178="","",INDIRECT("aux_sheet_RRS!AM"&amp;1+MATCH(aux_sheet_RRS!$E177,aux_sheet_RRS!$D$2:$D$202,0)))</f>
        <v/>
      </c>
      <c r="AF178" s="89" t="str">
        <f ca="1">IF($B178="","",INDIRECT("aux_sheet_RRS!AN"&amp;1+MATCH(aux_sheet_RRS!$E177,aux_sheet_RRS!$D$2:$D$202,0)))</f>
        <v/>
      </c>
      <c r="AG178" s="90" t="str">
        <f ca="1">IF(AE178="","",INDIRECT("aux_sheet_RRS!AO"&amp;1+MATCH(aux_sheet_RRS!$E177,aux_sheet_RRS!$D$2:$D$202,0)))</f>
        <v/>
      </c>
      <c r="AH178" s="14" t="str">
        <f t="shared" ca="1" si="9"/>
        <v/>
      </c>
      <c r="AI178" t="str">
        <f t="shared" ca="1" si="10"/>
        <v/>
      </c>
      <c r="AJ178" t="str">
        <f t="shared" ca="1" si="11"/>
        <v/>
      </c>
    </row>
    <row r="179" spans="1:36" x14ac:dyDescent="0.35">
      <c r="A179" s="2" t="str">
        <f>IF(ISBLANK(Input!A178),"",ROUNDDOWN(aux_sheet_RRS!E178,0))</f>
        <v/>
      </c>
      <c r="B179" s="2" t="str">
        <f ca="1">IF(ISBLANK(Input!A178),"",INDIRECT("Input!A"&amp;1+MATCH(aux_sheet_RRS!$E178,aux_sheet_RRS!$D$2:$D$202,0)))</f>
        <v/>
      </c>
      <c r="C179" s="2" t="str">
        <f ca="1">IF(ISBLANK(Input!B178),"",INDIRECT("Input!B"&amp;1+MATCH(aux_sheet_RRS!$E178,aux_sheet_RRS!$D$2:$D$202,0)))</f>
        <v/>
      </c>
      <c r="D179" s="2" t="str">
        <f ca="1">IF(ISBLANK(Input!C178),"",INDIRECT("Input!C"&amp;1+MATCH(aux_sheet_RRS!$E178,aux_sheet_RRS!$D$2:$D$202,0)))</f>
        <v/>
      </c>
      <c r="E179" s="2" t="str">
        <f ca="1">IF(ISBLANK(Input!D178),"",INDIRECT("Input!D"&amp;1+MATCH(aux_sheet_RRS!$E178,aux_sheet_RRS!$D$2:$D$202,0)))</f>
        <v/>
      </c>
      <c r="F179" s="11" t="str">
        <f ca="1">INDIRECT("Input!H"&amp;1+MATCH(aux_sheet_RRS!$E178,aux_sheet_RRS!$D$2:$D$202,0))</f>
        <v xml:space="preserve"> </v>
      </c>
      <c r="G179" s="88" t="str">
        <f ca="1">IF($B179="","",INDIRECT("aux_sheet_RRS!O"&amp;1+MATCH(aux_sheet_RRS!$E178,aux_sheet_RRS!$D$2:$D$202,0)))</f>
        <v/>
      </c>
      <c r="H179" s="89" t="str">
        <f ca="1">IF($B179="","",INDIRECT("aux_sheet_RRS!P"&amp;1+MATCH(aux_sheet_RRS!$E178,aux_sheet_RRS!$D$2:$D$202,0)))</f>
        <v/>
      </c>
      <c r="I179" s="90" t="str">
        <f ca="1">IF(G179="","",ROUNDDOWN(INDIRECT("aux_sheet_RRS!Q"&amp;1+MATCH(aux_sheet_RRS!$E178,aux_sheet_RRS!$D$2:$D$202,0)),0))</f>
        <v/>
      </c>
      <c r="J179" s="106" t="str">
        <f ca="1">IF($B179="","",INDIRECT("aux_sheet_RRS!R"&amp;1+MATCH(aux_sheet_RRS!$E178,aux_sheet_RRS!$D$2:$D$202,0)))</f>
        <v/>
      </c>
      <c r="K179" s="89" t="str">
        <f ca="1">IF($B179="","",INDIRECT("aux_sheet_RRS!S"&amp;1+MATCH(aux_sheet_RRS!$E178,aux_sheet_RRS!$D$2:$D$202,0)))</f>
        <v/>
      </c>
      <c r="L179" s="90" t="str">
        <f ca="1">IF(J179="","",ROUNDDOWN(INDIRECT("aux_sheet_RRS!T"&amp;1+MATCH(aux_sheet_RRS!$E178,aux_sheet_RRS!$D$2:$D$202,0)),0))</f>
        <v/>
      </c>
      <c r="M179" s="106" t="str">
        <f ca="1">IF($B179="","",INDIRECT("aux_sheet_RRS!U"&amp;1+MATCH(aux_sheet_RRS!$E178,aux_sheet_RRS!$D$2:$D$202,0)))</f>
        <v/>
      </c>
      <c r="N179" s="89" t="str">
        <f ca="1">IF($B179="","",INDIRECT("aux_sheet_RRS!V"&amp;1+MATCH(aux_sheet_RRS!$E178,aux_sheet_RRS!$D$2:$D$202,0)))</f>
        <v/>
      </c>
      <c r="O179" s="90" t="str">
        <f ca="1">IF(M179="","",ROUNDDOWN(INDIRECT("aux_sheet_RRS!W"&amp;1+MATCH(aux_sheet_RRS!$E178,aux_sheet_RRS!$D$2:$D$202,0)),0))</f>
        <v/>
      </c>
      <c r="P179" s="106" t="str">
        <f ca="1">IF($B179="","",INDIRECT("aux_sheet_RRS!X"&amp;1+MATCH(aux_sheet_RRS!$E178,aux_sheet_RRS!$D$2:$D$202,0)))</f>
        <v/>
      </c>
      <c r="Q179" s="89" t="str">
        <f ca="1">IF($B179="","",INDIRECT("aux_sheet_RRS!Y"&amp;1+MATCH(aux_sheet_RRS!$E178,aux_sheet_RRS!$D$2:$D$202,0)))</f>
        <v/>
      </c>
      <c r="R179" s="90" t="str">
        <f ca="1">IF(P179="","",INDIRECT("aux_sheet_RRS!Z"&amp;1+MATCH(aux_sheet_RRS!$E178,aux_sheet_RRS!$D$2:$D$202,0)))</f>
        <v/>
      </c>
      <c r="S179" s="106" t="str">
        <f ca="1">IF($B179="","",INDIRECT("aux_sheet_RRS!AA"&amp;1+MATCH(aux_sheet_RRS!$E178,aux_sheet_RRS!$D$2:$D$202,0)))</f>
        <v/>
      </c>
      <c r="T179" s="89" t="str">
        <f ca="1">IF($B179="","",INDIRECT("aux_sheet_RRS!AB"&amp;1+MATCH(aux_sheet_RRS!$E178,aux_sheet_RRS!$D$2:$D$202,0)))</f>
        <v/>
      </c>
      <c r="U179" s="90" t="str">
        <f ca="1">IF(S179="","",INDIRECT("aux_sheet_RRS!AC"&amp;1+MATCH(aux_sheet_RRS!$E178,aux_sheet_RRS!$D$2:$D$202,0)))</f>
        <v/>
      </c>
      <c r="V179" s="106" t="str">
        <f ca="1">IF($B179="","",INDIRECT("aux_sheet_RRS!AD"&amp;1+MATCH(aux_sheet_RRS!$E178,aux_sheet_RRS!$D$2:$D$202,0)))</f>
        <v/>
      </c>
      <c r="W179" s="89" t="str">
        <f ca="1">IF($B179="","",INDIRECT("aux_sheet_RRS!AE"&amp;1+MATCH(aux_sheet_RRS!$E178,aux_sheet_RRS!$D$2:$D$202,0)))</f>
        <v/>
      </c>
      <c r="X179" s="90" t="str">
        <f ca="1">IF(V179="","",INDIRECT("aux_sheet_RRS!AF"&amp;1+MATCH(aux_sheet_RRS!$E178,aux_sheet_RRS!$D$2:$D$202,0)))</f>
        <v/>
      </c>
      <c r="Y179" s="106" t="str">
        <f ca="1">IF($B179="","",INDIRECT("aux_sheet_RRS!AG"&amp;1+MATCH(aux_sheet_RRS!$E178,aux_sheet_RRS!$D$2:$D$202,0)))</f>
        <v/>
      </c>
      <c r="Z179" s="89" t="str">
        <f ca="1">IF($B179="","",INDIRECT("aux_sheet_RRS!AH"&amp;1+MATCH(aux_sheet_RRS!$E178,aux_sheet_RRS!$D$2:$D$202,0)))</f>
        <v/>
      </c>
      <c r="AA179" s="90" t="str">
        <f ca="1">IF(Y179="","",INDIRECT("aux_sheet_RRS!AI"&amp;1+MATCH(aux_sheet_RRS!$E178,aux_sheet_RRS!$D$2:$D$202,0)))</f>
        <v/>
      </c>
      <c r="AB179" s="88" t="str">
        <f ca="1">IF($B179="","",INDIRECT("aux_sheet_RRS!AJ"&amp;1+MATCH(aux_sheet_RRS!$E178,aux_sheet_RRS!$D$2:$D$202,0)))</f>
        <v/>
      </c>
      <c r="AC179" s="89" t="str">
        <f ca="1">IF($B179="","",INDIRECT("aux_sheet_RRS!AK"&amp;1+MATCH(aux_sheet_RRS!$E178,aux_sheet_RRS!$D$2:$D$202,0)))</f>
        <v/>
      </c>
      <c r="AD179" s="90" t="str">
        <f ca="1">IF(AB179="","",INDIRECT("aux_sheet_RRS!AL"&amp;1+MATCH(aux_sheet_RRS!$E178,aux_sheet_RRS!$D$2:$D$202,0)))</f>
        <v/>
      </c>
      <c r="AE179" s="88" t="str">
        <f ca="1">IF($B179="","",INDIRECT("aux_sheet_RRS!AM"&amp;1+MATCH(aux_sheet_RRS!$E178,aux_sheet_RRS!$D$2:$D$202,0)))</f>
        <v/>
      </c>
      <c r="AF179" s="89" t="str">
        <f ca="1">IF($B179="","",INDIRECT("aux_sheet_RRS!AN"&amp;1+MATCH(aux_sheet_RRS!$E178,aux_sheet_RRS!$D$2:$D$202,0)))</f>
        <v/>
      </c>
      <c r="AG179" s="90" t="str">
        <f ca="1">IF(AE179="","",INDIRECT("aux_sheet_RRS!AO"&amp;1+MATCH(aux_sheet_RRS!$E178,aux_sheet_RRS!$D$2:$D$202,0)))</f>
        <v/>
      </c>
      <c r="AH179" s="14" t="str">
        <f t="shared" ca="1" si="9"/>
        <v/>
      </c>
      <c r="AI179" t="str">
        <f t="shared" ca="1" si="10"/>
        <v/>
      </c>
      <c r="AJ179" t="str">
        <f t="shared" ca="1" si="11"/>
        <v/>
      </c>
    </row>
    <row r="180" spans="1:36" x14ac:dyDescent="0.35">
      <c r="A180" s="2" t="str">
        <f>IF(ISBLANK(Input!A179),"",ROUNDDOWN(aux_sheet_RRS!E179,0))</f>
        <v/>
      </c>
      <c r="B180" s="2" t="str">
        <f ca="1">IF(ISBLANK(Input!A179),"",INDIRECT("Input!A"&amp;1+MATCH(aux_sheet_RRS!$E179,aux_sheet_RRS!$D$2:$D$202,0)))</f>
        <v/>
      </c>
      <c r="C180" s="2" t="str">
        <f ca="1">IF(ISBLANK(Input!B179),"",INDIRECT("Input!B"&amp;1+MATCH(aux_sheet_RRS!$E179,aux_sheet_RRS!$D$2:$D$202,0)))</f>
        <v/>
      </c>
      <c r="D180" s="2" t="str">
        <f ca="1">IF(ISBLANK(Input!C179),"",INDIRECT("Input!C"&amp;1+MATCH(aux_sheet_RRS!$E179,aux_sheet_RRS!$D$2:$D$202,0)))</f>
        <v/>
      </c>
      <c r="E180" s="2" t="str">
        <f ca="1">IF(ISBLANK(Input!D179),"",INDIRECT("Input!D"&amp;1+MATCH(aux_sheet_RRS!$E179,aux_sheet_RRS!$D$2:$D$202,0)))</f>
        <v/>
      </c>
      <c r="F180" s="11" t="str">
        <f ca="1">INDIRECT("Input!H"&amp;1+MATCH(aux_sheet_RRS!$E179,aux_sheet_RRS!$D$2:$D$202,0))</f>
        <v xml:space="preserve"> </v>
      </c>
      <c r="G180" s="88" t="str">
        <f ca="1">IF($B180="","",INDIRECT("aux_sheet_RRS!O"&amp;1+MATCH(aux_sheet_RRS!$E179,aux_sheet_RRS!$D$2:$D$202,0)))</f>
        <v/>
      </c>
      <c r="H180" s="89" t="str">
        <f ca="1">IF($B180="","",INDIRECT("aux_sheet_RRS!P"&amp;1+MATCH(aux_sheet_RRS!$E179,aux_sheet_RRS!$D$2:$D$202,0)))</f>
        <v/>
      </c>
      <c r="I180" s="90" t="str">
        <f ca="1">IF(G180="","",ROUNDDOWN(INDIRECT("aux_sheet_RRS!Q"&amp;1+MATCH(aux_sheet_RRS!$E179,aux_sheet_RRS!$D$2:$D$202,0)),0))</f>
        <v/>
      </c>
      <c r="J180" s="106" t="str">
        <f ca="1">IF($B180="","",INDIRECT("aux_sheet_RRS!R"&amp;1+MATCH(aux_sheet_RRS!$E179,aux_sheet_RRS!$D$2:$D$202,0)))</f>
        <v/>
      </c>
      <c r="K180" s="89" t="str">
        <f ca="1">IF($B180="","",INDIRECT("aux_sheet_RRS!S"&amp;1+MATCH(aux_sheet_RRS!$E179,aux_sheet_RRS!$D$2:$D$202,0)))</f>
        <v/>
      </c>
      <c r="L180" s="90" t="str">
        <f ca="1">IF(J180="","",ROUNDDOWN(INDIRECT("aux_sheet_RRS!T"&amp;1+MATCH(aux_sheet_RRS!$E179,aux_sheet_RRS!$D$2:$D$202,0)),0))</f>
        <v/>
      </c>
      <c r="M180" s="106" t="str">
        <f ca="1">IF($B180="","",INDIRECT("aux_sheet_RRS!U"&amp;1+MATCH(aux_sheet_RRS!$E179,aux_sheet_RRS!$D$2:$D$202,0)))</f>
        <v/>
      </c>
      <c r="N180" s="89" t="str">
        <f ca="1">IF($B180="","",INDIRECT("aux_sheet_RRS!V"&amp;1+MATCH(aux_sheet_RRS!$E179,aux_sheet_RRS!$D$2:$D$202,0)))</f>
        <v/>
      </c>
      <c r="O180" s="90" t="str">
        <f ca="1">IF(M180="","",ROUNDDOWN(INDIRECT("aux_sheet_RRS!W"&amp;1+MATCH(aux_sheet_RRS!$E179,aux_sheet_RRS!$D$2:$D$202,0)),0))</f>
        <v/>
      </c>
      <c r="P180" s="106" t="str">
        <f ca="1">IF($B180="","",INDIRECT("aux_sheet_RRS!X"&amp;1+MATCH(aux_sheet_RRS!$E179,aux_sheet_RRS!$D$2:$D$202,0)))</f>
        <v/>
      </c>
      <c r="Q180" s="89" t="str">
        <f ca="1">IF($B180="","",INDIRECT("aux_sheet_RRS!Y"&amp;1+MATCH(aux_sheet_RRS!$E179,aux_sheet_RRS!$D$2:$D$202,0)))</f>
        <v/>
      </c>
      <c r="R180" s="90" t="str">
        <f ca="1">IF(P180="","",INDIRECT("aux_sheet_RRS!Z"&amp;1+MATCH(aux_sheet_RRS!$E179,aux_sheet_RRS!$D$2:$D$202,0)))</f>
        <v/>
      </c>
      <c r="S180" s="106" t="str">
        <f ca="1">IF($B180="","",INDIRECT("aux_sheet_RRS!AA"&amp;1+MATCH(aux_sheet_RRS!$E179,aux_sheet_RRS!$D$2:$D$202,0)))</f>
        <v/>
      </c>
      <c r="T180" s="89" t="str">
        <f ca="1">IF($B180="","",INDIRECT("aux_sheet_RRS!AB"&amp;1+MATCH(aux_sheet_RRS!$E179,aux_sheet_RRS!$D$2:$D$202,0)))</f>
        <v/>
      </c>
      <c r="U180" s="90" t="str">
        <f ca="1">IF(S180="","",INDIRECT("aux_sheet_RRS!AC"&amp;1+MATCH(aux_sheet_RRS!$E179,aux_sheet_RRS!$D$2:$D$202,0)))</f>
        <v/>
      </c>
      <c r="V180" s="106" t="str">
        <f ca="1">IF($B180="","",INDIRECT("aux_sheet_RRS!AD"&amp;1+MATCH(aux_sheet_RRS!$E179,aux_sheet_RRS!$D$2:$D$202,0)))</f>
        <v/>
      </c>
      <c r="W180" s="89" t="str">
        <f ca="1">IF($B180="","",INDIRECT("aux_sheet_RRS!AE"&amp;1+MATCH(aux_sheet_RRS!$E179,aux_sheet_RRS!$D$2:$D$202,0)))</f>
        <v/>
      </c>
      <c r="X180" s="90" t="str">
        <f ca="1">IF(V180="","",INDIRECT("aux_sheet_RRS!AF"&amp;1+MATCH(aux_sheet_RRS!$E179,aux_sheet_RRS!$D$2:$D$202,0)))</f>
        <v/>
      </c>
      <c r="Y180" s="106" t="str">
        <f ca="1">IF($B180="","",INDIRECT("aux_sheet_RRS!AG"&amp;1+MATCH(aux_sheet_RRS!$E179,aux_sheet_RRS!$D$2:$D$202,0)))</f>
        <v/>
      </c>
      <c r="Z180" s="89" t="str">
        <f ca="1">IF($B180="","",INDIRECT("aux_sheet_RRS!AH"&amp;1+MATCH(aux_sheet_RRS!$E179,aux_sheet_RRS!$D$2:$D$202,0)))</f>
        <v/>
      </c>
      <c r="AA180" s="90" t="str">
        <f ca="1">IF(Y180="","",INDIRECT("aux_sheet_RRS!AI"&amp;1+MATCH(aux_sheet_RRS!$E179,aux_sheet_RRS!$D$2:$D$202,0)))</f>
        <v/>
      </c>
      <c r="AB180" s="88" t="str">
        <f ca="1">IF($B180="","",INDIRECT("aux_sheet_RRS!AJ"&amp;1+MATCH(aux_sheet_RRS!$E179,aux_sheet_RRS!$D$2:$D$202,0)))</f>
        <v/>
      </c>
      <c r="AC180" s="89" t="str">
        <f ca="1">IF($B180="","",INDIRECT("aux_sheet_RRS!AK"&amp;1+MATCH(aux_sheet_RRS!$E179,aux_sheet_RRS!$D$2:$D$202,0)))</f>
        <v/>
      </c>
      <c r="AD180" s="90" t="str">
        <f ca="1">IF(AB180="","",INDIRECT("aux_sheet_RRS!AL"&amp;1+MATCH(aux_sheet_RRS!$E179,aux_sheet_RRS!$D$2:$D$202,0)))</f>
        <v/>
      </c>
      <c r="AE180" s="88" t="str">
        <f ca="1">IF($B180="","",INDIRECT("aux_sheet_RRS!AM"&amp;1+MATCH(aux_sheet_RRS!$E179,aux_sheet_RRS!$D$2:$D$202,0)))</f>
        <v/>
      </c>
      <c r="AF180" s="89" t="str">
        <f ca="1">IF($B180="","",INDIRECT("aux_sheet_RRS!AN"&amp;1+MATCH(aux_sheet_RRS!$E179,aux_sheet_RRS!$D$2:$D$202,0)))</f>
        <v/>
      </c>
      <c r="AG180" s="90" t="str">
        <f ca="1">IF(AE180="","",INDIRECT("aux_sheet_RRS!AO"&amp;1+MATCH(aux_sheet_RRS!$E179,aux_sheet_RRS!$D$2:$D$202,0)))</f>
        <v/>
      </c>
      <c r="AH180" s="14" t="str">
        <f t="shared" ca="1" si="9"/>
        <v/>
      </c>
      <c r="AI180" t="str">
        <f t="shared" ca="1" si="10"/>
        <v/>
      </c>
      <c r="AJ180" t="str">
        <f t="shared" ca="1" si="11"/>
        <v/>
      </c>
    </row>
    <row r="181" spans="1:36" x14ac:dyDescent="0.35">
      <c r="A181" s="2" t="str">
        <f>IF(ISBLANK(Input!A180),"",ROUNDDOWN(aux_sheet_RRS!E180,0))</f>
        <v/>
      </c>
      <c r="B181" s="2" t="str">
        <f ca="1">IF(ISBLANK(Input!A180),"",INDIRECT("Input!A"&amp;1+MATCH(aux_sheet_RRS!$E180,aux_sheet_RRS!$D$2:$D$202,0)))</f>
        <v/>
      </c>
      <c r="C181" s="2" t="str">
        <f ca="1">IF(ISBLANK(Input!B180),"",INDIRECT("Input!B"&amp;1+MATCH(aux_sheet_RRS!$E180,aux_sheet_RRS!$D$2:$D$202,0)))</f>
        <v/>
      </c>
      <c r="D181" s="2" t="str">
        <f ca="1">IF(ISBLANK(Input!C180),"",INDIRECT("Input!C"&amp;1+MATCH(aux_sheet_RRS!$E180,aux_sheet_RRS!$D$2:$D$202,0)))</f>
        <v/>
      </c>
      <c r="E181" s="2" t="str">
        <f ca="1">IF(ISBLANK(Input!D180),"",INDIRECT("Input!D"&amp;1+MATCH(aux_sheet_RRS!$E180,aux_sheet_RRS!$D$2:$D$202,0)))</f>
        <v/>
      </c>
      <c r="F181" s="11" t="str">
        <f ca="1">INDIRECT("Input!H"&amp;1+MATCH(aux_sheet_RRS!$E180,aux_sheet_RRS!$D$2:$D$202,0))</f>
        <v xml:space="preserve"> </v>
      </c>
      <c r="G181" s="88" t="str">
        <f ca="1">IF($B181="","",INDIRECT("aux_sheet_RRS!O"&amp;1+MATCH(aux_sheet_RRS!$E180,aux_sheet_RRS!$D$2:$D$202,0)))</f>
        <v/>
      </c>
      <c r="H181" s="89" t="str">
        <f ca="1">IF($B181="","",INDIRECT("aux_sheet_RRS!P"&amp;1+MATCH(aux_sheet_RRS!$E180,aux_sheet_RRS!$D$2:$D$202,0)))</f>
        <v/>
      </c>
      <c r="I181" s="90" t="str">
        <f ca="1">IF(G181="","",ROUNDDOWN(INDIRECT("aux_sheet_RRS!Q"&amp;1+MATCH(aux_sheet_RRS!$E180,aux_sheet_RRS!$D$2:$D$202,0)),0))</f>
        <v/>
      </c>
      <c r="J181" s="106" t="str">
        <f ca="1">IF($B181="","",INDIRECT("aux_sheet_RRS!R"&amp;1+MATCH(aux_sheet_RRS!$E180,aux_sheet_RRS!$D$2:$D$202,0)))</f>
        <v/>
      </c>
      <c r="K181" s="89" t="str">
        <f ca="1">IF($B181="","",INDIRECT("aux_sheet_RRS!S"&amp;1+MATCH(aux_sheet_RRS!$E180,aux_sheet_RRS!$D$2:$D$202,0)))</f>
        <v/>
      </c>
      <c r="L181" s="90" t="str">
        <f ca="1">IF(J181="","",ROUNDDOWN(INDIRECT("aux_sheet_RRS!T"&amp;1+MATCH(aux_sheet_RRS!$E180,aux_sheet_RRS!$D$2:$D$202,0)),0))</f>
        <v/>
      </c>
      <c r="M181" s="106" t="str">
        <f ca="1">IF($B181="","",INDIRECT("aux_sheet_RRS!U"&amp;1+MATCH(aux_sheet_RRS!$E180,aux_sheet_RRS!$D$2:$D$202,0)))</f>
        <v/>
      </c>
      <c r="N181" s="89" t="str">
        <f ca="1">IF($B181="","",INDIRECT("aux_sheet_RRS!V"&amp;1+MATCH(aux_sheet_RRS!$E180,aux_sheet_RRS!$D$2:$D$202,0)))</f>
        <v/>
      </c>
      <c r="O181" s="90" t="str">
        <f ca="1">IF(M181="","",ROUNDDOWN(INDIRECT("aux_sheet_RRS!W"&amp;1+MATCH(aux_sheet_RRS!$E180,aux_sheet_RRS!$D$2:$D$202,0)),0))</f>
        <v/>
      </c>
      <c r="P181" s="106" t="str">
        <f ca="1">IF($B181="","",INDIRECT("aux_sheet_RRS!X"&amp;1+MATCH(aux_sheet_RRS!$E180,aux_sheet_RRS!$D$2:$D$202,0)))</f>
        <v/>
      </c>
      <c r="Q181" s="89" t="str">
        <f ca="1">IF($B181="","",INDIRECT("aux_sheet_RRS!Y"&amp;1+MATCH(aux_sheet_RRS!$E180,aux_sheet_RRS!$D$2:$D$202,0)))</f>
        <v/>
      </c>
      <c r="R181" s="90" t="str">
        <f ca="1">IF(P181="","",INDIRECT("aux_sheet_RRS!Z"&amp;1+MATCH(aux_sheet_RRS!$E180,aux_sheet_RRS!$D$2:$D$202,0)))</f>
        <v/>
      </c>
      <c r="S181" s="106" t="str">
        <f ca="1">IF($B181="","",INDIRECT("aux_sheet_RRS!AA"&amp;1+MATCH(aux_sheet_RRS!$E180,aux_sheet_RRS!$D$2:$D$202,0)))</f>
        <v/>
      </c>
      <c r="T181" s="89" t="str">
        <f ca="1">IF($B181="","",INDIRECT("aux_sheet_RRS!AB"&amp;1+MATCH(aux_sheet_RRS!$E180,aux_sheet_RRS!$D$2:$D$202,0)))</f>
        <v/>
      </c>
      <c r="U181" s="90" t="str">
        <f ca="1">IF(S181="","",INDIRECT("aux_sheet_RRS!AC"&amp;1+MATCH(aux_sheet_RRS!$E180,aux_sheet_RRS!$D$2:$D$202,0)))</f>
        <v/>
      </c>
      <c r="V181" s="106" t="str">
        <f ca="1">IF($B181="","",INDIRECT("aux_sheet_RRS!AD"&amp;1+MATCH(aux_sheet_RRS!$E180,aux_sheet_RRS!$D$2:$D$202,0)))</f>
        <v/>
      </c>
      <c r="W181" s="89" t="str">
        <f ca="1">IF($B181="","",INDIRECT("aux_sheet_RRS!AE"&amp;1+MATCH(aux_sheet_RRS!$E180,aux_sheet_RRS!$D$2:$D$202,0)))</f>
        <v/>
      </c>
      <c r="X181" s="90" t="str">
        <f ca="1">IF(V181="","",INDIRECT("aux_sheet_RRS!AF"&amp;1+MATCH(aux_sheet_RRS!$E180,aux_sheet_RRS!$D$2:$D$202,0)))</f>
        <v/>
      </c>
      <c r="Y181" s="106" t="str">
        <f ca="1">IF($B181="","",INDIRECT("aux_sheet_RRS!AG"&amp;1+MATCH(aux_sheet_RRS!$E180,aux_sheet_RRS!$D$2:$D$202,0)))</f>
        <v/>
      </c>
      <c r="Z181" s="89" t="str">
        <f ca="1">IF($B181="","",INDIRECT("aux_sheet_RRS!AH"&amp;1+MATCH(aux_sheet_RRS!$E180,aux_sheet_RRS!$D$2:$D$202,0)))</f>
        <v/>
      </c>
      <c r="AA181" s="90" t="str">
        <f ca="1">IF(Y181="","",INDIRECT("aux_sheet_RRS!AI"&amp;1+MATCH(aux_sheet_RRS!$E180,aux_sheet_RRS!$D$2:$D$202,0)))</f>
        <v/>
      </c>
      <c r="AB181" s="88" t="str">
        <f ca="1">IF($B181="","",INDIRECT("aux_sheet_RRS!AJ"&amp;1+MATCH(aux_sheet_RRS!$E180,aux_sheet_RRS!$D$2:$D$202,0)))</f>
        <v/>
      </c>
      <c r="AC181" s="89" t="str">
        <f ca="1">IF($B181="","",INDIRECT("aux_sheet_RRS!AK"&amp;1+MATCH(aux_sheet_RRS!$E180,aux_sheet_RRS!$D$2:$D$202,0)))</f>
        <v/>
      </c>
      <c r="AD181" s="90" t="str">
        <f ca="1">IF(AB181="","",INDIRECT("aux_sheet_RRS!AL"&amp;1+MATCH(aux_sheet_RRS!$E180,aux_sheet_RRS!$D$2:$D$202,0)))</f>
        <v/>
      </c>
      <c r="AE181" s="88" t="str">
        <f ca="1">IF($B181="","",INDIRECT("aux_sheet_RRS!AM"&amp;1+MATCH(aux_sheet_RRS!$E180,aux_sheet_RRS!$D$2:$D$202,0)))</f>
        <v/>
      </c>
      <c r="AF181" s="89" t="str">
        <f ca="1">IF($B181="","",INDIRECT("aux_sheet_RRS!AN"&amp;1+MATCH(aux_sheet_RRS!$E180,aux_sheet_RRS!$D$2:$D$202,0)))</f>
        <v/>
      </c>
      <c r="AG181" s="90" t="str">
        <f ca="1">IF(AE181="","",INDIRECT("aux_sheet_RRS!AO"&amp;1+MATCH(aux_sheet_RRS!$E180,aux_sheet_RRS!$D$2:$D$202,0)))</f>
        <v/>
      </c>
      <c r="AH181" s="14" t="str">
        <f t="shared" ca="1" si="9"/>
        <v/>
      </c>
      <c r="AI181" t="str">
        <f t="shared" ca="1" si="10"/>
        <v/>
      </c>
      <c r="AJ181" t="str">
        <f t="shared" ca="1" si="11"/>
        <v/>
      </c>
    </row>
    <row r="182" spans="1:36" x14ac:dyDescent="0.35">
      <c r="A182" s="2" t="str">
        <f>IF(ISBLANK(Input!A181),"",ROUNDDOWN(aux_sheet_RRS!E181,0))</f>
        <v/>
      </c>
      <c r="B182" s="2" t="str">
        <f ca="1">IF(ISBLANK(Input!A181),"",INDIRECT("Input!A"&amp;1+MATCH(aux_sheet_RRS!$E181,aux_sheet_RRS!$D$2:$D$202,0)))</f>
        <v/>
      </c>
      <c r="C182" s="2" t="str">
        <f ca="1">IF(ISBLANK(Input!B181),"",INDIRECT("Input!B"&amp;1+MATCH(aux_sheet_RRS!$E181,aux_sheet_RRS!$D$2:$D$202,0)))</f>
        <v/>
      </c>
      <c r="D182" s="2" t="str">
        <f ca="1">IF(ISBLANK(Input!C181),"",INDIRECT("Input!C"&amp;1+MATCH(aux_sheet_RRS!$E181,aux_sheet_RRS!$D$2:$D$202,0)))</f>
        <v/>
      </c>
      <c r="E182" s="2" t="str">
        <f ca="1">IF(ISBLANK(Input!D181),"",INDIRECT("Input!D"&amp;1+MATCH(aux_sheet_RRS!$E181,aux_sheet_RRS!$D$2:$D$202,0)))</f>
        <v/>
      </c>
      <c r="F182" s="11" t="str">
        <f ca="1">INDIRECT("Input!H"&amp;1+MATCH(aux_sheet_RRS!$E181,aux_sheet_RRS!$D$2:$D$202,0))</f>
        <v xml:space="preserve"> </v>
      </c>
      <c r="G182" s="88" t="str">
        <f ca="1">IF($B182="","",INDIRECT("aux_sheet_RRS!O"&amp;1+MATCH(aux_sheet_RRS!$E181,aux_sheet_RRS!$D$2:$D$202,0)))</f>
        <v/>
      </c>
      <c r="H182" s="89" t="str">
        <f ca="1">IF($B182="","",INDIRECT("aux_sheet_RRS!P"&amp;1+MATCH(aux_sheet_RRS!$E181,aux_sheet_RRS!$D$2:$D$202,0)))</f>
        <v/>
      </c>
      <c r="I182" s="90" t="str">
        <f ca="1">IF(G182="","",ROUNDDOWN(INDIRECT("aux_sheet_RRS!Q"&amp;1+MATCH(aux_sheet_RRS!$E181,aux_sheet_RRS!$D$2:$D$202,0)),0))</f>
        <v/>
      </c>
      <c r="J182" s="106" t="str">
        <f ca="1">IF($B182="","",INDIRECT("aux_sheet_RRS!R"&amp;1+MATCH(aux_sheet_RRS!$E181,aux_sheet_RRS!$D$2:$D$202,0)))</f>
        <v/>
      </c>
      <c r="K182" s="89" t="str">
        <f ca="1">IF($B182="","",INDIRECT("aux_sheet_RRS!S"&amp;1+MATCH(aux_sheet_RRS!$E181,aux_sheet_RRS!$D$2:$D$202,0)))</f>
        <v/>
      </c>
      <c r="L182" s="90" t="str">
        <f ca="1">IF(J182="","",ROUNDDOWN(INDIRECT("aux_sheet_RRS!T"&amp;1+MATCH(aux_sheet_RRS!$E181,aux_sheet_RRS!$D$2:$D$202,0)),0))</f>
        <v/>
      </c>
      <c r="M182" s="106" t="str">
        <f ca="1">IF($B182="","",INDIRECT("aux_sheet_RRS!U"&amp;1+MATCH(aux_sheet_RRS!$E181,aux_sheet_RRS!$D$2:$D$202,0)))</f>
        <v/>
      </c>
      <c r="N182" s="89" t="str">
        <f ca="1">IF($B182="","",INDIRECT("aux_sheet_RRS!V"&amp;1+MATCH(aux_sheet_RRS!$E181,aux_sheet_RRS!$D$2:$D$202,0)))</f>
        <v/>
      </c>
      <c r="O182" s="90" t="str">
        <f ca="1">IF(M182="","",ROUNDDOWN(INDIRECT("aux_sheet_RRS!W"&amp;1+MATCH(aux_sheet_RRS!$E181,aux_sheet_RRS!$D$2:$D$202,0)),0))</f>
        <v/>
      </c>
      <c r="P182" s="106" t="str">
        <f ca="1">IF($B182="","",INDIRECT("aux_sheet_RRS!X"&amp;1+MATCH(aux_sheet_RRS!$E181,aux_sheet_RRS!$D$2:$D$202,0)))</f>
        <v/>
      </c>
      <c r="Q182" s="89" t="str">
        <f ca="1">IF($B182="","",INDIRECT("aux_sheet_RRS!Y"&amp;1+MATCH(aux_sheet_RRS!$E181,aux_sheet_RRS!$D$2:$D$202,0)))</f>
        <v/>
      </c>
      <c r="R182" s="90" t="str">
        <f ca="1">IF(P182="","",INDIRECT("aux_sheet_RRS!Z"&amp;1+MATCH(aux_sheet_RRS!$E181,aux_sheet_RRS!$D$2:$D$202,0)))</f>
        <v/>
      </c>
      <c r="S182" s="106" t="str">
        <f ca="1">IF($B182="","",INDIRECT("aux_sheet_RRS!AA"&amp;1+MATCH(aux_sheet_RRS!$E181,aux_sheet_RRS!$D$2:$D$202,0)))</f>
        <v/>
      </c>
      <c r="T182" s="89" t="str">
        <f ca="1">IF($B182="","",INDIRECT("aux_sheet_RRS!AB"&amp;1+MATCH(aux_sheet_RRS!$E181,aux_sheet_RRS!$D$2:$D$202,0)))</f>
        <v/>
      </c>
      <c r="U182" s="90" t="str">
        <f ca="1">IF(S182="","",INDIRECT("aux_sheet_RRS!AC"&amp;1+MATCH(aux_sheet_RRS!$E181,aux_sheet_RRS!$D$2:$D$202,0)))</f>
        <v/>
      </c>
      <c r="V182" s="106" t="str">
        <f ca="1">IF($B182="","",INDIRECT("aux_sheet_RRS!AD"&amp;1+MATCH(aux_sheet_RRS!$E181,aux_sheet_RRS!$D$2:$D$202,0)))</f>
        <v/>
      </c>
      <c r="W182" s="89" t="str">
        <f ca="1">IF($B182="","",INDIRECT("aux_sheet_RRS!AE"&amp;1+MATCH(aux_sheet_RRS!$E181,aux_sheet_RRS!$D$2:$D$202,0)))</f>
        <v/>
      </c>
      <c r="X182" s="90" t="str">
        <f ca="1">IF(V182="","",INDIRECT("aux_sheet_RRS!AF"&amp;1+MATCH(aux_sheet_RRS!$E181,aux_sheet_RRS!$D$2:$D$202,0)))</f>
        <v/>
      </c>
      <c r="Y182" s="106" t="str">
        <f ca="1">IF($B182="","",INDIRECT("aux_sheet_RRS!AG"&amp;1+MATCH(aux_sheet_RRS!$E181,aux_sheet_RRS!$D$2:$D$202,0)))</f>
        <v/>
      </c>
      <c r="Z182" s="89" t="str">
        <f ca="1">IF($B182="","",INDIRECT("aux_sheet_RRS!AH"&amp;1+MATCH(aux_sheet_RRS!$E181,aux_sheet_RRS!$D$2:$D$202,0)))</f>
        <v/>
      </c>
      <c r="AA182" s="90" t="str">
        <f ca="1">IF(Y182="","",INDIRECT("aux_sheet_RRS!AI"&amp;1+MATCH(aux_sheet_RRS!$E181,aux_sheet_RRS!$D$2:$D$202,0)))</f>
        <v/>
      </c>
      <c r="AB182" s="88" t="str">
        <f ca="1">IF($B182="","",INDIRECT("aux_sheet_RRS!AJ"&amp;1+MATCH(aux_sheet_RRS!$E181,aux_sheet_RRS!$D$2:$D$202,0)))</f>
        <v/>
      </c>
      <c r="AC182" s="89" t="str">
        <f ca="1">IF($B182="","",INDIRECT("aux_sheet_RRS!AK"&amp;1+MATCH(aux_sheet_RRS!$E181,aux_sheet_RRS!$D$2:$D$202,0)))</f>
        <v/>
      </c>
      <c r="AD182" s="90" t="str">
        <f ca="1">IF(AB182="","",INDIRECT("aux_sheet_RRS!AL"&amp;1+MATCH(aux_sheet_RRS!$E181,aux_sheet_RRS!$D$2:$D$202,0)))</f>
        <v/>
      </c>
      <c r="AE182" s="88" t="str">
        <f ca="1">IF($B182="","",INDIRECT("aux_sheet_RRS!AM"&amp;1+MATCH(aux_sheet_RRS!$E181,aux_sheet_RRS!$D$2:$D$202,0)))</f>
        <v/>
      </c>
      <c r="AF182" s="89" t="str">
        <f ca="1">IF($B182="","",INDIRECT("aux_sheet_RRS!AN"&amp;1+MATCH(aux_sheet_RRS!$E181,aux_sheet_RRS!$D$2:$D$202,0)))</f>
        <v/>
      </c>
      <c r="AG182" s="90" t="str">
        <f ca="1">IF(AE182="","",INDIRECT("aux_sheet_RRS!AO"&amp;1+MATCH(aux_sheet_RRS!$E181,aux_sheet_RRS!$D$2:$D$202,0)))</f>
        <v/>
      </c>
      <c r="AH182" s="14" t="str">
        <f t="shared" ca="1" si="9"/>
        <v/>
      </c>
      <c r="AI182" t="str">
        <f t="shared" ca="1" si="10"/>
        <v/>
      </c>
      <c r="AJ182" t="str">
        <f t="shared" ca="1" si="11"/>
        <v/>
      </c>
    </row>
    <row r="183" spans="1:36" x14ac:dyDescent="0.35">
      <c r="A183" s="2" t="str">
        <f>IF(ISBLANK(Input!A182),"",ROUNDDOWN(aux_sheet_RRS!E182,0))</f>
        <v/>
      </c>
      <c r="B183" s="2" t="str">
        <f ca="1">IF(ISBLANK(Input!A182),"",INDIRECT("Input!A"&amp;1+MATCH(aux_sheet_RRS!$E182,aux_sheet_RRS!$D$2:$D$202,0)))</f>
        <v/>
      </c>
      <c r="C183" s="2" t="str">
        <f ca="1">IF(ISBLANK(Input!B182),"",INDIRECT("Input!B"&amp;1+MATCH(aux_sheet_RRS!$E182,aux_sheet_RRS!$D$2:$D$202,0)))</f>
        <v/>
      </c>
      <c r="D183" s="2" t="str">
        <f ca="1">IF(ISBLANK(Input!C182),"",INDIRECT("Input!C"&amp;1+MATCH(aux_sheet_RRS!$E182,aux_sheet_RRS!$D$2:$D$202,0)))</f>
        <v/>
      </c>
      <c r="E183" s="2" t="str">
        <f ca="1">IF(ISBLANK(Input!D182),"",INDIRECT("Input!D"&amp;1+MATCH(aux_sheet_RRS!$E182,aux_sheet_RRS!$D$2:$D$202,0)))</f>
        <v/>
      </c>
      <c r="F183" s="11" t="str">
        <f ca="1">INDIRECT("Input!H"&amp;1+MATCH(aux_sheet_RRS!$E182,aux_sheet_RRS!$D$2:$D$202,0))</f>
        <v xml:space="preserve"> </v>
      </c>
      <c r="G183" s="88" t="str">
        <f ca="1">IF($B183="","",INDIRECT("aux_sheet_RRS!O"&amp;1+MATCH(aux_sheet_RRS!$E182,aux_sheet_RRS!$D$2:$D$202,0)))</f>
        <v/>
      </c>
      <c r="H183" s="89" t="str">
        <f ca="1">IF($B183="","",INDIRECT("aux_sheet_RRS!P"&amp;1+MATCH(aux_sheet_RRS!$E182,aux_sheet_RRS!$D$2:$D$202,0)))</f>
        <v/>
      </c>
      <c r="I183" s="90" t="str">
        <f ca="1">IF(G183="","",ROUNDDOWN(INDIRECT("aux_sheet_RRS!Q"&amp;1+MATCH(aux_sheet_RRS!$E182,aux_sheet_RRS!$D$2:$D$202,0)),0))</f>
        <v/>
      </c>
      <c r="J183" s="106" t="str">
        <f ca="1">IF($B183="","",INDIRECT("aux_sheet_RRS!R"&amp;1+MATCH(aux_sheet_RRS!$E182,aux_sheet_RRS!$D$2:$D$202,0)))</f>
        <v/>
      </c>
      <c r="K183" s="89" t="str">
        <f ca="1">IF($B183="","",INDIRECT("aux_sheet_RRS!S"&amp;1+MATCH(aux_sheet_RRS!$E182,aux_sheet_RRS!$D$2:$D$202,0)))</f>
        <v/>
      </c>
      <c r="L183" s="90" t="str">
        <f ca="1">IF(J183="","",ROUNDDOWN(INDIRECT("aux_sheet_RRS!T"&amp;1+MATCH(aux_sheet_RRS!$E182,aux_sheet_RRS!$D$2:$D$202,0)),0))</f>
        <v/>
      </c>
      <c r="M183" s="106" t="str">
        <f ca="1">IF($B183="","",INDIRECT("aux_sheet_RRS!U"&amp;1+MATCH(aux_sheet_RRS!$E182,aux_sheet_RRS!$D$2:$D$202,0)))</f>
        <v/>
      </c>
      <c r="N183" s="89" t="str">
        <f ca="1">IF($B183="","",INDIRECT("aux_sheet_RRS!V"&amp;1+MATCH(aux_sheet_RRS!$E182,aux_sheet_RRS!$D$2:$D$202,0)))</f>
        <v/>
      </c>
      <c r="O183" s="90" t="str">
        <f ca="1">IF(M183="","",ROUNDDOWN(INDIRECT("aux_sheet_RRS!W"&amp;1+MATCH(aux_sheet_RRS!$E182,aux_sheet_RRS!$D$2:$D$202,0)),0))</f>
        <v/>
      </c>
      <c r="P183" s="106" t="str">
        <f ca="1">IF($B183="","",INDIRECT("aux_sheet_RRS!X"&amp;1+MATCH(aux_sheet_RRS!$E182,aux_sheet_RRS!$D$2:$D$202,0)))</f>
        <v/>
      </c>
      <c r="Q183" s="89" t="str">
        <f ca="1">IF($B183="","",INDIRECT("aux_sheet_RRS!Y"&amp;1+MATCH(aux_sheet_RRS!$E182,aux_sheet_RRS!$D$2:$D$202,0)))</f>
        <v/>
      </c>
      <c r="R183" s="90" t="str">
        <f ca="1">IF(P183="","",INDIRECT("aux_sheet_RRS!Z"&amp;1+MATCH(aux_sheet_RRS!$E182,aux_sheet_RRS!$D$2:$D$202,0)))</f>
        <v/>
      </c>
      <c r="S183" s="106" t="str">
        <f ca="1">IF($B183="","",INDIRECT("aux_sheet_RRS!AA"&amp;1+MATCH(aux_sheet_RRS!$E182,aux_sheet_RRS!$D$2:$D$202,0)))</f>
        <v/>
      </c>
      <c r="T183" s="89" t="str">
        <f ca="1">IF($B183="","",INDIRECT("aux_sheet_RRS!AB"&amp;1+MATCH(aux_sheet_RRS!$E182,aux_sheet_RRS!$D$2:$D$202,0)))</f>
        <v/>
      </c>
      <c r="U183" s="90" t="str">
        <f ca="1">IF(S183="","",INDIRECT("aux_sheet_RRS!AC"&amp;1+MATCH(aux_sheet_RRS!$E182,aux_sheet_RRS!$D$2:$D$202,0)))</f>
        <v/>
      </c>
      <c r="V183" s="106" t="str">
        <f ca="1">IF($B183="","",INDIRECT("aux_sheet_RRS!AD"&amp;1+MATCH(aux_sheet_RRS!$E182,aux_sheet_RRS!$D$2:$D$202,0)))</f>
        <v/>
      </c>
      <c r="W183" s="89" t="str">
        <f ca="1">IF($B183="","",INDIRECT("aux_sheet_RRS!AE"&amp;1+MATCH(aux_sheet_RRS!$E182,aux_sheet_RRS!$D$2:$D$202,0)))</f>
        <v/>
      </c>
      <c r="X183" s="90" t="str">
        <f ca="1">IF(V183="","",INDIRECT("aux_sheet_RRS!AF"&amp;1+MATCH(aux_sheet_RRS!$E182,aux_sheet_RRS!$D$2:$D$202,0)))</f>
        <v/>
      </c>
      <c r="Y183" s="106" t="str">
        <f ca="1">IF($B183="","",INDIRECT("aux_sheet_RRS!AG"&amp;1+MATCH(aux_sheet_RRS!$E182,aux_sheet_RRS!$D$2:$D$202,0)))</f>
        <v/>
      </c>
      <c r="Z183" s="89" t="str">
        <f ca="1">IF($B183="","",INDIRECT("aux_sheet_RRS!AH"&amp;1+MATCH(aux_sheet_RRS!$E182,aux_sheet_RRS!$D$2:$D$202,0)))</f>
        <v/>
      </c>
      <c r="AA183" s="90" t="str">
        <f ca="1">IF(Y183="","",INDIRECT("aux_sheet_RRS!AI"&amp;1+MATCH(aux_sheet_RRS!$E182,aux_sheet_RRS!$D$2:$D$202,0)))</f>
        <v/>
      </c>
      <c r="AB183" s="88" t="str">
        <f ca="1">IF($B183="","",INDIRECT("aux_sheet_RRS!AJ"&amp;1+MATCH(aux_sheet_RRS!$E182,aux_sheet_RRS!$D$2:$D$202,0)))</f>
        <v/>
      </c>
      <c r="AC183" s="89" t="str">
        <f ca="1">IF($B183="","",INDIRECT("aux_sheet_RRS!AK"&amp;1+MATCH(aux_sheet_RRS!$E182,aux_sheet_RRS!$D$2:$D$202,0)))</f>
        <v/>
      </c>
      <c r="AD183" s="90" t="str">
        <f ca="1">IF(AB183="","",INDIRECT("aux_sheet_RRS!AL"&amp;1+MATCH(aux_sheet_RRS!$E182,aux_sheet_RRS!$D$2:$D$202,0)))</f>
        <v/>
      </c>
      <c r="AE183" s="88" t="str">
        <f ca="1">IF($B183="","",INDIRECT("aux_sheet_RRS!AM"&amp;1+MATCH(aux_sheet_RRS!$E182,aux_sheet_RRS!$D$2:$D$202,0)))</f>
        <v/>
      </c>
      <c r="AF183" s="89" t="str">
        <f ca="1">IF($B183="","",INDIRECT("aux_sheet_RRS!AN"&amp;1+MATCH(aux_sheet_RRS!$E182,aux_sheet_RRS!$D$2:$D$202,0)))</f>
        <v/>
      </c>
      <c r="AG183" s="90" t="str">
        <f ca="1">IF(AE183="","",INDIRECT("aux_sheet_RRS!AO"&amp;1+MATCH(aux_sheet_RRS!$E182,aux_sheet_RRS!$D$2:$D$202,0)))</f>
        <v/>
      </c>
      <c r="AH183" s="14" t="str">
        <f t="shared" ca="1" si="9"/>
        <v/>
      </c>
      <c r="AI183" t="str">
        <f t="shared" ca="1" si="10"/>
        <v/>
      </c>
      <c r="AJ183" t="str">
        <f t="shared" ca="1" si="11"/>
        <v/>
      </c>
    </row>
    <row r="184" spans="1:36" x14ac:dyDescent="0.35">
      <c r="A184" s="2" t="str">
        <f>IF(ISBLANK(Input!A183),"",ROUNDDOWN(aux_sheet_RRS!E183,0))</f>
        <v/>
      </c>
      <c r="B184" s="2" t="str">
        <f ca="1">IF(ISBLANK(Input!A183),"",INDIRECT("Input!A"&amp;1+MATCH(aux_sheet_RRS!$E183,aux_sheet_RRS!$D$2:$D$202,0)))</f>
        <v/>
      </c>
      <c r="C184" s="2" t="str">
        <f ca="1">IF(ISBLANK(Input!B183),"",INDIRECT("Input!B"&amp;1+MATCH(aux_sheet_RRS!$E183,aux_sheet_RRS!$D$2:$D$202,0)))</f>
        <v/>
      </c>
      <c r="D184" s="2" t="str">
        <f ca="1">IF(ISBLANK(Input!C183),"",INDIRECT("Input!C"&amp;1+MATCH(aux_sheet_RRS!$E183,aux_sheet_RRS!$D$2:$D$202,0)))</f>
        <v/>
      </c>
      <c r="E184" s="2" t="str">
        <f ca="1">IF(ISBLANK(Input!D183),"",INDIRECT("Input!D"&amp;1+MATCH(aux_sheet_RRS!$E183,aux_sheet_RRS!$D$2:$D$202,0)))</f>
        <v/>
      </c>
      <c r="F184" s="11" t="str">
        <f ca="1">INDIRECT("Input!H"&amp;1+MATCH(aux_sheet_RRS!$E183,aux_sheet_RRS!$D$2:$D$202,0))</f>
        <v xml:space="preserve"> </v>
      </c>
      <c r="G184" s="88" t="str">
        <f ca="1">IF($B184="","",INDIRECT("aux_sheet_RRS!O"&amp;1+MATCH(aux_sheet_RRS!$E183,aux_sheet_RRS!$D$2:$D$202,0)))</f>
        <v/>
      </c>
      <c r="H184" s="89" t="str">
        <f ca="1">IF($B184="","",INDIRECT("aux_sheet_RRS!P"&amp;1+MATCH(aux_sheet_RRS!$E183,aux_sheet_RRS!$D$2:$D$202,0)))</f>
        <v/>
      </c>
      <c r="I184" s="90" t="str">
        <f ca="1">IF(G184="","",ROUNDDOWN(INDIRECT("aux_sheet_RRS!Q"&amp;1+MATCH(aux_sheet_RRS!$E183,aux_sheet_RRS!$D$2:$D$202,0)),0))</f>
        <v/>
      </c>
      <c r="J184" s="106" t="str">
        <f ca="1">IF($B184="","",INDIRECT("aux_sheet_RRS!R"&amp;1+MATCH(aux_sheet_RRS!$E183,aux_sheet_RRS!$D$2:$D$202,0)))</f>
        <v/>
      </c>
      <c r="K184" s="89" t="str">
        <f ca="1">IF($B184="","",INDIRECT("aux_sheet_RRS!S"&amp;1+MATCH(aux_sheet_RRS!$E183,aux_sheet_RRS!$D$2:$D$202,0)))</f>
        <v/>
      </c>
      <c r="L184" s="90" t="str">
        <f ca="1">IF(J184="","",ROUNDDOWN(INDIRECT("aux_sheet_RRS!T"&amp;1+MATCH(aux_sheet_RRS!$E183,aux_sheet_RRS!$D$2:$D$202,0)),0))</f>
        <v/>
      </c>
      <c r="M184" s="106" t="str">
        <f ca="1">IF($B184="","",INDIRECT("aux_sheet_RRS!U"&amp;1+MATCH(aux_sheet_RRS!$E183,aux_sheet_RRS!$D$2:$D$202,0)))</f>
        <v/>
      </c>
      <c r="N184" s="89" t="str">
        <f ca="1">IF($B184="","",INDIRECT("aux_sheet_RRS!V"&amp;1+MATCH(aux_sheet_RRS!$E183,aux_sheet_RRS!$D$2:$D$202,0)))</f>
        <v/>
      </c>
      <c r="O184" s="90" t="str">
        <f ca="1">IF(M184="","",ROUNDDOWN(INDIRECT("aux_sheet_RRS!W"&amp;1+MATCH(aux_sheet_RRS!$E183,aux_sheet_RRS!$D$2:$D$202,0)),0))</f>
        <v/>
      </c>
      <c r="P184" s="106" t="str">
        <f ca="1">IF($B184="","",INDIRECT("aux_sheet_RRS!X"&amp;1+MATCH(aux_sheet_RRS!$E183,aux_sheet_RRS!$D$2:$D$202,0)))</f>
        <v/>
      </c>
      <c r="Q184" s="89" t="str">
        <f ca="1">IF($B184="","",INDIRECT("aux_sheet_RRS!Y"&amp;1+MATCH(aux_sheet_RRS!$E183,aux_sheet_RRS!$D$2:$D$202,0)))</f>
        <v/>
      </c>
      <c r="R184" s="90" t="str">
        <f ca="1">IF(P184="","",INDIRECT("aux_sheet_RRS!Z"&amp;1+MATCH(aux_sheet_RRS!$E183,aux_sheet_RRS!$D$2:$D$202,0)))</f>
        <v/>
      </c>
      <c r="S184" s="106" t="str">
        <f ca="1">IF($B184="","",INDIRECT("aux_sheet_RRS!AA"&amp;1+MATCH(aux_sheet_RRS!$E183,aux_sheet_RRS!$D$2:$D$202,0)))</f>
        <v/>
      </c>
      <c r="T184" s="89" t="str">
        <f ca="1">IF($B184="","",INDIRECT("aux_sheet_RRS!AB"&amp;1+MATCH(aux_sheet_RRS!$E183,aux_sheet_RRS!$D$2:$D$202,0)))</f>
        <v/>
      </c>
      <c r="U184" s="90" t="str">
        <f ca="1">IF(S184="","",INDIRECT("aux_sheet_RRS!AC"&amp;1+MATCH(aux_sheet_RRS!$E183,aux_sheet_RRS!$D$2:$D$202,0)))</f>
        <v/>
      </c>
      <c r="V184" s="106" t="str">
        <f ca="1">IF($B184="","",INDIRECT("aux_sheet_RRS!AD"&amp;1+MATCH(aux_sheet_RRS!$E183,aux_sheet_RRS!$D$2:$D$202,0)))</f>
        <v/>
      </c>
      <c r="W184" s="89" t="str">
        <f ca="1">IF($B184="","",INDIRECT("aux_sheet_RRS!AE"&amp;1+MATCH(aux_sheet_RRS!$E183,aux_sheet_RRS!$D$2:$D$202,0)))</f>
        <v/>
      </c>
      <c r="X184" s="90" t="str">
        <f ca="1">IF(V184="","",INDIRECT("aux_sheet_RRS!AF"&amp;1+MATCH(aux_sheet_RRS!$E183,aux_sheet_RRS!$D$2:$D$202,0)))</f>
        <v/>
      </c>
      <c r="Y184" s="106" t="str">
        <f ca="1">IF($B184="","",INDIRECT("aux_sheet_RRS!AG"&amp;1+MATCH(aux_sheet_RRS!$E183,aux_sheet_RRS!$D$2:$D$202,0)))</f>
        <v/>
      </c>
      <c r="Z184" s="89" t="str">
        <f ca="1">IF($B184="","",INDIRECT("aux_sheet_RRS!AH"&amp;1+MATCH(aux_sheet_RRS!$E183,aux_sheet_RRS!$D$2:$D$202,0)))</f>
        <v/>
      </c>
      <c r="AA184" s="90" t="str">
        <f ca="1">IF(Y184="","",INDIRECT("aux_sheet_RRS!AI"&amp;1+MATCH(aux_sheet_RRS!$E183,aux_sheet_RRS!$D$2:$D$202,0)))</f>
        <v/>
      </c>
      <c r="AB184" s="88" t="str">
        <f ca="1">IF($B184="","",INDIRECT("aux_sheet_RRS!AJ"&amp;1+MATCH(aux_sheet_RRS!$E183,aux_sheet_RRS!$D$2:$D$202,0)))</f>
        <v/>
      </c>
      <c r="AC184" s="89" t="str">
        <f ca="1">IF($B184="","",INDIRECT("aux_sheet_RRS!AK"&amp;1+MATCH(aux_sheet_RRS!$E183,aux_sheet_RRS!$D$2:$D$202,0)))</f>
        <v/>
      </c>
      <c r="AD184" s="90" t="str">
        <f ca="1">IF(AB184="","",INDIRECT("aux_sheet_RRS!AL"&amp;1+MATCH(aux_sheet_RRS!$E183,aux_sheet_RRS!$D$2:$D$202,0)))</f>
        <v/>
      </c>
      <c r="AE184" s="88" t="str">
        <f ca="1">IF($B184="","",INDIRECT("aux_sheet_RRS!AM"&amp;1+MATCH(aux_sheet_RRS!$E183,aux_sheet_RRS!$D$2:$D$202,0)))</f>
        <v/>
      </c>
      <c r="AF184" s="89" t="str">
        <f ca="1">IF($B184="","",INDIRECT("aux_sheet_RRS!AN"&amp;1+MATCH(aux_sheet_RRS!$E183,aux_sheet_RRS!$D$2:$D$202,0)))</f>
        <v/>
      </c>
      <c r="AG184" s="90" t="str">
        <f ca="1">IF(AE184="","",INDIRECT("aux_sheet_RRS!AO"&amp;1+MATCH(aux_sheet_RRS!$E183,aux_sheet_RRS!$D$2:$D$202,0)))</f>
        <v/>
      </c>
      <c r="AH184" s="14" t="str">
        <f t="shared" ca="1" si="9"/>
        <v/>
      </c>
      <c r="AI184" t="str">
        <f t="shared" ca="1" si="10"/>
        <v/>
      </c>
      <c r="AJ184" t="str">
        <f t="shared" ca="1" si="11"/>
        <v/>
      </c>
    </row>
    <row r="185" spans="1:36" x14ac:dyDescent="0.35">
      <c r="A185" s="2" t="str">
        <f>IF(ISBLANK(Input!A184),"",ROUNDDOWN(aux_sheet_RRS!E184,0))</f>
        <v/>
      </c>
      <c r="B185" s="2" t="str">
        <f ca="1">IF(ISBLANK(Input!A184),"",INDIRECT("Input!A"&amp;1+MATCH(aux_sheet_RRS!$E184,aux_sheet_RRS!$D$2:$D$202,0)))</f>
        <v/>
      </c>
      <c r="C185" s="2" t="str">
        <f ca="1">IF(ISBLANK(Input!B184),"",INDIRECT("Input!B"&amp;1+MATCH(aux_sheet_RRS!$E184,aux_sheet_RRS!$D$2:$D$202,0)))</f>
        <v/>
      </c>
      <c r="D185" s="2" t="str">
        <f ca="1">IF(ISBLANK(Input!C184),"",INDIRECT("Input!C"&amp;1+MATCH(aux_sheet_RRS!$E184,aux_sheet_RRS!$D$2:$D$202,0)))</f>
        <v/>
      </c>
      <c r="E185" s="2" t="str">
        <f ca="1">IF(ISBLANK(Input!D184),"",INDIRECT("Input!D"&amp;1+MATCH(aux_sheet_RRS!$E184,aux_sheet_RRS!$D$2:$D$202,0)))</f>
        <v/>
      </c>
      <c r="F185" s="11" t="str">
        <f ca="1">INDIRECT("Input!H"&amp;1+MATCH(aux_sheet_RRS!$E184,aux_sheet_RRS!$D$2:$D$202,0))</f>
        <v xml:space="preserve"> </v>
      </c>
      <c r="G185" s="88" t="str">
        <f ca="1">IF($B185="","",INDIRECT("aux_sheet_RRS!O"&amp;1+MATCH(aux_sheet_RRS!$E184,aux_sheet_RRS!$D$2:$D$202,0)))</f>
        <v/>
      </c>
      <c r="H185" s="89" t="str">
        <f ca="1">IF($B185="","",INDIRECT("aux_sheet_RRS!P"&amp;1+MATCH(aux_sheet_RRS!$E184,aux_sheet_RRS!$D$2:$D$202,0)))</f>
        <v/>
      </c>
      <c r="I185" s="90" t="str">
        <f ca="1">IF(G185="","",ROUNDDOWN(INDIRECT("aux_sheet_RRS!Q"&amp;1+MATCH(aux_sheet_RRS!$E184,aux_sheet_RRS!$D$2:$D$202,0)),0))</f>
        <v/>
      </c>
      <c r="J185" s="106" t="str">
        <f ca="1">IF($B185="","",INDIRECT("aux_sheet_RRS!R"&amp;1+MATCH(aux_sheet_RRS!$E184,aux_sheet_RRS!$D$2:$D$202,0)))</f>
        <v/>
      </c>
      <c r="K185" s="89" t="str">
        <f ca="1">IF($B185="","",INDIRECT("aux_sheet_RRS!S"&amp;1+MATCH(aux_sheet_RRS!$E184,aux_sheet_RRS!$D$2:$D$202,0)))</f>
        <v/>
      </c>
      <c r="L185" s="90" t="str">
        <f ca="1">IF(J185="","",ROUNDDOWN(INDIRECT("aux_sheet_RRS!T"&amp;1+MATCH(aux_sheet_RRS!$E184,aux_sheet_RRS!$D$2:$D$202,0)),0))</f>
        <v/>
      </c>
      <c r="M185" s="106" t="str">
        <f ca="1">IF($B185="","",INDIRECT("aux_sheet_RRS!U"&amp;1+MATCH(aux_sheet_RRS!$E184,aux_sheet_RRS!$D$2:$D$202,0)))</f>
        <v/>
      </c>
      <c r="N185" s="89" t="str">
        <f ca="1">IF($B185="","",INDIRECT("aux_sheet_RRS!V"&amp;1+MATCH(aux_sheet_RRS!$E184,aux_sheet_RRS!$D$2:$D$202,0)))</f>
        <v/>
      </c>
      <c r="O185" s="90" t="str">
        <f ca="1">IF(M185="","",ROUNDDOWN(INDIRECT("aux_sheet_RRS!W"&amp;1+MATCH(aux_sheet_RRS!$E184,aux_sheet_RRS!$D$2:$D$202,0)),0))</f>
        <v/>
      </c>
      <c r="P185" s="106" t="str">
        <f ca="1">IF($B185="","",INDIRECT("aux_sheet_RRS!X"&amp;1+MATCH(aux_sheet_RRS!$E184,aux_sheet_RRS!$D$2:$D$202,0)))</f>
        <v/>
      </c>
      <c r="Q185" s="89" t="str">
        <f ca="1">IF($B185="","",INDIRECT("aux_sheet_RRS!Y"&amp;1+MATCH(aux_sheet_RRS!$E184,aux_sheet_RRS!$D$2:$D$202,0)))</f>
        <v/>
      </c>
      <c r="R185" s="90" t="str">
        <f ca="1">IF(P185="","",INDIRECT("aux_sheet_RRS!Z"&amp;1+MATCH(aux_sheet_RRS!$E184,aux_sheet_RRS!$D$2:$D$202,0)))</f>
        <v/>
      </c>
      <c r="S185" s="106" t="str">
        <f ca="1">IF($B185="","",INDIRECT("aux_sheet_RRS!AA"&amp;1+MATCH(aux_sheet_RRS!$E184,aux_sheet_RRS!$D$2:$D$202,0)))</f>
        <v/>
      </c>
      <c r="T185" s="89" t="str">
        <f ca="1">IF($B185="","",INDIRECT("aux_sheet_RRS!AB"&amp;1+MATCH(aux_sheet_RRS!$E184,aux_sheet_RRS!$D$2:$D$202,0)))</f>
        <v/>
      </c>
      <c r="U185" s="90" t="str">
        <f ca="1">IF(S185="","",INDIRECT("aux_sheet_RRS!AC"&amp;1+MATCH(aux_sheet_RRS!$E184,aux_sheet_RRS!$D$2:$D$202,0)))</f>
        <v/>
      </c>
      <c r="V185" s="106" t="str">
        <f ca="1">IF($B185="","",INDIRECT("aux_sheet_RRS!AD"&amp;1+MATCH(aux_sheet_RRS!$E184,aux_sheet_RRS!$D$2:$D$202,0)))</f>
        <v/>
      </c>
      <c r="W185" s="89" t="str">
        <f ca="1">IF($B185="","",INDIRECT("aux_sheet_RRS!AE"&amp;1+MATCH(aux_sheet_RRS!$E184,aux_sheet_RRS!$D$2:$D$202,0)))</f>
        <v/>
      </c>
      <c r="X185" s="90" t="str">
        <f ca="1">IF(V185="","",INDIRECT("aux_sheet_RRS!AF"&amp;1+MATCH(aux_sheet_RRS!$E184,aux_sheet_RRS!$D$2:$D$202,0)))</f>
        <v/>
      </c>
      <c r="Y185" s="106" t="str">
        <f ca="1">IF($B185="","",INDIRECT("aux_sheet_RRS!AG"&amp;1+MATCH(aux_sheet_RRS!$E184,aux_sheet_RRS!$D$2:$D$202,0)))</f>
        <v/>
      </c>
      <c r="Z185" s="89" t="str">
        <f ca="1">IF($B185="","",INDIRECT("aux_sheet_RRS!AH"&amp;1+MATCH(aux_sheet_RRS!$E184,aux_sheet_RRS!$D$2:$D$202,0)))</f>
        <v/>
      </c>
      <c r="AA185" s="90" t="str">
        <f ca="1">IF(Y185="","",INDIRECT("aux_sheet_RRS!AI"&amp;1+MATCH(aux_sheet_RRS!$E184,aux_sheet_RRS!$D$2:$D$202,0)))</f>
        <v/>
      </c>
      <c r="AB185" s="88" t="str">
        <f ca="1">IF($B185="","",INDIRECT("aux_sheet_RRS!AJ"&amp;1+MATCH(aux_sheet_RRS!$E184,aux_sheet_RRS!$D$2:$D$202,0)))</f>
        <v/>
      </c>
      <c r="AC185" s="89" t="str">
        <f ca="1">IF($B185="","",INDIRECT("aux_sheet_RRS!AK"&amp;1+MATCH(aux_sheet_RRS!$E184,aux_sheet_RRS!$D$2:$D$202,0)))</f>
        <v/>
      </c>
      <c r="AD185" s="90" t="str">
        <f ca="1">IF(AB185="","",INDIRECT("aux_sheet_RRS!AL"&amp;1+MATCH(aux_sheet_RRS!$E184,aux_sheet_RRS!$D$2:$D$202,0)))</f>
        <v/>
      </c>
      <c r="AE185" s="88" t="str">
        <f ca="1">IF($B185="","",INDIRECT("aux_sheet_RRS!AM"&amp;1+MATCH(aux_sheet_RRS!$E184,aux_sheet_RRS!$D$2:$D$202,0)))</f>
        <v/>
      </c>
      <c r="AF185" s="89" t="str">
        <f ca="1">IF($B185="","",INDIRECT("aux_sheet_RRS!AN"&amp;1+MATCH(aux_sheet_RRS!$E184,aux_sheet_RRS!$D$2:$D$202,0)))</f>
        <v/>
      </c>
      <c r="AG185" s="90" t="str">
        <f ca="1">IF(AE185="","",INDIRECT("aux_sheet_RRS!AO"&amp;1+MATCH(aux_sheet_RRS!$E184,aux_sheet_RRS!$D$2:$D$202,0)))</f>
        <v/>
      </c>
      <c r="AH185" s="14" t="str">
        <f t="shared" ca="1" si="9"/>
        <v/>
      </c>
      <c r="AI185" t="str">
        <f t="shared" ca="1" si="10"/>
        <v/>
      </c>
      <c r="AJ185" t="str">
        <f t="shared" ca="1" si="11"/>
        <v/>
      </c>
    </row>
    <row r="186" spans="1:36" x14ac:dyDescent="0.35">
      <c r="A186" s="2" t="str">
        <f>IF(ISBLANK(Input!A185),"",ROUNDDOWN(aux_sheet_RRS!E185,0))</f>
        <v/>
      </c>
      <c r="B186" s="2" t="str">
        <f ca="1">IF(ISBLANK(Input!A185),"",INDIRECT("Input!A"&amp;1+MATCH(aux_sheet_RRS!$E185,aux_sheet_RRS!$D$2:$D$202,0)))</f>
        <v/>
      </c>
      <c r="C186" s="2" t="str">
        <f ca="1">IF(ISBLANK(Input!B185),"",INDIRECT("Input!B"&amp;1+MATCH(aux_sheet_RRS!$E185,aux_sheet_RRS!$D$2:$D$202,0)))</f>
        <v/>
      </c>
      <c r="D186" s="2" t="str">
        <f ca="1">IF(ISBLANK(Input!C185),"",INDIRECT("Input!C"&amp;1+MATCH(aux_sheet_RRS!$E185,aux_sheet_RRS!$D$2:$D$202,0)))</f>
        <v/>
      </c>
      <c r="E186" s="2" t="str">
        <f ca="1">IF(ISBLANK(Input!D185),"",INDIRECT("Input!D"&amp;1+MATCH(aux_sheet_RRS!$E185,aux_sheet_RRS!$D$2:$D$202,0)))</f>
        <v/>
      </c>
      <c r="F186" s="11" t="str">
        <f ca="1">INDIRECT("Input!H"&amp;1+MATCH(aux_sheet_RRS!$E185,aux_sheet_RRS!$D$2:$D$202,0))</f>
        <v xml:space="preserve"> </v>
      </c>
      <c r="G186" s="88" t="str">
        <f ca="1">IF($B186="","",INDIRECT("aux_sheet_RRS!O"&amp;1+MATCH(aux_sheet_RRS!$E185,aux_sheet_RRS!$D$2:$D$202,0)))</f>
        <v/>
      </c>
      <c r="H186" s="89" t="str">
        <f ca="1">IF($B186="","",INDIRECT("aux_sheet_RRS!P"&amp;1+MATCH(aux_sheet_RRS!$E185,aux_sheet_RRS!$D$2:$D$202,0)))</f>
        <v/>
      </c>
      <c r="I186" s="90" t="str">
        <f ca="1">IF(G186="","",ROUNDDOWN(INDIRECT("aux_sheet_RRS!Q"&amp;1+MATCH(aux_sheet_RRS!$E185,aux_sheet_RRS!$D$2:$D$202,0)),0))</f>
        <v/>
      </c>
      <c r="J186" s="106" t="str">
        <f ca="1">IF($B186="","",INDIRECT("aux_sheet_RRS!R"&amp;1+MATCH(aux_sheet_RRS!$E185,aux_sheet_RRS!$D$2:$D$202,0)))</f>
        <v/>
      </c>
      <c r="K186" s="89" t="str">
        <f ca="1">IF($B186="","",INDIRECT("aux_sheet_RRS!S"&amp;1+MATCH(aux_sheet_RRS!$E185,aux_sheet_RRS!$D$2:$D$202,0)))</f>
        <v/>
      </c>
      <c r="L186" s="90" t="str">
        <f ca="1">IF(J186="","",ROUNDDOWN(INDIRECT("aux_sheet_RRS!T"&amp;1+MATCH(aux_sheet_RRS!$E185,aux_sheet_RRS!$D$2:$D$202,0)),0))</f>
        <v/>
      </c>
      <c r="M186" s="106" t="str">
        <f ca="1">IF($B186="","",INDIRECT("aux_sheet_RRS!U"&amp;1+MATCH(aux_sheet_RRS!$E185,aux_sheet_RRS!$D$2:$D$202,0)))</f>
        <v/>
      </c>
      <c r="N186" s="89" t="str">
        <f ca="1">IF($B186="","",INDIRECT("aux_sheet_RRS!V"&amp;1+MATCH(aux_sheet_RRS!$E185,aux_sheet_RRS!$D$2:$D$202,0)))</f>
        <v/>
      </c>
      <c r="O186" s="90" t="str">
        <f ca="1">IF(M186="","",ROUNDDOWN(INDIRECT("aux_sheet_RRS!W"&amp;1+MATCH(aux_sheet_RRS!$E185,aux_sheet_RRS!$D$2:$D$202,0)),0))</f>
        <v/>
      </c>
      <c r="P186" s="106" t="str">
        <f ca="1">IF($B186="","",INDIRECT("aux_sheet_RRS!X"&amp;1+MATCH(aux_sheet_RRS!$E185,aux_sheet_RRS!$D$2:$D$202,0)))</f>
        <v/>
      </c>
      <c r="Q186" s="89" t="str">
        <f ca="1">IF($B186="","",INDIRECT("aux_sheet_RRS!Y"&amp;1+MATCH(aux_sheet_RRS!$E185,aux_sheet_RRS!$D$2:$D$202,0)))</f>
        <v/>
      </c>
      <c r="R186" s="90" t="str">
        <f ca="1">IF(P186="","",INDIRECT("aux_sheet_RRS!Z"&amp;1+MATCH(aux_sheet_RRS!$E185,aux_sheet_RRS!$D$2:$D$202,0)))</f>
        <v/>
      </c>
      <c r="S186" s="106" t="str">
        <f ca="1">IF($B186="","",INDIRECT("aux_sheet_RRS!AA"&amp;1+MATCH(aux_sheet_RRS!$E185,aux_sheet_RRS!$D$2:$D$202,0)))</f>
        <v/>
      </c>
      <c r="T186" s="89" t="str">
        <f ca="1">IF($B186="","",INDIRECT("aux_sheet_RRS!AB"&amp;1+MATCH(aux_sheet_RRS!$E185,aux_sheet_RRS!$D$2:$D$202,0)))</f>
        <v/>
      </c>
      <c r="U186" s="90" t="str">
        <f ca="1">IF(S186="","",INDIRECT("aux_sheet_RRS!AC"&amp;1+MATCH(aux_sheet_RRS!$E185,aux_sheet_RRS!$D$2:$D$202,0)))</f>
        <v/>
      </c>
      <c r="V186" s="106" t="str">
        <f ca="1">IF($B186="","",INDIRECT("aux_sheet_RRS!AD"&amp;1+MATCH(aux_sheet_RRS!$E185,aux_sheet_RRS!$D$2:$D$202,0)))</f>
        <v/>
      </c>
      <c r="W186" s="89" t="str">
        <f ca="1">IF($B186="","",INDIRECT("aux_sheet_RRS!AE"&amp;1+MATCH(aux_sheet_RRS!$E185,aux_sheet_RRS!$D$2:$D$202,0)))</f>
        <v/>
      </c>
      <c r="X186" s="90" t="str">
        <f ca="1">IF(V186="","",INDIRECT("aux_sheet_RRS!AF"&amp;1+MATCH(aux_sheet_RRS!$E185,aux_sheet_RRS!$D$2:$D$202,0)))</f>
        <v/>
      </c>
      <c r="Y186" s="106" t="str">
        <f ca="1">IF($B186="","",INDIRECT("aux_sheet_RRS!AG"&amp;1+MATCH(aux_sheet_RRS!$E185,aux_sheet_RRS!$D$2:$D$202,0)))</f>
        <v/>
      </c>
      <c r="Z186" s="89" t="str">
        <f ca="1">IF($B186="","",INDIRECT("aux_sheet_RRS!AH"&amp;1+MATCH(aux_sheet_RRS!$E185,aux_sheet_RRS!$D$2:$D$202,0)))</f>
        <v/>
      </c>
      <c r="AA186" s="90" t="str">
        <f ca="1">IF(Y186="","",INDIRECT("aux_sheet_RRS!AI"&amp;1+MATCH(aux_sheet_RRS!$E185,aux_sheet_RRS!$D$2:$D$202,0)))</f>
        <v/>
      </c>
      <c r="AB186" s="88" t="str">
        <f ca="1">IF($B186="","",INDIRECT("aux_sheet_RRS!AJ"&amp;1+MATCH(aux_sheet_RRS!$E185,aux_sheet_RRS!$D$2:$D$202,0)))</f>
        <v/>
      </c>
      <c r="AC186" s="89" t="str">
        <f ca="1">IF($B186="","",INDIRECT("aux_sheet_RRS!AK"&amp;1+MATCH(aux_sheet_RRS!$E185,aux_sheet_RRS!$D$2:$D$202,0)))</f>
        <v/>
      </c>
      <c r="AD186" s="90" t="str">
        <f ca="1">IF(AB186="","",INDIRECT("aux_sheet_RRS!AL"&amp;1+MATCH(aux_sheet_RRS!$E185,aux_sheet_RRS!$D$2:$D$202,0)))</f>
        <v/>
      </c>
      <c r="AE186" s="88" t="str">
        <f ca="1">IF($B186="","",INDIRECT("aux_sheet_RRS!AM"&amp;1+MATCH(aux_sheet_RRS!$E185,aux_sheet_RRS!$D$2:$D$202,0)))</f>
        <v/>
      </c>
      <c r="AF186" s="89" t="str">
        <f ca="1">IF($B186="","",INDIRECT("aux_sheet_RRS!AN"&amp;1+MATCH(aux_sheet_RRS!$E185,aux_sheet_RRS!$D$2:$D$202,0)))</f>
        <v/>
      </c>
      <c r="AG186" s="90" t="str">
        <f ca="1">IF(AE186="","",INDIRECT("aux_sheet_RRS!AO"&amp;1+MATCH(aux_sheet_RRS!$E185,aux_sheet_RRS!$D$2:$D$202,0)))</f>
        <v/>
      </c>
      <c r="AH186" s="14" t="str">
        <f t="shared" ca="1" si="9"/>
        <v/>
      </c>
      <c r="AI186" t="str">
        <f t="shared" ca="1" si="10"/>
        <v/>
      </c>
      <c r="AJ186" t="str">
        <f t="shared" ca="1" si="11"/>
        <v/>
      </c>
    </row>
    <row r="187" spans="1:36" x14ac:dyDescent="0.35">
      <c r="A187" s="2" t="str">
        <f>IF(ISBLANK(Input!A186),"",ROUNDDOWN(aux_sheet_RRS!E186,0))</f>
        <v/>
      </c>
      <c r="B187" s="2" t="str">
        <f ca="1">IF(ISBLANK(Input!A186),"",INDIRECT("Input!A"&amp;1+MATCH(aux_sheet_RRS!$E186,aux_sheet_RRS!$D$2:$D$202,0)))</f>
        <v/>
      </c>
      <c r="C187" s="2" t="str">
        <f ca="1">IF(ISBLANK(Input!B186),"",INDIRECT("Input!B"&amp;1+MATCH(aux_sheet_RRS!$E186,aux_sheet_RRS!$D$2:$D$202,0)))</f>
        <v/>
      </c>
      <c r="D187" s="2" t="str">
        <f ca="1">IF(ISBLANK(Input!C186),"",INDIRECT("Input!C"&amp;1+MATCH(aux_sheet_RRS!$E186,aux_sheet_RRS!$D$2:$D$202,0)))</f>
        <v/>
      </c>
      <c r="E187" s="2" t="str">
        <f ca="1">IF(ISBLANK(Input!D186),"",INDIRECT("Input!D"&amp;1+MATCH(aux_sheet_RRS!$E186,aux_sheet_RRS!$D$2:$D$202,0)))</f>
        <v/>
      </c>
      <c r="F187" s="11" t="str">
        <f ca="1">INDIRECT("Input!H"&amp;1+MATCH(aux_sheet_RRS!$E186,aux_sheet_RRS!$D$2:$D$202,0))</f>
        <v xml:space="preserve"> </v>
      </c>
      <c r="G187" s="88" t="str">
        <f ca="1">IF($B187="","",INDIRECT("aux_sheet_RRS!O"&amp;1+MATCH(aux_sheet_RRS!$E186,aux_sheet_RRS!$D$2:$D$202,0)))</f>
        <v/>
      </c>
      <c r="H187" s="89" t="str">
        <f ca="1">IF($B187="","",INDIRECT("aux_sheet_RRS!P"&amp;1+MATCH(aux_sheet_RRS!$E186,aux_sheet_RRS!$D$2:$D$202,0)))</f>
        <v/>
      </c>
      <c r="I187" s="90" t="str">
        <f ca="1">IF(G187="","",ROUNDDOWN(INDIRECT("aux_sheet_RRS!Q"&amp;1+MATCH(aux_sheet_RRS!$E186,aux_sheet_RRS!$D$2:$D$202,0)),0))</f>
        <v/>
      </c>
      <c r="J187" s="106" t="str">
        <f ca="1">IF($B187="","",INDIRECT("aux_sheet_RRS!R"&amp;1+MATCH(aux_sheet_RRS!$E186,aux_sheet_RRS!$D$2:$D$202,0)))</f>
        <v/>
      </c>
      <c r="K187" s="89" t="str">
        <f ca="1">IF($B187="","",INDIRECT("aux_sheet_RRS!S"&amp;1+MATCH(aux_sheet_RRS!$E186,aux_sheet_RRS!$D$2:$D$202,0)))</f>
        <v/>
      </c>
      <c r="L187" s="90" t="str">
        <f ca="1">IF(J187="","",ROUNDDOWN(INDIRECT("aux_sheet_RRS!T"&amp;1+MATCH(aux_sheet_RRS!$E186,aux_sheet_RRS!$D$2:$D$202,0)),0))</f>
        <v/>
      </c>
      <c r="M187" s="106" t="str">
        <f ca="1">IF($B187="","",INDIRECT("aux_sheet_RRS!U"&amp;1+MATCH(aux_sheet_RRS!$E186,aux_sheet_RRS!$D$2:$D$202,0)))</f>
        <v/>
      </c>
      <c r="N187" s="89" t="str">
        <f ca="1">IF($B187="","",INDIRECT("aux_sheet_RRS!V"&amp;1+MATCH(aux_sheet_RRS!$E186,aux_sheet_RRS!$D$2:$D$202,0)))</f>
        <v/>
      </c>
      <c r="O187" s="90" t="str">
        <f ca="1">IF(M187="","",ROUNDDOWN(INDIRECT("aux_sheet_RRS!W"&amp;1+MATCH(aux_sheet_RRS!$E186,aux_sheet_RRS!$D$2:$D$202,0)),0))</f>
        <v/>
      </c>
      <c r="P187" s="106" t="str">
        <f ca="1">IF($B187="","",INDIRECT("aux_sheet_RRS!X"&amp;1+MATCH(aux_sheet_RRS!$E186,aux_sheet_RRS!$D$2:$D$202,0)))</f>
        <v/>
      </c>
      <c r="Q187" s="89" t="str">
        <f ca="1">IF($B187="","",INDIRECT("aux_sheet_RRS!Y"&amp;1+MATCH(aux_sheet_RRS!$E186,aux_sheet_RRS!$D$2:$D$202,0)))</f>
        <v/>
      </c>
      <c r="R187" s="90" t="str">
        <f ca="1">IF(P187="","",INDIRECT("aux_sheet_RRS!Z"&amp;1+MATCH(aux_sheet_RRS!$E186,aux_sheet_RRS!$D$2:$D$202,0)))</f>
        <v/>
      </c>
      <c r="S187" s="106" t="str">
        <f ca="1">IF($B187="","",INDIRECT("aux_sheet_RRS!AA"&amp;1+MATCH(aux_sheet_RRS!$E186,aux_sheet_RRS!$D$2:$D$202,0)))</f>
        <v/>
      </c>
      <c r="T187" s="89" t="str">
        <f ca="1">IF($B187="","",INDIRECT("aux_sheet_RRS!AB"&amp;1+MATCH(aux_sheet_RRS!$E186,aux_sheet_RRS!$D$2:$D$202,0)))</f>
        <v/>
      </c>
      <c r="U187" s="90" t="str">
        <f ca="1">IF(S187="","",INDIRECT("aux_sheet_RRS!AC"&amp;1+MATCH(aux_sheet_RRS!$E186,aux_sheet_RRS!$D$2:$D$202,0)))</f>
        <v/>
      </c>
      <c r="V187" s="106" t="str">
        <f ca="1">IF($B187="","",INDIRECT("aux_sheet_RRS!AD"&amp;1+MATCH(aux_sheet_RRS!$E186,aux_sheet_RRS!$D$2:$D$202,0)))</f>
        <v/>
      </c>
      <c r="W187" s="89" t="str">
        <f ca="1">IF($B187="","",INDIRECT("aux_sheet_RRS!AE"&amp;1+MATCH(aux_sheet_RRS!$E186,aux_sheet_RRS!$D$2:$D$202,0)))</f>
        <v/>
      </c>
      <c r="X187" s="90" t="str">
        <f ca="1">IF(V187="","",INDIRECT("aux_sheet_RRS!AF"&amp;1+MATCH(aux_sheet_RRS!$E186,aux_sheet_RRS!$D$2:$D$202,0)))</f>
        <v/>
      </c>
      <c r="Y187" s="106" t="str">
        <f ca="1">IF($B187="","",INDIRECT("aux_sheet_RRS!AG"&amp;1+MATCH(aux_sheet_RRS!$E186,aux_sheet_RRS!$D$2:$D$202,0)))</f>
        <v/>
      </c>
      <c r="Z187" s="89" t="str">
        <f ca="1">IF($B187="","",INDIRECT("aux_sheet_RRS!AH"&amp;1+MATCH(aux_sheet_RRS!$E186,aux_sheet_RRS!$D$2:$D$202,0)))</f>
        <v/>
      </c>
      <c r="AA187" s="90" t="str">
        <f ca="1">IF(Y187="","",INDIRECT("aux_sheet_RRS!AI"&amp;1+MATCH(aux_sheet_RRS!$E186,aux_sheet_RRS!$D$2:$D$202,0)))</f>
        <v/>
      </c>
      <c r="AB187" s="88" t="str">
        <f ca="1">IF($B187="","",INDIRECT("aux_sheet_RRS!AJ"&amp;1+MATCH(aux_sheet_RRS!$E186,aux_sheet_RRS!$D$2:$D$202,0)))</f>
        <v/>
      </c>
      <c r="AC187" s="89" t="str">
        <f ca="1">IF($B187="","",INDIRECT("aux_sheet_RRS!AK"&amp;1+MATCH(aux_sheet_RRS!$E186,aux_sheet_RRS!$D$2:$D$202,0)))</f>
        <v/>
      </c>
      <c r="AD187" s="90" t="str">
        <f ca="1">IF(AB187="","",INDIRECT("aux_sheet_RRS!AL"&amp;1+MATCH(aux_sheet_RRS!$E186,aux_sheet_RRS!$D$2:$D$202,0)))</f>
        <v/>
      </c>
      <c r="AE187" s="88" t="str">
        <f ca="1">IF($B187="","",INDIRECT("aux_sheet_RRS!AM"&amp;1+MATCH(aux_sheet_RRS!$E186,aux_sheet_RRS!$D$2:$D$202,0)))</f>
        <v/>
      </c>
      <c r="AF187" s="89" t="str">
        <f ca="1">IF($B187="","",INDIRECT("aux_sheet_RRS!AN"&amp;1+MATCH(aux_sheet_RRS!$E186,aux_sheet_RRS!$D$2:$D$202,0)))</f>
        <v/>
      </c>
      <c r="AG187" s="90" t="str">
        <f ca="1">IF(AE187="","",INDIRECT("aux_sheet_RRS!AO"&amp;1+MATCH(aux_sheet_RRS!$E186,aux_sheet_RRS!$D$2:$D$202,0)))</f>
        <v/>
      </c>
      <c r="AH187" s="14" t="str">
        <f t="shared" ca="1" si="9"/>
        <v/>
      </c>
      <c r="AI187" t="str">
        <f t="shared" ca="1" si="10"/>
        <v/>
      </c>
      <c r="AJ187" t="str">
        <f t="shared" ca="1" si="11"/>
        <v/>
      </c>
    </row>
    <row r="188" spans="1:36" x14ac:dyDescent="0.35">
      <c r="A188" s="2" t="str">
        <f>IF(ISBLANK(Input!A187),"",ROUNDDOWN(aux_sheet_RRS!E187,0))</f>
        <v/>
      </c>
      <c r="B188" s="2" t="str">
        <f ca="1">IF(ISBLANK(Input!A187),"",INDIRECT("Input!A"&amp;1+MATCH(aux_sheet_RRS!$E187,aux_sheet_RRS!$D$2:$D$202,0)))</f>
        <v/>
      </c>
      <c r="C188" s="2" t="str">
        <f ca="1">IF(ISBLANK(Input!B187),"",INDIRECT("Input!B"&amp;1+MATCH(aux_sheet_RRS!$E187,aux_sheet_RRS!$D$2:$D$202,0)))</f>
        <v/>
      </c>
      <c r="D188" s="2" t="str">
        <f ca="1">IF(ISBLANK(Input!C187),"",INDIRECT("Input!C"&amp;1+MATCH(aux_sheet_RRS!$E187,aux_sheet_RRS!$D$2:$D$202,0)))</f>
        <v/>
      </c>
      <c r="E188" s="2" t="str">
        <f ca="1">IF(ISBLANK(Input!D187),"",INDIRECT("Input!D"&amp;1+MATCH(aux_sheet_RRS!$E187,aux_sheet_RRS!$D$2:$D$202,0)))</f>
        <v/>
      </c>
      <c r="F188" s="11" t="str">
        <f ca="1">INDIRECT("Input!H"&amp;1+MATCH(aux_sheet_RRS!$E187,aux_sheet_RRS!$D$2:$D$202,0))</f>
        <v xml:space="preserve"> </v>
      </c>
      <c r="G188" s="88" t="str">
        <f ca="1">IF($B188="","",INDIRECT("aux_sheet_RRS!O"&amp;1+MATCH(aux_sheet_RRS!$E187,aux_sheet_RRS!$D$2:$D$202,0)))</f>
        <v/>
      </c>
      <c r="H188" s="89" t="str">
        <f ca="1">IF($B188="","",INDIRECT("aux_sheet_RRS!P"&amp;1+MATCH(aux_sheet_RRS!$E187,aux_sheet_RRS!$D$2:$D$202,0)))</f>
        <v/>
      </c>
      <c r="I188" s="90" t="str">
        <f ca="1">IF(G188="","",ROUNDDOWN(INDIRECT("aux_sheet_RRS!Q"&amp;1+MATCH(aux_sheet_RRS!$E187,aux_sheet_RRS!$D$2:$D$202,0)),0))</f>
        <v/>
      </c>
      <c r="J188" s="106" t="str">
        <f ca="1">IF($B188="","",INDIRECT("aux_sheet_RRS!R"&amp;1+MATCH(aux_sheet_RRS!$E187,aux_sheet_RRS!$D$2:$D$202,0)))</f>
        <v/>
      </c>
      <c r="K188" s="89" t="str">
        <f ca="1">IF($B188="","",INDIRECT("aux_sheet_RRS!S"&amp;1+MATCH(aux_sheet_RRS!$E187,aux_sheet_RRS!$D$2:$D$202,0)))</f>
        <v/>
      </c>
      <c r="L188" s="90" t="str">
        <f ca="1">IF(J188="","",ROUNDDOWN(INDIRECT("aux_sheet_RRS!T"&amp;1+MATCH(aux_sheet_RRS!$E187,aux_sheet_RRS!$D$2:$D$202,0)),0))</f>
        <v/>
      </c>
      <c r="M188" s="106" t="str">
        <f ca="1">IF($B188="","",INDIRECT("aux_sheet_RRS!U"&amp;1+MATCH(aux_sheet_RRS!$E187,aux_sheet_RRS!$D$2:$D$202,0)))</f>
        <v/>
      </c>
      <c r="N188" s="89" t="str">
        <f ca="1">IF($B188="","",INDIRECT("aux_sheet_RRS!V"&amp;1+MATCH(aux_sheet_RRS!$E187,aux_sheet_RRS!$D$2:$D$202,0)))</f>
        <v/>
      </c>
      <c r="O188" s="90" t="str">
        <f ca="1">IF(M188="","",ROUNDDOWN(INDIRECT("aux_sheet_RRS!W"&amp;1+MATCH(aux_sheet_RRS!$E187,aux_sheet_RRS!$D$2:$D$202,0)),0))</f>
        <v/>
      </c>
      <c r="P188" s="106" t="str">
        <f ca="1">IF($B188="","",INDIRECT("aux_sheet_RRS!X"&amp;1+MATCH(aux_sheet_RRS!$E187,aux_sheet_RRS!$D$2:$D$202,0)))</f>
        <v/>
      </c>
      <c r="Q188" s="89" t="str">
        <f ca="1">IF($B188="","",INDIRECT("aux_sheet_RRS!Y"&amp;1+MATCH(aux_sheet_RRS!$E187,aux_sheet_RRS!$D$2:$D$202,0)))</f>
        <v/>
      </c>
      <c r="R188" s="90" t="str">
        <f ca="1">IF(P188="","",INDIRECT("aux_sheet_RRS!Z"&amp;1+MATCH(aux_sheet_RRS!$E187,aux_sheet_RRS!$D$2:$D$202,0)))</f>
        <v/>
      </c>
      <c r="S188" s="106" t="str">
        <f ca="1">IF($B188="","",INDIRECT("aux_sheet_RRS!AA"&amp;1+MATCH(aux_sheet_RRS!$E187,aux_sheet_RRS!$D$2:$D$202,0)))</f>
        <v/>
      </c>
      <c r="T188" s="89" t="str">
        <f ca="1">IF($B188="","",INDIRECT("aux_sheet_RRS!AB"&amp;1+MATCH(aux_sheet_RRS!$E187,aux_sheet_RRS!$D$2:$D$202,0)))</f>
        <v/>
      </c>
      <c r="U188" s="90" t="str">
        <f ca="1">IF(S188="","",INDIRECT("aux_sheet_RRS!AC"&amp;1+MATCH(aux_sheet_RRS!$E187,aux_sheet_RRS!$D$2:$D$202,0)))</f>
        <v/>
      </c>
      <c r="V188" s="106" t="str">
        <f ca="1">IF($B188="","",INDIRECT("aux_sheet_RRS!AD"&amp;1+MATCH(aux_sheet_RRS!$E187,aux_sheet_RRS!$D$2:$D$202,0)))</f>
        <v/>
      </c>
      <c r="W188" s="89" t="str">
        <f ca="1">IF($B188="","",INDIRECT("aux_sheet_RRS!AE"&amp;1+MATCH(aux_sheet_RRS!$E187,aux_sheet_RRS!$D$2:$D$202,0)))</f>
        <v/>
      </c>
      <c r="X188" s="90" t="str">
        <f ca="1">IF(V188="","",INDIRECT("aux_sheet_RRS!AF"&amp;1+MATCH(aux_sheet_RRS!$E187,aux_sheet_RRS!$D$2:$D$202,0)))</f>
        <v/>
      </c>
      <c r="Y188" s="106" t="str">
        <f ca="1">IF($B188="","",INDIRECT("aux_sheet_RRS!AG"&amp;1+MATCH(aux_sheet_RRS!$E187,aux_sheet_RRS!$D$2:$D$202,0)))</f>
        <v/>
      </c>
      <c r="Z188" s="89" t="str">
        <f ca="1">IF($B188="","",INDIRECT("aux_sheet_RRS!AH"&amp;1+MATCH(aux_sheet_RRS!$E187,aux_sheet_RRS!$D$2:$D$202,0)))</f>
        <v/>
      </c>
      <c r="AA188" s="90" t="str">
        <f ca="1">IF(Y188="","",INDIRECT("aux_sheet_RRS!AI"&amp;1+MATCH(aux_sheet_RRS!$E187,aux_sheet_RRS!$D$2:$D$202,0)))</f>
        <v/>
      </c>
      <c r="AB188" s="88" t="str">
        <f ca="1">IF($B188="","",INDIRECT("aux_sheet_RRS!AJ"&amp;1+MATCH(aux_sheet_RRS!$E187,aux_sheet_RRS!$D$2:$D$202,0)))</f>
        <v/>
      </c>
      <c r="AC188" s="89" t="str">
        <f ca="1">IF($B188="","",INDIRECT("aux_sheet_RRS!AK"&amp;1+MATCH(aux_sheet_RRS!$E187,aux_sheet_RRS!$D$2:$D$202,0)))</f>
        <v/>
      </c>
      <c r="AD188" s="90" t="str">
        <f ca="1">IF(AB188="","",INDIRECT("aux_sheet_RRS!AL"&amp;1+MATCH(aux_sheet_RRS!$E187,aux_sheet_RRS!$D$2:$D$202,0)))</f>
        <v/>
      </c>
      <c r="AE188" s="88" t="str">
        <f ca="1">IF($B188="","",INDIRECT("aux_sheet_RRS!AM"&amp;1+MATCH(aux_sheet_RRS!$E187,aux_sheet_RRS!$D$2:$D$202,0)))</f>
        <v/>
      </c>
      <c r="AF188" s="89" t="str">
        <f ca="1">IF($B188="","",INDIRECT("aux_sheet_RRS!AN"&amp;1+MATCH(aux_sheet_RRS!$E187,aux_sheet_RRS!$D$2:$D$202,0)))</f>
        <v/>
      </c>
      <c r="AG188" s="90" t="str">
        <f ca="1">IF(AE188="","",INDIRECT("aux_sheet_RRS!AO"&amp;1+MATCH(aux_sheet_RRS!$E187,aux_sheet_RRS!$D$2:$D$202,0)))</f>
        <v/>
      </c>
      <c r="AH188" s="14" t="str">
        <f t="shared" ca="1" si="9"/>
        <v/>
      </c>
      <c r="AI188" t="str">
        <f t="shared" ca="1" si="10"/>
        <v/>
      </c>
      <c r="AJ188" t="str">
        <f t="shared" ca="1" si="11"/>
        <v/>
      </c>
    </row>
    <row r="189" spans="1:36" x14ac:dyDescent="0.35">
      <c r="A189" s="2" t="str">
        <f>IF(ISBLANK(Input!A188),"",ROUNDDOWN(aux_sheet_RRS!E188,0))</f>
        <v/>
      </c>
      <c r="B189" s="2" t="str">
        <f ca="1">IF(ISBLANK(Input!A188),"",INDIRECT("Input!A"&amp;1+MATCH(aux_sheet_RRS!$E188,aux_sheet_RRS!$D$2:$D$202,0)))</f>
        <v/>
      </c>
      <c r="C189" s="2" t="str">
        <f ca="1">IF(ISBLANK(Input!B188),"",INDIRECT("Input!B"&amp;1+MATCH(aux_sheet_RRS!$E188,aux_sheet_RRS!$D$2:$D$202,0)))</f>
        <v/>
      </c>
      <c r="D189" s="2" t="str">
        <f ca="1">IF(ISBLANK(Input!C188),"",INDIRECT("Input!C"&amp;1+MATCH(aux_sheet_RRS!$E188,aux_sheet_RRS!$D$2:$D$202,0)))</f>
        <v/>
      </c>
      <c r="E189" s="2" t="str">
        <f ca="1">IF(ISBLANK(Input!D188),"",INDIRECT("Input!D"&amp;1+MATCH(aux_sheet_RRS!$E188,aux_sheet_RRS!$D$2:$D$202,0)))</f>
        <v/>
      </c>
      <c r="F189" s="11" t="str">
        <f ca="1">INDIRECT("Input!H"&amp;1+MATCH(aux_sheet_RRS!$E188,aux_sheet_RRS!$D$2:$D$202,0))</f>
        <v xml:space="preserve"> </v>
      </c>
      <c r="G189" s="88" t="str">
        <f ca="1">IF($B189="","",INDIRECT("aux_sheet_RRS!O"&amp;1+MATCH(aux_sheet_RRS!$E188,aux_sheet_RRS!$D$2:$D$202,0)))</f>
        <v/>
      </c>
      <c r="H189" s="89" t="str">
        <f ca="1">IF($B189="","",INDIRECT("aux_sheet_RRS!P"&amp;1+MATCH(aux_sheet_RRS!$E188,aux_sheet_RRS!$D$2:$D$202,0)))</f>
        <v/>
      </c>
      <c r="I189" s="90" t="str">
        <f ca="1">IF(G189="","",ROUNDDOWN(INDIRECT("aux_sheet_RRS!Q"&amp;1+MATCH(aux_sheet_RRS!$E188,aux_sheet_RRS!$D$2:$D$202,0)),0))</f>
        <v/>
      </c>
      <c r="J189" s="106" t="str">
        <f ca="1">IF($B189="","",INDIRECT("aux_sheet_RRS!R"&amp;1+MATCH(aux_sheet_RRS!$E188,aux_sheet_RRS!$D$2:$D$202,0)))</f>
        <v/>
      </c>
      <c r="K189" s="89" t="str">
        <f ca="1">IF($B189="","",INDIRECT("aux_sheet_RRS!S"&amp;1+MATCH(aux_sheet_RRS!$E188,aux_sheet_RRS!$D$2:$D$202,0)))</f>
        <v/>
      </c>
      <c r="L189" s="90" t="str">
        <f ca="1">IF(J189="","",ROUNDDOWN(INDIRECT("aux_sheet_RRS!T"&amp;1+MATCH(aux_sheet_RRS!$E188,aux_sheet_RRS!$D$2:$D$202,0)),0))</f>
        <v/>
      </c>
      <c r="M189" s="106" t="str">
        <f ca="1">IF($B189="","",INDIRECT("aux_sheet_RRS!U"&amp;1+MATCH(aux_sheet_RRS!$E188,aux_sheet_RRS!$D$2:$D$202,0)))</f>
        <v/>
      </c>
      <c r="N189" s="89" t="str">
        <f ca="1">IF($B189="","",INDIRECT("aux_sheet_RRS!V"&amp;1+MATCH(aux_sheet_RRS!$E188,aux_sheet_RRS!$D$2:$D$202,0)))</f>
        <v/>
      </c>
      <c r="O189" s="90" t="str">
        <f ca="1">IF(M189="","",ROUNDDOWN(INDIRECT("aux_sheet_RRS!W"&amp;1+MATCH(aux_sheet_RRS!$E188,aux_sheet_RRS!$D$2:$D$202,0)),0))</f>
        <v/>
      </c>
      <c r="P189" s="106" t="str">
        <f ca="1">IF($B189="","",INDIRECT("aux_sheet_RRS!X"&amp;1+MATCH(aux_sheet_RRS!$E188,aux_sheet_RRS!$D$2:$D$202,0)))</f>
        <v/>
      </c>
      <c r="Q189" s="89" t="str">
        <f ca="1">IF($B189="","",INDIRECT("aux_sheet_RRS!Y"&amp;1+MATCH(aux_sheet_RRS!$E188,aux_sheet_RRS!$D$2:$D$202,0)))</f>
        <v/>
      </c>
      <c r="R189" s="90" t="str">
        <f ca="1">IF(P189="","",INDIRECT("aux_sheet_RRS!Z"&amp;1+MATCH(aux_sheet_RRS!$E188,aux_sheet_RRS!$D$2:$D$202,0)))</f>
        <v/>
      </c>
      <c r="S189" s="106" t="str">
        <f ca="1">IF($B189="","",INDIRECT("aux_sheet_RRS!AA"&amp;1+MATCH(aux_sheet_RRS!$E188,aux_sheet_RRS!$D$2:$D$202,0)))</f>
        <v/>
      </c>
      <c r="T189" s="89" t="str">
        <f ca="1">IF($B189="","",INDIRECT("aux_sheet_RRS!AB"&amp;1+MATCH(aux_sheet_RRS!$E188,aux_sheet_RRS!$D$2:$D$202,0)))</f>
        <v/>
      </c>
      <c r="U189" s="90" t="str">
        <f ca="1">IF(S189="","",INDIRECT("aux_sheet_RRS!AC"&amp;1+MATCH(aux_sheet_RRS!$E188,aux_sheet_RRS!$D$2:$D$202,0)))</f>
        <v/>
      </c>
      <c r="V189" s="106" t="str">
        <f ca="1">IF($B189="","",INDIRECT("aux_sheet_RRS!AD"&amp;1+MATCH(aux_sheet_RRS!$E188,aux_sheet_RRS!$D$2:$D$202,0)))</f>
        <v/>
      </c>
      <c r="W189" s="89" t="str">
        <f ca="1">IF($B189="","",INDIRECT("aux_sheet_RRS!AE"&amp;1+MATCH(aux_sheet_RRS!$E188,aux_sheet_RRS!$D$2:$D$202,0)))</f>
        <v/>
      </c>
      <c r="X189" s="90" t="str">
        <f ca="1">IF(V189="","",INDIRECT("aux_sheet_RRS!AF"&amp;1+MATCH(aux_sheet_RRS!$E188,aux_sheet_RRS!$D$2:$D$202,0)))</f>
        <v/>
      </c>
      <c r="Y189" s="106" t="str">
        <f ca="1">IF($B189="","",INDIRECT("aux_sheet_RRS!AG"&amp;1+MATCH(aux_sheet_RRS!$E188,aux_sheet_RRS!$D$2:$D$202,0)))</f>
        <v/>
      </c>
      <c r="Z189" s="89" t="str">
        <f ca="1">IF($B189="","",INDIRECT("aux_sheet_RRS!AH"&amp;1+MATCH(aux_sheet_RRS!$E188,aux_sheet_RRS!$D$2:$D$202,0)))</f>
        <v/>
      </c>
      <c r="AA189" s="90" t="str">
        <f ca="1">IF(Y189="","",INDIRECT("aux_sheet_RRS!AI"&amp;1+MATCH(aux_sheet_RRS!$E188,aux_sheet_RRS!$D$2:$D$202,0)))</f>
        <v/>
      </c>
      <c r="AB189" s="88" t="str">
        <f ca="1">IF($B189="","",INDIRECT("aux_sheet_RRS!AJ"&amp;1+MATCH(aux_sheet_RRS!$E188,aux_sheet_RRS!$D$2:$D$202,0)))</f>
        <v/>
      </c>
      <c r="AC189" s="89" t="str">
        <f ca="1">IF($B189="","",INDIRECT("aux_sheet_RRS!AK"&amp;1+MATCH(aux_sheet_RRS!$E188,aux_sheet_RRS!$D$2:$D$202,0)))</f>
        <v/>
      </c>
      <c r="AD189" s="90" t="str">
        <f ca="1">IF(AB189="","",INDIRECT("aux_sheet_RRS!AL"&amp;1+MATCH(aux_sheet_RRS!$E188,aux_sheet_RRS!$D$2:$D$202,0)))</f>
        <v/>
      </c>
      <c r="AE189" s="88" t="str">
        <f ca="1">IF($B189="","",INDIRECT("aux_sheet_RRS!AM"&amp;1+MATCH(aux_sheet_RRS!$E188,aux_sheet_RRS!$D$2:$D$202,0)))</f>
        <v/>
      </c>
      <c r="AF189" s="89" t="str">
        <f ca="1">IF($B189="","",INDIRECT("aux_sheet_RRS!AN"&amp;1+MATCH(aux_sheet_RRS!$E188,aux_sheet_RRS!$D$2:$D$202,0)))</f>
        <v/>
      </c>
      <c r="AG189" s="90" t="str">
        <f ca="1">IF(AE189="","",INDIRECT("aux_sheet_RRS!AO"&amp;1+MATCH(aux_sheet_RRS!$E188,aux_sheet_RRS!$D$2:$D$202,0)))</f>
        <v/>
      </c>
      <c r="AH189" s="14" t="str">
        <f t="shared" ca="1" si="9"/>
        <v/>
      </c>
      <c r="AI189" t="str">
        <f t="shared" ca="1" si="10"/>
        <v/>
      </c>
      <c r="AJ189" t="str">
        <f t="shared" ca="1" si="11"/>
        <v/>
      </c>
    </row>
    <row r="190" spans="1:36" x14ac:dyDescent="0.35">
      <c r="A190" s="2" t="str">
        <f>IF(ISBLANK(Input!A189),"",ROUNDDOWN(aux_sheet_RRS!E189,0))</f>
        <v/>
      </c>
      <c r="B190" s="2" t="str">
        <f ca="1">IF(ISBLANK(Input!A189),"",INDIRECT("Input!A"&amp;1+MATCH(aux_sheet_RRS!$E189,aux_sheet_RRS!$D$2:$D$202,0)))</f>
        <v/>
      </c>
      <c r="C190" s="2" t="str">
        <f ca="1">IF(ISBLANK(Input!B189),"",INDIRECT("Input!B"&amp;1+MATCH(aux_sheet_RRS!$E189,aux_sheet_RRS!$D$2:$D$202,0)))</f>
        <v/>
      </c>
      <c r="D190" s="2" t="str">
        <f ca="1">IF(ISBLANK(Input!C189),"",INDIRECT("Input!C"&amp;1+MATCH(aux_sheet_RRS!$E189,aux_sheet_RRS!$D$2:$D$202,0)))</f>
        <v/>
      </c>
      <c r="E190" s="2" t="str">
        <f ca="1">IF(ISBLANK(Input!D189),"",INDIRECT("Input!D"&amp;1+MATCH(aux_sheet_RRS!$E189,aux_sheet_RRS!$D$2:$D$202,0)))</f>
        <v/>
      </c>
      <c r="F190" s="11" t="str">
        <f ca="1">INDIRECT("Input!H"&amp;1+MATCH(aux_sheet_RRS!$E189,aux_sheet_RRS!$D$2:$D$202,0))</f>
        <v xml:space="preserve"> </v>
      </c>
      <c r="G190" s="88" t="str">
        <f ca="1">IF($B190="","",INDIRECT("aux_sheet_RRS!O"&amp;1+MATCH(aux_sheet_RRS!$E189,aux_sheet_RRS!$D$2:$D$202,0)))</f>
        <v/>
      </c>
      <c r="H190" s="89" t="str">
        <f ca="1">IF($B190="","",INDIRECT("aux_sheet_RRS!P"&amp;1+MATCH(aux_sheet_RRS!$E189,aux_sheet_RRS!$D$2:$D$202,0)))</f>
        <v/>
      </c>
      <c r="I190" s="90" t="str">
        <f ca="1">IF(G190="","",ROUNDDOWN(INDIRECT("aux_sheet_RRS!Q"&amp;1+MATCH(aux_sheet_RRS!$E189,aux_sheet_RRS!$D$2:$D$202,0)),0))</f>
        <v/>
      </c>
      <c r="J190" s="106" t="str">
        <f ca="1">IF($B190="","",INDIRECT("aux_sheet_RRS!R"&amp;1+MATCH(aux_sheet_RRS!$E189,aux_sheet_RRS!$D$2:$D$202,0)))</f>
        <v/>
      </c>
      <c r="K190" s="89" t="str">
        <f ca="1">IF($B190="","",INDIRECT("aux_sheet_RRS!S"&amp;1+MATCH(aux_sheet_RRS!$E189,aux_sheet_RRS!$D$2:$D$202,0)))</f>
        <v/>
      </c>
      <c r="L190" s="90" t="str">
        <f ca="1">IF(J190="","",ROUNDDOWN(INDIRECT("aux_sheet_RRS!T"&amp;1+MATCH(aux_sheet_RRS!$E189,aux_sheet_RRS!$D$2:$D$202,0)),0))</f>
        <v/>
      </c>
      <c r="M190" s="106" t="str">
        <f ca="1">IF($B190="","",INDIRECT("aux_sheet_RRS!U"&amp;1+MATCH(aux_sheet_RRS!$E189,aux_sheet_RRS!$D$2:$D$202,0)))</f>
        <v/>
      </c>
      <c r="N190" s="89" t="str">
        <f ca="1">IF($B190="","",INDIRECT("aux_sheet_RRS!V"&amp;1+MATCH(aux_sheet_RRS!$E189,aux_sheet_RRS!$D$2:$D$202,0)))</f>
        <v/>
      </c>
      <c r="O190" s="90" t="str">
        <f ca="1">IF(M190="","",ROUNDDOWN(INDIRECT("aux_sheet_RRS!W"&amp;1+MATCH(aux_sheet_RRS!$E189,aux_sheet_RRS!$D$2:$D$202,0)),0))</f>
        <v/>
      </c>
      <c r="P190" s="106" t="str">
        <f ca="1">IF($B190="","",INDIRECT("aux_sheet_RRS!X"&amp;1+MATCH(aux_sheet_RRS!$E189,aux_sheet_RRS!$D$2:$D$202,0)))</f>
        <v/>
      </c>
      <c r="Q190" s="89" t="str">
        <f ca="1">IF($B190="","",INDIRECT("aux_sheet_RRS!Y"&amp;1+MATCH(aux_sheet_RRS!$E189,aux_sheet_RRS!$D$2:$D$202,0)))</f>
        <v/>
      </c>
      <c r="R190" s="90" t="str">
        <f ca="1">IF(P190="","",INDIRECT("aux_sheet_RRS!Z"&amp;1+MATCH(aux_sheet_RRS!$E189,aux_sheet_RRS!$D$2:$D$202,0)))</f>
        <v/>
      </c>
      <c r="S190" s="106" t="str">
        <f ca="1">IF($B190="","",INDIRECT("aux_sheet_RRS!AA"&amp;1+MATCH(aux_sheet_RRS!$E189,aux_sheet_RRS!$D$2:$D$202,0)))</f>
        <v/>
      </c>
      <c r="T190" s="89" t="str">
        <f ca="1">IF($B190="","",INDIRECT("aux_sheet_RRS!AB"&amp;1+MATCH(aux_sheet_RRS!$E189,aux_sheet_RRS!$D$2:$D$202,0)))</f>
        <v/>
      </c>
      <c r="U190" s="90" t="str">
        <f ca="1">IF(S190="","",INDIRECT("aux_sheet_RRS!AC"&amp;1+MATCH(aux_sheet_RRS!$E189,aux_sheet_RRS!$D$2:$D$202,0)))</f>
        <v/>
      </c>
      <c r="V190" s="106" t="str">
        <f ca="1">IF($B190="","",INDIRECT("aux_sheet_RRS!AD"&amp;1+MATCH(aux_sheet_RRS!$E189,aux_sheet_RRS!$D$2:$D$202,0)))</f>
        <v/>
      </c>
      <c r="W190" s="89" t="str">
        <f ca="1">IF($B190="","",INDIRECT("aux_sheet_RRS!AE"&amp;1+MATCH(aux_sheet_RRS!$E189,aux_sheet_RRS!$D$2:$D$202,0)))</f>
        <v/>
      </c>
      <c r="X190" s="90" t="str">
        <f ca="1">IF(V190="","",INDIRECT("aux_sheet_RRS!AF"&amp;1+MATCH(aux_sheet_RRS!$E189,aux_sheet_RRS!$D$2:$D$202,0)))</f>
        <v/>
      </c>
      <c r="Y190" s="106" t="str">
        <f ca="1">IF($B190="","",INDIRECT("aux_sheet_RRS!AG"&amp;1+MATCH(aux_sheet_RRS!$E189,aux_sheet_RRS!$D$2:$D$202,0)))</f>
        <v/>
      </c>
      <c r="Z190" s="89" t="str">
        <f ca="1">IF($B190="","",INDIRECT("aux_sheet_RRS!AH"&amp;1+MATCH(aux_sheet_RRS!$E189,aux_sheet_RRS!$D$2:$D$202,0)))</f>
        <v/>
      </c>
      <c r="AA190" s="90" t="str">
        <f ca="1">IF(Y190="","",INDIRECT("aux_sheet_RRS!AI"&amp;1+MATCH(aux_sheet_RRS!$E189,aux_sheet_RRS!$D$2:$D$202,0)))</f>
        <v/>
      </c>
      <c r="AB190" s="88" t="str">
        <f ca="1">IF($B190="","",INDIRECT("aux_sheet_RRS!AJ"&amp;1+MATCH(aux_sheet_RRS!$E189,aux_sheet_RRS!$D$2:$D$202,0)))</f>
        <v/>
      </c>
      <c r="AC190" s="89" t="str">
        <f ca="1">IF($B190="","",INDIRECT("aux_sheet_RRS!AK"&amp;1+MATCH(aux_sheet_RRS!$E189,aux_sheet_RRS!$D$2:$D$202,0)))</f>
        <v/>
      </c>
      <c r="AD190" s="90" t="str">
        <f ca="1">IF(AB190="","",INDIRECT("aux_sheet_RRS!AL"&amp;1+MATCH(aux_sheet_RRS!$E189,aux_sheet_RRS!$D$2:$D$202,0)))</f>
        <v/>
      </c>
      <c r="AE190" s="88" t="str">
        <f ca="1">IF($B190="","",INDIRECT("aux_sheet_RRS!AM"&amp;1+MATCH(aux_sheet_RRS!$E189,aux_sheet_RRS!$D$2:$D$202,0)))</f>
        <v/>
      </c>
      <c r="AF190" s="89" t="str">
        <f ca="1">IF($B190="","",INDIRECT("aux_sheet_RRS!AN"&amp;1+MATCH(aux_sheet_RRS!$E189,aux_sheet_RRS!$D$2:$D$202,0)))</f>
        <v/>
      </c>
      <c r="AG190" s="90" t="str">
        <f ca="1">IF(AE190="","",INDIRECT("aux_sheet_RRS!AO"&amp;1+MATCH(aux_sheet_RRS!$E189,aux_sheet_RRS!$D$2:$D$202,0)))</f>
        <v/>
      </c>
      <c r="AH190" s="14" t="str">
        <f t="shared" ca="1" si="9"/>
        <v/>
      </c>
      <c r="AI190" t="str">
        <f t="shared" ca="1" si="10"/>
        <v/>
      </c>
      <c r="AJ190" t="str">
        <f t="shared" ca="1" si="11"/>
        <v/>
      </c>
    </row>
    <row r="191" spans="1:36" x14ac:dyDescent="0.35">
      <c r="A191" s="2" t="str">
        <f>IF(ISBLANK(Input!A190),"",ROUNDDOWN(aux_sheet_RRS!E190,0))</f>
        <v/>
      </c>
      <c r="B191" s="2" t="str">
        <f ca="1">IF(ISBLANK(Input!A190),"",INDIRECT("Input!A"&amp;1+MATCH(aux_sheet_RRS!$E190,aux_sheet_RRS!$D$2:$D$202,0)))</f>
        <v/>
      </c>
      <c r="C191" s="2" t="str">
        <f ca="1">IF(ISBLANK(Input!B190),"",INDIRECT("Input!B"&amp;1+MATCH(aux_sheet_RRS!$E190,aux_sheet_RRS!$D$2:$D$202,0)))</f>
        <v/>
      </c>
      <c r="D191" s="2" t="str">
        <f ca="1">IF(ISBLANK(Input!C190),"",INDIRECT("Input!C"&amp;1+MATCH(aux_sheet_RRS!$E190,aux_sheet_RRS!$D$2:$D$202,0)))</f>
        <v/>
      </c>
      <c r="E191" s="2" t="str">
        <f ca="1">IF(ISBLANK(Input!D190),"",INDIRECT("Input!D"&amp;1+MATCH(aux_sheet_RRS!$E190,aux_sheet_RRS!$D$2:$D$202,0)))</f>
        <v/>
      </c>
      <c r="F191" s="11" t="str">
        <f ca="1">INDIRECT("Input!H"&amp;1+MATCH(aux_sheet_RRS!$E190,aux_sheet_RRS!$D$2:$D$202,0))</f>
        <v xml:space="preserve"> </v>
      </c>
      <c r="G191" s="88" t="str">
        <f ca="1">IF($B191="","",INDIRECT("aux_sheet_RRS!O"&amp;1+MATCH(aux_sheet_RRS!$E190,aux_sheet_RRS!$D$2:$D$202,0)))</f>
        <v/>
      </c>
      <c r="H191" s="89" t="str">
        <f ca="1">IF($B191="","",INDIRECT("aux_sheet_RRS!P"&amp;1+MATCH(aux_sheet_RRS!$E190,aux_sheet_RRS!$D$2:$D$202,0)))</f>
        <v/>
      </c>
      <c r="I191" s="90" t="str">
        <f ca="1">IF(G191="","",ROUNDDOWN(INDIRECT("aux_sheet_RRS!Q"&amp;1+MATCH(aux_sheet_RRS!$E190,aux_sheet_RRS!$D$2:$D$202,0)),0))</f>
        <v/>
      </c>
      <c r="J191" s="106" t="str">
        <f ca="1">IF($B191="","",INDIRECT("aux_sheet_RRS!R"&amp;1+MATCH(aux_sheet_RRS!$E190,aux_sheet_RRS!$D$2:$D$202,0)))</f>
        <v/>
      </c>
      <c r="K191" s="89" t="str">
        <f ca="1">IF($B191="","",INDIRECT("aux_sheet_RRS!S"&amp;1+MATCH(aux_sheet_RRS!$E190,aux_sheet_RRS!$D$2:$D$202,0)))</f>
        <v/>
      </c>
      <c r="L191" s="90" t="str">
        <f ca="1">IF(J191="","",ROUNDDOWN(INDIRECT("aux_sheet_RRS!T"&amp;1+MATCH(aux_sheet_RRS!$E190,aux_sheet_RRS!$D$2:$D$202,0)),0))</f>
        <v/>
      </c>
      <c r="M191" s="106" t="str">
        <f ca="1">IF($B191="","",INDIRECT("aux_sheet_RRS!U"&amp;1+MATCH(aux_sheet_RRS!$E190,aux_sheet_RRS!$D$2:$D$202,0)))</f>
        <v/>
      </c>
      <c r="N191" s="89" t="str">
        <f ca="1">IF($B191="","",INDIRECT("aux_sheet_RRS!V"&amp;1+MATCH(aux_sheet_RRS!$E190,aux_sheet_RRS!$D$2:$D$202,0)))</f>
        <v/>
      </c>
      <c r="O191" s="90" t="str">
        <f ca="1">IF(M191="","",ROUNDDOWN(INDIRECT("aux_sheet_RRS!W"&amp;1+MATCH(aux_sheet_RRS!$E190,aux_sheet_RRS!$D$2:$D$202,0)),0))</f>
        <v/>
      </c>
      <c r="P191" s="106" t="str">
        <f ca="1">IF($B191="","",INDIRECT("aux_sheet_RRS!X"&amp;1+MATCH(aux_sheet_RRS!$E190,aux_sheet_RRS!$D$2:$D$202,0)))</f>
        <v/>
      </c>
      <c r="Q191" s="89" t="str">
        <f ca="1">IF($B191="","",INDIRECT("aux_sheet_RRS!Y"&amp;1+MATCH(aux_sheet_RRS!$E190,aux_sheet_RRS!$D$2:$D$202,0)))</f>
        <v/>
      </c>
      <c r="R191" s="90" t="str">
        <f ca="1">IF(P191="","",INDIRECT("aux_sheet_RRS!Z"&amp;1+MATCH(aux_sheet_RRS!$E190,aux_sheet_RRS!$D$2:$D$202,0)))</f>
        <v/>
      </c>
      <c r="S191" s="106" t="str">
        <f ca="1">IF($B191="","",INDIRECT("aux_sheet_RRS!AA"&amp;1+MATCH(aux_sheet_RRS!$E190,aux_sheet_RRS!$D$2:$D$202,0)))</f>
        <v/>
      </c>
      <c r="T191" s="89" t="str">
        <f ca="1">IF($B191="","",INDIRECT("aux_sheet_RRS!AB"&amp;1+MATCH(aux_sheet_RRS!$E190,aux_sheet_RRS!$D$2:$D$202,0)))</f>
        <v/>
      </c>
      <c r="U191" s="90" t="str">
        <f ca="1">IF(S191="","",INDIRECT("aux_sheet_RRS!AC"&amp;1+MATCH(aux_sheet_RRS!$E190,aux_sheet_RRS!$D$2:$D$202,0)))</f>
        <v/>
      </c>
      <c r="V191" s="106" t="str">
        <f ca="1">IF($B191="","",INDIRECT("aux_sheet_RRS!AD"&amp;1+MATCH(aux_sheet_RRS!$E190,aux_sheet_RRS!$D$2:$D$202,0)))</f>
        <v/>
      </c>
      <c r="W191" s="89" t="str">
        <f ca="1">IF($B191="","",INDIRECT("aux_sheet_RRS!AE"&amp;1+MATCH(aux_sheet_RRS!$E190,aux_sheet_RRS!$D$2:$D$202,0)))</f>
        <v/>
      </c>
      <c r="X191" s="90" t="str">
        <f ca="1">IF(V191="","",INDIRECT("aux_sheet_RRS!AF"&amp;1+MATCH(aux_sheet_RRS!$E190,aux_sheet_RRS!$D$2:$D$202,0)))</f>
        <v/>
      </c>
      <c r="Y191" s="106" t="str">
        <f ca="1">IF($B191="","",INDIRECT("aux_sheet_RRS!AG"&amp;1+MATCH(aux_sheet_RRS!$E190,aux_sheet_RRS!$D$2:$D$202,0)))</f>
        <v/>
      </c>
      <c r="Z191" s="89" t="str">
        <f ca="1">IF($B191="","",INDIRECT("aux_sheet_RRS!AH"&amp;1+MATCH(aux_sheet_RRS!$E190,aux_sheet_RRS!$D$2:$D$202,0)))</f>
        <v/>
      </c>
      <c r="AA191" s="90" t="str">
        <f ca="1">IF(Y191="","",INDIRECT("aux_sheet_RRS!AI"&amp;1+MATCH(aux_sheet_RRS!$E190,aux_sheet_RRS!$D$2:$D$202,0)))</f>
        <v/>
      </c>
      <c r="AB191" s="88" t="str">
        <f ca="1">IF($B191="","",INDIRECT("aux_sheet_RRS!AJ"&amp;1+MATCH(aux_sheet_RRS!$E190,aux_sheet_RRS!$D$2:$D$202,0)))</f>
        <v/>
      </c>
      <c r="AC191" s="89" t="str">
        <f ca="1">IF($B191="","",INDIRECT("aux_sheet_RRS!AK"&amp;1+MATCH(aux_sheet_RRS!$E190,aux_sheet_RRS!$D$2:$D$202,0)))</f>
        <v/>
      </c>
      <c r="AD191" s="90" t="str">
        <f ca="1">IF(AB191="","",INDIRECT("aux_sheet_RRS!AL"&amp;1+MATCH(aux_sheet_RRS!$E190,aux_sheet_RRS!$D$2:$D$202,0)))</f>
        <v/>
      </c>
      <c r="AE191" s="88" t="str">
        <f ca="1">IF($B191="","",INDIRECT("aux_sheet_RRS!AM"&amp;1+MATCH(aux_sheet_RRS!$E190,aux_sheet_RRS!$D$2:$D$202,0)))</f>
        <v/>
      </c>
      <c r="AF191" s="89" t="str">
        <f ca="1">IF($B191="","",INDIRECT("aux_sheet_RRS!AN"&amp;1+MATCH(aux_sheet_RRS!$E190,aux_sheet_RRS!$D$2:$D$202,0)))</f>
        <v/>
      </c>
      <c r="AG191" s="90" t="str">
        <f ca="1">IF(AE191="","",INDIRECT("aux_sheet_RRS!AO"&amp;1+MATCH(aux_sheet_RRS!$E190,aux_sheet_RRS!$D$2:$D$202,0)))</f>
        <v/>
      </c>
      <c r="AH191" s="14" t="str">
        <f t="shared" ca="1" si="9"/>
        <v/>
      </c>
      <c r="AI191" t="str">
        <f t="shared" ca="1" si="10"/>
        <v/>
      </c>
      <c r="AJ191" t="str">
        <f t="shared" ca="1" si="11"/>
        <v/>
      </c>
    </row>
    <row r="192" spans="1:36" x14ac:dyDescent="0.35">
      <c r="A192" s="2" t="str">
        <f>IF(ISBLANK(Input!A191),"",ROUNDDOWN(aux_sheet_RRS!E191,0))</f>
        <v/>
      </c>
      <c r="B192" s="2" t="str">
        <f ca="1">IF(ISBLANK(Input!A191),"",INDIRECT("Input!A"&amp;1+MATCH(aux_sheet_RRS!$E191,aux_sheet_RRS!$D$2:$D$202,0)))</f>
        <v/>
      </c>
      <c r="C192" s="2" t="str">
        <f ca="1">IF(ISBLANK(Input!B191),"",INDIRECT("Input!B"&amp;1+MATCH(aux_sheet_RRS!$E191,aux_sheet_RRS!$D$2:$D$202,0)))</f>
        <v/>
      </c>
      <c r="D192" s="2" t="str">
        <f ca="1">IF(ISBLANK(Input!C191),"",INDIRECT("Input!C"&amp;1+MATCH(aux_sheet_RRS!$E191,aux_sheet_RRS!$D$2:$D$202,0)))</f>
        <v/>
      </c>
      <c r="E192" s="2" t="str">
        <f ca="1">IF(ISBLANK(Input!D191),"",INDIRECT("Input!D"&amp;1+MATCH(aux_sheet_RRS!$E191,aux_sheet_RRS!$D$2:$D$202,0)))</f>
        <v/>
      </c>
      <c r="F192" s="11" t="str">
        <f ca="1">INDIRECT("Input!H"&amp;1+MATCH(aux_sheet_RRS!$E191,aux_sheet_RRS!$D$2:$D$202,0))</f>
        <v xml:space="preserve"> </v>
      </c>
      <c r="G192" s="88" t="str">
        <f ca="1">IF($B192="","",INDIRECT("aux_sheet_RRS!O"&amp;1+MATCH(aux_sheet_RRS!$E191,aux_sheet_RRS!$D$2:$D$202,0)))</f>
        <v/>
      </c>
      <c r="H192" s="89" t="str">
        <f ca="1">IF($B192="","",INDIRECT("aux_sheet_RRS!P"&amp;1+MATCH(aux_sheet_RRS!$E191,aux_sheet_RRS!$D$2:$D$202,0)))</f>
        <v/>
      </c>
      <c r="I192" s="90" t="str">
        <f ca="1">IF(G192="","",ROUNDDOWN(INDIRECT("aux_sheet_RRS!Q"&amp;1+MATCH(aux_sheet_RRS!$E191,aux_sheet_RRS!$D$2:$D$202,0)),0))</f>
        <v/>
      </c>
      <c r="J192" s="106" t="str">
        <f ca="1">IF($B192="","",INDIRECT("aux_sheet_RRS!R"&amp;1+MATCH(aux_sheet_RRS!$E191,aux_sheet_RRS!$D$2:$D$202,0)))</f>
        <v/>
      </c>
      <c r="K192" s="89" t="str">
        <f ca="1">IF($B192="","",INDIRECT("aux_sheet_RRS!S"&amp;1+MATCH(aux_sheet_RRS!$E191,aux_sheet_RRS!$D$2:$D$202,0)))</f>
        <v/>
      </c>
      <c r="L192" s="90" t="str">
        <f ca="1">IF(J192="","",ROUNDDOWN(INDIRECT("aux_sheet_RRS!T"&amp;1+MATCH(aux_sheet_RRS!$E191,aux_sheet_RRS!$D$2:$D$202,0)),0))</f>
        <v/>
      </c>
      <c r="M192" s="106" t="str">
        <f ca="1">IF($B192="","",INDIRECT("aux_sheet_RRS!U"&amp;1+MATCH(aux_sheet_RRS!$E191,aux_sheet_RRS!$D$2:$D$202,0)))</f>
        <v/>
      </c>
      <c r="N192" s="89" t="str">
        <f ca="1">IF($B192="","",INDIRECT("aux_sheet_RRS!V"&amp;1+MATCH(aux_sheet_RRS!$E191,aux_sheet_RRS!$D$2:$D$202,0)))</f>
        <v/>
      </c>
      <c r="O192" s="90" t="str">
        <f ca="1">IF(M192="","",ROUNDDOWN(INDIRECT("aux_sheet_RRS!W"&amp;1+MATCH(aux_sheet_RRS!$E191,aux_sheet_RRS!$D$2:$D$202,0)),0))</f>
        <v/>
      </c>
      <c r="P192" s="106" t="str">
        <f ca="1">IF($B192="","",INDIRECT("aux_sheet_RRS!X"&amp;1+MATCH(aux_sheet_RRS!$E191,aux_sheet_RRS!$D$2:$D$202,0)))</f>
        <v/>
      </c>
      <c r="Q192" s="89" t="str">
        <f ca="1">IF($B192="","",INDIRECT("aux_sheet_RRS!Y"&amp;1+MATCH(aux_sheet_RRS!$E191,aux_sheet_RRS!$D$2:$D$202,0)))</f>
        <v/>
      </c>
      <c r="R192" s="90" t="str">
        <f ca="1">IF(P192="","",INDIRECT("aux_sheet_RRS!Z"&amp;1+MATCH(aux_sheet_RRS!$E191,aux_sheet_RRS!$D$2:$D$202,0)))</f>
        <v/>
      </c>
      <c r="S192" s="106" t="str">
        <f ca="1">IF($B192="","",INDIRECT("aux_sheet_RRS!AA"&amp;1+MATCH(aux_sheet_RRS!$E191,aux_sheet_RRS!$D$2:$D$202,0)))</f>
        <v/>
      </c>
      <c r="T192" s="89" t="str">
        <f ca="1">IF($B192="","",INDIRECT("aux_sheet_RRS!AB"&amp;1+MATCH(aux_sheet_RRS!$E191,aux_sheet_RRS!$D$2:$D$202,0)))</f>
        <v/>
      </c>
      <c r="U192" s="90" t="str">
        <f ca="1">IF(S192="","",INDIRECT("aux_sheet_RRS!AC"&amp;1+MATCH(aux_sheet_RRS!$E191,aux_sheet_RRS!$D$2:$D$202,0)))</f>
        <v/>
      </c>
      <c r="V192" s="106" t="str">
        <f ca="1">IF($B192="","",INDIRECT("aux_sheet_RRS!AD"&amp;1+MATCH(aux_sheet_RRS!$E191,aux_sheet_RRS!$D$2:$D$202,0)))</f>
        <v/>
      </c>
      <c r="W192" s="89" t="str">
        <f ca="1">IF($B192="","",INDIRECT("aux_sheet_RRS!AE"&amp;1+MATCH(aux_sheet_RRS!$E191,aux_sheet_RRS!$D$2:$D$202,0)))</f>
        <v/>
      </c>
      <c r="X192" s="90" t="str">
        <f ca="1">IF(V192="","",INDIRECT("aux_sheet_RRS!AF"&amp;1+MATCH(aux_sheet_RRS!$E191,aux_sheet_RRS!$D$2:$D$202,0)))</f>
        <v/>
      </c>
      <c r="Y192" s="106" t="str">
        <f ca="1">IF($B192="","",INDIRECT("aux_sheet_RRS!AG"&amp;1+MATCH(aux_sheet_RRS!$E191,aux_sheet_RRS!$D$2:$D$202,0)))</f>
        <v/>
      </c>
      <c r="Z192" s="89" t="str">
        <f ca="1">IF($B192="","",INDIRECT("aux_sheet_RRS!AH"&amp;1+MATCH(aux_sheet_RRS!$E191,aux_sheet_RRS!$D$2:$D$202,0)))</f>
        <v/>
      </c>
      <c r="AA192" s="90" t="str">
        <f ca="1">IF(Y192="","",INDIRECT("aux_sheet_RRS!AI"&amp;1+MATCH(aux_sheet_RRS!$E191,aux_sheet_RRS!$D$2:$D$202,0)))</f>
        <v/>
      </c>
      <c r="AB192" s="88" t="str">
        <f ca="1">IF($B192="","",INDIRECT("aux_sheet_RRS!AJ"&amp;1+MATCH(aux_sheet_RRS!$E191,aux_sheet_RRS!$D$2:$D$202,0)))</f>
        <v/>
      </c>
      <c r="AC192" s="89" t="str">
        <f ca="1">IF($B192="","",INDIRECT("aux_sheet_RRS!AK"&amp;1+MATCH(aux_sheet_RRS!$E191,aux_sheet_RRS!$D$2:$D$202,0)))</f>
        <v/>
      </c>
      <c r="AD192" s="90" t="str">
        <f ca="1">IF(AB192="","",INDIRECT("aux_sheet_RRS!AL"&amp;1+MATCH(aux_sheet_RRS!$E191,aux_sheet_RRS!$D$2:$D$202,0)))</f>
        <v/>
      </c>
      <c r="AE192" s="88" t="str">
        <f ca="1">IF($B192="","",INDIRECT("aux_sheet_RRS!AM"&amp;1+MATCH(aux_sheet_RRS!$E191,aux_sheet_RRS!$D$2:$D$202,0)))</f>
        <v/>
      </c>
      <c r="AF192" s="89" t="str">
        <f ca="1">IF($B192="","",INDIRECT("aux_sheet_RRS!AN"&amp;1+MATCH(aux_sheet_RRS!$E191,aux_sheet_RRS!$D$2:$D$202,0)))</f>
        <v/>
      </c>
      <c r="AG192" s="90" t="str">
        <f ca="1">IF(AE192="","",INDIRECT("aux_sheet_RRS!AO"&amp;1+MATCH(aux_sheet_RRS!$E191,aux_sheet_RRS!$D$2:$D$202,0)))</f>
        <v/>
      </c>
      <c r="AH192" s="14" t="str">
        <f t="shared" ca="1" si="9"/>
        <v/>
      </c>
      <c r="AI192" t="str">
        <f t="shared" ca="1" si="10"/>
        <v/>
      </c>
      <c r="AJ192" t="str">
        <f t="shared" ca="1" si="11"/>
        <v/>
      </c>
    </row>
    <row r="193" spans="1:36" x14ac:dyDescent="0.35">
      <c r="A193" s="2" t="str">
        <f>IF(ISBLANK(Input!A192),"",ROUNDDOWN(aux_sheet_RRS!E192,0))</f>
        <v/>
      </c>
      <c r="B193" s="2" t="str">
        <f ca="1">IF(ISBLANK(Input!A192),"",INDIRECT("Input!A"&amp;1+MATCH(aux_sheet_RRS!$E192,aux_sheet_RRS!$D$2:$D$202,0)))</f>
        <v/>
      </c>
      <c r="C193" s="2" t="str">
        <f ca="1">IF(ISBLANK(Input!B192),"",INDIRECT("Input!B"&amp;1+MATCH(aux_sheet_RRS!$E192,aux_sheet_RRS!$D$2:$D$202,0)))</f>
        <v/>
      </c>
      <c r="D193" s="2" t="str">
        <f ca="1">IF(ISBLANK(Input!C192),"",INDIRECT("Input!C"&amp;1+MATCH(aux_sheet_RRS!$E192,aux_sheet_RRS!$D$2:$D$202,0)))</f>
        <v/>
      </c>
      <c r="E193" s="2" t="str">
        <f ca="1">IF(ISBLANK(Input!D192),"",INDIRECT("Input!D"&amp;1+MATCH(aux_sheet_RRS!$E192,aux_sheet_RRS!$D$2:$D$202,0)))</f>
        <v/>
      </c>
      <c r="F193" s="11" t="str">
        <f ca="1">INDIRECT("Input!H"&amp;1+MATCH(aux_sheet_RRS!$E192,aux_sheet_RRS!$D$2:$D$202,0))</f>
        <v xml:space="preserve"> </v>
      </c>
      <c r="G193" s="88" t="str">
        <f ca="1">IF($B193="","",INDIRECT("aux_sheet_RRS!O"&amp;1+MATCH(aux_sheet_RRS!$E192,aux_sheet_RRS!$D$2:$D$202,0)))</f>
        <v/>
      </c>
      <c r="H193" s="89" t="str">
        <f ca="1">IF($B193="","",INDIRECT("aux_sheet_RRS!P"&amp;1+MATCH(aux_sheet_RRS!$E192,aux_sheet_RRS!$D$2:$D$202,0)))</f>
        <v/>
      </c>
      <c r="I193" s="90" t="str">
        <f ca="1">IF(G193="","",ROUNDDOWN(INDIRECT("aux_sheet_RRS!Q"&amp;1+MATCH(aux_sheet_RRS!$E192,aux_sheet_RRS!$D$2:$D$202,0)),0))</f>
        <v/>
      </c>
      <c r="J193" s="106" t="str">
        <f ca="1">IF($B193="","",INDIRECT("aux_sheet_RRS!R"&amp;1+MATCH(aux_sheet_RRS!$E192,aux_sheet_RRS!$D$2:$D$202,0)))</f>
        <v/>
      </c>
      <c r="K193" s="89" t="str">
        <f ca="1">IF($B193="","",INDIRECT("aux_sheet_RRS!S"&amp;1+MATCH(aux_sheet_RRS!$E192,aux_sheet_RRS!$D$2:$D$202,0)))</f>
        <v/>
      </c>
      <c r="L193" s="90" t="str">
        <f ca="1">IF(J193="","",ROUNDDOWN(INDIRECT("aux_sheet_RRS!T"&amp;1+MATCH(aux_sheet_RRS!$E192,aux_sheet_RRS!$D$2:$D$202,0)),0))</f>
        <v/>
      </c>
      <c r="M193" s="106" t="str">
        <f ca="1">IF($B193="","",INDIRECT("aux_sheet_RRS!U"&amp;1+MATCH(aux_sheet_RRS!$E192,aux_sheet_RRS!$D$2:$D$202,0)))</f>
        <v/>
      </c>
      <c r="N193" s="89" t="str">
        <f ca="1">IF($B193="","",INDIRECT("aux_sheet_RRS!V"&amp;1+MATCH(aux_sheet_RRS!$E192,aux_sheet_RRS!$D$2:$D$202,0)))</f>
        <v/>
      </c>
      <c r="O193" s="90" t="str">
        <f ca="1">IF(M193="","",ROUNDDOWN(INDIRECT("aux_sheet_RRS!W"&amp;1+MATCH(aux_sheet_RRS!$E192,aux_sheet_RRS!$D$2:$D$202,0)),0))</f>
        <v/>
      </c>
      <c r="P193" s="106" t="str">
        <f ca="1">IF($B193="","",INDIRECT("aux_sheet_RRS!X"&amp;1+MATCH(aux_sheet_RRS!$E192,aux_sheet_RRS!$D$2:$D$202,0)))</f>
        <v/>
      </c>
      <c r="Q193" s="89" t="str">
        <f ca="1">IF($B193="","",INDIRECT("aux_sheet_RRS!Y"&amp;1+MATCH(aux_sheet_RRS!$E192,aux_sheet_RRS!$D$2:$D$202,0)))</f>
        <v/>
      </c>
      <c r="R193" s="90" t="str">
        <f ca="1">IF(P193="","",INDIRECT("aux_sheet_RRS!Z"&amp;1+MATCH(aux_sheet_RRS!$E192,aux_sheet_RRS!$D$2:$D$202,0)))</f>
        <v/>
      </c>
      <c r="S193" s="106" t="str">
        <f ca="1">IF($B193="","",INDIRECT("aux_sheet_RRS!AA"&amp;1+MATCH(aux_sheet_RRS!$E192,aux_sheet_RRS!$D$2:$D$202,0)))</f>
        <v/>
      </c>
      <c r="T193" s="89" t="str">
        <f ca="1">IF($B193="","",INDIRECT("aux_sheet_RRS!AB"&amp;1+MATCH(aux_sheet_RRS!$E192,aux_sheet_RRS!$D$2:$D$202,0)))</f>
        <v/>
      </c>
      <c r="U193" s="90" t="str">
        <f ca="1">IF(S193="","",INDIRECT("aux_sheet_RRS!AC"&amp;1+MATCH(aux_sheet_RRS!$E192,aux_sheet_RRS!$D$2:$D$202,0)))</f>
        <v/>
      </c>
      <c r="V193" s="106" t="str">
        <f ca="1">IF($B193="","",INDIRECT("aux_sheet_RRS!AD"&amp;1+MATCH(aux_sheet_RRS!$E192,aux_sheet_RRS!$D$2:$D$202,0)))</f>
        <v/>
      </c>
      <c r="W193" s="89" t="str">
        <f ca="1">IF($B193="","",INDIRECT("aux_sheet_RRS!AE"&amp;1+MATCH(aux_sheet_RRS!$E192,aux_sheet_RRS!$D$2:$D$202,0)))</f>
        <v/>
      </c>
      <c r="X193" s="90" t="str">
        <f ca="1">IF(V193="","",INDIRECT("aux_sheet_RRS!AF"&amp;1+MATCH(aux_sheet_RRS!$E192,aux_sheet_RRS!$D$2:$D$202,0)))</f>
        <v/>
      </c>
      <c r="Y193" s="106" t="str">
        <f ca="1">IF($B193="","",INDIRECT("aux_sheet_RRS!AG"&amp;1+MATCH(aux_sheet_RRS!$E192,aux_sheet_RRS!$D$2:$D$202,0)))</f>
        <v/>
      </c>
      <c r="Z193" s="89" t="str">
        <f ca="1">IF($B193="","",INDIRECT("aux_sheet_RRS!AH"&amp;1+MATCH(aux_sheet_RRS!$E192,aux_sheet_RRS!$D$2:$D$202,0)))</f>
        <v/>
      </c>
      <c r="AA193" s="90" t="str">
        <f ca="1">IF(Y193="","",INDIRECT("aux_sheet_RRS!AI"&amp;1+MATCH(aux_sheet_RRS!$E192,aux_sheet_RRS!$D$2:$D$202,0)))</f>
        <v/>
      </c>
      <c r="AB193" s="88" t="str">
        <f ca="1">IF($B193="","",INDIRECT("aux_sheet_RRS!AJ"&amp;1+MATCH(aux_sheet_RRS!$E192,aux_sheet_RRS!$D$2:$D$202,0)))</f>
        <v/>
      </c>
      <c r="AC193" s="89" t="str">
        <f ca="1">IF($B193="","",INDIRECT("aux_sheet_RRS!AK"&amp;1+MATCH(aux_sheet_RRS!$E192,aux_sheet_RRS!$D$2:$D$202,0)))</f>
        <v/>
      </c>
      <c r="AD193" s="90" t="str">
        <f ca="1">IF(AB193="","",INDIRECT("aux_sheet_RRS!AL"&amp;1+MATCH(aux_sheet_RRS!$E192,aux_sheet_RRS!$D$2:$D$202,0)))</f>
        <v/>
      </c>
      <c r="AE193" s="88" t="str">
        <f ca="1">IF($B193="","",INDIRECT("aux_sheet_RRS!AM"&amp;1+MATCH(aux_sheet_RRS!$E192,aux_sheet_RRS!$D$2:$D$202,0)))</f>
        <v/>
      </c>
      <c r="AF193" s="89" t="str">
        <f ca="1">IF($B193="","",INDIRECT("aux_sheet_RRS!AN"&amp;1+MATCH(aux_sheet_RRS!$E192,aux_sheet_RRS!$D$2:$D$202,0)))</f>
        <v/>
      </c>
      <c r="AG193" s="90" t="str">
        <f ca="1">IF(AE193="","",INDIRECT("aux_sheet_RRS!AO"&amp;1+MATCH(aux_sheet_RRS!$E192,aux_sheet_RRS!$D$2:$D$202,0)))</f>
        <v/>
      </c>
      <c r="AH193" s="14" t="str">
        <f t="shared" ca="1" si="9"/>
        <v/>
      </c>
      <c r="AI193" t="str">
        <f t="shared" ca="1" si="10"/>
        <v/>
      </c>
      <c r="AJ193" t="str">
        <f t="shared" ca="1" si="11"/>
        <v/>
      </c>
    </row>
    <row r="194" spans="1:36" x14ac:dyDescent="0.35">
      <c r="A194" s="2" t="str">
        <f>IF(ISBLANK(Input!A193),"",ROUNDDOWN(aux_sheet_RRS!E193,0))</f>
        <v/>
      </c>
      <c r="B194" s="2" t="str">
        <f ca="1">IF(ISBLANK(Input!A193),"",INDIRECT("Input!A"&amp;1+MATCH(aux_sheet_RRS!$E193,aux_sheet_RRS!$D$2:$D$202,0)))</f>
        <v/>
      </c>
      <c r="C194" s="2" t="str">
        <f ca="1">IF(ISBLANK(Input!B193),"",INDIRECT("Input!B"&amp;1+MATCH(aux_sheet_RRS!$E193,aux_sheet_RRS!$D$2:$D$202,0)))</f>
        <v/>
      </c>
      <c r="D194" s="2" t="str">
        <f ca="1">IF(ISBLANK(Input!C193),"",INDIRECT("Input!C"&amp;1+MATCH(aux_sheet_RRS!$E193,aux_sheet_RRS!$D$2:$D$202,0)))</f>
        <v/>
      </c>
      <c r="E194" s="2" t="str">
        <f ca="1">IF(ISBLANK(Input!D193),"",INDIRECT("Input!D"&amp;1+MATCH(aux_sheet_RRS!$E193,aux_sheet_RRS!$D$2:$D$202,0)))</f>
        <v/>
      </c>
      <c r="F194" s="11" t="str">
        <f ca="1">INDIRECT("Input!H"&amp;1+MATCH(aux_sheet_RRS!$E193,aux_sheet_RRS!$D$2:$D$202,0))</f>
        <v xml:space="preserve"> </v>
      </c>
      <c r="G194" s="88" t="str">
        <f ca="1">IF($B194="","",INDIRECT("aux_sheet_RRS!O"&amp;1+MATCH(aux_sheet_RRS!$E193,aux_sheet_RRS!$D$2:$D$202,0)))</f>
        <v/>
      </c>
      <c r="H194" s="89" t="str">
        <f ca="1">IF($B194="","",INDIRECT("aux_sheet_RRS!P"&amp;1+MATCH(aux_sheet_RRS!$E193,aux_sheet_RRS!$D$2:$D$202,0)))</f>
        <v/>
      </c>
      <c r="I194" s="90" t="str">
        <f ca="1">IF(G194="","",ROUNDDOWN(INDIRECT("aux_sheet_RRS!Q"&amp;1+MATCH(aux_sheet_RRS!$E193,aux_sheet_RRS!$D$2:$D$202,0)),0))</f>
        <v/>
      </c>
      <c r="J194" s="106" t="str">
        <f ca="1">IF($B194="","",INDIRECT("aux_sheet_RRS!R"&amp;1+MATCH(aux_sheet_RRS!$E193,aux_sheet_RRS!$D$2:$D$202,0)))</f>
        <v/>
      </c>
      <c r="K194" s="89" t="str">
        <f ca="1">IF($B194="","",INDIRECT("aux_sheet_RRS!S"&amp;1+MATCH(aux_sheet_RRS!$E193,aux_sheet_RRS!$D$2:$D$202,0)))</f>
        <v/>
      </c>
      <c r="L194" s="90" t="str">
        <f ca="1">IF(J194="","",ROUNDDOWN(INDIRECT("aux_sheet_RRS!T"&amp;1+MATCH(aux_sheet_RRS!$E193,aux_sheet_RRS!$D$2:$D$202,0)),0))</f>
        <v/>
      </c>
      <c r="M194" s="106" t="str">
        <f ca="1">IF($B194="","",INDIRECT("aux_sheet_RRS!U"&amp;1+MATCH(aux_sheet_RRS!$E193,aux_sheet_RRS!$D$2:$D$202,0)))</f>
        <v/>
      </c>
      <c r="N194" s="89" t="str">
        <f ca="1">IF($B194="","",INDIRECT("aux_sheet_RRS!V"&amp;1+MATCH(aux_sheet_RRS!$E193,aux_sheet_RRS!$D$2:$D$202,0)))</f>
        <v/>
      </c>
      <c r="O194" s="90" t="str">
        <f ca="1">IF(M194="","",ROUNDDOWN(INDIRECT("aux_sheet_RRS!W"&amp;1+MATCH(aux_sheet_RRS!$E193,aux_sheet_RRS!$D$2:$D$202,0)),0))</f>
        <v/>
      </c>
      <c r="P194" s="106" t="str">
        <f ca="1">IF($B194="","",INDIRECT("aux_sheet_RRS!X"&amp;1+MATCH(aux_sheet_RRS!$E193,aux_sheet_RRS!$D$2:$D$202,0)))</f>
        <v/>
      </c>
      <c r="Q194" s="89" t="str">
        <f ca="1">IF($B194="","",INDIRECT("aux_sheet_RRS!Y"&amp;1+MATCH(aux_sheet_RRS!$E193,aux_sheet_RRS!$D$2:$D$202,0)))</f>
        <v/>
      </c>
      <c r="R194" s="90" t="str">
        <f ca="1">IF(P194="","",INDIRECT("aux_sheet_RRS!Z"&amp;1+MATCH(aux_sheet_RRS!$E193,aux_sheet_RRS!$D$2:$D$202,0)))</f>
        <v/>
      </c>
      <c r="S194" s="106" t="str">
        <f ca="1">IF($B194="","",INDIRECT("aux_sheet_RRS!AA"&amp;1+MATCH(aux_sheet_RRS!$E193,aux_sheet_RRS!$D$2:$D$202,0)))</f>
        <v/>
      </c>
      <c r="T194" s="89" t="str">
        <f ca="1">IF($B194="","",INDIRECT("aux_sheet_RRS!AB"&amp;1+MATCH(aux_sheet_RRS!$E193,aux_sheet_RRS!$D$2:$D$202,0)))</f>
        <v/>
      </c>
      <c r="U194" s="90" t="str">
        <f ca="1">IF(S194="","",INDIRECT("aux_sheet_RRS!AC"&amp;1+MATCH(aux_sheet_RRS!$E193,aux_sheet_RRS!$D$2:$D$202,0)))</f>
        <v/>
      </c>
      <c r="V194" s="106" t="str">
        <f ca="1">IF($B194="","",INDIRECT("aux_sheet_RRS!AD"&amp;1+MATCH(aux_sheet_RRS!$E193,aux_sheet_RRS!$D$2:$D$202,0)))</f>
        <v/>
      </c>
      <c r="W194" s="89" t="str">
        <f ca="1">IF($B194="","",INDIRECT("aux_sheet_RRS!AE"&amp;1+MATCH(aux_sheet_RRS!$E193,aux_sheet_RRS!$D$2:$D$202,0)))</f>
        <v/>
      </c>
      <c r="X194" s="90" t="str">
        <f ca="1">IF(V194="","",INDIRECT("aux_sheet_RRS!AF"&amp;1+MATCH(aux_sheet_RRS!$E193,aux_sheet_RRS!$D$2:$D$202,0)))</f>
        <v/>
      </c>
      <c r="Y194" s="106" t="str">
        <f ca="1">IF($B194="","",INDIRECT("aux_sheet_RRS!AG"&amp;1+MATCH(aux_sheet_RRS!$E193,aux_sheet_RRS!$D$2:$D$202,0)))</f>
        <v/>
      </c>
      <c r="Z194" s="89" t="str">
        <f ca="1">IF($B194="","",INDIRECT("aux_sheet_RRS!AH"&amp;1+MATCH(aux_sheet_RRS!$E193,aux_sheet_RRS!$D$2:$D$202,0)))</f>
        <v/>
      </c>
      <c r="AA194" s="90" t="str">
        <f ca="1">IF(Y194="","",INDIRECT("aux_sheet_RRS!AI"&amp;1+MATCH(aux_sheet_RRS!$E193,aux_sheet_RRS!$D$2:$D$202,0)))</f>
        <v/>
      </c>
      <c r="AB194" s="88" t="str">
        <f ca="1">IF($B194="","",INDIRECT("aux_sheet_RRS!AJ"&amp;1+MATCH(aux_sheet_RRS!$E193,aux_sheet_RRS!$D$2:$D$202,0)))</f>
        <v/>
      </c>
      <c r="AC194" s="89" t="str">
        <f ca="1">IF($B194="","",INDIRECT("aux_sheet_RRS!AK"&amp;1+MATCH(aux_sheet_RRS!$E193,aux_sheet_RRS!$D$2:$D$202,0)))</f>
        <v/>
      </c>
      <c r="AD194" s="90" t="str">
        <f ca="1">IF(AB194="","",INDIRECT("aux_sheet_RRS!AL"&amp;1+MATCH(aux_sheet_RRS!$E193,aux_sheet_RRS!$D$2:$D$202,0)))</f>
        <v/>
      </c>
      <c r="AE194" s="88" t="str">
        <f ca="1">IF($B194="","",INDIRECT("aux_sheet_RRS!AM"&amp;1+MATCH(aux_sheet_RRS!$E193,aux_sheet_RRS!$D$2:$D$202,0)))</f>
        <v/>
      </c>
      <c r="AF194" s="89" t="str">
        <f ca="1">IF($B194="","",INDIRECT("aux_sheet_RRS!AN"&amp;1+MATCH(aux_sheet_RRS!$E193,aux_sheet_RRS!$D$2:$D$202,0)))</f>
        <v/>
      </c>
      <c r="AG194" s="90" t="str">
        <f ca="1">IF(AE194="","",INDIRECT("aux_sheet_RRS!AO"&amp;1+MATCH(aux_sheet_RRS!$E193,aux_sheet_RRS!$D$2:$D$202,0)))</f>
        <v/>
      </c>
      <c r="AH194" s="14" t="str">
        <f t="shared" ca="1" si="9"/>
        <v/>
      </c>
      <c r="AI194" t="str">
        <f t="shared" ca="1" si="10"/>
        <v/>
      </c>
      <c r="AJ194" t="str">
        <f t="shared" ca="1" si="11"/>
        <v/>
      </c>
    </row>
    <row r="195" spans="1:36" x14ac:dyDescent="0.35">
      <c r="A195" s="2" t="str">
        <f>IF(ISBLANK(Input!A194),"",ROUNDDOWN(aux_sheet_RRS!E194,0))</f>
        <v/>
      </c>
      <c r="B195" s="2" t="str">
        <f ca="1">IF(ISBLANK(Input!A194),"",INDIRECT("Input!A"&amp;1+MATCH(aux_sheet_RRS!$E194,aux_sheet_RRS!$D$2:$D$202,0)))</f>
        <v/>
      </c>
      <c r="C195" s="2" t="str">
        <f ca="1">IF(ISBLANK(Input!B194),"",INDIRECT("Input!B"&amp;1+MATCH(aux_sheet_RRS!$E194,aux_sheet_RRS!$D$2:$D$202,0)))</f>
        <v/>
      </c>
      <c r="D195" s="2" t="str">
        <f ca="1">IF(ISBLANK(Input!C194),"",INDIRECT("Input!C"&amp;1+MATCH(aux_sheet_RRS!$E194,aux_sheet_RRS!$D$2:$D$202,0)))</f>
        <v/>
      </c>
      <c r="E195" s="2" t="str">
        <f ca="1">IF(ISBLANK(Input!D194),"",INDIRECT("Input!D"&amp;1+MATCH(aux_sheet_RRS!$E194,aux_sheet_RRS!$D$2:$D$202,0)))</f>
        <v/>
      </c>
      <c r="F195" s="11" t="str">
        <f ca="1">INDIRECT("Input!H"&amp;1+MATCH(aux_sheet_RRS!$E194,aux_sheet_RRS!$D$2:$D$202,0))</f>
        <v xml:space="preserve"> </v>
      </c>
      <c r="G195" s="88" t="str">
        <f ca="1">IF($B195="","",INDIRECT("aux_sheet_RRS!O"&amp;1+MATCH(aux_sheet_RRS!$E194,aux_sheet_RRS!$D$2:$D$202,0)))</f>
        <v/>
      </c>
      <c r="H195" s="89" t="str">
        <f ca="1">IF($B195="","",INDIRECT("aux_sheet_RRS!P"&amp;1+MATCH(aux_sheet_RRS!$E194,aux_sheet_RRS!$D$2:$D$202,0)))</f>
        <v/>
      </c>
      <c r="I195" s="90" t="str">
        <f ca="1">IF(G195="","",ROUNDDOWN(INDIRECT("aux_sheet_RRS!Q"&amp;1+MATCH(aux_sheet_RRS!$E194,aux_sheet_RRS!$D$2:$D$202,0)),0))</f>
        <v/>
      </c>
      <c r="J195" s="106" t="str">
        <f ca="1">IF($B195="","",INDIRECT("aux_sheet_RRS!R"&amp;1+MATCH(aux_sheet_RRS!$E194,aux_sheet_RRS!$D$2:$D$202,0)))</f>
        <v/>
      </c>
      <c r="K195" s="89" t="str">
        <f ca="1">IF($B195="","",INDIRECT("aux_sheet_RRS!S"&amp;1+MATCH(aux_sheet_RRS!$E194,aux_sheet_RRS!$D$2:$D$202,0)))</f>
        <v/>
      </c>
      <c r="L195" s="90" t="str">
        <f ca="1">IF(J195="","",ROUNDDOWN(INDIRECT("aux_sheet_RRS!T"&amp;1+MATCH(aux_sheet_RRS!$E194,aux_sheet_RRS!$D$2:$D$202,0)),0))</f>
        <v/>
      </c>
      <c r="M195" s="106" t="str">
        <f ca="1">IF($B195="","",INDIRECT("aux_sheet_RRS!U"&amp;1+MATCH(aux_sheet_RRS!$E194,aux_sheet_RRS!$D$2:$D$202,0)))</f>
        <v/>
      </c>
      <c r="N195" s="89" t="str">
        <f ca="1">IF($B195="","",INDIRECT("aux_sheet_RRS!V"&amp;1+MATCH(aux_sheet_RRS!$E194,aux_sheet_RRS!$D$2:$D$202,0)))</f>
        <v/>
      </c>
      <c r="O195" s="90" t="str">
        <f ca="1">IF(M195="","",ROUNDDOWN(INDIRECT("aux_sheet_RRS!W"&amp;1+MATCH(aux_sheet_RRS!$E194,aux_sheet_RRS!$D$2:$D$202,0)),0))</f>
        <v/>
      </c>
      <c r="P195" s="106" t="str">
        <f ca="1">IF($B195="","",INDIRECT("aux_sheet_RRS!X"&amp;1+MATCH(aux_sheet_RRS!$E194,aux_sheet_RRS!$D$2:$D$202,0)))</f>
        <v/>
      </c>
      <c r="Q195" s="89" t="str">
        <f ca="1">IF($B195="","",INDIRECT("aux_sheet_RRS!Y"&amp;1+MATCH(aux_sheet_RRS!$E194,aux_sheet_RRS!$D$2:$D$202,0)))</f>
        <v/>
      </c>
      <c r="R195" s="90" t="str">
        <f ca="1">IF(P195="","",INDIRECT("aux_sheet_RRS!Z"&amp;1+MATCH(aux_sheet_RRS!$E194,aux_sheet_RRS!$D$2:$D$202,0)))</f>
        <v/>
      </c>
      <c r="S195" s="106" t="str">
        <f ca="1">IF($B195="","",INDIRECT("aux_sheet_RRS!AA"&amp;1+MATCH(aux_sheet_RRS!$E194,aux_sheet_RRS!$D$2:$D$202,0)))</f>
        <v/>
      </c>
      <c r="T195" s="89" t="str">
        <f ca="1">IF($B195="","",INDIRECT("aux_sheet_RRS!AB"&amp;1+MATCH(aux_sheet_RRS!$E194,aux_sheet_RRS!$D$2:$D$202,0)))</f>
        <v/>
      </c>
      <c r="U195" s="90" t="str">
        <f ca="1">IF(S195="","",INDIRECT("aux_sheet_RRS!AC"&amp;1+MATCH(aux_sheet_RRS!$E194,aux_sheet_RRS!$D$2:$D$202,0)))</f>
        <v/>
      </c>
      <c r="V195" s="106" t="str">
        <f ca="1">IF($B195="","",INDIRECT("aux_sheet_RRS!AD"&amp;1+MATCH(aux_sheet_RRS!$E194,aux_sheet_RRS!$D$2:$D$202,0)))</f>
        <v/>
      </c>
      <c r="W195" s="89" t="str">
        <f ca="1">IF($B195="","",INDIRECT("aux_sheet_RRS!AE"&amp;1+MATCH(aux_sheet_RRS!$E194,aux_sheet_RRS!$D$2:$D$202,0)))</f>
        <v/>
      </c>
      <c r="X195" s="90" t="str">
        <f ca="1">IF(V195="","",INDIRECT("aux_sheet_RRS!AF"&amp;1+MATCH(aux_sheet_RRS!$E194,aux_sheet_RRS!$D$2:$D$202,0)))</f>
        <v/>
      </c>
      <c r="Y195" s="106" t="str">
        <f ca="1">IF($B195="","",INDIRECT("aux_sheet_RRS!AG"&amp;1+MATCH(aux_sheet_RRS!$E194,aux_sheet_RRS!$D$2:$D$202,0)))</f>
        <v/>
      </c>
      <c r="Z195" s="89" t="str">
        <f ca="1">IF($B195="","",INDIRECT("aux_sheet_RRS!AH"&amp;1+MATCH(aux_sheet_RRS!$E194,aux_sheet_RRS!$D$2:$D$202,0)))</f>
        <v/>
      </c>
      <c r="AA195" s="90" t="str">
        <f ca="1">IF(Y195="","",INDIRECT("aux_sheet_RRS!AI"&amp;1+MATCH(aux_sheet_RRS!$E194,aux_sheet_RRS!$D$2:$D$202,0)))</f>
        <v/>
      </c>
      <c r="AB195" s="88" t="str">
        <f ca="1">IF($B195="","",INDIRECT("aux_sheet_RRS!AJ"&amp;1+MATCH(aux_sheet_RRS!$E194,aux_sheet_RRS!$D$2:$D$202,0)))</f>
        <v/>
      </c>
      <c r="AC195" s="89" t="str">
        <f ca="1">IF($B195="","",INDIRECT("aux_sheet_RRS!AK"&amp;1+MATCH(aux_sheet_RRS!$E194,aux_sheet_RRS!$D$2:$D$202,0)))</f>
        <v/>
      </c>
      <c r="AD195" s="90" t="str">
        <f ca="1">IF(AB195="","",INDIRECT("aux_sheet_RRS!AL"&amp;1+MATCH(aux_sheet_RRS!$E194,aux_sheet_RRS!$D$2:$D$202,0)))</f>
        <v/>
      </c>
      <c r="AE195" s="88" t="str">
        <f ca="1">IF($B195="","",INDIRECT("aux_sheet_RRS!AM"&amp;1+MATCH(aux_sheet_RRS!$E194,aux_sheet_RRS!$D$2:$D$202,0)))</f>
        <v/>
      </c>
      <c r="AF195" s="89" t="str">
        <f ca="1">IF($B195="","",INDIRECT("aux_sheet_RRS!AN"&amp;1+MATCH(aux_sheet_RRS!$E194,aux_sheet_RRS!$D$2:$D$202,0)))</f>
        <v/>
      </c>
      <c r="AG195" s="90" t="str">
        <f ca="1">IF(AE195="","",INDIRECT("aux_sheet_RRS!AO"&amp;1+MATCH(aux_sheet_RRS!$E194,aux_sheet_RRS!$D$2:$D$202,0)))</f>
        <v/>
      </c>
      <c r="AH195" s="14" t="str">
        <f t="shared" ca="1" si="9"/>
        <v/>
      </c>
      <c r="AI195" t="str">
        <f t="shared" ca="1" si="10"/>
        <v/>
      </c>
      <c r="AJ195" t="str">
        <f t="shared" ca="1" si="11"/>
        <v/>
      </c>
    </row>
    <row r="196" spans="1:36" x14ac:dyDescent="0.35">
      <c r="A196" s="2" t="str">
        <f>IF(ISBLANK(Input!A195),"",ROUNDDOWN(aux_sheet_RRS!E195,0))</f>
        <v/>
      </c>
      <c r="B196" s="2" t="str">
        <f ca="1">IF(ISBLANK(Input!A195),"",INDIRECT("Input!A"&amp;1+MATCH(aux_sheet_RRS!$E195,aux_sheet_RRS!$D$2:$D$202,0)))</f>
        <v/>
      </c>
      <c r="C196" s="2" t="str">
        <f ca="1">IF(ISBLANK(Input!B195),"",INDIRECT("Input!B"&amp;1+MATCH(aux_sheet_RRS!$E195,aux_sheet_RRS!$D$2:$D$202,0)))</f>
        <v/>
      </c>
      <c r="D196" s="2" t="str">
        <f ca="1">IF(ISBLANK(Input!C195),"",INDIRECT("Input!C"&amp;1+MATCH(aux_sheet_RRS!$E195,aux_sheet_RRS!$D$2:$D$202,0)))</f>
        <v/>
      </c>
      <c r="E196" s="2" t="str">
        <f ca="1">IF(ISBLANK(Input!D195),"",INDIRECT("Input!D"&amp;1+MATCH(aux_sheet_RRS!$E195,aux_sheet_RRS!$D$2:$D$202,0)))</f>
        <v/>
      </c>
      <c r="F196" s="11" t="str">
        <f ca="1">INDIRECT("Input!H"&amp;1+MATCH(aux_sheet_RRS!$E195,aux_sheet_RRS!$D$2:$D$202,0))</f>
        <v xml:space="preserve"> </v>
      </c>
      <c r="G196" s="88" t="str">
        <f ca="1">IF($B196="","",INDIRECT("aux_sheet_RRS!O"&amp;1+MATCH(aux_sheet_RRS!$E195,aux_sheet_RRS!$D$2:$D$202,0)))</f>
        <v/>
      </c>
      <c r="H196" s="89" t="str">
        <f ca="1">IF($B196="","",INDIRECT("aux_sheet_RRS!P"&amp;1+MATCH(aux_sheet_RRS!$E195,aux_sheet_RRS!$D$2:$D$202,0)))</f>
        <v/>
      </c>
      <c r="I196" s="90" t="str">
        <f ca="1">IF(G196="","",ROUNDDOWN(INDIRECT("aux_sheet_RRS!Q"&amp;1+MATCH(aux_sheet_RRS!$E195,aux_sheet_RRS!$D$2:$D$202,0)),0))</f>
        <v/>
      </c>
      <c r="J196" s="106" t="str">
        <f ca="1">IF($B196="","",INDIRECT("aux_sheet_RRS!R"&amp;1+MATCH(aux_sheet_RRS!$E195,aux_sheet_RRS!$D$2:$D$202,0)))</f>
        <v/>
      </c>
      <c r="K196" s="89" t="str">
        <f ca="1">IF($B196="","",INDIRECT("aux_sheet_RRS!S"&amp;1+MATCH(aux_sheet_RRS!$E195,aux_sheet_RRS!$D$2:$D$202,0)))</f>
        <v/>
      </c>
      <c r="L196" s="90" t="str">
        <f ca="1">IF(J196="","",ROUNDDOWN(INDIRECT("aux_sheet_RRS!T"&amp;1+MATCH(aux_sheet_RRS!$E195,aux_sheet_RRS!$D$2:$D$202,0)),0))</f>
        <v/>
      </c>
      <c r="M196" s="106" t="str">
        <f ca="1">IF($B196="","",INDIRECT("aux_sheet_RRS!U"&amp;1+MATCH(aux_sheet_RRS!$E195,aux_sheet_RRS!$D$2:$D$202,0)))</f>
        <v/>
      </c>
      <c r="N196" s="89" t="str">
        <f ca="1">IF($B196="","",INDIRECT("aux_sheet_RRS!V"&amp;1+MATCH(aux_sheet_RRS!$E195,aux_sheet_RRS!$D$2:$D$202,0)))</f>
        <v/>
      </c>
      <c r="O196" s="90" t="str">
        <f ca="1">IF(M196="","",ROUNDDOWN(INDIRECT("aux_sheet_RRS!W"&amp;1+MATCH(aux_sheet_RRS!$E195,aux_sheet_RRS!$D$2:$D$202,0)),0))</f>
        <v/>
      </c>
      <c r="P196" s="106" t="str">
        <f ca="1">IF($B196="","",INDIRECT("aux_sheet_RRS!X"&amp;1+MATCH(aux_sheet_RRS!$E195,aux_sheet_RRS!$D$2:$D$202,0)))</f>
        <v/>
      </c>
      <c r="Q196" s="89" t="str">
        <f ca="1">IF($B196="","",INDIRECT("aux_sheet_RRS!Y"&amp;1+MATCH(aux_sheet_RRS!$E195,aux_sheet_RRS!$D$2:$D$202,0)))</f>
        <v/>
      </c>
      <c r="R196" s="90" t="str">
        <f ca="1">IF(P196="","",INDIRECT("aux_sheet_RRS!Z"&amp;1+MATCH(aux_sheet_RRS!$E195,aux_sheet_RRS!$D$2:$D$202,0)))</f>
        <v/>
      </c>
      <c r="S196" s="106" t="str">
        <f ca="1">IF($B196="","",INDIRECT("aux_sheet_RRS!AA"&amp;1+MATCH(aux_sheet_RRS!$E195,aux_sheet_RRS!$D$2:$D$202,0)))</f>
        <v/>
      </c>
      <c r="T196" s="89" t="str">
        <f ca="1">IF($B196="","",INDIRECT("aux_sheet_RRS!AB"&amp;1+MATCH(aux_sheet_RRS!$E195,aux_sheet_RRS!$D$2:$D$202,0)))</f>
        <v/>
      </c>
      <c r="U196" s="90" t="str">
        <f ca="1">IF(S196="","",INDIRECT("aux_sheet_RRS!AC"&amp;1+MATCH(aux_sheet_RRS!$E195,aux_sheet_RRS!$D$2:$D$202,0)))</f>
        <v/>
      </c>
      <c r="V196" s="106" t="str">
        <f ca="1">IF($B196="","",INDIRECT("aux_sheet_RRS!AD"&amp;1+MATCH(aux_sheet_RRS!$E195,aux_sheet_RRS!$D$2:$D$202,0)))</f>
        <v/>
      </c>
      <c r="W196" s="89" t="str">
        <f ca="1">IF($B196="","",INDIRECT("aux_sheet_RRS!AE"&amp;1+MATCH(aux_sheet_RRS!$E195,aux_sheet_RRS!$D$2:$D$202,0)))</f>
        <v/>
      </c>
      <c r="X196" s="90" t="str">
        <f ca="1">IF(V196="","",INDIRECT("aux_sheet_RRS!AF"&amp;1+MATCH(aux_sheet_RRS!$E195,aux_sheet_RRS!$D$2:$D$202,0)))</f>
        <v/>
      </c>
      <c r="Y196" s="106" t="str">
        <f ca="1">IF($B196="","",INDIRECT("aux_sheet_RRS!AG"&amp;1+MATCH(aux_sheet_RRS!$E195,aux_sheet_RRS!$D$2:$D$202,0)))</f>
        <v/>
      </c>
      <c r="Z196" s="89" t="str">
        <f ca="1">IF($B196="","",INDIRECT("aux_sheet_RRS!AH"&amp;1+MATCH(aux_sheet_RRS!$E195,aux_sheet_RRS!$D$2:$D$202,0)))</f>
        <v/>
      </c>
      <c r="AA196" s="90" t="str">
        <f ca="1">IF(Y196="","",INDIRECT("aux_sheet_RRS!AI"&amp;1+MATCH(aux_sheet_RRS!$E195,aux_sheet_RRS!$D$2:$D$202,0)))</f>
        <v/>
      </c>
      <c r="AB196" s="88" t="str">
        <f ca="1">IF($B196="","",INDIRECT("aux_sheet_RRS!AJ"&amp;1+MATCH(aux_sheet_RRS!$E195,aux_sheet_RRS!$D$2:$D$202,0)))</f>
        <v/>
      </c>
      <c r="AC196" s="89" t="str">
        <f ca="1">IF($B196="","",INDIRECT("aux_sheet_RRS!AK"&amp;1+MATCH(aux_sheet_RRS!$E195,aux_sheet_RRS!$D$2:$D$202,0)))</f>
        <v/>
      </c>
      <c r="AD196" s="90" t="str">
        <f ca="1">IF(AB196="","",INDIRECT("aux_sheet_RRS!AL"&amp;1+MATCH(aux_sheet_RRS!$E195,aux_sheet_RRS!$D$2:$D$202,0)))</f>
        <v/>
      </c>
      <c r="AE196" s="88" t="str">
        <f ca="1">IF($B196="","",INDIRECT("aux_sheet_RRS!AM"&amp;1+MATCH(aux_sheet_RRS!$E195,aux_sheet_RRS!$D$2:$D$202,0)))</f>
        <v/>
      </c>
      <c r="AF196" s="89" t="str">
        <f ca="1">IF($B196="","",INDIRECT("aux_sheet_RRS!AN"&amp;1+MATCH(aux_sheet_RRS!$E195,aux_sheet_RRS!$D$2:$D$202,0)))</f>
        <v/>
      </c>
      <c r="AG196" s="90" t="str">
        <f ca="1">IF(AE196="","",INDIRECT("aux_sheet_RRS!AO"&amp;1+MATCH(aux_sheet_RRS!$E195,aux_sheet_RRS!$D$2:$D$202,0)))</f>
        <v/>
      </c>
      <c r="AH196" s="14" t="str">
        <f t="shared" ca="1" si="9"/>
        <v/>
      </c>
      <c r="AI196" t="str">
        <f t="shared" ca="1" si="10"/>
        <v/>
      </c>
      <c r="AJ196" t="str">
        <f t="shared" ca="1" si="11"/>
        <v/>
      </c>
    </row>
    <row r="197" spans="1:36" x14ac:dyDescent="0.35">
      <c r="A197" s="2" t="str">
        <f>IF(ISBLANK(Input!A196),"",ROUNDDOWN(aux_sheet_RRS!E196,0))</f>
        <v/>
      </c>
      <c r="B197" s="2" t="str">
        <f ca="1">IF(ISBLANK(Input!A196),"",INDIRECT("Input!A"&amp;1+MATCH(aux_sheet_RRS!$E196,aux_sheet_RRS!$D$2:$D$202,0)))</f>
        <v/>
      </c>
      <c r="C197" s="2" t="str">
        <f ca="1">IF(ISBLANK(Input!B196),"",INDIRECT("Input!B"&amp;1+MATCH(aux_sheet_RRS!$E196,aux_sheet_RRS!$D$2:$D$202,0)))</f>
        <v/>
      </c>
      <c r="D197" s="2" t="str">
        <f ca="1">IF(ISBLANK(Input!C196),"",INDIRECT("Input!C"&amp;1+MATCH(aux_sheet_RRS!$E196,aux_sheet_RRS!$D$2:$D$202,0)))</f>
        <v/>
      </c>
      <c r="E197" s="2" t="str">
        <f ca="1">IF(ISBLANK(Input!D196),"",INDIRECT("Input!D"&amp;1+MATCH(aux_sheet_RRS!$E196,aux_sheet_RRS!$D$2:$D$202,0)))</f>
        <v/>
      </c>
      <c r="F197" s="11" t="str">
        <f ca="1">INDIRECT("Input!H"&amp;1+MATCH(aux_sheet_RRS!$E196,aux_sheet_RRS!$D$2:$D$202,0))</f>
        <v xml:space="preserve"> </v>
      </c>
      <c r="G197" s="88" t="str">
        <f ca="1">IF($B197="","",INDIRECT("aux_sheet_RRS!O"&amp;1+MATCH(aux_sheet_RRS!$E196,aux_sheet_RRS!$D$2:$D$202,0)))</f>
        <v/>
      </c>
      <c r="H197" s="89" t="str">
        <f ca="1">IF($B197="","",INDIRECT("aux_sheet_RRS!P"&amp;1+MATCH(aux_sheet_RRS!$E196,aux_sheet_RRS!$D$2:$D$202,0)))</f>
        <v/>
      </c>
      <c r="I197" s="90" t="str">
        <f ca="1">IF(G197="","",ROUNDDOWN(INDIRECT("aux_sheet_RRS!Q"&amp;1+MATCH(aux_sheet_RRS!$E196,aux_sheet_RRS!$D$2:$D$202,0)),0))</f>
        <v/>
      </c>
      <c r="J197" s="106" t="str">
        <f ca="1">IF($B197="","",INDIRECT("aux_sheet_RRS!R"&amp;1+MATCH(aux_sheet_RRS!$E196,aux_sheet_RRS!$D$2:$D$202,0)))</f>
        <v/>
      </c>
      <c r="K197" s="89" t="str">
        <f ca="1">IF($B197="","",INDIRECT("aux_sheet_RRS!S"&amp;1+MATCH(aux_sheet_RRS!$E196,aux_sheet_RRS!$D$2:$D$202,0)))</f>
        <v/>
      </c>
      <c r="L197" s="90" t="str">
        <f ca="1">IF(J197="","",ROUNDDOWN(INDIRECT("aux_sheet_RRS!T"&amp;1+MATCH(aux_sheet_RRS!$E196,aux_sheet_RRS!$D$2:$D$202,0)),0))</f>
        <v/>
      </c>
      <c r="M197" s="106" t="str">
        <f ca="1">IF($B197="","",INDIRECT("aux_sheet_RRS!U"&amp;1+MATCH(aux_sheet_RRS!$E196,aux_sheet_RRS!$D$2:$D$202,0)))</f>
        <v/>
      </c>
      <c r="N197" s="89" t="str">
        <f ca="1">IF($B197="","",INDIRECT("aux_sheet_RRS!V"&amp;1+MATCH(aux_sheet_RRS!$E196,aux_sheet_RRS!$D$2:$D$202,0)))</f>
        <v/>
      </c>
      <c r="O197" s="90" t="str">
        <f ca="1">IF(M197="","",ROUNDDOWN(INDIRECT("aux_sheet_RRS!W"&amp;1+MATCH(aux_sheet_RRS!$E196,aux_sheet_RRS!$D$2:$D$202,0)),0))</f>
        <v/>
      </c>
      <c r="P197" s="106" t="str">
        <f ca="1">IF($B197="","",INDIRECT("aux_sheet_RRS!X"&amp;1+MATCH(aux_sheet_RRS!$E196,aux_sheet_RRS!$D$2:$D$202,0)))</f>
        <v/>
      </c>
      <c r="Q197" s="89" t="str">
        <f ca="1">IF($B197="","",INDIRECT("aux_sheet_RRS!Y"&amp;1+MATCH(aux_sheet_RRS!$E196,aux_sheet_RRS!$D$2:$D$202,0)))</f>
        <v/>
      </c>
      <c r="R197" s="90" t="str">
        <f ca="1">IF(P197="","",INDIRECT("aux_sheet_RRS!Z"&amp;1+MATCH(aux_sheet_RRS!$E196,aux_sheet_RRS!$D$2:$D$202,0)))</f>
        <v/>
      </c>
      <c r="S197" s="106" t="str">
        <f ca="1">IF($B197="","",INDIRECT("aux_sheet_RRS!AA"&amp;1+MATCH(aux_sheet_RRS!$E196,aux_sheet_RRS!$D$2:$D$202,0)))</f>
        <v/>
      </c>
      <c r="T197" s="89" t="str">
        <f ca="1">IF($B197="","",INDIRECT("aux_sheet_RRS!AB"&amp;1+MATCH(aux_sheet_RRS!$E196,aux_sheet_RRS!$D$2:$D$202,0)))</f>
        <v/>
      </c>
      <c r="U197" s="90" t="str">
        <f ca="1">IF(S197="","",INDIRECT("aux_sheet_RRS!AC"&amp;1+MATCH(aux_sheet_RRS!$E196,aux_sheet_RRS!$D$2:$D$202,0)))</f>
        <v/>
      </c>
      <c r="V197" s="106" t="str">
        <f ca="1">IF($B197="","",INDIRECT("aux_sheet_RRS!AD"&amp;1+MATCH(aux_sheet_RRS!$E196,aux_sheet_RRS!$D$2:$D$202,0)))</f>
        <v/>
      </c>
      <c r="W197" s="89" t="str">
        <f ca="1">IF($B197="","",INDIRECT("aux_sheet_RRS!AE"&amp;1+MATCH(aux_sheet_RRS!$E196,aux_sheet_RRS!$D$2:$D$202,0)))</f>
        <v/>
      </c>
      <c r="X197" s="90" t="str">
        <f ca="1">IF(V197="","",INDIRECT("aux_sheet_RRS!AF"&amp;1+MATCH(aux_sheet_RRS!$E196,aux_sheet_RRS!$D$2:$D$202,0)))</f>
        <v/>
      </c>
      <c r="Y197" s="106" t="str">
        <f ca="1">IF($B197="","",INDIRECT("aux_sheet_RRS!AG"&amp;1+MATCH(aux_sheet_RRS!$E196,aux_sheet_RRS!$D$2:$D$202,0)))</f>
        <v/>
      </c>
      <c r="Z197" s="89" t="str">
        <f ca="1">IF($B197="","",INDIRECT("aux_sheet_RRS!AH"&amp;1+MATCH(aux_sheet_RRS!$E196,aux_sheet_RRS!$D$2:$D$202,0)))</f>
        <v/>
      </c>
      <c r="AA197" s="90" t="str">
        <f ca="1">IF(Y197="","",INDIRECT("aux_sheet_RRS!AI"&amp;1+MATCH(aux_sheet_RRS!$E196,aux_sheet_RRS!$D$2:$D$202,0)))</f>
        <v/>
      </c>
      <c r="AB197" s="88" t="str">
        <f ca="1">IF($B197="","",INDIRECT("aux_sheet_RRS!AJ"&amp;1+MATCH(aux_sheet_RRS!$E196,aux_sheet_RRS!$D$2:$D$202,0)))</f>
        <v/>
      </c>
      <c r="AC197" s="89" t="str">
        <f ca="1">IF($B197="","",INDIRECT("aux_sheet_RRS!AK"&amp;1+MATCH(aux_sheet_RRS!$E196,aux_sheet_RRS!$D$2:$D$202,0)))</f>
        <v/>
      </c>
      <c r="AD197" s="90" t="str">
        <f ca="1">IF(AB197="","",INDIRECT("aux_sheet_RRS!AL"&amp;1+MATCH(aux_sheet_RRS!$E196,aux_sheet_RRS!$D$2:$D$202,0)))</f>
        <v/>
      </c>
      <c r="AE197" s="88" t="str">
        <f ca="1">IF($B197="","",INDIRECT("aux_sheet_RRS!AM"&amp;1+MATCH(aux_sheet_RRS!$E196,aux_sheet_RRS!$D$2:$D$202,0)))</f>
        <v/>
      </c>
      <c r="AF197" s="89" t="str">
        <f ca="1">IF($B197="","",INDIRECT("aux_sheet_RRS!AN"&amp;1+MATCH(aux_sheet_RRS!$E196,aux_sheet_RRS!$D$2:$D$202,0)))</f>
        <v/>
      </c>
      <c r="AG197" s="90" t="str">
        <f ca="1">IF(AE197="","",INDIRECT("aux_sheet_RRS!AO"&amp;1+MATCH(aux_sheet_RRS!$E196,aux_sheet_RRS!$D$2:$D$202,0)))</f>
        <v/>
      </c>
      <c r="AH197" s="14" t="str">
        <f t="shared" ca="1" si="9"/>
        <v/>
      </c>
      <c r="AI197" t="str">
        <f t="shared" ca="1" si="10"/>
        <v/>
      </c>
      <c r="AJ197" t="str">
        <f t="shared" ca="1" si="11"/>
        <v/>
      </c>
    </row>
    <row r="198" spans="1:36" x14ac:dyDescent="0.35">
      <c r="A198" s="2" t="str">
        <f>IF(ISBLANK(Input!A197),"",ROUNDDOWN(aux_sheet_RRS!E197,0))</f>
        <v/>
      </c>
      <c r="B198" s="2" t="str">
        <f ca="1">IF(ISBLANK(Input!A197),"",INDIRECT("Input!A"&amp;1+MATCH(aux_sheet_RRS!$E197,aux_sheet_RRS!$D$2:$D$202,0)))</f>
        <v/>
      </c>
      <c r="C198" s="2" t="str">
        <f ca="1">IF(ISBLANK(Input!B197),"",INDIRECT("Input!B"&amp;1+MATCH(aux_sheet_RRS!$E197,aux_sheet_RRS!$D$2:$D$202,0)))</f>
        <v/>
      </c>
      <c r="D198" s="2" t="str">
        <f ca="1">IF(ISBLANK(Input!C197),"",INDIRECT("Input!C"&amp;1+MATCH(aux_sheet_RRS!$E197,aux_sheet_RRS!$D$2:$D$202,0)))</f>
        <v/>
      </c>
      <c r="E198" s="2" t="str">
        <f ca="1">IF(ISBLANK(Input!D197),"",INDIRECT("Input!D"&amp;1+MATCH(aux_sheet_RRS!$E197,aux_sheet_RRS!$D$2:$D$202,0)))</f>
        <v/>
      </c>
      <c r="F198" s="11" t="str">
        <f ca="1">INDIRECT("Input!H"&amp;1+MATCH(aux_sheet_RRS!$E197,aux_sheet_RRS!$D$2:$D$202,0))</f>
        <v xml:space="preserve"> </v>
      </c>
      <c r="G198" s="88" t="str">
        <f ca="1">IF($B198="","",INDIRECT("aux_sheet_RRS!O"&amp;1+MATCH(aux_sheet_RRS!$E197,aux_sheet_RRS!$D$2:$D$202,0)))</f>
        <v/>
      </c>
      <c r="H198" s="89" t="str">
        <f ca="1">IF($B198="","",INDIRECT("aux_sheet_RRS!P"&amp;1+MATCH(aux_sheet_RRS!$E197,aux_sheet_RRS!$D$2:$D$202,0)))</f>
        <v/>
      </c>
      <c r="I198" s="90" t="str">
        <f ca="1">IF(G198="","",ROUNDDOWN(INDIRECT("aux_sheet_RRS!Q"&amp;1+MATCH(aux_sheet_RRS!$E197,aux_sheet_RRS!$D$2:$D$202,0)),0))</f>
        <v/>
      </c>
      <c r="J198" s="106" t="str">
        <f ca="1">IF($B198="","",INDIRECT("aux_sheet_RRS!R"&amp;1+MATCH(aux_sheet_RRS!$E197,aux_sheet_RRS!$D$2:$D$202,0)))</f>
        <v/>
      </c>
      <c r="K198" s="89" t="str">
        <f ca="1">IF($B198="","",INDIRECT("aux_sheet_RRS!S"&amp;1+MATCH(aux_sheet_RRS!$E197,aux_sheet_RRS!$D$2:$D$202,0)))</f>
        <v/>
      </c>
      <c r="L198" s="90" t="str">
        <f ca="1">IF(J198="","",ROUNDDOWN(INDIRECT("aux_sheet_RRS!T"&amp;1+MATCH(aux_sheet_RRS!$E197,aux_sheet_RRS!$D$2:$D$202,0)),0))</f>
        <v/>
      </c>
      <c r="M198" s="106" t="str">
        <f ca="1">IF($B198="","",INDIRECT("aux_sheet_RRS!U"&amp;1+MATCH(aux_sheet_RRS!$E197,aux_sheet_RRS!$D$2:$D$202,0)))</f>
        <v/>
      </c>
      <c r="N198" s="89" t="str">
        <f ca="1">IF($B198="","",INDIRECT("aux_sheet_RRS!V"&amp;1+MATCH(aux_sheet_RRS!$E197,aux_sheet_RRS!$D$2:$D$202,0)))</f>
        <v/>
      </c>
      <c r="O198" s="90" t="str">
        <f ca="1">IF(M198="","",ROUNDDOWN(INDIRECT("aux_sheet_RRS!W"&amp;1+MATCH(aux_sheet_RRS!$E197,aux_sheet_RRS!$D$2:$D$202,0)),0))</f>
        <v/>
      </c>
      <c r="P198" s="106" t="str">
        <f ca="1">IF($B198="","",INDIRECT("aux_sheet_RRS!X"&amp;1+MATCH(aux_sheet_RRS!$E197,aux_sheet_RRS!$D$2:$D$202,0)))</f>
        <v/>
      </c>
      <c r="Q198" s="89" t="str">
        <f ca="1">IF($B198="","",INDIRECT("aux_sheet_RRS!Y"&amp;1+MATCH(aux_sheet_RRS!$E197,aux_sheet_RRS!$D$2:$D$202,0)))</f>
        <v/>
      </c>
      <c r="R198" s="90" t="str">
        <f ca="1">IF(P198="","",INDIRECT("aux_sheet_RRS!Z"&amp;1+MATCH(aux_sheet_RRS!$E197,aux_sheet_RRS!$D$2:$D$202,0)))</f>
        <v/>
      </c>
      <c r="S198" s="106" t="str">
        <f ca="1">IF($B198="","",INDIRECT("aux_sheet_RRS!AA"&amp;1+MATCH(aux_sheet_RRS!$E197,aux_sheet_RRS!$D$2:$D$202,0)))</f>
        <v/>
      </c>
      <c r="T198" s="89" t="str">
        <f ca="1">IF($B198="","",INDIRECT("aux_sheet_RRS!AB"&amp;1+MATCH(aux_sheet_RRS!$E197,aux_sheet_RRS!$D$2:$D$202,0)))</f>
        <v/>
      </c>
      <c r="U198" s="90" t="str">
        <f ca="1">IF(S198="","",INDIRECT("aux_sheet_RRS!AC"&amp;1+MATCH(aux_sheet_RRS!$E197,aux_sheet_RRS!$D$2:$D$202,0)))</f>
        <v/>
      </c>
      <c r="V198" s="106" t="str">
        <f ca="1">IF($B198="","",INDIRECT("aux_sheet_RRS!AD"&amp;1+MATCH(aux_sheet_RRS!$E197,aux_sheet_RRS!$D$2:$D$202,0)))</f>
        <v/>
      </c>
      <c r="W198" s="89" t="str">
        <f ca="1">IF($B198="","",INDIRECT("aux_sheet_RRS!AE"&amp;1+MATCH(aux_sheet_RRS!$E197,aux_sheet_RRS!$D$2:$D$202,0)))</f>
        <v/>
      </c>
      <c r="X198" s="90" t="str">
        <f ca="1">IF(V198="","",INDIRECT("aux_sheet_RRS!AF"&amp;1+MATCH(aux_sheet_RRS!$E197,aux_sheet_RRS!$D$2:$D$202,0)))</f>
        <v/>
      </c>
      <c r="Y198" s="106" t="str">
        <f ca="1">IF($B198="","",INDIRECT("aux_sheet_RRS!AG"&amp;1+MATCH(aux_sheet_RRS!$E197,aux_sheet_RRS!$D$2:$D$202,0)))</f>
        <v/>
      </c>
      <c r="Z198" s="89" t="str">
        <f ca="1">IF($B198="","",INDIRECT("aux_sheet_RRS!AH"&amp;1+MATCH(aux_sheet_RRS!$E197,aux_sheet_RRS!$D$2:$D$202,0)))</f>
        <v/>
      </c>
      <c r="AA198" s="90" t="str">
        <f ca="1">IF(Y198="","",INDIRECT("aux_sheet_RRS!AI"&amp;1+MATCH(aux_sheet_RRS!$E197,aux_sheet_RRS!$D$2:$D$202,0)))</f>
        <v/>
      </c>
      <c r="AB198" s="88" t="str">
        <f ca="1">IF($B198="","",INDIRECT("aux_sheet_RRS!AJ"&amp;1+MATCH(aux_sheet_RRS!$E197,aux_sheet_RRS!$D$2:$D$202,0)))</f>
        <v/>
      </c>
      <c r="AC198" s="89" t="str">
        <f ca="1">IF($B198="","",INDIRECT("aux_sheet_RRS!AK"&amp;1+MATCH(aux_sheet_RRS!$E197,aux_sheet_RRS!$D$2:$D$202,0)))</f>
        <v/>
      </c>
      <c r="AD198" s="90" t="str">
        <f ca="1">IF(AB198="","",INDIRECT("aux_sheet_RRS!AL"&amp;1+MATCH(aux_sheet_RRS!$E197,aux_sheet_RRS!$D$2:$D$202,0)))</f>
        <v/>
      </c>
      <c r="AE198" s="88" t="str">
        <f ca="1">IF($B198="","",INDIRECT("aux_sheet_RRS!AM"&amp;1+MATCH(aux_sheet_RRS!$E197,aux_sheet_RRS!$D$2:$D$202,0)))</f>
        <v/>
      </c>
      <c r="AF198" s="89" t="str">
        <f ca="1">IF($B198="","",INDIRECT("aux_sheet_RRS!AN"&amp;1+MATCH(aux_sheet_RRS!$E197,aux_sheet_RRS!$D$2:$D$202,0)))</f>
        <v/>
      </c>
      <c r="AG198" s="90" t="str">
        <f ca="1">IF(AE198="","",INDIRECT("aux_sheet_RRS!AO"&amp;1+MATCH(aux_sheet_RRS!$E197,aux_sheet_RRS!$D$2:$D$202,0)))</f>
        <v/>
      </c>
      <c r="AH198" s="14" t="str">
        <f t="shared" ca="1" si="9"/>
        <v/>
      </c>
      <c r="AI198" t="str">
        <f t="shared" ca="1" si="10"/>
        <v/>
      </c>
      <c r="AJ198" t="str">
        <f t="shared" ca="1" si="11"/>
        <v/>
      </c>
    </row>
    <row r="199" spans="1:36" x14ac:dyDescent="0.35">
      <c r="A199" s="2" t="str">
        <f>IF(ISBLANK(Input!A198),"",ROUNDDOWN(aux_sheet_RRS!E198,0))</f>
        <v/>
      </c>
      <c r="B199" s="2" t="str">
        <f ca="1">IF(ISBLANK(Input!A198),"",INDIRECT("Input!A"&amp;1+MATCH(aux_sheet_RRS!$E198,aux_sheet_RRS!$D$2:$D$202,0)))</f>
        <v/>
      </c>
      <c r="C199" s="2" t="str">
        <f ca="1">IF(ISBLANK(Input!B198),"",INDIRECT("Input!B"&amp;1+MATCH(aux_sheet_RRS!$E198,aux_sheet_RRS!$D$2:$D$202,0)))</f>
        <v/>
      </c>
      <c r="D199" s="2" t="str">
        <f ca="1">IF(ISBLANK(Input!C198),"",INDIRECT("Input!C"&amp;1+MATCH(aux_sheet_RRS!$E198,aux_sheet_RRS!$D$2:$D$202,0)))</f>
        <v/>
      </c>
      <c r="E199" s="2" t="str">
        <f ca="1">IF(ISBLANK(Input!D198),"",INDIRECT("Input!D"&amp;1+MATCH(aux_sheet_RRS!$E198,aux_sheet_RRS!$D$2:$D$202,0)))</f>
        <v/>
      </c>
      <c r="F199" s="11" t="str">
        <f ca="1">INDIRECT("Input!H"&amp;1+MATCH(aux_sheet_RRS!$E198,aux_sheet_RRS!$D$2:$D$202,0))</f>
        <v xml:space="preserve"> </v>
      </c>
      <c r="G199" s="88" t="str">
        <f ca="1">IF($B199="","",INDIRECT("aux_sheet_RRS!O"&amp;1+MATCH(aux_sheet_RRS!$E198,aux_sheet_RRS!$D$2:$D$202,0)))</f>
        <v/>
      </c>
      <c r="H199" s="89" t="str">
        <f ca="1">IF($B199="","",INDIRECT("aux_sheet_RRS!P"&amp;1+MATCH(aux_sheet_RRS!$E198,aux_sheet_RRS!$D$2:$D$202,0)))</f>
        <v/>
      </c>
      <c r="I199" s="90" t="str">
        <f ca="1">IF(G199="","",ROUNDDOWN(INDIRECT("aux_sheet_RRS!Q"&amp;1+MATCH(aux_sheet_RRS!$E198,aux_sheet_RRS!$D$2:$D$202,0)),0))</f>
        <v/>
      </c>
      <c r="J199" s="106" t="str">
        <f ca="1">IF($B199="","",INDIRECT("aux_sheet_RRS!R"&amp;1+MATCH(aux_sheet_RRS!$E198,aux_sheet_RRS!$D$2:$D$202,0)))</f>
        <v/>
      </c>
      <c r="K199" s="89" t="str">
        <f ca="1">IF($B199="","",INDIRECT("aux_sheet_RRS!S"&amp;1+MATCH(aux_sheet_RRS!$E198,aux_sheet_RRS!$D$2:$D$202,0)))</f>
        <v/>
      </c>
      <c r="L199" s="90" t="str">
        <f ca="1">IF(J199="","",ROUNDDOWN(INDIRECT("aux_sheet_RRS!T"&amp;1+MATCH(aux_sheet_RRS!$E198,aux_sheet_RRS!$D$2:$D$202,0)),0))</f>
        <v/>
      </c>
      <c r="M199" s="106" t="str">
        <f ca="1">IF($B199="","",INDIRECT("aux_sheet_RRS!U"&amp;1+MATCH(aux_sheet_RRS!$E198,aux_sheet_RRS!$D$2:$D$202,0)))</f>
        <v/>
      </c>
      <c r="N199" s="89" t="str">
        <f ca="1">IF($B199="","",INDIRECT("aux_sheet_RRS!V"&amp;1+MATCH(aux_sheet_RRS!$E198,aux_sheet_RRS!$D$2:$D$202,0)))</f>
        <v/>
      </c>
      <c r="O199" s="90" t="str">
        <f ca="1">IF(M199="","",ROUNDDOWN(INDIRECT("aux_sheet_RRS!W"&amp;1+MATCH(aux_sheet_RRS!$E198,aux_sheet_RRS!$D$2:$D$202,0)),0))</f>
        <v/>
      </c>
      <c r="P199" s="106" t="str">
        <f ca="1">IF($B199="","",INDIRECT("aux_sheet_RRS!X"&amp;1+MATCH(aux_sheet_RRS!$E198,aux_sheet_RRS!$D$2:$D$202,0)))</f>
        <v/>
      </c>
      <c r="Q199" s="89" t="str">
        <f ca="1">IF($B199="","",INDIRECT("aux_sheet_RRS!Y"&amp;1+MATCH(aux_sheet_RRS!$E198,aux_sheet_RRS!$D$2:$D$202,0)))</f>
        <v/>
      </c>
      <c r="R199" s="90" t="str">
        <f ca="1">IF(P199="","",INDIRECT("aux_sheet_RRS!Z"&amp;1+MATCH(aux_sheet_RRS!$E198,aux_sheet_RRS!$D$2:$D$202,0)))</f>
        <v/>
      </c>
      <c r="S199" s="106" t="str">
        <f ca="1">IF($B199="","",INDIRECT("aux_sheet_RRS!AA"&amp;1+MATCH(aux_sheet_RRS!$E198,aux_sheet_RRS!$D$2:$D$202,0)))</f>
        <v/>
      </c>
      <c r="T199" s="89" t="str">
        <f ca="1">IF($B199="","",INDIRECT("aux_sheet_RRS!AB"&amp;1+MATCH(aux_sheet_RRS!$E198,aux_sheet_RRS!$D$2:$D$202,0)))</f>
        <v/>
      </c>
      <c r="U199" s="90" t="str">
        <f ca="1">IF(S199="","",INDIRECT("aux_sheet_RRS!AC"&amp;1+MATCH(aux_sheet_RRS!$E198,aux_sheet_RRS!$D$2:$D$202,0)))</f>
        <v/>
      </c>
      <c r="V199" s="106" t="str">
        <f ca="1">IF($B199="","",INDIRECT("aux_sheet_RRS!AD"&amp;1+MATCH(aux_sheet_RRS!$E198,aux_sheet_RRS!$D$2:$D$202,0)))</f>
        <v/>
      </c>
      <c r="W199" s="89" t="str">
        <f ca="1">IF($B199="","",INDIRECT("aux_sheet_RRS!AE"&amp;1+MATCH(aux_sheet_RRS!$E198,aux_sheet_RRS!$D$2:$D$202,0)))</f>
        <v/>
      </c>
      <c r="X199" s="90" t="str">
        <f ca="1">IF(V199="","",INDIRECT("aux_sheet_RRS!AF"&amp;1+MATCH(aux_sheet_RRS!$E198,aux_sheet_RRS!$D$2:$D$202,0)))</f>
        <v/>
      </c>
      <c r="Y199" s="106" t="str">
        <f ca="1">IF($B199="","",INDIRECT("aux_sheet_RRS!AG"&amp;1+MATCH(aux_sheet_RRS!$E198,aux_sheet_RRS!$D$2:$D$202,0)))</f>
        <v/>
      </c>
      <c r="Z199" s="89" t="str">
        <f ca="1">IF($B199="","",INDIRECT("aux_sheet_RRS!AH"&amp;1+MATCH(aux_sheet_RRS!$E198,aux_sheet_RRS!$D$2:$D$202,0)))</f>
        <v/>
      </c>
      <c r="AA199" s="90" t="str">
        <f ca="1">IF(Y199="","",INDIRECT("aux_sheet_RRS!AI"&amp;1+MATCH(aux_sheet_RRS!$E198,aux_sheet_RRS!$D$2:$D$202,0)))</f>
        <v/>
      </c>
      <c r="AB199" s="88" t="str">
        <f ca="1">IF($B199="","",INDIRECT("aux_sheet_RRS!AJ"&amp;1+MATCH(aux_sheet_RRS!$E198,aux_sheet_RRS!$D$2:$D$202,0)))</f>
        <v/>
      </c>
      <c r="AC199" s="89" t="str">
        <f ca="1">IF($B199="","",INDIRECT("aux_sheet_RRS!AK"&amp;1+MATCH(aux_sheet_RRS!$E198,aux_sheet_RRS!$D$2:$D$202,0)))</f>
        <v/>
      </c>
      <c r="AD199" s="90" t="str">
        <f ca="1">IF(AB199="","",INDIRECT("aux_sheet_RRS!AL"&amp;1+MATCH(aux_sheet_RRS!$E198,aux_sheet_RRS!$D$2:$D$202,0)))</f>
        <v/>
      </c>
      <c r="AE199" s="88" t="str">
        <f ca="1">IF($B199="","",INDIRECT("aux_sheet_RRS!AM"&amp;1+MATCH(aux_sheet_RRS!$E198,aux_sheet_RRS!$D$2:$D$202,0)))</f>
        <v/>
      </c>
      <c r="AF199" s="89" t="str">
        <f ca="1">IF($B199="","",INDIRECT("aux_sheet_RRS!AN"&amp;1+MATCH(aux_sheet_RRS!$E198,aux_sheet_RRS!$D$2:$D$202,0)))</f>
        <v/>
      </c>
      <c r="AG199" s="90" t="str">
        <f ca="1">IF(AE199="","",INDIRECT("aux_sheet_RRS!AO"&amp;1+MATCH(aux_sheet_RRS!$E198,aux_sheet_RRS!$D$2:$D$202,0)))</f>
        <v/>
      </c>
      <c r="AH199" s="14" t="str">
        <f t="shared" ca="1" si="9"/>
        <v/>
      </c>
      <c r="AI199" t="str">
        <f t="shared" ca="1" si="10"/>
        <v/>
      </c>
      <c r="AJ199" t="str">
        <f t="shared" ca="1" si="11"/>
        <v/>
      </c>
    </row>
    <row r="200" spans="1:36" x14ac:dyDescent="0.35">
      <c r="A200" s="2" t="str">
        <f>IF(ISBLANK(Input!A199),"",ROUNDDOWN(aux_sheet_RRS!E199,0))</f>
        <v/>
      </c>
      <c r="B200" s="2" t="str">
        <f ca="1">IF(ISBLANK(Input!A199),"",INDIRECT("Input!A"&amp;1+MATCH(aux_sheet_RRS!$E199,aux_sheet_RRS!$D$2:$D$202,0)))</f>
        <v/>
      </c>
      <c r="C200" s="2" t="str">
        <f ca="1">IF(ISBLANK(Input!B199),"",INDIRECT("Input!B"&amp;1+MATCH(aux_sheet_RRS!$E199,aux_sheet_RRS!$D$2:$D$202,0)))</f>
        <v/>
      </c>
      <c r="D200" s="2" t="str">
        <f ca="1">IF(ISBLANK(Input!C199),"",INDIRECT("Input!C"&amp;1+MATCH(aux_sheet_RRS!$E199,aux_sheet_RRS!$D$2:$D$202,0)))</f>
        <v/>
      </c>
      <c r="E200" s="2" t="str">
        <f ca="1">IF(ISBLANK(Input!D199),"",INDIRECT("Input!D"&amp;1+MATCH(aux_sheet_RRS!$E199,aux_sheet_RRS!$D$2:$D$202,0)))</f>
        <v/>
      </c>
      <c r="F200" s="11" t="str">
        <f ca="1">INDIRECT("Input!H"&amp;1+MATCH(aux_sheet_RRS!$E199,aux_sheet_RRS!$D$2:$D$202,0))</f>
        <v xml:space="preserve"> </v>
      </c>
      <c r="G200" s="88" t="str">
        <f ca="1">IF($B200="","",INDIRECT("aux_sheet_RRS!O"&amp;1+MATCH(aux_sheet_RRS!$E199,aux_sheet_RRS!$D$2:$D$202,0)))</f>
        <v/>
      </c>
      <c r="H200" s="89" t="str">
        <f ca="1">IF($B200="","",INDIRECT("aux_sheet_RRS!P"&amp;1+MATCH(aux_sheet_RRS!$E199,aux_sheet_RRS!$D$2:$D$202,0)))</f>
        <v/>
      </c>
      <c r="I200" s="90" t="str">
        <f ca="1">IF(G200="","",ROUNDDOWN(INDIRECT("aux_sheet_RRS!Q"&amp;1+MATCH(aux_sheet_RRS!$E199,aux_sheet_RRS!$D$2:$D$202,0)),0))</f>
        <v/>
      </c>
      <c r="J200" s="106" t="str">
        <f ca="1">IF($B200="","",INDIRECT("aux_sheet_RRS!R"&amp;1+MATCH(aux_sheet_RRS!$E199,aux_sheet_RRS!$D$2:$D$202,0)))</f>
        <v/>
      </c>
      <c r="K200" s="89" t="str">
        <f ca="1">IF($B200="","",INDIRECT("aux_sheet_RRS!S"&amp;1+MATCH(aux_sheet_RRS!$E199,aux_sheet_RRS!$D$2:$D$202,0)))</f>
        <v/>
      </c>
      <c r="L200" s="90" t="str">
        <f ca="1">IF(J200="","",ROUNDDOWN(INDIRECT("aux_sheet_RRS!T"&amp;1+MATCH(aux_sheet_RRS!$E199,aux_sheet_RRS!$D$2:$D$202,0)),0))</f>
        <v/>
      </c>
      <c r="M200" s="106" t="str">
        <f ca="1">IF($B200="","",INDIRECT("aux_sheet_RRS!U"&amp;1+MATCH(aux_sheet_RRS!$E199,aux_sheet_RRS!$D$2:$D$202,0)))</f>
        <v/>
      </c>
      <c r="N200" s="89" t="str">
        <f ca="1">IF($B200="","",INDIRECT("aux_sheet_RRS!V"&amp;1+MATCH(aux_sheet_RRS!$E199,aux_sheet_RRS!$D$2:$D$202,0)))</f>
        <v/>
      </c>
      <c r="O200" s="90" t="str">
        <f ca="1">IF(M200="","",ROUNDDOWN(INDIRECT("aux_sheet_RRS!W"&amp;1+MATCH(aux_sheet_RRS!$E199,aux_sheet_RRS!$D$2:$D$202,0)),0))</f>
        <v/>
      </c>
      <c r="P200" s="106" t="str">
        <f ca="1">IF($B200="","",INDIRECT("aux_sheet_RRS!X"&amp;1+MATCH(aux_sheet_RRS!$E199,aux_sheet_RRS!$D$2:$D$202,0)))</f>
        <v/>
      </c>
      <c r="Q200" s="89" t="str">
        <f ca="1">IF($B200="","",INDIRECT("aux_sheet_RRS!Y"&amp;1+MATCH(aux_sheet_RRS!$E199,aux_sheet_RRS!$D$2:$D$202,0)))</f>
        <v/>
      </c>
      <c r="R200" s="90" t="str">
        <f ca="1">IF(P200="","",INDIRECT("aux_sheet_RRS!Z"&amp;1+MATCH(aux_sheet_RRS!$E199,aux_sheet_RRS!$D$2:$D$202,0)))</f>
        <v/>
      </c>
      <c r="S200" s="106" t="str">
        <f ca="1">IF($B200="","",INDIRECT("aux_sheet_RRS!AA"&amp;1+MATCH(aux_sheet_RRS!$E199,aux_sheet_RRS!$D$2:$D$202,0)))</f>
        <v/>
      </c>
      <c r="T200" s="89" t="str">
        <f ca="1">IF($B200="","",INDIRECT("aux_sheet_RRS!AB"&amp;1+MATCH(aux_sheet_RRS!$E199,aux_sheet_RRS!$D$2:$D$202,0)))</f>
        <v/>
      </c>
      <c r="U200" s="90" t="str">
        <f ca="1">IF(S200="","",INDIRECT("aux_sheet_RRS!AC"&amp;1+MATCH(aux_sheet_RRS!$E199,aux_sheet_RRS!$D$2:$D$202,0)))</f>
        <v/>
      </c>
      <c r="V200" s="106" t="str">
        <f ca="1">IF($B200="","",INDIRECT("aux_sheet_RRS!AD"&amp;1+MATCH(aux_sheet_RRS!$E199,aux_sheet_RRS!$D$2:$D$202,0)))</f>
        <v/>
      </c>
      <c r="W200" s="89" t="str">
        <f ca="1">IF($B200="","",INDIRECT("aux_sheet_RRS!AE"&amp;1+MATCH(aux_sheet_RRS!$E199,aux_sheet_RRS!$D$2:$D$202,0)))</f>
        <v/>
      </c>
      <c r="X200" s="90" t="str">
        <f ca="1">IF(V200="","",INDIRECT("aux_sheet_RRS!AF"&amp;1+MATCH(aux_sheet_RRS!$E199,aux_sheet_RRS!$D$2:$D$202,0)))</f>
        <v/>
      </c>
      <c r="Y200" s="106" t="str">
        <f ca="1">IF($B200="","",INDIRECT("aux_sheet_RRS!AG"&amp;1+MATCH(aux_sheet_RRS!$E199,aux_sheet_RRS!$D$2:$D$202,0)))</f>
        <v/>
      </c>
      <c r="Z200" s="89" t="str">
        <f ca="1">IF($B200="","",INDIRECT("aux_sheet_RRS!AH"&amp;1+MATCH(aux_sheet_RRS!$E199,aux_sheet_RRS!$D$2:$D$202,0)))</f>
        <v/>
      </c>
      <c r="AA200" s="90" t="str">
        <f ca="1">IF(Y200="","",INDIRECT("aux_sheet_RRS!AI"&amp;1+MATCH(aux_sheet_RRS!$E199,aux_sheet_RRS!$D$2:$D$202,0)))</f>
        <v/>
      </c>
      <c r="AB200" s="88" t="str">
        <f ca="1">IF($B200="","",INDIRECT("aux_sheet_RRS!AJ"&amp;1+MATCH(aux_sheet_RRS!$E199,aux_sheet_RRS!$D$2:$D$202,0)))</f>
        <v/>
      </c>
      <c r="AC200" s="89" t="str">
        <f ca="1">IF($B200="","",INDIRECT("aux_sheet_RRS!AK"&amp;1+MATCH(aux_sheet_RRS!$E199,aux_sheet_RRS!$D$2:$D$202,0)))</f>
        <v/>
      </c>
      <c r="AD200" s="90" t="str">
        <f ca="1">IF(AB200="","",INDIRECT("aux_sheet_RRS!AL"&amp;1+MATCH(aux_sheet_RRS!$E199,aux_sheet_RRS!$D$2:$D$202,0)))</f>
        <v/>
      </c>
      <c r="AE200" s="88" t="str">
        <f ca="1">IF($B200="","",INDIRECT("aux_sheet_RRS!AM"&amp;1+MATCH(aux_sheet_RRS!$E199,aux_sheet_RRS!$D$2:$D$202,0)))</f>
        <v/>
      </c>
      <c r="AF200" s="89" t="str">
        <f ca="1">IF($B200="","",INDIRECT("aux_sheet_RRS!AN"&amp;1+MATCH(aux_sheet_RRS!$E199,aux_sheet_RRS!$D$2:$D$202,0)))</f>
        <v/>
      </c>
      <c r="AG200" s="90" t="str">
        <f ca="1">IF(AE200="","",INDIRECT("aux_sheet_RRS!AO"&amp;1+MATCH(aux_sheet_RRS!$E199,aux_sheet_RRS!$D$2:$D$202,0)))</f>
        <v/>
      </c>
      <c r="AH200" s="14" t="str">
        <f t="shared" ca="1" si="9"/>
        <v/>
      </c>
      <c r="AI200" t="str">
        <f t="shared" ca="1" si="10"/>
        <v/>
      </c>
      <c r="AJ200" t="str">
        <f t="shared" ca="1" si="11"/>
        <v/>
      </c>
    </row>
    <row r="201" spans="1:36" x14ac:dyDescent="0.35">
      <c r="A201" s="2" t="str">
        <f>IF(ISBLANK(Input!A200),"",ROUNDDOWN(aux_sheet_RRS!E200,0))</f>
        <v/>
      </c>
      <c r="B201" s="2" t="str">
        <f ca="1">IF(ISBLANK(Input!A200),"",INDIRECT("Input!A"&amp;1+MATCH(aux_sheet_RRS!$E200,aux_sheet_RRS!$D$2:$D$202,0)))</f>
        <v/>
      </c>
      <c r="C201" s="2" t="str">
        <f ca="1">IF(ISBLANK(Input!B200),"",INDIRECT("Input!B"&amp;1+MATCH(aux_sheet_RRS!$E200,aux_sheet_RRS!$D$2:$D$202,0)))</f>
        <v/>
      </c>
      <c r="D201" s="2" t="str">
        <f ca="1">IF(ISBLANK(Input!C200),"",INDIRECT("Input!C"&amp;1+MATCH(aux_sheet_RRS!$E200,aux_sheet_RRS!$D$2:$D$202,0)))</f>
        <v/>
      </c>
      <c r="E201" s="2" t="str">
        <f ca="1">IF(ISBLANK(Input!D200),"",INDIRECT("Input!D"&amp;1+MATCH(aux_sheet_RRS!$E200,aux_sheet_RRS!$D$2:$D$202,0)))</f>
        <v/>
      </c>
      <c r="F201" s="11" t="str">
        <f ca="1">INDIRECT("Input!H"&amp;1+MATCH(aux_sheet_RRS!$E200,aux_sheet_RRS!$D$2:$D$202,0))</f>
        <v xml:space="preserve"> </v>
      </c>
      <c r="G201" s="88" t="str">
        <f ca="1">IF($B201="","",INDIRECT("aux_sheet_RRS!O"&amp;1+MATCH(aux_sheet_RRS!$E200,aux_sheet_RRS!$D$2:$D$202,0)))</f>
        <v/>
      </c>
      <c r="H201" s="89" t="str">
        <f ca="1">IF($B201="","",INDIRECT("aux_sheet_RRS!P"&amp;1+MATCH(aux_sheet_RRS!$E200,aux_sheet_RRS!$D$2:$D$202,0)))</f>
        <v/>
      </c>
      <c r="I201" s="90" t="str">
        <f ca="1">IF(G201="","",ROUNDDOWN(INDIRECT("aux_sheet_RRS!Q"&amp;1+MATCH(aux_sheet_RRS!$E200,aux_sheet_RRS!$D$2:$D$202,0)),0))</f>
        <v/>
      </c>
      <c r="J201" s="106" t="str">
        <f ca="1">IF($B201="","",INDIRECT("aux_sheet_RRS!R"&amp;1+MATCH(aux_sheet_RRS!$E200,aux_sheet_RRS!$D$2:$D$202,0)))</f>
        <v/>
      </c>
      <c r="K201" s="89" t="str">
        <f ca="1">IF($B201="","",INDIRECT("aux_sheet_RRS!S"&amp;1+MATCH(aux_sheet_RRS!$E200,aux_sheet_RRS!$D$2:$D$202,0)))</f>
        <v/>
      </c>
      <c r="L201" s="90" t="str">
        <f ca="1">IF(J201="","",ROUNDDOWN(INDIRECT("aux_sheet_RRS!T"&amp;1+MATCH(aux_sheet_RRS!$E200,aux_sheet_RRS!$D$2:$D$202,0)),0))</f>
        <v/>
      </c>
      <c r="M201" s="106" t="str">
        <f ca="1">IF($B201="","",INDIRECT("aux_sheet_RRS!U"&amp;1+MATCH(aux_sheet_RRS!$E200,aux_sheet_RRS!$D$2:$D$202,0)))</f>
        <v/>
      </c>
      <c r="N201" s="89" t="str">
        <f ca="1">IF($B201="","",INDIRECT("aux_sheet_RRS!V"&amp;1+MATCH(aux_sheet_RRS!$E200,aux_sheet_RRS!$D$2:$D$202,0)))</f>
        <v/>
      </c>
      <c r="O201" s="90" t="str">
        <f ca="1">IF(M201="","",ROUNDDOWN(INDIRECT("aux_sheet_RRS!W"&amp;1+MATCH(aux_sheet_RRS!$E200,aux_sheet_RRS!$D$2:$D$202,0)),0))</f>
        <v/>
      </c>
      <c r="P201" s="106" t="str">
        <f ca="1">IF($B201="","",INDIRECT("aux_sheet_RRS!X"&amp;1+MATCH(aux_sheet_RRS!$E200,aux_sheet_RRS!$D$2:$D$202,0)))</f>
        <v/>
      </c>
      <c r="Q201" s="89" t="str">
        <f ca="1">IF($B201="","",INDIRECT("aux_sheet_RRS!Y"&amp;1+MATCH(aux_sheet_RRS!$E200,aux_sheet_RRS!$D$2:$D$202,0)))</f>
        <v/>
      </c>
      <c r="R201" s="90" t="str">
        <f ca="1">IF(P201="","",INDIRECT("aux_sheet_RRS!Z"&amp;1+MATCH(aux_sheet_RRS!$E200,aux_sheet_RRS!$D$2:$D$202,0)))</f>
        <v/>
      </c>
      <c r="S201" s="106" t="str">
        <f ca="1">IF($B201="","",INDIRECT("aux_sheet_RRS!AA"&amp;1+MATCH(aux_sheet_RRS!$E200,aux_sheet_RRS!$D$2:$D$202,0)))</f>
        <v/>
      </c>
      <c r="T201" s="89" t="str">
        <f ca="1">IF($B201="","",INDIRECT("aux_sheet_RRS!AB"&amp;1+MATCH(aux_sheet_RRS!$E200,aux_sheet_RRS!$D$2:$D$202,0)))</f>
        <v/>
      </c>
      <c r="U201" s="90" t="str">
        <f ca="1">IF(S201="","",INDIRECT("aux_sheet_RRS!AC"&amp;1+MATCH(aux_sheet_RRS!$E200,aux_sheet_RRS!$D$2:$D$202,0)))</f>
        <v/>
      </c>
      <c r="V201" s="106" t="str">
        <f ca="1">IF($B201="","",INDIRECT("aux_sheet_RRS!AD"&amp;1+MATCH(aux_sheet_RRS!$E200,aux_sheet_RRS!$D$2:$D$202,0)))</f>
        <v/>
      </c>
      <c r="W201" s="89" t="str">
        <f ca="1">IF($B201="","",INDIRECT("aux_sheet_RRS!AE"&amp;1+MATCH(aux_sheet_RRS!$E200,aux_sheet_RRS!$D$2:$D$202,0)))</f>
        <v/>
      </c>
      <c r="X201" s="90" t="str">
        <f ca="1">IF(V201="","",INDIRECT("aux_sheet_RRS!AF"&amp;1+MATCH(aux_sheet_RRS!$E200,aux_sheet_RRS!$D$2:$D$202,0)))</f>
        <v/>
      </c>
      <c r="Y201" s="106" t="str">
        <f ca="1">IF($B201="","",INDIRECT("aux_sheet_RRS!AG"&amp;1+MATCH(aux_sheet_RRS!$E200,aux_sheet_RRS!$D$2:$D$202,0)))</f>
        <v/>
      </c>
      <c r="Z201" s="89" t="str">
        <f ca="1">IF($B201="","",INDIRECT("aux_sheet_RRS!AH"&amp;1+MATCH(aux_sheet_RRS!$E200,aux_sheet_RRS!$D$2:$D$202,0)))</f>
        <v/>
      </c>
      <c r="AA201" s="90" t="str">
        <f ca="1">IF(Y201="","",INDIRECT("aux_sheet_RRS!AI"&amp;1+MATCH(aux_sheet_RRS!$E200,aux_sheet_RRS!$D$2:$D$202,0)))</f>
        <v/>
      </c>
      <c r="AB201" s="88" t="str">
        <f ca="1">IF($B201="","",INDIRECT("aux_sheet_RRS!AJ"&amp;1+MATCH(aux_sheet_RRS!$E200,aux_sheet_RRS!$D$2:$D$202,0)))</f>
        <v/>
      </c>
      <c r="AC201" s="89" t="str">
        <f ca="1">IF($B201="","",INDIRECT("aux_sheet_RRS!AK"&amp;1+MATCH(aux_sheet_RRS!$E200,aux_sheet_RRS!$D$2:$D$202,0)))</f>
        <v/>
      </c>
      <c r="AD201" s="90" t="str">
        <f ca="1">IF(AB201="","",INDIRECT("aux_sheet_RRS!AL"&amp;1+MATCH(aux_sheet_RRS!$E200,aux_sheet_RRS!$D$2:$D$202,0)))</f>
        <v/>
      </c>
      <c r="AE201" s="88" t="str">
        <f ca="1">IF($B201="","",INDIRECT("aux_sheet_RRS!AM"&amp;1+MATCH(aux_sheet_RRS!$E200,aux_sheet_RRS!$D$2:$D$202,0)))</f>
        <v/>
      </c>
      <c r="AF201" s="89" t="str">
        <f ca="1">IF($B201="","",INDIRECT("aux_sheet_RRS!AN"&amp;1+MATCH(aux_sheet_RRS!$E200,aux_sheet_RRS!$D$2:$D$202,0)))</f>
        <v/>
      </c>
      <c r="AG201" s="90" t="str">
        <f ca="1">IF(AE201="","",INDIRECT("aux_sheet_RRS!AO"&amp;1+MATCH(aux_sheet_RRS!$E200,aux_sheet_RRS!$D$2:$D$202,0)))</f>
        <v/>
      </c>
      <c r="AH201" s="14" t="str">
        <f t="shared" ca="1" si="9"/>
        <v/>
      </c>
      <c r="AI201" t="str">
        <f t="shared" ca="1" si="10"/>
        <v/>
      </c>
      <c r="AJ201" t="str">
        <f t="shared" ca="1" si="11"/>
        <v/>
      </c>
    </row>
    <row r="202" spans="1:36" x14ac:dyDescent="0.35">
      <c r="A202" s="2" t="str">
        <f>IF(ISBLANK(Input!A201),"",ROUNDDOWN(aux_sheet_RRS!E201,0))</f>
        <v/>
      </c>
      <c r="B202" s="2" t="str">
        <f ca="1">IF(ISBLANK(Input!A201),"",INDIRECT("Input!A"&amp;1+MATCH(aux_sheet_RRS!$E201,aux_sheet_RRS!$D$2:$D$202,0)))</f>
        <v/>
      </c>
      <c r="C202" s="2" t="str">
        <f ca="1">IF(ISBLANK(Input!B201),"",INDIRECT("Input!B"&amp;1+MATCH(aux_sheet_RRS!$E201,aux_sheet_RRS!$D$2:$D$202,0)))</f>
        <v/>
      </c>
      <c r="D202" s="2" t="str">
        <f ca="1">IF(ISBLANK(Input!C201),"",INDIRECT("Input!C"&amp;1+MATCH(aux_sheet_RRS!$E201,aux_sheet_RRS!$D$2:$D$202,0)))</f>
        <v/>
      </c>
      <c r="E202" s="2" t="str">
        <f ca="1">IF(ISBLANK(Input!D201),"",INDIRECT("Input!D"&amp;1+MATCH(aux_sheet_RRS!$E201,aux_sheet_RRS!$D$2:$D$202,0)))</f>
        <v/>
      </c>
      <c r="F202" s="11" t="str">
        <f ca="1">INDIRECT("Input!H"&amp;1+MATCH(aux_sheet_RRS!$E201,aux_sheet_RRS!$D$2:$D$202,0))</f>
        <v xml:space="preserve"> </v>
      </c>
      <c r="G202" s="88" t="str">
        <f ca="1">IF($B202="","",INDIRECT("aux_sheet_RRS!O"&amp;1+MATCH(aux_sheet_RRS!$E201,aux_sheet_RRS!$D$2:$D$202,0)))</f>
        <v/>
      </c>
      <c r="H202" s="89" t="str">
        <f ca="1">IF($B202="","",INDIRECT("aux_sheet_RRS!P"&amp;1+MATCH(aux_sheet_RRS!$E201,aux_sheet_RRS!$D$2:$D$202,0)))</f>
        <v/>
      </c>
      <c r="I202" s="90" t="str">
        <f ca="1">IF(G202="","",ROUNDDOWN(INDIRECT("aux_sheet_RRS!Q"&amp;1+MATCH(aux_sheet_RRS!$E201,aux_sheet_RRS!$D$2:$D$202,0)),0))</f>
        <v/>
      </c>
      <c r="J202" s="106" t="str">
        <f ca="1">IF($B202="","",INDIRECT("aux_sheet_RRS!R"&amp;1+MATCH(aux_sheet_RRS!$E201,aux_sheet_RRS!$D$2:$D$202,0)))</f>
        <v/>
      </c>
      <c r="K202" s="89" t="str">
        <f ca="1">IF($B202="","",INDIRECT("aux_sheet_RRS!S"&amp;1+MATCH(aux_sheet_RRS!$E201,aux_sheet_RRS!$D$2:$D$202,0)))</f>
        <v/>
      </c>
      <c r="L202" s="90" t="str">
        <f ca="1">IF(J202="","",ROUNDDOWN(INDIRECT("aux_sheet_RRS!T"&amp;1+MATCH(aux_sheet_RRS!$E201,aux_sheet_RRS!$D$2:$D$202,0)),0))</f>
        <v/>
      </c>
      <c r="M202" s="106" t="str">
        <f ca="1">IF($B202="","",INDIRECT("aux_sheet_RRS!U"&amp;1+MATCH(aux_sheet_RRS!$E201,aux_sheet_RRS!$D$2:$D$202,0)))</f>
        <v/>
      </c>
      <c r="N202" s="89" t="str">
        <f ca="1">IF($B202="","",INDIRECT("aux_sheet_RRS!V"&amp;1+MATCH(aux_sheet_RRS!$E201,aux_sheet_RRS!$D$2:$D$202,0)))</f>
        <v/>
      </c>
      <c r="O202" s="90" t="str">
        <f ca="1">IF(M202="","",ROUNDDOWN(INDIRECT("aux_sheet_RRS!W"&amp;1+MATCH(aux_sheet_RRS!$E201,aux_sheet_RRS!$D$2:$D$202,0)),0))</f>
        <v/>
      </c>
      <c r="P202" s="106" t="str">
        <f ca="1">IF($B202="","",INDIRECT("aux_sheet_RRS!X"&amp;1+MATCH(aux_sheet_RRS!$E201,aux_sheet_RRS!$D$2:$D$202,0)))</f>
        <v/>
      </c>
      <c r="Q202" s="89" t="str">
        <f ca="1">IF($B202="","",INDIRECT("aux_sheet_RRS!Y"&amp;1+MATCH(aux_sheet_RRS!$E201,aux_sheet_RRS!$D$2:$D$202,0)))</f>
        <v/>
      </c>
      <c r="R202" s="90" t="str">
        <f ca="1">IF(P202="","",INDIRECT("aux_sheet_RRS!Z"&amp;1+MATCH(aux_sheet_RRS!$E201,aux_sheet_RRS!$D$2:$D$202,0)))</f>
        <v/>
      </c>
      <c r="S202" s="106" t="str">
        <f ca="1">IF($B202="","",INDIRECT("aux_sheet_RRS!AA"&amp;1+MATCH(aux_sheet_RRS!$E201,aux_sheet_RRS!$D$2:$D$202,0)))</f>
        <v/>
      </c>
      <c r="T202" s="89" t="str">
        <f ca="1">IF($B202="","",INDIRECT("aux_sheet_RRS!AB"&amp;1+MATCH(aux_sheet_RRS!$E201,aux_sheet_RRS!$D$2:$D$202,0)))</f>
        <v/>
      </c>
      <c r="U202" s="90" t="str">
        <f ca="1">IF(S202="","",INDIRECT("aux_sheet_RRS!AC"&amp;1+MATCH(aux_sheet_RRS!$E201,aux_sheet_RRS!$D$2:$D$202,0)))</f>
        <v/>
      </c>
      <c r="V202" s="106" t="str">
        <f ca="1">IF($B202="","",INDIRECT("aux_sheet_RRS!AD"&amp;1+MATCH(aux_sheet_RRS!$E201,aux_sheet_RRS!$D$2:$D$202,0)))</f>
        <v/>
      </c>
      <c r="W202" s="89" t="str">
        <f ca="1">IF($B202="","",INDIRECT("aux_sheet_RRS!AE"&amp;1+MATCH(aux_sheet_RRS!$E201,aux_sheet_RRS!$D$2:$D$202,0)))</f>
        <v/>
      </c>
      <c r="X202" s="90" t="str">
        <f ca="1">IF(V202="","",INDIRECT("aux_sheet_RRS!AF"&amp;1+MATCH(aux_sheet_RRS!$E201,aux_sheet_RRS!$D$2:$D$202,0)))</f>
        <v/>
      </c>
      <c r="Y202" s="106" t="str">
        <f ca="1">IF($B202="","",INDIRECT("aux_sheet_RRS!AG"&amp;1+MATCH(aux_sheet_RRS!$E201,aux_sheet_RRS!$D$2:$D$202,0)))</f>
        <v/>
      </c>
      <c r="Z202" s="89" t="str">
        <f ca="1">IF($B202="","",INDIRECT("aux_sheet_RRS!AH"&amp;1+MATCH(aux_sheet_RRS!$E201,aux_sheet_RRS!$D$2:$D$202,0)))</f>
        <v/>
      </c>
      <c r="AA202" s="90" t="str">
        <f ca="1">IF(Y202="","",INDIRECT("aux_sheet_RRS!AI"&amp;1+MATCH(aux_sheet_RRS!$E201,aux_sheet_RRS!$D$2:$D$202,0)))</f>
        <v/>
      </c>
      <c r="AB202" s="88" t="str">
        <f ca="1">IF($B202="","",INDIRECT("aux_sheet_RRS!AJ"&amp;1+MATCH(aux_sheet_RRS!$E201,aux_sheet_RRS!$D$2:$D$202,0)))</f>
        <v/>
      </c>
      <c r="AC202" s="89" t="str">
        <f ca="1">IF($B202="","",INDIRECT("aux_sheet_RRS!AK"&amp;1+MATCH(aux_sheet_RRS!$E201,aux_sheet_RRS!$D$2:$D$202,0)))</f>
        <v/>
      </c>
      <c r="AD202" s="90" t="str">
        <f ca="1">IF(AB202="","",INDIRECT("aux_sheet_RRS!AL"&amp;1+MATCH(aux_sheet_RRS!$E201,aux_sheet_RRS!$D$2:$D$202,0)))</f>
        <v/>
      </c>
      <c r="AE202" s="88" t="str">
        <f ca="1">IF($B202="","",INDIRECT("aux_sheet_RRS!AM"&amp;1+MATCH(aux_sheet_RRS!$E201,aux_sheet_RRS!$D$2:$D$202,0)))</f>
        <v/>
      </c>
      <c r="AF202" s="89" t="str">
        <f ca="1">IF($B202="","",INDIRECT("aux_sheet_RRS!AN"&amp;1+MATCH(aux_sheet_RRS!$E201,aux_sheet_RRS!$D$2:$D$202,0)))</f>
        <v/>
      </c>
      <c r="AG202" s="90" t="str">
        <f ca="1">IF(AE202="","",INDIRECT("aux_sheet_RRS!AO"&amp;1+MATCH(aux_sheet_RRS!$E201,aux_sheet_RRS!$D$2:$D$202,0)))</f>
        <v/>
      </c>
      <c r="AH202" s="14" t="str">
        <f t="shared" ca="1" si="9"/>
        <v/>
      </c>
      <c r="AI202" t="str">
        <f t="shared" ca="1" si="10"/>
        <v/>
      </c>
      <c r="AJ202" t="str">
        <f t="shared" ca="1" si="11"/>
        <v/>
      </c>
    </row>
    <row r="203" spans="1:36" x14ac:dyDescent="0.35">
      <c r="A203" s="2" t="str">
        <f>IF(ISBLANK(Input!A202),"",ROUNDDOWN(aux_sheet_RRS!E202,0))</f>
        <v/>
      </c>
      <c r="B203" s="2" t="str">
        <f ca="1">IF(ISBLANK(Input!A202),"",INDIRECT("Input!A"&amp;1+MATCH(aux_sheet_RRS!$E202,aux_sheet_RRS!$D$2:$D$202,0)))</f>
        <v/>
      </c>
      <c r="C203" s="2" t="str">
        <f ca="1">IF(ISBLANK(Input!B202),"",INDIRECT("Input!B"&amp;1+MATCH(aux_sheet_RRS!$E202,aux_sheet_RRS!$D$2:$D$202,0)))</f>
        <v/>
      </c>
      <c r="D203" s="2" t="str">
        <f ca="1">IF(ISBLANK(Input!C202),"",INDIRECT("Input!C"&amp;1+MATCH(aux_sheet_RRS!$E202,aux_sheet_RRS!$D$2:$D$202,0)))</f>
        <v/>
      </c>
      <c r="E203" s="2" t="str">
        <f ca="1">IF(ISBLANK(Input!D202),"",INDIRECT("Input!D"&amp;1+MATCH(aux_sheet_RRS!$E202,aux_sheet_RRS!$D$2:$D$202,0)))</f>
        <v/>
      </c>
      <c r="F203" s="11" t="str">
        <f ca="1">INDIRECT("Input!H"&amp;1+MATCH(aux_sheet_RRS!$E202,aux_sheet_RRS!$D$2:$D$202,0))</f>
        <v xml:space="preserve"> </v>
      </c>
      <c r="G203" s="88" t="str">
        <f ca="1">IF($B203="","",INDIRECT("aux_sheet_RRS!O"&amp;1+MATCH(aux_sheet_RRS!$E202,aux_sheet_RRS!$D$2:$D$202,0)))</f>
        <v/>
      </c>
      <c r="H203" s="89" t="str">
        <f ca="1">IF($B203="","",INDIRECT("aux_sheet_RRS!P"&amp;1+MATCH(aux_sheet_RRS!$E202,aux_sheet_RRS!$D$2:$D$202,0)))</f>
        <v/>
      </c>
      <c r="I203" s="90" t="str">
        <f ca="1">IF(G203="","",ROUNDDOWN(INDIRECT("aux_sheet_RRS!Q"&amp;1+MATCH(aux_sheet_RRS!$E202,aux_sheet_RRS!$D$2:$D$202,0)),0))</f>
        <v/>
      </c>
      <c r="J203" s="106" t="str">
        <f ca="1">IF($B203="","",INDIRECT("aux_sheet_RRS!R"&amp;1+MATCH(aux_sheet_RRS!$E202,aux_sheet_RRS!$D$2:$D$202,0)))</f>
        <v/>
      </c>
      <c r="K203" s="89" t="str">
        <f ca="1">IF($B203="","",INDIRECT("aux_sheet_RRS!S"&amp;1+MATCH(aux_sheet_RRS!$E202,aux_sheet_RRS!$D$2:$D$202,0)))</f>
        <v/>
      </c>
      <c r="L203" s="90" t="str">
        <f ca="1">IF(J203="","",ROUNDDOWN(INDIRECT("aux_sheet_RRS!T"&amp;1+MATCH(aux_sheet_RRS!$E202,aux_sheet_RRS!$D$2:$D$202,0)),0))</f>
        <v/>
      </c>
      <c r="M203" s="106" t="str">
        <f ca="1">IF($B203="","",INDIRECT("aux_sheet_RRS!U"&amp;1+MATCH(aux_sheet_RRS!$E202,aux_sheet_RRS!$D$2:$D$202,0)))</f>
        <v/>
      </c>
      <c r="N203" s="89" t="str">
        <f ca="1">IF($B203="","",INDIRECT("aux_sheet_RRS!V"&amp;1+MATCH(aux_sheet_RRS!$E202,aux_sheet_RRS!$D$2:$D$202,0)))</f>
        <v/>
      </c>
      <c r="O203" s="90" t="str">
        <f ca="1">IF(M203="","",ROUNDDOWN(INDIRECT("aux_sheet_RRS!W"&amp;1+MATCH(aux_sheet_RRS!$E202,aux_sheet_RRS!$D$2:$D$202,0)),0))</f>
        <v/>
      </c>
      <c r="P203" s="106" t="str">
        <f ca="1">IF($B203="","",INDIRECT("aux_sheet_RRS!X"&amp;1+MATCH(aux_sheet_RRS!$E202,aux_sheet_RRS!$D$2:$D$202,0)))</f>
        <v/>
      </c>
      <c r="Q203" s="89" t="str">
        <f ca="1">IF($B203="","",INDIRECT("aux_sheet_RRS!Y"&amp;1+MATCH(aux_sheet_RRS!$E202,aux_sheet_RRS!$D$2:$D$202,0)))</f>
        <v/>
      </c>
      <c r="R203" s="90" t="str">
        <f ca="1">IF(P203="","",INDIRECT("aux_sheet_RRS!Z"&amp;1+MATCH(aux_sheet_RRS!$E202,aux_sheet_RRS!$D$2:$D$202,0)))</f>
        <v/>
      </c>
      <c r="S203" s="106" t="str">
        <f ca="1">IF($B203="","",INDIRECT("aux_sheet_RRS!AA"&amp;1+MATCH(aux_sheet_RRS!$E202,aux_sheet_RRS!$D$2:$D$202,0)))</f>
        <v/>
      </c>
      <c r="T203" s="89" t="str">
        <f ca="1">IF($B203="","",INDIRECT("aux_sheet_RRS!AB"&amp;1+MATCH(aux_sheet_RRS!$E202,aux_sheet_RRS!$D$2:$D$202,0)))</f>
        <v/>
      </c>
      <c r="U203" s="90" t="str">
        <f ca="1">IF(S203="","",INDIRECT("aux_sheet_RRS!AC"&amp;1+MATCH(aux_sheet_RRS!$E202,aux_sheet_RRS!$D$2:$D$202,0)))</f>
        <v/>
      </c>
      <c r="V203" s="106" t="str">
        <f ca="1">IF($B203="","",INDIRECT("aux_sheet_RRS!AD"&amp;1+MATCH(aux_sheet_RRS!$E202,aux_sheet_RRS!$D$2:$D$202,0)))</f>
        <v/>
      </c>
      <c r="W203" s="89" t="str">
        <f ca="1">IF($B203="","",INDIRECT("aux_sheet_RRS!AE"&amp;1+MATCH(aux_sheet_RRS!$E202,aux_sheet_RRS!$D$2:$D$202,0)))</f>
        <v/>
      </c>
      <c r="X203" s="90" t="str">
        <f ca="1">IF(V203="","",INDIRECT("aux_sheet_RRS!AF"&amp;1+MATCH(aux_sheet_RRS!$E202,aux_sheet_RRS!$D$2:$D$202,0)))</f>
        <v/>
      </c>
      <c r="Y203" s="106" t="str">
        <f ca="1">IF($B203="","",INDIRECT("aux_sheet_RRS!AG"&amp;1+MATCH(aux_sheet_RRS!$E202,aux_sheet_RRS!$D$2:$D$202,0)))</f>
        <v/>
      </c>
      <c r="Z203" s="89" t="str">
        <f ca="1">IF($B203="","",INDIRECT("aux_sheet_RRS!AH"&amp;1+MATCH(aux_sheet_RRS!$E202,aux_sheet_RRS!$D$2:$D$202,0)))</f>
        <v/>
      </c>
      <c r="AA203" s="90" t="str">
        <f ca="1">IF(Y203="","",INDIRECT("aux_sheet_RRS!AI"&amp;1+MATCH(aux_sheet_RRS!$E202,aux_sheet_RRS!$D$2:$D$202,0)))</f>
        <v/>
      </c>
      <c r="AB203" s="88" t="str">
        <f ca="1">IF($B203="","",INDIRECT("aux_sheet_RRS!AJ"&amp;1+MATCH(aux_sheet_RRS!$E202,aux_sheet_RRS!$D$2:$D$202,0)))</f>
        <v/>
      </c>
      <c r="AC203" s="89" t="str">
        <f ca="1">IF($B203="","",INDIRECT("aux_sheet_RRS!AK"&amp;1+MATCH(aux_sheet_RRS!$E202,aux_sheet_RRS!$D$2:$D$202,0)))</f>
        <v/>
      </c>
      <c r="AD203" s="90" t="str">
        <f ca="1">IF(AB203="","",INDIRECT("aux_sheet_RRS!AL"&amp;1+MATCH(aux_sheet_RRS!$E202,aux_sheet_RRS!$D$2:$D$202,0)))</f>
        <v/>
      </c>
      <c r="AE203" s="88" t="str">
        <f ca="1">IF($B203="","",INDIRECT("aux_sheet_RRS!AM"&amp;1+MATCH(aux_sheet_RRS!$E202,aux_sheet_RRS!$D$2:$D$202,0)))</f>
        <v/>
      </c>
      <c r="AF203" s="89" t="str">
        <f ca="1">IF($B203="","",INDIRECT("aux_sheet_RRS!AN"&amp;1+MATCH(aux_sheet_RRS!$E202,aux_sheet_RRS!$D$2:$D$202,0)))</f>
        <v/>
      </c>
      <c r="AG203" s="90" t="str">
        <f ca="1">IF(AE203="","",INDIRECT("aux_sheet_RRS!AO"&amp;1+MATCH(aux_sheet_RRS!$E202,aux_sheet_RRS!$D$2:$D$202,0)))</f>
        <v/>
      </c>
      <c r="AH203" s="14" t="str">
        <f t="shared" ca="1" si="9"/>
        <v/>
      </c>
      <c r="AI203" t="str">
        <f t="shared" ca="1" si="10"/>
        <v/>
      </c>
      <c r="AJ203" t="str">
        <f t="shared" ca="1" si="11"/>
        <v/>
      </c>
    </row>
    <row r="204" spans="1:36" x14ac:dyDescent="0.35">
      <c r="A204" s="2"/>
      <c r="B204" s="2"/>
      <c r="C204" s="2"/>
      <c r="D204" s="2"/>
      <c r="E204" s="2"/>
      <c r="F204" s="11"/>
      <c r="G204" s="88" t="str">
        <f ca="1">IF($B204="","",INDIRECT("aux_sheet_RRS!O"&amp;1+MATCH(aux_sheet_RRS!$E203,aux_sheet_RRS!$D$2:$D$202,0)))</f>
        <v/>
      </c>
      <c r="H204" s="89" t="str">
        <f ca="1">IF($B204="","",INDIRECT("aux_sheet_RRS!P"&amp;1+MATCH(aux_sheet_RRS!$E203,aux_sheet_RRS!$D$2:$D$202,0)))</f>
        <v/>
      </c>
      <c r="I204" s="90" t="str">
        <f ca="1">IF(G204="","",ROUNDDOWN(INDIRECT("aux_sheet_RRS!Q"&amp;1+MATCH(aux_sheet_RRS!$E203,aux_sheet_RRS!$D$2:$D$202,0)),0))</f>
        <v/>
      </c>
      <c r="J204" s="106" t="str">
        <f ca="1">IF($B204="","",INDIRECT("aux_sheet_RRS!R"&amp;1+MATCH(aux_sheet_RRS!$E203,aux_sheet_RRS!$D$2:$D$202,0)))</f>
        <v/>
      </c>
      <c r="K204" s="89" t="str">
        <f ca="1">IF($B204="","",INDIRECT("aux_sheet_RRS!S"&amp;1+MATCH(aux_sheet_RRS!$E203,aux_sheet_RRS!$D$2:$D$202,0)))</f>
        <v/>
      </c>
      <c r="L204" s="90" t="str">
        <f ca="1">IF(J204="","",ROUNDDOWN(INDIRECT("aux_sheet_RRS!T"&amp;1+MATCH(aux_sheet_RRS!$E203,aux_sheet_RRS!$D$2:$D$202,0)),0))</f>
        <v/>
      </c>
      <c r="M204" s="106" t="str">
        <f ca="1">IF($B204="","",INDIRECT("aux_sheet_RRS!U"&amp;1+MATCH(aux_sheet_RRS!$E203,aux_sheet_RRS!$D$2:$D$202,0)))</f>
        <v/>
      </c>
      <c r="N204" s="89" t="str">
        <f ca="1">IF($B204="","",INDIRECT("aux_sheet_RRS!V"&amp;1+MATCH(aux_sheet_RRS!$E203,aux_sheet_RRS!$D$2:$D$202,0)))</f>
        <v/>
      </c>
      <c r="O204" s="90" t="str">
        <f ca="1">IF(M204="","",ROUNDDOWN(INDIRECT("aux_sheet_RRS!W"&amp;1+MATCH(aux_sheet_RRS!$E203,aux_sheet_RRS!$D$2:$D$202,0)),0))</f>
        <v/>
      </c>
      <c r="P204" s="106" t="str">
        <f ca="1">IF($B204="","",INDIRECT("aux_sheet_RRS!X"&amp;1+MATCH(aux_sheet_RRS!$E203,aux_sheet_RRS!$D$2:$D$202,0)))</f>
        <v/>
      </c>
      <c r="Q204" s="89" t="str">
        <f ca="1">IF($B204="","",INDIRECT("aux_sheet_RRS!Y"&amp;1+MATCH(aux_sheet_RRS!$E203,aux_sheet_RRS!$D$2:$D$202,0)))</f>
        <v/>
      </c>
      <c r="R204" s="90" t="str">
        <f ca="1">IF(P204="","",INDIRECT("aux_sheet_RRS!Z"&amp;1+MATCH(aux_sheet_RRS!$E203,aux_sheet_RRS!$D$2:$D$202,0)))</f>
        <v/>
      </c>
      <c r="S204" s="106" t="str">
        <f ca="1">IF($B204="","",INDIRECT("aux_sheet_RRS!AA"&amp;1+MATCH(aux_sheet_RRS!$E203,aux_sheet_RRS!$D$2:$D$202,0)))</f>
        <v/>
      </c>
      <c r="T204" s="89" t="str">
        <f ca="1">IF($B204="","",INDIRECT("aux_sheet_RRS!AB"&amp;1+MATCH(aux_sheet_RRS!$E203,aux_sheet_RRS!$D$2:$D$202,0)))</f>
        <v/>
      </c>
      <c r="U204" s="90" t="str">
        <f ca="1">IF(S204="","",INDIRECT("aux_sheet_RRS!AC"&amp;1+MATCH(aux_sheet_RRS!$E203,aux_sheet_RRS!$D$2:$D$202,0)))</f>
        <v/>
      </c>
      <c r="V204" s="106" t="str">
        <f ca="1">IF($B204="","",INDIRECT("aux_sheet_RRS!AD"&amp;1+MATCH(aux_sheet_RRS!$E203,aux_sheet_RRS!$D$2:$D$202,0)))</f>
        <v/>
      </c>
      <c r="W204" s="89" t="str">
        <f ca="1">IF($B204="","",INDIRECT("aux_sheet_RRS!AE"&amp;1+MATCH(aux_sheet_RRS!$E203,aux_sheet_RRS!$D$2:$D$202,0)))</f>
        <v/>
      </c>
      <c r="X204" s="90" t="str">
        <f ca="1">IF(V204="","",INDIRECT("aux_sheet_RRS!AF"&amp;1+MATCH(aux_sheet_RRS!$E203,aux_sheet_RRS!$D$2:$D$202,0)))</f>
        <v/>
      </c>
      <c r="Y204" s="106" t="str">
        <f ca="1">IF($B204="","",INDIRECT("aux_sheet_RRS!AG"&amp;1+MATCH(aux_sheet_RRS!$E203,aux_sheet_RRS!$D$2:$D$202,0)))</f>
        <v/>
      </c>
      <c r="Z204" s="89" t="str">
        <f ca="1">IF($B204="","",INDIRECT("aux_sheet_RRS!AH"&amp;1+MATCH(aux_sheet_RRS!$E203,aux_sheet_RRS!$D$2:$D$202,0)))</f>
        <v/>
      </c>
      <c r="AA204" s="90" t="str">
        <f ca="1">IF(Y204="","",INDIRECT("aux_sheet_RRS!AI"&amp;1+MATCH(aux_sheet_RRS!$E203,aux_sheet_RRS!$D$2:$D$202,0)))</f>
        <v/>
      </c>
      <c r="AB204" s="88" t="str">
        <f ca="1">IF($B204="","",INDIRECT("aux_sheet_RRS!AJ"&amp;1+MATCH(aux_sheet_RRS!$E203,aux_sheet_RRS!$D$2:$D$202,0)))</f>
        <v/>
      </c>
      <c r="AC204" s="89" t="str">
        <f ca="1">IF($B204="","",INDIRECT("aux_sheet_RRS!AK"&amp;1+MATCH(aux_sheet_RRS!$E203,aux_sheet_RRS!$D$2:$D$202,0)))</f>
        <v/>
      </c>
      <c r="AD204" s="90" t="str">
        <f ca="1">IF(AB204="","",INDIRECT("aux_sheet_RRS!AL"&amp;1+MATCH(aux_sheet_RRS!$E203,aux_sheet_RRS!$D$2:$D$202,0)))</f>
        <v/>
      </c>
      <c r="AE204" s="88" t="str">
        <f ca="1">IF($B204="","",INDIRECT("aux_sheet_RRS!AM"&amp;1+MATCH(aux_sheet_RRS!$E203,aux_sheet_RRS!$D$2:$D$202,0)))</f>
        <v/>
      </c>
      <c r="AF204" s="89" t="str">
        <f ca="1">IF($B204="","",INDIRECT("aux_sheet_RRS!AN"&amp;1+MATCH(aux_sheet_RRS!$E203,aux_sheet_RRS!$D$2:$D$202,0)))</f>
        <v/>
      </c>
      <c r="AG204" s="90" t="str">
        <f ca="1">IF(AE204="","",INDIRECT("aux_sheet_RRS!AO"&amp;1+MATCH(aux_sheet_RRS!$E203,aux_sheet_RRS!$D$2:$D$202,0)))</f>
        <v/>
      </c>
    </row>
    <row r="205" spans="1:36" x14ac:dyDescent="0.35">
      <c r="A205" s="2"/>
      <c r="B205" s="2"/>
      <c r="C205" s="2"/>
      <c r="D205" s="2"/>
      <c r="E205" s="2"/>
      <c r="F205" s="11"/>
      <c r="G205" s="88" t="str">
        <f ca="1">IF($B205="","",INDIRECT("aux_sheet_RRS!O"&amp;1+MATCH(aux_sheet_RRS!$E204,aux_sheet_RRS!$D$2:$D$202,0)))</f>
        <v/>
      </c>
      <c r="H205" s="89" t="str">
        <f ca="1">IF($B205="","",INDIRECT("aux_sheet_RRS!P"&amp;1+MATCH(aux_sheet_RRS!$E204,aux_sheet_RRS!$D$2:$D$202,0)))</f>
        <v/>
      </c>
      <c r="I205" s="90" t="str">
        <f ca="1">IF(G205="","",ROUNDDOWN(INDIRECT("aux_sheet_RRS!Q"&amp;1+MATCH(aux_sheet_RRS!$E204,aux_sheet_RRS!$D$2:$D$202,0)),0))</f>
        <v/>
      </c>
      <c r="J205" s="106" t="str">
        <f ca="1">IF($B205="","",INDIRECT("aux_sheet_RRS!R"&amp;1+MATCH(aux_sheet_RRS!$E204,aux_sheet_RRS!$D$2:$D$202,0)))</f>
        <v/>
      </c>
      <c r="K205" s="89" t="str">
        <f ca="1">IF($B205="","",INDIRECT("aux_sheet_RRS!S"&amp;1+MATCH(aux_sheet_RRS!$E204,aux_sheet_RRS!$D$2:$D$202,0)))</f>
        <v/>
      </c>
      <c r="L205" s="90" t="str">
        <f ca="1">IF(J205="","",ROUNDDOWN(INDIRECT("aux_sheet_RRS!T"&amp;1+MATCH(aux_sheet_RRS!$E204,aux_sheet_RRS!$D$2:$D$202,0)),0))</f>
        <v/>
      </c>
      <c r="M205" s="106" t="str">
        <f ca="1">IF($B205="","",INDIRECT("aux_sheet_RRS!U"&amp;1+MATCH(aux_sheet_RRS!$E204,aux_sheet_RRS!$D$2:$D$202,0)))</f>
        <v/>
      </c>
      <c r="N205" s="89" t="str">
        <f ca="1">IF($B205="","",INDIRECT("aux_sheet_RRS!V"&amp;1+MATCH(aux_sheet_RRS!$E204,aux_sheet_RRS!$D$2:$D$202,0)))</f>
        <v/>
      </c>
      <c r="O205" s="90" t="str">
        <f ca="1">IF(M205="","",ROUNDDOWN(INDIRECT("aux_sheet_RRS!W"&amp;1+MATCH(aux_sheet_RRS!$E204,aux_sheet_RRS!$D$2:$D$202,0)),0))</f>
        <v/>
      </c>
      <c r="P205" s="106" t="str">
        <f ca="1">IF($B205="","",INDIRECT("aux_sheet_RRS!X"&amp;1+MATCH(aux_sheet_RRS!$E204,aux_sheet_RRS!$D$2:$D$202,0)))</f>
        <v/>
      </c>
      <c r="Q205" s="89" t="str">
        <f ca="1">IF($B205="","",INDIRECT("aux_sheet_RRS!Y"&amp;1+MATCH(aux_sheet_RRS!$E204,aux_sheet_RRS!$D$2:$D$202,0)))</f>
        <v/>
      </c>
      <c r="R205" s="90" t="str">
        <f ca="1">IF(P205="","",INDIRECT("aux_sheet_RRS!Z"&amp;1+MATCH(aux_sheet_RRS!$E204,aux_sheet_RRS!$D$2:$D$202,0)))</f>
        <v/>
      </c>
      <c r="S205" s="106" t="str">
        <f ca="1">IF($B205="","",INDIRECT("aux_sheet_RRS!AA"&amp;1+MATCH(aux_sheet_RRS!$E204,aux_sheet_RRS!$D$2:$D$202,0)))</f>
        <v/>
      </c>
      <c r="T205" s="89" t="str">
        <f ca="1">IF($B205="","",INDIRECT("aux_sheet_RRS!AB"&amp;1+MATCH(aux_sheet_RRS!$E204,aux_sheet_RRS!$D$2:$D$202,0)))</f>
        <v/>
      </c>
      <c r="U205" s="90" t="str">
        <f ca="1">IF(S205="","",INDIRECT("aux_sheet_RRS!AC"&amp;1+MATCH(aux_sheet_RRS!$E204,aux_sheet_RRS!$D$2:$D$202,0)))</f>
        <v/>
      </c>
      <c r="V205" s="106" t="str">
        <f ca="1">IF($B205="","",INDIRECT("aux_sheet_RRS!AD"&amp;1+MATCH(aux_sheet_RRS!$E204,aux_sheet_RRS!$D$2:$D$202,0)))</f>
        <v/>
      </c>
      <c r="W205" s="89" t="str">
        <f ca="1">IF($B205="","",INDIRECT("aux_sheet_RRS!AE"&amp;1+MATCH(aux_sheet_RRS!$E204,aux_sheet_RRS!$D$2:$D$202,0)))</f>
        <v/>
      </c>
      <c r="X205" s="90" t="str">
        <f ca="1">IF(V205="","",INDIRECT("aux_sheet_RRS!AF"&amp;1+MATCH(aux_sheet_RRS!$E204,aux_sheet_RRS!$D$2:$D$202,0)))</f>
        <v/>
      </c>
      <c r="Y205" s="106" t="str">
        <f ca="1">IF($B205="","",INDIRECT("aux_sheet_RRS!AG"&amp;1+MATCH(aux_sheet_RRS!$E204,aux_sheet_RRS!$D$2:$D$202,0)))</f>
        <v/>
      </c>
      <c r="Z205" s="89" t="str">
        <f ca="1">IF($B205="","",INDIRECT("aux_sheet_RRS!AH"&amp;1+MATCH(aux_sheet_RRS!$E204,aux_sheet_RRS!$D$2:$D$202,0)))</f>
        <v/>
      </c>
      <c r="AA205" s="90" t="str">
        <f ca="1">IF(Y205="","",INDIRECT("aux_sheet_RRS!AI"&amp;1+MATCH(aux_sheet_RRS!$E204,aux_sheet_RRS!$D$2:$D$202,0)))</f>
        <v/>
      </c>
      <c r="AB205" s="88" t="str">
        <f ca="1">IF($B205="","",INDIRECT("aux_sheet_RRS!AJ"&amp;1+MATCH(aux_sheet_RRS!$E204,aux_sheet_RRS!$D$2:$D$202,0)))</f>
        <v/>
      </c>
      <c r="AC205" s="89" t="str">
        <f ca="1">IF($B205="","",INDIRECT("aux_sheet_RRS!AK"&amp;1+MATCH(aux_sheet_RRS!$E204,aux_sheet_RRS!$D$2:$D$202,0)))</f>
        <v/>
      </c>
      <c r="AD205" s="90" t="str">
        <f ca="1">IF(AB205="","",INDIRECT("aux_sheet_RRS!AL"&amp;1+MATCH(aux_sheet_RRS!$E204,aux_sheet_RRS!$D$2:$D$202,0)))</f>
        <v/>
      </c>
      <c r="AE205" s="88" t="str">
        <f ca="1">IF($B205="","",INDIRECT("aux_sheet_RRS!AM"&amp;1+MATCH(aux_sheet_RRS!$E204,aux_sheet_RRS!$D$2:$D$202,0)))</f>
        <v/>
      </c>
      <c r="AF205" s="89" t="str">
        <f ca="1">IF($B205="","",INDIRECT("aux_sheet_RRS!AN"&amp;1+MATCH(aux_sheet_RRS!$E204,aux_sheet_RRS!$D$2:$D$202,0)))</f>
        <v/>
      </c>
      <c r="AG205" s="90" t="str">
        <f ca="1">IF(AE205="","",INDIRECT("aux_sheet_RRS!AO"&amp;1+MATCH(aux_sheet_RRS!$E204,aux_sheet_RRS!$D$2:$D$202,0)))</f>
        <v/>
      </c>
    </row>
    <row r="206" spans="1:36" x14ac:dyDescent="0.35">
      <c r="A206" s="2"/>
      <c r="B206" s="2"/>
      <c r="C206" s="2"/>
      <c r="D206" s="2"/>
      <c r="E206" s="2"/>
      <c r="F206" s="11"/>
      <c r="G206" s="88" t="str">
        <f ca="1">IF($B206="","",INDIRECT("aux_sheet_RRS!O"&amp;1+MATCH(aux_sheet_RRS!$E205,aux_sheet_RRS!$D$2:$D$202,0)))</f>
        <v/>
      </c>
      <c r="H206" s="89" t="str">
        <f ca="1">IF($B206="","",INDIRECT("aux_sheet_RRS!P"&amp;1+MATCH(aux_sheet_RRS!$E205,aux_sheet_RRS!$D$2:$D$202,0)))</f>
        <v/>
      </c>
      <c r="I206" s="90" t="str">
        <f ca="1">IF(G206="","",ROUNDDOWN(INDIRECT("aux_sheet_RRS!Q"&amp;1+MATCH(aux_sheet_RRS!$E205,aux_sheet_RRS!$D$2:$D$202,0)),0))</f>
        <v/>
      </c>
      <c r="J206" s="106" t="str">
        <f ca="1">IF($B206="","",INDIRECT("aux_sheet_RRS!R"&amp;1+MATCH(aux_sheet_RRS!$E205,aux_sheet_RRS!$D$2:$D$202,0)))</f>
        <v/>
      </c>
      <c r="K206" s="89" t="str">
        <f ca="1">IF($B206="","",INDIRECT("aux_sheet_RRS!S"&amp;1+MATCH(aux_sheet_RRS!$E205,aux_sheet_RRS!$D$2:$D$202,0)))</f>
        <v/>
      </c>
      <c r="L206" s="90" t="str">
        <f ca="1">IF(J206="","",ROUNDDOWN(INDIRECT("aux_sheet_RRS!T"&amp;1+MATCH(aux_sheet_RRS!$E205,aux_sheet_RRS!$D$2:$D$202,0)),0))</f>
        <v/>
      </c>
      <c r="M206" s="106" t="str">
        <f ca="1">IF($B206="","",INDIRECT("aux_sheet_RRS!U"&amp;1+MATCH(aux_sheet_RRS!$E205,aux_sheet_RRS!$D$2:$D$202,0)))</f>
        <v/>
      </c>
      <c r="N206" s="89" t="str">
        <f ca="1">IF($B206="","",INDIRECT("aux_sheet_RRS!V"&amp;1+MATCH(aux_sheet_RRS!$E205,aux_sheet_RRS!$D$2:$D$202,0)))</f>
        <v/>
      </c>
      <c r="O206" s="90" t="str">
        <f ca="1">IF(M206="","",ROUNDDOWN(INDIRECT("aux_sheet_RRS!W"&amp;1+MATCH(aux_sheet_RRS!$E205,aux_sheet_RRS!$D$2:$D$202,0)),0))</f>
        <v/>
      </c>
      <c r="P206" s="106" t="str">
        <f ca="1">IF($B206="","",INDIRECT("aux_sheet_RRS!X"&amp;1+MATCH(aux_sheet_RRS!$E205,aux_sheet_RRS!$D$2:$D$202,0)))</f>
        <v/>
      </c>
      <c r="Q206" s="89" t="str">
        <f ca="1">IF($B206="","",INDIRECT("aux_sheet_RRS!Y"&amp;1+MATCH(aux_sheet_RRS!$E205,aux_sheet_RRS!$D$2:$D$202,0)))</f>
        <v/>
      </c>
      <c r="R206" s="90" t="str">
        <f ca="1">IF(P206="","",INDIRECT("aux_sheet_RRS!Z"&amp;1+MATCH(aux_sheet_RRS!$E205,aux_sheet_RRS!$D$2:$D$202,0)))</f>
        <v/>
      </c>
      <c r="S206" s="106" t="str">
        <f ca="1">IF($B206="","",INDIRECT("aux_sheet_RRS!AA"&amp;1+MATCH(aux_sheet_RRS!$E205,aux_sheet_RRS!$D$2:$D$202,0)))</f>
        <v/>
      </c>
      <c r="T206" s="89" t="str">
        <f ca="1">IF($B206="","",INDIRECT("aux_sheet_RRS!AB"&amp;1+MATCH(aux_sheet_RRS!$E205,aux_sheet_RRS!$D$2:$D$202,0)))</f>
        <v/>
      </c>
      <c r="U206" s="90" t="str">
        <f ca="1">IF(S206="","",INDIRECT("aux_sheet_RRS!AC"&amp;1+MATCH(aux_sheet_RRS!$E205,aux_sheet_RRS!$D$2:$D$202,0)))</f>
        <v/>
      </c>
      <c r="V206" s="106" t="str">
        <f ca="1">IF($B206="","",INDIRECT("aux_sheet_RRS!AD"&amp;1+MATCH(aux_sheet_RRS!$E205,aux_sheet_RRS!$D$2:$D$202,0)))</f>
        <v/>
      </c>
      <c r="W206" s="89" t="str">
        <f ca="1">IF($B206="","",INDIRECT("aux_sheet_RRS!AE"&amp;1+MATCH(aux_sheet_RRS!$E205,aux_sheet_RRS!$D$2:$D$202,0)))</f>
        <v/>
      </c>
      <c r="X206" s="90" t="str">
        <f ca="1">IF(V206="","",INDIRECT("aux_sheet_RRS!AF"&amp;1+MATCH(aux_sheet_RRS!$E205,aux_sheet_RRS!$D$2:$D$202,0)))</f>
        <v/>
      </c>
      <c r="Y206" s="106" t="str">
        <f ca="1">IF($B206="","",INDIRECT("aux_sheet_RRS!AG"&amp;1+MATCH(aux_sheet_RRS!$E205,aux_sheet_RRS!$D$2:$D$202,0)))</f>
        <v/>
      </c>
      <c r="Z206" s="89" t="str">
        <f ca="1">IF($B206="","",INDIRECT("aux_sheet_RRS!AH"&amp;1+MATCH(aux_sheet_RRS!$E205,aux_sheet_RRS!$D$2:$D$202,0)))</f>
        <v/>
      </c>
      <c r="AA206" s="90" t="str">
        <f ca="1">IF(Y206="","",INDIRECT("aux_sheet_RRS!AI"&amp;1+MATCH(aux_sheet_RRS!$E205,aux_sheet_RRS!$D$2:$D$202,0)))</f>
        <v/>
      </c>
      <c r="AB206" s="88" t="str">
        <f ca="1">IF($B206="","",INDIRECT("aux_sheet_RRS!AJ"&amp;1+MATCH(aux_sheet_RRS!$E205,aux_sheet_RRS!$D$2:$D$202,0)))</f>
        <v/>
      </c>
      <c r="AC206" s="89" t="str">
        <f ca="1">IF($B206="","",INDIRECT("aux_sheet_RRS!AK"&amp;1+MATCH(aux_sheet_RRS!$E205,aux_sheet_RRS!$D$2:$D$202,0)))</f>
        <v/>
      </c>
      <c r="AD206" s="90" t="str">
        <f ca="1">IF(AB206="","",INDIRECT("aux_sheet_RRS!AL"&amp;1+MATCH(aux_sheet_RRS!$E205,aux_sheet_RRS!$D$2:$D$202,0)))</f>
        <v/>
      </c>
      <c r="AE206" s="88" t="str">
        <f ca="1">IF($B206="","",INDIRECT("aux_sheet_RRS!AM"&amp;1+MATCH(aux_sheet_RRS!$E205,aux_sheet_RRS!$D$2:$D$202,0)))</f>
        <v/>
      </c>
      <c r="AF206" s="89" t="str">
        <f ca="1">IF($B206="","",INDIRECT("aux_sheet_RRS!AN"&amp;1+MATCH(aux_sheet_RRS!$E205,aux_sheet_RRS!$D$2:$D$202,0)))</f>
        <v/>
      </c>
      <c r="AG206" s="90" t="str">
        <f ca="1">IF(AE206="","",INDIRECT("aux_sheet_RRS!AO"&amp;1+MATCH(aux_sheet_RRS!$E205,aux_sheet_RRS!$D$2:$D$202,0)))</f>
        <v/>
      </c>
    </row>
    <row r="207" spans="1:36" x14ac:dyDescent="0.35">
      <c r="A207" s="2"/>
      <c r="B207" s="2"/>
      <c r="C207" s="2"/>
      <c r="D207" s="2"/>
      <c r="E207" s="2"/>
      <c r="F207" s="11"/>
      <c r="G207" s="88" t="str">
        <f ca="1">IF($B207="","",INDIRECT("aux_sheet_RRS!O"&amp;1+MATCH(aux_sheet_RRS!$E206,aux_sheet_RRS!$D$2:$D$202,0)))</f>
        <v/>
      </c>
      <c r="H207" s="89" t="str">
        <f ca="1">IF($B207="","",INDIRECT("aux_sheet_RRS!P"&amp;1+MATCH(aux_sheet_RRS!$E206,aux_sheet_RRS!$D$2:$D$202,0)))</f>
        <v/>
      </c>
      <c r="I207" s="90" t="str">
        <f ca="1">IF(G207="","",ROUNDDOWN(INDIRECT("aux_sheet_RRS!Q"&amp;1+MATCH(aux_sheet_RRS!$E206,aux_sheet_RRS!$D$2:$D$202,0)),0))</f>
        <v/>
      </c>
      <c r="J207" s="106" t="str">
        <f ca="1">IF($B207="","",INDIRECT("aux_sheet_RRS!R"&amp;1+MATCH(aux_sheet_RRS!$E206,aux_sheet_RRS!$D$2:$D$202,0)))</f>
        <v/>
      </c>
      <c r="K207" s="89" t="str">
        <f ca="1">IF($B207="","",INDIRECT("aux_sheet_RRS!S"&amp;1+MATCH(aux_sheet_RRS!$E206,aux_sheet_RRS!$D$2:$D$202,0)))</f>
        <v/>
      </c>
      <c r="L207" s="90" t="str">
        <f ca="1">IF(J207="","",ROUNDDOWN(INDIRECT("aux_sheet_RRS!T"&amp;1+MATCH(aux_sheet_RRS!$E206,aux_sheet_RRS!$D$2:$D$202,0)),0))</f>
        <v/>
      </c>
      <c r="M207" s="106" t="str">
        <f ca="1">IF($B207="","",INDIRECT("aux_sheet_RRS!U"&amp;1+MATCH(aux_sheet_RRS!$E206,aux_sheet_RRS!$D$2:$D$202,0)))</f>
        <v/>
      </c>
      <c r="N207" s="89" t="str">
        <f ca="1">IF($B207="","",INDIRECT("aux_sheet_RRS!V"&amp;1+MATCH(aux_sheet_RRS!$E206,aux_sheet_RRS!$D$2:$D$202,0)))</f>
        <v/>
      </c>
      <c r="O207" s="90" t="str">
        <f ca="1">IF(M207="","",ROUNDDOWN(INDIRECT("aux_sheet_RRS!W"&amp;1+MATCH(aux_sheet_RRS!$E206,aux_sheet_RRS!$D$2:$D$202,0)),0))</f>
        <v/>
      </c>
      <c r="P207" s="106" t="str">
        <f ca="1">IF($B207="","",INDIRECT("aux_sheet_RRS!X"&amp;1+MATCH(aux_sheet_RRS!$E206,aux_sheet_RRS!$D$2:$D$202,0)))</f>
        <v/>
      </c>
      <c r="Q207" s="89" t="str">
        <f ca="1">IF($B207="","",INDIRECT("aux_sheet_RRS!Y"&amp;1+MATCH(aux_sheet_RRS!$E206,aux_sheet_RRS!$D$2:$D$202,0)))</f>
        <v/>
      </c>
      <c r="R207" s="90" t="str">
        <f ca="1">IF(P207="","",INDIRECT("aux_sheet_RRS!Z"&amp;1+MATCH(aux_sheet_RRS!$E206,aux_sheet_RRS!$D$2:$D$202,0)))</f>
        <v/>
      </c>
      <c r="S207" s="106" t="str">
        <f ca="1">IF($B207="","",INDIRECT("aux_sheet_RRS!AA"&amp;1+MATCH(aux_sheet_RRS!$E206,aux_sheet_RRS!$D$2:$D$202,0)))</f>
        <v/>
      </c>
      <c r="T207" s="89" t="str">
        <f ca="1">IF($B207="","",INDIRECT("aux_sheet_RRS!AB"&amp;1+MATCH(aux_sheet_RRS!$E206,aux_sheet_RRS!$D$2:$D$202,0)))</f>
        <v/>
      </c>
      <c r="U207" s="90" t="str">
        <f ca="1">IF(S207="","",INDIRECT("aux_sheet_RRS!AC"&amp;1+MATCH(aux_sheet_RRS!$E206,aux_sheet_RRS!$D$2:$D$202,0)))</f>
        <v/>
      </c>
      <c r="V207" s="106" t="str">
        <f ca="1">IF($B207="","",INDIRECT("aux_sheet_RRS!AD"&amp;1+MATCH(aux_sheet_RRS!$E206,aux_sheet_RRS!$D$2:$D$202,0)))</f>
        <v/>
      </c>
      <c r="W207" s="89" t="str">
        <f ca="1">IF($B207="","",INDIRECT("aux_sheet_RRS!AE"&amp;1+MATCH(aux_sheet_RRS!$E206,aux_sheet_RRS!$D$2:$D$202,0)))</f>
        <v/>
      </c>
      <c r="X207" s="90" t="str">
        <f ca="1">IF(V207="","",INDIRECT("aux_sheet_RRS!AF"&amp;1+MATCH(aux_sheet_RRS!$E206,aux_sheet_RRS!$D$2:$D$202,0)))</f>
        <v/>
      </c>
      <c r="Y207" s="106" t="str">
        <f ca="1">IF($B207="","",INDIRECT("aux_sheet_RRS!AG"&amp;1+MATCH(aux_sheet_RRS!$E206,aux_sheet_RRS!$D$2:$D$202,0)))</f>
        <v/>
      </c>
      <c r="Z207" s="89" t="str">
        <f ca="1">IF($B207="","",INDIRECT("aux_sheet_RRS!AH"&amp;1+MATCH(aux_sheet_RRS!$E206,aux_sheet_RRS!$D$2:$D$202,0)))</f>
        <v/>
      </c>
      <c r="AA207" s="90" t="str">
        <f ca="1">IF(Y207="","",INDIRECT("aux_sheet_RRS!AI"&amp;1+MATCH(aux_sheet_RRS!$E206,aux_sheet_RRS!$D$2:$D$202,0)))</f>
        <v/>
      </c>
      <c r="AB207" s="88" t="str">
        <f ca="1">IF($B207="","",INDIRECT("aux_sheet_RRS!AJ"&amp;1+MATCH(aux_sheet_RRS!$E206,aux_sheet_RRS!$D$2:$D$202,0)))</f>
        <v/>
      </c>
      <c r="AC207" s="89" t="str">
        <f ca="1">IF($B207="","",INDIRECT("aux_sheet_RRS!AK"&amp;1+MATCH(aux_sheet_RRS!$E206,aux_sheet_RRS!$D$2:$D$202,0)))</f>
        <v/>
      </c>
      <c r="AD207" s="90" t="str">
        <f ca="1">IF(AB207="","",INDIRECT("aux_sheet_RRS!AL"&amp;1+MATCH(aux_sheet_RRS!$E206,aux_sheet_RRS!$D$2:$D$202,0)))</f>
        <v/>
      </c>
      <c r="AE207" s="88" t="str">
        <f ca="1">IF($B207="","",INDIRECT("aux_sheet_RRS!AM"&amp;1+MATCH(aux_sheet_RRS!$E206,aux_sheet_RRS!$D$2:$D$202,0)))</f>
        <v/>
      </c>
      <c r="AF207" s="89" t="str">
        <f ca="1">IF($B207="","",INDIRECT("aux_sheet_RRS!AN"&amp;1+MATCH(aux_sheet_RRS!$E206,aux_sheet_RRS!$D$2:$D$202,0)))</f>
        <v/>
      </c>
      <c r="AG207" s="90" t="str">
        <f ca="1">IF(AE207="","",INDIRECT("aux_sheet_RRS!AO"&amp;1+MATCH(aux_sheet_RRS!$E206,aux_sheet_RRS!$D$2:$D$202,0)))</f>
        <v/>
      </c>
    </row>
    <row r="208" spans="1:36" x14ac:dyDescent="0.35">
      <c r="A208" s="2"/>
      <c r="B208" s="2"/>
      <c r="C208" s="2"/>
      <c r="D208" s="2"/>
      <c r="E208" s="2"/>
      <c r="F208" s="11"/>
      <c r="G208" s="88" t="str">
        <f ca="1">IF($B208="","",INDIRECT("aux_sheet_RRS!O"&amp;1+MATCH(aux_sheet_RRS!$E207,aux_sheet_RRS!$D$2:$D$202,0)))</f>
        <v/>
      </c>
      <c r="H208" s="89" t="str">
        <f ca="1">IF($B208="","",INDIRECT("aux_sheet_RRS!P"&amp;1+MATCH(aux_sheet_RRS!$E207,aux_sheet_RRS!$D$2:$D$202,0)))</f>
        <v/>
      </c>
      <c r="I208" s="90" t="str">
        <f ca="1">IF(G208="","",ROUNDDOWN(INDIRECT("aux_sheet_RRS!Q"&amp;1+MATCH(aux_sheet_RRS!$E207,aux_sheet_RRS!$D$2:$D$202,0)),0))</f>
        <v/>
      </c>
      <c r="J208" s="106" t="str">
        <f ca="1">IF($B208="","",INDIRECT("aux_sheet_RRS!R"&amp;1+MATCH(aux_sheet_RRS!$E207,aux_sheet_RRS!$D$2:$D$202,0)))</f>
        <v/>
      </c>
      <c r="K208" s="89" t="str">
        <f ca="1">IF($B208="","",INDIRECT("aux_sheet_RRS!S"&amp;1+MATCH(aux_sheet_RRS!$E207,aux_sheet_RRS!$D$2:$D$202,0)))</f>
        <v/>
      </c>
      <c r="L208" s="90" t="str">
        <f ca="1">IF(J208="","",ROUNDDOWN(INDIRECT("aux_sheet_RRS!T"&amp;1+MATCH(aux_sheet_RRS!$E207,aux_sheet_RRS!$D$2:$D$202,0)),0))</f>
        <v/>
      </c>
      <c r="M208" s="106" t="str">
        <f ca="1">IF($B208="","",INDIRECT("aux_sheet_RRS!U"&amp;1+MATCH(aux_sheet_RRS!$E207,aux_sheet_RRS!$D$2:$D$202,0)))</f>
        <v/>
      </c>
      <c r="N208" s="89" t="str">
        <f ca="1">IF($B208="","",INDIRECT("aux_sheet_RRS!V"&amp;1+MATCH(aux_sheet_RRS!$E207,aux_sheet_RRS!$D$2:$D$202,0)))</f>
        <v/>
      </c>
      <c r="O208" s="90" t="str">
        <f ca="1">IF(M208="","",ROUNDDOWN(INDIRECT("aux_sheet_RRS!W"&amp;1+MATCH(aux_sheet_RRS!$E207,aux_sheet_RRS!$D$2:$D$202,0)),0))</f>
        <v/>
      </c>
      <c r="P208" s="106" t="str">
        <f ca="1">IF($B208="","",INDIRECT("aux_sheet_RRS!X"&amp;1+MATCH(aux_sheet_RRS!$E207,aux_sheet_RRS!$D$2:$D$202,0)))</f>
        <v/>
      </c>
      <c r="Q208" s="89" t="str">
        <f ca="1">IF($B208="","",INDIRECT("aux_sheet_RRS!Y"&amp;1+MATCH(aux_sheet_RRS!$E207,aux_sheet_RRS!$D$2:$D$202,0)))</f>
        <v/>
      </c>
      <c r="R208" s="90" t="str">
        <f ca="1">IF(P208="","",INDIRECT("aux_sheet_RRS!Z"&amp;1+MATCH(aux_sheet_RRS!$E207,aux_sheet_RRS!$D$2:$D$202,0)))</f>
        <v/>
      </c>
      <c r="S208" s="106" t="str">
        <f ca="1">IF($B208="","",INDIRECT("aux_sheet_RRS!AA"&amp;1+MATCH(aux_sheet_RRS!$E207,aux_sheet_RRS!$D$2:$D$202,0)))</f>
        <v/>
      </c>
      <c r="T208" s="89" t="str">
        <f ca="1">IF($B208="","",INDIRECT("aux_sheet_RRS!AB"&amp;1+MATCH(aux_sheet_RRS!$E207,aux_sheet_RRS!$D$2:$D$202,0)))</f>
        <v/>
      </c>
      <c r="U208" s="90" t="str">
        <f ca="1">IF(S208="","",INDIRECT("aux_sheet_RRS!AC"&amp;1+MATCH(aux_sheet_RRS!$E207,aux_sheet_RRS!$D$2:$D$202,0)))</f>
        <v/>
      </c>
      <c r="V208" s="106" t="str">
        <f ca="1">IF($B208="","",INDIRECT("aux_sheet_RRS!AD"&amp;1+MATCH(aux_sheet_RRS!$E207,aux_sheet_RRS!$D$2:$D$202,0)))</f>
        <v/>
      </c>
      <c r="W208" s="89" t="str">
        <f ca="1">IF($B208="","",INDIRECT("aux_sheet_RRS!AE"&amp;1+MATCH(aux_sheet_RRS!$E207,aux_sheet_RRS!$D$2:$D$202,0)))</f>
        <v/>
      </c>
      <c r="X208" s="90" t="str">
        <f ca="1">IF(V208="","",INDIRECT("aux_sheet_RRS!AF"&amp;1+MATCH(aux_sheet_RRS!$E207,aux_sheet_RRS!$D$2:$D$202,0)))</f>
        <v/>
      </c>
      <c r="Y208" s="106" t="str">
        <f ca="1">IF($B208="","",INDIRECT("aux_sheet_RRS!AG"&amp;1+MATCH(aux_sheet_RRS!$E207,aux_sheet_RRS!$D$2:$D$202,0)))</f>
        <v/>
      </c>
      <c r="Z208" s="89" t="str">
        <f ca="1">IF($B208="","",INDIRECT("aux_sheet_RRS!AH"&amp;1+MATCH(aux_sheet_RRS!$E207,aux_sheet_RRS!$D$2:$D$202,0)))</f>
        <v/>
      </c>
      <c r="AA208" s="90" t="str">
        <f ca="1">IF(Y208="","",INDIRECT("aux_sheet_RRS!AI"&amp;1+MATCH(aux_sheet_RRS!$E207,aux_sheet_RRS!$D$2:$D$202,0)))</f>
        <v/>
      </c>
      <c r="AB208" s="88" t="str">
        <f ca="1">IF($B208="","",INDIRECT("aux_sheet_RRS!AJ"&amp;1+MATCH(aux_sheet_RRS!$E207,aux_sheet_RRS!$D$2:$D$202,0)))</f>
        <v/>
      </c>
      <c r="AC208" s="89" t="str">
        <f ca="1">IF($B208="","",INDIRECT("aux_sheet_RRS!AK"&amp;1+MATCH(aux_sheet_RRS!$E207,aux_sheet_RRS!$D$2:$D$202,0)))</f>
        <v/>
      </c>
      <c r="AD208" s="90" t="str">
        <f ca="1">IF(AB208="","",INDIRECT("aux_sheet_RRS!AL"&amp;1+MATCH(aux_sheet_RRS!$E207,aux_sheet_RRS!$D$2:$D$202,0)))</f>
        <v/>
      </c>
      <c r="AE208" s="88" t="str">
        <f ca="1">IF($B208="","",INDIRECT("aux_sheet_RRS!AM"&amp;1+MATCH(aux_sheet_RRS!$E207,aux_sheet_RRS!$D$2:$D$202,0)))</f>
        <v/>
      </c>
      <c r="AF208" s="89" t="str">
        <f ca="1">IF($B208="","",INDIRECT("aux_sheet_RRS!AN"&amp;1+MATCH(aux_sheet_RRS!$E207,aux_sheet_RRS!$D$2:$D$202,0)))</f>
        <v/>
      </c>
      <c r="AG208" s="90" t="str">
        <f ca="1">IF(AE208="","",INDIRECT("aux_sheet_RRS!AO"&amp;1+MATCH(aux_sheet_RRS!$E207,aux_sheet_RRS!$D$2:$D$202,0)))</f>
        <v/>
      </c>
    </row>
    <row r="209" spans="1:33" x14ac:dyDescent="0.35">
      <c r="A209" s="2"/>
      <c r="B209" s="2"/>
      <c r="C209" s="2"/>
      <c r="D209" s="2"/>
      <c r="E209" s="2"/>
      <c r="F209" s="11"/>
      <c r="G209" s="88" t="str">
        <f ca="1">IF($B209="","",INDIRECT("aux_sheet_RRS!O"&amp;1+MATCH(aux_sheet_RRS!$E208,aux_sheet_RRS!$D$2:$D$202,0)))</f>
        <v/>
      </c>
      <c r="H209" s="89" t="str">
        <f ca="1">IF($B209="","",INDIRECT("aux_sheet_RRS!P"&amp;1+MATCH(aux_sheet_RRS!$E208,aux_sheet_RRS!$D$2:$D$202,0)))</f>
        <v/>
      </c>
      <c r="I209" s="90" t="str">
        <f ca="1">IF(G209="","",ROUNDDOWN(INDIRECT("aux_sheet_RRS!Q"&amp;1+MATCH(aux_sheet_RRS!$E208,aux_sheet_RRS!$D$2:$D$202,0)),0))</f>
        <v/>
      </c>
      <c r="J209" s="106" t="str">
        <f ca="1">IF($B209="","",INDIRECT("aux_sheet_RRS!R"&amp;1+MATCH(aux_sheet_RRS!$E208,aux_sheet_RRS!$D$2:$D$202,0)))</f>
        <v/>
      </c>
      <c r="K209" s="89" t="str">
        <f ca="1">IF($B209="","",INDIRECT("aux_sheet_RRS!S"&amp;1+MATCH(aux_sheet_RRS!$E208,aux_sheet_RRS!$D$2:$D$202,0)))</f>
        <v/>
      </c>
      <c r="L209" s="90" t="str">
        <f ca="1">IF(J209="","",ROUNDDOWN(INDIRECT("aux_sheet_RRS!T"&amp;1+MATCH(aux_sheet_RRS!$E208,aux_sheet_RRS!$D$2:$D$202,0)),0))</f>
        <v/>
      </c>
      <c r="M209" s="106" t="str">
        <f ca="1">IF($B209="","",INDIRECT("aux_sheet_RRS!U"&amp;1+MATCH(aux_sheet_RRS!$E208,aux_sheet_RRS!$D$2:$D$202,0)))</f>
        <v/>
      </c>
      <c r="N209" s="89" t="str">
        <f ca="1">IF($B209="","",INDIRECT("aux_sheet_RRS!V"&amp;1+MATCH(aux_sheet_RRS!$E208,aux_sheet_RRS!$D$2:$D$202,0)))</f>
        <v/>
      </c>
      <c r="O209" s="90" t="str">
        <f ca="1">IF(M209="","",ROUNDDOWN(INDIRECT("aux_sheet_RRS!W"&amp;1+MATCH(aux_sheet_RRS!$E208,aux_sheet_RRS!$D$2:$D$202,0)),0))</f>
        <v/>
      </c>
      <c r="P209" s="106" t="str">
        <f ca="1">IF($B209="","",INDIRECT("aux_sheet_RRS!X"&amp;1+MATCH(aux_sheet_RRS!$E208,aux_sheet_RRS!$D$2:$D$202,0)))</f>
        <v/>
      </c>
      <c r="Q209" s="89" t="str">
        <f ca="1">IF($B209="","",INDIRECT("aux_sheet_RRS!Y"&amp;1+MATCH(aux_sheet_RRS!$E208,aux_sheet_RRS!$D$2:$D$202,0)))</f>
        <v/>
      </c>
      <c r="R209" s="90" t="str">
        <f ca="1">IF(P209="","",INDIRECT("aux_sheet_RRS!Z"&amp;1+MATCH(aux_sheet_RRS!$E208,aux_sheet_RRS!$D$2:$D$202,0)))</f>
        <v/>
      </c>
      <c r="S209" s="106" t="str">
        <f ca="1">IF($B209="","",INDIRECT("aux_sheet_RRS!AA"&amp;1+MATCH(aux_sheet_RRS!$E208,aux_sheet_RRS!$D$2:$D$202,0)))</f>
        <v/>
      </c>
      <c r="T209" s="89" t="str">
        <f ca="1">IF($B209="","",INDIRECT("aux_sheet_RRS!AB"&amp;1+MATCH(aux_sheet_RRS!$E208,aux_sheet_RRS!$D$2:$D$202,0)))</f>
        <v/>
      </c>
      <c r="U209" s="90" t="str">
        <f ca="1">IF(S209="","",INDIRECT("aux_sheet_RRS!AC"&amp;1+MATCH(aux_sheet_RRS!$E208,aux_sheet_RRS!$D$2:$D$202,0)))</f>
        <v/>
      </c>
      <c r="V209" s="106" t="str">
        <f ca="1">IF($B209="","",INDIRECT("aux_sheet_RRS!AD"&amp;1+MATCH(aux_sheet_RRS!$E208,aux_sheet_RRS!$D$2:$D$202,0)))</f>
        <v/>
      </c>
      <c r="W209" s="89" t="str">
        <f ca="1">IF($B209="","",INDIRECT("aux_sheet_RRS!AE"&amp;1+MATCH(aux_sheet_RRS!$E208,aux_sheet_RRS!$D$2:$D$202,0)))</f>
        <v/>
      </c>
      <c r="X209" s="90" t="str">
        <f ca="1">IF(V209="","",INDIRECT("aux_sheet_RRS!AF"&amp;1+MATCH(aux_sheet_RRS!$E208,aux_sheet_RRS!$D$2:$D$202,0)))</f>
        <v/>
      </c>
      <c r="Y209" s="106" t="str">
        <f ca="1">IF($B209="","",INDIRECT("aux_sheet_RRS!AG"&amp;1+MATCH(aux_sheet_RRS!$E208,aux_sheet_RRS!$D$2:$D$202,0)))</f>
        <v/>
      </c>
      <c r="Z209" s="89" t="str">
        <f ca="1">IF($B209="","",INDIRECT("aux_sheet_RRS!AH"&amp;1+MATCH(aux_sheet_RRS!$E208,aux_sheet_RRS!$D$2:$D$202,0)))</f>
        <v/>
      </c>
      <c r="AA209" s="90" t="str">
        <f ca="1">IF(Y209="","",INDIRECT("aux_sheet_RRS!AI"&amp;1+MATCH(aux_sheet_RRS!$E208,aux_sheet_RRS!$D$2:$D$202,0)))</f>
        <v/>
      </c>
      <c r="AB209" s="88" t="str">
        <f ca="1">IF($B209="","",INDIRECT("aux_sheet_RRS!AJ"&amp;1+MATCH(aux_sheet_RRS!$E208,aux_sheet_RRS!$D$2:$D$202,0)))</f>
        <v/>
      </c>
      <c r="AC209" s="89" t="str">
        <f ca="1">IF($B209="","",INDIRECT("aux_sheet_RRS!AK"&amp;1+MATCH(aux_sheet_RRS!$E208,aux_sheet_RRS!$D$2:$D$202,0)))</f>
        <v/>
      </c>
      <c r="AD209" s="90" t="str">
        <f ca="1">IF(AB209="","",INDIRECT("aux_sheet_RRS!AL"&amp;1+MATCH(aux_sheet_RRS!$E208,aux_sheet_RRS!$D$2:$D$202,0)))</f>
        <v/>
      </c>
      <c r="AE209" s="88" t="str">
        <f ca="1">IF($B209="","",INDIRECT("aux_sheet_RRS!AM"&amp;1+MATCH(aux_sheet_RRS!$E208,aux_sheet_RRS!$D$2:$D$202,0)))</f>
        <v/>
      </c>
      <c r="AF209" s="89" t="str">
        <f ca="1">IF($B209="","",INDIRECT("aux_sheet_RRS!AN"&amp;1+MATCH(aux_sheet_RRS!$E208,aux_sheet_RRS!$D$2:$D$202,0)))</f>
        <v/>
      </c>
      <c r="AG209" s="90" t="str">
        <f ca="1">IF(AE209="","",INDIRECT("aux_sheet_RRS!AO"&amp;1+MATCH(aux_sheet_RRS!$E208,aux_sheet_RRS!$D$2:$D$202,0)))</f>
        <v/>
      </c>
    </row>
    <row r="210" spans="1:33" x14ac:dyDescent="0.35">
      <c r="A210" s="2"/>
      <c r="B210" s="2"/>
      <c r="C210" s="2"/>
      <c r="D210" s="2"/>
      <c r="E210" s="2"/>
      <c r="F210" s="11"/>
      <c r="G210" s="88" t="str">
        <f ca="1">IF($B210="","",INDIRECT("aux_sheet_RRS!O"&amp;1+MATCH(aux_sheet_RRS!$E209,aux_sheet_RRS!$D$2:$D$202,0)))</f>
        <v/>
      </c>
      <c r="H210" s="89" t="str">
        <f ca="1">IF($B210="","",INDIRECT("aux_sheet_RRS!P"&amp;1+MATCH(aux_sheet_RRS!$E209,aux_sheet_RRS!$D$2:$D$202,0)))</f>
        <v/>
      </c>
      <c r="I210" s="90" t="str">
        <f ca="1">IF(G210="","",ROUNDDOWN(INDIRECT("aux_sheet_RRS!Q"&amp;1+MATCH(aux_sheet_RRS!$E209,aux_sheet_RRS!$D$2:$D$202,0)),0))</f>
        <v/>
      </c>
      <c r="J210" s="106" t="str">
        <f ca="1">IF($B210="","",INDIRECT("aux_sheet_RRS!R"&amp;1+MATCH(aux_sheet_RRS!$E209,aux_sheet_RRS!$D$2:$D$202,0)))</f>
        <v/>
      </c>
      <c r="K210" s="89" t="str">
        <f ca="1">IF($B210="","",INDIRECT("aux_sheet_RRS!S"&amp;1+MATCH(aux_sheet_RRS!$E209,aux_sheet_RRS!$D$2:$D$202,0)))</f>
        <v/>
      </c>
      <c r="L210" s="90" t="str">
        <f ca="1">IF(J210="","",ROUNDDOWN(INDIRECT("aux_sheet_RRS!T"&amp;1+MATCH(aux_sheet_RRS!$E209,aux_sheet_RRS!$D$2:$D$202,0)),0))</f>
        <v/>
      </c>
      <c r="M210" s="106" t="str">
        <f ca="1">IF($B210="","",INDIRECT("aux_sheet_RRS!U"&amp;1+MATCH(aux_sheet_RRS!$E209,aux_sheet_RRS!$D$2:$D$202,0)))</f>
        <v/>
      </c>
      <c r="N210" s="89" t="str">
        <f ca="1">IF($B210="","",INDIRECT("aux_sheet_RRS!V"&amp;1+MATCH(aux_sheet_RRS!$E209,aux_sheet_RRS!$D$2:$D$202,0)))</f>
        <v/>
      </c>
      <c r="O210" s="90" t="str">
        <f ca="1">IF(M210="","",ROUNDDOWN(INDIRECT("aux_sheet_RRS!W"&amp;1+MATCH(aux_sheet_RRS!$E209,aux_sheet_RRS!$D$2:$D$202,0)),0))</f>
        <v/>
      </c>
      <c r="P210" s="106" t="str">
        <f ca="1">IF($B210="","",INDIRECT("aux_sheet_RRS!X"&amp;1+MATCH(aux_sheet_RRS!$E209,aux_sheet_RRS!$D$2:$D$202,0)))</f>
        <v/>
      </c>
      <c r="Q210" s="89" t="str">
        <f ca="1">IF($B210="","",INDIRECT("aux_sheet_RRS!Y"&amp;1+MATCH(aux_sheet_RRS!$E209,aux_sheet_RRS!$D$2:$D$202,0)))</f>
        <v/>
      </c>
      <c r="R210" s="90" t="str">
        <f ca="1">IF(P210="","",INDIRECT("aux_sheet_RRS!Z"&amp;1+MATCH(aux_sheet_RRS!$E209,aux_sheet_RRS!$D$2:$D$202,0)))</f>
        <v/>
      </c>
      <c r="S210" s="106" t="str">
        <f ca="1">IF($B210="","",INDIRECT("aux_sheet_RRS!AA"&amp;1+MATCH(aux_sheet_RRS!$E209,aux_sheet_RRS!$D$2:$D$202,0)))</f>
        <v/>
      </c>
      <c r="T210" s="89" t="str">
        <f ca="1">IF($B210="","",INDIRECT("aux_sheet_RRS!AB"&amp;1+MATCH(aux_sheet_RRS!$E209,aux_sheet_RRS!$D$2:$D$202,0)))</f>
        <v/>
      </c>
      <c r="U210" s="90" t="str">
        <f ca="1">IF(S210="","",INDIRECT("aux_sheet_RRS!AC"&amp;1+MATCH(aux_sheet_RRS!$E209,aux_sheet_RRS!$D$2:$D$202,0)))</f>
        <v/>
      </c>
      <c r="V210" s="106" t="str">
        <f ca="1">IF($B210="","",INDIRECT("aux_sheet_RRS!AD"&amp;1+MATCH(aux_sheet_RRS!$E209,aux_sheet_RRS!$D$2:$D$202,0)))</f>
        <v/>
      </c>
      <c r="W210" s="89" t="str">
        <f ca="1">IF($B210="","",INDIRECT("aux_sheet_RRS!AE"&amp;1+MATCH(aux_sheet_RRS!$E209,aux_sheet_RRS!$D$2:$D$202,0)))</f>
        <v/>
      </c>
      <c r="X210" s="90" t="str">
        <f ca="1">IF(V210="","",INDIRECT("aux_sheet_RRS!AF"&amp;1+MATCH(aux_sheet_RRS!$E209,aux_sheet_RRS!$D$2:$D$202,0)))</f>
        <v/>
      </c>
      <c r="Y210" s="106" t="str">
        <f ca="1">IF($B210="","",INDIRECT("aux_sheet_RRS!AG"&amp;1+MATCH(aux_sheet_RRS!$E209,aux_sheet_RRS!$D$2:$D$202,0)))</f>
        <v/>
      </c>
      <c r="Z210" s="89" t="str">
        <f ca="1">IF($B210="","",INDIRECT("aux_sheet_RRS!AH"&amp;1+MATCH(aux_sheet_RRS!$E209,aux_sheet_RRS!$D$2:$D$202,0)))</f>
        <v/>
      </c>
      <c r="AA210" s="90" t="str">
        <f ca="1">IF(Y210="","",INDIRECT("aux_sheet_RRS!AI"&amp;1+MATCH(aux_sheet_RRS!$E209,aux_sheet_RRS!$D$2:$D$202,0)))</f>
        <v/>
      </c>
      <c r="AB210" s="88" t="str">
        <f ca="1">IF($B210="","",INDIRECT("aux_sheet_RRS!AJ"&amp;1+MATCH(aux_sheet_RRS!$E209,aux_sheet_RRS!$D$2:$D$202,0)))</f>
        <v/>
      </c>
      <c r="AC210" s="89" t="str">
        <f ca="1">IF($B210="","",INDIRECT("aux_sheet_RRS!AK"&amp;1+MATCH(aux_sheet_RRS!$E209,aux_sheet_RRS!$D$2:$D$202,0)))</f>
        <v/>
      </c>
      <c r="AD210" s="90" t="str">
        <f ca="1">IF(AB210="","",INDIRECT("aux_sheet_RRS!AL"&amp;1+MATCH(aux_sheet_RRS!$E209,aux_sheet_RRS!$D$2:$D$202,0)))</f>
        <v/>
      </c>
      <c r="AE210" s="88" t="str">
        <f ca="1">IF($B210="","",INDIRECT("aux_sheet_RRS!AM"&amp;1+MATCH(aux_sheet_RRS!$E209,aux_sheet_RRS!$D$2:$D$202,0)))</f>
        <v/>
      </c>
      <c r="AF210" s="89" t="str">
        <f ca="1">IF($B210="","",INDIRECT("aux_sheet_RRS!AN"&amp;1+MATCH(aux_sheet_RRS!$E209,aux_sheet_RRS!$D$2:$D$202,0)))</f>
        <v/>
      </c>
      <c r="AG210" s="90" t="str">
        <f ca="1">IF(AE210="","",INDIRECT("aux_sheet_RRS!AO"&amp;1+MATCH(aux_sheet_RRS!$E209,aux_sheet_RRS!$D$2:$D$202,0)))</f>
        <v/>
      </c>
    </row>
    <row r="211" spans="1:33" x14ac:dyDescent="0.35">
      <c r="A211" s="2"/>
      <c r="B211" s="2"/>
      <c r="C211" s="2"/>
      <c r="D211" s="2"/>
      <c r="E211" s="2"/>
      <c r="F211" s="11"/>
      <c r="G211" s="88" t="str">
        <f ca="1">IF($B211="","",INDIRECT("aux_sheet_RRS!O"&amp;1+MATCH(aux_sheet_RRS!$E210,aux_sheet_RRS!$D$2:$D$202,0)))</f>
        <v/>
      </c>
      <c r="H211" s="89" t="str">
        <f ca="1">IF($B211="","",INDIRECT("aux_sheet_RRS!P"&amp;1+MATCH(aux_sheet_RRS!$E210,aux_sheet_RRS!$D$2:$D$202,0)))</f>
        <v/>
      </c>
      <c r="I211" s="90" t="str">
        <f ca="1">IF(G211="","",ROUNDDOWN(INDIRECT("aux_sheet_RRS!Q"&amp;1+MATCH(aux_sheet_RRS!$E210,aux_sheet_RRS!$D$2:$D$202,0)),0))</f>
        <v/>
      </c>
      <c r="J211" s="106" t="str">
        <f ca="1">IF($B211="","",INDIRECT("aux_sheet_RRS!R"&amp;1+MATCH(aux_sheet_RRS!$E210,aux_sheet_RRS!$D$2:$D$202,0)))</f>
        <v/>
      </c>
      <c r="K211" s="89" t="str">
        <f ca="1">IF($B211="","",INDIRECT("aux_sheet_RRS!S"&amp;1+MATCH(aux_sheet_RRS!$E210,aux_sheet_RRS!$D$2:$D$202,0)))</f>
        <v/>
      </c>
      <c r="L211" s="90" t="str">
        <f ca="1">IF(J211="","",ROUNDDOWN(INDIRECT("aux_sheet_RRS!T"&amp;1+MATCH(aux_sheet_RRS!$E210,aux_sheet_RRS!$D$2:$D$202,0)),0))</f>
        <v/>
      </c>
      <c r="M211" s="106" t="str">
        <f ca="1">IF($B211="","",INDIRECT("aux_sheet_RRS!U"&amp;1+MATCH(aux_sheet_RRS!$E210,aux_sheet_RRS!$D$2:$D$202,0)))</f>
        <v/>
      </c>
      <c r="N211" s="89" t="str">
        <f ca="1">IF($B211="","",INDIRECT("aux_sheet_RRS!V"&amp;1+MATCH(aux_sheet_RRS!$E210,aux_sheet_RRS!$D$2:$D$202,0)))</f>
        <v/>
      </c>
      <c r="O211" s="90" t="str">
        <f ca="1">IF(M211="","",ROUNDDOWN(INDIRECT("aux_sheet_RRS!W"&amp;1+MATCH(aux_sheet_RRS!$E210,aux_sheet_RRS!$D$2:$D$202,0)),0))</f>
        <v/>
      </c>
      <c r="P211" s="106" t="str">
        <f ca="1">IF($B211="","",INDIRECT("aux_sheet_RRS!X"&amp;1+MATCH(aux_sheet_RRS!$E210,aux_sheet_RRS!$D$2:$D$202,0)))</f>
        <v/>
      </c>
      <c r="Q211" s="89" t="str">
        <f ca="1">IF($B211="","",INDIRECT("aux_sheet_RRS!Y"&amp;1+MATCH(aux_sheet_RRS!$E210,aux_sheet_RRS!$D$2:$D$202,0)))</f>
        <v/>
      </c>
      <c r="R211" s="90" t="str">
        <f ca="1">IF(P211="","",INDIRECT("aux_sheet_RRS!Z"&amp;1+MATCH(aux_sheet_RRS!$E210,aux_sheet_RRS!$D$2:$D$202,0)))</f>
        <v/>
      </c>
      <c r="S211" s="106" t="str">
        <f ca="1">IF($B211="","",INDIRECT("aux_sheet_RRS!AA"&amp;1+MATCH(aux_sheet_RRS!$E210,aux_sheet_RRS!$D$2:$D$202,0)))</f>
        <v/>
      </c>
      <c r="T211" s="89" t="str">
        <f ca="1">IF($B211="","",INDIRECT("aux_sheet_RRS!AB"&amp;1+MATCH(aux_sheet_RRS!$E210,aux_sheet_RRS!$D$2:$D$202,0)))</f>
        <v/>
      </c>
      <c r="U211" s="90" t="str">
        <f ca="1">IF(S211="","",INDIRECT("aux_sheet_RRS!AC"&amp;1+MATCH(aux_sheet_RRS!$E210,aux_sheet_RRS!$D$2:$D$202,0)))</f>
        <v/>
      </c>
      <c r="V211" s="106" t="str">
        <f ca="1">IF($B211="","",INDIRECT("aux_sheet_RRS!AD"&amp;1+MATCH(aux_sheet_RRS!$E210,aux_sheet_RRS!$D$2:$D$202,0)))</f>
        <v/>
      </c>
      <c r="W211" s="89" t="str">
        <f ca="1">IF($B211="","",INDIRECT("aux_sheet_RRS!AE"&amp;1+MATCH(aux_sheet_RRS!$E210,aux_sheet_RRS!$D$2:$D$202,0)))</f>
        <v/>
      </c>
      <c r="X211" s="90" t="str">
        <f ca="1">IF(V211="","",INDIRECT("aux_sheet_RRS!AF"&amp;1+MATCH(aux_sheet_RRS!$E210,aux_sheet_RRS!$D$2:$D$202,0)))</f>
        <v/>
      </c>
      <c r="Y211" s="106" t="str">
        <f ca="1">IF($B211="","",INDIRECT("aux_sheet_RRS!AG"&amp;1+MATCH(aux_sheet_RRS!$E210,aux_sheet_RRS!$D$2:$D$202,0)))</f>
        <v/>
      </c>
      <c r="Z211" s="89" t="str">
        <f ca="1">IF($B211="","",INDIRECT("aux_sheet_RRS!AH"&amp;1+MATCH(aux_sheet_RRS!$E210,aux_sheet_RRS!$D$2:$D$202,0)))</f>
        <v/>
      </c>
      <c r="AA211" s="90" t="str">
        <f ca="1">IF(Y211="","",INDIRECT("aux_sheet_RRS!AI"&amp;1+MATCH(aux_sheet_RRS!$E210,aux_sheet_RRS!$D$2:$D$202,0)))</f>
        <v/>
      </c>
      <c r="AB211" s="88" t="str">
        <f ca="1">IF($B211="","",INDIRECT("aux_sheet_RRS!AJ"&amp;1+MATCH(aux_sheet_RRS!$E210,aux_sheet_RRS!$D$2:$D$202,0)))</f>
        <v/>
      </c>
      <c r="AC211" s="89" t="str">
        <f ca="1">IF($B211="","",INDIRECT("aux_sheet_RRS!AK"&amp;1+MATCH(aux_sheet_RRS!$E210,aux_sheet_RRS!$D$2:$D$202,0)))</f>
        <v/>
      </c>
      <c r="AD211" s="90" t="str">
        <f ca="1">IF(AB211="","",INDIRECT("aux_sheet_RRS!AL"&amp;1+MATCH(aux_sheet_RRS!$E210,aux_sheet_RRS!$D$2:$D$202,0)))</f>
        <v/>
      </c>
      <c r="AE211" s="88" t="str">
        <f ca="1">IF($B211="","",INDIRECT("aux_sheet_RRS!AM"&amp;1+MATCH(aux_sheet_RRS!$E210,aux_sheet_RRS!$D$2:$D$202,0)))</f>
        <v/>
      </c>
      <c r="AF211" s="89" t="str">
        <f ca="1">IF($B211="","",INDIRECT("aux_sheet_RRS!AN"&amp;1+MATCH(aux_sheet_RRS!$E210,aux_sheet_RRS!$D$2:$D$202,0)))</f>
        <v/>
      </c>
      <c r="AG211" s="90" t="str">
        <f ca="1">IF(AE211="","",INDIRECT("aux_sheet_RRS!AO"&amp;1+MATCH(aux_sheet_RRS!$E210,aux_sheet_RRS!$D$2:$D$202,0)))</f>
        <v/>
      </c>
    </row>
    <row r="212" spans="1:33" x14ac:dyDescent="0.35">
      <c r="G212" s="88" t="str">
        <f ca="1">IF($B212="","",INDIRECT("aux_sheet_RRS!O"&amp;1+MATCH(aux_sheet_RRS!$E211,aux_sheet_RRS!$D$2:$D$202,0)))</f>
        <v/>
      </c>
      <c r="H212" s="89" t="str">
        <f ca="1">IF($B212="","",INDIRECT("aux_sheet_RRS!P"&amp;1+MATCH(aux_sheet_RRS!$E211,aux_sheet_RRS!$D$2:$D$202,0)))</f>
        <v/>
      </c>
      <c r="I212" s="90" t="str">
        <f ca="1">IF(G212="","",ROUNDDOWN(INDIRECT("aux_sheet_RRS!Q"&amp;1+MATCH(aux_sheet_RRS!$E211,aux_sheet_RRS!$D$2:$D$202,0)),0))</f>
        <v/>
      </c>
      <c r="J212" s="106" t="str">
        <f ca="1">IF($B212="","",INDIRECT("aux_sheet_RRS!R"&amp;1+MATCH(aux_sheet_RRS!$E211,aux_sheet_RRS!$D$2:$D$202,0)))</f>
        <v/>
      </c>
      <c r="K212" s="89" t="str">
        <f ca="1">IF($B212="","",INDIRECT("aux_sheet_RRS!S"&amp;1+MATCH(aux_sheet_RRS!$E211,aux_sheet_RRS!$D$2:$D$202,0)))</f>
        <v/>
      </c>
      <c r="L212" s="90" t="str">
        <f ca="1">IF(J212="","",ROUNDDOWN(INDIRECT("aux_sheet_RRS!T"&amp;1+MATCH(aux_sheet_RRS!$E211,aux_sheet_RRS!$D$2:$D$202,0)),0))</f>
        <v/>
      </c>
      <c r="M212" s="106" t="str">
        <f ca="1">IF($B212="","",INDIRECT("aux_sheet_RRS!U"&amp;1+MATCH(aux_sheet_RRS!$E211,aux_sheet_RRS!$D$2:$D$202,0)))</f>
        <v/>
      </c>
      <c r="N212" s="89" t="str">
        <f ca="1">IF($B212="","",INDIRECT("aux_sheet_RRS!V"&amp;1+MATCH(aux_sheet_RRS!$E211,aux_sheet_RRS!$D$2:$D$202,0)))</f>
        <v/>
      </c>
      <c r="O212" s="90" t="str">
        <f ca="1">IF(M212="","",ROUNDDOWN(INDIRECT("aux_sheet_RRS!W"&amp;1+MATCH(aux_sheet_RRS!$E211,aux_sheet_RRS!$D$2:$D$202,0)),0))</f>
        <v/>
      </c>
      <c r="P212" s="106" t="str">
        <f ca="1">IF($B212="","",INDIRECT("aux_sheet_RRS!X"&amp;1+MATCH(aux_sheet_RRS!$E211,aux_sheet_RRS!$D$2:$D$202,0)))</f>
        <v/>
      </c>
      <c r="Q212" s="89" t="str">
        <f ca="1">IF($B212="","",INDIRECT("aux_sheet_RRS!Y"&amp;1+MATCH(aux_sheet_RRS!$E211,aux_sheet_RRS!$D$2:$D$202,0)))</f>
        <v/>
      </c>
      <c r="R212" s="90" t="str">
        <f ca="1">IF(P212="","",INDIRECT("aux_sheet_RRS!Z"&amp;1+MATCH(aux_sheet_RRS!$E211,aux_sheet_RRS!$D$2:$D$202,0)))</f>
        <v/>
      </c>
      <c r="S212" s="106" t="str">
        <f ca="1">IF($B212="","",INDIRECT("aux_sheet_RRS!AA"&amp;1+MATCH(aux_sheet_RRS!$E211,aux_sheet_RRS!$D$2:$D$202,0)))</f>
        <v/>
      </c>
      <c r="T212" s="89" t="str">
        <f ca="1">IF($B212="","",INDIRECT("aux_sheet_RRS!AB"&amp;1+MATCH(aux_sheet_RRS!$E211,aux_sheet_RRS!$D$2:$D$202,0)))</f>
        <v/>
      </c>
      <c r="U212" s="90" t="str">
        <f ca="1">IF(S212="","",INDIRECT("aux_sheet_RRS!AC"&amp;1+MATCH(aux_sheet_RRS!$E211,aux_sheet_RRS!$D$2:$D$202,0)))</f>
        <v/>
      </c>
      <c r="V212" s="106" t="str">
        <f ca="1">IF($B212="","",INDIRECT("aux_sheet_RRS!AD"&amp;1+MATCH(aux_sheet_RRS!$E211,aux_sheet_RRS!$D$2:$D$202,0)))</f>
        <v/>
      </c>
      <c r="W212" s="89" t="str">
        <f ca="1">IF($B212="","",INDIRECT("aux_sheet_RRS!AE"&amp;1+MATCH(aux_sheet_RRS!$E211,aux_sheet_RRS!$D$2:$D$202,0)))</f>
        <v/>
      </c>
      <c r="X212" s="90" t="str">
        <f ca="1">IF(V212="","",INDIRECT("aux_sheet_RRS!AF"&amp;1+MATCH(aux_sheet_RRS!$E211,aux_sheet_RRS!$D$2:$D$202,0)))</f>
        <v/>
      </c>
      <c r="Y212" s="106" t="str">
        <f ca="1">IF($B212="","",INDIRECT("aux_sheet_RRS!AG"&amp;1+MATCH(aux_sheet_RRS!$E211,aux_sheet_RRS!$D$2:$D$202,0)))</f>
        <v/>
      </c>
      <c r="Z212" s="89" t="str">
        <f ca="1">IF($B212="","",INDIRECT("aux_sheet_RRS!AH"&amp;1+MATCH(aux_sheet_RRS!$E211,aux_sheet_RRS!$D$2:$D$202,0)))</f>
        <v/>
      </c>
      <c r="AA212" s="90" t="str">
        <f ca="1">IF(Y212="","",INDIRECT("aux_sheet_RRS!AI"&amp;1+MATCH(aux_sheet_RRS!$E211,aux_sheet_RRS!$D$2:$D$202,0)))</f>
        <v/>
      </c>
      <c r="AB212" s="88" t="str">
        <f ca="1">IF($B212="","",INDIRECT("aux_sheet_RRS!AJ"&amp;1+MATCH(aux_sheet_RRS!$E211,aux_sheet_RRS!$D$2:$D$202,0)))</f>
        <v/>
      </c>
      <c r="AC212" s="89" t="str">
        <f ca="1">IF($B212="","",INDIRECT("aux_sheet_RRS!AK"&amp;1+MATCH(aux_sheet_RRS!$E211,aux_sheet_RRS!$D$2:$D$202,0)))</f>
        <v/>
      </c>
      <c r="AD212" s="90" t="str">
        <f ca="1">IF(AB212="","",INDIRECT("aux_sheet_RRS!AL"&amp;1+MATCH(aux_sheet_RRS!$E211,aux_sheet_RRS!$D$2:$D$202,0)))</f>
        <v/>
      </c>
      <c r="AE212" s="88" t="str">
        <f ca="1">IF($B212="","",INDIRECT("aux_sheet_RRS!AM"&amp;1+MATCH(aux_sheet_RRS!$E211,aux_sheet_RRS!$D$2:$D$202,0)))</f>
        <v/>
      </c>
      <c r="AF212" s="89" t="str">
        <f ca="1">IF($B212="","",INDIRECT("aux_sheet_RRS!AN"&amp;1+MATCH(aux_sheet_RRS!$E211,aux_sheet_RRS!$D$2:$D$202,0)))</f>
        <v/>
      </c>
      <c r="AG212" s="90" t="str">
        <f ca="1">IF(AE212="","",INDIRECT("aux_sheet_RRS!AO"&amp;1+MATCH(aux_sheet_RRS!$E211,aux_sheet_RRS!$D$2:$D$202,0)))</f>
        <v/>
      </c>
    </row>
    <row r="213" spans="1:33" x14ac:dyDescent="0.35">
      <c r="G213" s="88" t="str">
        <f ca="1">IF($B213="","",INDIRECT("aux_sheet_RRS!O"&amp;1+MATCH(aux_sheet_RRS!$E212,aux_sheet_RRS!$D$2:$D$202,0)))</f>
        <v/>
      </c>
      <c r="H213" s="89" t="str">
        <f ca="1">IF($B213="","",INDIRECT("aux_sheet_RRS!P"&amp;1+MATCH(aux_sheet_RRS!$E212,aux_sheet_RRS!$D$2:$D$202,0)))</f>
        <v/>
      </c>
      <c r="I213" s="90" t="str">
        <f ca="1">IF(G213="","",ROUNDDOWN(INDIRECT("aux_sheet_RRS!Q"&amp;1+MATCH(aux_sheet_RRS!$E212,aux_sheet_RRS!$D$2:$D$202,0)),0))</f>
        <v/>
      </c>
      <c r="J213" s="106" t="str">
        <f ca="1">IF($B213="","",INDIRECT("aux_sheet_RRS!R"&amp;1+MATCH(aux_sheet_RRS!$E212,aux_sheet_RRS!$D$2:$D$202,0)))</f>
        <v/>
      </c>
      <c r="K213" s="89" t="str">
        <f ca="1">IF($B213="","",INDIRECT("aux_sheet_RRS!S"&amp;1+MATCH(aux_sheet_RRS!$E212,aux_sheet_RRS!$D$2:$D$202,0)))</f>
        <v/>
      </c>
      <c r="L213" s="90" t="str">
        <f ca="1">IF(J213="","",ROUNDDOWN(INDIRECT("aux_sheet_RRS!T"&amp;1+MATCH(aux_sheet_RRS!$E212,aux_sheet_RRS!$D$2:$D$202,0)),0))</f>
        <v/>
      </c>
      <c r="M213" s="106" t="str">
        <f ca="1">IF($B213="","",INDIRECT("aux_sheet_RRS!U"&amp;1+MATCH(aux_sheet_RRS!$E212,aux_sheet_RRS!$D$2:$D$202,0)))</f>
        <v/>
      </c>
      <c r="N213" s="89" t="str">
        <f ca="1">IF($B213="","",INDIRECT("aux_sheet_RRS!V"&amp;1+MATCH(aux_sheet_RRS!$E212,aux_sheet_RRS!$D$2:$D$202,0)))</f>
        <v/>
      </c>
      <c r="O213" s="90" t="str">
        <f ca="1">IF(M213="","",ROUNDDOWN(INDIRECT("aux_sheet_RRS!W"&amp;1+MATCH(aux_sheet_RRS!$E212,aux_sheet_RRS!$D$2:$D$202,0)),0))</f>
        <v/>
      </c>
      <c r="P213" s="106" t="str">
        <f ca="1">IF($B213="","",INDIRECT("aux_sheet_RRS!X"&amp;1+MATCH(aux_sheet_RRS!$E212,aux_sheet_RRS!$D$2:$D$202,0)))</f>
        <v/>
      </c>
      <c r="Q213" s="89" t="str">
        <f ca="1">IF($B213="","",INDIRECT("aux_sheet_RRS!Y"&amp;1+MATCH(aux_sheet_RRS!$E212,aux_sheet_RRS!$D$2:$D$202,0)))</f>
        <v/>
      </c>
      <c r="R213" s="90" t="str">
        <f ca="1">IF(P213="","",INDIRECT("aux_sheet_RRS!Z"&amp;1+MATCH(aux_sheet_RRS!$E212,aux_sheet_RRS!$D$2:$D$202,0)))</f>
        <v/>
      </c>
      <c r="S213" s="106" t="str">
        <f ca="1">IF($B213="","",INDIRECT("aux_sheet_RRS!AA"&amp;1+MATCH(aux_sheet_RRS!$E212,aux_sheet_RRS!$D$2:$D$202,0)))</f>
        <v/>
      </c>
      <c r="T213" s="89" t="str">
        <f ca="1">IF($B213="","",INDIRECT("aux_sheet_RRS!AB"&amp;1+MATCH(aux_sheet_RRS!$E212,aux_sheet_RRS!$D$2:$D$202,0)))</f>
        <v/>
      </c>
      <c r="U213" s="90" t="str">
        <f ca="1">IF(S213="","",INDIRECT("aux_sheet_RRS!AC"&amp;1+MATCH(aux_sheet_RRS!$E212,aux_sheet_RRS!$D$2:$D$202,0)))</f>
        <v/>
      </c>
      <c r="V213" s="106" t="str">
        <f ca="1">IF($B213="","",INDIRECT("aux_sheet_RRS!AD"&amp;1+MATCH(aux_sheet_RRS!$E212,aux_sheet_RRS!$D$2:$D$202,0)))</f>
        <v/>
      </c>
      <c r="W213" s="89" t="str">
        <f ca="1">IF($B213="","",INDIRECT("aux_sheet_RRS!AE"&amp;1+MATCH(aux_sheet_RRS!$E212,aux_sheet_RRS!$D$2:$D$202,0)))</f>
        <v/>
      </c>
      <c r="X213" s="90" t="str">
        <f ca="1">IF(V213="","",INDIRECT("aux_sheet_RRS!AF"&amp;1+MATCH(aux_sheet_RRS!$E212,aux_sheet_RRS!$D$2:$D$202,0)))</f>
        <v/>
      </c>
      <c r="Y213" s="106" t="str">
        <f ca="1">IF($B213="","",INDIRECT("aux_sheet_RRS!AG"&amp;1+MATCH(aux_sheet_RRS!$E212,aux_sheet_RRS!$D$2:$D$202,0)))</f>
        <v/>
      </c>
      <c r="Z213" s="89" t="str">
        <f ca="1">IF($B213="","",INDIRECT("aux_sheet_RRS!AH"&amp;1+MATCH(aux_sheet_RRS!$E212,aux_sheet_RRS!$D$2:$D$202,0)))</f>
        <v/>
      </c>
      <c r="AA213" s="90" t="str">
        <f ca="1">IF(Y213="","",INDIRECT("aux_sheet_RRS!AI"&amp;1+MATCH(aux_sheet_RRS!$E212,aux_sheet_RRS!$D$2:$D$202,0)))</f>
        <v/>
      </c>
      <c r="AB213" s="88" t="str">
        <f ca="1">IF($B213="","",INDIRECT("aux_sheet_RRS!AJ"&amp;1+MATCH(aux_sheet_RRS!$E212,aux_sheet_RRS!$D$2:$D$202,0)))</f>
        <v/>
      </c>
      <c r="AC213" s="89" t="str">
        <f ca="1">IF($B213="","",INDIRECT("aux_sheet_RRS!AK"&amp;1+MATCH(aux_sheet_RRS!$E212,aux_sheet_RRS!$D$2:$D$202,0)))</f>
        <v/>
      </c>
      <c r="AD213" s="90" t="str">
        <f ca="1">IF(AB213="","",INDIRECT("aux_sheet_RRS!AL"&amp;1+MATCH(aux_sheet_RRS!$E212,aux_sheet_RRS!$D$2:$D$202,0)))</f>
        <v/>
      </c>
      <c r="AE213" s="88" t="str">
        <f ca="1">IF($B213="","",INDIRECT("aux_sheet_RRS!AM"&amp;1+MATCH(aux_sheet_RRS!$E212,aux_sheet_RRS!$D$2:$D$202,0)))</f>
        <v/>
      </c>
      <c r="AF213" s="89" t="str">
        <f ca="1">IF($B213="","",INDIRECT("aux_sheet_RRS!AN"&amp;1+MATCH(aux_sheet_RRS!$E212,aux_sheet_RRS!$D$2:$D$202,0)))</f>
        <v/>
      </c>
      <c r="AG213" s="90" t="str">
        <f ca="1">IF(AE213="","",INDIRECT("aux_sheet_RRS!AO"&amp;1+MATCH(aux_sheet_RRS!$E212,aux_sheet_RRS!$D$2:$D$202,0)))</f>
        <v/>
      </c>
    </row>
    <row r="214" spans="1:33" x14ac:dyDescent="0.35">
      <c r="G214" s="88" t="str">
        <f ca="1">IF($B214="","",INDIRECT("aux_sheet_RRS!O"&amp;1+MATCH(aux_sheet_RRS!$E213,aux_sheet_RRS!$D$2:$D$202,0)))</f>
        <v/>
      </c>
      <c r="H214" s="89" t="str">
        <f ca="1">IF($B214="","",INDIRECT("aux_sheet_RRS!P"&amp;1+MATCH(aux_sheet_RRS!$E213,aux_sheet_RRS!$D$2:$D$202,0)))</f>
        <v/>
      </c>
      <c r="I214" s="90" t="str">
        <f ca="1">IF(G214="","",ROUNDDOWN(INDIRECT("aux_sheet_RRS!Q"&amp;1+MATCH(aux_sheet_RRS!$E213,aux_sheet_RRS!$D$2:$D$202,0)),0))</f>
        <v/>
      </c>
      <c r="J214" s="106" t="str">
        <f ca="1">IF($B214="","",INDIRECT("aux_sheet_RRS!R"&amp;1+MATCH(aux_sheet_RRS!$E213,aux_sheet_RRS!$D$2:$D$202,0)))</f>
        <v/>
      </c>
      <c r="K214" s="89" t="str">
        <f ca="1">IF($B214="","",INDIRECT("aux_sheet_RRS!S"&amp;1+MATCH(aux_sheet_RRS!$E213,aux_sheet_RRS!$D$2:$D$202,0)))</f>
        <v/>
      </c>
      <c r="L214" s="90" t="str">
        <f ca="1">IF(J214="","",ROUNDDOWN(INDIRECT("aux_sheet_RRS!T"&amp;1+MATCH(aux_sheet_RRS!$E213,aux_sheet_RRS!$D$2:$D$202,0)),0))</f>
        <v/>
      </c>
      <c r="M214" s="106" t="str">
        <f ca="1">IF($B214="","",INDIRECT("aux_sheet_RRS!U"&amp;1+MATCH(aux_sheet_RRS!$E213,aux_sheet_RRS!$D$2:$D$202,0)))</f>
        <v/>
      </c>
      <c r="N214" s="89" t="str">
        <f ca="1">IF($B214="","",INDIRECT("aux_sheet_RRS!V"&amp;1+MATCH(aux_sheet_RRS!$E213,aux_sheet_RRS!$D$2:$D$202,0)))</f>
        <v/>
      </c>
      <c r="O214" s="90" t="str">
        <f ca="1">IF(M214="","",ROUNDDOWN(INDIRECT("aux_sheet_RRS!W"&amp;1+MATCH(aux_sheet_RRS!$E213,aux_sheet_RRS!$D$2:$D$202,0)),0))</f>
        <v/>
      </c>
      <c r="P214" s="106" t="str">
        <f ca="1">IF($B214="","",INDIRECT("aux_sheet_RRS!X"&amp;1+MATCH(aux_sheet_RRS!$E213,aux_sheet_RRS!$D$2:$D$202,0)))</f>
        <v/>
      </c>
      <c r="Q214" s="89" t="str">
        <f ca="1">IF($B214="","",INDIRECT("aux_sheet_RRS!Y"&amp;1+MATCH(aux_sheet_RRS!$E213,aux_sheet_RRS!$D$2:$D$202,0)))</f>
        <v/>
      </c>
      <c r="R214" s="90" t="str">
        <f ca="1">IF(P214="","",INDIRECT("aux_sheet_RRS!Z"&amp;1+MATCH(aux_sheet_RRS!$E213,aux_sheet_RRS!$D$2:$D$202,0)))</f>
        <v/>
      </c>
      <c r="S214" s="106" t="str">
        <f ca="1">IF($B214="","",INDIRECT("aux_sheet_RRS!AA"&amp;1+MATCH(aux_sheet_RRS!$E213,aux_sheet_RRS!$D$2:$D$202,0)))</f>
        <v/>
      </c>
      <c r="T214" s="89" t="str">
        <f ca="1">IF($B214="","",INDIRECT("aux_sheet_RRS!AB"&amp;1+MATCH(aux_sheet_RRS!$E213,aux_sheet_RRS!$D$2:$D$202,0)))</f>
        <v/>
      </c>
      <c r="U214" s="90" t="str">
        <f ca="1">IF(S214="","",INDIRECT("aux_sheet_RRS!AC"&amp;1+MATCH(aux_sheet_RRS!$E213,aux_sheet_RRS!$D$2:$D$202,0)))</f>
        <v/>
      </c>
      <c r="V214" s="106" t="str">
        <f ca="1">IF($B214="","",INDIRECT("aux_sheet_RRS!AD"&amp;1+MATCH(aux_sheet_RRS!$E213,aux_sheet_RRS!$D$2:$D$202,0)))</f>
        <v/>
      </c>
      <c r="W214" s="89" t="str">
        <f ca="1">IF($B214="","",INDIRECT("aux_sheet_RRS!AE"&amp;1+MATCH(aux_sheet_RRS!$E213,aux_sheet_RRS!$D$2:$D$202,0)))</f>
        <v/>
      </c>
      <c r="X214" s="90" t="str">
        <f ca="1">IF(V214="","",INDIRECT("aux_sheet_RRS!AF"&amp;1+MATCH(aux_sheet_RRS!$E213,aux_sheet_RRS!$D$2:$D$202,0)))</f>
        <v/>
      </c>
      <c r="Y214" s="106" t="str">
        <f ca="1">IF($B214="","",INDIRECT("aux_sheet_RRS!AG"&amp;1+MATCH(aux_sheet_RRS!$E213,aux_sheet_RRS!$D$2:$D$202,0)))</f>
        <v/>
      </c>
      <c r="Z214" s="89" t="str">
        <f ca="1">IF($B214="","",INDIRECT("aux_sheet_RRS!AH"&amp;1+MATCH(aux_sheet_RRS!$E213,aux_sheet_RRS!$D$2:$D$202,0)))</f>
        <v/>
      </c>
      <c r="AA214" s="90" t="str">
        <f ca="1">IF(Y214="","",INDIRECT("aux_sheet_RRS!AI"&amp;1+MATCH(aux_sheet_RRS!$E213,aux_sheet_RRS!$D$2:$D$202,0)))</f>
        <v/>
      </c>
      <c r="AB214" s="88" t="str">
        <f ca="1">IF($B214="","",INDIRECT("aux_sheet_RRS!AJ"&amp;1+MATCH(aux_sheet_RRS!$E213,aux_sheet_RRS!$D$2:$D$202,0)))</f>
        <v/>
      </c>
      <c r="AC214" s="89" t="str">
        <f ca="1">IF($B214="","",INDIRECT("aux_sheet_RRS!AK"&amp;1+MATCH(aux_sheet_RRS!$E213,aux_sheet_RRS!$D$2:$D$202,0)))</f>
        <v/>
      </c>
      <c r="AD214" s="90" t="str">
        <f ca="1">IF(AB214="","",INDIRECT("aux_sheet_RRS!AL"&amp;1+MATCH(aux_sheet_RRS!$E213,aux_sheet_RRS!$D$2:$D$202,0)))</f>
        <v/>
      </c>
      <c r="AE214" s="88" t="str">
        <f ca="1">IF($B214="","",INDIRECT("aux_sheet_RRS!AM"&amp;1+MATCH(aux_sheet_RRS!$E213,aux_sheet_RRS!$D$2:$D$202,0)))</f>
        <v/>
      </c>
      <c r="AF214" s="89" t="str">
        <f ca="1">IF($B214="","",INDIRECT("aux_sheet_RRS!AN"&amp;1+MATCH(aux_sheet_RRS!$E213,aux_sheet_RRS!$D$2:$D$202,0)))</f>
        <v/>
      </c>
      <c r="AG214" s="90" t="str">
        <f ca="1">IF(AE214="","",INDIRECT("aux_sheet_RRS!AO"&amp;1+MATCH(aux_sheet_RRS!$E213,aux_sheet_RRS!$D$2:$D$202,0)))</f>
        <v/>
      </c>
    </row>
    <row r="215" spans="1:33" x14ac:dyDescent="0.35">
      <c r="G215" s="88" t="str">
        <f ca="1">IF($B215="","",INDIRECT("aux_sheet_RRS!O"&amp;1+MATCH(aux_sheet_RRS!$E214,aux_sheet_RRS!$D$2:$D$202,0)))</f>
        <v/>
      </c>
      <c r="H215" s="89" t="str">
        <f ca="1">IF($B215="","",INDIRECT("aux_sheet_RRS!P"&amp;1+MATCH(aux_sheet_RRS!$E214,aux_sheet_RRS!$D$2:$D$202,0)))</f>
        <v/>
      </c>
      <c r="I215" s="90" t="str">
        <f ca="1">IF(G215="","",ROUNDDOWN(INDIRECT("aux_sheet_RRS!Q"&amp;1+MATCH(aux_sheet_RRS!$E214,aux_sheet_RRS!$D$2:$D$202,0)),0))</f>
        <v/>
      </c>
      <c r="J215" s="106" t="str">
        <f ca="1">IF($B215="","",INDIRECT("aux_sheet_RRS!R"&amp;1+MATCH(aux_sheet_RRS!$E214,aux_sheet_RRS!$D$2:$D$202,0)))</f>
        <v/>
      </c>
      <c r="K215" s="89" t="str">
        <f ca="1">IF($B215="","",INDIRECT("aux_sheet_RRS!S"&amp;1+MATCH(aux_sheet_RRS!$E214,aux_sheet_RRS!$D$2:$D$202,0)))</f>
        <v/>
      </c>
      <c r="L215" s="90" t="str">
        <f ca="1">IF(J215="","",ROUNDDOWN(INDIRECT("aux_sheet_RRS!T"&amp;1+MATCH(aux_sheet_RRS!$E214,aux_sheet_RRS!$D$2:$D$202,0)),0))</f>
        <v/>
      </c>
      <c r="M215" s="106" t="str">
        <f ca="1">IF($B215="","",INDIRECT("aux_sheet_RRS!U"&amp;1+MATCH(aux_sheet_RRS!$E214,aux_sheet_RRS!$D$2:$D$202,0)))</f>
        <v/>
      </c>
      <c r="N215" s="89" t="str">
        <f ca="1">IF($B215="","",INDIRECT("aux_sheet_RRS!V"&amp;1+MATCH(aux_sheet_RRS!$E214,aux_sheet_RRS!$D$2:$D$202,0)))</f>
        <v/>
      </c>
      <c r="O215" s="90" t="str">
        <f ca="1">IF(M215="","",ROUNDDOWN(INDIRECT("aux_sheet_RRS!W"&amp;1+MATCH(aux_sheet_RRS!$E214,aux_sheet_RRS!$D$2:$D$202,0)),0))</f>
        <v/>
      </c>
      <c r="P215" s="106" t="str">
        <f ca="1">IF($B215="","",INDIRECT("aux_sheet_RRS!X"&amp;1+MATCH(aux_sheet_RRS!$E214,aux_sheet_RRS!$D$2:$D$202,0)))</f>
        <v/>
      </c>
      <c r="Q215" s="89" t="str">
        <f ca="1">IF($B215="","",INDIRECT("aux_sheet_RRS!Y"&amp;1+MATCH(aux_sheet_RRS!$E214,aux_sheet_RRS!$D$2:$D$202,0)))</f>
        <v/>
      </c>
      <c r="R215" s="90" t="str">
        <f ca="1">IF(P215="","",INDIRECT("aux_sheet_RRS!Z"&amp;1+MATCH(aux_sheet_RRS!$E214,aux_sheet_RRS!$D$2:$D$202,0)))</f>
        <v/>
      </c>
      <c r="S215" s="106" t="str">
        <f ca="1">IF($B215="","",INDIRECT("aux_sheet_RRS!AA"&amp;1+MATCH(aux_sheet_RRS!$E214,aux_sheet_RRS!$D$2:$D$202,0)))</f>
        <v/>
      </c>
      <c r="T215" s="89" t="str">
        <f ca="1">IF($B215="","",INDIRECT("aux_sheet_RRS!AB"&amp;1+MATCH(aux_sheet_RRS!$E214,aux_sheet_RRS!$D$2:$D$202,0)))</f>
        <v/>
      </c>
      <c r="U215" s="90" t="str">
        <f ca="1">IF(S215="","",INDIRECT("aux_sheet_RRS!AC"&amp;1+MATCH(aux_sheet_RRS!$E214,aux_sheet_RRS!$D$2:$D$202,0)))</f>
        <v/>
      </c>
      <c r="V215" s="106" t="str">
        <f ca="1">IF($B215="","",INDIRECT("aux_sheet_RRS!AD"&amp;1+MATCH(aux_sheet_RRS!$E214,aux_sheet_RRS!$D$2:$D$202,0)))</f>
        <v/>
      </c>
      <c r="W215" s="89" t="str">
        <f ca="1">IF($B215="","",INDIRECT("aux_sheet_RRS!AE"&amp;1+MATCH(aux_sheet_RRS!$E214,aux_sheet_RRS!$D$2:$D$202,0)))</f>
        <v/>
      </c>
      <c r="X215" s="90" t="str">
        <f ca="1">IF(V215="","",INDIRECT("aux_sheet_RRS!AF"&amp;1+MATCH(aux_sheet_RRS!$E214,aux_sheet_RRS!$D$2:$D$202,0)))</f>
        <v/>
      </c>
      <c r="Y215" s="106" t="str">
        <f ca="1">IF($B215="","",INDIRECT("aux_sheet_RRS!AG"&amp;1+MATCH(aux_sheet_RRS!$E214,aux_sheet_RRS!$D$2:$D$202,0)))</f>
        <v/>
      </c>
      <c r="Z215" s="89" t="str">
        <f ca="1">IF($B215="","",INDIRECT("aux_sheet_RRS!AH"&amp;1+MATCH(aux_sheet_RRS!$E214,aux_sheet_RRS!$D$2:$D$202,0)))</f>
        <v/>
      </c>
      <c r="AA215" s="90" t="str">
        <f ca="1">IF(Y215="","",INDIRECT("aux_sheet_RRS!AI"&amp;1+MATCH(aux_sheet_RRS!$E214,aux_sheet_RRS!$D$2:$D$202,0)))</f>
        <v/>
      </c>
      <c r="AB215" s="88" t="str">
        <f ca="1">IF($B215="","",INDIRECT("aux_sheet_RRS!AJ"&amp;1+MATCH(aux_sheet_RRS!$E214,aux_sheet_RRS!$D$2:$D$202,0)))</f>
        <v/>
      </c>
      <c r="AC215" s="89" t="str">
        <f ca="1">IF($B215="","",INDIRECT("aux_sheet_RRS!AK"&amp;1+MATCH(aux_sheet_RRS!$E214,aux_sheet_RRS!$D$2:$D$202,0)))</f>
        <v/>
      </c>
      <c r="AD215" s="90" t="str">
        <f ca="1">IF(AB215="","",INDIRECT("aux_sheet_RRS!AL"&amp;1+MATCH(aux_sheet_RRS!$E214,aux_sheet_RRS!$D$2:$D$202,0)))</f>
        <v/>
      </c>
      <c r="AE215" s="88" t="str">
        <f ca="1">IF($B215="","",INDIRECT("aux_sheet_RRS!AM"&amp;1+MATCH(aux_sheet_RRS!$E214,aux_sheet_RRS!$D$2:$D$202,0)))</f>
        <v/>
      </c>
      <c r="AF215" s="89" t="str">
        <f ca="1">IF($B215="","",INDIRECT("aux_sheet_RRS!AN"&amp;1+MATCH(aux_sheet_RRS!$E214,aux_sheet_RRS!$D$2:$D$202,0)))</f>
        <v/>
      </c>
      <c r="AG215" s="90" t="str">
        <f ca="1">IF(AE215="","",INDIRECT("aux_sheet_RRS!AO"&amp;1+MATCH(aux_sheet_RRS!$E214,aux_sheet_RRS!$D$2:$D$202,0)))</f>
        <v/>
      </c>
    </row>
    <row r="216" spans="1:33" x14ac:dyDescent="0.35">
      <c r="G216" s="88" t="str">
        <f ca="1">IF($B216="","",INDIRECT("aux_sheet_RRS!O"&amp;1+MATCH(aux_sheet_RRS!$E215,aux_sheet_RRS!$D$2:$D$202,0)))</f>
        <v/>
      </c>
      <c r="H216" s="89" t="str">
        <f ca="1">IF($B216="","",INDIRECT("aux_sheet_RRS!P"&amp;1+MATCH(aux_sheet_RRS!$E215,aux_sheet_RRS!$D$2:$D$202,0)))</f>
        <v/>
      </c>
      <c r="I216" s="90" t="str">
        <f ca="1">IF(G216="","",ROUNDDOWN(INDIRECT("aux_sheet_RRS!Q"&amp;1+MATCH(aux_sheet_RRS!$E215,aux_sheet_RRS!$D$2:$D$202,0)),0))</f>
        <v/>
      </c>
      <c r="J216" s="106" t="str">
        <f ca="1">IF($B216="","",INDIRECT("aux_sheet_RRS!R"&amp;1+MATCH(aux_sheet_RRS!$E215,aux_sheet_RRS!$D$2:$D$202,0)))</f>
        <v/>
      </c>
      <c r="K216" s="89" t="str">
        <f ca="1">IF($B216="","",INDIRECT("aux_sheet_RRS!S"&amp;1+MATCH(aux_sheet_RRS!$E215,aux_sheet_RRS!$D$2:$D$202,0)))</f>
        <v/>
      </c>
      <c r="L216" s="90" t="str">
        <f ca="1">IF(J216="","",ROUNDDOWN(INDIRECT("aux_sheet_RRS!T"&amp;1+MATCH(aux_sheet_RRS!$E215,aux_sheet_RRS!$D$2:$D$202,0)),0))</f>
        <v/>
      </c>
      <c r="M216" s="106" t="str">
        <f ca="1">IF($B216="","",INDIRECT("aux_sheet_RRS!U"&amp;1+MATCH(aux_sheet_RRS!$E215,aux_sheet_RRS!$D$2:$D$202,0)))</f>
        <v/>
      </c>
      <c r="N216" s="89" t="str">
        <f ca="1">IF($B216="","",INDIRECT("aux_sheet_RRS!V"&amp;1+MATCH(aux_sheet_RRS!$E215,aux_sheet_RRS!$D$2:$D$202,0)))</f>
        <v/>
      </c>
      <c r="O216" s="90" t="str">
        <f ca="1">IF(M216="","",ROUNDDOWN(INDIRECT("aux_sheet_RRS!W"&amp;1+MATCH(aux_sheet_RRS!$E215,aux_sheet_RRS!$D$2:$D$202,0)),0))</f>
        <v/>
      </c>
      <c r="P216" s="106" t="str">
        <f ca="1">IF($B216="","",INDIRECT("aux_sheet_RRS!X"&amp;1+MATCH(aux_sheet_RRS!$E215,aux_sheet_RRS!$D$2:$D$202,0)))</f>
        <v/>
      </c>
      <c r="Q216" s="89" t="str">
        <f ca="1">IF($B216="","",INDIRECT("aux_sheet_RRS!Y"&amp;1+MATCH(aux_sheet_RRS!$E215,aux_sheet_RRS!$D$2:$D$202,0)))</f>
        <v/>
      </c>
      <c r="R216" s="90" t="str">
        <f ca="1">IF(P216="","",INDIRECT("aux_sheet_RRS!Z"&amp;1+MATCH(aux_sheet_RRS!$E215,aux_sheet_RRS!$D$2:$D$202,0)))</f>
        <v/>
      </c>
      <c r="S216" s="106" t="str">
        <f ca="1">IF($B216="","",INDIRECT("aux_sheet_RRS!AA"&amp;1+MATCH(aux_sheet_RRS!$E215,aux_sheet_RRS!$D$2:$D$202,0)))</f>
        <v/>
      </c>
      <c r="T216" s="89" t="str">
        <f ca="1">IF($B216="","",INDIRECT("aux_sheet_RRS!AB"&amp;1+MATCH(aux_sheet_RRS!$E215,aux_sheet_RRS!$D$2:$D$202,0)))</f>
        <v/>
      </c>
      <c r="U216" s="90" t="str">
        <f ca="1">IF(S216="","",INDIRECT("aux_sheet_RRS!AC"&amp;1+MATCH(aux_sheet_RRS!$E215,aux_sheet_RRS!$D$2:$D$202,0)))</f>
        <v/>
      </c>
      <c r="V216" s="106" t="str">
        <f ca="1">IF($B216="","",INDIRECT("aux_sheet_RRS!AD"&amp;1+MATCH(aux_sheet_RRS!$E215,aux_sheet_RRS!$D$2:$D$202,0)))</f>
        <v/>
      </c>
      <c r="W216" s="89" t="str">
        <f ca="1">IF($B216="","",INDIRECT("aux_sheet_RRS!AE"&amp;1+MATCH(aux_sheet_RRS!$E215,aux_sheet_RRS!$D$2:$D$202,0)))</f>
        <v/>
      </c>
      <c r="X216" s="90" t="str">
        <f ca="1">IF(V216="","",INDIRECT("aux_sheet_RRS!AF"&amp;1+MATCH(aux_sheet_RRS!$E215,aux_sheet_RRS!$D$2:$D$202,0)))</f>
        <v/>
      </c>
      <c r="Y216" s="106" t="str">
        <f ca="1">IF($B216="","",INDIRECT("aux_sheet_RRS!AG"&amp;1+MATCH(aux_sheet_RRS!$E215,aux_sheet_RRS!$D$2:$D$202,0)))</f>
        <v/>
      </c>
      <c r="Z216" s="89" t="str">
        <f ca="1">IF($B216="","",INDIRECT("aux_sheet_RRS!AH"&amp;1+MATCH(aux_sheet_RRS!$E215,aux_sheet_RRS!$D$2:$D$202,0)))</f>
        <v/>
      </c>
      <c r="AA216" s="90" t="str">
        <f ca="1">IF(Y216="","",INDIRECT("aux_sheet_RRS!AI"&amp;1+MATCH(aux_sheet_RRS!$E215,aux_sheet_RRS!$D$2:$D$202,0)))</f>
        <v/>
      </c>
      <c r="AB216" s="88" t="str">
        <f ca="1">IF($B216="","",INDIRECT("aux_sheet_RRS!AJ"&amp;1+MATCH(aux_sheet_RRS!$E215,aux_sheet_RRS!$D$2:$D$202,0)))</f>
        <v/>
      </c>
      <c r="AC216" s="89" t="str">
        <f ca="1">IF($B216="","",INDIRECT("aux_sheet_RRS!AK"&amp;1+MATCH(aux_sheet_RRS!$E215,aux_sheet_RRS!$D$2:$D$202,0)))</f>
        <v/>
      </c>
      <c r="AD216" s="90" t="str">
        <f ca="1">IF(AB216="","",INDIRECT("aux_sheet_RRS!AL"&amp;1+MATCH(aux_sheet_RRS!$E215,aux_sheet_RRS!$D$2:$D$202,0)))</f>
        <v/>
      </c>
      <c r="AE216" s="88" t="str">
        <f ca="1">IF($B216="","",INDIRECT("aux_sheet_RRS!AM"&amp;1+MATCH(aux_sheet_RRS!$E215,aux_sheet_RRS!$D$2:$D$202,0)))</f>
        <v/>
      </c>
      <c r="AF216" s="89" t="str">
        <f ca="1">IF($B216="","",INDIRECT("aux_sheet_RRS!AN"&amp;1+MATCH(aux_sheet_RRS!$E215,aux_sheet_RRS!$D$2:$D$202,0)))</f>
        <v/>
      </c>
      <c r="AG216" s="90" t="str">
        <f ca="1">IF(AE216="","",INDIRECT("aux_sheet_RRS!AO"&amp;1+MATCH(aux_sheet_RRS!$E215,aux_sheet_RRS!$D$2:$D$202,0)))</f>
        <v/>
      </c>
    </row>
    <row r="217" spans="1:33" x14ac:dyDescent="0.35">
      <c r="G217" s="88" t="str">
        <f ca="1">IF($B217="","",INDIRECT("aux_sheet_RRS!O"&amp;1+MATCH(aux_sheet_RRS!$E216,aux_sheet_RRS!$D$2:$D$202,0)))</f>
        <v/>
      </c>
      <c r="H217" s="89" t="str">
        <f ca="1">IF($B217="","",INDIRECT("aux_sheet_RRS!P"&amp;1+MATCH(aux_sheet_RRS!$E216,aux_sheet_RRS!$D$2:$D$202,0)))</f>
        <v/>
      </c>
      <c r="I217" s="90" t="str">
        <f ca="1">IF(G217="","",ROUNDDOWN(INDIRECT("aux_sheet_RRS!Q"&amp;1+MATCH(aux_sheet_RRS!$E216,aux_sheet_RRS!$D$2:$D$202,0)),0))</f>
        <v/>
      </c>
      <c r="J217" s="106" t="str">
        <f ca="1">IF($B217="","",INDIRECT("aux_sheet_RRS!R"&amp;1+MATCH(aux_sheet_RRS!$E216,aux_sheet_RRS!$D$2:$D$202,0)))</f>
        <v/>
      </c>
      <c r="K217" s="89" t="str">
        <f ca="1">IF($B217="","",INDIRECT("aux_sheet_RRS!S"&amp;1+MATCH(aux_sheet_RRS!$E216,aux_sheet_RRS!$D$2:$D$202,0)))</f>
        <v/>
      </c>
      <c r="L217" s="90" t="str">
        <f ca="1">IF(J217="","",ROUNDDOWN(INDIRECT("aux_sheet_RRS!T"&amp;1+MATCH(aux_sheet_RRS!$E216,aux_sheet_RRS!$D$2:$D$202,0)),0))</f>
        <v/>
      </c>
      <c r="M217" s="106" t="str">
        <f ca="1">IF($B217="","",INDIRECT("aux_sheet_RRS!U"&amp;1+MATCH(aux_sheet_RRS!$E216,aux_sheet_RRS!$D$2:$D$202,0)))</f>
        <v/>
      </c>
      <c r="N217" s="89" t="str">
        <f ca="1">IF($B217="","",INDIRECT("aux_sheet_RRS!V"&amp;1+MATCH(aux_sheet_RRS!$E216,aux_sheet_RRS!$D$2:$D$202,0)))</f>
        <v/>
      </c>
      <c r="O217" s="90" t="str">
        <f ca="1">IF(M217="","",ROUNDDOWN(INDIRECT("aux_sheet_RRS!W"&amp;1+MATCH(aux_sheet_RRS!$E216,aux_sheet_RRS!$D$2:$D$202,0)),0))</f>
        <v/>
      </c>
      <c r="P217" s="106" t="str">
        <f ca="1">IF($B217="","",INDIRECT("aux_sheet_RRS!X"&amp;1+MATCH(aux_sheet_RRS!$E216,aux_sheet_RRS!$D$2:$D$202,0)))</f>
        <v/>
      </c>
      <c r="Q217" s="89" t="str">
        <f ca="1">IF($B217="","",INDIRECT("aux_sheet_RRS!Y"&amp;1+MATCH(aux_sheet_RRS!$E216,aux_sheet_RRS!$D$2:$D$202,0)))</f>
        <v/>
      </c>
      <c r="R217" s="90" t="str">
        <f ca="1">IF(P217="","",INDIRECT("aux_sheet_RRS!Z"&amp;1+MATCH(aux_sheet_RRS!$E216,aux_sheet_RRS!$D$2:$D$202,0)))</f>
        <v/>
      </c>
      <c r="S217" s="106" t="str">
        <f ca="1">IF($B217="","",INDIRECT("aux_sheet_RRS!AA"&amp;1+MATCH(aux_sheet_RRS!$E216,aux_sheet_RRS!$D$2:$D$202,0)))</f>
        <v/>
      </c>
      <c r="T217" s="89" t="str">
        <f ca="1">IF($B217="","",INDIRECT("aux_sheet_RRS!AB"&amp;1+MATCH(aux_sheet_RRS!$E216,aux_sheet_RRS!$D$2:$D$202,0)))</f>
        <v/>
      </c>
      <c r="U217" s="90" t="str">
        <f ca="1">IF(S217="","",INDIRECT("aux_sheet_RRS!AC"&amp;1+MATCH(aux_sheet_RRS!$E216,aux_sheet_RRS!$D$2:$D$202,0)))</f>
        <v/>
      </c>
      <c r="V217" s="106" t="str">
        <f ca="1">IF($B217="","",INDIRECT("aux_sheet_RRS!AD"&amp;1+MATCH(aux_sheet_RRS!$E216,aux_sheet_RRS!$D$2:$D$202,0)))</f>
        <v/>
      </c>
      <c r="W217" s="89" t="str">
        <f ca="1">IF($B217="","",INDIRECT("aux_sheet_RRS!AE"&amp;1+MATCH(aux_sheet_RRS!$E216,aux_sheet_RRS!$D$2:$D$202,0)))</f>
        <v/>
      </c>
      <c r="X217" s="90" t="str">
        <f ca="1">IF(V217="","",INDIRECT("aux_sheet_RRS!AF"&amp;1+MATCH(aux_sheet_RRS!$E216,aux_sheet_RRS!$D$2:$D$202,0)))</f>
        <v/>
      </c>
      <c r="Y217" s="106" t="str">
        <f ca="1">IF($B217="","",INDIRECT("aux_sheet_RRS!AG"&amp;1+MATCH(aux_sheet_RRS!$E216,aux_sheet_RRS!$D$2:$D$202,0)))</f>
        <v/>
      </c>
      <c r="Z217" s="89" t="str">
        <f ca="1">IF($B217="","",INDIRECT("aux_sheet_RRS!AH"&amp;1+MATCH(aux_sheet_RRS!$E216,aux_sheet_RRS!$D$2:$D$202,0)))</f>
        <v/>
      </c>
      <c r="AA217" s="90" t="str">
        <f ca="1">IF(Y217="","",INDIRECT("aux_sheet_RRS!AI"&amp;1+MATCH(aux_sheet_RRS!$E216,aux_sheet_RRS!$D$2:$D$202,0)))</f>
        <v/>
      </c>
      <c r="AB217" s="88" t="str">
        <f ca="1">IF($B217="","",INDIRECT("aux_sheet_RRS!AJ"&amp;1+MATCH(aux_sheet_RRS!$E216,aux_sheet_RRS!$D$2:$D$202,0)))</f>
        <v/>
      </c>
      <c r="AC217" s="89" t="str">
        <f ca="1">IF($B217="","",INDIRECT("aux_sheet_RRS!AK"&amp;1+MATCH(aux_sheet_RRS!$E216,aux_sheet_RRS!$D$2:$D$202,0)))</f>
        <v/>
      </c>
      <c r="AD217" s="90" t="str">
        <f ca="1">IF(AB217="","",INDIRECT("aux_sheet_RRS!AL"&amp;1+MATCH(aux_sheet_RRS!$E216,aux_sheet_RRS!$D$2:$D$202,0)))</f>
        <v/>
      </c>
      <c r="AE217" s="88" t="str">
        <f ca="1">IF($B217="","",INDIRECT("aux_sheet_RRS!AM"&amp;1+MATCH(aux_sheet_RRS!$E216,aux_sheet_RRS!$D$2:$D$202,0)))</f>
        <v/>
      </c>
      <c r="AF217" s="89" t="str">
        <f ca="1">IF($B217="","",INDIRECT("aux_sheet_RRS!AN"&amp;1+MATCH(aux_sheet_RRS!$E216,aux_sheet_RRS!$D$2:$D$202,0)))</f>
        <v/>
      </c>
      <c r="AG217" s="90" t="str">
        <f ca="1">IF(AE217="","",INDIRECT("aux_sheet_RRS!AO"&amp;1+MATCH(aux_sheet_RRS!$E216,aux_sheet_RRS!$D$2:$D$202,0)))</f>
        <v/>
      </c>
    </row>
    <row r="218" spans="1:33" x14ac:dyDescent="0.35">
      <c r="G218" s="88" t="str">
        <f ca="1">IF($B218="","",INDIRECT("aux_sheet_RRS!O"&amp;1+MATCH(aux_sheet_RRS!$E217,aux_sheet_RRS!$D$2:$D$202,0)))</f>
        <v/>
      </c>
      <c r="H218" s="89" t="str">
        <f ca="1">IF($B218="","",INDIRECT("aux_sheet_RRS!P"&amp;1+MATCH(aux_sheet_RRS!$E217,aux_sheet_RRS!$D$2:$D$202,0)))</f>
        <v/>
      </c>
      <c r="I218" s="90" t="str">
        <f ca="1">IF(G218="","",ROUNDDOWN(INDIRECT("aux_sheet_RRS!Q"&amp;1+MATCH(aux_sheet_RRS!$E217,aux_sheet_RRS!$D$2:$D$202,0)),0))</f>
        <v/>
      </c>
      <c r="J218" s="106" t="str">
        <f ca="1">IF($B218="","",INDIRECT("aux_sheet_RRS!R"&amp;1+MATCH(aux_sheet_RRS!$E217,aux_sheet_RRS!$D$2:$D$202,0)))</f>
        <v/>
      </c>
      <c r="K218" s="89" t="str">
        <f ca="1">IF($B218="","",INDIRECT("aux_sheet_RRS!S"&amp;1+MATCH(aux_sheet_RRS!$E217,aux_sheet_RRS!$D$2:$D$202,0)))</f>
        <v/>
      </c>
      <c r="L218" s="90" t="str">
        <f ca="1">IF(J218="","",ROUNDDOWN(INDIRECT("aux_sheet_RRS!T"&amp;1+MATCH(aux_sheet_RRS!$E217,aux_sheet_RRS!$D$2:$D$202,0)),0))</f>
        <v/>
      </c>
      <c r="M218" s="106" t="str">
        <f ca="1">IF($B218="","",INDIRECT("aux_sheet_RRS!U"&amp;1+MATCH(aux_sheet_RRS!$E217,aux_sheet_RRS!$D$2:$D$202,0)))</f>
        <v/>
      </c>
      <c r="N218" s="89" t="str">
        <f ca="1">IF($B218="","",INDIRECT("aux_sheet_RRS!V"&amp;1+MATCH(aux_sheet_RRS!$E217,aux_sheet_RRS!$D$2:$D$202,0)))</f>
        <v/>
      </c>
      <c r="O218" s="90" t="str">
        <f ca="1">IF(M218="","",ROUNDDOWN(INDIRECT("aux_sheet_RRS!W"&amp;1+MATCH(aux_sheet_RRS!$E217,aux_sheet_RRS!$D$2:$D$202,0)),0))</f>
        <v/>
      </c>
      <c r="P218" s="106" t="str">
        <f ca="1">IF($B218="","",INDIRECT("aux_sheet_RRS!X"&amp;1+MATCH(aux_sheet_RRS!$E217,aux_sheet_RRS!$D$2:$D$202,0)))</f>
        <v/>
      </c>
      <c r="Q218" s="89" t="str">
        <f ca="1">IF($B218="","",INDIRECT("aux_sheet_RRS!Y"&amp;1+MATCH(aux_sheet_RRS!$E217,aux_sheet_RRS!$D$2:$D$202,0)))</f>
        <v/>
      </c>
      <c r="R218" s="90" t="str">
        <f ca="1">IF(P218="","",INDIRECT("aux_sheet_RRS!Z"&amp;1+MATCH(aux_sheet_RRS!$E217,aux_sheet_RRS!$D$2:$D$202,0)))</f>
        <v/>
      </c>
      <c r="S218" s="106" t="str">
        <f ca="1">IF($B218="","",INDIRECT("aux_sheet_RRS!AA"&amp;1+MATCH(aux_sheet_RRS!$E217,aux_sheet_RRS!$D$2:$D$202,0)))</f>
        <v/>
      </c>
      <c r="T218" s="89" t="str">
        <f ca="1">IF($B218="","",INDIRECT("aux_sheet_RRS!AB"&amp;1+MATCH(aux_sheet_RRS!$E217,aux_sheet_RRS!$D$2:$D$202,0)))</f>
        <v/>
      </c>
      <c r="U218" s="90" t="str">
        <f ca="1">IF(S218="","",INDIRECT("aux_sheet_RRS!AC"&amp;1+MATCH(aux_sheet_RRS!$E217,aux_sheet_RRS!$D$2:$D$202,0)))</f>
        <v/>
      </c>
      <c r="V218" s="106" t="str">
        <f ca="1">IF($B218="","",INDIRECT("aux_sheet_RRS!AD"&amp;1+MATCH(aux_sheet_RRS!$E217,aux_sheet_RRS!$D$2:$D$202,0)))</f>
        <v/>
      </c>
      <c r="W218" s="89" t="str">
        <f ca="1">IF($B218="","",INDIRECT("aux_sheet_RRS!AE"&amp;1+MATCH(aux_sheet_RRS!$E217,aux_sheet_RRS!$D$2:$D$202,0)))</f>
        <v/>
      </c>
      <c r="X218" s="90" t="str">
        <f ca="1">IF(V218="","",INDIRECT("aux_sheet_RRS!AF"&amp;1+MATCH(aux_sheet_RRS!$E217,aux_sheet_RRS!$D$2:$D$202,0)))</f>
        <v/>
      </c>
      <c r="Y218" s="106" t="str">
        <f ca="1">IF($B218="","",INDIRECT("aux_sheet_RRS!AG"&amp;1+MATCH(aux_sheet_RRS!$E217,aux_sheet_RRS!$D$2:$D$202,0)))</f>
        <v/>
      </c>
      <c r="Z218" s="89" t="str">
        <f ca="1">IF($B218="","",INDIRECT("aux_sheet_RRS!AH"&amp;1+MATCH(aux_sheet_RRS!$E217,aux_sheet_RRS!$D$2:$D$202,0)))</f>
        <v/>
      </c>
      <c r="AA218" s="90" t="str">
        <f ca="1">IF(Y218="","",INDIRECT("aux_sheet_RRS!AI"&amp;1+MATCH(aux_sheet_RRS!$E217,aux_sheet_RRS!$D$2:$D$202,0)))</f>
        <v/>
      </c>
      <c r="AB218" s="88" t="str">
        <f ca="1">IF($B218="","",INDIRECT("aux_sheet_RRS!AJ"&amp;1+MATCH(aux_sheet_RRS!$E217,aux_sheet_RRS!$D$2:$D$202,0)))</f>
        <v/>
      </c>
      <c r="AC218" s="89" t="str">
        <f ca="1">IF($B218="","",INDIRECT("aux_sheet_RRS!AK"&amp;1+MATCH(aux_sheet_RRS!$E217,aux_sheet_RRS!$D$2:$D$202,0)))</f>
        <v/>
      </c>
      <c r="AD218" s="90" t="str">
        <f ca="1">IF(AB218="","",INDIRECT("aux_sheet_RRS!AL"&amp;1+MATCH(aux_sheet_RRS!$E217,aux_sheet_RRS!$D$2:$D$202,0)))</f>
        <v/>
      </c>
      <c r="AE218" s="88" t="str">
        <f ca="1">IF($B218="","",INDIRECT("aux_sheet_RRS!AM"&amp;1+MATCH(aux_sheet_RRS!$E217,aux_sheet_RRS!$D$2:$D$202,0)))</f>
        <v/>
      </c>
      <c r="AF218" s="89" t="str">
        <f ca="1">IF($B218="","",INDIRECT("aux_sheet_RRS!AN"&amp;1+MATCH(aux_sheet_RRS!$E217,aux_sheet_RRS!$D$2:$D$202,0)))</f>
        <v/>
      </c>
      <c r="AG218" s="90" t="str">
        <f ca="1">IF(AE218="","",INDIRECT("aux_sheet_RRS!AO"&amp;1+MATCH(aux_sheet_RRS!$E217,aux_sheet_RRS!$D$2:$D$202,0)))</f>
        <v/>
      </c>
    </row>
    <row r="219" spans="1:33" x14ac:dyDescent="0.35">
      <c r="G219" s="88" t="str">
        <f ca="1">IF($B219="","",INDIRECT("aux_sheet_RRS!O"&amp;1+MATCH(aux_sheet_RRS!$E218,aux_sheet_RRS!$D$2:$D$202,0)))</f>
        <v/>
      </c>
      <c r="H219" s="89" t="str">
        <f ca="1">IF($B219="","",INDIRECT("aux_sheet_RRS!P"&amp;1+MATCH(aux_sheet_RRS!$E218,aux_sheet_RRS!$D$2:$D$202,0)))</f>
        <v/>
      </c>
      <c r="I219" s="90" t="str">
        <f ca="1">IF(G219="","",ROUNDDOWN(INDIRECT("aux_sheet_RRS!Q"&amp;1+MATCH(aux_sheet_RRS!$E218,aux_sheet_RRS!$D$2:$D$202,0)),0))</f>
        <v/>
      </c>
      <c r="J219" s="106" t="str">
        <f ca="1">IF($B219="","",INDIRECT("aux_sheet_RRS!R"&amp;1+MATCH(aux_sheet_RRS!$E218,aux_sheet_RRS!$D$2:$D$202,0)))</f>
        <v/>
      </c>
      <c r="K219" s="89" t="str">
        <f ca="1">IF($B219="","",INDIRECT("aux_sheet_RRS!S"&amp;1+MATCH(aux_sheet_RRS!$E218,aux_sheet_RRS!$D$2:$D$202,0)))</f>
        <v/>
      </c>
      <c r="L219" s="90" t="str">
        <f ca="1">IF(J219="","",ROUNDDOWN(INDIRECT("aux_sheet_RRS!T"&amp;1+MATCH(aux_sheet_RRS!$E218,aux_sheet_RRS!$D$2:$D$202,0)),0))</f>
        <v/>
      </c>
      <c r="M219" s="106" t="str">
        <f ca="1">IF($B219="","",INDIRECT("aux_sheet_RRS!U"&amp;1+MATCH(aux_sheet_RRS!$E218,aux_sheet_RRS!$D$2:$D$202,0)))</f>
        <v/>
      </c>
      <c r="N219" s="89" t="str">
        <f ca="1">IF($B219="","",INDIRECT("aux_sheet_RRS!V"&amp;1+MATCH(aux_sheet_RRS!$E218,aux_sheet_RRS!$D$2:$D$202,0)))</f>
        <v/>
      </c>
      <c r="O219" s="90" t="str">
        <f ca="1">IF(M219="","",ROUNDDOWN(INDIRECT("aux_sheet_RRS!W"&amp;1+MATCH(aux_sheet_RRS!$E218,aux_sheet_RRS!$D$2:$D$202,0)),0))</f>
        <v/>
      </c>
      <c r="P219" s="106" t="str">
        <f ca="1">IF($B219="","",INDIRECT("aux_sheet_RRS!X"&amp;1+MATCH(aux_sheet_RRS!$E218,aux_sheet_RRS!$D$2:$D$202,0)))</f>
        <v/>
      </c>
      <c r="Q219" s="89" t="str">
        <f ca="1">IF($B219="","",INDIRECT("aux_sheet_RRS!Y"&amp;1+MATCH(aux_sheet_RRS!$E218,aux_sheet_RRS!$D$2:$D$202,0)))</f>
        <v/>
      </c>
      <c r="R219" s="90" t="str">
        <f ca="1">IF(P219="","",INDIRECT("aux_sheet_RRS!Z"&amp;1+MATCH(aux_sheet_RRS!$E218,aux_sheet_RRS!$D$2:$D$202,0)))</f>
        <v/>
      </c>
      <c r="S219" s="106" t="str">
        <f ca="1">IF($B219="","",INDIRECT("aux_sheet_RRS!AA"&amp;1+MATCH(aux_sheet_RRS!$E218,aux_sheet_RRS!$D$2:$D$202,0)))</f>
        <v/>
      </c>
      <c r="T219" s="89" t="str">
        <f ca="1">IF($B219="","",INDIRECT("aux_sheet_RRS!AB"&amp;1+MATCH(aux_sheet_RRS!$E218,aux_sheet_RRS!$D$2:$D$202,0)))</f>
        <v/>
      </c>
      <c r="U219" s="90" t="str">
        <f ca="1">IF(S219="","",INDIRECT("aux_sheet_RRS!AC"&amp;1+MATCH(aux_sheet_RRS!$E218,aux_sheet_RRS!$D$2:$D$202,0)))</f>
        <v/>
      </c>
      <c r="V219" s="106" t="str">
        <f ca="1">IF($B219="","",INDIRECT("aux_sheet_RRS!AD"&amp;1+MATCH(aux_sheet_RRS!$E218,aux_sheet_RRS!$D$2:$D$202,0)))</f>
        <v/>
      </c>
      <c r="W219" s="89" t="str">
        <f ca="1">IF($B219="","",INDIRECT("aux_sheet_RRS!AE"&amp;1+MATCH(aux_sheet_RRS!$E218,aux_sheet_RRS!$D$2:$D$202,0)))</f>
        <v/>
      </c>
      <c r="X219" s="90" t="str">
        <f ca="1">IF(V219="","",INDIRECT("aux_sheet_RRS!AF"&amp;1+MATCH(aux_sheet_RRS!$E218,aux_sheet_RRS!$D$2:$D$202,0)))</f>
        <v/>
      </c>
      <c r="Y219" s="106" t="str">
        <f ca="1">IF($B219="","",INDIRECT("aux_sheet_RRS!AG"&amp;1+MATCH(aux_sheet_RRS!$E218,aux_sheet_RRS!$D$2:$D$202,0)))</f>
        <v/>
      </c>
      <c r="Z219" s="89" t="str">
        <f ca="1">IF($B219="","",INDIRECT("aux_sheet_RRS!AH"&amp;1+MATCH(aux_sheet_RRS!$E218,aux_sheet_RRS!$D$2:$D$202,0)))</f>
        <v/>
      </c>
      <c r="AA219" s="90" t="str">
        <f ca="1">IF(Y219="","",INDIRECT("aux_sheet_RRS!AI"&amp;1+MATCH(aux_sheet_RRS!$E218,aux_sheet_RRS!$D$2:$D$202,0)))</f>
        <v/>
      </c>
      <c r="AB219" s="88" t="str">
        <f ca="1">IF($B219="","",INDIRECT("aux_sheet_RRS!AJ"&amp;1+MATCH(aux_sheet_RRS!$E218,aux_sheet_RRS!$D$2:$D$202,0)))</f>
        <v/>
      </c>
      <c r="AC219" s="89" t="str">
        <f ca="1">IF($B219="","",INDIRECT("aux_sheet_RRS!AK"&amp;1+MATCH(aux_sheet_RRS!$E218,aux_sheet_RRS!$D$2:$D$202,0)))</f>
        <v/>
      </c>
      <c r="AD219" s="90" t="str">
        <f ca="1">IF(AB219="","",INDIRECT("aux_sheet_RRS!AL"&amp;1+MATCH(aux_sheet_RRS!$E218,aux_sheet_RRS!$D$2:$D$202,0)))</f>
        <v/>
      </c>
      <c r="AE219" s="88" t="str">
        <f ca="1">IF($B219="","",INDIRECT("aux_sheet_RRS!AM"&amp;1+MATCH(aux_sheet_RRS!$E218,aux_sheet_RRS!$D$2:$D$202,0)))</f>
        <v/>
      </c>
      <c r="AF219" s="89" t="str">
        <f ca="1">IF($B219="","",INDIRECT("aux_sheet_RRS!AN"&amp;1+MATCH(aux_sheet_RRS!$E218,aux_sheet_RRS!$D$2:$D$202,0)))</f>
        <v/>
      </c>
      <c r="AG219" s="90" t="str">
        <f ca="1">IF(AE219="","",INDIRECT("aux_sheet_RRS!AO"&amp;1+MATCH(aux_sheet_RRS!$E218,aux_sheet_RRS!$D$2:$D$202,0)))</f>
        <v/>
      </c>
    </row>
    <row r="220" spans="1:33" x14ac:dyDescent="0.35">
      <c r="G220" s="88" t="str">
        <f ca="1">IF($B220="","",INDIRECT("aux_sheet_RRS!O"&amp;1+MATCH(aux_sheet_RRS!$E219,aux_sheet_RRS!$D$2:$D$202,0)))</f>
        <v/>
      </c>
      <c r="H220" s="89" t="str">
        <f ca="1">IF($B220="","",INDIRECT("aux_sheet_RRS!P"&amp;1+MATCH(aux_sheet_RRS!$E219,aux_sheet_RRS!$D$2:$D$202,0)))</f>
        <v/>
      </c>
      <c r="I220" s="90" t="str">
        <f ca="1">IF(G220="","",ROUNDDOWN(INDIRECT("aux_sheet_RRS!Q"&amp;1+MATCH(aux_sheet_RRS!$E219,aux_sheet_RRS!$D$2:$D$202,0)),0))</f>
        <v/>
      </c>
      <c r="J220" s="106" t="str">
        <f ca="1">IF($B220="","",INDIRECT("aux_sheet_RRS!R"&amp;1+MATCH(aux_sheet_RRS!$E219,aux_sheet_RRS!$D$2:$D$202,0)))</f>
        <v/>
      </c>
      <c r="K220" s="89" t="str">
        <f ca="1">IF($B220="","",INDIRECT("aux_sheet_RRS!S"&amp;1+MATCH(aux_sheet_RRS!$E219,aux_sheet_RRS!$D$2:$D$202,0)))</f>
        <v/>
      </c>
      <c r="L220" s="90" t="str">
        <f ca="1">IF(J220="","",ROUNDDOWN(INDIRECT("aux_sheet_RRS!T"&amp;1+MATCH(aux_sheet_RRS!$E219,aux_sheet_RRS!$D$2:$D$202,0)),0))</f>
        <v/>
      </c>
      <c r="M220" s="106" t="str">
        <f ca="1">IF($B220="","",INDIRECT("aux_sheet_RRS!U"&amp;1+MATCH(aux_sheet_RRS!$E219,aux_sheet_RRS!$D$2:$D$202,0)))</f>
        <v/>
      </c>
      <c r="N220" s="89" t="str">
        <f ca="1">IF($B220="","",INDIRECT("aux_sheet_RRS!V"&amp;1+MATCH(aux_sheet_RRS!$E219,aux_sheet_RRS!$D$2:$D$202,0)))</f>
        <v/>
      </c>
      <c r="O220" s="90" t="str">
        <f ca="1">IF(M220="","",ROUNDDOWN(INDIRECT("aux_sheet_RRS!W"&amp;1+MATCH(aux_sheet_RRS!$E219,aux_sheet_RRS!$D$2:$D$202,0)),0))</f>
        <v/>
      </c>
      <c r="P220" s="106" t="str">
        <f ca="1">IF($B220="","",INDIRECT("aux_sheet_RRS!X"&amp;1+MATCH(aux_sheet_RRS!$E219,aux_sheet_RRS!$D$2:$D$202,0)))</f>
        <v/>
      </c>
      <c r="Q220" s="89" t="str">
        <f ca="1">IF($B220="","",INDIRECT("aux_sheet_RRS!Y"&amp;1+MATCH(aux_sheet_RRS!$E219,aux_sheet_RRS!$D$2:$D$202,0)))</f>
        <v/>
      </c>
      <c r="R220" s="90" t="str">
        <f ca="1">IF(P220="","",INDIRECT("aux_sheet_RRS!Z"&amp;1+MATCH(aux_sheet_RRS!$E219,aux_sheet_RRS!$D$2:$D$202,0)))</f>
        <v/>
      </c>
      <c r="S220" s="106" t="str">
        <f ca="1">IF($B220="","",INDIRECT("aux_sheet_RRS!AA"&amp;1+MATCH(aux_sheet_RRS!$E219,aux_sheet_RRS!$D$2:$D$202,0)))</f>
        <v/>
      </c>
      <c r="T220" s="89" t="str">
        <f ca="1">IF($B220="","",INDIRECT("aux_sheet_RRS!AB"&amp;1+MATCH(aux_sheet_RRS!$E219,aux_sheet_RRS!$D$2:$D$202,0)))</f>
        <v/>
      </c>
      <c r="U220" s="90" t="str">
        <f ca="1">IF(S220="","",INDIRECT("aux_sheet_RRS!AC"&amp;1+MATCH(aux_sheet_RRS!$E219,aux_sheet_RRS!$D$2:$D$202,0)))</f>
        <v/>
      </c>
      <c r="V220" s="106" t="str">
        <f ca="1">IF($B220="","",INDIRECT("aux_sheet_RRS!AD"&amp;1+MATCH(aux_sheet_RRS!$E219,aux_sheet_RRS!$D$2:$D$202,0)))</f>
        <v/>
      </c>
      <c r="W220" s="89" t="str">
        <f ca="1">IF($B220="","",INDIRECT("aux_sheet_RRS!AE"&amp;1+MATCH(aux_sheet_RRS!$E219,aux_sheet_RRS!$D$2:$D$202,0)))</f>
        <v/>
      </c>
      <c r="X220" s="90" t="str">
        <f ca="1">IF(V220="","",INDIRECT("aux_sheet_RRS!AF"&amp;1+MATCH(aux_sheet_RRS!$E219,aux_sheet_RRS!$D$2:$D$202,0)))</f>
        <v/>
      </c>
      <c r="Y220" s="106" t="str">
        <f ca="1">IF($B220="","",INDIRECT("aux_sheet_RRS!AG"&amp;1+MATCH(aux_sheet_RRS!$E219,aux_sheet_RRS!$D$2:$D$202,0)))</f>
        <v/>
      </c>
      <c r="Z220" s="89" t="str">
        <f ca="1">IF($B220="","",INDIRECT("aux_sheet_RRS!AH"&amp;1+MATCH(aux_sheet_RRS!$E219,aux_sheet_RRS!$D$2:$D$202,0)))</f>
        <v/>
      </c>
      <c r="AA220" s="90" t="str">
        <f ca="1">IF(Y220="","",INDIRECT("aux_sheet_RRS!AI"&amp;1+MATCH(aux_sheet_RRS!$E219,aux_sheet_RRS!$D$2:$D$202,0)))</f>
        <v/>
      </c>
      <c r="AB220" s="88" t="str">
        <f ca="1">IF($B220="","",INDIRECT("aux_sheet_RRS!AJ"&amp;1+MATCH(aux_sheet_RRS!$E219,aux_sheet_RRS!$D$2:$D$202,0)))</f>
        <v/>
      </c>
      <c r="AC220" s="89" t="str">
        <f ca="1">IF($B220="","",INDIRECT("aux_sheet_RRS!AK"&amp;1+MATCH(aux_sheet_RRS!$E219,aux_sheet_RRS!$D$2:$D$202,0)))</f>
        <v/>
      </c>
      <c r="AD220" s="90" t="str">
        <f ca="1">IF(AB220="","",INDIRECT("aux_sheet_RRS!AL"&amp;1+MATCH(aux_sheet_RRS!$E219,aux_sheet_RRS!$D$2:$D$202,0)))</f>
        <v/>
      </c>
      <c r="AE220" s="88" t="str">
        <f ca="1">IF($B220="","",INDIRECT("aux_sheet_RRS!AM"&amp;1+MATCH(aux_sheet_RRS!$E219,aux_sheet_RRS!$D$2:$D$202,0)))</f>
        <v/>
      </c>
      <c r="AF220" s="89" t="str">
        <f ca="1">IF($B220="","",INDIRECT("aux_sheet_RRS!AN"&amp;1+MATCH(aux_sheet_RRS!$E219,aux_sheet_RRS!$D$2:$D$202,0)))</f>
        <v/>
      </c>
      <c r="AG220" s="90" t="str">
        <f ca="1">IF(AE220="","",INDIRECT("aux_sheet_RRS!AO"&amp;1+MATCH(aux_sheet_RRS!$E219,aux_sheet_RRS!$D$2:$D$202,0)))</f>
        <v/>
      </c>
    </row>
    <row r="221" spans="1:33" x14ac:dyDescent="0.35">
      <c r="G221" s="88" t="str">
        <f ca="1">IF($B221="","",INDIRECT("aux_sheet_RRS!O"&amp;1+MATCH(aux_sheet_RRS!$E220,aux_sheet_RRS!$D$2:$D$202,0)))</f>
        <v/>
      </c>
      <c r="H221" s="89" t="str">
        <f ca="1">IF($B221="","",INDIRECT("aux_sheet_RRS!P"&amp;1+MATCH(aux_sheet_RRS!$E220,aux_sheet_RRS!$D$2:$D$202,0)))</f>
        <v/>
      </c>
      <c r="I221" s="90" t="str">
        <f ca="1">IF(G221="","",ROUNDDOWN(INDIRECT("aux_sheet_RRS!Q"&amp;1+MATCH(aux_sheet_RRS!$E220,aux_sheet_RRS!$D$2:$D$202,0)),0))</f>
        <v/>
      </c>
      <c r="J221" s="106" t="str">
        <f ca="1">IF($B221="","",INDIRECT("aux_sheet_RRS!R"&amp;1+MATCH(aux_sheet_RRS!$E220,aux_sheet_RRS!$D$2:$D$202,0)))</f>
        <v/>
      </c>
      <c r="K221" s="89" t="str">
        <f ca="1">IF($B221="","",INDIRECT("aux_sheet_RRS!S"&amp;1+MATCH(aux_sheet_RRS!$E220,aux_sheet_RRS!$D$2:$D$202,0)))</f>
        <v/>
      </c>
      <c r="L221" s="90" t="str">
        <f ca="1">IF(J221="","",ROUNDDOWN(INDIRECT("aux_sheet_RRS!T"&amp;1+MATCH(aux_sheet_RRS!$E220,aux_sheet_RRS!$D$2:$D$202,0)),0))</f>
        <v/>
      </c>
      <c r="M221" s="106" t="str">
        <f ca="1">IF($B221="","",INDIRECT("aux_sheet_RRS!U"&amp;1+MATCH(aux_sheet_RRS!$E220,aux_sheet_RRS!$D$2:$D$202,0)))</f>
        <v/>
      </c>
      <c r="N221" s="89" t="str">
        <f ca="1">IF($B221="","",INDIRECT("aux_sheet_RRS!V"&amp;1+MATCH(aux_sheet_RRS!$E220,aux_sheet_RRS!$D$2:$D$202,0)))</f>
        <v/>
      </c>
      <c r="O221" s="90" t="str">
        <f ca="1">IF(M221="","",ROUNDDOWN(INDIRECT("aux_sheet_RRS!W"&amp;1+MATCH(aux_sheet_RRS!$E220,aux_sheet_RRS!$D$2:$D$202,0)),0))</f>
        <v/>
      </c>
      <c r="P221" s="106" t="str">
        <f ca="1">IF($B221="","",INDIRECT("aux_sheet_RRS!X"&amp;1+MATCH(aux_sheet_RRS!$E220,aux_sheet_RRS!$D$2:$D$202,0)))</f>
        <v/>
      </c>
      <c r="Q221" s="89" t="str">
        <f ca="1">IF($B221="","",INDIRECT("aux_sheet_RRS!Y"&amp;1+MATCH(aux_sheet_RRS!$E220,aux_sheet_RRS!$D$2:$D$202,0)))</f>
        <v/>
      </c>
      <c r="R221" s="90" t="str">
        <f ca="1">IF(P221="","",INDIRECT("aux_sheet_RRS!Z"&amp;1+MATCH(aux_sheet_RRS!$E220,aux_sheet_RRS!$D$2:$D$202,0)))</f>
        <v/>
      </c>
      <c r="S221" s="106" t="str">
        <f ca="1">IF($B221="","",INDIRECT("aux_sheet_RRS!AA"&amp;1+MATCH(aux_sheet_RRS!$E220,aux_sheet_RRS!$D$2:$D$202,0)))</f>
        <v/>
      </c>
      <c r="T221" s="89" t="str">
        <f ca="1">IF($B221="","",INDIRECT("aux_sheet_RRS!AB"&amp;1+MATCH(aux_sheet_RRS!$E220,aux_sheet_RRS!$D$2:$D$202,0)))</f>
        <v/>
      </c>
      <c r="U221" s="90" t="str">
        <f ca="1">IF(S221="","",INDIRECT("aux_sheet_RRS!AC"&amp;1+MATCH(aux_sheet_RRS!$E220,aux_sheet_RRS!$D$2:$D$202,0)))</f>
        <v/>
      </c>
      <c r="V221" s="106" t="str">
        <f ca="1">IF($B221="","",INDIRECT("aux_sheet_RRS!AD"&amp;1+MATCH(aux_sheet_RRS!$E220,aux_sheet_RRS!$D$2:$D$202,0)))</f>
        <v/>
      </c>
      <c r="W221" s="89" t="str">
        <f ca="1">IF($B221="","",INDIRECT("aux_sheet_RRS!AE"&amp;1+MATCH(aux_sheet_RRS!$E220,aux_sheet_RRS!$D$2:$D$202,0)))</f>
        <v/>
      </c>
      <c r="X221" s="90" t="str">
        <f ca="1">IF(V221="","",INDIRECT("aux_sheet_RRS!AF"&amp;1+MATCH(aux_sheet_RRS!$E220,aux_sheet_RRS!$D$2:$D$202,0)))</f>
        <v/>
      </c>
      <c r="Y221" s="106" t="str">
        <f ca="1">IF($B221="","",INDIRECT("aux_sheet_RRS!AG"&amp;1+MATCH(aux_sheet_RRS!$E220,aux_sheet_RRS!$D$2:$D$202,0)))</f>
        <v/>
      </c>
      <c r="Z221" s="89" t="str">
        <f ca="1">IF($B221="","",INDIRECT("aux_sheet_RRS!AH"&amp;1+MATCH(aux_sheet_RRS!$E220,aux_sheet_RRS!$D$2:$D$202,0)))</f>
        <v/>
      </c>
      <c r="AA221" s="90" t="str">
        <f ca="1">IF(Y221="","",INDIRECT("aux_sheet_RRS!AI"&amp;1+MATCH(aux_sheet_RRS!$E220,aux_sheet_RRS!$D$2:$D$202,0)))</f>
        <v/>
      </c>
      <c r="AB221" s="88" t="str">
        <f ca="1">IF($B221="","",INDIRECT("aux_sheet_RRS!AJ"&amp;1+MATCH(aux_sheet_RRS!$E220,aux_sheet_RRS!$D$2:$D$202,0)))</f>
        <v/>
      </c>
      <c r="AC221" s="89" t="str">
        <f ca="1">IF($B221="","",INDIRECT("aux_sheet_RRS!AK"&amp;1+MATCH(aux_sheet_RRS!$E220,aux_sheet_RRS!$D$2:$D$202,0)))</f>
        <v/>
      </c>
      <c r="AD221" s="90" t="str">
        <f ca="1">IF(AB221="","",INDIRECT("aux_sheet_RRS!AL"&amp;1+MATCH(aux_sheet_RRS!$E220,aux_sheet_RRS!$D$2:$D$202,0)))</f>
        <v/>
      </c>
      <c r="AE221" s="88" t="str">
        <f ca="1">IF($B221="","",INDIRECT("aux_sheet_RRS!AM"&amp;1+MATCH(aux_sheet_RRS!$E220,aux_sheet_RRS!$D$2:$D$202,0)))</f>
        <v/>
      </c>
      <c r="AF221" s="89" t="str">
        <f ca="1">IF($B221="","",INDIRECT("aux_sheet_RRS!AN"&amp;1+MATCH(aux_sheet_RRS!$E220,aux_sheet_RRS!$D$2:$D$202,0)))</f>
        <v/>
      </c>
      <c r="AG221" s="90" t="str">
        <f ca="1">IF(AE221="","",INDIRECT("aux_sheet_RRS!AO"&amp;1+MATCH(aux_sheet_RRS!$E220,aux_sheet_RRS!$D$2:$D$202,0)))</f>
        <v/>
      </c>
    </row>
    <row r="222" spans="1:33" x14ac:dyDescent="0.35">
      <c r="G222" s="88" t="str">
        <f ca="1">IF($B222="","",INDIRECT("aux_sheet_RRS!O"&amp;1+MATCH(aux_sheet_RRS!$E221,aux_sheet_RRS!$D$2:$D$202,0)))</f>
        <v/>
      </c>
      <c r="H222" s="89" t="str">
        <f ca="1">IF($B222="","",INDIRECT("aux_sheet_RRS!P"&amp;1+MATCH(aux_sheet_RRS!$E221,aux_sheet_RRS!$D$2:$D$202,0)))</f>
        <v/>
      </c>
      <c r="I222" s="90" t="str">
        <f ca="1">IF(G222="","",ROUNDDOWN(INDIRECT("aux_sheet_RRS!Q"&amp;1+MATCH(aux_sheet_RRS!$E221,aux_sheet_RRS!$D$2:$D$202,0)),0))</f>
        <v/>
      </c>
      <c r="J222" s="106" t="str">
        <f ca="1">IF($B222="","",INDIRECT("aux_sheet_RRS!R"&amp;1+MATCH(aux_sheet_RRS!$E221,aux_sheet_RRS!$D$2:$D$202,0)))</f>
        <v/>
      </c>
      <c r="K222" s="89" t="str">
        <f ca="1">IF($B222="","",INDIRECT("aux_sheet_RRS!S"&amp;1+MATCH(aux_sheet_RRS!$E221,aux_sheet_RRS!$D$2:$D$202,0)))</f>
        <v/>
      </c>
      <c r="L222" s="90" t="str">
        <f ca="1">IF(J222="","",ROUNDDOWN(INDIRECT("aux_sheet_RRS!T"&amp;1+MATCH(aux_sheet_RRS!$E221,aux_sheet_RRS!$D$2:$D$202,0)),0))</f>
        <v/>
      </c>
      <c r="M222" s="106" t="str">
        <f ca="1">IF($B222="","",INDIRECT("aux_sheet_RRS!U"&amp;1+MATCH(aux_sheet_RRS!$E221,aux_sheet_RRS!$D$2:$D$202,0)))</f>
        <v/>
      </c>
      <c r="N222" s="89" t="str">
        <f ca="1">IF($B222="","",INDIRECT("aux_sheet_RRS!V"&amp;1+MATCH(aux_sheet_RRS!$E221,aux_sheet_RRS!$D$2:$D$202,0)))</f>
        <v/>
      </c>
      <c r="O222" s="90" t="str">
        <f ca="1">IF(M222="","",ROUNDDOWN(INDIRECT("aux_sheet_RRS!W"&amp;1+MATCH(aux_sheet_RRS!$E221,aux_sheet_RRS!$D$2:$D$202,0)),0))</f>
        <v/>
      </c>
      <c r="P222" s="106" t="str">
        <f ca="1">IF($B222="","",INDIRECT("aux_sheet_RRS!X"&amp;1+MATCH(aux_sheet_RRS!$E221,aux_sheet_RRS!$D$2:$D$202,0)))</f>
        <v/>
      </c>
      <c r="Q222" s="89" t="str">
        <f ca="1">IF($B222="","",INDIRECT("aux_sheet_RRS!Y"&amp;1+MATCH(aux_sheet_RRS!$E221,aux_sheet_RRS!$D$2:$D$202,0)))</f>
        <v/>
      </c>
      <c r="R222" s="90" t="str">
        <f ca="1">IF(P222="","",INDIRECT("aux_sheet_RRS!Z"&amp;1+MATCH(aux_sheet_RRS!$E221,aux_sheet_RRS!$D$2:$D$202,0)))</f>
        <v/>
      </c>
      <c r="S222" s="106" t="str">
        <f ca="1">IF($B222="","",INDIRECT("aux_sheet_RRS!AA"&amp;1+MATCH(aux_sheet_RRS!$E221,aux_sheet_RRS!$D$2:$D$202,0)))</f>
        <v/>
      </c>
      <c r="T222" s="89" t="str">
        <f ca="1">IF($B222="","",INDIRECT("aux_sheet_RRS!AB"&amp;1+MATCH(aux_sheet_RRS!$E221,aux_sheet_RRS!$D$2:$D$202,0)))</f>
        <v/>
      </c>
      <c r="U222" s="90" t="str">
        <f ca="1">IF(S222="","",INDIRECT("aux_sheet_RRS!AC"&amp;1+MATCH(aux_sheet_RRS!$E221,aux_sheet_RRS!$D$2:$D$202,0)))</f>
        <v/>
      </c>
      <c r="V222" s="106" t="str">
        <f ca="1">IF($B222="","",INDIRECT("aux_sheet_RRS!AD"&amp;1+MATCH(aux_sheet_RRS!$E221,aux_sheet_RRS!$D$2:$D$202,0)))</f>
        <v/>
      </c>
      <c r="W222" s="89" t="str">
        <f ca="1">IF($B222="","",INDIRECT("aux_sheet_RRS!AE"&amp;1+MATCH(aux_sheet_RRS!$E221,aux_sheet_RRS!$D$2:$D$202,0)))</f>
        <v/>
      </c>
      <c r="X222" s="90" t="str">
        <f ca="1">IF(V222="","",INDIRECT("aux_sheet_RRS!AF"&amp;1+MATCH(aux_sheet_RRS!$E221,aux_sheet_RRS!$D$2:$D$202,0)))</f>
        <v/>
      </c>
      <c r="Y222" s="106" t="str">
        <f ca="1">IF($B222="","",INDIRECT("aux_sheet_RRS!AG"&amp;1+MATCH(aux_sheet_RRS!$E221,aux_sheet_RRS!$D$2:$D$202,0)))</f>
        <v/>
      </c>
      <c r="Z222" s="89" t="str">
        <f ca="1">IF($B222="","",INDIRECT("aux_sheet_RRS!AH"&amp;1+MATCH(aux_sheet_RRS!$E221,aux_sheet_RRS!$D$2:$D$202,0)))</f>
        <v/>
      </c>
      <c r="AA222" s="90" t="str">
        <f ca="1">IF(Y222="","",INDIRECT("aux_sheet_RRS!AI"&amp;1+MATCH(aux_sheet_RRS!$E221,aux_sheet_RRS!$D$2:$D$202,0)))</f>
        <v/>
      </c>
      <c r="AB222" s="88" t="str">
        <f ca="1">IF($B222="","",INDIRECT("aux_sheet_RRS!AJ"&amp;1+MATCH(aux_sheet_RRS!$E221,aux_sheet_RRS!$D$2:$D$202,0)))</f>
        <v/>
      </c>
      <c r="AC222" s="89" t="str">
        <f ca="1">IF($B222="","",INDIRECT("aux_sheet_RRS!AK"&amp;1+MATCH(aux_sheet_RRS!$E221,aux_sheet_RRS!$D$2:$D$202,0)))</f>
        <v/>
      </c>
      <c r="AD222" s="90" t="str">
        <f ca="1">IF(AB222="","",INDIRECT("aux_sheet_RRS!AL"&amp;1+MATCH(aux_sheet_RRS!$E221,aux_sheet_RRS!$D$2:$D$202,0)))</f>
        <v/>
      </c>
      <c r="AE222" s="88" t="str">
        <f ca="1">IF($B222="","",INDIRECT("aux_sheet_RRS!AM"&amp;1+MATCH(aux_sheet_RRS!$E221,aux_sheet_RRS!$D$2:$D$202,0)))</f>
        <v/>
      </c>
      <c r="AF222" s="89" t="str">
        <f ca="1">IF($B222="","",INDIRECT("aux_sheet_RRS!AN"&amp;1+MATCH(aux_sheet_RRS!$E221,aux_sheet_RRS!$D$2:$D$202,0)))</f>
        <v/>
      </c>
      <c r="AG222" s="90" t="str">
        <f ca="1">IF(AE222="","",INDIRECT("aux_sheet_RRS!AO"&amp;1+MATCH(aux_sheet_RRS!$E221,aux_sheet_RRS!$D$2:$D$202,0)))</f>
        <v/>
      </c>
    </row>
    <row r="223" spans="1:33" x14ac:dyDescent="0.35">
      <c r="G223" s="88" t="str">
        <f ca="1">IF($B223="","",INDIRECT("aux_sheet_RRS!O"&amp;1+MATCH(aux_sheet_RRS!$E222,aux_sheet_RRS!$D$2:$D$202,0)))</f>
        <v/>
      </c>
      <c r="H223" s="89" t="str">
        <f ca="1">IF($B223="","",INDIRECT("aux_sheet_RRS!P"&amp;1+MATCH(aux_sheet_RRS!$E222,aux_sheet_RRS!$D$2:$D$202,0)))</f>
        <v/>
      </c>
      <c r="I223" s="90" t="str">
        <f ca="1">IF(G223="","",ROUNDDOWN(INDIRECT("aux_sheet_RRS!Q"&amp;1+MATCH(aux_sheet_RRS!$E222,aux_sheet_RRS!$D$2:$D$202,0)),0))</f>
        <v/>
      </c>
      <c r="J223" s="106" t="str">
        <f ca="1">IF($B223="","",INDIRECT("aux_sheet_RRS!R"&amp;1+MATCH(aux_sheet_RRS!$E222,aux_sheet_RRS!$D$2:$D$202,0)))</f>
        <v/>
      </c>
      <c r="K223" s="89" t="str">
        <f ca="1">IF($B223="","",INDIRECT("aux_sheet_RRS!S"&amp;1+MATCH(aux_sheet_RRS!$E222,aux_sheet_RRS!$D$2:$D$202,0)))</f>
        <v/>
      </c>
      <c r="L223" s="90" t="str">
        <f ca="1">IF(J223="","",ROUNDDOWN(INDIRECT("aux_sheet_RRS!T"&amp;1+MATCH(aux_sheet_RRS!$E222,aux_sheet_RRS!$D$2:$D$202,0)),0))</f>
        <v/>
      </c>
      <c r="M223" s="106" t="str">
        <f ca="1">IF($B223="","",INDIRECT("aux_sheet_RRS!U"&amp;1+MATCH(aux_sheet_RRS!$E222,aux_sheet_RRS!$D$2:$D$202,0)))</f>
        <v/>
      </c>
      <c r="N223" s="89" t="str">
        <f ca="1">IF($B223="","",INDIRECT("aux_sheet_RRS!V"&amp;1+MATCH(aux_sheet_RRS!$E222,aux_sheet_RRS!$D$2:$D$202,0)))</f>
        <v/>
      </c>
      <c r="O223" s="90" t="str">
        <f ca="1">IF(M223="","",ROUNDDOWN(INDIRECT("aux_sheet_RRS!W"&amp;1+MATCH(aux_sheet_RRS!$E222,aux_sheet_RRS!$D$2:$D$202,0)),0))</f>
        <v/>
      </c>
      <c r="P223" s="106" t="str">
        <f ca="1">IF($B223="","",INDIRECT("aux_sheet_RRS!X"&amp;1+MATCH(aux_sheet_RRS!$E222,aux_sheet_RRS!$D$2:$D$202,0)))</f>
        <v/>
      </c>
      <c r="Q223" s="89" t="str">
        <f ca="1">IF($B223="","",INDIRECT("aux_sheet_RRS!Y"&amp;1+MATCH(aux_sheet_RRS!$E222,aux_sheet_RRS!$D$2:$D$202,0)))</f>
        <v/>
      </c>
      <c r="R223" s="90" t="str">
        <f ca="1">IF(P223="","",INDIRECT("aux_sheet_RRS!Z"&amp;1+MATCH(aux_sheet_RRS!$E222,aux_sheet_RRS!$D$2:$D$202,0)))</f>
        <v/>
      </c>
      <c r="S223" s="106" t="str">
        <f ca="1">IF($B223="","",INDIRECT("aux_sheet_RRS!AA"&amp;1+MATCH(aux_sheet_RRS!$E222,aux_sheet_RRS!$D$2:$D$202,0)))</f>
        <v/>
      </c>
      <c r="T223" s="89" t="str">
        <f ca="1">IF($B223="","",INDIRECT("aux_sheet_RRS!AB"&amp;1+MATCH(aux_sheet_RRS!$E222,aux_sheet_RRS!$D$2:$D$202,0)))</f>
        <v/>
      </c>
      <c r="U223" s="90" t="str">
        <f ca="1">IF(S223="","",INDIRECT("aux_sheet_RRS!AC"&amp;1+MATCH(aux_sheet_RRS!$E222,aux_sheet_RRS!$D$2:$D$202,0)))</f>
        <v/>
      </c>
      <c r="V223" s="106" t="str">
        <f ca="1">IF($B223="","",INDIRECT("aux_sheet_RRS!AD"&amp;1+MATCH(aux_sheet_RRS!$E222,aux_sheet_RRS!$D$2:$D$202,0)))</f>
        <v/>
      </c>
      <c r="W223" s="89" t="str">
        <f ca="1">IF($B223="","",INDIRECT("aux_sheet_RRS!AE"&amp;1+MATCH(aux_sheet_RRS!$E222,aux_sheet_RRS!$D$2:$D$202,0)))</f>
        <v/>
      </c>
      <c r="X223" s="90" t="str">
        <f ca="1">IF(V223="","",INDIRECT("aux_sheet_RRS!AF"&amp;1+MATCH(aux_sheet_RRS!$E222,aux_sheet_RRS!$D$2:$D$202,0)))</f>
        <v/>
      </c>
      <c r="Y223" s="106" t="str">
        <f ca="1">IF($B223="","",INDIRECT("aux_sheet_RRS!AG"&amp;1+MATCH(aux_sheet_RRS!$E222,aux_sheet_RRS!$D$2:$D$202,0)))</f>
        <v/>
      </c>
      <c r="Z223" s="89" t="str">
        <f ca="1">IF($B223="","",INDIRECT("aux_sheet_RRS!AH"&amp;1+MATCH(aux_sheet_RRS!$E222,aux_sheet_RRS!$D$2:$D$202,0)))</f>
        <v/>
      </c>
      <c r="AA223" s="90" t="str">
        <f ca="1">IF(Y223="","",INDIRECT("aux_sheet_RRS!AI"&amp;1+MATCH(aux_sheet_RRS!$E222,aux_sheet_RRS!$D$2:$D$202,0)))</f>
        <v/>
      </c>
      <c r="AB223" s="88" t="str">
        <f ca="1">IF($B223="","",INDIRECT("aux_sheet_RRS!AJ"&amp;1+MATCH(aux_sheet_RRS!$E222,aux_sheet_RRS!$D$2:$D$202,0)))</f>
        <v/>
      </c>
      <c r="AC223" s="89" t="str">
        <f ca="1">IF($B223="","",INDIRECT("aux_sheet_RRS!AK"&amp;1+MATCH(aux_sheet_RRS!$E222,aux_sheet_RRS!$D$2:$D$202,0)))</f>
        <v/>
      </c>
      <c r="AD223" s="90" t="str">
        <f ca="1">IF(AB223="","",INDIRECT("aux_sheet_RRS!AL"&amp;1+MATCH(aux_sheet_RRS!$E222,aux_sheet_RRS!$D$2:$D$202,0)))</f>
        <v/>
      </c>
      <c r="AE223" s="88" t="str">
        <f ca="1">IF($B223="","",INDIRECT("aux_sheet_RRS!AM"&amp;1+MATCH(aux_sheet_RRS!$E222,aux_sheet_RRS!$D$2:$D$202,0)))</f>
        <v/>
      </c>
      <c r="AF223" s="89" t="str">
        <f ca="1">IF($B223="","",INDIRECT("aux_sheet_RRS!AN"&amp;1+MATCH(aux_sheet_RRS!$E222,aux_sheet_RRS!$D$2:$D$202,0)))</f>
        <v/>
      </c>
      <c r="AG223" s="90" t="str">
        <f ca="1">IF(AE223="","",INDIRECT("aux_sheet_RRS!AO"&amp;1+MATCH(aux_sheet_RRS!$E222,aux_sheet_RRS!$D$2:$D$202,0)))</f>
        <v/>
      </c>
    </row>
    <row r="224" spans="1:33" x14ac:dyDescent="0.35">
      <c r="G224" s="88" t="str">
        <f ca="1">IF($B224="","",INDIRECT("aux_sheet_RRS!O"&amp;1+MATCH(aux_sheet_RRS!$E223,aux_sheet_RRS!$D$2:$D$202,0)))</f>
        <v/>
      </c>
      <c r="H224" s="89" t="str">
        <f ca="1">IF($B224="","",INDIRECT("aux_sheet_RRS!P"&amp;1+MATCH(aux_sheet_RRS!$E223,aux_sheet_RRS!$D$2:$D$202,0)))</f>
        <v/>
      </c>
      <c r="I224" s="90" t="str">
        <f ca="1">IF(G224="","",ROUNDDOWN(INDIRECT("aux_sheet_RRS!Q"&amp;1+MATCH(aux_sheet_RRS!$E223,aux_sheet_RRS!$D$2:$D$202,0)),0))</f>
        <v/>
      </c>
      <c r="J224" s="106" t="str">
        <f ca="1">IF($B224="","",INDIRECT("aux_sheet_RRS!R"&amp;1+MATCH(aux_sheet_RRS!$E223,aux_sheet_RRS!$D$2:$D$202,0)))</f>
        <v/>
      </c>
      <c r="K224" s="89" t="str">
        <f ca="1">IF($B224="","",INDIRECT("aux_sheet_RRS!S"&amp;1+MATCH(aux_sheet_RRS!$E223,aux_sheet_RRS!$D$2:$D$202,0)))</f>
        <v/>
      </c>
      <c r="L224" s="90" t="str">
        <f ca="1">IF(J224="","",ROUNDDOWN(INDIRECT("aux_sheet_RRS!T"&amp;1+MATCH(aux_sheet_RRS!$E223,aux_sheet_RRS!$D$2:$D$202,0)),0))</f>
        <v/>
      </c>
      <c r="M224" s="106" t="str">
        <f ca="1">IF($B224="","",INDIRECT("aux_sheet_RRS!U"&amp;1+MATCH(aux_sheet_RRS!$E223,aux_sheet_RRS!$D$2:$D$202,0)))</f>
        <v/>
      </c>
      <c r="N224" s="89" t="str">
        <f ca="1">IF($B224="","",INDIRECT("aux_sheet_RRS!V"&amp;1+MATCH(aux_sheet_RRS!$E223,aux_sheet_RRS!$D$2:$D$202,0)))</f>
        <v/>
      </c>
      <c r="O224" s="90" t="str">
        <f ca="1">IF(M224="","",ROUNDDOWN(INDIRECT("aux_sheet_RRS!W"&amp;1+MATCH(aux_sheet_RRS!$E223,aux_sheet_RRS!$D$2:$D$202,0)),0))</f>
        <v/>
      </c>
      <c r="P224" s="106" t="str">
        <f ca="1">IF($B224="","",INDIRECT("aux_sheet_RRS!X"&amp;1+MATCH(aux_sheet_RRS!$E223,aux_sheet_RRS!$D$2:$D$202,0)))</f>
        <v/>
      </c>
      <c r="Q224" s="89" t="str">
        <f ca="1">IF($B224="","",INDIRECT("aux_sheet_RRS!Y"&amp;1+MATCH(aux_sheet_RRS!$E223,aux_sheet_RRS!$D$2:$D$202,0)))</f>
        <v/>
      </c>
      <c r="R224" s="90" t="str">
        <f ca="1">IF(P224="","",INDIRECT("aux_sheet_RRS!Z"&amp;1+MATCH(aux_sheet_RRS!$E223,aux_sheet_RRS!$D$2:$D$202,0)))</f>
        <v/>
      </c>
      <c r="S224" s="106" t="str">
        <f ca="1">IF($B224="","",INDIRECT("aux_sheet_RRS!AA"&amp;1+MATCH(aux_sheet_RRS!$E223,aux_sheet_RRS!$D$2:$D$202,0)))</f>
        <v/>
      </c>
      <c r="T224" s="89" t="str">
        <f ca="1">IF($B224="","",INDIRECT("aux_sheet_RRS!AB"&amp;1+MATCH(aux_sheet_RRS!$E223,aux_sheet_RRS!$D$2:$D$202,0)))</f>
        <v/>
      </c>
      <c r="U224" s="90" t="str">
        <f ca="1">IF(S224="","",INDIRECT("aux_sheet_RRS!AC"&amp;1+MATCH(aux_sheet_RRS!$E223,aux_sheet_RRS!$D$2:$D$202,0)))</f>
        <v/>
      </c>
      <c r="V224" s="106" t="str">
        <f ca="1">IF($B224="","",INDIRECT("aux_sheet_RRS!AD"&amp;1+MATCH(aux_sheet_RRS!$E223,aux_sheet_RRS!$D$2:$D$202,0)))</f>
        <v/>
      </c>
      <c r="W224" s="89" t="str">
        <f ca="1">IF($B224="","",INDIRECT("aux_sheet_RRS!AE"&amp;1+MATCH(aux_sheet_RRS!$E223,aux_sheet_RRS!$D$2:$D$202,0)))</f>
        <v/>
      </c>
      <c r="X224" s="90" t="str">
        <f ca="1">IF(V224="","",INDIRECT("aux_sheet_RRS!AF"&amp;1+MATCH(aux_sheet_RRS!$E223,aux_sheet_RRS!$D$2:$D$202,0)))</f>
        <v/>
      </c>
      <c r="Y224" s="106" t="str">
        <f ca="1">IF($B224="","",INDIRECT("aux_sheet_RRS!AG"&amp;1+MATCH(aux_sheet_RRS!$E223,aux_sheet_RRS!$D$2:$D$202,0)))</f>
        <v/>
      </c>
      <c r="Z224" s="89" t="str">
        <f ca="1">IF($B224="","",INDIRECT("aux_sheet_RRS!AH"&amp;1+MATCH(aux_sheet_RRS!$E223,aux_sheet_RRS!$D$2:$D$202,0)))</f>
        <v/>
      </c>
      <c r="AA224" s="90" t="str">
        <f ca="1">IF(Y224="","",INDIRECT("aux_sheet_RRS!AI"&amp;1+MATCH(aux_sheet_RRS!$E223,aux_sheet_RRS!$D$2:$D$202,0)))</f>
        <v/>
      </c>
      <c r="AB224" s="88" t="str">
        <f ca="1">IF($B224="","",INDIRECT("aux_sheet_RRS!AJ"&amp;1+MATCH(aux_sheet_RRS!$E223,aux_sheet_RRS!$D$2:$D$202,0)))</f>
        <v/>
      </c>
      <c r="AC224" s="89" t="str">
        <f ca="1">IF($B224="","",INDIRECT("aux_sheet_RRS!AK"&amp;1+MATCH(aux_sheet_RRS!$E223,aux_sheet_RRS!$D$2:$D$202,0)))</f>
        <v/>
      </c>
      <c r="AD224" s="90" t="str">
        <f ca="1">IF(AB224="","",INDIRECT("aux_sheet_RRS!AL"&amp;1+MATCH(aux_sheet_RRS!$E223,aux_sheet_RRS!$D$2:$D$202,0)))</f>
        <v/>
      </c>
      <c r="AE224" s="88" t="str">
        <f ca="1">IF($B224="","",INDIRECT("aux_sheet_RRS!AM"&amp;1+MATCH(aux_sheet_RRS!$E223,aux_sheet_RRS!$D$2:$D$202,0)))</f>
        <v/>
      </c>
      <c r="AF224" s="89" t="str">
        <f ca="1">IF($B224="","",INDIRECT("aux_sheet_RRS!AN"&amp;1+MATCH(aux_sheet_RRS!$E223,aux_sheet_RRS!$D$2:$D$202,0)))</f>
        <v/>
      </c>
      <c r="AG224" s="90" t="str">
        <f ca="1">IF(AE224="","",INDIRECT("aux_sheet_RRS!AO"&amp;1+MATCH(aux_sheet_RRS!$E223,aux_sheet_RRS!$D$2:$D$202,0)))</f>
        <v/>
      </c>
    </row>
    <row r="225" spans="7:33" x14ac:dyDescent="0.35">
      <c r="G225" s="88" t="str">
        <f ca="1">IF($B225="","",INDIRECT("aux_sheet_RRS!O"&amp;1+MATCH(aux_sheet_RRS!$E224,aux_sheet_RRS!$D$2:$D$202,0)))</f>
        <v/>
      </c>
      <c r="H225" s="89" t="str">
        <f ca="1">IF($B225="","",INDIRECT("aux_sheet_RRS!P"&amp;1+MATCH(aux_sheet_RRS!$E224,aux_sheet_RRS!$D$2:$D$202,0)))</f>
        <v/>
      </c>
      <c r="I225" s="90" t="str">
        <f ca="1">IF(G225="","",ROUNDDOWN(INDIRECT("aux_sheet_RRS!Q"&amp;1+MATCH(aux_sheet_RRS!$E224,aux_sheet_RRS!$D$2:$D$202,0)),0))</f>
        <v/>
      </c>
      <c r="J225" s="106" t="str">
        <f ca="1">IF($B225="","",INDIRECT("aux_sheet_RRS!R"&amp;1+MATCH(aux_sheet_RRS!$E224,aux_sheet_RRS!$D$2:$D$202,0)))</f>
        <v/>
      </c>
      <c r="K225" s="89" t="str">
        <f ca="1">IF($B225="","",INDIRECT("aux_sheet_RRS!S"&amp;1+MATCH(aux_sheet_RRS!$E224,aux_sheet_RRS!$D$2:$D$202,0)))</f>
        <v/>
      </c>
      <c r="L225" s="90" t="str">
        <f ca="1">IF(J225="","",ROUNDDOWN(INDIRECT("aux_sheet_RRS!T"&amp;1+MATCH(aux_sheet_RRS!$E224,aux_sheet_RRS!$D$2:$D$202,0)),0))</f>
        <v/>
      </c>
      <c r="M225" s="106" t="str">
        <f ca="1">IF($B225="","",INDIRECT("aux_sheet_RRS!U"&amp;1+MATCH(aux_sheet_RRS!$E224,aux_sheet_RRS!$D$2:$D$202,0)))</f>
        <v/>
      </c>
      <c r="N225" s="89" t="str">
        <f ca="1">IF($B225="","",INDIRECT("aux_sheet_RRS!V"&amp;1+MATCH(aux_sheet_RRS!$E224,aux_sheet_RRS!$D$2:$D$202,0)))</f>
        <v/>
      </c>
      <c r="O225" s="90" t="str">
        <f ca="1">IF(M225="","",ROUNDDOWN(INDIRECT("aux_sheet_RRS!W"&amp;1+MATCH(aux_sheet_RRS!$E224,aux_sheet_RRS!$D$2:$D$202,0)),0))</f>
        <v/>
      </c>
      <c r="P225" s="106" t="str">
        <f ca="1">IF($B225="","",INDIRECT("aux_sheet_RRS!X"&amp;1+MATCH(aux_sheet_RRS!$E224,aux_sheet_RRS!$D$2:$D$202,0)))</f>
        <v/>
      </c>
      <c r="Q225" s="89" t="str">
        <f ca="1">IF($B225="","",INDIRECT("aux_sheet_RRS!Y"&amp;1+MATCH(aux_sheet_RRS!$E224,aux_sheet_RRS!$D$2:$D$202,0)))</f>
        <v/>
      </c>
      <c r="R225" s="90" t="str">
        <f ca="1">IF(P225="","",INDIRECT("aux_sheet_RRS!Z"&amp;1+MATCH(aux_sheet_RRS!$E224,aux_sheet_RRS!$D$2:$D$202,0)))</f>
        <v/>
      </c>
      <c r="S225" s="106" t="str">
        <f ca="1">IF($B225="","",INDIRECT("aux_sheet_RRS!AA"&amp;1+MATCH(aux_sheet_RRS!$E224,aux_sheet_RRS!$D$2:$D$202,0)))</f>
        <v/>
      </c>
      <c r="T225" s="89" t="str">
        <f ca="1">IF($B225="","",INDIRECT("aux_sheet_RRS!AB"&amp;1+MATCH(aux_sheet_RRS!$E224,aux_sheet_RRS!$D$2:$D$202,0)))</f>
        <v/>
      </c>
      <c r="U225" s="90" t="str">
        <f ca="1">IF(S225="","",INDIRECT("aux_sheet_RRS!AC"&amp;1+MATCH(aux_sheet_RRS!$E224,aux_sheet_RRS!$D$2:$D$202,0)))</f>
        <v/>
      </c>
      <c r="V225" s="106" t="str">
        <f ca="1">IF($B225="","",INDIRECT("aux_sheet_RRS!AD"&amp;1+MATCH(aux_sheet_RRS!$E224,aux_sheet_RRS!$D$2:$D$202,0)))</f>
        <v/>
      </c>
      <c r="W225" s="89" t="str">
        <f ca="1">IF($B225="","",INDIRECT("aux_sheet_RRS!AE"&amp;1+MATCH(aux_sheet_RRS!$E224,aux_sheet_RRS!$D$2:$D$202,0)))</f>
        <v/>
      </c>
      <c r="X225" s="90" t="str">
        <f ca="1">IF(V225="","",INDIRECT("aux_sheet_RRS!AF"&amp;1+MATCH(aux_sheet_RRS!$E224,aux_sheet_RRS!$D$2:$D$202,0)))</f>
        <v/>
      </c>
      <c r="Y225" s="106" t="str">
        <f ca="1">IF($B225="","",INDIRECT("aux_sheet_RRS!AG"&amp;1+MATCH(aux_sheet_RRS!$E224,aux_sheet_RRS!$D$2:$D$202,0)))</f>
        <v/>
      </c>
      <c r="Z225" s="89" t="str">
        <f ca="1">IF($B225="","",INDIRECT("aux_sheet_RRS!AH"&amp;1+MATCH(aux_sheet_RRS!$E224,aux_sheet_RRS!$D$2:$D$202,0)))</f>
        <v/>
      </c>
      <c r="AA225" s="90" t="str">
        <f ca="1">IF(Y225="","",INDIRECT("aux_sheet_RRS!AI"&amp;1+MATCH(aux_sheet_RRS!$E224,aux_sheet_RRS!$D$2:$D$202,0)))</f>
        <v/>
      </c>
      <c r="AB225" s="88" t="str">
        <f ca="1">IF($B225="","",INDIRECT("aux_sheet_RRS!AJ"&amp;1+MATCH(aux_sheet_RRS!$E224,aux_sheet_RRS!$D$2:$D$202,0)))</f>
        <v/>
      </c>
      <c r="AC225" s="89" t="str">
        <f ca="1">IF($B225="","",INDIRECT("aux_sheet_RRS!AK"&amp;1+MATCH(aux_sheet_RRS!$E224,aux_sheet_RRS!$D$2:$D$202,0)))</f>
        <v/>
      </c>
      <c r="AD225" s="90" t="str">
        <f ca="1">IF(AB225="","",INDIRECT("aux_sheet_RRS!AL"&amp;1+MATCH(aux_sheet_RRS!$E224,aux_sheet_RRS!$D$2:$D$202,0)))</f>
        <v/>
      </c>
      <c r="AE225" s="88" t="str">
        <f ca="1">IF($B225="","",INDIRECT("aux_sheet_RRS!AM"&amp;1+MATCH(aux_sheet_RRS!$E224,aux_sheet_RRS!$D$2:$D$202,0)))</f>
        <v/>
      </c>
      <c r="AF225" s="89" t="str">
        <f ca="1">IF($B225="","",INDIRECT("aux_sheet_RRS!AN"&amp;1+MATCH(aux_sheet_RRS!$E224,aux_sheet_RRS!$D$2:$D$202,0)))</f>
        <v/>
      </c>
      <c r="AG225" s="90" t="str">
        <f ca="1">IF(AE225="","",INDIRECT("aux_sheet_RRS!AO"&amp;1+MATCH(aux_sheet_RRS!$E224,aux_sheet_RRS!$D$2:$D$202,0)))</f>
        <v/>
      </c>
    </row>
    <row r="226" spans="7:33" x14ac:dyDescent="0.35">
      <c r="G226" s="88" t="str">
        <f ca="1">IF($B226="","",INDIRECT("aux_sheet_RRS!O"&amp;1+MATCH(aux_sheet_RRS!$E225,aux_sheet_RRS!$D$2:$D$202,0)))</f>
        <v/>
      </c>
      <c r="H226" s="89" t="str">
        <f ca="1">IF($B226="","",INDIRECT("aux_sheet_RRS!P"&amp;1+MATCH(aux_sheet_RRS!$E225,aux_sheet_RRS!$D$2:$D$202,0)))</f>
        <v/>
      </c>
      <c r="I226" s="90" t="str">
        <f ca="1">IF(G226="","",ROUNDDOWN(INDIRECT("aux_sheet_RRS!Q"&amp;1+MATCH(aux_sheet_RRS!$E225,aux_sheet_RRS!$D$2:$D$202,0)),0))</f>
        <v/>
      </c>
      <c r="J226" s="106" t="str">
        <f ca="1">IF($B226="","",INDIRECT("aux_sheet_RRS!R"&amp;1+MATCH(aux_sheet_RRS!$E225,aux_sheet_RRS!$D$2:$D$202,0)))</f>
        <v/>
      </c>
      <c r="K226" s="89" t="str">
        <f ca="1">IF($B226="","",INDIRECT("aux_sheet_RRS!S"&amp;1+MATCH(aux_sheet_RRS!$E225,aux_sheet_RRS!$D$2:$D$202,0)))</f>
        <v/>
      </c>
      <c r="L226" s="90" t="str">
        <f ca="1">IF(J226="","",ROUNDDOWN(INDIRECT("aux_sheet_RRS!T"&amp;1+MATCH(aux_sheet_RRS!$E225,aux_sheet_RRS!$D$2:$D$202,0)),0))</f>
        <v/>
      </c>
      <c r="M226" s="106" t="str">
        <f ca="1">IF($B226="","",INDIRECT("aux_sheet_RRS!U"&amp;1+MATCH(aux_sheet_RRS!$E225,aux_sheet_RRS!$D$2:$D$202,0)))</f>
        <v/>
      </c>
      <c r="N226" s="89" t="str">
        <f ca="1">IF($B226="","",INDIRECT("aux_sheet_RRS!V"&amp;1+MATCH(aux_sheet_RRS!$E225,aux_sheet_RRS!$D$2:$D$202,0)))</f>
        <v/>
      </c>
      <c r="O226" s="90" t="str">
        <f ca="1">IF(M226="","",ROUNDDOWN(INDIRECT("aux_sheet_RRS!W"&amp;1+MATCH(aux_sheet_RRS!$E225,aux_sheet_RRS!$D$2:$D$202,0)),0))</f>
        <v/>
      </c>
      <c r="P226" s="106" t="str">
        <f ca="1">IF($B226="","",INDIRECT("aux_sheet_RRS!X"&amp;1+MATCH(aux_sheet_RRS!$E225,aux_sheet_RRS!$D$2:$D$202,0)))</f>
        <v/>
      </c>
      <c r="Q226" s="89" t="str">
        <f ca="1">IF($B226="","",INDIRECT("aux_sheet_RRS!Y"&amp;1+MATCH(aux_sheet_RRS!$E225,aux_sheet_RRS!$D$2:$D$202,0)))</f>
        <v/>
      </c>
      <c r="R226" s="90" t="str">
        <f ca="1">IF(P226="","",INDIRECT("aux_sheet_RRS!Z"&amp;1+MATCH(aux_sheet_RRS!$E225,aux_sheet_RRS!$D$2:$D$202,0)))</f>
        <v/>
      </c>
      <c r="S226" s="106" t="str">
        <f ca="1">IF($B226="","",INDIRECT("aux_sheet_RRS!AA"&amp;1+MATCH(aux_sheet_RRS!$E225,aux_sheet_RRS!$D$2:$D$202,0)))</f>
        <v/>
      </c>
      <c r="T226" s="89" t="str">
        <f ca="1">IF($B226="","",INDIRECT("aux_sheet_RRS!AB"&amp;1+MATCH(aux_sheet_RRS!$E225,aux_sheet_RRS!$D$2:$D$202,0)))</f>
        <v/>
      </c>
      <c r="U226" s="90" t="str">
        <f ca="1">IF(S226="","",INDIRECT("aux_sheet_RRS!AC"&amp;1+MATCH(aux_sheet_RRS!$E225,aux_sheet_RRS!$D$2:$D$202,0)))</f>
        <v/>
      </c>
      <c r="V226" s="106" t="str">
        <f ca="1">IF($B226="","",INDIRECT("aux_sheet_RRS!AD"&amp;1+MATCH(aux_sheet_RRS!$E225,aux_sheet_RRS!$D$2:$D$202,0)))</f>
        <v/>
      </c>
      <c r="W226" s="89" t="str">
        <f ca="1">IF($B226="","",INDIRECT("aux_sheet_RRS!AE"&amp;1+MATCH(aux_sheet_RRS!$E225,aux_sheet_RRS!$D$2:$D$202,0)))</f>
        <v/>
      </c>
      <c r="X226" s="90" t="str">
        <f ca="1">IF(V226="","",INDIRECT("aux_sheet_RRS!AF"&amp;1+MATCH(aux_sheet_RRS!$E225,aux_sheet_RRS!$D$2:$D$202,0)))</f>
        <v/>
      </c>
      <c r="Y226" s="106" t="str">
        <f ca="1">IF($B226="","",INDIRECT("aux_sheet_RRS!AG"&amp;1+MATCH(aux_sheet_RRS!$E225,aux_sheet_RRS!$D$2:$D$202,0)))</f>
        <v/>
      </c>
      <c r="Z226" s="89" t="str">
        <f ca="1">IF($B226="","",INDIRECT("aux_sheet_RRS!AH"&amp;1+MATCH(aux_sheet_RRS!$E225,aux_sheet_RRS!$D$2:$D$202,0)))</f>
        <v/>
      </c>
      <c r="AA226" s="90" t="str">
        <f ca="1">IF(Y226="","",INDIRECT("aux_sheet_RRS!AI"&amp;1+MATCH(aux_sheet_RRS!$E225,aux_sheet_RRS!$D$2:$D$202,0)))</f>
        <v/>
      </c>
      <c r="AB226" s="88" t="str">
        <f ca="1">IF($B226="","",INDIRECT("aux_sheet_RRS!AJ"&amp;1+MATCH(aux_sheet_RRS!$E225,aux_sheet_RRS!$D$2:$D$202,0)))</f>
        <v/>
      </c>
      <c r="AC226" s="89" t="str">
        <f ca="1">IF($B226="","",INDIRECT("aux_sheet_RRS!AK"&amp;1+MATCH(aux_sheet_RRS!$E225,aux_sheet_RRS!$D$2:$D$202,0)))</f>
        <v/>
      </c>
      <c r="AD226" s="90" t="str">
        <f ca="1">IF(AB226="","",INDIRECT("aux_sheet_RRS!AL"&amp;1+MATCH(aux_sheet_RRS!$E225,aux_sheet_RRS!$D$2:$D$202,0)))</f>
        <v/>
      </c>
      <c r="AE226" s="88" t="str">
        <f ca="1">IF($B226="","",INDIRECT("aux_sheet_RRS!AM"&amp;1+MATCH(aux_sheet_RRS!$E225,aux_sheet_RRS!$D$2:$D$202,0)))</f>
        <v/>
      </c>
      <c r="AF226" s="89" t="str">
        <f ca="1">IF($B226="","",INDIRECT("aux_sheet_RRS!AN"&amp;1+MATCH(aux_sheet_RRS!$E225,aux_sheet_RRS!$D$2:$D$202,0)))</f>
        <v/>
      </c>
      <c r="AG226" s="90" t="str">
        <f ca="1">IF(AE226="","",INDIRECT("aux_sheet_RRS!AO"&amp;1+MATCH(aux_sheet_RRS!$E225,aux_sheet_RRS!$D$2:$D$202,0)))</f>
        <v/>
      </c>
    </row>
    <row r="227" spans="7:33" x14ac:dyDescent="0.35">
      <c r="G227" s="88" t="str">
        <f ca="1">IF($B227="","",INDIRECT("aux_sheet_RRS!O"&amp;1+MATCH(aux_sheet_RRS!$E226,aux_sheet_RRS!$D$2:$D$202,0)))</f>
        <v/>
      </c>
      <c r="H227" s="89" t="str">
        <f ca="1">IF($B227="","",INDIRECT("aux_sheet_RRS!P"&amp;1+MATCH(aux_sheet_RRS!$E226,aux_sheet_RRS!$D$2:$D$202,0)))</f>
        <v/>
      </c>
      <c r="I227" s="90" t="str">
        <f ca="1">IF(G227="","",ROUNDDOWN(INDIRECT("aux_sheet_RRS!Q"&amp;1+MATCH(aux_sheet_RRS!$E226,aux_sheet_RRS!$D$2:$D$202,0)),0))</f>
        <v/>
      </c>
      <c r="J227" s="106" t="str">
        <f ca="1">IF($B227="","",INDIRECT("aux_sheet_RRS!R"&amp;1+MATCH(aux_sheet_RRS!$E226,aux_sheet_RRS!$D$2:$D$202,0)))</f>
        <v/>
      </c>
      <c r="K227" s="89" t="str">
        <f ca="1">IF($B227="","",INDIRECT("aux_sheet_RRS!S"&amp;1+MATCH(aux_sheet_RRS!$E226,aux_sheet_RRS!$D$2:$D$202,0)))</f>
        <v/>
      </c>
      <c r="L227" s="90" t="str">
        <f ca="1">IF(J227="","",ROUNDDOWN(INDIRECT("aux_sheet_RRS!T"&amp;1+MATCH(aux_sheet_RRS!$E226,aux_sheet_RRS!$D$2:$D$202,0)),0))</f>
        <v/>
      </c>
      <c r="M227" s="106" t="str">
        <f ca="1">IF($B227="","",INDIRECT("aux_sheet_RRS!U"&amp;1+MATCH(aux_sheet_RRS!$E226,aux_sheet_RRS!$D$2:$D$202,0)))</f>
        <v/>
      </c>
      <c r="N227" s="89" t="str">
        <f ca="1">IF($B227="","",INDIRECT("aux_sheet_RRS!V"&amp;1+MATCH(aux_sheet_RRS!$E226,aux_sheet_RRS!$D$2:$D$202,0)))</f>
        <v/>
      </c>
      <c r="O227" s="90" t="str">
        <f ca="1">IF(M227="","",ROUNDDOWN(INDIRECT("aux_sheet_RRS!W"&amp;1+MATCH(aux_sheet_RRS!$E226,aux_sheet_RRS!$D$2:$D$202,0)),0))</f>
        <v/>
      </c>
      <c r="P227" s="106" t="str">
        <f ca="1">IF($B227="","",INDIRECT("aux_sheet_RRS!X"&amp;1+MATCH(aux_sheet_RRS!$E226,aux_sheet_RRS!$D$2:$D$202,0)))</f>
        <v/>
      </c>
      <c r="Q227" s="89" t="str">
        <f ca="1">IF($B227="","",INDIRECT("aux_sheet_RRS!Y"&amp;1+MATCH(aux_sheet_RRS!$E226,aux_sheet_RRS!$D$2:$D$202,0)))</f>
        <v/>
      </c>
      <c r="R227" s="90" t="str">
        <f ca="1">IF(P227="","",INDIRECT("aux_sheet_RRS!Z"&amp;1+MATCH(aux_sheet_RRS!$E226,aux_sheet_RRS!$D$2:$D$202,0)))</f>
        <v/>
      </c>
      <c r="S227" s="106" t="str">
        <f ca="1">IF($B227="","",INDIRECT("aux_sheet_RRS!AA"&amp;1+MATCH(aux_sheet_RRS!$E226,aux_sheet_RRS!$D$2:$D$202,0)))</f>
        <v/>
      </c>
      <c r="T227" s="89" t="str">
        <f ca="1">IF($B227="","",INDIRECT("aux_sheet_RRS!AB"&amp;1+MATCH(aux_sheet_RRS!$E226,aux_sheet_RRS!$D$2:$D$202,0)))</f>
        <v/>
      </c>
      <c r="U227" s="90" t="str">
        <f ca="1">IF(S227="","",INDIRECT("aux_sheet_RRS!AC"&amp;1+MATCH(aux_sheet_RRS!$E226,aux_sheet_RRS!$D$2:$D$202,0)))</f>
        <v/>
      </c>
      <c r="V227" s="106" t="str">
        <f ca="1">IF($B227="","",INDIRECT("aux_sheet_RRS!AD"&amp;1+MATCH(aux_sheet_RRS!$E226,aux_sheet_RRS!$D$2:$D$202,0)))</f>
        <v/>
      </c>
      <c r="W227" s="89" t="str">
        <f ca="1">IF($B227="","",INDIRECT("aux_sheet_RRS!AE"&amp;1+MATCH(aux_sheet_RRS!$E226,aux_sheet_RRS!$D$2:$D$202,0)))</f>
        <v/>
      </c>
      <c r="X227" s="90" t="str">
        <f ca="1">IF(V227="","",INDIRECT("aux_sheet_RRS!AF"&amp;1+MATCH(aux_sheet_RRS!$E226,aux_sheet_RRS!$D$2:$D$202,0)))</f>
        <v/>
      </c>
      <c r="Y227" s="106" t="str">
        <f ca="1">IF($B227="","",INDIRECT("aux_sheet_RRS!AG"&amp;1+MATCH(aux_sheet_RRS!$E226,aux_sheet_RRS!$D$2:$D$202,0)))</f>
        <v/>
      </c>
      <c r="Z227" s="89" t="str">
        <f ca="1">IF($B227="","",INDIRECT("aux_sheet_RRS!AH"&amp;1+MATCH(aux_sheet_RRS!$E226,aux_sheet_RRS!$D$2:$D$202,0)))</f>
        <v/>
      </c>
      <c r="AA227" s="90" t="str">
        <f ca="1">IF(Y227="","",INDIRECT("aux_sheet_RRS!AI"&amp;1+MATCH(aux_sheet_RRS!$E226,aux_sheet_RRS!$D$2:$D$202,0)))</f>
        <v/>
      </c>
      <c r="AB227" s="88" t="str">
        <f ca="1">IF($B227="","",INDIRECT("aux_sheet_RRS!AJ"&amp;1+MATCH(aux_sheet_RRS!$E226,aux_sheet_RRS!$D$2:$D$202,0)))</f>
        <v/>
      </c>
      <c r="AC227" s="89" t="str">
        <f ca="1">IF($B227="","",INDIRECT("aux_sheet_RRS!AK"&amp;1+MATCH(aux_sheet_RRS!$E226,aux_sheet_RRS!$D$2:$D$202,0)))</f>
        <v/>
      </c>
      <c r="AD227" s="90" t="str">
        <f ca="1">IF(AB227="","",INDIRECT("aux_sheet_RRS!AL"&amp;1+MATCH(aux_sheet_RRS!$E226,aux_sheet_RRS!$D$2:$D$202,0)))</f>
        <v/>
      </c>
      <c r="AE227" s="88" t="str">
        <f ca="1">IF($B227="","",INDIRECT("aux_sheet_RRS!AM"&amp;1+MATCH(aux_sheet_RRS!$E226,aux_sheet_RRS!$D$2:$D$202,0)))</f>
        <v/>
      </c>
      <c r="AF227" s="89" t="str">
        <f ca="1">IF($B227="","",INDIRECT("aux_sheet_RRS!AN"&amp;1+MATCH(aux_sheet_RRS!$E226,aux_sheet_RRS!$D$2:$D$202,0)))</f>
        <v/>
      </c>
      <c r="AG227" s="90" t="str">
        <f ca="1">IF(AE227="","",INDIRECT("aux_sheet_RRS!AO"&amp;1+MATCH(aux_sheet_RRS!$E226,aux_sheet_RRS!$D$2:$D$202,0)))</f>
        <v/>
      </c>
    </row>
    <row r="228" spans="7:33" x14ac:dyDescent="0.35">
      <c r="G228" s="88" t="str">
        <f ca="1">IF($B228="","",INDIRECT("aux_sheet_RRS!O"&amp;1+MATCH(aux_sheet_RRS!$E227,aux_sheet_RRS!$D$2:$D$202,0)))</f>
        <v/>
      </c>
      <c r="H228" s="89" t="str">
        <f ca="1">IF($B228="","",INDIRECT("aux_sheet_RRS!P"&amp;1+MATCH(aux_sheet_RRS!$E227,aux_sheet_RRS!$D$2:$D$202,0)))</f>
        <v/>
      </c>
      <c r="I228" s="90" t="str">
        <f ca="1">IF(G228="","",ROUNDDOWN(INDIRECT("aux_sheet_RRS!Q"&amp;1+MATCH(aux_sheet_RRS!$E227,aux_sheet_RRS!$D$2:$D$202,0)),0))</f>
        <v/>
      </c>
      <c r="J228" s="106" t="str">
        <f ca="1">IF($B228="","",INDIRECT("aux_sheet_RRS!R"&amp;1+MATCH(aux_sheet_RRS!$E227,aux_sheet_RRS!$D$2:$D$202,0)))</f>
        <v/>
      </c>
      <c r="K228" s="89" t="str">
        <f ca="1">IF($B228="","",INDIRECT("aux_sheet_RRS!S"&amp;1+MATCH(aux_sheet_RRS!$E227,aux_sheet_RRS!$D$2:$D$202,0)))</f>
        <v/>
      </c>
      <c r="L228" s="90" t="str">
        <f ca="1">IF(J228="","",ROUNDDOWN(INDIRECT("aux_sheet_RRS!T"&amp;1+MATCH(aux_sheet_RRS!$E227,aux_sheet_RRS!$D$2:$D$202,0)),0))</f>
        <v/>
      </c>
      <c r="M228" s="106" t="str">
        <f ca="1">IF($B228="","",INDIRECT("aux_sheet_RRS!U"&amp;1+MATCH(aux_sheet_RRS!$E227,aux_sheet_RRS!$D$2:$D$202,0)))</f>
        <v/>
      </c>
      <c r="N228" s="89" t="str">
        <f ca="1">IF($B228="","",INDIRECT("aux_sheet_RRS!V"&amp;1+MATCH(aux_sheet_RRS!$E227,aux_sheet_RRS!$D$2:$D$202,0)))</f>
        <v/>
      </c>
      <c r="O228" s="90" t="str">
        <f ca="1">IF(M228="","",ROUNDDOWN(INDIRECT("aux_sheet_RRS!W"&amp;1+MATCH(aux_sheet_RRS!$E227,aux_sheet_RRS!$D$2:$D$202,0)),0))</f>
        <v/>
      </c>
      <c r="P228" s="106" t="str">
        <f ca="1">IF($B228="","",INDIRECT("aux_sheet_RRS!X"&amp;1+MATCH(aux_sheet_RRS!$E227,aux_sheet_RRS!$D$2:$D$202,0)))</f>
        <v/>
      </c>
      <c r="Q228" s="89" t="str">
        <f ca="1">IF($B228="","",INDIRECT("aux_sheet_RRS!Y"&amp;1+MATCH(aux_sheet_RRS!$E227,aux_sheet_RRS!$D$2:$D$202,0)))</f>
        <v/>
      </c>
      <c r="R228" s="90" t="str">
        <f ca="1">IF(P228="","",INDIRECT("aux_sheet_RRS!Z"&amp;1+MATCH(aux_sheet_RRS!$E227,aux_sheet_RRS!$D$2:$D$202,0)))</f>
        <v/>
      </c>
      <c r="S228" s="106" t="str">
        <f ca="1">IF($B228="","",INDIRECT("aux_sheet_RRS!AA"&amp;1+MATCH(aux_sheet_RRS!$E227,aux_sheet_RRS!$D$2:$D$202,0)))</f>
        <v/>
      </c>
      <c r="T228" s="89" t="str">
        <f ca="1">IF($B228="","",INDIRECT("aux_sheet_RRS!AB"&amp;1+MATCH(aux_sheet_RRS!$E227,aux_sheet_RRS!$D$2:$D$202,0)))</f>
        <v/>
      </c>
      <c r="U228" s="90" t="str">
        <f ca="1">IF(S228="","",INDIRECT("aux_sheet_RRS!AC"&amp;1+MATCH(aux_sheet_RRS!$E227,aux_sheet_RRS!$D$2:$D$202,0)))</f>
        <v/>
      </c>
      <c r="V228" s="106" t="str">
        <f ca="1">IF($B228="","",INDIRECT("aux_sheet_RRS!AD"&amp;1+MATCH(aux_sheet_RRS!$E227,aux_sheet_RRS!$D$2:$D$202,0)))</f>
        <v/>
      </c>
      <c r="W228" s="89" t="str">
        <f ca="1">IF($B228="","",INDIRECT("aux_sheet_RRS!AE"&amp;1+MATCH(aux_sheet_RRS!$E227,aux_sheet_RRS!$D$2:$D$202,0)))</f>
        <v/>
      </c>
      <c r="X228" s="90" t="str">
        <f ca="1">IF(V228="","",INDIRECT("aux_sheet_RRS!AF"&amp;1+MATCH(aux_sheet_RRS!$E227,aux_sheet_RRS!$D$2:$D$202,0)))</f>
        <v/>
      </c>
      <c r="Y228" s="106" t="str">
        <f ca="1">IF($B228="","",INDIRECT("aux_sheet_RRS!AG"&amp;1+MATCH(aux_sheet_RRS!$E227,aux_sheet_RRS!$D$2:$D$202,0)))</f>
        <v/>
      </c>
      <c r="Z228" s="89" t="str">
        <f ca="1">IF($B228="","",INDIRECT("aux_sheet_RRS!AH"&amp;1+MATCH(aux_sheet_RRS!$E227,aux_sheet_RRS!$D$2:$D$202,0)))</f>
        <v/>
      </c>
      <c r="AA228" s="90" t="str">
        <f ca="1">IF(Y228="","",INDIRECT("aux_sheet_RRS!AI"&amp;1+MATCH(aux_sheet_RRS!$E227,aux_sheet_RRS!$D$2:$D$202,0)))</f>
        <v/>
      </c>
      <c r="AB228" s="88" t="str">
        <f ca="1">IF($B228="","",INDIRECT("aux_sheet_RRS!AJ"&amp;1+MATCH(aux_sheet_RRS!$E227,aux_sheet_RRS!$D$2:$D$202,0)))</f>
        <v/>
      </c>
      <c r="AC228" s="89" t="str">
        <f ca="1">IF($B228="","",INDIRECT("aux_sheet_RRS!AK"&amp;1+MATCH(aux_sheet_RRS!$E227,aux_sheet_RRS!$D$2:$D$202,0)))</f>
        <v/>
      </c>
      <c r="AD228" s="90" t="str">
        <f ca="1">IF(AB228="","",INDIRECT("aux_sheet_RRS!AL"&amp;1+MATCH(aux_sheet_RRS!$E227,aux_sheet_RRS!$D$2:$D$202,0)))</f>
        <v/>
      </c>
      <c r="AE228" s="88" t="str">
        <f ca="1">IF($B228="","",INDIRECT("aux_sheet_RRS!AM"&amp;1+MATCH(aux_sheet_RRS!$E227,aux_sheet_RRS!$D$2:$D$202,0)))</f>
        <v/>
      </c>
      <c r="AF228" s="89" t="str">
        <f ca="1">IF($B228="","",INDIRECT("aux_sheet_RRS!AN"&amp;1+MATCH(aux_sheet_RRS!$E227,aux_sheet_RRS!$D$2:$D$202,0)))</f>
        <v/>
      </c>
      <c r="AG228" s="90" t="str">
        <f ca="1">IF(AE228="","",INDIRECT("aux_sheet_RRS!AO"&amp;1+MATCH(aux_sheet_RRS!$E227,aux_sheet_RRS!$D$2:$D$202,0)))</f>
        <v/>
      </c>
    </row>
    <row r="229" spans="7:33" x14ac:dyDescent="0.35">
      <c r="G229" s="88" t="str">
        <f ca="1">IF($B229="","",INDIRECT("aux_sheet_RRS!O"&amp;1+MATCH(aux_sheet_RRS!$E228,aux_sheet_RRS!$D$2:$D$202,0)))</f>
        <v/>
      </c>
      <c r="H229" s="89" t="str">
        <f ca="1">IF($B229="","",INDIRECT("aux_sheet_RRS!P"&amp;1+MATCH(aux_sheet_RRS!$E228,aux_sheet_RRS!$D$2:$D$202,0)))</f>
        <v/>
      </c>
      <c r="I229" s="90" t="str">
        <f ca="1">IF(G229="","",ROUNDDOWN(INDIRECT("aux_sheet_RRS!Q"&amp;1+MATCH(aux_sheet_RRS!$E228,aux_sheet_RRS!$D$2:$D$202,0)),0))</f>
        <v/>
      </c>
      <c r="J229" s="106" t="str">
        <f ca="1">IF($B229="","",INDIRECT("aux_sheet_RRS!R"&amp;1+MATCH(aux_sheet_RRS!$E228,aux_sheet_RRS!$D$2:$D$202,0)))</f>
        <v/>
      </c>
      <c r="K229" s="89" t="str">
        <f ca="1">IF($B229="","",INDIRECT("aux_sheet_RRS!S"&amp;1+MATCH(aux_sheet_RRS!$E228,aux_sheet_RRS!$D$2:$D$202,0)))</f>
        <v/>
      </c>
      <c r="L229" s="90" t="str">
        <f ca="1">IF(J229="","",ROUNDDOWN(INDIRECT("aux_sheet_RRS!T"&amp;1+MATCH(aux_sheet_RRS!$E228,aux_sheet_RRS!$D$2:$D$202,0)),0))</f>
        <v/>
      </c>
      <c r="M229" s="106" t="str">
        <f ca="1">IF($B229="","",INDIRECT("aux_sheet_RRS!U"&amp;1+MATCH(aux_sheet_RRS!$E228,aux_sheet_RRS!$D$2:$D$202,0)))</f>
        <v/>
      </c>
      <c r="N229" s="89" t="str">
        <f ca="1">IF($B229="","",INDIRECT("aux_sheet_RRS!V"&amp;1+MATCH(aux_sheet_RRS!$E228,aux_sheet_RRS!$D$2:$D$202,0)))</f>
        <v/>
      </c>
      <c r="O229" s="90" t="str">
        <f ca="1">IF(M229="","",ROUNDDOWN(INDIRECT("aux_sheet_RRS!W"&amp;1+MATCH(aux_sheet_RRS!$E228,aux_sheet_RRS!$D$2:$D$202,0)),0))</f>
        <v/>
      </c>
      <c r="P229" s="106" t="str">
        <f ca="1">IF($B229="","",INDIRECT("aux_sheet_RRS!X"&amp;1+MATCH(aux_sheet_RRS!$E228,aux_sheet_RRS!$D$2:$D$202,0)))</f>
        <v/>
      </c>
      <c r="Q229" s="89" t="str">
        <f ca="1">IF($B229="","",INDIRECT("aux_sheet_RRS!Y"&amp;1+MATCH(aux_sheet_RRS!$E228,aux_sheet_RRS!$D$2:$D$202,0)))</f>
        <v/>
      </c>
      <c r="R229" s="90" t="str">
        <f ca="1">IF(P229="","",INDIRECT("aux_sheet_RRS!Z"&amp;1+MATCH(aux_sheet_RRS!$E228,aux_sheet_RRS!$D$2:$D$202,0)))</f>
        <v/>
      </c>
      <c r="S229" s="106" t="str">
        <f ca="1">IF($B229="","",INDIRECT("aux_sheet_RRS!AA"&amp;1+MATCH(aux_sheet_RRS!$E228,aux_sheet_RRS!$D$2:$D$202,0)))</f>
        <v/>
      </c>
      <c r="T229" s="89" t="str">
        <f ca="1">IF($B229="","",INDIRECT("aux_sheet_RRS!AB"&amp;1+MATCH(aux_sheet_RRS!$E228,aux_sheet_RRS!$D$2:$D$202,0)))</f>
        <v/>
      </c>
      <c r="U229" s="90" t="str">
        <f ca="1">IF(S229="","",INDIRECT("aux_sheet_RRS!AC"&amp;1+MATCH(aux_sheet_RRS!$E228,aux_sheet_RRS!$D$2:$D$202,0)))</f>
        <v/>
      </c>
      <c r="V229" s="106" t="str">
        <f ca="1">IF($B229="","",INDIRECT("aux_sheet_RRS!AD"&amp;1+MATCH(aux_sheet_RRS!$E228,aux_sheet_RRS!$D$2:$D$202,0)))</f>
        <v/>
      </c>
      <c r="W229" s="89" t="str">
        <f ca="1">IF($B229="","",INDIRECT("aux_sheet_RRS!AE"&amp;1+MATCH(aux_sheet_RRS!$E228,aux_sheet_RRS!$D$2:$D$202,0)))</f>
        <v/>
      </c>
      <c r="X229" s="90" t="str">
        <f ca="1">IF(V229="","",INDIRECT("aux_sheet_RRS!AF"&amp;1+MATCH(aux_sheet_RRS!$E228,aux_sheet_RRS!$D$2:$D$202,0)))</f>
        <v/>
      </c>
      <c r="Y229" s="106" t="str">
        <f ca="1">IF($B229="","",INDIRECT("aux_sheet_RRS!AG"&amp;1+MATCH(aux_sheet_RRS!$E228,aux_sheet_RRS!$D$2:$D$202,0)))</f>
        <v/>
      </c>
      <c r="Z229" s="89" t="str">
        <f ca="1">IF($B229="","",INDIRECT("aux_sheet_RRS!AH"&amp;1+MATCH(aux_sheet_RRS!$E228,aux_sheet_RRS!$D$2:$D$202,0)))</f>
        <v/>
      </c>
      <c r="AA229" s="90" t="str">
        <f ca="1">IF(Y229="","",INDIRECT("aux_sheet_RRS!AI"&amp;1+MATCH(aux_sheet_RRS!$E228,aux_sheet_RRS!$D$2:$D$202,0)))</f>
        <v/>
      </c>
      <c r="AB229" s="88" t="str">
        <f ca="1">IF($B229="","",INDIRECT("aux_sheet_RRS!AJ"&amp;1+MATCH(aux_sheet_RRS!$E228,aux_sheet_RRS!$D$2:$D$202,0)))</f>
        <v/>
      </c>
      <c r="AC229" s="89" t="str">
        <f ca="1">IF($B229="","",INDIRECT("aux_sheet_RRS!AK"&amp;1+MATCH(aux_sheet_RRS!$E228,aux_sheet_RRS!$D$2:$D$202,0)))</f>
        <v/>
      </c>
      <c r="AD229" s="90" t="str">
        <f ca="1">IF(AB229="","",INDIRECT("aux_sheet_RRS!AL"&amp;1+MATCH(aux_sheet_RRS!$E228,aux_sheet_RRS!$D$2:$D$202,0)))</f>
        <v/>
      </c>
      <c r="AE229" s="88" t="str">
        <f ca="1">IF($B229="","",INDIRECT("aux_sheet_RRS!AM"&amp;1+MATCH(aux_sheet_RRS!$E228,aux_sheet_RRS!$D$2:$D$202,0)))</f>
        <v/>
      </c>
      <c r="AF229" s="89" t="str">
        <f ca="1">IF($B229="","",INDIRECT("aux_sheet_RRS!AN"&amp;1+MATCH(aux_sheet_RRS!$E228,aux_sheet_RRS!$D$2:$D$202,0)))</f>
        <v/>
      </c>
      <c r="AG229" s="90" t="str">
        <f ca="1">IF(AE229="","",INDIRECT("aux_sheet_RRS!AO"&amp;1+MATCH(aux_sheet_RRS!$E228,aux_sheet_RRS!$D$2:$D$202,0)))</f>
        <v/>
      </c>
    </row>
    <row r="230" spans="7:33" x14ac:dyDescent="0.35">
      <c r="G230" s="88" t="str">
        <f ca="1">IF($B230="","",INDIRECT("aux_sheet_RRS!O"&amp;1+MATCH(aux_sheet_RRS!$E229,aux_sheet_RRS!$D$2:$D$202,0)))</f>
        <v/>
      </c>
      <c r="H230" s="89" t="str">
        <f ca="1">IF($B230="","",INDIRECT("aux_sheet_RRS!P"&amp;1+MATCH(aux_sheet_RRS!$E229,aux_sheet_RRS!$D$2:$D$202,0)))</f>
        <v/>
      </c>
      <c r="I230" s="90" t="str">
        <f ca="1">IF(G230="","",ROUNDDOWN(INDIRECT("aux_sheet_RRS!Q"&amp;1+MATCH(aux_sheet_RRS!$E229,aux_sheet_RRS!$D$2:$D$202,0)),0))</f>
        <v/>
      </c>
      <c r="J230" s="106" t="str">
        <f ca="1">IF($B230="","",INDIRECT("aux_sheet_RRS!R"&amp;1+MATCH(aux_sheet_RRS!$E229,aux_sheet_RRS!$D$2:$D$202,0)))</f>
        <v/>
      </c>
      <c r="K230" s="89" t="str">
        <f ca="1">IF($B230="","",INDIRECT("aux_sheet_RRS!S"&amp;1+MATCH(aux_sheet_RRS!$E229,aux_sheet_RRS!$D$2:$D$202,0)))</f>
        <v/>
      </c>
      <c r="L230" s="90" t="str">
        <f ca="1">IF(J230="","",ROUNDDOWN(INDIRECT("aux_sheet_RRS!T"&amp;1+MATCH(aux_sheet_RRS!$E229,aux_sheet_RRS!$D$2:$D$202,0)),0))</f>
        <v/>
      </c>
      <c r="M230" s="106" t="str">
        <f ca="1">IF($B230="","",INDIRECT("aux_sheet_RRS!U"&amp;1+MATCH(aux_sheet_RRS!$E229,aux_sheet_RRS!$D$2:$D$202,0)))</f>
        <v/>
      </c>
      <c r="N230" s="89" t="str">
        <f ca="1">IF($B230="","",INDIRECT("aux_sheet_RRS!V"&amp;1+MATCH(aux_sheet_RRS!$E229,aux_sheet_RRS!$D$2:$D$202,0)))</f>
        <v/>
      </c>
      <c r="O230" s="90" t="str">
        <f ca="1">IF(M230="","",ROUNDDOWN(INDIRECT("aux_sheet_RRS!W"&amp;1+MATCH(aux_sheet_RRS!$E229,aux_sheet_RRS!$D$2:$D$202,0)),0))</f>
        <v/>
      </c>
      <c r="P230" s="106" t="str">
        <f ca="1">IF($B230="","",INDIRECT("aux_sheet_RRS!X"&amp;1+MATCH(aux_sheet_RRS!$E229,aux_sheet_RRS!$D$2:$D$202,0)))</f>
        <v/>
      </c>
      <c r="Q230" s="89" t="str">
        <f ca="1">IF($B230="","",INDIRECT("aux_sheet_RRS!Y"&amp;1+MATCH(aux_sheet_RRS!$E229,aux_sheet_RRS!$D$2:$D$202,0)))</f>
        <v/>
      </c>
      <c r="R230" s="90" t="str">
        <f ca="1">IF(P230="","",INDIRECT("aux_sheet_RRS!Z"&amp;1+MATCH(aux_sheet_RRS!$E229,aux_sheet_RRS!$D$2:$D$202,0)))</f>
        <v/>
      </c>
      <c r="S230" s="106" t="str">
        <f ca="1">IF($B230="","",INDIRECT("aux_sheet_RRS!AA"&amp;1+MATCH(aux_sheet_RRS!$E229,aux_sheet_RRS!$D$2:$D$202,0)))</f>
        <v/>
      </c>
      <c r="T230" s="89" t="str">
        <f ca="1">IF($B230="","",INDIRECT("aux_sheet_RRS!AB"&amp;1+MATCH(aux_sheet_RRS!$E229,aux_sheet_RRS!$D$2:$D$202,0)))</f>
        <v/>
      </c>
      <c r="U230" s="90" t="str">
        <f ca="1">IF(S230="","",INDIRECT("aux_sheet_RRS!AC"&amp;1+MATCH(aux_sheet_RRS!$E229,aux_sheet_RRS!$D$2:$D$202,0)))</f>
        <v/>
      </c>
      <c r="V230" s="106" t="str">
        <f ca="1">IF($B230="","",INDIRECT("aux_sheet_RRS!AD"&amp;1+MATCH(aux_sheet_RRS!$E229,aux_sheet_RRS!$D$2:$D$202,0)))</f>
        <v/>
      </c>
      <c r="W230" s="89" t="str">
        <f ca="1">IF($B230="","",INDIRECT("aux_sheet_RRS!AE"&amp;1+MATCH(aux_sheet_RRS!$E229,aux_sheet_RRS!$D$2:$D$202,0)))</f>
        <v/>
      </c>
      <c r="X230" s="90" t="str">
        <f ca="1">IF(V230="","",INDIRECT("aux_sheet_RRS!AF"&amp;1+MATCH(aux_sheet_RRS!$E229,aux_sheet_RRS!$D$2:$D$202,0)))</f>
        <v/>
      </c>
      <c r="Y230" s="106" t="str">
        <f ca="1">IF($B230="","",INDIRECT("aux_sheet_RRS!AG"&amp;1+MATCH(aux_sheet_RRS!$E229,aux_sheet_RRS!$D$2:$D$202,0)))</f>
        <v/>
      </c>
      <c r="Z230" s="89" t="str">
        <f ca="1">IF($B230="","",INDIRECT("aux_sheet_RRS!AH"&amp;1+MATCH(aux_sheet_RRS!$E229,aux_sheet_RRS!$D$2:$D$202,0)))</f>
        <v/>
      </c>
      <c r="AA230" s="90" t="str">
        <f ca="1">IF(Y230="","",INDIRECT("aux_sheet_RRS!AI"&amp;1+MATCH(aux_sheet_RRS!$E229,aux_sheet_RRS!$D$2:$D$202,0)))</f>
        <v/>
      </c>
      <c r="AB230" s="88" t="str">
        <f ca="1">IF($B230="","",INDIRECT("aux_sheet_RRS!AJ"&amp;1+MATCH(aux_sheet_RRS!$E229,aux_sheet_RRS!$D$2:$D$202,0)))</f>
        <v/>
      </c>
      <c r="AC230" s="89" t="str">
        <f ca="1">IF($B230="","",INDIRECT("aux_sheet_RRS!AK"&amp;1+MATCH(aux_sheet_RRS!$E229,aux_sheet_RRS!$D$2:$D$202,0)))</f>
        <v/>
      </c>
      <c r="AD230" s="90" t="str">
        <f ca="1">IF(AB230="","",INDIRECT("aux_sheet_RRS!AL"&amp;1+MATCH(aux_sheet_RRS!$E229,aux_sheet_RRS!$D$2:$D$202,0)))</f>
        <v/>
      </c>
      <c r="AE230" s="88" t="str">
        <f ca="1">IF($B230="","",INDIRECT("aux_sheet_RRS!AM"&amp;1+MATCH(aux_sheet_RRS!$E229,aux_sheet_RRS!$D$2:$D$202,0)))</f>
        <v/>
      </c>
      <c r="AF230" s="89" t="str">
        <f ca="1">IF($B230="","",INDIRECT("aux_sheet_RRS!AN"&amp;1+MATCH(aux_sheet_RRS!$E229,aux_sheet_RRS!$D$2:$D$202,0)))</f>
        <v/>
      </c>
      <c r="AG230" s="90" t="str">
        <f ca="1">IF(AE230="","",INDIRECT("aux_sheet_RRS!AO"&amp;1+MATCH(aux_sheet_RRS!$E229,aux_sheet_RRS!$D$2:$D$202,0)))</f>
        <v/>
      </c>
    </row>
    <row r="231" spans="7:33" x14ac:dyDescent="0.35">
      <c r="G231" s="88" t="str">
        <f ca="1">IF($B231="","",INDIRECT("aux_sheet_RRS!O"&amp;1+MATCH(aux_sheet_RRS!$E230,aux_sheet_RRS!$D$2:$D$202,0)))</f>
        <v/>
      </c>
      <c r="H231" s="89" t="str">
        <f ca="1">IF($B231="","",INDIRECT("aux_sheet_RRS!P"&amp;1+MATCH(aux_sheet_RRS!$E230,aux_sheet_RRS!$D$2:$D$202,0)))</f>
        <v/>
      </c>
      <c r="I231" s="90" t="str">
        <f ca="1">IF(G231="","",ROUNDDOWN(INDIRECT("aux_sheet_RRS!Q"&amp;1+MATCH(aux_sheet_RRS!$E230,aux_sheet_RRS!$D$2:$D$202,0)),0))</f>
        <v/>
      </c>
      <c r="J231" s="106" t="str">
        <f ca="1">IF($B231="","",INDIRECT("aux_sheet_RRS!R"&amp;1+MATCH(aux_sheet_RRS!$E230,aux_sheet_RRS!$D$2:$D$202,0)))</f>
        <v/>
      </c>
      <c r="K231" s="89" t="str">
        <f ca="1">IF($B231="","",INDIRECT("aux_sheet_RRS!S"&amp;1+MATCH(aux_sheet_RRS!$E230,aux_sheet_RRS!$D$2:$D$202,0)))</f>
        <v/>
      </c>
      <c r="L231" s="90" t="str">
        <f ca="1">IF(J231="","",ROUNDDOWN(INDIRECT("aux_sheet_RRS!T"&amp;1+MATCH(aux_sheet_RRS!$E230,aux_sheet_RRS!$D$2:$D$202,0)),0))</f>
        <v/>
      </c>
      <c r="M231" s="106" t="str">
        <f ca="1">IF($B231="","",INDIRECT("aux_sheet_RRS!U"&amp;1+MATCH(aux_sheet_RRS!$E230,aux_sheet_RRS!$D$2:$D$202,0)))</f>
        <v/>
      </c>
      <c r="N231" s="89" t="str">
        <f ca="1">IF($B231="","",INDIRECT("aux_sheet_RRS!V"&amp;1+MATCH(aux_sheet_RRS!$E230,aux_sheet_RRS!$D$2:$D$202,0)))</f>
        <v/>
      </c>
      <c r="O231" s="90" t="str">
        <f ca="1">IF(M231="","",ROUNDDOWN(INDIRECT("aux_sheet_RRS!W"&amp;1+MATCH(aux_sheet_RRS!$E230,aux_sheet_RRS!$D$2:$D$202,0)),0))</f>
        <v/>
      </c>
      <c r="P231" s="106" t="str">
        <f ca="1">IF($B231="","",INDIRECT("aux_sheet_RRS!X"&amp;1+MATCH(aux_sheet_RRS!$E230,aux_sheet_RRS!$D$2:$D$202,0)))</f>
        <v/>
      </c>
      <c r="Q231" s="89" t="str">
        <f ca="1">IF($B231="","",INDIRECT("aux_sheet_RRS!Y"&amp;1+MATCH(aux_sheet_RRS!$E230,aux_sheet_RRS!$D$2:$D$202,0)))</f>
        <v/>
      </c>
      <c r="R231" s="90" t="str">
        <f ca="1">IF(P231="","",INDIRECT("aux_sheet_RRS!Z"&amp;1+MATCH(aux_sheet_RRS!$E230,aux_sheet_RRS!$D$2:$D$202,0)))</f>
        <v/>
      </c>
      <c r="S231" s="106" t="str">
        <f ca="1">IF($B231="","",INDIRECT("aux_sheet_RRS!AA"&amp;1+MATCH(aux_sheet_RRS!$E230,aux_sheet_RRS!$D$2:$D$202,0)))</f>
        <v/>
      </c>
      <c r="T231" s="89" t="str">
        <f ca="1">IF($B231="","",INDIRECT("aux_sheet_RRS!AB"&amp;1+MATCH(aux_sheet_RRS!$E230,aux_sheet_RRS!$D$2:$D$202,0)))</f>
        <v/>
      </c>
      <c r="U231" s="90" t="str">
        <f ca="1">IF(S231="","",INDIRECT("aux_sheet_RRS!AC"&amp;1+MATCH(aux_sheet_RRS!$E230,aux_sheet_RRS!$D$2:$D$202,0)))</f>
        <v/>
      </c>
      <c r="V231" s="106" t="str">
        <f ca="1">IF($B231="","",INDIRECT("aux_sheet_RRS!AD"&amp;1+MATCH(aux_sheet_RRS!$E230,aux_sheet_RRS!$D$2:$D$202,0)))</f>
        <v/>
      </c>
      <c r="W231" s="89" t="str">
        <f ca="1">IF($B231="","",INDIRECT("aux_sheet_RRS!AE"&amp;1+MATCH(aux_sheet_RRS!$E230,aux_sheet_RRS!$D$2:$D$202,0)))</f>
        <v/>
      </c>
      <c r="X231" s="90" t="str">
        <f ca="1">IF(V231="","",INDIRECT("aux_sheet_RRS!AF"&amp;1+MATCH(aux_sheet_RRS!$E230,aux_sheet_RRS!$D$2:$D$202,0)))</f>
        <v/>
      </c>
      <c r="Y231" s="106" t="str">
        <f ca="1">IF($B231="","",INDIRECT("aux_sheet_RRS!AG"&amp;1+MATCH(aux_sheet_RRS!$E230,aux_sheet_RRS!$D$2:$D$202,0)))</f>
        <v/>
      </c>
      <c r="Z231" s="89" t="str">
        <f ca="1">IF($B231="","",INDIRECT("aux_sheet_RRS!AH"&amp;1+MATCH(aux_sheet_RRS!$E230,aux_sheet_RRS!$D$2:$D$202,0)))</f>
        <v/>
      </c>
      <c r="AA231" s="90" t="str">
        <f ca="1">IF(Y231="","",INDIRECT("aux_sheet_RRS!AI"&amp;1+MATCH(aux_sheet_RRS!$E230,aux_sheet_RRS!$D$2:$D$202,0)))</f>
        <v/>
      </c>
      <c r="AB231" s="88" t="str">
        <f ca="1">IF($B231="","",INDIRECT("aux_sheet_RRS!AJ"&amp;1+MATCH(aux_sheet_RRS!$E230,aux_sheet_RRS!$D$2:$D$202,0)))</f>
        <v/>
      </c>
      <c r="AC231" s="89" t="str">
        <f ca="1">IF($B231="","",INDIRECT("aux_sheet_RRS!AK"&amp;1+MATCH(aux_sheet_RRS!$E230,aux_sheet_RRS!$D$2:$D$202,0)))</f>
        <v/>
      </c>
      <c r="AD231" s="90" t="str">
        <f ca="1">IF(AB231="","",INDIRECT("aux_sheet_RRS!AL"&amp;1+MATCH(aux_sheet_RRS!$E230,aux_sheet_RRS!$D$2:$D$202,0)))</f>
        <v/>
      </c>
      <c r="AE231" s="88" t="str">
        <f ca="1">IF($B231="","",INDIRECT("aux_sheet_RRS!AM"&amp;1+MATCH(aux_sheet_RRS!$E230,aux_sheet_RRS!$D$2:$D$202,0)))</f>
        <v/>
      </c>
      <c r="AF231" s="89" t="str">
        <f ca="1">IF($B231="","",INDIRECT("aux_sheet_RRS!AN"&amp;1+MATCH(aux_sheet_RRS!$E230,aux_sheet_RRS!$D$2:$D$202,0)))</f>
        <v/>
      </c>
      <c r="AG231" s="90" t="str">
        <f ca="1">IF(AE231="","",INDIRECT("aux_sheet_RRS!AO"&amp;1+MATCH(aux_sheet_RRS!$E230,aux_sheet_RRS!$D$2:$D$202,0)))</f>
        <v/>
      </c>
    </row>
    <row r="232" spans="7:33" x14ac:dyDescent="0.35">
      <c r="G232" s="88" t="str">
        <f ca="1">IF($B232="","",INDIRECT("aux_sheet_RRS!O"&amp;1+MATCH(aux_sheet_RRS!$E231,aux_sheet_RRS!$D$2:$D$202,0)))</f>
        <v/>
      </c>
      <c r="H232" s="89" t="str">
        <f ca="1">IF($B232="","",INDIRECT("aux_sheet_RRS!P"&amp;1+MATCH(aux_sheet_RRS!$E231,aux_sheet_RRS!$D$2:$D$202,0)))</f>
        <v/>
      </c>
      <c r="I232" s="90" t="str">
        <f ca="1">IF(G232="","",ROUNDDOWN(INDIRECT("aux_sheet_RRS!Q"&amp;1+MATCH(aux_sheet_RRS!$E231,aux_sheet_RRS!$D$2:$D$202,0)),0))</f>
        <v/>
      </c>
      <c r="J232" s="106" t="str">
        <f ca="1">IF($B232="","",INDIRECT("aux_sheet_RRS!R"&amp;1+MATCH(aux_sheet_RRS!$E231,aux_sheet_RRS!$D$2:$D$202,0)))</f>
        <v/>
      </c>
      <c r="K232" s="89" t="str">
        <f ca="1">IF($B232="","",INDIRECT("aux_sheet_RRS!S"&amp;1+MATCH(aux_sheet_RRS!$E231,aux_sheet_RRS!$D$2:$D$202,0)))</f>
        <v/>
      </c>
      <c r="L232" s="90" t="str">
        <f ca="1">IF(J232="","",ROUNDDOWN(INDIRECT("aux_sheet_RRS!T"&amp;1+MATCH(aux_sheet_RRS!$E231,aux_sheet_RRS!$D$2:$D$202,0)),0))</f>
        <v/>
      </c>
      <c r="M232" s="106" t="str">
        <f ca="1">IF($B232="","",INDIRECT("aux_sheet_RRS!U"&amp;1+MATCH(aux_sheet_RRS!$E231,aux_sheet_RRS!$D$2:$D$202,0)))</f>
        <v/>
      </c>
      <c r="N232" s="89" t="str">
        <f ca="1">IF($B232="","",INDIRECT("aux_sheet_RRS!V"&amp;1+MATCH(aux_sheet_RRS!$E231,aux_sheet_RRS!$D$2:$D$202,0)))</f>
        <v/>
      </c>
      <c r="O232" s="90" t="str">
        <f ca="1">IF(M232="","",ROUNDDOWN(INDIRECT("aux_sheet_RRS!W"&amp;1+MATCH(aux_sheet_RRS!$E231,aux_sheet_RRS!$D$2:$D$202,0)),0))</f>
        <v/>
      </c>
      <c r="P232" s="106" t="str">
        <f ca="1">IF($B232="","",INDIRECT("aux_sheet_RRS!X"&amp;1+MATCH(aux_sheet_RRS!$E231,aux_sheet_RRS!$D$2:$D$202,0)))</f>
        <v/>
      </c>
      <c r="Q232" s="89" t="str">
        <f ca="1">IF($B232="","",INDIRECT("aux_sheet_RRS!Y"&amp;1+MATCH(aux_sheet_RRS!$E231,aux_sheet_RRS!$D$2:$D$202,0)))</f>
        <v/>
      </c>
      <c r="R232" s="90" t="str">
        <f ca="1">IF(P232="","",INDIRECT("aux_sheet_RRS!Z"&amp;1+MATCH(aux_sheet_RRS!$E231,aux_sheet_RRS!$D$2:$D$202,0)))</f>
        <v/>
      </c>
      <c r="S232" s="106" t="str">
        <f ca="1">IF($B232="","",INDIRECT("aux_sheet_RRS!AA"&amp;1+MATCH(aux_sheet_RRS!$E231,aux_sheet_RRS!$D$2:$D$202,0)))</f>
        <v/>
      </c>
      <c r="T232" s="89" t="str">
        <f ca="1">IF($B232="","",INDIRECT("aux_sheet_RRS!AB"&amp;1+MATCH(aux_sheet_RRS!$E231,aux_sheet_RRS!$D$2:$D$202,0)))</f>
        <v/>
      </c>
      <c r="U232" s="90" t="str">
        <f ca="1">IF(S232="","",INDIRECT("aux_sheet_RRS!AC"&amp;1+MATCH(aux_sheet_RRS!$E231,aux_sheet_RRS!$D$2:$D$202,0)))</f>
        <v/>
      </c>
      <c r="V232" s="106" t="str">
        <f ca="1">IF($B232="","",INDIRECT("aux_sheet_RRS!AD"&amp;1+MATCH(aux_sheet_RRS!$E231,aux_sheet_RRS!$D$2:$D$202,0)))</f>
        <v/>
      </c>
      <c r="W232" s="89" t="str">
        <f ca="1">IF($B232="","",INDIRECT("aux_sheet_RRS!AE"&amp;1+MATCH(aux_sheet_RRS!$E231,aux_sheet_RRS!$D$2:$D$202,0)))</f>
        <v/>
      </c>
      <c r="X232" s="90" t="str">
        <f ca="1">IF(V232="","",INDIRECT("aux_sheet_RRS!AF"&amp;1+MATCH(aux_sheet_RRS!$E231,aux_sheet_RRS!$D$2:$D$202,0)))</f>
        <v/>
      </c>
      <c r="Y232" s="106" t="str">
        <f ca="1">IF($B232="","",INDIRECT("aux_sheet_RRS!AG"&amp;1+MATCH(aux_sheet_RRS!$E231,aux_sheet_RRS!$D$2:$D$202,0)))</f>
        <v/>
      </c>
      <c r="Z232" s="89" t="str">
        <f ca="1">IF($B232="","",INDIRECT("aux_sheet_RRS!AH"&amp;1+MATCH(aux_sheet_RRS!$E231,aux_sheet_RRS!$D$2:$D$202,0)))</f>
        <v/>
      </c>
      <c r="AA232" s="90" t="str">
        <f ca="1">IF(Y232="","",INDIRECT("aux_sheet_RRS!AI"&amp;1+MATCH(aux_sheet_RRS!$E231,aux_sheet_RRS!$D$2:$D$202,0)))</f>
        <v/>
      </c>
      <c r="AB232" s="88" t="str">
        <f ca="1">IF($B232="","",INDIRECT("aux_sheet_RRS!AJ"&amp;1+MATCH(aux_sheet_RRS!$E231,aux_sheet_RRS!$D$2:$D$202,0)))</f>
        <v/>
      </c>
      <c r="AC232" s="89" t="str">
        <f ca="1">IF($B232="","",INDIRECT("aux_sheet_RRS!AK"&amp;1+MATCH(aux_sheet_RRS!$E231,aux_sheet_RRS!$D$2:$D$202,0)))</f>
        <v/>
      </c>
      <c r="AD232" s="90" t="str">
        <f ca="1">IF(AB232="","",INDIRECT("aux_sheet_RRS!AL"&amp;1+MATCH(aux_sheet_RRS!$E231,aux_sheet_RRS!$D$2:$D$202,0)))</f>
        <v/>
      </c>
      <c r="AE232" s="88" t="str">
        <f ca="1">IF($B232="","",INDIRECT("aux_sheet_RRS!AM"&amp;1+MATCH(aux_sheet_RRS!$E231,aux_sheet_RRS!$D$2:$D$202,0)))</f>
        <v/>
      </c>
      <c r="AF232" s="89" t="str">
        <f ca="1">IF($B232="","",INDIRECT("aux_sheet_RRS!AN"&amp;1+MATCH(aux_sheet_RRS!$E231,aux_sheet_RRS!$D$2:$D$202,0)))</f>
        <v/>
      </c>
      <c r="AG232" s="90" t="str">
        <f ca="1">IF(AE232="","",INDIRECT("aux_sheet_RRS!AO"&amp;1+MATCH(aux_sheet_RRS!$E231,aux_sheet_RRS!$D$2:$D$202,0)))</f>
        <v/>
      </c>
    </row>
    <row r="233" spans="7:33" x14ac:dyDescent="0.35">
      <c r="G233" s="88" t="str">
        <f ca="1">IF($B233="","",INDIRECT("aux_sheet_RRS!O"&amp;1+MATCH(aux_sheet_RRS!$E232,aux_sheet_RRS!$D$2:$D$202,0)))</f>
        <v/>
      </c>
      <c r="H233" s="89" t="str">
        <f ca="1">IF($B233="","",INDIRECT("aux_sheet_RRS!P"&amp;1+MATCH(aux_sheet_RRS!$E232,aux_sheet_RRS!$D$2:$D$202,0)))</f>
        <v/>
      </c>
      <c r="I233" s="90" t="str">
        <f ca="1">IF(G233="","",ROUNDDOWN(INDIRECT("aux_sheet_RRS!Q"&amp;1+MATCH(aux_sheet_RRS!$E232,aux_sheet_RRS!$D$2:$D$202,0)),0))</f>
        <v/>
      </c>
      <c r="J233" s="106" t="str">
        <f ca="1">IF($B233="","",INDIRECT("aux_sheet_RRS!R"&amp;1+MATCH(aux_sheet_RRS!$E232,aux_sheet_RRS!$D$2:$D$202,0)))</f>
        <v/>
      </c>
      <c r="K233" s="89" t="str">
        <f ca="1">IF($B233="","",INDIRECT("aux_sheet_RRS!S"&amp;1+MATCH(aux_sheet_RRS!$E232,aux_sheet_RRS!$D$2:$D$202,0)))</f>
        <v/>
      </c>
      <c r="L233" s="90" t="str">
        <f ca="1">IF(J233="","",ROUNDDOWN(INDIRECT("aux_sheet_RRS!T"&amp;1+MATCH(aux_sheet_RRS!$E232,aux_sheet_RRS!$D$2:$D$202,0)),0))</f>
        <v/>
      </c>
      <c r="M233" s="106" t="str">
        <f ca="1">IF($B233="","",INDIRECT("aux_sheet_RRS!U"&amp;1+MATCH(aux_sheet_RRS!$E232,aux_sheet_RRS!$D$2:$D$202,0)))</f>
        <v/>
      </c>
      <c r="N233" s="89" t="str">
        <f ca="1">IF($B233="","",INDIRECT("aux_sheet_RRS!V"&amp;1+MATCH(aux_sheet_RRS!$E232,aux_sheet_RRS!$D$2:$D$202,0)))</f>
        <v/>
      </c>
      <c r="O233" s="90" t="str">
        <f ca="1">IF(M233="","",ROUNDDOWN(INDIRECT("aux_sheet_RRS!W"&amp;1+MATCH(aux_sheet_RRS!$E232,aux_sheet_RRS!$D$2:$D$202,0)),0))</f>
        <v/>
      </c>
      <c r="P233" s="106" t="str">
        <f ca="1">IF($B233="","",INDIRECT("aux_sheet_RRS!X"&amp;1+MATCH(aux_sheet_RRS!$E232,aux_sheet_RRS!$D$2:$D$202,0)))</f>
        <v/>
      </c>
      <c r="Q233" s="89" t="str">
        <f ca="1">IF($B233="","",INDIRECT("aux_sheet_RRS!Y"&amp;1+MATCH(aux_sheet_RRS!$E232,aux_sheet_RRS!$D$2:$D$202,0)))</f>
        <v/>
      </c>
      <c r="R233" s="90" t="str">
        <f ca="1">IF(P233="","",INDIRECT("aux_sheet_RRS!Z"&amp;1+MATCH(aux_sheet_RRS!$E232,aux_sheet_RRS!$D$2:$D$202,0)))</f>
        <v/>
      </c>
      <c r="S233" s="106" t="str">
        <f ca="1">IF($B233="","",INDIRECT("aux_sheet_RRS!AA"&amp;1+MATCH(aux_sheet_RRS!$E232,aux_sheet_RRS!$D$2:$D$202,0)))</f>
        <v/>
      </c>
      <c r="T233" s="89" t="str">
        <f ca="1">IF($B233="","",INDIRECT("aux_sheet_RRS!AB"&amp;1+MATCH(aux_sheet_RRS!$E232,aux_sheet_RRS!$D$2:$D$202,0)))</f>
        <v/>
      </c>
      <c r="U233" s="90" t="str">
        <f ca="1">IF(S233="","",INDIRECT("aux_sheet_RRS!AC"&amp;1+MATCH(aux_sheet_RRS!$E232,aux_sheet_RRS!$D$2:$D$202,0)))</f>
        <v/>
      </c>
      <c r="V233" s="106" t="str">
        <f ca="1">IF($B233="","",INDIRECT("aux_sheet_RRS!AD"&amp;1+MATCH(aux_sheet_RRS!$E232,aux_sheet_RRS!$D$2:$D$202,0)))</f>
        <v/>
      </c>
      <c r="W233" s="89" t="str">
        <f ca="1">IF($B233="","",INDIRECT("aux_sheet_RRS!AE"&amp;1+MATCH(aux_sheet_RRS!$E232,aux_sheet_RRS!$D$2:$D$202,0)))</f>
        <v/>
      </c>
      <c r="X233" s="90" t="str">
        <f ca="1">IF(V233="","",INDIRECT("aux_sheet_RRS!AF"&amp;1+MATCH(aux_sheet_RRS!$E232,aux_sheet_RRS!$D$2:$D$202,0)))</f>
        <v/>
      </c>
      <c r="Y233" s="106" t="str">
        <f ca="1">IF($B233="","",INDIRECT("aux_sheet_RRS!AG"&amp;1+MATCH(aux_sheet_RRS!$E232,aux_sheet_RRS!$D$2:$D$202,0)))</f>
        <v/>
      </c>
      <c r="Z233" s="89" t="str">
        <f ca="1">IF($B233="","",INDIRECT("aux_sheet_RRS!AH"&amp;1+MATCH(aux_sheet_RRS!$E232,aux_sheet_RRS!$D$2:$D$202,0)))</f>
        <v/>
      </c>
      <c r="AA233" s="90" t="str">
        <f ca="1">IF(Y233="","",INDIRECT("aux_sheet_RRS!AI"&amp;1+MATCH(aux_sheet_RRS!$E232,aux_sheet_RRS!$D$2:$D$202,0)))</f>
        <v/>
      </c>
      <c r="AB233" s="88" t="str">
        <f ca="1">IF($B233="","",INDIRECT("aux_sheet_RRS!AJ"&amp;1+MATCH(aux_sheet_RRS!$E232,aux_sheet_RRS!$D$2:$D$202,0)))</f>
        <v/>
      </c>
      <c r="AC233" s="89" t="str">
        <f ca="1">IF($B233="","",INDIRECT("aux_sheet_RRS!AK"&amp;1+MATCH(aux_sheet_RRS!$E232,aux_sheet_RRS!$D$2:$D$202,0)))</f>
        <v/>
      </c>
      <c r="AD233" s="90" t="str">
        <f ca="1">IF(AB233="","",INDIRECT("aux_sheet_RRS!AL"&amp;1+MATCH(aux_sheet_RRS!$E232,aux_sheet_RRS!$D$2:$D$202,0)))</f>
        <v/>
      </c>
      <c r="AE233" s="88" t="str">
        <f ca="1">IF($B233="","",INDIRECT("aux_sheet_RRS!AM"&amp;1+MATCH(aux_sheet_RRS!$E232,aux_sheet_RRS!$D$2:$D$202,0)))</f>
        <v/>
      </c>
      <c r="AF233" s="89" t="str">
        <f ca="1">IF($B233="","",INDIRECT("aux_sheet_RRS!AN"&amp;1+MATCH(aux_sheet_RRS!$E232,aux_sheet_RRS!$D$2:$D$202,0)))</f>
        <v/>
      </c>
      <c r="AG233" s="90" t="str">
        <f ca="1">IF(AE233="","",INDIRECT("aux_sheet_RRS!AO"&amp;1+MATCH(aux_sheet_RRS!$E232,aux_sheet_RRS!$D$2:$D$202,0)))</f>
        <v/>
      </c>
    </row>
    <row r="234" spans="7:33" x14ac:dyDescent="0.35">
      <c r="G234" s="88" t="str">
        <f ca="1">IF($B234="","",INDIRECT("aux_sheet_RRS!O"&amp;1+MATCH(aux_sheet_RRS!$E233,aux_sheet_RRS!$D$2:$D$202,0)))</f>
        <v/>
      </c>
      <c r="H234" s="89" t="str">
        <f ca="1">IF($B234="","",INDIRECT("aux_sheet_RRS!P"&amp;1+MATCH(aux_sheet_RRS!$E233,aux_sheet_RRS!$D$2:$D$202,0)))</f>
        <v/>
      </c>
      <c r="I234" s="90" t="str">
        <f ca="1">IF(G234="","",ROUNDDOWN(INDIRECT("aux_sheet_RRS!Q"&amp;1+MATCH(aux_sheet_RRS!$E233,aux_sheet_RRS!$D$2:$D$202,0)),0))</f>
        <v/>
      </c>
      <c r="J234" s="106" t="str">
        <f ca="1">IF($B234="","",INDIRECT("aux_sheet_RRS!R"&amp;1+MATCH(aux_sheet_RRS!$E233,aux_sheet_RRS!$D$2:$D$202,0)))</f>
        <v/>
      </c>
      <c r="K234" s="89" t="str">
        <f ca="1">IF($B234="","",INDIRECT("aux_sheet_RRS!S"&amp;1+MATCH(aux_sheet_RRS!$E233,aux_sheet_RRS!$D$2:$D$202,0)))</f>
        <v/>
      </c>
      <c r="L234" s="90" t="str">
        <f ca="1">IF(J234="","",ROUNDDOWN(INDIRECT("aux_sheet_RRS!T"&amp;1+MATCH(aux_sheet_RRS!$E233,aux_sheet_RRS!$D$2:$D$202,0)),0))</f>
        <v/>
      </c>
      <c r="M234" s="106" t="str">
        <f ca="1">IF($B234="","",INDIRECT("aux_sheet_RRS!U"&amp;1+MATCH(aux_sheet_RRS!$E233,aux_sheet_RRS!$D$2:$D$202,0)))</f>
        <v/>
      </c>
      <c r="N234" s="89" t="str">
        <f ca="1">IF($B234="","",INDIRECT("aux_sheet_RRS!V"&amp;1+MATCH(aux_sheet_RRS!$E233,aux_sheet_RRS!$D$2:$D$202,0)))</f>
        <v/>
      </c>
      <c r="O234" s="90" t="str">
        <f ca="1">IF(M234="","",ROUNDDOWN(INDIRECT("aux_sheet_RRS!W"&amp;1+MATCH(aux_sheet_RRS!$E233,aux_sheet_RRS!$D$2:$D$202,0)),0))</f>
        <v/>
      </c>
      <c r="P234" s="106" t="str">
        <f ca="1">IF($B234="","",INDIRECT("aux_sheet_RRS!X"&amp;1+MATCH(aux_sheet_RRS!$E233,aux_sheet_RRS!$D$2:$D$202,0)))</f>
        <v/>
      </c>
      <c r="Q234" s="89" t="str">
        <f ca="1">IF($B234="","",INDIRECT("aux_sheet_RRS!Y"&amp;1+MATCH(aux_sheet_RRS!$E233,aux_sheet_RRS!$D$2:$D$202,0)))</f>
        <v/>
      </c>
      <c r="R234" s="90" t="str">
        <f ca="1">IF(P234="","",INDIRECT("aux_sheet_RRS!Z"&amp;1+MATCH(aux_sheet_RRS!$E233,aux_sheet_RRS!$D$2:$D$202,0)))</f>
        <v/>
      </c>
      <c r="S234" s="106" t="str">
        <f ca="1">IF($B234="","",INDIRECT("aux_sheet_RRS!AA"&amp;1+MATCH(aux_sheet_RRS!$E233,aux_sheet_RRS!$D$2:$D$202,0)))</f>
        <v/>
      </c>
      <c r="T234" s="89" t="str">
        <f ca="1">IF($B234="","",INDIRECT("aux_sheet_RRS!AB"&amp;1+MATCH(aux_sheet_RRS!$E233,aux_sheet_RRS!$D$2:$D$202,0)))</f>
        <v/>
      </c>
      <c r="U234" s="90" t="str">
        <f ca="1">IF(S234="","",INDIRECT("aux_sheet_RRS!AC"&amp;1+MATCH(aux_sheet_RRS!$E233,aux_sheet_RRS!$D$2:$D$202,0)))</f>
        <v/>
      </c>
      <c r="V234" s="106" t="str">
        <f ca="1">IF($B234="","",INDIRECT("aux_sheet_RRS!AD"&amp;1+MATCH(aux_sheet_RRS!$E233,aux_sheet_RRS!$D$2:$D$202,0)))</f>
        <v/>
      </c>
      <c r="W234" s="89" t="str">
        <f ca="1">IF($B234="","",INDIRECT("aux_sheet_RRS!AE"&amp;1+MATCH(aux_sheet_RRS!$E233,aux_sheet_RRS!$D$2:$D$202,0)))</f>
        <v/>
      </c>
      <c r="X234" s="90" t="str">
        <f ca="1">IF(V234="","",INDIRECT("aux_sheet_RRS!AF"&amp;1+MATCH(aux_sheet_RRS!$E233,aux_sheet_RRS!$D$2:$D$202,0)))</f>
        <v/>
      </c>
      <c r="Y234" s="106" t="str">
        <f ca="1">IF($B234="","",INDIRECT("aux_sheet_RRS!AG"&amp;1+MATCH(aux_sheet_RRS!$E233,aux_sheet_RRS!$D$2:$D$202,0)))</f>
        <v/>
      </c>
      <c r="Z234" s="89" t="str">
        <f ca="1">IF($B234="","",INDIRECT("aux_sheet_RRS!AH"&amp;1+MATCH(aux_sheet_RRS!$E233,aux_sheet_RRS!$D$2:$D$202,0)))</f>
        <v/>
      </c>
      <c r="AA234" s="90" t="str">
        <f ca="1">IF(Y234="","",INDIRECT("aux_sheet_RRS!AI"&amp;1+MATCH(aux_sheet_RRS!$E233,aux_sheet_RRS!$D$2:$D$202,0)))</f>
        <v/>
      </c>
      <c r="AB234" s="88" t="str">
        <f ca="1">IF($B234="","",INDIRECT("aux_sheet_RRS!AJ"&amp;1+MATCH(aux_sheet_RRS!$E233,aux_sheet_RRS!$D$2:$D$202,0)))</f>
        <v/>
      </c>
      <c r="AC234" s="89" t="str">
        <f ca="1">IF($B234="","",INDIRECT("aux_sheet_RRS!AK"&amp;1+MATCH(aux_sheet_RRS!$E233,aux_sheet_RRS!$D$2:$D$202,0)))</f>
        <v/>
      </c>
      <c r="AD234" s="90" t="str">
        <f ca="1">IF(AB234="","",INDIRECT("aux_sheet_RRS!AL"&amp;1+MATCH(aux_sheet_RRS!$E233,aux_sheet_RRS!$D$2:$D$202,0)))</f>
        <v/>
      </c>
      <c r="AE234" s="88" t="str">
        <f ca="1">IF($B234="","",INDIRECT("aux_sheet_RRS!AM"&amp;1+MATCH(aux_sheet_RRS!$E233,aux_sheet_RRS!$D$2:$D$202,0)))</f>
        <v/>
      </c>
      <c r="AF234" s="89" t="str">
        <f ca="1">IF($B234="","",INDIRECT("aux_sheet_RRS!AN"&amp;1+MATCH(aux_sheet_RRS!$E233,aux_sheet_RRS!$D$2:$D$202,0)))</f>
        <v/>
      </c>
      <c r="AG234" s="90" t="str">
        <f ca="1">IF(AE234="","",INDIRECT("aux_sheet_RRS!AO"&amp;1+MATCH(aux_sheet_RRS!$E233,aux_sheet_RRS!$D$2:$D$202,0)))</f>
        <v/>
      </c>
    </row>
  </sheetData>
  <sheetProtection sort="0" autoFilter="0"/>
  <customSheetViews>
    <customSheetView guid="{A9C4060D-48A6-4A71-A108-B3947866F802}" scale="115">
      <pane xSplit="6" ySplit="2" topLeftCell="G3" activePane="bottomRight" state="frozenSplit"/>
      <selection pane="bottomRight" activeCell="H22" sqref="H22"/>
      <pageMargins left="0.78740157499999996" right="0.78740157499999996" top="0.984251969" bottom="0.984251969" header="0.5" footer="0.5"/>
      <pageSetup paperSize="9" orientation="landscape" horizontalDpi="4294967292" verticalDpi="4294967292"/>
      <headerFooter alignWithMargins="0"/>
    </customSheetView>
  </customSheetViews>
  <pageMargins left="0.78740157499999996" right="0.78740157499999996" top="0.984251969" bottom="0.984251969" header="0.5" footer="0.5"/>
  <pageSetup paperSize="9" orientation="landscape" horizontalDpi="4294967292" verticalDpi="429496729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FF4F4F"/>
  </sheetPr>
  <dimension ref="A1:AF28"/>
  <sheetViews>
    <sheetView topLeftCell="A7" workbookViewId="0">
      <selection activeCell="AC12" sqref="AC12"/>
    </sheetView>
  </sheetViews>
  <sheetFormatPr baseColWidth="10" defaultColWidth="8.83203125" defaultRowHeight="15.5" x14ac:dyDescent="0.35"/>
  <cols>
    <col min="1" max="1" width="25.6640625" customWidth="1"/>
    <col min="2" max="2" width="8.08203125" customWidth="1"/>
    <col min="3" max="3" width="7.1640625" customWidth="1"/>
    <col min="4" max="4" width="13.25" customWidth="1"/>
    <col min="5" max="5" width="6" customWidth="1"/>
    <col min="6" max="6" width="7.75" customWidth="1"/>
    <col min="7" max="10" width="13.6640625" customWidth="1"/>
    <col min="14" max="14" width="16.33203125" customWidth="1"/>
    <col min="15" max="15" width="19.33203125" customWidth="1"/>
    <col min="17" max="17" width="14.4140625" customWidth="1"/>
    <col min="20" max="20" width="18.1640625" customWidth="1"/>
    <col min="23" max="23" width="33.75" customWidth="1"/>
    <col min="24" max="24" width="16.08203125" customWidth="1"/>
    <col min="26" max="26" width="19.75" customWidth="1"/>
    <col min="29" max="29" width="38.58203125" customWidth="1"/>
    <col min="30" max="30" width="16.08203125" customWidth="1"/>
  </cols>
  <sheetData>
    <row r="1" spans="1:32" s="3" customFormat="1" x14ac:dyDescent="0.35">
      <c r="A1" s="57" t="s">
        <v>70</v>
      </c>
      <c r="B1" s="58" t="s">
        <v>60</v>
      </c>
      <c r="C1" s="59" t="s">
        <v>10</v>
      </c>
      <c r="D1" s="58" t="s">
        <v>12</v>
      </c>
      <c r="E1" s="60"/>
      <c r="F1" s="59"/>
      <c r="G1" s="58" t="s">
        <v>11</v>
      </c>
      <c r="H1" s="60"/>
      <c r="I1" s="59"/>
      <c r="J1" s="61" t="s">
        <v>2</v>
      </c>
      <c r="K1" s="60"/>
      <c r="L1" s="62"/>
      <c r="M1" s="60"/>
      <c r="N1" s="58" t="s">
        <v>169</v>
      </c>
      <c r="O1" s="62"/>
      <c r="P1" s="59"/>
      <c r="Q1" s="58" t="s">
        <v>14</v>
      </c>
      <c r="R1" s="60"/>
      <c r="S1" s="63"/>
      <c r="T1" s="58" t="s">
        <v>9</v>
      </c>
      <c r="U1" s="60"/>
      <c r="V1" s="59"/>
      <c r="W1" s="58" t="s">
        <v>101</v>
      </c>
      <c r="X1" s="62"/>
      <c r="Y1" s="59"/>
      <c r="Z1" s="58" t="s">
        <v>190</v>
      </c>
      <c r="AA1" s="60" t="s">
        <v>189</v>
      </c>
      <c r="AB1" s="59"/>
      <c r="AC1" s="58" t="s">
        <v>194</v>
      </c>
      <c r="AD1" s="62"/>
      <c r="AE1" s="59"/>
    </row>
    <row r="2" spans="1:32" x14ac:dyDescent="0.35">
      <c r="A2" s="64" t="s">
        <v>22</v>
      </c>
      <c r="B2" s="65"/>
      <c r="C2" s="66"/>
      <c r="D2" s="67" t="s">
        <v>13</v>
      </c>
      <c r="E2" s="68">
        <f>E3</f>
        <v>100</v>
      </c>
      <c r="F2" s="66">
        <v>1000</v>
      </c>
      <c r="G2" s="67" t="s">
        <v>20</v>
      </c>
      <c r="H2" s="68">
        <f>H3</f>
        <v>100</v>
      </c>
      <c r="I2" s="66">
        <v>1000</v>
      </c>
      <c r="J2" s="65" t="s">
        <v>20</v>
      </c>
      <c r="K2" s="68">
        <f>K3</f>
        <v>50</v>
      </c>
      <c r="L2">
        <f>ROUNDDOWN(500*LOG(1+99*K2/K$3),0)</f>
        <v>1000</v>
      </c>
      <c r="N2" s="69"/>
      <c r="P2" s="66"/>
      <c r="Q2" s="65" t="s">
        <v>20</v>
      </c>
      <c r="R2" t="s">
        <v>61</v>
      </c>
      <c r="S2" s="66" t="s">
        <v>62</v>
      </c>
      <c r="T2" s="67" t="s">
        <v>20</v>
      </c>
      <c r="U2" s="68">
        <f>U3</f>
        <v>100</v>
      </c>
      <c r="V2" s="66">
        <f>ROUND(1000+LN(U2/$U$2)*20/LN(1.1),0)</f>
        <v>1000</v>
      </c>
      <c r="W2" s="69"/>
      <c r="Y2" s="66"/>
      <c r="Z2" t="s">
        <v>192</v>
      </c>
      <c r="AB2" s="66"/>
      <c r="AE2" s="66"/>
    </row>
    <row r="3" spans="1:32" ht="31" x14ac:dyDescent="0.35">
      <c r="A3" s="67"/>
      <c r="B3" s="67" t="s">
        <v>4</v>
      </c>
      <c r="C3" s="81">
        <v>-200</v>
      </c>
      <c r="D3" s="107" t="s">
        <v>19</v>
      </c>
      <c r="E3" s="42">
        <v>100</v>
      </c>
      <c r="F3" s="66"/>
      <c r="G3" s="107" t="s">
        <v>19</v>
      </c>
      <c r="H3" s="51">
        <v>100</v>
      </c>
      <c r="I3" s="66"/>
      <c r="J3" s="108" t="s">
        <v>19</v>
      </c>
      <c r="K3" s="42">
        <v>50</v>
      </c>
      <c r="N3" s="69"/>
      <c r="O3" t="s">
        <v>71</v>
      </c>
      <c r="P3" s="66" t="s">
        <v>10</v>
      </c>
      <c r="Q3" s="75" t="s">
        <v>19</v>
      </c>
      <c r="R3" s="42">
        <v>80</v>
      </c>
      <c r="S3" s="66"/>
      <c r="T3" s="75" t="s">
        <v>19</v>
      </c>
      <c r="U3" s="42">
        <v>100</v>
      </c>
      <c r="V3" s="66"/>
      <c r="W3" s="69"/>
      <c r="X3" t="s">
        <v>71</v>
      </c>
      <c r="Y3" s="66" t="s">
        <v>10</v>
      </c>
      <c r="Z3" t="s">
        <v>191</v>
      </c>
      <c r="AB3" s="66"/>
      <c r="AC3" s="22" t="s">
        <v>197</v>
      </c>
      <c r="AD3" t="s">
        <v>71</v>
      </c>
      <c r="AE3" s="66" t="s">
        <v>10</v>
      </c>
    </row>
    <row r="4" spans="1:32" ht="47.5" customHeight="1" thickBot="1" x14ac:dyDescent="0.4">
      <c r="A4" s="109" t="s">
        <v>107</v>
      </c>
      <c r="B4" s="70" t="s">
        <v>21</v>
      </c>
      <c r="C4" s="82">
        <v>-100</v>
      </c>
      <c r="D4" s="72" t="s">
        <v>74</v>
      </c>
      <c r="E4" s="73"/>
      <c r="F4" s="71"/>
      <c r="G4" s="72" t="s">
        <v>74</v>
      </c>
      <c r="H4" s="73"/>
      <c r="I4" s="71"/>
      <c r="J4" s="72" t="s">
        <v>74</v>
      </c>
      <c r="K4" s="73"/>
      <c r="L4" s="73"/>
      <c r="M4" s="73"/>
      <c r="N4" s="74" t="s">
        <v>183</v>
      </c>
      <c r="O4">
        <v>0</v>
      </c>
      <c r="P4" s="66">
        <f>ROUNDDOWN(500*LOG(1+99*$O$11/$O$12*O4/$O$10),0)</f>
        <v>0</v>
      </c>
      <c r="Q4" s="72" t="s">
        <v>74</v>
      </c>
      <c r="R4" s="73"/>
      <c r="S4" s="71"/>
      <c r="T4" s="72" t="s">
        <v>74</v>
      </c>
      <c r="U4" s="73"/>
      <c r="V4" s="71"/>
      <c r="W4" s="110" t="s">
        <v>200</v>
      </c>
      <c r="X4">
        <v>0</v>
      </c>
      <c r="Y4" s="66">
        <f t="shared" ref="Y4:Y6" si="0">ROUNDDOWN(500*LOG(1+99*$X$11/$X$12*X4/$X$10),0)</f>
        <v>0</v>
      </c>
      <c r="Z4" s="67" t="s">
        <v>20</v>
      </c>
      <c r="AA4" s="68">
        <f>AA5</f>
        <v>30</v>
      </c>
      <c r="AB4" s="66">
        <v>1000</v>
      </c>
      <c r="AC4" t="s">
        <v>193</v>
      </c>
      <c r="AD4">
        <v>0</v>
      </c>
      <c r="AE4" s="66">
        <f t="shared" ref="AE4" si="1">ROUNDDOWN(500*LOG(1+99*$X$11/$X$12*AD4/$X$10),0)</f>
        <v>0</v>
      </c>
    </row>
    <row r="5" spans="1:32" ht="31" x14ac:dyDescent="0.35">
      <c r="N5" s="67" t="s">
        <v>184</v>
      </c>
      <c r="O5">
        <v>1</v>
      </c>
      <c r="P5" s="66">
        <f>ROUNDDOWN(500*LOG(1+99*$O$11/$O$12*O5/$O$10),0)</f>
        <v>387</v>
      </c>
      <c r="W5" s="67" t="s">
        <v>188</v>
      </c>
      <c r="X5">
        <v>0.3</v>
      </c>
      <c r="Y5" s="66">
        <f t="shared" si="0"/>
        <v>530</v>
      </c>
      <c r="Z5" s="107" t="s">
        <v>19</v>
      </c>
      <c r="AA5" s="51">
        <v>30</v>
      </c>
      <c r="AB5" s="66"/>
      <c r="AC5" s="111" t="s">
        <v>195</v>
      </c>
      <c r="AD5">
        <v>0.01</v>
      </c>
      <c r="AE5" s="66">
        <f>ROUNDDOWN(500*LOG(1+99*$AD$11/$AD$12*AD5/$AD$10),0)</f>
        <v>293</v>
      </c>
    </row>
    <row r="6" spans="1:32" ht="31.5" thickBot="1" x14ac:dyDescent="0.4">
      <c r="A6" t="s">
        <v>108</v>
      </c>
      <c r="N6" s="67" t="s">
        <v>185</v>
      </c>
      <c r="O6">
        <v>2</v>
      </c>
      <c r="P6" s="66">
        <f t="shared" ref="P6:P8" si="2">ROUNDDOWN(500*LOG(1+99*$O$11/$O$12*O6/$O$10),0)</f>
        <v>518</v>
      </c>
      <c r="W6" s="74" t="s">
        <v>239</v>
      </c>
      <c r="X6">
        <v>0.6</v>
      </c>
      <c r="Y6" s="66">
        <f t="shared" si="0"/>
        <v>670</v>
      </c>
      <c r="Z6" s="72" t="s">
        <v>74</v>
      </c>
      <c r="AA6" s="73"/>
      <c r="AB6" s="71"/>
      <c r="AC6" s="74" t="s">
        <v>196</v>
      </c>
      <c r="AD6">
        <v>0.02</v>
      </c>
      <c r="AE6" s="66">
        <f>ROUNDDOWN(500*LOG(1+99*$AD$11/$AD$12*AD6/$AD$10),0)</f>
        <v>413</v>
      </c>
    </row>
    <row r="7" spans="1:32" ht="31" x14ac:dyDescent="0.35">
      <c r="N7" s="67" t="s">
        <v>186</v>
      </c>
      <c r="O7">
        <v>3</v>
      </c>
      <c r="P7" s="66">
        <f t="shared" si="2"/>
        <v>600</v>
      </c>
      <c r="W7" s="74" t="s">
        <v>240</v>
      </c>
      <c r="X7">
        <v>0.8</v>
      </c>
      <c r="Y7" s="66">
        <f>ROUNDDOWN(500*LOG(1+99*$X$11/$X$12*X7/$X$10),0)</f>
        <v>730</v>
      </c>
      <c r="AC7" s="74"/>
      <c r="AE7" s="66"/>
    </row>
    <row r="8" spans="1:32" x14ac:dyDescent="0.35">
      <c r="N8" s="67" t="s">
        <v>187</v>
      </c>
      <c r="O8">
        <v>4</v>
      </c>
      <c r="P8" s="66">
        <f t="shared" si="2"/>
        <v>659</v>
      </c>
      <c r="W8" s="74"/>
      <c r="Y8" s="66"/>
      <c r="AC8" s="74"/>
      <c r="AE8" s="66"/>
    </row>
    <row r="9" spans="1:32" x14ac:dyDescent="0.35">
      <c r="N9" s="67"/>
      <c r="P9" s="66"/>
      <c r="W9" s="67"/>
      <c r="Y9" s="66"/>
      <c r="AC9" s="67"/>
      <c r="AE9" s="66"/>
    </row>
    <row r="10" spans="1:32" x14ac:dyDescent="0.35">
      <c r="N10" s="75" t="s">
        <v>23</v>
      </c>
      <c r="O10" s="42">
        <v>60</v>
      </c>
      <c r="P10" s="66"/>
      <c r="W10" s="75" t="s">
        <v>23</v>
      </c>
      <c r="X10" s="42">
        <v>300</v>
      </c>
      <c r="Y10" s="66"/>
      <c r="AC10" s="75" t="s">
        <v>23</v>
      </c>
      <c r="AD10" s="42">
        <v>300</v>
      </c>
      <c r="AE10" s="66"/>
    </row>
    <row r="11" spans="1:32" x14ac:dyDescent="0.35">
      <c r="N11" s="75" t="s">
        <v>106</v>
      </c>
      <c r="O11" s="42">
        <v>15</v>
      </c>
      <c r="P11" s="66"/>
      <c r="W11" s="75" t="s">
        <v>106</v>
      </c>
      <c r="X11" s="42">
        <v>90</v>
      </c>
      <c r="Y11" s="66"/>
      <c r="AC11" s="75" t="s">
        <v>106</v>
      </c>
      <c r="AD11" s="42">
        <v>26</v>
      </c>
      <c r="AE11" s="66"/>
      <c r="AF11" t="s">
        <v>198</v>
      </c>
    </row>
    <row r="12" spans="1:32" x14ac:dyDescent="0.35">
      <c r="N12" s="75" t="s">
        <v>73</v>
      </c>
      <c r="O12" s="42">
        <v>5</v>
      </c>
      <c r="P12" s="66"/>
      <c r="W12" s="75" t="s">
        <v>72</v>
      </c>
      <c r="X12" s="42">
        <v>0.85</v>
      </c>
      <c r="Y12" s="66"/>
      <c r="AC12" s="75" t="s">
        <v>72</v>
      </c>
      <c r="AD12" s="42">
        <v>0.03</v>
      </c>
      <c r="AE12" s="66"/>
    </row>
    <row r="13" spans="1:32" x14ac:dyDescent="0.35">
      <c r="N13" s="65"/>
      <c r="P13" s="66"/>
      <c r="W13" s="65"/>
      <c r="Y13" s="66"/>
      <c r="AC13" s="65"/>
      <c r="AE13" s="66"/>
    </row>
    <row r="14" spans="1:32" ht="31" x14ac:dyDescent="0.35">
      <c r="N14" s="65" t="s">
        <v>24</v>
      </c>
      <c r="O14" s="76" t="s">
        <v>75</v>
      </c>
      <c r="P14" s="66"/>
      <c r="Q14" s="77"/>
      <c r="W14" s="65" t="s">
        <v>24</v>
      </c>
      <c r="X14" s="76" t="s">
        <v>75</v>
      </c>
      <c r="Y14" s="66"/>
      <c r="AC14" s="65" t="s">
        <v>24</v>
      </c>
      <c r="AD14" s="76" t="s">
        <v>75</v>
      </c>
      <c r="AE14" s="66"/>
    </row>
    <row r="15" spans="1:32" ht="47" thickBot="1" x14ac:dyDescent="0.4">
      <c r="N15" s="78" t="s">
        <v>25</v>
      </c>
      <c r="O15" s="79" t="s">
        <v>76</v>
      </c>
      <c r="P15" s="71"/>
      <c r="W15" s="78" t="s">
        <v>25</v>
      </c>
      <c r="X15" s="79" t="s">
        <v>76</v>
      </c>
      <c r="Y15" s="71"/>
      <c r="AC15" s="78" t="s">
        <v>25</v>
      </c>
      <c r="AD15" s="79" t="s">
        <v>76</v>
      </c>
      <c r="AE15" s="71"/>
    </row>
    <row r="16" spans="1:32" x14ac:dyDescent="0.35">
      <c r="A16" s="5"/>
      <c r="B16" s="5"/>
    </row>
    <row r="17" spans="1:12" x14ac:dyDescent="0.35">
      <c r="K17" s="77"/>
      <c r="L17" s="77"/>
    </row>
    <row r="28" spans="1:12" x14ac:dyDescent="0.35">
      <c r="A28" s="80"/>
      <c r="B28" s="5"/>
    </row>
  </sheetData>
  <customSheetViews>
    <customSheetView guid="{A9C4060D-48A6-4A71-A108-B3947866F802}">
      <selection activeCell="G28" sqref="G28"/>
      <pageMargins left="0.78740157499999996" right="0.78740157499999996" top="0.984251969" bottom="0.984251969" header="0.3" footer="0.3"/>
      <pageSetup paperSize="9" orientation="portrait"/>
    </customSheetView>
  </customSheetViews>
  <pageMargins left="0.78740157499999996" right="0.78740157499999996" top="0.984251969" bottom="0.984251969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0D4F0-D65C-48A5-B074-C49C3338287B}">
  <dimension ref="A1:G18"/>
  <sheetViews>
    <sheetView view="pageLayout" zoomScale="50" zoomScaleNormal="100" zoomScalePageLayoutView="50" workbookViewId="0"/>
  </sheetViews>
  <sheetFormatPr baseColWidth="10" defaultColWidth="10.6640625" defaultRowHeight="24.25" customHeight="1" x14ac:dyDescent="0.3"/>
  <cols>
    <col min="1" max="1" width="20.58203125" style="135" customWidth="1"/>
    <col min="2" max="7" width="13.9140625" style="135" customWidth="1"/>
    <col min="8" max="16384" width="10.6640625" style="135"/>
  </cols>
  <sheetData>
    <row r="1" spans="1:7" ht="24.25" customHeight="1" x14ac:dyDescent="0.3">
      <c r="A1" s="116" t="s">
        <v>226</v>
      </c>
      <c r="B1" s="136" t="s">
        <v>258</v>
      </c>
      <c r="C1" s="136"/>
      <c r="D1" s="136"/>
      <c r="E1" s="136"/>
      <c r="F1" s="136"/>
      <c r="G1" s="136"/>
    </row>
    <row r="2" spans="1:7" ht="24.25" customHeight="1" x14ac:dyDescent="0.3">
      <c r="A2" s="117" t="s">
        <v>2</v>
      </c>
      <c r="B2" s="139" t="s">
        <v>259</v>
      </c>
      <c r="C2" s="136" t="s">
        <v>260</v>
      </c>
      <c r="D2" s="136" t="s">
        <v>261</v>
      </c>
      <c r="E2" s="136" t="s">
        <v>262</v>
      </c>
      <c r="F2" s="138" t="s">
        <v>263</v>
      </c>
      <c r="G2" s="137" t="s">
        <v>217</v>
      </c>
    </row>
    <row r="3" spans="1:7" ht="24.25" customHeight="1" x14ac:dyDescent="0.3">
      <c r="A3" s="138"/>
      <c r="B3" s="139"/>
      <c r="C3" s="136"/>
      <c r="D3" s="136"/>
      <c r="E3" s="136"/>
      <c r="F3" s="138"/>
      <c r="G3" s="137"/>
    </row>
    <row r="4" spans="1:7" ht="24.25" customHeight="1" x14ac:dyDescent="0.3">
      <c r="A4" s="138"/>
      <c r="B4" s="137"/>
      <c r="C4" s="136"/>
      <c r="D4" s="136"/>
      <c r="E4" s="136"/>
      <c r="F4" s="138"/>
      <c r="G4" s="137"/>
    </row>
    <row r="5" spans="1:7" ht="24.25" customHeight="1" x14ac:dyDescent="0.3">
      <c r="A5" s="138" t="s">
        <v>204</v>
      </c>
      <c r="B5" s="137"/>
      <c r="C5" s="136"/>
      <c r="D5" s="136"/>
      <c r="E5" s="136"/>
      <c r="F5" s="138"/>
      <c r="G5" s="137"/>
    </row>
    <row r="6" spans="1:7" ht="24.25" customHeight="1" x14ac:dyDescent="0.3">
      <c r="A6" s="138" t="s">
        <v>204</v>
      </c>
      <c r="B6" s="137"/>
      <c r="C6" s="136"/>
      <c r="D6" s="136"/>
      <c r="E6" s="136"/>
      <c r="F6" s="138"/>
      <c r="G6" s="137"/>
    </row>
    <row r="7" spans="1:7" ht="24.25" customHeight="1" x14ac:dyDescent="0.3">
      <c r="A7" s="138" t="s">
        <v>204</v>
      </c>
      <c r="B7" s="137"/>
      <c r="C7" s="136"/>
      <c r="D7" s="136"/>
      <c r="E7" s="136"/>
      <c r="F7" s="138"/>
      <c r="G7" s="137"/>
    </row>
    <row r="8" spans="1:7" ht="24.25" customHeight="1" x14ac:dyDescent="0.3">
      <c r="A8" s="138" t="s">
        <v>204</v>
      </c>
      <c r="B8" s="137"/>
      <c r="C8" s="136"/>
      <c r="D8" s="136"/>
      <c r="E8" s="136"/>
      <c r="F8" s="138"/>
      <c r="G8" s="137"/>
    </row>
    <row r="9" spans="1:7" ht="24.25" customHeight="1" x14ac:dyDescent="0.3">
      <c r="A9" s="138" t="s">
        <v>257</v>
      </c>
      <c r="B9" s="137"/>
      <c r="C9" s="136"/>
      <c r="D9" s="136"/>
      <c r="E9" s="136"/>
      <c r="F9" s="138"/>
      <c r="G9" s="137"/>
    </row>
    <row r="10" spans="1:7" ht="24.25" customHeight="1" x14ac:dyDescent="0.3">
      <c r="A10" s="117" t="s">
        <v>199</v>
      </c>
      <c r="B10" s="137" t="s">
        <v>258</v>
      </c>
      <c r="C10" s="136"/>
      <c r="D10" s="136"/>
      <c r="E10" s="136"/>
      <c r="F10" s="138"/>
      <c r="G10" s="137"/>
    </row>
    <row r="11" spans="1:7" ht="24.25" customHeight="1" x14ac:dyDescent="0.3">
      <c r="A11" s="117" t="s">
        <v>2</v>
      </c>
      <c r="B11" s="139" t="s">
        <v>259</v>
      </c>
      <c r="C11" s="136" t="s">
        <v>260</v>
      </c>
      <c r="D11" s="136" t="s">
        <v>261</v>
      </c>
      <c r="E11" s="136" t="s">
        <v>262</v>
      </c>
      <c r="F11" s="138" t="s">
        <v>263</v>
      </c>
      <c r="G11" s="137" t="s">
        <v>217</v>
      </c>
    </row>
    <row r="12" spans="1:7" ht="24.25" customHeight="1" x14ac:dyDescent="0.3">
      <c r="A12" s="138"/>
      <c r="B12" s="139"/>
      <c r="C12" s="136"/>
      <c r="D12" s="136"/>
      <c r="E12" s="136"/>
      <c r="F12" s="138"/>
      <c r="G12" s="137"/>
    </row>
    <row r="13" spans="1:7" ht="24.25" customHeight="1" x14ac:dyDescent="0.3">
      <c r="A13" s="138"/>
      <c r="B13" s="137"/>
      <c r="C13" s="136"/>
      <c r="D13" s="136"/>
      <c r="E13" s="136"/>
      <c r="F13" s="138"/>
      <c r="G13" s="137"/>
    </row>
    <row r="14" spans="1:7" ht="24.25" customHeight="1" x14ac:dyDescent="0.3">
      <c r="A14" s="138" t="s">
        <v>256</v>
      </c>
      <c r="B14" s="137"/>
      <c r="C14" s="136"/>
      <c r="D14" s="136"/>
      <c r="E14" s="136"/>
      <c r="F14" s="138"/>
      <c r="G14" s="137"/>
    </row>
    <row r="15" spans="1:7" ht="24.25" customHeight="1" x14ac:dyDescent="0.3">
      <c r="A15" s="138" t="s">
        <v>255</v>
      </c>
      <c r="B15" s="137"/>
      <c r="C15" s="136"/>
      <c r="D15" s="136"/>
      <c r="E15" s="136"/>
      <c r="F15" s="138"/>
      <c r="G15" s="137"/>
    </row>
    <row r="16" spans="1:7" ht="24.25" customHeight="1" x14ac:dyDescent="0.3">
      <c r="A16" s="138" t="s">
        <v>254</v>
      </c>
      <c r="B16" s="137"/>
      <c r="C16" s="136"/>
      <c r="D16" s="136"/>
      <c r="E16" s="136"/>
      <c r="F16" s="138"/>
      <c r="G16" s="137"/>
    </row>
    <row r="17" spans="1:7" ht="24.25" customHeight="1" x14ac:dyDescent="0.3">
      <c r="A17" s="138" t="s">
        <v>253</v>
      </c>
      <c r="B17" s="137"/>
      <c r="C17" s="136"/>
      <c r="D17" s="136"/>
      <c r="E17" s="136"/>
      <c r="F17" s="138"/>
      <c r="G17" s="137"/>
    </row>
    <row r="18" spans="1:7" ht="24.25" customHeight="1" x14ac:dyDescent="0.3">
      <c r="A18" s="138" t="s">
        <v>252</v>
      </c>
      <c r="B18" s="137"/>
      <c r="C18" s="136"/>
      <c r="D18" s="136"/>
      <c r="E18" s="136"/>
      <c r="F18" s="138"/>
      <c r="G18" s="137"/>
    </row>
  </sheetData>
  <pageMargins left="0.39370078740157477" right="0.39370078740157477" top="0.39370078740157477" bottom="0.39370078740157477" header="0.3" footer="0.3"/>
  <pageSetup paperSize="9" scale="119" orientation="landscape" horizontalDpi="0" verticalDpi="0" r:id="rId1"/>
  <rowBreaks count="1" manualBreakCount="1">
    <brk id="18" max="16383" man="1"/>
  </rowBreaks>
  <colBreaks count="1" manualBreakCount="1">
    <brk id="7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97FA3-DD39-450F-9F57-D21F040837B6}">
  <sheetPr codeName="Tabelle9"/>
  <dimension ref="A1:X18"/>
  <sheetViews>
    <sheetView view="pageLayout" zoomScale="50" zoomScaleNormal="100" zoomScalePageLayoutView="50" workbookViewId="0"/>
  </sheetViews>
  <sheetFormatPr baseColWidth="10" defaultColWidth="10.6640625" defaultRowHeight="24.9" customHeight="1" x14ac:dyDescent="0.3"/>
  <cols>
    <col min="1" max="1" width="20.58203125" style="112" customWidth="1"/>
    <col min="2" max="12" width="7.83203125" style="112" customWidth="1"/>
    <col min="13" max="13" width="20.58203125" style="112" customWidth="1"/>
    <col min="14" max="24" width="7.83203125" style="112" customWidth="1"/>
    <col min="25" max="16384" width="10.6640625" style="112"/>
  </cols>
  <sheetData>
    <row r="1" spans="1:24" ht="24.9" customHeight="1" x14ac:dyDescent="0.3">
      <c r="A1" s="116" t="s">
        <v>232</v>
      </c>
      <c r="B1" s="113" t="s">
        <v>205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6" t="s">
        <v>233</v>
      </c>
      <c r="N1" s="113" t="s">
        <v>205</v>
      </c>
      <c r="O1" s="113"/>
      <c r="P1" s="113"/>
      <c r="Q1" s="113"/>
      <c r="R1" s="113"/>
      <c r="S1" s="113"/>
      <c r="T1" s="113"/>
      <c r="U1" s="113"/>
      <c r="V1" s="113"/>
      <c r="W1" s="113"/>
      <c r="X1" s="113"/>
    </row>
    <row r="2" spans="1:24" ht="24.9" customHeight="1" x14ac:dyDescent="0.3">
      <c r="A2" s="117" t="s">
        <v>206</v>
      </c>
      <c r="B2" s="118" t="s">
        <v>207</v>
      </c>
      <c r="C2" s="113" t="s">
        <v>208</v>
      </c>
      <c r="D2" s="113" t="s">
        <v>209</v>
      </c>
      <c r="E2" s="113" t="s">
        <v>210</v>
      </c>
      <c r="F2" s="113" t="s">
        <v>211</v>
      </c>
      <c r="G2" s="113" t="s">
        <v>212</v>
      </c>
      <c r="H2" s="113" t="s">
        <v>213</v>
      </c>
      <c r="I2" s="113" t="s">
        <v>214</v>
      </c>
      <c r="J2" s="113" t="s">
        <v>215</v>
      </c>
      <c r="K2" s="115" t="s">
        <v>216</v>
      </c>
      <c r="L2" s="114" t="s">
        <v>217</v>
      </c>
      <c r="M2" s="117" t="s">
        <v>206</v>
      </c>
      <c r="N2" s="118" t="s">
        <v>207</v>
      </c>
      <c r="O2" s="113" t="s">
        <v>208</v>
      </c>
      <c r="P2" s="113" t="s">
        <v>209</v>
      </c>
      <c r="Q2" s="113" t="s">
        <v>210</v>
      </c>
      <c r="R2" s="113" t="s">
        <v>211</v>
      </c>
      <c r="S2" s="113" t="s">
        <v>212</v>
      </c>
      <c r="T2" s="113" t="s">
        <v>213</v>
      </c>
      <c r="U2" s="113" t="s">
        <v>214</v>
      </c>
      <c r="V2" s="113" t="s">
        <v>215</v>
      </c>
      <c r="W2" s="115" t="s">
        <v>216</v>
      </c>
      <c r="X2" s="114" t="s">
        <v>217</v>
      </c>
    </row>
    <row r="3" spans="1:24" ht="24.9" customHeight="1" x14ac:dyDescent="0.3">
      <c r="A3" s="115"/>
      <c r="B3" s="118"/>
      <c r="C3" s="113"/>
      <c r="D3" s="113"/>
      <c r="E3" s="113"/>
      <c r="F3" s="113"/>
      <c r="G3" s="113"/>
      <c r="H3" s="113"/>
      <c r="I3" s="113"/>
      <c r="J3" s="113"/>
      <c r="K3" s="115"/>
      <c r="L3" s="114"/>
      <c r="M3" s="115"/>
      <c r="N3" s="118"/>
      <c r="O3" s="113"/>
      <c r="P3" s="113"/>
      <c r="Q3" s="113"/>
      <c r="R3" s="113"/>
      <c r="S3" s="113"/>
      <c r="T3" s="113"/>
      <c r="U3" s="113"/>
      <c r="V3" s="113"/>
      <c r="W3" s="115"/>
      <c r="X3" s="114"/>
    </row>
    <row r="4" spans="1:24" ht="24.9" customHeight="1" x14ac:dyDescent="0.3">
      <c r="A4" s="115"/>
      <c r="B4" s="114"/>
      <c r="C4" s="113"/>
      <c r="D4" s="113"/>
      <c r="E4" s="113"/>
      <c r="F4" s="113"/>
      <c r="G4" s="113"/>
      <c r="H4" s="113"/>
      <c r="I4" s="113"/>
      <c r="J4" s="113"/>
      <c r="K4" s="115"/>
      <c r="L4" s="114"/>
      <c r="M4" s="115"/>
      <c r="N4" s="114"/>
      <c r="O4" s="113"/>
      <c r="P4" s="113"/>
      <c r="Q4" s="113"/>
      <c r="R4" s="113"/>
      <c r="S4" s="113"/>
      <c r="T4" s="113"/>
      <c r="U4" s="113"/>
      <c r="V4" s="113"/>
      <c r="W4" s="115"/>
      <c r="X4" s="114"/>
    </row>
    <row r="5" spans="1:24" ht="24.9" customHeight="1" x14ac:dyDescent="0.3">
      <c r="A5" s="115" t="s">
        <v>204</v>
      </c>
      <c r="B5" s="114"/>
      <c r="C5" s="113"/>
      <c r="D5" s="113"/>
      <c r="E5" s="113"/>
      <c r="F5" s="113"/>
      <c r="G5" s="113"/>
      <c r="H5" s="113"/>
      <c r="I5" s="113"/>
      <c r="J5" s="113"/>
      <c r="K5" s="115"/>
      <c r="L5" s="114"/>
      <c r="M5" s="115" t="s">
        <v>204</v>
      </c>
      <c r="N5" s="114"/>
      <c r="O5" s="113"/>
      <c r="P5" s="113"/>
      <c r="Q5" s="113"/>
      <c r="R5" s="113"/>
      <c r="S5" s="113"/>
      <c r="T5" s="113"/>
      <c r="U5" s="113"/>
      <c r="V5" s="113"/>
      <c r="W5" s="115"/>
      <c r="X5" s="114"/>
    </row>
    <row r="6" spans="1:24" ht="24.9" customHeight="1" x14ac:dyDescent="0.3">
      <c r="A6" s="115" t="s">
        <v>204</v>
      </c>
      <c r="B6" s="114"/>
      <c r="C6" s="113"/>
      <c r="D6" s="113"/>
      <c r="E6" s="113"/>
      <c r="F6" s="113"/>
      <c r="G6" s="113"/>
      <c r="H6" s="113"/>
      <c r="I6" s="113"/>
      <c r="J6" s="113"/>
      <c r="K6" s="115"/>
      <c r="L6" s="114"/>
      <c r="M6" s="115" t="s">
        <v>204</v>
      </c>
      <c r="N6" s="114"/>
      <c r="O6" s="113"/>
      <c r="P6" s="113"/>
      <c r="Q6" s="113"/>
      <c r="R6" s="113"/>
      <c r="S6" s="113"/>
      <c r="T6" s="113"/>
      <c r="U6" s="113"/>
      <c r="V6" s="113"/>
      <c r="W6" s="115"/>
      <c r="X6" s="114"/>
    </row>
    <row r="7" spans="1:24" ht="24.9" customHeight="1" x14ac:dyDescent="0.3">
      <c r="A7" s="115" t="s">
        <v>204</v>
      </c>
      <c r="B7" s="114"/>
      <c r="C7" s="113"/>
      <c r="D7" s="113"/>
      <c r="E7" s="113"/>
      <c r="F7" s="113"/>
      <c r="G7" s="113"/>
      <c r="H7" s="113"/>
      <c r="I7" s="113"/>
      <c r="J7" s="113"/>
      <c r="K7" s="115"/>
      <c r="L7" s="114"/>
      <c r="M7" s="115" t="s">
        <v>204</v>
      </c>
      <c r="N7" s="114"/>
      <c r="O7" s="113"/>
      <c r="P7" s="113"/>
      <c r="Q7" s="113"/>
      <c r="R7" s="113"/>
      <c r="S7" s="113"/>
      <c r="T7" s="113"/>
      <c r="U7" s="113"/>
      <c r="V7" s="113"/>
      <c r="W7" s="115"/>
      <c r="X7" s="114"/>
    </row>
    <row r="8" spans="1:24" ht="24.9" customHeight="1" x14ac:dyDescent="0.3">
      <c r="A8" s="115" t="s">
        <v>204</v>
      </c>
      <c r="B8" s="114"/>
      <c r="C8" s="113"/>
      <c r="D8" s="113"/>
      <c r="E8" s="113"/>
      <c r="F8" s="113"/>
      <c r="G8" s="113"/>
      <c r="H8" s="113"/>
      <c r="I8" s="113"/>
      <c r="J8" s="113"/>
      <c r="K8" s="115"/>
      <c r="L8" s="114"/>
      <c r="M8" s="115" t="s">
        <v>204</v>
      </c>
      <c r="N8" s="114"/>
      <c r="O8" s="113"/>
      <c r="P8" s="113"/>
      <c r="Q8" s="113"/>
      <c r="R8" s="113"/>
      <c r="S8" s="113"/>
      <c r="T8" s="113"/>
      <c r="U8" s="113"/>
      <c r="V8" s="113"/>
      <c r="W8" s="115"/>
      <c r="X8" s="114"/>
    </row>
    <row r="9" spans="1:24" ht="24.9" customHeight="1" x14ac:dyDescent="0.3">
      <c r="A9" s="115" t="s">
        <v>234</v>
      </c>
      <c r="B9" s="114"/>
      <c r="C9" s="113"/>
      <c r="D9" s="113"/>
      <c r="E9" s="113"/>
      <c r="F9" s="113"/>
      <c r="G9" s="113"/>
      <c r="H9" s="113"/>
      <c r="I9" s="113"/>
      <c r="J9" s="113"/>
      <c r="K9" s="115"/>
      <c r="L9" s="114"/>
      <c r="M9" s="115" t="s">
        <v>204</v>
      </c>
      <c r="N9" s="114"/>
      <c r="O9" s="113"/>
      <c r="P9" s="113"/>
      <c r="Q9" s="113"/>
      <c r="R9" s="113"/>
      <c r="S9" s="113"/>
      <c r="T9" s="113"/>
      <c r="U9" s="113"/>
      <c r="V9" s="113"/>
      <c r="W9" s="115"/>
      <c r="X9" s="114"/>
    </row>
    <row r="10" spans="1:24" ht="24.9" customHeight="1" x14ac:dyDescent="0.3">
      <c r="A10" s="117" t="s">
        <v>199</v>
      </c>
      <c r="B10" s="114" t="s">
        <v>205</v>
      </c>
      <c r="C10" s="113"/>
      <c r="D10" s="113"/>
      <c r="E10" s="113"/>
      <c r="F10" s="113"/>
      <c r="G10" s="113"/>
      <c r="H10" s="113"/>
      <c r="I10" s="113"/>
      <c r="J10" s="113"/>
      <c r="K10" s="115"/>
      <c r="L10" s="114"/>
      <c r="M10" s="117" t="s">
        <v>226</v>
      </c>
      <c r="N10" s="114" t="s">
        <v>205</v>
      </c>
      <c r="O10" s="113"/>
      <c r="P10" s="113"/>
      <c r="Q10" s="113"/>
      <c r="R10" s="113"/>
      <c r="S10" s="113"/>
      <c r="T10" s="113"/>
      <c r="U10" s="113"/>
      <c r="V10" s="113"/>
      <c r="W10" s="115"/>
      <c r="X10" s="114"/>
    </row>
    <row r="11" spans="1:24" ht="24.9" customHeight="1" x14ac:dyDescent="0.3">
      <c r="A11" s="117" t="s">
        <v>206</v>
      </c>
      <c r="B11" s="118" t="s">
        <v>207</v>
      </c>
      <c r="C11" s="113" t="s">
        <v>208</v>
      </c>
      <c r="D11" s="113" t="s">
        <v>209</v>
      </c>
      <c r="E11" s="113" t="s">
        <v>210</v>
      </c>
      <c r="F11" s="113" t="s">
        <v>211</v>
      </c>
      <c r="G11" s="113" t="s">
        <v>212</v>
      </c>
      <c r="H11" s="113" t="s">
        <v>213</v>
      </c>
      <c r="I11" s="113" t="s">
        <v>214</v>
      </c>
      <c r="J11" s="113" t="s">
        <v>215</v>
      </c>
      <c r="K11" s="115" t="s">
        <v>216</v>
      </c>
      <c r="L11" s="114" t="s">
        <v>217</v>
      </c>
      <c r="M11" s="117" t="s">
        <v>206</v>
      </c>
      <c r="N11" s="118" t="s">
        <v>207</v>
      </c>
      <c r="O11" s="113" t="s">
        <v>208</v>
      </c>
      <c r="P11" s="113" t="s">
        <v>209</v>
      </c>
      <c r="Q11" s="113" t="s">
        <v>210</v>
      </c>
      <c r="R11" s="113" t="s">
        <v>211</v>
      </c>
      <c r="S11" s="113" t="s">
        <v>212</v>
      </c>
      <c r="T11" s="113" t="s">
        <v>213</v>
      </c>
      <c r="U11" s="113" t="s">
        <v>214</v>
      </c>
      <c r="V11" s="113" t="s">
        <v>215</v>
      </c>
      <c r="W11" s="115" t="s">
        <v>216</v>
      </c>
      <c r="X11" s="114" t="s">
        <v>217</v>
      </c>
    </row>
    <row r="12" spans="1:24" ht="24.9" customHeight="1" x14ac:dyDescent="0.3">
      <c r="A12" s="115"/>
      <c r="B12" s="118"/>
      <c r="C12" s="113"/>
      <c r="D12" s="113"/>
      <c r="E12" s="113"/>
      <c r="F12" s="113"/>
      <c r="G12" s="113"/>
      <c r="H12" s="113"/>
      <c r="I12" s="113"/>
      <c r="J12" s="113"/>
      <c r="K12" s="115"/>
      <c r="L12" s="114"/>
      <c r="M12" s="115"/>
      <c r="N12" s="118"/>
      <c r="O12" s="113"/>
      <c r="P12" s="113"/>
      <c r="Q12" s="113"/>
      <c r="R12" s="113"/>
      <c r="S12" s="113"/>
      <c r="T12" s="113"/>
      <c r="U12" s="113"/>
      <c r="V12" s="113"/>
      <c r="W12" s="115"/>
      <c r="X12" s="114"/>
    </row>
    <row r="13" spans="1:24" ht="24.9" customHeight="1" x14ac:dyDescent="0.3">
      <c r="A13" s="115"/>
      <c r="B13" s="114"/>
      <c r="C13" s="113"/>
      <c r="D13" s="113"/>
      <c r="E13" s="113"/>
      <c r="F13" s="113"/>
      <c r="G13" s="113"/>
      <c r="H13" s="113"/>
      <c r="I13" s="113"/>
      <c r="J13" s="113"/>
      <c r="K13" s="115"/>
      <c r="L13" s="114"/>
      <c r="M13" s="115"/>
      <c r="N13" s="114"/>
      <c r="O13" s="113"/>
      <c r="P13" s="113"/>
      <c r="Q13" s="113"/>
      <c r="R13" s="113"/>
      <c r="S13" s="113"/>
      <c r="T13" s="113"/>
      <c r="U13" s="113"/>
      <c r="V13" s="113"/>
      <c r="W13" s="115"/>
      <c r="X13" s="114"/>
    </row>
    <row r="14" spans="1:24" ht="24.9" customHeight="1" x14ac:dyDescent="0.3">
      <c r="A14" s="115" t="s">
        <v>225</v>
      </c>
      <c r="B14" s="114"/>
      <c r="C14" s="113"/>
      <c r="D14" s="113"/>
      <c r="E14" s="113"/>
      <c r="F14" s="113"/>
      <c r="G14" s="113"/>
      <c r="H14" s="113"/>
      <c r="I14" s="113"/>
      <c r="J14" s="113"/>
      <c r="K14" s="115"/>
      <c r="L14" s="114"/>
      <c r="M14" s="115" t="s">
        <v>231</v>
      </c>
      <c r="N14" s="114"/>
      <c r="O14" s="113"/>
      <c r="P14" s="113"/>
      <c r="Q14" s="113"/>
      <c r="R14" s="113"/>
      <c r="S14" s="113"/>
      <c r="T14" s="113"/>
      <c r="U14" s="113"/>
      <c r="V14" s="113"/>
      <c r="W14" s="115"/>
      <c r="X14" s="114"/>
    </row>
    <row r="15" spans="1:24" ht="24.9" customHeight="1" x14ac:dyDescent="0.3">
      <c r="A15" s="115" t="s">
        <v>224</v>
      </c>
      <c r="B15" s="114"/>
      <c r="C15" s="113"/>
      <c r="D15" s="113"/>
      <c r="E15" s="113"/>
      <c r="F15" s="113"/>
      <c r="G15" s="113"/>
      <c r="H15" s="113"/>
      <c r="I15" s="113"/>
      <c r="J15" s="113"/>
      <c r="K15" s="115"/>
      <c r="L15" s="114"/>
      <c r="M15" s="115" t="s">
        <v>230</v>
      </c>
      <c r="N15" s="114"/>
      <c r="O15" s="113"/>
      <c r="P15" s="113"/>
      <c r="Q15" s="113"/>
      <c r="R15" s="113"/>
      <c r="S15" s="113"/>
      <c r="T15" s="113"/>
      <c r="U15" s="113"/>
      <c r="V15" s="113"/>
      <c r="W15" s="115"/>
      <c r="X15" s="114"/>
    </row>
    <row r="16" spans="1:24" ht="24.9" customHeight="1" x14ac:dyDescent="0.3">
      <c r="A16" s="115" t="s">
        <v>223</v>
      </c>
      <c r="B16" s="114"/>
      <c r="C16" s="113"/>
      <c r="D16" s="113"/>
      <c r="E16" s="113"/>
      <c r="F16" s="113"/>
      <c r="G16" s="113"/>
      <c r="H16" s="113"/>
      <c r="I16" s="113"/>
      <c r="J16" s="113"/>
      <c r="K16" s="115"/>
      <c r="L16" s="114"/>
      <c r="M16" s="115" t="s">
        <v>229</v>
      </c>
      <c r="N16" s="114"/>
      <c r="O16" s="113"/>
      <c r="P16" s="113"/>
      <c r="Q16" s="113"/>
      <c r="R16" s="113"/>
      <c r="S16" s="113"/>
      <c r="T16" s="113"/>
      <c r="U16" s="113"/>
      <c r="V16" s="113"/>
      <c r="W16" s="115"/>
      <c r="X16" s="114"/>
    </row>
    <row r="17" spans="1:24" ht="24.9" customHeight="1" x14ac:dyDescent="0.3">
      <c r="A17" s="115" t="s">
        <v>222</v>
      </c>
      <c r="B17" s="114"/>
      <c r="C17" s="113"/>
      <c r="D17" s="113"/>
      <c r="E17" s="113"/>
      <c r="F17" s="113"/>
      <c r="G17" s="113"/>
      <c r="H17" s="113"/>
      <c r="I17" s="113"/>
      <c r="J17" s="113"/>
      <c r="K17" s="115"/>
      <c r="L17" s="114"/>
      <c r="M17" s="115" t="s">
        <v>228</v>
      </c>
      <c r="N17" s="114"/>
      <c r="O17" s="113"/>
      <c r="P17" s="113"/>
      <c r="Q17" s="113"/>
      <c r="R17" s="113"/>
      <c r="S17" s="113"/>
      <c r="T17" s="113"/>
      <c r="U17" s="113"/>
      <c r="V17" s="113"/>
      <c r="W17" s="115"/>
      <c r="X17" s="114"/>
    </row>
    <row r="18" spans="1:24" ht="24.9" customHeight="1" x14ac:dyDescent="0.3">
      <c r="A18" s="115" t="s">
        <v>203</v>
      </c>
      <c r="B18" s="114"/>
      <c r="C18" s="113"/>
      <c r="D18" s="113"/>
      <c r="E18" s="113"/>
      <c r="F18" s="113"/>
      <c r="G18" s="113"/>
      <c r="H18" s="113"/>
      <c r="I18" s="113"/>
      <c r="J18" s="113"/>
      <c r="K18" s="115"/>
      <c r="L18" s="114"/>
      <c r="M18" s="115" t="s">
        <v>227</v>
      </c>
      <c r="N18" s="114"/>
      <c r="O18" s="113"/>
      <c r="P18" s="113"/>
      <c r="Q18" s="113"/>
      <c r="R18" s="113"/>
      <c r="S18" s="113"/>
      <c r="T18" s="113"/>
      <c r="U18" s="113"/>
      <c r="V18" s="113"/>
      <c r="W18" s="115"/>
      <c r="X18" s="114"/>
    </row>
  </sheetData>
  <pageMargins left="0.39370078740157477" right="0.39370078740157477" top="0.39370078740157477" bottom="0.39370078740157477" header="0.3" footer="0.3"/>
  <pageSetup paperSize="9" scale="116" orientation="landscape" horizontalDpi="0" verticalDpi="0" r:id="rId1"/>
  <rowBreaks count="1" manualBreakCount="1">
    <brk id="18" max="16383" man="1"/>
  </rowBreaks>
  <colBreaks count="2" manualBreakCount="2">
    <brk id="12" max="17" man="1"/>
    <brk id="24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>
    <tabColor rgb="FF00B050"/>
  </sheetPr>
  <dimension ref="A1:BD18"/>
  <sheetViews>
    <sheetView view="pageLayout" topLeftCell="A10" zoomScale="75" zoomScalePageLayoutView="75" workbookViewId="0">
      <selection activeCell="A14" sqref="A14"/>
    </sheetView>
  </sheetViews>
  <sheetFormatPr baseColWidth="10" defaultColWidth="8.83203125" defaultRowHeight="40.5" customHeight="1" x14ac:dyDescent="0.35"/>
  <cols>
    <col min="1" max="1" width="9.75" customWidth="1"/>
    <col min="2" max="3" width="10.5" customWidth="1"/>
    <col min="7" max="7" width="8.83203125" style="24"/>
    <col min="9" max="9" width="10.6640625" customWidth="1"/>
    <col min="10" max="11" width="10.5" customWidth="1"/>
    <col min="14" max="14" width="8.83203125" style="24"/>
    <col min="16" max="16" width="9.9140625" customWidth="1"/>
    <col min="17" max="17" width="12.25" customWidth="1"/>
    <col min="21" max="21" width="8.83203125" style="24"/>
    <col min="23" max="23" width="10.75" customWidth="1"/>
    <col min="24" max="24" width="11.1640625" customWidth="1"/>
    <col min="28" max="28" width="8.83203125" style="24"/>
  </cols>
  <sheetData>
    <row r="1" spans="1:56" ht="47.5" customHeight="1" x14ac:dyDescent="0.35">
      <c r="A1" s="22" t="s">
        <v>69</v>
      </c>
      <c r="B1" s="44">
        <v>1</v>
      </c>
      <c r="C1" s="22" t="s">
        <v>68</v>
      </c>
      <c r="D1" s="44">
        <v>2</v>
      </c>
      <c r="E1" s="84" t="str">
        <f>"Group nr." &amp; B1 &amp;" is on circle: "</f>
        <v xml:space="preserve">Group nr.1 is on circle: </v>
      </c>
      <c r="F1" s="85">
        <v>1</v>
      </c>
      <c r="G1" s="24">
        <v>1</v>
      </c>
      <c r="H1" s="24"/>
      <c r="I1" s="24"/>
      <c r="J1" s="24" t="s">
        <v>35</v>
      </c>
      <c r="K1" s="24" t="str">
        <f>IF($B$1&gt;1,D1-1,"")</f>
        <v/>
      </c>
      <c r="L1" s="24"/>
      <c r="M1" s="24"/>
      <c r="N1" s="24">
        <v>1</v>
      </c>
      <c r="O1" s="24"/>
      <c r="P1" s="24"/>
      <c r="Q1" s="24" t="s">
        <v>35</v>
      </c>
      <c r="R1" s="24" t="str">
        <f>IF($B$1&gt;2,K1-1,"")</f>
        <v/>
      </c>
      <c r="S1" s="24"/>
      <c r="T1" s="24"/>
      <c r="U1" s="24">
        <v>2</v>
      </c>
      <c r="V1" s="24"/>
      <c r="W1" s="24"/>
      <c r="X1" s="24" t="s">
        <v>35</v>
      </c>
      <c r="Y1" s="24" t="str">
        <f>IF($B$1&gt;3,R1-1,"")</f>
        <v/>
      </c>
      <c r="Z1" s="24"/>
      <c r="AA1" s="24"/>
      <c r="AB1" s="24">
        <v>1</v>
      </c>
      <c r="AI1">
        <v>2</v>
      </c>
      <c r="AP1">
        <v>1</v>
      </c>
      <c r="AW1">
        <v>8</v>
      </c>
      <c r="BD1">
        <v>7</v>
      </c>
    </row>
    <row r="2" spans="1:56" ht="47.5" customHeight="1" x14ac:dyDescent="0.35">
      <c r="A2" s="22"/>
      <c r="B2" s="5" t="str">
        <f>IF($D$1/$B$1&lt;4,"WARNING, FEW THROWERS PER CIRCLE","")</f>
        <v>WARNING, FEW THROWERS PER CIRCLE</v>
      </c>
      <c r="C2" s="22"/>
      <c r="D2" s="44"/>
      <c r="E2" s="84"/>
      <c r="F2" s="85"/>
      <c r="H2" s="24"/>
      <c r="I2" s="5" t="str">
        <f>IF($D$1/$B$1&lt;4,"WARNING,  FEW THROWERS PER CIRCLE","")</f>
        <v>WARNING,  FEW THROWERS PER CIRCLE</v>
      </c>
      <c r="J2" s="24"/>
      <c r="K2" s="24"/>
      <c r="L2" s="24"/>
      <c r="M2" s="24"/>
      <c r="O2" s="24"/>
      <c r="P2" s="5" t="str">
        <f>IF($D$1/$B$1&lt;4,"WARNING, FEW THROWERS PER CIRCLE","")</f>
        <v>WARNING, FEW THROWERS PER CIRCLE</v>
      </c>
      <c r="Q2" s="24"/>
      <c r="R2" s="24"/>
      <c r="S2" s="24"/>
      <c r="T2" s="24"/>
      <c r="V2" s="24"/>
      <c r="W2" s="5" t="str">
        <f>IF($D$1/$B$1&lt;4,"WARNING,  FEW THROWERS PER CIRCLE","")</f>
        <v>WARNING,  FEW THROWERS PER CIRCLE</v>
      </c>
      <c r="X2" s="24"/>
      <c r="Y2" s="24"/>
      <c r="Z2" s="24"/>
      <c r="AA2" s="24"/>
    </row>
    <row r="3" spans="1:56" ht="40.5" customHeight="1" x14ac:dyDescent="0.7">
      <c r="A3" t="str">
        <f>"Circle "&amp; G1</f>
        <v>Circle 1</v>
      </c>
      <c r="B3" t="str">
        <f>IF(B1&gt;4,"&gt;4 AR CICRLES?ARE YOU KIDDING?","")</f>
        <v/>
      </c>
      <c r="H3" t="str">
        <f>"Circle "&amp; N1</f>
        <v>Circle 1</v>
      </c>
      <c r="I3" s="23" t="str">
        <f>IF(ISNUMBER(I5),IF(N5&gt;1,"NO FIRST TURN, WAIT!",""),"")</f>
        <v/>
      </c>
      <c r="O3" t="str">
        <f>"Circle "&amp; U1</f>
        <v>Circle 2</v>
      </c>
      <c r="P3" s="23" t="str">
        <f>IF(ISNUMBER(P5),IF(U5&gt;1,"NO FIRST TURN, WAIT!",""),"")</f>
        <v/>
      </c>
      <c r="V3" t="str">
        <f>"Circle "&amp; AB1</f>
        <v>Circle 1</v>
      </c>
      <c r="W3" s="23" t="str">
        <f>IF(ISNUMBER(W5),IF(AB5&gt;1,"NO FIRST TURN, WAIT!",""),"")</f>
        <v/>
      </c>
    </row>
    <row r="4" spans="1:56" ht="39" customHeight="1" x14ac:dyDescent="0.35">
      <c r="A4" s="2"/>
      <c r="B4" s="2" t="s">
        <v>28</v>
      </c>
      <c r="C4" s="2" t="str">
        <f>IF($D$1/$B$1&lt;4,"30-40m",IF($D$1/$B$1&gt;=5,"PREPARING","30m"))</f>
        <v>30-40m</v>
      </c>
      <c r="D4" s="2" t="str">
        <f>IF($D$1/$B$1&lt;4,"50m",IF($D$1/$B$1&gt;=5,"30m","40m"))</f>
        <v>50m</v>
      </c>
      <c r="E4" s="2" t="str">
        <f>IF($D$1/$B$1&lt;4,"30-50m",IF($D$1/$B$1&gt;=5,"40m","50m"))</f>
        <v>30-50m</v>
      </c>
      <c r="F4" s="2" t="str">
        <f>IF($D$1/$B$1&gt;=5,"50m","")</f>
        <v/>
      </c>
      <c r="H4" s="2"/>
      <c r="I4" s="2" t="s">
        <v>28</v>
      </c>
      <c r="J4" s="2" t="str">
        <f>IF($D$1/$B$1&lt;4,"30-40m",IF($D$1/$B$1&gt;=5,"PREPARING","30m"))</f>
        <v>30-40m</v>
      </c>
      <c r="K4" s="2" t="str">
        <f>IF($D$1/$B$1&lt;4,"50m",IF($D$1/$B$1&gt;=5,"30m","40m"))</f>
        <v>50m</v>
      </c>
      <c r="L4" s="2" t="str">
        <f>IF($D$1/$B$1&lt;4,"30-50m",IF($D$1/$B$1&gt;=5,"40m","50m"))</f>
        <v>30-50m</v>
      </c>
      <c r="M4" s="2" t="str">
        <f>IF($D$1/$B$1&gt;=5,"50m","")</f>
        <v/>
      </c>
      <c r="O4" s="2"/>
      <c r="P4" s="2" t="s">
        <v>28</v>
      </c>
      <c r="Q4" s="2" t="str">
        <f>IF($D$1/$B$1&lt;4,"30-40m",IF($D$1/$B$1&gt;=5,"PREPARING","30m"))</f>
        <v>30-40m</v>
      </c>
      <c r="R4" s="2" t="str">
        <f>IF($D$1/$B$1&lt;4,"50m",IF($D$1/$B$1&gt;=5,"30m","40m"))</f>
        <v>50m</v>
      </c>
      <c r="S4" s="2" t="str">
        <f>IF($D$1/$B$1&lt;4,"30-50m",IF($D$1/$B$1&gt;=5,"40m","50m"))</f>
        <v>30-50m</v>
      </c>
      <c r="T4" s="2" t="str">
        <f>IF($D$1/$B$1&gt;=5,"50m","")</f>
        <v/>
      </c>
      <c r="V4" s="2"/>
      <c r="W4" s="2" t="s">
        <v>28</v>
      </c>
      <c r="X4" s="2" t="str">
        <f>IF($D$1/$B$1&lt;4,"30-40m",IF($D$1/$B$1&gt;=5,"PREPARING","30m"))</f>
        <v>30-40m</v>
      </c>
      <c r="Y4" s="2" t="str">
        <f>IF($D$1/$B$1&lt;4,"50m",IF($D$1/$B$1&gt;=5,"30m","40m"))</f>
        <v>50m</v>
      </c>
      <c r="Z4" s="2" t="str">
        <f>IF($D$1/$B$1&lt;4,"30-50m",IF($D$1/$B$1&gt;=5,"40m","50m"))</f>
        <v>30-50m</v>
      </c>
      <c r="AA4" s="2" t="str">
        <f>IF($D$1/$B$1&gt;=5,"50m","")</f>
        <v/>
      </c>
    </row>
    <row r="5" spans="1:56" ht="39" customHeight="1" x14ac:dyDescent="0.35">
      <c r="A5" s="2" t="str">
        <f>IF(ISNUMBER(G5),"TURN " &amp; G5,"")</f>
        <v>TURN 1</v>
      </c>
      <c r="B5" s="2">
        <f>D1</f>
        <v>2</v>
      </c>
      <c r="C5" s="2">
        <f t="shared" ref="C5:E13" si="0">IF(ISNUMBER(B5),IF(B5-$B$1&lt;1,$B$5,B5-$B$1),"")</f>
        <v>1</v>
      </c>
      <c r="D5" s="2">
        <f t="shared" si="0"/>
        <v>2</v>
      </c>
      <c r="E5" s="2">
        <f t="shared" si="0"/>
        <v>1</v>
      </c>
      <c r="F5" s="2" t="str">
        <f t="shared" ref="F5:F18" si="1">IF($D$1/$B$1&gt;=5,IF(ISNUMBER(E5),IF(E5-$B$1&lt;1,$B$5,E5-$B$1),""),"")</f>
        <v/>
      </c>
      <c r="G5" s="24">
        <f>IF(ISNUMBER(B5),1-(B5-$D$1)/$B$1,"")</f>
        <v>1</v>
      </c>
      <c r="H5" s="2" t="str">
        <f>IF(ISNUMBER(N5),"TURN " &amp; N5,"")</f>
        <v/>
      </c>
      <c r="I5" s="2" t="str">
        <f>K1</f>
        <v/>
      </c>
      <c r="J5" s="2" t="str">
        <f t="shared" ref="J5:L12" si="2">IF(ISNUMBER(I5),IF(I5-$B$1&lt;1,$I$5,I5-$B$1),"")</f>
        <v/>
      </c>
      <c r="K5" s="2" t="str">
        <f t="shared" si="2"/>
        <v/>
      </c>
      <c r="L5" s="2" t="str">
        <f t="shared" si="2"/>
        <v/>
      </c>
      <c r="M5" s="2" t="str">
        <f t="shared" ref="M5:M18" si="3">IF($D$1/$B$1&gt;=5,IF(ISNUMBER(L5),IF(L5-$B$1&lt;1,$I$5,L5-$B$1),""),"")</f>
        <v/>
      </c>
      <c r="N5" s="24" t="str">
        <f>IF(ISNUMBER(I5),G5+IF(MOD($D$1,$B$1)=1,1,0),"")</f>
        <v/>
      </c>
      <c r="O5" s="2" t="str">
        <f>IF(ISNUMBER(U5),"TURN " &amp; U5,"")</f>
        <v/>
      </c>
      <c r="P5" s="2" t="str">
        <f>R1</f>
        <v/>
      </c>
      <c r="Q5" s="2" t="str">
        <f t="shared" ref="Q5:S11" si="4">IF(ISNUMBER(P5),IF(P5-$B$1&lt;1,$P$5,P5-$B$1),"")</f>
        <v/>
      </c>
      <c r="R5" s="2" t="str">
        <f t="shared" si="4"/>
        <v/>
      </c>
      <c r="S5" s="2" t="str">
        <f t="shared" si="4"/>
        <v/>
      </c>
      <c r="T5" s="2" t="str">
        <f>IF($D$1/$B$1&gt;=5,IF(ISNUMBER(S5),IF(S5-$B$1&lt;1,$P$5,S5-$B$1),""),"")</f>
        <v/>
      </c>
      <c r="U5" s="24" t="str">
        <f>IF(ISNUMBER(P5),G5+IF(OR(MOD($D$1,$B$1)=1,MOD($D$1,$B$1)=2),1,0),"")</f>
        <v/>
      </c>
      <c r="V5" s="2" t="str">
        <f>IF(ISNUMBER(AB5),"TURN " &amp; AB5,"")</f>
        <v/>
      </c>
      <c r="W5" s="2" t="str">
        <f>Y1</f>
        <v/>
      </c>
      <c r="X5" s="2" t="str">
        <f t="shared" ref="X5:Z18" si="5">IF(ISNUMBER(W5),IF(W5-$B$1&lt;1,$W$5,W5-$B$1),"")</f>
        <v/>
      </c>
      <c r="Y5" s="2" t="str">
        <f t="shared" si="5"/>
        <v/>
      </c>
      <c r="Z5" s="2" t="str">
        <f t="shared" si="5"/>
        <v/>
      </c>
      <c r="AA5" s="2" t="str">
        <f t="shared" ref="AA5:AA18" si="6">IF($D$1/$B$1&gt;=5,IF(ISNUMBER(Z5),IF(Z5-$B$1&lt;1,$W$5,Z5-$B$1),""),"")</f>
        <v/>
      </c>
      <c r="AB5" s="24" t="str">
        <f t="shared" ref="AB5:AB18" si="7">IF(ISNUMBER(W5),G5+IF(MOD($D$1,$B$1)&gt;0,1,0),"")</f>
        <v/>
      </c>
    </row>
    <row r="6" spans="1:56" ht="39" customHeight="1" x14ac:dyDescent="0.35">
      <c r="A6" s="2" t="str">
        <f t="shared" ref="A6:A13" si="8">IF(ISNUMBER(G6),"TURN " &amp; G6,"")</f>
        <v>TURN 2</v>
      </c>
      <c r="B6" s="2">
        <f>IF(ISNUMBER(B5),IF(B5-$B$1&gt;0,B5-$B$1,""),"")</f>
        <v>1</v>
      </c>
      <c r="C6" s="2">
        <f t="shared" si="0"/>
        <v>2</v>
      </c>
      <c r="D6" s="2">
        <f t="shared" si="0"/>
        <v>1</v>
      </c>
      <c r="E6" s="2">
        <f t="shared" si="0"/>
        <v>2</v>
      </c>
      <c r="F6" s="2" t="str">
        <f t="shared" si="1"/>
        <v/>
      </c>
      <c r="G6" s="24">
        <f t="shared" ref="G6:G13" si="9">IF(ISNUMBER(B6),1-(B6-$D$1)/$B$1,"")</f>
        <v>2</v>
      </c>
      <c r="H6" s="2" t="str">
        <f t="shared" ref="H6:H13" si="10">IF(ISNUMBER(N6),"TURN " &amp; N6,"")</f>
        <v/>
      </c>
      <c r="I6" s="2" t="str">
        <f>IF(ISNUMBER(I5),IF(I5-$B$1&gt;0,I5-$B$1,""),"")</f>
        <v/>
      </c>
      <c r="J6" s="2" t="str">
        <f t="shared" si="2"/>
        <v/>
      </c>
      <c r="K6" s="2" t="str">
        <f t="shared" si="2"/>
        <v/>
      </c>
      <c r="L6" s="2" t="str">
        <f t="shared" si="2"/>
        <v/>
      </c>
      <c r="M6" s="2" t="str">
        <f t="shared" si="3"/>
        <v/>
      </c>
      <c r="N6" s="24" t="str">
        <f t="shared" ref="N6:N12" si="11">IF(ISNUMBER(I6),G6+IF(MOD($D$1,$B$1)=1,1,0),"")</f>
        <v/>
      </c>
      <c r="O6" s="2" t="str">
        <f t="shared" ref="O6:O12" si="12">IF(ISNUMBER(U6),"TURN " &amp; U6,"")</f>
        <v/>
      </c>
      <c r="P6" s="2" t="str">
        <f t="shared" ref="P6:P18" si="13">IF(ISNUMBER(P5),IF(P5-$B$1&gt;0,P5-$B$1,""),"")</f>
        <v/>
      </c>
      <c r="Q6" s="2" t="str">
        <f t="shared" si="4"/>
        <v/>
      </c>
      <c r="R6" s="2" t="str">
        <f t="shared" si="4"/>
        <v/>
      </c>
      <c r="S6" s="2" t="str">
        <f t="shared" si="4"/>
        <v/>
      </c>
      <c r="T6" s="2" t="str">
        <f t="shared" ref="T6:T12" si="14">IF($D$1/$B$1&gt;=5,IF(ISNUMBER(S6),IF(S6-$B$1&lt;1,$B$5,S6-$B$1),""),"")</f>
        <v/>
      </c>
      <c r="U6" s="24" t="str">
        <f t="shared" ref="U6:U18" si="15">IF(ISNUMBER(P6),G6+IF(OR(MOD($D$1,$B$1)=1,MOD($D$1,$B$1)=2),1,0),"")</f>
        <v/>
      </c>
      <c r="V6" s="2" t="str">
        <f t="shared" ref="V6:V12" si="16">IF(ISNUMBER(AB6),"TURN " &amp; AB6,"")</f>
        <v/>
      </c>
      <c r="W6" s="2" t="str">
        <f t="shared" ref="W6:W18" si="17">IF(ISNUMBER(W5),IF(W5-$B$1&gt;0,W5-$B$1,""),"")</f>
        <v/>
      </c>
      <c r="X6" s="2" t="str">
        <f t="shared" si="5"/>
        <v/>
      </c>
      <c r="Y6" s="2" t="str">
        <f t="shared" si="5"/>
        <v/>
      </c>
      <c r="Z6" s="2" t="str">
        <f t="shared" si="5"/>
        <v/>
      </c>
      <c r="AA6" s="2" t="str">
        <f t="shared" si="6"/>
        <v/>
      </c>
      <c r="AB6" s="24" t="str">
        <f t="shared" si="7"/>
        <v/>
      </c>
    </row>
    <row r="7" spans="1:56" ht="39" customHeight="1" x14ac:dyDescent="0.35">
      <c r="A7" s="2" t="str">
        <f t="shared" si="8"/>
        <v/>
      </c>
      <c r="B7" s="2" t="str">
        <f>IF(ISNUMBER(B6),IF(B6-$B$1&gt;0,B6-$B$1,""),"")</f>
        <v/>
      </c>
      <c r="C7" s="2" t="str">
        <f t="shared" si="0"/>
        <v/>
      </c>
      <c r="D7" s="2" t="str">
        <f t="shared" si="0"/>
        <v/>
      </c>
      <c r="E7" s="2" t="str">
        <f t="shared" si="0"/>
        <v/>
      </c>
      <c r="F7" s="2" t="str">
        <f t="shared" si="1"/>
        <v/>
      </c>
      <c r="G7" s="24" t="str">
        <f t="shared" si="9"/>
        <v/>
      </c>
      <c r="H7" s="2" t="str">
        <f t="shared" si="10"/>
        <v/>
      </c>
      <c r="I7" s="2" t="str">
        <f t="shared" ref="I7:I18" si="18">IF(ISNUMBER(I6),IF(I6-$B$1&gt;0,I6-$B$1,""),"")</f>
        <v/>
      </c>
      <c r="J7" s="2" t="str">
        <f t="shared" si="2"/>
        <v/>
      </c>
      <c r="K7" s="2" t="str">
        <f t="shared" si="2"/>
        <v/>
      </c>
      <c r="L7" s="2" t="str">
        <f t="shared" si="2"/>
        <v/>
      </c>
      <c r="M7" s="2" t="str">
        <f t="shared" si="3"/>
        <v/>
      </c>
      <c r="N7" s="24" t="str">
        <f t="shared" si="11"/>
        <v/>
      </c>
      <c r="O7" s="2" t="str">
        <f t="shared" si="12"/>
        <v/>
      </c>
      <c r="P7" s="2" t="str">
        <f t="shared" si="13"/>
        <v/>
      </c>
      <c r="Q7" s="2" t="str">
        <f t="shared" si="4"/>
        <v/>
      </c>
      <c r="R7" s="2" t="str">
        <f t="shared" si="4"/>
        <v/>
      </c>
      <c r="S7" s="2" t="str">
        <f t="shared" si="4"/>
        <v/>
      </c>
      <c r="T7" s="2" t="str">
        <f t="shared" si="14"/>
        <v/>
      </c>
      <c r="U7" s="24" t="str">
        <f t="shared" si="15"/>
        <v/>
      </c>
      <c r="V7" s="2" t="str">
        <f t="shared" si="16"/>
        <v/>
      </c>
      <c r="W7" s="2" t="str">
        <f t="shared" si="17"/>
        <v/>
      </c>
      <c r="X7" s="2" t="str">
        <f t="shared" si="5"/>
        <v/>
      </c>
      <c r="Y7" s="2" t="str">
        <f t="shared" si="5"/>
        <v/>
      </c>
      <c r="Z7" s="2" t="str">
        <f t="shared" si="5"/>
        <v/>
      </c>
      <c r="AA7" s="2" t="str">
        <f t="shared" si="6"/>
        <v/>
      </c>
      <c r="AB7" s="24" t="str">
        <f t="shared" si="7"/>
        <v/>
      </c>
    </row>
    <row r="8" spans="1:56" ht="39" customHeight="1" x14ac:dyDescent="0.35">
      <c r="A8" s="2" t="str">
        <f t="shared" si="8"/>
        <v/>
      </c>
      <c r="B8" s="2" t="str">
        <f>IF(ISNUMBER(B7),IF(B7-$B$1&gt;0,B7-$B$1,""),"")</f>
        <v/>
      </c>
      <c r="C8" s="2" t="str">
        <f t="shared" si="0"/>
        <v/>
      </c>
      <c r="D8" s="2" t="str">
        <f t="shared" si="0"/>
        <v/>
      </c>
      <c r="E8" s="2" t="str">
        <f t="shared" si="0"/>
        <v/>
      </c>
      <c r="F8" s="2" t="str">
        <f t="shared" si="1"/>
        <v/>
      </c>
      <c r="G8" s="24" t="str">
        <f t="shared" si="9"/>
        <v/>
      </c>
      <c r="H8" s="2" t="str">
        <f t="shared" si="10"/>
        <v/>
      </c>
      <c r="I8" s="2" t="str">
        <f t="shared" si="18"/>
        <v/>
      </c>
      <c r="J8" s="2" t="str">
        <f t="shared" si="2"/>
        <v/>
      </c>
      <c r="K8" s="2" t="str">
        <f t="shared" si="2"/>
        <v/>
      </c>
      <c r="L8" s="2" t="str">
        <f t="shared" si="2"/>
        <v/>
      </c>
      <c r="M8" s="2" t="str">
        <f t="shared" si="3"/>
        <v/>
      </c>
      <c r="N8" s="24" t="str">
        <f t="shared" si="11"/>
        <v/>
      </c>
      <c r="O8" s="2" t="str">
        <f t="shared" si="12"/>
        <v/>
      </c>
      <c r="P8" s="2" t="str">
        <f t="shared" si="13"/>
        <v/>
      </c>
      <c r="Q8" s="2" t="str">
        <f t="shared" si="4"/>
        <v/>
      </c>
      <c r="R8" s="2" t="str">
        <f t="shared" si="4"/>
        <v/>
      </c>
      <c r="S8" s="2" t="str">
        <f t="shared" si="4"/>
        <v/>
      </c>
      <c r="T8" s="2" t="str">
        <f t="shared" si="14"/>
        <v/>
      </c>
      <c r="U8" s="24" t="str">
        <f t="shared" si="15"/>
        <v/>
      </c>
      <c r="V8" s="2" t="str">
        <f t="shared" si="16"/>
        <v/>
      </c>
      <c r="W8" s="2" t="str">
        <f t="shared" si="17"/>
        <v/>
      </c>
      <c r="X8" s="2" t="str">
        <f t="shared" si="5"/>
        <v/>
      </c>
      <c r="Y8" s="2" t="str">
        <f t="shared" si="5"/>
        <v/>
      </c>
      <c r="Z8" s="2" t="str">
        <f t="shared" si="5"/>
        <v/>
      </c>
      <c r="AA8" s="2" t="str">
        <f t="shared" si="6"/>
        <v/>
      </c>
      <c r="AB8" s="24" t="str">
        <f t="shared" si="7"/>
        <v/>
      </c>
    </row>
    <row r="9" spans="1:56" ht="39" customHeight="1" x14ac:dyDescent="0.35">
      <c r="A9" s="2" t="str">
        <f t="shared" si="8"/>
        <v/>
      </c>
      <c r="B9" s="2" t="str">
        <f>IF(ISNUMBER(B8),IF(B8-$B$1&gt;0,B8-$B$1,""),"")</f>
        <v/>
      </c>
      <c r="C9" s="2" t="str">
        <f t="shared" si="0"/>
        <v/>
      </c>
      <c r="D9" s="2" t="str">
        <f t="shared" si="0"/>
        <v/>
      </c>
      <c r="E9" s="2" t="str">
        <f t="shared" si="0"/>
        <v/>
      </c>
      <c r="F9" s="2" t="str">
        <f t="shared" si="1"/>
        <v/>
      </c>
      <c r="G9" s="24" t="str">
        <f t="shared" si="9"/>
        <v/>
      </c>
      <c r="H9" s="2" t="str">
        <f t="shared" si="10"/>
        <v/>
      </c>
      <c r="I9" s="2" t="str">
        <f t="shared" si="18"/>
        <v/>
      </c>
      <c r="J9" s="2" t="str">
        <f t="shared" si="2"/>
        <v/>
      </c>
      <c r="K9" s="2" t="str">
        <f t="shared" si="2"/>
        <v/>
      </c>
      <c r="L9" s="2" t="str">
        <f t="shared" si="2"/>
        <v/>
      </c>
      <c r="M9" s="2" t="str">
        <f t="shared" si="3"/>
        <v/>
      </c>
      <c r="N9" s="24" t="str">
        <f t="shared" si="11"/>
        <v/>
      </c>
      <c r="O9" s="2" t="str">
        <f t="shared" si="12"/>
        <v/>
      </c>
      <c r="P9" s="2" t="str">
        <f t="shared" si="13"/>
        <v/>
      </c>
      <c r="Q9" s="2" t="str">
        <f t="shared" si="4"/>
        <v/>
      </c>
      <c r="R9" s="2" t="str">
        <f t="shared" si="4"/>
        <v/>
      </c>
      <c r="S9" s="2" t="str">
        <f t="shared" si="4"/>
        <v/>
      </c>
      <c r="T9" s="2" t="str">
        <f t="shared" si="14"/>
        <v/>
      </c>
      <c r="U9" s="24" t="str">
        <f t="shared" si="15"/>
        <v/>
      </c>
      <c r="V9" s="2" t="str">
        <f t="shared" si="16"/>
        <v/>
      </c>
      <c r="W9" s="2" t="str">
        <f t="shared" si="17"/>
        <v/>
      </c>
      <c r="X9" s="2" t="str">
        <f t="shared" si="5"/>
        <v/>
      </c>
      <c r="Y9" s="2" t="str">
        <f t="shared" si="5"/>
        <v/>
      </c>
      <c r="Z9" s="2" t="str">
        <f t="shared" si="5"/>
        <v/>
      </c>
      <c r="AA9" s="2" t="str">
        <f t="shared" si="6"/>
        <v/>
      </c>
      <c r="AB9" s="24" t="str">
        <f t="shared" si="7"/>
        <v/>
      </c>
    </row>
    <row r="10" spans="1:56" ht="39" customHeight="1" x14ac:dyDescent="0.35">
      <c r="A10" s="2" t="str">
        <f t="shared" si="8"/>
        <v/>
      </c>
      <c r="B10" s="2" t="str">
        <f t="shared" ref="B10:B18" si="19">IF(ISNUMBER(B9),IF(B9-$B$1&gt;0,B9-$B$1,""),"")</f>
        <v/>
      </c>
      <c r="C10" s="2" t="str">
        <f t="shared" si="0"/>
        <v/>
      </c>
      <c r="D10" s="2" t="str">
        <f t="shared" si="0"/>
        <v/>
      </c>
      <c r="E10" s="2" t="str">
        <f t="shared" si="0"/>
        <v/>
      </c>
      <c r="F10" s="2" t="str">
        <f t="shared" si="1"/>
        <v/>
      </c>
      <c r="G10" s="24" t="str">
        <f t="shared" si="9"/>
        <v/>
      </c>
      <c r="H10" s="2" t="str">
        <f t="shared" si="10"/>
        <v/>
      </c>
      <c r="I10" s="2" t="str">
        <f t="shared" si="18"/>
        <v/>
      </c>
      <c r="J10" s="2" t="str">
        <f t="shared" si="2"/>
        <v/>
      </c>
      <c r="K10" s="2" t="str">
        <f t="shared" si="2"/>
        <v/>
      </c>
      <c r="L10" s="2" t="str">
        <f t="shared" si="2"/>
        <v/>
      </c>
      <c r="M10" s="2" t="str">
        <f t="shared" si="3"/>
        <v/>
      </c>
      <c r="N10" s="24" t="str">
        <f t="shared" si="11"/>
        <v/>
      </c>
      <c r="O10" s="2" t="str">
        <f t="shared" si="12"/>
        <v/>
      </c>
      <c r="P10" s="2" t="str">
        <f t="shared" si="13"/>
        <v/>
      </c>
      <c r="Q10" s="2" t="str">
        <f t="shared" si="4"/>
        <v/>
      </c>
      <c r="R10" s="2" t="str">
        <f t="shared" si="4"/>
        <v/>
      </c>
      <c r="S10" s="2" t="str">
        <f t="shared" si="4"/>
        <v/>
      </c>
      <c r="T10" s="2" t="str">
        <f t="shared" si="14"/>
        <v/>
      </c>
      <c r="U10" s="24" t="str">
        <f t="shared" si="15"/>
        <v/>
      </c>
      <c r="V10" s="2" t="str">
        <f t="shared" si="16"/>
        <v/>
      </c>
      <c r="W10" s="2" t="str">
        <f t="shared" si="17"/>
        <v/>
      </c>
      <c r="X10" s="2" t="str">
        <f t="shared" si="5"/>
        <v/>
      </c>
      <c r="Y10" s="2" t="str">
        <f t="shared" si="5"/>
        <v/>
      </c>
      <c r="Z10" s="2" t="str">
        <f t="shared" si="5"/>
        <v/>
      </c>
      <c r="AA10" s="2" t="str">
        <f t="shared" si="6"/>
        <v/>
      </c>
      <c r="AB10" s="24" t="str">
        <f t="shared" si="7"/>
        <v/>
      </c>
    </row>
    <row r="11" spans="1:56" ht="39" customHeight="1" x14ac:dyDescent="0.35">
      <c r="A11" s="2" t="str">
        <f t="shared" si="8"/>
        <v/>
      </c>
      <c r="B11" s="2" t="str">
        <f t="shared" si="19"/>
        <v/>
      </c>
      <c r="C11" s="2" t="str">
        <f t="shared" si="0"/>
        <v/>
      </c>
      <c r="D11" s="2" t="str">
        <f t="shared" si="0"/>
        <v/>
      </c>
      <c r="E11" s="2" t="str">
        <f t="shared" si="0"/>
        <v/>
      </c>
      <c r="F11" s="2" t="str">
        <f t="shared" si="1"/>
        <v/>
      </c>
      <c r="G11" s="24" t="str">
        <f t="shared" si="9"/>
        <v/>
      </c>
      <c r="H11" s="2" t="str">
        <f t="shared" si="10"/>
        <v/>
      </c>
      <c r="I11" s="2" t="str">
        <f t="shared" si="18"/>
        <v/>
      </c>
      <c r="J11" s="2" t="str">
        <f t="shared" si="2"/>
        <v/>
      </c>
      <c r="K11" s="2" t="str">
        <f t="shared" si="2"/>
        <v/>
      </c>
      <c r="L11" s="2" t="str">
        <f t="shared" si="2"/>
        <v/>
      </c>
      <c r="M11" s="2" t="str">
        <f t="shared" si="3"/>
        <v/>
      </c>
      <c r="N11" s="24" t="str">
        <f t="shared" si="11"/>
        <v/>
      </c>
      <c r="O11" s="2" t="str">
        <f t="shared" si="12"/>
        <v/>
      </c>
      <c r="P11" s="2" t="str">
        <f t="shared" si="13"/>
        <v/>
      </c>
      <c r="Q11" s="2" t="str">
        <f t="shared" si="4"/>
        <v/>
      </c>
      <c r="R11" s="2" t="str">
        <f t="shared" si="4"/>
        <v/>
      </c>
      <c r="S11" s="2" t="str">
        <f t="shared" si="4"/>
        <v/>
      </c>
      <c r="T11" s="2" t="str">
        <f t="shared" si="14"/>
        <v/>
      </c>
      <c r="U11" s="24" t="str">
        <f t="shared" si="15"/>
        <v/>
      </c>
      <c r="V11" s="2" t="str">
        <f t="shared" si="16"/>
        <v/>
      </c>
      <c r="W11" s="2" t="str">
        <f t="shared" si="17"/>
        <v/>
      </c>
      <c r="X11" s="2" t="str">
        <f t="shared" si="5"/>
        <v/>
      </c>
      <c r="Y11" s="2" t="str">
        <f t="shared" si="5"/>
        <v/>
      </c>
      <c r="Z11" s="2" t="str">
        <f t="shared" si="5"/>
        <v/>
      </c>
      <c r="AA11" s="2" t="str">
        <f t="shared" si="6"/>
        <v/>
      </c>
      <c r="AB11" s="24" t="str">
        <f t="shared" si="7"/>
        <v/>
      </c>
    </row>
    <row r="12" spans="1:56" ht="39" customHeight="1" x14ac:dyDescent="0.35">
      <c r="A12" s="2" t="str">
        <f t="shared" si="8"/>
        <v/>
      </c>
      <c r="B12" s="2" t="str">
        <f t="shared" si="19"/>
        <v/>
      </c>
      <c r="C12" s="2" t="str">
        <f t="shared" si="0"/>
        <v/>
      </c>
      <c r="D12" s="2" t="str">
        <f t="shared" si="0"/>
        <v/>
      </c>
      <c r="E12" s="2" t="str">
        <f t="shared" si="0"/>
        <v/>
      </c>
      <c r="F12" s="2" t="str">
        <f t="shared" si="1"/>
        <v/>
      </c>
      <c r="G12" s="24" t="str">
        <f t="shared" si="9"/>
        <v/>
      </c>
      <c r="H12" s="2" t="str">
        <f t="shared" si="10"/>
        <v/>
      </c>
      <c r="I12" s="2" t="str">
        <f t="shared" si="18"/>
        <v/>
      </c>
      <c r="J12" s="2" t="str">
        <f t="shared" si="2"/>
        <v/>
      </c>
      <c r="K12" s="2" t="str">
        <f t="shared" si="2"/>
        <v/>
      </c>
      <c r="L12" s="2" t="str">
        <f t="shared" si="2"/>
        <v/>
      </c>
      <c r="M12" s="2" t="str">
        <f t="shared" si="3"/>
        <v/>
      </c>
      <c r="N12" s="24" t="str">
        <f t="shared" si="11"/>
        <v/>
      </c>
      <c r="O12" s="2" t="str">
        <f t="shared" si="12"/>
        <v/>
      </c>
      <c r="P12" s="2" t="str">
        <f t="shared" si="13"/>
        <v/>
      </c>
      <c r="Q12" s="2" t="str">
        <f t="shared" ref="Q12:S13" si="20">IF(ISNUMBER(P12),IF(P12-$B$1&lt;1,$P$5,P12-$B$1),"")</f>
        <v/>
      </c>
      <c r="R12" s="2" t="str">
        <f t="shared" si="20"/>
        <v/>
      </c>
      <c r="S12" s="2" t="str">
        <f t="shared" si="20"/>
        <v/>
      </c>
      <c r="T12" s="2" t="str">
        <f t="shared" si="14"/>
        <v/>
      </c>
      <c r="U12" s="24" t="str">
        <f t="shared" si="15"/>
        <v/>
      </c>
      <c r="V12" s="2" t="str">
        <f t="shared" si="16"/>
        <v/>
      </c>
      <c r="W12" s="2" t="str">
        <f t="shared" si="17"/>
        <v/>
      </c>
      <c r="X12" s="2" t="str">
        <f t="shared" si="5"/>
        <v/>
      </c>
      <c r="Y12" s="2" t="str">
        <f t="shared" si="5"/>
        <v/>
      </c>
      <c r="Z12" s="2" t="str">
        <f t="shared" si="5"/>
        <v/>
      </c>
      <c r="AA12" s="2" t="str">
        <f t="shared" si="6"/>
        <v/>
      </c>
      <c r="AB12" s="24" t="str">
        <f t="shared" si="7"/>
        <v/>
      </c>
    </row>
    <row r="13" spans="1:56" ht="39" customHeight="1" x14ac:dyDescent="0.35">
      <c r="A13" s="2" t="str">
        <f t="shared" si="8"/>
        <v/>
      </c>
      <c r="B13" s="2" t="str">
        <f t="shared" si="19"/>
        <v/>
      </c>
      <c r="C13" s="2" t="str">
        <f t="shared" si="0"/>
        <v/>
      </c>
      <c r="D13" s="2" t="str">
        <f t="shared" si="0"/>
        <v/>
      </c>
      <c r="E13" s="2" t="str">
        <f t="shared" si="0"/>
        <v/>
      </c>
      <c r="F13" s="2" t="str">
        <f t="shared" si="1"/>
        <v/>
      </c>
      <c r="G13" s="24" t="str">
        <f t="shared" si="9"/>
        <v/>
      </c>
      <c r="H13" s="2" t="str">
        <f t="shared" si="10"/>
        <v/>
      </c>
      <c r="I13" s="2" t="str">
        <f t="shared" si="18"/>
        <v/>
      </c>
      <c r="J13" s="2" t="str">
        <f t="shared" ref="J13:L14" si="21">IF(ISNUMBER(I13),IF(I13-$B$1&lt;1,$I$5,I13-$B$1),"")</f>
        <v/>
      </c>
      <c r="K13" s="2" t="str">
        <f t="shared" si="21"/>
        <v/>
      </c>
      <c r="L13" s="2" t="str">
        <f t="shared" si="21"/>
        <v/>
      </c>
      <c r="M13" s="2" t="str">
        <f t="shared" si="3"/>
        <v/>
      </c>
      <c r="N13" s="24" t="str">
        <f t="shared" ref="N13:N18" si="22">IF(ISNUMBER(I13),G13+IF(MOD($D$1,$B$1)=1,1,0),"")</f>
        <v/>
      </c>
      <c r="O13" s="2" t="str">
        <f t="shared" ref="O13:O18" si="23">IF(ISNUMBER(U13),"TURN " &amp; U13,"")</f>
        <v/>
      </c>
      <c r="P13" s="2" t="str">
        <f t="shared" si="13"/>
        <v/>
      </c>
      <c r="Q13" s="2" t="str">
        <f t="shared" si="20"/>
        <v/>
      </c>
      <c r="R13" s="2" t="str">
        <f t="shared" si="20"/>
        <v/>
      </c>
      <c r="S13" s="2" t="str">
        <f t="shared" si="20"/>
        <v/>
      </c>
      <c r="T13" s="2" t="str">
        <f t="shared" ref="T13:T18" si="24">IF($D$1/$B$1&gt;=5,IF(ISNUMBER(S13),IF(S13-$B$1&lt;1,$B$5,S13-$B$1),""),"")</f>
        <v/>
      </c>
      <c r="U13" s="24" t="str">
        <f t="shared" si="15"/>
        <v/>
      </c>
      <c r="V13" s="2" t="str">
        <f t="shared" ref="V13:V18" si="25">IF(ISNUMBER(AB13),"TURN " &amp; AB13,"")</f>
        <v/>
      </c>
      <c r="W13" s="2" t="str">
        <f t="shared" si="17"/>
        <v/>
      </c>
      <c r="X13" s="2" t="str">
        <f t="shared" si="5"/>
        <v/>
      </c>
      <c r="Y13" s="2" t="str">
        <f t="shared" si="5"/>
        <v/>
      </c>
      <c r="Z13" s="2" t="str">
        <f t="shared" si="5"/>
        <v/>
      </c>
      <c r="AA13" s="2" t="str">
        <f t="shared" si="6"/>
        <v/>
      </c>
      <c r="AB13" s="24" t="str">
        <f t="shared" si="7"/>
        <v/>
      </c>
    </row>
    <row r="14" spans="1:56" ht="39" customHeight="1" x14ac:dyDescent="0.35">
      <c r="A14" s="2" t="str">
        <f>IF(ISNUMBER(G14),"TURN " &amp; G14,"")</f>
        <v/>
      </c>
      <c r="B14" s="2" t="str">
        <f t="shared" si="19"/>
        <v/>
      </c>
      <c r="C14" s="2" t="str">
        <f t="shared" ref="C14:E18" si="26">IF(ISNUMBER(B14),IF(B14-$B$1&lt;1,$B$5,B14-$B$1),"")</f>
        <v/>
      </c>
      <c r="D14" s="2" t="str">
        <f t="shared" si="26"/>
        <v/>
      </c>
      <c r="E14" s="2" t="str">
        <f t="shared" si="26"/>
        <v/>
      </c>
      <c r="F14" s="2" t="str">
        <f t="shared" si="1"/>
        <v/>
      </c>
      <c r="G14" s="24" t="str">
        <f>IF(ISNUMBER(B14),1-(B14-$D$1)/$B$1,"")</f>
        <v/>
      </c>
      <c r="H14" s="2" t="str">
        <f>IF(ISNUMBER(N14),"TURN " &amp; N14,"")</f>
        <v/>
      </c>
      <c r="I14" s="2" t="str">
        <f t="shared" si="18"/>
        <v/>
      </c>
      <c r="J14" s="2" t="str">
        <f t="shared" si="21"/>
        <v/>
      </c>
      <c r="K14" s="2" t="str">
        <f t="shared" si="21"/>
        <v/>
      </c>
      <c r="L14" s="2" t="str">
        <f t="shared" si="21"/>
        <v/>
      </c>
      <c r="M14" s="2" t="str">
        <f t="shared" si="3"/>
        <v/>
      </c>
      <c r="N14" s="24" t="str">
        <f t="shared" si="22"/>
        <v/>
      </c>
      <c r="O14" s="2" t="str">
        <f t="shared" si="23"/>
        <v/>
      </c>
      <c r="P14" s="2" t="str">
        <f t="shared" si="13"/>
        <v/>
      </c>
      <c r="Q14" s="2" t="str">
        <f t="shared" ref="Q14:S18" si="27">IF(ISNUMBER(P14),IF(P14-$B$1&lt;1,$P$5,P14-$B$1),"")</f>
        <v/>
      </c>
      <c r="R14" s="2" t="str">
        <f t="shared" si="27"/>
        <v/>
      </c>
      <c r="S14" s="2" t="str">
        <f t="shared" si="27"/>
        <v/>
      </c>
      <c r="T14" s="2" t="str">
        <f t="shared" si="24"/>
        <v/>
      </c>
      <c r="U14" s="24" t="str">
        <f t="shared" si="15"/>
        <v/>
      </c>
      <c r="V14" s="2" t="str">
        <f t="shared" si="25"/>
        <v/>
      </c>
      <c r="W14" s="2" t="str">
        <f t="shared" si="17"/>
        <v/>
      </c>
      <c r="X14" s="2" t="str">
        <f t="shared" si="5"/>
        <v/>
      </c>
      <c r="Y14" s="2" t="str">
        <f t="shared" si="5"/>
        <v/>
      </c>
      <c r="Z14" s="2" t="str">
        <f t="shared" si="5"/>
        <v/>
      </c>
      <c r="AA14" s="2" t="str">
        <f t="shared" si="6"/>
        <v/>
      </c>
      <c r="AB14" s="24" t="str">
        <f t="shared" si="7"/>
        <v/>
      </c>
    </row>
    <row r="15" spans="1:56" ht="39" customHeight="1" x14ac:dyDescent="0.35">
      <c r="A15" s="2" t="str">
        <f>IF(ISNUMBER(G15),"TURN " &amp; G15,"")</f>
        <v/>
      </c>
      <c r="B15" s="2" t="str">
        <f t="shared" si="19"/>
        <v/>
      </c>
      <c r="C15" s="2" t="str">
        <f t="shared" si="26"/>
        <v/>
      </c>
      <c r="D15" s="2" t="str">
        <f t="shared" si="26"/>
        <v/>
      </c>
      <c r="E15" s="2" t="str">
        <f t="shared" si="26"/>
        <v/>
      </c>
      <c r="F15" s="2" t="str">
        <f t="shared" si="1"/>
        <v/>
      </c>
      <c r="G15" s="24" t="str">
        <f>IF(ISNUMBER(B15),1-(B15-$D$1)/$B$1,"")</f>
        <v/>
      </c>
      <c r="H15" s="2" t="str">
        <f>IF(ISNUMBER(N15),"TURN " &amp; N15,"")</f>
        <v/>
      </c>
      <c r="I15" s="2" t="str">
        <f t="shared" si="18"/>
        <v/>
      </c>
      <c r="J15" s="2" t="str">
        <f t="shared" ref="J15:L18" si="28">IF(ISNUMBER(I15),IF(I15-$B$1&lt;1,$I$5,I15-$B$1),"")</f>
        <v/>
      </c>
      <c r="K15" s="2" t="str">
        <f t="shared" si="28"/>
        <v/>
      </c>
      <c r="L15" s="2" t="str">
        <f t="shared" si="28"/>
        <v/>
      </c>
      <c r="M15" s="2" t="str">
        <f t="shared" si="3"/>
        <v/>
      </c>
      <c r="N15" s="24" t="str">
        <f t="shared" si="22"/>
        <v/>
      </c>
      <c r="O15" s="2" t="str">
        <f t="shared" si="23"/>
        <v/>
      </c>
      <c r="P15" s="2" t="str">
        <f t="shared" si="13"/>
        <v/>
      </c>
      <c r="Q15" s="2" t="str">
        <f t="shared" si="27"/>
        <v/>
      </c>
      <c r="R15" s="2" t="str">
        <f t="shared" si="27"/>
        <v/>
      </c>
      <c r="S15" s="2" t="str">
        <f t="shared" si="27"/>
        <v/>
      </c>
      <c r="T15" s="2" t="str">
        <f t="shared" si="24"/>
        <v/>
      </c>
      <c r="U15" s="24" t="str">
        <f t="shared" si="15"/>
        <v/>
      </c>
      <c r="V15" s="2" t="str">
        <f t="shared" si="25"/>
        <v/>
      </c>
      <c r="W15" s="2" t="str">
        <f t="shared" si="17"/>
        <v/>
      </c>
      <c r="X15" s="2" t="str">
        <f t="shared" si="5"/>
        <v/>
      </c>
      <c r="Y15" s="2" t="str">
        <f t="shared" si="5"/>
        <v/>
      </c>
      <c r="Z15" s="2" t="str">
        <f t="shared" si="5"/>
        <v/>
      </c>
      <c r="AA15" s="2" t="str">
        <f t="shared" si="6"/>
        <v/>
      </c>
      <c r="AB15" s="24" t="str">
        <f t="shared" si="7"/>
        <v/>
      </c>
    </row>
    <row r="16" spans="1:56" ht="39" customHeight="1" x14ac:dyDescent="0.35">
      <c r="A16" s="2" t="str">
        <f>IF(ISNUMBER(G16),"TURN " &amp; G16,"")</f>
        <v/>
      </c>
      <c r="B16" s="2" t="str">
        <f t="shared" si="19"/>
        <v/>
      </c>
      <c r="C16" s="2" t="str">
        <f t="shared" si="26"/>
        <v/>
      </c>
      <c r="D16" s="2" t="str">
        <f t="shared" si="26"/>
        <v/>
      </c>
      <c r="E16" s="2" t="str">
        <f t="shared" si="26"/>
        <v/>
      </c>
      <c r="F16" s="2" t="str">
        <f t="shared" si="1"/>
        <v/>
      </c>
      <c r="G16" s="24" t="str">
        <f>IF(ISNUMBER(B16),1-(B16-$D$1)/$B$1,"")</f>
        <v/>
      </c>
      <c r="H16" s="2" t="str">
        <f>IF(ISNUMBER(N16),"TURN " &amp; N16,"")</f>
        <v/>
      </c>
      <c r="I16" s="2" t="str">
        <f t="shared" si="18"/>
        <v/>
      </c>
      <c r="J16" s="2" t="str">
        <f t="shared" si="28"/>
        <v/>
      </c>
      <c r="K16" s="2" t="str">
        <f t="shared" si="28"/>
        <v/>
      </c>
      <c r="L16" s="2" t="str">
        <f t="shared" si="28"/>
        <v/>
      </c>
      <c r="M16" s="2" t="str">
        <f t="shared" si="3"/>
        <v/>
      </c>
      <c r="N16" s="24" t="str">
        <f t="shared" si="22"/>
        <v/>
      </c>
      <c r="O16" s="2" t="str">
        <f t="shared" si="23"/>
        <v/>
      </c>
      <c r="P16" s="2" t="str">
        <f t="shared" si="13"/>
        <v/>
      </c>
      <c r="Q16" s="2" t="str">
        <f t="shared" si="27"/>
        <v/>
      </c>
      <c r="R16" s="2" t="str">
        <f t="shared" si="27"/>
        <v/>
      </c>
      <c r="S16" s="2" t="str">
        <f t="shared" si="27"/>
        <v/>
      </c>
      <c r="T16" s="2" t="str">
        <f t="shared" si="24"/>
        <v/>
      </c>
      <c r="U16" s="24" t="str">
        <f t="shared" si="15"/>
        <v/>
      </c>
      <c r="V16" s="2" t="str">
        <f t="shared" si="25"/>
        <v/>
      </c>
      <c r="W16" s="2" t="str">
        <f t="shared" si="17"/>
        <v/>
      </c>
      <c r="X16" s="2" t="str">
        <f t="shared" si="5"/>
        <v/>
      </c>
      <c r="Y16" s="2" t="str">
        <f t="shared" si="5"/>
        <v/>
      </c>
      <c r="Z16" s="2" t="str">
        <f t="shared" si="5"/>
        <v/>
      </c>
      <c r="AA16" s="2" t="str">
        <f t="shared" si="6"/>
        <v/>
      </c>
      <c r="AB16" s="24" t="str">
        <f t="shared" si="7"/>
        <v/>
      </c>
    </row>
    <row r="17" spans="1:28" ht="39" customHeight="1" x14ac:dyDescent="0.35">
      <c r="A17" s="2" t="str">
        <f>IF(ISNUMBER(G17),"TURN " &amp; G17,"")</f>
        <v/>
      </c>
      <c r="B17" s="2" t="str">
        <f t="shared" si="19"/>
        <v/>
      </c>
      <c r="C17" s="2" t="str">
        <f t="shared" si="26"/>
        <v/>
      </c>
      <c r="D17" s="2" t="str">
        <f t="shared" si="26"/>
        <v/>
      </c>
      <c r="E17" s="2" t="str">
        <f t="shared" si="26"/>
        <v/>
      </c>
      <c r="F17" s="2" t="str">
        <f t="shared" si="1"/>
        <v/>
      </c>
      <c r="G17" s="24" t="str">
        <f>IF(ISNUMBER(B17),1-(B17-$D$1)/$B$1,"")</f>
        <v/>
      </c>
      <c r="H17" s="2" t="str">
        <f>IF(ISNUMBER(N17),"TURN " &amp; N17,"")</f>
        <v/>
      </c>
      <c r="I17" s="2" t="str">
        <f t="shared" si="18"/>
        <v/>
      </c>
      <c r="J17" s="2" t="str">
        <f t="shared" si="28"/>
        <v/>
      </c>
      <c r="K17" s="2" t="str">
        <f t="shared" si="28"/>
        <v/>
      </c>
      <c r="L17" s="2" t="str">
        <f t="shared" si="28"/>
        <v/>
      </c>
      <c r="M17" s="2" t="str">
        <f t="shared" si="3"/>
        <v/>
      </c>
      <c r="N17" s="24" t="str">
        <f t="shared" si="22"/>
        <v/>
      </c>
      <c r="O17" s="2" t="str">
        <f t="shared" si="23"/>
        <v/>
      </c>
      <c r="P17" s="2" t="str">
        <f t="shared" si="13"/>
        <v/>
      </c>
      <c r="Q17" s="2" t="str">
        <f t="shared" si="27"/>
        <v/>
      </c>
      <c r="R17" s="2" t="str">
        <f t="shared" si="27"/>
        <v/>
      </c>
      <c r="S17" s="2" t="str">
        <f t="shared" si="27"/>
        <v/>
      </c>
      <c r="T17" s="2" t="str">
        <f t="shared" si="24"/>
        <v/>
      </c>
      <c r="U17" s="24" t="str">
        <f t="shared" si="15"/>
        <v/>
      </c>
      <c r="V17" s="2" t="str">
        <f t="shared" si="25"/>
        <v/>
      </c>
      <c r="W17" s="2" t="str">
        <f t="shared" si="17"/>
        <v/>
      </c>
      <c r="X17" s="2" t="str">
        <f t="shared" si="5"/>
        <v/>
      </c>
      <c r="Y17" s="2" t="str">
        <f t="shared" si="5"/>
        <v/>
      </c>
      <c r="Z17" s="2" t="str">
        <f t="shared" si="5"/>
        <v/>
      </c>
      <c r="AA17" s="2" t="str">
        <f t="shared" si="6"/>
        <v/>
      </c>
      <c r="AB17" s="24" t="str">
        <f t="shared" si="7"/>
        <v/>
      </c>
    </row>
    <row r="18" spans="1:28" ht="39" customHeight="1" x14ac:dyDescent="0.35">
      <c r="A18" s="2" t="str">
        <f>IF(ISNUMBER(G18),"TURN " &amp; G18,"")</f>
        <v/>
      </c>
      <c r="B18" s="2" t="str">
        <f t="shared" si="19"/>
        <v/>
      </c>
      <c r="C18" s="2" t="str">
        <f t="shared" si="26"/>
        <v/>
      </c>
      <c r="D18" s="2" t="str">
        <f t="shared" si="26"/>
        <v/>
      </c>
      <c r="E18" s="2" t="str">
        <f t="shared" si="26"/>
        <v/>
      </c>
      <c r="F18" s="2" t="str">
        <f t="shared" si="1"/>
        <v/>
      </c>
      <c r="G18" s="24" t="str">
        <f>IF(ISNUMBER(B18),1-(B18-$D$1)/$B$1,"")</f>
        <v/>
      </c>
      <c r="H18" s="2" t="str">
        <f>IF(ISNUMBER(N18),"TURN " &amp; N18,"")</f>
        <v/>
      </c>
      <c r="I18" s="2" t="str">
        <f t="shared" si="18"/>
        <v/>
      </c>
      <c r="J18" s="2" t="str">
        <f t="shared" si="28"/>
        <v/>
      </c>
      <c r="K18" s="2" t="str">
        <f t="shared" si="28"/>
        <v/>
      </c>
      <c r="L18" s="2" t="str">
        <f t="shared" si="28"/>
        <v/>
      </c>
      <c r="M18" s="2" t="str">
        <f t="shared" si="3"/>
        <v/>
      </c>
      <c r="N18" s="24" t="str">
        <f t="shared" si="22"/>
        <v/>
      </c>
      <c r="O18" s="2" t="str">
        <f t="shared" si="23"/>
        <v/>
      </c>
      <c r="P18" s="2" t="str">
        <f t="shared" si="13"/>
        <v/>
      </c>
      <c r="Q18" s="2" t="str">
        <f t="shared" si="27"/>
        <v/>
      </c>
      <c r="R18" s="2" t="str">
        <f t="shared" si="27"/>
        <v/>
      </c>
      <c r="S18" s="2" t="str">
        <f t="shared" si="27"/>
        <v/>
      </c>
      <c r="T18" s="2" t="str">
        <f t="shared" si="24"/>
        <v/>
      </c>
      <c r="U18" s="24" t="str">
        <f t="shared" si="15"/>
        <v/>
      </c>
      <c r="V18" s="2" t="str">
        <f t="shared" si="25"/>
        <v/>
      </c>
      <c r="W18" s="2" t="str">
        <f t="shared" si="17"/>
        <v/>
      </c>
      <c r="X18" s="2" t="str">
        <f t="shared" si="5"/>
        <v/>
      </c>
      <c r="Y18" s="2" t="str">
        <f t="shared" si="5"/>
        <v/>
      </c>
      <c r="Z18" s="2" t="str">
        <f t="shared" si="5"/>
        <v/>
      </c>
      <c r="AA18" s="2" t="str">
        <f t="shared" si="6"/>
        <v/>
      </c>
      <c r="AB18" s="24" t="str">
        <f t="shared" si="7"/>
        <v/>
      </c>
    </row>
  </sheetData>
  <sheetProtection sheet="1" objects="1" scenarios="1"/>
  <customSheetViews>
    <customSheetView guid="{A9C4060D-48A6-4A71-A108-B3947866F802}" scale="75" showPageBreaks="1" view="pageLayout">
      <selection activeCell="M1" sqref="M1"/>
      <pageMargins left="1" right="1" top="1" bottom="1" header="0.5" footer="0.5"/>
      <pageSetup paperSize="9" orientation="portrait" r:id="rId1"/>
    </customSheetView>
  </customSheetViews>
  <phoneticPr fontId="9" type="noConversion"/>
  <pageMargins left="1" right="1" top="1" bottom="1" header="0.5" footer="0.5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88EC-02F5-4C5C-91E7-5CDC9B2407C1}">
  <sheetPr codeName="Tabelle13">
    <tabColor rgb="FFFFA7A7"/>
  </sheetPr>
  <dimension ref="A1:S203"/>
  <sheetViews>
    <sheetView workbookViewId="0">
      <selection activeCell="N23" sqref="N23"/>
    </sheetView>
  </sheetViews>
  <sheetFormatPr baseColWidth="10" defaultRowHeight="15.5" x14ac:dyDescent="0.35"/>
  <cols>
    <col min="2" max="2" width="14.83203125" customWidth="1"/>
    <col min="7" max="7" width="13.83203125" style="6" customWidth="1"/>
    <col min="10" max="10" width="13.4140625" customWidth="1"/>
    <col min="13" max="13" width="14.08203125" customWidth="1"/>
    <col min="14" max="14" width="12.33203125" style="3" customWidth="1"/>
    <col min="15" max="16" width="10.6640625" style="3"/>
  </cols>
  <sheetData>
    <row r="1" spans="1:19" x14ac:dyDescent="0.35">
      <c r="A1" t="s">
        <v>5</v>
      </c>
      <c r="B1" t="s">
        <v>3</v>
      </c>
      <c r="C1" t="s">
        <v>16</v>
      </c>
      <c r="D1" t="s">
        <v>17</v>
      </c>
      <c r="E1" t="s">
        <v>18</v>
      </c>
      <c r="F1" t="s">
        <v>1</v>
      </c>
      <c r="G1" s="10" t="s">
        <v>29</v>
      </c>
      <c r="H1" t="s">
        <v>8</v>
      </c>
      <c r="J1" t="s">
        <v>30</v>
      </c>
      <c r="K1">
        <f ca="1">1+COUNTIF($J$2:$J$1000,"&gt;0")</f>
        <v>7</v>
      </c>
      <c r="M1" t="s">
        <v>31</v>
      </c>
      <c r="N1" s="3" t="s">
        <v>34</v>
      </c>
      <c r="O1" s="3" t="s">
        <v>32</v>
      </c>
      <c r="P1" s="3" t="s">
        <v>33</v>
      </c>
    </row>
    <row r="2" spans="1:19" x14ac:dyDescent="0.35">
      <c r="A2">
        <f>IF(ISBLANK(Input!A2)," ",ROUNDDOWN(aux_sheet!B2,0))</f>
        <v>1</v>
      </c>
      <c r="B2" t="str">
        <f ca="1">IF(ISBLANK(Input!A2)," ",INDIRECT("Input!A"&amp;1+MATCH(H2,aux_sheet!$A$2:$A$202,0)))</f>
        <v>test5</v>
      </c>
      <c r="C2" t="str">
        <f ca="1">IF(ISBLANK(Input!B2)," ",INDIRECT("Input!B"&amp;1+MATCH($H2,aux_sheet!$A$2:$A$202,0)))</f>
        <v>a5</v>
      </c>
      <c r="D2" t="str">
        <f ca="1">IF(ISBLANK(Input!C2)," ",INDIRECT("Input!C"&amp;1+MATCH($H2,aux_sheet!$A$2:$A$202,0)))</f>
        <v>b5</v>
      </c>
      <c r="E2" t="str">
        <f ca="1">IF(ISBLANK(Input!D2)," ",INDIRECT("Input!D"&amp;1+MATCH($H2,aux_sheet!$A$2:$A$202,0)))</f>
        <v>j</v>
      </c>
      <c r="F2">
        <f ca="1">INDIRECT("Input!F"&amp;1+MATCH($H2,aux_sheet!$A$2:$A$202,0))</f>
        <v>9</v>
      </c>
      <c r="G2">
        <f ca="1">IF(ISBLANK(Input!E2)," ",INDIRECT("Input!AP"&amp;1+MATCH($H2,aux_sheet!$A$2:$A$202,0)))</f>
        <v>0</v>
      </c>
      <c r="H2">
        <f>aux_sheet!B2</f>
        <v>1.006</v>
      </c>
      <c r="J2">
        <f ca="1">IF(H2&gt;999," ",IF(G2="NP"," ",H2))</f>
        <v>1.006</v>
      </c>
      <c r="K2">
        <v>1</v>
      </c>
      <c r="L2">
        <f ca="1">IF(K2&lt;$K$1,K2," ")</f>
        <v>1</v>
      </c>
      <c r="M2">
        <f ca="1">IF(ISNUMBER(L2),SMALL($J$2:$J$202,L2)," ")</f>
        <v>1.006</v>
      </c>
      <c r="N2" s="3">
        <f t="shared" ref="N2:N4" ca="1" si="0">IF(ISNUMBER(M2),ROUNDDOWN(M2,0)," ")</f>
        <v>1</v>
      </c>
      <c r="O2" s="3" t="str">
        <f ca="1">IF(ISNUMBER($L2),INDIRECT("Input!A"&amp;1+MATCH($M2,aux_sheet!$A$2:$A$202,0))," ")</f>
        <v>test5</v>
      </c>
      <c r="P2" s="3" t="str">
        <f ca="1">IF(ISNUMBER($L2),INDIRECT("Input!B"&amp;1+MATCH($M2,aux_sheet!$A$2:$A$202,0))," ")</f>
        <v>a5</v>
      </c>
      <c r="Q2">
        <v>1</v>
      </c>
      <c r="R2" t="s">
        <v>168</v>
      </c>
      <c r="S2" t="s">
        <v>77</v>
      </c>
    </row>
    <row r="3" spans="1:19" x14ac:dyDescent="0.35">
      <c r="A3">
        <f>IF(ISBLANK(Input!A3)," ",ROUNDDOWN(aux_sheet!B3,0))</f>
        <v>2</v>
      </c>
      <c r="B3" t="str">
        <f ca="1">IF(ISBLANK(Input!A3)," ",INDIRECT("Input!A"&amp;1+MATCH(H3,aux_sheet!$A$2:$A$202,0)))</f>
        <v>test4</v>
      </c>
      <c r="C3" t="str">
        <f ca="1">IF(ISBLANK(Input!B3)," ",INDIRECT("Input!B"&amp;1+MATCH($H3,aux_sheet!$A$2:$A$202,0)))</f>
        <v>a4</v>
      </c>
      <c r="D3" t="str">
        <f ca="1">IF(ISBLANK(Input!C3)," ",INDIRECT("Input!C"&amp;1+MATCH($H3,aux_sheet!$A$2:$A$202,0)))</f>
        <v>b4</v>
      </c>
      <c r="E3" t="str">
        <f ca="1">IF(ISBLANK(Input!D3)," ",INDIRECT("Input!D"&amp;1+MATCH($H3,aux_sheet!$A$2:$A$202,0)))</f>
        <v>j</v>
      </c>
      <c r="F3">
        <f ca="1">INDIRECT("Input!F"&amp;1+MATCH($H3,aux_sheet!$A$2:$A$202,0))</f>
        <v>11</v>
      </c>
      <c r="G3">
        <f ca="1">IF(ISBLANK(Input!E3)," ",INDIRECT("Input!AP"&amp;1+MATCH($H3,aux_sheet!$A$2:$A$202,0)))</f>
        <v>0</v>
      </c>
      <c r="H3">
        <f>aux_sheet!B3</f>
        <v>2.0049999999999999</v>
      </c>
      <c r="J3">
        <f t="shared" ref="J3:J66" ca="1" si="1">IF(H3&gt;999," ",IF(G3="NP"," ",H3))</f>
        <v>2.0049999999999999</v>
      </c>
      <c r="K3">
        <v>2</v>
      </c>
      <c r="L3">
        <f t="shared" ref="L3:L66" ca="1" si="2">IF(K3&lt;$K$1,K3," ")</f>
        <v>2</v>
      </c>
      <c r="M3">
        <f t="shared" ref="M3:M66" ca="1" si="3">IF(ISNUMBER(L3),SMALL($J$2:$J$202,L3)," ")</f>
        <v>2.0049999999999999</v>
      </c>
      <c r="N3" s="3">
        <f t="shared" ca="1" si="0"/>
        <v>2</v>
      </c>
      <c r="O3" s="3" t="str">
        <f ca="1">IF(ISNUMBER($L3),INDIRECT("Input!A"&amp;1+MATCH($M3,aux_sheet!$A$2:$A$202,0))," ")</f>
        <v>test4</v>
      </c>
      <c r="P3" s="3" t="str">
        <f ca="1">IF(ISNUMBER($L3),INDIRECT("Input!B"&amp;1+MATCH($M3,aux_sheet!$A$2:$A$202,0))," ")</f>
        <v>a4</v>
      </c>
      <c r="Q3">
        <v>2</v>
      </c>
      <c r="R3" t="s">
        <v>167</v>
      </c>
      <c r="S3" t="s">
        <v>77</v>
      </c>
    </row>
    <row r="4" spans="1:19" x14ac:dyDescent="0.35">
      <c r="A4">
        <f>IF(ISBLANK(Input!A4)," ",ROUNDDOWN(aux_sheet!B4,0))</f>
        <v>3</v>
      </c>
      <c r="B4" t="str">
        <f ca="1">IF(ISBLANK(Input!A4)," ",INDIRECT("Input!A"&amp;1+MATCH(H4,aux_sheet!$A$2:$A$202,0)))</f>
        <v>test3</v>
      </c>
      <c r="C4" t="str">
        <f ca="1">IF(ISBLANK(Input!B4)," ",INDIRECT("Input!B"&amp;1+MATCH($H4,aux_sheet!$A$2:$A$202,0)))</f>
        <v>a3</v>
      </c>
      <c r="D4" t="str">
        <f ca="1">IF(ISBLANK(Input!C4)," ",INDIRECT("Input!C"&amp;1+MATCH($H4,aux_sheet!$A$2:$A$202,0)))</f>
        <v>b3</v>
      </c>
      <c r="E4" t="str">
        <f ca="1">IF(ISBLANK(Input!D4)," ",INDIRECT("Input!D"&amp;1+MATCH($H4,aux_sheet!$A$2:$A$202,0)))</f>
        <v>j</v>
      </c>
      <c r="F4">
        <f ca="1">INDIRECT("Input!F"&amp;1+MATCH($H4,aux_sheet!$A$2:$A$202,0))</f>
        <v>13</v>
      </c>
      <c r="G4">
        <f ca="1">IF(ISBLANK(Input!E4)," ",INDIRECT("Input!AP"&amp;1+MATCH($H4,aux_sheet!$A$2:$A$202,0)))</f>
        <v>0</v>
      </c>
      <c r="H4">
        <f>aux_sheet!B4</f>
        <v>3.004</v>
      </c>
      <c r="J4">
        <f t="shared" ca="1" si="1"/>
        <v>3.004</v>
      </c>
      <c r="K4">
        <v>3</v>
      </c>
      <c r="L4">
        <f t="shared" ca="1" si="2"/>
        <v>3</v>
      </c>
      <c r="M4">
        <f t="shared" ca="1" si="3"/>
        <v>3.004</v>
      </c>
      <c r="N4" s="3">
        <f t="shared" ca="1" si="0"/>
        <v>3</v>
      </c>
      <c r="O4" s="3" t="str">
        <f ca="1">IF(ISNUMBER($L4),INDIRECT("Input!A"&amp;1+MATCH($M4,aux_sheet!$A$2:$A$202,0))," ")</f>
        <v>test3</v>
      </c>
      <c r="P4" s="3" t="str">
        <f ca="1">IF(ISNUMBER($L4),INDIRECT("Input!B"&amp;1+MATCH($M4,aux_sheet!$A$2:$A$202,0))," ")</f>
        <v>a3</v>
      </c>
      <c r="Q4">
        <v>3</v>
      </c>
      <c r="R4" t="s">
        <v>166</v>
      </c>
      <c r="S4" t="s">
        <v>77</v>
      </c>
    </row>
    <row r="5" spans="1:19" x14ac:dyDescent="0.35">
      <c r="A5">
        <f>IF(ISBLANK(Input!A5)," ",ROUNDDOWN(aux_sheet!B5,0))</f>
        <v>4</v>
      </c>
      <c r="B5" t="str">
        <f ca="1">IF(ISBLANK(Input!A5)," ",INDIRECT("Input!A"&amp;1+MATCH(H5,aux_sheet!$A$2:$A$202,0)))</f>
        <v>test2</v>
      </c>
      <c r="C5" t="str">
        <f ca="1">IF(ISBLANK(Input!B5)," ",INDIRECT("Input!B"&amp;1+MATCH($H5,aux_sheet!$A$2:$A$202,0)))</f>
        <v>a2</v>
      </c>
      <c r="D5" t="str">
        <f ca="1">IF(ISBLANK(Input!C5)," ",INDIRECT("Input!C"&amp;1+MATCH($H5,aux_sheet!$A$2:$A$202,0)))</f>
        <v>b2</v>
      </c>
      <c r="E5" t="str">
        <f ca="1">IF(ISBLANK(Input!D5)," ",INDIRECT("Input!D"&amp;1+MATCH($H5,aux_sheet!$A$2:$A$202,0)))</f>
        <v>j</v>
      </c>
      <c r="F5">
        <f ca="1">INDIRECT("Input!F"&amp;1+MATCH($H5,aux_sheet!$A$2:$A$202,0))</f>
        <v>15</v>
      </c>
      <c r="G5">
        <f ca="1">IF(ISBLANK(Input!E5)," ",INDIRECT("Input!AP"&amp;1+MATCH($H5,aux_sheet!$A$2:$A$202,0)))</f>
        <v>0</v>
      </c>
      <c r="H5">
        <f>aux_sheet!B5</f>
        <v>4.0030000000000001</v>
      </c>
      <c r="J5">
        <f t="shared" ca="1" si="1"/>
        <v>4.0030000000000001</v>
      </c>
      <c r="K5">
        <v>4</v>
      </c>
      <c r="L5">
        <f t="shared" ca="1" si="2"/>
        <v>4</v>
      </c>
      <c r="M5">
        <f t="shared" ca="1" si="3"/>
        <v>4.0030000000000001</v>
      </c>
      <c r="N5" s="3">
        <f t="shared" ref="N5:N66" ca="1" si="4">IF(ISNUMBER(M5),ROUNDDOWN(M5,0)," ")</f>
        <v>4</v>
      </c>
      <c r="O5" s="3" t="str">
        <f ca="1">IF(ISNUMBER($L5),INDIRECT("Input!A"&amp;1+MATCH($M5,aux_sheet!$A$2:$A$202,0))," ")</f>
        <v>test2</v>
      </c>
      <c r="P5" s="3" t="str">
        <f ca="1">IF(ISNUMBER($L5),INDIRECT("Input!B"&amp;1+MATCH($M5,aux_sheet!$A$2:$A$202,0))," ")</f>
        <v>a2</v>
      </c>
      <c r="Q5">
        <v>4</v>
      </c>
      <c r="R5" t="s">
        <v>165</v>
      </c>
      <c r="S5" t="s">
        <v>77</v>
      </c>
    </row>
    <row r="6" spans="1:19" x14ac:dyDescent="0.35">
      <c r="A6">
        <f>IF(ISBLANK(Input!A6)," ",ROUNDDOWN(aux_sheet!B6,0))</f>
        <v>5</v>
      </c>
      <c r="B6" t="str">
        <f ca="1">IF(ISBLANK(Input!A6)," ",INDIRECT("Input!A"&amp;1+MATCH(H6,aux_sheet!$A$2:$A$202,0)))</f>
        <v>test1</v>
      </c>
      <c r="C6" t="str">
        <f ca="1">IF(ISBLANK(Input!B6)," ",INDIRECT("Input!B"&amp;1+MATCH($H6,aux_sheet!$A$2:$A$202,0)))</f>
        <v>a1</v>
      </c>
      <c r="D6" t="str">
        <f ca="1">IF(ISBLANK(Input!C6)," ",INDIRECT("Input!C"&amp;1+MATCH($H6,aux_sheet!$A$2:$A$202,0)))</f>
        <v>b1</v>
      </c>
      <c r="E6" t="str">
        <f ca="1">IF(ISBLANK(Input!D6)," ",INDIRECT("Input!D"&amp;1+MATCH($H6,aux_sheet!$A$2:$A$202,0)))</f>
        <v>j</v>
      </c>
      <c r="F6">
        <f ca="1">INDIRECT("Input!F"&amp;1+MATCH($H6,aux_sheet!$A$2:$A$202,0))</f>
        <v>17</v>
      </c>
      <c r="G6">
        <f ca="1">IF(ISBLANK(Input!E6)," ",INDIRECT("Input!AP"&amp;1+MATCH($H6,aux_sheet!$A$2:$A$202,0)))</f>
        <v>0</v>
      </c>
      <c r="H6">
        <f>aux_sheet!B6</f>
        <v>5.0019999999999998</v>
      </c>
      <c r="J6">
        <f t="shared" ca="1" si="1"/>
        <v>5.0019999999999998</v>
      </c>
      <c r="K6">
        <v>5</v>
      </c>
      <c r="L6">
        <f t="shared" ca="1" si="2"/>
        <v>5</v>
      </c>
      <c r="M6">
        <f t="shared" ca="1" si="3"/>
        <v>5.0019999999999998</v>
      </c>
      <c r="N6" s="3">
        <f t="shared" ca="1" si="4"/>
        <v>5</v>
      </c>
      <c r="O6" s="3" t="str">
        <f ca="1">IF(ISNUMBER($L6),INDIRECT("Input!A"&amp;1+MATCH($M6,aux_sheet!$A$2:$A$202,0))," ")</f>
        <v>test1</v>
      </c>
      <c r="P6" s="3" t="str">
        <f ca="1">IF(ISNUMBER($L6),INDIRECT("Input!B"&amp;1+MATCH($M6,aux_sheet!$A$2:$A$202,0))," ")</f>
        <v>a1</v>
      </c>
      <c r="Q6">
        <v>5</v>
      </c>
      <c r="R6" t="s">
        <v>164</v>
      </c>
      <c r="S6" t="s">
        <v>77</v>
      </c>
    </row>
    <row r="7" spans="1:19" x14ac:dyDescent="0.35">
      <c r="A7">
        <f>IF(ISBLANK(Input!A7)," ",ROUNDDOWN(aux_sheet!B7,0))</f>
        <v>6</v>
      </c>
      <c r="B7" t="str">
        <f ca="1">IF(ISBLANK(Input!A7)," ",INDIRECT("Input!A"&amp;1+MATCH(H7,aux_sheet!$A$2:$A$202,0)))</f>
        <v>test</v>
      </c>
      <c r="C7" t="str">
        <f ca="1">IF(ISBLANK(Input!B7)," ",INDIRECT("Input!B"&amp;1+MATCH($H7,aux_sheet!$A$2:$A$202,0)))</f>
        <v>a</v>
      </c>
      <c r="D7" t="str">
        <f ca="1">IF(ISBLANK(Input!C7)," ",INDIRECT("Input!C"&amp;1+MATCH($H7,aux_sheet!$A$2:$A$202,0)))</f>
        <v>b</v>
      </c>
      <c r="E7" t="str">
        <f ca="1">IF(ISBLANK(Input!D7)," ",INDIRECT("Input!D"&amp;1+MATCH($H7,aux_sheet!$A$2:$A$202,0)))</f>
        <v>j</v>
      </c>
      <c r="F7">
        <f ca="1">INDIRECT("Input!F"&amp;1+MATCH($H7,aux_sheet!$A$2:$A$202,0))</f>
        <v>19</v>
      </c>
      <c r="G7">
        <f ca="1">IF(ISBLANK(Input!E7)," ",INDIRECT("Input!AP"&amp;1+MATCH($H7,aux_sheet!$A$2:$A$202,0)))</f>
        <v>0</v>
      </c>
      <c r="H7">
        <f>aux_sheet!B7</f>
        <v>6.0010000000000003</v>
      </c>
      <c r="J7">
        <f t="shared" ca="1" si="1"/>
        <v>6.0010000000000003</v>
      </c>
      <c r="K7">
        <v>6</v>
      </c>
      <c r="L7">
        <f t="shared" ca="1" si="2"/>
        <v>6</v>
      </c>
      <c r="M7">
        <f t="shared" ca="1" si="3"/>
        <v>6.0010000000000003</v>
      </c>
      <c r="N7" s="3">
        <f t="shared" ca="1" si="4"/>
        <v>6</v>
      </c>
      <c r="O7" s="3" t="str">
        <f ca="1">IF(ISNUMBER($L7),INDIRECT("Input!A"&amp;1+MATCH($M7,aux_sheet!$A$2:$A$202,0))," ")</f>
        <v>test</v>
      </c>
      <c r="P7" s="3" t="str">
        <f ca="1">IF(ISNUMBER($L7),INDIRECT("Input!B"&amp;1+MATCH($M7,aux_sheet!$A$2:$A$202,0))," ")</f>
        <v>a</v>
      </c>
      <c r="Q7">
        <v>6</v>
      </c>
      <c r="R7" t="s">
        <v>163</v>
      </c>
      <c r="S7" t="s">
        <v>77</v>
      </c>
    </row>
    <row r="8" spans="1:19" x14ac:dyDescent="0.35">
      <c r="A8" t="str">
        <f>IF(ISBLANK(Input!A8)," ",ROUNDDOWN(aux_sheet!B8,0))</f>
        <v xml:space="preserve"> </v>
      </c>
      <c r="B8" t="str">
        <f ca="1">IF(ISBLANK(Input!A8)," ",INDIRECT("Input!A"&amp;1+MATCH(H8,aux_sheet!$A$2:$A$202,0)))</f>
        <v xml:space="preserve"> </v>
      </c>
      <c r="C8" t="str">
        <f ca="1">IF(ISBLANK(Input!B8)," ",INDIRECT("Input!B"&amp;1+MATCH($H8,aux_sheet!$A$2:$A$202,0)))</f>
        <v xml:space="preserve"> </v>
      </c>
      <c r="D8" t="str">
        <f ca="1">IF(ISBLANK(Input!C8)," ",INDIRECT("Input!C"&amp;1+MATCH($H8,aux_sheet!$A$2:$A$202,0)))</f>
        <v xml:space="preserve"> </v>
      </c>
      <c r="E8" t="str">
        <f ca="1">IF(ISBLANK(Input!D8)," ",INDIRECT("Input!D"&amp;1+MATCH($H8,aux_sheet!$A$2:$A$202,0)))</f>
        <v xml:space="preserve"> </v>
      </c>
      <c r="F8" t="str">
        <f ca="1">INDIRECT("Input!F"&amp;1+MATCH($H8,aux_sheet!$A$2:$A$202,0))</f>
        <v xml:space="preserve"> </v>
      </c>
      <c r="G8">
        <f ca="1">IF(ISBLANK(Input!E8)," ",INDIRECT("Input!AP"&amp;1+MATCH($H8,aux_sheet!$A$2:$A$202,0)))</f>
        <v>0</v>
      </c>
      <c r="H8">
        <f>aux_sheet!B8</f>
        <v>1000</v>
      </c>
      <c r="J8" t="str">
        <f t="shared" si="1"/>
        <v xml:space="preserve"> </v>
      </c>
      <c r="K8">
        <v>7</v>
      </c>
      <c r="L8" t="str">
        <f t="shared" ca="1" si="2"/>
        <v xml:space="preserve"> </v>
      </c>
      <c r="M8" t="str">
        <f t="shared" ca="1" si="3"/>
        <v xml:space="preserve"> </v>
      </c>
      <c r="N8" s="3" t="str">
        <f t="shared" ca="1" si="4"/>
        <v xml:space="preserve"> </v>
      </c>
      <c r="O8" s="3" t="str">
        <f ca="1">IF(ISNUMBER($L8),INDIRECT("Input!A"&amp;1+MATCH($M8,aux_sheet!$A$2:$A$202,0))," ")</f>
        <v xml:space="preserve"> </v>
      </c>
      <c r="P8" s="3" t="str">
        <f ca="1">IF(ISNUMBER($L8),INDIRECT("Input!B"&amp;1+MATCH($M8,aux_sheet!$A$2:$A$202,0))," ")</f>
        <v xml:space="preserve"> </v>
      </c>
      <c r="Q8">
        <v>7</v>
      </c>
      <c r="R8" t="s">
        <v>162</v>
      </c>
      <c r="S8" t="s">
        <v>77</v>
      </c>
    </row>
    <row r="9" spans="1:19" x14ac:dyDescent="0.35">
      <c r="A9" t="str">
        <f>IF(ISBLANK(Input!A9)," ",ROUNDDOWN(aux_sheet!B9,0))</f>
        <v xml:space="preserve"> </v>
      </c>
      <c r="B9" t="str">
        <f ca="1">IF(ISBLANK(Input!A9)," ",INDIRECT("Input!A"&amp;1+MATCH(H9,aux_sheet!$A$2:$A$202,0)))</f>
        <v xml:space="preserve"> </v>
      </c>
      <c r="C9" t="str">
        <f ca="1">IF(ISBLANK(Input!B9)," ",INDIRECT("Input!B"&amp;1+MATCH($H9,aux_sheet!$A$2:$A$202,0)))</f>
        <v xml:space="preserve"> </v>
      </c>
      <c r="D9" t="str">
        <f ca="1">IF(ISBLANK(Input!C9)," ",INDIRECT("Input!C"&amp;1+MATCH($H9,aux_sheet!$A$2:$A$202,0)))</f>
        <v xml:space="preserve"> </v>
      </c>
      <c r="E9" t="str">
        <f ca="1">IF(ISBLANK(Input!D9)," ",INDIRECT("Input!D"&amp;1+MATCH($H9,aux_sheet!$A$2:$A$202,0)))</f>
        <v xml:space="preserve"> </v>
      </c>
      <c r="F9" t="str">
        <f ca="1">INDIRECT("Input!F"&amp;1+MATCH($H9,aux_sheet!$A$2:$A$202,0))</f>
        <v xml:space="preserve"> </v>
      </c>
      <c r="G9">
        <f ca="1">IF(ISBLANK(Input!E9)," ",INDIRECT("Input!AP"&amp;1+MATCH($H9,aux_sheet!$A$2:$A$202,0)))</f>
        <v>0</v>
      </c>
      <c r="H9">
        <f>aux_sheet!B9</f>
        <v>1000</v>
      </c>
      <c r="J9" t="str">
        <f t="shared" si="1"/>
        <v xml:space="preserve"> </v>
      </c>
      <c r="K9">
        <v>8</v>
      </c>
      <c r="L9" t="str">
        <f t="shared" ca="1" si="2"/>
        <v xml:space="preserve"> </v>
      </c>
      <c r="M9" t="str">
        <f t="shared" ca="1" si="3"/>
        <v xml:space="preserve"> </v>
      </c>
      <c r="N9" s="3" t="str">
        <f t="shared" ca="1" si="4"/>
        <v xml:space="preserve"> </v>
      </c>
      <c r="O9" s="3" t="str">
        <f ca="1">IF(ISNUMBER($L9),INDIRECT("Input!A"&amp;1+MATCH($M9,aux_sheet!$A$2:$A$202,0))," ")</f>
        <v xml:space="preserve"> </v>
      </c>
      <c r="P9" s="3" t="str">
        <f ca="1">IF(ISNUMBER($L9),INDIRECT("Input!B"&amp;1+MATCH($M9,aux_sheet!$A$2:$A$202,0))," ")</f>
        <v xml:space="preserve"> </v>
      </c>
      <c r="Q9">
        <v>8</v>
      </c>
      <c r="R9" t="s">
        <v>161</v>
      </c>
      <c r="S9" t="s">
        <v>77</v>
      </c>
    </row>
    <row r="10" spans="1:19" x14ac:dyDescent="0.35">
      <c r="A10" t="str">
        <f>IF(ISBLANK(Input!A10)," ",ROUNDDOWN(aux_sheet!B10,0))</f>
        <v xml:space="preserve"> </v>
      </c>
      <c r="B10" t="str">
        <f ca="1">IF(ISBLANK(Input!A10)," ",INDIRECT("Input!A"&amp;1+MATCH(H10,aux_sheet!$A$2:$A$202,0)))</f>
        <v xml:space="preserve"> </v>
      </c>
      <c r="C10" t="str">
        <f ca="1">IF(ISBLANK(Input!B10)," ",INDIRECT("Input!B"&amp;1+MATCH($H10,aux_sheet!$A$2:$A$202,0)))</f>
        <v xml:space="preserve"> </v>
      </c>
      <c r="D10" t="str">
        <f ca="1">IF(ISBLANK(Input!C10)," ",INDIRECT("Input!C"&amp;1+MATCH($H10,aux_sheet!$A$2:$A$202,0)))</f>
        <v xml:space="preserve"> </v>
      </c>
      <c r="E10" t="str">
        <f ca="1">IF(ISBLANK(Input!D10)," ",INDIRECT("Input!D"&amp;1+MATCH($H10,aux_sheet!$A$2:$A$202,0)))</f>
        <v xml:space="preserve"> </v>
      </c>
      <c r="F10" t="str">
        <f ca="1">INDIRECT("Input!F"&amp;1+MATCH($H10,aux_sheet!$A$2:$A$202,0))</f>
        <v xml:space="preserve"> </v>
      </c>
      <c r="G10">
        <f ca="1">IF(ISBLANK(Input!E10)," ",INDIRECT("Input!AP"&amp;1+MATCH($H10,aux_sheet!$A$2:$A$202,0)))</f>
        <v>0</v>
      </c>
      <c r="H10">
        <f>aux_sheet!B10</f>
        <v>1000</v>
      </c>
      <c r="J10" t="str">
        <f t="shared" si="1"/>
        <v xml:space="preserve"> </v>
      </c>
      <c r="K10">
        <v>9</v>
      </c>
      <c r="L10" t="str">
        <f t="shared" ca="1" si="2"/>
        <v xml:space="preserve"> </v>
      </c>
      <c r="M10" t="str">
        <f t="shared" ca="1" si="3"/>
        <v xml:space="preserve"> </v>
      </c>
      <c r="N10" s="3" t="str">
        <f t="shared" ca="1" si="4"/>
        <v xml:space="preserve"> </v>
      </c>
      <c r="O10" s="3" t="str">
        <f ca="1">IF(ISNUMBER($L10),INDIRECT("Input!A"&amp;1+MATCH($M10,aux_sheet!$A$2:$A$202,0))," ")</f>
        <v xml:space="preserve"> </v>
      </c>
      <c r="P10" s="3" t="str">
        <f ca="1">IF(ISNUMBER($L10),INDIRECT("Input!B"&amp;1+MATCH($M10,aux_sheet!$A$2:$A$202,0))," ")</f>
        <v xml:space="preserve"> </v>
      </c>
      <c r="Q10">
        <v>9</v>
      </c>
      <c r="R10" t="s">
        <v>160</v>
      </c>
      <c r="S10" t="s">
        <v>77</v>
      </c>
    </row>
    <row r="11" spans="1:19" x14ac:dyDescent="0.35">
      <c r="A11" t="str">
        <f>IF(ISBLANK(Input!A11)," ",ROUNDDOWN(aux_sheet!B11,0))</f>
        <v xml:space="preserve"> </v>
      </c>
      <c r="B11" t="str">
        <f ca="1">IF(ISBLANK(Input!A11)," ",INDIRECT("Input!A"&amp;1+MATCH(H11,aux_sheet!$A$2:$A$202,0)))</f>
        <v xml:space="preserve"> </v>
      </c>
      <c r="C11" t="str">
        <f ca="1">IF(ISBLANK(Input!B11)," ",INDIRECT("Input!B"&amp;1+MATCH($H11,aux_sheet!$A$2:$A$202,0)))</f>
        <v xml:space="preserve"> </v>
      </c>
      <c r="D11" t="str">
        <f ca="1">IF(ISBLANK(Input!C11)," ",INDIRECT("Input!C"&amp;1+MATCH($H11,aux_sheet!$A$2:$A$202,0)))</f>
        <v xml:space="preserve"> </v>
      </c>
      <c r="E11" t="str">
        <f ca="1">IF(ISBLANK(Input!D11)," ",INDIRECT("Input!D"&amp;1+MATCH($H11,aux_sheet!$A$2:$A$202,0)))</f>
        <v xml:space="preserve"> </v>
      </c>
      <c r="F11" t="str">
        <f ca="1">INDIRECT("Input!F"&amp;1+MATCH($H11,aux_sheet!$A$2:$A$202,0))</f>
        <v xml:space="preserve"> </v>
      </c>
      <c r="G11">
        <f ca="1">IF(ISBLANK(Input!E11)," ",INDIRECT("Input!AP"&amp;1+MATCH($H11,aux_sheet!$A$2:$A$202,0)))</f>
        <v>0</v>
      </c>
      <c r="H11">
        <f>aux_sheet!B11</f>
        <v>1000</v>
      </c>
      <c r="J11" t="str">
        <f t="shared" si="1"/>
        <v xml:space="preserve"> </v>
      </c>
      <c r="K11">
        <v>10</v>
      </c>
      <c r="L11" t="str">
        <f t="shared" ca="1" si="2"/>
        <v xml:space="preserve"> </v>
      </c>
      <c r="M11" t="str">
        <f t="shared" ca="1" si="3"/>
        <v xml:space="preserve"> </v>
      </c>
      <c r="N11" s="3" t="str">
        <f t="shared" ca="1" si="4"/>
        <v xml:space="preserve"> </v>
      </c>
      <c r="O11" s="3" t="str">
        <f ca="1">IF(ISNUMBER($L11),INDIRECT("Input!A"&amp;1+MATCH($M11,aux_sheet!$A$2:$A$202,0))," ")</f>
        <v xml:space="preserve"> </v>
      </c>
      <c r="P11" s="3" t="str">
        <f ca="1">IF(ISNUMBER($L11),INDIRECT("Input!B"&amp;1+MATCH($M11,aux_sheet!$A$2:$A$202,0))," ")</f>
        <v xml:space="preserve"> </v>
      </c>
      <c r="Q11">
        <v>10</v>
      </c>
      <c r="R11" t="s">
        <v>159</v>
      </c>
      <c r="S11" t="s">
        <v>77</v>
      </c>
    </row>
    <row r="12" spans="1:19" x14ac:dyDescent="0.35">
      <c r="A12" t="str">
        <f>IF(ISBLANK(Input!A12)," ",ROUNDDOWN(aux_sheet!B12,0))</f>
        <v xml:space="preserve"> </v>
      </c>
      <c r="B12" t="str">
        <f ca="1">IF(ISBLANK(Input!A12)," ",INDIRECT("Input!A"&amp;1+MATCH(H12,aux_sheet!$A$2:$A$202,0)))</f>
        <v xml:space="preserve"> </v>
      </c>
      <c r="C12" t="str">
        <f ca="1">IF(ISBLANK(Input!B12)," ",INDIRECT("Input!B"&amp;1+MATCH($H12,aux_sheet!$A$2:$A$202,0)))</f>
        <v xml:space="preserve"> </v>
      </c>
      <c r="D12" t="str">
        <f ca="1">IF(ISBLANK(Input!C12)," ",INDIRECT("Input!C"&amp;1+MATCH($H12,aux_sheet!$A$2:$A$202,0)))</f>
        <v xml:space="preserve"> </v>
      </c>
      <c r="E12" t="str">
        <f ca="1">IF(ISBLANK(Input!D12)," ",INDIRECT("Input!D"&amp;1+MATCH($H12,aux_sheet!$A$2:$A$202,0)))</f>
        <v xml:space="preserve"> </v>
      </c>
      <c r="F12" t="str">
        <f ca="1">INDIRECT("Input!F"&amp;1+MATCH($H12,aux_sheet!$A$2:$A$202,0))</f>
        <v xml:space="preserve"> </v>
      </c>
      <c r="G12">
        <f ca="1">IF(ISBLANK(Input!E12)," ",INDIRECT("Input!AP"&amp;1+MATCH($H12,aux_sheet!$A$2:$A$202,0)))</f>
        <v>0</v>
      </c>
      <c r="H12">
        <f>aux_sheet!B12</f>
        <v>1000</v>
      </c>
      <c r="J12" t="str">
        <f t="shared" si="1"/>
        <v xml:space="preserve"> </v>
      </c>
      <c r="K12">
        <v>11</v>
      </c>
      <c r="L12" t="str">
        <f t="shared" ca="1" si="2"/>
        <v xml:space="preserve"> </v>
      </c>
      <c r="M12" t="str">
        <f t="shared" ca="1" si="3"/>
        <v xml:space="preserve"> </v>
      </c>
      <c r="N12" s="3" t="str">
        <f t="shared" ca="1" si="4"/>
        <v xml:space="preserve"> </v>
      </c>
      <c r="O12" s="3" t="str">
        <f ca="1">IF(ISNUMBER($L12),INDIRECT("Input!A"&amp;1+MATCH($M12,aux_sheet!$A$2:$A$202,0))," ")</f>
        <v xml:space="preserve"> </v>
      </c>
      <c r="P12" s="3" t="str">
        <f ca="1">IF(ISNUMBER($L12),INDIRECT("Input!B"&amp;1+MATCH($M12,aux_sheet!$A$2:$A$202,0))," ")</f>
        <v xml:space="preserve"> </v>
      </c>
      <c r="Q12">
        <v>11</v>
      </c>
      <c r="R12" t="s">
        <v>158</v>
      </c>
      <c r="S12" t="s">
        <v>77</v>
      </c>
    </row>
    <row r="13" spans="1:19" x14ac:dyDescent="0.35">
      <c r="A13" t="str">
        <f>IF(ISBLANK(Input!A13)," ",ROUNDDOWN(aux_sheet!B13,0))</f>
        <v xml:space="preserve"> </v>
      </c>
      <c r="B13" t="str">
        <f ca="1">IF(ISBLANK(Input!A13)," ",INDIRECT("Input!A"&amp;1+MATCH(H13,aux_sheet!$A$2:$A$202,0)))</f>
        <v xml:space="preserve"> </v>
      </c>
      <c r="C13" t="str">
        <f ca="1">IF(ISBLANK(Input!B13)," ",INDIRECT("Input!B"&amp;1+MATCH($H13,aux_sheet!$A$2:$A$202,0)))</f>
        <v xml:space="preserve"> </v>
      </c>
      <c r="D13" t="str">
        <f ca="1">IF(ISBLANK(Input!C13)," ",INDIRECT("Input!C"&amp;1+MATCH($H13,aux_sheet!$A$2:$A$202,0)))</f>
        <v xml:space="preserve"> </v>
      </c>
      <c r="E13" t="str">
        <f ca="1">IF(ISBLANK(Input!D13)," ",INDIRECT("Input!D"&amp;1+MATCH($H13,aux_sheet!$A$2:$A$202,0)))</f>
        <v xml:space="preserve"> </v>
      </c>
      <c r="F13" t="str">
        <f ca="1">INDIRECT("Input!F"&amp;1+MATCH($H13,aux_sheet!$A$2:$A$202,0))</f>
        <v xml:space="preserve"> </v>
      </c>
      <c r="G13">
        <f ca="1">IF(ISBLANK(Input!E13)," ",INDIRECT("Input!AP"&amp;1+MATCH($H13,aux_sheet!$A$2:$A$202,0)))</f>
        <v>0</v>
      </c>
      <c r="H13">
        <f>aux_sheet!B13</f>
        <v>1000</v>
      </c>
      <c r="J13" t="str">
        <f>IF(H13&gt;999," ",IF(G13="NP"," ",H13))</f>
        <v xml:space="preserve"> </v>
      </c>
      <c r="K13">
        <v>12</v>
      </c>
      <c r="L13" t="str">
        <f ca="1">IF(K13&lt;$K$1,K13," ")</f>
        <v xml:space="preserve"> </v>
      </c>
      <c r="M13" t="str">
        <f t="shared" ca="1" si="3"/>
        <v xml:space="preserve"> </v>
      </c>
      <c r="N13" s="3" t="str">
        <f t="shared" ca="1" si="4"/>
        <v xml:space="preserve"> </v>
      </c>
      <c r="O13" s="3" t="str">
        <f ca="1">IF(ISNUMBER($L13),INDIRECT("Input!A"&amp;1+MATCH($M13,aux_sheet!$A$2:$A$202,0))," ")</f>
        <v xml:space="preserve"> </v>
      </c>
      <c r="P13" s="3" t="str">
        <f ca="1">IF(ISNUMBER($L13),INDIRECT("Input!B"&amp;1+MATCH($M13,aux_sheet!$A$2:$A$202,0))," ")</f>
        <v xml:space="preserve"> </v>
      </c>
      <c r="Q13">
        <v>12</v>
      </c>
      <c r="R13" t="s">
        <v>157</v>
      </c>
      <c r="S13" t="s">
        <v>77</v>
      </c>
    </row>
    <row r="14" spans="1:19" x14ac:dyDescent="0.35">
      <c r="A14" t="str">
        <f>IF(ISBLANK(Input!A14)," ",ROUNDDOWN(aux_sheet!B14,0))</f>
        <v xml:space="preserve"> </v>
      </c>
      <c r="B14" t="str">
        <f ca="1">IF(ISBLANK(Input!A14)," ",INDIRECT("Input!A"&amp;1+MATCH(H14,aux_sheet!$A$2:$A$202,0)))</f>
        <v xml:space="preserve"> </v>
      </c>
      <c r="C14" t="str">
        <f ca="1">IF(ISBLANK(Input!B14)," ",INDIRECT("Input!B"&amp;1+MATCH($H14,aux_sheet!$A$2:$A$202,0)))</f>
        <v xml:space="preserve"> </v>
      </c>
      <c r="D14" t="str">
        <f ca="1">IF(ISBLANK(Input!C14)," ",INDIRECT("Input!C"&amp;1+MATCH($H14,aux_sheet!$A$2:$A$202,0)))</f>
        <v xml:space="preserve"> </v>
      </c>
      <c r="E14" t="str">
        <f ca="1">IF(ISBLANK(Input!D14)," ",INDIRECT("Input!D"&amp;1+MATCH($H14,aux_sheet!$A$2:$A$202,0)))</f>
        <v xml:space="preserve"> </v>
      </c>
      <c r="F14" t="str">
        <f ca="1">INDIRECT("Input!F"&amp;1+MATCH($H14,aux_sheet!$A$2:$A$202,0))</f>
        <v xml:space="preserve"> </v>
      </c>
      <c r="G14">
        <f ca="1">IF(ISBLANK(Input!E14)," ",INDIRECT("Input!AP"&amp;1+MATCH($H14,aux_sheet!$A$2:$A$202,0)))</f>
        <v>0</v>
      </c>
      <c r="H14">
        <f>aux_sheet!B14</f>
        <v>1000</v>
      </c>
      <c r="J14" t="str">
        <f t="shared" si="1"/>
        <v xml:space="preserve"> </v>
      </c>
      <c r="K14">
        <v>13</v>
      </c>
      <c r="L14" t="str">
        <f t="shared" ca="1" si="2"/>
        <v xml:space="preserve"> </v>
      </c>
      <c r="M14" t="str">
        <f t="shared" ca="1" si="3"/>
        <v xml:space="preserve"> </v>
      </c>
      <c r="N14" s="3" t="str">
        <f t="shared" ca="1" si="4"/>
        <v xml:space="preserve"> </v>
      </c>
      <c r="O14" s="3" t="str">
        <f ca="1">IF(ISNUMBER($L14),INDIRECT("Input!A"&amp;1+MATCH($M14,aux_sheet!$A$2:$A$202,0))," ")</f>
        <v xml:space="preserve"> </v>
      </c>
      <c r="P14" s="3" t="str">
        <f ca="1">IF(ISNUMBER($L14),INDIRECT("Input!B"&amp;1+MATCH($M14,aux_sheet!$A$2:$A$202,0))," ")</f>
        <v xml:space="preserve"> </v>
      </c>
      <c r="Q14">
        <v>13</v>
      </c>
      <c r="R14" t="s">
        <v>156</v>
      </c>
      <c r="S14" t="s">
        <v>77</v>
      </c>
    </row>
    <row r="15" spans="1:19" x14ac:dyDescent="0.35">
      <c r="A15" t="str">
        <f>IF(ISBLANK(Input!A15)," ",ROUNDDOWN(aux_sheet!B15,0))</f>
        <v xml:space="preserve"> </v>
      </c>
      <c r="B15" t="str">
        <f ca="1">IF(ISBLANK(Input!A15)," ",INDIRECT("Input!A"&amp;1+MATCH(H15,aux_sheet!$A$2:$A$202,0)))</f>
        <v xml:space="preserve"> </v>
      </c>
      <c r="C15" t="str">
        <f ca="1">IF(ISBLANK(Input!B15)," ",INDIRECT("Input!B"&amp;1+MATCH($H15,aux_sheet!$A$2:$A$202,0)))</f>
        <v xml:space="preserve"> </v>
      </c>
      <c r="D15" t="str">
        <f ca="1">IF(ISBLANK(Input!C15)," ",INDIRECT("Input!C"&amp;1+MATCH($H15,aux_sheet!$A$2:$A$202,0)))</f>
        <v xml:space="preserve"> </v>
      </c>
      <c r="E15" t="str">
        <f ca="1">IF(ISBLANK(Input!D15)," ",INDIRECT("Input!D"&amp;1+MATCH($H15,aux_sheet!$A$2:$A$202,0)))</f>
        <v xml:space="preserve"> </v>
      </c>
      <c r="F15" t="str">
        <f ca="1">INDIRECT("Input!F"&amp;1+MATCH($H15,aux_sheet!$A$2:$A$202,0))</f>
        <v xml:space="preserve"> </v>
      </c>
      <c r="G15">
        <f ca="1">IF(ISBLANK(Input!E15)," ",INDIRECT("Input!AP"&amp;1+MATCH($H15,aux_sheet!$A$2:$A$202,0)))</f>
        <v>0</v>
      </c>
      <c r="H15">
        <f>aux_sheet!B15</f>
        <v>1000</v>
      </c>
      <c r="J15" t="str">
        <f t="shared" si="1"/>
        <v xml:space="preserve"> </v>
      </c>
      <c r="K15">
        <v>14</v>
      </c>
      <c r="L15" t="str">
        <f t="shared" ca="1" si="2"/>
        <v xml:space="preserve"> </v>
      </c>
      <c r="M15" t="str">
        <f t="shared" ca="1" si="3"/>
        <v xml:space="preserve"> </v>
      </c>
      <c r="N15" s="3" t="str">
        <f t="shared" ca="1" si="4"/>
        <v xml:space="preserve"> </v>
      </c>
      <c r="O15" s="3" t="str">
        <f ca="1">IF(ISNUMBER($L15),INDIRECT("Input!A"&amp;1+MATCH($M15,aux_sheet!$A$2:$A$202,0))," ")</f>
        <v xml:space="preserve"> </v>
      </c>
      <c r="P15" s="3" t="str">
        <f ca="1">IF(ISNUMBER($L15),INDIRECT("Input!B"&amp;1+MATCH($M15,aux_sheet!$A$2:$A$202,0))," ")</f>
        <v xml:space="preserve"> </v>
      </c>
      <c r="Q15">
        <v>14</v>
      </c>
      <c r="R15" t="s">
        <v>155</v>
      </c>
      <c r="S15" t="s">
        <v>77</v>
      </c>
    </row>
    <row r="16" spans="1:19" x14ac:dyDescent="0.35">
      <c r="A16" t="str">
        <f>IF(ISBLANK(Input!A16)," ",ROUNDDOWN(aux_sheet!B16,0))</f>
        <v xml:space="preserve"> </v>
      </c>
      <c r="B16" t="str">
        <f ca="1">IF(ISBLANK(Input!A16)," ",INDIRECT("Input!A"&amp;1+MATCH(H16,aux_sheet!$A$2:$A$202,0)))</f>
        <v xml:space="preserve"> </v>
      </c>
      <c r="C16" t="str">
        <f ca="1">IF(ISBLANK(Input!B16)," ",INDIRECT("Input!B"&amp;1+MATCH($H16,aux_sheet!$A$2:$A$202,0)))</f>
        <v xml:space="preserve"> </v>
      </c>
      <c r="D16" t="str">
        <f ca="1">IF(ISBLANK(Input!C16)," ",INDIRECT("Input!C"&amp;1+MATCH($H16,aux_sheet!$A$2:$A$202,0)))</f>
        <v xml:space="preserve"> </v>
      </c>
      <c r="E16" t="str">
        <f ca="1">IF(ISBLANK(Input!D16)," ",INDIRECT("Input!D"&amp;1+MATCH($H16,aux_sheet!$A$2:$A$202,0)))</f>
        <v xml:space="preserve"> </v>
      </c>
      <c r="F16" t="str">
        <f ca="1">INDIRECT("Input!F"&amp;1+MATCH($H16,aux_sheet!$A$2:$A$202,0))</f>
        <v xml:space="preserve"> </v>
      </c>
      <c r="G16">
        <f ca="1">IF(ISBLANK(Input!E16)," ",INDIRECT("Input!AP"&amp;1+MATCH($H16,aux_sheet!$A$2:$A$202,0)))</f>
        <v>0</v>
      </c>
      <c r="H16">
        <f>aux_sheet!B16</f>
        <v>1000</v>
      </c>
      <c r="J16" t="str">
        <f t="shared" si="1"/>
        <v xml:space="preserve"> </v>
      </c>
      <c r="K16">
        <v>15</v>
      </c>
      <c r="L16" t="str">
        <f t="shared" ca="1" si="2"/>
        <v xml:space="preserve"> </v>
      </c>
      <c r="M16" t="str">
        <f t="shared" ca="1" si="3"/>
        <v xml:space="preserve"> </v>
      </c>
      <c r="N16" s="3" t="str">
        <f t="shared" ca="1" si="4"/>
        <v xml:space="preserve"> </v>
      </c>
      <c r="O16" s="3" t="str">
        <f ca="1">IF(ISNUMBER($L16),INDIRECT("Input!A"&amp;1+MATCH($M16,aux_sheet!$A$2:$A$202,0))," ")</f>
        <v xml:space="preserve"> </v>
      </c>
      <c r="P16" s="3" t="str">
        <f ca="1">IF(ISNUMBER($L16),INDIRECT("Input!B"&amp;1+MATCH($M16,aux_sheet!$A$2:$A$202,0))," ")</f>
        <v xml:space="preserve"> </v>
      </c>
      <c r="Q16">
        <v>15</v>
      </c>
      <c r="R16" t="s">
        <v>154</v>
      </c>
      <c r="S16" t="s">
        <v>77</v>
      </c>
    </row>
    <row r="17" spans="1:19" x14ac:dyDescent="0.35">
      <c r="A17" t="str">
        <f>IF(ISBLANK(Input!A17)," ",ROUNDDOWN(aux_sheet!B17,0))</f>
        <v xml:space="preserve"> </v>
      </c>
      <c r="B17" t="str">
        <f ca="1">IF(ISBLANK(Input!A17)," ",INDIRECT("Input!A"&amp;1+MATCH(H17,aux_sheet!$A$2:$A$202,0)))</f>
        <v xml:space="preserve"> </v>
      </c>
      <c r="C17" t="str">
        <f ca="1">IF(ISBLANK(Input!B17)," ",INDIRECT("Input!B"&amp;1+MATCH($H17,aux_sheet!$A$2:$A$202,0)))</f>
        <v xml:space="preserve"> </v>
      </c>
      <c r="D17" t="str">
        <f ca="1">IF(ISBLANK(Input!C17)," ",INDIRECT("Input!C"&amp;1+MATCH($H17,aux_sheet!$A$2:$A$202,0)))</f>
        <v xml:space="preserve"> </v>
      </c>
      <c r="E17" t="str">
        <f ca="1">IF(ISBLANK(Input!D17)," ",INDIRECT("Input!D"&amp;1+MATCH($H17,aux_sheet!$A$2:$A$202,0)))</f>
        <v xml:space="preserve"> </v>
      </c>
      <c r="F17" t="str">
        <f ca="1">INDIRECT("Input!F"&amp;1+MATCH($H17,aux_sheet!$A$2:$A$202,0))</f>
        <v xml:space="preserve"> </v>
      </c>
      <c r="G17">
        <f ca="1">IF(ISBLANK(Input!E17)," ",INDIRECT("Input!AP"&amp;1+MATCH($H17,aux_sheet!$A$2:$A$202,0)))</f>
        <v>0</v>
      </c>
      <c r="H17">
        <f>aux_sheet!B17</f>
        <v>1000</v>
      </c>
      <c r="J17" t="str">
        <f t="shared" si="1"/>
        <v xml:space="preserve"> </v>
      </c>
      <c r="K17">
        <v>16</v>
      </c>
      <c r="L17" t="str">
        <f t="shared" ca="1" si="2"/>
        <v xml:space="preserve"> </v>
      </c>
      <c r="M17" t="str">
        <f t="shared" ca="1" si="3"/>
        <v xml:space="preserve"> </v>
      </c>
      <c r="N17" s="3" t="str">
        <f t="shared" ca="1" si="4"/>
        <v xml:space="preserve"> </v>
      </c>
      <c r="O17" s="3" t="str">
        <f ca="1">IF(ISNUMBER($L17),INDIRECT("Input!A"&amp;1+MATCH($M17,aux_sheet!$A$2:$A$202,0))," ")</f>
        <v xml:space="preserve"> </v>
      </c>
      <c r="P17" s="3" t="str">
        <f ca="1">IF(ISNUMBER($L17),INDIRECT("Input!B"&amp;1+MATCH($M17,aux_sheet!$A$2:$A$202,0))," ")</f>
        <v xml:space="preserve"> </v>
      </c>
      <c r="Q17">
        <v>16</v>
      </c>
      <c r="R17" t="s">
        <v>153</v>
      </c>
      <c r="S17" t="s">
        <v>77</v>
      </c>
    </row>
    <row r="18" spans="1:19" x14ac:dyDescent="0.35">
      <c r="A18" t="str">
        <f>IF(ISBLANK(Input!A18)," ",ROUNDDOWN(aux_sheet!B18,0))</f>
        <v xml:space="preserve"> </v>
      </c>
      <c r="B18" t="str">
        <f ca="1">IF(ISBLANK(Input!A18)," ",INDIRECT("Input!A"&amp;1+MATCH(H18,aux_sheet!$A$2:$A$202,0)))</f>
        <v xml:space="preserve"> </v>
      </c>
      <c r="C18" t="str">
        <f ca="1">IF(ISBLANK(Input!B18)," ",INDIRECT("Input!B"&amp;1+MATCH($H18,aux_sheet!$A$2:$A$202,0)))</f>
        <v xml:space="preserve"> </v>
      </c>
      <c r="D18" t="str">
        <f ca="1">IF(ISBLANK(Input!C18)," ",INDIRECT("Input!C"&amp;1+MATCH($H18,aux_sheet!$A$2:$A$202,0)))</f>
        <v xml:space="preserve"> </v>
      </c>
      <c r="E18" t="str">
        <f ca="1">IF(ISBLANK(Input!D18)," ",INDIRECT("Input!D"&amp;1+MATCH($H18,aux_sheet!$A$2:$A$202,0)))</f>
        <v xml:space="preserve"> </v>
      </c>
      <c r="F18" t="str">
        <f ca="1">INDIRECT("Input!F"&amp;1+MATCH($H18,aux_sheet!$A$2:$A$202,0))</f>
        <v xml:space="preserve"> </v>
      </c>
      <c r="G18">
        <f ca="1">IF(ISBLANK(Input!E18)," ",INDIRECT("Input!AP"&amp;1+MATCH($H18,aux_sheet!$A$2:$A$202,0)))</f>
        <v>0</v>
      </c>
      <c r="H18">
        <f>aux_sheet!B18</f>
        <v>1000</v>
      </c>
      <c r="J18" t="str">
        <f t="shared" si="1"/>
        <v xml:space="preserve"> </v>
      </c>
      <c r="K18">
        <v>17</v>
      </c>
      <c r="L18" t="str">
        <f t="shared" ca="1" si="2"/>
        <v xml:space="preserve"> </v>
      </c>
      <c r="M18" t="str">
        <f t="shared" ca="1" si="3"/>
        <v xml:space="preserve"> </v>
      </c>
      <c r="N18" s="3" t="str">
        <f t="shared" ca="1" si="4"/>
        <v xml:space="preserve"> </v>
      </c>
      <c r="O18" s="3" t="str">
        <f ca="1">IF(ISNUMBER($L18),INDIRECT("Input!A"&amp;1+MATCH($M18,aux_sheet!$A$2:$A$202,0))," ")</f>
        <v xml:space="preserve"> </v>
      </c>
      <c r="P18" s="3" t="str">
        <f ca="1">IF(ISNUMBER($L18),INDIRECT("Input!B"&amp;1+MATCH($M18,aux_sheet!$A$2:$A$202,0))," ")</f>
        <v xml:space="preserve"> </v>
      </c>
      <c r="Q18">
        <v>17</v>
      </c>
      <c r="R18" t="s">
        <v>152</v>
      </c>
      <c r="S18" t="s">
        <v>77</v>
      </c>
    </row>
    <row r="19" spans="1:19" x14ac:dyDescent="0.35">
      <c r="A19" t="str">
        <f>IF(ISBLANK(Input!A19)," ",ROUNDDOWN(aux_sheet!B19,0))</f>
        <v xml:space="preserve"> </v>
      </c>
      <c r="B19" t="str">
        <f ca="1">IF(ISBLANK(Input!A19)," ",INDIRECT("Input!A"&amp;1+MATCH(H19,aux_sheet!$A$2:$A$202,0)))</f>
        <v xml:space="preserve"> </v>
      </c>
      <c r="C19" t="str">
        <f ca="1">IF(ISBLANK(Input!B19)," ",INDIRECT("Input!B"&amp;1+MATCH($H19,aux_sheet!$A$2:$A$202,0)))</f>
        <v xml:space="preserve"> </v>
      </c>
      <c r="D19" t="str">
        <f ca="1">IF(ISBLANK(Input!C19)," ",INDIRECT("Input!C"&amp;1+MATCH($H19,aux_sheet!$A$2:$A$202,0)))</f>
        <v xml:space="preserve"> </v>
      </c>
      <c r="E19" t="str">
        <f ca="1">IF(ISBLANK(Input!D19)," ",INDIRECT("Input!D"&amp;1+MATCH($H19,aux_sheet!$A$2:$A$202,0)))</f>
        <v xml:space="preserve"> </v>
      </c>
      <c r="F19" t="str">
        <f ca="1">INDIRECT("Input!F"&amp;1+MATCH($H19,aux_sheet!$A$2:$A$202,0))</f>
        <v xml:space="preserve"> </v>
      </c>
      <c r="G19">
        <f ca="1">IF(ISBLANK(Input!E19)," ",INDIRECT("Input!AP"&amp;1+MATCH($H19,aux_sheet!$A$2:$A$202,0)))</f>
        <v>0</v>
      </c>
      <c r="H19">
        <f>aux_sheet!B19</f>
        <v>1000</v>
      </c>
      <c r="J19" t="str">
        <f t="shared" si="1"/>
        <v xml:space="preserve"> </v>
      </c>
      <c r="K19">
        <v>18</v>
      </c>
      <c r="L19" t="str">
        <f t="shared" ca="1" si="2"/>
        <v xml:space="preserve"> </v>
      </c>
      <c r="M19" t="str">
        <f t="shared" ca="1" si="3"/>
        <v xml:space="preserve"> </v>
      </c>
      <c r="N19" s="3" t="str">
        <f t="shared" ca="1" si="4"/>
        <v xml:space="preserve"> </v>
      </c>
      <c r="O19" s="3" t="str">
        <f ca="1">IF(ISNUMBER($L19),INDIRECT("Input!A"&amp;1+MATCH($M19,aux_sheet!$A$2:$A$202,0))," ")</f>
        <v xml:space="preserve"> </v>
      </c>
      <c r="P19" s="3" t="str">
        <f ca="1">IF(ISNUMBER($L19),INDIRECT("Input!B"&amp;1+MATCH($M19,aux_sheet!$A$2:$A$202,0))," ")</f>
        <v xml:space="preserve"> </v>
      </c>
      <c r="Q19">
        <v>18</v>
      </c>
      <c r="R19" t="s">
        <v>151</v>
      </c>
      <c r="S19" t="s">
        <v>77</v>
      </c>
    </row>
    <row r="20" spans="1:19" x14ac:dyDescent="0.35">
      <c r="A20" t="str">
        <f>IF(ISBLANK(Input!A20)," ",ROUNDDOWN(aux_sheet!B20,0))</f>
        <v xml:space="preserve"> </v>
      </c>
      <c r="B20" t="str">
        <f ca="1">IF(ISBLANK(Input!A20)," ",INDIRECT("Input!A"&amp;1+MATCH(H20,aux_sheet!$A$2:$A$202,0)))</f>
        <v xml:space="preserve"> </v>
      </c>
      <c r="C20" t="str">
        <f ca="1">IF(ISBLANK(Input!B20)," ",INDIRECT("Input!B"&amp;1+MATCH($H20,aux_sheet!$A$2:$A$202,0)))</f>
        <v xml:space="preserve"> </v>
      </c>
      <c r="D20" t="str">
        <f ca="1">IF(ISBLANK(Input!C20)," ",INDIRECT("Input!C"&amp;1+MATCH($H20,aux_sheet!$A$2:$A$202,0)))</f>
        <v xml:space="preserve"> </v>
      </c>
      <c r="E20" t="str">
        <f ca="1">IF(ISBLANK(Input!D20)," ",INDIRECT("Input!D"&amp;1+MATCH($H20,aux_sheet!$A$2:$A$202,0)))</f>
        <v xml:space="preserve"> </v>
      </c>
      <c r="F20" t="str">
        <f ca="1">INDIRECT("Input!F"&amp;1+MATCH($H20,aux_sheet!$A$2:$A$202,0))</f>
        <v xml:space="preserve"> </v>
      </c>
      <c r="G20">
        <f ca="1">IF(ISBLANK(Input!E20)," ",INDIRECT("Input!AP"&amp;1+MATCH($H20,aux_sheet!$A$2:$A$202,0)))</f>
        <v>0</v>
      </c>
      <c r="H20">
        <f>aux_sheet!B20</f>
        <v>1000</v>
      </c>
      <c r="J20" t="str">
        <f t="shared" si="1"/>
        <v xml:space="preserve"> </v>
      </c>
      <c r="K20">
        <v>19</v>
      </c>
      <c r="L20" t="str">
        <f t="shared" ca="1" si="2"/>
        <v xml:space="preserve"> </v>
      </c>
      <c r="M20" t="str">
        <f t="shared" ca="1" si="3"/>
        <v xml:space="preserve"> </v>
      </c>
      <c r="N20" s="3" t="str">
        <f t="shared" ca="1" si="4"/>
        <v xml:space="preserve"> </v>
      </c>
      <c r="O20" s="3" t="str">
        <f ca="1">IF(ISNUMBER($L20),INDIRECT("Input!A"&amp;1+MATCH($M20,aux_sheet!$A$2:$A$202,0))," ")</f>
        <v xml:space="preserve"> </v>
      </c>
      <c r="P20" s="3" t="str">
        <f ca="1">IF(ISNUMBER($L20),INDIRECT("Input!B"&amp;1+MATCH($M20,aux_sheet!$A$2:$A$202,0))," ")</f>
        <v xml:space="preserve"> </v>
      </c>
      <c r="Q20">
        <v>19</v>
      </c>
      <c r="R20" t="s">
        <v>150</v>
      </c>
      <c r="S20" t="s">
        <v>77</v>
      </c>
    </row>
    <row r="21" spans="1:19" x14ac:dyDescent="0.35">
      <c r="A21" t="str">
        <f>IF(ISBLANK(Input!A21)," ",ROUNDDOWN(aux_sheet!B21,0))</f>
        <v xml:space="preserve"> </v>
      </c>
      <c r="B21" t="str">
        <f ca="1">IF(ISBLANK(Input!A21)," ",INDIRECT("Input!A"&amp;1+MATCH(H21,aux_sheet!$A$2:$A$202,0)))</f>
        <v xml:space="preserve"> </v>
      </c>
      <c r="C21" t="str">
        <f ca="1">IF(ISBLANK(Input!B21)," ",INDIRECT("Input!B"&amp;1+MATCH($H21,aux_sheet!$A$2:$A$202,0)))</f>
        <v xml:space="preserve"> </v>
      </c>
      <c r="D21" t="str">
        <f ca="1">IF(ISBLANK(Input!C21)," ",INDIRECT("Input!C"&amp;1+MATCH($H21,aux_sheet!$A$2:$A$202,0)))</f>
        <v xml:space="preserve"> </v>
      </c>
      <c r="E21" t="str">
        <f ca="1">IF(ISBLANK(Input!D21)," ",INDIRECT("Input!D"&amp;1+MATCH($H21,aux_sheet!$A$2:$A$202,0)))</f>
        <v xml:space="preserve"> </v>
      </c>
      <c r="F21" t="str">
        <f ca="1">INDIRECT("Input!F"&amp;1+MATCH($H21,aux_sheet!$A$2:$A$202,0))</f>
        <v xml:space="preserve"> </v>
      </c>
      <c r="G21">
        <f ca="1">IF(ISBLANK(Input!E21)," ",INDIRECT("Input!AP"&amp;1+MATCH($H21,aux_sheet!$A$2:$A$202,0)))</f>
        <v>0</v>
      </c>
      <c r="H21">
        <f>aux_sheet!B21</f>
        <v>1000</v>
      </c>
      <c r="J21" t="str">
        <f t="shared" si="1"/>
        <v xml:space="preserve"> </v>
      </c>
      <c r="K21">
        <v>20</v>
      </c>
      <c r="L21" t="str">
        <f t="shared" ca="1" si="2"/>
        <v xml:space="preserve"> </v>
      </c>
      <c r="M21" t="str">
        <f t="shared" ca="1" si="3"/>
        <v xml:space="preserve"> </v>
      </c>
      <c r="N21" s="3" t="str">
        <f t="shared" ca="1" si="4"/>
        <v xml:space="preserve"> </v>
      </c>
      <c r="O21" s="3" t="str">
        <f ca="1">IF(ISNUMBER($L21),INDIRECT("Input!A"&amp;1+MATCH($M21,aux_sheet!$A$2:$A$202,0))," ")</f>
        <v xml:space="preserve"> </v>
      </c>
      <c r="P21" s="3" t="str">
        <f ca="1">IF(ISNUMBER($L21),INDIRECT("Input!B"&amp;1+MATCH($M21,aux_sheet!$A$2:$A$202,0))," ")</f>
        <v xml:space="preserve"> </v>
      </c>
      <c r="Q21">
        <v>20</v>
      </c>
      <c r="R21" t="s">
        <v>149</v>
      </c>
      <c r="S21" t="s">
        <v>77</v>
      </c>
    </row>
    <row r="22" spans="1:19" x14ac:dyDescent="0.35">
      <c r="A22" t="str">
        <f>IF(ISBLANK(Input!A22)," ",ROUNDDOWN(aux_sheet!B22,0))</f>
        <v xml:space="preserve"> </v>
      </c>
      <c r="B22" t="str">
        <f ca="1">IF(ISBLANK(Input!A22)," ",INDIRECT("Input!A"&amp;1+MATCH(H22,aux_sheet!$A$2:$A$202,0)))</f>
        <v xml:space="preserve"> </v>
      </c>
      <c r="C22" t="str">
        <f ca="1">IF(ISBLANK(Input!B22)," ",INDIRECT("Input!B"&amp;1+MATCH($H22,aux_sheet!$A$2:$A$202,0)))</f>
        <v xml:space="preserve"> </v>
      </c>
      <c r="D22" t="str">
        <f ca="1">IF(ISBLANK(Input!C22)," ",INDIRECT("Input!C"&amp;1+MATCH($H22,aux_sheet!$A$2:$A$202,0)))</f>
        <v xml:space="preserve"> </v>
      </c>
      <c r="E22" t="str">
        <f ca="1">IF(ISBLANK(Input!D22)," ",INDIRECT("Input!D"&amp;1+MATCH($H22,aux_sheet!$A$2:$A$202,0)))</f>
        <v xml:space="preserve"> </v>
      </c>
      <c r="F22" t="str">
        <f ca="1">INDIRECT("Input!F"&amp;1+MATCH($H22,aux_sheet!$A$2:$A$202,0))</f>
        <v xml:space="preserve"> </v>
      </c>
      <c r="G22">
        <f ca="1">IF(ISBLANK(Input!E22)," ",INDIRECT("Input!AP"&amp;1+MATCH($H22,aux_sheet!$A$2:$A$202,0)))</f>
        <v>0</v>
      </c>
      <c r="H22">
        <f>aux_sheet!B22</f>
        <v>1000</v>
      </c>
      <c r="J22" t="str">
        <f t="shared" si="1"/>
        <v xml:space="preserve"> </v>
      </c>
      <c r="K22">
        <v>21</v>
      </c>
      <c r="L22" t="str">
        <f t="shared" ca="1" si="2"/>
        <v xml:space="preserve"> </v>
      </c>
      <c r="M22" t="str">
        <f t="shared" ca="1" si="3"/>
        <v xml:space="preserve"> </v>
      </c>
      <c r="N22" s="3" t="str">
        <f t="shared" ca="1" si="4"/>
        <v xml:space="preserve"> </v>
      </c>
      <c r="O22" s="3" t="str">
        <f ca="1">IF(ISNUMBER($L22),INDIRECT("Input!A"&amp;1+MATCH($M22,aux_sheet!$A$2:$A$202,0))," ")</f>
        <v xml:space="preserve"> </v>
      </c>
      <c r="P22" s="3" t="str">
        <f ca="1">IF(ISNUMBER($L22),INDIRECT("Input!B"&amp;1+MATCH($M22,aux_sheet!$A$2:$A$202,0))," ")</f>
        <v xml:space="preserve"> </v>
      </c>
      <c r="Q22">
        <v>21</v>
      </c>
      <c r="R22" t="s">
        <v>148</v>
      </c>
      <c r="S22" t="s">
        <v>77</v>
      </c>
    </row>
    <row r="23" spans="1:19" x14ac:dyDescent="0.35">
      <c r="A23" t="str">
        <f>IF(ISBLANK(Input!A23)," ",ROUNDDOWN(aux_sheet!B23,0))</f>
        <v xml:space="preserve"> </v>
      </c>
      <c r="B23" t="str">
        <f ca="1">IF(ISBLANK(Input!A23)," ",INDIRECT("Input!A"&amp;1+MATCH(H23,aux_sheet!$A$2:$A$202,0)))</f>
        <v xml:space="preserve"> </v>
      </c>
      <c r="C23" t="str">
        <f ca="1">IF(ISBLANK(Input!B23)," ",INDIRECT("Input!B"&amp;1+MATCH($H23,aux_sheet!$A$2:$A$202,0)))</f>
        <v xml:space="preserve"> </v>
      </c>
      <c r="D23" t="str">
        <f ca="1">IF(ISBLANK(Input!C23)," ",INDIRECT("Input!C"&amp;1+MATCH($H23,aux_sheet!$A$2:$A$202,0)))</f>
        <v xml:space="preserve"> </v>
      </c>
      <c r="E23" t="str">
        <f ca="1">IF(ISBLANK(Input!D23)," ",INDIRECT("Input!D"&amp;1+MATCH($H23,aux_sheet!$A$2:$A$202,0)))</f>
        <v xml:space="preserve"> </v>
      </c>
      <c r="F23" t="str">
        <f ca="1">INDIRECT("Input!F"&amp;1+MATCH($H23,aux_sheet!$A$2:$A$202,0))</f>
        <v xml:space="preserve"> </v>
      </c>
      <c r="G23">
        <f ca="1">IF(ISBLANK(Input!E23)," ",INDIRECT("Input!AP"&amp;1+MATCH($H23,aux_sheet!$A$2:$A$202,0)))</f>
        <v>0</v>
      </c>
      <c r="H23">
        <f>aux_sheet!B23</f>
        <v>1000</v>
      </c>
      <c r="J23" t="str">
        <f t="shared" si="1"/>
        <v xml:space="preserve"> </v>
      </c>
      <c r="K23">
        <v>22</v>
      </c>
      <c r="L23" t="str">
        <f t="shared" ca="1" si="2"/>
        <v xml:space="preserve"> </v>
      </c>
      <c r="M23" t="str">
        <f t="shared" ca="1" si="3"/>
        <v xml:space="preserve"> </v>
      </c>
      <c r="N23" s="3" t="str">
        <f t="shared" ca="1" si="4"/>
        <v xml:space="preserve"> </v>
      </c>
      <c r="O23" s="3" t="str">
        <f ca="1">IF(ISNUMBER($L23),INDIRECT("Input!A"&amp;1+MATCH($M23,aux_sheet!$A$2:$A$202,0))," ")</f>
        <v xml:space="preserve"> </v>
      </c>
      <c r="P23" s="3" t="str">
        <f ca="1">IF(ISNUMBER($L23),INDIRECT("Input!B"&amp;1+MATCH($M23,aux_sheet!$A$2:$A$202,0))," ")</f>
        <v xml:space="preserve"> </v>
      </c>
      <c r="Q23">
        <v>22</v>
      </c>
      <c r="R23" t="s">
        <v>147</v>
      </c>
      <c r="S23" t="s">
        <v>77</v>
      </c>
    </row>
    <row r="24" spans="1:19" x14ac:dyDescent="0.35">
      <c r="A24" t="str">
        <f>IF(ISBLANK(Input!A24)," ",ROUNDDOWN(aux_sheet!B24,0))</f>
        <v xml:space="preserve"> </v>
      </c>
      <c r="B24" t="str">
        <f ca="1">IF(ISBLANK(Input!A24)," ",INDIRECT("Input!A"&amp;1+MATCH(H24,aux_sheet!$A$2:$A$202,0)))</f>
        <v xml:space="preserve"> </v>
      </c>
      <c r="C24" t="str">
        <f ca="1">IF(ISBLANK(Input!B24)," ",INDIRECT("Input!B"&amp;1+MATCH($H24,aux_sheet!$A$2:$A$202,0)))</f>
        <v xml:space="preserve"> </v>
      </c>
      <c r="D24" t="str">
        <f ca="1">IF(ISBLANK(Input!C24)," ",INDIRECT("Input!C"&amp;1+MATCH($H24,aux_sheet!$A$2:$A$202,0)))</f>
        <v xml:space="preserve"> </v>
      </c>
      <c r="E24" t="str">
        <f ca="1">IF(ISBLANK(Input!D24)," ",INDIRECT("Input!D"&amp;1+MATCH($H24,aux_sheet!$A$2:$A$202,0)))</f>
        <v xml:space="preserve"> </v>
      </c>
      <c r="F24" t="str">
        <f ca="1">INDIRECT("Input!F"&amp;1+MATCH($H24,aux_sheet!$A$2:$A$202,0))</f>
        <v xml:space="preserve"> </v>
      </c>
      <c r="G24">
        <f ca="1">IF(ISBLANK(Input!E24)," ",INDIRECT("Input!AP"&amp;1+MATCH($H24,aux_sheet!$A$2:$A$202,0)))</f>
        <v>0</v>
      </c>
      <c r="H24">
        <f>aux_sheet!B24</f>
        <v>1000</v>
      </c>
      <c r="J24" t="str">
        <f t="shared" si="1"/>
        <v xml:space="preserve"> </v>
      </c>
      <c r="K24">
        <v>23</v>
      </c>
      <c r="L24" t="str">
        <f t="shared" ca="1" si="2"/>
        <v xml:space="preserve"> </v>
      </c>
      <c r="M24" t="str">
        <f t="shared" ca="1" si="3"/>
        <v xml:space="preserve"> </v>
      </c>
      <c r="N24" s="3" t="str">
        <f t="shared" ca="1" si="4"/>
        <v xml:space="preserve"> </v>
      </c>
      <c r="O24" s="3" t="str">
        <f ca="1">IF(ISNUMBER($L24),INDIRECT("Input!A"&amp;1+MATCH($M24,aux_sheet!$A$2:$A$202,0))," ")</f>
        <v xml:space="preserve"> </v>
      </c>
      <c r="P24" s="3" t="str">
        <f ca="1">IF(ISNUMBER($L24),INDIRECT("Input!B"&amp;1+MATCH($M24,aux_sheet!$A$2:$A$202,0))," ")</f>
        <v xml:space="preserve"> </v>
      </c>
      <c r="Q24">
        <v>23</v>
      </c>
      <c r="R24" t="s">
        <v>146</v>
      </c>
      <c r="S24" t="s">
        <v>77</v>
      </c>
    </row>
    <row r="25" spans="1:19" x14ac:dyDescent="0.35">
      <c r="A25" t="str">
        <f>IF(ISBLANK(Input!A25)," ",ROUNDDOWN(aux_sheet!B25,0))</f>
        <v xml:space="preserve"> </v>
      </c>
      <c r="B25" t="str">
        <f ca="1">IF(ISBLANK(Input!A25)," ",INDIRECT("Input!A"&amp;1+MATCH(H25,aux_sheet!$A$2:$A$202,0)))</f>
        <v xml:space="preserve"> </v>
      </c>
      <c r="C25" t="str">
        <f ca="1">IF(ISBLANK(Input!B25)," ",INDIRECT("Input!B"&amp;1+MATCH($H25,aux_sheet!$A$2:$A$202,0)))</f>
        <v xml:space="preserve"> </v>
      </c>
      <c r="D25" t="str">
        <f ca="1">IF(ISBLANK(Input!C25)," ",INDIRECT("Input!C"&amp;1+MATCH($H25,aux_sheet!$A$2:$A$202,0)))</f>
        <v xml:space="preserve"> </v>
      </c>
      <c r="E25" t="str">
        <f ca="1">IF(ISBLANK(Input!D25)," ",INDIRECT("Input!D"&amp;1+MATCH($H25,aux_sheet!$A$2:$A$202,0)))</f>
        <v xml:space="preserve"> </v>
      </c>
      <c r="F25" t="str">
        <f ca="1">INDIRECT("Input!F"&amp;1+MATCH($H25,aux_sheet!$A$2:$A$202,0))</f>
        <v xml:space="preserve"> </v>
      </c>
      <c r="G25">
        <f ca="1">IF(ISBLANK(Input!E25)," ",INDIRECT("Input!AP"&amp;1+MATCH($H25,aux_sheet!$A$2:$A$202,0)))</f>
        <v>0</v>
      </c>
      <c r="H25">
        <f>aux_sheet!B25</f>
        <v>1000</v>
      </c>
      <c r="J25" t="str">
        <f t="shared" si="1"/>
        <v xml:space="preserve"> </v>
      </c>
      <c r="K25">
        <v>24</v>
      </c>
      <c r="L25" t="str">
        <f t="shared" ca="1" si="2"/>
        <v xml:space="preserve"> </v>
      </c>
      <c r="M25" t="str">
        <f t="shared" ca="1" si="3"/>
        <v xml:space="preserve"> </v>
      </c>
      <c r="N25" s="3" t="str">
        <f t="shared" ca="1" si="4"/>
        <v xml:space="preserve"> </v>
      </c>
      <c r="O25" s="3" t="str">
        <f ca="1">IF(ISNUMBER($L25),INDIRECT("Input!A"&amp;1+MATCH($M25,aux_sheet!$A$2:$A$202,0))," ")</f>
        <v xml:space="preserve"> </v>
      </c>
      <c r="P25" s="3" t="str">
        <f ca="1">IF(ISNUMBER($L25),INDIRECT("Input!B"&amp;1+MATCH($M25,aux_sheet!$A$2:$A$202,0))," ")</f>
        <v xml:space="preserve"> </v>
      </c>
      <c r="Q25">
        <v>24</v>
      </c>
      <c r="R25" t="s">
        <v>145</v>
      </c>
      <c r="S25" t="s">
        <v>77</v>
      </c>
    </row>
    <row r="26" spans="1:19" x14ac:dyDescent="0.35">
      <c r="A26" t="str">
        <f>IF(ISBLANK(Input!A26)," ",ROUNDDOWN(aux_sheet!B26,0))</f>
        <v xml:space="preserve"> </v>
      </c>
      <c r="B26" t="str">
        <f ca="1">IF(ISBLANK(Input!A26)," ",INDIRECT("Input!A"&amp;1+MATCH(H26,aux_sheet!$A$2:$A$202,0)))</f>
        <v xml:space="preserve"> </v>
      </c>
      <c r="C26" t="str">
        <f ca="1">IF(ISBLANK(Input!B26)," ",INDIRECT("Input!B"&amp;1+MATCH($H26,aux_sheet!$A$2:$A$202,0)))</f>
        <v xml:space="preserve"> </v>
      </c>
      <c r="D26" t="str">
        <f ca="1">IF(ISBLANK(Input!C26)," ",INDIRECT("Input!C"&amp;1+MATCH($H26,aux_sheet!$A$2:$A$202,0)))</f>
        <v xml:space="preserve"> </v>
      </c>
      <c r="E26" t="str">
        <f ca="1">IF(ISBLANK(Input!D26)," ",INDIRECT("Input!D"&amp;1+MATCH($H26,aux_sheet!$A$2:$A$202,0)))</f>
        <v xml:space="preserve"> </v>
      </c>
      <c r="F26" t="str">
        <f ca="1">INDIRECT("Input!F"&amp;1+MATCH($H26,aux_sheet!$A$2:$A$202,0))</f>
        <v xml:space="preserve"> </v>
      </c>
      <c r="G26">
        <f ca="1">IF(ISBLANK(Input!E26)," ",INDIRECT("Input!AP"&amp;1+MATCH($H26,aux_sheet!$A$2:$A$202,0)))</f>
        <v>0</v>
      </c>
      <c r="H26">
        <f>aux_sheet!B26</f>
        <v>1000</v>
      </c>
      <c r="J26" t="str">
        <f t="shared" si="1"/>
        <v xml:space="preserve"> </v>
      </c>
      <c r="K26">
        <v>25</v>
      </c>
      <c r="L26" t="str">
        <f t="shared" ca="1" si="2"/>
        <v xml:space="preserve"> </v>
      </c>
      <c r="M26" t="str">
        <f t="shared" ca="1" si="3"/>
        <v xml:space="preserve"> </v>
      </c>
      <c r="N26" s="3" t="str">
        <f t="shared" ca="1" si="4"/>
        <v xml:space="preserve"> </v>
      </c>
      <c r="O26" s="3" t="str">
        <f ca="1">IF(ISNUMBER($L26),INDIRECT("Input!A"&amp;1+MATCH($M26,aux_sheet!$A$2:$A$202,0))," ")</f>
        <v xml:space="preserve"> </v>
      </c>
      <c r="P26" s="3" t="str">
        <f ca="1">IF(ISNUMBER($L26),INDIRECT("Input!B"&amp;1+MATCH($M26,aux_sheet!$A$2:$A$202,0))," ")</f>
        <v xml:space="preserve"> </v>
      </c>
      <c r="Q26">
        <v>25</v>
      </c>
      <c r="R26" t="s">
        <v>144</v>
      </c>
      <c r="S26" t="s">
        <v>77</v>
      </c>
    </row>
    <row r="27" spans="1:19" x14ac:dyDescent="0.35">
      <c r="A27" t="str">
        <f>IF(ISBLANK(Input!A27)," ",ROUNDDOWN(aux_sheet!B27,0))</f>
        <v xml:space="preserve"> </v>
      </c>
      <c r="B27" t="str">
        <f ca="1">IF(ISBLANK(Input!A27)," ",INDIRECT("Input!A"&amp;1+MATCH(H27,aux_sheet!$A$2:$A$202,0)))</f>
        <v xml:space="preserve"> </v>
      </c>
      <c r="C27" t="str">
        <f ca="1">IF(ISBLANK(Input!B27)," ",INDIRECT("Input!B"&amp;1+MATCH($H27,aux_sheet!$A$2:$A$202,0)))</f>
        <v xml:space="preserve"> </v>
      </c>
      <c r="D27" t="str">
        <f ca="1">IF(ISBLANK(Input!C27)," ",INDIRECT("Input!C"&amp;1+MATCH($H27,aux_sheet!$A$2:$A$202,0)))</f>
        <v xml:space="preserve"> </v>
      </c>
      <c r="E27" t="str">
        <f ca="1">IF(ISBLANK(Input!D27)," ",INDIRECT("Input!D"&amp;1+MATCH($H27,aux_sheet!$A$2:$A$202,0)))</f>
        <v xml:space="preserve"> </v>
      </c>
      <c r="F27" t="str">
        <f ca="1">INDIRECT("Input!F"&amp;1+MATCH($H27,aux_sheet!$A$2:$A$202,0))</f>
        <v xml:space="preserve"> </v>
      </c>
      <c r="G27">
        <f ca="1">IF(ISBLANK(Input!E27)," ",INDIRECT("Input!AP"&amp;1+MATCH($H27,aux_sheet!$A$2:$A$202,0)))</f>
        <v>0</v>
      </c>
      <c r="H27">
        <f>aux_sheet!B27</f>
        <v>1000</v>
      </c>
      <c r="J27" t="str">
        <f t="shared" si="1"/>
        <v xml:space="preserve"> </v>
      </c>
      <c r="K27">
        <v>26</v>
      </c>
      <c r="L27" t="str">
        <f t="shared" ca="1" si="2"/>
        <v xml:space="preserve"> </v>
      </c>
      <c r="M27" t="str">
        <f t="shared" ca="1" si="3"/>
        <v xml:space="preserve"> </v>
      </c>
      <c r="N27" s="3" t="str">
        <f t="shared" ca="1" si="4"/>
        <v xml:space="preserve"> </v>
      </c>
      <c r="O27" s="3" t="str">
        <f ca="1">IF(ISNUMBER($L27),INDIRECT("Input!A"&amp;1+MATCH($M27,aux_sheet!$A$2:$A$202,0))," ")</f>
        <v xml:space="preserve"> </v>
      </c>
      <c r="P27" s="3" t="str">
        <f ca="1">IF(ISNUMBER($L27),INDIRECT("Input!B"&amp;1+MATCH($M27,aux_sheet!$A$2:$A$202,0))," ")</f>
        <v xml:space="preserve"> </v>
      </c>
      <c r="Q27">
        <v>26</v>
      </c>
      <c r="R27" t="s">
        <v>143</v>
      </c>
      <c r="S27" t="s">
        <v>77</v>
      </c>
    </row>
    <row r="28" spans="1:19" x14ac:dyDescent="0.35">
      <c r="A28" t="str">
        <f>IF(ISBLANK(Input!A28)," ",ROUNDDOWN(aux_sheet!B28,0))</f>
        <v xml:space="preserve"> </v>
      </c>
      <c r="B28" t="str">
        <f ca="1">IF(ISBLANK(Input!A28)," ",INDIRECT("Input!A"&amp;1+MATCH(H28,aux_sheet!$A$2:$A$202,0)))</f>
        <v xml:space="preserve"> </v>
      </c>
      <c r="C28" t="str">
        <f ca="1">IF(ISBLANK(Input!B28)," ",INDIRECT("Input!B"&amp;1+MATCH($H28,aux_sheet!$A$2:$A$202,0)))</f>
        <v xml:space="preserve"> </v>
      </c>
      <c r="D28" t="str">
        <f ca="1">IF(ISBLANK(Input!C28)," ",INDIRECT("Input!C"&amp;1+MATCH($H28,aux_sheet!$A$2:$A$202,0)))</f>
        <v xml:space="preserve"> </v>
      </c>
      <c r="E28" t="str">
        <f ca="1">IF(ISBLANK(Input!D28)," ",INDIRECT("Input!D"&amp;1+MATCH($H28,aux_sheet!$A$2:$A$202,0)))</f>
        <v xml:space="preserve"> </v>
      </c>
      <c r="F28" t="str">
        <f ca="1">INDIRECT("Input!F"&amp;1+MATCH($H28,aux_sheet!$A$2:$A$202,0))</f>
        <v xml:space="preserve"> </v>
      </c>
      <c r="G28">
        <f ca="1">IF(ISBLANK(Input!E28)," ",INDIRECT("Input!AP"&amp;1+MATCH($H28,aux_sheet!$A$2:$A$202,0)))</f>
        <v>0</v>
      </c>
      <c r="H28">
        <f>aux_sheet!B28</f>
        <v>1000</v>
      </c>
      <c r="J28" t="str">
        <f t="shared" si="1"/>
        <v xml:space="preserve"> </v>
      </c>
      <c r="K28">
        <v>27</v>
      </c>
      <c r="L28" t="str">
        <f t="shared" ca="1" si="2"/>
        <v xml:space="preserve"> </v>
      </c>
      <c r="M28" t="str">
        <f t="shared" ca="1" si="3"/>
        <v xml:space="preserve"> </v>
      </c>
      <c r="N28" s="3" t="str">
        <f t="shared" ca="1" si="4"/>
        <v xml:space="preserve"> </v>
      </c>
      <c r="O28" s="3" t="str">
        <f ca="1">IF(ISNUMBER($L28),INDIRECT("Input!A"&amp;1+MATCH($M28,aux_sheet!$A$2:$A$202,0))," ")</f>
        <v xml:space="preserve"> </v>
      </c>
      <c r="P28" s="3" t="str">
        <f ca="1">IF(ISNUMBER($L28),INDIRECT("Input!B"&amp;1+MATCH($M28,aux_sheet!$A$2:$A$202,0))," ")</f>
        <v xml:space="preserve"> </v>
      </c>
      <c r="Q28">
        <v>27</v>
      </c>
      <c r="R28" t="s">
        <v>142</v>
      </c>
      <c r="S28" t="s">
        <v>77</v>
      </c>
    </row>
    <row r="29" spans="1:19" x14ac:dyDescent="0.35">
      <c r="A29" t="str">
        <f>IF(ISBLANK(Input!A29)," ",ROUNDDOWN(aux_sheet!B29,0))</f>
        <v xml:space="preserve"> </v>
      </c>
      <c r="B29" t="str">
        <f ca="1">IF(ISBLANK(Input!A29)," ",INDIRECT("Input!A"&amp;1+MATCH(H29,aux_sheet!$A$2:$A$202,0)))</f>
        <v xml:space="preserve"> </v>
      </c>
      <c r="C29" t="str">
        <f ca="1">IF(ISBLANK(Input!B29)," ",INDIRECT("Input!B"&amp;1+MATCH($H29,aux_sheet!$A$2:$A$202,0)))</f>
        <v xml:space="preserve"> </v>
      </c>
      <c r="D29" t="str">
        <f ca="1">IF(ISBLANK(Input!C29)," ",INDIRECT("Input!C"&amp;1+MATCH($H29,aux_sheet!$A$2:$A$202,0)))</f>
        <v xml:space="preserve"> </v>
      </c>
      <c r="E29" t="str">
        <f ca="1">IF(ISBLANK(Input!D29)," ",INDIRECT("Input!D"&amp;1+MATCH($H29,aux_sheet!$A$2:$A$202,0)))</f>
        <v xml:space="preserve"> </v>
      </c>
      <c r="F29" t="str">
        <f ca="1">INDIRECT("Input!F"&amp;1+MATCH($H29,aux_sheet!$A$2:$A$202,0))</f>
        <v xml:space="preserve"> </v>
      </c>
      <c r="G29">
        <f ca="1">IF(ISBLANK(Input!E29)," ",INDIRECT("Input!AP"&amp;1+MATCH($H29,aux_sheet!$A$2:$A$202,0)))</f>
        <v>0</v>
      </c>
      <c r="H29">
        <f>aux_sheet!B29</f>
        <v>1000</v>
      </c>
      <c r="J29" t="str">
        <f t="shared" si="1"/>
        <v xml:space="preserve"> </v>
      </c>
      <c r="K29">
        <v>28</v>
      </c>
      <c r="L29" t="str">
        <f t="shared" ca="1" si="2"/>
        <v xml:space="preserve"> </v>
      </c>
      <c r="M29" t="str">
        <f t="shared" ca="1" si="3"/>
        <v xml:space="preserve"> </v>
      </c>
      <c r="N29" s="3" t="str">
        <f t="shared" ca="1" si="4"/>
        <v xml:space="preserve"> </v>
      </c>
      <c r="O29" s="3" t="str">
        <f ca="1">IF(ISNUMBER($L29),INDIRECT("Input!A"&amp;1+MATCH($M29,aux_sheet!$A$2:$A$202,0))," ")</f>
        <v xml:space="preserve"> </v>
      </c>
      <c r="P29" s="3" t="str">
        <f ca="1">IF(ISNUMBER($L29),INDIRECT("Input!B"&amp;1+MATCH($M29,aux_sheet!$A$2:$A$202,0))," ")</f>
        <v xml:space="preserve"> </v>
      </c>
      <c r="Q29">
        <v>28</v>
      </c>
      <c r="R29" t="s">
        <v>141</v>
      </c>
      <c r="S29" t="s">
        <v>77</v>
      </c>
    </row>
    <row r="30" spans="1:19" x14ac:dyDescent="0.35">
      <c r="A30" t="str">
        <f>IF(ISBLANK(Input!A30)," ",ROUNDDOWN(aux_sheet!B30,0))</f>
        <v xml:space="preserve"> </v>
      </c>
      <c r="B30" t="str">
        <f ca="1">IF(ISBLANK(Input!A30)," ",INDIRECT("Input!A"&amp;1+MATCH(H30,aux_sheet!$A$2:$A$202,0)))</f>
        <v xml:space="preserve"> </v>
      </c>
      <c r="C30" t="str">
        <f ca="1">IF(ISBLANK(Input!B30)," ",INDIRECT("Input!B"&amp;1+MATCH($H30,aux_sheet!$A$2:$A$202,0)))</f>
        <v xml:space="preserve"> </v>
      </c>
      <c r="D30" t="str">
        <f ca="1">IF(ISBLANK(Input!C30)," ",INDIRECT("Input!C"&amp;1+MATCH($H30,aux_sheet!$A$2:$A$202,0)))</f>
        <v xml:space="preserve"> </v>
      </c>
      <c r="E30" t="str">
        <f ca="1">IF(ISBLANK(Input!D30)," ",INDIRECT("Input!D"&amp;1+MATCH($H30,aux_sheet!$A$2:$A$202,0)))</f>
        <v xml:space="preserve"> </v>
      </c>
      <c r="F30" t="str">
        <f ca="1">INDIRECT("Input!F"&amp;1+MATCH($H30,aux_sheet!$A$2:$A$202,0))</f>
        <v xml:space="preserve"> </v>
      </c>
      <c r="G30">
        <f ca="1">IF(ISBLANK(Input!E30)," ",INDIRECT("Input!AP"&amp;1+MATCH($H30,aux_sheet!$A$2:$A$202,0)))</f>
        <v>0</v>
      </c>
      <c r="H30">
        <f>aux_sheet!B30</f>
        <v>1000</v>
      </c>
      <c r="J30" t="str">
        <f t="shared" si="1"/>
        <v xml:space="preserve"> </v>
      </c>
      <c r="K30">
        <v>29</v>
      </c>
      <c r="L30" t="str">
        <f t="shared" ca="1" si="2"/>
        <v xml:space="preserve"> </v>
      </c>
      <c r="M30" t="str">
        <f t="shared" ca="1" si="3"/>
        <v xml:space="preserve"> </v>
      </c>
      <c r="N30" s="3" t="str">
        <f t="shared" ca="1" si="4"/>
        <v xml:space="preserve"> </v>
      </c>
      <c r="O30" s="3" t="str">
        <f ca="1">IF(ISNUMBER($L30),INDIRECT("Input!A"&amp;1+MATCH($M30,aux_sheet!$A$2:$A$202,0))," ")</f>
        <v xml:space="preserve"> </v>
      </c>
      <c r="P30" s="3" t="str">
        <f ca="1">IF(ISNUMBER($L30),INDIRECT("Input!B"&amp;1+MATCH($M30,aux_sheet!$A$2:$A$202,0))," ")</f>
        <v xml:space="preserve"> </v>
      </c>
      <c r="Q30">
        <v>29</v>
      </c>
      <c r="R30" t="s">
        <v>140</v>
      </c>
      <c r="S30" t="s">
        <v>77</v>
      </c>
    </row>
    <row r="31" spans="1:19" x14ac:dyDescent="0.35">
      <c r="A31" t="str">
        <f>IF(ISBLANK(Input!A31)," ",ROUNDDOWN(aux_sheet!B31,0))</f>
        <v xml:space="preserve"> </v>
      </c>
      <c r="B31" t="str">
        <f ca="1">IF(ISBLANK(Input!A31)," ",INDIRECT("Input!A"&amp;1+MATCH(H31,aux_sheet!$A$2:$A$202,0)))</f>
        <v xml:space="preserve"> </v>
      </c>
      <c r="C31" t="str">
        <f ca="1">IF(ISBLANK(Input!B31)," ",INDIRECT("Input!B"&amp;1+MATCH($H31,aux_sheet!$A$2:$A$202,0)))</f>
        <v xml:space="preserve"> </v>
      </c>
      <c r="D31" t="str">
        <f ca="1">IF(ISBLANK(Input!C31)," ",INDIRECT("Input!C"&amp;1+MATCH($H31,aux_sheet!$A$2:$A$202,0)))</f>
        <v xml:space="preserve"> </v>
      </c>
      <c r="E31" t="str">
        <f ca="1">IF(ISBLANK(Input!D31)," ",INDIRECT("Input!D"&amp;1+MATCH($H31,aux_sheet!$A$2:$A$202,0)))</f>
        <v xml:space="preserve"> </v>
      </c>
      <c r="F31" t="str">
        <f ca="1">INDIRECT("Input!F"&amp;1+MATCH($H31,aux_sheet!$A$2:$A$202,0))</f>
        <v xml:space="preserve"> </v>
      </c>
      <c r="G31">
        <f ca="1">IF(ISBLANK(Input!E31)," ",INDIRECT("Input!AP"&amp;1+MATCH($H31,aux_sheet!$A$2:$A$202,0)))</f>
        <v>0</v>
      </c>
      <c r="H31">
        <f>aux_sheet!B31</f>
        <v>1000</v>
      </c>
      <c r="J31" t="str">
        <f t="shared" si="1"/>
        <v xml:space="preserve"> </v>
      </c>
      <c r="K31">
        <v>30</v>
      </c>
      <c r="L31" t="str">
        <f t="shared" ca="1" si="2"/>
        <v xml:space="preserve"> </v>
      </c>
      <c r="M31" t="str">
        <f t="shared" ca="1" si="3"/>
        <v xml:space="preserve"> </v>
      </c>
      <c r="N31" s="3" t="str">
        <f t="shared" ca="1" si="4"/>
        <v xml:space="preserve"> </v>
      </c>
      <c r="O31" s="3" t="str">
        <f ca="1">IF(ISNUMBER($L31),INDIRECT("Input!A"&amp;1+MATCH($M31,aux_sheet!$A$2:$A$202,0))," ")</f>
        <v xml:space="preserve"> </v>
      </c>
      <c r="P31" s="3" t="str">
        <f ca="1">IF(ISNUMBER($L31),INDIRECT("Input!B"&amp;1+MATCH($M31,aux_sheet!$A$2:$A$202,0))," ")</f>
        <v xml:space="preserve"> </v>
      </c>
      <c r="Q31">
        <v>30</v>
      </c>
      <c r="R31" t="s">
        <v>139</v>
      </c>
      <c r="S31" t="s">
        <v>77</v>
      </c>
    </row>
    <row r="32" spans="1:19" x14ac:dyDescent="0.35">
      <c r="A32" t="str">
        <f>IF(ISBLANK(Input!A32)," ",ROUNDDOWN(aux_sheet!B32,0))</f>
        <v xml:space="preserve"> </v>
      </c>
      <c r="B32" t="str">
        <f ca="1">IF(ISBLANK(Input!A32)," ",INDIRECT("Input!A"&amp;1+MATCH(H32,aux_sheet!$A$2:$A$202,0)))</f>
        <v xml:space="preserve"> </v>
      </c>
      <c r="C32" t="str">
        <f ca="1">IF(ISBLANK(Input!B32)," ",INDIRECT("Input!B"&amp;1+MATCH($H32,aux_sheet!$A$2:$A$202,0)))</f>
        <v xml:space="preserve"> </v>
      </c>
      <c r="D32" t="str">
        <f ca="1">IF(ISBLANK(Input!C32)," ",INDIRECT("Input!C"&amp;1+MATCH($H32,aux_sheet!$A$2:$A$202,0)))</f>
        <v xml:space="preserve"> </v>
      </c>
      <c r="E32" t="str">
        <f ca="1">IF(ISBLANK(Input!D32)," ",INDIRECT("Input!D"&amp;1+MATCH($H32,aux_sheet!$A$2:$A$202,0)))</f>
        <v xml:space="preserve"> </v>
      </c>
      <c r="F32" t="str">
        <f ca="1">INDIRECT("Input!F"&amp;1+MATCH($H32,aux_sheet!$A$2:$A$202,0))</f>
        <v xml:space="preserve"> </v>
      </c>
      <c r="G32">
        <f ca="1">IF(ISBLANK(Input!E32)," ",INDIRECT("Input!AP"&amp;1+MATCH($H32,aux_sheet!$A$2:$A$202,0)))</f>
        <v>0</v>
      </c>
      <c r="H32">
        <f>aux_sheet!B32</f>
        <v>1000</v>
      </c>
      <c r="J32" t="str">
        <f t="shared" si="1"/>
        <v xml:space="preserve"> </v>
      </c>
      <c r="K32">
        <v>31</v>
      </c>
      <c r="L32" t="str">
        <f t="shared" ca="1" si="2"/>
        <v xml:space="preserve"> </v>
      </c>
      <c r="M32" t="str">
        <f t="shared" ca="1" si="3"/>
        <v xml:space="preserve"> </v>
      </c>
      <c r="N32" s="3" t="str">
        <f t="shared" ca="1" si="4"/>
        <v xml:space="preserve"> </v>
      </c>
      <c r="O32" s="3" t="str">
        <f ca="1">IF(ISNUMBER($L32),INDIRECT("Input!A"&amp;1+MATCH($M32,aux_sheet!$A$2:$A$202,0))," ")</f>
        <v xml:space="preserve"> </v>
      </c>
      <c r="P32" s="3" t="str">
        <f ca="1">IF(ISNUMBER($L32),INDIRECT("Input!B"&amp;1+MATCH($M32,aux_sheet!$A$2:$A$202,0))," ")</f>
        <v xml:space="preserve"> </v>
      </c>
      <c r="Q32">
        <v>31</v>
      </c>
      <c r="R32" t="s">
        <v>138</v>
      </c>
      <c r="S32" t="s">
        <v>77</v>
      </c>
    </row>
    <row r="33" spans="1:19" x14ac:dyDescent="0.35">
      <c r="A33" t="str">
        <f>IF(ISBLANK(Input!A33)," ",ROUNDDOWN(aux_sheet!B33,0))</f>
        <v xml:space="preserve"> </v>
      </c>
      <c r="B33" t="str">
        <f ca="1">IF(ISBLANK(Input!A33)," ",INDIRECT("Input!A"&amp;1+MATCH(H33,aux_sheet!$A$2:$A$202,0)))</f>
        <v xml:space="preserve"> </v>
      </c>
      <c r="C33" t="str">
        <f ca="1">IF(ISBLANK(Input!B33)," ",INDIRECT("Input!B"&amp;1+MATCH($H33,aux_sheet!$A$2:$A$202,0)))</f>
        <v xml:space="preserve"> </v>
      </c>
      <c r="D33" t="str">
        <f ca="1">IF(ISBLANK(Input!C33)," ",INDIRECT("Input!C"&amp;1+MATCH($H33,aux_sheet!$A$2:$A$202,0)))</f>
        <v xml:space="preserve"> </v>
      </c>
      <c r="E33" t="str">
        <f ca="1">IF(ISBLANK(Input!D33)," ",INDIRECT("Input!D"&amp;1+MATCH($H33,aux_sheet!$A$2:$A$202,0)))</f>
        <v xml:space="preserve"> </v>
      </c>
      <c r="F33" t="str">
        <f ca="1">INDIRECT("Input!F"&amp;1+MATCH($H33,aux_sheet!$A$2:$A$202,0))</f>
        <v xml:space="preserve"> </v>
      </c>
      <c r="G33">
        <f ca="1">IF(ISBLANK(Input!E33)," ",INDIRECT("Input!AP"&amp;1+MATCH($H33,aux_sheet!$A$2:$A$202,0)))</f>
        <v>0</v>
      </c>
      <c r="H33">
        <f>aux_sheet!B33</f>
        <v>1000</v>
      </c>
      <c r="J33" t="str">
        <f t="shared" si="1"/>
        <v xml:space="preserve"> </v>
      </c>
      <c r="K33">
        <v>32</v>
      </c>
      <c r="L33" t="str">
        <f t="shared" ca="1" si="2"/>
        <v xml:space="preserve"> </v>
      </c>
      <c r="M33" t="str">
        <f t="shared" ca="1" si="3"/>
        <v xml:space="preserve"> </v>
      </c>
      <c r="N33" s="3" t="str">
        <f t="shared" ca="1" si="4"/>
        <v xml:space="preserve"> </v>
      </c>
      <c r="O33" s="3" t="str">
        <f ca="1">IF(ISNUMBER($L33),INDIRECT("Input!A"&amp;1+MATCH($M33,aux_sheet!$A$2:$A$202,0))," ")</f>
        <v xml:space="preserve"> </v>
      </c>
      <c r="P33" s="3" t="str">
        <f ca="1">IF(ISNUMBER($L33),INDIRECT("Input!B"&amp;1+MATCH($M33,aux_sheet!$A$2:$A$202,0))," ")</f>
        <v xml:space="preserve"> </v>
      </c>
      <c r="Q33">
        <v>32</v>
      </c>
      <c r="R33" t="s">
        <v>137</v>
      </c>
      <c r="S33" t="s">
        <v>77</v>
      </c>
    </row>
    <row r="34" spans="1:19" x14ac:dyDescent="0.35">
      <c r="A34" t="str">
        <f>IF(ISBLANK(Input!A34)," ",ROUNDDOWN(aux_sheet!B34,0))</f>
        <v xml:space="preserve"> </v>
      </c>
      <c r="B34" t="str">
        <f ca="1">IF(ISBLANK(Input!A34)," ",INDIRECT("Input!A"&amp;1+MATCH(H34,aux_sheet!$A$2:$A$202,0)))</f>
        <v xml:space="preserve"> </v>
      </c>
      <c r="C34" t="str">
        <f ca="1">IF(ISBLANK(Input!B34)," ",INDIRECT("Input!B"&amp;1+MATCH($H34,aux_sheet!$A$2:$A$202,0)))</f>
        <v xml:space="preserve"> </v>
      </c>
      <c r="D34" t="str">
        <f ca="1">IF(ISBLANK(Input!C34)," ",INDIRECT("Input!C"&amp;1+MATCH($H34,aux_sheet!$A$2:$A$202,0)))</f>
        <v xml:space="preserve"> </v>
      </c>
      <c r="E34" t="str">
        <f ca="1">IF(ISBLANK(Input!D34)," ",INDIRECT("Input!D"&amp;1+MATCH($H34,aux_sheet!$A$2:$A$202,0)))</f>
        <v xml:space="preserve"> </v>
      </c>
      <c r="F34" t="str">
        <f ca="1">INDIRECT("Input!F"&amp;1+MATCH($H34,aux_sheet!$A$2:$A$202,0))</f>
        <v xml:space="preserve"> </v>
      </c>
      <c r="G34">
        <f ca="1">IF(ISBLANK(Input!E34)," ",INDIRECT("Input!AP"&amp;1+MATCH($H34,aux_sheet!$A$2:$A$202,0)))</f>
        <v>0</v>
      </c>
      <c r="H34">
        <f>aux_sheet!B34</f>
        <v>1000</v>
      </c>
      <c r="J34" t="str">
        <f t="shared" si="1"/>
        <v xml:space="preserve"> </v>
      </c>
      <c r="K34">
        <v>33</v>
      </c>
      <c r="L34" t="str">
        <f t="shared" ca="1" si="2"/>
        <v xml:space="preserve"> </v>
      </c>
      <c r="M34" t="str">
        <f t="shared" ca="1" si="3"/>
        <v xml:space="preserve"> </v>
      </c>
      <c r="N34" s="3" t="str">
        <f t="shared" ca="1" si="4"/>
        <v xml:space="preserve"> </v>
      </c>
      <c r="O34" s="3" t="str">
        <f ca="1">IF(ISNUMBER($L34),INDIRECT("Input!A"&amp;1+MATCH($M34,aux_sheet!$A$2:$A$202,0))," ")</f>
        <v xml:space="preserve"> </v>
      </c>
      <c r="P34" s="3" t="str">
        <f ca="1">IF(ISNUMBER($L34),INDIRECT("Input!B"&amp;1+MATCH($M34,aux_sheet!$A$2:$A$202,0))," ")</f>
        <v xml:space="preserve"> </v>
      </c>
      <c r="Q34">
        <v>33</v>
      </c>
      <c r="R34" t="s">
        <v>136</v>
      </c>
      <c r="S34" t="s">
        <v>77</v>
      </c>
    </row>
    <row r="35" spans="1:19" x14ac:dyDescent="0.35">
      <c r="A35" t="str">
        <f>IF(ISBLANK(Input!A35)," ",ROUNDDOWN(aux_sheet!B35,0))</f>
        <v xml:space="preserve"> </v>
      </c>
      <c r="B35" t="str">
        <f ca="1">IF(ISBLANK(Input!A35)," ",INDIRECT("Input!A"&amp;1+MATCH(H35,aux_sheet!$A$2:$A$202,0)))</f>
        <v xml:space="preserve"> </v>
      </c>
      <c r="C35" t="str">
        <f ca="1">IF(ISBLANK(Input!B35)," ",INDIRECT("Input!B"&amp;1+MATCH($H35,aux_sheet!$A$2:$A$202,0)))</f>
        <v xml:space="preserve"> </v>
      </c>
      <c r="D35" t="str">
        <f ca="1">IF(ISBLANK(Input!C35)," ",INDIRECT("Input!C"&amp;1+MATCH($H35,aux_sheet!$A$2:$A$202,0)))</f>
        <v xml:space="preserve"> </v>
      </c>
      <c r="E35" t="str">
        <f ca="1">IF(ISBLANK(Input!D35)," ",INDIRECT("Input!D"&amp;1+MATCH($H35,aux_sheet!$A$2:$A$202,0)))</f>
        <v xml:space="preserve"> </v>
      </c>
      <c r="F35" t="str">
        <f ca="1">INDIRECT("Input!F"&amp;1+MATCH($H35,aux_sheet!$A$2:$A$202,0))</f>
        <v xml:space="preserve"> </v>
      </c>
      <c r="G35">
        <f ca="1">IF(ISBLANK(Input!E35)," ",INDIRECT("Input!AP"&amp;1+MATCH($H35,aux_sheet!$A$2:$A$202,0)))</f>
        <v>0</v>
      </c>
      <c r="H35">
        <f>aux_sheet!B35</f>
        <v>1000</v>
      </c>
      <c r="J35" t="str">
        <f t="shared" si="1"/>
        <v xml:space="preserve"> </v>
      </c>
      <c r="K35">
        <v>34</v>
      </c>
      <c r="L35" t="str">
        <f t="shared" ca="1" si="2"/>
        <v xml:space="preserve"> </v>
      </c>
      <c r="M35" t="str">
        <f t="shared" ca="1" si="3"/>
        <v xml:space="preserve"> </v>
      </c>
      <c r="N35" s="3" t="str">
        <f t="shared" ca="1" si="4"/>
        <v xml:space="preserve"> </v>
      </c>
      <c r="O35" s="3" t="str">
        <f ca="1">IF(ISNUMBER($L35),INDIRECT("Input!A"&amp;1+MATCH($M35,aux_sheet!$A$2:$A$202,0))," ")</f>
        <v xml:space="preserve"> </v>
      </c>
      <c r="P35" s="3" t="str">
        <f ca="1">IF(ISNUMBER($L35),INDIRECT("Input!B"&amp;1+MATCH($M35,aux_sheet!$A$2:$A$202,0))," ")</f>
        <v xml:space="preserve"> </v>
      </c>
      <c r="Q35">
        <v>34</v>
      </c>
      <c r="R35" t="s">
        <v>135</v>
      </c>
      <c r="S35" t="s">
        <v>77</v>
      </c>
    </row>
    <row r="36" spans="1:19" x14ac:dyDescent="0.35">
      <c r="A36" t="str">
        <f>IF(ISBLANK(Input!A36)," ",ROUNDDOWN(aux_sheet!B36,0))</f>
        <v xml:space="preserve"> </v>
      </c>
      <c r="B36" t="str">
        <f ca="1">IF(ISBLANK(Input!A36)," ",INDIRECT("Input!A"&amp;1+MATCH(H36,aux_sheet!$A$2:$A$202,0)))</f>
        <v xml:space="preserve"> </v>
      </c>
      <c r="C36" t="str">
        <f ca="1">IF(ISBLANK(Input!B36)," ",INDIRECT("Input!B"&amp;1+MATCH($H36,aux_sheet!$A$2:$A$202,0)))</f>
        <v xml:space="preserve"> </v>
      </c>
      <c r="D36" t="str">
        <f ca="1">IF(ISBLANK(Input!C36)," ",INDIRECT("Input!C"&amp;1+MATCH($H36,aux_sheet!$A$2:$A$202,0)))</f>
        <v xml:space="preserve"> </v>
      </c>
      <c r="E36" t="str">
        <f ca="1">IF(ISBLANK(Input!D36)," ",INDIRECT("Input!D"&amp;1+MATCH($H36,aux_sheet!$A$2:$A$202,0)))</f>
        <v xml:space="preserve"> </v>
      </c>
      <c r="F36" t="str">
        <f ca="1">INDIRECT("Input!F"&amp;1+MATCH($H36,aux_sheet!$A$2:$A$202,0))</f>
        <v xml:space="preserve"> </v>
      </c>
      <c r="G36">
        <f ca="1">IF(ISBLANK(Input!E36)," ",INDIRECT("Input!AP"&amp;1+MATCH($H36,aux_sheet!$A$2:$A$202,0)))</f>
        <v>0</v>
      </c>
      <c r="H36">
        <f>aux_sheet!B36</f>
        <v>1000</v>
      </c>
      <c r="J36" t="str">
        <f t="shared" si="1"/>
        <v xml:space="preserve"> </v>
      </c>
      <c r="K36">
        <v>35</v>
      </c>
      <c r="L36" t="str">
        <f t="shared" ca="1" si="2"/>
        <v xml:space="preserve"> </v>
      </c>
      <c r="M36" t="str">
        <f t="shared" ca="1" si="3"/>
        <v xml:space="preserve"> </v>
      </c>
      <c r="N36" s="3" t="str">
        <f t="shared" ca="1" si="4"/>
        <v xml:space="preserve"> </v>
      </c>
      <c r="O36" s="3" t="str">
        <f ca="1">IF(ISNUMBER($L36),INDIRECT("Input!A"&amp;1+MATCH($M36,aux_sheet!$A$2:$A$202,0))," ")</f>
        <v xml:space="preserve"> </v>
      </c>
      <c r="P36" s="3" t="str">
        <f ca="1">IF(ISNUMBER($L36),INDIRECT("Input!B"&amp;1+MATCH($M36,aux_sheet!$A$2:$A$202,0))," ")</f>
        <v xml:space="preserve"> </v>
      </c>
      <c r="Q36">
        <v>35</v>
      </c>
      <c r="R36" t="s">
        <v>134</v>
      </c>
      <c r="S36" t="s">
        <v>77</v>
      </c>
    </row>
    <row r="37" spans="1:19" x14ac:dyDescent="0.35">
      <c r="A37" t="str">
        <f>IF(ISBLANK(Input!A37)," ",ROUNDDOWN(aux_sheet!B37,0))</f>
        <v xml:space="preserve"> </v>
      </c>
      <c r="B37" t="str">
        <f ca="1">IF(ISBLANK(Input!A37)," ",INDIRECT("Input!A"&amp;1+MATCH(H37,aux_sheet!$A$2:$A$202,0)))</f>
        <v xml:space="preserve"> </v>
      </c>
      <c r="C37" t="str">
        <f ca="1">IF(ISBLANK(Input!B37)," ",INDIRECT("Input!B"&amp;1+MATCH($H37,aux_sheet!$A$2:$A$202,0)))</f>
        <v xml:space="preserve"> </v>
      </c>
      <c r="D37" t="str">
        <f ca="1">IF(ISBLANK(Input!C37)," ",INDIRECT("Input!C"&amp;1+MATCH($H37,aux_sheet!$A$2:$A$202,0)))</f>
        <v xml:space="preserve"> </v>
      </c>
      <c r="E37" t="str">
        <f ca="1">IF(ISBLANK(Input!D37)," ",INDIRECT("Input!D"&amp;1+MATCH($H37,aux_sheet!$A$2:$A$202,0)))</f>
        <v xml:space="preserve"> </v>
      </c>
      <c r="F37" t="str">
        <f ca="1">INDIRECT("Input!F"&amp;1+MATCH($H37,aux_sheet!$A$2:$A$202,0))</f>
        <v xml:space="preserve"> </v>
      </c>
      <c r="G37">
        <f ca="1">IF(ISBLANK(Input!E37)," ",INDIRECT("Input!AP"&amp;1+MATCH($H37,aux_sheet!$A$2:$A$202,0)))</f>
        <v>0</v>
      </c>
      <c r="H37">
        <f>aux_sheet!B37</f>
        <v>1000</v>
      </c>
      <c r="J37" t="str">
        <f t="shared" si="1"/>
        <v xml:space="preserve"> </v>
      </c>
      <c r="K37">
        <v>36</v>
      </c>
      <c r="L37" t="str">
        <f t="shared" ca="1" si="2"/>
        <v xml:space="preserve"> </v>
      </c>
      <c r="M37" t="str">
        <f t="shared" ca="1" si="3"/>
        <v xml:space="preserve"> </v>
      </c>
      <c r="N37" s="3" t="str">
        <f t="shared" ca="1" si="4"/>
        <v xml:space="preserve"> </v>
      </c>
      <c r="O37" s="3" t="str">
        <f ca="1">IF(ISNUMBER($L37),INDIRECT("Input!A"&amp;1+MATCH($M37,aux_sheet!$A$2:$A$202,0))," ")</f>
        <v xml:space="preserve"> </v>
      </c>
      <c r="P37" s="3" t="str">
        <f ca="1">IF(ISNUMBER($L37),INDIRECT("Input!B"&amp;1+MATCH($M37,aux_sheet!$A$2:$A$202,0))," ")</f>
        <v xml:space="preserve"> </v>
      </c>
      <c r="Q37">
        <v>36</v>
      </c>
      <c r="R37" t="s">
        <v>133</v>
      </c>
      <c r="S37" t="s">
        <v>77</v>
      </c>
    </row>
    <row r="38" spans="1:19" x14ac:dyDescent="0.35">
      <c r="A38" t="str">
        <f>IF(ISBLANK(Input!A38)," ",ROUNDDOWN(aux_sheet!B38,0))</f>
        <v xml:space="preserve"> </v>
      </c>
      <c r="B38" t="str">
        <f ca="1">IF(ISBLANK(Input!A38)," ",INDIRECT("Input!A"&amp;1+MATCH(H38,aux_sheet!$A$2:$A$202,0)))</f>
        <v xml:space="preserve"> </v>
      </c>
      <c r="C38" t="str">
        <f ca="1">IF(ISBLANK(Input!B38)," ",INDIRECT("Input!B"&amp;1+MATCH($H38,aux_sheet!$A$2:$A$202,0)))</f>
        <v xml:space="preserve"> </v>
      </c>
      <c r="D38" t="str">
        <f ca="1">IF(ISBLANK(Input!C38)," ",INDIRECT("Input!C"&amp;1+MATCH($H38,aux_sheet!$A$2:$A$202,0)))</f>
        <v xml:space="preserve"> </v>
      </c>
      <c r="E38" t="str">
        <f ca="1">IF(ISBLANK(Input!D38)," ",INDIRECT("Input!D"&amp;1+MATCH($H38,aux_sheet!$A$2:$A$202,0)))</f>
        <v xml:space="preserve"> </v>
      </c>
      <c r="F38" t="str">
        <f ca="1">INDIRECT("Input!F"&amp;1+MATCH($H38,aux_sheet!$A$2:$A$202,0))</f>
        <v xml:space="preserve"> </v>
      </c>
      <c r="G38">
        <f ca="1">IF(ISBLANK(Input!E38)," ",INDIRECT("Input!AP"&amp;1+MATCH($H38,aux_sheet!$A$2:$A$202,0)))</f>
        <v>0</v>
      </c>
      <c r="H38">
        <f>aux_sheet!B38</f>
        <v>1000</v>
      </c>
      <c r="J38" t="str">
        <f t="shared" si="1"/>
        <v xml:space="preserve"> </v>
      </c>
      <c r="K38">
        <v>37</v>
      </c>
      <c r="L38" t="str">
        <f t="shared" ca="1" si="2"/>
        <v xml:space="preserve"> </v>
      </c>
      <c r="M38" t="str">
        <f t="shared" ca="1" si="3"/>
        <v xml:space="preserve"> </v>
      </c>
      <c r="N38" s="3" t="str">
        <f t="shared" ca="1" si="4"/>
        <v xml:space="preserve"> </v>
      </c>
      <c r="O38" s="3" t="str">
        <f ca="1">IF(ISNUMBER($L38),INDIRECT("Input!A"&amp;1+MATCH($M38,aux_sheet!$A$2:$A$202,0))," ")</f>
        <v xml:space="preserve"> </v>
      </c>
      <c r="P38" s="3" t="str">
        <f ca="1">IF(ISNUMBER($L38),INDIRECT("Input!B"&amp;1+MATCH($M38,aux_sheet!$A$2:$A$202,0))," ")</f>
        <v xml:space="preserve"> </v>
      </c>
      <c r="Q38">
        <v>37</v>
      </c>
      <c r="R38" t="s">
        <v>132</v>
      </c>
      <c r="S38" t="s">
        <v>77</v>
      </c>
    </row>
    <row r="39" spans="1:19" x14ac:dyDescent="0.35">
      <c r="A39" t="str">
        <f>IF(ISBLANK(Input!A39)," ",ROUNDDOWN(aux_sheet!B39,0))</f>
        <v xml:space="preserve"> </v>
      </c>
      <c r="B39" t="str">
        <f ca="1">IF(ISBLANK(Input!A39)," ",INDIRECT("Input!A"&amp;1+MATCH(H39,aux_sheet!$A$2:$A$202,0)))</f>
        <v xml:space="preserve"> </v>
      </c>
      <c r="C39" t="str">
        <f ca="1">IF(ISBLANK(Input!B39)," ",INDIRECT("Input!B"&amp;1+MATCH($H39,aux_sheet!$A$2:$A$202,0)))</f>
        <v xml:space="preserve"> </v>
      </c>
      <c r="D39" t="str">
        <f ca="1">IF(ISBLANK(Input!C39)," ",INDIRECT("Input!C"&amp;1+MATCH($H39,aux_sheet!$A$2:$A$202,0)))</f>
        <v xml:space="preserve"> </v>
      </c>
      <c r="E39" t="str">
        <f ca="1">IF(ISBLANK(Input!D39)," ",INDIRECT("Input!D"&amp;1+MATCH($H39,aux_sheet!$A$2:$A$202,0)))</f>
        <v xml:space="preserve"> </v>
      </c>
      <c r="F39" t="str">
        <f ca="1">INDIRECT("Input!F"&amp;1+MATCH($H39,aux_sheet!$A$2:$A$202,0))</f>
        <v xml:space="preserve"> </v>
      </c>
      <c r="G39">
        <f ca="1">IF(ISBLANK(Input!E39)," ",INDIRECT("Input!AP"&amp;1+MATCH($H39,aux_sheet!$A$2:$A$202,0)))</f>
        <v>0</v>
      </c>
      <c r="H39">
        <f>aux_sheet!B39</f>
        <v>1000</v>
      </c>
      <c r="J39" t="str">
        <f t="shared" si="1"/>
        <v xml:space="preserve"> </v>
      </c>
      <c r="K39">
        <v>38</v>
      </c>
      <c r="L39" t="str">
        <f t="shared" ca="1" si="2"/>
        <v xml:space="preserve"> </v>
      </c>
      <c r="M39" t="str">
        <f t="shared" ca="1" si="3"/>
        <v xml:space="preserve"> </v>
      </c>
      <c r="N39" s="3" t="str">
        <f t="shared" ca="1" si="4"/>
        <v xml:space="preserve"> </v>
      </c>
      <c r="O39" s="3" t="str">
        <f ca="1">IF(ISNUMBER($L39),INDIRECT("Input!A"&amp;1+MATCH($M39,aux_sheet!$A$2:$A$202,0))," ")</f>
        <v xml:space="preserve"> </v>
      </c>
      <c r="P39" s="3" t="str">
        <f ca="1">IF(ISNUMBER($L39),INDIRECT("Input!B"&amp;1+MATCH($M39,aux_sheet!$A$2:$A$202,0))," ")</f>
        <v xml:space="preserve"> </v>
      </c>
      <c r="Q39">
        <v>38</v>
      </c>
      <c r="R39" t="s">
        <v>131</v>
      </c>
      <c r="S39" t="s">
        <v>77</v>
      </c>
    </row>
    <row r="40" spans="1:19" x14ac:dyDescent="0.35">
      <c r="A40" t="str">
        <f>IF(ISBLANK(Input!A40)," ",ROUNDDOWN(aux_sheet!B40,0))</f>
        <v xml:space="preserve"> </v>
      </c>
      <c r="B40" t="str">
        <f ca="1">IF(ISBLANK(Input!A40)," ",INDIRECT("Input!A"&amp;1+MATCH(H40,aux_sheet!$A$2:$A$202,0)))</f>
        <v xml:space="preserve"> </v>
      </c>
      <c r="C40" t="str">
        <f ca="1">IF(ISBLANK(Input!B40)," ",INDIRECT("Input!B"&amp;1+MATCH($H40,aux_sheet!$A$2:$A$202,0)))</f>
        <v xml:space="preserve"> </v>
      </c>
      <c r="D40" t="str">
        <f ca="1">IF(ISBLANK(Input!C40)," ",INDIRECT("Input!C"&amp;1+MATCH($H40,aux_sheet!$A$2:$A$202,0)))</f>
        <v xml:space="preserve"> </v>
      </c>
      <c r="E40" t="str">
        <f ca="1">IF(ISBLANK(Input!D40)," ",INDIRECT("Input!D"&amp;1+MATCH($H40,aux_sheet!$A$2:$A$202,0)))</f>
        <v xml:space="preserve"> </v>
      </c>
      <c r="F40" t="str">
        <f ca="1">INDIRECT("Input!F"&amp;1+MATCH($H40,aux_sheet!$A$2:$A$202,0))</f>
        <v xml:space="preserve"> </v>
      </c>
      <c r="G40">
        <f ca="1">IF(ISBLANK(Input!E40)," ",INDIRECT("Input!AP"&amp;1+MATCH($H40,aux_sheet!$A$2:$A$202,0)))</f>
        <v>0</v>
      </c>
      <c r="H40">
        <f>aux_sheet!B40</f>
        <v>1000</v>
      </c>
      <c r="J40" t="str">
        <f t="shared" si="1"/>
        <v xml:space="preserve"> </v>
      </c>
      <c r="K40">
        <v>39</v>
      </c>
      <c r="L40" t="str">
        <f t="shared" ca="1" si="2"/>
        <v xml:space="preserve"> </v>
      </c>
      <c r="M40" t="str">
        <f t="shared" ca="1" si="3"/>
        <v xml:space="preserve"> </v>
      </c>
      <c r="N40" s="3" t="str">
        <f t="shared" ca="1" si="4"/>
        <v xml:space="preserve"> </v>
      </c>
      <c r="O40" s="3" t="str">
        <f ca="1">IF(ISNUMBER($L40),INDIRECT("Input!A"&amp;1+MATCH($M40,aux_sheet!$A$2:$A$202,0))," ")</f>
        <v xml:space="preserve"> </v>
      </c>
      <c r="P40" s="3" t="str">
        <f ca="1">IF(ISNUMBER($L40),INDIRECT("Input!B"&amp;1+MATCH($M40,aux_sheet!$A$2:$A$202,0))," ")</f>
        <v xml:space="preserve"> </v>
      </c>
      <c r="Q40">
        <v>39</v>
      </c>
      <c r="R40" t="s">
        <v>130</v>
      </c>
      <c r="S40" t="s">
        <v>77</v>
      </c>
    </row>
    <row r="41" spans="1:19" x14ac:dyDescent="0.35">
      <c r="A41" t="str">
        <f>IF(ISBLANK(Input!A41)," ",ROUNDDOWN(aux_sheet!B41,0))</f>
        <v xml:space="preserve"> </v>
      </c>
      <c r="B41" t="str">
        <f ca="1">IF(ISBLANK(Input!A41)," ",INDIRECT("Input!A"&amp;1+MATCH(H41,aux_sheet!$A$2:$A$202,0)))</f>
        <v xml:space="preserve"> </v>
      </c>
      <c r="C41" t="str">
        <f ca="1">IF(ISBLANK(Input!B41)," ",INDIRECT("Input!B"&amp;1+MATCH($H41,aux_sheet!$A$2:$A$202,0)))</f>
        <v xml:space="preserve"> </v>
      </c>
      <c r="D41" t="str">
        <f ca="1">IF(ISBLANK(Input!C41)," ",INDIRECT("Input!C"&amp;1+MATCH($H41,aux_sheet!$A$2:$A$202,0)))</f>
        <v xml:space="preserve"> </v>
      </c>
      <c r="E41" t="str">
        <f ca="1">IF(ISBLANK(Input!D41)," ",INDIRECT("Input!D"&amp;1+MATCH($H41,aux_sheet!$A$2:$A$202,0)))</f>
        <v xml:space="preserve"> </v>
      </c>
      <c r="F41" t="str">
        <f ca="1">INDIRECT("Input!F"&amp;1+MATCH($H41,aux_sheet!$A$2:$A$202,0))</f>
        <v xml:space="preserve"> </v>
      </c>
      <c r="G41">
        <f ca="1">IF(ISBLANK(Input!E41)," ",INDIRECT("Input!AP"&amp;1+MATCH($H41,aux_sheet!$A$2:$A$202,0)))</f>
        <v>0</v>
      </c>
      <c r="H41">
        <f>aux_sheet!B41</f>
        <v>1000</v>
      </c>
      <c r="J41" t="str">
        <f t="shared" si="1"/>
        <v xml:space="preserve"> </v>
      </c>
      <c r="K41">
        <v>40</v>
      </c>
      <c r="L41" t="str">
        <f t="shared" ca="1" si="2"/>
        <v xml:space="preserve"> </v>
      </c>
      <c r="M41" t="str">
        <f t="shared" ca="1" si="3"/>
        <v xml:space="preserve"> </v>
      </c>
      <c r="N41" s="3" t="str">
        <f t="shared" ca="1" si="4"/>
        <v xml:space="preserve"> </v>
      </c>
      <c r="O41" s="3" t="str">
        <f ca="1">IF(ISNUMBER($L41),INDIRECT("Input!A"&amp;1+MATCH($M41,aux_sheet!$A$2:$A$202,0))," ")</f>
        <v xml:space="preserve"> </v>
      </c>
      <c r="P41" s="3" t="str">
        <f ca="1">IF(ISNUMBER($L41),INDIRECT("Input!B"&amp;1+MATCH($M41,aux_sheet!$A$2:$A$202,0))," ")</f>
        <v xml:space="preserve"> </v>
      </c>
      <c r="Q41">
        <v>40</v>
      </c>
      <c r="R41" t="s">
        <v>129</v>
      </c>
      <c r="S41" t="s">
        <v>77</v>
      </c>
    </row>
    <row r="42" spans="1:19" x14ac:dyDescent="0.35">
      <c r="A42" t="str">
        <f>IF(ISBLANK(Input!A42)," ",ROUNDDOWN(aux_sheet!B42,0))</f>
        <v xml:space="preserve"> </v>
      </c>
      <c r="B42" t="str">
        <f ca="1">IF(ISBLANK(Input!A42)," ",INDIRECT("Input!A"&amp;1+MATCH(H42,aux_sheet!$A$2:$A$202,0)))</f>
        <v xml:space="preserve"> </v>
      </c>
      <c r="C42" t="str">
        <f ca="1">IF(ISBLANK(Input!B42)," ",INDIRECT("Input!B"&amp;1+MATCH($H42,aux_sheet!$A$2:$A$202,0)))</f>
        <v xml:space="preserve"> </v>
      </c>
      <c r="D42" t="str">
        <f ca="1">IF(ISBLANK(Input!C42)," ",INDIRECT("Input!C"&amp;1+MATCH($H42,aux_sheet!$A$2:$A$202,0)))</f>
        <v xml:space="preserve"> </v>
      </c>
      <c r="E42" t="str">
        <f ca="1">IF(ISBLANK(Input!D42)," ",INDIRECT("Input!D"&amp;1+MATCH($H42,aux_sheet!$A$2:$A$202,0)))</f>
        <v xml:space="preserve"> </v>
      </c>
      <c r="F42" t="str">
        <f ca="1">INDIRECT("Input!F"&amp;1+MATCH($H42,aux_sheet!$A$2:$A$202,0))</f>
        <v xml:space="preserve"> </v>
      </c>
      <c r="G42">
        <f ca="1">IF(ISBLANK(Input!E42)," ",INDIRECT("Input!AP"&amp;1+MATCH($H42,aux_sheet!$A$2:$A$202,0)))</f>
        <v>0</v>
      </c>
      <c r="H42">
        <f>aux_sheet!B42</f>
        <v>1000</v>
      </c>
      <c r="J42" t="str">
        <f t="shared" si="1"/>
        <v xml:space="preserve"> </v>
      </c>
      <c r="K42">
        <v>41</v>
      </c>
      <c r="L42" t="str">
        <f t="shared" ca="1" si="2"/>
        <v xml:space="preserve"> </v>
      </c>
      <c r="M42" t="str">
        <f t="shared" ca="1" si="3"/>
        <v xml:space="preserve"> </v>
      </c>
      <c r="N42" s="3" t="str">
        <f t="shared" ca="1" si="4"/>
        <v xml:space="preserve"> </v>
      </c>
      <c r="O42" s="3" t="str">
        <f ca="1">IF(ISNUMBER($L42),INDIRECT("Input!A"&amp;1+MATCH($M42,aux_sheet!$A$2:$A$202,0))," ")</f>
        <v xml:space="preserve"> </v>
      </c>
      <c r="P42" s="3" t="str">
        <f ca="1">IF(ISNUMBER($L42),INDIRECT("Input!B"&amp;1+MATCH($M42,aux_sheet!$A$2:$A$202,0))," ")</f>
        <v xml:space="preserve"> </v>
      </c>
      <c r="Q42">
        <v>41</v>
      </c>
      <c r="R42" t="s">
        <v>128</v>
      </c>
      <c r="S42" t="s">
        <v>77</v>
      </c>
    </row>
    <row r="43" spans="1:19" x14ac:dyDescent="0.35">
      <c r="A43" t="str">
        <f>IF(ISBLANK(Input!A43)," ",ROUNDDOWN(aux_sheet!B43,0))</f>
        <v xml:space="preserve"> </v>
      </c>
      <c r="B43" t="str">
        <f ca="1">IF(ISBLANK(Input!A43)," ",INDIRECT("Input!A"&amp;1+MATCH(H43,aux_sheet!$A$2:$A$202,0)))</f>
        <v xml:space="preserve"> </v>
      </c>
      <c r="C43" t="str">
        <f ca="1">IF(ISBLANK(Input!B43)," ",INDIRECT("Input!B"&amp;1+MATCH($H43,aux_sheet!$A$2:$A$202,0)))</f>
        <v xml:space="preserve"> </v>
      </c>
      <c r="D43" t="str">
        <f ca="1">IF(ISBLANK(Input!C43)," ",INDIRECT("Input!C"&amp;1+MATCH($H43,aux_sheet!$A$2:$A$202,0)))</f>
        <v xml:space="preserve"> </v>
      </c>
      <c r="E43" t="str">
        <f ca="1">IF(ISBLANK(Input!D43)," ",INDIRECT("Input!D"&amp;1+MATCH($H43,aux_sheet!$A$2:$A$202,0)))</f>
        <v xml:space="preserve"> </v>
      </c>
      <c r="F43" t="str">
        <f ca="1">INDIRECT("Input!F"&amp;1+MATCH($H43,aux_sheet!$A$2:$A$202,0))</f>
        <v xml:space="preserve"> </v>
      </c>
      <c r="G43">
        <f ca="1">IF(ISBLANK(Input!E43)," ",INDIRECT("Input!AP"&amp;1+MATCH($H43,aux_sheet!$A$2:$A$202,0)))</f>
        <v>0</v>
      </c>
      <c r="H43">
        <f>aux_sheet!B43</f>
        <v>1000</v>
      </c>
      <c r="J43" t="str">
        <f t="shared" si="1"/>
        <v xml:space="preserve"> </v>
      </c>
      <c r="K43">
        <v>42</v>
      </c>
      <c r="L43" t="str">
        <f t="shared" ca="1" si="2"/>
        <v xml:space="preserve"> </v>
      </c>
      <c r="M43" t="str">
        <f t="shared" ca="1" si="3"/>
        <v xml:space="preserve"> </v>
      </c>
      <c r="N43" s="3" t="str">
        <f t="shared" ca="1" si="4"/>
        <v xml:space="preserve"> </v>
      </c>
      <c r="O43" s="3" t="str">
        <f ca="1">IF(ISNUMBER($L43),INDIRECT("Input!A"&amp;1+MATCH($M43,aux_sheet!$A$2:$A$202,0))," ")</f>
        <v xml:space="preserve"> </v>
      </c>
      <c r="P43" s="3" t="str">
        <f ca="1">IF(ISNUMBER($L43),INDIRECT("Input!B"&amp;1+MATCH($M43,aux_sheet!$A$2:$A$202,0))," ")</f>
        <v xml:space="preserve"> </v>
      </c>
      <c r="Q43">
        <v>42</v>
      </c>
      <c r="R43" t="s">
        <v>117</v>
      </c>
      <c r="S43" t="s">
        <v>82</v>
      </c>
    </row>
    <row r="44" spans="1:19" x14ac:dyDescent="0.35">
      <c r="A44" t="str">
        <f>IF(ISBLANK(Input!A44)," ",ROUNDDOWN(aux_sheet!B44,0))</f>
        <v xml:space="preserve"> </v>
      </c>
      <c r="B44" t="str">
        <f ca="1">IF(ISBLANK(Input!A44)," ",INDIRECT("Input!A"&amp;1+MATCH(H44,aux_sheet!$A$2:$A$202,0)))</f>
        <v xml:space="preserve"> </v>
      </c>
      <c r="C44" t="str">
        <f ca="1">IF(ISBLANK(Input!B44)," ",INDIRECT("Input!B"&amp;1+MATCH($H44,aux_sheet!$A$2:$A$202,0)))</f>
        <v xml:space="preserve"> </v>
      </c>
      <c r="D44" t="str">
        <f ca="1">IF(ISBLANK(Input!C44)," ",INDIRECT("Input!C"&amp;1+MATCH($H44,aux_sheet!$A$2:$A$202,0)))</f>
        <v xml:space="preserve"> </v>
      </c>
      <c r="E44" t="str">
        <f ca="1">IF(ISBLANK(Input!D44)," ",INDIRECT("Input!D"&amp;1+MATCH($H44,aux_sheet!$A$2:$A$202,0)))</f>
        <v xml:space="preserve"> </v>
      </c>
      <c r="F44" t="str">
        <f ca="1">INDIRECT("Input!F"&amp;1+MATCH($H44,aux_sheet!$A$2:$A$202,0))</f>
        <v xml:space="preserve"> </v>
      </c>
      <c r="G44">
        <f ca="1">IF(ISBLANK(Input!E44)," ",INDIRECT("Input!AP"&amp;1+MATCH($H44,aux_sheet!$A$2:$A$202,0)))</f>
        <v>0</v>
      </c>
      <c r="H44">
        <f>aux_sheet!B44</f>
        <v>1000</v>
      </c>
      <c r="J44" t="str">
        <f t="shared" si="1"/>
        <v xml:space="preserve"> </v>
      </c>
      <c r="K44">
        <v>43</v>
      </c>
      <c r="L44" t="str">
        <f t="shared" ca="1" si="2"/>
        <v xml:space="preserve"> </v>
      </c>
      <c r="M44" t="str">
        <f t="shared" ca="1" si="3"/>
        <v xml:space="preserve"> </v>
      </c>
      <c r="N44" s="3" t="str">
        <f t="shared" ca="1" si="4"/>
        <v xml:space="preserve"> </v>
      </c>
      <c r="O44" s="3" t="str">
        <f ca="1">IF(ISNUMBER($L44),INDIRECT("Input!A"&amp;1+MATCH($M44,aux_sheet!$A$2:$A$202,0))," ")</f>
        <v xml:space="preserve"> </v>
      </c>
      <c r="P44" s="3" t="str">
        <f ca="1">IF(ISNUMBER($L44),INDIRECT("Input!B"&amp;1+MATCH($M44,aux_sheet!$A$2:$A$202,0))," ")</f>
        <v xml:space="preserve"> </v>
      </c>
      <c r="Q44">
        <v>43</v>
      </c>
      <c r="R44" t="s">
        <v>127</v>
      </c>
      <c r="S44" t="s">
        <v>77</v>
      </c>
    </row>
    <row r="45" spans="1:19" x14ac:dyDescent="0.35">
      <c r="A45" t="str">
        <f>IF(ISBLANK(Input!A45)," ",ROUNDDOWN(aux_sheet!B45,0))</f>
        <v xml:space="preserve"> </v>
      </c>
      <c r="B45" t="str">
        <f ca="1">IF(ISBLANK(Input!A45)," ",INDIRECT("Input!A"&amp;1+MATCH(H45,aux_sheet!$A$2:$A$202,0)))</f>
        <v xml:space="preserve"> </v>
      </c>
      <c r="C45" t="str">
        <f ca="1">IF(ISBLANK(Input!B45)," ",INDIRECT("Input!B"&amp;1+MATCH($H45,aux_sheet!$A$2:$A$202,0)))</f>
        <v xml:space="preserve"> </v>
      </c>
      <c r="D45" t="str">
        <f ca="1">IF(ISBLANK(Input!C45)," ",INDIRECT("Input!C"&amp;1+MATCH($H45,aux_sheet!$A$2:$A$202,0)))</f>
        <v xml:space="preserve"> </v>
      </c>
      <c r="E45" t="str">
        <f ca="1">IF(ISBLANK(Input!D45)," ",INDIRECT("Input!D"&amp;1+MATCH($H45,aux_sheet!$A$2:$A$202,0)))</f>
        <v xml:space="preserve"> </v>
      </c>
      <c r="F45" t="str">
        <f ca="1">INDIRECT("Input!F"&amp;1+MATCH($H45,aux_sheet!$A$2:$A$202,0))</f>
        <v xml:space="preserve"> </v>
      </c>
      <c r="G45">
        <f ca="1">IF(ISBLANK(Input!E45)," ",INDIRECT("Input!AP"&amp;1+MATCH($H45,aux_sheet!$A$2:$A$202,0)))</f>
        <v>0</v>
      </c>
      <c r="H45">
        <f>aux_sheet!B45</f>
        <v>1000</v>
      </c>
      <c r="J45" t="str">
        <f t="shared" si="1"/>
        <v xml:space="preserve"> </v>
      </c>
      <c r="K45">
        <v>44</v>
      </c>
      <c r="L45" t="str">
        <f t="shared" ca="1" si="2"/>
        <v xml:space="preserve"> </v>
      </c>
      <c r="M45" t="str">
        <f t="shared" ca="1" si="3"/>
        <v xml:space="preserve"> </v>
      </c>
      <c r="N45" s="3" t="str">
        <f t="shared" ca="1" si="4"/>
        <v xml:space="preserve"> </v>
      </c>
      <c r="O45" s="3" t="str">
        <f ca="1">IF(ISNUMBER($L45),INDIRECT("Input!A"&amp;1+MATCH($M45,aux_sheet!$A$2:$A$202,0))," ")</f>
        <v xml:space="preserve"> </v>
      </c>
      <c r="P45" s="3" t="str">
        <f ca="1">IF(ISNUMBER($L45),INDIRECT("Input!B"&amp;1+MATCH($M45,aux_sheet!$A$2:$A$202,0))," ")</f>
        <v xml:space="preserve"> </v>
      </c>
      <c r="Q45">
        <v>44</v>
      </c>
      <c r="R45" t="s">
        <v>116</v>
      </c>
      <c r="S45" t="s">
        <v>83</v>
      </c>
    </row>
    <row r="46" spans="1:19" x14ac:dyDescent="0.35">
      <c r="A46" t="str">
        <f>IF(ISBLANK(Input!A46)," ",ROUNDDOWN(aux_sheet!B46,0))</f>
        <v xml:space="preserve"> </v>
      </c>
      <c r="B46" t="str">
        <f ca="1">IF(ISBLANK(Input!A46)," ",INDIRECT("Input!A"&amp;1+MATCH(H46,aux_sheet!$A$2:$A$202,0)))</f>
        <v xml:space="preserve"> </v>
      </c>
      <c r="C46" t="str">
        <f ca="1">IF(ISBLANK(Input!B46)," ",INDIRECT("Input!B"&amp;1+MATCH($H46,aux_sheet!$A$2:$A$202,0)))</f>
        <v xml:space="preserve"> </v>
      </c>
      <c r="D46" t="str">
        <f ca="1">IF(ISBLANK(Input!C46)," ",INDIRECT("Input!C"&amp;1+MATCH($H46,aux_sheet!$A$2:$A$202,0)))</f>
        <v xml:space="preserve"> </v>
      </c>
      <c r="E46" t="str">
        <f ca="1">IF(ISBLANK(Input!D46)," ",INDIRECT("Input!D"&amp;1+MATCH($H46,aux_sheet!$A$2:$A$202,0)))</f>
        <v xml:space="preserve"> </v>
      </c>
      <c r="F46" t="str">
        <f ca="1">INDIRECT("Input!F"&amp;1+MATCH($H46,aux_sheet!$A$2:$A$202,0))</f>
        <v xml:space="preserve"> </v>
      </c>
      <c r="G46">
        <f ca="1">IF(ISBLANK(Input!E46)," ",INDIRECT("Input!AP"&amp;1+MATCH($H46,aux_sheet!$A$2:$A$202,0)))</f>
        <v>0</v>
      </c>
      <c r="H46">
        <f>aux_sheet!B46</f>
        <v>1000</v>
      </c>
      <c r="J46" t="str">
        <f t="shared" si="1"/>
        <v xml:space="preserve"> </v>
      </c>
      <c r="K46">
        <v>45</v>
      </c>
      <c r="L46" t="str">
        <f t="shared" ca="1" si="2"/>
        <v xml:space="preserve"> </v>
      </c>
      <c r="M46" t="str">
        <f t="shared" ca="1" si="3"/>
        <v xml:space="preserve"> </v>
      </c>
      <c r="N46" s="3" t="str">
        <f t="shared" ca="1" si="4"/>
        <v xml:space="preserve"> </v>
      </c>
      <c r="O46" s="3" t="str">
        <f ca="1">IF(ISNUMBER($L46),INDIRECT("Input!A"&amp;1+MATCH($M46,aux_sheet!$A$2:$A$202,0))," ")</f>
        <v xml:space="preserve"> </v>
      </c>
      <c r="P46" s="3" t="str">
        <f ca="1">IF(ISNUMBER($L46),INDIRECT("Input!B"&amp;1+MATCH($M46,aux_sheet!$A$2:$A$202,0))," ")</f>
        <v xml:space="preserve"> </v>
      </c>
      <c r="Q46">
        <v>45</v>
      </c>
      <c r="R46" t="s">
        <v>126</v>
      </c>
      <c r="S46" t="s">
        <v>77</v>
      </c>
    </row>
    <row r="47" spans="1:19" x14ac:dyDescent="0.35">
      <c r="A47" t="str">
        <f>IF(ISBLANK(Input!A47)," ",ROUNDDOWN(aux_sheet!B47,0))</f>
        <v xml:space="preserve"> </v>
      </c>
      <c r="B47" t="str">
        <f ca="1">IF(ISBLANK(Input!A47)," ",INDIRECT("Input!A"&amp;1+MATCH(H47,aux_sheet!$A$2:$A$202,0)))</f>
        <v xml:space="preserve"> </v>
      </c>
      <c r="C47" t="str">
        <f ca="1">IF(ISBLANK(Input!B47)," ",INDIRECT("Input!B"&amp;1+MATCH($H47,aux_sheet!$A$2:$A$202,0)))</f>
        <v xml:space="preserve"> </v>
      </c>
      <c r="D47" t="str">
        <f ca="1">IF(ISBLANK(Input!C47)," ",INDIRECT("Input!C"&amp;1+MATCH($H47,aux_sheet!$A$2:$A$202,0)))</f>
        <v xml:space="preserve"> </v>
      </c>
      <c r="E47" t="str">
        <f ca="1">IF(ISBLANK(Input!D47)," ",INDIRECT("Input!D"&amp;1+MATCH($H47,aux_sheet!$A$2:$A$202,0)))</f>
        <v xml:space="preserve"> </v>
      </c>
      <c r="F47" t="str">
        <f ca="1">INDIRECT("Input!F"&amp;1+MATCH($H47,aux_sheet!$A$2:$A$202,0))</f>
        <v xml:space="preserve"> </v>
      </c>
      <c r="G47">
        <f ca="1">IF(ISBLANK(Input!E47)," ",INDIRECT("Input!AP"&amp;1+MATCH($H47,aux_sheet!$A$2:$A$202,0)))</f>
        <v>0</v>
      </c>
      <c r="H47">
        <f>aux_sheet!B47</f>
        <v>1000</v>
      </c>
      <c r="J47" t="str">
        <f t="shared" si="1"/>
        <v xml:space="preserve"> </v>
      </c>
      <c r="K47">
        <v>46</v>
      </c>
      <c r="L47" t="str">
        <f t="shared" ca="1" si="2"/>
        <v xml:space="preserve"> </v>
      </c>
      <c r="M47" t="str">
        <f t="shared" ca="1" si="3"/>
        <v xml:space="preserve"> </v>
      </c>
      <c r="N47" s="3" t="str">
        <f t="shared" ca="1" si="4"/>
        <v xml:space="preserve"> </v>
      </c>
      <c r="O47" s="3" t="str">
        <f ca="1">IF(ISNUMBER($L47),INDIRECT("Input!A"&amp;1+MATCH($M47,aux_sheet!$A$2:$A$202,0))," ")</f>
        <v xml:space="preserve"> </v>
      </c>
      <c r="P47" s="3" t="str">
        <f ca="1">IF(ISNUMBER($L47),INDIRECT("Input!B"&amp;1+MATCH($M47,aux_sheet!$A$2:$A$202,0))," ")</f>
        <v xml:space="preserve"> </v>
      </c>
      <c r="Q47">
        <v>46</v>
      </c>
      <c r="R47" t="s">
        <v>125</v>
      </c>
      <c r="S47" t="s">
        <v>77</v>
      </c>
    </row>
    <row r="48" spans="1:19" x14ac:dyDescent="0.35">
      <c r="A48" t="str">
        <f>IF(ISBLANK(Input!A48)," ",ROUNDDOWN(aux_sheet!B48,0))</f>
        <v xml:space="preserve"> </v>
      </c>
      <c r="B48" t="str">
        <f ca="1">IF(ISBLANK(Input!A48)," ",INDIRECT("Input!A"&amp;1+MATCH(H48,aux_sheet!$A$2:$A$202,0)))</f>
        <v xml:space="preserve"> </v>
      </c>
      <c r="C48" t="str">
        <f ca="1">IF(ISBLANK(Input!B48)," ",INDIRECT("Input!B"&amp;1+MATCH($H48,aux_sheet!$A$2:$A$202,0)))</f>
        <v xml:space="preserve"> </v>
      </c>
      <c r="D48" t="str">
        <f ca="1">IF(ISBLANK(Input!C48)," ",INDIRECT("Input!C"&amp;1+MATCH($H48,aux_sheet!$A$2:$A$202,0)))</f>
        <v xml:space="preserve"> </v>
      </c>
      <c r="E48" t="str">
        <f ca="1">IF(ISBLANK(Input!D48)," ",INDIRECT("Input!D"&amp;1+MATCH($H48,aux_sheet!$A$2:$A$202,0)))</f>
        <v xml:space="preserve"> </v>
      </c>
      <c r="F48" t="str">
        <f ca="1">INDIRECT("Input!F"&amp;1+MATCH($H48,aux_sheet!$A$2:$A$202,0))</f>
        <v xml:space="preserve"> </v>
      </c>
      <c r="G48">
        <f ca="1">IF(ISBLANK(Input!E48)," ",INDIRECT("Input!AP"&amp;1+MATCH($H48,aux_sheet!$A$2:$A$202,0)))</f>
        <v>0</v>
      </c>
      <c r="H48">
        <f>aux_sheet!B48</f>
        <v>1000</v>
      </c>
      <c r="J48" t="str">
        <f t="shared" si="1"/>
        <v xml:space="preserve"> </v>
      </c>
      <c r="K48">
        <v>47</v>
      </c>
      <c r="L48" t="str">
        <f t="shared" ca="1" si="2"/>
        <v xml:space="preserve"> </v>
      </c>
      <c r="M48" t="str">
        <f t="shared" ca="1" si="3"/>
        <v xml:space="preserve"> </v>
      </c>
      <c r="N48" s="3" t="str">
        <f t="shared" ca="1" si="4"/>
        <v xml:space="preserve"> </v>
      </c>
      <c r="O48" s="3" t="str">
        <f ca="1">IF(ISNUMBER($L48),INDIRECT("Input!A"&amp;1+MATCH($M48,aux_sheet!$A$2:$A$202,0))," ")</f>
        <v xml:space="preserve"> </v>
      </c>
      <c r="P48" s="3" t="str">
        <f ca="1">IF(ISNUMBER($L48),INDIRECT("Input!B"&amp;1+MATCH($M48,aux_sheet!$A$2:$A$202,0))," ")</f>
        <v xml:space="preserve"> </v>
      </c>
      <c r="Q48">
        <v>47</v>
      </c>
      <c r="R48" t="s">
        <v>124</v>
      </c>
      <c r="S48" t="s">
        <v>77</v>
      </c>
    </row>
    <row r="49" spans="1:19" x14ac:dyDescent="0.35">
      <c r="A49" t="str">
        <f>IF(ISBLANK(Input!A49)," ",ROUNDDOWN(aux_sheet!B49,0))</f>
        <v xml:space="preserve"> </v>
      </c>
      <c r="B49" t="str">
        <f ca="1">IF(ISBLANK(Input!A49)," ",INDIRECT("Input!A"&amp;1+MATCH(H49,aux_sheet!$A$2:$A$202,0)))</f>
        <v xml:space="preserve"> </v>
      </c>
      <c r="C49" t="str">
        <f ca="1">IF(ISBLANK(Input!B49)," ",INDIRECT("Input!B"&amp;1+MATCH($H49,aux_sheet!$A$2:$A$202,0)))</f>
        <v xml:space="preserve"> </v>
      </c>
      <c r="D49" t="str">
        <f ca="1">IF(ISBLANK(Input!C49)," ",INDIRECT("Input!C"&amp;1+MATCH($H49,aux_sheet!$A$2:$A$202,0)))</f>
        <v xml:space="preserve"> </v>
      </c>
      <c r="E49" t="str">
        <f ca="1">IF(ISBLANK(Input!D49)," ",INDIRECT("Input!D"&amp;1+MATCH($H49,aux_sheet!$A$2:$A$202,0)))</f>
        <v xml:space="preserve"> </v>
      </c>
      <c r="F49" t="str">
        <f ca="1">INDIRECT("Input!F"&amp;1+MATCH($H49,aux_sheet!$A$2:$A$202,0))</f>
        <v xml:space="preserve"> </v>
      </c>
      <c r="G49">
        <f ca="1">IF(ISBLANK(Input!E49)," ",INDIRECT("Input!AP"&amp;1+MATCH($H49,aux_sheet!$A$2:$A$202,0)))</f>
        <v>0</v>
      </c>
      <c r="H49">
        <f>aux_sheet!B49</f>
        <v>1000</v>
      </c>
      <c r="J49" t="str">
        <f t="shared" si="1"/>
        <v xml:space="preserve"> </v>
      </c>
      <c r="K49">
        <v>48</v>
      </c>
      <c r="L49" t="str">
        <f t="shared" ca="1" si="2"/>
        <v xml:space="preserve"> </v>
      </c>
      <c r="M49" t="str">
        <f t="shared" ca="1" si="3"/>
        <v xml:space="preserve"> </v>
      </c>
      <c r="N49" s="3" t="str">
        <f t="shared" ca="1" si="4"/>
        <v xml:space="preserve"> </v>
      </c>
      <c r="O49" s="3" t="str">
        <f ca="1">IF(ISNUMBER($L49),INDIRECT("Input!A"&amp;1+MATCH($M49,aux_sheet!$A$2:$A$202,0))," ")</f>
        <v xml:space="preserve"> </v>
      </c>
      <c r="P49" s="3" t="str">
        <f ca="1">IF(ISNUMBER($L49),INDIRECT("Input!B"&amp;1+MATCH($M49,aux_sheet!$A$2:$A$202,0))," ")</f>
        <v xml:space="preserve"> </v>
      </c>
      <c r="Q49">
        <v>48</v>
      </c>
      <c r="R49" t="s">
        <v>123</v>
      </c>
      <c r="S49" t="s">
        <v>77</v>
      </c>
    </row>
    <row r="50" spans="1:19" x14ac:dyDescent="0.35">
      <c r="A50" t="str">
        <f>IF(ISBLANK(Input!A50)," ",ROUNDDOWN(aux_sheet!B50,0))</f>
        <v xml:space="preserve"> </v>
      </c>
      <c r="B50" t="str">
        <f ca="1">IF(ISBLANK(Input!A50)," ",INDIRECT("Input!A"&amp;1+MATCH(H50,aux_sheet!$A$2:$A$202,0)))</f>
        <v xml:space="preserve"> </v>
      </c>
      <c r="C50" t="str">
        <f ca="1">IF(ISBLANK(Input!B50)," ",INDIRECT("Input!B"&amp;1+MATCH($H50,aux_sheet!$A$2:$A$202,0)))</f>
        <v xml:space="preserve"> </v>
      </c>
      <c r="D50" t="str">
        <f ca="1">IF(ISBLANK(Input!C50)," ",INDIRECT("Input!C"&amp;1+MATCH($H50,aux_sheet!$A$2:$A$202,0)))</f>
        <v xml:space="preserve"> </v>
      </c>
      <c r="E50" t="str">
        <f ca="1">IF(ISBLANK(Input!D50)," ",INDIRECT("Input!D"&amp;1+MATCH($H50,aux_sheet!$A$2:$A$202,0)))</f>
        <v xml:space="preserve"> </v>
      </c>
      <c r="F50" t="str">
        <f ca="1">INDIRECT("Input!F"&amp;1+MATCH($H50,aux_sheet!$A$2:$A$202,0))</f>
        <v xml:space="preserve"> </v>
      </c>
      <c r="G50">
        <f ca="1">IF(ISBLANK(Input!E50)," ",INDIRECT("Input!AP"&amp;1+MATCH($H50,aux_sheet!$A$2:$A$202,0)))</f>
        <v>0</v>
      </c>
      <c r="H50">
        <f>aux_sheet!B50</f>
        <v>1000</v>
      </c>
      <c r="J50" t="str">
        <f t="shared" si="1"/>
        <v xml:space="preserve"> </v>
      </c>
      <c r="K50">
        <v>49</v>
      </c>
      <c r="L50" t="str">
        <f t="shared" ca="1" si="2"/>
        <v xml:space="preserve"> </v>
      </c>
      <c r="M50" t="str">
        <f t="shared" ca="1" si="3"/>
        <v xml:space="preserve"> </v>
      </c>
      <c r="N50" s="3" t="str">
        <f t="shared" ca="1" si="4"/>
        <v xml:space="preserve"> </v>
      </c>
      <c r="O50" s="3" t="str">
        <f ca="1">IF(ISNUMBER($L50),INDIRECT("Input!A"&amp;1+MATCH($M50,aux_sheet!$A$2:$A$202,0))," ")</f>
        <v xml:space="preserve"> </v>
      </c>
      <c r="P50" s="3" t="str">
        <f ca="1">IF(ISNUMBER($L50),INDIRECT("Input!B"&amp;1+MATCH($M50,aux_sheet!$A$2:$A$202,0))," ")</f>
        <v xml:space="preserve"> </v>
      </c>
      <c r="Q50">
        <v>49</v>
      </c>
      <c r="R50" t="s">
        <v>122</v>
      </c>
      <c r="S50" t="s">
        <v>77</v>
      </c>
    </row>
    <row r="51" spans="1:19" x14ac:dyDescent="0.35">
      <c r="A51" t="str">
        <f>IF(ISBLANK(Input!A51)," ",ROUNDDOWN(aux_sheet!B51,0))</f>
        <v xml:space="preserve"> </v>
      </c>
      <c r="B51" t="str">
        <f ca="1">IF(ISBLANK(Input!A51)," ",INDIRECT("Input!A"&amp;1+MATCH(H51,aux_sheet!$A$2:$A$202,0)))</f>
        <v xml:space="preserve"> </v>
      </c>
      <c r="C51" t="str">
        <f ca="1">IF(ISBLANK(Input!B51)," ",INDIRECT("Input!B"&amp;1+MATCH($H51,aux_sheet!$A$2:$A$202,0)))</f>
        <v xml:space="preserve"> </v>
      </c>
      <c r="D51" t="str">
        <f ca="1">IF(ISBLANK(Input!C51)," ",INDIRECT("Input!C"&amp;1+MATCH($H51,aux_sheet!$A$2:$A$202,0)))</f>
        <v xml:space="preserve"> </v>
      </c>
      <c r="E51" t="str">
        <f ca="1">IF(ISBLANK(Input!D51)," ",INDIRECT("Input!D"&amp;1+MATCH($H51,aux_sheet!$A$2:$A$202,0)))</f>
        <v xml:space="preserve"> </v>
      </c>
      <c r="F51" t="str">
        <f ca="1">INDIRECT("Input!F"&amp;1+MATCH($H51,aux_sheet!$A$2:$A$202,0))</f>
        <v xml:space="preserve"> </v>
      </c>
      <c r="G51">
        <f ca="1">IF(ISBLANK(Input!E51)," ",INDIRECT("Input!AP"&amp;1+MATCH($H51,aux_sheet!$A$2:$A$202,0)))</f>
        <v>0</v>
      </c>
      <c r="H51">
        <f>aux_sheet!B51</f>
        <v>1000</v>
      </c>
      <c r="J51" t="str">
        <f t="shared" si="1"/>
        <v xml:space="preserve"> </v>
      </c>
      <c r="K51">
        <v>50</v>
      </c>
      <c r="L51" t="str">
        <f t="shared" ca="1" si="2"/>
        <v xml:space="preserve"> </v>
      </c>
      <c r="M51" t="str">
        <f t="shared" ca="1" si="3"/>
        <v xml:space="preserve"> </v>
      </c>
      <c r="N51" s="3" t="str">
        <f t="shared" ca="1" si="4"/>
        <v xml:space="preserve"> </v>
      </c>
      <c r="O51" s="3" t="str">
        <f ca="1">IF(ISNUMBER($L51),INDIRECT("Input!A"&amp;1+MATCH($M51,aux_sheet!$A$2:$A$202,0))," ")</f>
        <v xml:space="preserve"> </v>
      </c>
      <c r="P51" s="3" t="str">
        <f ca="1">IF(ISNUMBER($L51),INDIRECT("Input!B"&amp;1+MATCH($M51,aux_sheet!$A$2:$A$202,0))," ")</f>
        <v xml:space="preserve"> </v>
      </c>
      <c r="Q51">
        <v>50</v>
      </c>
      <c r="R51" t="s">
        <v>121</v>
      </c>
      <c r="S51" t="s">
        <v>77</v>
      </c>
    </row>
    <row r="52" spans="1:19" x14ac:dyDescent="0.35">
      <c r="A52" t="str">
        <f>IF(ISBLANK(Input!A52)," ",ROUNDDOWN(aux_sheet!B52,0))</f>
        <v xml:space="preserve"> </v>
      </c>
      <c r="B52" t="str">
        <f ca="1">IF(ISBLANK(Input!A52)," ",INDIRECT("Input!A"&amp;1+MATCH(H52,aux_sheet!$A$2:$A$202,0)))</f>
        <v xml:space="preserve"> </v>
      </c>
      <c r="C52" t="str">
        <f ca="1">IF(ISBLANK(Input!B52)," ",INDIRECT("Input!B"&amp;1+MATCH($H52,aux_sheet!$A$2:$A$202,0)))</f>
        <v xml:space="preserve"> </v>
      </c>
      <c r="D52" t="str">
        <f ca="1">IF(ISBLANK(Input!C52)," ",INDIRECT("Input!C"&amp;1+MATCH($H52,aux_sheet!$A$2:$A$202,0)))</f>
        <v xml:space="preserve"> </v>
      </c>
      <c r="E52" t="str">
        <f ca="1">IF(ISBLANK(Input!D52)," ",INDIRECT("Input!D"&amp;1+MATCH($H52,aux_sheet!$A$2:$A$202,0)))</f>
        <v xml:space="preserve"> </v>
      </c>
      <c r="F52" t="str">
        <f ca="1">INDIRECT("Input!F"&amp;1+MATCH($H52,aux_sheet!$A$2:$A$202,0))</f>
        <v xml:space="preserve"> </v>
      </c>
      <c r="G52">
        <f ca="1">IF(ISBLANK(Input!E52)," ",INDIRECT("Input!AP"&amp;1+MATCH($H52,aux_sheet!$A$2:$A$202,0)))</f>
        <v>0</v>
      </c>
      <c r="H52">
        <f>aux_sheet!B52</f>
        <v>1000</v>
      </c>
      <c r="J52" t="str">
        <f t="shared" si="1"/>
        <v xml:space="preserve"> </v>
      </c>
      <c r="K52">
        <v>51</v>
      </c>
      <c r="L52" t="str">
        <f t="shared" ca="1" si="2"/>
        <v xml:space="preserve"> </v>
      </c>
      <c r="M52" t="str">
        <f t="shared" ca="1" si="3"/>
        <v xml:space="preserve"> </v>
      </c>
      <c r="N52" s="3" t="str">
        <f t="shared" ca="1" si="4"/>
        <v xml:space="preserve"> </v>
      </c>
      <c r="O52" s="3" t="str">
        <f ca="1">IF(ISNUMBER($L52),INDIRECT("Input!A"&amp;1+MATCH($M52,aux_sheet!$A$2:$A$202,0))," ")</f>
        <v xml:space="preserve"> </v>
      </c>
      <c r="P52" s="3" t="str">
        <f ca="1">IF(ISNUMBER($L52),INDIRECT("Input!B"&amp;1+MATCH($M52,aux_sheet!$A$2:$A$202,0))," ")</f>
        <v xml:space="preserve"> </v>
      </c>
      <c r="Q52">
        <v>51</v>
      </c>
      <c r="R52" t="s">
        <v>120</v>
      </c>
      <c r="S52" t="s">
        <v>80</v>
      </c>
    </row>
    <row r="53" spans="1:19" x14ac:dyDescent="0.35">
      <c r="A53" t="str">
        <f>IF(ISBLANK(Input!A53)," ",ROUNDDOWN(aux_sheet!B53,0))</f>
        <v xml:space="preserve"> </v>
      </c>
      <c r="B53" t="str">
        <f ca="1">IF(ISBLANK(Input!A53)," ",INDIRECT("Input!A"&amp;1+MATCH(H53,aux_sheet!$A$2:$A$202,0)))</f>
        <v xml:space="preserve"> </v>
      </c>
      <c r="C53" t="str">
        <f ca="1">IF(ISBLANK(Input!B53)," ",INDIRECT("Input!B"&amp;1+MATCH($H53,aux_sheet!$A$2:$A$202,0)))</f>
        <v xml:space="preserve"> </v>
      </c>
      <c r="D53" t="str">
        <f ca="1">IF(ISBLANK(Input!C53)," ",INDIRECT("Input!C"&amp;1+MATCH($H53,aux_sheet!$A$2:$A$202,0)))</f>
        <v xml:space="preserve"> </v>
      </c>
      <c r="E53" t="str">
        <f ca="1">IF(ISBLANK(Input!D53)," ",INDIRECT("Input!D"&amp;1+MATCH($H53,aux_sheet!$A$2:$A$202,0)))</f>
        <v xml:space="preserve"> </v>
      </c>
      <c r="F53" t="str">
        <f ca="1">INDIRECT("Input!F"&amp;1+MATCH($H53,aux_sheet!$A$2:$A$202,0))</f>
        <v xml:space="preserve"> </v>
      </c>
      <c r="G53">
        <f ca="1">IF(ISBLANK(Input!E53)," ",INDIRECT("Input!AP"&amp;1+MATCH($H53,aux_sheet!$A$2:$A$202,0)))</f>
        <v>0</v>
      </c>
      <c r="H53">
        <f>aux_sheet!B53</f>
        <v>1000</v>
      </c>
      <c r="J53" t="str">
        <f t="shared" si="1"/>
        <v xml:space="preserve"> </v>
      </c>
      <c r="K53">
        <v>52</v>
      </c>
      <c r="L53" t="str">
        <f t="shared" ca="1" si="2"/>
        <v xml:space="preserve"> </v>
      </c>
      <c r="M53" t="str">
        <f t="shared" ca="1" si="3"/>
        <v xml:space="preserve"> </v>
      </c>
      <c r="N53" s="3" t="str">
        <f t="shared" ca="1" si="4"/>
        <v xml:space="preserve"> </v>
      </c>
      <c r="O53" s="3" t="str">
        <f ca="1">IF(ISNUMBER($L53),INDIRECT("Input!A"&amp;1+MATCH($M53,aux_sheet!$A$2:$A$202,0))," ")</f>
        <v xml:space="preserve"> </v>
      </c>
      <c r="P53" s="3" t="str">
        <f ca="1">IF(ISNUMBER($L53),INDIRECT("Input!B"&amp;1+MATCH($M53,aux_sheet!$A$2:$A$202,0))," ")</f>
        <v xml:space="preserve"> </v>
      </c>
      <c r="Q53">
        <v>52</v>
      </c>
      <c r="R53" t="s">
        <v>119</v>
      </c>
      <c r="S53" t="s">
        <v>81</v>
      </c>
    </row>
    <row r="54" spans="1:19" x14ac:dyDescent="0.35">
      <c r="A54" t="str">
        <f>IF(ISBLANK(Input!A54)," ",ROUNDDOWN(aux_sheet!B54,0))</f>
        <v xml:space="preserve"> </v>
      </c>
      <c r="B54" t="str">
        <f ca="1">IF(ISBLANK(Input!A54)," ",INDIRECT("Input!A"&amp;1+MATCH(H54,aux_sheet!$A$2:$A$202,0)))</f>
        <v xml:space="preserve"> </v>
      </c>
      <c r="C54" t="str">
        <f ca="1">IF(ISBLANK(Input!B54)," ",INDIRECT("Input!B"&amp;1+MATCH($H54,aux_sheet!$A$2:$A$202,0)))</f>
        <v xml:space="preserve"> </v>
      </c>
      <c r="D54" t="str">
        <f ca="1">IF(ISBLANK(Input!C54)," ",INDIRECT("Input!C"&amp;1+MATCH($H54,aux_sheet!$A$2:$A$202,0)))</f>
        <v xml:space="preserve"> </v>
      </c>
      <c r="E54" t="str">
        <f ca="1">IF(ISBLANK(Input!D54)," ",INDIRECT("Input!D"&amp;1+MATCH($H54,aux_sheet!$A$2:$A$202,0)))</f>
        <v xml:space="preserve"> </v>
      </c>
      <c r="F54" t="str">
        <f ca="1">INDIRECT("Input!F"&amp;1+MATCH($H54,aux_sheet!$A$2:$A$202,0))</f>
        <v xml:space="preserve"> </v>
      </c>
      <c r="G54">
        <f ca="1">IF(ISBLANK(Input!E54)," ",INDIRECT("Input!AP"&amp;1+MATCH($H54,aux_sheet!$A$2:$A$202,0)))</f>
        <v>0</v>
      </c>
      <c r="H54">
        <f>aux_sheet!B54</f>
        <v>1000</v>
      </c>
      <c r="J54" t="str">
        <f t="shared" si="1"/>
        <v xml:space="preserve"> </v>
      </c>
      <c r="K54">
        <v>53</v>
      </c>
      <c r="L54" t="str">
        <f t="shared" ca="1" si="2"/>
        <v xml:space="preserve"> </v>
      </c>
      <c r="M54" t="str">
        <f t="shared" ca="1" si="3"/>
        <v xml:space="preserve"> </v>
      </c>
      <c r="N54" s="3" t="str">
        <f t="shared" ca="1" si="4"/>
        <v xml:space="preserve"> </v>
      </c>
      <c r="O54" s="3" t="str">
        <f ca="1">IF(ISNUMBER($L54),INDIRECT("Input!A"&amp;1+MATCH($M54,aux_sheet!$A$2:$A$202,0))," ")</f>
        <v xml:space="preserve"> </v>
      </c>
      <c r="P54" s="3" t="str">
        <f ca="1">IF(ISNUMBER($L54),INDIRECT("Input!B"&amp;1+MATCH($M54,aux_sheet!$A$2:$A$202,0))," ")</f>
        <v xml:space="preserve"> </v>
      </c>
      <c r="Q54">
        <v>53</v>
      </c>
      <c r="R54" t="s">
        <v>118</v>
      </c>
      <c r="S54" t="s">
        <v>78</v>
      </c>
    </row>
    <row r="55" spans="1:19" x14ac:dyDescent="0.35">
      <c r="A55" t="str">
        <f>IF(ISBLANK(Input!A55)," ",ROUNDDOWN(aux_sheet!B55,0))</f>
        <v xml:space="preserve"> </v>
      </c>
      <c r="B55" t="str">
        <f ca="1">IF(ISBLANK(Input!A55)," ",INDIRECT("Input!A"&amp;1+MATCH(H55,aux_sheet!$A$2:$A$202,0)))</f>
        <v xml:space="preserve"> </v>
      </c>
      <c r="C55" t="str">
        <f ca="1">IF(ISBLANK(Input!B55)," ",INDIRECT("Input!B"&amp;1+MATCH($H55,aux_sheet!$A$2:$A$202,0)))</f>
        <v xml:space="preserve"> </v>
      </c>
      <c r="D55" t="str">
        <f ca="1">IF(ISBLANK(Input!C55)," ",INDIRECT("Input!C"&amp;1+MATCH($H55,aux_sheet!$A$2:$A$202,0)))</f>
        <v xml:space="preserve"> </v>
      </c>
      <c r="E55" t="str">
        <f ca="1">IF(ISBLANK(Input!D55)," ",INDIRECT("Input!D"&amp;1+MATCH($H55,aux_sheet!$A$2:$A$202,0)))</f>
        <v xml:space="preserve"> </v>
      </c>
      <c r="F55" t="str">
        <f ca="1">INDIRECT("Input!F"&amp;1+MATCH($H55,aux_sheet!$A$2:$A$202,0))</f>
        <v xml:space="preserve"> </v>
      </c>
      <c r="G55">
        <f ca="1">IF(ISBLANK(Input!E55)," ",INDIRECT("Input!AP"&amp;1+MATCH($H55,aux_sheet!$A$2:$A$202,0)))</f>
        <v>0</v>
      </c>
      <c r="H55">
        <f>aux_sheet!B55</f>
        <v>1000</v>
      </c>
      <c r="J55" t="str">
        <f t="shared" si="1"/>
        <v xml:space="preserve"> </v>
      </c>
      <c r="K55">
        <v>54</v>
      </c>
      <c r="L55" t="str">
        <f t="shared" ca="1" si="2"/>
        <v xml:space="preserve"> </v>
      </c>
      <c r="M55" t="str">
        <f t="shared" ca="1" si="3"/>
        <v xml:space="preserve"> </v>
      </c>
      <c r="N55" s="3" t="str">
        <f t="shared" ca="1" si="4"/>
        <v xml:space="preserve"> </v>
      </c>
      <c r="O55" s="3" t="str">
        <f ca="1">IF(ISNUMBER($L55),INDIRECT("Input!A"&amp;1+MATCH($M55,aux_sheet!$A$2:$A$202,0))," ")</f>
        <v xml:space="preserve"> </v>
      </c>
      <c r="P55" s="3" t="str">
        <f ca="1">IF(ISNUMBER($L55),INDIRECT("Input!B"&amp;1+MATCH($M55,aux_sheet!$A$2:$A$202,0))," ")</f>
        <v xml:space="preserve"> </v>
      </c>
      <c r="Q55">
        <v>54</v>
      </c>
      <c r="R55" t="s">
        <v>115</v>
      </c>
      <c r="S55" t="s">
        <v>79</v>
      </c>
    </row>
    <row r="56" spans="1:19" x14ac:dyDescent="0.35">
      <c r="A56" t="str">
        <f>IF(ISBLANK(Input!A56)," ",ROUNDDOWN(aux_sheet!B56,0))</f>
        <v xml:space="preserve"> </v>
      </c>
      <c r="B56" t="str">
        <f ca="1">IF(ISBLANK(Input!A56)," ",INDIRECT("Input!A"&amp;1+MATCH(H56,aux_sheet!$A$2:$A$202,0)))</f>
        <v xml:space="preserve"> </v>
      </c>
      <c r="C56" t="str">
        <f ca="1">IF(ISBLANK(Input!B56)," ",INDIRECT("Input!B"&amp;1+MATCH($H56,aux_sheet!$A$2:$A$202,0)))</f>
        <v xml:space="preserve"> </v>
      </c>
      <c r="D56" t="str">
        <f ca="1">IF(ISBLANK(Input!C56)," ",INDIRECT("Input!C"&amp;1+MATCH($H56,aux_sheet!$A$2:$A$202,0)))</f>
        <v xml:space="preserve"> </v>
      </c>
      <c r="E56" t="str">
        <f ca="1">IF(ISBLANK(Input!D56)," ",INDIRECT("Input!D"&amp;1+MATCH($H56,aux_sheet!$A$2:$A$202,0)))</f>
        <v xml:space="preserve"> </v>
      </c>
      <c r="F56" t="str">
        <f ca="1">INDIRECT("Input!F"&amp;1+MATCH($H56,aux_sheet!$A$2:$A$202,0))</f>
        <v xml:space="preserve"> </v>
      </c>
      <c r="G56">
        <f ca="1">IF(ISBLANK(Input!E56)," ",INDIRECT("Input!AP"&amp;1+MATCH($H56,aux_sheet!$A$2:$A$202,0)))</f>
        <v>0</v>
      </c>
      <c r="H56">
        <f>aux_sheet!B56</f>
        <v>1000</v>
      </c>
      <c r="J56" t="str">
        <f t="shared" si="1"/>
        <v xml:space="preserve"> </v>
      </c>
      <c r="K56">
        <v>55</v>
      </c>
      <c r="L56" t="str">
        <f t="shared" ca="1" si="2"/>
        <v xml:space="preserve"> </v>
      </c>
      <c r="M56" t="str">
        <f t="shared" ca="1" si="3"/>
        <v xml:space="preserve"> </v>
      </c>
      <c r="N56" s="3" t="str">
        <f t="shared" ca="1" si="4"/>
        <v xml:space="preserve"> </v>
      </c>
      <c r="O56" s="3" t="str">
        <f ca="1">IF(ISNUMBER($L56),INDIRECT("Input!A"&amp;1+MATCH($M56,aux_sheet!$A$2:$A$202,0))," ")</f>
        <v xml:space="preserve"> </v>
      </c>
      <c r="P56" s="3" t="str">
        <f ca="1">IF(ISNUMBER($L56),INDIRECT("Input!B"&amp;1+MATCH($M56,aux_sheet!$A$2:$A$202,0))," ")</f>
        <v xml:space="preserve"> </v>
      </c>
      <c r="Q56">
        <v>55</v>
      </c>
      <c r="R56" t="s">
        <v>114</v>
      </c>
      <c r="S56" t="s">
        <v>84</v>
      </c>
    </row>
    <row r="57" spans="1:19" x14ac:dyDescent="0.35">
      <c r="A57" t="str">
        <f>IF(ISBLANK(Input!A57)," ",ROUNDDOWN(aux_sheet!B57,0))</f>
        <v xml:space="preserve"> </v>
      </c>
      <c r="B57" t="str">
        <f ca="1">IF(ISBLANK(Input!A57)," ",INDIRECT("Input!A"&amp;1+MATCH(H57,aux_sheet!$A$2:$A$202,0)))</f>
        <v xml:space="preserve"> </v>
      </c>
      <c r="C57" t="str">
        <f ca="1">IF(ISBLANK(Input!B57)," ",INDIRECT("Input!B"&amp;1+MATCH($H57,aux_sheet!$A$2:$A$202,0)))</f>
        <v xml:space="preserve"> </v>
      </c>
      <c r="D57" t="str">
        <f ca="1">IF(ISBLANK(Input!C57)," ",INDIRECT("Input!C"&amp;1+MATCH($H57,aux_sheet!$A$2:$A$202,0)))</f>
        <v xml:space="preserve"> </v>
      </c>
      <c r="E57" t="str">
        <f ca="1">IF(ISBLANK(Input!D57)," ",INDIRECT("Input!D"&amp;1+MATCH($H57,aux_sheet!$A$2:$A$202,0)))</f>
        <v xml:space="preserve"> </v>
      </c>
      <c r="F57" t="str">
        <f ca="1">INDIRECT("Input!F"&amp;1+MATCH($H57,aux_sheet!$A$2:$A$202,0))</f>
        <v xml:space="preserve"> </v>
      </c>
      <c r="G57">
        <f ca="1">IF(ISBLANK(Input!E57)," ",INDIRECT("Input!AP"&amp;1+MATCH($H57,aux_sheet!$A$2:$A$202,0)))</f>
        <v>0</v>
      </c>
      <c r="H57">
        <f>aux_sheet!B57</f>
        <v>1000</v>
      </c>
      <c r="J57" t="str">
        <f t="shared" si="1"/>
        <v xml:space="preserve"> </v>
      </c>
      <c r="K57">
        <v>56</v>
      </c>
      <c r="L57" t="str">
        <f t="shared" ca="1" si="2"/>
        <v xml:space="preserve"> </v>
      </c>
      <c r="M57" t="str">
        <f t="shared" ca="1" si="3"/>
        <v xml:space="preserve"> </v>
      </c>
      <c r="N57" s="3" t="str">
        <f t="shared" ca="1" si="4"/>
        <v xml:space="preserve"> </v>
      </c>
      <c r="O57" s="3" t="str">
        <f ca="1">IF(ISNUMBER($L57),INDIRECT("Input!A"&amp;1+MATCH($M57,aux_sheet!$A$2:$A$202,0))," ")</f>
        <v xml:space="preserve"> </v>
      </c>
      <c r="P57" s="3" t="str">
        <f ca="1">IF(ISNUMBER($L57),INDIRECT("Input!B"&amp;1+MATCH($M57,aux_sheet!$A$2:$A$202,0))," ")</f>
        <v xml:space="preserve"> </v>
      </c>
      <c r="Q57">
        <v>56</v>
      </c>
      <c r="R57" t="s">
        <v>113</v>
      </c>
      <c r="S57" t="s">
        <v>85</v>
      </c>
    </row>
    <row r="58" spans="1:19" x14ac:dyDescent="0.35">
      <c r="A58" t="str">
        <f>IF(ISBLANK(Input!A58)," ",ROUNDDOWN(aux_sheet!B58,0))</f>
        <v xml:space="preserve"> </v>
      </c>
      <c r="B58" t="str">
        <f ca="1">IF(ISBLANK(Input!A58)," ",INDIRECT("Input!A"&amp;1+MATCH(H58,aux_sheet!$A$2:$A$202,0)))</f>
        <v xml:space="preserve"> </v>
      </c>
      <c r="C58" t="str">
        <f ca="1">IF(ISBLANK(Input!B58)," ",INDIRECT("Input!B"&amp;1+MATCH($H58,aux_sheet!$A$2:$A$202,0)))</f>
        <v xml:space="preserve"> </v>
      </c>
      <c r="D58" t="str">
        <f ca="1">IF(ISBLANK(Input!C58)," ",INDIRECT("Input!C"&amp;1+MATCH($H58,aux_sheet!$A$2:$A$202,0)))</f>
        <v xml:space="preserve"> </v>
      </c>
      <c r="E58" t="str">
        <f ca="1">IF(ISBLANK(Input!D58)," ",INDIRECT("Input!D"&amp;1+MATCH($H58,aux_sheet!$A$2:$A$202,0)))</f>
        <v xml:space="preserve"> </v>
      </c>
      <c r="F58" t="str">
        <f ca="1">INDIRECT("Input!F"&amp;1+MATCH($H58,aux_sheet!$A$2:$A$202,0))</f>
        <v xml:space="preserve"> </v>
      </c>
      <c r="G58">
        <f ca="1">IF(ISBLANK(Input!E58)," ",INDIRECT("Input!AP"&amp;1+MATCH($H58,aux_sheet!$A$2:$A$202,0)))</f>
        <v>0</v>
      </c>
      <c r="H58">
        <f>aux_sheet!B58</f>
        <v>1000</v>
      </c>
      <c r="J58" t="str">
        <f t="shared" si="1"/>
        <v xml:space="preserve"> </v>
      </c>
      <c r="K58">
        <v>57</v>
      </c>
      <c r="L58" t="str">
        <f t="shared" ca="1" si="2"/>
        <v xml:space="preserve"> </v>
      </c>
      <c r="M58" t="str">
        <f t="shared" ca="1" si="3"/>
        <v xml:space="preserve"> </v>
      </c>
      <c r="N58" s="3" t="str">
        <f t="shared" ca="1" si="4"/>
        <v xml:space="preserve"> </v>
      </c>
      <c r="O58" s="3" t="str">
        <f ca="1">IF(ISNUMBER($L58),INDIRECT("Input!A"&amp;1+MATCH($M58,aux_sheet!$A$2:$A$202,0))," ")</f>
        <v xml:space="preserve"> </v>
      </c>
      <c r="P58" s="3" t="str">
        <f ca="1">IF(ISNUMBER($L58),INDIRECT("Input!B"&amp;1+MATCH($M58,aux_sheet!$A$2:$A$202,0))," ")</f>
        <v xml:space="preserve"> </v>
      </c>
      <c r="Q58">
        <v>57</v>
      </c>
      <c r="R58" t="s">
        <v>112</v>
      </c>
      <c r="S58" t="s">
        <v>86</v>
      </c>
    </row>
    <row r="59" spans="1:19" x14ac:dyDescent="0.35">
      <c r="A59" t="str">
        <f>IF(ISBLANK(Input!A59)," ",ROUNDDOWN(aux_sheet!B59,0))</f>
        <v xml:space="preserve"> </v>
      </c>
      <c r="B59" t="str">
        <f ca="1">IF(ISBLANK(Input!A59)," ",INDIRECT("Input!A"&amp;1+MATCH(H59,aux_sheet!$A$2:$A$202,0)))</f>
        <v xml:space="preserve"> </v>
      </c>
      <c r="C59" t="str">
        <f ca="1">IF(ISBLANK(Input!B59)," ",INDIRECT("Input!B"&amp;1+MATCH($H59,aux_sheet!$A$2:$A$202,0)))</f>
        <v xml:space="preserve"> </v>
      </c>
      <c r="D59" t="str">
        <f ca="1">IF(ISBLANK(Input!C59)," ",INDIRECT("Input!C"&amp;1+MATCH($H59,aux_sheet!$A$2:$A$202,0)))</f>
        <v xml:space="preserve"> </v>
      </c>
      <c r="E59" t="str">
        <f ca="1">IF(ISBLANK(Input!D59)," ",INDIRECT("Input!D"&amp;1+MATCH($H59,aux_sheet!$A$2:$A$202,0)))</f>
        <v xml:space="preserve"> </v>
      </c>
      <c r="F59" t="str">
        <f ca="1">INDIRECT("Input!F"&amp;1+MATCH($H59,aux_sheet!$A$2:$A$202,0))</f>
        <v xml:space="preserve"> </v>
      </c>
      <c r="G59">
        <f ca="1">IF(ISBLANK(Input!E59)," ",INDIRECT("Input!AP"&amp;1+MATCH($H59,aux_sheet!$A$2:$A$202,0)))</f>
        <v>0</v>
      </c>
      <c r="H59">
        <f>aux_sheet!B59</f>
        <v>1000</v>
      </c>
      <c r="J59" t="str">
        <f t="shared" si="1"/>
        <v xml:space="preserve"> </v>
      </c>
      <c r="K59">
        <v>58</v>
      </c>
      <c r="L59" t="str">
        <f t="shared" ca="1" si="2"/>
        <v xml:space="preserve"> </v>
      </c>
      <c r="M59" t="str">
        <f t="shared" ca="1" si="3"/>
        <v xml:space="preserve"> </v>
      </c>
      <c r="N59" s="3" t="str">
        <f t="shared" ca="1" si="4"/>
        <v xml:space="preserve"> </v>
      </c>
      <c r="O59" s="3" t="str">
        <f ca="1">IF(ISNUMBER($L59),INDIRECT("Input!A"&amp;1+MATCH($M59,aux_sheet!$A$2:$A$202,0))," ")</f>
        <v xml:space="preserve"> </v>
      </c>
      <c r="P59" s="3" t="str">
        <f ca="1">IF(ISNUMBER($L59),INDIRECT("Input!B"&amp;1+MATCH($M59,aux_sheet!$A$2:$A$202,0))," ")</f>
        <v xml:space="preserve"> </v>
      </c>
      <c r="Q59" t="s">
        <v>111</v>
      </c>
      <c r="R59" t="s">
        <v>111</v>
      </c>
      <c r="S59" t="s">
        <v>111</v>
      </c>
    </row>
    <row r="60" spans="1:19" x14ac:dyDescent="0.35">
      <c r="A60" t="str">
        <f>IF(ISBLANK(Input!A60)," ",ROUNDDOWN(aux_sheet!B60,0))</f>
        <v xml:space="preserve"> </v>
      </c>
      <c r="B60" t="str">
        <f ca="1">IF(ISBLANK(Input!A60)," ",INDIRECT("Input!A"&amp;1+MATCH(H60,aux_sheet!$A$2:$A$202,0)))</f>
        <v xml:space="preserve"> </v>
      </c>
      <c r="C60" t="str">
        <f ca="1">IF(ISBLANK(Input!B60)," ",INDIRECT("Input!B"&amp;1+MATCH($H60,aux_sheet!$A$2:$A$202,0)))</f>
        <v xml:space="preserve"> </v>
      </c>
      <c r="D60" t="str">
        <f ca="1">IF(ISBLANK(Input!C60)," ",INDIRECT("Input!C"&amp;1+MATCH($H60,aux_sheet!$A$2:$A$202,0)))</f>
        <v xml:space="preserve"> </v>
      </c>
      <c r="E60" t="str">
        <f ca="1">IF(ISBLANK(Input!D60)," ",INDIRECT("Input!D"&amp;1+MATCH($H60,aux_sheet!$A$2:$A$202,0)))</f>
        <v xml:space="preserve"> </v>
      </c>
      <c r="F60" t="str">
        <f ca="1">INDIRECT("Input!F"&amp;1+MATCH($H60,aux_sheet!$A$2:$A$202,0))</f>
        <v xml:space="preserve"> </v>
      </c>
      <c r="G60">
        <f ca="1">IF(ISBLANK(Input!E60)," ",INDIRECT("Input!AP"&amp;1+MATCH($H60,aux_sheet!$A$2:$A$202,0)))</f>
        <v>0</v>
      </c>
      <c r="H60">
        <f>aux_sheet!B60</f>
        <v>1000</v>
      </c>
      <c r="J60" t="str">
        <f t="shared" si="1"/>
        <v xml:space="preserve"> </v>
      </c>
      <c r="K60">
        <v>59</v>
      </c>
      <c r="L60" t="str">
        <f t="shared" ca="1" si="2"/>
        <v xml:space="preserve"> </v>
      </c>
      <c r="M60" t="str">
        <f t="shared" ca="1" si="3"/>
        <v xml:space="preserve"> </v>
      </c>
      <c r="N60" s="3" t="str">
        <f t="shared" ca="1" si="4"/>
        <v xml:space="preserve"> </v>
      </c>
      <c r="O60" s="3" t="str">
        <f ca="1">IF(ISNUMBER($L60),INDIRECT("Input!A"&amp;1+MATCH($M60,aux_sheet!$A$2:$A$202,0))," ")</f>
        <v xml:space="preserve"> </v>
      </c>
      <c r="P60" s="3" t="str">
        <f ca="1">IF(ISNUMBER($L60),INDIRECT("Input!B"&amp;1+MATCH($M60,aux_sheet!$A$2:$A$202,0))," ")</f>
        <v xml:space="preserve"> </v>
      </c>
      <c r="Q60" t="s">
        <v>111</v>
      </c>
      <c r="R60" t="s">
        <v>111</v>
      </c>
      <c r="S60" t="s">
        <v>111</v>
      </c>
    </row>
    <row r="61" spans="1:19" x14ac:dyDescent="0.35">
      <c r="A61" t="str">
        <f>IF(ISBLANK(Input!A61)," ",ROUNDDOWN(aux_sheet!B61,0))</f>
        <v xml:space="preserve"> </v>
      </c>
      <c r="B61" t="str">
        <f ca="1">IF(ISBLANK(Input!A61)," ",INDIRECT("Input!A"&amp;1+MATCH(H61,aux_sheet!$A$2:$A$202,0)))</f>
        <v xml:space="preserve"> </v>
      </c>
      <c r="C61" t="str">
        <f ca="1">IF(ISBLANK(Input!B61)," ",INDIRECT("Input!B"&amp;1+MATCH($H61,aux_sheet!$A$2:$A$202,0)))</f>
        <v xml:space="preserve"> </v>
      </c>
      <c r="D61" t="str">
        <f ca="1">IF(ISBLANK(Input!C61)," ",INDIRECT("Input!C"&amp;1+MATCH($H61,aux_sheet!$A$2:$A$202,0)))</f>
        <v xml:space="preserve"> </v>
      </c>
      <c r="E61" t="str">
        <f ca="1">IF(ISBLANK(Input!D61)," ",INDIRECT("Input!D"&amp;1+MATCH($H61,aux_sheet!$A$2:$A$202,0)))</f>
        <v xml:space="preserve"> </v>
      </c>
      <c r="F61" t="str">
        <f ca="1">INDIRECT("Input!F"&amp;1+MATCH($H61,aux_sheet!$A$2:$A$202,0))</f>
        <v xml:space="preserve"> </v>
      </c>
      <c r="G61">
        <f ca="1">IF(ISBLANK(Input!E61)," ",INDIRECT("Input!AP"&amp;1+MATCH($H61,aux_sheet!$A$2:$A$202,0)))</f>
        <v>0</v>
      </c>
      <c r="H61">
        <f>aux_sheet!B61</f>
        <v>1000</v>
      </c>
      <c r="J61" t="str">
        <f t="shared" si="1"/>
        <v xml:space="preserve"> </v>
      </c>
      <c r="K61">
        <v>60</v>
      </c>
      <c r="L61" t="str">
        <f t="shared" ca="1" si="2"/>
        <v xml:space="preserve"> </v>
      </c>
      <c r="M61" t="str">
        <f t="shared" ca="1" si="3"/>
        <v xml:space="preserve"> </v>
      </c>
      <c r="N61" s="3" t="str">
        <f t="shared" ca="1" si="4"/>
        <v xml:space="preserve"> </v>
      </c>
      <c r="O61" s="3" t="str">
        <f ca="1">IF(ISNUMBER($L61),INDIRECT("Input!A"&amp;1+MATCH($M61,aux_sheet!$A$2:$A$202,0))," ")</f>
        <v xml:space="preserve"> </v>
      </c>
      <c r="P61" s="3" t="str">
        <f ca="1">IF(ISNUMBER($L61),INDIRECT("Input!B"&amp;1+MATCH($M61,aux_sheet!$A$2:$A$202,0))," ")</f>
        <v xml:space="preserve"> </v>
      </c>
      <c r="Q61" t="s">
        <v>111</v>
      </c>
      <c r="R61" t="s">
        <v>111</v>
      </c>
      <c r="S61" t="s">
        <v>111</v>
      </c>
    </row>
    <row r="62" spans="1:19" x14ac:dyDescent="0.35">
      <c r="A62" t="str">
        <f>IF(ISBLANK(Input!A62)," ",ROUNDDOWN(aux_sheet!B62,0))</f>
        <v xml:space="preserve"> </v>
      </c>
      <c r="B62" t="str">
        <f ca="1">IF(ISBLANK(Input!A62)," ",INDIRECT("Input!A"&amp;1+MATCH(H62,aux_sheet!$A$2:$A$202,0)))</f>
        <v xml:space="preserve"> </v>
      </c>
      <c r="C62" t="str">
        <f ca="1">IF(ISBLANK(Input!B62)," ",INDIRECT("Input!B"&amp;1+MATCH($H62,aux_sheet!$A$2:$A$202,0)))</f>
        <v xml:space="preserve"> </v>
      </c>
      <c r="D62" t="str">
        <f ca="1">IF(ISBLANK(Input!C62)," ",INDIRECT("Input!C"&amp;1+MATCH($H62,aux_sheet!$A$2:$A$202,0)))</f>
        <v xml:space="preserve"> </v>
      </c>
      <c r="E62" t="str">
        <f ca="1">IF(ISBLANK(Input!D62)," ",INDIRECT("Input!D"&amp;1+MATCH($H62,aux_sheet!$A$2:$A$202,0)))</f>
        <v xml:space="preserve"> </v>
      </c>
      <c r="F62" t="str">
        <f ca="1">INDIRECT("Input!F"&amp;1+MATCH($H62,aux_sheet!$A$2:$A$202,0))</f>
        <v xml:space="preserve"> </v>
      </c>
      <c r="G62">
        <f ca="1">IF(ISBLANK(Input!E62)," ",INDIRECT("Input!AP"&amp;1+MATCH($H62,aux_sheet!$A$2:$A$202,0)))</f>
        <v>0</v>
      </c>
      <c r="H62">
        <f>aux_sheet!B62</f>
        <v>1000</v>
      </c>
      <c r="J62" t="str">
        <f t="shared" si="1"/>
        <v xml:space="preserve"> </v>
      </c>
      <c r="K62">
        <v>61</v>
      </c>
      <c r="L62" t="str">
        <f t="shared" ca="1" si="2"/>
        <v xml:space="preserve"> </v>
      </c>
      <c r="M62" t="str">
        <f t="shared" ca="1" si="3"/>
        <v xml:space="preserve"> </v>
      </c>
      <c r="N62" s="3" t="str">
        <f t="shared" ca="1" si="4"/>
        <v xml:space="preserve"> </v>
      </c>
      <c r="O62" s="3" t="str">
        <f ca="1">IF(ISNUMBER($L62),INDIRECT("Input!A"&amp;1+MATCH($M62,aux_sheet!$A$2:$A$202,0))," ")</f>
        <v xml:space="preserve"> </v>
      </c>
      <c r="P62" s="3" t="str">
        <f ca="1">IF(ISNUMBER($L62),INDIRECT("Input!B"&amp;1+MATCH($M62,aux_sheet!$A$2:$A$202,0))," ")</f>
        <v xml:space="preserve"> </v>
      </c>
    </row>
    <row r="63" spans="1:19" x14ac:dyDescent="0.35">
      <c r="A63" t="str">
        <f>IF(ISBLANK(Input!A63)," ",ROUNDDOWN(aux_sheet!B63,0))</f>
        <v xml:space="preserve"> </v>
      </c>
      <c r="B63" t="str">
        <f ca="1">IF(ISBLANK(Input!A63)," ",INDIRECT("Input!A"&amp;1+MATCH(H63,aux_sheet!$A$2:$A$202,0)))</f>
        <v xml:space="preserve"> </v>
      </c>
      <c r="C63" t="str">
        <f ca="1">IF(ISBLANK(Input!B63)," ",INDIRECT("Input!B"&amp;1+MATCH($H63,aux_sheet!$A$2:$A$202,0)))</f>
        <v xml:space="preserve"> </v>
      </c>
      <c r="D63" t="str">
        <f ca="1">IF(ISBLANK(Input!C63)," ",INDIRECT("Input!C"&amp;1+MATCH($H63,aux_sheet!$A$2:$A$202,0)))</f>
        <v xml:space="preserve"> </v>
      </c>
      <c r="E63" t="str">
        <f ca="1">IF(ISBLANK(Input!D63)," ",INDIRECT("Input!D"&amp;1+MATCH($H63,aux_sheet!$A$2:$A$202,0)))</f>
        <v xml:space="preserve"> </v>
      </c>
      <c r="F63" t="str">
        <f ca="1">INDIRECT("Input!F"&amp;1+MATCH($H63,aux_sheet!$A$2:$A$202,0))</f>
        <v xml:space="preserve"> </v>
      </c>
      <c r="G63">
        <f ca="1">IF(ISBLANK(Input!E63)," ",INDIRECT("Input!AP"&amp;1+MATCH($H63,aux_sheet!$A$2:$A$202,0)))</f>
        <v>0</v>
      </c>
      <c r="H63">
        <f>aux_sheet!B63</f>
        <v>1000</v>
      </c>
      <c r="J63" t="str">
        <f t="shared" si="1"/>
        <v xml:space="preserve"> </v>
      </c>
      <c r="K63">
        <v>62</v>
      </c>
      <c r="L63" t="str">
        <f t="shared" ca="1" si="2"/>
        <v xml:space="preserve"> </v>
      </c>
      <c r="M63" t="str">
        <f t="shared" ca="1" si="3"/>
        <v xml:space="preserve"> </v>
      </c>
      <c r="N63" s="3" t="str">
        <f t="shared" ca="1" si="4"/>
        <v xml:space="preserve"> </v>
      </c>
      <c r="O63" s="3" t="str">
        <f ca="1">IF(ISNUMBER($L63),INDIRECT("Input!A"&amp;1+MATCH($M63,aux_sheet!$A$2:$A$202,0))," ")</f>
        <v xml:space="preserve"> </v>
      </c>
      <c r="P63" s="3" t="str">
        <f ca="1">IF(ISNUMBER($L63),INDIRECT("Input!B"&amp;1+MATCH($M63,aux_sheet!$A$2:$A$202,0))," ")</f>
        <v xml:space="preserve"> </v>
      </c>
    </row>
    <row r="64" spans="1:19" x14ac:dyDescent="0.35">
      <c r="A64" t="str">
        <f>IF(ISBLANK(Input!A64)," ",ROUNDDOWN(aux_sheet!B64,0))</f>
        <v xml:space="preserve"> </v>
      </c>
      <c r="B64" t="str">
        <f ca="1">IF(ISBLANK(Input!A64)," ",INDIRECT("Input!A"&amp;1+MATCH(H64,aux_sheet!$A$2:$A$202,0)))</f>
        <v xml:space="preserve"> </v>
      </c>
      <c r="C64" t="str">
        <f ca="1">IF(ISBLANK(Input!B64)," ",INDIRECT("Input!B"&amp;1+MATCH($H64,aux_sheet!$A$2:$A$202,0)))</f>
        <v xml:space="preserve"> </v>
      </c>
      <c r="D64" t="str">
        <f ca="1">IF(ISBLANK(Input!C64)," ",INDIRECT("Input!C"&amp;1+MATCH($H64,aux_sheet!$A$2:$A$202,0)))</f>
        <v xml:space="preserve"> </v>
      </c>
      <c r="E64" t="str">
        <f ca="1">IF(ISBLANK(Input!D64)," ",INDIRECT("Input!D"&amp;1+MATCH($H64,aux_sheet!$A$2:$A$202,0)))</f>
        <v xml:space="preserve"> </v>
      </c>
      <c r="F64" t="str">
        <f ca="1">INDIRECT("Input!F"&amp;1+MATCH($H64,aux_sheet!$A$2:$A$202,0))</f>
        <v xml:space="preserve"> </v>
      </c>
      <c r="G64">
        <f ca="1">IF(ISBLANK(Input!E64)," ",INDIRECT("Input!AP"&amp;1+MATCH($H64,aux_sheet!$A$2:$A$202,0)))</f>
        <v>0</v>
      </c>
      <c r="H64">
        <f>aux_sheet!B64</f>
        <v>1000</v>
      </c>
      <c r="J64" t="str">
        <f t="shared" si="1"/>
        <v xml:space="preserve"> </v>
      </c>
      <c r="K64">
        <v>63</v>
      </c>
      <c r="L64" t="str">
        <f t="shared" ca="1" si="2"/>
        <v xml:space="preserve"> </v>
      </c>
      <c r="M64" t="str">
        <f t="shared" ca="1" si="3"/>
        <v xml:space="preserve"> </v>
      </c>
      <c r="N64" s="3" t="str">
        <f t="shared" ca="1" si="4"/>
        <v xml:space="preserve"> </v>
      </c>
      <c r="O64" s="3" t="str">
        <f ca="1">IF(ISNUMBER($L64),INDIRECT("Input!A"&amp;1+MATCH($M64,aux_sheet!$A$2:$A$202,0))," ")</f>
        <v xml:space="preserve"> </v>
      </c>
      <c r="P64" s="3" t="str">
        <f ca="1">IF(ISNUMBER($L64),INDIRECT("Input!B"&amp;1+MATCH($M64,aux_sheet!$A$2:$A$202,0))," ")</f>
        <v xml:space="preserve"> </v>
      </c>
    </row>
    <row r="65" spans="1:16" x14ac:dyDescent="0.35">
      <c r="A65" t="str">
        <f>IF(ISBLANK(Input!A65)," ",ROUNDDOWN(aux_sheet!B65,0))</f>
        <v xml:space="preserve"> </v>
      </c>
      <c r="B65" t="str">
        <f ca="1">IF(ISBLANK(Input!A65)," ",INDIRECT("Input!A"&amp;1+MATCH(H65,aux_sheet!$A$2:$A$202,0)))</f>
        <v xml:space="preserve"> </v>
      </c>
      <c r="C65" t="str">
        <f ca="1">IF(ISBLANK(Input!B65)," ",INDIRECT("Input!B"&amp;1+MATCH($H65,aux_sheet!$A$2:$A$202,0)))</f>
        <v xml:space="preserve"> </v>
      </c>
      <c r="D65" t="str">
        <f ca="1">IF(ISBLANK(Input!C65)," ",INDIRECT("Input!C"&amp;1+MATCH($H65,aux_sheet!$A$2:$A$202,0)))</f>
        <v xml:space="preserve"> </v>
      </c>
      <c r="E65" t="str">
        <f ca="1">IF(ISBLANK(Input!D65)," ",INDIRECT("Input!D"&amp;1+MATCH($H65,aux_sheet!$A$2:$A$202,0)))</f>
        <v xml:space="preserve"> </v>
      </c>
      <c r="F65" t="str">
        <f ca="1">INDIRECT("Input!F"&amp;1+MATCH($H65,aux_sheet!$A$2:$A$202,0))</f>
        <v xml:space="preserve"> </v>
      </c>
      <c r="G65">
        <f ca="1">IF(ISBLANK(Input!E65)," ",INDIRECT("Input!AP"&amp;1+MATCH($H65,aux_sheet!$A$2:$A$202,0)))</f>
        <v>0</v>
      </c>
      <c r="H65">
        <f>aux_sheet!B65</f>
        <v>1000</v>
      </c>
      <c r="J65" t="str">
        <f t="shared" si="1"/>
        <v xml:space="preserve"> </v>
      </c>
      <c r="K65">
        <v>64</v>
      </c>
      <c r="L65" t="str">
        <f t="shared" ca="1" si="2"/>
        <v xml:space="preserve"> </v>
      </c>
      <c r="M65" t="str">
        <f t="shared" ca="1" si="3"/>
        <v xml:space="preserve"> </v>
      </c>
      <c r="N65" s="3" t="str">
        <f t="shared" ca="1" si="4"/>
        <v xml:space="preserve"> </v>
      </c>
      <c r="O65" s="3" t="str">
        <f ca="1">IF(ISNUMBER($L65),INDIRECT("Input!A"&amp;1+MATCH($M65,aux_sheet!$A$2:$A$202,0))," ")</f>
        <v xml:space="preserve"> </v>
      </c>
      <c r="P65" s="3" t="str">
        <f ca="1">IF(ISNUMBER($L65),INDIRECT("Input!B"&amp;1+MATCH($M65,aux_sheet!$A$2:$A$202,0))," ")</f>
        <v xml:space="preserve"> </v>
      </c>
    </row>
    <row r="66" spans="1:16" x14ac:dyDescent="0.35">
      <c r="A66" t="str">
        <f>IF(ISBLANK(Input!A66)," ",ROUNDDOWN(aux_sheet!B66,0))</f>
        <v xml:space="preserve"> </v>
      </c>
      <c r="B66" t="str">
        <f ca="1">IF(ISBLANK(Input!A66)," ",INDIRECT("Input!A"&amp;1+MATCH(H66,aux_sheet!$A$2:$A$202,0)))</f>
        <v xml:space="preserve"> </v>
      </c>
      <c r="C66" t="str">
        <f ca="1">IF(ISBLANK(Input!B66)," ",INDIRECT("Input!B"&amp;1+MATCH($H66,aux_sheet!$A$2:$A$202,0)))</f>
        <v xml:space="preserve"> </v>
      </c>
      <c r="D66" t="str">
        <f ca="1">IF(ISBLANK(Input!C66)," ",INDIRECT("Input!C"&amp;1+MATCH($H66,aux_sheet!$A$2:$A$202,0)))</f>
        <v xml:space="preserve"> </v>
      </c>
      <c r="E66" t="str">
        <f ca="1">IF(ISBLANK(Input!D66)," ",INDIRECT("Input!D"&amp;1+MATCH($H66,aux_sheet!$A$2:$A$202,0)))</f>
        <v xml:space="preserve"> </v>
      </c>
      <c r="F66" t="str">
        <f ca="1">INDIRECT("Input!F"&amp;1+MATCH($H66,aux_sheet!$A$2:$A$202,0))</f>
        <v xml:space="preserve"> </v>
      </c>
      <c r="G66">
        <f ca="1">IF(ISBLANK(Input!E66)," ",INDIRECT("Input!AP"&amp;1+MATCH($H66,aux_sheet!$A$2:$A$202,0)))</f>
        <v>0</v>
      </c>
      <c r="H66">
        <f>aux_sheet!B66</f>
        <v>1000</v>
      </c>
      <c r="J66" t="str">
        <f t="shared" si="1"/>
        <v xml:space="preserve"> </v>
      </c>
      <c r="K66">
        <v>65</v>
      </c>
      <c r="L66" t="str">
        <f t="shared" ca="1" si="2"/>
        <v xml:space="preserve"> </v>
      </c>
      <c r="M66" t="str">
        <f t="shared" ca="1" si="3"/>
        <v xml:space="preserve"> </v>
      </c>
      <c r="N66" s="3" t="str">
        <f t="shared" ca="1" si="4"/>
        <v xml:space="preserve"> </v>
      </c>
      <c r="O66" s="3" t="str">
        <f ca="1">IF(ISNUMBER($L66),INDIRECT("Input!A"&amp;1+MATCH($M66,aux_sheet!$A$2:$A$202,0))," ")</f>
        <v xml:space="preserve"> </v>
      </c>
      <c r="P66" s="3" t="str">
        <f ca="1">IF(ISNUMBER($L66),INDIRECT("Input!B"&amp;1+MATCH($M66,aux_sheet!$A$2:$A$202,0))," ")</f>
        <v xml:space="preserve"> </v>
      </c>
    </row>
    <row r="67" spans="1:16" x14ac:dyDescent="0.35">
      <c r="A67" t="str">
        <f>IF(ISBLANK(Input!A67)," ",ROUNDDOWN(aux_sheet!B67,0))</f>
        <v xml:space="preserve"> </v>
      </c>
      <c r="B67" t="str">
        <f ca="1">IF(ISBLANK(Input!A67)," ",INDIRECT("Input!A"&amp;1+MATCH(H67,aux_sheet!$A$2:$A$202,0)))</f>
        <v xml:space="preserve"> </v>
      </c>
      <c r="C67" t="str">
        <f ca="1">IF(ISBLANK(Input!B67)," ",INDIRECT("Input!B"&amp;1+MATCH($H67,aux_sheet!$A$2:$A$202,0)))</f>
        <v xml:space="preserve"> </v>
      </c>
      <c r="D67" t="str">
        <f ca="1">IF(ISBLANK(Input!C67)," ",INDIRECT("Input!C"&amp;1+MATCH($H67,aux_sheet!$A$2:$A$202,0)))</f>
        <v xml:space="preserve"> </v>
      </c>
      <c r="E67" t="str">
        <f ca="1">IF(ISBLANK(Input!D67)," ",INDIRECT("Input!D"&amp;1+MATCH($H67,aux_sheet!$A$2:$A$202,0)))</f>
        <v xml:space="preserve"> </v>
      </c>
      <c r="F67" t="str">
        <f ca="1">INDIRECT("Input!F"&amp;1+MATCH($H67,aux_sheet!$A$2:$A$202,0))</f>
        <v xml:space="preserve"> </v>
      </c>
      <c r="G67">
        <f ca="1">IF(ISBLANK(Input!E67)," ",INDIRECT("Input!AP"&amp;1+MATCH($H67,aux_sheet!$A$2:$A$202,0)))</f>
        <v>0</v>
      </c>
      <c r="H67">
        <f>aux_sheet!B67</f>
        <v>1000</v>
      </c>
      <c r="J67" t="str">
        <f t="shared" ref="J67:J105" si="5">IF(H67&gt;999," ",IF(G67="NP"," ",H67))</f>
        <v xml:space="preserve"> </v>
      </c>
      <c r="K67">
        <v>66</v>
      </c>
      <c r="L67" t="str">
        <f t="shared" ref="L67:L130" ca="1" si="6">IF(K67&lt;$K$1,K67," ")</f>
        <v xml:space="preserve"> </v>
      </c>
      <c r="M67" t="str">
        <f t="shared" ref="M67:M102" ca="1" si="7">IF(ISNUMBER(L67),SMALL($J$2:$J$202,L67)," ")</f>
        <v xml:space="preserve"> </v>
      </c>
      <c r="N67" s="3" t="str">
        <f t="shared" ref="N67:N130" ca="1" si="8">IF(ISNUMBER(M67),ROUNDDOWN(M67,0)," ")</f>
        <v xml:space="preserve"> </v>
      </c>
      <c r="O67" s="3" t="str">
        <f ca="1">IF(ISNUMBER($L67),INDIRECT("Input!A"&amp;1+MATCH($M67,aux_sheet!$A$2:$A$202,0))," ")</f>
        <v xml:space="preserve"> </v>
      </c>
      <c r="P67" s="3" t="str">
        <f ca="1">IF(ISNUMBER($L67),INDIRECT("Input!B"&amp;1+MATCH($M67,aux_sheet!$A$2:$A$202,0))," ")</f>
        <v xml:space="preserve"> </v>
      </c>
    </row>
    <row r="68" spans="1:16" x14ac:dyDescent="0.35">
      <c r="A68" t="str">
        <f>IF(ISBLANK(Input!A68)," ",ROUNDDOWN(aux_sheet!B68,0))</f>
        <v xml:space="preserve"> </v>
      </c>
      <c r="B68" t="str">
        <f ca="1">IF(ISBLANK(Input!A68)," ",INDIRECT("Input!A"&amp;1+MATCH(H68,aux_sheet!$A$2:$A$202,0)))</f>
        <v xml:space="preserve"> </v>
      </c>
      <c r="C68" t="str">
        <f ca="1">IF(ISBLANK(Input!B68)," ",INDIRECT("Input!B"&amp;1+MATCH($H68,aux_sheet!$A$2:$A$202,0)))</f>
        <v xml:space="preserve"> </v>
      </c>
      <c r="D68" t="str">
        <f ca="1">IF(ISBLANK(Input!C68)," ",INDIRECT("Input!C"&amp;1+MATCH($H68,aux_sheet!$A$2:$A$202,0)))</f>
        <v xml:space="preserve"> </v>
      </c>
      <c r="E68" t="str">
        <f ca="1">IF(ISBLANK(Input!D68)," ",INDIRECT("Input!D"&amp;1+MATCH($H68,aux_sheet!$A$2:$A$202,0)))</f>
        <v xml:space="preserve"> </v>
      </c>
      <c r="F68" t="str">
        <f ca="1">INDIRECT("Input!F"&amp;1+MATCH($H68,aux_sheet!$A$2:$A$202,0))</f>
        <v xml:space="preserve"> </v>
      </c>
      <c r="G68">
        <f ca="1">IF(ISBLANK(Input!E68)," ",INDIRECT("Input!AP"&amp;1+MATCH($H68,aux_sheet!$A$2:$A$202,0)))</f>
        <v>0</v>
      </c>
      <c r="H68">
        <f>aux_sheet!B68</f>
        <v>1000</v>
      </c>
      <c r="J68" t="str">
        <f t="shared" si="5"/>
        <v xml:space="preserve"> </v>
      </c>
      <c r="K68">
        <v>67</v>
      </c>
      <c r="L68" t="str">
        <f t="shared" ca="1" si="6"/>
        <v xml:space="preserve"> </v>
      </c>
      <c r="M68" t="str">
        <f t="shared" ca="1" si="7"/>
        <v xml:space="preserve"> </v>
      </c>
      <c r="N68" s="3" t="str">
        <f t="shared" ca="1" si="8"/>
        <v xml:space="preserve"> </v>
      </c>
      <c r="O68" s="3" t="str">
        <f ca="1">IF(ISNUMBER($L68),INDIRECT("Input!A"&amp;1+MATCH($M68,aux_sheet!$A$2:$A$202,0))," ")</f>
        <v xml:space="preserve"> </v>
      </c>
      <c r="P68" s="3" t="str">
        <f ca="1">IF(ISNUMBER($L68),INDIRECT("Input!B"&amp;1+MATCH($M68,aux_sheet!$A$2:$A$202,0))," ")</f>
        <v xml:space="preserve"> </v>
      </c>
    </row>
    <row r="69" spans="1:16" x14ac:dyDescent="0.35">
      <c r="A69" t="str">
        <f>IF(ISBLANK(Input!A69)," ",ROUNDDOWN(aux_sheet!B69,0))</f>
        <v xml:space="preserve"> </v>
      </c>
      <c r="B69" t="str">
        <f ca="1">IF(ISBLANK(Input!A69)," ",INDIRECT("Input!A"&amp;1+MATCH(H69,aux_sheet!$A$2:$A$202,0)))</f>
        <v xml:space="preserve"> </v>
      </c>
      <c r="C69" t="str">
        <f ca="1">IF(ISBLANK(Input!B69)," ",INDIRECT("Input!B"&amp;1+MATCH($H69,aux_sheet!$A$2:$A$202,0)))</f>
        <v xml:space="preserve"> </v>
      </c>
      <c r="D69" t="str">
        <f ca="1">IF(ISBLANK(Input!C69)," ",INDIRECT("Input!C"&amp;1+MATCH($H69,aux_sheet!$A$2:$A$202,0)))</f>
        <v xml:space="preserve"> </v>
      </c>
      <c r="E69" t="str">
        <f ca="1">IF(ISBLANK(Input!D69)," ",INDIRECT("Input!D"&amp;1+MATCH($H69,aux_sheet!$A$2:$A$202,0)))</f>
        <v xml:space="preserve"> </v>
      </c>
      <c r="F69" t="str">
        <f ca="1">INDIRECT("Input!F"&amp;1+MATCH($H69,aux_sheet!$A$2:$A$202,0))</f>
        <v xml:space="preserve"> </v>
      </c>
      <c r="G69">
        <f ca="1">IF(ISBLANK(Input!E69)," ",INDIRECT("Input!AP"&amp;1+MATCH($H69,aux_sheet!$A$2:$A$202,0)))</f>
        <v>0</v>
      </c>
      <c r="H69">
        <f>aux_sheet!B69</f>
        <v>1000</v>
      </c>
      <c r="J69" t="str">
        <f t="shared" si="5"/>
        <v xml:space="preserve"> </v>
      </c>
      <c r="K69">
        <v>68</v>
      </c>
      <c r="L69" t="str">
        <f t="shared" ca="1" si="6"/>
        <v xml:space="preserve"> </v>
      </c>
      <c r="M69" t="str">
        <f t="shared" ca="1" si="7"/>
        <v xml:space="preserve"> </v>
      </c>
      <c r="N69" s="3" t="str">
        <f t="shared" ca="1" si="8"/>
        <v xml:space="preserve"> </v>
      </c>
      <c r="O69" s="3" t="str">
        <f ca="1">IF(ISNUMBER($L69),INDIRECT("Input!A"&amp;1+MATCH($M69,aux_sheet!$A$2:$A$202,0))," ")</f>
        <v xml:space="preserve"> </v>
      </c>
      <c r="P69" s="3" t="str">
        <f ca="1">IF(ISNUMBER($L69),INDIRECT("Input!B"&amp;1+MATCH($M69,aux_sheet!$A$2:$A$202,0))," ")</f>
        <v xml:space="preserve"> </v>
      </c>
    </row>
    <row r="70" spans="1:16" x14ac:dyDescent="0.35">
      <c r="A70" t="str">
        <f>IF(ISBLANK(Input!A70)," ",ROUNDDOWN(aux_sheet!B70,0))</f>
        <v xml:space="preserve"> </v>
      </c>
      <c r="B70" t="str">
        <f ca="1">IF(ISBLANK(Input!A70)," ",INDIRECT("Input!A"&amp;1+MATCH(H70,aux_sheet!$A$2:$A$202,0)))</f>
        <v xml:space="preserve"> </v>
      </c>
      <c r="C70" t="str">
        <f ca="1">IF(ISBLANK(Input!B70)," ",INDIRECT("Input!B"&amp;1+MATCH($H70,aux_sheet!$A$2:$A$202,0)))</f>
        <v xml:space="preserve"> </v>
      </c>
      <c r="D70" t="str">
        <f ca="1">IF(ISBLANK(Input!C70)," ",INDIRECT("Input!C"&amp;1+MATCH($H70,aux_sheet!$A$2:$A$202,0)))</f>
        <v xml:space="preserve"> </v>
      </c>
      <c r="E70" t="str">
        <f ca="1">IF(ISBLANK(Input!D70)," ",INDIRECT("Input!D"&amp;1+MATCH($H70,aux_sheet!$A$2:$A$202,0)))</f>
        <v xml:space="preserve"> </v>
      </c>
      <c r="F70" t="str">
        <f ca="1">INDIRECT("Input!F"&amp;1+MATCH($H70,aux_sheet!$A$2:$A$202,0))</f>
        <v xml:space="preserve"> </v>
      </c>
      <c r="G70">
        <f ca="1">IF(ISBLANK(Input!E70)," ",INDIRECT("Input!AP"&amp;1+MATCH($H70,aux_sheet!$A$2:$A$202,0)))</f>
        <v>0</v>
      </c>
      <c r="H70">
        <f>aux_sheet!B70</f>
        <v>1000</v>
      </c>
      <c r="J70" t="str">
        <f t="shared" si="5"/>
        <v xml:space="preserve"> </v>
      </c>
      <c r="K70">
        <v>69</v>
      </c>
      <c r="L70" t="str">
        <f t="shared" ca="1" si="6"/>
        <v xml:space="preserve"> </v>
      </c>
      <c r="M70" t="str">
        <f t="shared" ca="1" si="7"/>
        <v xml:space="preserve"> </v>
      </c>
      <c r="N70" s="3" t="str">
        <f t="shared" ca="1" si="8"/>
        <v xml:space="preserve"> </v>
      </c>
      <c r="O70" s="3" t="str">
        <f ca="1">IF(ISNUMBER($L70),INDIRECT("Input!A"&amp;1+MATCH($M70,aux_sheet!$A$2:$A$202,0))," ")</f>
        <v xml:space="preserve"> </v>
      </c>
      <c r="P70" s="3" t="str">
        <f ca="1">IF(ISNUMBER($L70),INDIRECT("Input!B"&amp;1+MATCH($M70,aux_sheet!$A$2:$A$202,0))," ")</f>
        <v xml:space="preserve"> </v>
      </c>
    </row>
    <row r="71" spans="1:16" x14ac:dyDescent="0.35">
      <c r="A71" t="str">
        <f>IF(ISBLANK(Input!A71)," ",ROUNDDOWN(aux_sheet!B71,0))</f>
        <v xml:space="preserve"> </v>
      </c>
      <c r="B71" t="str">
        <f ca="1">IF(ISBLANK(Input!A71)," ",INDIRECT("Input!A"&amp;1+MATCH(H71,aux_sheet!$A$2:$A$202,0)))</f>
        <v xml:space="preserve"> </v>
      </c>
      <c r="C71" t="str">
        <f ca="1">IF(ISBLANK(Input!B71)," ",INDIRECT("Input!B"&amp;1+MATCH($H71,aux_sheet!$A$2:$A$202,0)))</f>
        <v xml:space="preserve"> </v>
      </c>
      <c r="D71" t="str">
        <f ca="1">IF(ISBLANK(Input!C71)," ",INDIRECT("Input!C"&amp;1+MATCH($H71,aux_sheet!$A$2:$A$202,0)))</f>
        <v xml:space="preserve"> </v>
      </c>
      <c r="E71" t="str">
        <f ca="1">IF(ISBLANK(Input!D71)," ",INDIRECT("Input!D"&amp;1+MATCH($H71,aux_sheet!$A$2:$A$202,0)))</f>
        <v xml:space="preserve"> </v>
      </c>
      <c r="F71" t="str">
        <f ca="1">INDIRECT("Input!F"&amp;1+MATCH($H71,aux_sheet!$A$2:$A$202,0))</f>
        <v xml:space="preserve"> </v>
      </c>
      <c r="G71">
        <f ca="1">IF(ISBLANK(Input!E71)," ",INDIRECT("Input!AP"&amp;1+MATCH($H71,aux_sheet!$A$2:$A$202,0)))</f>
        <v>0</v>
      </c>
      <c r="H71">
        <f>aux_sheet!B71</f>
        <v>1000</v>
      </c>
      <c r="J71" t="str">
        <f t="shared" si="5"/>
        <v xml:space="preserve"> </v>
      </c>
      <c r="K71">
        <v>70</v>
      </c>
      <c r="L71" t="str">
        <f t="shared" ca="1" si="6"/>
        <v xml:space="preserve"> </v>
      </c>
      <c r="M71" t="str">
        <f t="shared" ca="1" si="7"/>
        <v xml:space="preserve"> </v>
      </c>
      <c r="N71" s="3" t="str">
        <f t="shared" ca="1" si="8"/>
        <v xml:space="preserve"> </v>
      </c>
      <c r="O71" s="3" t="str">
        <f ca="1">IF(ISNUMBER($L71),INDIRECT("Input!A"&amp;1+MATCH($M71,aux_sheet!$A$2:$A$202,0))," ")</f>
        <v xml:space="preserve"> </v>
      </c>
      <c r="P71" s="3" t="str">
        <f ca="1">IF(ISNUMBER($L71),INDIRECT("Input!B"&amp;1+MATCH($M71,aux_sheet!$A$2:$A$202,0))," ")</f>
        <v xml:space="preserve"> </v>
      </c>
    </row>
    <row r="72" spans="1:16" x14ac:dyDescent="0.35">
      <c r="A72" t="str">
        <f>IF(ISBLANK(Input!A72)," ",ROUNDDOWN(aux_sheet!B72,0))</f>
        <v xml:space="preserve"> </v>
      </c>
      <c r="B72" t="str">
        <f ca="1">IF(ISBLANK(Input!A72)," ",INDIRECT("Input!A"&amp;1+MATCH(H72,aux_sheet!$A$2:$A$202,0)))</f>
        <v xml:space="preserve"> </v>
      </c>
      <c r="C72" t="str">
        <f ca="1">IF(ISBLANK(Input!B72)," ",INDIRECT("Input!B"&amp;1+MATCH($H72,aux_sheet!$A$2:$A$202,0)))</f>
        <v xml:space="preserve"> </v>
      </c>
      <c r="D72" t="str">
        <f ca="1">IF(ISBLANK(Input!C72)," ",INDIRECT("Input!C"&amp;1+MATCH($H72,aux_sheet!$A$2:$A$202,0)))</f>
        <v xml:space="preserve"> </v>
      </c>
      <c r="E72" t="str">
        <f ca="1">IF(ISBLANK(Input!D72)," ",INDIRECT("Input!D"&amp;1+MATCH($H72,aux_sheet!$A$2:$A$202,0)))</f>
        <v xml:space="preserve"> </v>
      </c>
      <c r="F72" t="str">
        <f ca="1">INDIRECT("Input!F"&amp;1+MATCH($H72,aux_sheet!$A$2:$A$202,0))</f>
        <v xml:space="preserve"> </v>
      </c>
      <c r="G72">
        <f ca="1">IF(ISBLANK(Input!E72)," ",INDIRECT("Input!AP"&amp;1+MATCH($H72,aux_sheet!$A$2:$A$202,0)))</f>
        <v>0</v>
      </c>
      <c r="H72">
        <f>aux_sheet!B72</f>
        <v>1000</v>
      </c>
      <c r="J72" t="str">
        <f t="shared" si="5"/>
        <v xml:space="preserve"> </v>
      </c>
      <c r="K72">
        <v>71</v>
      </c>
      <c r="L72" t="str">
        <f t="shared" ca="1" si="6"/>
        <v xml:space="preserve"> </v>
      </c>
      <c r="M72" t="str">
        <f t="shared" ca="1" si="7"/>
        <v xml:space="preserve"> </v>
      </c>
      <c r="N72" s="3" t="str">
        <f t="shared" ca="1" si="8"/>
        <v xml:space="preserve"> </v>
      </c>
      <c r="O72" s="3" t="str">
        <f ca="1">IF(ISNUMBER($L72),INDIRECT("Input!A"&amp;1+MATCH($M72,aux_sheet!$A$2:$A$202,0))," ")</f>
        <v xml:space="preserve"> </v>
      </c>
      <c r="P72" s="3" t="str">
        <f ca="1">IF(ISNUMBER($L72),INDIRECT("Input!B"&amp;1+MATCH($M72,aux_sheet!$A$2:$A$202,0))," ")</f>
        <v xml:space="preserve"> </v>
      </c>
    </row>
    <row r="73" spans="1:16" x14ac:dyDescent="0.35">
      <c r="A73" t="str">
        <f>IF(ISBLANK(Input!A73)," ",ROUNDDOWN(aux_sheet!B73,0))</f>
        <v xml:space="preserve"> </v>
      </c>
      <c r="B73" t="str">
        <f ca="1">IF(ISBLANK(Input!A73)," ",INDIRECT("Input!A"&amp;1+MATCH(H73,aux_sheet!$A$2:$A$202,0)))</f>
        <v xml:space="preserve"> </v>
      </c>
      <c r="C73" t="str">
        <f ca="1">IF(ISBLANK(Input!B73)," ",INDIRECT("Input!B"&amp;1+MATCH($H73,aux_sheet!$A$2:$A$202,0)))</f>
        <v xml:space="preserve"> </v>
      </c>
      <c r="D73" t="str">
        <f ca="1">IF(ISBLANK(Input!C73)," ",INDIRECT("Input!C"&amp;1+MATCH($H73,aux_sheet!$A$2:$A$202,0)))</f>
        <v xml:space="preserve"> </v>
      </c>
      <c r="E73" t="str">
        <f ca="1">IF(ISBLANK(Input!D73)," ",INDIRECT("Input!D"&amp;1+MATCH($H73,aux_sheet!$A$2:$A$202,0)))</f>
        <v xml:space="preserve"> </v>
      </c>
      <c r="F73" t="str">
        <f ca="1">INDIRECT("Input!F"&amp;1+MATCH($H73,aux_sheet!$A$2:$A$202,0))</f>
        <v xml:space="preserve"> </v>
      </c>
      <c r="G73">
        <f ca="1">IF(ISBLANK(Input!E73)," ",INDIRECT("Input!AP"&amp;1+MATCH($H73,aux_sheet!$A$2:$A$202,0)))</f>
        <v>0</v>
      </c>
      <c r="H73">
        <f>aux_sheet!B73</f>
        <v>1000</v>
      </c>
      <c r="J73" t="str">
        <f t="shared" si="5"/>
        <v xml:space="preserve"> </v>
      </c>
      <c r="K73">
        <v>72</v>
      </c>
      <c r="L73" t="str">
        <f t="shared" ca="1" si="6"/>
        <v xml:space="preserve"> </v>
      </c>
      <c r="M73" t="str">
        <f t="shared" ca="1" si="7"/>
        <v xml:space="preserve"> </v>
      </c>
      <c r="N73" s="3" t="str">
        <f t="shared" ca="1" si="8"/>
        <v xml:space="preserve"> </v>
      </c>
      <c r="O73" s="3" t="str">
        <f ca="1">IF(ISNUMBER($L73),INDIRECT("Input!A"&amp;1+MATCH($M73,aux_sheet!$A$2:$A$202,0))," ")</f>
        <v xml:space="preserve"> </v>
      </c>
      <c r="P73" s="3" t="str">
        <f ca="1">IF(ISNUMBER($L73),INDIRECT("Input!B"&amp;1+MATCH($M73,aux_sheet!$A$2:$A$202,0))," ")</f>
        <v xml:space="preserve"> </v>
      </c>
    </row>
    <row r="74" spans="1:16" x14ac:dyDescent="0.35">
      <c r="A74" t="str">
        <f>IF(ISBLANK(Input!A74)," ",ROUNDDOWN(aux_sheet!B74,0))</f>
        <v xml:space="preserve"> </v>
      </c>
      <c r="B74" t="str">
        <f ca="1">IF(ISBLANK(Input!A74)," ",INDIRECT("Input!A"&amp;1+MATCH(H74,aux_sheet!$A$2:$A$202,0)))</f>
        <v xml:space="preserve"> </v>
      </c>
      <c r="C74" t="str">
        <f ca="1">IF(ISBLANK(Input!B74)," ",INDIRECT("Input!B"&amp;1+MATCH($H74,aux_sheet!$A$2:$A$202,0)))</f>
        <v xml:space="preserve"> </v>
      </c>
      <c r="D74" t="str">
        <f ca="1">IF(ISBLANK(Input!C74)," ",INDIRECT("Input!C"&amp;1+MATCH($H74,aux_sheet!$A$2:$A$202,0)))</f>
        <v xml:space="preserve"> </v>
      </c>
      <c r="E74" t="str">
        <f ca="1">IF(ISBLANK(Input!D74)," ",INDIRECT("Input!D"&amp;1+MATCH($H74,aux_sheet!$A$2:$A$202,0)))</f>
        <v xml:space="preserve"> </v>
      </c>
      <c r="F74" t="str">
        <f ca="1">INDIRECT("Input!F"&amp;1+MATCH($H74,aux_sheet!$A$2:$A$202,0))</f>
        <v xml:space="preserve"> </v>
      </c>
      <c r="G74">
        <f ca="1">IF(ISBLANK(Input!E74)," ",INDIRECT("Input!AP"&amp;1+MATCH($H74,aux_sheet!$A$2:$A$202,0)))</f>
        <v>0</v>
      </c>
      <c r="H74">
        <f>aux_sheet!B74</f>
        <v>1000</v>
      </c>
      <c r="J74" t="str">
        <f t="shared" si="5"/>
        <v xml:space="preserve"> </v>
      </c>
      <c r="K74">
        <v>73</v>
      </c>
      <c r="L74" t="str">
        <f t="shared" ca="1" si="6"/>
        <v xml:space="preserve"> </v>
      </c>
      <c r="M74" t="str">
        <f t="shared" ca="1" si="7"/>
        <v xml:space="preserve"> </v>
      </c>
      <c r="N74" s="3" t="str">
        <f t="shared" ca="1" si="8"/>
        <v xml:space="preserve"> </v>
      </c>
      <c r="O74" s="3" t="str">
        <f ca="1">IF(ISNUMBER($L74),INDIRECT("Input!A"&amp;1+MATCH($M74,aux_sheet!$A$2:$A$202,0))," ")</f>
        <v xml:space="preserve"> </v>
      </c>
      <c r="P74" s="3" t="str">
        <f ca="1">IF(ISNUMBER($L74),INDIRECT("Input!B"&amp;1+MATCH($M74,aux_sheet!$A$2:$A$202,0))," ")</f>
        <v xml:space="preserve"> </v>
      </c>
    </row>
    <row r="75" spans="1:16" x14ac:dyDescent="0.35">
      <c r="A75" t="str">
        <f>IF(ISBLANK(Input!A75)," ",ROUNDDOWN(aux_sheet!B75,0))</f>
        <v xml:space="preserve"> </v>
      </c>
      <c r="B75" t="str">
        <f ca="1">IF(ISBLANK(Input!A75)," ",INDIRECT("Input!A"&amp;1+MATCH(H75,aux_sheet!$A$2:$A$202,0)))</f>
        <v xml:space="preserve"> </v>
      </c>
      <c r="C75" t="str">
        <f ca="1">IF(ISBLANK(Input!B75)," ",INDIRECT("Input!B"&amp;1+MATCH($H75,aux_sheet!$A$2:$A$202,0)))</f>
        <v xml:space="preserve"> </v>
      </c>
      <c r="D75" t="str">
        <f ca="1">IF(ISBLANK(Input!C75)," ",INDIRECT("Input!C"&amp;1+MATCH($H75,aux_sheet!$A$2:$A$202,0)))</f>
        <v xml:space="preserve"> </v>
      </c>
      <c r="E75" t="str">
        <f ca="1">IF(ISBLANK(Input!D75)," ",INDIRECT("Input!D"&amp;1+MATCH($H75,aux_sheet!$A$2:$A$202,0)))</f>
        <v xml:space="preserve"> </v>
      </c>
      <c r="F75" t="str">
        <f ca="1">INDIRECT("Input!F"&amp;1+MATCH($H75,aux_sheet!$A$2:$A$202,0))</f>
        <v xml:space="preserve"> </v>
      </c>
      <c r="G75">
        <f ca="1">IF(ISBLANK(Input!E75)," ",INDIRECT("Input!AP"&amp;1+MATCH($H75,aux_sheet!$A$2:$A$202,0)))</f>
        <v>0</v>
      </c>
      <c r="H75">
        <f>aux_sheet!B75</f>
        <v>1000</v>
      </c>
      <c r="J75" t="str">
        <f t="shared" si="5"/>
        <v xml:space="preserve"> </v>
      </c>
      <c r="K75">
        <v>74</v>
      </c>
      <c r="L75" t="str">
        <f t="shared" ca="1" si="6"/>
        <v xml:space="preserve"> </v>
      </c>
      <c r="M75" t="str">
        <f t="shared" ca="1" si="7"/>
        <v xml:space="preserve"> </v>
      </c>
      <c r="N75" s="3" t="str">
        <f t="shared" ca="1" si="8"/>
        <v xml:space="preserve"> </v>
      </c>
      <c r="O75" s="3" t="str">
        <f ca="1">IF(ISNUMBER($L75),INDIRECT("Input!A"&amp;1+MATCH($M75,aux_sheet!$A$2:$A$202,0))," ")</f>
        <v xml:space="preserve"> </v>
      </c>
      <c r="P75" s="3" t="str">
        <f ca="1">IF(ISNUMBER($L75),INDIRECT("Input!B"&amp;1+MATCH($M75,aux_sheet!$A$2:$A$202,0))," ")</f>
        <v xml:space="preserve"> </v>
      </c>
    </row>
    <row r="76" spans="1:16" x14ac:dyDescent="0.35">
      <c r="A76" t="str">
        <f>IF(ISBLANK(Input!A76)," ",ROUNDDOWN(aux_sheet!B76,0))</f>
        <v xml:space="preserve"> </v>
      </c>
      <c r="B76" t="str">
        <f ca="1">IF(ISBLANK(Input!A76)," ",INDIRECT("Input!A"&amp;1+MATCH(H76,aux_sheet!$A$2:$A$202,0)))</f>
        <v xml:space="preserve"> </v>
      </c>
      <c r="C76" t="str">
        <f ca="1">IF(ISBLANK(Input!B76)," ",INDIRECT("Input!B"&amp;1+MATCH($H76,aux_sheet!$A$2:$A$202,0)))</f>
        <v xml:space="preserve"> </v>
      </c>
      <c r="D76" t="str">
        <f ca="1">IF(ISBLANK(Input!C76)," ",INDIRECT("Input!C"&amp;1+MATCH($H76,aux_sheet!$A$2:$A$202,0)))</f>
        <v xml:space="preserve"> </v>
      </c>
      <c r="E76" t="str">
        <f ca="1">IF(ISBLANK(Input!D76)," ",INDIRECT("Input!D"&amp;1+MATCH($H76,aux_sheet!$A$2:$A$202,0)))</f>
        <v xml:space="preserve"> </v>
      </c>
      <c r="F76" t="str">
        <f ca="1">INDIRECT("Input!F"&amp;1+MATCH($H76,aux_sheet!$A$2:$A$202,0))</f>
        <v xml:space="preserve"> </v>
      </c>
      <c r="G76">
        <f ca="1">IF(ISBLANK(Input!E76)," ",INDIRECT("Input!AP"&amp;1+MATCH($H76,aux_sheet!$A$2:$A$202,0)))</f>
        <v>0</v>
      </c>
      <c r="H76">
        <f>aux_sheet!B76</f>
        <v>1000</v>
      </c>
      <c r="J76" t="str">
        <f t="shared" si="5"/>
        <v xml:space="preserve"> </v>
      </c>
      <c r="K76">
        <v>75</v>
      </c>
      <c r="L76" t="str">
        <f t="shared" ca="1" si="6"/>
        <v xml:space="preserve"> </v>
      </c>
      <c r="M76" t="str">
        <f t="shared" ca="1" si="7"/>
        <v xml:space="preserve"> </v>
      </c>
      <c r="N76" s="3" t="str">
        <f t="shared" ca="1" si="8"/>
        <v xml:space="preserve"> </v>
      </c>
      <c r="O76" s="3" t="str">
        <f ca="1">IF(ISNUMBER($L76),INDIRECT("Input!A"&amp;1+MATCH($M76,aux_sheet!$A$2:$A$202,0))," ")</f>
        <v xml:space="preserve"> </v>
      </c>
      <c r="P76" s="3" t="str">
        <f ca="1">IF(ISNUMBER($L76),INDIRECT("Input!B"&amp;1+MATCH($M76,aux_sheet!$A$2:$A$202,0))," ")</f>
        <v xml:space="preserve"> </v>
      </c>
    </row>
    <row r="77" spans="1:16" x14ac:dyDescent="0.35">
      <c r="A77" t="str">
        <f>IF(ISBLANK(Input!A77)," ",ROUNDDOWN(aux_sheet!B77,0))</f>
        <v xml:space="preserve"> </v>
      </c>
      <c r="B77" t="str">
        <f ca="1">IF(ISBLANK(Input!A77)," ",INDIRECT("Input!A"&amp;1+MATCH(H77,aux_sheet!$A$2:$A$202,0)))</f>
        <v xml:space="preserve"> </v>
      </c>
      <c r="C77" t="str">
        <f ca="1">IF(ISBLANK(Input!B77)," ",INDIRECT("Input!B"&amp;1+MATCH($H77,aux_sheet!$A$2:$A$202,0)))</f>
        <v xml:space="preserve"> </v>
      </c>
      <c r="D77" t="str">
        <f ca="1">IF(ISBLANK(Input!C77)," ",INDIRECT("Input!C"&amp;1+MATCH($H77,aux_sheet!$A$2:$A$202,0)))</f>
        <v xml:space="preserve"> </v>
      </c>
      <c r="E77" t="str">
        <f ca="1">IF(ISBLANK(Input!D77)," ",INDIRECT("Input!D"&amp;1+MATCH($H77,aux_sheet!$A$2:$A$202,0)))</f>
        <v xml:space="preserve"> </v>
      </c>
      <c r="F77" t="str">
        <f ca="1">INDIRECT("Input!F"&amp;1+MATCH($H77,aux_sheet!$A$2:$A$202,0))</f>
        <v xml:space="preserve"> </v>
      </c>
      <c r="G77">
        <f ca="1">IF(ISBLANK(Input!E77)," ",INDIRECT("Input!AP"&amp;1+MATCH($H77,aux_sheet!$A$2:$A$202,0)))</f>
        <v>0</v>
      </c>
      <c r="H77">
        <f>aux_sheet!B77</f>
        <v>1000</v>
      </c>
      <c r="J77" t="str">
        <f t="shared" si="5"/>
        <v xml:space="preserve"> </v>
      </c>
      <c r="K77">
        <v>76</v>
      </c>
      <c r="L77" t="str">
        <f t="shared" ca="1" si="6"/>
        <v xml:space="preserve"> </v>
      </c>
      <c r="M77" t="str">
        <f t="shared" ca="1" si="7"/>
        <v xml:space="preserve"> </v>
      </c>
      <c r="N77" s="3" t="str">
        <f t="shared" ca="1" si="8"/>
        <v xml:space="preserve"> </v>
      </c>
      <c r="O77" s="3" t="str">
        <f ca="1">IF(ISNUMBER($L77),INDIRECT("Input!A"&amp;1+MATCH($M77,aux_sheet!$A$2:$A$202,0))," ")</f>
        <v xml:space="preserve"> </v>
      </c>
      <c r="P77" s="3" t="str">
        <f ca="1">IF(ISNUMBER($L77),INDIRECT("Input!B"&amp;1+MATCH($M77,aux_sheet!$A$2:$A$202,0))," ")</f>
        <v xml:space="preserve"> </v>
      </c>
    </row>
    <row r="78" spans="1:16" x14ac:dyDescent="0.35">
      <c r="A78" t="str">
        <f>IF(ISBLANK(Input!A78)," ",ROUNDDOWN(aux_sheet!B78,0))</f>
        <v xml:space="preserve"> </v>
      </c>
      <c r="B78" t="str">
        <f ca="1">IF(ISBLANK(Input!A78)," ",INDIRECT("Input!A"&amp;1+MATCH(H78,aux_sheet!$A$2:$A$202,0)))</f>
        <v xml:space="preserve"> </v>
      </c>
      <c r="C78" t="str">
        <f ca="1">IF(ISBLANK(Input!B78)," ",INDIRECT("Input!B"&amp;1+MATCH($H78,aux_sheet!$A$2:$A$202,0)))</f>
        <v xml:space="preserve"> </v>
      </c>
      <c r="D78" t="str">
        <f ca="1">IF(ISBLANK(Input!C78)," ",INDIRECT("Input!C"&amp;1+MATCH($H78,aux_sheet!$A$2:$A$202,0)))</f>
        <v xml:space="preserve"> </v>
      </c>
      <c r="E78" t="str">
        <f ca="1">IF(ISBLANK(Input!D78)," ",INDIRECT("Input!D"&amp;1+MATCH($H78,aux_sheet!$A$2:$A$202,0)))</f>
        <v xml:space="preserve"> </v>
      </c>
      <c r="F78" t="str">
        <f ca="1">INDIRECT("Input!F"&amp;1+MATCH($H78,aux_sheet!$A$2:$A$202,0))</f>
        <v xml:space="preserve"> </v>
      </c>
      <c r="G78">
        <f ca="1">IF(ISBLANK(Input!E78)," ",INDIRECT("Input!AP"&amp;1+MATCH($H78,aux_sheet!$A$2:$A$202,0)))</f>
        <v>0</v>
      </c>
      <c r="H78">
        <f>aux_sheet!B78</f>
        <v>1000</v>
      </c>
      <c r="J78" t="str">
        <f t="shared" si="5"/>
        <v xml:space="preserve"> </v>
      </c>
      <c r="K78">
        <v>77</v>
      </c>
      <c r="L78" t="str">
        <f t="shared" ca="1" si="6"/>
        <v xml:space="preserve"> </v>
      </c>
      <c r="M78" t="str">
        <f t="shared" ca="1" si="7"/>
        <v xml:space="preserve"> </v>
      </c>
      <c r="N78" s="3" t="str">
        <f t="shared" ca="1" si="8"/>
        <v xml:space="preserve"> </v>
      </c>
      <c r="O78" s="3" t="str">
        <f ca="1">IF(ISNUMBER($L78),INDIRECT("Input!A"&amp;1+MATCH($M78,aux_sheet!$A$2:$A$202,0))," ")</f>
        <v xml:space="preserve"> </v>
      </c>
      <c r="P78" s="3" t="str">
        <f ca="1">IF(ISNUMBER($L78),INDIRECT("Input!B"&amp;1+MATCH($M78,aux_sheet!$A$2:$A$202,0))," ")</f>
        <v xml:space="preserve"> </v>
      </c>
    </row>
    <row r="79" spans="1:16" x14ac:dyDescent="0.35">
      <c r="A79" t="str">
        <f>IF(ISBLANK(Input!A79)," ",ROUNDDOWN(aux_sheet!B79,0))</f>
        <v xml:space="preserve"> </v>
      </c>
      <c r="B79" t="str">
        <f ca="1">IF(ISBLANK(Input!A79)," ",INDIRECT("Input!A"&amp;1+MATCH(H79,aux_sheet!$A$2:$A$202,0)))</f>
        <v xml:space="preserve"> </v>
      </c>
      <c r="C79" t="str">
        <f ca="1">IF(ISBLANK(Input!B79)," ",INDIRECT("Input!B"&amp;1+MATCH($H79,aux_sheet!$A$2:$A$202,0)))</f>
        <v xml:space="preserve"> </v>
      </c>
      <c r="D79" t="str">
        <f ca="1">IF(ISBLANK(Input!C79)," ",INDIRECT("Input!C"&amp;1+MATCH($H79,aux_sheet!$A$2:$A$202,0)))</f>
        <v xml:space="preserve"> </v>
      </c>
      <c r="E79" t="str">
        <f ca="1">IF(ISBLANK(Input!D79)," ",INDIRECT("Input!D"&amp;1+MATCH($H79,aux_sheet!$A$2:$A$202,0)))</f>
        <v xml:space="preserve"> </v>
      </c>
      <c r="F79" t="str">
        <f ca="1">INDIRECT("Input!F"&amp;1+MATCH($H79,aux_sheet!$A$2:$A$202,0))</f>
        <v xml:space="preserve"> </v>
      </c>
      <c r="G79">
        <f ca="1">IF(ISBLANK(Input!E79)," ",INDIRECT("Input!AP"&amp;1+MATCH($H79,aux_sheet!$A$2:$A$202,0)))</f>
        <v>0</v>
      </c>
      <c r="H79">
        <f>aux_sheet!B79</f>
        <v>1000</v>
      </c>
      <c r="J79" t="str">
        <f t="shared" si="5"/>
        <v xml:space="preserve"> </v>
      </c>
      <c r="K79">
        <v>78</v>
      </c>
      <c r="L79" t="str">
        <f t="shared" ca="1" si="6"/>
        <v xml:space="preserve"> </v>
      </c>
      <c r="M79" t="str">
        <f t="shared" ca="1" si="7"/>
        <v xml:space="preserve"> </v>
      </c>
      <c r="N79" s="3" t="str">
        <f t="shared" ca="1" si="8"/>
        <v xml:space="preserve"> </v>
      </c>
      <c r="O79" s="3" t="str">
        <f ca="1">IF(ISNUMBER($L79),INDIRECT("Input!A"&amp;1+MATCH($M79,aux_sheet!$A$2:$A$202,0))," ")</f>
        <v xml:space="preserve"> </v>
      </c>
      <c r="P79" s="3" t="str">
        <f ca="1">IF(ISNUMBER($L79),INDIRECT("Input!B"&amp;1+MATCH($M79,aux_sheet!$A$2:$A$202,0))," ")</f>
        <v xml:space="preserve"> </v>
      </c>
    </row>
    <row r="80" spans="1:16" x14ac:dyDescent="0.35">
      <c r="A80" t="str">
        <f>IF(ISBLANK(Input!A80)," ",ROUNDDOWN(aux_sheet!B80,0))</f>
        <v xml:space="preserve"> </v>
      </c>
      <c r="B80" t="str">
        <f ca="1">IF(ISBLANK(Input!A80)," ",INDIRECT("Input!A"&amp;1+MATCH(H80,aux_sheet!$A$2:$A$202,0)))</f>
        <v xml:space="preserve"> </v>
      </c>
      <c r="C80" t="str">
        <f ca="1">IF(ISBLANK(Input!B80)," ",INDIRECT("Input!B"&amp;1+MATCH($H80,aux_sheet!$A$2:$A$202,0)))</f>
        <v xml:space="preserve"> </v>
      </c>
      <c r="D80" t="str">
        <f ca="1">IF(ISBLANK(Input!C80)," ",INDIRECT("Input!C"&amp;1+MATCH($H80,aux_sheet!$A$2:$A$202,0)))</f>
        <v xml:space="preserve"> </v>
      </c>
      <c r="E80" t="str">
        <f ca="1">IF(ISBLANK(Input!D80)," ",INDIRECT("Input!D"&amp;1+MATCH($H80,aux_sheet!$A$2:$A$202,0)))</f>
        <v xml:space="preserve"> </v>
      </c>
      <c r="F80" t="str">
        <f ca="1">INDIRECT("Input!F"&amp;1+MATCH($H80,aux_sheet!$A$2:$A$202,0))</f>
        <v xml:space="preserve"> </v>
      </c>
      <c r="G80">
        <f ca="1">IF(ISBLANK(Input!E80)," ",INDIRECT("Input!AP"&amp;1+MATCH($H80,aux_sheet!$A$2:$A$202,0)))</f>
        <v>0</v>
      </c>
      <c r="H80">
        <f>aux_sheet!B80</f>
        <v>1000</v>
      </c>
      <c r="J80" t="str">
        <f t="shared" si="5"/>
        <v xml:space="preserve"> </v>
      </c>
      <c r="K80">
        <v>79</v>
      </c>
      <c r="L80" t="str">
        <f t="shared" ca="1" si="6"/>
        <v xml:space="preserve"> </v>
      </c>
      <c r="M80" t="str">
        <f t="shared" ca="1" si="7"/>
        <v xml:space="preserve"> </v>
      </c>
      <c r="N80" s="3" t="str">
        <f t="shared" ca="1" si="8"/>
        <v xml:space="preserve"> </v>
      </c>
      <c r="O80" s="3" t="str">
        <f ca="1">IF(ISNUMBER($L80),INDIRECT("Input!A"&amp;1+MATCH($M80,aux_sheet!$A$2:$A$202,0))," ")</f>
        <v xml:space="preserve"> </v>
      </c>
      <c r="P80" s="3" t="str">
        <f ca="1">IF(ISNUMBER($L80),INDIRECT("Input!B"&amp;1+MATCH($M80,aux_sheet!$A$2:$A$202,0))," ")</f>
        <v xml:space="preserve"> </v>
      </c>
    </row>
    <row r="81" spans="1:16" x14ac:dyDescent="0.35">
      <c r="A81" t="str">
        <f>IF(ISBLANK(Input!A81)," ",ROUNDDOWN(aux_sheet!B81,0))</f>
        <v xml:space="preserve"> </v>
      </c>
      <c r="B81" t="str">
        <f ca="1">IF(ISBLANK(Input!A81)," ",INDIRECT("Input!A"&amp;1+MATCH(H81,aux_sheet!$A$2:$A$202,0)))</f>
        <v xml:space="preserve"> </v>
      </c>
      <c r="C81" t="str">
        <f ca="1">IF(ISBLANK(Input!B81)," ",INDIRECT("Input!B"&amp;1+MATCH($H81,aux_sheet!$A$2:$A$202,0)))</f>
        <v xml:space="preserve"> </v>
      </c>
      <c r="D81" t="str">
        <f ca="1">IF(ISBLANK(Input!C81)," ",INDIRECT("Input!C"&amp;1+MATCH($H81,aux_sheet!$A$2:$A$202,0)))</f>
        <v xml:space="preserve"> </v>
      </c>
      <c r="E81" t="str">
        <f ca="1">IF(ISBLANK(Input!D81)," ",INDIRECT("Input!D"&amp;1+MATCH($H81,aux_sheet!$A$2:$A$202,0)))</f>
        <v xml:space="preserve"> </v>
      </c>
      <c r="F81" t="str">
        <f ca="1">INDIRECT("Input!F"&amp;1+MATCH($H81,aux_sheet!$A$2:$A$202,0))</f>
        <v xml:space="preserve"> </v>
      </c>
      <c r="G81">
        <f ca="1">IF(ISBLANK(Input!E81)," ",INDIRECT("Input!AP"&amp;1+MATCH($H81,aux_sheet!$A$2:$A$202,0)))</f>
        <v>0</v>
      </c>
      <c r="H81">
        <f>aux_sheet!B81</f>
        <v>1000</v>
      </c>
      <c r="J81" t="str">
        <f t="shared" si="5"/>
        <v xml:space="preserve"> </v>
      </c>
      <c r="K81">
        <v>80</v>
      </c>
      <c r="L81" t="str">
        <f t="shared" ca="1" si="6"/>
        <v xml:space="preserve"> </v>
      </c>
      <c r="M81" t="str">
        <f t="shared" ca="1" si="7"/>
        <v xml:space="preserve"> </v>
      </c>
      <c r="N81" s="3" t="str">
        <f t="shared" ca="1" si="8"/>
        <v xml:space="preserve"> </v>
      </c>
      <c r="O81" s="3" t="str">
        <f ca="1">IF(ISNUMBER($L81),INDIRECT("Input!A"&amp;1+MATCH($M81,aux_sheet!$A$2:$A$202,0))," ")</f>
        <v xml:space="preserve"> </v>
      </c>
      <c r="P81" s="3" t="str">
        <f ca="1">IF(ISNUMBER($L81),INDIRECT("Input!B"&amp;1+MATCH($M81,aux_sheet!$A$2:$A$202,0))," ")</f>
        <v xml:space="preserve"> </v>
      </c>
    </row>
    <row r="82" spans="1:16" x14ac:dyDescent="0.35">
      <c r="A82" t="str">
        <f>IF(ISBLANK(Input!A82)," ",ROUNDDOWN(aux_sheet!B82,0))</f>
        <v xml:space="preserve"> </v>
      </c>
      <c r="B82" t="str">
        <f ca="1">IF(ISBLANK(Input!A82)," ",INDIRECT("Input!A"&amp;1+MATCH(H82,aux_sheet!$A$2:$A$202,0)))</f>
        <v xml:space="preserve"> </v>
      </c>
      <c r="C82" t="str">
        <f ca="1">IF(ISBLANK(Input!B82)," ",INDIRECT("Input!B"&amp;1+MATCH($H82,aux_sheet!$A$2:$A$202,0)))</f>
        <v xml:space="preserve"> </v>
      </c>
      <c r="D82" t="str">
        <f ca="1">IF(ISBLANK(Input!C82)," ",INDIRECT("Input!C"&amp;1+MATCH($H82,aux_sheet!$A$2:$A$202,0)))</f>
        <v xml:space="preserve"> </v>
      </c>
      <c r="E82" t="str">
        <f ca="1">IF(ISBLANK(Input!D82)," ",INDIRECT("Input!D"&amp;1+MATCH($H82,aux_sheet!$A$2:$A$202,0)))</f>
        <v xml:space="preserve"> </v>
      </c>
      <c r="F82" t="str">
        <f ca="1">INDIRECT("Input!F"&amp;1+MATCH($H82,aux_sheet!$A$2:$A$202,0))</f>
        <v xml:space="preserve"> </v>
      </c>
      <c r="G82">
        <f ca="1">IF(ISBLANK(Input!E82)," ",INDIRECT("Input!AP"&amp;1+MATCH($H82,aux_sheet!$A$2:$A$202,0)))</f>
        <v>0</v>
      </c>
      <c r="H82">
        <f>aux_sheet!B82</f>
        <v>1000</v>
      </c>
      <c r="J82" t="str">
        <f t="shared" si="5"/>
        <v xml:space="preserve"> </v>
      </c>
      <c r="K82">
        <v>81</v>
      </c>
      <c r="L82" t="str">
        <f t="shared" ca="1" si="6"/>
        <v xml:space="preserve"> </v>
      </c>
      <c r="M82" t="str">
        <f t="shared" ca="1" si="7"/>
        <v xml:space="preserve"> </v>
      </c>
      <c r="N82" s="3" t="str">
        <f t="shared" ca="1" si="8"/>
        <v xml:space="preserve"> </v>
      </c>
      <c r="O82" s="3" t="str">
        <f ca="1">IF(ISNUMBER($L82),INDIRECT("Input!A"&amp;1+MATCH($M82,aux_sheet!$A$2:$A$202,0))," ")</f>
        <v xml:space="preserve"> </v>
      </c>
      <c r="P82" s="3" t="str">
        <f ca="1">IF(ISNUMBER($L82),INDIRECT("Input!B"&amp;1+MATCH($M82,aux_sheet!$A$2:$A$202,0))," ")</f>
        <v xml:space="preserve"> </v>
      </c>
    </row>
    <row r="83" spans="1:16" x14ac:dyDescent="0.35">
      <c r="A83" t="str">
        <f>IF(ISBLANK(Input!A83)," ",ROUNDDOWN(aux_sheet!B83,0))</f>
        <v xml:space="preserve"> </v>
      </c>
      <c r="B83" t="str">
        <f ca="1">IF(ISBLANK(Input!A83)," ",INDIRECT("Input!A"&amp;1+MATCH(H83,aux_sheet!$A$2:$A$202,0)))</f>
        <v xml:space="preserve"> </v>
      </c>
      <c r="C83" t="str">
        <f ca="1">IF(ISBLANK(Input!B83)," ",INDIRECT("Input!B"&amp;1+MATCH($H83,aux_sheet!$A$2:$A$202,0)))</f>
        <v xml:space="preserve"> </v>
      </c>
      <c r="D83" t="str">
        <f ca="1">IF(ISBLANK(Input!C83)," ",INDIRECT("Input!C"&amp;1+MATCH($H83,aux_sheet!$A$2:$A$202,0)))</f>
        <v xml:space="preserve"> </v>
      </c>
      <c r="E83" t="str">
        <f ca="1">IF(ISBLANK(Input!D83)," ",INDIRECT("Input!D"&amp;1+MATCH($H83,aux_sheet!$A$2:$A$202,0)))</f>
        <v xml:space="preserve"> </v>
      </c>
      <c r="F83" t="str">
        <f ca="1">INDIRECT("Input!F"&amp;1+MATCH($H83,aux_sheet!$A$2:$A$202,0))</f>
        <v xml:space="preserve"> </v>
      </c>
      <c r="G83">
        <f ca="1">IF(ISBLANK(Input!E83)," ",INDIRECT("Input!AP"&amp;1+MATCH($H83,aux_sheet!$A$2:$A$202,0)))</f>
        <v>0</v>
      </c>
      <c r="H83">
        <f>aux_sheet!B83</f>
        <v>1000</v>
      </c>
      <c r="J83" t="str">
        <f t="shared" si="5"/>
        <v xml:space="preserve"> </v>
      </c>
      <c r="K83">
        <v>82</v>
      </c>
      <c r="L83" t="str">
        <f t="shared" ca="1" si="6"/>
        <v xml:space="preserve"> </v>
      </c>
      <c r="M83" t="str">
        <f t="shared" ca="1" si="7"/>
        <v xml:space="preserve"> </v>
      </c>
      <c r="N83" s="3" t="str">
        <f t="shared" ca="1" si="8"/>
        <v xml:space="preserve"> </v>
      </c>
      <c r="O83" s="3" t="str">
        <f ca="1">IF(ISNUMBER($L83),INDIRECT("Input!A"&amp;1+MATCH($M83,aux_sheet!$A$2:$A$202,0))," ")</f>
        <v xml:space="preserve"> </v>
      </c>
      <c r="P83" s="3" t="str">
        <f ca="1">IF(ISNUMBER($L83),INDIRECT("Input!B"&amp;1+MATCH($M83,aux_sheet!$A$2:$A$202,0))," ")</f>
        <v xml:space="preserve"> </v>
      </c>
    </row>
    <row r="84" spans="1:16" x14ac:dyDescent="0.35">
      <c r="A84" t="str">
        <f>IF(ISBLANK(Input!A84)," ",ROUNDDOWN(aux_sheet!B84,0))</f>
        <v xml:space="preserve"> </v>
      </c>
      <c r="B84" t="str">
        <f ca="1">IF(ISBLANK(Input!A84)," ",INDIRECT("Input!A"&amp;1+MATCH(H84,aux_sheet!$A$2:$A$202,0)))</f>
        <v xml:space="preserve"> </v>
      </c>
      <c r="C84" t="str">
        <f ca="1">IF(ISBLANK(Input!B84)," ",INDIRECT("Input!B"&amp;1+MATCH($H84,aux_sheet!$A$2:$A$202,0)))</f>
        <v xml:space="preserve"> </v>
      </c>
      <c r="D84" t="str">
        <f ca="1">IF(ISBLANK(Input!C84)," ",INDIRECT("Input!C"&amp;1+MATCH($H84,aux_sheet!$A$2:$A$202,0)))</f>
        <v xml:space="preserve"> </v>
      </c>
      <c r="E84" t="str">
        <f ca="1">IF(ISBLANK(Input!D84)," ",INDIRECT("Input!D"&amp;1+MATCH($H84,aux_sheet!$A$2:$A$202,0)))</f>
        <v xml:space="preserve"> </v>
      </c>
      <c r="F84" t="str">
        <f ca="1">INDIRECT("Input!F"&amp;1+MATCH($H84,aux_sheet!$A$2:$A$202,0))</f>
        <v xml:space="preserve"> </v>
      </c>
      <c r="G84">
        <f ca="1">IF(ISBLANK(Input!E84)," ",INDIRECT("Input!AP"&amp;1+MATCH($H84,aux_sheet!$A$2:$A$202,0)))</f>
        <v>0</v>
      </c>
      <c r="H84">
        <f>aux_sheet!B84</f>
        <v>1000</v>
      </c>
      <c r="J84" t="str">
        <f t="shared" si="5"/>
        <v xml:space="preserve"> </v>
      </c>
      <c r="K84">
        <v>83</v>
      </c>
      <c r="L84" t="str">
        <f t="shared" ca="1" si="6"/>
        <v xml:space="preserve"> </v>
      </c>
      <c r="M84" t="str">
        <f t="shared" ca="1" si="7"/>
        <v xml:space="preserve"> </v>
      </c>
      <c r="N84" s="3" t="str">
        <f t="shared" ca="1" si="8"/>
        <v xml:space="preserve"> </v>
      </c>
      <c r="O84" s="3" t="str">
        <f ca="1">IF(ISNUMBER($L84),INDIRECT("Input!A"&amp;1+MATCH($M84,aux_sheet!$A$2:$A$202,0))," ")</f>
        <v xml:space="preserve"> </v>
      </c>
      <c r="P84" s="3" t="str">
        <f ca="1">IF(ISNUMBER($L84),INDIRECT("Input!B"&amp;1+MATCH($M84,aux_sheet!$A$2:$A$202,0))," ")</f>
        <v xml:space="preserve"> </v>
      </c>
    </row>
    <row r="85" spans="1:16" x14ac:dyDescent="0.35">
      <c r="A85" t="str">
        <f>IF(ISBLANK(Input!A85)," ",ROUNDDOWN(aux_sheet!B85,0))</f>
        <v xml:space="preserve"> </v>
      </c>
      <c r="B85" t="str">
        <f ca="1">IF(ISBLANK(Input!A85)," ",INDIRECT("Input!A"&amp;1+MATCH(H85,aux_sheet!$A$2:$A$202,0)))</f>
        <v xml:space="preserve"> </v>
      </c>
      <c r="C85" t="str">
        <f ca="1">IF(ISBLANK(Input!B85)," ",INDIRECT("Input!B"&amp;1+MATCH($H85,aux_sheet!$A$2:$A$202,0)))</f>
        <v xml:space="preserve"> </v>
      </c>
      <c r="D85" t="str">
        <f ca="1">IF(ISBLANK(Input!C85)," ",INDIRECT("Input!C"&amp;1+MATCH($H85,aux_sheet!$A$2:$A$202,0)))</f>
        <v xml:space="preserve"> </v>
      </c>
      <c r="E85" t="str">
        <f ca="1">IF(ISBLANK(Input!D85)," ",INDIRECT("Input!D"&amp;1+MATCH($H85,aux_sheet!$A$2:$A$202,0)))</f>
        <v xml:space="preserve"> </v>
      </c>
      <c r="F85" t="str">
        <f ca="1">INDIRECT("Input!F"&amp;1+MATCH($H85,aux_sheet!$A$2:$A$202,0))</f>
        <v xml:space="preserve"> </v>
      </c>
      <c r="G85">
        <f ca="1">IF(ISBLANK(Input!E85)," ",INDIRECT("Input!AP"&amp;1+MATCH($H85,aux_sheet!$A$2:$A$202,0)))</f>
        <v>0</v>
      </c>
      <c r="H85">
        <f>aux_sheet!B85</f>
        <v>1000</v>
      </c>
      <c r="J85" t="str">
        <f t="shared" si="5"/>
        <v xml:space="preserve"> </v>
      </c>
      <c r="K85">
        <v>84</v>
      </c>
      <c r="L85" t="str">
        <f t="shared" ca="1" si="6"/>
        <v xml:space="preserve"> </v>
      </c>
      <c r="M85" t="str">
        <f t="shared" ca="1" si="7"/>
        <v xml:space="preserve"> </v>
      </c>
      <c r="N85" s="3" t="str">
        <f t="shared" ca="1" si="8"/>
        <v xml:space="preserve"> </v>
      </c>
      <c r="O85" s="3" t="str">
        <f ca="1">IF(ISNUMBER($L85),INDIRECT("Input!A"&amp;1+MATCH($M85,aux_sheet!$A$2:$A$202,0))," ")</f>
        <v xml:space="preserve"> </v>
      </c>
      <c r="P85" s="3" t="str">
        <f ca="1">IF(ISNUMBER($L85),INDIRECT("Input!B"&amp;1+MATCH($M85,aux_sheet!$A$2:$A$202,0))," ")</f>
        <v xml:space="preserve"> </v>
      </c>
    </row>
    <row r="86" spans="1:16" x14ac:dyDescent="0.35">
      <c r="A86" t="str">
        <f>IF(ISBLANK(Input!A86)," ",ROUNDDOWN(aux_sheet!B86,0))</f>
        <v xml:space="preserve"> </v>
      </c>
      <c r="B86" t="str">
        <f ca="1">IF(ISBLANK(Input!A86)," ",INDIRECT("Input!A"&amp;1+MATCH(H86,aux_sheet!$A$2:$A$202,0)))</f>
        <v xml:space="preserve"> </v>
      </c>
      <c r="C86" t="str">
        <f ca="1">IF(ISBLANK(Input!B86)," ",INDIRECT("Input!B"&amp;1+MATCH($H86,aux_sheet!$A$2:$A$202,0)))</f>
        <v xml:space="preserve"> </v>
      </c>
      <c r="D86" t="str">
        <f ca="1">IF(ISBLANK(Input!C86)," ",INDIRECT("Input!C"&amp;1+MATCH($H86,aux_sheet!$A$2:$A$202,0)))</f>
        <v xml:space="preserve"> </v>
      </c>
      <c r="E86" t="str">
        <f ca="1">IF(ISBLANK(Input!D86)," ",INDIRECT("Input!D"&amp;1+MATCH($H86,aux_sheet!$A$2:$A$202,0)))</f>
        <v xml:space="preserve"> </v>
      </c>
      <c r="F86" t="str">
        <f ca="1">INDIRECT("Input!F"&amp;1+MATCH($H86,aux_sheet!$A$2:$A$202,0))</f>
        <v xml:space="preserve"> </v>
      </c>
      <c r="G86">
        <f ca="1">IF(ISBLANK(Input!E86)," ",INDIRECT("Input!AP"&amp;1+MATCH($H86,aux_sheet!$A$2:$A$202,0)))</f>
        <v>0</v>
      </c>
      <c r="H86">
        <f>aux_sheet!B86</f>
        <v>1000</v>
      </c>
      <c r="J86" t="str">
        <f t="shared" si="5"/>
        <v xml:space="preserve"> </v>
      </c>
      <c r="K86">
        <v>85</v>
      </c>
      <c r="L86" t="str">
        <f t="shared" ca="1" si="6"/>
        <v xml:space="preserve"> </v>
      </c>
      <c r="M86" t="str">
        <f t="shared" ca="1" si="7"/>
        <v xml:space="preserve"> </v>
      </c>
      <c r="N86" s="3" t="str">
        <f t="shared" ca="1" si="8"/>
        <v xml:space="preserve"> </v>
      </c>
      <c r="O86" s="3" t="str">
        <f ca="1">IF(ISNUMBER($L86),INDIRECT("Input!A"&amp;1+MATCH($M86,aux_sheet!$A$2:$A$202,0))," ")</f>
        <v xml:space="preserve"> </v>
      </c>
      <c r="P86" s="3" t="str">
        <f ca="1">IF(ISNUMBER($L86),INDIRECT("Input!B"&amp;1+MATCH($M86,aux_sheet!$A$2:$A$202,0))," ")</f>
        <v xml:space="preserve"> </v>
      </c>
    </row>
    <row r="87" spans="1:16" x14ac:dyDescent="0.35">
      <c r="A87" t="str">
        <f>IF(ISBLANK(Input!A87)," ",ROUNDDOWN(aux_sheet!B87,0))</f>
        <v xml:space="preserve"> </v>
      </c>
      <c r="B87" t="str">
        <f ca="1">IF(ISBLANK(Input!A87)," ",INDIRECT("Input!A"&amp;1+MATCH(H87,aux_sheet!$A$2:$A$202,0)))</f>
        <v xml:space="preserve"> </v>
      </c>
      <c r="C87" t="str">
        <f ca="1">IF(ISBLANK(Input!B87)," ",INDIRECT("Input!B"&amp;1+MATCH($H87,aux_sheet!$A$2:$A$202,0)))</f>
        <v xml:space="preserve"> </v>
      </c>
      <c r="D87" t="str">
        <f ca="1">IF(ISBLANK(Input!C87)," ",INDIRECT("Input!C"&amp;1+MATCH($H87,aux_sheet!$A$2:$A$202,0)))</f>
        <v xml:space="preserve"> </v>
      </c>
      <c r="E87" t="str">
        <f ca="1">IF(ISBLANK(Input!D87)," ",INDIRECT("Input!D"&amp;1+MATCH($H87,aux_sheet!$A$2:$A$202,0)))</f>
        <v xml:space="preserve"> </v>
      </c>
      <c r="F87" t="str">
        <f ca="1">INDIRECT("Input!F"&amp;1+MATCH($H87,aux_sheet!$A$2:$A$202,0))</f>
        <v xml:space="preserve"> </v>
      </c>
      <c r="G87">
        <f ca="1">IF(ISBLANK(Input!E87)," ",INDIRECT("Input!AP"&amp;1+MATCH($H87,aux_sheet!$A$2:$A$202,0)))</f>
        <v>0</v>
      </c>
      <c r="H87">
        <f>aux_sheet!B87</f>
        <v>1000</v>
      </c>
      <c r="J87" t="str">
        <f t="shared" si="5"/>
        <v xml:space="preserve"> </v>
      </c>
      <c r="K87">
        <v>86</v>
      </c>
      <c r="L87" t="str">
        <f t="shared" ca="1" si="6"/>
        <v xml:space="preserve"> </v>
      </c>
      <c r="M87" t="str">
        <f t="shared" ca="1" si="7"/>
        <v xml:space="preserve"> </v>
      </c>
      <c r="N87" s="3" t="str">
        <f t="shared" ca="1" si="8"/>
        <v xml:space="preserve"> </v>
      </c>
      <c r="O87" s="3" t="str">
        <f ca="1">IF(ISNUMBER($L87),INDIRECT("Input!A"&amp;1+MATCH($M87,aux_sheet!$A$2:$A$202,0))," ")</f>
        <v xml:space="preserve"> </v>
      </c>
      <c r="P87" s="3" t="str">
        <f ca="1">IF(ISNUMBER($L87),INDIRECT("Input!B"&amp;1+MATCH($M87,aux_sheet!$A$2:$A$202,0))," ")</f>
        <v xml:space="preserve"> </v>
      </c>
    </row>
    <row r="88" spans="1:16" x14ac:dyDescent="0.35">
      <c r="A88" t="str">
        <f>IF(ISBLANK(Input!A88)," ",ROUNDDOWN(aux_sheet!B88,0))</f>
        <v xml:space="preserve"> </v>
      </c>
      <c r="B88" t="str">
        <f ca="1">IF(ISBLANK(Input!A88)," ",INDIRECT("Input!A"&amp;1+MATCH(H88,aux_sheet!$A$2:$A$202,0)))</f>
        <v xml:space="preserve"> </v>
      </c>
      <c r="C88" t="str">
        <f ca="1">IF(ISBLANK(Input!B88)," ",INDIRECT("Input!B"&amp;1+MATCH($H88,aux_sheet!$A$2:$A$202,0)))</f>
        <v xml:space="preserve"> </v>
      </c>
      <c r="D88" t="str">
        <f ca="1">IF(ISBLANK(Input!C88)," ",INDIRECT("Input!C"&amp;1+MATCH($H88,aux_sheet!$A$2:$A$202,0)))</f>
        <v xml:space="preserve"> </v>
      </c>
      <c r="E88" t="str">
        <f ca="1">IF(ISBLANK(Input!D88)," ",INDIRECT("Input!D"&amp;1+MATCH($H88,aux_sheet!$A$2:$A$202,0)))</f>
        <v xml:space="preserve"> </v>
      </c>
      <c r="F88" t="str">
        <f ca="1">INDIRECT("Input!F"&amp;1+MATCH($H88,aux_sheet!$A$2:$A$202,0))</f>
        <v xml:space="preserve"> </v>
      </c>
      <c r="G88">
        <f ca="1">IF(ISBLANK(Input!E88)," ",INDIRECT("Input!AP"&amp;1+MATCH($H88,aux_sheet!$A$2:$A$202,0)))</f>
        <v>0</v>
      </c>
      <c r="H88">
        <f>aux_sheet!B88</f>
        <v>1000</v>
      </c>
      <c r="J88" t="str">
        <f t="shared" si="5"/>
        <v xml:space="preserve"> </v>
      </c>
      <c r="K88">
        <v>87</v>
      </c>
      <c r="L88" t="str">
        <f t="shared" ca="1" si="6"/>
        <v xml:space="preserve"> </v>
      </c>
      <c r="M88" t="str">
        <f t="shared" ca="1" si="7"/>
        <v xml:space="preserve"> </v>
      </c>
      <c r="N88" s="3" t="str">
        <f t="shared" ca="1" si="8"/>
        <v xml:space="preserve"> </v>
      </c>
      <c r="O88" s="3" t="str">
        <f ca="1">IF(ISNUMBER($L88),INDIRECT("Input!A"&amp;1+MATCH($M88,aux_sheet!$A$2:$A$202,0))," ")</f>
        <v xml:space="preserve"> </v>
      </c>
      <c r="P88" s="3" t="str">
        <f ca="1">IF(ISNUMBER($L88),INDIRECT("Input!B"&amp;1+MATCH($M88,aux_sheet!$A$2:$A$202,0))," ")</f>
        <v xml:space="preserve"> </v>
      </c>
    </row>
    <row r="89" spans="1:16" x14ac:dyDescent="0.35">
      <c r="A89" t="str">
        <f>IF(ISBLANK(Input!A89)," ",ROUNDDOWN(aux_sheet!B89,0))</f>
        <v xml:space="preserve"> </v>
      </c>
      <c r="B89" t="str">
        <f ca="1">IF(ISBLANK(Input!A89)," ",INDIRECT("Input!A"&amp;1+MATCH(H89,aux_sheet!$A$2:$A$202,0)))</f>
        <v xml:space="preserve"> </v>
      </c>
      <c r="C89" t="str">
        <f ca="1">IF(ISBLANK(Input!B89)," ",INDIRECT("Input!B"&amp;1+MATCH($H89,aux_sheet!$A$2:$A$202,0)))</f>
        <v xml:space="preserve"> </v>
      </c>
      <c r="D89" t="str">
        <f ca="1">IF(ISBLANK(Input!C89)," ",INDIRECT("Input!C"&amp;1+MATCH($H89,aux_sheet!$A$2:$A$202,0)))</f>
        <v xml:space="preserve"> </v>
      </c>
      <c r="E89" t="str">
        <f ca="1">IF(ISBLANK(Input!D89)," ",INDIRECT("Input!D"&amp;1+MATCH($H89,aux_sheet!$A$2:$A$202,0)))</f>
        <v xml:space="preserve"> </v>
      </c>
      <c r="F89" t="str">
        <f ca="1">INDIRECT("Input!F"&amp;1+MATCH($H89,aux_sheet!$A$2:$A$202,0))</f>
        <v xml:space="preserve"> </v>
      </c>
      <c r="G89">
        <f ca="1">IF(ISBLANK(Input!E89)," ",INDIRECT("Input!AP"&amp;1+MATCH($H89,aux_sheet!$A$2:$A$202,0)))</f>
        <v>0</v>
      </c>
      <c r="H89">
        <f>aux_sheet!B89</f>
        <v>1000</v>
      </c>
      <c r="J89" t="str">
        <f t="shared" si="5"/>
        <v xml:space="preserve"> </v>
      </c>
      <c r="K89">
        <v>88</v>
      </c>
      <c r="L89" t="str">
        <f t="shared" ca="1" si="6"/>
        <v xml:space="preserve"> </v>
      </c>
      <c r="M89" t="str">
        <f t="shared" ca="1" si="7"/>
        <v xml:space="preserve"> </v>
      </c>
      <c r="N89" s="3" t="str">
        <f t="shared" ca="1" si="8"/>
        <v xml:space="preserve"> </v>
      </c>
      <c r="O89" s="3" t="str">
        <f ca="1">IF(ISNUMBER($L89),INDIRECT("Input!A"&amp;1+MATCH($M89,aux_sheet!$A$2:$A$202,0))," ")</f>
        <v xml:space="preserve"> </v>
      </c>
      <c r="P89" s="3" t="str">
        <f ca="1">IF(ISNUMBER($L89),INDIRECT("Input!B"&amp;1+MATCH($M89,aux_sheet!$A$2:$A$202,0))," ")</f>
        <v xml:space="preserve"> </v>
      </c>
    </row>
    <row r="90" spans="1:16" x14ac:dyDescent="0.35">
      <c r="A90" t="str">
        <f>IF(ISBLANK(Input!A90)," ",ROUNDDOWN(aux_sheet!B90,0))</f>
        <v xml:space="preserve"> </v>
      </c>
      <c r="B90" t="str">
        <f ca="1">IF(ISBLANK(Input!A90)," ",INDIRECT("Input!A"&amp;1+MATCH(H90,aux_sheet!$A$2:$A$202,0)))</f>
        <v xml:space="preserve"> </v>
      </c>
      <c r="C90" t="str">
        <f ca="1">IF(ISBLANK(Input!B90)," ",INDIRECT("Input!B"&amp;1+MATCH($H90,aux_sheet!$A$2:$A$202,0)))</f>
        <v xml:space="preserve"> </v>
      </c>
      <c r="D90" t="str">
        <f ca="1">IF(ISBLANK(Input!C90)," ",INDIRECT("Input!C"&amp;1+MATCH($H90,aux_sheet!$A$2:$A$202,0)))</f>
        <v xml:space="preserve"> </v>
      </c>
      <c r="E90" t="str">
        <f ca="1">IF(ISBLANK(Input!D90)," ",INDIRECT("Input!D"&amp;1+MATCH($H90,aux_sheet!$A$2:$A$202,0)))</f>
        <v xml:space="preserve"> </v>
      </c>
      <c r="F90" t="str">
        <f ca="1">INDIRECT("Input!F"&amp;1+MATCH($H90,aux_sheet!$A$2:$A$202,0))</f>
        <v xml:space="preserve"> </v>
      </c>
      <c r="G90">
        <f ca="1">IF(ISBLANK(Input!E90)," ",INDIRECT("Input!AP"&amp;1+MATCH($H90,aux_sheet!$A$2:$A$202,0)))</f>
        <v>0</v>
      </c>
      <c r="H90">
        <f>aux_sheet!B90</f>
        <v>1000</v>
      </c>
      <c r="J90" t="str">
        <f t="shared" si="5"/>
        <v xml:space="preserve"> </v>
      </c>
      <c r="K90">
        <v>89</v>
      </c>
      <c r="L90" t="str">
        <f t="shared" ca="1" si="6"/>
        <v xml:space="preserve"> </v>
      </c>
      <c r="M90" t="str">
        <f t="shared" ca="1" si="7"/>
        <v xml:space="preserve"> </v>
      </c>
      <c r="N90" s="3" t="str">
        <f t="shared" ca="1" si="8"/>
        <v xml:space="preserve"> </v>
      </c>
      <c r="O90" s="3" t="str">
        <f ca="1">IF(ISNUMBER($L90),INDIRECT("Input!A"&amp;1+MATCH($M90,aux_sheet!$A$2:$A$202,0))," ")</f>
        <v xml:space="preserve"> </v>
      </c>
      <c r="P90" s="3" t="str">
        <f ca="1">IF(ISNUMBER($L90),INDIRECT("Input!B"&amp;1+MATCH($M90,aux_sheet!$A$2:$A$202,0))," ")</f>
        <v xml:space="preserve"> </v>
      </c>
    </row>
    <row r="91" spans="1:16" x14ac:dyDescent="0.35">
      <c r="A91" t="str">
        <f>IF(ISBLANK(Input!A91)," ",ROUNDDOWN(aux_sheet!B91,0))</f>
        <v xml:space="preserve"> </v>
      </c>
      <c r="B91" t="str">
        <f ca="1">IF(ISBLANK(Input!A91)," ",INDIRECT("Input!A"&amp;1+MATCH(H91,aux_sheet!$A$2:$A$202,0)))</f>
        <v xml:space="preserve"> </v>
      </c>
      <c r="C91" t="str">
        <f ca="1">IF(ISBLANK(Input!B91)," ",INDIRECT("Input!B"&amp;1+MATCH($H91,aux_sheet!$A$2:$A$202,0)))</f>
        <v xml:space="preserve"> </v>
      </c>
      <c r="D91" t="str">
        <f ca="1">IF(ISBLANK(Input!C91)," ",INDIRECT("Input!C"&amp;1+MATCH($H91,aux_sheet!$A$2:$A$202,0)))</f>
        <v xml:space="preserve"> </v>
      </c>
      <c r="E91" t="str">
        <f ca="1">IF(ISBLANK(Input!D91)," ",INDIRECT("Input!D"&amp;1+MATCH($H91,aux_sheet!$A$2:$A$202,0)))</f>
        <v xml:space="preserve"> </v>
      </c>
      <c r="F91" t="str">
        <f ca="1">INDIRECT("Input!F"&amp;1+MATCH($H91,aux_sheet!$A$2:$A$202,0))</f>
        <v xml:space="preserve"> </v>
      </c>
      <c r="G91">
        <f ca="1">IF(ISBLANK(Input!E91)," ",INDIRECT("Input!AP"&amp;1+MATCH($H91,aux_sheet!$A$2:$A$202,0)))</f>
        <v>0</v>
      </c>
      <c r="H91">
        <f>aux_sheet!B91</f>
        <v>1000</v>
      </c>
      <c r="J91" t="str">
        <f t="shared" si="5"/>
        <v xml:space="preserve"> </v>
      </c>
      <c r="K91">
        <v>90</v>
      </c>
      <c r="L91" t="str">
        <f t="shared" ca="1" si="6"/>
        <v xml:space="preserve"> </v>
      </c>
      <c r="M91" t="str">
        <f t="shared" ca="1" si="7"/>
        <v xml:space="preserve"> </v>
      </c>
      <c r="N91" s="3" t="str">
        <f t="shared" ca="1" si="8"/>
        <v xml:space="preserve"> </v>
      </c>
      <c r="O91" s="3" t="str">
        <f ca="1">IF(ISNUMBER($L91),INDIRECT("Input!A"&amp;1+MATCH($M91,aux_sheet!$A$2:$A$202,0))," ")</f>
        <v xml:space="preserve"> </v>
      </c>
      <c r="P91" s="3" t="str">
        <f ca="1">IF(ISNUMBER($L91),INDIRECT("Input!B"&amp;1+MATCH($M91,aux_sheet!$A$2:$A$202,0))," ")</f>
        <v xml:space="preserve"> </v>
      </c>
    </row>
    <row r="92" spans="1:16" x14ac:dyDescent="0.35">
      <c r="A92" t="str">
        <f>IF(ISBLANK(Input!A92)," ",ROUNDDOWN(aux_sheet!B92,0))</f>
        <v xml:space="preserve"> </v>
      </c>
      <c r="B92" t="str">
        <f ca="1">IF(ISBLANK(Input!A92)," ",INDIRECT("Input!A"&amp;1+MATCH(H92,aux_sheet!$A$2:$A$202,0)))</f>
        <v xml:space="preserve"> </v>
      </c>
      <c r="C92" t="str">
        <f ca="1">IF(ISBLANK(Input!B92)," ",INDIRECT("Input!B"&amp;1+MATCH($H92,aux_sheet!$A$2:$A$202,0)))</f>
        <v xml:space="preserve"> </v>
      </c>
      <c r="D92" t="str">
        <f ca="1">IF(ISBLANK(Input!C92)," ",INDIRECT("Input!C"&amp;1+MATCH($H92,aux_sheet!$A$2:$A$202,0)))</f>
        <v xml:space="preserve"> </v>
      </c>
      <c r="E92" t="str">
        <f ca="1">IF(ISBLANK(Input!D92)," ",INDIRECT("Input!D"&amp;1+MATCH($H92,aux_sheet!$A$2:$A$202,0)))</f>
        <v xml:space="preserve"> </v>
      </c>
      <c r="F92" t="str">
        <f ca="1">INDIRECT("Input!F"&amp;1+MATCH($H92,aux_sheet!$A$2:$A$202,0))</f>
        <v xml:space="preserve"> </v>
      </c>
      <c r="G92">
        <f ca="1">IF(ISBLANK(Input!E92)," ",INDIRECT("Input!AP"&amp;1+MATCH($H92,aux_sheet!$A$2:$A$202,0)))</f>
        <v>0</v>
      </c>
      <c r="H92">
        <f>aux_sheet!B92</f>
        <v>1000</v>
      </c>
      <c r="J92" t="str">
        <f t="shared" si="5"/>
        <v xml:space="preserve"> </v>
      </c>
      <c r="K92">
        <v>91</v>
      </c>
      <c r="L92" t="str">
        <f t="shared" ca="1" si="6"/>
        <v xml:space="preserve"> </v>
      </c>
      <c r="M92" t="str">
        <f t="shared" ca="1" si="7"/>
        <v xml:space="preserve"> </v>
      </c>
      <c r="N92" s="3" t="str">
        <f t="shared" ca="1" si="8"/>
        <v xml:space="preserve"> </v>
      </c>
      <c r="O92" s="3" t="str">
        <f ca="1">IF(ISNUMBER($L92),INDIRECT("Input!A"&amp;1+MATCH($M92,aux_sheet!$A$2:$A$202,0))," ")</f>
        <v xml:space="preserve"> </v>
      </c>
      <c r="P92" s="3" t="str">
        <f ca="1">IF(ISNUMBER($L92),INDIRECT("Input!B"&amp;1+MATCH($M92,aux_sheet!$A$2:$A$202,0))," ")</f>
        <v xml:space="preserve"> </v>
      </c>
    </row>
    <row r="93" spans="1:16" x14ac:dyDescent="0.35">
      <c r="A93" t="str">
        <f>IF(ISBLANK(Input!A93)," ",ROUNDDOWN(aux_sheet!B93,0))</f>
        <v xml:space="preserve"> </v>
      </c>
      <c r="B93" t="str">
        <f ca="1">IF(ISBLANK(Input!A93)," ",INDIRECT("Input!A"&amp;1+MATCH(H93,aux_sheet!$A$2:$A$202,0)))</f>
        <v xml:space="preserve"> </v>
      </c>
      <c r="C93" t="str">
        <f ca="1">IF(ISBLANK(Input!B93)," ",INDIRECT("Input!B"&amp;1+MATCH($H93,aux_sheet!$A$2:$A$202,0)))</f>
        <v xml:space="preserve"> </v>
      </c>
      <c r="D93" t="str">
        <f ca="1">IF(ISBLANK(Input!C93)," ",INDIRECT("Input!C"&amp;1+MATCH($H93,aux_sheet!$A$2:$A$202,0)))</f>
        <v xml:space="preserve"> </v>
      </c>
      <c r="E93" t="str">
        <f ca="1">IF(ISBLANK(Input!D93)," ",INDIRECT("Input!D"&amp;1+MATCH($H93,aux_sheet!$A$2:$A$202,0)))</f>
        <v xml:space="preserve"> </v>
      </c>
      <c r="F93" t="str">
        <f ca="1">INDIRECT("Input!F"&amp;1+MATCH($H93,aux_sheet!$A$2:$A$202,0))</f>
        <v xml:space="preserve"> </v>
      </c>
      <c r="G93">
        <f ca="1">IF(ISBLANK(Input!E93)," ",INDIRECT("Input!AP"&amp;1+MATCH($H93,aux_sheet!$A$2:$A$202,0)))</f>
        <v>0</v>
      </c>
      <c r="H93">
        <f>aux_sheet!B93</f>
        <v>1000</v>
      </c>
      <c r="J93" t="str">
        <f t="shared" si="5"/>
        <v xml:space="preserve"> </v>
      </c>
      <c r="K93">
        <v>92</v>
      </c>
      <c r="L93" t="str">
        <f t="shared" ca="1" si="6"/>
        <v xml:space="preserve"> </v>
      </c>
      <c r="M93" t="str">
        <f t="shared" ca="1" si="7"/>
        <v xml:space="preserve"> </v>
      </c>
      <c r="N93" s="3" t="str">
        <f t="shared" ca="1" si="8"/>
        <v xml:space="preserve"> </v>
      </c>
      <c r="O93" s="3" t="str">
        <f ca="1">IF(ISNUMBER($L93),INDIRECT("Input!A"&amp;1+MATCH($M93,aux_sheet!$A$2:$A$202,0))," ")</f>
        <v xml:space="preserve"> </v>
      </c>
      <c r="P93" s="3" t="str">
        <f ca="1">IF(ISNUMBER($L93),INDIRECT("Input!B"&amp;1+MATCH($M93,aux_sheet!$A$2:$A$202,0))," ")</f>
        <v xml:space="preserve"> </v>
      </c>
    </row>
    <row r="94" spans="1:16" x14ac:dyDescent="0.35">
      <c r="A94" t="str">
        <f>IF(ISBLANK(Input!A94)," ",ROUNDDOWN(aux_sheet!B94,0))</f>
        <v xml:space="preserve"> </v>
      </c>
      <c r="B94" t="str">
        <f ca="1">IF(ISBLANK(Input!A94)," ",INDIRECT("Input!A"&amp;1+MATCH(H94,aux_sheet!$A$2:$A$202,0)))</f>
        <v xml:space="preserve"> </v>
      </c>
      <c r="C94" t="str">
        <f ca="1">IF(ISBLANK(Input!B94)," ",INDIRECT("Input!B"&amp;1+MATCH($H94,aux_sheet!$A$2:$A$202,0)))</f>
        <v xml:space="preserve"> </v>
      </c>
      <c r="D94" t="str">
        <f ca="1">IF(ISBLANK(Input!C94)," ",INDIRECT("Input!C"&amp;1+MATCH($H94,aux_sheet!$A$2:$A$202,0)))</f>
        <v xml:space="preserve"> </v>
      </c>
      <c r="E94" t="str">
        <f ca="1">IF(ISBLANK(Input!D94)," ",INDIRECT("Input!D"&amp;1+MATCH($H94,aux_sheet!$A$2:$A$202,0)))</f>
        <v xml:space="preserve"> </v>
      </c>
      <c r="F94" t="str">
        <f ca="1">INDIRECT("Input!F"&amp;1+MATCH($H94,aux_sheet!$A$2:$A$202,0))</f>
        <v xml:space="preserve"> </v>
      </c>
      <c r="G94">
        <f ca="1">IF(ISBLANK(Input!E94)," ",INDIRECT("Input!AP"&amp;1+MATCH($H94,aux_sheet!$A$2:$A$202,0)))</f>
        <v>0</v>
      </c>
      <c r="H94">
        <f>aux_sheet!B94</f>
        <v>1000</v>
      </c>
      <c r="J94" t="str">
        <f t="shared" si="5"/>
        <v xml:space="preserve"> </v>
      </c>
      <c r="K94">
        <v>93</v>
      </c>
      <c r="L94" t="str">
        <f t="shared" ca="1" si="6"/>
        <v xml:space="preserve"> </v>
      </c>
      <c r="M94" t="str">
        <f t="shared" ca="1" si="7"/>
        <v xml:space="preserve"> </v>
      </c>
      <c r="N94" s="3" t="str">
        <f t="shared" ca="1" si="8"/>
        <v xml:space="preserve"> </v>
      </c>
      <c r="O94" s="3" t="str">
        <f ca="1">IF(ISNUMBER($L94),INDIRECT("Input!A"&amp;1+MATCH($M94,aux_sheet!$A$2:$A$202,0))," ")</f>
        <v xml:space="preserve"> </v>
      </c>
      <c r="P94" s="3" t="str">
        <f ca="1">IF(ISNUMBER($L94),INDIRECT("Input!B"&amp;1+MATCH($M94,aux_sheet!$A$2:$A$202,0))," ")</f>
        <v xml:space="preserve"> </v>
      </c>
    </row>
    <row r="95" spans="1:16" x14ac:dyDescent="0.35">
      <c r="A95" t="str">
        <f>IF(ISBLANK(Input!A95)," ",ROUNDDOWN(aux_sheet!B95,0))</f>
        <v xml:space="preserve"> </v>
      </c>
      <c r="B95" t="str">
        <f ca="1">IF(ISBLANK(Input!A95)," ",INDIRECT("Input!A"&amp;1+MATCH(H95,aux_sheet!$A$2:$A$202,0)))</f>
        <v xml:space="preserve"> </v>
      </c>
      <c r="C95" t="str">
        <f ca="1">IF(ISBLANK(Input!B95)," ",INDIRECT("Input!B"&amp;1+MATCH($H95,aux_sheet!$A$2:$A$202,0)))</f>
        <v xml:space="preserve"> </v>
      </c>
      <c r="D95" t="str">
        <f ca="1">IF(ISBLANK(Input!C95)," ",INDIRECT("Input!C"&amp;1+MATCH($H95,aux_sheet!$A$2:$A$202,0)))</f>
        <v xml:space="preserve"> </v>
      </c>
      <c r="E95" t="str">
        <f ca="1">IF(ISBLANK(Input!D95)," ",INDIRECT("Input!D"&amp;1+MATCH($H95,aux_sheet!$A$2:$A$202,0)))</f>
        <v xml:space="preserve"> </v>
      </c>
      <c r="F95" t="str">
        <f ca="1">INDIRECT("Input!F"&amp;1+MATCH($H95,aux_sheet!$A$2:$A$202,0))</f>
        <v xml:space="preserve"> </v>
      </c>
      <c r="G95">
        <f ca="1">IF(ISBLANK(Input!E95)," ",INDIRECT("Input!AP"&amp;1+MATCH($H95,aux_sheet!$A$2:$A$202,0)))</f>
        <v>0</v>
      </c>
      <c r="H95">
        <f>aux_sheet!B95</f>
        <v>1000</v>
      </c>
      <c r="J95" t="str">
        <f t="shared" si="5"/>
        <v xml:space="preserve"> </v>
      </c>
      <c r="K95">
        <v>94</v>
      </c>
      <c r="L95" t="str">
        <f t="shared" ca="1" si="6"/>
        <v xml:space="preserve"> </v>
      </c>
      <c r="M95" t="str">
        <f t="shared" ca="1" si="7"/>
        <v xml:space="preserve"> </v>
      </c>
      <c r="N95" s="3" t="str">
        <f t="shared" ca="1" si="8"/>
        <v xml:space="preserve"> </v>
      </c>
      <c r="O95" s="3" t="str">
        <f ca="1">IF(ISNUMBER($L95),INDIRECT("Input!A"&amp;1+MATCH($M95,aux_sheet!$A$2:$A$202,0))," ")</f>
        <v xml:space="preserve"> </v>
      </c>
      <c r="P95" s="3" t="str">
        <f ca="1">IF(ISNUMBER($L95),INDIRECT("Input!B"&amp;1+MATCH($M95,aux_sheet!$A$2:$A$202,0))," ")</f>
        <v xml:space="preserve"> </v>
      </c>
    </row>
    <row r="96" spans="1:16" x14ac:dyDescent="0.35">
      <c r="A96" t="str">
        <f>IF(ISBLANK(Input!A96)," ",ROUNDDOWN(aux_sheet!B96,0))</f>
        <v xml:space="preserve"> </v>
      </c>
      <c r="B96" t="str">
        <f ca="1">IF(ISBLANK(Input!A96)," ",INDIRECT("Input!A"&amp;1+MATCH(H96,aux_sheet!$A$2:$A$202,0)))</f>
        <v xml:space="preserve"> </v>
      </c>
      <c r="C96" t="str">
        <f ca="1">IF(ISBLANK(Input!B96)," ",INDIRECT("Input!B"&amp;1+MATCH($H96,aux_sheet!$A$2:$A$202,0)))</f>
        <v xml:space="preserve"> </v>
      </c>
      <c r="D96" t="str">
        <f ca="1">IF(ISBLANK(Input!C96)," ",INDIRECT("Input!C"&amp;1+MATCH($H96,aux_sheet!$A$2:$A$202,0)))</f>
        <v xml:space="preserve"> </v>
      </c>
      <c r="E96" t="str">
        <f ca="1">IF(ISBLANK(Input!D96)," ",INDIRECT("Input!D"&amp;1+MATCH($H96,aux_sheet!$A$2:$A$202,0)))</f>
        <v xml:space="preserve"> </v>
      </c>
      <c r="F96" t="str">
        <f ca="1">INDIRECT("Input!F"&amp;1+MATCH($H96,aux_sheet!$A$2:$A$202,0))</f>
        <v xml:space="preserve"> </v>
      </c>
      <c r="G96">
        <f ca="1">IF(ISBLANK(Input!E96)," ",INDIRECT("Input!AP"&amp;1+MATCH($H96,aux_sheet!$A$2:$A$202,0)))</f>
        <v>0</v>
      </c>
      <c r="H96">
        <f>aux_sheet!B96</f>
        <v>1000</v>
      </c>
      <c r="J96" t="str">
        <f t="shared" si="5"/>
        <v xml:space="preserve"> </v>
      </c>
      <c r="K96">
        <v>95</v>
      </c>
      <c r="L96" t="str">
        <f t="shared" ca="1" si="6"/>
        <v xml:space="preserve"> </v>
      </c>
      <c r="M96" t="str">
        <f t="shared" ca="1" si="7"/>
        <v xml:space="preserve"> </v>
      </c>
      <c r="N96" s="3" t="str">
        <f t="shared" ca="1" si="8"/>
        <v xml:space="preserve"> </v>
      </c>
      <c r="O96" s="3" t="str">
        <f ca="1">IF(ISNUMBER($L96),INDIRECT("Input!A"&amp;1+MATCH($M96,aux_sheet!$A$2:$A$202,0))," ")</f>
        <v xml:space="preserve"> </v>
      </c>
      <c r="P96" s="3" t="str">
        <f ca="1">IF(ISNUMBER($L96),INDIRECT("Input!B"&amp;1+MATCH($M96,aux_sheet!$A$2:$A$202,0))," ")</f>
        <v xml:space="preserve"> </v>
      </c>
    </row>
    <row r="97" spans="1:16" x14ac:dyDescent="0.35">
      <c r="A97" t="str">
        <f>IF(ISBLANK(Input!A97)," ",ROUNDDOWN(aux_sheet!B97,0))</f>
        <v xml:space="preserve"> </v>
      </c>
      <c r="B97" t="str">
        <f ca="1">IF(ISBLANK(Input!A97)," ",INDIRECT("Input!A"&amp;1+MATCH(H97,aux_sheet!$A$2:$A$202,0)))</f>
        <v xml:space="preserve"> </v>
      </c>
      <c r="C97" t="str">
        <f ca="1">IF(ISBLANK(Input!B97)," ",INDIRECT("Input!B"&amp;1+MATCH($H97,aux_sheet!$A$2:$A$202,0)))</f>
        <v xml:space="preserve"> </v>
      </c>
      <c r="D97" t="str">
        <f ca="1">IF(ISBLANK(Input!C97)," ",INDIRECT("Input!C"&amp;1+MATCH($H97,aux_sheet!$A$2:$A$202,0)))</f>
        <v xml:space="preserve"> </v>
      </c>
      <c r="E97" t="str">
        <f ca="1">IF(ISBLANK(Input!D97)," ",INDIRECT("Input!D"&amp;1+MATCH($H97,aux_sheet!$A$2:$A$202,0)))</f>
        <v xml:space="preserve"> </v>
      </c>
      <c r="F97" t="str">
        <f ca="1">INDIRECT("Input!F"&amp;1+MATCH($H97,aux_sheet!$A$2:$A$202,0))</f>
        <v xml:space="preserve"> </v>
      </c>
      <c r="G97">
        <f ca="1">IF(ISBLANK(Input!E97)," ",INDIRECT("Input!AP"&amp;1+MATCH($H97,aux_sheet!$A$2:$A$202,0)))</f>
        <v>0</v>
      </c>
      <c r="H97">
        <f>aux_sheet!B97</f>
        <v>1000</v>
      </c>
      <c r="J97" t="str">
        <f t="shared" si="5"/>
        <v xml:space="preserve"> </v>
      </c>
      <c r="K97">
        <v>96</v>
      </c>
      <c r="L97" t="str">
        <f t="shared" ca="1" si="6"/>
        <v xml:space="preserve"> </v>
      </c>
      <c r="M97" t="str">
        <f t="shared" ca="1" si="7"/>
        <v xml:space="preserve"> </v>
      </c>
      <c r="N97" s="3" t="str">
        <f t="shared" ca="1" si="8"/>
        <v xml:space="preserve"> </v>
      </c>
      <c r="O97" s="3" t="str">
        <f ca="1">IF(ISNUMBER($L97),INDIRECT("Input!A"&amp;1+MATCH($M97,aux_sheet!$A$2:$A$202,0))," ")</f>
        <v xml:space="preserve"> </v>
      </c>
      <c r="P97" s="3" t="str">
        <f ca="1">IF(ISNUMBER($L97),INDIRECT("Input!B"&amp;1+MATCH($M97,aux_sheet!$A$2:$A$202,0))," ")</f>
        <v xml:space="preserve"> </v>
      </c>
    </row>
    <row r="98" spans="1:16" x14ac:dyDescent="0.35">
      <c r="A98" t="str">
        <f>IF(ISBLANK(Input!A98)," ",ROUNDDOWN(aux_sheet!B98,0))</f>
        <v xml:space="preserve"> </v>
      </c>
      <c r="B98" t="str">
        <f ca="1">IF(ISBLANK(Input!A98)," ",INDIRECT("Input!A"&amp;1+MATCH(H98,aux_sheet!$A$2:$A$202,0)))</f>
        <v xml:space="preserve"> </v>
      </c>
      <c r="C98" t="str">
        <f ca="1">IF(ISBLANK(Input!B98)," ",INDIRECT("Input!B"&amp;1+MATCH($H98,aux_sheet!$A$2:$A$202,0)))</f>
        <v xml:space="preserve"> </v>
      </c>
      <c r="D98" t="str">
        <f ca="1">IF(ISBLANK(Input!C98)," ",INDIRECT("Input!C"&amp;1+MATCH($H98,aux_sheet!$A$2:$A$202,0)))</f>
        <v xml:space="preserve"> </v>
      </c>
      <c r="E98" t="str">
        <f ca="1">IF(ISBLANK(Input!D98)," ",INDIRECT("Input!D"&amp;1+MATCH($H98,aux_sheet!$A$2:$A$202,0)))</f>
        <v xml:space="preserve"> </v>
      </c>
      <c r="F98" t="str">
        <f ca="1">INDIRECT("Input!F"&amp;1+MATCH($H98,aux_sheet!$A$2:$A$202,0))</f>
        <v xml:space="preserve"> </v>
      </c>
      <c r="G98">
        <f ca="1">IF(ISBLANK(Input!E98)," ",INDIRECT("Input!AP"&amp;1+MATCH($H98,aux_sheet!$A$2:$A$202,0)))</f>
        <v>0</v>
      </c>
      <c r="H98">
        <f>aux_sheet!B98</f>
        <v>1000</v>
      </c>
      <c r="J98" t="str">
        <f t="shared" si="5"/>
        <v xml:space="preserve"> </v>
      </c>
      <c r="K98">
        <v>97</v>
      </c>
      <c r="L98" t="str">
        <f t="shared" ca="1" si="6"/>
        <v xml:space="preserve"> </v>
      </c>
      <c r="M98" t="str">
        <f t="shared" ca="1" si="7"/>
        <v xml:space="preserve"> </v>
      </c>
      <c r="N98" s="3" t="str">
        <f t="shared" ca="1" si="8"/>
        <v xml:space="preserve"> </v>
      </c>
      <c r="O98" s="3" t="str">
        <f ca="1">IF(ISNUMBER($L98),INDIRECT("Input!A"&amp;1+MATCH($M98,aux_sheet!$A$2:$A$202,0))," ")</f>
        <v xml:space="preserve"> </v>
      </c>
      <c r="P98" s="3" t="str">
        <f ca="1">IF(ISNUMBER($L98),INDIRECT("Input!B"&amp;1+MATCH($M98,aux_sheet!$A$2:$A$202,0))," ")</f>
        <v xml:space="preserve"> </v>
      </c>
    </row>
    <row r="99" spans="1:16" x14ac:dyDescent="0.35">
      <c r="A99" t="str">
        <f>IF(ISBLANK(Input!A99)," ",ROUNDDOWN(aux_sheet!B99,0))</f>
        <v xml:space="preserve"> </v>
      </c>
      <c r="B99" t="str">
        <f ca="1">IF(ISBLANK(Input!A99)," ",INDIRECT("Input!A"&amp;1+MATCH(H99,aux_sheet!$A$2:$A$202,0)))</f>
        <v xml:space="preserve"> </v>
      </c>
      <c r="C99" t="str">
        <f ca="1">IF(ISBLANK(Input!B99)," ",INDIRECT("Input!B"&amp;1+MATCH($H99,aux_sheet!$A$2:$A$202,0)))</f>
        <v xml:space="preserve"> </v>
      </c>
      <c r="D99" t="str">
        <f ca="1">IF(ISBLANK(Input!C99)," ",INDIRECT("Input!C"&amp;1+MATCH($H99,aux_sheet!$A$2:$A$202,0)))</f>
        <v xml:space="preserve"> </v>
      </c>
      <c r="E99" t="str">
        <f ca="1">IF(ISBLANK(Input!D99)," ",INDIRECT("Input!D"&amp;1+MATCH($H99,aux_sheet!$A$2:$A$202,0)))</f>
        <v xml:space="preserve"> </v>
      </c>
      <c r="F99" t="str">
        <f ca="1">INDIRECT("Input!F"&amp;1+MATCH($H99,aux_sheet!$A$2:$A$202,0))</f>
        <v xml:space="preserve"> </v>
      </c>
      <c r="G99">
        <f ca="1">IF(ISBLANK(Input!E99)," ",INDIRECT("Input!AP"&amp;1+MATCH($H99,aux_sheet!$A$2:$A$202,0)))</f>
        <v>0</v>
      </c>
      <c r="H99">
        <f>aux_sheet!B99</f>
        <v>1000</v>
      </c>
      <c r="J99" t="str">
        <f t="shared" si="5"/>
        <v xml:space="preserve"> </v>
      </c>
      <c r="K99">
        <v>98</v>
      </c>
      <c r="L99" t="str">
        <f t="shared" ca="1" si="6"/>
        <v xml:space="preserve"> </v>
      </c>
      <c r="M99" t="str">
        <f t="shared" ca="1" si="7"/>
        <v xml:space="preserve"> </v>
      </c>
      <c r="N99" s="3" t="str">
        <f t="shared" ca="1" si="8"/>
        <v xml:space="preserve"> </v>
      </c>
      <c r="O99" s="3" t="str">
        <f ca="1">IF(ISNUMBER($L99),INDIRECT("Input!A"&amp;1+MATCH($M99,aux_sheet!$A$2:$A$202,0))," ")</f>
        <v xml:space="preserve"> </v>
      </c>
      <c r="P99" s="3" t="str">
        <f ca="1">IF(ISNUMBER($L99),INDIRECT("Input!B"&amp;1+MATCH($M99,aux_sheet!$A$2:$A$202,0))," ")</f>
        <v xml:space="preserve"> </v>
      </c>
    </row>
    <row r="100" spans="1:16" x14ac:dyDescent="0.35">
      <c r="A100" t="str">
        <f>IF(ISBLANK(Input!A100)," ",ROUNDDOWN(aux_sheet!B100,0))</f>
        <v xml:space="preserve"> </v>
      </c>
      <c r="B100" t="str">
        <f ca="1">IF(ISBLANK(Input!A100)," ",INDIRECT("Input!A"&amp;1+MATCH(H100,aux_sheet!$A$2:$A$202,0)))</f>
        <v xml:space="preserve"> </v>
      </c>
      <c r="C100" t="str">
        <f ca="1">IF(ISBLANK(Input!B100)," ",INDIRECT("Input!B"&amp;1+MATCH($H100,aux_sheet!$A$2:$A$202,0)))</f>
        <v xml:space="preserve"> </v>
      </c>
      <c r="D100" t="str">
        <f ca="1">IF(ISBLANK(Input!C100)," ",INDIRECT("Input!C"&amp;1+MATCH($H100,aux_sheet!$A$2:$A$202,0)))</f>
        <v xml:space="preserve"> </v>
      </c>
      <c r="E100" t="str">
        <f ca="1">IF(ISBLANK(Input!D100)," ",INDIRECT("Input!D"&amp;1+MATCH($H100,aux_sheet!$A$2:$A$202,0)))</f>
        <v xml:space="preserve"> </v>
      </c>
      <c r="F100" t="str">
        <f ca="1">INDIRECT("Input!F"&amp;1+MATCH($H100,aux_sheet!$A$2:$A$202,0))</f>
        <v xml:space="preserve"> </v>
      </c>
      <c r="G100">
        <f ca="1">IF(ISBLANK(Input!E100)," ",INDIRECT("Input!AP"&amp;1+MATCH($H100,aux_sheet!$A$2:$A$202,0)))</f>
        <v>0</v>
      </c>
      <c r="H100">
        <f>aux_sheet!B100</f>
        <v>1000</v>
      </c>
      <c r="J100" t="str">
        <f t="shared" si="5"/>
        <v xml:space="preserve"> </v>
      </c>
      <c r="K100">
        <v>99</v>
      </c>
      <c r="L100" t="str">
        <f t="shared" ca="1" si="6"/>
        <v xml:space="preserve"> </v>
      </c>
      <c r="M100" t="str">
        <f t="shared" ca="1" si="7"/>
        <v xml:space="preserve"> </v>
      </c>
      <c r="N100" s="3" t="str">
        <f t="shared" ca="1" si="8"/>
        <v xml:space="preserve"> </v>
      </c>
      <c r="O100" s="3" t="str">
        <f ca="1">IF(ISNUMBER($L100),INDIRECT("Input!A"&amp;1+MATCH($M100,aux_sheet!$A$2:$A$202,0))," ")</f>
        <v xml:space="preserve"> </v>
      </c>
      <c r="P100" s="3" t="str">
        <f ca="1">IF(ISNUMBER($L100),INDIRECT("Input!B"&amp;1+MATCH($M100,aux_sheet!$A$2:$A$202,0))," ")</f>
        <v xml:space="preserve"> </v>
      </c>
    </row>
    <row r="101" spans="1:16" x14ac:dyDescent="0.35">
      <c r="A101" t="str">
        <f>IF(ISBLANK(Input!A101)," ",ROUNDDOWN(aux_sheet!B101,0))</f>
        <v xml:space="preserve"> </v>
      </c>
      <c r="B101" t="str">
        <f ca="1">IF(ISBLANK(Input!A101)," ",INDIRECT("Input!A"&amp;1+MATCH(H101,aux_sheet!$A$2:$A$202,0)))</f>
        <v xml:space="preserve"> </v>
      </c>
      <c r="C101" t="str">
        <f ca="1">IF(ISBLANK(Input!B101)," ",INDIRECT("Input!B"&amp;1+MATCH($H101,aux_sheet!$A$2:$A$202,0)))</f>
        <v xml:space="preserve"> </v>
      </c>
      <c r="D101" t="str">
        <f ca="1">IF(ISBLANK(Input!C101)," ",INDIRECT("Input!C"&amp;1+MATCH($H101,aux_sheet!$A$2:$A$202,0)))</f>
        <v xml:space="preserve"> </v>
      </c>
      <c r="E101" t="str">
        <f ca="1">IF(ISBLANK(Input!D101)," ",INDIRECT("Input!D"&amp;1+MATCH($H101,aux_sheet!$A$2:$A$202,0)))</f>
        <v xml:space="preserve"> </v>
      </c>
      <c r="F101" t="str">
        <f ca="1">INDIRECT("Input!F"&amp;1+MATCH($H101,aux_sheet!$A$2:$A$202,0))</f>
        <v xml:space="preserve"> </v>
      </c>
      <c r="G101">
        <f ca="1">IF(ISBLANK(Input!E101)," ",INDIRECT("Input!AP"&amp;1+MATCH($H101,aux_sheet!$A$2:$A$202,0)))</f>
        <v>0</v>
      </c>
      <c r="H101">
        <f>aux_sheet!B101</f>
        <v>1000</v>
      </c>
      <c r="J101" t="str">
        <f t="shared" si="5"/>
        <v xml:space="preserve"> </v>
      </c>
      <c r="K101">
        <v>100</v>
      </c>
      <c r="L101" t="str">
        <f t="shared" ca="1" si="6"/>
        <v xml:space="preserve"> </v>
      </c>
      <c r="M101" t="str">
        <f t="shared" ca="1" si="7"/>
        <v xml:space="preserve"> </v>
      </c>
      <c r="N101" s="3" t="str">
        <f t="shared" ca="1" si="8"/>
        <v xml:space="preserve"> </v>
      </c>
      <c r="O101" s="3" t="str">
        <f ca="1">IF(ISNUMBER($L101),INDIRECT("Input!A"&amp;1+MATCH($M101,aux_sheet!$A$2:$A$202,0))," ")</f>
        <v xml:space="preserve"> </v>
      </c>
      <c r="P101" s="3" t="str">
        <f ca="1">IF(ISNUMBER($L101),INDIRECT("Input!B"&amp;1+MATCH($M101,aux_sheet!$A$2:$A$202,0))," ")</f>
        <v xml:space="preserve"> </v>
      </c>
    </row>
    <row r="102" spans="1:16" x14ac:dyDescent="0.35">
      <c r="A102" t="str">
        <f>IF(ISBLANK(Input!A102)," ",ROUNDDOWN(aux_sheet!B102,0))</f>
        <v xml:space="preserve"> </v>
      </c>
      <c r="B102" t="str">
        <f ca="1">IF(ISBLANK(Input!A102)," ",INDIRECT("Input!A"&amp;1+MATCH(H102,aux_sheet!$A$2:$A$202,0)))</f>
        <v xml:space="preserve"> </v>
      </c>
      <c r="C102" t="str">
        <f ca="1">IF(ISBLANK(Input!B102)," ",INDIRECT("Input!B"&amp;1+MATCH($H102,aux_sheet!$A$2:$A$202,0)))</f>
        <v xml:space="preserve"> </v>
      </c>
      <c r="D102" t="str">
        <f ca="1">IF(ISBLANK(Input!C102)," ",INDIRECT("Input!C"&amp;1+MATCH($H102,aux_sheet!$A$2:$A$202,0)))</f>
        <v xml:space="preserve"> </v>
      </c>
      <c r="E102" t="str">
        <f ca="1">IF(ISBLANK(Input!D102)," ",INDIRECT("Input!D"&amp;1+MATCH($H102,aux_sheet!$A$2:$A$202,0)))</f>
        <v xml:space="preserve"> </v>
      </c>
      <c r="F102" t="str">
        <f ca="1">INDIRECT("Input!F"&amp;1+MATCH($H102,aux_sheet!$A$2:$A$202,0))</f>
        <v xml:space="preserve"> </v>
      </c>
      <c r="G102">
        <f ca="1">IF(ISBLANK(Input!E102)," ",INDIRECT("Input!AP"&amp;1+MATCH($H102,aux_sheet!$A$2:$A$202,0)))</f>
        <v>0</v>
      </c>
      <c r="H102">
        <f>aux_sheet!B102</f>
        <v>1000</v>
      </c>
      <c r="J102" t="str">
        <f t="shared" si="5"/>
        <v xml:space="preserve"> </v>
      </c>
      <c r="K102">
        <v>101</v>
      </c>
      <c r="L102" t="str">
        <f t="shared" ca="1" si="6"/>
        <v xml:space="preserve"> </v>
      </c>
      <c r="M102" t="str">
        <f t="shared" ca="1" si="7"/>
        <v xml:space="preserve"> </v>
      </c>
      <c r="N102" s="3" t="str">
        <f t="shared" ca="1" si="8"/>
        <v xml:space="preserve"> </v>
      </c>
      <c r="O102" s="3" t="str">
        <f ca="1">IF(ISNUMBER($L102),INDIRECT("Input!A"&amp;1+MATCH($M102,aux_sheet!$A$2:$A$202,0))," ")</f>
        <v xml:space="preserve"> </v>
      </c>
      <c r="P102" s="3" t="str">
        <f ca="1">IF(ISNUMBER($L102),INDIRECT("Input!B"&amp;1+MATCH($M102,aux_sheet!$A$2:$A$202,0))," ")</f>
        <v xml:space="preserve"> </v>
      </c>
    </row>
    <row r="103" spans="1:16" x14ac:dyDescent="0.35">
      <c r="A103" t="str">
        <f>IF(ISBLANK(Input!A103)," ",ROUNDDOWN(aux_sheet!B103,0))</f>
        <v xml:space="preserve"> </v>
      </c>
      <c r="B103" t="str">
        <f ca="1">IF(ISBLANK(Input!A103)," ",INDIRECT("Input!A"&amp;1+MATCH(H103,aux_sheet!$A$2:$A$202,0)))</f>
        <v xml:space="preserve"> </v>
      </c>
      <c r="C103" t="str">
        <f ca="1">IF(ISBLANK(Input!B103)," ",INDIRECT("Input!B"&amp;1+MATCH($H103,aux_sheet!$A$2:$A$202,0)))</f>
        <v xml:space="preserve"> </v>
      </c>
      <c r="D103" t="str">
        <f ca="1">IF(ISBLANK(Input!C103)," ",INDIRECT("Input!C"&amp;1+MATCH($H103,aux_sheet!$A$2:$A$202,0)))</f>
        <v xml:space="preserve"> </v>
      </c>
      <c r="E103" t="str">
        <f ca="1">IF(ISBLANK(Input!D103)," ",INDIRECT("Input!D"&amp;1+MATCH($H103,aux_sheet!$A$2:$A$202,0)))</f>
        <v xml:space="preserve"> </v>
      </c>
      <c r="F103" t="str">
        <f ca="1">INDIRECT("Input!F"&amp;1+MATCH($H103,aux_sheet!$A$2:$A$202,0))</f>
        <v xml:space="preserve"> </v>
      </c>
      <c r="G103">
        <f ca="1">IF(ISBLANK(Input!E103)," ",INDIRECT("Input!AP"&amp;1+MATCH($H103,aux_sheet!$A$2:$A$202,0)))</f>
        <v>0</v>
      </c>
      <c r="H103">
        <f>aux_sheet!B103</f>
        <v>1000</v>
      </c>
      <c r="J103" t="str">
        <f t="shared" si="5"/>
        <v xml:space="preserve"> </v>
      </c>
      <c r="K103">
        <v>102</v>
      </c>
      <c r="L103" t="str">
        <f t="shared" ca="1" si="6"/>
        <v xml:space="preserve"> </v>
      </c>
      <c r="M103" t="str">
        <f ca="1">IF(ISNUMBER(L103),SMALL($J$2:$J$202,L103)," ")</f>
        <v xml:space="preserve"> </v>
      </c>
      <c r="N103" s="3" t="str">
        <f t="shared" ca="1" si="8"/>
        <v xml:space="preserve"> </v>
      </c>
      <c r="O103" s="3" t="str">
        <f ca="1">IF(ISNUMBER($L103),INDIRECT("Input!A"&amp;1+MATCH($M103,aux_sheet!$A$2:$A$202,0))," ")</f>
        <v xml:space="preserve"> </v>
      </c>
      <c r="P103" s="3" t="str">
        <f ca="1">IF(ISNUMBER($L103),INDIRECT("Input!B"&amp;1+MATCH($M103,aux_sheet!$A$2:$A$202,0))," ")</f>
        <v xml:space="preserve"> </v>
      </c>
    </row>
    <row r="104" spans="1:16" x14ac:dyDescent="0.35">
      <c r="A104" t="str">
        <f>IF(ISBLANK(Input!A104)," ",ROUNDDOWN(aux_sheet!B104,0))</f>
        <v xml:space="preserve"> </v>
      </c>
      <c r="B104" t="str">
        <f ca="1">IF(ISBLANK(Input!A104)," ",INDIRECT("Input!A"&amp;1+MATCH(H104,aux_sheet!$A$2:$A$202,0)))</f>
        <v xml:space="preserve"> </v>
      </c>
      <c r="C104" t="str">
        <f ca="1">IF(ISBLANK(Input!B104)," ",INDIRECT("Input!B"&amp;1+MATCH($H104,aux_sheet!$A$2:$A$202,0)))</f>
        <v xml:space="preserve"> </v>
      </c>
      <c r="D104" t="str">
        <f ca="1">IF(ISBLANK(Input!C104)," ",INDIRECT("Input!C"&amp;1+MATCH($H104,aux_sheet!$A$2:$A$202,0)))</f>
        <v xml:space="preserve"> </v>
      </c>
      <c r="E104" t="str">
        <f ca="1">IF(ISBLANK(Input!D104)," ",INDIRECT("Input!D"&amp;1+MATCH($H104,aux_sheet!$A$2:$A$202,0)))</f>
        <v xml:space="preserve"> </v>
      </c>
      <c r="F104" t="str">
        <f ca="1">INDIRECT("Input!F"&amp;1+MATCH($H104,aux_sheet!$A$2:$A$202,0))</f>
        <v xml:space="preserve"> </v>
      </c>
      <c r="G104">
        <f ca="1">IF(ISBLANK(Input!E104)," ",INDIRECT("Input!AP"&amp;1+MATCH($H104,aux_sheet!$A$2:$A$202,0)))</f>
        <v>0</v>
      </c>
      <c r="H104">
        <f>aux_sheet!B104</f>
        <v>1000</v>
      </c>
      <c r="J104" t="str">
        <f t="shared" si="5"/>
        <v xml:space="preserve"> </v>
      </c>
      <c r="K104">
        <v>103</v>
      </c>
      <c r="L104" t="str">
        <f t="shared" ca="1" si="6"/>
        <v xml:space="preserve"> </v>
      </c>
      <c r="M104" t="str">
        <f t="shared" ref="M104:M167" ca="1" si="9">IF(ISNUMBER(L104),SMALL($J$2:$J$202,L104)," ")</f>
        <v xml:space="preserve"> </v>
      </c>
      <c r="N104" s="3" t="str">
        <f t="shared" ca="1" si="8"/>
        <v xml:space="preserve"> </v>
      </c>
      <c r="O104" s="3" t="str">
        <f ca="1">IF(ISNUMBER($L104),INDIRECT("Input!A"&amp;1+MATCH($M104,aux_sheet!$A$2:$A$202,0))," ")</f>
        <v xml:space="preserve"> </v>
      </c>
      <c r="P104" s="3" t="str">
        <f ca="1">IF(ISNUMBER($L104),INDIRECT("Input!B"&amp;1+MATCH($M104,aux_sheet!$A$2:$A$202,0))," ")</f>
        <v xml:space="preserve"> </v>
      </c>
    </row>
    <row r="105" spans="1:16" x14ac:dyDescent="0.35">
      <c r="A105" t="str">
        <f>IF(ISBLANK(Input!A105)," ",ROUNDDOWN(aux_sheet!B105,0))</f>
        <v xml:space="preserve"> </v>
      </c>
      <c r="B105" t="str">
        <f ca="1">IF(ISBLANK(Input!A105)," ",INDIRECT("Input!A"&amp;1+MATCH(H105,aux_sheet!$A$2:$A$202,0)))</f>
        <v xml:space="preserve"> </v>
      </c>
      <c r="C105" t="str">
        <f ca="1">IF(ISBLANK(Input!B105)," ",INDIRECT("Input!B"&amp;1+MATCH($H105,aux_sheet!$A$2:$A$202,0)))</f>
        <v xml:space="preserve"> </v>
      </c>
      <c r="D105" t="str">
        <f ca="1">IF(ISBLANK(Input!C105)," ",INDIRECT("Input!C"&amp;1+MATCH($H105,aux_sheet!$A$2:$A$202,0)))</f>
        <v xml:space="preserve"> </v>
      </c>
      <c r="E105" t="str">
        <f ca="1">IF(ISBLANK(Input!D105)," ",INDIRECT("Input!D"&amp;1+MATCH($H105,aux_sheet!$A$2:$A$202,0)))</f>
        <v xml:space="preserve"> </v>
      </c>
      <c r="F105" t="str">
        <f ca="1">INDIRECT("Input!F"&amp;1+MATCH($H105,aux_sheet!$A$2:$A$202,0))</f>
        <v xml:space="preserve"> </v>
      </c>
      <c r="G105">
        <f ca="1">IF(ISBLANK(Input!E105)," ",INDIRECT("Input!AP"&amp;1+MATCH($H105,aux_sheet!$A$2:$A$202,0)))</f>
        <v>0</v>
      </c>
      <c r="H105">
        <f>aux_sheet!B105</f>
        <v>1000</v>
      </c>
      <c r="J105" t="str">
        <f t="shared" si="5"/>
        <v xml:space="preserve"> </v>
      </c>
      <c r="K105">
        <v>104</v>
      </c>
      <c r="L105" t="str">
        <f t="shared" ca="1" si="6"/>
        <v xml:space="preserve"> </v>
      </c>
      <c r="M105" t="str">
        <f t="shared" ca="1" si="9"/>
        <v xml:space="preserve"> </v>
      </c>
      <c r="N105" s="3" t="str">
        <f t="shared" ca="1" si="8"/>
        <v xml:space="preserve"> </v>
      </c>
      <c r="O105" s="3" t="str">
        <f ca="1">IF(ISNUMBER($L105),INDIRECT("Input!A"&amp;1+MATCH($M105,aux_sheet!$A$2:$A$202,0))," ")</f>
        <v xml:space="preserve"> </v>
      </c>
      <c r="P105" s="3" t="str">
        <f ca="1">IF(ISNUMBER($L105),INDIRECT("Input!B"&amp;1+MATCH($M105,aux_sheet!$A$2:$A$202,0))," ")</f>
        <v xml:space="preserve"> </v>
      </c>
    </row>
    <row r="106" spans="1:16" x14ac:dyDescent="0.35">
      <c r="A106" t="str">
        <f>IF(ISBLANK(Input!A106)," ",ROUNDDOWN(aux_sheet!B106,0))</f>
        <v xml:space="preserve"> </v>
      </c>
      <c r="B106" t="str">
        <f ca="1">IF(ISBLANK(Input!A106)," ",INDIRECT("Input!A"&amp;1+MATCH(H106,aux_sheet!$A$2:$A$202,0)))</f>
        <v xml:space="preserve"> </v>
      </c>
      <c r="C106" t="str">
        <f ca="1">IF(ISBLANK(Input!B106)," ",INDIRECT("Input!B"&amp;1+MATCH($H106,aux_sheet!$A$2:$A$202,0)))</f>
        <v xml:space="preserve"> </v>
      </c>
      <c r="D106" t="str">
        <f ca="1">IF(ISBLANK(Input!C106)," ",INDIRECT("Input!C"&amp;1+MATCH($H106,aux_sheet!$A$2:$A$202,0)))</f>
        <v xml:space="preserve"> </v>
      </c>
      <c r="E106" t="str">
        <f ca="1">IF(ISBLANK(Input!D106)," ",INDIRECT("Input!D"&amp;1+MATCH($H106,aux_sheet!$A$2:$A$202,0)))</f>
        <v xml:space="preserve"> </v>
      </c>
      <c r="F106" t="str">
        <f ca="1">INDIRECT("Input!F"&amp;1+MATCH($H106,aux_sheet!$A$2:$A$202,0))</f>
        <v xml:space="preserve"> </v>
      </c>
      <c r="G106">
        <f ca="1">IF(ISBLANK(Input!E106)," ",INDIRECT("Input!AP"&amp;1+MATCH($H106,aux_sheet!$A$2:$A$202,0)))</f>
        <v>0</v>
      </c>
      <c r="H106">
        <f>aux_sheet!B106</f>
        <v>1000</v>
      </c>
      <c r="J106" t="str">
        <f>IF(H106&gt;999," ",IF(G106="NP"," ",H106))</f>
        <v xml:space="preserve"> </v>
      </c>
      <c r="K106">
        <v>105</v>
      </c>
      <c r="L106" t="str">
        <f t="shared" ca="1" si="6"/>
        <v xml:space="preserve"> </v>
      </c>
      <c r="M106" t="str">
        <f t="shared" ca="1" si="9"/>
        <v xml:space="preserve"> </v>
      </c>
      <c r="N106" s="3" t="str">
        <f t="shared" ca="1" si="8"/>
        <v xml:space="preserve"> </v>
      </c>
      <c r="O106" s="3" t="str">
        <f ca="1">IF(ISNUMBER($L106),INDIRECT("Input!A"&amp;1+MATCH($M106,aux_sheet!$A$2:$A$202,0))," ")</f>
        <v xml:space="preserve"> </v>
      </c>
      <c r="P106" s="3" t="str">
        <f ca="1">IF(ISNUMBER($L106),INDIRECT("Input!B"&amp;1+MATCH($M106,aux_sheet!$A$2:$A$202,0))," ")</f>
        <v xml:space="preserve"> </v>
      </c>
    </row>
    <row r="107" spans="1:16" x14ac:dyDescent="0.35">
      <c r="A107" t="str">
        <f>IF(ISBLANK(Input!A107)," ",ROUNDDOWN(aux_sheet!B107,0))</f>
        <v xml:space="preserve"> </v>
      </c>
      <c r="B107" t="str">
        <f ca="1">IF(ISBLANK(Input!A107)," ",INDIRECT("Input!A"&amp;1+MATCH(H107,aux_sheet!$A$2:$A$202,0)))</f>
        <v xml:space="preserve"> </v>
      </c>
      <c r="C107" t="str">
        <f ca="1">IF(ISBLANK(Input!B107)," ",INDIRECT("Input!B"&amp;1+MATCH($H107,aux_sheet!$A$2:$A$202,0)))</f>
        <v xml:space="preserve"> </v>
      </c>
      <c r="D107" t="str">
        <f ca="1">IF(ISBLANK(Input!C107)," ",INDIRECT("Input!C"&amp;1+MATCH($H107,aux_sheet!$A$2:$A$202,0)))</f>
        <v xml:space="preserve"> </v>
      </c>
      <c r="E107" t="str">
        <f ca="1">IF(ISBLANK(Input!D107)," ",INDIRECT("Input!D"&amp;1+MATCH($H107,aux_sheet!$A$2:$A$202,0)))</f>
        <v xml:space="preserve"> </v>
      </c>
      <c r="F107" t="str">
        <f ca="1">INDIRECT("Input!F"&amp;1+MATCH($H107,aux_sheet!$A$2:$A$202,0))</f>
        <v xml:space="preserve"> </v>
      </c>
      <c r="G107">
        <f ca="1">IF(ISBLANK(Input!E107)," ",INDIRECT("Input!AP"&amp;1+MATCH($H107,aux_sheet!$A$2:$A$202,0)))</f>
        <v>0</v>
      </c>
      <c r="H107">
        <f>aux_sheet!B107</f>
        <v>1000</v>
      </c>
      <c r="J107" t="str">
        <f t="shared" ref="J107:J170" si="10">IF(H107&gt;999," ",IF(G107="NP"," ",H107))</f>
        <v xml:space="preserve"> </v>
      </c>
      <c r="K107">
        <v>106</v>
      </c>
      <c r="L107" t="str">
        <f t="shared" ca="1" si="6"/>
        <v xml:space="preserve"> </v>
      </c>
      <c r="M107" t="str">
        <f t="shared" ca="1" si="9"/>
        <v xml:space="preserve"> </v>
      </c>
      <c r="N107" s="3" t="str">
        <f t="shared" ca="1" si="8"/>
        <v xml:space="preserve"> </v>
      </c>
      <c r="O107" s="3" t="str">
        <f ca="1">IF(ISNUMBER($L107),INDIRECT("Input!A"&amp;1+MATCH($M107,aux_sheet!$A$2:$A$202,0))," ")</f>
        <v xml:space="preserve"> </v>
      </c>
      <c r="P107" s="3" t="str">
        <f ca="1">IF(ISNUMBER($L107),INDIRECT("Input!B"&amp;1+MATCH($M107,aux_sheet!$A$2:$A$202,0))," ")</f>
        <v xml:space="preserve"> </v>
      </c>
    </row>
    <row r="108" spans="1:16" x14ac:dyDescent="0.35">
      <c r="A108" t="str">
        <f>IF(ISBLANK(Input!A108)," ",ROUNDDOWN(aux_sheet!B108,0))</f>
        <v xml:space="preserve"> </v>
      </c>
      <c r="B108" t="str">
        <f ca="1">IF(ISBLANK(Input!A108)," ",INDIRECT("Input!A"&amp;1+MATCH(H108,aux_sheet!$A$2:$A$202,0)))</f>
        <v xml:space="preserve"> </v>
      </c>
      <c r="C108" t="str">
        <f ca="1">IF(ISBLANK(Input!B108)," ",INDIRECT("Input!B"&amp;1+MATCH($H108,aux_sheet!$A$2:$A$202,0)))</f>
        <v xml:space="preserve"> </v>
      </c>
      <c r="D108" t="str">
        <f ca="1">IF(ISBLANK(Input!C108)," ",INDIRECT("Input!C"&amp;1+MATCH($H108,aux_sheet!$A$2:$A$202,0)))</f>
        <v xml:space="preserve"> </v>
      </c>
      <c r="E108" t="str">
        <f ca="1">IF(ISBLANK(Input!D108)," ",INDIRECT("Input!D"&amp;1+MATCH($H108,aux_sheet!$A$2:$A$202,0)))</f>
        <v xml:space="preserve"> </v>
      </c>
      <c r="F108" t="str">
        <f ca="1">INDIRECT("Input!F"&amp;1+MATCH($H108,aux_sheet!$A$2:$A$202,0))</f>
        <v xml:space="preserve"> </v>
      </c>
      <c r="G108">
        <f ca="1">IF(ISBLANK(Input!E108)," ",INDIRECT("Input!AP"&amp;1+MATCH($H108,aux_sheet!$A$2:$A$202,0)))</f>
        <v>0</v>
      </c>
      <c r="H108">
        <f>aux_sheet!B108</f>
        <v>1000</v>
      </c>
      <c r="J108" t="str">
        <f t="shared" si="10"/>
        <v xml:space="preserve"> </v>
      </c>
      <c r="K108">
        <v>107</v>
      </c>
      <c r="L108" t="str">
        <f t="shared" ca="1" si="6"/>
        <v xml:space="preserve"> </v>
      </c>
      <c r="M108" t="str">
        <f t="shared" ca="1" si="9"/>
        <v xml:space="preserve"> </v>
      </c>
      <c r="N108" s="3" t="str">
        <f t="shared" ca="1" si="8"/>
        <v xml:space="preserve"> </v>
      </c>
      <c r="O108" s="3" t="str">
        <f ca="1">IF(ISNUMBER($L108),INDIRECT("Input!A"&amp;1+MATCH($M108,aux_sheet!$A$2:$A$202,0))," ")</f>
        <v xml:space="preserve"> </v>
      </c>
      <c r="P108" s="3" t="str">
        <f ca="1">IF(ISNUMBER($L108),INDIRECT("Input!B"&amp;1+MATCH($M108,aux_sheet!$A$2:$A$202,0))," ")</f>
        <v xml:space="preserve"> </v>
      </c>
    </row>
    <row r="109" spans="1:16" x14ac:dyDescent="0.35">
      <c r="A109" t="str">
        <f>IF(ISBLANK(Input!A109)," ",ROUNDDOWN(aux_sheet!B109,0))</f>
        <v xml:space="preserve"> </v>
      </c>
      <c r="B109" t="str">
        <f ca="1">IF(ISBLANK(Input!A109)," ",INDIRECT("Input!A"&amp;1+MATCH(H109,aux_sheet!$A$2:$A$202,0)))</f>
        <v xml:space="preserve"> </v>
      </c>
      <c r="C109" t="str">
        <f ca="1">IF(ISBLANK(Input!B109)," ",INDIRECT("Input!B"&amp;1+MATCH($H109,aux_sheet!$A$2:$A$202,0)))</f>
        <v xml:space="preserve"> </v>
      </c>
      <c r="D109" t="str">
        <f ca="1">IF(ISBLANK(Input!C109)," ",INDIRECT("Input!C"&amp;1+MATCH($H109,aux_sheet!$A$2:$A$202,0)))</f>
        <v xml:space="preserve"> </v>
      </c>
      <c r="E109" t="str">
        <f ca="1">IF(ISBLANK(Input!D109)," ",INDIRECT("Input!D"&amp;1+MATCH($H109,aux_sheet!$A$2:$A$202,0)))</f>
        <v xml:space="preserve"> </v>
      </c>
      <c r="F109" t="str">
        <f ca="1">INDIRECT("Input!F"&amp;1+MATCH($H109,aux_sheet!$A$2:$A$202,0))</f>
        <v xml:space="preserve"> </v>
      </c>
      <c r="G109">
        <f ca="1">IF(ISBLANK(Input!E109)," ",INDIRECT("Input!AP"&amp;1+MATCH($H109,aux_sheet!$A$2:$A$202,0)))</f>
        <v>0</v>
      </c>
      <c r="H109">
        <f>aux_sheet!B109</f>
        <v>1000</v>
      </c>
      <c r="J109" t="str">
        <f t="shared" si="10"/>
        <v xml:space="preserve"> </v>
      </c>
      <c r="K109">
        <v>108</v>
      </c>
      <c r="L109" t="str">
        <f t="shared" ca="1" si="6"/>
        <v xml:space="preserve"> </v>
      </c>
      <c r="M109" t="str">
        <f t="shared" ca="1" si="9"/>
        <v xml:space="preserve"> </v>
      </c>
      <c r="N109" s="3" t="str">
        <f t="shared" ca="1" si="8"/>
        <v xml:space="preserve"> </v>
      </c>
      <c r="O109" s="3" t="str">
        <f ca="1">IF(ISNUMBER($L109),INDIRECT("Input!A"&amp;1+MATCH($M109,aux_sheet!$A$2:$A$202,0))," ")</f>
        <v xml:space="preserve"> </v>
      </c>
      <c r="P109" s="3" t="str">
        <f ca="1">IF(ISNUMBER($L109),INDIRECT("Input!B"&amp;1+MATCH($M109,aux_sheet!$A$2:$A$202,0))," ")</f>
        <v xml:space="preserve"> </v>
      </c>
    </row>
    <row r="110" spans="1:16" x14ac:dyDescent="0.35">
      <c r="A110" t="str">
        <f>IF(ISBLANK(Input!A110)," ",ROUNDDOWN(aux_sheet!B110,0))</f>
        <v xml:space="preserve"> </v>
      </c>
      <c r="B110" t="str">
        <f ca="1">IF(ISBLANK(Input!A110)," ",INDIRECT("Input!A"&amp;1+MATCH(H110,aux_sheet!$A$2:$A$202,0)))</f>
        <v xml:space="preserve"> </v>
      </c>
      <c r="C110" t="str">
        <f ca="1">IF(ISBLANK(Input!B110)," ",INDIRECT("Input!B"&amp;1+MATCH($H110,aux_sheet!$A$2:$A$202,0)))</f>
        <v xml:space="preserve"> </v>
      </c>
      <c r="D110" t="str">
        <f ca="1">IF(ISBLANK(Input!C110)," ",INDIRECT("Input!C"&amp;1+MATCH($H110,aux_sheet!$A$2:$A$202,0)))</f>
        <v xml:space="preserve"> </v>
      </c>
      <c r="E110" t="str">
        <f ca="1">IF(ISBLANK(Input!D110)," ",INDIRECT("Input!D"&amp;1+MATCH($H110,aux_sheet!$A$2:$A$202,0)))</f>
        <v xml:space="preserve"> </v>
      </c>
      <c r="F110" t="str">
        <f ca="1">INDIRECT("Input!F"&amp;1+MATCH($H110,aux_sheet!$A$2:$A$202,0))</f>
        <v xml:space="preserve"> </v>
      </c>
      <c r="G110">
        <f ca="1">IF(ISBLANK(Input!E110)," ",INDIRECT("Input!AP"&amp;1+MATCH($H110,aux_sheet!$A$2:$A$202,0)))</f>
        <v>0</v>
      </c>
      <c r="H110">
        <f>aux_sheet!B110</f>
        <v>1000</v>
      </c>
      <c r="J110" t="str">
        <f t="shared" si="10"/>
        <v xml:space="preserve"> </v>
      </c>
      <c r="K110">
        <v>109</v>
      </c>
      <c r="L110" t="str">
        <f t="shared" ca="1" si="6"/>
        <v xml:space="preserve"> </v>
      </c>
      <c r="M110" t="str">
        <f t="shared" ca="1" si="9"/>
        <v xml:space="preserve"> </v>
      </c>
      <c r="N110" s="3" t="str">
        <f t="shared" ca="1" si="8"/>
        <v xml:space="preserve"> </v>
      </c>
      <c r="O110" s="3" t="str">
        <f ca="1">IF(ISNUMBER($L110),INDIRECT("Input!A"&amp;1+MATCH($M110,aux_sheet!$A$2:$A$202,0))," ")</f>
        <v xml:space="preserve"> </v>
      </c>
      <c r="P110" s="3" t="str">
        <f ca="1">IF(ISNUMBER($L110),INDIRECT("Input!B"&amp;1+MATCH($M110,aux_sheet!$A$2:$A$202,0))," ")</f>
        <v xml:space="preserve"> </v>
      </c>
    </row>
    <row r="111" spans="1:16" x14ac:dyDescent="0.35">
      <c r="A111" t="str">
        <f>IF(ISBLANK(Input!A111)," ",ROUNDDOWN(aux_sheet!B111,0))</f>
        <v xml:space="preserve"> </v>
      </c>
      <c r="B111" t="str">
        <f ca="1">IF(ISBLANK(Input!A111)," ",INDIRECT("Input!A"&amp;1+MATCH(H111,aux_sheet!$A$2:$A$202,0)))</f>
        <v xml:space="preserve"> </v>
      </c>
      <c r="C111" t="str">
        <f ca="1">IF(ISBLANK(Input!B111)," ",INDIRECT("Input!B"&amp;1+MATCH($H111,aux_sheet!$A$2:$A$202,0)))</f>
        <v xml:space="preserve"> </v>
      </c>
      <c r="D111" t="str">
        <f ca="1">IF(ISBLANK(Input!C111)," ",INDIRECT("Input!C"&amp;1+MATCH($H111,aux_sheet!$A$2:$A$202,0)))</f>
        <v xml:space="preserve"> </v>
      </c>
      <c r="E111" t="str">
        <f ca="1">IF(ISBLANK(Input!D111)," ",INDIRECT("Input!D"&amp;1+MATCH($H111,aux_sheet!$A$2:$A$202,0)))</f>
        <v xml:space="preserve"> </v>
      </c>
      <c r="F111" t="str">
        <f ca="1">INDIRECT("Input!F"&amp;1+MATCH($H111,aux_sheet!$A$2:$A$202,0))</f>
        <v xml:space="preserve"> </v>
      </c>
      <c r="G111">
        <f ca="1">IF(ISBLANK(Input!E111)," ",INDIRECT("Input!AP"&amp;1+MATCH($H111,aux_sheet!$A$2:$A$202,0)))</f>
        <v>0</v>
      </c>
      <c r="H111">
        <f>aux_sheet!B111</f>
        <v>1000</v>
      </c>
      <c r="J111" t="str">
        <f t="shared" si="10"/>
        <v xml:space="preserve"> </v>
      </c>
      <c r="K111">
        <v>110</v>
      </c>
      <c r="L111" t="str">
        <f t="shared" ca="1" si="6"/>
        <v xml:space="preserve"> </v>
      </c>
      <c r="M111" t="str">
        <f t="shared" ca="1" si="9"/>
        <v xml:space="preserve"> </v>
      </c>
      <c r="N111" s="3" t="str">
        <f t="shared" ca="1" si="8"/>
        <v xml:space="preserve"> </v>
      </c>
      <c r="O111" s="3" t="str">
        <f ca="1">IF(ISNUMBER($L111),INDIRECT("Input!A"&amp;1+MATCH($M111,aux_sheet!$A$2:$A$202,0))," ")</f>
        <v xml:space="preserve"> </v>
      </c>
      <c r="P111" s="3" t="str">
        <f ca="1">IF(ISNUMBER($L111),INDIRECT("Input!B"&amp;1+MATCH($M111,aux_sheet!$A$2:$A$202,0))," ")</f>
        <v xml:space="preserve"> </v>
      </c>
    </row>
    <row r="112" spans="1:16" x14ac:dyDescent="0.35">
      <c r="A112" t="str">
        <f>IF(ISBLANK(Input!A112)," ",ROUNDDOWN(aux_sheet!B112,0))</f>
        <v xml:space="preserve"> </v>
      </c>
      <c r="B112" t="str">
        <f ca="1">IF(ISBLANK(Input!A112)," ",INDIRECT("Input!A"&amp;1+MATCH(H112,aux_sheet!$A$2:$A$202,0)))</f>
        <v xml:space="preserve"> </v>
      </c>
      <c r="C112" t="str">
        <f ca="1">IF(ISBLANK(Input!B112)," ",INDIRECT("Input!B"&amp;1+MATCH($H112,aux_sheet!$A$2:$A$202,0)))</f>
        <v xml:space="preserve"> </v>
      </c>
      <c r="D112" t="str">
        <f ca="1">IF(ISBLANK(Input!C112)," ",INDIRECT("Input!C"&amp;1+MATCH($H112,aux_sheet!$A$2:$A$202,0)))</f>
        <v xml:space="preserve"> </v>
      </c>
      <c r="E112" t="str">
        <f ca="1">IF(ISBLANK(Input!D112)," ",INDIRECT("Input!D"&amp;1+MATCH($H112,aux_sheet!$A$2:$A$202,0)))</f>
        <v xml:space="preserve"> </v>
      </c>
      <c r="F112" t="str">
        <f ca="1">INDIRECT("Input!F"&amp;1+MATCH($H112,aux_sheet!$A$2:$A$202,0))</f>
        <v xml:space="preserve"> </v>
      </c>
      <c r="G112">
        <f ca="1">IF(ISBLANK(Input!E112)," ",INDIRECT("Input!AP"&amp;1+MATCH($H112,aux_sheet!$A$2:$A$202,0)))</f>
        <v>0</v>
      </c>
      <c r="H112">
        <f>aux_sheet!B112</f>
        <v>1000</v>
      </c>
      <c r="J112" t="str">
        <f t="shared" si="10"/>
        <v xml:space="preserve"> </v>
      </c>
      <c r="K112">
        <v>111</v>
      </c>
      <c r="L112" t="str">
        <f t="shared" ca="1" si="6"/>
        <v xml:space="preserve"> </v>
      </c>
      <c r="M112" t="str">
        <f t="shared" ca="1" si="9"/>
        <v xml:space="preserve"> </v>
      </c>
      <c r="N112" s="3" t="str">
        <f t="shared" ca="1" si="8"/>
        <v xml:space="preserve"> </v>
      </c>
      <c r="O112" s="3" t="str">
        <f ca="1">IF(ISNUMBER($L112),INDIRECT("Input!A"&amp;1+MATCH($M112,aux_sheet!$A$2:$A$202,0))," ")</f>
        <v xml:space="preserve"> </v>
      </c>
      <c r="P112" s="3" t="str">
        <f ca="1">IF(ISNUMBER($L112),INDIRECT("Input!B"&amp;1+MATCH($M112,aux_sheet!$A$2:$A$202,0))," ")</f>
        <v xml:space="preserve"> </v>
      </c>
    </row>
    <row r="113" spans="1:16" x14ac:dyDescent="0.35">
      <c r="A113" t="str">
        <f>IF(ISBLANK(Input!A113)," ",ROUNDDOWN(aux_sheet!B113,0))</f>
        <v xml:space="preserve"> </v>
      </c>
      <c r="B113" t="str">
        <f ca="1">IF(ISBLANK(Input!A113)," ",INDIRECT("Input!A"&amp;1+MATCH(H113,aux_sheet!$A$2:$A$202,0)))</f>
        <v xml:space="preserve"> </v>
      </c>
      <c r="C113" t="str">
        <f ca="1">IF(ISBLANK(Input!B113)," ",INDIRECT("Input!B"&amp;1+MATCH($H113,aux_sheet!$A$2:$A$202,0)))</f>
        <v xml:space="preserve"> </v>
      </c>
      <c r="D113" t="str">
        <f ca="1">IF(ISBLANK(Input!C113)," ",INDIRECT("Input!C"&amp;1+MATCH($H113,aux_sheet!$A$2:$A$202,0)))</f>
        <v xml:space="preserve"> </v>
      </c>
      <c r="E113" t="str">
        <f ca="1">IF(ISBLANK(Input!D113)," ",INDIRECT("Input!D"&amp;1+MATCH($H113,aux_sheet!$A$2:$A$202,0)))</f>
        <v xml:space="preserve"> </v>
      </c>
      <c r="F113" t="str">
        <f ca="1">INDIRECT("Input!F"&amp;1+MATCH($H113,aux_sheet!$A$2:$A$202,0))</f>
        <v xml:space="preserve"> </v>
      </c>
      <c r="G113">
        <f ca="1">IF(ISBLANK(Input!E113)," ",INDIRECT("Input!AP"&amp;1+MATCH($H113,aux_sheet!$A$2:$A$202,0)))</f>
        <v>0</v>
      </c>
      <c r="H113">
        <f>aux_sheet!B113</f>
        <v>1000</v>
      </c>
      <c r="J113" t="str">
        <f t="shared" si="10"/>
        <v xml:space="preserve"> </v>
      </c>
      <c r="K113">
        <v>112</v>
      </c>
      <c r="L113" t="str">
        <f t="shared" ca="1" si="6"/>
        <v xml:space="preserve"> </v>
      </c>
      <c r="M113" t="str">
        <f t="shared" ca="1" si="9"/>
        <v xml:space="preserve"> </v>
      </c>
      <c r="N113" s="3" t="str">
        <f t="shared" ca="1" si="8"/>
        <v xml:space="preserve"> </v>
      </c>
      <c r="O113" s="3" t="str">
        <f ca="1">IF(ISNUMBER($L113),INDIRECT("Input!A"&amp;1+MATCH($M113,aux_sheet!$A$2:$A$202,0))," ")</f>
        <v xml:space="preserve"> </v>
      </c>
      <c r="P113" s="3" t="str">
        <f ca="1">IF(ISNUMBER($L113),INDIRECT("Input!B"&amp;1+MATCH($M113,aux_sheet!$A$2:$A$202,0))," ")</f>
        <v xml:space="preserve"> </v>
      </c>
    </row>
    <row r="114" spans="1:16" x14ac:dyDescent="0.35">
      <c r="A114" t="str">
        <f>IF(ISBLANK(Input!A114)," ",ROUNDDOWN(aux_sheet!B114,0))</f>
        <v xml:space="preserve"> </v>
      </c>
      <c r="B114" t="str">
        <f ca="1">IF(ISBLANK(Input!A114)," ",INDIRECT("Input!A"&amp;1+MATCH(H114,aux_sheet!$A$2:$A$202,0)))</f>
        <v xml:space="preserve"> </v>
      </c>
      <c r="C114" t="str">
        <f ca="1">IF(ISBLANK(Input!B114)," ",INDIRECT("Input!B"&amp;1+MATCH($H114,aux_sheet!$A$2:$A$202,0)))</f>
        <v xml:space="preserve"> </v>
      </c>
      <c r="D114" t="str">
        <f ca="1">IF(ISBLANK(Input!C114)," ",INDIRECT("Input!C"&amp;1+MATCH($H114,aux_sheet!$A$2:$A$202,0)))</f>
        <v xml:space="preserve"> </v>
      </c>
      <c r="E114" t="str">
        <f ca="1">IF(ISBLANK(Input!D114)," ",INDIRECT("Input!D"&amp;1+MATCH($H114,aux_sheet!$A$2:$A$202,0)))</f>
        <v xml:space="preserve"> </v>
      </c>
      <c r="F114" t="str">
        <f ca="1">INDIRECT("Input!F"&amp;1+MATCH($H114,aux_sheet!$A$2:$A$202,0))</f>
        <v xml:space="preserve"> </v>
      </c>
      <c r="G114">
        <f ca="1">IF(ISBLANK(Input!E114)," ",INDIRECT("Input!AP"&amp;1+MATCH($H114,aux_sheet!$A$2:$A$202,0)))</f>
        <v>0</v>
      </c>
      <c r="H114">
        <f>aux_sheet!B114</f>
        <v>1000</v>
      </c>
      <c r="J114" t="str">
        <f t="shared" si="10"/>
        <v xml:space="preserve"> </v>
      </c>
      <c r="K114">
        <v>113</v>
      </c>
      <c r="L114" t="str">
        <f t="shared" ca="1" si="6"/>
        <v xml:space="preserve"> </v>
      </c>
      <c r="M114" t="str">
        <f t="shared" ca="1" si="9"/>
        <v xml:space="preserve"> </v>
      </c>
      <c r="N114" s="3" t="str">
        <f t="shared" ca="1" si="8"/>
        <v xml:space="preserve"> </v>
      </c>
      <c r="O114" s="3" t="str">
        <f ca="1">IF(ISNUMBER($L114),INDIRECT("Input!A"&amp;1+MATCH($M114,aux_sheet!$A$2:$A$202,0))," ")</f>
        <v xml:space="preserve"> </v>
      </c>
      <c r="P114" s="3" t="str">
        <f ca="1">IF(ISNUMBER($L114),INDIRECT("Input!B"&amp;1+MATCH($M114,aux_sheet!$A$2:$A$202,0))," ")</f>
        <v xml:space="preserve"> </v>
      </c>
    </row>
    <row r="115" spans="1:16" x14ac:dyDescent="0.35">
      <c r="A115" t="str">
        <f>IF(ISBLANK(Input!A115)," ",ROUNDDOWN(aux_sheet!B115,0))</f>
        <v xml:space="preserve"> </v>
      </c>
      <c r="B115" t="str">
        <f ca="1">IF(ISBLANK(Input!A115)," ",INDIRECT("Input!A"&amp;1+MATCH(H115,aux_sheet!$A$2:$A$202,0)))</f>
        <v xml:space="preserve"> </v>
      </c>
      <c r="C115" t="str">
        <f ca="1">IF(ISBLANK(Input!B115)," ",INDIRECT("Input!B"&amp;1+MATCH($H115,aux_sheet!$A$2:$A$202,0)))</f>
        <v xml:space="preserve"> </v>
      </c>
      <c r="D115" t="str">
        <f ca="1">IF(ISBLANK(Input!C115)," ",INDIRECT("Input!C"&amp;1+MATCH($H115,aux_sheet!$A$2:$A$202,0)))</f>
        <v xml:space="preserve"> </v>
      </c>
      <c r="E115" t="str">
        <f ca="1">IF(ISBLANK(Input!D115)," ",INDIRECT("Input!D"&amp;1+MATCH($H115,aux_sheet!$A$2:$A$202,0)))</f>
        <v xml:space="preserve"> </v>
      </c>
      <c r="F115" t="str">
        <f ca="1">INDIRECT("Input!F"&amp;1+MATCH($H115,aux_sheet!$A$2:$A$202,0))</f>
        <v xml:space="preserve"> </v>
      </c>
      <c r="G115">
        <f ca="1">IF(ISBLANK(Input!E115)," ",INDIRECT("Input!AP"&amp;1+MATCH($H115,aux_sheet!$A$2:$A$202,0)))</f>
        <v>0</v>
      </c>
      <c r="H115">
        <f>aux_sheet!B115</f>
        <v>1000</v>
      </c>
      <c r="J115" t="str">
        <f t="shared" si="10"/>
        <v xml:space="preserve"> </v>
      </c>
      <c r="K115">
        <v>114</v>
      </c>
      <c r="L115" t="str">
        <f t="shared" ca="1" si="6"/>
        <v xml:space="preserve"> </v>
      </c>
      <c r="M115" t="str">
        <f t="shared" ca="1" si="9"/>
        <v xml:space="preserve"> </v>
      </c>
      <c r="N115" s="3" t="str">
        <f t="shared" ca="1" si="8"/>
        <v xml:space="preserve"> </v>
      </c>
      <c r="O115" s="3" t="str">
        <f ca="1">IF(ISNUMBER($L115),INDIRECT("Input!A"&amp;1+MATCH($M115,aux_sheet!$A$2:$A$202,0))," ")</f>
        <v xml:space="preserve"> </v>
      </c>
      <c r="P115" s="3" t="str">
        <f ca="1">IF(ISNUMBER($L115),INDIRECT("Input!B"&amp;1+MATCH($M115,aux_sheet!$A$2:$A$202,0))," ")</f>
        <v xml:space="preserve"> </v>
      </c>
    </row>
    <row r="116" spans="1:16" x14ac:dyDescent="0.35">
      <c r="A116" t="str">
        <f>IF(ISBLANK(Input!A116)," ",ROUNDDOWN(aux_sheet!B116,0))</f>
        <v xml:space="preserve"> </v>
      </c>
      <c r="B116" t="str">
        <f ca="1">IF(ISBLANK(Input!A116)," ",INDIRECT("Input!A"&amp;1+MATCH(H116,aux_sheet!$A$2:$A$202,0)))</f>
        <v xml:space="preserve"> </v>
      </c>
      <c r="C116" t="str">
        <f ca="1">IF(ISBLANK(Input!B116)," ",INDIRECT("Input!B"&amp;1+MATCH($H116,aux_sheet!$A$2:$A$202,0)))</f>
        <v xml:space="preserve"> </v>
      </c>
      <c r="D116" t="str">
        <f ca="1">IF(ISBLANK(Input!C116)," ",INDIRECT("Input!C"&amp;1+MATCH($H116,aux_sheet!$A$2:$A$202,0)))</f>
        <v xml:space="preserve"> </v>
      </c>
      <c r="E116" t="str">
        <f ca="1">IF(ISBLANK(Input!D116)," ",INDIRECT("Input!D"&amp;1+MATCH($H116,aux_sheet!$A$2:$A$202,0)))</f>
        <v xml:space="preserve"> </v>
      </c>
      <c r="F116" t="str">
        <f ca="1">INDIRECT("Input!F"&amp;1+MATCH($H116,aux_sheet!$A$2:$A$202,0))</f>
        <v xml:space="preserve"> </v>
      </c>
      <c r="G116">
        <f ca="1">IF(ISBLANK(Input!E116)," ",INDIRECT("Input!AP"&amp;1+MATCH($H116,aux_sheet!$A$2:$A$202,0)))</f>
        <v>0</v>
      </c>
      <c r="H116">
        <f>aux_sheet!B116</f>
        <v>1000</v>
      </c>
      <c r="J116" t="str">
        <f t="shared" si="10"/>
        <v xml:space="preserve"> </v>
      </c>
      <c r="K116">
        <v>115</v>
      </c>
      <c r="L116" t="str">
        <f t="shared" ca="1" si="6"/>
        <v xml:space="preserve"> </v>
      </c>
      <c r="M116" t="str">
        <f t="shared" ca="1" si="9"/>
        <v xml:space="preserve"> </v>
      </c>
      <c r="N116" s="3" t="str">
        <f t="shared" ca="1" si="8"/>
        <v xml:space="preserve"> </v>
      </c>
      <c r="O116" s="3" t="str">
        <f ca="1">IF(ISNUMBER($L116),INDIRECT("Input!A"&amp;1+MATCH($M116,aux_sheet!$A$2:$A$202,0))," ")</f>
        <v xml:space="preserve"> </v>
      </c>
      <c r="P116" s="3" t="str">
        <f ca="1">IF(ISNUMBER($L116),INDIRECT("Input!B"&amp;1+MATCH($M116,aux_sheet!$A$2:$A$202,0))," ")</f>
        <v xml:space="preserve"> </v>
      </c>
    </row>
    <row r="117" spans="1:16" x14ac:dyDescent="0.35">
      <c r="A117" t="str">
        <f>IF(ISBLANK(Input!A117)," ",ROUNDDOWN(aux_sheet!B117,0))</f>
        <v xml:space="preserve"> </v>
      </c>
      <c r="B117" t="str">
        <f ca="1">IF(ISBLANK(Input!A117)," ",INDIRECT("Input!A"&amp;1+MATCH(H117,aux_sheet!$A$2:$A$202,0)))</f>
        <v xml:space="preserve"> </v>
      </c>
      <c r="C117" t="str">
        <f ca="1">IF(ISBLANK(Input!B117)," ",INDIRECT("Input!B"&amp;1+MATCH($H117,aux_sheet!$A$2:$A$202,0)))</f>
        <v xml:space="preserve"> </v>
      </c>
      <c r="D117" t="str">
        <f ca="1">IF(ISBLANK(Input!C117)," ",INDIRECT("Input!C"&amp;1+MATCH($H117,aux_sheet!$A$2:$A$202,0)))</f>
        <v xml:space="preserve"> </v>
      </c>
      <c r="E117" t="str">
        <f ca="1">IF(ISBLANK(Input!D117)," ",INDIRECT("Input!D"&amp;1+MATCH($H117,aux_sheet!$A$2:$A$202,0)))</f>
        <v xml:space="preserve"> </v>
      </c>
      <c r="F117" t="str">
        <f ca="1">INDIRECT("Input!F"&amp;1+MATCH($H117,aux_sheet!$A$2:$A$202,0))</f>
        <v xml:space="preserve"> </v>
      </c>
      <c r="G117">
        <f ca="1">IF(ISBLANK(Input!E117)," ",INDIRECT("Input!AP"&amp;1+MATCH($H117,aux_sheet!$A$2:$A$202,0)))</f>
        <v>0</v>
      </c>
      <c r="H117">
        <f>aux_sheet!B117</f>
        <v>1000</v>
      </c>
      <c r="J117" t="str">
        <f t="shared" si="10"/>
        <v xml:space="preserve"> </v>
      </c>
      <c r="K117">
        <v>116</v>
      </c>
      <c r="L117" t="str">
        <f t="shared" ca="1" si="6"/>
        <v xml:space="preserve"> </v>
      </c>
      <c r="M117" t="str">
        <f t="shared" ca="1" si="9"/>
        <v xml:space="preserve"> </v>
      </c>
      <c r="N117" s="3" t="str">
        <f t="shared" ca="1" si="8"/>
        <v xml:space="preserve"> </v>
      </c>
      <c r="O117" s="3" t="str">
        <f ca="1">IF(ISNUMBER($L117),INDIRECT("Input!A"&amp;1+MATCH($M117,aux_sheet!$A$2:$A$202,0))," ")</f>
        <v xml:space="preserve"> </v>
      </c>
      <c r="P117" s="3" t="str">
        <f ca="1">IF(ISNUMBER($L117),INDIRECT("Input!B"&amp;1+MATCH($M117,aux_sheet!$A$2:$A$202,0))," ")</f>
        <v xml:space="preserve"> </v>
      </c>
    </row>
    <row r="118" spans="1:16" x14ac:dyDescent="0.35">
      <c r="A118" t="str">
        <f>IF(ISBLANK(Input!A118)," ",ROUNDDOWN(aux_sheet!B118,0))</f>
        <v xml:space="preserve"> </v>
      </c>
      <c r="B118" t="str">
        <f ca="1">IF(ISBLANK(Input!A118)," ",INDIRECT("Input!A"&amp;1+MATCH(H118,aux_sheet!$A$2:$A$202,0)))</f>
        <v xml:space="preserve"> </v>
      </c>
      <c r="C118" t="str">
        <f ca="1">IF(ISBLANK(Input!B118)," ",INDIRECT("Input!B"&amp;1+MATCH($H118,aux_sheet!$A$2:$A$202,0)))</f>
        <v xml:space="preserve"> </v>
      </c>
      <c r="D118" t="str">
        <f ca="1">IF(ISBLANK(Input!C118)," ",INDIRECT("Input!C"&amp;1+MATCH($H118,aux_sheet!$A$2:$A$202,0)))</f>
        <v xml:space="preserve"> </v>
      </c>
      <c r="E118" t="str">
        <f ca="1">IF(ISBLANK(Input!D118)," ",INDIRECT("Input!D"&amp;1+MATCH($H118,aux_sheet!$A$2:$A$202,0)))</f>
        <v xml:space="preserve"> </v>
      </c>
      <c r="F118" t="str">
        <f ca="1">INDIRECT("Input!F"&amp;1+MATCH($H118,aux_sheet!$A$2:$A$202,0))</f>
        <v xml:space="preserve"> </v>
      </c>
      <c r="G118">
        <f ca="1">IF(ISBLANK(Input!E118)," ",INDIRECT("Input!AP"&amp;1+MATCH($H118,aux_sheet!$A$2:$A$202,0)))</f>
        <v>0</v>
      </c>
      <c r="H118">
        <f>aux_sheet!B118</f>
        <v>1000</v>
      </c>
      <c r="J118" t="str">
        <f t="shared" si="10"/>
        <v xml:space="preserve"> </v>
      </c>
      <c r="K118">
        <v>117</v>
      </c>
      <c r="L118" t="str">
        <f t="shared" ca="1" si="6"/>
        <v xml:space="preserve"> </v>
      </c>
      <c r="M118" t="str">
        <f t="shared" ca="1" si="9"/>
        <v xml:space="preserve"> </v>
      </c>
      <c r="N118" s="3" t="str">
        <f t="shared" ca="1" si="8"/>
        <v xml:space="preserve"> </v>
      </c>
      <c r="O118" s="3" t="str">
        <f ca="1">IF(ISNUMBER($L118),INDIRECT("Input!A"&amp;1+MATCH($M118,aux_sheet!$A$2:$A$202,0))," ")</f>
        <v xml:space="preserve"> </v>
      </c>
      <c r="P118" s="3" t="str">
        <f ca="1">IF(ISNUMBER($L118),INDIRECT("Input!B"&amp;1+MATCH($M118,aux_sheet!$A$2:$A$202,0))," ")</f>
        <v xml:space="preserve"> </v>
      </c>
    </row>
    <row r="119" spans="1:16" x14ac:dyDescent="0.35">
      <c r="A119" t="str">
        <f>IF(ISBLANK(Input!A119)," ",ROUNDDOWN(aux_sheet!B119,0))</f>
        <v xml:space="preserve"> </v>
      </c>
      <c r="B119" t="str">
        <f ca="1">IF(ISBLANK(Input!A119)," ",INDIRECT("Input!A"&amp;1+MATCH(H119,aux_sheet!$A$2:$A$202,0)))</f>
        <v xml:space="preserve"> </v>
      </c>
      <c r="C119" t="str">
        <f ca="1">IF(ISBLANK(Input!B119)," ",INDIRECT("Input!B"&amp;1+MATCH($H119,aux_sheet!$A$2:$A$202,0)))</f>
        <v xml:space="preserve"> </v>
      </c>
      <c r="D119" t="str">
        <f ca="1">IF(ISBLANK(Input!C119)," ",INDIRECT("Input!C"&amp;1+MATCH($H119,aux_sheet!$A$2:$A$202,0)))</f>
        <v xml:space="preserve"> </v>
      </c>
      <c r="E119" t="str">
        <f ca="1">IF(ISBLANK(Input!D119)," ",INDIRECT("Input!D"&amp;1+MATCH($H119,aux_sheet!$A$2:$A$202,0)))</f>
        <v xml:space="preserve"> </v>
      </c>
      <c r="F119" t="str">
        <f ca="1">INDIRECT("Input!F"&amp;1+MATCH($H119,aux_sheet!$A$2:$A$202,0))</f>
        <v xml:space="preserve"> </v>
      </c>
      <c r="G119">
        <f ca="1">IF(ISBLANK(Input!E119)," ",INDIRECT("Input!AP"&amp;1+MATCH($H119,aux_sheet!$A$2:$A$202,0)))</f>
        <v>0</v>
      </c>
      <c r="H119">
        <f>aux_sheet!B119</f>
        <v>1000</v>
      </c>
      <c r="J119" t="str">
        <f t="shared" si="10"/>
        <v xml:space="preserve"> </v>
      </c>
      <c r="K119">
        <v>118</v>
      </c>
      <c r="L119" t="str">
        <f t="shared" ca="1" si="6"/>
        <v xml:space="preserve"> </v>
      </c>
      <c r="M119" t="str">
        <f t="shared" ca="1" si="9"/>
        <v xml:space="preserve"> </v>
      </c>
      <c r="N119" s="3" t="str">
        <f t="shared" ca="1" si="8"/>
        <v xml:space="preserve"> </v>
      </c>
      <c r="O119" s="3" t="str">
        <f ca="1">IF(ISNUMBER($L119),INDIRECT("Input!A"&amp;1+MATCH($M119,aux_sheet!$A$2:$A$202,0))," ")</f>
        <v xml:space="preserve"> </v>
      </c>
      <c r="P119" s="3" t="str">
        <f ca="1">IF(ISNUMBER($L119),INDIRECT("Input!B"&amp;1+MATCH($M119,aux_sheet!$A$2:$A$202,0))," ")</f>
        <v xml:space="preserve"> </v>
      </c>
    </row>
    <row r="120" spans="1:16" x14ac:dyDescent="0.35">
      <c r="A120" t="str">
        <f>IF(ISBLANK(Input!A120)," ",ROUNDDOWN(aux_sheet!B120,0))</f>
        <v xml:space="preserve"> </v>
      </c>
      <c r="B120" t="str">
        <f ca="1">IF(ISBLANK(Input!A120)," ",INDIRECT("Input!A"&amp;1+MATCH(H120,aux_sheet!$A$2:$A$202,0)))</f>
        <v xml:space="preserve"> </v>
      </c>
      <c r="C120" t="str">
        <f ca="1">IF(ISBLANK(Input!B120)," ",INDIRECT("Input!B"&amp;1+MATCH($H120,aux_sheet!$A$2:$A$202,0)))</f>
        <v xml:space="preserve"> </v>
      </c>
      <c r="D120" t="str">
        <f ca="1">IF(ISBLANK(Input!C120)," ",INDIRECT("Input!C"&amp;1+MATCH($H120,aux_sheet!$A$2:$A$202,0)))</f>
        <v xml:space="preserve"> </v>
      </c>
      <c r="E120" t="str">
        <f ca="1">IF(ISBLANK(Input!D120)," ",INDIRECT("Input!D"&amp;1+MATCH($H120,aux_sheet!$A$2:$A$202,0)))</f>
        <v xml:space="preserve"> </v>
      </c>
      <c r="F120" t="str">
        <f ca="1">INDIRECT("Input!F"&amp;1+MATCH($H120,aux_sheet!$A$2:$A$202,0))</f>
        <v xml:space="preserve"> </v>
      </c>
      <c r="G120">
        <f ca="1">IF(ISBLANK(Input!E120)," ",INDIRECT("Input!AP"&amp;1+MATCH($H120,aux_sheet!$A$2:$A$202,0)))</f>
        <v>0</v>
      </c>
      <c r="H120">
        <f>aux_sheet!B120</f>
        <v>1000</v>
      </c>
      <c r="J120" t="str">
        <f t="shared" si="10"/>
        <v xml:space="preserve"> </v>
      </c>
      <c r="K120">
        <v>119</v>
      </c>
      <c r="L120" t="str">
        <f t="shared" ca="1" si="6"/>
        <v xml:space="preserve"> </v>
      </c>
      <c r="M120" t="str">
        <f t="shared" ca="1" si="9"/>
        <v xml:space="preserve"> </v>
      </c>
      <c r="N120" s="3" t="str">
        <f t="shared" ca="1" si="8"/>
        <v xml:space="preserve"> </v>
      </c>
      <c r="O120" s="3" t="str">
        <f ca="1">IF(ISNUMBER($L120),INDIRECT("Input!A"&amp;1+MATCH($M120,aux_sheet!$A$2:$A$202,0))," ")</f>
        <v xml:space="preserve"> </v>
      </c>
      <c r="P120" s="3" t="str">
        <f ca="1">IF(ISNUMBER($L120),INDIRECT("Input!B"&amp;1+MATCH($M120,aux_sheet!$A$2:$A$202,0))," ")</f>
        <v xml:space="preserve"> </v>
      </c>
    </row>
    <row r="121" spans="1:16" x14ac:dyDescent="0.35">
      <c r="A121" t="str">
        <f>IF(ISBLANK(Input!A121)," ",ROUNDDOWN(aux_sheet!B121,0))</f>
        <v xml:space="preserve"> </v>
      </c>
      <c r="B121" t="str">
        <f ca="1">IF(ISBLANK(Input!A121)," ",INDIRECT("Input!A"&amp;1+MATCH(H121,aux_sheet!$A$2:$A$202,0)))</f>
        <v xml:space="preserve"> </v>
      </c>
      <c r="C121" t="str">
        <f ca="1">IF(ISBLANK(Input!B121)," ",INDIRECT("Input!B"&amp;1+MATCH($H121,aux_sheet!$A$2:$A$202,0)))</f>
        <v xml:space="preserve"> </v>
      </c>
      <c r="D121" t="str">
        <f ca="1">IF(ISBLANK(Input!C121)," ",INDIRECT("Input!C"&amp;1+MATCH($H121,aux_sheet!$A$2:$A$202,0)))</f>
        <v xml:space="preserve"> </v>
      </c>
      <c r="E121" t="str">
        <f ca="1">IF(ISBLANK(Input!D121)," ",INDIRECT("Input!D"&amp;1+MATCH($H121,aux_sheet!$A$2:$A$202,0)))</f>
        <v xml:space="preserve"> </v>
      </c>
      <c r="F121" t="str">
        <f ca="1">INDIRECT("Input!F"&amp;1+MATCH($H121,aux_sheet!$A$2:$A$202,0))</f>
        <v xml:space="preserve"> </v>
      </c>
      <c r="G121">
        <f ca="1">IF(ISBLANK(Input!E121)," ",INDIRECT("Input!AP"&amp;1+MATCH($H121,aux_sheet!$A$2:$A$202,0)))</f>
        <v>0</v>
      </c>
      <c r="H121">
        <f>aux_sheet!B121</f>
        <v>1000</v>
      </c>
      <c r="J121" t="str">
        <f t="shared" si="10"/>
        <v xml:space="preserve"> </v>
      </c>
      <c r="K121">
        <v>120</v>
      </c>
      <c r="L121" t="str">
        <f t="shared" ca="1" si="6"/>
        <v xml:space="preserve"> </v>
      </c>
      <c r="M121" t="str">
        <f t="shared" ca="1" si="9"/>
        <v xml:space="preserve"> </v>
      </c>
      <c r="N121" s="3" t="str">
        <f t="shared" ca="1" si="8"/>
        <v xml:space="preserve"> </v>
      </c>
      <c r="O121" s="3" t="str">
        <f ca="1">IF(ISNUMBER($L121),INDIRECT("Input!A"&amp;1+MATCH($M121,aux_sheet!$A$2:$A$202,0))," ")</f>
        <v xml:space="preserve"> </v>
      </c>
      <c r="P121" s="3" t="str">
        <f ca="1">IF(ISNUMBER($L121),INDIRECT("Input!B"&amp;1+MATCH($M121,aux_sheet!$A$2:$A$202,0))," ")</f>
        <v xml:space="preserve"> </v>
      </c>
    </row>
    <row r="122" spans="1:16" x14ac:dyDescent="0.35">
      <c r="A122" t="str">
        <f>IF(ISBLANK(Input!A122)," ",ROUNDDOWN(aux_sheet!B122,0))</f>
        <v xml:space="preserve"> </v>
      </c>
      <c r="B122" t="str">
        <f ca="1">IF(ISBLANK(Input!A122)," ",INDIRECT("Input!A"&amp;1+MATCH(H122,aux_sheet!$A$2:$A$202,0)))</f>
        <v xml:space="preserve"> </v>
      </c>
      <c r="C122" t="str">
        <f ca="1">IF(ISBLANK(Input!B122)," ",INDIRECT("Input!B"&amp;1+MATCH($H122,aux_sheet!$A$2:$A$202,0)))</f>
        <v xml:space="preserve"> </v>
      </c>
      <c r="D122" t="str">
        <f ca="1">IF(ISBLANK(Input!C122)," ",INDIRECT("Input!C"&amp;1+MATCH($H122,aux_sheet!$A$2:$A$202,0)))</f>
        <v xml:space="preserve"> </v>
      </c>
      <c r="E122" t="str">
        <f ca="1">IF(ISBLANK(Input!D122)," ",INDIRECT("Input!D"&amp;1+MATCH($H122,aux_sheet!$A$2:$A$202,0)))</f>
        <v xml:space="preserve"> </v>
      </c>
      <c r="F122" t="str">
        <f ca="1">INDIRECT("Input!F"&amp;1+MATCH($H122,aux_sheet!$A$2:$A$202,0))</f>
        <v xml:space="preserve"> </v>
      </c>
      <c r="G122">
        <f ca="1">IF(ISBLANK(Input!E122)," ",INDIRECT("Input!AP"&amp;1+MATCH($H122,aux_sheet!$A$2:$A$202,0)))</f>
        <v>0</v>
      </c>
      <c r="H122">
        <f>aux_sheet!B122</f>
        <v>1000</v>
      </c>
      <c r="J122" t="str">
        <f t="shared" si="10"/>
        <v xml:space="preserve"> </v>
      </c>
      <c r="K122">
        <v>121</v>
      </c>
      <c r="L122" t="str">
        <f t="shared" ca="1" si="6"/>
        <v xml:space="preserve"> </v>
      </c>
      <c r="M122" t="str">
        <f t="shared" ca="1" si="9"/>
        <v xml:space="preserve"> </v>
      </c>
      <c r="N122" s="3" t="str">
        <f t="shared" ca="1" si="8"/>
        <v xml:space="preserve"> </v>
      </c>
      <c r="O122" s="3" t="str">
        <f ca="1">IF(ISNUMBER($L122),INDIRECT("Input!A"&amp;1+MATCH($M122,aux_sheet!$A$2:$A$202,0))," ")</f>
        <v xml:space="preserve"> </v>
      </c>
      <c r="P122" s="3" t="str">
        <f ca="1">IF(ISNUMBER($L122),INDIRECT("Input!B"&amp;1+MATCH($M122,aux_sheet!$A$2:$A$202,0))," ")</f>
        <v xml:space="preserve"> </v>
      </c>
    </row>
    <row r="123" spans="1:16" x14ac:dyDescent="0.35">
      <c r="A123" t="str">
        <f>IF(ISBLANK(Input!A123)," ",ROUNDDOWN(aux_sheet!B123,0))</f>
        <v xml:space="preserve"> </v>
      </c>
      <c r="B123" t="str">
        <f ca="1">IF(ISBLANK(Input!A123)," ",INDIRECT("Input!A"&amp;1+MATCH(H123,aux_sheet!$A$2:$A$202,0)))</f>
        <v xml:space="preserve"> </v>
      </c>
      <c r="C123" t="str">
        <f ca="1">IF(ISBLANK(Input!B123)," ",INDIRECT("Input!B"&amp;1+MATCH($H123,aux_sheet!$A$2:$A$202,0)))</f>
        <v xml:space="preserve"> </v>
      </c>
      <c r="D123" t="str">
        <f ca="1">IF(ISBLANK(Input!C123)," ",INDIRECT("Input!C"&amp;1+MATCH($H123,aux_sheet!$A$2:$A$202,0)))</f>
        <v xml:space="preserve"> </v>
      </c>
      <c r="E123" t="str">
        <f ca="1">IF(ISBLANK(Input!D123)," ",INDIRECT("Input!D"&amp;1+MATCH($H123,aux_sheet!$A$2:$A$202,0)))</f>
        <v xml:space="preserve"> </v>
      </c>
      <c r="F123" t="str">
        <f ca="1">INDIRECT("Input!F"&amp;1+MATCH($H123,aux_sheet!$A$2:$A$202,0))</f>
        <v xml:space="preserve"> </v>
      </c>
      <c r="G123">
        <f ca="1">IF(ISBLANK(Input!E123)," ",INDIRECT("Input!AP"&amp;1+MATCH($H123,aux_sheet!$A$2:$A$202,0)))</f>
        <v>0</v>
      </c>
      <c r="H123">
        <f>aux_sheet!B123</f>
        <v>1000</v>
      </c>
      <c r="J123" t="str">
        <f t="shared" si="10"/>
        <v xml:space="preserve"> </v>
      </c>
      <c r="K123">
        <v>122</v>
      </c>
      <c r="L123" t="str">
        <f t="shared" ca="1" si="6"/>
        <v xml:space="preserve"> </v>
      </c>
      <c r="M123" t="str">
        <f t="shared" ca="1" si="9"/>
        <v xml:space="preserve"> </v>
      </c>
      <c r="N123" s="3" t="str">
        <f t="shared" ca="1" si="8"/>
        <v xml:space="preserve"> </v>
      </c>
      <c r="O123" s="3" t="str">
        <f ca="1">IF(ISNUMBER($L123),INDIRECT("Input!A"&amp;1+MATCH($M123,aux_sheet!$A$2:$A$202,0))," ")</f>
        <v xml:space="preserve"> </v>
      </c>
      <c r="P123" s="3" t="str">
        <f ca="1">IF(ISNUMBER($L123),INDIRECT("Input!B"&amp;1+MATCH($M123,aux_sheet!$A$2:$A$202,0))," ")</f>
        <v xml:space="preserve"> </v>
      </c>
    </row>
    <row r="124" spans="1:16" x14ac:dyDescent="0.35">
      <c r="A124" t="str">
        <f>IF(ISBLANK(Input!A124)," ",ROUNDDOWN(aux_sheet!B124,0))</f>
        <v xml:space="preserve"> </v>
      </c>
      <c r="B124" t="str">
        <f ca="1">IF(ISBLANK(Input!A124)," ",INDIRECT("Input!A"&amp;1+MATCH(H124,aux_sheet!$A$2:$A$202,0)))</f>
        <v xml:space="preserve"> </v>
      </c>
      <c r="C124" t="str">
        <f ca="1">IF(ISBLANK(Input!B124)," ",INDIRECT("Input!B"&amp;1+MATCH($H124,aux_sheet!$A$2:$A$202,0)))</f>
        <v xml:space="preserve"> </v>
      </c>
      <c r="D124" t="str">
        <f ca="1">IF(ISBLANK(Input!C124)," ",INDIRECT("Input!C"&amp;1+MATCH($H124,aux_sheet!$A$2:$A$202,0)))</f>
        <v xml:space="preserve"> </v>
      </c>
      <c r="E124" t="str">
        <f ca="1">IF(ISBLANK(Input!D124)," ",INDIRECT("Input!D"&amp;1+MATCH($H124,aux_sheet!$A$2:$A$202,0)))</f>
        <v xml:space="preserve"> </v>
      </c>
      <c r="F124" t="str">
        <f ca="1">INDIRECT("Input!F"&amp;1+MATCH($H124,aux_sheet!$A$2:$A$202,0))</f>
        <v xml:space="preserve"> </v>
      </c>
      <c r="G124">
        <f ca="1">IF(ISBLANK(Input!E124)," ",INDIRECT("Input!AP"&amp;1+MATCH($H124,aux_sheet!$A$2:$A$202,0)))</f>
        <v>0</v>
      </c>
      <c r="H124">
        <f>aux_sheet!B124</f>
        <v>1000</v>
      </c>
      <c r="J124" t="str">
        <f t="shared" si="10"/>
        <v xml:space="preserve"> </v>
      </c>
      <c r="K124">
        <v>123</v>
      </c>
      <c r="L124" t="str">
        <f t="shared" ca="1" si="6"/>
        <v xml:space="preserve"> </v>
      </c>
      <c r="M124" t="str">
        <f t="shared" ca="1" si="9"/>
        <v xml:space="preserve"> </v>
      </c>
      <c r="N124" s="3" t="str">
        <f t="shared" ca="1" si="8"/>
        <v xml:space="preserve"> </v>
      </c>
      <c r="O124" s="3" t="str">
        <f ca="1">IF(ISNUMBER($L124),INDIRECT("Input!A"&amp;1+MATCH($M124,aux_sheet!$A$2:$A$202,0))," ")</f>
        <v xml:space="preserve"> </v>
      </c>
      <c r="P124" s="3" t="str">
        <f ca="1">IF(ISNUMBER($L124),INDIRECT("Input!B"&amp;1+MATCH($M124,aux_sheet!$A$2:$A$202,0))," ")</f>
        <v xml:space="preserve"> </v>
      </c>
    </row>
    <row r="125" spans="1:16" x14ac:dyDescent="0.35">
      <c r="A125" t="str">
        <f>IF(ISBLANK(Input!A125)," ",ROUNDDOWN(aux_sheet!B125,0))</f>
        <v xml:space="preserve"> </v>
      </c>
      <c r="B125" t="str">
        <f ca="1">IF(ISBLANK(Input!A125)," ",INDIRECT("Input!A"&amp;1+MATCH(H125,aux_sheet!$A$2:$A$202,0)))</f>
        <v xml:space="preserve"> </v>
      </c>
      <c r="C125" t="str">
        <f ca="1">IF(ISBLANK(Input!B125)," ",INDIRECT("Input!B"&amp;1+MATCH($H125,aux_sheet!$A$2:$A$202,0)))</f>
        <v xml:space="preserve"> </v>
      </c>
      <c r="D125" t="str">
        <f ca="1">IF(ISBLANK(Input!C125)," ",INDIRECT("Input!C"&amp;1+MATCH($H125,aux_sheet!$A$2:$A$202,0)))</f>
        <v xml:space="preserve"> </v>
      </c>
      <c r="E125" t="str">
        <f ca="1">IF(ISBLANK(Input!D125)," ",INDIRECT("Input!D"&amp;1+MATCH($H125,aux_sheet!$A$2:$A$202,0)))</f>
        <v xml:space="preserve"> </v>
      </c>
      <c r="F125" t="str">
        <f ca="1">INDIRECT("Input!F"&amp;1+MATCH($H125,aux_sheet!$A$2:$A$202,0))</f>
        <v xml:space="preserve"> </v>
      </c>
      <c r="G125">
        <f ca="1">IF(ISBLANK(Input!E125)," ",INDIRECT("Input!AP"&amp;1+MATCH($H125,aux_sheet!$A$2:$A$202,0)))</f>
        <v>0</v>
      </c>
      <c r="H125">
        <f>aux_sheet!B125</f>
        <v>1000</v>
      </c>
      <c r="J125" t="str">
        <f t="shared" si="10"/>
        <v xml:space="preserve"> </v>
      </c>
      <c r="K125">
        <v>124</v>
      </c>
      <c r="L125" t="str">
        <f t="shared" ca="1" si="6"/>
        <v xml:space="preserve"> </v>
      </c>
      <c r="M125" t="str">
        <f t="shared" ca="1" si="9"/>
        <v xml:space="preserve"> </v>
      </c>
      <c r="N125" s="3" t="str">
        <f t="shared" ca="1" si="8"/>
        <v xml:space="preserve"> </v>
      </c>
      <c r="O125" s="3" t="str">
        <f ca="1">IF(ISNUMBER($L125),INDIRECT("Input!A"&amp;1+MATCH($M125,aux_sheet!$A$2:$A$202,0))," ")</f>
        <v xml:space="preserve"> </v>
      </c>
      <c r="P125" s="3" t="str">
        <f ca="1">IF(ISNUMBER($L125),INDIRECT("Input!B"&amp;1+MATCH($M125,aux_sheet!$A$2:$A$202,0))," ")</f>
        <v xml:space="preserve"> </v>
      </c>
    </row>
    <row r="126" spans="1:16" x14ac:dyDescent="0.35">
      <c r="A126" t="str">
        <f>IF(ISBLANK(Input!A126)," ",ROUNDDOWN(aux_sheet!B126,0))</f>
        <v xml:space="preserve"> </v>
      </c>
      <c r="B126" t="str">
        <f ca="1">IF(ISBLANK(Input!A126)," ",INDIRECT("Input!A"&amp;1+MATCH(H126,aux_sheet!$A$2:$A$202,0)))</f>
        <v xml:space="preserve"> </v>
      </c>
      <c r="C126" t="str">
        <f ca="1">IF(ISBLANK(Input!B126)," ",INDIRECT("Input!B"&amp;1+MATCH($H126,aux_sheet!$A$2:$A$202,0)))</f>
        <v xml:space="preserve"> </v>
      </c>
      <c r="D126" t="str">
        <f ca="1">IF(ISBLANK(Input!C126)," ",INDIRECT("Input!C"&amp;1+MATCH($H126,aux_sheet!$A$2:$A$202,0)))</f>
        <v xml:space="preserve"> </v>
      </c>
      <c r="E126" t="str">
        <f ca="1">IF(ISBLANK(Input!D126)," ",INDIRECT("Input!D"&amp;1+MATCH($H126,aux_sheet!$A$2:$A$202,0)))</f>
        <v xml:space="preserve"> </v>
      </c>
      <c r="F126" t="str">
        <f ca="1">INDIRECT("Input!F"&amp;1+MATCH($H126,aux_sheet!$A$2:$A$202,0))</f>
        <v xml:space="preserve"> </v>
      </c>
      <c r="G126">
        <f ca="1">IF(ISBLANK(Input!E126)," ",INDIRECT("Input!AP"&amp;1+MATCH($H126,aux_sheet!$A$2:$A$202,0)))</f>
        <v>0</v>
      </c>
      <c r="H126">
        <f>aux_sheet!B126</f>
        <v>1000</v>
      </c>
      <c r="J126" t="str">
        <f t="shared" si="10"/>
        <v xml:space="preserve"> </v>
      </c>
      <c r="K126">
        <v>125</v>
      </c>
      <c r="L126" t="str">
        <f t="shared" ca="1" si="6"/>
        <v xml:space="preserve"> </v>
      </c>
      <c r="M126" t="str">
        <f t="shared" ca="1" si="9"/>
        <v xml:space="preserve"> </v>
      </c>
      <c r="N126" s="3" t="str">
        <f t="shared" ca="1" si="8"/>
        <v xml:space="preserve"> </v>
      </c>
      <c r="O126" s="3" t="str">
        <f ca="1">IF(ISNUMBER($L126),INDIRECT("Input!A"&amp;1+MATCH($M126,aux_sheet!$A$2:$A$202,0))," ")</f>
        <v xml:space="preserve"> </v>
      </c>
      <c r="P126" s="3" t="str">
        <f ca="1">IF(ISNUMBER($L126),INDIRECT("Input!B"&amp;1+MATCH($M126,aux_sheet!$A$2:$A$202,0))," ")</f>
        <v xml:space="preserve"> </v>
      </c>
    </row>
    <row r="127" spans="1:16" x14ac:dyDescent="0.35">
      <c r="A127" t="str">
        <f>IF(ISBLANK(Input!A127)," ",ROUNDDOWN(aux_sheet!B127,0))</f>
        <v xml:space="preserve"> </v>
      </c>
      <c r="B127" t="str">
        <f ca="1">IF(ISBLANK(Input!A127)," ",INDIRECT("Input!A"&amp;1+MATCH(H127,aux_sheet!$A$2:$A$202,0)))</f>
        <v xml:space="preserve"> </v>
      </c>
      <c r="C127" t="str">
        <f ca="1">IF(ISBLANK(Input!B127)," ",INDIRECT("Input!B"&amp;1+MATCH($H127,aux_sheet!$A$2:$A$202,0)))</f>
        <v xml:space="preserve"> </v>
      </c>
      <c r="D127" t="str">
        <f ca="1">IF(ISBLANK(Input!C127)," ",INDIRECT("Input!C"&amp;1+MATCH($H127,aux_sheet!$A$2:$A$202,0)))</f>
        <v xml:space="preserve"> </v>
      </c>
      <c r="E127" t="str">
        <f ca="1">IF(ISBLANK(Input!D127)," ",INDIRECT("Input!D"&amp;1+MATCH($H127,aux_sheet!$A$2:$A$202,0)))</f>
        <v xml:space="preserve"> </v>
      </c>
      <c r="F127" t="str">
        <f ca="1">INDIRECT("Input!F"&amp;1+MATCH($H127,aux_sheet!$A$2:$A$202,0))</f>
        <v xml:space="preserve"> </v>
      </c>
      <c r="G127">
        <f ca="1">IF(ISBLANK(Input!E127)," ",INDIRECT("Input!AP"&amp;1+MATCH($H127,aux_sheet!$A$2:$A$202,0)))</f>
        <v>0</v>
      </c>
      <c r="H127">
        <f>aux_sheet!B127</f>
        <v>1000</v>
      </c>
      <c r="J127" t="str">
        <f t="shared" si="10"/>
        <v xml:space="preserve"> </v>
      </c>
      <c r="K127">
        <v>126</v>
      </c>
      <c r="L127" t="str">
        <f t="shared" ca="1" si="6"/>
        <v xml:space="preserve"> </v>
      </c>
      <c r="M127" t="str">
        <f t="shared" ca="1" si="9"/>
        <v xml:space="preserve"> </v>
      </c>
      <c r="N127" s="3" t="str">
        <f t="shared" ca="1" si="8"/>
        <v xml:space="preserve"> </v>
      </c>
      <c r="O127" s="3" t="str">
        <f ca="1">IF(ISNUMBER($L127),INDIRECT("Input!A"&amp;1+MATCH($M127,aux_sheet!$A$2:$A$202,0))," ")</f>
        <v xml:space="preserve"> </v>
      </c>
      <c r="P127" s="3" t="str">
        <f ca="1">IF(ISNUMBER($L127),INDIRECT("Input!B"&amp;1+MATCH($M127,aux_sheet!$A$2:$A$202,0))," ")</f>
        <v xml:space="preserve"> </v>
      </c>
    </row>
    <row r="128" spans="1:16" x14ac:dyDescent="0.35">
      <c r="A128" t="str">
        <f>IF(ISBLANK(Input!A128)," ",ROUNDDOWN(aux_sheet!B128,0))</f>
        <v xml:space="preserve"> </v>
      </c>
      <c r="B128" t="str">
        <f ca="1">IF(ISBLANK(Input!A128)," ",INDIRECT("Input!A"&amp;1+MATCH(H128,aux_sheet!$A$2:$A$202,0)))</f>
        <v xml:space="preserve"> </v>
      </c>
      <c r="C128" t="str">
        <f ca="1">IF(ISBLANK(Input!B128)," ",INDIRECT("Input!B"&amp;1+MATCH($H128,aux_sheet!$A$2:$A$202,0)))</f>
        <v xml:space="preserve"> </v>
      </c>
      <c r="D128" t="str">
        <f ca="1">IF(ISBLANK(Input!C128)," ",INDIRECT("Input!C"&amp;1+MATCH($H128,aux_sheet!$A$2:$A$202,0)))</f>
        <v xml:space="preserve"> </v>
      </c>
      <c r="E128" t="str">
        <f ca="1">IF(ISBLANK(Input!D128)," ",INDIRECT("Input!D"&amp;1+MATCH($H128,aux_sheet!$A$2:$A$202,0)))</f>
        <v xml:space="preserve"> </v>
      </c>
      <c r="F128" t="str">
        <f ca="1">INDIRECT("Input!F"&amp;1+MATCH($H128,aux_sheet!$A$2:$A$202,0))</f>
        <v xml:space="preserve"> </v>
      </c>
      <c r="G128">
        <f ca="1">IF(ISBLANK(Input!E128)," ",INDIRECT("Input!AP"&amp;1+MATCH($H128,aux_sheet!$A$2:$A$202,0)))</f>
        <v>0</v>
      </c>
      <c r="H128">
        <f>aux_sheet!B128</f>
        <v>1000</v>
      </c>
      <c r="J128" t="str">
        <f t="shared" si="10"/>
        <v xml:space="preserve"> </v>
      </c>
      <c r="K128">
        <v>127</v>
      </c>
      <c r="L128" t="str">
        <f t="shared" ca="1" si="6"/>
        <v xml:space="preserve"> </v>
      </c>
      <c r="M128" t="str">
        <f t="shared" ca="1" si="9"/>
        <v xml:space="preserve"> </v>
      </c>
      <c r="N128" s="3" t="str">
        <f t="shared" ca="1" si="8"/>
        <v xml:space="preserve"> </v>
      </c>
      <c r="O128" s="3" t="str">
        <f ca="1">IF(ISNUMBER($L128),INDIRECT("Input!A"&amp;1+MATCH($M128,aux_sheet!$A$2:$A$202,0))," ")</f>
        <v xml:space="preserve"> </v>
      </c>
      <c r="P128" s="3" t="str">
        <f ca="1">IF(ISNUMBER($L128),INDIRECT("Input!B"&amp;1+MATCH($M128,aux_sheet!$A$2:$A$202,0))," ")</f>
        <v xml:space="preserve"> </v>
      </c>
    </row>
    <row r="129" spans="1:16" x14ac:dyDescent="0.35">
      <c r="A129" t="str">
        <f>IF(ISBLANK(Input!A129)," ",ROUNDDOWN(aux_sheet!B129,0))</f>
        <v xml:space="preserve"> </v>
      </c>
      <c r="B129" t="str">
        <f ca="1">IF(ISBLANK(Input!A129)," ",INDIRECT("Input!A"&amp;1+MATCH(H129,aux_sheet!$A$2:$A$202,0)))</f>
        <v xml:space="preserve"> </v>
      </c>
      <c r="C129" t="str">
        <f ca="1">IF(ISBLANK(Input!B129)," ",INDIRECT("Input!B"&amp;1+MATCH($H129,aux_sheet!$A$2:$A$202,0)))</f>
        <v xml:space="preserve"> </v>
      </c>
      <c r="D129" t="str">
        <f ca="1">IF(ISBLANK(Input!C129)," ",INDIRECT("Input!C"&amp;1+MATCH($H129,aux_sheet!$A$2:$A$202,0)))</f>
        <v xml:space="preserve"> </v>
      </c>
      <c r="E129" t="str">
        <f ca="1">IF(ISBLANK(Input!D129)," ",INDIRECT("Input!D"&amp;1+MATCH($H129,aux_sheet!$A$2:$A$202,0)))</f>
        <v xml:space="preserve"> </v>
      </c>
      <c r="F129" t="str">
        <f ca="1">INDIRECT("Input!F"&amp;1+MATCH($H129,aux_sheet!$A$2:$A$202,0))</f>
        <v xml:space="preserve"> </v>
      </c>
      <c r="G129">
        <f ca="1">IF(ISBLANK(Input!E129)," ",INDIRECT("Input!AP"&amp;1+MATCH($H129,aux_sheet!$A$2:$A$202,0)))</f>
        <v>0</v>
      </c>
      <c r="H129">
        <f>aux_sheet!B129</f>
        <v>1000</v>
      </c>
      <c r="J129" t="str">
        <f t="shared" si="10"/>
        <v xml:space="preserve"> </v>
      </c>
      <c r="K129">
        <v>128</v>
      </c>
      <c r="L129" t="str">
        <f t="shared" ca="1" si="6"/>
        <v xml:space="preserve"> </v>
      </c>
      <c r="M129" t="str">
        <f t="shared" ca="1" si="9"/>
        <v xml:space="preserve"> </v>
      </c>
      <c r="N129" s="3" t="str">
        <f t="shared" ca="1" si="8"/>
        <v xml:space="preserve"> </v>
      </c>
      <c r="O129" s="3" t="str">
        <f ca="1">IF(ISNUMBER($L129),INDIRECT("Input!A"&amp;1+MATCH($M129,aux_sheet!$A$2:$A$202,0))," ")</f>
        <v xml:space="preserve"> </v>
      </c>
      <c r="P129" s="3" t="str">
        <f ca="1">IF(ISNUMBER($L129),INDIRECT("Input!B"&amp;1+MATCH($M129,aux_sheet!$A$2:$A$202,0))," ")</f>
        <v xml:space="preserve"> </v>
      </c>
    </row>
    <row r="130" spans="1:16" x14ac:dyDescent="0.35">
      <c r="A130" t="str">
        <f>IF(ISBLANK(Input!A130)," ",ROUNDDOWN(aux_sheet!B130,0))</f>
        <v xml:space="preserve"> </v>
      </c>
      <c r="B130" t="str">
        <f ca="1">IF(ISBLANK(Input!A130)," ",INDIRECT("Input!A"&amp;1+MATCH(H130,aux_sheet!$A$2:$A$202,0)))</f>
        <v xml:space="preserve"> </v>
      </c>
      <c r="C130" t="str">
        <f ca="1">IF(ISBLANK(Input!B130)," ",INDIRECT("Input!B"&amp;1+MATCH($H130,aux_sheet!$A$2:$A$202,0)))</f>
        <v xml:space="preserve"> </v>
      </c>
      <c r="D130" t="str">
        <f ca="1">IF(ISBLANK(Input!C130)," ",INDIRECT("Input!C"&amp;1+MATCH($H130,aux_sheet!$A$2:$A$202,0)))</f>
        <v xml:space="preserve"> </v>
      </c>
      <c r="E130" t="str">
        <f ca="1">IF(ISBLANK(Input!D130)," ",INDIRECT("Input!D"&amp;1+MATCH($H130,aux_sheet!$A$2:$A$202,0)))</f>
        <v xml:space="preserve"> </v>
      </c>
      <c r="F130" t="str">
        <f ca="1">INDIRECT("Input!F"&amp;1+MATCH($H130,aux_sheet!$A$2:$A$202,0))</f>
        <v xml:space="preserve"> </v>
      </c>
      <c r="G130">
        <f ca="1">IF(ISBLANK(Input!E130)," ",INDIRECT("Input!AP"&amp;1+MATCH($H130,aux_sheet!$A$2:$A$202,0)))</f>
        <v>0</v>
      </c>
      <c r="H130">
        <f>aux_sheet!B130</f>
        <v>1000</v>
      </c>
      <c r="J130" t="str">
        <f t="shared" si="10"/>
        <v xml:space="preserve"> </v>
      </c>
      <c r="K130">
        <v>129</v>
      </c>
      <c r="L130" t="str">
        <f t="shared" ca="1" si="6"/>
        <v xml:space="preserve"> </v>
      </c>
      <c r="M130" t="str">
        <f t="shared" ca="1" si="9"/>
        <v xml:space="preserve"> </v>
      </c>
      <c r="N130" s="3" t="str">
        <f t="shared" ca="1" si="8"/>
        <v xml:space="preserve"> </v>
      </c>
      <c r="O130" s="3" t="str">
        <f ca="1">IF(ISNUMBER($L130),INDIRECT("Input!A"&amp;1+MATCH($M130,aux_sheet!$A$2:$A$202,0))," ")</f>
        <v xml:space="preserve"> </v>
      </c>
      <c r="P130" s="3" t="str">
        <f ca="1">IF(ISNUMBER($L130),INDIRECT("Input!B"&amp;1+MATCH($M130,aux_sheet!$A$2:$A$202,0))," ")</f>
        <v xml:space="preserve"> </v>
      </c>
    </row>
    <row r="131" spans="1:16" x14ac:dyDescent="0.35">
      <c r="A131" t="str">
        <f>IF(ISBLANK(Input!A131)," ",ROUNDDOWN(aux_sheet!B131,0))</f>
        <v xml:space="preserve"> </v>
      </c>
      <c r="B131" t="str">
        <f ca="1">IF(ISBLANK(Input!A131)," ",INDIRECT("Input!A"&amp;1+MATCH(H131,aux_sheet!$A$2:$A$202,0)))</f>
        <v xml:space="preserve"> </v>
      </c>
      <c r="C131" t="str">
        <f ca="1">IF(ISBLANK(Input!B131)," ",INDIRECT("Input!B"&amp;1+MATCH($H131,aux_sheet!$A$2:$A$202,0)))</f>
        <v xml:space="preserve"> </v>
      </c>
      <c r="D131" t="str">
        <f ca="1">IF(ISBLANK(Input!C131)," ",INDIRECT("Input!C"&amp;1+MATCH($H131,aux_sheet!$A$2:$A$202,0)))</f>
        <v xml:space="preserve"> </v>
      </c>
      <c r="E131" t="str">
        <f ca="1">IF(ISBLANK(Input!D131)," ",INDIRECT("Input!D"&amp;1+MATCH($H131,aux_sheet!$A$2:$A$202,0)))</f>
        <v xml:space="preserve"> </v>
      </c>
      <c r="F131" t="str">
        <f ca="1">INDIRECT("Input!F"&amp;1+MATCH($H131,aux_sheet!$A$2:$A$202,0))</f>
        <v xml:space="preserve"> </v>
      </c>
      <c r="G131">
        <f ca="1">IF(ISBLANK(Input!E131)," ",INDIRECT("Input!AP"&amp;1+MATCH($H131,aux_sheet!$A$2:$A$202,0)))</f>
        <v>0</v>
      </c>
      <c r="H131">
        <f>aux_sheet!B131</f>
        <v>1000</v>
      </c>
      <c r="J131" t="str">
        <f t="shared" si="10"/>
        <v xml:space="preserve"> </v>
      </c>
      <c r="K131">
        <v>130</v>
      </c>
      <c r="L131" t="str">
        <f t="shared" ref="L131:L194" ca="1" si="11">IF(K131&lt;$K$1,K131," ")</f>
        <v xml:space="preserve"> </v>
      </c>
      <c r="M131" t="str">
        <f t="shared" ca="1" si="9"/>
        <v xml:space="preserve"> </v>
      </c>
      <c r="N131" s="3" t="str">
        <f t="shared" ref="N131:N194" ca="1" si="12">IF(ISNUMBER(M131),ROUNDDOWN(M131,0)," ")</f>
        <v xml:space="preserve"> </v>
      </c>
      <c r="O131" s="3" t="str">
        <f ca="1">IF(ISNUMBER($L131),INDIRECT("Input!A"&amp;1+MATCH($M131,aux_sheet!$A$2:$A$202,0))," ")</f>
        <v xml:space="preserve"> </v>
      </c>
      <c r="P131" s="3" t="str">
        <f ca="1">IF(ISNUMBER($L131),INDIRECT("Input!B"&amp;1+MATCH($M131,aux_sheet!$A$2:$A$202,0))," ")</f>
        <v xml:space="preserve"> </v>
      </c>
    </row>
    <row r="132" spans="1:16" x14ac:dyDescent="0.35">
      <c r="A132" t="str">
        <f>IF(ISBLANK(Input!A132)," ",ROUNDDOWN(aux_sheet!B132,0))</f>
        <v xml:space="preserve"> </v>
      </c>
      <c r="B132" t="str">
        <f ca="1">IF(ISBLANK(Input!A132)," ",INDIRECT("Input!A"&amp;1+MATCH(H132,aux_sheet!$A$2:$A$202,0)))</f>
        <v xml:space="preserve"> </v>
      </c>
      <c r="C132" t="str">
        <f ca="1">IF(ISBLANK(Input!B132)," ",INDIRECT("Input!B"&amp;1+MATCH($H132,aux_sheet!$A$2:$A$202,0)))</f>
        <v xml:space="preserve"> </v>
      </c>
      <c r="D132" t="str">
        <f ca="1">IF(ISBLANK(Input!C132)," ",INDIRECT("Input!C"&amp;1+MATCH($H132,aux_sheet!$A$2:$A$202,0)))</f>
        <v xml:space="preserve"> </v>
      </c>
      <c r="E132" t="str">
        <f ca="1">IF(ISBLANK(Input!D132)," ",INDIRECT("Input!D"&amp;1+MATCH($H132,aux_sheet!$A$2:$A$202,0)))</f>
        <v xml:space="preserve"> </v>
      </c>
      <c r="F132" t="str">
        <f ca="1">INDIRECT("Input!F"&amp;1+MATCH($H132,aux_sheet!$A$2:$A$202,0))</f>
        <v xml:space="preserve"> </v>
      </c>
      <c r="G132">
        <f ca="1">IF(ISBLANK(Input!E132)," ",INDIRECT("Input!AP"&amp;1+MATCH($H132,aux_sheet!$A$2:$A$202,0)))</f>
        <v>0</v>
      </c>
      <c r="H132">
        <f>aux_sheet!B132</f>
        <v>1000</v>
      </c>
      <c r="J132" t="str">
        <f t="shared" si="10"/>
        <v xml:space="preserve"> </v>
      </c>
      <c r="K132">
        <v>131</v>
      </c>
      <c r="L132" t="str">
        <f t="shared" ca="1" si="11"/>
        <v xml:space="preserve"> </v>
      </c>
      <c r="M132" t="str">
        <f t="shared" ca="1" si="9"/>
        <v xml:space="preserve"> </v>
      </c>
      <c r="N132" s="3" t="str">
        <f t="shared" ca="1" si="12"/>
        <v xml:space="preserve"> </v>
      </c>
      <c r="O132" s="3" t="str">
        <f ca="1">IF(ISNUMBER($L132),INDIRECT("Input!A"&amp;1+MATCH($M132,aux_sheet!$A$2:$A$202,0))," ")</f>
        <v xml:space="preserve"> </v>
      </c>
      <c r="P132" s="3" t="str">
        <f ca="1">IF(ISNUMBER($L132),INDIRECT("Input!B"&amp;1+MATCH($M132,aux_sheet!$A$2:$A$202,0))," ")</f>
        <v xml:space="preserve"> </v>
      </c>
    </row>
    <row r="133" spans="1:16" x14ac:dyDescent="0.35">
      <c r="A133" t="str">
        <f>IF(ISBLANK(Input!A133)," ",ROUNDDOWN(aux_sheet!B133,0))</f>
        <v xml:space="preserve"> </v>
      </c>
      <c r="B133" t="str">
        <f ca="1">IF(ISBLANK(Input!A133)," ",INDIRECT("Input!A"&amp;1+MATCH(H133,aux_sheet!$A$2:$A$202,0)))</f>
        <v xml:space="preserve"> </v>
      </c>
      <c r="C133" t="str">
        <f ca="1">IF(ISBLANK(Input!B133)," ",INDIRECT("Input!B"&amp;1+MATCH($H133,aux_sheet!$A$2:$A$202,0)))</f>
        <v xml:space="preserve"> </v>
      </c>
      <c r="D133" t="str">
        <f ca="1">IF(ISBLANK(Input!C133)," ",INDIRECT("Input!C"&amp;1+MATCH($H133,aux_sheet!$A$2:$A$202,0)))</f>
        <v xml:space="preserve"> </v>
      </c>
      <c r="E133" t="str">
        <f ca="1">IF(ISBLANK(Input!D133)," ",INDIRECT("Input!D"&amp;1+MATCH($H133,aux_sheet!$A$2:$A$202,0)))</f>
        <v xml:space="preserve"> </v>
      </c>
      <c r="F133" t="str">
        <f ca="1">INDIRECT("Input!F"&amp;1+MATCH($H133,aux_sheet!$A$2:$A$202,0))</f>
        <v xml:space="preserve"> </v>
      </c>
      <c r="G133">
        <f ca="1">IF(ISBLANK(Input!E133)," ",INDIRECT("Input!AP"&amp;1+MATCH($H133,aux_sheet!$A$2:$A$202,0)))</f>
        <v>0</v>
      </c>
      <c r="H133">
        <f>aux_sheet!B133</f>
        <v>1000</v>
      </c>
      <c r="J133" t="str">
        <f t="shared" si="10"/>
        <v xml:space="preserve"> </v>
      </c>
      <c r="K133">
        <v>132</v>
      </c>
      <c r="L133" t="str">
        <f t="shared" ca="1" si="11"/>
        <v xml:space="preserve"> </v>
      </c>
      <c r="M133" t="str">
        <f t="shared" ca="1" si="9"/>
        <v xml:space="preserve"> </v>
      </c>
      <c r="N133" s="3" t="str">
        <f t="shared" ca="1" si="12"/>
        <v xml:space="preserve"> </v>
      </c>
      <c r="O133" s="3" t="str">
        <f ca="1">IF(ISNUMBER($L133),INDIRECT("Input!A"&amp;1+MATCH($M133,aux_sheet!$A$2:$A$202,0))," ")</f>
        <v xml:space="preserve"> </v>
      </c>
      <c r="P133" s="3" t="str">
        <f ca="1">IF(ISNUMBER($L133),INDIRECT("Input!B"&amp;1+MATCH($M133,aux_sheet!$A$2:$A$202,0))," ")</f>
        <v xml:space="preserve"> </v>
      </c>
    </row>
    <row r="134" spans="1:16" x14ac:dyDescent="0.35">
      <c r="A134" t="str">
        <f>IF(ISBLANK(Input!A134)," ",ROUNDDOWN(aux_sheet!B134,0))</f>
        <v xml:space="preserve"> </v>
      </c>
      <c r="B134" t="str">
        <f ca="1">IF(ISBLANK(Input!A134)," ",INDIRECT("Input!A"&amp;1+MATCH(H134,aux_sheet!$A$2:$A$202,0)))</f>
        <v xml:space="preserve"> </v>
      </c>
      <c r="C134" t="str">
        <f ca="1">IF(ISBLANK(Input!B134)," ",INDIRECT("Input!B"&amp;1+MATCH($H134,aux_sheet!$A$2:$A$202,0)))</f>
        <v xml:space="preserve"> </v>
      </c>
      <c r="D134" t="str">
        <f ca="1">IF(ISBLANK(Input!C134)," ",INDIRECT("Input!C"&amp;1+MATCH($H134,aux_sheet!$A$2:$A$202,0)))</f>
        <v xml:space="preserve"> </v>
      </c>
      <c r="E134" t="str">
        <f ca="1">IF(ISBLANK(Input!D134)," ",INDIRECT("Input!D"&amp;1+MATCH($H134,aux_sheet!$A$2:$A$202,0)))</f>
        <v xml:space="preserve"> </v>
      </c>
      <c r="F134" t="str">
        <f ca="1">INDIRECT("Input!F"&amp;1+MATCH($H134,aux_sheet!$A$2:$A$202,0))</f>
        <v xml:space="preserve"> </v>
      </c>
      <c r="G134">
        <f ca="1">IF(ISBLANK(Input!E134)," ",INDIRECT("Input!AP"&amp;1+MATCH($H134,aux_sheet!$A$2:$A$202,0)))</f>
        <v>0</v>
      </c>
      <c r="H134">
        <f>aux_sheet!B134</f>
        <v>1000</v>
      </c>
      <c r="J134" t="str">
        <f t="shared" si="10"/>
        <v xml:space="preserve"> </v>
      </c>
      <c r="K134">
        <v>133</v>
      </c>
      <c r="L134" t="str">
        <f t="shared" ca="1" si="11"/>
        <v xml:space="preserve"> </v>
      </c>
      <c r="M134" t="str">
        <f t="shared" ca="1" si="9"/>
        <v xml:space="preserve"> </v>
      </c>
      <c r="N134" s="3" t="str">
        <f t="shared" ca="1" si="12"/>
        <v xml:space="preserve"> </v>
      </c>
      <c r="O134" s="3" t="str">
        <f ca="1">IF(ISNUMBER($L134),INDIRECT("Input!A"&amp;1+MATCH($M134,aux_sheet!$A$2:$A$202,0))," ")</f>
        <v xml:space="preserve"> </v>
      </c>
      <c r="P134" s="3" t="str">
        <f ca="1">IF(ISNUMBER($L134),INDIRECT("Input!B"&amp;1+MATCH($M134,aux_sheet!$A$2:$A$202,0))," ")</f>
        <v xml:space="preserve"> </v>
      </c>
    </row>
    <row r="135" spans="1:16" x14ac:dyDescent="0.35">
      <c r="A135" t="str">
        <f>IF(ISBLANK(Input!A135)," ",ROUNDDOWN(aux_sheet!B135,0))</f>
        <v xml:space="preserve"> </v>
      </c>
      <c r="B135" t="str">
        <f ca="1">IF(ISBLANK(Input!A135)," ",INDIRECT("Input!A"&amp;1+MATCH(H135,aux_sheet!$A$2:$A$202,0)))</f>
        <v xml:space="preserve"> </v>
      </c>
      <c r="C135" t="str">
        <f ca="1">IF(ISBLANK(Input!B135)," ",INDIRECT("Input!B"&amp;1+MATCH($H135,aux_sheet!$A$2:$A$202,0)))</f>
        <v xml:space="preserve"> </v>
      </c>
      <c r="D135" t="str">
        <f ca="1">IF(ISBLANK(Input!C135)," ",INDIRECT("Input!C"&amp;1+MATCH($H135,aux_sheet!$A$2:$A$202,0)))</f>
        <v xml:space="preserve"> </v>
      </c>
      <c r="E135" t="str">
        <f ca="1">IF(ISBLANK(Input!D135)," ",INDIRECT("Input!D"&amp;1+MATCH($H135,aux_sheet!$A$2:$A$202,0)))</f>
        <v xml:space="preserve"> </v>
      </c>
      <c r="F135" t="str">
        <f ca="1">INDIRECT("Input!F"&amp;1+MATCH($H135,aux_sheet!$A$2:$A$202,0))</f>
        <v xml:space="preserve"> </v>
      </c>
      <c r="G135">
        <f ca="1">IF(ISBLANK(Input!E135)," ",INDIRECT("Input!AP"&amp;1+MATCH($H135,aux_sheet!$A$2:$A$202,0)))</f>
        <v>0</v>
      </c>
      <c r="H135">
        <f>aux_sheet!B135</f>
        <v>1000</v>
      </c>
      <c r="J135" t="str">
        <f t="shared" si="10"/>
        <v xml:space="preserve"> </v>
      </c>
      <c r="K135">
        <v>134</v>
      </c>
      <c r="L135" t="str">
        <f t="shared" ca="1" si="11"/>
        <v xml:space="preserve"> </v>
      </c>
      <c r="M135" t="str">
        <f t="shared" ca="1" si="9"/>
        <v xml:space="preserve"> </v>
      </c>
      <c r="N135" s="3" t="str">
        <f t="shared" ca="1" si="12"/>
        <v xml:space="preserve"> </v>
      </c>
      <c r="O135" s="3" t="str">
        <f ca="1">IF(ISNUMBER($L135),INDIRECT("Input!A"&amp;1+MATCH($M135,aux_sheet!$A$2:$A$202,0))," ")</f>
        <v xml:space="preserve"> </v>
      </c>
      <c r="P135" s="3" t="str">
        <f ca="1">IF(ISNUMBER($L135),INDIRECT("Input!B"&amp;1+MATCH($M135,aux_sheet!$A$2:$A$202,0))," ")</f>
        <v xml:space="preserve"> </v>
      </c>
    </row>
    <row r="136" spans="1:16" x14ac:dyDescent="0.35">
      <c r="A136" t="str">
        <f>IF(ISBLANK(Input!A136)," ",ROUNDDOWN(aux_sheet!B136,0))</f>
        <v xml:space="preserve"> </v>
      </c>
      <c r="B136" t="str">
        <f ca="1">IF(ISBLANK(Input!A136)," ",INDIRECT("Input!A"&amp;1+MATCH(H136,aux_sheet!$A$2:$A$202,0)))</f>
        <v xml:space="preserve"> </v>
      </c>
      <c r="C136" t="str">
        <f ca="1">IF(ISBLANK(Input!B136)," ",INDIRECT("Input!B"&amp;1+MATCH($H136,aux_sheet!$A$2:$A$202,0)))</f>
        <v xml:space="preserve"> </v>
      </c>
      <c r="D136" t="str">
        <f ca="1">IF(ISBLANK(Input!C136)," ",INDIRECT("Input!C"&amp;1+MATCH($H136,aux_sheet!$A$2:$A$202,0)))</f>
        <v xml:space="preserve"> </v>
      </c>
      <c r="E136" t="str">
        <f ca="1">IF(ISBLANK(Input!D136)," ",INDIRECT("Input!D"&amp;1+MATCH($H136,aux_sheet!$A$2:$A$202,0)))</f>
        <v xml:space="preserve"> </v>
      </c>
      <c r="F136" t="str">
        <f ca="1">INDIRECT("Input!F"&amp;1+MATCH($H136,aux_sheet!$A$2:$A$202,0))</f>
        <v xml:space="preserve"> </v>
      </c>
      <c r="G136">
        <f ca="1">IF(ISBLANK(Input!E136)," ",INDIRECT("Input!AP"&amp;1+MATCH($H136,aux_sheet!$A$2:$A$202,0)))</f>
        <v>0</v>
      </c>
      <c r="H136">
        <f>aux_sheet!B136</f>
        <v>1000</v>
      </c>
      <c r="J136" t="str">
        <f t="shared" si="10"/>
        <v xml:space="preserve"> </v>
      </c>
      <c r="K136">
        <v>135</v>
      </c>
      <c r="L136" t="str">
        <f t="shared" ca="1" si="11"/>
        <v xml:space="preserve"> </v>
      </c>
      <c r="M136" t="str">
        <f t="shared" ca="1" si="9"/>
        <v xml:space="preserve"> </v>
      </c>
      <c r="N136" s="3" t="str">
        <f t="shared" ca="1" si="12"/>
        <v xml:space="preserve"> </v>
      </c>
      <c r="O136" s="3" t="str">
        <f ca="1">IF(ISNUMBER($L136),INDIRECT("Input!A"&amp;1+MATCH($M136,aux_sheet!$A$2:$A$202,0))," ")</f>
        <v xml:space="preserve"> </v>
      </c>
      <c r="P136" s="3" t="str">
        <f ca="1">IF(ISNUMBER($L136),INDIRECT("Input!B"&amp;1+MATCH($M136,aux_sheet!$A$2:$A$202,0))," ")</f>
        <v xml:space="preserve"> </v>
      </c>
    </row>
    <row r="137" spans="1:16" x14ac:dyDescent="0.35">
      <c r="A137" t="str">
        <f>IF(ISBLANK(Input!A137)," ",ROUNDDOWN(aux_sheet!B137,0))</f>
        <v xml:space="preserve"> </v>
      </c>
      <c r="B137" t="str">
        <f ca="1">IF(ISBLANK(Input!A137)," ",INDIRECT("Input!A"&amp;1+MATCH(H137,aux_sheet!$A$2:$A$202,0)))</f>
        <v xml:space="preserve"> </v>
      </c>
      <c r="C137" t="str">
        <f ca="1">IF(ISBLANK(Input!B137)," ",INDIRECT("Input!B"&amp;1+MATCH($H137,aux_sheet!$A$2:$A$202,0)))</f>
        <v xml:space="preserve"> </v>
      </c>
      <c r="D137" t="str">
        <f ca="1">IF(ISBLANK(Input!C137)," ",INDIRECT("Input!C"&amp;1+MATCH($H137,aux_sheet!$A$2:$A$202,0)))</f>
        <v xml:space="preserve"> </v>
      </c>
      <c r="E137" t="str">
        <f ca="1">IF(ISBLANK(Input!D137)," ",INDIRECT("Input!D"&amp;1+MATCH($H137,aux_sheet!$A$2:$A$202,0)))</f>
        <v xml:space="preserve"> </v>
      </c>
      <c r="F137" t="str">
        <f ca="1">INDIRECT("Input!F"&amp;1+MATCH($H137,aux_sheet!$A$2:$A$202,0))</f>
        <v xml:space="preserve"> </v>
      </c>
      <c r="G137">
        <f ca="1">IF(ISBLANK(Input!E137)," ",INDIRECT("Input!AP"&amp;1+MATCH($H137,aux_sheet!$A$2:$A$202,0)))</f>
        <v>0</v>
      </c>
      <c r="H137">
        <f>aux_sheet!B137</f>
        <v>1000</v>
      </c>
      <c r="J137" t="str">
        <f t="shared" si="10"/>
        <v xml:space="preserve"> </v>
      </c>
      <c r="K137">
        <v>136</v>
      </c>
      <c r="L137" t="str">
        <f t="shared" ca="1" si="11"/>
        <v xml:space="preserve"> </v>
      </c>
      <c r="M137" t="str">
        <f t="shared" ca="1" si="9"/>
        <v xml:space="preserve"> </v>
      </c>
      <c r="N137" s="3" t="str">
        <f t="shared" ca="1" si="12"/>
        <v xml:space="preserve"> </v>
      </c>
      <c r="O137" s="3" t="str">
        <f ca="1">IF(ISNUMBER($L137),INDIRECT("Input!A"&amp;1+MATCH($M137,aux_sheet!$A$2:$A$202,0))," ")</f>
        <v xml:space="preserve"> </v>
      </c>
      <c r="P137" s="3" t="str">
        <f ca="1">IF(ISNUMBER($L137),INDIRECT("Input!B"&amp;1+MATCH($M137,aux_sheet!$A$2:$A$202,0))," ")</f>
        <v xml:space="preserve"> </v>
      </c>
    </row>
    <row r="138" spans="1:16" x14ac:dyDescent="0.35">
      <c r="A138" t="str">
        <f>IF(ISBLANK(Input!A138)," ",ROUNDDOWN(aux_sheet!B138,0))</f>
        <v xml:space="preserve"> </v>
      </c>
      <c r="B138" t="str">
        <f ca="1">IF(ISBLANK(Input!A138)," ",INDIRECT("Input!A"&amp;1+MATCH(H138,aux_sheet!$A$2:$A$202,0)))</f>
        <v xml:space="preserve"> </v>
      </c>
      <c r="C138" t="str">
        <f ca="1">IF(ISBLANK(Input!B138)," ",INDIRECT("Input!B"&amp;1+MATCH($H138,aux_sheet!$A$2:$A$202,0)))</f>
        <v xml:space="preserve"> </v>
      </c>
      <c r="D138" t="str">
        <f ca="1">IF(ISBLANK(Input!C138)," ",INDIRECT("Input!C"&amp;1+MATCH($H138,aux_sheet!$A$2:$A$202,0)))</f>
        <v xml:space="preserve"> </v>
      </c>
      <c r="E138" t="str">
        <f ca="1">IF(ISBLANK(Input!D138)," ",INDIRECT("Input!D"&amp;1+MATCH($H138,aux_sheet!$A$2:$A$202,0)))</f>
        <v xml:space="preserve"> </v>
      </c>
      <c r="F138" t="str">
        <f ca="1">INDIRECT("Input!F"&amp;1+MATCH($H138,aux_sheet!$A$2:$A$202,0))</f>
        <v xml:space="preserve"> </v>
      </c>
      <c r="G138">
        <f ca="1">IF(ISBLANK(Input!E138)," ",INDIRECT("Input!AP"&amp;1+MATCH($H138,aux_sheet!$A$2:$A$202,0)))</f>
        <v>0</v>
      </c>
      <c r="H138">
        <f>aux_sheet!B138</f>
        <v>1000</v>
      </c>
      <c r="J138" t="str">
        <f t="shared" si="10"/>
        <v xml:space="preserve"> </v>
      </c>
      <c r="K138">
        <v>137</v>
      </c>
      <c r="L138" t="str">
        <f t="shared" ca="1" si="11"/>
        <v xml:space="preserve"> </v>
      </c>
      <c r="M138" t="str">
        <f t="shared" ca="1" si="9"/>
        <v xml:space="preserve"> </v>
      </c>
      <c r="N138" s="3" t="str">
        <f t="shared" ca="1" si="12"/>
        <v xml:space="preserve"> </v>
      </c>
      <c r="O138" s="3" t="str">
        <f ca="1">IF(ISNUMBER($L138),INDIRECT("Input!A"&amp;1+MATCH($M138,aux_sheet!$A$2:$A$202,0))," ")</f>
        <v xml:space="preserve"> </v>
      </c>
      <c r="P138" s="3" t="str">
        <f ca="1">IF(ISNUMBER($L138),INDIRECT("Input!B"&amp;1+MATCH($M138,aux_sheet!$A$2:$A$202,0))," ")</f>
        <v xml:space="preserve"> </v>
      </c>
    </row>
    <row r="139" spans="1:16" x14ac:dyDescent="0.35">
      <c r="A139" t="str">
        <f>IF(ISBLANK(Input!A139)," ",ROUNDDOWN(aux_sheet!B139,0))</f>
        <v xml:space="preserve"> </v>
      </c>
      <c r="B139" t="str">
        <f ca="1">IF(ISBLANK(Input!A139)," ",INDIRECT("Input!A"&amp;1+MATCH(H139,aux_sheet!$A$2:$A$202,0)))</f>
        <v xml:space="preserve"> </v>
      </c>
      <c r="C139" t="str">
        <f ca="1">IF(ISBLANK(Input!B139)," ",INDIRECT("Input!B"&amp;1+MATCH($H139,aux_sheet!$A$2:$A$202,0)))</f>
        <v xml:space="preserve"> </v>
      </c>
      <c r="D139" t="str">
        <f ca="1">IF(ISBLANK(Input!C139)," ",INDIRECT("Input!C"&amp;1+MATCH($H139,aux_sheet!$A$2:$A$202,0)))</f>
        <v xml:space="preserve"> </v>
      </c>
      <c r="E139" t="str">
        <f ca="1">IF(ISBLANK(Input!D139)," ",INDIRECT("Input!D"&amp;1+MATCH($H139,aux_sheet!$A$2:$A$202,0)))</f>
        <v xml:space="preserve"> </v>
      </c>
      <c r="F139" t="str">
        <f ca="1">INDIRECT("Input!F"&amp;1+MATCH($H139,aux_sheet!$A$2:$A$202,0))</f>
        <v xml:space="preserve"> </v>
      </c>
      <c r="G139">
        <f ca="1">IF(ISBLANK(Input!E139)," ",INDIRECT("Input!AP"&amp;1+MATCH($H139,aux_sheet!$A$2:$A$202,0)))</f>
        <v>0</v>
      </c>
      <c r="H139">
        <f>aux_sheet!B139</f>
        <v>1000</v>
      </c>
      <c r="J139" t="str">
        <f t="shared" si="10"/>
        <v xml:space="preserve"> </v>
      </c>
      <c r="K139">
        <v>138</v>
      </c>
      <c r="L139" t="str">
        <f t="shared" ca="1" si="11"/>
        <v xml:space="preserve"> </v>
      </c>
      <c r="M139" t="str">
        <f t="shared" ca="1" si="9"/>
        <v xml:space="preserve"> </v>
      </c>
      <c r="N139" s="3" t="str">
        <f t="shared" ca="1" si="12"/>
        <v xml:space="preserve"> </v>
      </c>
      <c r="O139" s="3" t="str">
        <f ca="1">IF(ISNUMBER($L139),INDIRECT("Input!A"&amp;1+MATCH($M139,aux_sheet!$A$2:$A$202,0))," ")</f>
        <v xml:space="preserve"> </v>
      </c>
      <c r="P139" s="3" t="str">
        <f ca="1">IF(ISNUMBER($L139),INDIRECT("Input!B"&amp;1+MATCH($M139,aux_sheet!$A$2:$A$202,0))," ")</f>
        <v xml:space="preserve"> </v>
      </c>
    </row>
    <row r="140" spans="1:16" x14ac:dyDescent="0.35">
      <c r="A140" t="str">
        <f>IF(ISBLANK(Input!A140)," ",ROUNDDOWN(aux_sheet!B140,0))</f>
        <v xml:space="preserve"> </v>
      </c>
      <c r="B140" t="str">
        <f ca="1">IF(ISBLANK(Input!A140)," ",INDIRECT("Input!A"&amp;1+MATCH(H140,aux_sheet!$A$2:$A$202,0)))</f>
        <v xml:space="preserve"> </v>
      </c>
      <c r="C140" t="str">
        <f ca="1">IF(ISBLANK(Input!B140)," ",INDIRECT("Input!B"&amp;1+MATCH($H140,aux_sheet!$A$2:$A$202,0)))</f>
        <v xml:space="preserve"> </v>
      </c>
      <c r="D140" t="str">
        <f ca="1">IF(ISBLANK(Input!C140)," ",INDIRECT("Input!C"&amp;1+MATCH($H140,aux_sheet!$A$2:$A$202,0)))</f>
        <v xml:space="preserve"> </v>
      </c>
      <c r="E140" t="str">
        <f ca="1">IF(ISBLANK(Input!D140)," ",INDIRECT("Input!D"&amp;1+MATCH($H140,aux_sheet!$A$2:$A$202,0)))</f>
        <v xml:space="preserve"> </v>
      </c>
      <c r="F140" t="str">
        <f ca="1">INDIRECT("Input!F"&amp;1+MATCH($H140,aux_sheet!$A$2:$A$202,0))</f>
        <v xml:space="preserve"> </v>
      </c>
      <c r="G140">
        <f ca="1">IF(ISBLANK(Input!E140)," ",INDIRECT("Input!AP"&amp;1+MATCH($H140,aux_sheet!$A$2:$A$202,0)))</f>
        <v>0</v>
      </c>
      <c r="H140">
        <f>aux_sheet!B140</f>
        <v>1000</v>
      </c>
      <c r="J140" t="str">
        <f t="shared" si="10"/>
        <v xml:space="preserve"> </v>
      </c>
      <c r="K140">
        <v>139</v>
      </c>
      <c r="L140" t="str">
        <f t="shared" ca="1" si="11"/>
        <v xml:space="preserve"> </v>
      </c>
      <c r="M140" t="str">
        <f t="shared" ca="1" si="9"/>
        <v xml:space="preserve"> </v>
      </c>
      <c r="N140" s="3" t="str">
        <f t="shared" ca="1" si="12"/>
        <v xml:space="preserve"> </v>
      </c>
      <c r="O140" s="3" t="str">
        <f ca="1">IF(ISNUMBER($L140),INDIRECT("Input!A"&amp;1+MATCH($M140,aux_sheet!$A$2:$A$202,0))," ")</f>
        <v xml:space="preserve"> </v>
      </c>
      <c r="P140" s="3" t="str">
        <f ca="1">IF(ISNUMBER($L140),INDIRECT("Input!B"&amp;1+MATCH($M140,aux_sheet!$A$2:$A$202,0))," ")</f>
        <v xml:space="preserve"> </v>
      </c>
    </row>
    <row r="141" spans="1:16" x14ac:dyDescent="0.35">
      <c r="A141" t="str">
        <f>IF(ISBLANK(Input!A141)," ",ROUNDDOWN(aux_sheet!B141,0))</f>
        <v xml:space="preserve"> </v>
      </c>
      <c r="B141" t="str">
        <f ca="1">IF(ISBLANK(Input!A141)," ",INDIRECT("Input!A"&amp;1+MATCH(H141,aux_sheet!$A$2:$A$202,0)))</f>
        <v xml:space="preserve"> </v>
      </c>
      <c r="C141" t="str">
        <f ca="1">IF(ISBLANK(Input!B141)," ",INDIRECT("Input!B"&amp;1+MATCH($H141,aux_sheet!$A$2:$A$202,0)))</f>
        <v xml:space="preserve"> </v>
      </c>
      <c r="D141" t="str">
        <f ca="1">IF(ISBLANK(Input!C141)," ",INDIRECT("Input!C"&amp;1+MATCH($H141,aux_sheet!$A$2:$A$202,0)))</f>
        <v xml:space="preserve"> </v>
      </c>
      <c r="E141" t="str">
        <f ca="1">IF(ISBLANK(Input!D141)," ",INDIRECT("Input!D"&amp;1+MATCH($H141,aux_sheet!$A$2:$A$202,0)))</f>
        <v xml:space="preserve"> </v>
      </c>
      <c r="F141" t="str">
        <f ca="1">INDIRECT("Input!F"&amp;1+MATCH($H141,aux_sheet!$A$2:$A$202,0))</f>
        <v xml:space="preserve"> </v>
      </c>
      <c r="G141">
        <f ca="1">IF(ISBLANK(Input!E141)," ",INDIRECT("Input!AP"&amp;1+MATCH($H141,aux_sheet!$A$2:$A$202,0)))</f>
        <v>0</v>
      </c>
      <c r="H141">
        <f>aux_sheet!B141</f>
        <v>1000</v>
      </c>
      <c r="J141" t="str">
        <f t="shared" si="10"/>
        <v xml:space="preserve"> </v>
      </c>
      <c r="K141">
        <v>140</v>
      </c>
      <c r="L141" t="str">
        <f t="shared" ca="1" si="11"/>
        <v xml:space="preserve"> </v>
      </c>
      <c r="M141" t="str">
        <f t="shared" ca="1" si="9"/>
        <v xml:space="preserve"> </v>
      </c>
      <c r="N141" s="3" t="str">
        <f t="shared" ca="1" si="12"/>
        <v xml:space="preserve"> </v>
      </c>
      <c r="O141" s="3" t="str">
        <f ca="1">IF(ISNUMBER($L141),INDIRECT("Input!A"&amp;1+MATCH($M141,aux_sheet!$A$2:$A$202,0))," ")</f>
        <v xml:space="preserve"> </v>
      </c>
      <c r="P141" s="3" t="str">
        <f ca="1">IF(ISNUMBER($L141),INDIRECT("Input!B"&amp;1+MATCH($M141,aux_sheet!$A$2:$A$202,0))," ")</f>
        <v xml:space="preserve"> </v>
      </c>
    </row>
    <row r="142" spans="1:16" x14ac:dyDescent="0.35">
      <c r="A142" t="str">
        <f>IF(ISBLANK(Input!A142)," ",ROUNDDOWN(aux_sheet!B142,0))</f>
        <v xml:space="preserve"> </v>
      </c>
      <c r="B142" t="str">
        <f ca="1">IF(ISBLANK(Input!A142)," ",INDIRECT("Input!A"&amp;1+MATCH(H142,aux_sheet!$A$2:$A$202,0)))</f>
        <v xml:space="preserve"> </v>
      </c>
      <c r="C142" t="str">
        <f ca="1">IF(ISBLANK(Input!B142)," ",INDIRECT("Input!B"&amp;1+MATCH($H142,aux_sheet!$A$2:$A$202,0)))</f>
        <v xml:space="preserve"> </v>
      </c>
      <c r="D142" t="str">
        <f ca="1">IF(ISBLANK(Input!C142)," ",INDIRECT("Input!C"&amp;1+MATCH($H142,aux_sheet!$A$2:$A$202,0)))</f>
        <v xml:space="preserve"> </v>
      </c>
      <c r="E142" t="str">
        <f ca="1">IF(ISBLANK(Input!D142)," ",INDIRECT("Input!D"&amp;1+MATCH($H142,aux_sheet!$A$2:$A$202,0)))</f>
        <v xml:space="preserve"> </v>
      </c>
      <c r="F142" t="str">
        <f ca="1">INDIRECT("Input!F"&amp;1+MATCH($H142,aux_sheet!$A$2:$A$202,0))</f>
        <v xml:space="preserve"> </v>
      </c>
      <c r="G142">
        <f ca="1">IF(ISBLANK(Input!E142)," ",INDIRECT("Input!AP"&amp;1+MATCH($H142,aux_sheet!$A$2:$A$202,0)))</f>
        <v>0</v>
      </c>
      <c r="H142">
        <f>aux_sheet!B142</f>
        <v>1000</v>
      </c>
      <c r="J142" t="str">
        <f t="shared" si="10"/>
        <v xml:space="preserve"> </v>
      </c>
      <c r="K142">
        <v>141</v>
      </c>
      <c r="L142" t="str">
        <f t="shared" ca="1" si="11"/>
        <v xml:space="preserve"> </v>
      </c>
      <c r="M142" t="str">
        <f t="shared" ca="1" si="9"/>
        <v xml:space="preserve"> </v>
      </c>
      <c r="N142" s="3" t="str">
        <f t="shared" ca="1" si="12"/>
        <v xml:space="preserve"> </v>
      </c>
      <c r="O142" s="3" t="str">
        <f ca="1">IF(ISNUMBER($L142),INDIRECT("Input!A"&amp;1+MATCH($M142,aux_sheet!$A$2:$A$202,0))," ")</f>
        <v xml:space="preserve"> </v>
      </c>
      <c r="P142" s="3" t="str">
        <f ca="1">IF(ISNUMBER($L142),INDIRECT("Input!B"&amp;1+MATCH($M142,aux_sheet!$A$2:$A$202,0))," ")</f>
        <v xml:space="preserve"> </v>
      </c>
    </row>
    <row r="143" spans="1:16" x14ac:dyDescent="0.35">
      <c r="A143" t="str">
        <f>IF(ISBLANK(Input!A143)," ",ROUNDDOWN(aux_sheet!B143,0))</f>
        <v xml:space="preserve"> </v>
      </c>
      <c r="B143" t="str">
        <f ca="1">IF(ISBLANK(Input!A143)," ",INDIRECT("Input!A"&amp;1+MATCH(H143,aux_sheet!$A$2:$A$202,0)))</f>
        <v xml:space="preserve"> </v>
      </c>
      <c r="C143" t="str">
        <f ca="1">IF(ISBLANK(Input!B143)," ",INDIRECT("Input!B"&amp;1+MATCH($H143,aux_sheet!$A$2:$A$202,0)))</f>
        <v xml:space="preserve"> </v>
      </c>
      <c r="D143" t="str">
        <f ca="1">IF(ISBLANK(Input!C143)," ",INDIRECT("Input!C"&amp;1+MATCH($H143,aux_sheet!$A$2:$A$202,0)))</f>
        <v xml:space="preserve"> </v>
      </c>
      <c r="E143" t="str">
        <f ca="1">IF(ISBLANK(Input!D143)," ",INDIRECT("Input!D"&amp;1+MATCH($H143,aux_sheet!$A$2:$A$202,0)))</f>
        <v xml:space="preserve"> </v>
      </c>
      <c r="F143" t="str">
        <f ca="1">INDIRECT("Input!F"&amp;1+MATCH($H143,aux_sheet!$A$2:$A$202,0))</f>
        <v xml:space="preserve"> </v>
      </c>
      <c r="G143">
        <f ca="1">IF(ISBLANK(Input!E143)," ",INDIRECT("Input!AP"&amp;1+MATCH($H143,aux_sheet!$A$2:$A$202,0)))</f>
        <v>0</v>
      </c>
      <c r="H143">
        <f>aux_sheet!B143</f>
        <v>1000</v>
      </c>
      <c r="J143" t="str">
        <f t="shared" si="10"/>
        <v xml:space="preserve"> </v>
      </c>
      <c r="K143">
        <v>142</v>
      </c>
      <c r="L143" t="str">
        <f t="shared" ca="1" si="11"/>
        <v xml:space="preserve"> </v>
      </c>
      <c r="M143" t="str">
        <f t="shared" ca="1" si="9"/>
        <v xml:space="preserve"> </v>
      </c>
      <c r="N143" s="3" t="str">
        <f t="shared" ca="1" si="12"/>
        <v xml:space="preserve"> </v>
      </c>
      <c r="O143" s="3" t="str">
        <f ca="1">IF(ISNUMBER($L143),INDIRECT("Input!A"&amp;1+MATCH($M143,aux_sheet!$A$2:$A$202,0))," ")</f>
        <v xml:space="preserve"> </v>
      </c>
      <c r="P143" s="3" t="str">
        <f ca="1">IF(ISNUMBER($L143),INDIRECT("Input!B"&amp;1+MATCH($M143,aux_sheet!$A$2:$A$202,0))," ")</f>
        <v xml:space="preserve"> </v>
      </c>
    </row>
    <row r="144" spans="1:16" x14ac:dyDescent="0.35">
      <c r="A144" t="str">
        <f>IF(ISBLANK(Input!A144)," ",ROUNDDOWN(aux_sheet!B144,0))</f>
        <v xml:space="preserve"> </v>
      </c>
      <c r="B144" t="str">
        <f ca="1">IF(ISBLANK(Input!A144)," ",INDIRECT("Input!A"&amp;1+MATCH(H144,aux_sheet!$A$2:$A$202,0)))</f>
        <v xml:space="preserve"> </v>
      </c>
      <c r="C144" t="str">
        <f ca="1">IF(ISBLANK(Input!B144)," ",INDIRECT("Input!B"&amp;1+MATCH($H144,aux_sheet!$A$2:$A$202,0)))</f>
        <v xml:space="preserve"> </v>
      </c>
      <c r="D144" t="str">
        <f ca="1">IF(ISBLANK(Input!C144)," ",INDIRECT("Input!C"&amp;1+MATCH($H144,aux_sheet!$A$2:$A$202,0)))</f>
        <v xml:space="preserve"> </v>
      </c>
      <c r="E144" t="str">
        <f ca="1">IF(ISBLANK(Input!D144)," ",INDIRECT("Input!D"&amp;1+MATCH($H144,aux_sheet!$A$2:$A$202,0)))</f>
        <v xml:space="preserve"> </v>
      </c>
      <c r="F144" t="str">
        <f ca="1">INDIRECT("Input!F"&amp;1+MATCH($H144,aux_sheet!$A$2:$A$202,0))</f>
        <v xml:space="preserve"> </v>
      </c>
      <c r="G144">
        <f ca="1">IF(ISBLANK(Input!E144)," ",INDIRECT("Input!AP"&amp;1+MATCH($H144,aux_sheet!$A$2:$A$202,0)))</f>
        <v>0</v>
      </c>
      <c r="H144">
        <f>aux_sheet!B144</f>
        <v>1000</v>
      </c>
      <c r="J144" t="str">
        <f t="shared" si="10"/>
        <v xml:space="preserve"> </v>
      </c>
      <c r="K144">
        <v>143</v>
      </c>
      <c r="L144" t="str">
        <f t="shared" ca="1" si="11"/>
        <v xml:space="preserve"> </v>
      </c>
      <c r="M144" t="str">
        <f t="shared" ca="1" si="9"/>
        <v xml:space="preserve"> </v>
      </c>
      <c r="N144" s="3" t="str">
        <f t="shared" ca="1" si="12"/>
        <v xml:space="preserve"> </v>
      </c>
      <c r="O144" s="3" t="str">
        <f ca="1">IF(ISNUMBER($L144),INDIRECT("Input!A"&amp;1+MATCH($M144,aux_sheet!$A$2:$A$202,0))," ")</f>
        <v xml:space="preserve"> </v>
      </c>
      <c r="P144" s="3" t="str">
        <f ca="1">IF(ISNUMBER($L144),INDIRECT("Input!B"&amp;1+MATCH($M144,aux_sheet!$A$2:$A$202,0))," ")</f>
        <v xml:space="preserve"> </v>
      </c>
    </row>
    <row r="145" spans="1:16" x14ac:dyDescent="0.35">
      <c r="A145" t="str">
        <f>IF(ISBLANK(Input!A145)," ",ROUNDDOWN(aux_sheet!B145,0))</f>
        <v xml:space="preserve"> </v>
      </c>
      <c r="B145" t="str">
        <f ca="1">IF(ISBLANK(Input!A145)," ",INDIRECT("Input!A"&amp;1+MATCH(H145,aux_sheet!$A$2:$A$202,0)))</f>
        <v xml:space="preserve"> </v>
      </c>
      <c r="C145" t="str">
        <f ca="1">IF(ISBLANK(Input!B145)," ",INDIRECT("Input!B"&amp;1+MATCH($H145,aux_sheet!$A$2:$A$202,0)))</f>
        <v xml:space="preserve"> </v>
      </c>
      <c r="D145" t="str">
        <f ca="1">IF(ISBLANK(Input!C145)," ",INDIRECT("Input!C"&amp;1+MATCH($H145,aux_sheet!$A$2:$A$202,0)))</f>
        <v xml:space="preserve"> </v>
      </c>
      <c r="E145" t="str">
        <f ca="1">IF(ISBLANK(Input!D145)," ",INDIRECT("Input!D"&amp;1+MATCH($H145,aux_sheet!$A$2:$A$202,0)))</f>
        <v xml:space="preserve"> </v>
      </c>
      <c r="F145" t="str">
        <f ca="1">INDIRECT("Input!F"&amp;1+MATCH($H145,aux_sheet!$A$2:$A$202,0))</f>
        <v xml:space="preserve"> </v>
      </c>
      <c r="G145">
        <f ca="1">IF(ISBLANK(Input!E145)," ",INDIRECT("Input!AP"&amp;1+MATCH($H145,aux_sheet!$A$2:$A$202,0)))</f>
        <v>0</v>
      </c>
      <c r="H145">
        <f>aux_sheet!B145</f>
        <v>1000</v>
      </c>
      <c r="J145" t="str">
        <f t="shared" si="10"/>
        <v xml:space="preserve"> </v>
      </c>
      <c r="K145">
        <v>144</v>
      </c>
      <c r="L145" t="str">
        <f t="shared" ca="1" si="11"/>
        <v xml:space="preserve"> </v>
      </c>
      <c r="M145" t="str">
        <f t="shared" ca="1" si="9"/>
        <v xml:space="preserve"> </v>
      </c>
      <c r="N145" s="3" t="str">
        <f t="shared" ca="1" si="12"/>
        <v xml:space="preserve"> </v>
      </c>
      <c r="O145" s="3" t="str">
        <f ca="1">IF(ISNUMBER($L145),INDIRECT("Input!A"&amp;1+MATCH($M145,aux_sheet!$A$2:$A$202,0))," ")</f>
        <v xml:space="preserve"> </v>
      </c>
      <c r="P145" s="3" t="str">
        <f ca="1">IF(ISNUMBER($L145),INDIRECT("Input!B"&amp;1+MATCH($M145,aux_sheet!$A$2:$A$202,0))," ")</f>
        <v xml:space="preserve"> </v>
      </c>
    </row>
    <row r="146" spans="1:16" x14ac:dyDescent="0.35">
      <c r="A146" t="str">
        <f>IF(ISBLANK(Input!A146)," ",ROUNDDOWN(aux_sheet!B146,0))</f>
        <v xml:space="preserve"> </v>
      </c>
      <c r="B146" t="str">
        <f ca="1">IF(ISBLANK(Input!A146)," ",INDIRECT("Input!A"&amp;1+MATCH(H146,aux_sheet!$A$2:$A$202,0)))</f>
        <v xml:space="preserve"> </v>
      </c>
      <c r="C146" t="str">
        <f ca="1">IF(ISBLANK(Input!B146)," ",INDIRECT("Input!B"&amp;1+MATCH($H146,aux_sheet!$A$2:$A$202,0)))</f>
        <v xml:space="preserve"> </v>
      </c>
      <c r="D146" t="str">
        <f ca="1">IF(ISBLANK(Input!C146)," ",INDIRECT("Input!C"&amp;1+MATCH($H146,aux_sheet!$A$2:$A$202,0)))</f>
        <v xml:space="preserve"> </v>
      </c>
      <c r="E146" t="str">
        <f ca="1">IF(ISBLANK(Input!D146)," ",INDIRECT("Input!D"&amp;1+MATCH($H146,aux_sheet!$A$2:$A$202,0)))</f>
        <v xml:space="preserve"> </v>
      </c>
      <c r="F146" t="str">
        <f ca="1">INDIRECT("Input!F"&amp;1+MATCH($H146,aux_sheet!$A$2:$A$202,0))</f>
        <v xml:space="preserve"> </v>
      </c>
      <c r="G146">
        <f ca="1">IF(ISBLANK(Input!E146)," ",INDIRECT("Input!AP"&amp;1+MATCH($H146,aux_sheet!$A$2:$A$202,0)))</f>
        <v>0</v>
      </c>
      <c r="H146">
        <f>aux_sheet!B146</f>
        <v>1000</v>
      </c>
      <c r="J146" t="str">
        <f t="shared" si="10"/>
        <v xml:space="preserve"> </v>
      </c>
      <c r="K146">
        <v>145</v>
      </c>
      <c r="L146" t="str">
        <f t="shared" ca="1" si="11"/>
        <v xml:space="preserve"> </v>
      </c>
      <c r="M146" t="str">
        <f t="shared" ca="1" si="9"/>
        <v xml:space="preserve"> </v>
      </c>
      <c r="N146" s="3" t="str">
        <f t="shared" ca="1" si="12"/>
        <v xml:space="preserve"> </v>
      </c>
      <c r="O146" s="3" t="str">
        <f ca="1">IF(ISNUMBER($L146),INDIRECT("Input!A"&amp;1+MATCH($M146,aux_sheet!$A$2:$A$202,0))," ")</f>
        <v xml:space="preserve"> </v>
      </c>
      <c r="P146" s="3" t="str">
        <f ca="1">IF(ISNUMBER($L146),INDIRECT("Input!B"&amp;1+MATCH($M146,aux_sheet!$A$2:$A$202,0))," ")</f>
        <v xml:space="preserve"> </v>
      </c>
    </row>
    <row r="147" spans="1:16" x14ac:dyDescent="0.35">
      <c r="A147" t="str">
        <f>IF(ISBLANK(Input!A147)," ",ROUNDDOWN(aux_sheet!B147,0))</f>
        <v xml:space="preserve"> </v>
      </c>
      <c r="B147" t="str">
        <f ca="1">IF(ISBLANK(Input!A147)," ",INDIRECT("Input!A"&amp;1+MATCH(H147,aux_sheet!$A$2:$A$202,0)))</f>
        <v xml:space="preserve"> </v>
      </c>
      <c r="C147" t="str">
        <f ca="1">IF(ISBLANK(Input!B147)," ",INDIRECT("Input!B"&amp;1+MATCH($H147,aux_sheet!$A$2:$A$202,0)))</f>
        <v xml:space="preserve"> </v>
      </c>
      <c r="D147" t="str">
        <f ca="1">IF(ISBLANK(Input!C147)," ",INDIRECT("Input!C"&amp;1+MATCH($H147,aux_sheet!$A$2:$A$202,0)))</f>
        <v xml:space="preserve"> </v>
      </c>
      <c r="E147" t="str">
        <f ca="1">IF(ISBLANK(Input!D147)," ",INDIRECT("Input!D"&amp;1+MATCH($H147,aux_sheet!$A$2:$A$202,0)))</f>
        <v xml:space="preserve"> </v>
      </c>
      <c r="F147" t="str">
        <f ca="1">INDIRECT("Input!F"&amp;1+MATCH($H147,aux_sheet!$A$2:$A$202,0))</f>
        <v xml:space="preserve"> </v>
      </c>
      <c r="G147">
        <f ca="1">IF(ISBLANK(Input!E147)," ",INDIRECT("Input!AP"&amp;1+MATCH($H147,aux_sheet!$A$2:$A$202,0)))</f>
        <v>0</v>
      </c>
      <c r="H147">
        <f>aux_sheet!B147</f>
        <v>1000</v>
      </c>
      <c r="J147" t="str">
        <f t="shared" si="10"/>
        <v xml:space="preserve"> </v>
      </c>
      <c r="K147">
        <v>146</v>
      </c>
      <c r="L147" t="str">
        <f t="shared" ca="1" si="11"/>
        <v xml:space="preserve"> </v>
      </c>
      <c r="M147" t="str">
        <f t="shared" ca="1" si="9"/>
        <v xml:space="preserve"> </v>
      </c>
      <c r="N147" s="3" t="str">
        <f t="shared" ca="1" si="12"/>
        <v xml:space="preserve"> </v>
      </c>
      <c r="O147" s="3" t="str">
        <f ca="1">IF(ISNUMBER($L147),INDIRECT("Input!A"&amp;1+MATCH($M147,aux_sheet!$A$2:$A$202,0))," ")</f>
        <v xml:space="preserve"> </v>
      </c>
      <c r="P147" s="3" t="str">
        <f ca="1">IF(ISNUMBER($L147),INDIRECT("Input!B"&amp;1+MATCH($M147,aux_sheet!$A$2:$A$202,0))," ")</f>
        <v xml:space="preserve"> </v>
      </c>
    </row>
    <row r="148" spans="1:16" x14ac:dyDescent="0.35">
      <c r="A148" t="str">
        <f>IF(ISBLANK(Input!A148)," ",ROUNDDOWN(aux_sheet!B148,0))</f>
        <v xml:space="preserve"> </v>
      </c>
      <c r="B148" t="str">
        <f ca="1">IF(ISBLANK(Input!A148)," ",INDIRECT("Input!A"&amp;1+MATCH(H148,aux_sheet!$A$2:$A$202,0)))</f>
        <v xml:space="preserve"> </v>
      </c>
      <c r="C148" t="str">
        <f ca="1">IF(ISBLANK(Input!B148)," ",INDIRECT("Input!B"&amp;1+MATCH($H148,aux_sheet!$A$2:$A$202,0)))</f>
        <v xml:space="preserve"> </v>
      </c>
      <c r="D148" t="str">
        <f ca="1">IF(ISBLANK(Input!C148)," ",INDIRECT("Input!C"&amp;1+MATCH($H148,aux_sheet!$A$2:$A$202,0)))</f>
        <v xml:space="preserve"> </v>
      </c>
      <c r="E148" t="str">
        <f ca="1">IF(ISBLANK(Input!D148)," ",INDIRECT("Input!D"&amp;1+MATCH($H148,aux_sheet!$A$2:$A$202,0)))</f>
        <v xml:space="preserve"> </v>
      </c>
      <c r="F148" t="str">
        <f ca="1">INDIRECT("Input!F"&amp;1+MATCH($H148,aux_sheet!$A$2:$A$202,0))</f>
        <v xml:space="preserve"> </v>
      </c>
      <c r="G148">
        <f ca="1">IF(ISBLANK(Input!E148)," ",INDIRECT("Input!AP"&amp;1+MATCH($H148,aux_sheet!$A$2:$A$202,0)))</f>
        <v>0</v>
      </c>
      <c r="H148">
        <f>aux_sheet!B148</f>
        <v>1000</v>
      </c>
      <c r="J148" t="str">
        <f t="shared" si="10"/>
        <v xml:space="preserve"> </v>
      </c>
      <c r="K148">
        <v>147</v>
      </c>
      <c r="L148" t="str">
        <f t="shared" ca="1" si="11"/>
        <v xml:space="preserve"> </v>
      </c>
      <c r="M148" t="str">
        <f t="shared" ca="1" si="9"/>
        <v xml:space="preserve"> </v>
      </c>
      <c r="N148" s="3" t="str">
        <f t="shared" ca="1" si="12"/>
        <v xml:space="preserve"> </v>
      </c>
      <c r="O148" s="3" t="str">
        <f ca="1">IF(ISNUMBER($L148),INDIRECT("Input!A"&amp;1+MATCH($M148,aux_sheet!$A$2:$A$202,0))," ")</f>
        <v xml:space="preserve"> </v>
      </c>
      <c r="P148" s="3" t="str">
        <f ca="1">IF(ISNUMBER($L148),INDIRECT("Input!B"&amp;1+MATCH($M148,aux_sheet!$A$2:$A$202,0))," ")</f>
        <v xml:space="preserve"> </v>
      </c>
    </row>
    <row r="149" spans="1:16" x14ac:dyDescent="0.35">
      <c r="A149" t="str">
        <f>IF(ISBLANK(Input!A149)," ",ROUNDDOWN(aux_sheet!B149,0))</f>
        <v xml:space="preserve"> </v>
      </c>
      <c r="B149" t="str">
        <f ca="1">IF(ISBLANK(Input!A149)," ",INDIRECT("Input!A"&amp;1+MATCH(H149,aux_sheet!$A$2:$A$202,0)))</f>
        <v xml:space="preserve"> </v>
      </c>
      <c r="C149" t="str">
        <f ca="1">IF(ISBLANK(Input!B149)," ",INDIRECT("Input!B"&amp;1+MATCH($H149,aux_sheet!$A$2:$A$202,0)))</f>
        <v xml:space="preserve"> </v>
      </c>
      <c r="D149" t="str">
        <f ca="1">IF(ISBLANK(Input!C149)," ",INDIRECT("Input!C"&amp;1+MATCH($H149,aux_sheet!$A$2:$A$202,0)))</f>
        <v xml:space="preserve"> </v>
      </c>
      <c r="E149" t="str">
        <f ca="1">IF(ISBLANK(Input!D149)," ",INDIRECT("Input!D"&amp;1+MATCH($H149,aux_sheet!$A$2:$A$202,0)))</f>
        <v xml:space="preserve"> </v>
      </c>
      <c r="F149" t="str">
        <f ca="1">INDIRECT("Input!F"&amp;1+MATCH($H149,aux_sheet!$A$2:$A$202,0))</f>
        <v xml:space="preserve"> </v>
      </c>
      <c r="G149">
        <f ca="1">IF(ISBLANK(Input!E149)," ",INDIRECT("Input!AP"&amp;1+MATCH($H149,aux_sheet!$A$2:$A$202,0)))</f>
        <v>0</v>
      </c>
      <c r="H149">
        <f>aux_sheet!B149</f>
        <v>1000</v>
      </c>
      <c r="J149" t="str">
        <f t="shared" si="10"/>
        <v xml:space="preserve"> </v>
      </c>
      <c r="K149">
        <v>148</v>
      </c>
      <c r="L149" t="str">
        <f t="shared" ca="1" si="11"/>
        <v xml:space="preserve"> </v>
      </c>
      <c r="M149" t="str">
        <f t="shared" ca="1" si="9"/>
        <v xml:space="preserve"> </v>
      </c>
      <c r="N149" s="3" t="str">
        <f t="shared" ca="1" si="12"/>
        <v xml:space="preserve"> </v>
      </c>
      <c r="O149" s="3" t="str">
        <f ca="1">IF(ISNUMBER($L149),INDIRECT("Input!A"&amp;1+MATCH($M149,aux_sheet!$A$2:$A$202,0))," ")</f>
        <v xml:space="preserve"> </v>
      </c>
      <c r="P149" s="3" t="str">
        <f ca="1">IF(ISNUMBER($L149),INDIRECT("Input!B"&amp;1+MATCH($M149,aux_sheet!$A$2:$A$202,0))," ")</f>
        <v xml:space="preserve"> </v>
      </c>
    </row>
    <row r="150" spans="1:16" x14ac:dyDescent="0.35">
      <c r="A150" t="str">
        <f>IF(ISBLANK(Input!A150)," ",ROUNDDOWN(aux_sheet!B150,0))</f>
        <v xml:space="preserve"> </v>
      </c>
      <c r="B150" t="str">
        <f ca="1">IF(ISBLANK(Input!A150)," ",INDIRECT("Input!A"&amp;1+MATCH(H150,aux_sheet!$A$2:$A$202,0)))</f>
        <v xml:space="preserve"> </v>
      </c>
      <c r="C150" t="str">
        <f ca="1">IF(ISBLANK(Input!B150)," ",INDIRECT("Input!B"&amp;1+MATCH($H150,aux_sheet!$A$2:$A$202,0)))</f>
        <v xml:space="preserve"> </v>
      </c>
      <c r="D150" t="str">
        <f ca="1">IF(ISBLANK(Input!C150)," ",INDIRECT("Input!C"&amp;1+MATCH($H150,aux_sheet!$A$2:$A$202,0)))</f>
        <v xml:space="preserve"> </v>
      </c>
      <c r="E150" t="str">
        <f ca="1">IF(ISBLANK(Input!D150)," ",INDIRECT("Input!D"&amp;1+MATCH($H150,aux_sheet!$A$2:$A$202,0)))</f>
        <v xml:space="preserve"> </v>
      </c>
      <c r="F150" t="str">
        <f ca="1">INDIRECT("Input!F"&amp;1+MATCH($H150,aux_sheet!$A$2:$A$202,0))</f>
        <v xml:space="preserve"> </v>
      </c>
      <c r="G150">
        <f ca="1">IF(ISBLANK(Input!E150)," ",INDIRECT("Input!AP"&amp;1+MATCH($H150,aux_sheet!$A$2:$A$202,0)))</f>
        <v>0</v>
      </c>
      <c r="H150">
        <f>aux_sheet!B150</f>
        <v>1000</v>
      </c>
      <c r="J150" t="str">
        <f t="shared" si="10"/>
        <v xml:space="preserve"> </v>
      </c>
      <c r="K150">
        <v>149</v>
      </c>
      <c r="L150" t="str">
        <f t="shared" ca="1" si="11"/>
        <v xml:space="preserve"> </v>
      </c>
      <c r="M150" t="str">
        <f t="shared" ca="1" si="9"/>
        <v xml:space="preserve"> </v>
      </c>
      <c r="N150" s="3" t="str">
        <f t="shared" ca="1" si="12"/>
        <v xml:space="preserve"> </v>
      </c>
      <c r="O150" s="3" t="str">
        <f ca="1">IF(ISNUMBER($L150),INDIRECT("Input!A"&amp;1+MATCH($M150,aux_sheet!$A$2:$A$202,0))," ")</f>
        <v xml:space="preserve"> </v>
      </c>
      <c r="P150" s="3" t="str">
        <f ca="1">IF(ISNUMBER($L150),INDIRECT("Input!B"&amp;1+MATCH($M150,aux_sheet!$A$2:$A$202,0))," ")</f>
        <v xml:space="preserve"> </v>
      </c>
    </row>
    <row r="151" spans="1:16" x14ac:dyDescent="0.35">
      <c r="A151" t="str">
        <f>IF(ISBLANK(Input!A151)," ",ROUNDDOWN(aux_sheet!B151,0))</f>
        <v xml:space="preserve"> </v>
      </c>
      <c r="B151" t="str">
        <f ca="1">IF(ISBLANK(Input!A151)," ",INDIRECT("Input!A"&amp;1+MATCH(H151,aux_sheet!$A$2:$A$202,0)))</f>
        <v xml:space="preserve"> </v>
      </c>
      <c r="C151" t="str">
        <f ca="1">IF(ISBLANK(Input!B151)," ",INDIRECT("Input!B"&amp;1+MATCH($H151,aux_sheet!$A$2:$A$202,0)))</f>
        <v xml:space="preserve"> </v>
      </c>
      <c r="D151" t="str">
        <f ca="1">IF(ISBLANK(Input!C151)," ",INDIRECT("Input!C"&amp;1+MATCH($H151,aux_sheet!$A$2:$A$202,0)))</f>
        <v xml:space="preserve"> </v>
      </c>
      <c r="E151" t="str">
        <f ca="1">IF(ISBLANK(Input!D151)," ",INDIRECT("Input!D"&amp;1+MATCH($H151,aux_sheet!$A$2:$A$202,0)))</f>
        <v xml:space="preserve"> </v>
      </c>
      <c r="F151" t="str">
        <f ca="1">INDIRECT("Input!F"&amp;1+MATCH($H151,aux_sheet!$A$2:$A$202,0))</f>
        <v xml:space="preserve"> </v>
      </c>
      <c r="G151">
        <f ca="1">IF(ISBLANK(Input!E151)," ",INDIRECT("Input!AP"&amp;1+MATCH($H151,aux_sheet!$A$2:$A$202,0)))</f>
        <v>0</v>
      </c>
      <c r="H151">
        <f>aux_sheet!B151</f>
        <v>1000</v>
      </c>
      <c r="J151" t="str">
        <f t="shared" si="10"/>
        <v xml:space="preserve"> </v>
      </c>
      <c r="K151">
        <v>150</v>
      </c>
      <c r="L151" t="str">
        <f t="shared" ca="1" si="11"/>
        <v xml:space="preserve"> </v>
      </c>
      <c r="M151" t="str">
        <f t="shared" ca="1" si="9"/>
        <v xml:space="preserve"> </v>
      </c>
      <c r="N151" s="3" t="str">
        <f t="shared" ca="1" si="12"/>
        <v xml:space="preserve"> </v>
      </c>
      <c r="O151" s="3" t="str">
        <f ca="1">IF(ISNUMBER($L151),INDIRECT("Input!A"&amp;1+MATCH($M151,aux_sheet!$A$2:$A$202,0))," ")</f>
        <v xml:space="preserve"> </v>
      </c>
      <c r="P151" s="3" t="str">
        <f ca="1">IF(ISNUMBER($L151),INDIRECT("Input!B"&amp;1+MATCH($M151,aux_sheet!$A$2:$A$202,0))," ")</f>
        <v xml:space="preserve"> </v>
      </c>
    </row>
    <row r="152" spans="1:16" x14ac:dyDescent="0.35">
      <c r="A152" t="str">
        <f>IF(ISBLANK(Input!A152)," ",ROUNDDOWN(aux_sheet!B152,0))</f>
        <v xml:space="preserve"> </v>
      </c>
      <c r="B152" t="str">
        <f ca="1">IF(ISBLANK(Input!A152)," ",INDIRECT("Input!A"&amp;1+MATCH(H152,aux_sheet!$A$2:$A$202,0)))</f>
        <v xml:space="preserve"> </v>
      </c>
      <c r="C152" t="str">
        <f ca="1">IF(ISBLANK(Input!B152)," ",INDIRECT("Input!B"&amp;1+MATCH($H152,aux_sheet!$A$2:$A$202,0)))</f>
        <v xml:space="preserve"> </v>
      </c>
      <c r="D152" t="str">
        <f ca="1">IF(ISBLANK(Input!C152)," ",INDIRECT("Input!C"&amp;1+MATCH($H152,aux_sheet!$A$2:$A$202,0)))</f>
        <v xml:space="preserve"> </v>
      </c>
      <c r="E152" t="str">
        <f ca="1">IF(ISBLANK(Input!D152)," ",INDIRECT("Input!D"&amp;1+MATCH($H152,aux_sheet!$A$2:$A$202,0)))</f>
        <v xml:space="preserve"> </v>
      </c>
      <c r="F152" t="str">
        <f ca="1">INDIRECT("Input!F"&amp;1+MATCH($H152,aux_sheet!$A$2:$A$202,0))</f>
        <v xml:space="preserve"> </v>
      </c>
      <c r="G152">
        <f ca="1">IF(ISBLANK(Input!E152)," ",INDIRECT("Input!AP"&amp;1+MATCH($H152,aux_sheet!$A$2:$A$202,0)))</f>
        <v>0</v>
      </c>
      <c r="H152">
        <f>aux_sheet!B152</f>
        <v>1000</v>
      </c>
      <c r="J152" t="str">
        <f t="shared" si="10"/>
        <v xml:space="preserve"> </v>
      </c>
      <c r="K152">
        <v>151</v>
      </c>
      <c r="L152" t="str">
        <f t="shared" ca="1" si="11"/>
        <v xml:space="preserve"> </v>
      </c>
      <c r="M152" t="str">
        <f t="shared" ca="1" si="9"/>
        <v xml:space="preserve"> </v>
      </c>
      <c r="N152" s="3" t="str">
        <f t="shared" ca="1" si="12"/>
        <v xml:space="preserve"> </v>
      </c>
      <c r="O152" s="3" t="str">
        <f ca="1">IF(ISNUMBER($L152),INDIRECT("Input!A"&amp;1+MATCH($M152,aux_sheet!$A$2:$A$202,0))," ")</f>
        <v xml:space="preserve"> </v>
      </c>
      <c r="P152" s="3" t="str">
        <f ca="1">IF(ISNUMBER($L152),INDIRECT("Input!B"&amp;1+MATCH($M152,aux_sheet!$A$2:$A$202,0))," ")</f>
        <v xml:space="preserve"> </v>
      </c>
    </row>
    <row r="153" spans="1:16" x14ac:dyDescent="0.35">
      <c r="A153" t="str">
        <f>IF(ISBLANK(Input!A153)," ",ROUNDDOWN(aux_sheet!B153,0))</f>
        <v xml:space="preserve"> </v>
      </c>
      <c r="B153" t="str">
        <f ca="1">IF(ISBLANK(Input!A153)," ",INDIRECT("Input!A"&amp;1+MATCH(H153,aux_sheet!$A$2:$A$202,0)))</f>
        <v xml:space="preserve"> </v>
      </c>
      <c r="C153" t="str">
        <f ca="1">IF(ISBLANK(Input!B153)," ",INDIRECT("Input!B"&amp;1+MATCH($H153,aux_sheet!$A$2:$A$202,0)))</f>
        <v xml:space="preserve"> </v>
      </c>
      <c r="D153" t="str">
        <f ca="1">IF(ISBLANK(Input!C153)," ",INDIRECT("Input!C"&amp;1+MATCH($H153,aux_sheet!$A$2:$A$202,0)))</f>
        <v xml:space="preserve"> </v>
      </c>
      <c r="E153" t="str">
        <f ca="1">IF(ISBLANK(Input!D153)," ",INDIRECT("Input!D"&amp;1+MATCH($H153,aux_sheet!$A$2:$A$202,0)))</f>
        <v xml:space="preserve"> </v>
      </c>
      <c r="F153" t="str">
        <f ca="1">INDIRECT("Input!F"&amp;1+MATCH($H153,aux_sheet!$A$2:$A$202,0))</f>
        <v xml:space="preserve"> </v>
      </c>
      <c r="G153">
        <f ca="1">IF(ISBLANK(Input!E153)," ",INDIRECT("Input!AP"&amp;1+MATCH($H153,aux_sheet!$A$2:$A$202,0)))</f>
        <v>0</v>
      </c>
      <c r="H153">
        <f>aux_sheet!B153</f>
        <v>1000</v>
      </c>
      <c r="J153" t="str">
        <f t="shared" si="10"/>
        <v xml:space="preserve"> </v>
      </c>
      <c r="K153">
        <v>152</v>
      </c>
      <c r="L153" t="str">
        <f t="shared" ca="1" si="11"/>
        <v xml:space="preserve"> </v>
      </c>
      <c r="M153" t="str">
        <f t="shared" ca="1" si="9"/>
        <v xml:space="preserve"> </v>
      </c>
      <c r="N153" s="3" t="str">
        <f t="shared" ca="1" si="12"/>
        <v xml:space="preserve"> </v>
      </c>
      <c r="O153" s="3" t="str">
        <f ca="1">IF(ISNUMBER($L153),INDIRECT("Input!A"&amp;1+MATCH($M153,aux_sheet!$A$2:$A$202,0))," ")</f>
        <v xml:space="preserve"> </v>
      </c>
      <c r="P153" s="3" t="str">
        <f ca="1">IF(ISNUMBER($L153),INDIRECT("Input!B"&amp;1+MATCH($M153,aux_sheet!$A$2:$A$202,0))," ")</f>
        <v xml:space="preserve"> </v>
      </c>
    </row>
    <row r="154" spans="1:16" x14ac:dyDescent="0.35">
      <c r="A154" t="str">
        <f>IF(ISBLANK(Input!A154)," ",ROUNDDOWN(aux_sheet!B154,0))</f>
        <v xml:space="preserve"> </v>
      </c>
      <c r="B154" t="str">
        <f ca="1">IF(ISBLANK(Input!A154)," ",INDIRECT("Input!A"&amp;1+MATCH(H154,aux_sheet!$A$2:$A$202,0)))</f>
        <v xml:space="preserve"> </v>
      </c>
      <c r="C154" t="str">
        <f ca="1">IF(ISBLANK(Input!B154)," ",INDIRECT("Input!B"&amp;1+MATCH($H154,aux_sheet!$A$2:$A$202,0)))</f>
        <v xml:space="preserve"> </v>
      </c>
      <c r="D154" t="str">
        <f ca="1">IF(ISBLANK(Input!C154)," ",INDIRECT("Input!C"&amp;1+MATCH($H154,aux_sheet!$A$2:$A$202,0)))</f>
        <v xml:space="preserve"> </v>
      </c>
      <c r="E154" t="str">
        <f ca="1">IF(ISBLANK(Input!D154)," ",INDIRECT("Input!D"&amp;1+MATCH($H154,aux_sheet!$A$2:$A$202,0)))</f>
        <v xml:space="preserve"> </v>
      </c>
      <c r="F154" t="str">
        <f ca="1">INDIRECT("Input!F"&amp;1+MATCH($H154,aux_sheet!$A$2:$A$202,0))</f>
        <v xml:space="preserve"> </v>
      </c>
      <c r="G154">
        <f ca="1">IF(ISBLANK(Input!E154)," ",INDIRECT("Input!AP"&amp;1+MATCH($H154,aux_sheet!$A$2:$A$202,0)))</f>
        <v>0</v>
      </c>
      <c r="H154">
        <f>aux_sheet!B154</f>
        <v>1000</v>
      </c>
      <c r="J154" t="str">
        <f t="shared" si="10"/>
        <v xml:space="preserve"> </v>
      </c>
      <c r="K154">
        <v>153</v>
      </c>
      <c r="L154" t="str">
        <f t="shared" ca="1" si="11"/>
        <v xml:space="preserve"> </v>
      </c>
      <c r="M154" t="str">
        <f t="shared" ca="1" si="9"/>
        <v xml:space="preserve"> </v>
      </c>
      <c r="N154" s="3" t="str">
        <f t="shared" ca="1" si="12"/>
        <v xml:space="preserve"> </v>
      </c>
      <c r="O154" s="3" t="str">
        <f ca="1">IF(ISNUMBER($L154),INDIRECT("Input!A"&amp;1+MATCH($M154,aux_sheet!$A$2:$A$202,0))," ")</f>
        <v xml:space="preserve"> </v>
      </c>
      <c r="P154" s="3" t="str">
        <f ca="1">IF(ISNUMBER($L154),INDIRECT("Input!B"&amp;1+MATCH($M154,aux_sheet!$A$2:$A$202,0))," ")</f>
        <v xml:space="preserve"> </v>
      </c>
    </row>
    <row r="155" spans="1:16" x14ac:dyDescent="0.35">
      <c r="A155" t="str">
        <f>IF(ISBLANK(Input!A155)," ",ROUNDDOWN(aux_sheet!B155,0))</f>
        <v xml:space="preserve"> </v>
      </c>
      <c r="B155" t="str">
        <f ca="1">IF(ISBLANK(Input!A155)," ",INDIRECT("Input!A"&amp;1+MATCH(H155,aux_sheet!$A$2:$A$202,0)))</f>
        <v xml:space="preserve"> </v>
      </c>
      <c r="C155" t="str">
        <f ca="1">IF(ISBLANK(Input!B155)," ",INDIRECT("Input!B"&amp;1+MATCH($H155,aux_sheet!$A$2:$A$202,0)))</f>
        <v xml:space="preserve"> </v>
      </c>
      <c r="D155" t="str">
        <f ca="1">IF(ISBLANK(Input!C155)," ",INDIRECT("Input!C"&amp;1+MATCH($H155,aux_sheet!$A$2:$A$202,0)))</f>
        <v xml:space="preserve"> </v>
      </c>
      <c r="E155" t="str">
        <f ca="1">IF(ISBLANK(Input!D155)," ",INDIRECT("Input!D"&amp;1+MATCH($H155,aux_sheet!$A$2:$A$202,0)))</f>
        <v xml:space="preserve"> </v>
      </c>
      <c r="F155" t="str">
        <f ca="1">INDIRECT("Input!F"&amp;1+MATCH($H155,aux_sheet!$A$2:$A$202,0))</f>
        <v xml:space="preserve"> </v>
      </c>
      <c r="G155">
        <f ca="1">IF(ISBLANK(Input!E155)," ",INDIRECT("Input!AP"&amp;1+MATCH($H155,aux_sheet!$A$2:$A$202,0)))</f>
        <v>0</v>
      </c>
      <c r="H155">
        <f>aux_sheet!B155</f>
        <v>1000</v>
      </c>
      <c r="J155" t="str">
        <f t="shared" si="10"/>
        <v xml:space="preserve"> </v>
      </c>
      <c r="K155">
        <v>154</v>
      </c>
      <c r="L155" t="str">
        <f t="shared" ca="1" si="11"/>
        <v xml:space="preserve"> </v>
      </c>
      <c r="M155" t="str">
        <f t="shared" ca="1" si="9"/>
        <v xml:space="preserve"> </v>
      </c>
      <c r="N155" s="3" t="str">
        <f t="shared" ca="1" si="12"/>
        <v xml:space="preserve"> </v>
      </c>
      <c r="O155" s="3" t="str">
        <f ca="1">IF(ISNUMBER($L155),INDIRECT("Input!A"&amp;1+MATCH($M155,aux_sheet!$A$2:$A$202,0))," ")</f>
        <v xml:space="preserve"> </v>
      </c>
      <c r="P155" s="3" t="str">
        <f ca="1">IF(ISNUMBER($L155),INDIRECT("Input!B"&amp;1+MATCH($M155,aux_sheet!$A$2:$A$202,0))," ")</f>
        <v xml:space="preserve"> </v>
      </c>
    </row>
    <row r="156" spans="1:16" x14ac:dyDescent="0.35">
      <c r="A156" t="str">
        <f>IF(ISBLANK(Input!A156)," ",ROUNDDOWN(aux_sheet!B156,0))</f>
        <v xml:space="preserve"> </v>
      </c>
      <c r="B156" t="str">
        <f ca="1">IF(ISBLANK(Input!A156)," ",INDIRECT("Input!A"&amp;1+MATCH(H156,aux_sheet!$A$2:$A$202,0)))</f>
        <v xml:space="preserve"> </v>
      </c>
      <c r="C156" t="str">
        <f ca="1">IF(ISBLANK(Input!B156)," ",INDIRECT("Input!B"&amp;1+MATCH($H156,aux_sheet!$A$2:$A$202,0)))</f>
        <v xml:space="preserve"> </v>
      </c>
      <c r="D156" t="str">
        <f ca="1">IF(ISBLANK(Input!C156)," ",INDIRECT("Input!C"&amp;1+MATCH($H156,aux_sheet!$A$2:$A$202,0)))</f>
        <v xml:space="preserve"> </v>
      </c>
      <c r="E156" t="str">
        <f ca="1">IF(ISBLANK(Input!D156)," ",INDIRECT("Input!D"&amp;1+MATCH($H156,aux_sheet!$A$2:$A$202,0)))</f>
        <v xml:space="preserve"> </v>
      </c>
      <c r="F156" t="str">
        <f ca="1">INDIRECT("Input!F"&amp;1+MATCH($H156,aux_sheet!$A$2:$A$202,0))</f>
        <v xml:space="preserve"> </v>
      </c>
      <c r="G156">
        <f ca="1">IF(ISBLANK(Input!E156)," ",INDIRECT("Input!AP"&amp;1+MATCH($H156,aux_sheet!$A$2:$A$202,0)))</f>
        <v>0</v>
      </c>
      <c r="H156">
        <f>aux_sheet!B156</f>
        <v>1000</v>
      </c>
      <c r="J156" t="str">
        <f t="shared" si="10"/>
        <v xml:space="preserve"> </v>
      </c>
      <c r="K156">
        <v>155</v>
      </c>
      <c r="L156" t="str">
        <f t="shared" ca="1" si="11"/>
        <v xml:space="preserve"> </v>
      </c>
      <c r="M156" t="str">
        <f t="shared" ca="1" si="9"/>
        <v xml:space="preserve"> </v>
      </c>
      <c r="N156" s="3" t="str">
        <f t="shared" ca="1" si="12"/>
        <v xml:space="preserve"> </v>
      </c>
      <c r="O156" s="3" t="str">
        <f ca="1">IF(ISNUMBER($L156),INDIRECT("Input!A"&amp;1+MATCH($M156,aux_sheet!$A$2:$A$202,0))," ")</f>
        <v xml:space="preserve"> </v>
      </c>
      <c r="P156" s="3" t="str">
        <f ca="1">IF(ISNUMBER($L156),INDIRECT("Input!B"&amp;1+MATCH($M156,aux_sheet!$A$2:$A$202,0))," ")</f>
        <v xml:space="preserve"> </v>
      </c>
    </row>
    <row r="157" spans="1:16" x14ac:dyDescent="0.35">
      <c r="A157" t="str">
        <f>IF(ISBLANK(Input!A157)," ",ROUNDDOWN(aux_sheet!B157,0))</f>
        <v xml:space="preserve"> </v>
      </c>
      <c r="B157" t="str">
        <f ca="1">IF(ISBLANK(Input!A157)," ",INDIRECT("Input!A"&amp;1+MATCH(H157,aux_sheet!$A$2:$A$202,0)))</f>
        <v xml:space="preserve"> </v>
      </c>
      <c r="C157" t="str">
        <f ca="1">IF(ISBLANK(Input!B157)," ",INDIRECT("Input!B"&amp;1+MATCH($H157,aux_sheet!$A$2:$A$202,0)))</f>
        <v xml:space="preserve"> </v>
      </c>
      <c r="D157" t="str">
        <f ca="1">IF(ISBLANK(Input!C157)," ",INDIRECT("Input!C"&amp;1+MATCH($H157,aux_sheet!$A$2:$A$202,0)))</f>
        <v xml:space="preserve"> </v>
      </c>
      <c r="E157" t="str">
        <f ca="1">IF(ISBLANK(Input!D157)," ",INDIRECT("Input!D"&amp;1+MATCH($H157,aux_sheet!$A$2:$A$202,0)))</f>
        <v xml:space="preserve"> </v>
      </c>
      <c r="F157" t="str">
        <f ca="1">INDIRECT("Input!F"&amp;1+MATCH($H157,aux_sheet!$A$2:$A$202,0))</f>
        <v xml:space="preserve"> </v>
      </c>
      <c r="G157">
        <f ca="1">IF(ISBLANK(Input!E157)," ",INDIRECT("Input!AP"&amp;1+MATCH($H157,aux_sheet!$A$2:$A$202,0)))</f>
        <v>0</v>
      </c>
      <c r="H157">
        <f>aux_sheet!B157</f>
        <v>1000</v>
      </c>
      <c r="J157" t="str">
        <f t="shared" si="10"/>
        <v xml:space="preserve"> </v>
      </c>
      <c r="K157">
        <v>156</v>
      </c>
      <c r="L157" t="str">
        <f t="shared" ca="1" si="11"/>
        <v xml:space="preserve"> </v>
      </c>
      <c r="M157" t="str">
        <f t="shared" ca="1" si="9"/>
        <v xml:space="preserve"> </v>
      </c>
      <c r="N157" s="3" t="str">
        <f t="shared" ca="1" si="12"/>
        <v xml:space="preserve"> </v>
      </c>
      <c r="O157" s="3" t="str">
        <f ca="1">IF(ISNUMBER($L157),INDIRECT("Input!A"&amp;1+MATCH($M157,aux_sheet!$A$2:$A$202,0))," ")</f>
        <v xml:space="preserve"> </v>
      </c>
      <c r="P157" s="3" t="str">
        <f ca="1">IF(ISNUMBER($L157),INDIRECT("Input!B"&amp;1+MATCH($M157,aux_sheet!$A$2:$A$202,0))," ")</f>
        <v xml:space="preserve"> </v>
      </c>
    </row>
    <row r="158" spans="1:16" x14ac:dyDescent="0.35">
      <c r="A158" t="str">
        <f>IF(ISBLANK(Input!A158)," ",ROUNDDOWN(aux_sheet!B158,0))</f>
        <v xml:space="preserve"> </v>
      </c>
      <c r="B158" t="str">
        <f ca="1">IF(ISBLANK(Input!A158)," ",INDIRECT("Input!A"&amp;1+MATCH(H158,aux_sheet!$A$2:$A$202,0)))</f>
        <v xml:space="preserve"> </v>
      </c>
      <c r="C158" t="str">
        <f ca="1">IF(ISBLANK(Input!B158)," ",INDIRECT("Input!B"&amp;1+MATCH($H158,aux_sheet!$A$2:$A$202,0)))</f>
        <v xml:space="preserve"> </v>
      </c>
      <c r="D158" t="str">
        <f ca="1">IF(ISBLANK(Input!C158)," ",INDIRECT("Input!C"&amp;1+MATCH($H158,aux_sheet!$A$2:$A$202,0)))</f>
        <v xml:space="preserve"> </v>
      </c>
      <c r="E158" t="str">
        <f ca="1">IF(ISBLANK(Input!D158)," ",INDIRECT("Input!D"&amp;1+MATCH($H158,aux_sheet!$A$2:$A$202,0)))</f>
        <v xml:space="preserve"> </v>
      </c>
      <c r="F158" t="str">
        <f ca="1">INDIRECT("Input!F"&amp;1+MATCH($H158,aux_sheet!$A$2:$A$202,0))</f>
        <v xml:space="preserve"> </v>
      </c>
      <c r="G158">
        <f ca="1">IF(ISBLANK(Input!E158)," ",INDIRECT("Input!AP"&amp;1+MATCH($H158,aux_sheet!$A$2:$A$202,0)))</f>
        <v>0</v>
      </c>
      <c r="H158">
        <f>aux_sheet!B158</f>
        <v>1000</v>
      </c>
      <c r="J158" t="str">
        <f t="shared" si="10"/>
        <v xml:space="preserve"> </v>
      </c>
      <c r="K158">
        <v>157</v>
      </c>
      <c r="L158" t="str">
        <f t="shared" ca="1" si="11"/>
        <v xml:space="preserve"> </v>
      </c>
      <c r="M158" t="str">
        <f t="shared" ca="1" si="9"/>
        <v xml:space="preserve"> </v>
      </c>
      <c r="N158" s="3" t="str">
        <f t="shared" ca="1" si="12"/>
        <v xml:space="preserve"> </v>
      </c>
      <c r="O158" s="3" t="str">
        <f ca="1">IF(ISNUMBER($L158),INDIRECT("Input!A"&amp;1+MATCH($M158,aux_sheet!$A$2:$A$202,0))," ")</f>
        <v xml:space="preserve"> </v>
      </c>
      <c r="P158" s="3" t="str">
        <f ca="1">IF(ISNUMBER($L158),INDIRECT("Input!B"&amp;1+MATCH($M158,aux_sheet!$A$2:$A$202,0))," ")</f>
        <v xml:space="preserve"> </v>
      </c>
    </row>
    <row r="159" spans="1:16" x14ac:dyDescent="0.35">
      <c r="A159" t="str">
        <f>IF(ISBLANK(Input!A159)," ",ROUNDDOWN(aux_sheet!B159,0))</f>
        <v xml:space="preserve"> </v>
      </c>
      <c r="B159" t="str">
        <f ca="1">IF(ISBLANK(Input!A159)," ",INDIRECT("Input!A"&amp;1+MATCH(H159,aux_sheet!$A$2:$A$202,0)))</f>
        <v xml:space="preserve"> </v>
      </c>
      <c r="C159" t="str">
        <f ca="1">IF(ISBLANK(Input!B159)," ",INDIRECT("Input!B"&amp;1+MATCH($H159,aux_sheet!$A$2:$A$202,0)))</f>
        <v xml:space="preserve"> </v>
      </c>
      <c r="D159" t="str">
        <f ca="1">IF(ISBLANK(Input!C159)," ",INDIRECT("Input!C"&amp;1+MATCH($H159,aux_sheet!$A$2:$A$202,0)))</f>
        <v xml:space="preserve"> </v>
      </c>
      <c r="E159" t="str">
        <f ca="1">IF(ISBLANK(Input!D159)," ",INDIRECT("Input!D"&amp;1+MATCH($H159,aux_sheet!$A$2:$A$202,0)))</f>
        <v xml:space="preserve"> </v>
      </c>
      <c r="F159" t="str">
        <f ca="1">INDIRECT("Input!F"&amp;1+MATCH($H159,aux_sheet!$A$2:$A$202,0))</f>
        <v xml:space="preserve"> </v>
      </c>
      <c r="G159">
        <f ca="1">IF(ISBLANK(Input!E159)," ",INDIRECT("Input!AP"&amp;1+MATCH($H159,aux_sheet!$A$2:$A$202,0)))</f>
        <v>0</v>
      </c>
      <c r="H159">
        <f>aux_sheet!B159</f>
        <v>1000</v>
      </c>
      <c r="J159" t="str">
        <f t="shared" si="10"/>
        <v xml:space="preserve"> </v>
      </c>
      <c r="K159">
        <v>158</v>
      </c>
      <c r="L159" t="str">
        <f t="shared" ca="1" si="11"/>
        <v xml:space="preserve"> </v>
      </c>
      <c r="M159" t="str">
        <f t="shared" ca="1" si="9"/>
        <v xml:space="preserve"> </v>
      </c>
      <c r="N159" s="3" t="str">
        <f t="shared" ca="1" si="12"/>
        <v xml:space="preserve"> </v>
      </c>
      <c r="O159" s="3" t="str">
        <f ca="1">IF(ISNUMBER($L159),INDIRECT("Input!A"&amp;1+MATCH($M159,aux_sheet!$A$2:$A$202,0))," ")</f>
        <v xml:space="preserve"> </v>
      </c>
      <c r="P159" s="3" t="str">
        <f ca="1">IF(ISNUMBER($L159),INDIRECT("Input!B"&amp;1+MATCH($M159,aux_sheet!$A$2:$A$202,0))," ")</f>
        <v xml:space="preserve"> </v>
      </c>
    </row>
    <row r="160" spans="1:16" x14ac:dyDescent="0.35">
      <c r="A160" t="str">
        <f>IF(ISBLANK(Input!A160)," ",ROUNDDOWN(aux_sheet!B160,0))</f>
        <v xml:space="preserve"> </v>
      </c>
      <c r="B160" t="str">
        <f ca="1">IF(ISBLANK(Input!A160)," ",INDIRECT("Input!A"&amp;1+MATCH(H160,aux_sheet!$A$2:$A$202,0)))</f>
        <v xml:space="preserve"> </v>
      </c>
      <c r="C160" t="str">
        <f ca="1">IF(ISBLANK(Input!B160)," ",INDIRECT("Input!B"&amp;1+MATCH($H160,aux_sheet!$A$2:$A$202,0)))</f>
        <v xml:space="preserve"> </v>
      </c>
      <c r="D160" t="str">
        <f ca="1">IF(ISBLANK(Input!C160)," ",INDIRECT("Input!C"&amp;1+MATCH($H160,aux_sheet!$A$2:$A$202,0)))</f>
        <v xml:space="preserve"> </v>
      </c>
      <c r="E160" t="str">
        <f ca="1">IF(ISBLANK(Input!D160)," ",INDIRECT("Input!D"&amp;1+MATCH($H160,aux_sheet!$A$2:$A$202,0)))</f>
        <v xml:space="preserve"> </v>
      </c>
      <c r="F160" t="str">
        <f ca="1">INDIRECT("Input!F"&amp;1+MATCH($H160,aux_sheet!$A$2:$A$202,0))</f>
        <v xml:space="preserve"> </v>
      </c>
      <c r="G160">
        <f ca="1">IF(ISBLANK(Input!E160)," ",INDIRECT("Input!AP"&amp;1+MATCH($H160,aux_sheet!$A$2:$A$202,0)))</f>
        <v>0</v>
      </c>
      <c r="H160">
        <f>aux_sheet!B160</f>
        <v>1000</v>
      </c>
      <c r="J160" t="str">
        <f t="shared" si="10"/>
        <v xml:space="preserve"> </v>
      </c>
      <c r="K160">
        <v>159</v>
      </c>
      <c r="L160" t="str">
        <f t="shared" ca="1" si="11"/>
        <v xml:space="preserve"> </v>
      </c>
      <c r="M160" t="str">
        <f t="shared" ca="1" si="9"/>
        <v xml:space="preserve"> </v>
      </c>
      <c r="N160" s="3" t="str">
        <f t="shared" ca="1" si="12"/>
        <v xml:space="preserve"> </v>
      </c>
      <c r="O160" s="3" t="str">
        <f ca="1">IF(ISNUMBER($L160),INDIRECT("Input!A"&amp;1+MATCH($M160,aux_sheet!$A$2:$A$202,0))," ")</f>
        <v xml:space="preserve"> </v>
      </c>
      <c r="P160" s="3" t="str">
        <f ca="1">IF(ISNUMBER($L160),INDIRECT("Input!B"&amp;1+MATCH($M160,aux_sheet!$A$2:$A$202,0))," ")</f>
        <v xml:space="preserve"> </v>
      </c>
    </row>
    <row r="161" spans="1:16" x14ac:dyDescent="0.35">
      <c r="A161" t="str">
        <f>IF(ISBLANK(Input!A161)," ",ROUNDDOWN(aux_sheet!B161,0))</f>
        <v xml:space="preserve"> </v>
      </c>
      <c r="B161" t="str">
        <f ca="1">IF(ISBLANK(Input!A161)," ",INDIRECT("Input!A"&amp;1+MATCH(H161,aux_sheet!$A$2:$A$202,0)))</f>
        <v xml:space="preserve"> </v>
      </c>
      <c r="C161" t="str">
        <f ca="1">IF(ISBLANK(Input!B161)," ",INDIRECT("Input!B"&amp;1+MATCH($H161,aux_sheet!$A$2:$A$202,0)))</f>
        <v xml:space="preserve"> </v>
      </c>
      <c r="D161" t="str">
        <f ca="1">IF(ISBLANK(Input!C161)," ",INDIRECT("Input!C"&amp;1+MATCH($H161,aux_sheet!$A$2:$A$202,0)))</f>
        <v xml:space="preserve"> </v>
      </c>
      <c r="E161" t="str">
        <f ca="1">IF(ISBLANK(Input!D161)," ",INDIRECT("Input!D"&amp;1+MATCH($H161,aux_sheet!$A$2:$A$202,0)))</f>
        <v xml:space="preserve"> </v>
      </c>
      <c r="F161" t="str">
        <f ca="1">INDIRECT("Input!F"&amp;1+MATCH($H161,aux_sheet!$A$2:$A$202,0))</f>
        <v xml:space="preserve"> </v>
      </c>
      <c r="G161">
        <f ca="1">IF(ISBLANK(Input!E161)," ",INDIRECT("Input!AP"&amp;1+MATCH($H161,aux_sheet!$A$2:$A$202,0)))</f>
        <v>0</v>
      </c>
      <c r="H161">
        <f>aux_sheet!B161</f>
        <v>1000</v>
      </c>
      <c r="J161" t="str">
        <f t="shared" si="10"/>
        <v xml:space="preserve"> </v>
      </c>
      <c r="K161">
        <v>160</v>
      </c>
      <c r="L161" t="str">
        <f t="shared" ca="1" si="11"/>
        <v xml:space="preserve"> </v>
      </c>
      <c r="M161" t="str">
        <f t="shared" ca="1" si="9"/>
        <v xml:space="preserve"> </v>
      </c>
      <c r="N161" s="3" t="str">
        <f t="shared" ca="1" si="12"/>
        <v xml:space="preserve"> </v>
      </c>
      <c r="O161" s="3" t="str">
        <f ca="1">IF(ISNUMBER($L161),INDIRECT("Input!A"&amp;1+MATCH($M161,aux_sheet!$A$2:$A$202,0))," ")</f>
        <v xml:space="preserve"> </v>
      </c>
      <c r="P161" s="3" t="str">
        <f ca="1">IF(ISNUMBER($L161),INDIRECT("Input!B"&amp;1+MATCH($M161,aux_sheet!$A$2:$A$202,0))," ")</f>
        <v xml:space="preserve"> </v>
      </c>
    </row>
    <row r="162" spans="1:16" x14ac:dyDescent="0.35">
      <c r="A162" t="str">
        <f>IF(ISBLANK(Input!A162)," ",ROUNDDOWN(aux_sheet!B162,0))</f>
        <v xml:space="preserve"> </v>
      </c>
      <c r="B162" t="str">
        <f ca="1">IF(ISBLANK(Input!A162)," ",INDIRECT("Input!A"&amp;1+MATCH(H162,aux_sheet!$A$2:$A$202,0)))</f>
        <v xml:space="preserve"> </v>
      </c>
      <c r="C162" t="str">
        <f ca="1">IF(ISBLANK(Input!B162)," ",INDIRECT("Input!B"&amp;1+MATCH($H162,aux_sheet!$A$2:$A$202,0)))</f>
        <v xml:space="preserve"> </v>
      </c>
      <c r="D162" t="str">
        <f ca="1">IF(ISBLANK(Input!C162)," ",INDIRECT("Input!C"&amp;1+MATCH($H162,aux_sheet!$A$2:$A$202,0)))</f>
        <v xml:space="preserve"> </v>
      </c>
      <c r="E162" t="str">
        <f ca="1">IF(ISBLANK(Input!D162)," ",INDIRECT("Input!D"&amp;1+MATCH($H162,aux_sheet!$A$2:$A$202,0)))</f>
        <v xml:space="preserve"> </v>
      </c>
      <c r="F162" t="str">
        <f ca="1">INDIRECT("Input!F"&amp;1+MATCH($H162,aux_sheet!$A$2:$A$202,0))</f>
        <v xml:space="preserve"> </v>
      </c>
      <c r="G162">
        <f ca="1">IF(ISBLANK(Input!E162)," ",INDIRECT("Input!AP"&amp;1+MATCH($H162,aux_sheet!$A$2:$A$202,0)))</f>
        <v>0</v>
      </c>
      <c r="H162">
        <f>aux_sheet!B162</f>
        <v>1000</v>
      </c>
      <c r="J162" t="str">
        <f t="shared" si="10"/>
        <v xml:space="preserve"> </v>
      </c>
      <c r="K162">
        <v>161</v>
      </c>
      <c r="L162" t="str">
        <f t="shared" ca="1" si="11"/>
        <v xml:space="preserve"> </v>
      </c>
      <c r="M162" t="str">
        <f t="shared" ca="1" si="9"/>
        <v xml:space="preserve"> </v>
      </c>
      <c r="N162" s="3" t="str">
        <f t="shared" ca="1" si="12"/>
        <v xml:space="preserve"> </v>
      </c>
      <c r="O162" s="3" t="str">
        <f ca="1">IF(ISNUMBER($L162),INDIRECT("Input!A"&amp;1+MATCH($M162,aux_sheet!$A$2:$A$202,0))," ")</f>
        <v xml:space="preserve"> </v>
      </c>
      <c r="P162" s="3" t="str">
        <f ca="1">IF(ISNUMBER($L162),INDIRECT("Input!B"&amp;1+MATCH($M162,aux_sheet!$A$2:$A$202,0))," ")</f>
        <v xml:space="preserve"> </v>
      </c>
    </row>
    <row r="163" spans="1:16" x14ac:dyDescent="0.35">
      <c r="A163" t="str">
        <f>IF(ISBLANK(Input!A163)," ",ROUNDDOWN(aux_sheet!B163,0))</f>
        <v xml:space="preserve"> </v>
      </c>
      <c r="B163" t="str">
        <f ca="1">IF(ISBLANK(Input!A163)," ",INDIRECT("Input!A"&amp;1+MATCH(H163,aux_sheet!$A$2:$A$202,0)))</f>
        <v xml:space="preserve"> </v>
      </c>
      <c r="C163" t="str">
        <f ca="1">IF(ISBLANK(Input!B163)," ",INDIRECT("Input!B"&amp;1+MATCH($H163,aux_sheet!$A$2:$A$202,0)))</f>
        <v xml:space="preserve"> </v>
      </c>
      <c r="D163" t="str">
        <f ca="1">IF(ISBLANK(Input!C163)," ",INDIRECT("Input!C"&amp;1+MATCH($H163,aux_sheet!$A$2:$A$202,0)))</f>
        <v xml:space="preserve"> </v>
      </c>
      <c r="E163" t="str">
        <f ca="1">IF(ISBLANK(Input!D163)," ",INDIRECT("Input!D"&amp;1+MATCH($H163,aux_sheet!$A$2:$A$202,0)))</f>
        <v xml:space="preserve"> </v>
      </c>
      <c r="F163" t="str">
        <f ca="1">INDIRECT("Input!F"&amp;1+MATCH($H163,aux_sheet!$A$2:$A$202,0))</f>
        <v xml:space="preserve"> </v>
      </c>
      <c r="G163">
        <f ca="1">IF(ISBLANK(Input!E163)," ",INDIRECT("Input!AP"&amp;1+MATCH($H163,aux_sheet!$A$2:$A$202,0)))</f>
        <v>0</v>
      </c>
      <c r="H163">
        <f>aux_sheet!B163</f>
        <v>1000</v>
      </c>
      <c r="J163" t="str">
        <f t="shared" si="10"/>
        <v xml:space="preserve"> </v>
      </c>
      <c r="K163">
        <v>162</v>
      </c>
      <c r="L163" t="str">
        <f t="shared" ca="1" si="11"/>
        <v xml:space="preserve"> </v>
      </c>
      <c r="M163" t="str">
        <f t="shared" ca="1" si="9"/>
        <v xml:space="preserve"> </v>
      </c>
      <c r="N163" s="3" t="str">
        <f t="shared" ca="1" si="12"/>
        <v xml:space="preserve"> </v>
      </c>
      <c r="O163" s="3" t="str">
        <f ca="1">IF(ISNUMBER($L163),INDIRECT("Input!A"&amp;1+MATCH($M163,aux_sheet!$A$2:$A$202,0))," ")</f>
        <v xml:space="preserve"> </v>
      </c>
      <c r="P163" s="3" t="str">
        <f ca="1">IF(ISNUMBER($L163),INDIRECT("Input!B"&amp;1+MATCH($M163,aux_sheet!$A$2:$A$202,0))," ")</f>
        <v xml:space="preserve"> </v>
      </c>
    </row>
    <row r="164" spans="1:16" x14ac:dyDescent="0.35">
      <c r="A164" t="str">
        <f>IF(ISBLANK(Input!A164)," ",ROUNDDOWN(aux_sheet!B164,0))</f>
        <v xml:space="preserve"> </v>
      </c>
      <c r="B164" t="str">
        <f ca="1">IF(ISBLANK(Input!A164)," ",INDIRECT("Input!A"&amp;1+MATCH(H164,aux_sheet!$A$2:$A$202,0)))</f>
        <v xml:space="preserve"> </v>
      </c>
      <c r="C164" t="str">
        <f ca="1">IF(ISBLANK(Input!B164)," ",INDIRECT("Input!B"&amp;1+MATCH($H164,aux_sheet!$A$2:$A$202,0)))</f>
        <v xml:space="preserve"> </v>
      </c>
      <c r="D164" t="str">
        <f ca="1">IF(ISBLANK(Input!C164)," ",INDIRECT("Input!C"&amp;1+MATCH($H164,aux_sheet!$A$2:$A$202,0)))</f>
        <v xml:space="preserve"> </v>
      </c>
      <c r="E164" t="str">
        <f ca="1">IF(ISBLANK(Input!D164)," ",INDIRECT("Input!D"&amp;1+MATCH($H164,aux_sheet!$A$2:$A$202,0)))</f>
        <v xml:space="preserve"> </v>
      </c>
      <c r="F164" t="str">
        <f ca="1">INDIRECT("Input!F"&amp;1+MATCH($H164,aux_sheet!$A$2:$A$202,0))</f>
        <v xml:space="preserve"> </v>
      </c>
      <c r="G164">
        <f ca="1">IF(ISBLANK(Input!E164)," ",INDIRECT("Input!AP"&amp;1+MATCH($H164,aux_sheet!$A$2:$A$202,0)))</f>
        <v>0</v>
      </c>
      <c r="H164">
        <f>aux_sheet!B164</f>
        <v>1000</v>
      </c>
      <c r="J164" t="str">
        <f t="shared" si="10"/>
        <v xml:space="preserve"> </v>
      </c>
      <c r="K164">
        <v>163</v>
      </c>
      <c r="L164" t="str">
        <f t="shared" ca="1" si="11"/>
        <v xml:space="preserve"> </v>
      </c>
      <c r="M164" t="str">
        <f t="shared" ca="1" si="9"/>
        <v xml:space="preserve"> </v>
      </c>
      <c r="N164" s="3" t="str">
        <f t="shared" ca="1" si="12"/>
        <v xml:space="preserve"> </v>
      </c>
      <c r="O164" s="3" t="str">
        <f ca="1">IF(ISNUMBER($L164),INDIRECT("Input!A"&amp;1+MATCH($M164,aux_sheet!$A$2:$A$202,0))," ")</f>
        <v xml:space="preserve"> </v>
      </c>
      <c r="P164" s="3" t="str">
        <f ca="1">IF(ISNUMBER($L164),INDIRECT("Input!B"&amp;1+MATCH($M164,aux_sheet!$A$2:$A$202,0))," ")</f>
        <v xml:space="preserve"> </v>
      </c>
    </row>
    <row r="165" spans="1:16" x14ac:dyDescent="0.35">
      <c r="A165" t="str">
        <f>IF(ISBLANK(Input!A165)," ",ROUNDDOWN(aux_sheet!B165,0))</f>
        <v xml:space="preserve"> </v>
      </c>
      <c r="B165" t="str">
        <f ca="1">IF(ISBLANK(Input!A165)," ",INDIRECT("Input!A"&amp;1+MATCH(H165,aux_sheet!$A$2:$A$202,0)))</f>
        <v xml:space="preserve"> </v>
      </c>
      <c r="C165" t="str">
        <f ca="1">IF(ISBLANK(Input!B165)," ",INDIRECT("Input!B"&amp;1+MATCH($H165,aux_sheet!$A$2:$A$202,0)))</f>
        <v xml:space="preserve"> </v>
      </c>
      <c r="D165" t="str">
        <f ca="1">IF(ISBLANK(Input!C165)," ",INDIRECT("Input!C"&amp;1+MATCH($H165,aux_sheet!$A$2:$A$202,0)))</f>
        <v xml:space="preserve"> </v>
      </c>
      <c r="E165" t="str">
        <f ca="1">IF(ISBLANK(Input!D165)," ",INDIRECT("Input!D"&amp;1+MATCH($H165,aux_sheet!$A$2:$A$202,0)))</f>
        <v xml:space="preserve"> </v>
      </c>
      <c r="F165" t="str">
        <f ca="1">INDIRECT("Input!F"&amp;1+MATCH($H165,aux_sheet!$A$2:$A$202,0))</f>
        <v xml:space="preserve"> </v>
      </c>
      <c r="G165">
        <f ca="1">IF(ISBLANK(Input!E165)," ",INDIRECT("Input!AP"&amp;1+MATCH($H165,aux_sheet!$A$2:$A$202,0)))</f>
        <v>0</v>
      </c>
      <c r="H165">
        <f>aux_sheet!B165</f>
        <v>1000</v>
      </c>
      <c r="J165" t="str">
        <f t="shared" si="10"/>
        <v xml:space="preserve"> </v>
      </c>
      <c r="K165">
        <v>164</v>
      </c>
      <c r="L165" t="str">
        <f t="shared" ca="1" si="11"/>
        <v xml:space="preserve"> </v>
      </c>
      <c r="M165" t="str">
        <f t="shared" ca="1" si="9"/>
        <v xml:space="preserve"> </v>
      </c>
      <c r="N165" s="3" t="str">
        <f t="shared" ca="1" si="12"/>
        <v xml:space="preserve"> </v>
      </c>
      <c r="O165" s="3" t="str">
        <f ca="1">IF(ISNUMBER($L165),INDIRECT("Input!A"&amp;1+MATCH($M165,aux_sheet!$A$2:$A$202,0))," ")</f>
        <v xml:space="preserve"> </v>
      </c>
      <c r="P165" s="3" t="str">
        <f ca="1">IF(ISNUMBER($L165),INDIRECT("Input!B"&amp;1+MATCH($M165,aux_sheet!$A$2:$A$202,0))," ")</f>
        <v xml:space="preserve"> </v>
      </c>
    </row>
    <row r="166" spans="1:16" x14ac:dyDescent="0.35">
      <c r="A166" t="str">
        <f>IF(ISBLANK(Input!A166)," ",ROUNDDOWN(aux_sheet!B166,0))</f>
        <v xml:space="preserve"> </v>
      </c>
      <c r="B166" t="str">
        <f ca="1">IF(ISBLANK(Input!A166)," ",INDIRECT("Input!A"&amp;1+MATCH(H166,aux_sheet!$A$2:$A$202,0)))</f>
        <v xml:space="preserve"> </v>
      </c>
      <c r="C166" t="str">
        <f ca="1">IF(ISBLANK(Input!B166)," ",INDIRECT("Input!B"&amp;1+MATCH($H166,aux_sheet!$A$2:$A$202,0)))</f>
        <v xml:space="preserve"> </v>
      </c>
      <c r="D166" t="str">
        <f ca="1">IF(ISBLANK(Input!C166)," ",INDIRECT("Input!C"&amp;1+MATCH($H166,aux_sheet!$A$2:$A$202,0)))</f>
        <v xml:space="preserve"> </v>
      </c>
      <c r="E166" t="str">
        <f ca="1">IF(ISBLANK(Input!D166)," ",INDIRECT("Input!D"&amp;1+MATCH($H166,aux_sheet!$A$2:$A$202,0)))</f>
        <v xml:space="preserve"> </v>
      </c>
      <c r="F166" t="str">
        <f ca="1">INDIRECT("Input!F"&amp;1+MATCH($H166,aux_sheet!$A$2:$A$202,0))</f>
        <v xml:space="preserve"> </v>
      </c>
      <c r="G166">
        <f ca="1">IF(ISBLANK(Input!E166)," ",INDIRECT("Input!AP"&amp;1+MATCH($H166,aux_sheet!$A$2:$A$202,0)))</f>
        <v>0</v>
      </c>
      <c r="H166">
        <f>aux_sheet!B166</f>
        <v>1000</v>
      </c>
      <c r="J166" t="str">
        <f t="shared" si="10"/>
        <v xml:space="preserve"> </v>
      </c>
      <c r="K166">
        <v>165</v>
      </c>
      <c r="L166" t="str">
        <f t="shared" ca="1" si="11"/>
        <v xml:space="preserve"> </v>
      </c>
      <c r="M166" t="str">
        <f t="shared" ca="1" si="9"/>
        <v xml:space="preserve"> </v>
      </c>
      <c r="N166" s="3" t="str">
        <f t="shared" ca="1" si="12"/>
        <v xml:space="preserve"> </v>
      </c>
      <c r="O166" s="3" t="str">
        <f ca="1">IF(ISNUMBER($L166),INDIRECT("Input!A"&amp;1+MATCH($M166,aux_sheet!$A$2:$A$202,0))," ")</f>
        <v xml:space="preserve"> </v>
      </c>
      <c r="P166" s="3" t="str">
        <f ca="1">IF(ISNUMBER($L166),INDIRECT("Input!B"&amp;1+MATCH($M166,aux_sheet!$A$2:$A$202,0))," ")</f>
        <v xml:space="preserve"> </v>
      </c>
    </row>
    <row r="167" spans="1:16" x14ac:dyDescent="0.35">
      <c r="A167" t="str">
        <f>IF(ISBLANK(Input!A167)," ",ROUNDDOWN(aux_sheet!B167,0))</f>
        <v xml:space="preserve"> </v>
      </c>
      <c r="B167" t="str">
        <f ca="1">IF(ISBLANK(Input!A167)," ",INDIRECT("Input!A"&amp;1+MATCH(H167,aux_sheet!$A$2:$A$202,0)))</f>
        <v xml:space="preserve"> </v>
      </c>
      <c r="C167" t="str">
        <f ca="1">IF(ISBLANK(Input!B167)," ",INDIRECT("Input!B"&amp;1+MATCH($H167,aux_sheet!$A$2:$A$202,0)))</f>
        <v xml:space="preserve"> </v>
      </c>
      <c r="D167" t="str">
        <f ca="1">IF(ISBLANK(Input!C167)," ",INDIRECT("Input!C"&amp;1+MATCH($H167,aux_sheet!$A$2:$A$202,0)))</f>
        <v xml:space="preserve"> </v>
      </c>
      <c r="E167" t="str">
        <f ca="1">IF(ISBLANK(Input!D167)," ",INDIRECT("Input!D"&amp;1+MATCH($H167,aux_sheet!$A$2:$A$202,0)))</f>
        <v xml:space="preserve"> </v>
      </c>
      <c r="F167" t="str">
        <f ca="1">INDIRECT("Input!F"&amp;1+MATCH($H167,aux_sheet!$A$2:$A$202,0))</f>
        <v xml:space="preserve"> </v>
      </c>
      <c r="G167">
        <f ca="1">IF(ISBLANK(Input!E167)," ",INDIRECT("Input!AP"&amp;1+MATCH($H167,aux_sheet!$A$2:$A$202,0)))</f>
        <v>0</v>
      </c>
      <c r="H167">
        <f>aux_sheet!B167</f>
        <v>1000</v>
      </c>
      <c r="J167" t="str">
        <f t="shared" si="10"/>
        <v xml:space="preserve"> </v>
      </c>
      <c r="K167">
        <v>166</v>
      </c>
      <c r="L167" t="str">
        <f t="shared" ca="1" si="11"/>
        <v xml:space="preserve"> </v>
      </c>
      <c r="M167" t="str">
        <f t="shared" ca="1" si="9"/>
        <v xml:space="preserve"> </v>
      </c>
      <c r="N167" s="3" t="str">
        <f t="shared" ca="1" si="12"/>
        <v xml:space="preserve"> </v>
      </c>
      <c r="O167" s="3" t="str">
        <f ca="1">IF(ISNUMBER($L167),INDIRECT("Input!A"&amp;1+MATCH($M167,aux_sheet!$A$2:$A$202,0))," ")</f>
        <v xml:space="preserve"> </v>
      </c>
      <c r="P167" s="3" t="str">
        <f ca="1">IF(ISNUMBER($L167),INDIRECT("Input!B"&amp;1+MATCH($M167,aux_sheet!$A$2:$A$202,0))," ")</f>
        <v xml:space="preserve"> </v>
      </c>
    </row>
    <row r="168" spans="1:16" x14ac:dyDescent="0.35">
      <c r="A168" t="str">
        <f>IF(ISBLANK(Input!A168)," ",ROUNDDOWN(aux_sheet!B168,0))</f>
        <v xml:space="preserve"> </v>
      </c>
      <c r="B168" t="str">
        <f ca="1">IF(ISBLANK(Input!A168)," ",INDIRECT("Input!A"&amp;1+MATCH(H168,aux_sheet!$A$2:$A$202,0)))</f>
        <v xml:space="preserve"> </v>
      </c>
      <c r="C168" t="str">
        <f ca="1">IF(ISBLANK(Input!B168)," ",INDIRECT("Input!B"&amp;1+MATCH($H168,aux_sheet!$A$2:$A$202,0)))</f>
        <v xml:space="preserve"> </v>
      </c>
      <c r="D168" t="str">
        <f ca="1">IF(ISBLANK(Input!C168)," ",INDIRECT("Input!C"&amp;1+MATCH($H168,aux_sheet!$A$2:$A$202,0)))</f>
        <v xml:space="preserve"> </v>
      </c>
      <c r="E168" t="str">
        <f ca="1">IF(ISBLANK(Input!D168)," ",INDIRECT("Input!D"&amp;1+MATCH($H168,aux_sheet!$A$2:$A$202,0)))</f>
        <v xml:space="preserve"> </v>
      </c>
      <c r="F168" t="str">
        <f ca="1">INDIRECT("Input!F"&amp;1+MATCH($H168,aux_sheet!$A$2:$A$202,0))</f>
        <v xml:space="preserve"> </v>
      </c>
      <c r="G168">
        <f ca="1">IF(ISBLANK(Input!E168)," ",INDIRECT("Input!AP"&amp;1+MATCH($H168,aux_sheet!$A$2:$A$202,0)))</f>
        <v>0</v>
      </c>
      <c r="H168">
        <f>aux_sheet!B168</f>
        <v>1000</v>
      </c>
      <c r="J168" t="str">
        <f t="shared" si="10"/>
        <v xml:space="preserve"> </v>
      </c>
      <c r="K168">
        <v>167</v>
      </c>
      <c r="L168" t="str">
        <f t="shared" ca="1" si="11"/>
        <v xml:space="preserve"> </v>
      </c>
      <c r="M168" t="str">
        <f t="shared" ref="M168:M202" ca="1" si="13">IF(ISNUMBER(L168),SMALL($J$2:$J$202,L168)," ")</f>
        <v xml:space="preserve"> </v>
      </c>
      <c r="N168" s="3" t="str">
        <f t="shared" ca="1" si="12"/>
        <v xml:space="preserve"> </v>
      </c>
      <c r="O168" s="3" t="str">
        <f ca="1">IF(ISNUMBER($L168),INDIRECT("Input!A"&amp;1+MATCH($M168,aux_sheet!$A$2:$A$202,0))," ")</f>
        <v xml:space="preserve"> </v>
      </c>
      <c r="P168" s="3" t="str">
        <f ca="1">IF(ISNUMBER($L168),INDIRECT("Input!B"&amp;1+MATCH($M168,aux_sheet!$A$2:$A$202,0))," ")</f>
        <v xml:space="preserve"> </v>
      </c>
    </row>
    <row r="169" spans="1:16" x14ac:dyDescent="0.35">
      <c r="A169" t="str">
        <f>IF(ISBLANK(Input!A169)," ",ROUNDDOWN(aux_sheet!B169,0))</f>
        <v xml:space="preserve"> </v>
      </c>
      <c r="B169" t="str">
        <f ca="1">IF(ISBLANK(Input!A169)," ",INDIRECT("Input!A"&amp;1+MATCH(H169,aux_sheet!$A$2:$A$202,0)))</f>
        <v xml:space="preserve"> </v>
      </c>
      <c r="C169" t="str">
        <f ca="1">IF(ISBLANK(Input!B169)," ",INDIRECT("Input!B"&amp;1+MATCH($H169,aux_sheet!$A$2:$A$202,0)))</f>
        <v xml:space="preserve"> </v>
      </c>
      <c r="D169" t="str">
        <f ca="1">IF(ISBLANK(Input!C169)," ",INDIRECT("Input!C"&amp;1+MATCH($H169,aux_sheet!$A$2:$A$202,0)))</f>
        <v xml:space="preserve"> </v>
      </c>
      <c r="E169" t="str">
        <f ca="1">IF(ISBLANK(Input!D169)," ",INDIRECT("Input!D"&amp;1+MATCH($H169,aux_sheet!$A$2:$A$202,0)))</f>
        <v xml:space="preserve"> </v>
      </c>
      <c r="F169" t="str">
        <f ca="1">INDIRECT("Input!F"&amp;1+MATCH($H169,aux_sheet!$A$2:$A$202,0))</f>
        <v xml:space="preserve"> </v>
      </c>
      <c r="G169">
        <f ca="1">IF(ISBLANK(Input!E169)," ",INDIRECT("Input!AP"&amp;1+MATCH($H169,aux_sheet!$A$2:$A$202,0)))</f>
        <v>0</v>
      </c>
      <c r="H169">
        <f>aux_sheet!B169</f>
        <v>1000</v>
      </c>
      <c r="J169" t="str">
        <f t="shared" si="10"/>
        <v xml:space="preserve"> </v>
      </c>
      <c r="K169">
        <v>168</v>
      </c>
      <c r="L169" t="str">
        <f t="shared" ca="1" si="11"/>
        <v xml:space="preserve"> </v>
      </c>
      <c r="M169" t="str">
        <f t="shared" ca="1" si="13"/>
        <v xml:space="preserve"> </v>
      </c>
      <c r="N169" s="3" t="str">
        <f t="shared" ca="1" si="12"/>
        <v xml:space="preserve"> </v>
      </c>
      <c r="O169" s="3" t="str">
        <f ca="1">IF(ISNUMBER($L169),INDIRECT("Input!A"&amp;1+MATCH($M169,aux_sheet!$A$2:$A$202,0))," ")</f>
        <v xml:space="preserve"> </v>
      </c>
      <c r="P169" s="3" t="str">
        <f ca="1">IF(ISNUMBER($L169),INDIRECT("Input!B"&amp;1+MATCH($M169,aux_sheet!$A$2:$A$202,0))," ")</f>
        <v xml:space="preserve"> </v>
      </c>
    </row>
    <row r="170" spans="1:16" x14ac:dyDescent="0.35">
      <c r="A170" t="str">
        <f>IF(ISBLANK(Input!A170)," ",ROUNDDOWN(aux_sheet!B170,0))</f>
        <v xml:space="preserve"> </v>
      </c>
      <c r="B170" t="str">
        <f ca="1">IF(ISBLANK(Input!A170)," ",INDIRECT("Input!A"&amp;1+MATCH(H170,aux_sheet!$A$2:$A$202,0)))</f>
        <v xml:space="preserve"> </v>
      </c>
      <c r="C170" t="str">
        <f ca="1">IF(ISBLANK(Input!B170)," ",INDIRECT("Input!B"&amp;1+MATCH($H170,aux_sheet!$A$2:$A$202,0)))</f>
        <v xml:space="preserve"> </v>
      </c>
      <c r="D170" t="str">
        <f ca="1">IF(ISBLANK(Input!C170)," ",INDIRECT("Input!C"&amp;1+MATCH($H170,aux_sheet!$A$2:$A$202,0)))</f>
        <v xml:space="preserve"> </v>
      </c>
      <c r="E170" t="str">
        <f ca="1">IF(ISBLANK(Input!D170)," ",INDIRECT("Input!D"&amp;1+MATCH($H170,aux_sheet!$A$2:$A$202,0)))</f>
        <v xml:space="preserve"> </v>
      </c>
      <c r="F170" t="str">
        <f ca="1">INDIRECT("Input!F"&amp;1+MATCH($H170,aux_sheet!$A$2:$A$202,0))</f>
        <v xml:space="preserve"> </v>
      </c>
      <c r="G170">
        <f ca="1">IF(ISBLANK(Input!E170)," ",INDIRECT("Input!AP"&amp;1+MATCH($H170,aux_sheet!$A$2:$A$202,0)))</f>
        <v>0</v>
      </c>
      <c r="H170">
        <f>aux_sheet!B170</f>
        <v>1000</v>
      </c>
      <c r="J170" t="str">
        <f t="shared" si="10"/>
        <v xml:space="preserve"> </v>
      </c>
      <c r="K170">
        <v>169</v>
      </c>
      <c r="L170" t="str">
        <f t="shared" ca="1" si="11"/>
        <v xml:space="preserve"> </v>
      </c>
      <c r="M170" t="str">
        <f t="shared" ca="1" si="13"/>
        <v xml:space="preserve"> </v>
      </c>
      <c r="N170" s="3" t="str">
        <f t="shared" ca="1" si="12"/>
        <v xml:space="preserve"> </v>
      </c>
      <c r="O170" s="3" t="str">
        <f ca="1">IF(ISNUMBER($L170),INDIRECT("Input!A"&amp;1+MATCH($M170,aux_sheet!$A$2:$A$202,0))," ")</f>
        <v xml:space="preserve"> </v>
      </c>
      <c r="P170" s="3" t="str">
        <f ca="1">IF(ISNUMBER($L170),INDIRECT("Input!B"&amp;1+MATCH($M170,aux_sheet!$A$2:$A$202,0))," ")</f>
        <v xml:space="preserve"> </v>
      </c>
    </row>
    <row r="171" spans="1:16" x14ac:dyDescent="0.35">
      <c r="A171" t="str">
        <f>IF(ISBLANK(Input!A171)," ",ROUNDDOWN(aux_sheet!B171,0))</f>
        <v xml:space="preserve"> </v>
      </c>
      <c r="B171" t="str">
        <f ca="1">IF(ISBLANK(Input!A171)," ",INDIRECT("Input!A"&amp;1+MATCH(H171,aux_sheet!$A$2:$A$202,0)))</f>
        <v xml:space="preserve"> </v>
      </c>
      <c r="C171" t="str">
        <f ca="1">IF(ISBLANK(Input!B171)," ",INDIRECT("Input!B"&amp;1+MATCH($H171,aux_sheet!$A$2:$A$202,0)))</f>
        <v xml:space="preserve"> </v>
      </c>
      <c r="D171" t="str">
        <f ca="1">IF(ISBLANK(Input!C171)," ",INDIRECT("Input!C"&amp;1+MATCH($H171,aux_sheet!$A$2:$A$202,0)))</f>
        <v xml:space="preserve"> </v>
      </c>
      <c r="E171" t="str">
        <f ca="1">IF(ISBLANK(Input!D171)," ",INDIRECT("Input!D"&amp;1+MATCH($H171,aux_sheet!$A$2:$A$202,0)))</f>
        <v xml:space="preserve"> </v>
      </c>
      <c r="F171" t="str">
        <f ca="1">INDIRECT("Input!F"&amp;1+MATCH($H171,aux_sheet!$A$2:$A$202,0))</f>
        <v xml:space="preserve"> </v>
      </c>
      <c r="G171">
        <f ca="1">IF(ISBLANK(Input!E171)," ",INDIRECT("Input!AP"&amp;1+MATCH($H171,aux_sheet!$A$2:$A$202,0)))</f>
        <v>0</v>
      </c>
      <c r="H171">
        <f>aux_sheet!B171</f>
        <v>1000</v>
      </c>
      <c r="J171" t="str">
        <f t="shared" ref="J171:J202" si="14">IF(H171&gt;999," ",IF(G171="NP"," ",H171))</f>
        <v xml:space="preserve"> </v>
      </c>
      <c r="K171">
        <v>170</v>
      </c>
      <c r="L171" t="str">
        <f t="shared" ca="1" si="11"/>
        <v xml:space="preserve"> </v>
      </c>
      <c r="M171" t="str">
        <f t="shared" ca="1" si="13"/>
        <v xml:space="preserve"> </v>
      </c>
      <c r="N171" s="3" t="str">
        <f t="shared" ca="1" si="12"/>
        <v xml:space="preserve"> </v>
      </c>
      <c r="O171" s="3" t="str">
        <f ca="1">IF(ISNUMBER($L171),INDIRECT("Input!A"&amp;1+MATCH($M171,aux_sheet!$A$2:$A$202,0))," ")</f>
        <v xml:space="preserve"> </v>
      </c>
      <c r="P171" s="3" t="str">
        <f ca="1">IF(ISNUMBER($L171),INDIRECT("Input!B"&amp;1+MATCH($M171,aux_sheet!$A$2:$A$202,0))," ")</f>
        <v xml:space="preserve"> </v>
      </c>
    </row>
    <row r="172" spans="1:16" x14ac:dyDescent="0.35">
      <c r="A172" t="str">
        <f>IF(ISBLANK(Input!A172)," ",ROUNDDOWN(aux_sheet!B172,0))</f>
        <v xml:space="preserve"> </v>
      </c>
      <c r="B172" t="str">
        <f ca="1">IF(ISBLANK(Input!A172)," ",INDIRECT("Input!A"&amp;1+MATCH(H172,aux_sheet!$A$2:$A$202,0)))</f>
        <v xml:space="preserve"> </v>
      </c>
      <c r="C172" t="str">
        <f ca="1">IF(ISBLANK(Input!B172)," ",INDIRECT("Input!B"&amp;1+MATCH($H172,aux_sheet!$A$2:$A$202,0)))</f>
        <v xml:space="preserve"> </v>
      </c>
      <c r="D172" t="str">
        <f ca="1">IF(ISBLANK(Input!C172)," ",INDIRECT("Input!C"&amp;1+MATCH($H172,aux_sheet!$A$2:$A$202,0)))</f>
        <v xml:space="preserve"> </v>
      </c>
      <c r="E172" t="str">
        <f ca="1">IF(ISBLANK(Input!D172)," ",INDIRECT("Input!D"&amp;1+MATCH($H172,aux_sheet!$A$2:$A$202,0)))</f>
        <v xml:space="preserve"> </v>
      </c>
      <c r="F172" t="str">
        <f ca="1">INDIRECT("Input!F"&amp;1+MATCH($H172,aux_sheet!$A$2:$A$202,0))</f>
        <v xml:space="preserve"> </v>
      </c>
      <c r="G172">
        <f ca="1">IF(ISBLANK(Input!E172)," ",INDIRECT("Input!AP"&amp;1+MATCH($H172,aux_sheet!$A$2:$A$202,0)))</f>
        <v>0</v>
      </c>
      <c r="H172">
        <f>aux_sheet!B172</f>
        <v>1000</v>
      </c>
      <c r="J172" t="str">
        <f t="shared" si="14"/>
        <v xml:space="preserve"> </v>
      </c>
      <c r="K172">
        <v>171</v>
      </c>
      <c r="L172" t="str">
        <f t="shared" ca="1" si="11"/>
        <v xml:space="preserve"> </v>
      </c>
      <c r="M172" t="str">
        <f t="shared" ca="1" si="13"/>
        <v xml:space="preserve"> </v>
      </c>
      <c r="N172" s="3" t="str">
        <f t="shared" ca="1" si="12"/>
        <v xml:space="preserve"> </v>
      </c>
      <c r="O172" s="3" t="str">
        <f ca="1">IF(ISNUMBER($L172),INDIRECT("Input!A"&amp;1+MATCH($M172,aux_sheet!$A$2:$A$202,0))," ")</f>
        <v xml:space="preserve"> </v>
      </c>
      <c r="P172" s="3" t="str">
        <f ca="1">IF(ISNUMBER($L172),INDIRECT("Input!B"&amp;1+MATCH($M172,aux_sheet!$A$2:$A$202,0))," ")</f>
        <v xml:space="preserve"> </v>
      </c>
    </row>
    <row r="173" spans="1:16" x14ac:dyDescent="0.35">
      <c r="A173" t="str">
        <f>IF(ISBLANK(Input!A173)," ",ROUNDDOWN(aux_sheet!B173,0))</f>
        <v xml:space="preserve"> </v>
      </c>
      <c r="B173" t="str">
        <f ca="1">IF(ISBLANK(Input!A173)," ",INDIRECT("Input!A"&amp;1+MATCH(H173,aux_sheet!$A$2:$A$202,0)))</f>
        <v xml:space="preserve"> </v>
      </c>
      <c r="C173" t="str">
        <f ca="1">IF(ISBLANK(Input!B173)," ",INDIRECT("Input!B"&amp;1+MATCH($H173,aux_sheet!$A$2:$A$202,0)))</f>
        <v xml:space="preserve"> </v>
      </c>
      <c r="D173" t="str">
        <f ca="1">IF(ISBLANK(Input!C173)," ",INDIRECT("Input!C"&amp;1+MATCH($H173,aux_sheet!$A$2:$A$202,0)))</f>
        <v xml:space="preserve"> </v>
      </c>
      <c r="E173" t="str">
        <f ca="1">IF(ISBLANK(Input!D173)," ",INDIRECT("Input!D"&amp;1+MATCH($H173,aux_sheet!$A$2:$A$202,0)))</f>
        <v xml:space="preserve"> </v>
      </c>
      <c r="F173" t="str">
        <f ca="1">INDIRECT("Input!F"&amp;1+MATCH($H173,aux_sheet!$A$2:$A$202,0))</f>
        <v xml:space="preserve"> </v>
      </c>
      <c r="G173">
        <f ca="1">IF(ISBLANK(Input!E173)," ",INDIRECT("Input!AP"&amp;1+MATCH($H173,aux_sheet!$A$2:$A$202,0)))</f>
        <v>0</v>
      </c>
      <c r="H173">
        <f>aux_sheet!B173</f>
        <v>1000</v>
      </c>
      <c r="J173" t="str">
        <f t="shared" si="14"/>
        <v xml:space="preserve"> </v>
      </c>
      <c r="K173">
        <v>172</v>
      </c>
      <c r="L173" t="str">
        <f t="shared" ca="1" si="11"/>
        <v xml:space="preserve"> </v>
      </c>
      <c r="M173" t="str">
        <f t="shared" ca="1" si="13"/>
        <v xml:space="preserve"> </v>
      </c>
      <c r="N173" s="3" t="str">
        <f t="shared" ca="1" si="12"/>
        <v xml:space="preserve"> </v>
      </c>
      <c r="O173" s="3" t="str">
        <f ca="1">IF(ISNUMBER($L173),INDIRECT("Input!A"&amp;1+MATCH($M173,aux_sheet!$A$2:$A$202,0))," ")</f>
        <v xml:space="preserve"> </v>
      </c>
      <c r="P173" s="3" t="str">
        <f ca="1">IF(ISNUMBER($L173),INDIRECT("Input!B"&amp;1+MATCH($M173,aux_sheet!$A$2:$A$202,0))," ")</f>
        <v xml:space="preserve"> </v>
      </c>
    </row>
    <row r="174" spans="1:16" x14ac:dyDescent="0.35">
      <c r="A174" t="str">
        <f>IF(ISBLANK(Input!A174)," ",ROUNDDOWN(aux_sheet!B174,0))</f>
        <v xml:space="preserve"> </v>
      </c>
      <c r="B174" t="str">
        <f ca="1">IF(ISBLANK(Input!A174)," ",INDIRECT("Input!A"&amp;1+MATCH(H174,aux_sheet!$A$2:$A$202,0)))</f>
        <v xml:space="preserve"> </v>
      </c>
      <c r="C174" t="str">
        <f ca="1">IF(ISBLANK(Input!B174)," ",INDIRECT("Input!B"&amp;1+MATCH($H174,aux_sheet!$A$2:$A$202,0)))</f>
        <v xml:space="preserve"> </v>
      </c>
      <c r="D174" t="str">
        <f ca="1">IF(ISBLANK(Input!C174)," ",INDIRECT("Input!C"&amp;1+MATCH($H174,aux_sheet!$A$2:$A$202,0)))</f>
        <v xml:space="preserve"> </v>
      </c>
      <c r="E174" t="str">
        <f ca="1">IF(ISBLANK(Input!D174)," ",INDIRECT("Input!D"&amp;1+MATCH($H174,aux_sheet!$A$2:$A$202,0)))</f>
        <v xml:space="preserve"> </v>
      </c>
      <c r="F174" t="str">
        <f ca="1">INDIRECT("Input!F"&amp;1+MATCH($H174,aux_sheet!$A$2:$A$202,0))</f>
        <v xml:space="preserve"> </v>
      </c>
      <c r="G174">
        <f ca="1">IF(ISBLANK(Input!E174)," ",INDIRECT("Input!AP"&amp;1+MATCH($H174,aux_sheet!$A$2:$A$202,0)))</f>
        <v>0</v>
      </c>
      <c r="H174">
        <f>aux_sheet!B174</f>
        <v>1000</v>
      </c>
      <c r="J174" t="str">
        <f t="shared" si="14"/>
        <v xml:space="preserve"> </v>
      </c>
      <c r="K174">
        <v>173</v>
      </c>
      <c r="L174" t="str">
        <f t="shared" ca="1" si="11"/>
        <v xml:space="preserve"> </v>
      </c>
      <c r="M174" t="str">
        <f t="shared" ca="1" si="13"/>
        <v xml:space="preserve"> </v>
      </c>
      <c r="N174" s="3" t="str">
        <f t="shared" ca="1" si="12"/>
        <v xml:space="preserve"> </v>
      </c>
      <c r="O174" s="3" t="str">
        <f ca="1">IF(ISNUMBER($L174),INDIRECT("Input!A"&amp;1+MATCH($M174,aux_sheet!$A$2:$A$202,0))," ")</f>
        <v xml:space="preserve"> </v>
      </c>
      <c r="P174" s="3" t="str">
        <f ca="1">IF(ISNUMBER($L174),INDIRECT("Input!B"&amp;1+MATCH($M174,aux_sheet!$A$2:$A$202,0))," ")</f>
        <v xml:space="preserve"> </v>
      </c>
    </row>
    <row r="175" spans="1:16" x14ac:dyDescent="0.35">
      <c r="A175" t="str">
        <f>IF(ISBLANK(Input!A175)," ",ROUNDDOWN(aux_sheet!B175,0))</f>
        <v xml:space="preserve"> </v>
      </c>
      <c r="B175" t="str">
        <f ca="1">IF(ISBLANK(Input!A175)," ",INDIRECT("Input!A"&amp;1+MATCH(H175,aux_sheet!$A$2:$A$202,0)))</f>
        <v xml:space="preserve"> </v>
      </c>
      <c r="C175" t="str">
        <f ca="1">IF(ISBLANK(Input!B175)," ",INDIRECT("Input!B"&amp;1+MATCH($H175,aux_sheet!$A$2:$A$202,0)))</f>
        <v xml:space="preserve"> </v>
      </c>
      <c r="D175" t="str">
        <f ca="1">IF(ISBLANK(Input!C175)," ",INDIRECT("Input!C"&amp;1+MATCH($H175,aux_sheet!$A$2:$A$202,0)))</f>
        <v xml:space="preserve"> </v>
      </c>
      <c r="E175" t="str">
        <f ca="1">IF(ISBLANK(Input!D175)," ",INDIRECT("Input!D"&amp;1+MATCH($H175,aux_sheet!$A$2:$A$202,0)))</f>
        <v xml:space="preserve"> </v>
      </c>
      <c r="F175" t="str">
        <f ca="1">INDIRECT("Input!F"&amp;1+MATCH($H175,aux_sheet!$A$2:$A$202,0))</f>
        <v xml:space="preserve"> </v>
      </c>
      <c r="G175">
        <f ca="1">IF(ISBLANK(Input!E175)," ",INDIRECT("Input!AP"&amp;1+MATCH($H175,aux_sheet!$A$2:$A$202,0)))</f>
        <v>0</v>
      </c>
      <c r="H175">
        <f>aux_sheet!B175</f>
        <v>1000</v>
      </c>
      <c r="J175" t="str">
        <f t="shared" si="14"/>
        <v xml:space="preserve"> </v>
      </c>
      <c r="K175">
        <v>174</v>
      </c>
      <c r="L175" t="str">
        <f t="shared" ca="1" si="11"/>
        <v xml:space="preserve"> </v>
      </c>
      <c r="M175" t="str">
        <f t="shared" ca="1" si="13"/>
        <v xml:space="preserve"> </v>
      </c>
      <c r="N175" s="3" t="str">
        <f t="shared" ca="1" si="12"/>
        <v xml:space="preserve"> </v>
      </c>
      <c r="O175" s="3" t="str">
        <f ca="1">IF(ISNUMBER($L175),INDIRECT("Input!A"&amp;1+MATCH($M175,aux_sheet!$A$2:$A$202,0))," ")</f>
        <v xml:space="preserve"> </v>
      </c>
      <c r="P175" s="3" t="str">
        <f ca="1">IF(ISNUMBER($L175),INDIRECT("Input!B"&amp;1+MATCH($M175,aux_sheet!$A$2:$A$202,0))," ")</f>
        <v xml:space="preserve"> </v>
      </c>
    </row>
    <row r="176" spans="1:16" x14ac:dyDescent="0.35">
      <c r="A176" t="str">
        <f>IF(ISBLANK(Input!A176)," ",ROUNDDOWN(aux_sheet!B176,0))</f>
        <v xml:space="preserve"> </v>
      </c>
      <c r="B176" t="str">
        <f ca="1">IF(ISBLANK(Input!A176)," ",INDIRECT("Input!A"&amp;1+MATCH(H176,aux_sheet!$A$2:$A$202,0)))</f>
        <v xml:space="preserve"> </v>
      </c>
      <c r="C176" t="str">
        <f ca="1">IF(ISBLANK(Input!B176)," ",INDIRECT("Input!B"&amp;1+MATCH($H176,aux_sheet!$A$2:$A$202,0)))</f>
        <v xml:space="preserve"> </v>
      </c>
      <c r="D176" t="str">
        <f ca="1">IF(ISBLANK(Input!C176)," ",INDIRECT("Input!C"&amp;1+MATCH($H176,aux_sheet!$A$2:$A$202,0)))</f>
        <v xml:space="preserve"> </v>
      </c>
      <c r="E176" t="str">
        <f ca="1">IF(ISBLANK(Input!D176)," ",INDIRECT("Input!D"&amp;1+MATCH($H176,aux_sheet!$A$2:$A$202,0)))</f>
        <v xml:space="preserve"> </v>
      </c>
      <c r="F176" t="str">
        <f ca="1">INDIRECT("Input!F"&amp;1+MATCH($H176,aux_sheet!$A$2:$A$202,0))</f>
        <v xml:space="preserve"> </v>
      </c>
      <c r="G176">
        <f ca="1">IF(ISBLANK(Input!E176)," ",INDIRECT("Input!AP"&amp;1+MATCH($H176,aux_sheet!$A$2:$A$202,0)))</f>
        <v>0</v>
      </c>
      <c r="H176">
        <f>aux_sheet!B176</f>
        <v>1000</v>
      </c>
      <c r="J176" t="str">
        <f t="shared" si="14"/>
        <v xml:space="preserve"> </v>
      </c>
      <c r="K176">
        <v>175</v>
      </c>
      <c r="L176" t="str">
        <f t="shared" ca="1" si="11"/>
        <v xml:space="preserve"> </v>
      </c>
      <c r="M176" t="str">
        <f t="shared" ca="1" si="13"/>
        <v xml:space="preserve"> </v>
      </c>
      <c r="N176" s="3" t="str">
        <f t="shared" ca="1" si="12"/>
        <v xml:space="preserve"> </v>
      </c>
      <c r="O176" s="3" t="str">
        <f ca="1">IF(ISNUMBER($L176),INDIRECT("Input!A"&amp;1+MATCH($M176,aux_sheet!$A$2:$A$202,0))," ")</f>
        <v xml:space="preserve"> </v>
      </c>
      <c r="P176" s="3" t="str">
        <f ca="1">IF(ISNUMBER($L176),INDIRECT("Input!B"&amp;1+MATCH($M176,aux_sheet!$A$2:$A$202,0))," ")</f>
        <v xml:space="preserve"> </v>
      </c>
    </row>
    <row r="177" spans="1:16" x14ac:dyDescent="0.35">
      <c r="A177" t="str">
        <f>IF(ISBLANK(Input!A177)," ",ROUNDDOWN(aux_sheet!B177,0))</f>
        <v xml:space="preserve"> </v>
      </c>
      <c r="B177" t="str">
        <f ca="1">IF(ISBLANK(Input!A177)," ",INDIRECT("Input!A"&amp;1+MATCH(H177,aux_sheet!$A$2:$A$202,0)))</f>
        <v xml:space="preserve"> </v>
      </c>
      <c r="C177" t="str">
        <f ca="1">IF(ISBLANK(Input!B177)," ",INDIRECT("Input!B"&amp;1+MATCH($H177,aux_sheet!$A$2:$A$202,0)))</f>
        <v xml:space="preserve"> </v>
      </c>
      <c r="D177" t="str">
        <f ca="1">IF(ISBLANK(Input!C177)," ",INDIRECT("Input!C"&amp;1+MATCH($H177,aux_sheet!$A$2:$A$202,0)))</f>
        <v xml:space="preserve"> </v>
      </c>
      <c r="E177" t="str">
        <f ca="1">IF(ISBLANK(Input!D177)," ",INDIRECT("Input!D"&amp;1+MATCH($H177,aux_sheet!$A$2:$A$202,0)))</f>
        <v xml:space="preserve"> </v>
      </c>
      <c r="F177" t="str">
        <f ca="1">INDIRECT("Input!F"&amp;1+MATCH($H177,aux_sheet!$A$2:$A$202,0))</f>
        <v xml:space="preserve"> </v>
      </c>
      <c r="G177">
        <f ca="1">IF(ISBLANK(Input!E177)," ",INDIRECT("Input!AP"&amp;1+MATCH($H177,aux_sheet!$A$2:$A$202,0)))</f>
        <v>0</v>
      </c>
      <c r="H177">
        <f>aux_sheet!B177</f>
        <v>1000</v>
      </c>
      <c r="J177" t="str">
        <f t="shared" si="14"/>
        <v xml:space="preserve"> </v>
      </c>
      <c r="K177">
        <v>176</v>
      </c>
      <c r="L177" t="str">
        <f t="shared" ca="1" si="11"/>
        <v xml:space="preserve"> </v>
      </c>
      <c r="M177" t="str">
        <f t="shared" ca="1" si="13"/>
        <v xml:space="preserve"> </v>
      </c>
      <c r="N177" s="3" t="str">
        <f t="shared" ca="1" si="12"/>
        <v xml:space="preserve"> </v>
      </c>
      <c r="O177" s="3" t="str">
        <f ca="1">IF(ISNUMBER($L177),INDIRECT("Input!A"&amp;1+MATCH($M177,aux_sheet!$A$2:$A$202,0))," ")</f>
        <v xml:space="preserve"> </v>
      </c>
      <c r="P177" s="3" t="str">
        <f ca="1">IF(ISNUMBER($L177),INDIRECT("Input!B"&amp;1+MATCH($M177,aux_sheet!$A$2:$A$202,0))," ")</f>
        <v xml:space="preserve"> </v>
      </c>
    </row>
    <row r="178" spans="1:16" x14ac:dyDescent="0.35">
      <c r="A178" t="str">
        <f>IF(ISBLANK(Input!A178)," ",ROUNDDOWN(aux_sheet!B178,0))</f>
        <v xml:space="preserve"> </v>
      </c>
      <c r="B178" t="str">
        <f ca="1">IF(ISBLANK(Input!A178)," ",INDIRECT("Input!A"&amp;1+MATCH(H178,aux_sheet!$A$2:$A$202,0)))</f>
        <v xml:space="preserve"> </v>
      </c>
      <c r="C178" t="str">
        <f ca="1">IF(ISBLANK(Input!B178)," ",INDIRECT("Input!B"&amp;1+MATCH($H178,aux_sheet!$A$2:$A$202,0)))</f>
        <v xml:space="preserve"> </v>
      </c>
      <c r="D178" t="str">
        <f ca="1">IF(ISBLANK(Input!C178)," ",INDIRECT("Input!C"&amp;1+MATCH($H178,aux_sheet!$A$2:$A$202,0)))</f>
        <v xml:space="preserve"> </v>
      </c>
      <c r="E178" t="str">
        <f ca="1">IF(ISBLANK(Input!D178)," ",INDIRECT("Input!D"&amp;1+MATCH($H178,aux_sheet!$A$2:$A$202,0)))</f>
        <v xml:space="preserve"> </v>
      </c>
      <c r="F178" t="str">
        <f ca="1">INDIRECT("Input!F"&amp;1+MATCH($H178,aux_sheet!$A$2:$A$202,0))</f>
        <v xml:space="preserve"> </v>
      </c>
      <c r="G178">
        <f ca="1">IF(ISBLANK(Input!E178)," ",INDIRECT("Input!AP"&amp;1+MATCH($H178,aux_sheet!$A$2:$A$202,0)))</f>
        <v>0</v>
      </c>
      <c r="H178">
        <f>aux_sheet!B178</f>
        <v>1000</v>
      </c>
      <c r="J178" t="str">
        <f t="shared" si="14"/>
        <v xml:space="preserve"> </v>
      </c>
      <c r="K178">
        <v>177</v>
      </c>
      <c r="L178" t="str">
        <f t="shared" ca="1" si="11"/>
        <v xml:space="preserve"> </v>
      </c>
      <c r="M178" t="str">
        <f t="shared" ca="1" si="13"/>
        <v xml:space="preserve"> </v>
      </c>
      <c r="N178" s="3" t="str">
        <f t="shared" ca="1" si="12"/>
        <v xml:space="preserve"> </v>
      </c>
      <c r="O178" s="3" t="str">
        <f ca="1">IF(ISNUMBER($L178),INDIRECT("Input!A"&amp;1+MATCH($M178,aux_sheet!$A$2:$A$202,0))," ")</f>
        <v xml:space="preserve"> </v>
      </c>
      <c r="P178" s="3" t="str">
        <f ca="1">IF(ISNUMBER($L178),INDIRECT("Input!B"&amp;1+MATCH($M178,aux_sheet!$A$2:$A$202,0))," ")</f>
        <v xml:space="preserve"> </v>
      </c>
    </row>
    <row r="179" spans="1:16" x14ac:dyDescent="0.35">
      <c r="A179" t="str">
        <f>IF(ISBLANK(Input!A179)," ",ROUNDDOWN(aux_sheet!B179,0))</f>
        <v xml:space="preserve"> </v>
      </c>
      <c r="B179" t="str">
        <f ca="1">IF(ISBLANK(Input!A179)," ",INDIRECT("Input!A"&amp;1+MATCH(H179,aux_sheet!$A$2:$A$202,0)))</f>
        <v xml:space="preserve"> </v>
      </c>
      <c r="C179" t="str">
        <f ca="1">IF(ISBLANK(Input!B179)," ",INDIRECT("Input!B"&amp;1+MATCH($H179,aux_sheet!$A$2:$A$202,0)))</f>
        <v xml:space="preserve"> </v>
      </c>
      <c r="D179" t="str">
        <f ca="1">IF(ISBLANK(Input!C179)," ",INDIRECT("Input!C"&amp;1+MATCH($H179,aux_sheet!$A$2:$A$202,0)))</f>
        <v xml:space="preserve"> </v>
      </c>
      <c r="E179" t="str">
        <f ca="1">IF(ISBLANK(Input!D179)," ",INDIRECT("Input!D"&amp;1+MATCH($H179,aux_sheet!$A$2:$A$202,0)))</f>
        <v xml:space="preserve"> </v>
      </c>
      <c r="F179" t="str">
        <f ca="1">INDIRECT("Input!F"&amp;1+MATCH($H179,aux_sheet!$A$2:$A$202,0))</f>
        <v xml:space="preserve"> </v>
      </c>
      <c r="G179">
        <f ca="1">IF(ISBLANK(Input!E179)," ",INDIRECT("Input!AP"&amp;1+MATCH($H179,aux_sheet!$A$2:$A$202,0)))</f>
        <v>0</v>
      </c>
      <c r="H179">
        <f>aux_sheet!B179</f>
        <v>1000</v>
      </c>
      <c r="J179" t="str">
        <f t="shared" si="14"/>
        <v xml:space="preserve"> </v>
      </c>
      <c r="K179">
        <v>178</v>
      </c>
      <c r="L179" t="str">
        <f t="shared" ca="1" si="11"/>
        <v xml:space="preserve"> </v>
      </c>
      <c r="M179" t="str">
        <f t="shared" ca="1" si="13"/>
        <v xml:space="preserve"> </v>
      </c>
      <c r="N179" s="3" t="str">
        <f t="shared" ca="1" si="12"/>
        <v xml:space="preserve"> </v>
      </c>
      <c r="O179" s="3" t="str">
        <f ca="1">IF(ISNUMBER($L179),INDIRECT("Input!A"&amp;1+MATCH($M179,aux_sheet!$A$2:$A$202,0))," ")</f>
        <v xml:space="preserve"> </v>
      </c>
      <c r="P179" s="3" t="str">
        <f ca="1">IF(ISNUMBER($L179),INDIRECT("Input!B"&amp;1+MATCH($M179,aux_sheet!$A$2:$A$202,0))," ")</f>
        <v xml:space="preserve"> </v>
      </c>
    </row>
    <row r="180" spans="1:16" x14ac:dyDescent="0.35">
      <c r="A180" t="str">
        <f>IF(ISBLANK(Input!A180)," ",ROUNDDOWN(aux_sheet!B180,0))</f>
        <v xml:space="preserve"> </v>
      </c>
      <c r="B180" t="str">
        <f ca="1">IF(ISBLANK(Input!A180)," ",INDIRECT("Input!A"&amp;1+MATCH(H180,aux_sheet!$A$2:$A$202,0)))</f>
        <v xml:space="preserve"> </v>
      </c>
      <c r="C180" t="str">
        <f ca="1">IF(ISBLANK(Input!B180)," ",INDIRECT("Input!B"&amp;1+MATCH($H180,aux_sheet!$A$2:$A$202,0)))</f>
        <v xml:space="preserve"> </v>
      </c>
      <c r="D180" t="str">
        <f ca="1">IF(ISBLANK(Input!C180)," ",INDIRECT("Input!C"&amp;1+MATCH($H180,aux_sheet!$A$2:$A$202,0)))</f>
        <v xml:space="preserve"> </v>
      </c>
      <c r="E180" t="str">
        <f ca="1">IF(ISBLANK(Input!D180)," ",INDIRECT("Input!D"&amp;1+MATCH($H180,aux_sheet!$A$2:$A$202,0)))</f>
        <v xml:space="preserve"> </v>
      </c>
      <c r="F180" t="str">
        <f ca="1">INDIRECT("Input!F"&amp;1+MATCH($H180,aux_sheet!$A$2:$A$202,0))</f>
        <v xml:space="preserve"> </v>
      </c>
      <c r="G180">
        <f ca="1">IF(ISBLANK(Input!E180)," ",INDIRECT("Input!AP"&amp;1+MATCH($H180,aux_sheet!$A$2:$A$202,0)))</f>
        <v>0</v>
      </c>
      <c r="H180">
        <f>aux_sheet!B180</f>
        <v>1000</v>
      </c>
      <c r="J180" t="str">
        <f t="shared" si="14"/>
        <v xml:space="preserve"> </v>
      </c>
      <c r="K180">
        <v>179</v>
      </c>
      <c r="L180" t="str">
        <f t="shared" ca="1" si="11"/>
        <v xml:space="preserve"> </v>
      </c>
      <c r="M180" t="str">
        <f t="shared" ca="1" si="13"/>
        <v xml:space="preserve"> </v>
      </c>
      <c r="N180" s="3" t="str">
        <f t="shared" ca="1" si="12"/>
        <v xml:space="preserve"> </v>
      </c>
      <c r="O180" s="3" t="str">
        <f ca="1">IF(ISNUMBER($L180),INDIRECT("Input!A"&amp;1+MATCH($M180,aux_sheet!$A$2:$A$202,0))," ")</f>
        <v xml:space="preserve"> </v>
      </c>
      <c r="P180" s="3" t="str">
        <f ca="1">IF(ISNUMBER($L180),INDIRECT("Input!B"&amp;1+MATCH($M180,aux_sheet!$A$2:$A$202,0))," ")</f>
        <v xml:space="preserve"> </v>
      </c>
    </row>
    <row r="181" spans="1:16" x14ac:dyDescent="0.35">
      <c r="A181" t="str">
        <f>IF(ISBLANK(Input!A181)," ",ROUNDDOWN(aux_sheet!B181,0))</f>
        <v xml:space="preserve"> </v>
      </c>
      <c r="B181" t="str">
        <f ca="1">IF(ISBLANK(Input!A181)," ",INDIRECT("Input!A"&amp;1+MATCH(H181,aux_sheet!$A$2:$A$202,0)))</f>
        <v xml:space="preserve"> </v>
      </c>
      <c r="C181" t="str">
        <f ca="1">IF(ISBLANK(Input!B181)," ",INDIRECT("Input!B"&amp;1+MATCH($H181,aux_sheet!$A$2:$A$202,0)))</f>
        <v xml:space="preserve"> </v>
      </c>
      <c r="D181" t="str">
        <f ca="1">IF(ISBLANK(Input!C181)," ",INDIRECT("Input!C"&amp;1+MATCH($H181,aux_sheet!$A$2:$A$202,0)))</f>
        <v xml:space="preserve"> </v>
      </c>
      <c r="E181" t="str">
        <f ca="1">IF(ISBLANK(Input!D181)," ",INDIRECT("Input!D"&amp;1+MATCH($H181,aux_sheet!$A$2:$A$202,0)))</f>
        <v xml:space="preserve"> </v>
      </c>
      <c r="F181" t="str">
        <f ca="1">INDIRECT("Input!F"&amp;1+MATCH($H181,aux_sheet!$A$2:$A$202,0))</f>
        <v xml:space="preserve"> </v>
      </c>
      <c r="G181">
        <f ca="1">IF(ISBLANK(Input!E181)," ",INDIRECT("Input!AP"&amp;1+MATCH($H181,aux_sheet!$A$2:$A$202,0)))</f>
        <v>0</v>
      </c>
      <c r="H181">
        <f>aux_sheet!B181</f>
        <v>1000</v>
      </c>
      <c r="J181" t="str">
        <f t="shared" si="14"/>
        <v xml:space="preserve"> </v>
      </c>
      <c r="K181">
        <v>180</v>
      </c>
      <c r="L181" t="str">
        <f t="shared" ca="1" si="11"/>
        <v xml:space="preserve"> </v>
      </c>
      <c r="M181" t="str">
        <f t="shared" ca="1" si="13"/>
        <v xml:space="preserve"> </v>
      </c>
      <c r="N181" s="3" t="str">
        <f t="shared" ca="1" si="12"/>
        <v xml:space="preserve"> </v>
      </c>
      <c r="O181" s="3" t="str">
        <f ca="1">IF(ISNUMBER($L181),INDIRECT("Input!A"&amp;1+MATCH($M181,aux_sheet!$A$2:$A$202,0))," ")</f>
        <v xml:space="preserve"> </v>
      </c>
      <c r="P181" s="3" t="str">
        <f ca="1">IF(ISNUMBER($L181),INDIRECT("Input!B"&amp;1+MATCH($M181,aux_sheet!$A$2:$A$202,0))," ")</f>
        <v xml:space="preserve"> </v>
      </c>
    </row>
    <row r="182" spans="1:16" x14ac:dyDescent="0.35">
      <c r="A182" t="str">
        <f>IF(ISBLANK(Input!A182)," ",ROUNDDOWN(aux_sheet!B182,0))</f>
        <v xml:space="preserve"> </v>
      </c>
      <c r="B182" t="str">
        <f ca="1">IF(ISBLANK(Input!A182)," ",INDIRECT("Input!A"&amp;1+MATCH(H182,aux_sheet!$A$2:$A$202,0)))</f>
        <v xml:space="preserve"> </v>
      </c>
      <c r="C182" t="str">
        <f ca="1">IF(ISBLANK(Input!B182)," ",INDIRECT("Input!B"&amp;1+MATCH($H182,aux_sheet!$A$2:$A$202,0)))</f>
        <v xml:space="preserve"> </v>
      </c>
      <c r="D182" t="str">
        <f ca="1">IF(ISBLANK(Input!C182)," ",INDIRECT("Input!C"&amp;1+MATCH($H182,aux_sheet!$A$2:$A$202,0)))</f>
        <v xml:space="preserve"> </v>
      </c>
      <c r="E182" t="str">
        <f ca="1">IF(ISBLANK(Input!D182)," ",INDIRECT("Input!D"&amp;1+MATCH($H182,aux_sheet!$A$2:$A$202,0)))</f>
        <v xml:space="preserve"> </v>
      </c>
      <c r="F182" t="str">
        <f ca="1">INDIRECT("Input!F"&amp;1+MATCH($H182,aux_sheet!$A$2:$A$202,0))</f>
        <v xml:space="preserve"> </v>
      </c>
      <c r="G182">
        <f ca="1">IF(ISBLANK(Input!E182)," ",INDIRECT("Input!AP"&amp;1+MATCH($H182,aux_sheet!$A$2:$A$202,0)))</f>
        <v>0</v>
      </c>
      <c r="H182">
        <f>aux_sheet!B182</f>
        <v>1000</v>
      </c>
      <c r="J182" t="str">
        <f t="shared" si="14"/>
        <v xml:space="preserve"> </v>
      </c>
      <c r="K182">
        <v>181</v>
      </c>
      <c r="L182" t="str">
        <f t="shared" ca="1" si="11"/>
        <v xml:space="preserve"> </v>
      </c>
      <c r="M182" t="str">
        <f t="shared" ca="1" si="13"/>
        <v xml:space="preserve"> </v>
      </c>
      <c r="N182" s="3" t="str">
        <f t="shared" ca="1" si="12"/>
        <v xml:space="preserve"> </v>
      </c>
      <c r="O182" s="3" t="str">
        <f ca="1">IF(ISNUMBER($L182),INDIRECT("Input!A"&amp;1+MATCH($M182,aux_sheet!$A$2:$A$202,0))," ")</f>
        <v xml:space="preserve"> </v>
      </c>
      <c r="P182" s="3" t="str">
        <f ca="1">IF(ISNUMBER($L182),INDIRECT("Input!B"&amp;1+MATCH($M182,aux_sheet!$A$2:$A$202,0))," ")</f>
        <v xml:space="preserve"> </v>
      </c>
    </row>
    <row r="183" spans="1:16" x14ac:dyDescent="0.35">
      <c r="A183" t="str">
        <f>IF(ISBLANK(Input!A183)," ",ROUNDDOWN(aux_sheet!B183,0))</f>
        <v xml:space="preserve"> </v>
      </c>
      <c r="B183" t="str">
        <f ca="1">IF(ISBLANK(Input!A183)," ",INDIRECT("Input!A"&amp;1+MATCH(H183,aux_sheet!$A$2:$A$202,0)))</f>
        <v xml:space="preserve"> </v>
      </c>
      <c r="C183" t="str">
        <f ca="1">IF(ISBLANK(Input!B183)," ",INDIRECT("Input!B"&amp;1+MATCH($H183,aux_sheet!$A$2:$A$202,0)))</f>
        <v xml:space="preserve"> </v>
      </c>
      <c r="D183" t="str">
        <f ca="1">IF(ISBLANK(Input!C183)," ",INDIRECT("Input!C"&amp;1+MATCH($H183,aux_sheet!$A$2:$A$202,0)))</f>
        <v xml:space="preserve"> </v>
      </c>
      <c r="E183" t="str">
        <f ca="1">IF(ISBLANK(Input!D183)," ",INDIRECT("Input!D"&amp;1+MATCH($H183,aux_sheet!$A$2:$A$202,0)))</f>
        <v xml:space="preserve"> </v>
      </c>
      <c r="F183" t="str">
        <f ca="1">INDIRECT("Input!F"&amp;1+MATCH($H183,aux_sheet!$A$2:$A$202,0))</f>
        <v xml:space="preserve"> </v>
      </c>
      <c r="G183">
        <f ca="1">IF(ISBLANK(Input!E183)," ",INDIRECT("Input!AP"&amp;1+MATCH($H183,aux_sheet!$A$2:$A$202,0)))</f>
        <v>0</v>
      </c>
      <c r="H183">
        <f>aux_sheet!B183</f>
        <v>1000</v>
      </c>
      <c r="J183" t="str">
        <f t="shared" si="14"/>
        <v xml:space="preserve"> </v>
      </c>
      <c r="K183">
        <v>182</v>
      </c>
      <c r="L183" t="str">
        <f t="shared" ca="1" si="11"/>
        <v xml:space="preserve"> </v>
      </c>
      <c r="M183" t="str">
        <f t="shared" ca="1" si="13"/>
        <v xml:space="preserve"> </v>
      </c>
      <c r="N183" s="3" t="str">
        <f t="shared" ca="1" si="12"/>
        <v xml:space="preserve"> </v>
      </c>
      <c r="O183" s="3" t="str">
        <f ca="1">IF(ISNUMBER($L183),INDIRECT("Input!A"&amp;1+MATCH($M183,aux_sheet!$A$2:$A$202,0))," ")</f>
        <v xml:space="preserve"> </v>
      </c>
      <c r="P183" s="3" t="str">
        <f ca="1">IF(ISNUMBER($L183),INDIRECT("Input!B"&amp;1+MATCH($M183,aux_sheet!$A$2:$A$202,0))," ")</f>
        <v xml:space="preserve"> </v>
      </c>
    </row>
    <row r="184" spans="1:16" x14ac:dyDescent="0.35">
      <c r="A184" t="str">
        <f>IF(ISBLANK(Input!A184)," ",ROUNDDOWN(aux_sheet!B184,0))</f>
        <v xml:space="preserve"> </v>
      </c>
      <c r="B184" t="str">
        <f ca="1">IF(ISBLANK(Input!A184)," ",INDIRECT("Input!A"&amp;1+MATCH(H184,aux_sheet!$A$2:$A$202,0)))</f>
        <v xml:space="preserve"> </v>
      </c>
      <c r="C184" t="str">
        <f ca="1">IF(ISBLANK(Input!B184)," ",INDIRECT("Input!B"&amp;1+MATCH($H184,aux_sheet!$A$2:$A$202,0)))</f>
        <v xml:space="preserve"> </v>
      </c>
      <c r="D184" t="str">
        <f ca="1">IF(ISBLANK(Input!C184)," ",INDIRECT("Input!C"&amp;1+MATCH($H184,aux_sheet!$A$2:$A$202,0)))</f>
        <v xml:space="preserve"> </v>
      </c>
      <c r="E184" t="str">
        <f ca="1">IF(ISBLANK(Input!D184)," ",INDIRECT("Input!D"&amp;1+MATCH($H184,aux_sheet!$A$2:$A$202,0)))</f>
        <v xml:space="preserve"> </v>
      </c>
      <c r="F184" t="str">
        <f ca="1">INDIRECT("Input!F"&amp;1+MATCH($H184,aux_sheet!$A$2:$A$202,0))</f>
        <v xml:space="preserve"> </v>
      </c>
      <c r="G184">
        <f ca="1">IF(ISBLANK(Input!E184)," ",INDIRECT("Input!AP"&amp;1+MATCH($H184,aux_sheet!$A$2:$A$202,0)))</f>
        <v>0</v>
      </c>
      <c r="H184">
        <f>aux_sheet!B184</f>
        <v>1000</v>
      </c>
      <c r="J184" t="str">
        <f t="shared" si="14"/>
        <v xml:space="preserve"> </v>
      </c>
      <c r="K184">
        <v>183</v>
      </c>
      <c r="L184" t="str">
        <f t="shared" ca="1" si="11"/>
        <v xml:space="preserve"> </v>
      </c>
      <c r="M184" t="str">
        <f t="shared" ca="1" si="13"/>
        <v xml:space="preserve"> </v>
      </c>
      <c r="N184" s="3" t="str">
        <f t="shared" ca="1" si="12"/>
        <v xml:space="preserve"> </v>
      </c>
      <c r="O184" s="3" t="str">
        <f ca="1">IF(ISNUMBER($L184),INDIRECT("Input!A"&amp;1+MATCH($M184,aux_sheet!$A$2:$A$202,0))," ")</f>
        <v xml:space="preserve"> </v>
      </c>
      <c r="P184" s="3" t="str">
        <f ca="1">IF(ISNUMBER($L184),INDIRECT("Input!B"&amp;1+MATCH($M184,aux_sheet!$A$2:$A$202,0))," ")</f>
        <v xml:space="preserve"> </v>
      </c>
    </row>
    <row r="185" spans="1:16" x14ac:dyDescent="0.35">
      <c r="A185" t="str">
        <f>IF(ISBLANK(Input!A185)," ",ROUNDDOWN(aux_sheet!B185,0))</f>
        <v xml:space="preserve"> </v>
      </c>
      <c r="B185" t="str">
        <f ca="1">IF(ISBLANK(Input!A185)," ",INDIRECT("Input!A"&amp;1+MATCH(H185,aux_sheet!$A$2:$A$202,0)))</f>
        <v xml:space="preserve"> </v>
      </c>
      <c r="C185" t="str">
        <f ca="1">IF(ISBLANK(Input!B185)," ",INDIRECT("Input!B"&amp;1+MATCH($H185,aux_sheet!$A$2:$A$202,0)))</f>
        <v xml:space="preserve"> </v>
      </c>
      <c r="D185" t="str">
        <f ca="1">IF(ISBLANK(Input!C185)," ",INDIRECT("Input!C"&amp;1+MATCH($H185,aux_sheet!$A$2:$A$202,0)))</f>
        <v xml:space="preserve"> </v>
      </c>
      <c r="E185" t="str">
        <f ca="1">IF(ISBLANK(Input!D185)," ",INDIRECT("Input!D"&amp;1+MATCH($H185,aux_sheet!$A$2:$A$202,0)))</f>
        <v xml:space="preserve"> </v>
      </c>
      <c r="F185" t="str">
        <f ca="1">INDIRECT("Input!F"&amp;1+MATCH($H185,aux_sheet!$A$2:$A$202,0))</f>
        <v xml:space="preserve"> </v>
      </c>
      <c r="G185">
        <f ca="1">IF(ISBLANK(Input!E185)," ",INDIRECT("Input!AP"&amp;1+MATCH($H185,aux_sheet!$A$2:$A$202,0)))</f>
        <v>0</v>
      </c>
      <c r="H185">
        <f>aux_sheet!B185</f>
        <v>1000</v>
      </c>
      <c r="J185" t="str">
        <f t="shared" si="14"/>
        <v xml:space="preserve"> </v>
      </c>
      <c r="K185">
        <v>184</v>
      </c>
      <c r="L185" t="str">
        <f t="shared" ca="1" si="11"/>
        <v xml:space="preserve"> </v>
      </c>
      <c r="M185" t="str">
        <f t="shared" ca="1" si="13"/>
        <v xml:space="preserve"> </v>
      </c>
      <c r="N185" s="3" t="str">
        <f t="shared" ca="1" si="12"/>
        <v xml:space="preserve"> </v>
      </c>
      <c r="O185" s="3" t="str">
        <f ca="1">IF(ISNUMBER($L185),INDIRECT("Input!A"&amp;1+MATCH($M185,aux_sheet!$A$2:$A$202,0))," ")</f>
        <v xml:space="preserve"> </v>
      </c>
      <c r="P185" s="3" t="str">
        <f ca="1">IF(ISNUMBER($L185),INDIRECT("Input!B"&amp;1+MATCH($M185,aux_sheet!$A$2:$A$202,0))," ")</f>
        <v xml:space="preserve"> </v>
      </c>
    </row>
    <row r="186" spans="1:16" x14ac:dyDescent="0.35">
      <c r="A186" t="str">
        <f>IF(ISBLANK(Input!A186)," ",ROUNDDOWN(aux_sheet!B186,0))</f>
        <v xml:space="preserve"> </v>
      </c>
      <c r="B186" t="str">
        <f ca="1">IF(ISBLANK(Input!A186)," ",INDIRECT("Input!A"&amp;1+MATCH(H186,aux_sheet!$A$2:$A$202,0)))</f>
        <v xml:space="preserve"> </v>
      </c>
      <c r="C186" t="str">
        <f ca="1">IF(ISBLANK(Input!B186)," ",INDIRECT("Input!B"&amp;1+MATCH($H186,aux_sheet!$A$2:$A$202,0)))</f>
        <v xml:space="preserve"> </v>
      </c>
      <c r="D186" t="str">
        <f ca="1">IF(ISBLANK(Input!C186)," ",INDIRECT("Input!C"&amp;1+MATCH($H186,aux_sheet!$A$2:$A$202,0)))</f>
        <v xml:space="preserve"> </v>
      </c>
      <c r="E186" t="str">
        <f ca="1">IF(ISBLANK(Input!D186)," ",INDIRECT("Input!D"&amp;1+MATCH($H186,aux_sheet!$A$2:$A$202,0)))</f>
        <v xml:space="preserve"> </v>
      </c>
      <c r="F186" t="str">
        <f ca="1">INDIRECT("Input!F"&amp;1+MATCH($H186,aux_sheet!$A$2:$A$202,0))</f>
        <v xml:space="preserve"> </v>
      </c>
      <c r="G186">
        <f ca="1">IF(ISBLANK(Input!E186)," ",INDIRECT("Input!AP"&amp;1+MATCH($H186,aux_sheet!$A$2:$A$202,0)))</f>
        <v>0</v>
      </c>
      <c r="H186">
        <f>aux_sheet!B186</f>
        <v>1000</v>
      </c>
      <c r="J186" t="str">
        <f t="shared" si="14"/>
        <v xml:space="preserve"> </v>
      </c>
      <c r="K186">
        <v>185</v>
      </c>
      <c r="L186" t="str">
        <f t="shared" ca="1" si="11"/>
        <v xml:space="preserve"> </v>
      </c>
      <c r="M186" t="str">
        <f t="shared" ca="1" si="13"/>
        <v xml:space="preserve"> </v>
      </c>
      <c r="N186" s="3" t="str">
        <f t="shared" ca="1" si="12"/>
        <v xml:space="preserve"> </v>
      </c>
      <c r="O186" s="3" t="str">
        <f ca="1">IF(ISNUMBER($L186),INDIRECT("Input!A"&amp;1+MATCH($M186,aux_sheet!$A$2:$A$202,0))," ")</f>
        <v xml:space="preserve"> </v>
      </c>
      <c r="P186" s="3" t="str">
        <f ca="1">IF(ISNUMBER($L186),INDIRECT("Input!B"&amp;1+MATCH($M186,aux_sheet!$A$2:$A$202,0))," ")</f>
        <v xml:space="preserve"> </v>
      </c>
    </row>
    <row r="187" spans="1:16" x14ac:dyDescent="0.35">
      <c r="A187" t="str">
        <f>IF(ISBLANK(Input!A187)," ",ROUNDDOWN(aux_sheet!B187,0))</f>
        <v xml:space="preserve"> </v>
      </c>
      <c r="B187" t="str">
        <f ca="1">IF(ISBLANK(Input!A187)," ",INDIRECT("Input!A"&amp;1+MATCH(H187,aux_sheet!$A$2:$A$202,0)))</f>
        <v xml:space="preserve"> </v>
      </c>
      <c r="C187" t="str">
        <f ca="1">IF(ISBLANK(Input!B187)," ",INDIRECT("Input!B"&amp;1+MATCH($H187,aux_sheet!$A$2:$A$202,0)))</f>
        <v xml:space="preserve"> </v>
      </c>
      <c r="D187" t="str">
        <f ca="1">IF(ISBLANK(Input!C187)," ",INDIRECT("Input!C"&amp;1+MATCH($H187,aux_sheet!$A$2:$A$202,0)))</f>
        <v xml:space="preserve"> </v>
      </c>
      <c r="E187" t="str">
        <f ca="1">IF(ISBLANK(Input!D187)," ",INDIRECT("Input!D"&amp;1+MATCH($H187,aux_sheet!$A$2:$A$202,0)))</f>
        <v xml:space="preserve"> </v>
      </c>
      <c r="F187" t="str">
        <f ca="1">INDIRECT("Input!F"&amp;1+MATCH($H187,aux_sheet!$A$2:$A$202,0))</f>
        <v xml:space="preserve"> </v>
      </c>
      <c r="G187">
        <f ca="1">IF(ISBLANK(Input!E187)," ",INDIRECT("Input!AP"&amp;1+MATCH($H187,aux_sheet!$A$2:$A$202,0)))</f>
        <v>0</v>
      </c>
      <c r="H187">
        <f>aux_sheet!B187</f>
        <v>1000</v>
      </c>
      <c r="J187" t="str">
        <f t="shared" si="14"/>
        <v xml:space="preserve"> </v>
      </c>
      <c r="K187">
        <v>186</v>
      </c>
      <c r="L187" t="str">
        <f t="shared" ca="1" si="11"/>
        <v xml:space="preserve"> </v>
      </c>
      <c r="M187" t="str">
        <f t="shared" ca="1" si="13"/>
        <v xml:space="preserve"> </v>
      </c>
      <c r="N187" s="3" t="str">
        <f t="shared" ca="1" si="12"/>
        <v xml:space="preserve"> </v>
      </c>
      <c r="O187" s="3" t="str">
        <f ca="1">IF(ISNUMBER($L187),INDIRECT("Input!A"&amp;1+MATCH($M187,aux_sheet!$A$2:$A$202,0))," ")</f>
        <v xml:space="preserve"> </v>
      </c>
      <c r="P187" s="3" t="str">
        <f ca="1">IF(ISNUMBER($L187),INDIRECT("Input!B"&amp;1+MATCH($M187,aux_sheet!$A$2:$A$202,0))," ")</f>
        <v xml:space="preserve"> </v>
      </c>
    </row>
    <row r="188" spans="1:16" x14ac:dyDescent="0.35">
      <c r="A188" t="str">
        <f>IF(ISBLANK(Input!A188)," ",ROUNDDOWN(aux_sheet!B188,0))</f>
        <v xml:space="preserve"> </v>
      </c>
      <c r="B188" t="str">
        <f ca="1">IF(ISBLANK(Input!A188)," ",INDIRECT("Input!A"&amp;1+MATCH(H188,aux_sheet!$A$2:$A$202,0)))</f>
        <v xml:space="preserve"> </v>
      </c>
      <c r="C188" t="str">
        <f ca="1">IF(ISBLANK(Input!B188)," ",INDIRECT("Input!B"&amp;1+MATCH($H188,aux_sheet!$A$2:$A$202,0)))</f>
        <v xml:space="preserve"> </v>
      </c>
      <c r="D188" t="str">
        <f ca="1">IF(ISBLANK(Input!C188)," ",INDIRECT("Input!C"&amp;1+MATCH($H188,aux_sheet!$A$2:$A$202,0)))</f>
        <v xml:space="preserve"> </v>
      </c>
      <c r="E188" t="str">
        <f ca="1">IF(ISBLANK(Input!D188)," ",INDIRECT("Input!D"&amp;1+MATCH($H188,aux_sheet!$A$2:$A$202,0)))</f>
        <v xml:space="preserve"> </v>
      </c>
      <c r="F188" t="str">
        <f ca="1">INDIRECT("Input!F"&amp;1+MATCH($H188,aux_sheet!$A$2:$A$202,0))</f>
        <v xml:space="preserve"> </v>
      </c>
      <c r="G188">
        <f ca="1">IF(ISBLANK(Input!E188)," ",INDIRECT("Input!AP"&amp;1+MATCH($H188,aux_sheet!$A$2:$A$202,0)))</f>
        <v>0</v>
      </c>
      <c r="H188">
        <f>aux_sheet!B188</f>
        <v>1000</v>
      </c>
      <c r="J188" t="str">
        <f t="shared" si="14"/>
        <v xml:space="preserve"> </v>
      </c>
      <c r="K188">
        <v>187</v>
      </c>
      <c r="L188" t="str">
        <f t="shared" ca="1" si="11"/>
        <v xml:space="preserve"> </v>
      </c>
      <c r="M188" t="str">
        <f t="shared" ca="1" si="13"/>
        <v xml:space="preserve"> </v>
      </c>
      <c r="N188" s="3" t="str">
        <f t="shared" ca="1" si="12"/>
        <v xml:space="preserve"> </v>
      </c>
      <c r="O188" s="3" t="str">
        <f ca="1">IF(ISNUMBER($L188),INDIRECT("Input!A"&amp;1+MATCH($M188,aux_sheet!$A$2:$A$202,0))," ")</f>
        <v xml:space="preserve"> </v>
      </c>
      <c r="P188" s="3" t="str">
        <f ca="1">IF(ISNUMBER($L188),INDIRECT("Input!B"&amp;1+MATCH($M188,aux_sheet!$A$2:$A$202,0))," ")</f>
        <v xml:space="preserve"> </v>
      </c>
    </row>
    <row r="189" spans="1:16" x14ac:dyDescent="0.35">
      <c r="A189" t="str">
        <f>IF(ISBLANK(Input!A189)," ",ROUNDDOWN(aux_sheet!B189,0))</f>
        <v xml:space="preserve"> </v>
      </c>
      <c r="B189" t="str">
        <f ca="1">IF(ISBLANK(Input!A189)," ",INDIRECT("Input!A"&amp;1+MATCH(H189,aux_sheet!$A$2:$A$202,0)))</f>
        <v xml:space="preserve"> </v>
      </c>
      <c r="C189" t="str">
        <f ca="1">IF(ISBLANK(Input!B189)," ",INDIRECT("Input!B"&amp;1+MATCH($H189,aux_sheet!$A$2:$A$202,0)))</f>
        <v xml:space="preserve"> </v>
      </c>
      <c r="D189" t="str">
        <f ca="1">IF(ISBLANK(Input!C189)," ",INDIRECT("Input!C"&amp;1+MATCH($H189,aux_sheet!$A$2:$A$202,0)))</f>
        <v xml:space="preserve"> </v>
      </c>
      <c r="E189" t="str">
        <f ca="1">IF(ISBLANK(Input!D189)," ",INDIRECT("Input!D"&amp;1+MATCH($H189,aux_sheet!$A$2:$A$202,0)))</f>
        <v xml:space="preserve"> </v>
      </c>
      <c r="F189" t="str">
        <f ca="1">INDIRECT("Input!F"&amp;1+MATCH($H189,aux_sheet!$A$2:$A$202,0))</f>
        <v xml:space="preserve"> </v>
      </c>
      <c r="G189">
        <f ca="1">IF(ISBLANK(Input!E189)," ",INDIRECT("Input!AP"&amp;1+MATCH($H189,aux_sheet!$A$2:$A$202,0)))</f>
        <v>0</v>
      </c>
      <c r="H189">
        <f>aux_sheet!B189</f>
        <v>1000</v>
      </c>
      <c r="J189" t="str">
        <f t="shared" si="14"/>
        <v xml:space="preserve"> </v>
      </c>
      <c r="K189">
        <v>188</v>
      </c>
      <c r="L189" t="str">
        <f t="shared" ca="1" si="11"/>
        <v xml:space="preserve"> </v>
      </c>
      <c r="M189" t="str">
        <f t="shared" ca="1" si="13"/>
        <v xml:space="preserve"> </v>
      </c>
      <c r="N189" s="3" t="str">
        <f t="shared" ca="1" si="12"/>
        <v xml:space="preserve"> </v>
      </c>
      <c r="O189" s="3" t="str">
        <f ca="1">IF(ISNUMBER($L189),INDIRECT("Input!A"&amp;1+MATCH($M189,aux_sheet!$A$2:$A$202,0))," ")</f>
        <v xml:space="preserve"> </v>
      </c>
      <c r="P189" s="3" t="str">
        <f ca="1">IF(ISNUMBER($L189),INDIRECT("Input!B"&amp;1+MATCH($M189,aux_sheet!$A$2:$A$202,0))," ")</f>
        <v xml:space="preserve"> </v>
      </c>
    </row>
    <row r="190" spans="1:16" x14ac:dyDescent="0.35">
      <c r="A190" t="str">
        <f>IF(ISBLANK(Input!A190)," ",ROUNDDOWN(aux_sheet!B190,0))</f>
        <v xml:space="preserve"> </v>
      </c>
      <c r="B190" t="str">
        <f ca="1">IF(ISBLANK(Input!A190)," ",INDIRECT("Input!A"&amp;1+MATCH(H190,aux_sheet!$A$2:$A$202,0)))</f>
        <v xml:space="preserve"> </v>
      </c>
      <c r="C190" t="str">
        <f ca="1">IF(ISBLANK(Input!B190)," ",INDIRECT("Input!B"&amp;1+MATCH($H190,aux_sheet!$A$2:$A$202,0)))</f>
        <v xml:space="preserve"> </v>
      </c>
      <c r="D190" t="str">
        <f ca="1">IF(ISBLANK(Input!C190)," ",INDIRECT("Input!C"&amp;1+MATCH($H190,aux_sheet!$A$2:$A$202,0)))</f>
        <v xml:space="preserve"> </v>
      </c>
      <c r="E190" t="str">
        <f ca="1">IF(ISBLANK(Input!D190)," ",INDIRECT("Input!D"&amp;1+MATCH($H190,aux_sheet!$A$2:$A$202,0)))</f>
        <v xml:space="preserve"> </v>
      </c>
      <c r="F190" t="str">
        <f ca="1">INDIRECT("Input!F"&amp;1+MATCH($H190,aux_sheet!$A$2:$A$202,0))</f>
        <v xml:space="preserve"> </v>
      </c>
      <c r="G190">
        <f ca="1">IF(ISBLANK(Input!E190)," ",INDIRECT("Input!AP"&amp;1+MATCH($H190,aux_sheet!$A$2:$A$202,0)))</f>
        <v>0</v>
      </c>
      <c r="H190">
        <f>aux_sheet!B190</f>
        <v>1000</v>
      </c>
      <c r="J190" t="str">
        <f t="shared" si="14"/>
        <v xml:space="preserve"> </v>
      </c>
      <c r="K190">
        <v>189</v>
      </c>
      <c r="L190" t="str">
        <f t="shared" ca="1" si="11"/>
        <v xml:space="preserve"> </v>
      </c>
      <c r="M190" t="str">
        <f t="shared" ca="1" si="13"/>
        <v xml:space="preserve"> </v>
      </c>
      <c r="N190" s="3" t="str">
        <f t="shared" ca="1" si="12"/>
        <v xml:space="preserve"> </v>
      </c>
      <c r="O190" s="3" t="str">
        <f ca="1">IF(ISNUMBER($L190),INDIRECT("Input!A"&amp;1+MATCH($M190,aux_sheet!$A$2:$A$202,0))," ")</f>
        <v xml:space="preserve"> </v>
      </c>
      <c r="P190" s="3" t="str">
        <f ca="1">IF(ISNUMBER($L190),INDIRECT("Input!B"&amp;1+MATCH($M190,aux_sheet!$A$2:$A$202,0))," ")</f>
        <v xml:space="preserve"> </v>
      </c>
    </row>
    <row r="191" spans="1:16" x14ac:dyDescent="0.35">
      <c r="A191" t="str">
        <f>IF(ISBLANK(Input!A191)," ",ROUNDDOWN(aux_sheet!B191,0))</f>
        <v xml:space="preserve"> </v>
      </c>
      <c r="B191" t="str">
        <f ca="1">IF(ISBLANK(Input!A191)," ",INDIRECT("Input!A"&amp;1+MATCH(H191,aux_sheet!$A$2:$A$202,0)))</f>
        <v xml:space="preserve"> </v>
      </c>
      <c r="C191" t="str">
        <f ca="1">IF(ISBLANK(Input!B191)," ",INDIRECT("Input!B"&amp;1+MATCH($H191,aux_sheet!$A$2:$A$202,0)))</f>
        <v xml:space="preserve"> </v>
      </c>
      <c r="D191" t="str">
        <f ca="1">IF(ISBLANK(Input!C191)," ",INDIRECT("Input!C"&amp;1+MATCH($H191,aux_sheet!$A$2:$A$202,0)))</f>
        <v xml:space="preserve"> </v>
      </c>
      <c r="E191" t="str">
        <f ca="1">IF(ISBLANK(Input!D191)," ",INDIRECT("Input!D"&amp;1+MATCH($H191,aux_sheet!$A$2:$A$202,0)))</f>
        <v xml:space="preserve"> </v>
      </c>
      <c r="F191" t="str">
        <f ca="1">INDIRECT("Input!F"&amp;1+MATCH($H191,aux_sheet!$A$2:$A$202,0))</f>
        <v xml:space="preserve"> </v>
      </c>
      <c r="G191">
        <f ca="1">IF(ISBLANK(Input!E191)," ",INDIRECT("Input!AP"&amp;1+MATCH($H191,aux_sheet!$A$2:$A$202,0)))</f>
        <v>0</v>
      </c>
      <c r="H191">
        <f>aux_sheet!B191</f>
        <v>1000</v>
      </c>
      <c r="J191" t="str">
        <f t="shared" si="14"/>
        <v xml:space="preserve"> </v>
      </c>
      <c r="K191">
        <v>190</v>
      </c>
      <c r="L191" t="str">
        <f t="shared" ca="1" si="11"/>
        <v xml:space="preserve"> </v>
      </c>
      <c r="M191" t="str">
        <f t="shared" ca="1" si="13"/>
        <v xml:space="preserve"> </v>
      </c>
      <c r="N191" s="3" t="str">
        <f t="shared" ca="1" si="12"/>
        <v xml:space="preserve"> </v>
      </c>
      <c r="O191" s="3" t="str">
        <f ca="1">IF(ISNUMBER($L191),INDIRECT("Input!A"&amp;1+MATCH($M191,aux_sheet!$A$2:$A$202,0))," ")</f>
        <v xml:space="preserve"> </v>
      </c>
      <c r="P191" s="3" t="str">
        <f ca="1">IF(ISNUMBER($L191),INDIRECT("Input!B"&amp;1+MATCH($M191,aux_sheet!$A$2:$A$202,0))," ")</f>
        <v xml:space="preserve"> </v>
      </c>
    </row>
    <row r="192" spans="1:16" x14ac:dyDescent="0.35">
      <c r="A192" t="str">
        <f>IF(ISBLANK(Input!A192)," ",ROUNDDOWN(aux_sheet!B192,0))</f>
        <v xml:space="preserve"> </v>
      </c>
      <c r="B192" t="str">
        <f ca="1">IF(ISBLANK(Input!A192)," ",INDIRECT("Input!A"&amp;1+MATCH(H192,aux_sheet!$A$2:$A$202,0)))</f>
        <v xml:space="preserve"> </v>
      </c>
      <c r="C192" t="str">
        <f ca="1">IF(ISBLANK(Input!B192)," ",INDIRECT("Input!B"&amp;1+MATCH($H192,aux_sheet!$A$2:$A$202,0)))</f>
        <v xml:space="preserve"> </v>
      </c>
      <c r="D192" t="str">
        <f ca="1">IF(ISBLANK(Input!C192)," ",INDIRECT("Input!C"&amp;1+MATCH($H192,aux_sheet!$A$2:$A$202,0)))</f>
        <v xml:space="preserve"> </v>
      </c>
      <c r="E192" t="str">
        <f ca="1">IF(ISBLANK(Input!D192)," ",INDIRECT("Input!D"&amp;1+MATCH($H192,aux_sheet!$A$2:$A$202,0)))</f>
        <v xml:space="preserve"> </v>
      </c>
      <c r="F192" t="str">
        <f ca="1">INDIRECT("Input!F"&amp;1+MATCH($H192,aux_sheet!$A$2:$A$202,0))</f>
        <v xml:space="preserve"> </v>
      </c>
      <c r="G192">
        <f ca="1">IF(ISBLANK(Input!E192)," ",INDIRECT("Input!AP"&amp;1+MATCH($H192,aux_sheet!$A$2:$A$202,0)))</f>
        <v>0</v>
      </c>
      <c r="H192">
        <f>aux_sheet!B192</f>
        <v>1000</v>
      </c>
      <c r="J192" t="str">
        <f t="shared" si="14"/>
        <v xml:space="preserve"> </v>
      </c>
      <c r="K192">
        <v>191</v>
      </c>
      <c r="L192" t="str">
        <f t="shared" ca="1" si="11"/>
        <v xml:space="preserve"> </v>
      </c>
      <c r="M192" t="str">
        <f t="shared" ca="1" si="13"/>
        <v xml:space="preserve"> </v>
      </c>
      <c r="N192" s="3" t="str">
        <f t="shared" ca="1" si="12"/>
        <v xml:space="preserve"> </v>
      </c>
      <c r="O192" s="3" t="str">
        <f ca="1">IF(ISNUMBER($L192),INDIRECT("Input!A"&amp;1+MATCH($M192,aux_sheet!$A$2:$A$202,0))," ")</f>
        <v xml:space="preserve"> </v>
      </c>
      <c r="P192" s="3" t="str">
        <f ca="1">IF(ISNUMBER($L192),INDIRECT("Input!B"&amp;1+MATCH($M192,aux_sheet!$A$2:$A$202,0))," ")</f>
        <v xml:space="preserve"> </v>
      </c>
    </row>
    <row r="193" spans="1:16" x14ac:dyDescent="0.35">
      <c r="A193" t="str">
        <f>IF(ISBLANK(Input!A193)," ",ROUNDDOWN(aux_sheet!B193,0))</f>
        <v xml:space="preserve"> </v>
      </c>
      <c r="B193" t="str">
        <f ca="1">IF(ISBLANK(Input!A193)," ",INDIRECT("Input!A"&amp;1+MATCH(H193,aux_sheet!$A$2:$A$202,0)))</f>
        <v xml:space="preserve"> </v>
      </c>
      <c r="C193" t="str">
        <f ca="1">IF(ISBLANK(Input!B193)," ",INDIRECT("Input!B"&amp;1+MATCH($H193,aux_sheet!$A$2:$A$202,0)))</f>
        <v xml:space="preserve"> </v>
      </c>
      <c r="D193" t="str">
        <f ca="1">IF(ISBLANK(Input!C193)," ",INDIRECT("Input!C"&amp;1+MATCH($H193,aux_sheet!$A$2:$A$202,0)))</f>
        <v xml:space="preserve"> </v>
      </c>
      <c r="E193" t="str">
        <f ca="1">IF(ISBLANK(Input!D193)," ",INDIRECT("Input!D"&amp;1+MATCH($H193,aux_sheet!$A$2:$A$202,0)))</f>
        <v xml:space="preserve"> </v>
      </c>
      <c r="F193" t="str">
        <f ca="1">INDIRECT("Input!F"&amp;1+MATCH($H193,aux_sheet!$A$2:$A$202,0))</f>
        <v xml:space="preserve"> </v>
      </c>
      <c r="G193">
        <f ca="1">IF(ISBLANK(Input!E193)," ",INDIRECT("Input!AP"&amp;1+MATCH($H193,aux_sheet!$A$2:$A$202,0)))</f>
        <v>0</v>
      </c>
      <c r="H193">
        <f>aux_sheet!B193</f>
        <v>1000</v>
      </c>
      <c r="J193" t="str">
        <f t="shared" si="14"/>
        <v xml:space="preserve"> </v>
      </c>
      <c r="K193">
        <v>192</v>
      </c>
      <c r="L193" t="str">
        <f t="shared" ca="1" si="11"/>
        <v xml:space="preserve"> </v>
      </c>
      <c r="M193" t="str">
        <f t="shared" ca="1" si="13"/>
        <v xml:space="preserve"> </v>
      </c>
      <c r="N193" s="3" t="str">
        <f t="shared" ca="1" si="12"/>
        <v xml:space="preserve"> </v>
      </c>
      <c r="O193" s="3" t="str">
        <f ca="1">IF(ISNUMBER($L193),INDIRECT("Input!A"&amp;1+MATCH($M193,aux_sheet!$A$2:$A$202,0))," ")</f>
        <v xml:space="preserve"> </v>
      </c>
      <c r="P193" s="3" t="str">
        <f ca="1">IF(ISNUMBER($L193),INDIRECT("Input!B"&amp;1+MATCH($M193,aux_sheet!$A$2:$A$202,0))," ")</f>
        <v xml:space="preserve"> </v>
      </c>
    </row>
    <row r="194" spans="1:16" x14ac:dyDescent="0.35">
      <c r="A194" t="str">
        <f>IF(ISBLANK(Input!A194)," ",ROUNDDOWN(aux_sheet!B194,0))</f>
        <v xml:space="preserve"> </v>
      </c>
      <c r="B194" t="str">
        <f ca="1">IF(ISBLANK(Input!A194)," ",INDIRECT("Input!A"&amp;1+MATCH(H194,aux_sheet!$A$2:$A$202,0)))</f>
        <v xml:space="preserve"> </v>
      </c>
      <c r="C194" t="str">
        <f ca="1">IF(ISBLANK(Input!B194)," ",INDIRECT("Input!B"&amp;1+MATCH($H194,aux_sheet!$A$2:$A$202,0)))</f>
        <v xml:space="preserve"> </v>
      </c>
      <c r="D194" t="str">
        <f ca="1">IF(ISBLANK(Input!C194)," ",INDIRECT("Input!C"&amp;1+MATCH($H194,aux_sheet!$A$2:$A$202,0)))</f>
        <v xml:space="preserve"> </v>
      </c>
      <c r="E194" t="str">
        <f ca="1">IF(ISBLANK(Input!D194)," ",INDIRECT("Input!D"&amp;1+MATCH($H194,aux_sheet!$A$2:$A$202,0)))</f>
        <v xml:space="preserve"> </v>
      </c>
      <c r="F194" t="str">
        <f ca="1">INDIRECT("Input!F"&amp;1+MATCH($H194,aux_sheet!$A$2:$A$202,0))</f>
        <v xml:space="preserve"> </v>
      </c>
      <c r="G194">
        <f ca="1">IF(ISBLANK(Input!E194)," ",INDIRECT("Input!AP"&amp;1+MATCH($H194,aux_sheet!$A$2:$A$202,0)))</f>
        <v>0</v>
      </c>
      <c r="H194">
        <f>aux_sheet!B194</f>
        <v>1000</v>
      </c>
      <c r="J194" t="str">
        <f t="shared" si="14"/>
        <v xml:space="preserve"> </v>
      </c>
      <c r="K194">
        <v>193</v>
      </c>
      <c r="L194" t="str">
        <f t="shared" ca="1" si="11"/>
        <v xml:space="preserve"> </v>
      </c>
      <c r="M194" t="str">
        <f t="shared" ca="1" si="13"/>
        <v xml:space="preserve"> </v>
      </c>
      <c r="N194" s="3" t="str">
        <f t="shared" ca="1" si="12"/>
        <v xml:space="preserve"> </v>
      </c>
      <c r="O194" s="3" t="str">
        <f ca="1">IF(ISNUMBER($L194),INDIRECT("Input!A"&amp;1+MATCH($M194,aux_sheet!$A$2:$A$202,0))," ")</f>
        <v xml:space="preserve"> </v>
      </c>
      <c r="P194" s="3" t="str">
        <f ca="1">IF(ISNUMBER($L194),INDIRECT("Input!B"&amp;1+MATCH($M194,aux_sheet!$A$2:$A$202,0))," ")</f>
        <v xml:space="preserve"> </v>
      </c>
    </row>
    <row r="195" spans="1:16" x14ac:dyDescent="0.35">
      <c r="A195" t="str">
        <f>IF(ISBLANK(Input!A195)," ",ROUNDDOWN(aux_sheet!B195,0))</f>
        <v xml:space="preserve"> </v>
      </c>
      <c r="B195" t="str">
        <f ca="1">IF(ISBLANK(Input!A195)," ",INDIRECT("Input!A"&amp;1+MATCH(H195,aux_sheet!$A$2:$A$202,0)))</f>
        <v xml:space="preserve"> </v>
      </c>
      <c r="C195" t="str">
        <f ca="1">IF(ISBLANK(Input!B195)," ",INDIRECT("Input!B"&amp;1+MATCH($H195,aux_sheet!$A$2:$A$202,0)))</f>
        <v xml:space="preserve"> </v>
      </c>
      <c r="D195" t="str">
        <f ca="1">IF(ISBLANK(Input!C195)," ",INDIRECT("Input!C"&amp;1+MATCH($H195,aux_sheet!$A$2:$A$202,0)))</f>
        <v xml:space="preserve"> </v>
      </c>
      <c r="E195" t="str">
        <f ca="1">IF(ISBLANK(Input!D195)," ",INDIRECT("Input!D"&amp;1+MATCH($H195,aux_sheet!$A$2:$A$202,0)))</f>
        <v xml:space="preserve"> </v>
      </c>
      <c r="F195" t="str">
        <f ca="1">INDIRECT("Input!F"&amp;1+MATCH($H195,aux_sheet!$A$2:$A$202,0))</f>
        <v xml:space="preserve"> </v>
      </c>
      <c r="G195">
        <f ca="1">IF(ISBLANK(Input!E195)," ",INDIRECT("Input!AP"&amp;1+MATCH($H195,aux_sheet!$A$2:$A$202,0)))</f>
        <v>0</v>
      </c>
      <c r="H195">
        <f>aux_sheet!B195</f>
        <v>1000</v>
      </c>
      <c r="J195" t="str">
        <f t="shared" si="14"/>
        <v xml:space="preserve"> </v>
      </c>
      <c r="K195">
        <v>194</v>
      </c>
      <c r="L195" t="str">
        <f t="shared" ref="L195:L202" ca="1" si="15">IF(K195&lt;$K$1,K195," ")</f>
        <v xml:space="preserve"> </v>
      </c>
      <c r="M195" t="str">
        <f t="shared" ca="1" si="13"/>
        <v xml:space="preserve"> </v>
      </c>
      <c r="N195" s="3" t="str">
        <f t="shared" ref="N195:N202" ca="1" si="16">IF(ISNUMBER(M195),ROUNDDOWN(M195,0)," ")</f>
        <v xml:space="preserve"> </v>
      </c>
      <c r="O195" s="3" t="str">
        <f ca="1">IF(ISNUMBER($L195),INDIRECT("Input!A"&amp;1+MATCH($M195,aux_sheet!$A$2:$A$202,0))," ")</f>
        <v xml:space="preserve"> </v>
      </c>
      <c r="P195" s="3" t="str">
        <f ca="1">IF(ISNUMBER($L195),INDIRECT("Input!B"&amp;1+MATCH($M195,aux_sheet!$A$2:$A$202,0))," ")</f>
        <v xml:space="preserve"> </v>
      </c>
    </row>
    <row r="196" spans="1:16" x14ac:dyDescent="0.35">
      <c r="A196" t="str">
        <f>IF(ISBLANK(Input!A196)," ",ROUNDDOWN(aux_sheet!B196,0))</f>
        <v xml:space="preserve"> </v>
      </c>
      <c r="B196" t="str">
        <f ca="1">IF(ISBLANK(Input!A196)," ",INDIRECT("Input!A"&amp;1+MATCH(H196,aux_sheet!$A$2:$A$202,0)))</f>
        <v xml:space="preserve"> </v>
      </c>
      <c r="C196" t="str">
        <f ca="1">IF(ISBLANK(Input!B196)," ",INDIRECT("Input!B"&amp;1+MATCH($H196,aux_sheet!$A$2:$A$202,0)))</f>
        <v xml:space="preserve"> </v>
      </c>
      <c r="D196" t="str">
        <f ca="1">IF(ISBLANK(Input!C196)," ",INDIRECT("Input!C"&amp;1+MATCH($H196,aux_sheet!$A$2:$A$202,0)))</f>
        <v xml:space="preserve"> </v>
      </c>
      <c r="E196" t="str">
        <f ca="1">IF(ISBLANK(Input!D196)," ",INDIRECT("Input!D"&amp;1+MATCH($H196,aux_sheet!$A$2:$A$202,0)))</f>
        <v xml:space="preserve"> </v>
      </c>
      <c r="F196" t="str">
        <f ca="1">INDIRECT("Input!F"&amp;1+MATCH($H196,aux_sheet!$A$2:$A$202,0))</f>
        <v xml:space="preserve"> </v>
      </c>
      <c r="G196">
        <f ca="1">IF(ISBLANK(Input!E196)," ",INDIRECT("Input!AP"&amp;1+MATCH($H196,aux_sheet!$A$2:$A$202,0)))</f>
        <v>0</v>
      </c>
      <c r="H196">
        <f>aux_sheet!B196</f>
        <v>1000</v>
      </c>
      <c r="J196" t="str">
        <f t="shared" si="14"/>
        <v xml:space="preserve"> </v>
      </c>
      <c r="K196">
        <v>195</v>
      </c>
      <c r="L196" t="str">
        <f t="shared" ca="1" si="15"/>
        <v xml:space="preserve"> </v>
      </c>
      <c r="M196" t="str">
        <f t="shared" ca="1" si="13"/>
        <v xml:space="preserve"> </v>
      </c>
      <c r="N196" s="3" t="str">
        <f t="shared" ca="1" si="16"/>
        <v xml:space="preserve"> </v>
      </c>
      <c r="O196" s="3" t="str">
        <f ca="1">IF(ISNUMBER($L196),INDIRECT("Input!A"&amp;1+MATCH($M196,aux_sheet!$A$2:$A$202,0))," ")</f>
        <v xml:space="preserve"> </v>
      </c>
      <c r="P196" s="3" t="str">
        <f ca="1">IF(ISNUMBER($L196),INDIRECT("Input!B"&amp;1+MATCH($M196,aux_sheet!$A$2:$A$202,0))," ")</f>
        <v xml:space="preserve"> </v>
      </c>
    </row>
    <row r="197" spans="1:16" x14ac:dyDescent="0.35">
      <c r="A197" t="str">
        <f>IF(ISBLANK(Input!A197)," ",ROUNDDOWN(aux_sheet!B197,0))</f>
        <v xml:space="preserve"> </v>
      </c>
      <c r="B197" t="str">
        <f ca="1">IF(ISBLANK(Input!A197)," ",INDIRECT("Input!A"&amp;1+MATCH(H197,aux_sheet!$A$2:$A$202,0)))</f>
        <v xml:space="preserve"> </v>
      </c>
      <c r="C197" t="str">
        <f ca="1">IF(ISBLANK(Input!B197)," ",INDIRECT("Input!B"&amp;1+MATCH($H197,aux_sheet!$A$2:$A$202,0)))</f>
        <v xml:space="preserve"> </v>
      </c>
      <c r="D197" t="str">
        <f ca="1">IF(ISBLANK(Input!C197)," ",INDIRECT("Input!C"&amp;1+MATCH($H197,aux_sheet!$A$2:$A$202,0)))</f>
        <v xml:space="preserve"> </v>
      </c>
      <c r="E197" t="str">
        <f ca="1">IF(ISBLANK(Input!D197)," ",INDIRECT("Input!D"&amp;1+MATCH($H197,aux_sheet!$A$2:$A$202,0)))</f>
        <v xml:space="preserve"> </v>
      </c>
      <c r="F197" t="str">
        <f ca="1">INDIRECT("Input!F"&amp;1+MATCH($H197,aux_sheet!$A$2:$A$202,0))</f>
        <v xml:space="preserve"> </v>
      </c>
      <c r="G197">
        <f ca="1">IF(ISBLANK(Input!E197)," ",INDIRECT("Input!AP"&amp;1+MATCH($H197,aux_sheet!$A$2:$A$202,0)))</f>
        <v>0</v>
      </c>
      <c r="H197">
        <f>aux_sheet!B197</f>
        <v>1000</v>
      </c>
      <c r="J197" t="str">
        <f t="shared" si="14"/>
        <v xml:space="preserve"> </v>
      </c>
      <c r="K197">
        <v>196</v>
      </c>
      <c r="L197" t="str">
        <f t="shared" ca="1" si="15"/>
        <v xml:space="preserve"> </v>
      </c>
      <c r="M197" t="str">
        <f t="shared" ca="1" si="13"/>
        <v xml:space="preserve"> </v>
      </c>
      <c r="N197" s="3" t="str">
        <f t="shared" ca="1" si="16"/>
        <v xml:space="preserve"> </v>
      </c>
      <c r="O197" s="3" t="str">
        <f ca="1">IF(ISNUMBER($L197),INDIRECT("Input!A"&amp;1+MATCH($M197,aux_sheet!$A$2:$A$202,0))," ")</f>
        <v xml:space="preserve"> </v>
      </c>
      <c r="P197" s="3" t="str">
        <f ca="1">IF(ISNUMBER($L197),INDIRECT("Input!B"&amp;1+MATCH($M197,aux_sheet!$A$2:$A$202,0))," ")</f>
        <v xml:space="preserve"> </v>
      </c>
    </row>
    <row r="198" spans="1:16" x14ac:dyDescent="0.35">
      <c r="A198" t="str">
        <f>IF(ISBLANK(Input!A198)," ",ROUNDDOWN(aux_sheet!B198,0))</f>
        <v xml:space="preserve"> </v>
      </c>
      <c r="B198" t="str">
        <f ca="1">IF(ISBLANK(Input!A198)," ",INDIRECT("Input!A"&amp;1+MATCH(H198,aux_sheet!$A$2:$A$202,0)))</f>
        <v xml:space="preserve"> </v>
      </c>
      <c r="C198" t="str">
        <f ca="1">IF(ISBLANK(Input!B198)," ",INDIRECT("Input!B"&amp;1+MATCH($H198,aux_sheet!$A$2:$A$202,0)))</f>
        <v xml:space="preserve"> </v>
      </c>
      <c r="D198" t="str">
        <f ca="1">IF(ISBLANK(Input!C198)," ",INDIRECT("Input!C"&amp;1+MATCH($H198,aux_sheet!$A$2:$A$202,0)))</f>
        <v xml:space="preserve"> </v>
      </c>
      <c r="E198" t="str">
        <f ca="1">IF(ISBLANK(Input!D198)," ",INDIRECT("Input!D"&amp;1+MATCH($H198,aux_sheet!$A$2:$A$202,0)))</f>
        <v xml:space="preserve"> </v>
      </c>
      <c r="F198" t="str">
        <f ca="1">INDIRECT("Input!F"&amp;1+MATCH($H198,aux_sheet!$A$2:$A$202,0))</f>
        <v xml:space="preserve"> </v>
      </c>
      <c r="G198">
        <f ca="1">IF(ISBLANK(Input!E198)," ",INDIRECT("Input!AP"&amp;1+MATCH($H198,aux_sheet!$A$2:$A$202,0)))</f>
        <v>0</v>
      </c>
      <c r="H198">
        <f>aux_sheet!B198</f>
        <v>1000</v>
      </c>
      <c r="J198" t="str">
        <f t="shared" si="14"/>
        <v xml:space="preserve"> </v>
      </c>
      <c r="K198">
        <v>197</v>
      </c>
      <c r="L198" t="str">
        <f t="shared" ca="1" si="15"/>
        <v xml:space="preserve"> </v>
      </c>
      <c r="M198" t="str">
        <f t="shared" ca="1" si="13"/>
        <v xml:space="preserve"> </v>
      </c>
      <c r="N198" s="3" t="str">
        <f t="shared" ca="1" si="16"/>
        <v xml:space="preserve"> </v>
      </c>
      <c r="O198" s="3" t="str">
        <f ca="1">IF(ISNUMBER($L198),INDIRECT("Input!A"&amp;1+MATCH($M198,aux_sheet!$A$2:$A$202,0))," ")</f>
        <v xml:space="preserve"> </v>
      </c>
      <c r="P198" s="3" t="str">
        <f ca="1">IF(ISNUMBER($L198),INDIRECT("Input!B"&amp;1+MATCH($M198,aux_sheet!$A$2:$A$202,0))," ")</f>
        <v xml:space="preserve"> </v>
      </c>
    </row>
    <row r="199" spans="1:16" x14ac:dyDescent="0.35">
      <c r="A199" t="str">
        <f>IF(ISBLANK(Input!A199)," ",ROUNDDOWN(aux_sheet!B199,0))</f>
        <v xml:space="preserve"> </v>
      </c>
      <c r="B199" t="str">
        <f ca="1">IF(ISBLANK(Input!A199)," ",INDIRECT("Input!A"&amp;1+MATCH(H199,aux_sheet!$A$2:$A$202,0)))</f>
        <v xml:space="preserve"> </v>
      </c>
      <c r="C199" t="str">
        <f ca="1">IF(ISBLANK(Input!B199)," ",INDIRECT("Input!B"&amp;1+MATCH($H199,aux_sheet!$A$2:$A$202,0)))</f>
        <v xml:space="preserve"> </v>
      </c>
      <c r="D199" t="str">
        <f ca="1">IF(ISBLANK(Input!C199)," ",INDIRECT("Input!C"&amp;1+MATCH($H199,aux_sheet!$A$2:$A$202,0)))</f>
        <v xml:space="preserve"> </v>
      </c>
      <c r="E199" t="str">
        <f ca="1">IF(ISBLANK(Input!D199)," ",INDIRECT("Input!D"&amp;1+MATCH($H199,aux_sheet!$A$2:$A$202,0)))</f>
        <v xml:space="preserve"> </v>
      </c>
      <c r="F199" t="str">
        <f ca="1">INDIRECT("Input!F"&amp;1+MATCH($H199,aux_sheet!$A$2:$A$202,0))</f>
        <v xml:space="preserve"> </v>
      </c>
      <c r="G199">
        <f ca="1">IF(ISBLANK(Input!E199)," ",INDIRECT("Input!AP"&amp;1+MATCH($H199,aux_sheet!$A$2:$A$202,0)))</f>
        <v>0</v>
      </c>
      <c r="H199">
        <f>aux_sheet!B199</f>
        <v>1000</v>
      </c>
      <c r="J199" t="str">
        <f t="shared" si="14"/>
        <v xml:space="preserve"> </v>
      </c>
      <c r="K199">
        <v>198</v>
      </c>
      <c r="L199" t="str">
        <f t="shared" ca="1" si="15"/>
        <v xml:space="preserve"> </v>
      </c>
      <c r="M199" t="str">
        <f t="shared" ca="1" si="13"/>
        <v xml:space="preserve"> </v>
      </c>
      <c r="N199" s="3" t="str">
        <f t="shared" ca="1" si="16"/>
        <v xml:space="preserve"> </v>
      </c>
      <c r="O199" s="3" t="str">
        <f ca="1">IF(ISNUMBER($L199),INDIRECT("Input!A"&amp;1+MATCH($M199,aux_sheet!$A$2:$A$202,0))," ")</f>
        <v xml:space="preserve"> </v>
      </c>
      <c r="P199" s="3" t="str">
        <f ca="1">IF(ISNUMBER($L199),INDIRECT("Input!B"&amp;1+MATCH($M199,aux_sheet!$A$2:$A$202,0))," ")</f>
        <v xml:space="preserve"> </v>
      </c>
    </row>
    <row r="200" spans="1:16" x14ac:dyDescent="0.35">
      <c r="A200" t="str">
        <f>IF(ISBLANK(Input!A200)," ",ROUNDDOWN(aux_sheet!B200,0))</f>
        <v xml:space="preserve"> </v>
      </c>
      <c r="B200" t="str">
        <f ca="1">IF(ISBLANK(Input!A200)," ",INDIRECT("Input!A"&amp;1+MATCH(H200,aux_sheet!$A$2:$A$202,0)))</f>
        <v xml:space="preserve"> </v>
      </c>
      <c r="C200" t="str">
        <f ca="1">IF(ISBLANK(Input!B200)," ",INDIRECT("Input!B"&amp;1+MATCH($H200,aux_sheet!$A$2:$A$202,0)))</f>
        <v xml:space="preserve"> </v>
      </c>
      <c r="D200" t="str">
        <f ca="1">IF(ISBLANK(Input!C200)," ",INDIRECT("Input!C"&amp;1+MATCH($H200,aux_sheet!$A$2:$A$202,0)))</f>
        <v xml:space="preserve"> </v>
      </c>
      <c r="E200" t="str">
        <f ca="1">IF(ISBLANK(Input!D200)," ",INDIRECT("Input!D"&amp;1+MATCH($H200,aux_sheet!$A$2:$A$202,0)))</f>
        <v xml:space="preserve"> </v>
      </c>
      <c r="F200" t="str">
        <f ca="1">INDIRECT("Input!F"&amp;1+MATCH($H200,aux_sheet!$A$2:$A$202,0))</f>
        <v xml:space="preserve"> </v>
      </c>
      <c r="G200">
        <f ca="1">IF(ISBLANK(Input!E200)," ",INDIRECT("Input!AP"&amp;1+MATCH($H200,aux_sheet!$A$2:$A$202,0)))</f>
        <v>0</v>
      </c>
      <c r="H200">
        <f>aux_sheet!B200</f>
        <v>1000</v>
      </c>
      <c r="J200" t="str">
        <f t="shared" si="14"/>
        <v xml:space="preserve"> </v>
      </c>
      <c r="K200">
        <v>199</v>
      </c>
      <c r="L200" t="str">
        <f t="shared" ca="1" si="15"/>
        <v xml:space="preserve"> </v>
      </c>
      <c r="M200" t="str">
        <f t="shared" ca="1" si="13"/>
        <v xml:space="preserve"> </v>
      </c>
      <c r="N200" s="3" t="str">
        <f t="shared" ca="1" si="16"/>
        <v xml:space="preserve"> </v>
      </c>
      <c r="O200" s="3" t="str">
        <f ca="1">IF(ISNUMBER($L200),INDIRECT("Input!A"&amp;1+MATCH($M200,aux_sheet!$A$2:$A$202,0))," ")</f>
        <v xml:space="preserve"> </v>
      </c>
      <c r="P200" s="3" t="str">
        <f ca="1">IF(ISNUMBER($L200),INDIRECT("Input!B"&amp;1+MATCH($M200,aux_sheet!$A$2:$A$202,0))," ")</f>
        <v xml:space="preserve"> </v>
      </c>
    </row>
    <row r="201" spans="1:16" x14ac:dyDescent="0.35">
      <c r="A201" t="str">
        <f>IF(ISBLANK(Input!A201)," ",ROUNDDOWN(aux_sheet!B201,0))</f>
        <v xml:space="preserve"> </v>
      </c>
      <c r="B201" t="str">
        <f ca="1">IF(ISBLANK(Input!A201)," ",INDIRECT("Input!A"&amp;1+MATCH(H201,aux_sheet!$A$2:$A$202,0)))</f>
        <v xml:space="preserve"> </v>
      </c>
      <c r="C201" t="str">
        <f ca="1">IF(ISBLANK(Input!B201)," ",INDIRECT("Input!B"&amp;1+MATCH($H201,aux_sheet!$A$2:$A$202,0)))</f>
        <v xml:space="preserve"> </v>
      </c>
      <c r="D201" t="str">
        <f ca="1">IF(ISBLANK(Input!C201)," ",INDIRECT("Input!C"&amp;1+MATCH($H201,aux_sheet!$A$2:$A$202,0)))</f>
        <v xml:space="preserve"> </v>
      </c>
      <c r="E201" t="str">
        <f ca="1">IF(ISBLANK(Input!D201)," ",INDIRECT("Input!D"&amp;1+MATCH($H201,aux_sheet!$A$2:$A$202,0)))</f>
        <v xml:space="preserve"> </v>
      </c>
      <c r="F201" t="str">
        <f ca="1">INDIRECT("Input!F"&amp;1+MATCH($H201,aux_sheet!$A$2:$A$202,0))</f>
        <v xml:space="preserve"> </v>
      </c>
      <c r="G201">
        <f ca="1">IF(ISBLANK(Input!E201)," ",INDIRECT("Input!AP"&amp;1+MATCH($H201,aux_sheet!$A$2:$A$202,0)))</f>
        <v>0</v>
      </c>
      <c r="H201">
        <f>aux_sheet!B201</f>
        <v>1000</v>
      </c>
      <c r="J201" t="str">
        <f t="shared" si="14"/>
        <v xml:space="preserve"> </v>
      </c>
      <c r="K201">
        <v>200</v>
      </c>
      <c r="L201" t="str">
        <f t="shared" ca="1" si="15"/>
        <v xml:space="preserve"> </v>
      </c>
      <c r="M201" t="str">
        <f t="shared" ca="1" si="13"/>
        <v xml:space="preserve"> </v>
      </c>
      <c r="N201" s="3" t="str">
        <f t="shared" ca="1" si="16"/>
        <v xml:space="preserve"> </v>
      </c>
      <c r="O201" s="3" t="str">
        <f ca="1">IF(ISNUMBER($L201),INDIRECT("Input!A"&amp;1+MATCH($M201,aux_sheet!$A$2:$A$202,0))," ")</f>
        <v xml:space="preserve"> </v>
      </c>
      <c r="P201" s="3" t="str">
        <f ca="1">IF(ISNUMBER($L201),INDIRECT("Input!B"&amp;1+MATCH($M201,aux_sheet!$A$2:$A$202,0))," ")</f>
        <v xml:space="preserve"> </v>
      </c>
    </row>
    <row r="202" spans="1:16" x14ac:dyDescent="0.35">
      <c r="A202" t="str">
        <f>IF(ISBLANK(Input!A202)," ",ROUNDDOWN(aux_sheet!B202,0))</f>
        <v xml:space="preserve"> </v>
      </c>
      <c r="B202" t="str">
        <f ca="1">IF(ISBLANK(Input!A202)," ",INDIRECT("Input!A"&amp;1+MATCH(H202,aux_sheet!$A$2:$A$202,0)))</f>
        <v xml:space="preserve"> </v>
      </c>
      <c r="C202" t="str">
        <f ca="1">IF(ISBLANK(Input!B202)," ",INDIRECT("Input!B"&amp;1+MATCH($H202,aux_sheet!$A$2:$A$202,0)))</f>
        <v xml:space="preserve"> </v>
      </c>
      <c r="D202" t="str">
        <f ca="1">IF(ISBLANK(Input!C202)," ",INDIRECT("Input!C"&amp;1+MATCH($H202,aux_sheet!$A$2:$A$202,0)))</f>
        <v xml:space="preserve"> </v>
      </c>
      <c r="E202" t="str">
        <f ca="1">IF(ISBLANK(Input!D202)," ",INDIRECT("Input!D"&amp;1+MATCH($H202,aux_sheet!$A$2:$A$202,0)))</f>
        <v xml:space="preserve"> </v>
      </c>
      <c r="F202" t="str">
        <f ca="1">INDIRECT("Input!F"&amp;1+MATCH($H202,aux_sheet!$A$2:$A$202,0))</f>
        <v xml:space="preserve"> </v>
      </c>
      <c r="G202" t="str">
        <f ca="1">IF(ISBLANK(Input!E202)," ",INDIRECT("Input!AP"&amp;1+MATCH($H202,aux_sheet!$A$2:$A$202,0)))</f>
        <v xml:space="preserve"> </v>
      </c>
      <c r="H202">
        <f>aux_sheet!B202</f>
        <v>1000</v>
      </c>
      <c r="J202" t="str">
        <f t="shared" si="14"/>
        <v xml:space="preserve"> </v>
      </c>
      <c r="K202">
        <v>201</v>
      </c>
      <c r="L202" t="str">
        <f t="shared" ca="1" si="15"/>
        <v xml:space="preserve"> </v>
      </c>
      <c r="M202" t="str">
        <f t="shared" ca="1" si="13"/>
        <v xml:space="preserve"> </v>
      </c>
      <c r="N202" s="3" t="str">
        <f t="shared" ca="1" si="16"/>
        <v xml:space="preserve"> </v>
      </c>
      <c r="O202" s="3" t="str">
        <f ca="1">IF(ISNUMBER($L202),INDIRECT("Input!A"&amp;1+MATCH($M202,aux_sheet!$A$2:$A$202,0))," ")</f>
        <v xml:space="preserve"> </v>
      </c>
      <c r="P202" s="3" t="str">
        <f ca="1">IF(ISNUMBER($L202),INDIRECT("Input!B"&amp;1+MATCH($M202,aux_sheet!$A$2:$A$202,0))," ")</f>
        <v xml:space="preserve"> </v>
      </c>
    </row>
    <row r="203" spans="1:16" x14ac:dyDescent="0.35">
      <c r="G203" t="str">
        <f ca="1">IF(ISBLANK(Input!E203)," ",INDIRECT("Input!AP"&amp;1+MATCH($H203,aux_sheet!$A$2:$A$202,0)))</f>
        <v xml:space="preserve"> </v>
      </c>
    </row>
  </sheetData>
  <sheetProtection sheet="1" objects="1" scenarios="1"/>
  <customSheetViews>
    <customSheetView guid="{A9C4060D-48A6-4A71-A108-B3947866F802}">
      <selection activeCell="M19" sqref="M19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3" tint="0.59999389629810485"/>
  </sheetPr>
  <dimension ref="A1:S202"/>
  <sheetViews>
    <sheetView workbookViewId="0">
      <selection activeCell="U24" sqref="U24"/>
    </sheetView>
  </sheetViews>
  <sheetFormatPr baseColWidth="10" defaultRowHeight="15.5" x14ac:dyDescent="0.35"/>
  <cols>
    <col min="2" max="2" width="14.83203125" customWidth="1"/>
    <col min="7" max="7" width="13.83203125" style="6" customWidth="1"/>
    <col min="10" max="10" width="13.4140625" customWidth="1"/>
    <col min="13" max="13" width="14.08203125" customWidth="1"/>
    <col min="14" max="14" width="12.33203125" style="3" customWidth="1"/>
    <col min="15" max="16" width="10.83203125" style="3"/>
  </cols>
  <sheetData>
    <row r="1" spans="1:19" x14ac:dyDescent="0.35">
      <c r="A1" t="s">
        <v>5</v>
      </c>
      <c r="B1" t="s">
        <v>3</v>
      </c>
      <c r="C1" t="s">
        <v>16</v>
      </c>
      <c r="D1" t="s">
        <v>17</v>
      </c>
      <c r="E1" t="s">
        <v>18</v>
      </c>
      <c r="F1" t="s">
        <v>1</v>
      </c>
      <c r="G1" s="10" t="s">
        <v>29</v>
      </c>
      <c r="H1" t="s">
        <v>8</v>
      </c>
      <c r="J1" t="s">
        <v>30</v>
      </c>
      <c r="K1">
        <f ca="1">1+COUNTIF($J$2:$J$1000,"&gt;0")</f>
        <v>7</v>
      </c>
      <c r="M1" t="s">
        <v>31</v>
      </c>
      <c r="N1" s="3" t="s">
        <v>34</v>
      </c>
      <c r="O1" s="3" t="s">
        <v>32</v>
      </c>
      <c r="P1" s="3" t="s">
        <v>33</v>
      </c>
    </row>
    <row r="2" spans="1:19" x14ac:dyDescent="0.35">
      <c r="A2">
        <f>IF(ISBLANK(Input!A2)," ",ROUNDDOWN(aux_sheet_RRS!E2,0))</f>
        <v>1</v>
      </c>
      <c r="B2" t="str">
        <f ca="1">IF(ISBLANK(Input!A2)," ",INDIRECT("Input!A"&amp;1+MATCH($H2,aux_sheet_RRS!$D$2:$D$202,0)))</f>
        <v>test4</v>
      </c>
      <c r="C2" t="str">
        <f ca="1">IF(ISBLANK(Input!B2)," ",INDIRECT("Input!B"&amp;1+MATCH($H2,aux_sheet_RRS!$D$2:$D$202,0)))</f>
        <v>a4</v>
      </c>
      <c r="D2" t="str">
        <f ca="1">IF(ISBLANK(Input!C2)," ",INDIRECT("Input!C"&amp;1+MATCH($H2,aux_sheet_RRS!$D$2:$D$202,0)))</f>
        <v>b4</v>
      </c>
      <c r="E2" t="str">
        <f ca="1">IF(ISBLANK(Input!D2)," ",INDIRECT("Input!D"&amp;1+MATCH($H2,aux_sheet_RRS!$D$2:$D$202,0)))</f>
        <v>j</v>
      </c>
      <c r="F2">
        <f ca="1">IF(ISBLANK(Input!E2)," ",INDIRECT("Input!H"&amp;1+MATCH($H2,aux_sheet_RRS!$D$2:$D$202,0)))</f>
        <v>1920</v>
      </c>
      <c r="G2">
        <f ca="1">IF(ISBLANK(Input!G2)," ",INDIRECT("Input!AP"&amp;1+MATCH($H2,aux_sheet_RRS!$D$2:$D$202,0)))</f>
        <v>0</v>
      </c>
      <c r="H2">
        <f>aux_sheet_RRS!E2</f>
        <v>1.0049999999999999</v>
      </c>
      <c r="J2">
        <f ca="1">IF(H2&gt;999," ",IF(G2="NP"," ",H2))</f>
        <v>1.0049999999999999</v>
      </c>
      <c r="K2">
        <v>1</v>
      </c>
      <c r="L2">
        <f ca="1">IF(K2&lt;$K$1,K2," ")</f>
        <v>1</v>
      </c>
      <c r="M2">
        <f ca="1">IF(ISNUMBER(L2),SMALL($J$2:$J$202,L2)," ")</f>
        <v>1.0049999999999999</v>
      </c>
      <c r="N2" s="3">
        <f ca="1">IF(ISNUMBER(M2),ROUNDDOWN(M2,0)," ")</f>
        <v>1</v>
      </c>
      <c r="O2" s="3" t="str">
        <f ca="1">IF(ISNUMBER($L2),INDIRECT("Input!A"&amp;1+MATCH($M2,aux_sheet_RRS!$D$2:$D$202,0))," ")</f>
        <v>test4</v>
      </c>
      <c r="P2" s="3" t="str">
        <f ca="1">IF(ISNUMBER($L2),INDIRECT("Input!B"&amp;1+MATCH($M2,aux_sheet_RRS!$D$2:$D$202,0))," ")</f>
        <v>a4</v>
      </c>
      <c r="Q2">
        <v>1</v>
      </c>
      <c r="R2" t="s">
        <v>241</v>
      </c>
      <c r="S2" t="s">
        <v>77</v>
      </c>
    </row>
    <row r="3" spans="1:19" x14ac:dyDescent="0.35">
      <c r="A3">
        <f>IF(ISBLANK(Input!A3)," ",ROUNDDOWN(aux_sheet_RRS!E3,0))</f>
        <v>2</v>
      </c>
      <c r="B3" t="str">
        <f ca="1">IF(ISBLANK(Input!A3)," ",INDIRECT("Input!A"&amp;1+MATCH($H3,aux_sheet_RRS!$D$2:$D$202,0)))</f>
        <v>test5</v>
      </c>
      <c r="C3" t="str">
        <f ca="1">IF(ISBLANK(Input!B3)," ",INDIRECT("Input!B"&amp;1+MATCH($H3,aux_sheet_RRS!$D$2:$D$202,0)))</f>
        <v>a5</v>
      </c>
      <c r="D3" t="str">
        <f ca="1">IF(ISBLANK(Input!C3)," ",INDIRECT("Input!C"&amp;1+MATCH($H3,aux_sheet_RRS!$D$2:$D$202,0)))</f>
        <v>b5</v>
      </c>
      <c r="E3" t="str">
        <f ca="1">IF(ISBLANK(Input!D3)," ",INDIRECT("Input!D"&amp;1+MATCH($H3,aux_sheet_RRS!$D$2:$D$202,0)))</f>
        <v>j</v>
      </c>
      <c r="F3">
        <f ca="1">IF(ISBLANK(Input!E3)," ",INDIRECT("Input!H"&amp;1+MATCH($H3,aux_sheet_RRS!$D$2:$D$202,0)))</f>
        <v>1889</v>
      </c>
      <c r="G3">
        <f ca="1">IF(ISBLANK(Input!G3)," ",INDIRECT("Input!AP"&amp;1+MATCH($H3,aux_sheet_RRS!$D$2:$D$202,0)))</f>
        <v>0</v>
      </c>
      <c r="H3">
        <f>aux_sheet_RRS!E3</f>
        <v>2.0059999999999998</v>
      </c>
      <c r="J3">
        <f t="shared" ref="J3:J12" ca="1" si="0">IF(H3&gt;999," ",IF(G3="NP"," ",H3))</f>
        <v>2.0059999999999998</v>
      </c>
      <c r="K3">
        <v>2</v>
      </c>
      <c r="L3">
        <f t="shared" ref="L3:L66" ca="1" si="1">IF(K3&lt;$K$1,K3," ")</f>
        <v>2</v>
      </c>
      <c r="M3">
        <f t="shared" ref="M3:M66" ca="1" si="2">IF(ISNUMBER(L3),SMALL($J$2:$J$202,L3)," ")</f>
        <v>2.0059999999999998</v>
      </c>
      <c r="N3" s="3">
        <f t="shared" ref="N3:N66" ca="1" si="3">IF(ISNUMBER(M3),ROUNDDOWN(M3,0)," ")</f>
        <v>2</v>
      </c>
      <c r="O3" s="3" t="str">
        <f ca="1">IF(ISNUMBER($L3),INDIRECT("Input!A"&amp;1+MATCH($M3,aux_sheet_RRS!$D$2:$D$202,0))," ")</f>
        <v>test5</v>
      </c>
      <c r="P3" s="3" t="str">
        <f ca="1">IF(ISNUMBER($L3),INDIRECT("Input!B"&amp;1+MATCH($M3,aux_sheet_RRS!$D$2:$D$202,0))," ")</f>
        <v>a5</v>
      </c>
      <c r="Q3">
        <v>2</v>
      </c>
      <c r="R3" t="s">
        <v>218</v>
      </c>
      <c r="S3" t="s">
        <v>242</v>
      </c>
    </row>
    <row r="4" spans="1:19" x14ac:dyDescent="0.35">
      <c r="A4">
        <f>IF(ISBLANK(Input!A4)," ",ROUNDDOWN(aux_sheet_RRS!E4,0))</f>
        <v>3</v>
      </c>
      <c r="B4" t="str">
        <f ca="1">IF(ISBLANK(Input!A4)," ",INDIRECT("Input!A"&amp;1+MATCH($H4,aux_sheet_RRS!$D$2:$D$202,0)))</f>
        <v>test3</v>
      </c>
      <c r="C4" t="str">
        <f ca="1">IF(ISBLANK(Input!B4)," ",INDIRECT("Input!B"&amp;1+MATCH($H4,aux_sheet_RRS!$D$2:$D$202,0)))</f>
        <v>a3</v>
      </c>
      <c r="D4" t="str">
        <f ca="1">IF(ISBLANK(Input!C4)," ",INDIRECT("Input!C"&amp;1+MATCH($H4,aux_sheet_RRS!$D$2:$D$202,0)))</f>
        <v>b3</v>
      </c>
      <c r="E4" t="str">
        <f ca="1">IF(ISBLANK(Input!D4)," ",INDIRECT("Input!D"&amp;1+MATCH($H4,aux_sheet_RRS!$D$2:$D$202,0)))</f>
        <v>j</v>
      </c>
      <c r="F4">
        <f ca="1">IF(ISBLANK(Input!E4)," ",INDIRECT("Input!H"&amp;1+MATCH($H4,aux_sheet_RRS!$D$2:$D$202,0)))</f>
        <v>1777</v>
      </c>
      <c r="G4">
        <f ca="1">IF(ISBLANK(Input!G4)," ",INDIRECT("Input!AP"&amp;1+MATCH($H4,aux_sheet_RRS!$D$2:$D$202,0)))</f>
        <v>0</v>
      </c>
      <c r="H4">
        <f>aux_sheet_RRS!E4</f>
        <v>3.004</v>
      </c>
      <c r="J4">
        <f t="shared" ca="1" si="0"/>
        <v>3.004</v>
      </c>
      <c r="K4">
        <v>3</v>
      </c>
      <c r="L4">
        <f t="shared" ca="1" si="1"/>
        <v>3</v>
      </c>
      <c r="M4">
        <f t="shared" ca="1" si="2"/>
        <v>3.004</v>
      </c>
      <c r="N4" s="3">
        <f t="shared" ca="1" si="3"/>
        <v>3</v>
      </c>
      <c r="O4" s="3" t="str">
        <f ca="1">IF(ISNUMBER($L4),INDIRECT("Input!A"&amp;1+MATCH($M4,aux_sheet_RRS!$D$2:$D$202,0))," ")</f>
        <v>test3</v>
      </c>
      <c r="P4" s="3" t="str">
        <f ca="1">IF(ISNUMBER($L4),INDIRECT("Input!B"&amp;1+MATCH($M4,aux_sheet_RRS!$D$2:$D$202,0))," ")</f>
        <v>a3</v>
      </c>
      <c r="Q4">
        <v>3</v>
      </c>
      <c r="R4" t="s">
        <v>202</v>
      </c>
      <c r="S4" t="s">
        <v>243</v>
      </c>
    </row>
    <row r="5" spans="1:19" x14ac:dyDescent="0.35">
      <c r="A5">
        <f>IF(ISBLANK(Input!A5)," ",ROUNDDOWN(aux_sheet_RRS!E5,0))</f>
        <v>4</v>
      </c>
      <c r="B5" t="str">
        <f ca="1">IF(ISBLANK(Input!A5)," ",INDIRECT("Input!A"&amp;1+MATCH($H5,aux_sheet_RRS!$D$2:$D$202,0)))</f>
        <v>test2</v>
      </c>
      <c r="C5" t="str">
        <f ca="1">IF(ISBLANK(Input!B5)," ",INDIRECT("Input!B"&amp;1+MATCH($H5,aux_sheet_RRS!$D$2:$D$202,0)))</f>
        <v>a2</v>
      </c>
      <c r="D5" t="str">
        <f ca="1">IF(ISBLANK(Input!C5)," ",INDIRECT("Input!C"&amp;1+MATCH($H5,aux_sheet_RRS!$D$2:$D$202,0)))</f>
        <v>b2</v>
      </c>
      <c r="E5" t="str">
        <f ca="1">IF(ISBLANK(Input!D5)," ",INDIRECT("Input!D"&amp;1+MATCH($H5,aux_sheet_RRS!$D$2:$D$202,0)))</f>
        <v>j</v>
      </c>
      <c r="F5">
        <f ca="1">IF(ISBLANK(Input!E5)," ",INDIRECT("Input!H"&amp;1+MATCH($H5,aux_sheet_RRS!$D$2:$D$202,0)))</f>
        <v>1619</v>
      </c>
      <c r="G5">
        <f ca="1">IF(ISBLANK(Input!G5)," ",INDIRECT("Input!AP"&amp;1+MATCH($H5,aux_sheet_RRS!$D$2:$D$202,0)))</f>
        <v>0</v>
      </c>
      <c r="H5">
        <f>aux_sheet_RRS!E5</f>
        <v>4.0030000000000001</v>
      </c>
      <c r="J5">
        <f t="shared" ca="1" si="0"/>
        <v>4.0030000000000001</v>
      </c>
      <c r="K5">
        <v>4</v>
      </c>
      <c r="L5">
        <f t="shared" ca="1" si="1"/>
        <v>4</v>
      </c>
      <c r="M5">
        <f t="shared" ca="1" si="2"/>
        <v>4.0030000000000001</v>
      </c>
      <c r="N5" s="3">
        <f t="shared" ca="1" si="3"/>
        <v>4</v>
      </c>
      <c r="O5" s="3" t="str">
        <f ca="1">IF(ISNUMBER($L5),INDIRECT("Input!A"&amp;1+MATCH($M5,aux_sheet_RRS!$D$2:$D$202,0))," ")</f>
        <v>test2</v>
      </c>
      <c r="P5" s="3" t="str">
        <f ca="1">IF(ISNUMBER($L5),INDIRECT("Input!B"&amp;1+MATCH($M5,aux_sheet_RRS!$D$2:$D$202,0))," ")</f>
        <v>a2</v>
      </c>
      <c r="Q5">
        <v>4</v>
      </c>
      <c r="R5" t="s">
        <v>219</v>
      </c>
      <c r="S5" t="s">
        <v>244</v>
      </c>
    </row>
    <row r="6" spans="1:19" x14ac:dyDescent="0.35">
      <c r="A6">
        <f>IF(ISBLANK(Input!A6)," ",ROUNDDOWN(aux_sheet_RRS!E6,0))</f>
        <v>5</v>
      </c>
      <c r="B6" t="str">
        <f ca="1">IF(ISBLANK(Input!A6)," ",INDIRECT("Input!A"&amp;1+MATCH($H6,aux_sheet_RRS!$D$2:$D$202,0)))</f>
        <v>test1</v>
      </c>
      <c r="C6" t="str">
        <f ca="1">IF(ISBLANK(Input!B6)," ",INDIRECT("Input!B"&amp;1+MATCH($H6,aux_sheet_RRS!$D$2:$D$202,0)))</f>
        <v>a1</v>
      </c>
      <c r="D6" t="str">
        <f ca="1">IF(ISBLANK(Input!C6)," ",INDIRECT("Input!C"&amp;1+MATCH($H6,aux_sheet_RRS!$D$2:$D$202,0)))</f>
        <v>b1</v>
      </c>
      <c r="E6" t="str">
        <f ca="1">IF(ISBLANK(Input!D6)," ",INDIRECT("Input!D"&amp;1+MATCH($H6,aux_sheet_RRS!$D$2:$D$202,0)))</f>
        <v>j</v>
      </c>
      <c r="F6">
        <f ca="1">IF(ISBLANK(Input!E6)," ",INDIRECT("Input!H"&amp;1+MATCH($H6,aux_sheet_RRS!$D$2:$D$202,0)))</f>
        <v>1178</v>
      </c>
      <c r="G6">
        <f ca="1">IF(ISBLANK(Input!G6)," ",INDIRECT("Input!AP"&amp;1+MATCH($H6,aux_sheet_RRS!$D$2:$D$202,0)))</f>
        <v>0</v>
      </c>
      <c r="H6">
        <f>aux_sheet_RRS!E6</f>
        <v>5.0019999999999998</v>
      </c>
      <c r="J6">
        <f t="shared" ca="1" si="0"/>
        <v>5.0019999999999998</v>
      </c>
      <c r="K6">
        <v>5</v>
      </c>
      <c r="L6">
        <f t="shared" ca="1" si="1"/>
        <v>5</v>
      </c>
      <c r="M6">
        <f t="shared" ca="1" si="2"/>
        <v>5.0019999999999998</v>
      </c>
      <c r="N6" s="3">
        <f t="shared" ca="1" si="3"/>
        <v>5</v>
      </c>
      <c r="O6" s="3" t="str">
        <f ca="1">IF(ISNUMBER($L6),INDIRECT("Input!A"&amp;1+MATCH($M6,aux_sheet_RRS!$D$2:$D$202,0))," ")</f>
        <v>test1</v>
      </c>
      <c r="P6" s="3" t="str">
        <f ca="1">IF(ISNUMBER($L6),INDIRECT("Input!B"&amp;1+MATCH($M6,aux_sheet_RRS!$D$2:$D$202,0))," ")</f>
        <v>a1</v>
      </c>
      <c r="Q6">
        <v>5</v>
      </c>
      <c r="R6" t="s">
        <v>220</v>
      </c>
      <c r="S6" t="s">
        <v>245</v>
      </c>
    </row>
    <row r="7" spans="1:19" x14ac:dyDescent="0.35">
      <c r="A7">
        <f>IF(ISBLANK(Input!A7)," ",ROUNDDOWN(aux_sheet_RRS!E7,0))</f>
        <v>6</v>
      </c>
      <c r="B7" t="str">
        <f ca="1">IF(ISBLANK(Input!A7)," ",INDIRECT("Input!A"&amp;1+MATCH($H7,aux_sheet_RRS!$D$2:$D$202,0)))</f>
        <v>test</v>
      </c>
      <c r="C7" t="str">
        <f ca="1">IF(ISBLANK(Input!B7)," ",INDIRECT("Input!B"&amp;1+MATCH($H7,aux_sheet_RRS!$D$2:$D$202,0)))</f>
        <v>a</v>
      </c>
      <c r="D7" t="str">
        <f ca="1">IF(ISBLANK(Input!C7)," ",INDIRECT("Input!C"&amp;1+MATCH($H7,aux_sheet_RRS!$D$2:$D$202,0)))</f>
        <v>b</v>
      </c>
      <c r="E7" t="str">
        <f ca="1">IF(ISBLANK(Input!D7)," ",INDIRECT("Input!D"&amp;1+MATCH($H7,aux_sheet_RRS!$D$2:$D$202,0)))</f>
        <v>j</v>
      </c>
      <c r="F7">
        <f ca="1">IF(ISBLANK(Input!E7)," ",INDIRECT("Input!H"&amp;1+MATCH($H7,aux_sheet_RRS!$D$2:$D$202,0)))</f>
        <v>887</v>
      </c>
      <c r="G7">
        <f ca="1">IF(ISBLANK(Input!G7)," ",INDIRECT("Input!AP"&amp;1+MATCH($H7,aux_sheet_RRS!$D$2:$D$202,0)))</f>
        <v>0</v>
      </c>
      <c r="H7">
        <f>aux_sheet_RRS!E7</f>
        <v>6.0010000000000003</v>
      </c>
      <c r="J7">
        <f t="shared" ca="1" si="0"/>
        <v>6.0010000000000003</v>
      </c>
      <c r="K7">
        <v>6</v>
      </c>
      <c r="L7">
        <f t="shared" ca="1" si="1"/>
        <v>6</v>
      </c>
      <c r="M7">
        <f t="shared" ca="1" si="2"/>
        <v>6.0010000000000003</v>
      </c>
      <c r="N7" s="3">
        <f t="shared" ca="1" si="3"/>
        <v>6</v>
      </c>
      <c r="O7" s="3" t="str">
        <f ca="1">IF(ISNUMBER($L7),INDIRECT("Input!A"&amp;1+MATCH($M7,aux_sheet_RRS!$D$2:$D$202,0))," ")</f>
        <v>test</v>
      </c>
      <c r="P7" s="3" t="str">
        <f ca="1">IF(ISNUMBER($L7),INDIRECT("Input!B"&amp;1+MATCH($M7,aux_sheet_RRS!$D$2:$D$202,0))," ")</f>
        <v>a</v>
      </c>
      <c r="Q7">
        <v>6</v>
      </c>
      <c r="R7" t="s">
        <v>221</v>
      </c>
      <c r="S7" t="s">
        <v>246</v>
      </c>
    </row>
    <row r="8" spans="1:19" x14ac:dyDescent="0.35">
      <c r="A8" t="str">
        <f>IF(ISBLANK(Input!A8)," ",ROUNDDOWN(aux_sheet_RRS!E8,0))</f>
        <v xml:space="preserve"> </v>
      </c>
      <c r="B8" t="str">
        <f ca="1">IF(ISBLANK(Input!A8)," ",INDIRECT("Input!A"&amp;1+MATCH($H8,aux_sheet_RRS!$D$2:$D$202,0)))</f>
        <v xml:space="preserve"> </v>
      </c>
      <c r="C8" t="str">
        <f ca="1">IF(ISBLANK(Input!B8)," ",INDIRECT("Input!B"&amp;1+MATCH($H8,aux_sheet_RRS!$D$2:$D$202,0)))</f>
        <v xml:space="preserve"> </v>
      </c>
      <c r="D8" t="str">
        <f ca="1">IF(ISBLANK(Input!C8)," ",INDIRECT("Input!C"&amp;1+MATCH($H8,aux_sheet_RRS!$D$2:$D$202,0)))</f>
        <v xml:space="preserve"> </v>
      </c>
      <c r="E8" t="str">
        <f ca="1">IF(ISBLANK(Input!D8)," ",INDIRECT("Input!D"&amp;1+MATCH($H8,aux_sheet_RRS!$D$2:$D$202,0)))</f>
        <v xml:space="preserve"> </v>
      </c>
      <c r="F8" t="str">
        <f ca="1">IF(ISBLANK(Input!E8)," ",INDIRECT("Input!H"&amp;1+MATCH($H8,aux_sheet_RRS!$D$2:$D$202,0)))</f>
        <v xml:space="preserve"> </v>
      </c>
      <c r="G8">
        <f ca="1">IF(ISBLANK(Input!G8)," ",INDIRECT("Input!AP"&amp;1+MATCH($H8,aux_sheet_RRS!$D$2:$D$202,0)))</f>
        <v>0</v>
      </c>
      <c r="H8">
        <f>aux_sheet_RRS!E8</f>
        <v>1000</v>
      </c>
      <c r="J8" t="str">
        <f t="shared" si="0"/>
        <v xml:space="preserve"> </v>
      </c>
      <c r="K8">
        <v>7</v>
      </c>
      <c r="L8" t="str">
        <f t="shared" ca="1" si="1"/>
        <v xml:space="preserve"> </v>
      </c>
      <c r="M8" t="str">
        <f t="shared" ca="1" si="2"/>
        <v xml:space="preserve"> </v>
      </c>
      <c r="N8" s="3" t="str">
        <f t="shared" ca="1" si="3"/>
        <v xml:space="preserve"> </v>
      </c>
      <c r="O8" s="3" t="str">
        <f ca="1">IF(ISNUMBER($L8),INDIRECT("Input!A"&amp;1+MATCH($M8,aux_sheet_RRS!$D$2:$D$202,0))," ")</f>
        <v xml:space="preserve"> </v>
      </c>
      <c r="P8" s="3" t="str">
        <f ca="1">IF(ISNUMBER($L8),INDIRECT("Input!B"&amp;1+MATCH($M8,aux_sheet_RRS!$D$2:$D$202,0))," ")</f>
        <v xml:space="preserve"> </v>
      </c>
      <c r="Q8" t="s">
        <v>111</v>
      </c>
      <c r="R8" t="s">
        <v>111</v>
      </c>
      <c r="S8" t="s">
        <v>111</v>
      </c>
    </row>
    <row r="9" spans="1:19" x14ac:dyDescent="0.35">
      <c r="A9" t="str">
        <f>IF(ISBLANK(Input!A9)," ",ROUNDDOWN(aux_sheet_RRS!E9,0))</f>
        <v xml:space="preserve"> </v>
      </c>
      <c r="B9" t="str">
        <f ca="1">IF(ISBLANK(Input!A9)," ",INDIRECT("Input!A"&amp;1+MATCH($H9,aux_sheet_RRS!$D$2:$D$202,0)))</f>
        <v xml:space="preserve"> </v>
      </c>
      <c r="C9" t="str">
        <f ca="1">IF(ISBLANK(Input!B9)," ",INDIRECT("Input!B"&amp;1+MATCH($H9,aux_sheet_RRS!$D$2:$D$202,0)))</f>
        <v xml:space="preserve"> </v>
      </c>
      <c r="D9" t="str">
        <f ca="1">IF(ISBLANK(Input!C9)," ",INDIRECT("Input!C"&amp;1+MATCH($H9,aux_sheet_RRS!$D$2:$D$202,0)))</f>
        <v xml:space="preserve"> </v>
      </c>
      <c r="E9" t="str">
        <f ca="1">IF(ISBLANK(Input!D9)," ",INDIRECT("Input!D"&amp;1+MATCH($H9,aux_sheet_RRS!$D$2:$D$202,0)))</f>
        <v xml:space="preserve"> </v>
      </c>
      <c r="F9" t="str">
        <f ca="1">IF(ISBLANK(Input!E9)," ",INDIRECT("Input!H"&amp;1+MATCH($H9,aux_sheet_RRS!$D$2:$D$202,0)))</f>
        <v xml:space="preserve"> </v>
      </c>
      <c r="G9">
        <f ca="1">IF(ISBLANK(Input!G9)," ",INDIRECT("Input!AP"&amp;1+MATCH($H9,aux_sheet_RRS!$D$2:$D$202,0)))</f>
        <v>0</v>
      </c>
      <c r="H9">
        <f>aux_sheet_RRS!E9</f>
        <v>1000</v>
      </c>
      <c r="J9" t="str">
        <f t="shared" si="0"/>
        <v xml:space="preserve"> </v>
      </c>
      <c r="K9">
        <v>8</v>
      </c>
      <c r="L9" t="str">
        <f t="shared" ca="1" si="1"/>
        <v xml:space="preserve"> </v>
      </c>
      <c r="M9" t="str">
        <f t="shared" ca="1" si="2"/>
        <v xml:space="preserve"> </v>
      </c>
      <c r="N9" s="3" t="str">
        <f t="shared" ca="1" si="3"/>
        <v xml:space="preserve"> </v>
      </c>
      <c r="O9" s="3" t="str">
        <f ca="1">IF(ISNUMBER($L9),INDIRECT("Input!A"&amp;1+MATCH($M9,aux_sheet_RRS!$D$2:$D$202,0))," ")</f>
        <v xml:space="preserve"> </v>
      </c>
      <c r="P9" s="3" t="str">
        <f ca="1">IF(ISNUMBER($L9),INDIRECT("Input!B"&amp;1+MATCH($M9,aux_sheet_RRS!$D$2:$D$202,0))," ")</f>
        <v xml:space="preserve"> </v>
      </c>
      <c r="Q9" t="s">
        <v>111</v>
      </c>
      <c r="R9" t="s">
        <v>111</v>
      </c>
      <c r="S9" t="s">
        <v>111</v>
      </c>
    </row>
    <row r="10" spans="1:19" x14ac:dyDescent="0.35">
      <c r="A10" t="str">
        <f>IF(ISBLANK(Input!A10)," ",ROUNDDOWN(aux_sheet_RRS!E10,0))</f>
        <v xml:space="preserve"> </v>
      </c>
      <c r="B10" t="str">
        <f ca="1">IF(ISBLANK(Input!A10)," ",INDIRECT("Input!A"&amp;1+MATCH($H10,aux_sheet_RRS!$D$2:$D$202,0)))</f>
        <v xml:space="preserve"> </v>
      </c>
      <c r="C10" t="str">
        <f ca="1">IF(ISBLANK(Input!B10)," ",INDIRECT("Input!B"&amp;1+MATCH($H10,aux_sheet_RRS!$D$2:$D$202,0)))</f>
        <v xml:space="preserve"> </v>
      </c>
      <c r="D10" t="str">
        <f ca="1">IF(ISBLANK(Input!C10)," ",INDIRECT("Input!C"&amp;1+MATCH($H10,aux_sheet_RRS!$D$2:$D$202,0)))</f>
        <v xml:space="preserve"> </v>
      </c>
      <c r="E10" t="str">
        <f ca="1">IF(ISBLANK(Input!D10)," ",INDIRECT("Input!D"&amp;1+MATCH($H10,aux_sheet_RRS!$D$2:$D$202,0)))</f>
        <v xml:space="preserve"> </v>
      </c>
      <c r="F10" t="str">
        <f ca="1">IF(ISBLANK(Input!E10)," ",INDIRECT("Input!H"&amp;1+MATCH($H10,aux_sheet_RRS!$D$2:$D$202,0)))</f>
        <v xml:space="preserve"> </v>
      </c>
      <c r="G10">
        <f ca="1">IF(ISBLANK(Input!G10)," ",INDIRECT("Input!AP"&amp;1+MATCH($H10,aux_sheet_RRS!$D$2:$D$202,0)))</f>
        <v>0</v>
      </c>
      <c r="H10">
        <f>aux_sheet_RRS!E10</f>
        <v>1000</v>
      </c>
      <c r="J10" t="str">
        <f t="shared" si="0"/>
        <v xml:space="preserve"> </v>
      </c>
      <c r="K10">
        <v>9</v>
      </c>
      <c r="L10" t="str">
        <f t="shared" ca="1" si="1"/>
        <v xml:space="preserve"> </v>
      </c>
      <c r="M10" t="str">
        <f t="shared" ca="1" si="2"/>
        <v xml:space="preserve"> </v>
      </c>
      <c r="N10" s="3" t="str">
        <f t="shared" ca="1" si="3"/>
        <v xml:space="preserve"> </v>
      </c>
      <c r="O10" s="3" t="str">
        <f ca="1">IF(ISNUMBER($L10),INDIRECT("Input!A"&amp;1+MATCH($M10,aux_sheet_RRS!$D$2:$D$202,0))," ")</f>
        <v xml:space="preserve"> </v>
      </c>
      <c r="P10" s="3" t="str">
        <f ca="1">IF(ISNUMBER($L10),INDIRECT("Input!B"&amp;1+MATCH($M10,aux_sheet_RRS!$D$2:$D$202,0))," ")</f>
        <v xml:space="preserve"> </v>
      </c>
      <c r="Q10" t="s">
        <v>111</v>
      </c>
      <c r="R10" t="s">
        <v>111</v>
      </c>
      <c r="S10" t="s">
        <v>111</v>
      </c>
    </row>
    <row r="11" spans="1:19" x14ac:dyDescent="0.35">
      <c r="A11" t="str">
        <f>IF(ISBLANK(Input!A11)," ",ROUNDDOWN(aux_sheet_RRS!E11,0))</f>
        <v xml:space="preserve"> </v>
      </c>
      <c r="B11" t="str">
        <f ca="1">IF(ISBLANK(Input!A11)," ",INDIRECT("Input!A"&amp;1+MATCH($H11,aux_sheet_RRS!$D$2:$D$202,0)))</f>
        <v xml:space="preserve"> </v>
      </c>
      <c r="C11" t="str">
        <f ca="1">IF(ISBLANK(Input!B11)," ",INDIRECT("Input!B"&amp;1+MATCH($H11,aux_sheet_RRS!$D$2:$D$202,0)))</f>
        <v xml:space="preserve"> </v>
      </c>
      <c r="D11" t="str">
        <f ca="1">IF(ISBLANK(Input!C11)," ",INDIRECT("Input!C"&amp;1+MATCH($H11,aux_sheet_RRS!$D$2:$D$202,0)))</f>
        <v xml:space="preserve"> </v>
      </c>
      <c r="E11" t="str">
        <f ca="1">IF(ISBLANK(Input!D11)," ",INDIRECT("Input!D"&amp;1+MATCH($H11,aux_sheet_RRS!$D$2:$D$202,0)))</f>
        <v xml:space="preserve"> </v>
      </c>
      <c r="F11" t="str">
        <f ca="1">IF(ISBLANK(Input!E11)," ",INDIRECT("Input!H"&amp;1+MATCH($H11,aux_sheet_RRS!$D$2:$D$202,0)))</f>
        <v xml:space="preserve"> </v>
      </c>
      <c r="G11">
        <f ca="1">IF(ISBLANK(Input!G11)," ",INDIRECT("Input!AP"&amp;1+MATCH($H11,aux_sheet_RRS!$D$2:$D$202,0)))</f>
        <v>0</v>
      </c>
      <c r="H11">
        <f>aux_sheet_RRS!E11</f>
        <v>1000</v>
      </c>
      <c r="J11" t="str">
        <f t="shared" si="0"/>
        <v xml:space="preserve"> </v>
      </c>
      <c r="K11">
        <v>10</v>
      </c>
      <c r="L11" t="str">
        <f t="shared" ca="1" si="1"/>
        <v xml:space="preserve"> </v>
      </c>
      <c r="M11" t="str">
        <f t="shared" ca="1" si="2"/>
        <v xml:space="preserve"> </v>
      </c>
      <c r="N11" s="3" t="str">
        <f t="shared" ca="1" si="3"/>
        <v xml:space="preserve"> </v>
      </c>
      <c r="O11" s="3" t="str">
        <f ca="1">IF(ISNUMBER($L11),INDIRECT("Input!A"&amp;1+MATCH($M11,aux_sheet_RRS!$D$2:$D$202,0))," ")</f>
        <v xml:space="preserve"> </v>
      </c>
      <c r="P11" s="3" t="str">
        <f ca="1">IF(ISNUMBER($L11),INDIRECT("Input!B"&amp;1+MATCH($M11,aux_sheet_RRS!$D$2:$D$202,0))," ")</f>
        <v xml:space="preserve"> </v>
      </c>
      <c r="Q11" t="s">
        <v>111</v>
      </c>
      <c r="R11" t="s">
        <v>111</v>
      </c>
      <c r="S11" t="s">
        <v>111</v>
      </c>
    </row>
    <row r="12" spans="1:19" x14ac:dyDescent="0.35">
      <c r="A12" t="str">
        <f>IF(ISBLANK(Input!A12)," ",ROUNDDOWN(aux_sheet_RRS!E12,0))</f>
        <v xml:space="preserve"> </v>
      </c>
      <c r="B12" t="str">
        <f ca="1">IF(ISBLANK(Input!A12)," ",INDIRECT("Input!A"&amp;1+MATCH($H12,aux_sheet_RRS!$D$2:$D$202,0)))</f>
        <v xml:space="preserve"> </v>
      </c>
      <c r="C12" t="str">
        <f ca="1">IF(ISBLANK(Input!B12)," ",INDIRECT("Input!B"&amp;1+MATCH($H12,aux_sheet_RRS!$D$2:$D$202,0)))</f>
        <v xml:space="preserve"> </v>
      </c>
      <c r="D12" t="str">
        <f ca="1">IF(ISBLANK(Input!C12)," ",INDIRECT("Input!C"&amp;1+MATCH($H12,aux_sheet_RRS!$D$2:$D$202,0)))</f>
        <v xml:space="preserve"> </v>
      </c>
      <c r="E12" t="str">
        <f ca="1">IF(ISBLANK(Input!D12)," ",INDIRECT("Input!D"&amp;1+MATCH($H12,aux_sheet_RRS!$D$2:$D$202,0)))</f>
        <v xml:space="preserve"> </v>
      </c>
      <c r="F12" t="str">
        <f ca="1">IF(ISBLANK(Input!E12)," ",INDIRECT("Input!H"&amp;1+MATCH($H12,aux_sheet_RRS!$D$2:$D$202,0)))</f>
        <v xml:space="preserve"> </v>
      </c>
      <c r="G12">
        <f ca="1">IF(ISBLANK(Input!G12)," ",INDIRECT("Input!AP"&amp;1+MATCH($H12,aux_sheet_RRS!$D$2:$D$202,0)))</f>
        <v>0</v>
      </c>
      <c r="H12">
        <f>aux_sheet_RRS!E12</f>
        <v>1000</v>
      </c>
      <c r="J12" t="str">
        <f t="shared" si="0"/>
        <v xml:space="preserve"> </v>
      </c>
      <c r="K12">
        <v>11</v>
      </c>
      <c r="L12" t="str">
        <f t="shared" ca="1" si="1"/>
        <v xml:space="preserve"> </v>
      </c>
      <c r="M12" t="str">
        <f t="shared" ca="1" si="2"/>
        <v xml:space="preserve"> </v>
      </c>
      <c r="N12" s="3" t="str">
        <f t="shared" ca="1" si="3"/>
        <v xml:space="preserve"> </v>
      </c>
      <c r="O12" s="3" t="str">
        <f ca="1">IF(ISNUMBER($L12),INDIRECT("Input!A"&amp;1+MATCH($M12,aux_sheet_RRS!$D$2:$D$202,0))," ")</f>
        <v xml:space="preserve"> </v>
      </c>
      <c r="P12" s="3" t="str">
        <f ca="1">IF(ISNUMBER($L12),INDIRECT("Input!B"&amp;1+MATCH($M12,aux_sheet_RRS!$D$2:$D$202,0))," ")</f>
        <v xml:space="preserve"> </v>
      </c>
    </row>
    <row r="13" spans="1:19" x14ac:dyDescent="0.35">
      <c r="A13" t="str">
        <f>IF(ISBLANK(Input!A13)," ",ROUNDDOWN(aux_sheet_RRS!E13,0))</f>
        <v xml:space="preserve"> </v>
      </c>
      <c r="B13" t="str">
        <f ca="1">IF(ISBLANK(Input!A13)," ",INDIRECT("Input!A"&amp;1+MATCH($H13,aux_sheet_RRS!$D$2:$D$202,0)))</f>
        <v xml:space="preserve"> </v>
      </c>
      <c r="C13" t="str">
        <f ca="1">IF(ISBLANK(Input!B13)," ",INDIRECT("Input!B"&amp;1+MATCH($H13,aux_sheet_RRS!$D$2:$D$202,0)))</f>
        <v xml:space="preserve"> </v>
      </c>
      <c r="D13" t="str">
        <f ca="1">IF(ISBLANK(Input!C13)," ",INDIRECT("Input!C"&amp;1+MATCH($H13,aux_sheet_RRS!$D$2:$D$202,0)))</f>
        <v xml:space="preserve"> </v>
      </c>
      <c r="E13" t="str">
        <f ca="1">IF(ISBLANK(Input!D13)," ",INDIRECT("Input!D"&amp;1+MATCH($H13,aux_sheet_RRS!$D$2:$D$202,0)))</f>
        <v xml:space="preserve"> </v>
      </c>
      <c r="F13" t="str">
        <f ca="1">IF(ISBLANK(Input!E13)," ",INDIRECT("Input!H"&amp;1+MATCH($H13,aux_sheet_RRS!$D$2:$D$202,0)))</f>
        <v xml:space="preserve"> </v>
      </c>
      <c r="G13">
        <f ca="1">IF(ISBLANK(Input!G13)," ",INDIRECT("Input!AP"&amp;1+MATCH($H13,aux_sheet_RRS!$D$2:$D$202,0)))</f>
        <v>0</v>
      </c>
      <c r="H13">
        <f>aux_sheet_RRS!E13</f>
        <v>1000</v>
      </c>
      <c r="J13" t="str">
        <f t="shared" ref="J13:J76" si="4">IF(H13&gt;999," ",IF(G13="NP"," ",H13))</f>
        <v xml:space="preserve"> </v>
      </c>
      <c r="K13">
        <v>12</v>
      </c>
      <c r="L13" t="str">
        <f t="shared" ca="1" si="1"/>
        <v xml:space="preserve"> </v>
      </c>
      <c r="M13" t="str">
        <f t="shared" ca="1" si="2"/>
        <v xml:space="preserve"> </v>
      </c>
      <c r="N13" s="3" t="str">
        <f t="shared" ca="1" si="3"/>
        <v xml:space="preserve"> </v>
      </c>
      <c r="O13" s="3" t="str">
        <f ca="1">IF(ISNUMBER($L13),INDIRECT("Input!A"&amp;1+MATCH($M13,aux_sheet_RRS!$D$2:$D$202,0))," ")</f>
        <v xml:space="preserve"> </v>
      </c>
      <c r="P13" s="3" t="str">
        <f ca="1">IF(ISNUMBER($L13),INDIRECT("Input!B"&amp;1+MATCH($M13,aux_sheet_RRS!$D$2:$D$202,0))," ")</f>
        <v xml:space="preserve"> </v>
      </c>
    </row>
    <row r="14" spans="1:19" x14ac:dyDescent="0.35">
      <c r="A14" t="str">
        <f>IF(ISBLANK(Input!A14)," ",ROUNDDOWN(aux_sheet_RRS!E14,0))</f>
        <v xml:space="preserve"> </v>
      </c>
      <c r="B14" t="str">
        <f ca="1">IF(ISBLANK(Input!A14)," ",INDIRECT("Input!A"&amp;1+MATCH($H14,aux_sheet_RRS!$D$2:$D$202,0)))</f>
        <v xml:space="preserve"> </v>
      </c>
      <c r="C14" t="str">
        <f ca="1">IF(ISBLANK(Input!B14)," ",INDIRECT("Input!B"&amp;1+MATCH($H14,aux_sheet_RRS!$D$2:$D$202,0)))</f>
        <v xml:space="preserve"> </v>
      </c>
      <c r="D14" t="str">
        <f ca="1">IF(ISBLANK(Input!C14)," ",INDIRECT("Input!C"&amp;1+MATCH($H14,aux_sheet_RRS!$D$2:$D$202,0)))</f>
        <v xml:space="preserve"> </v>
      </c>
      <c r="E14" t="str">
        <f ca="1">IF(ISBLANK(Input!D14)," ",INDIRECT("Input!D"&amp;1+MATCH($H14,aux_sheet_RRS!$D$2:$D$202,0)))</f>
        <v xml:space="preserve"> </v>
      </c>
      <c r="F14" t="str">
        <f ca="1">IF(ISBLANK(Input!E14)," ",INDIRECT("Input!H"&amp;1+MATCH($H14,aux_sheet_RRS!$D$2:$D$202,0)))</f>
        <v xml:space="preserve"> </v>
      </c>
      <c r="G14">
        <f ca="1">IF(ISBLANK(Input!G14)," ",INDIRECT("Input!AP"&amp;1+MATCH($H14,aux_sheet_RRS!$D$2:$D$202,0)))</f>
        <v>0</v>
      </c>
      <c r="H14">
        <f>aux_sheet_RRS!E14</f>
        <v>1000</v>
      </c>
      <c r="J14" t="str">
        <f t="shared" si="4"/>
        <v xml:space="preserve"> </v>
      </c>
      <c r="K14">
        <v>13</v>
      </c>
      <c r="L14" t="str">
        <f t="shared" ca="1" si="1"/>
        <v xml:space="preserve"> </v>
      </c>
      <c r="M14" t="str">
        <f t="shared" ca="1" si="2"/>
        <v xml:space="preserve"> </v>
      </c>
      <c r="N14" s="3" t="str">
        <f t="shared" ca="1" si="3"/>
        <v xml:space="preserve"> </v>
      </c>
      <c r="O14" s="3" t="str">
        <f ca="1">IF(ISNUMBER($L14),INDIRECT("Input!A"&amp;1+MATCH($M14,aux_sheet_RRS!$D$2:$D$202,0))," ")</f>
        <v xml:space="preserve"> </v>
      </c>
      <c r="P14" s="3" t="str">
        <f ca="1">IF(ISNUMBER($L14),INDIRECT("Input!B"&amp;1+MATCH($M14,aux_sheet_RRS!$D$2:$D$202,0))," ")</f>
        <v xml:space="preserve"> </v>
      </c>
    </row>
    <row r="15" spans="1:19" x14ac:dyDescent="0.35">
      <c r="A15" t="str">
        <f>IF(ISBLANK(Input!A15)," ",ROUNDDOWN(aux_sheet_RRS!E15,0))</f>
        <v xml:space="preserve"> </v>
      </c>
      <c r="B15" t="str">
        <f ca="1">IF(ISBLANK(Input!A15)," ",INDIRECT("Input!A"&amp;1+MATCH($H15,aux_sheet_RRS!$D$2:$D$202,0)))</f>
        <v xml:space="preserve"> </v>
      </c>
      <c r="C15" t="str">
        <f ca="1">IF(ISBLANK(Input!B15)," ",INDIRECT("Input!B"&amp;1+MATCH($H15,aux_sheet_RRS!$D$2:$D$202,0)))</f>
        <v xml:space="preserve"> </v>
      </c>
      <c r="D15" t="str">
        <f ca="1">IF(ISBLANK(Input!C15)," ",INDIRECT("Input!C"&amp;1+MATCH($H15,aux_sheet_RRS!$D$2:$D$202,0)))</f>
        <v xml:space="preserve"> </v>
      </c>
      <c r="E15" t="str">
        <f ca="1">IF(ISBLANK(Input!D15)," ",INDIRECT("Input!D"&amp;1+MATCH($H15,aux_sheet_RRS!$D$2:$D$202,0)))</f>
        <v xml:space="preserve"> </v>
      </c>
      <c r="F15" t="str">
        <f ca="1">IF(ISBLANK(Input!E15)," ",INDIRECT("Input!H"&amp;1+MATCH($H15,aux_sheet_RRS!$D$2:$D$202,0)))</f>
        <v xml:space="preserve"> </v>
      </c>
      <c r="G15">
        <f ca="1">IF(ISBLANK(Input!G15)," ",INDIRECT("Input!AP"&amp;1+MATCH($H15,aux_sheet_RRS!$D$2:$D$202,0)))</f>
        <v>0</v>
      </c>
      <c r="H15">
        <f>aux_sheet_RRS!E15</f>
        <v>1000</v>
      </c>
      <c r="J15" t="str">
        <f t="shared" si="4"/>
        <v xml:space="preserve"> </v>
      </c>
      <c r="K15">
        <v>14</v>
      </c>
      <c r="L15" t="str">
        <f t="shared" ca="1" si="1"/>
        <v xml:space="preserve"> </v>
      </c>
      <c r="M15" t="str">
        <f t="shared" ca="1" si="2"/>
        <v xml:space="preserve"> </v>
      </c>
      <c r="N15" s="3" t="str">
        <f t="shared" ca="1" si="3"/>
        <v xml:space="preserve"> </v>
      </c>
      <c r="O15" s="3" t="str">
        <f ca="1">IF(ISNUMBER($L15),INDIRECT("Input!A"&amp;1+MATCH($M15,aux_sheet_RRS!$D$2:$D$202,0))," ")</f>
        <v xml:space="preserve"> </v>
      </c>
      <c r="P15" s="3" t="str">
        <f ca="1">IF(ISNUMBER($L15),INDIRECT("Input!B"&amp;1+MATCH($M15,aux_sheet_RRS!$D$2:$D$202,0))," ")</f>
        <v xml:space="preserve"> </v>
      </c>
    </row>
    <row r="16" spans="1:19" x14ac:dyDescent="0.35">
      <c r="A16" t="str">
        <f>IF(ISBLANK(Input!A16)," ",ROUNDDOWN(aux_sheet_RRS!E16,0))</f>
        <v xml:space="preserve"> </v>
      </c>
      <c r="B16" t="str">
        <f ca="1">IF(ISBLANK(Input!A16)," ",INDIRECT("Input!A"&amp;1+MATCH($H16,aux_sheet_RRS!$D$2:$D$202,0)))</f>
        <v xml:space="preserve"> </v>
      </c>
      <c r="C16" t="str">
        <f ca="1">IF(ISBLANK(Input!B16)," ",INDIRECT("Input!B"&amp;1+MATCH($H16,aux_sheet_RRS!$D$2:$D$202,0)))</f>
        <v xml:space="preserve"> </v>
      </c>
      <c r="D16" t="str">
        <f ca="1">IF(ISBLANK(Input!C16)," ",INDIRECT("Input!C"&amp;1+MATCH($H16,aux_sheet_RRS!$D$2:$D$202,0)))</f>
        <v xml:space="preserve"> </v>
      </c>
      <c r="E16" t="str">
        <f ca="1">IF(ISBLANK(Input!D16)," ",INDIRECT("Input!D"&amp;1+MATCH($H16,aux_sheet_RRS!$D$2:$D$202,0)))</f>
        <v xml:space="preserve"> </v>
      </c>
      <c r="F16" t="str">
        <f ca="1">IF(ISBLANK(Input!E16)," ",INDIRECT("Input!H"&amp;1+MATCH($H16,aux_sheet_RRS!$D$2:$D$202,0)))</f>
        <v xml:space="preserve"> </v>
      </c>
      <c r="G16">
        <f ca="1">IF(ISBLANK(Input!G16)," ",INDIRECT("Input!AP"&amp;1+MATCH($H16,aux_sheet_RRS!$D$2:$D$202,0)))</f>
        <v>0</v>
      </c>
      <c r="H16">
        <f>aux_sheet_RRS!E16</f>
        <v>1000</v>
      </c>
      <c r="J16" t="str">
        <f t="shared" si="4"/>
        <v xml:space="preserve"> </v>
      </c>
      <c r="K16">
        <v>15</v>
      </c>
      <c r="L16" t="str">
        <f t="shared" ca="1" si="1"/>
        <v xml:space="preserve"> </v>
      </c>
      <c r="M16" t="str">
        <f t="shared" ca="1" si="2"/>
        <v xml:space="preserve"> </v>
      </c>
      <c r="N16" s="3" t="str">
        <f t="shared" ca="1" si="3"/>
        <v xml:space="preserve"> </v>
      </c>
      <c r="O16" s="3" t="str">
        <f ca="1">IF(ISNUMBER($L16),INDIRECT("Input!A"&amp;1+MATCH($M16,aux_sheet_RRS!$D$2:$D$202,0))," ")</f>
        <v xml:space="preserve"> </v>
      </c>
      <c r="P16" s="3" t="str">
        <f ca="1">IF(ISNUMBER($L16),INDIRECT("Input!B"&amp;1+MATCH($M16,aux_sheet_RRS!$D$2:$D$202,0))," ")</f>
        <v xml:space="preserve"> </v>
      </c>
    </row>
    <row r="17" spans="1:16" x14ac:dyDescent="0.35">
      <c r="A17" t="str">
        <f>IF(ISBLANK(Input!A17)," ",ROUNDDOWN(aux_sheet_RRS!E17,0))</f>
        <v xml:space="preserve"> </v>
      </c>
      <c r="B17" t="str">
        <f ca="1">IF(ISBLANK(Input!A17)," ",INDIRECT("Input!A"&amp;1+MATCH($H17,aux_sheet_RRS!$D$2:$D$202,0)))</f>
        <v xml:space="preserve"> </v>
      </c>
      <c r="C17" t="str">
        <f ca="1">IF(ISBLANK(Input!B17)," ",INDIRECT("Input!B"&amp;1+MATCH($H17,aux_sheet_RRS!$D$2:$D$202,0)))</f>
        <v xml:space="preserve"> </v>
      </c>
      <c r="D17" t="str">
        <f ca="1">IF(ISBLANK(Input!C17)," ",INDIRECT("Input!C"&amp;1+MATCH($H17,aux_sheet_RRS!$D$2:$D$202,0)))</f>
        <v xml:space="preserve"> </v>
      </c>
      <c r="E17" t="str">
        <f ca="1">IF(ISBLANK(Input!D17)," ",INDIRECT("Input!D"&amp;1+MATCH($H17,aux_sheet_RRS!$D$2:$D$202,0)))</f>
        <v xml:space="preserve"> </v>
      </c>
      <c r="F17" t="str">
        <f ca="1">IF(ISBLANK(Input!E17)," ",INDIRECT("Input!H"&amp;1+MATCH($H17,aux_sheet_RRS!$D$2:$D$202,0)))</f>
        <v xml:space="preserve"> </v>
      </c>
      <c r="G17">
        <f ca="1">IF(ISBLANK(Input!G17)," ",INDIRECT("Input!AP"&amp;1+MATCH($H17,aux_sheet_RRS!$D$2:$D$202,0)))</f>
        <v>0</v>
      </c>
      <c r="H17">
        <f>aux_sheet_RRS!E17</f>
        <v>1000</v>
      </c>
      <c r="J17" t="str">
        <f t="shared" si="4"/>
        <v xml:space="preserve"> </v>
      </c>
      <c r="K17">
        <v>16</v>
      </c>
      <c r="L17" t="str">
        <f t="shared" ca="1" si="1"/>
        <v xml:space="preserve"> </v>
      </c>
      <c r="M17" t="str">
        <f t="shared" ca="1" si="2"/>
        <v xml:space="preserve"> </v>
      </c>
      <c r="N17" s="3" t="str">
        <f t="shared" ca="1" si="3"/>
        <v xml:space="preserve"> </v>
      </c>
      <c r="O17" s="3" t="str">
        <f ca="1">IF(ISNUMBER($L17),INDIRECT("Input!A"&amp;1+MATCH($M17,aux_sheet_RRS!$D$2:$D$202,0))," ")</f>
        <v xml:space="preserve"> </v>
      </c>
      <c r="P17" s="3" t="str">
        <f ca="1">IF(ISNUMBER($L17),INDIRECT("Input!B"&amp;1+MATCH($M17,aux_sheet_RRS!$D$2:$D$202,0))," ")</f>
        <v xml:space="preserve"> </v>
      </c>
    </row>
    <row r="18" spans="1:16" x14ac:dyDescent="0.35">
      <c r="A18" t="str">
        <f>IF(ISBLANK(Input!A18)," ",ROUNDDOWN(aux_sheet_RRS!E18,0))</f>
        <v xml:space="preserve"> </v>
      </c>
      <c r="B18" t="str">
        <f ca="1">IF(ISBLANK(Input!A18)," ",INDIRECT("Input!A"&amp;1+MATCH($H18,aux_sheet_RRS!$D$2:$D$202,0)))</f>
        <v xml:space="preserve"> </v>
      </c>
      <c r="C18" t="str">
        <f ca="1">IF(ISBLANK(Input!B18)," ",INDIRECT("Input!B"&amp;1+MATCH($H18,aux_sheet_RRS!$D$2:$D$202,0)))</f>
        <v xml:space="preserve"> </v>
      </c>
      <c r="D18" t="str">
        <f ca="1">IF(ISBLANK(Input!C18)," ",INDIRECT("Input!C"&amp;1+MATCH($H18,aux_sheet_RRS!$D$2:$D$202,0)))</f>
        <v xml:space="preserve"> </v>
      </c>
      <c r="E18" t="str">
        <f ca="1">IF(ISBLANK(Input!D18)," ",INDIRECT("Input!D"&amp;1+MATCH($H18,aux_sheet_RRS!$D$2:$D$202,0)))</f>
        <v xml:space="preserve"> </v>
      </c>
      <c r="F18" t="str">
        <f ca="1">IF(ISBLANK(Input!E18)," ",INDIRECT("Input!H"&amp;1+MATCH($H18,aux_sheet_RRS!$D$2:$D$202,0)))</f>
        <v xml:space="preserve"> </v>
      </c>
      <c r="G18">
        <f ca="1">IF(ISBLANK(Input!G18)," ",INDIRECT("Input!AP"&amp;1+MATCH($H18,aux_sheet_RRS!$D$2:$D$202,0)))</f>
        <v>0</v>
      </c>
      <c r="H18">
        <f>aux_sheet_RRS!E18</f>
        <v>1000</v>
      </c>
      <c r="J18" t="str">
        <f t="shared" si="4"/>
        <v xml:space="preserve"> </v>
      </c>
      <c r="K18">
        <v>17</v>
      </c>
      <c r="L18" t="str">
        <f t="shared" ca="1" si="1"/>
        <v xml:space="preserve"> </v>
      </c>
      <c r="M18" t="str">
        <f t="shared" ca="1" si="2"/>
        <v xml:space="preserve"> </v>
      </c>
      <c r="N18" s="3" t="str">
        <f t="shared" ca="1" si="3"/>
        <v xml:space="preserve"> </v>
      </c>
      <c r="O18" s="3" t="str">
        <f ca="1">IF(ISNUMBER($L18),INDIRECT("Input!A"&amp;1+MATCH($M18,aux_sheet_RRS!$D$2:$D$202,0))," ")</f>
        <v xml:space="preserve"> </v>
      </c>
      <c r="P18" s="3" t="str">
        <f ca="1">IF(ISNUMBER($L18),INDIRECT("Input!B"&amp;1+MATCH($M18,aux_sheet_RRS!$D$2:$D$202,0))," ")</f>
        <v xml:space="preserve"> </v>
      </c>
    </row>
    <row r="19" spans="1:16" x14ac:dyDescent="0.35">
      <c r="A19" t="str">
        <f>IF(ISBLANK(Input!A19)," ",ROUNDDOWN(aux_sheet_RRS!E19,0))</f>
        <v xml:space="preserve"> </v>
      </c>
      <c r="B19" t="str">
        <f ca="1">IF(ISBLANK(Input!A19)," ",INDIRECT("Input!A"&amp;1+MATCH($H19,aux_sheet_RRS!$D$2:$D$202,0)))</f>
        <v xml:space="preserve"> </v>
      </c>
      <c r="C19" t="str">
        <f ca="1">IF(ISBLANK(Input!B19)," ",INDIRECT("Input!B"&amp;1+MATCH($H19,aux_sheet_RRS!$D$2:$D$202,0)))</f>
        <v xml:space="preserve"> </v>
      </c>
      <c r="D19" t="str">
        <f ca="1">IF(ISBLANK(Input!C19)," ",INDIRECT("Input!C"&amp;1+MATCH($H19,aux_sheet_RRS!$D$2:$D$202,0)))</f>
        <v xml:space="preserve"> </v>
      </c>
      <c r="E19" t="str">
        <f ca="1">IF(ISBLANK(Input!D19)," ",INDIRECT("Input!D"&amp;1+MATCH($H19,aux_sheet_RRS!$D$2:$D$202,0)))</f>
        <v xml:space="preserve"> </v>
      </c>
      <c r="F19" t="str">
        <f ca="1">IF(ISBLANK(Input!E19)," ",INDIRECT("Input!H"&amp;1+MATCH($H19,aux_sheet_RRS!$D$2:$D$202,0)))</f>
        <v xml:space="preserve"> </v>
      </c>
      <c r="G19">
        <f ca="1">IF(ISBLANK(Input!G19)," ",INDIRECT("Input!AP"&amp;1+MATCH($H19,aux_sheet_RRS!$D$2:$D$202,0)))</f>
        <v>0</v>
      </c>
      <c r="H19">
        <f>aux_sheet_RRS!E19</f>
        <v>1000</v>
      </c>
      <c r="J19" t="str">
        <f t="shared" si="4"/>
        <v xml:space="preserve"> </v>
      </c>
      <c r="K19">
        <v>18</v>
      </c>
      <c r="L19" t="str">
        <f t="shared" ca="1" si="1"/>
        <v xml:space="preserve"> </v>
      </c>
      <c r="M19" t="str">
        <f t="shared" ca="1" si="2"/>
        <v xml:space="preserve"> </v>
      </c>
      <c r="N19" s="3" t="str">
        <f t="shared" ca="1" si="3"/>
        <v xml:space="preserve"> </v>
      </c>
      <c r="O19" s="3" t="str">
        <f ca="1">IF(ISNUMBER($L19),INDIRECT("Input!A"&amp;1+MATCH($M19,aux_sheet_RRS!$D$2:$D$202,0))," ")</f>
        <v xml:space="preserve"> </v>
      </c>
      <c r="P19" s="3" t="str">
        <f ca="1">IF(ISNUMBER($L19),INDIRECT("Input!B"&amp;1+MATCH($M19,aux_sheet_RRS!$D$2:$D$202,0))," ")</f>
        <v xml:space="preserve"> </v>
      </c>
    </row>
    <row r="20" spans="1:16" x14ac:dyDescent="0.35">
      <c r="A20" t="str">
        <f>IF(ISBLANK(Input!A20)," ",ROUNDDOWN(aux_sheet_RRS!E20,0))</f>
        <v xml:space="preserve"> </v>
      </c>
      <c r="B20" t="str">
        <f ca="1">IF(ISBLANK(Input!A20)," ",INDIRECT("Input!A"&amp;1+MATCH($H20,aux_sheet_RRS!$D$2:$D$202,0)))</f>
        <v xml:space="preserve"> </v>
      </c>
      <c r="C20" t="str">
        <f ca="1">IF(ISBLANK(Input!B20)," ",INDIRECT("Input!B"&amp;1+MATCH($H20,aux_sheet_RRS!$D$2:$D$202,0)))</f>
        <v xml:space="preserve"> </v>
      </c>
      <c r="D20" t="str">
        <f ca="1">IF(ISBLANK(Input!C20)," ",INDIRECT("Input!C"&amp;1+MATCH($H20,aux_sheet_RRS!$D$2:$D$202,0)))</f>
        <v xml:space="preserve"> </v>
      </c>
      <c r="E20" t="str">
        <f ca="1">IF(ISBLANK(Input!D20)," ",INDIRECT("Input!D"&amp;1+MATCH($H20,aux_sheet_RRS!$D$2:$D$202,0)))</f>
        <v xml:space="preserve"> </v>
      </c>
      <c r="F20" t="str">
        <f ca="1">IF(ISBLANK(Input!E20)," ",INDIRECT("Input!H"&amp;1+MATCH($H20,aux_sheet_RRS!$D$2:$D$202,0)))</f>
        <v xml:space="preserve"> </v>
      </c>
      <c r="G20">
        <f ca="1">IF(ISBLANK(Input!G20)," ",INDIRECT("Input!AP"&amp;1+MATCH($H20,aux_sheet_RRS!$D$2:$D$202,0)))</f>
        <v>0</v>
      </c>
      <c r="H20">
        <f>aux_sheet_RRS!E20</f>
        <v>1000</v>
      </c>
      <c r="J20" t="str">
        <f t="shared" si="4"/>
        <v xml:space="preserve"> </v>
      </c>
      <c r="K20">
        <v>19</v>
      </c>
      <c r="L20" t="str">
        <f t="shared" ca="1" si="1"/>
        <v xml:space="preserve"> </v>
      </c>
      <c r="M20" t="str">
        <f t="shared" ca="1" si="2"/>
        <v xml:space="preserve"> </v>
      </c>
      <c r="N20" s="3" t="str">
        <f t="shared" ca="1" si="3"/>
        <v xml:space="preserve"> </v>
      </c>
      <c r="O20" s="3" t="str">
        <f ca="1">IF(ISNUMBER($L20),INDIRECT("Input!A"&amp;1+MATCH($M20,aux_sheet_RRS!$D$2:$D$202,0))," ")</f>
        <v xml:space="preserve"> </v>
      </c>
      <c r="P20" s="3" t="str">
        <f ca="1">IF(ISNUMBER($L20),INDIRECT("Input!B"&amp;1+MATCH($M20,aux_sheet_RRS!$D$2:$D$202,0))," ")</f>
        <v xml:space="preserve"> </v>
      </c>
    </row>
    <row r="21" spans="1:16" x14ac:dyDescent="0.35">
      <c r="A21" t="str">
        <f>IF(ISBLANK(Input!A21)," ",ROUNDDOWN(aux_sheet_RRS!E21,0))</f>
        <v xml:space="preserve"> </v>
      </c>
      <c r="B21" t="str">
        <f ca="1">IF(ISBLANK(Input!A21)," ",INDIRECT("Input!A"&amp;1+MATCH($H21,aux_sheet_RRS!$D$2:$D$202,0)))</f>
        <v xml:space="preserve"> </v>
      </c>
      <c r="C21" t="str">
        <f ca="1">IF(ISBLANK(Input!B21)," ",INDIRECT("Input!B"&amp;1+MATCH($H21,aux_sheet_RRS!$D$2:$D$202,0)))</f>
        <v xml:space="preserve"> </v>
      </c>
      <c r="D21" t="str">
        <f ca="1">IF(ISBLANK(Input!C21)," ",INDIRECT("Input!C"&amp;1+MATCH($H21,aux_sheet_RRS!$D$2:$D$202,0)))</f>
        <v xml:space="preserve"> </v>
      </c>
      <c r="E21" t="str">
        <f ca="1">IF(ISBLANK(Input!D21)," ",INDIRECT("Input!D"&amp;1+MATCH($H21,aux_sheet_RRS!$D$2:$D$202,0)))</f>
        <v xml:space="preserve"> </v>
      </c>
      <c r="F21" t="str">
        <f ca="1">IF(ISBLANK(Input!E21)," ",INDIRECT("Input!H"&amp;1+MATCH($H21,aux_sheet_RRS!$D$2:$D$202,0)))</f>
        <v xml:space="preserve"> </v>
      </c>
      <c r="G21">
        <f ca="1">IF(ISBLANK(Input!G21)," ",INDIRECT("Input!AP"&amp;1+MATCH($H21,aux_sheet_RRS!$D$2:$D$202,0)))</f>
        <v>0</v>
      </c>
      <c r="H21">
        <f>aux_sheet_RRS!E21</f>
        <v>1000</v>
      </c>
      <c r="J21" t="str">
        <f t="shared" si="4"/>
        <v xml:space="preserve"> </v>
      </c>
      <c r="K21">
        <v>20</v>
      </c>
      <c r="L21" t="str">
        <f t="shared" ca="1" si="1"/>
        <v xml:space="preserve"> </v>
      </c>
      <c r="M21" t="str">
        <f t="shared" ca="1" si="2"/>
        <v xml:space="preserve"> </v>
      </c>
      <c r="N21" s="3" t="str">
        <f t="shared" ca="1" si="3"/>
        <v xml:space="preserve"> </v>
      </c>
      <c r="O21" s="3" t="str">
        <f ca="1">IF(ISNUMBER($L21),INDIRECT("Input!A"&amp;1+MATCH($M21,aux_sheet_RRS!$D$2:$D$202,0))," ")</f>
        <v xml:space="preserve"> </v>
      </c>
      <c r="P21" s="3" t="str">
        <f ca="1">IF(ISNUMBER($L21),INDIRECT("Input!B"&amp;1+MATCH($M21,aux_sheet_RRS!$D$2:$D$202,0))," ")</f>
        <v xml:space="preserve"> </v>
      </c>
    </row>
    <row r="22" spans="1:16" x14ac:dyDescent="0.35">
      <c r="A22" t="str">
        <f>IF(ISBLANK(Input!A22)," ",ROUNDDOWN(aux_sheet_RRS!E22,0))</f>
        <v xml:space="preserve"> </v>
      </c>
      <c r="B22" t="str">
        <f ca="1">IF(ISBLANK(Input!A22)," ",INDIRECT("Input!A"&amp;1+MATCH($H22,aux_sheet_RRS!$D$2:$D$202,0)))</f>
        <v xml:space="preserve"> </v>
      </c>
      <c r="C22" t="str">
        <f ca="1">IF(ISBLANK(Input!B22)," ",INDIRECT("Input!B"&amp;1+MATCH($H22,aux_sheet_RRS!$D$2:$D$202,0)))</f>
        <v xml:space="preserve"> </v>
      </c>
      <c r="D22" t="str">
        <f ca="1">IF(ISBLANK(Input!C22)," ",INDIRECT("Input!C"&amp;1+MATCH($H22,aux_sheet_RRS!$D$2:$D$202,0)))</f>
        <v xml:space="preserve"> </v>
      </c>
      <c r="E22" t="str">
        <f ca="1">IF(ISBLANK(Input!D22)," ",INDIRECT("Input!D"&amp;1+MATCH($H22,aux_sheet_RRS!$D$2:$D$202,0)))</f>
        <v xml:space="preserve"> </v>
      </c>
      <c r="F22" t="str">
        <f ca="1">IF(ISBLANK(Input!E22)," ",INDIRECT("Input!H"&amp;1+MATCH($H22,aux_sheet_RRS!$D$2:$D$202,0)))</f>
        <v xml:space="preserve"> </v>
      </c>
      <c r="G22">
        <f ca="1">IF(ISBLANK(Input!G22)," ",INDIRECT("Input!AP"&amp;1+MATCH($H22,aux_sheet_RRS!$D$2:$D$202,0)))</f>
        <v>0</v>
      </c>
      <c r="H22">
        <f>aux_sheet_RRS!E22</f>
        <v>1000</v>
      </c>
      <c r="J22" t="str">
        <f t="shared" si="4"/>
        <v xml:space="preserve"> </v>
      </c>
      <c r="K22">
        <v>21</v>
      </c>
      <c r="L22" t="str">
        <f t="shared" ca="1" si="1"/>
        <v xml:space="preserve"> </v>
      </c>
      <c r="M22" t="str">
        <f t="shared" ca="1" si="2"/>
        <v xml:space="preserve"> </v>
      </c>
      <c r="N22" s="3" t="str">
        <f t="shared" ca="1" si="3"/>
        <v xml:space="preserve"> </v>
      </c>
      <c r="O22" s="3" t="str">
        <f ca="1">IF(ISNUMBER($L22),INDIRECT("Input!A"&amp;1+MATCH($M22,aux_sheet_RRS!$D$2:$D$202,0))," ")</f>
        <v xml:space="preserve"> </v>
      </c>
      <c r="P22" s="3" t="str">
        <f ca="1">IF(ISNUMBER($L22),INDIRECT("Input!B"&amp;1+MATCH($M22,aux_sheet_RRS!$D$2:$D$202,0))," ")</f>
        <v xml:space="preserve"> </v>
      </c>
    </row>
    <row r="23" spans="1:16" x14ac:dyDescent="0.35">
      <c r="A23" t="str">
        <f>IF(ISBLANK(Input!A23)," ",ROUNDDOWN(aux_sheet_RRS!E23,0))</f>
        <v xml:space="preserve"> </v>
      </c>
      <c r="B23" t="str">
        <f ca="1">IF(ISBLANK(Input!A23)," ",INDIRECT("Input!A"&amp;1+MATCH($H23,aux_sheet_RRS!$D$2:$D$202,0)))</f>
        <v xml:space="preserve"> </v>
      </c>
      <c r="C23" t="str">
        <f ca="1">IF(ISBLANK(Input!B23)," ",INDIRECT("Input!B"&amp;1+MATCH($H23,aux_sheet_RRS!$D$2:$D$202,0)))</f>
        <v xml:space="preserve"> </v>
      </c>
      <c r="D23" t="str">
        <f ca="1">IF(ISBLANK(Input!C23)," ",INDIRECT("Input!C"&amp;1+MATCH($H23,aux_sheet_RRS!$D$2:$D$202,0)))</f>
        <v xml:space="preserve"> </v>
      </c>
      <c r="E23" t="str">
        <f ca="1">IF(ISBLANK(Input!D23)," ",INDIRECT("Input!D"&amp;1+MATCH($H23,aux_sheet_RRS!$D$2:$D$202,0)))</f>
        <v xml:space="preserve"> </v>
      </c>
      <c r="F23" t="str">
        <f ca="1">IF(ISBLANK(Input!E23)," ",INDIRECT("Input!H"&amp;1+MATCH($H23,aux_sheet_RRS!$D$2:$D$202,0)))</f>
        <v xml:space="preserve"> </v>
      </c>
      <c r="G23">
        <f ca="1">IF(ISBLANK(Input!G23)," ",INDIRECT("Input!AP"&amp;1+MATCH($H23,aux_sheet_RRS!$D$2:$D$202,0)))</f>
        <v>0</v>
      </c>
      <c r="H23">
        <f>aux_sheet_RRS!E23</f>
        <v>1000</v>
      </c>
      <c r="J23" t="str">
        <f t="shared" si="4"/>
        <v xml:space="preserve"> </v>
      </c>
      <c r="K23">
        <v>22</v>
      </c>
      <c r="L23" t="str">
        <f t="shared" ca="1" si="1"/>
        <v xml:space="preserve"> </v>
      </c>
      <c r="M23" t="str">
        <f t="shared" ca="1" si="2"/>
        <v xml:space="preserve"> </v>
      </c>
      <c r="N23" s="3" t="str">
        <f t="shared" ca="1" si="3"/>
        <v xml:space="preserve"> </v>
      </c>
      <c r="O23" s="3" t="str">
        <f ca="1">IF(ISNUMBER($L23),INDIRECT("Input!A"&amp;1+MATCH($M23,aux_sheet_RRS!$D$2:$D$202,0))," ")</f>
        <v xml:space="preserve"> </v>
      </c>
      <c r="P23" s="3" t="str">
        <f ca="1">IF(ISNUMBER($L23),INDIRECT("Input!B"&amp;1+MATCH($M23,aux_sheet_RRS!$D$2:$D$202,0))," ")</f>
        <v xml:space="preserve"> </v>
      </c>
    </row>
    <row r="24" spans="1:16" x14ac:dyDescent="0.35">
      <c r="A24" t="str">
        <f>IF(ISBLANK(Input!A24)," ",ROUNDDOWN(aux_sheet_RRS!E24,0))</f>
        <v xml:space="preserve"> </v>
      </c>
      <c r="B24" t="str">
        <f ca="1">IF(ISBLANK(Input!A24)," ",INDIRECT("Input!A"&amp;1+MATCH($H24,aux_sheet_RRS!$D$2:$D$202,0)))</f>
        <v xml:space="preserve"> </v>
      </c>
      <c r="C24" t="str">
        <f ca="1">IF(ISBLANK(Input!B24)," ",INDIRECT("Input!B"&amp;1+MATCH($H24,aux_sheet_RRS!$D$2:$D$202,0)))</f>
        <v xml:space="preserve"> </v>
      </c>
      <c r="D24" t="str">
        <f ca="1">IF(ISBLANK(Input!C24)," ",INDIRECT("Input!C"&amp;1+MATCH($H24,aux_sheet_RRS!$D$2:$D$202,0)))</f>
        <v xml:space="preserve"> </v>
      </c>
      <c r="E24" t="str">
        <f ca="1">IF(ISBLANK(Input!D24)," ",INDIRECT("Input!D"&amp;1+MATCH($H24,aux_sheet_RRS!$D$2:$D$202,0)))</f>
        <v xml:space="preserve"> </v>
      </c>
      <c r="F24" t="str">
        <f ca="1">IF(ISBLANK(Input!E24)," ",INDIRECT("Input!H"&amp;1+MATCH($H24,aux_sheet_RRS!$D$2:$D$202,0)))</f>
        <v xml:space="preserve"> </v>
      </c>
      <c r="G24">
        <f ca="1">IF(ISBLANK(Input!G24)," ",INDIRECT("Input!AP"&amp;1+MATCH($H24,aux_sheet_RRS!$D$2:$D$202,0)))</f>
        <v>0</v>
      </c>
      <c r="H24">
        <f>aux_sheet_RRS!E24</f>
        <v>1000</v>
      </c>
      <c r="J24" t="str">
        <f t="shared" si="4"/>
        <v xml:space="preserve"> </v>
      </c>
      <c r="K24">
        <v>23</v>
      </c>
      <c r="L24" t="str">
        <f t="shared" ca="1" si="1"/>
        <v xml:space="preserve"> </v>
      </c>
      <c r="M24" t="str">
        <f t="shared" ca="1" si="2"/>
        <v xml:space="preserve"> </v>
      </c>
      <c r="N24" s="3" t="str">
        <f t="shared" ca="1" si="3"/>
        <v xml:space="preserve"> </v>
      </c>
      <c r="O24" s="3" t="str">
        <f ca="1">IF(ISNUMBER($L24),INDIRECT("Input!A"&amp;1+MATCH($M24,aux_sheet_RRS!$D$2:$D$202,0))," ")</f>
        <v xml:space="preserve"> </v>
      </c>
      <c r="P24" s="3" t="str">
        <f ca="1">IF(ISNUMBER($L24),INDIRECT("Input!B"&amp;1+MATCH($M24,aux_sheet_RRS!$D$2:$D$202,0))," ")</f>
        <v xml:space="preserve"> </v>
      </c>
    </row>
    <row r="25" spans="1:16" x14ac:dyDescent="0.35">
      <c r="A25" t="str">
        <f>IF(ISBLANK(Input!A25)," ",ROUNDDOWN(aux_sheet_RRS!E25,0))</f>
        <v xml:space="preserve"> </v>
      </c>
      <c r="B25" t="str">
        <f ca="1">IF(ISBLANK(Input!A25)," ",INDIRECT("Input!A"&amp;1+MATCH($H25,aux_sheet_RRS!$D$2:$D$202,0)))</f>
        <v xml:space="preserve"> </v>
      </c>
      <c r="C25" t="str">
        <f ca="1">IF(ISBLANK(Input!B25)," ",INDIRECT("Input!B"&amp;1+MATCH($H25,aux_sheet_RRS!$D$2:$D$202,0)))</f>
        <v xml:space="preserve"> </v>
      </c>
      <c r="D25" t="str">
        <f ca="1">IF(ISBLANK(Input!C25)," ",INDIRECT("Input!C"&amp;1+MATCH($H25,aux_sheet_RRS!$D$2:$D$202,0)))</f>
        <v xml:space="preserve"> </v>
      </c>
      <c r="E25" t="str">
        <f ca="1">IF(ISBLANK(Input!D25)," ",INDIRECT("Input!D"&amp;1+MATCH($H25,aux_sheet_RRS!$D$2:$D$202,0)))</f>
        <v xml:space="preserve"> </v>
      </c>
      <c r="F25" t="str">
        <f ca="1">IF(ISBLANK(Input!E25)," ",INDIRECT("Input!H"&amp;1+MATCH($H25,aux_sheet_RRS!$D$2:$D$202,0)))</f>
        <v xml:space="preserve"> </v>
      </c>
      <c r="G25">
        <f ca="1">IF(ISBLANK(Input!G25)," ",INDIRECT("Input!AP"&amp;1+MATCH($H25,aux_sheet_RRS!$D$2:$D$202,0)))</f>
        <v>0</v>
      </c>
      <c r="H25">
        <f>aux_sheet_RRS!E25</f>
        <v>1000</v>
      </c>
      <c r="J25" t="str">
        <f t="shared" si="4"/>
        <v xml:space="preserve"> </v>
      </c>
      <c r="K25">
        <v>24</v>
      </c>
      <c r="L25" t="str">
        <f t="shared" ca="1" si="1"/>
        <v xml:space="preserve"> </v>
      </c>
      <c r="M25" t="str">
        <f t="shared" ca="1" si="2"/>
        <v xml:space="preserve"> </v>
      </c>
      <c r="N25" s="3" t="str">
        <f t="shared" ca="1" si="3"/>
        <v xml:space="preserve"> </v>
      </c>
      <c r="O25" s="3" t="str">
        <f ca="1">IF(ISNUMBER($L25),INDIRECT("Input!A"&amp;1+MATCH($M25,aux_sheet_RRS!$D$2:$D$202,0))," ")</f>
        <v xml:space="preserve"> </v>
      </c>
      <c r="P25" s="3" t="str">
        <f ca="1">IF(ISNUMBER($L25),INDIRECT("Input!B"&amp;1+MATCH($M25,aux_sheet_RRS!$D$2:$D$202,0))," ")</f>
        <v xml:space="preserve"> </v>
      </c>
    </row>
    <row r="26" spans="1:16" x14ac:dyDescent="0.35">
      <c r="A26" t="str">
        <f>IF(ISBLANK(Input!A26)," ",ROUNDDOWN(aux_sheet_RRS!E26,0))</f>
        <v xml:space="preserve"> </v>
      </c>
      <c r="B26" t="str">
        <f ca="1">IF(ISBLANK(Input!A26)," ",INDIRECT("Input!A"&amp;1+MATCH($H26,aux_sheet_RRS!$D$2:$D$202,0)))</f>
        <v xml:space="preserve"> </v>
      </c>
      <c r="C26" t="str">
        <f ca="1">IF(ISBLANK(Input!B26)," ",INDIRECT("Input!B"&amp;1+MATCH($H26,aux_sheet_RRS!$D$2:$D$202,0)))</f>
        <v xml:space="preserve"> </v>
      </c>
      <c r="D26" t="str">
        <f ca="1">IF(ISBLANK(Input!C26)," ",INDIRECT("Input!C"&amp;1+MATCH($H26,aux_sheet_RRS!$D$2:$D$202,0)))</f>
        <v xml:space="preserve"> </v>
      </c>
      <c r="E26" t="str">
        <f ca="1">IF(ISBLANK(Input!D26)," ",INDIRECT("Input!D"&amp;1+MATCH($H26,aux_sheet_RRS!$D$2:$D$202,0)))</f>
        <v xml:space="preserve"> </v>
      </c>
      <c r="F26" t="str">
        <f ca="1">IF(ISBLANK(Input!E26)," ",INDIRECT("Input!H"&amp;1+MATCH($H26,aux_sheet_RRS!$D$2:$D$202,0)))</f>
        <v xml:space="preserve"> </v>
      </c>
      <c r="G26">
        <f ca="1">IF(ISBLANK(Input!G26)," ",INDIRECT("Input!AP"&amp;1+MATCH($H26,aux_sheet_RRS!$D$2:$D$202,0)))</f>
        <v>0</v>
      </c>
      <c r="H26">
        <f>aux_sheet_RRS!E26</f>
        <v>1000</v>
      </c>
      <c r="J26" t="str">
        <f t="shared" si="4"/>
        <v xml:space="preserve"> </v>
      </c>
      <c r="K26">
        <v>25</v>
      </c>
      <c r="L26" t="str">
        <f t="shared" ca="1" si="1"/>
        <v xml:space="preserve"> </v>
      </c>
      <c r="M26" t="str">
        <f t="shared" ca="1" si="2"/>
        <v xml:space="preserve"> </v>
      </c>
      <c r="N26" s="3" t="str">
        <f t="shared" ca="1" si="3"/>
        <v xml:space="preserve"> </v>
      </c>
      <c r="O26" s="3" t="str">
        <f ca="1">IF(ISNUMBER($L26),INDIRECT("Input!A"&amp;1+MATCH($M26,aux_sheet_RRS!$D$2:$D$202,0))," ")</f>
        <v xml:space="preserve"> </v>
      </c>
      <c r="P26" s="3" t="str">
        <f ca="1">IF(ISNUMBER($L26),INDIRECT("Input!B"&amp;1+MATCH($M26,aux_sheet_RRS!$D$2:$D$202,0))," ")</f>
        <v xml:space="preserve"> </v>
      </c>
    </row>
    <row r="27" spans="1:16" x14ac:dyDescent="0.35">
      <c r="A27" t="str">
        <f>IF(ISBLANK(Input!A27)," ",ROUNDDOWN(aux_sheet_RRS!E27,0))</f>
        <v xml:space="preserve"> </v>
      </c>
      <c r="B27" t="str">
        <f ca="1">IF(ISBLANK(Input!A27)," ",INDIRECT("Input!A"&amp;1+MATCH($H27,aux_sheet_RRS!$D$2:$D$202,0)))</f>
        <v xml:space="preserve"> </v>
      </c>
      <c r="C27" t="str">
        <f ca="1">IF(ISBLANK(Input!B27)," ",INDIRECT("Input!B"&amp;1+MATCH($H27,aux_sheet_RRS!$D$2:$D$202,0)))</f>
        <v xml:space="preserve"> </v>
      </c>
      <c r="D27" t="str">
        <f ca="1">IF(ISBLANK(Input!C27)," ",INDIRECT("Input!C"&amp;1+MATCH($H27,aux_sheet_RRS!$D$2:$D$202,0)))</f>
        <v xml:space="preserve"> </v>
      </c>
      <c r="E27" t="str">
        <f ca="1">IF(ISBLANK(Input!D27)," ",INDIRECT("Input!D"&amp;1+MATCH($H27,aux_sheet_RRS!$D$2:$D$202,0)))</f>
        <v xml:space="preserve"> </v>
      </c>
      <c r="F27" t="str">
        <f ca="1">IF(ISBLANK(Input!E27)," ",INDIRECT("Input!H"&amp;1+MATCH($H27,aux_sheet_RRS!$D$2:$D$202,0)))</f>
        <v xml:space="preserve"> </v>
      </c>
      <c r="G27">
        <f ca="1">IF(ISBLANK(Input!G27)," ",INDIRECT("Input!AP"&amp;1+MATCH($H27,aux_sheet_RRS!$D$2:$D$202,0)))</f>
        <v>0</v>
      </c>
      <c r="H27">
        <f>aux_sheet_RRS!E27</f>
        <v>1000</v>
      </c>
      <c r="J27" t="str">
        <f t="shared" si="4"/>
        <v xml:space="preserve"> </v>
      </c>
      <c r="K27">
        <v>26</v>
      </c>
      <c r="L27" t="str">
        <f t="shared" ca="1" si="1"/>
        <v xml:space="preserve"> </v>
      </c>
      <c r="M27" t="str">
        <f t="shared" ca="1" si="2"/>
        <v xml:space="preserve"> </v>
      </c>
      <c r="N27" s="3" t="str">
        <f t="shared" ca="1" si="3"/>
        <v xml:space="preserve"> </v>
      </c>
      <c r="O27" s="3" t="str">
        <f ca="1">IF(ISNUMBER($L27),INDIRECT("Input!A"&amp;1+MATCH($M27,aux_sheet_RRS!$D$2:$D$202,0))," ")</f>
        <v xml:space="preserve"> </v>
      </c>
      <c r="P27" s="3" t="str">
        <f ca="1">IF(ISNUMBER($L27),INDIRECT("Input!B"&amp;1+MATCH($M27,aux_sheet_RRS!$D$2:$D$202,0))," ")</f>
        <v xml:space="preserve"> </v>
      </c>
    </row>
    <row r="28" spans="1:16" x14ac:dyDescent="0.35">
      <c r="A28" t="str">
        <f>IF(ISBLANK(Input!A28)," ",ROUNDDOWN(aux_sheet_RRS!E28,0))</f>
        <v xml:space="preserve"> </v>
      </c>
      <c r="B28" t="str">
        <f ca="1">IF(ISBLANK(Input!A28)," ",INDIRECT("Input!A"&amp;1+MATCH($H28,aux_sheet_RRS!$D$2:$D$202,0)))</f>
        <v xml:space="preserve"> </v>
      </c>
      <c r="C28" t="str">
        <f ca="1">IF(ISBLANK(Input!B28)," ",INDIRECT("Input!B"&amp;1+MATCH($H28,aux_sheet_RRS!$D$2:$D$202,0)))</f>
        <v xml:space="preserve"> </v>
      </c>
      <c r="D28" t="str">
        <f ca="1">IF(ISBLANK(Input!C28)," ",INDIRECT("Input!C"&amp;1+MATCH($H28,aux_sheet_RRS!$D$2:$D$202,0)))</f>
        <v xml:space="preserve"> </v>
      </c>
      <c r="E28" t="str">
        <f ca="1">IF(ISBLANK(Input!D28)," ",INDIRECT("Input!D"&amp;1+MATCH($H28,aux_sheet_RRS!$D$2:$D$202,0)))</f>
        <v xml:space="preserve"> </v>
      </c>
      <c r="F28" t="str">
        <f ca="1">IF(ISBLANK(Input!E28)," ",INDIRECT("Input!H"&amp;1+MATCH($H28,aux_sheet_RRS!$D$2:$D$202,0)))</f>
        <v xml:space="preserve"> </v>
      </c>
      <c r="G28">
        <f ca="1">IF(ISBLANK(Input!G28)," ",INDIRECT("Input!AP"&amp;1+MATCH($H28,aux_sheet_RRS!$D$2:$D$202,0)))</f>
        <v>0</v>
      </c>
      <c r="H28">
        <f>aux_sheet_RRS!E28</f>
        <v>1000</v>
      </c>
      <c r="J28" t="str">
        <f t="shared" si="4"/>
        <v xml:space="preserve"> </v>
      </c>
      <c r="K28">
        <v>27</v>
      </c>
      <c r="L28" t="str">
        <f t="shared" ca="1" si="1"/>
        <v xml:space="preserve"> </v>
      </c>
      <c r="M28" t="str">
        <f t="shared" ca="1" si="2"/>
        <v xml:space="preserve"> </v>
      </c>
      <c r="N28" s="3" t="str">
        <f t="shared" ca="1" si="3"/>
        <v xml:space="preserve"> </v>
      </c>
      <c r="O28" s="3" t="str">
        <f ca="1">IF(ISNUMBER($L28),INDIRECT("Input!A"&amp;1+MATCH($M28,aux_sheet_RRS!$D$2:$D$202,0))," ")</f>
        <v xml:space="preserve"> </v>
      </c>
      <c r="P28" s="3" t="str">
        <f ca="1">IF(ISNUMBER($L28),INDIRECT("Input!B"&amp;1+MATCH($M28,aux_sheet_RRS!$D$2:$D$202,0))," ")</f>
        <v xml:space="preserve"> </v>
      </c>
    </row>
    <row r="29" spans="1:16" x14ac:dyDescent="0.35">
      <c r="A29" t="str">
        <f>IF(ISBLANK(Input!A29)," ",ROUNDDOWN(aux_sheet_RRS!E29,0))</f>
        <v xml:space="preserve"> </v>
      </c>
      <c r="B29" t="str">
        <f ca="1">IF(ISBLANK(Input!A29)," ",INDIRECT("Input!A"&amp;1+MATCH($H29,aux_sheet_RRS!$D$2:$D$202,0)))</f>
        <v xml:space="preserve"> </v>
      </c>
      <c r="C29" t="str">
        <f ca="1">IF(ISBLANK(Input!B29)," ",INDIRECT("Input!B"&amp;1+MATCH($H29,aux_sheet_RRS!$D$2:$D$202,0)))</f>
        <v xml:space="preserve"> </v>
      </c>
      <c r="D29" t="str">
        <f ca="1">IF(ISBLANK(Input!C29)," ",INDIRECT("Input!C"&amp;1+MATCH($H29,aux_sheet_RRS!$D$2:$D$202,0)))</f>
        <v xml:space="preserve"> </v>
      </c>
      <c r="E29" t="str">
        <f ca="1">IF(ISBLANK(Input!D29)," ",INDIRECT("Input!D"&amp;1+MATCH($H29,aux_sheet_RRS!$D$2:$D$202,0)))</f>
        <v xml:space="preserve"> </v>
      </c>
      <c r="F29" t="str">
        <f ca="1">IF(ISBLANK(Input!E29)," ",INDIRECT("Input!H"&amp;1+MATCH($H29,aux_sheet_RRS!$D$2:$D$202,0)))</f>
        <v xml:space="preserve"> </v>
      </c>
      <c r="G29">
        <f ca="1">IF(ISBLANK(Input!G29)," ",INDIRECT("Input!AP"&amp;1+MATCH($H29,aux_sheet_RRS!$D$2:$D$202,0)))</f>
        <v>0</v>
      </c>
      <c r="H29">
        <f>aux_sheet_RRS!E29</f>
        <v>1000</v>
      </c>
      <c r="J29" t="str">
        <f t="shared" si="4"/>
        <v xml:space="preserve"> </v>
      </c>
      <c r="K29">
        <v>28</v>
      </c>
      <c r="L29" t="str">
        <f t="shared" ca="1" si="1"/>
        <v xml:space="preserve"> </v>
      </c>
      <c r="M29" t="str">
        <f t="shared" ca="1" si="2"/>
        <v xml:space="preserve"> </v>
      </c>
      <c r="N29" s="3" t="str">
        <f t="shared" ca="1" si="3"/>
        <v xml:space="preserve"> </v>
      </c>
      <c r="O29" s="3" t="str">
        <f ca="1">IF(ISNUMBER($L29),INDIRECT("Input!A"&amp;1+MATCH($M29,aux_sheet_RRS!$D$2:$D$202,0))," ")</f>
        <v xml:space="preserve"> </v>
      </c>
      <c r="P29" s="3" t="str">
        <f ca="1">IF(ISNUMBER($L29),INDIRECT("Input!B"&amp;1+MATCH($M29,aux_sheet_RRS!$D$2:$D$202,0))," ")</f>
        <v xml:space="preserve"> </v>
      </c>
    </row>
    <row r="30" spans="1:16" x14ac:dyDescent="0.35">
      <c r="A30" t="str">
        <f>IF(ISBLANK(Input!A30)," ",ROUNDDOWN(aux_sheet_RRS!E30,0))</f>
        <v xml:space="preserve"> </v>
      </c>
      <c r="B30" t="str">
        <f ca="1">IF(ISBLANK(Input!A30)," ",INDIRECT("Input!A"&amp;1+MATCH($H30,aux_sheet_RRS!$D$2:$D$202,0)))</f>
        <v xml:space="preserve"> </v>
      </c>
      <c r="C30" t="str">
        <f ca="1">IF(ISBLANK(Input!B30)," ",INDIRECT("Input!B"&amp;1+MATCH($H30,aux_sheet_RRS!$D$2:$D$202,0)))</f>
        <v xml:space="preserve"> </v>
      </c>
      <c r="D30" t="str">
        <f ca="1">IF(ISBLANK(Input!C30)," ",INDIRECT("Input!C"&amp;1+MATCH($H30,aux_sheet_RRS!$D$2:$D$202,0)))</f>
        <v xml:space="preserve"> </v>
      </c>
      <c r="E30" t="str">
        <f ca="1">IF(ISBLANK(Input!D30)," ",INDIRECT("Input!D"&amp;1+MATCH($H30,aux_sheet_RRS!$D$2:$D$202,0)))</f>
        <v xml:space="preserve"> </v>
      </c>
      <c r="F30" t="str">
        <f ca="1">IF(ISBLANK(Input!E30)," ",INDIRECT("Input!H"&amp;1+MATCH($H30,aux_sheet_RRS!$D$2:$D$202,0)))</f>
        <v xml:space="preserve"> </v>
      </c>
      <c r="G30">
        <f ca="1">IF(ISBLANK(Input!G30)," ",INDIRECT("Input!AP"&amp;1+MATCH($H30,aux_sheet_RRS!$D$2:$D$202,0)))</f>
        <v>0</v>
      </c>
      <c r="H30">
        <f>aux_sheet_RRS!E30</f>
        <v>1000</v>
      </c>
      <c r="J30" t="str">
        <f t="shared" si="4"/>
        <v xml:space="preserve"> </v>
      </c>
      <c r="K30">
        <v>29</v>
      </c>
      <c r="L30" t="str">
        <f t="shared" ca="1" si="1"/>
        <v xml:space="preserve"> </v>
      </c>
      <c r="M30" t="str">
        <f t="shared" ca="1" si="2"/>
        <v xml:space="preserve"> </v>
      </c>
      <c r="N30" s="3" t="str">
        <f t="shared" ca="1" si="3"/>
        <v xml:space="preserve"> </v>
      </c>
      <c r="O30" s="3" t="str">
        <f ca="1">IF(ISNUMBER($L30),INDIRECT("Input!A"&amp;1+MATCH($M30,aux_sheet_RRS!$D$2:$D$202,0))," ")</f>
        <v xml:space="preserve"> </v>
      </c>
      <c r="P30" s="3" t="str">
        <f ca="1">IF(ISNUMBER($L30),INDIRECT("Input!B"&amp;1+MATCH($M30,aux_sheet_RRS!$D$2:$D$202,0))," ")</f>
        <v xml:space="preserve"> </v>
      </c>
    </row>
    <row r="31" spans="1:16" x14ac:dyDescent="0.35">
      <c r="A31" t="str">
        <f>IF(ISBLANK(Input!A31)," ",ROUNDDOWN(aux_sheet_RRS!E31,0))</f>
        <v xml:space="preserve"> </v>
      </c>
      <c r="B31" t="str">
        <f ca="1">IF(ISBLANK(Input!A31)," ",INDIRECT("Input!A"&amp;1+MATCH($H31,aux_sheet_RRS!$D$2:$D$202,0)))</f>
        <v xml:space="preserve"> </v>
      </c>
      <c r="C31" t="str">
        <f ca="1">IF(ISBLANK(Input!B31)," ",INDIRECT("Input!B"&amp;1+MATCH($H31,aux_sheet_RRS!$D$2:$D$202,0)))</f>
        <v xml:space="preserve"> </v>
      </c>
      <c r="D31" t="str">
        <f ca="1">IF(ISBLANK(Input!C31)," ",INDIRECT("Input!C"&amp;1+MATCH($H31,aux_sheet_RRS!$D$2:$D$202,0)))</f>
        <v xml:space="preserve"> </v>
      </c>
      <c r="E31" t="str">
        <f ca="1">IF(ISBLANK(Input!D31)," ",INDIRECT("Input!D"&amp;1+MATCH($H31,aux_sheet_RRS!$D$2:$D$202,0)))</f>
        <v xml:space="preserve"> </v>
      </c>
      <c r="F31" t="str">
        <f ca="1">IF(ISBLANK(Input!E31)," ",INDIRECT("Input!H"&amp;1+MATCH($H31,aux_sheet_RRS!$D$2:$D$202,0)))</f>
        <v xml:space="preserve"> </v>
      </c>
      <c r="G31">
        <f ca="1">IF(ISBLANK(Input!G31)," ",INDIRECT("Input!AP"&amp;1+MATCH($H31,aux_sheet_RRS!$D$2:$D$202,0)))</f>
        <v>0</v>
      </c>
      <c r="H31">
        <f>aux_sheet_RRS!E31</f>
        <v>1000</v>
      </c>
      <c r="J31" t="str">
        <f t="shared" si="4"/>
        <v xml:space="preserve"> </v>
      </c>
      <c r="K31">
        <v>30</v>
      </c>
      <c r="L31" t="str">
        <f t="shared" ca="1" si="1"/>
        <v xml:space="preserve"> </v>
      </c>
      <c r="M31" t="str">
        <f t="shared" ca="1" si="2"/>
        <v xml:space="preserve"> </v>
      </c>
      <c r="N31" s="3" t="str">
        <f t="shared" ca="1" si="3"/>
        <v xml:space="preserve"> </v>
      </c>
      <c r="O31" s="3" t="str">
        <f ca="1">IF(ISNUMBER($L31),INDIRECT("Input!A"&amp;1+MATCH($M31,aux_sheet_RRS!$D$2:$D$202,0))," ")</f>
        <v xml:space="preserve"> </v>
      </c>
      <c r="P31" s="3" t="str">
        <f ca="1">IF(ISNUMBER($L31),INDIRECT("Input!B"&amp;1+MATCH($M31,aux_sheet_RRS!$D$2:$D$202,0))," ")</f>
        <v xml:space="preserve"> </v>
      </c>
    </row>
    <row r="32" spans="1:16" x14ac:dyDescent="0.35">
      <c r="A32" t="str">
        <f>IF(ISBLANK(Input!A32)," ",ROUNDDOWN(aux_sheet_RRS!E32,0))</f>
        <v xml:space="preserve"> </v>
      </c>
      <c r="B32" t="str">
        <f ca="1">IF(ISBLANK(Input!A32)," ",INDIRECT("Input!A"&amp;1+MATCH($H32,aux_sheet_RRS!$D$2:$D$202,0)))</f>
        <v xml:space="preserve"> </v>
      </c>
      <c r="C32" t="str">
        <f ca="1">IF(ISBLANK(Input!B32)," ",INDIRECT("Input!B"&amp;1+MATCH($H32,aux_sheet_RRS!$D$2:$D$202,0)))</f>
        <v xml:space="preserve"> </v>
      </c>
      <c r="D32" t="str">
        <f ca="1">IF(ISBLANK(Input!C32)," ",INDIRECT("Input!C"&amp;1+MATCH($H32,aux_sheet_RRS!$D$2:$D$202,0)))</f>
        <v xml:space="preserve"> </v>
      </c>
      <c r="E32" t="str">
        <f ca="1">IF(ISBLANK(Input!D32)," ",INDIRECT("Input!D"&amp;1+MATCH($H32,aux_sheet_RRS!$D$2:$D$202,0)))</f>
        <v xml:space="preserve"> </v>
      </c>
      <c r="F32" t="str">
        <f ca="1">IF(ISBLANK(Input!E32)," ",INDIRECT("Input!H"&amp;1+MATCH($H32,aux_sheet_RRS!$D$2:$D$202,0)))</f>
        <v xml:space="preserve"> </v>
      </c>
      <c r="G32">
        <f ca="1">IF(ISBLANK(Input!G32)," ",INDIRECT("Input!AP"&amp;1+MATCH($H32,aux_sheet_RRS!$D$2:$D$202,0)))</f>
        <v>0</v>
      </c>
      <c r="H32">
        <f>aux_sheet_RRS!E32</f>
        <v>1000</v>
      </c>
      <c r="J32" t="str">
        <f t="shared" si="4"/>
        <v xml:space="preserve"> </v>
      </c>
      <c r="K32">
        <v>31</v>
      </c>
      <c r="L32" t="str">
        <f t="shared" ca="1" si="1"/>
        <v xml:space="preserve"> </v>
      </c>
      <c r="M32" t="str">
        <f t="shared" ca="1" si="2"/>
        <v xml:space="preserve"> </v>
      </c>
      <c r="N32" s="3" t="str">
        <f t="shared" ca="1" si="3"/>
        <v xml:space="preserve"> </v>
      </c>
      <c r="O32" s="3" t="str">
        <f ca="1">IF(ISNUMBER($L32),INDIRECT("Input!A"&amp;1+MATCH($M32,aux_sheet_RRS!$D$2:$D$202,0))," ")</f>
        <v xml:space="preserve"> </v>
      </c>
      <c r="P32" s="3" t="str">
        <f ca="1">IF(ISNUMBER($L32),INDIRECT("Input!B"&amp;1+MATCH($M32,aux_sheet_RRS!$D$2:$D$202,0))," ")</f>
        <v xml:space="preserve"> </v>
      </c>
    </row>
    <row r="33" spans="1:16" x14ac:dyDescent="0.35">
      <c r="A33" t="str">
        <f>IF(ISBLANK(Input!A33)," ",ROUNDDOWN(aux_sheet_RRS!E33,0))</f>
        <v xml:space="preserve"> </v>
      </c>
      <c r="B33" t="str">
        <f ca="1">IF(ISBLANK(Input!A33)," ",INDIRECT("Input!A"&amp;1+MATCH($H33,aux_sheet_RRS!$D$2:$D$202,0)))</f>
        <v xml:space="preserve"> </v>
      </c>
      <c r="C33" t="str">
        <f ca="1">IF(ISBLANK(Input!B33)," ",INDIRECT("Input!B"&amp;1+MATCH($H33,aux_sheet_RRS!$D$2:$D$202,0)))</f>
        <v xml:space="preserve"> </v>
      </c>
      <c r="D33" t="str">
        <f ca="1">IF(ISBLANK(Input!C33)," ",INDIRECT("Input!C"&amp;1+MATCH($H33,aux_sheet_RRS!$D$2:$D$202,0)))</f>
        <v xml:space="preserve"> </v>
      </c>
      <c r="E33" t="str">
        <f ca="1">IF(ISBLANK(Input!D33)," ",INDIRECT("Input!D"&amp;1+MATCH($H33,aux_sheet_RRS!$D$2:$D$202,0)))</f>
        <v xml:space="preserve"> </v>
      </c>
      <c r="F33" t="str">
        <f ca="1">IF(ISBLANK(Input!E33)," ",INDIRECT("Input!H"&amp;1+MATCH($H33,aux_sheet_RRS!$D$2:$D$202,0)))</f>
        <v xml:space="preserve"> </v>
      </c>
      <c r="G33">
        <f ca="1">IF(ISBLANK(Input!G33)," ",INDIRECT("Input!AP"&amp;1+MATCH($H33,aux_sheet_RRS!$D$2:$D$202,0)))</f>
        <v>0</v>
      </c>
      <c r="H33">
        <f>aux_sheet_RRS!E33</f>
        <v>1000</v>
      </c>
      <c r="J33" t="str">
        <f t="shared" si="4"/>
        <v xml:space="preserve"> </v>
      </c>
      <c r="K33">
        <v>32</v>
      </c>
      <c r="L33" t="str">
        <f t="shared" ca="1" si="1"/>
        <v xml:space="preserve"> </v>
      </c>
      <c r="M33" t="str">
        <f t="shared" ca="1" si="2"/>
        <v xml:space="preserve"> </v>
      </c>
      <c r="N33" s="3" t="str">
        <f t="shared" ca="1" si="3"/>
        <v xml:space="preserve"> </v>
      </c>
      <c r="O33" s="3" t="str">
        <f ca="1">IF(ISNUMBER($L33),INDIRECT("Input!A"&amp;1+MATCH($M33,aux_sheet_RRS!$D$2:$D$202,0))," ")</f>
        <v xml:space="preserve"> </v>
      </c>
      <c r="P33" s="3" t="str">
        <f ca="1">IF(ISNUMBER($L33),INDIRECT("Input!B"&amp;1+MATCH($M33,aux_sheet_RRS!$D$2:$D$202,0))," ")</f>
        <v xml:space="preserve"> </v>
      </c>
    </row>
    <row r="34" spans="1:16" x14ac:dyDescent="0.35">
      <c r="A34" t="str">
        <f>IF(ISBLANK(Input!A34)," ",ROUNDDOWN(aux_sheet_RRS!E34,0))</f>
        <v xml:space="preserve"> </v>
      </c>
      <c r="B34" t="str">
        <f ca="1">IF(ISBLANK(Input!A34)," ",INDIRECT("Input!A"&amp;1+MATCH($H34,aux_sheet_RRS!$D$2:$D$202,0)))</f>
        <v xml:space="preserve"> </v>
      </c>
      <c r="C34" t="str">
        <f ca="1">IF(ISBLANK(Input!B34)," ",INDIRECT("Input!B"&amp;1+MATCH($H34,aux_sheet_RRS!$D$2:$D$202,0)))</f>
        <v xml:space="preserve"> </v>
      </c>
      <c r="D34" t="str">
        <f ca="1">IF(ISBLANK(Input!C34)," ",INDIRECT("Input!C"&amp;1+MATCH($H34,aux_sheet_RRS!$D$2:$D$202,0)))</f>
        <v xml:space="preserve"> </v>
      </c>
      <c r="E34" t="str">
        <f ca="1">IF(ISBLANK(Input!D34)," ",INDIRECT("Input!D"&amp;1+MATCH($H34,aux_sheet_RRS!$D$2:$D$202,0)))</f>
        <v xml:space="preserve"> </v>
      </c>
      <c r="F34" t="str">
        <f ca="1">IF(ISBLANK(Input!E34)," ",INDIRECT("Input!H"&amp;1+MATCH($H34,aux_sheet_RRS!$D$2:$D$202,0)))</f>
        <v xml:space="preserve"> </v>
      </c>
      <c r="G34">
        <f ca="1">IF(ISBLANK(Input!G34)," ",INDIRECT("Input!AP"&amp;1+MATCH($H34,aux_sheet_RRS!$D$2:$D$202,0)))</f>
        <v>0</v>
      </c>
      <c r="H34">
        <f>aux_sheet_RRS!E34</f>
        <v>1000</v>
      </c>
      <c r="J34" t="str">
        <f t="shared" si="4"/>
        <v xml:space="preserve"> </v>
      </c>
      <c r="K34">
        <v>33</v>
      </c>
      <c r="L34" t="str">
        <f t="shared" ca="1" si="1"/>
        <v xml:space="preserve"> </v>
      </c>
      <c r="M34" t="str">
        <f t="shared" ca="1" si="2"/>
        <v xml:space="preserve"> </v>
      </c>
      <c r="N34" s="3" t="str">
        <f t="shared" ca="1" si="3"/>
        <v xml:space="preserve"> </v>
      </c>
      <c r="O34" s="3" t="str">
        <f ca="1">IF(ISNUMBER($L34),INDIRECT("Input!A"&amp;1+MATCH($M34,aux_sheet_RRS!$D$2:$D$202,0))," ")</f>
        <v xml:space="preserve"> </v>
      </c>
      <c r="P34" s="3" t="str">
        <f ca="1">IF(ISNUMBER($L34),INDIRECT("Input!B"&amp;1+MATCH($M34,aux_sheet_RRS!$D$2:$D$202,0))," ")</f>
        <v xml:space="preserve"> </v>
      </c>
    </row>
    <row r="35" spans="1:16" x14ac:dyDescent="0.35">
      <c r="A35" t="str">
        <f>IF(ISBLANK(Input!A35)," ",ROUNDDOWN(aux_sheet_RRS!E35,0))</f>
        <v xml:space="preserve"> </v>
      </c>
      <c r="B35" t="str">
        <f ca="1">IF(ISBLANK(Input!A35)," ",INDIRECT("Input!A"&amp;1+MATCH($H35,aux_sheet_RRS!$D$2:$D$202,0)))</f>
        <v xml:space="preserve"> </v>
      </c>
      <c r="C35" t="str">
        <f ca="1">IF(ISBLANK(Input!B35)," ",INDIRECT("Input!B"&amp;1+MATCH($H35,aux_sheet_RRS!$D$2:$D$202,0)))</f>
        <v xml:space="preserve"> </v>
      </c>
      <c r="D35" t="str">
        <f ca="1">IF(ISBLANK(Input!C35)," ",INDIRECT("Input!C"&amp;1+MATCH($H35,aux_sheet_RRS!$D$2:$D$202,0)))</f>
        <v xml:space="preserve"> </v>
      </c>
      <c r="E35" t="str">
        <f ca="1">IF(ISBLANK(Input!D35)," ",INDIRECT("Input!D"&amp;1+MATCH($H35,aux_sheet_RRS!$D$2:$D$202,0)))</f>
        <v xml:space="preserve"> </v>
      </c>
      <c r="F35" t="str">
        <f ca="1">IF(ISBLANK(Input!E35)," ",INDIRECT("Input!H"&amp;1+MATCH($H35,aux_sheet_RRS!$D$2:$D$202,0)))</f>
        <v xml:space="preserve"> </v>
      </c>
      <c r="G35">
        <f ca="1">IF(ISBLANK(Input!G35)," ",INDIRECT("Input!AP"&amp;1+MATCH($H35,aux_sheet_RRS!$D$2:$D$202,0)))</f>
        <v>0</v>
      </c>
      <c r="H35">
        <f>aux_sheet_RRS!E35</f>
        <v>1000</v>
      </c>
      <c r="J35" t="str">
        <f t="shared" si="4"/>
        <v xml:space="preserve"> </v>
      </c>
      <c r="K35">
        <v>34</v>
      </c>
      <c r="L35" t="str">
        <f t="shared" ca="1" si="1"/>
        <v xml:space="preserve"> </v>
      </c>
      <c r="M35" t="str">
        <f t="shared" ca="1" si="2"/>
        <v xml:space="preserve"> </v>
      </c>
      <c r="N35" s="3" t="str">
        <f t="shared" ca="1" si="3"/>
        <v xml:space="preserve"> </v>
      </c>
      <c r="O35" s="3" t="str">
        <f ca="1">IF(ISNUMBER($L35),INDIRECT("Input!A"&amp;1+MATCH($M35,aux_sheet_RRS!$D$2:$D$202,0))," ")</f>
        <v xml:space="preserve"> </v>
      </c>
      <c r="P35" s="3" t="str">
        <f ca="1">IF(ISNUMBER($L35),INDIRECT("Input!B"&amp;1+MATCH($M35,aux_sheet_RRS!$D$2:$D$202,0))," ")</f>
        <v xml:space="preserve"> </v>
      </c>
    </row>
    <row r="36" spans="1:16" x14ac:dyDescent="0.35">
      <c r="A36" t="str">
        <f>IF(ISBLANK(Input!A36)," ",ROUNDDOWN(aux_sheet_RRS!E36,0))</f>
        <v xml:space="preserve"> </v>
      </c>
      <c r="B36" t="str">
        <f ca="1">IF(ISBLANK(Input!A36)," ",INDIRECT("Input!A"&amp;1+MATCH($H36,aux_sheet_RRS!$D$2:$D$202,0)))</f>
        <v xml:space="preserve"> </v>
      </c>
      <c r="C36" t="str">
        <f ca="1">IF(ISBLANK(Input!B36)," ",INDIRECT("Input!B"&amp;1+MATCH($H36,aux_sheet_RRS!$D$2:$D$202,0)))</f>
        <v xml:space="preserve"> </v>
      </c>
      <c r="D36" t="str">
        <f ca="1">IF(ISBLANK(Input!C36)," ",INDIRECT("Input!C"&amp;1+MATCH($H36,aux_sheet_RRS!$D$2:$D$202,0)))</f>
        <v xml:space="preserve"> </v>
      </c>
      <c r="E36" t="str">
        <f ca="1">IF(ISBLANK(Input!D36)," ",INDIRECT("Input!D"&amp;1+MATCH($H36,aux_sheet_RRS!$D$2:$D$202,0)))</f>
        <v xml:space="preserve"> </v>
      </c>
      <c r="F36" t="str">
        <f ca="1">IF(ISBLANK(Input!E36)," ",INDIRECT("Input!H"&amp;1+MATCH($H36,aux_sheet_RRS!$D$2:$D$202,0)))</f>
        <v xml:space="preserve"> </v>
      </c>
      <c r="G36">
        <f ca="1">IF(ISBLANK(Input!G36)," ",INDIRECT("Input!AP"&amp;1+MATCH($H36,aux_sheet_RRS!$D$2:$D$202,0)))</f>
        <v>0</v>
      </c>
      <c r="H36">
        <f>aux_sheet_RRS!E36</f>
        <v>1000</v>
      </c>
      <c r="J36" t="str">
        <f t="shared" si="4"/>
        <v xml:space="preserve"> </v>
      </c>
      <c r="K36">
        <v>35</v>
      </c>
      <c r="L36" t="str">
        <f t="shared" ca="1" si="1"/>
        <v xml:space="preserve"> </v>
      </c>
      <c r="M36" t="str">
        <f t="shared" ca="1" si="2"/>
        <v xml:space="preserve"> </v>
      </c>
      <c r="N36" s="3" t="str">
        <f t="shared" ca="1" si="3"/>
        <v xml:space="preserve"> </v>
      </c>
      <c r="O36" s="3" t="str">
        <f ca="1">IF(ISNUMBER($L36),INDIRECT("Input!A"&amp;1+MATCH($M36,aux_sheet_RRS!$D$2:$D$202,0))," ")</f>
        <v xml:space="preserve"> </v>
      </c>
      <c r="P36" s="3" t="str">
        <f ca="1">IF(ISNUMBER($L36),INDIRECT("Input!B"&amp;1+MATCH($M36,aux_sheet_RRS!$D$2:$D$202,0))," ")</f>
        <v xml:space="preserve"> </v>
      </c>
    </row>
    <row r="37" spans="1:16" x14ac:dyDescent="0.35">
      <c r="A37" t="str">
        <f>IF(ISBLANK(Input!A37)," ",ROUNDDOWN(aux_sheet_RRS!E37,0))</f>
        <v xml:space="preserve"> </v>
      </c>
      <c r="B37" t="str">
        <f ca="1">IF(ISBLANK(Input!A37)," ",INDIRECT("Input!A"&amp;1+MATCH($H37,aux_sheet_RRS!$D$2:$D$202,0)))</f>
        <v xml:space="preserve"> </v>
      </c>
      <c r="C37" t="str">
        <f ca="1">IF(ISBLANK(Input!B37)," ",INDIRECT("Input!B"&amp;1+MATCH($H37,aux_sheet_RRS!$D$2:$D$202,0)))</f>
        <v xml:space="preserve"> </v>
      </c>
      <c r="D37" t="str">
        <f ca="1">IF(ISBLANK(Input!C37)," ",INDIRECT("Input!C"&amp;1+MATCH($H37,aux_sheet_RRS!$D$2:$D$202,0)))</f>
        <v xml:space="preserve"> </v>
      </c>
      <c r="E37" t="str">
        <f ca="1">IF(ISBLANK(Input!D37)," ",INDIRECT("Input!D"&amp;1+MATCH($H37,aux_sheet_RRS!$D$2:$D$202,0)))</f>
        <v xml:space="preserve"> </v>
      </c>
      <c r="F37" t="str">
        <f ca="1">IF(ISBLANK(Input!E37)," ",INDIRECT("Input!H"&amp;1+MATCH($H37,aux_sheet_RRS!$D$2:$D$202,0)))</f>
        <v xml:space="preserve"> </v>
      </c>
      <c r="G37">
        <f ca="1">IF(ISBLANK(Input!G37)," ",INDIRECT("Input!AP"&amp;1+MATCH($H37,aux_sheet_RRS!$D$2:$D$202,0)))</f>
        <v>0</v>
      </c>
      <c r="H37">
        <f>aux_sheet_RRS!E37</f>
        <v>1000</v>
      </c>
      <c r="J37" t="str">
        <f t="shared" si="4"/>
        <v xml:space="preserve"> </v>
      </c>
      <c r="K37">
        <v>36</v>
      </c>
      <c r="L37" t="str">
        <f t="shared" ca="1" si="1"/>
        <v xml:space="preserve"> </v>
      </c>
      <c r="M37" t="str">
        <f t="shared" ca="1" si="2"/>
        <v xml:space="preserve"> </v>
      </c>
      <c r="N37" s="3" t="str">
        <f t="shared" ca="1" si="3"/>
        <v xml:space="preserve"> </v>
      </c>
      <c r="O37" s="3" t="str">
        <f ca="1">IF(ISNUMBER($L37),INDIRECT("Input!A"&amp;1+MATCH($M37,aux_sheet_RRS!$D$2:$D$202,0))," ")</f>
        <v xml:space="preserve"> </v>
      </c>
      <c r="P37" s="3" t="str">
        <f ca="1">IF(ISNUMBER($L37),INDIRECT("Input!B"&amp;1+MATCH($M37,aux_sheet_RRS!$D$2:$D$202,0))," ")</f>
        <v xml:space="preserve"> </v>
      </c>
    </row>
    <row r="38" spans="1:16" x14ac:dyDescent="0.35">
      <c r="A38" t="str">
        <f>IF(ISBLANK(Input!A38)," ",ROUNDDOWN(aux_sheet_RRS!E38,0))</f>
        <v xml:space="preserve"> </v>
      </c>
      <c r="B38" t="str">
        <f ca="1">IF(ISBLANK(Input!A38)," ",INDIRECT("Input!A"&amp;1+MATCH($H38,aux_sheet_RRS!$D$2:$D$202,0)))</f>
        <v xml:space="preserve"> </v>
      </c>
      <c r="C38" t="str">
        <f ca="1">IF(ISBLANK(Input!B38)," ",INDIRECT("Input!B"&amp;1+MATCH($H38,aux_sheet_RRS!$D$2:$D$202,0)))</f>
        <v xml:space="preserve"> </v>
      </c>
      <c r="D38" t="str">
        <f ca="1">IF(ISBLANK(Input!C38)," ",INDIRECT("Input!C"&amp;1+MATCH($H38,aux_sheet_RRS!$D$2:$D$202,0)))</f>
        <v xml:space="preserve"> </v>
      </c>
      <c r="E38" t="str">
        <f ca="1">IF(ISBLANK(Input!D38)," ",INDIRECT("Input!D"&amp;1+MATCH($H38,aux_sheet_RRS!$D$2:$D$202,0)))</f>
        <v xml:space="preserve"> </v>
      </c>
      <c r="F38" t="str">
        <f ca="1">IF(ISBLANK(Input!E38)," ",INDIRECT("Input!H"&amp;1+MATCH($H38,aux_sheet_RRS!$D$2:$D$202,0)))</f>
        <v xml:space="preserve"> </v>
      </c>
      <c r="G38">
        <f ca="1">IF(ISBLANK(Input!G38)," ",INDIRECT("Input!AP"&amp;1+MATCH($H38,aux_sheet_RRS!$D$2:$D$202,0)))</f>
        <v>0</v>
      </c>
      <c r="H38">
        <f>aux_sheet_RRS!E38</f>
        <v>1000</v>
      </c>
      <c r="J38" t="str">
        <f t="shared" si="4"/>
        <v xml:space="preserve"> </v>
      </c>
      <c r="K38">
        <v>37</v>
      </c>
      <c r="L38" t="str">
        <f t="shared" ca="1" si="1"/>
        <v xml:space="preserve"> </v>
      </c>
      <c r="M38" t="str">
        <f t="shared" ca="1" si="2"/>
        <v xml:space="preserve"> </v>
      </c>
      <c r="N38" s="3" t="str">
        <f t="shared" ca="1" si="3"/>
        <v xml:space="preserve"> </v>
      </c>
      <c r="O38" s="3" t="str">
        <f ca="1">IF(ISNUMBER($L38),INDIRECT("Input!A"&amp;1+MATCH($M38,aux_sheet_RRS!$D$2:$D$202,0))," ")</f>
        <v xml:space="preserve"> </v>
      </c>
      <c r="P38" s="3" t="str">
        <f ca="1">IF(ISNUMBER($L38),INDIRECT("Input!B"&amp;1+MATCH($M38,aux_sheet_RRS!$D$2:$D$202,0))," ")</f>
        <v xml:space="preserve"> </v>
      </c>
    </row>
    <row r="39" spans="1:16" x14ac:dyDescent="0.35">
      <c r="A39" t="str">
        <f>IF(ISBLANK(Input!A39)," ",ROUNDDOWN(aux_sheet_RRS!E39,0))</f>
        <v xml:space="preserve"> </v>
      </c>
      <c r="B39" t="str">
        <f ca="1">IF(ISBLANK(Input!A39)," ",INDIRECT("Input!A"&amp;1+MATCH($H39,aux_sheet_RRS!$D$2:$D$202,0)))</f>
        <v xml:space="preserve"> </v>
      </c>
      <c r="C39" t="str">
        <f ca="1">IF(ISBLANK(Input!B39)," ",INDIRECT("Input!B"&amp;1+MATCH($H39,aux_sheet_RRS!$D$2:$D$202,0)))</f>
        <v xml:space="preserve"> </v>
      </c>
      <c r="D39" t="str">
        <f ca="1">IF(ISBLANK(Input!C39)," ",INDIRECT("Input!C"&amp;1+MATCH($H39,aux_sheet_RRS!$D$2:$D$202,0)))</f>
        <v xml:space="preserve"> </v>
      </c>
      <c r="E39" t="str">
        <f ca="1">IF(ISBLANK(Input!D39)," ",INDIRECT("Input!D"&amp;1+MATCH($H39,aux_sheet_RRS!$D$2:$D$202,0)))</f>
        <v xml:space="preserve"> </v>
      </c>
      <c r="F39" t="str">
        <f ca="1">IF(ISBLANK(Input!E39)," ",INDIRECT("Input!H"&amp;1+MATCH($H39,aux_sheet_RRS!$D$2:$D$202,0)))</f>
        <v xml:space="preserve"> </v>
      </c>
      <c r="G39">
        <f ca="1">IF(ISBLANK(Input!G39)," ",INDIRECT("Input!AP"&amp;1+MATCH($H39,aux_sheet_RRS!$D$2:$D$202,0)))</f>
        <v>0</v>
      </c>
      <c r="H39">
        <f>aux_sheet_RRS!E39</f>
        <v>1000</v>
      </c>
      <c r="J39" t="str">
        <f t="shared" si="4"/>
        <v xml:space="preserve"> </v>
      </c>
      <c r="K39">
        <v>38</v>
      </c>
      <c r="L39" t="str">
        <f t="shared" ca="1" si="1"/>
        <v xml:space="preserve"> </v>
      </c>
      <c r="M39" t="str">
        <f t="shared" ca="1" si="2"/>
        <v xml:space="preserve"> </v>
      </c>
      <c r="N39" s="3" t="str">
        <f t="shared" ca="1" si="3"/>
        <v xml:space="preserve"> </v>
      </c>
      <c r="O39" s="3" t="str">
        <f ca="1">IF(ISNUMBER($L39),INDIRECT("Input!A"&amp;1+MATCH($M39,aux_sheet_RRS!$D$2:$D$202,0))," ")</f>
        <v xml:space="preserve"> </v>
      </c>
      <c r="P39" s="3" t="str">
        <f ca="1">IF(ISNUMBER($L39),INDIRECT("Input!B"&amp;1+MATCH($M39,aux_sheet_RRS!$D$2:$D$202,0))," ")</f>
        <v xml:space="preserve"> </v>
      </c>
    </row>
    <row r="40" spans="1:16" x14ac:dyDescent="0.35">
      <c r="A40" t="str">
        <f>IF(ISBLANK(Input!A40)," ",ROUNDDOWN(aux_sheet_RRS!E40,0))</f>
        <v xml:space="preserve"> </v>
      </c>
      <c r="B40" t="str">
        <f ca="1">IF(ISBLANK(Input!A40)," ",INDIRECT("Input!A"&amp;1+MATCH($H40,aux_sheet_RRS!$D$2:$D$202,0)))</f>
        <v xml:space="preserve"> </v>
      </c>
      <c r="C40" t="str">
        <f ca="1">IF(ISBLANK(Input!B40)," ",INDIRECT("Input!B"&amp;1+MATCH($H40,aux_sheet_RRS!$D$2:$D$202,0)))</f>
        <v xml:space="preserve"> </v>
      </c>
      <c r="D40" t="str">
        <f ca="1">IF(ISBLANK(Input!C40)," ",INDIRECT("Input!C"&amp;1+MATCH($H40,aux_sheet_RRS!$D$2:$D$202,0)))</f>
        <v xml:space="preserve"> </v>
      </c>
      <c r="E40" t="str">
        <f ca="1">IF(ISBLANK(Input!D40)," ",INDIRECT("Input!D"&amp;1+MATCH($H40,aux_sheet_RRS!$D$2:$D$202,0)))</f>
        <v xml:space="preserve"> </v>
      </c>
      <c r="F40" t="str">
        <f ca="1">IF(ISBLANK(Input!E40)," ",INDIRECT("Input!H"&amp;1+MATCH($H40,aux_sheet_RRS!$D$2:$D$202,0)))</f>
        <v xml:space="preserve"> </v>
      </c>
      <c r="G40">
        <f ca="1">IF(ISBLANK(Input!G40)," ",INDIRECT("Input!AP"&amp;1+MATCH($H40,aux_sheet_RRS!$D$2:$D$202,0)))</f>
        <v>0</v>
      </c>
      <c r="H40">
        <f>aux_sheet_RRS!E40</f>
        <v>1000</v>
      </c>
      <c r="J40" t="str">
        <f t="shared" si="4"/>
        <v xml:space="preserve"> </v>
      </c>
      <c r="K40">
        <v>39</v>
      </c>
      <c r="L40" t="str">
        <f t="shared" ca="1" si="1"/>
        <v xml:space="preserve"> </v>
      </c>
      <c r="M40" t="str">
        <f t="shared" ca="1" si="2"/>
        <v xml:space="preserve"> </v>
      </c>
      <c r="N40" s="3" t="str">
        <f t="shared" ca="1" si="3"/>
        <v xml:space="preserve"> </v>
      </c>
      <c r="O40" s="3" t="str">
        <f ca="1">IF(ISNUMBER($L40),INDIRECT("Input!A"&amp;1+MATCH($M40,aux_sheet_RRS!$D$2:$D$202,0))," ")</f>
        <v xml:space="preserve"> </v>
      </c>
      <c r="P40" s="3" t="str">
        <f ca="1">IF(ISNUMBER($L40),INDIRECT("Input!B"&amp;1+MATCH($M40,aux_sheet_RRS!$D$2:$D$202,0))," ")</f>
        <v xml:space="preserve"> </v>
      </c>
    </row>
    <row r="41" spans="1:16" x14ac:dyDescent="0.35">
      <c r="A41" t="str">
        <f>IF(ISBLANK(Input!A41)," ",ROUNDDOWN(aux_sheet_RRS!E41,0))</f>
        <v xml:space="preserve"> </v>
      </c>
      <c r="B41" t="str">
        <f ca="1">IF(ISBLANK(Input!A41)," ",INDIRECT("Input!A"&amp;1+MATCH($H41,aux_sheet_RRS!$D$2:$D$202,0)))</f>
        <v xml:space="preserve"> </v>
      </c>
      <c r="C41" t="str">
        <f ca="1">IF(ISBLANK(Input!B41)," ",INDIRECT("Input!B"&amp;1+MATCH($H41,aux_sheet_RRS!$D$2:$D$202,0)))</f>
        <v xml:space="preserve"> </v>
      </c>
      <c r="D41" t="str">
        <f ca="1">IF(ISBLANK(Input!C41)," ",INDIRECT("Input!C"&amp;1+MATCH($H41,aux_sheet_RRS!$D$2:$D$202,0)))</f>
        <v xml:space="preserve"> </v>
      </c>
      <c r="E41" t="str">
        <f ca="1">IF(ISBLANK(Input!D41)," ",INDIRECT("Input!D"&amp;1+MATCH($H41,aux_sheet_RRS!$D$2:$D$202,0)))</f>
        <v xml:space="preserve"> </v>
      </c>
      <c r="F41" t="str">
        <f ca="1">IF(ISBLANK(Input!E41)," ",INDIRECT("Input!H"&amp;1+MATCH($H41,aux_sheet_RRS!$D$2:$D$202,0)))</f>
        <v xml:space="preserve"> </v>
      </c>
      <c r="G41">
        <f ca="1">IF(ISBLANK(Input!G41)," ",INDIRECT("Input!AP"&amp;1+MATCH($H41,aux_sheet_RRS!$D$2:$D$202,0)))</f>
        <v>0</v>
      </c>
      <c r="H41">
        <f>aux_sheet_RRS!E41</f>
        <v>1000</v>
      </c>
      <c r="J41" t="str">
        <f t="shared" si="4"/>
        <v xml:space="preserve"> </v>
      </c>
      <c r="K41">
        <v>40</v>
      </c>
      <c r="L41" t="str">
        <f t="shared" ca="1" si="1"/>
        <v xml:space="preserve"> </v>
      </c>
      <c r="M41" t="str">
        <f t="shared" ca="1" si="2"/>
        <v xml:space="preserve"> </v>
      </c>
      <c r="N41" s="3" t="str">
        <f t="shared" ca="1" si="3"/>
        <v xml:space="preserve"> </v>
      </c>
      <c r="O41" s="3" t="str">
        <f ca="1">IF(ISNUMBER($L41),INDIRECT("Input!A"&amp;1+MATCH($M41,aux_sheet_RRS!$D$2:$D$202,0))," ")</f>
        <v xml:space="preserve"> </v>
      </c>
      <c r="P41" s="3" t="str">
        <f ca="1">IF(ISNUMBER($L41),INDIRECT("Input!B"&amp;1+MATCH($M41,aux_sheet_RRS!$D$2:$D$202,0))," ")</f>
        <v xml:space="preserve"> </v>
      </c>
    </row>
    <row r="42" spans="1:16" x14ac:dyDescent="0.35">
      <c r="A42" t="str">
        <f>IF(ISBLANK(Input!A42)," ",ROUNDDOWN(aux_sheet_RRS!E42,0))</f>
        <v xml:space="preserve"> </v>
      </c>
      <c r="B42" t="str">
        <f ca="1">IF(ISBLANK(Input!A42)," ",INDIRECT("Input!A"&amp;1+MATCH($H42,aux_sheet_RRS!$D$2:$D$202,0)))</f>
        <v xml:space="preserve"> </v>
      </c>
      <c r="C42" t="str">
        <f ca="1">IF(ISBLANK(Input!B42)," ",INDIRECT("Input!B"&amp;1+MATCH($H42,aux_sheet_RRS!$D$2:$D$202,0)))</f>
        <v xml:space="preserve"> </v>
      </c>
      <c r="D42" t="str">
        <f ca="1">IF(ISBLANK(Input!C42)," ",INDIRECT("Input!C"&amp;1+MATCH($H42,aux_sheet_RRS!$D$2:$D$202,0)))</f>
        <v xml:space="preserve"> </v>
      </c>
      <c r="E42" t="str">
        <f ca="1">IF(ISBLANK(Input!D42)," ",INDIRECT("Input!D"&amp;1+MATCH($H42,aux_sheet_RRS!$D$2:$D$202,0)))</f>
        <v xml:space="preserve"> </v>
      </c>
      <c r="F42" t="str">
        <f ca="1">IF(ISBLANK(Input!E42)," ",INDIRECT("Input!H"&amp;1+MATCH($H42,aux_sheet_RRS!$D$2:$D$202,0)))</f>
        <v xml:space="preserve"> </v>
      </c>
      <c r="G42">
        <f ca="1">IF(ISBLANK(Input!G42)," ",INDIRECT("Input!AP"&amp;1+MATCH($H42,aux_sheet_RRS!$D$2:$D$202,0)))</f>
        <v>0</v>
      </c>
      <c r="H42">
        <f>aux_sheet_RRS!E42</f>
        <v>1000</v>
      </c>
      <c r="J42" t="str">
        <f t="shared" si="4"/>
        <v xml:space="preserve"> </v>
      </c>
      <c r="K42">
        <v>41</v>
      </c>
      <c r="L42" t="str">
        <f t="shared" ca="1" si="1"/>
        <v xml:space="preserve"> </v>
      </c>
      <c r="M42" t="str">
        <f t="shared" ca="1" si="2"/>
        <v xml:space="preserve"> </v>
      </c>
      <c r="N42" s="3" t="str">
        <f t="shared" ca="1" si="3"/>
        <v xml:space="preserve"> </v>
      </c>
      <c r="O42" s="3" t="str">
        <f ca="1">IF(ISNUMBER($L42),INDIRECT("Input!A"&amp;1+MATCH($M42,aux_sheet_RRS!$D$2:$D$202,0))," ")</f>
        <v xml:space="preserve"> </v>
      </c>
      <c r="P42" s="3" t="str">
        <f ca="1">IF(ISNUMBER($L42),INDIRECT("Input!B"&amp;1+MATCH($M42,aux_sheet_RRS!$D$2:$D$202,0))," ")</f>
        <v xml:space="preserve"> </v>
      </c>
    </row>
    <row r="43" spans="1:16" x14ac:dyDescent="0.35">
      <c r="A43" t="str">
        <f>IF(ISBLANK(Input!A43)," ",ROUNDDOWN(aux_sheet_RRS!E43,0))</f>
        <v xml:space="preserve"> </v>
      </c>
      <c r="B43" t="str">
        <f ca="1">IF(ISBLANK(Input!A43)," ",INDIRECT("Input!A"&amp;1+MATCH($H43,aux_sheet_RRS!$D$2:$D$202,0)))</f>
        <v xml:space="preserve"> </v>
      </c>
      <c r="C43" t="str">
        <f ca="1">IF(ISBLANK(Input!B43)," ",INDIRECT("Input!B"&amp;1+MATCH($H43,aux_sheet_RRS!$D$2:$D$202,0)))</f>
        <v xml:space="preserve"> </v>
      </c>
      <c r="D43" t="str">
        <f ca="1">IF(ISBLANK(Input!C43)," ",INDIRECT("Input!C"&amp;1+MATCH($H43,aux_sheet_RRS!$D$2:$D$202,0)))</f>
        <v xml:space="preserve"> </v>
      </c>
      <c r="E43" t="str">
        <f ca="1">IF(ISBLANK(Input!D43)," ",INDIRECT("Input!D"&amp;1+MATCH($H43,aux_sheet_RRS!$D$2:$D$202,0)))</f>
        <v xml:space="preserve"> </v>
      </c>
      <c r="F43" t="str">
        <f ca="1">IF(ISBLANK(Input!E43)," ",INDIRECT("Input!H"&amp;1+MATCH($H43,aux_sheet_RRS!$D$2:$D$202,0)))</f>
        <v xml:space="preserve"> </v>
      </c>
      <c r="G43">
        <f ca="1">IF(ISBLANK(Input!G43)," ",INDIRECT("Input!AP"&amp;1+MATCH($H43,aux_sheet_RRS!$D$2:$D$202,0)))</f>
        <v>0</v>
      </c>
      <c r="H43">
        <f>aux_sheet_RRS!E43</f>
        <v>1000</v>
      </c>
      <c r="J43" t="str">
        <f t="shared" si="4"/>
        <v xml:space="preserve"> </v>
      </c>
      <c r="K43">
        <v>42</v>
      </c>
      <c r="L43" t="str">
        <f t="shared" ca="1" si="1"/>
        <v xml:space="preserve"> </v>
      </c>
      <c r="M43" t="str">
        <f t="shared" ca="1" si="2"/>
        <v xml:space="preserve"> </v>
      </c>
      <c r="N43" s="3" t="str">
        <f t="shared" ca="1" si="3"/>
        <v xml:space="preserve"> </v>
      </c>
      <c r="O43" s="3" t="str">
        <f ca="1">IF(ISNUMBER($L43),INDIRECT("Input!A"&amp;1+MATCH($M43,aux_sheet_RRS!$D$2:$D$202,0))," ")</f>
        <v xml:space="preserve"> </v>
      </c>
      <c r="P43" s="3" t="str">
        <f ca="1">IF(ISNUMBER($L43),INDIRECT("Input!B"&amp;1+MATCH($M43,aux_sheet_RRS!$D$2:$D$202,0))," ")</f>
        <v xml:space="preserve"> </v>
      </c>
    </row>
    <row r="44" spans="1:16" x14ac:dyDescent="0.35">
      <c r="A44" t="str">
        <f>IF(ISBLANK(Input!A44)," ",ROUNDDOWN(aux_sheet_RRS!E44,0))</f>
        <v xml:space="preserve"> </v>
      </c>
      <c r="B44" t="str">
        <f ca="1">IF(ISBLANK(Input!A44)," ",INDIRECT("Input!A"&amp;1+MATCH($H44,aux_sheet_RRS!$D$2:$D$202,0)))</f>
        <v xml:space="preserve"> </v>
      </c>
      <c r="C44" t="str">
        <f ca="1">IF(ISBLANK(Input!B44)," ",INDIRECT("Input!B"&amp;1+MATCH($H44,aux_sheet_RRS!$D$2:$D$202,0)))</f>
        <v xml:space="preserve"> </v>
      </c>
      <c r="D44" t="str">
        <f ca="1">IF(ISBLANK(Input!C44)," ",INDIRECT("Input!C"&amp;1+MATCH($H44,aux_sheet_RRS!$D$2:$D$202,0)))</f>
        <v xml:space="preserve"> </v>
      </c>
      <c r="E44" t="str">
        <f ca="1">IF(ISBLANK(Input!D44)," ",INDIRECT("Input!D"&amp;1+MATCH($H44,aux_sheet_RRS!$D$2:$D$202,0)))</f>
        <v xml:space="preserve"> </v>
      </c>
      <c r="F44" t="str">
        <f ca="1">IF(ISBLANK(Input!E44)," ",INDIRECT("Input!H"&amp;1+MATCH($H44,aux_sheet_RRS!$D$2:$D$202,0)))</f>
        <v xml:space="preserve"> </v>
      </c>
      <c r="G44">
        <f ca="1">IF(ISBLANK(Input!G44)," ",INDIRECT("Input!AP"&amp;1+MATCH($H44,aux_sheet_RRS!$D$2:$D$202,0)))</f>
        <v>0</v>
      </c>
      <c r="H44">
        <f>aux_sheet_RRS!E44</f>
        <v>1000</v>
      </c>
      <c r="J44" t="str">
        <f t="shared" si="4"/>
        <v xml:space="preserve"> </v>
      </c>
      <c r="K44">
        <v>43</v>
      </c>
      <c r="L44" t="str">
        <f t="shared" ca="1" si="1"/>
        <v xml:space="preserve"> </v>
      </c>
      <c r="M44" t="str">
        <f t="shared" ca="1" si="2"/>
        <v xml:space="preserve"> </v>
      </c>
      <c r="N44" s="3" t="str">
        <f t="shared" ca="1" si="3"/>
        <v xml:space="preserve"> </v>
      </c>
      <c r="O44" s="3" t="str">
        <f ca="1">IF(ISNUMBER($L44),INDIRECT("Input!A"&amp;1+MATCH($M44,aux_sheet_RRS!$D$2:$D$202,0))," ")</f>
        <v xml:space="preserve"> </v>
      </c>
      <c r="P44" s="3" t="str">
        <f ca="1">IF(ISNUMBER($L44),INDIRECT("Input!B"&amp;1+MATCH($M44,aux_sheet_RRS!$D$2:$D$202,0))," ")</f>
        <v xml:space="preserve"> </v>
      </c>
    </row>
    <row r="45" spans="1:16" x14ac:dyDescent="0.35">
      <c r="A45" t="str">
        <f>IF(ISBLANK(Input!A45)," ",ROUNDDOWN(aux_sheet_RRS!E45,0))</f>
        <v xml:space="preserve"> </v>
      </c>
      <c r="B45" t="str">
        <f ca="1">IF(ISBLANK(Input!A45)," ",INDIRECT("Input!A"&amp;1+MATCH($H45,aux_sheet_RRS!$D$2:$D$202,0)))</f>
        <v xml:space="preserve"> </v>
      </c>
      <c r="C45" t="str">
        <f ca="1">IF(ISBLANK(Input!B45)," ",INDIRECT("Input!B"&amp;1+MATCH($H45,aux_sheet_RRS!$D$2:$D$202,0)))</f>
        <v xml:space="preserve"> </v>
      </c>
      <c r="D45" t="str">
        <f ca="1">IF(ISBLANK(Input!C45)," ",INDIRECT("Input!C"&amp;1+MATCH($H45,aux_sheet_RRS!$D$2:$D$202,0)))</f>
        <v xml:space="preserve"> </v>
      </c>
      <c r="E45" t="str">
        <f ca="1">IF(ISBLANK(Input!D45)," ",INDIRECT("Input!D"&amp;1+MATCH($H45,aux_sheet_RRS!$D$2:$D$202,0)))</f>
        <v xml:space="preserve"> </v>
      </c>
      <c r="F45" t="str">
        <f ca="1">IF(ISBLANK(Input!E45)," ",INDIRECT("Input!H"&amp;1+MATCH($H45,aux_sheet_RRS!$D$2:$D$202,0)))</f>
        <v xml:space="preserve"> </v>
      </c>
      <c r="G45">
        <f ca="1">IF(ISBLANK(Input!G45)," ",INDIRECT("Input!AP"&amp;1+MATCH($H45,aux_sheet_RRS!$D$2:$D$202,0)))</f>
        <v>0</v>
      </c>
      <c r="H45">
        <f>aux_sheet_RRS!E45</f>
        <v>1000</v>
      </c>
      <c r="J45" t="str">
        <f t="shared" si="4"/>
        <v xml:space="preserve"> </v>
      </c>
      <c r="K45">
        <v>44</v>
      </c>
      <c r="L45" t="str">
        <f t="shared" ca="1" si="1"/>
        <v xml:space="preserve"> </v>
      </c>
      <c r="M45" t="str">
        <f t="shared" ca="1" si="2"/>
        <v xml:space="preserve"> </v>
      </c>
      <c r="N45" s="3" t="str">
        <f t="shared" ca="1" si="3"/>
        <v xml:space="preserve"> </v>
      </c>
      <c r="O45" s="3" t="str">
        <f ca="1">IF(ISNUMBER($L45),INDIRECT("Input!A"&amp;1+MATCH($M45,aux_sheet_RRS!$D$2:$D$202,0))," ")</f>
        <v xml:space="preserve"> </v>
      </c>
      <c r="P45" s="3" t="str">
        <f ca="1">IF(ISNUMBER($L45),INDIRECT("Input!B"&amp;1+MATCH($M45,aux_sheet_RRS!$D$2:$D$202,0))," ")</f>
        <v xml:space="preserve"> </v>
      </c>
    </row>
    <row r="46" spans="1:16" x14ac:dyDescent="0.35">
      <c r="A46" t="str">
        <f>IF(ISBLANK(Input!A46)," ",ROUNDDOWN(aux_sheet_RRS!E46,0))</f>
        <v xml:space="preserve"> </v>
      </c>
      <c r="B46" t="str">
        <f ca="1">IF(ISBLANK(Input!A46)," ",INDIRECT("Input!A"&amp;1+MATCH($H46,aux_sheet_RRS!$D$2:$D$202,0)))</f>
        <v xml:space="preserve"> </v>
      </c>
      <c r="C46" t="str">
        <f ca="1">IF(ISBLANK(Input!B46)," ",INDIRECT("Input!B"&amp;1+MATCH($H46,aux_sheet_RRS!$D$2:$D$202,0)))</f>
        <v xml:space="preserve"> </v>
      </c>
      <c r="D46" t="str">
        <f ca="1">IF(ISBLANK(Input!C46)," ",INDIRECT("Input!C"&amp;1+MATCH($H46,aux_sheet_RRS!$D$2:$D$202,0)))</f>
        <v xml:space="preserve"> </v>
      </c>
      <c r="E46" t="str">
        <f ca="1">IF(ISBLANK(Input!D46)," ",INDIRECT("Input!D"&amp;1+MATCH($H46,aux_sheet_RRS!$D$2:$D$202,0)))</f>
        <v xml:space="preserve"> </v>
      </c>
      <c r="F46" t="str">
        <f ca="1">IF(ISBLANK(Input!E46)," ",INDIRECT("Input!H"&amp;1+MATCH($H46,aux_sheet_RRS!$D$2:$D$202,0)))</f>
        <v xml:space="preserve"> </v>
      </c>
      <c r="G46">
        <f ca="1">IF(ISBLANK(Input!G46)," ",INDIRECT("Input!AP"&amp;1+MATCH($H46,aux_sheet_RRS!$D$2:$D$202,0)))</f>
        <v>0</v>
      </c>
      <c r="H46">
        <f>aux_sheet_RRS!E46</f>
        <v>1000</v>
      </c>
      <c r="J46" t="str">
        <f t="shared" si="4"/>
        <v xml:space="preserve"> </v>
      </c>
      <c r="K46">
        <v>45</v>
      </c>
      <c r="L46" t="str">
        <f t="shared" ca="1" si="1"/>
        <v xml:space="preserve"> </v>
      </c>
      <c r="M46" t="str">
        <f t="shared" ca="1" si="2"/>
        <v xml:space="preserve"> </v>
      </c>
      <c r="N46" s="3" t="str">
        <f t="shared" ca="1" si="3"/>
        <v xml:space="preserve"> </v>
      </c>
      <c r="O46" s="3" t="str">
        <f ca="1">IF(ISNUMBER($L46),INDIRECT("Input!A"&amp;1+MATCH($M46,aux_sheet_RRS!$D$2:$D$202,0))," ")</f>
        <v xml:space="preserve"> </v>
      </c>
      <c r="P46" s="3" t="str">
        <f ca="1">IF(ISNUMBER($L46),INDIRECT("Input!B"&amp;1+MATCH($M46,aux_sheet_RRS!$D$2:$D$202,0))," ")</f>
        <v xml:space="preserve"> </v>
      </c>
    </row>
    <row r="47" spans="1:16" x14ac:dyDescent="0.35">
      <c r="A47" t="str">
        <f>IF(ISBLANK(Input!A47)," ",ROUNDDOWN(aux_sheet_RRS!E47,0))</f>
        <v xml:space="preserve"> </v>
      </c>
      <c r="B47" t="str">
        <f ca="1">IF(ISBLANK(Input!A47)," ",INDIRECT("Input!A"&amp;1+MATCH($H47,aux_sheet_RRS!$D$2:$D$202,0)))</f>
        <v xml:space="preserve"> </v>
      </c>
      <c r="C47" t="str">
        <f ca="1">IF(ISBLANK(Input!B47)," ",INDIRECT("Input!B"&amp;1+MATCH($H47,aux_sheet_RRS!$D$2:$D$202,0)))</f>
        <v xml:space="preserve"> </v>
      </c>
      <c r="D47" t="str">
        <f ca="1">IF(ISBLANK(Input!C47)," ",INDIRECT("Input!C"&amp;1+MATCH($H47,aux_sheet_RRS!$D$2:$D$202,0)))</f>
        <v xml:space="preserve"> </v>
      </c>
      <c r="E47" t="str">
        <f ca="1">IF(ISBLANK(Input!D47)," ",INDIRECT("Input!D"&amp;1+MATCH($H47,aux_sheet_RRS!$D$2:$D$202,0)))</f>
        <v xml:space="preserve"> </v>
      </c>
      <c r="F47" t="str">
        <f ca="1">IF(ISBLANK(Input!E47)," ",INDIRECT("Input!H"&amp;1+MATCH($H47,aux_sheet_RRS!$D$2:$D$202,0)))</f>
        <v xml:space="preserve"> </v>
      </c>
      <c r="G47">
        <f ca="1">IF(ISBLANK(Input!G47)," ",INDIRECT("Input!AP"&amp;1+MATCH($H47,aux_sheet_RRS!$D$2:$D$202,0)))</f>
        <v>0</v>
      </c>
      <c r="H47">
        <f>aux_sheet_RRS!E47</f>
        <v>1000</v>
      </c>
      <c r="J47" t="str">
        <f t="shared" si="4"/>
        <v xml:space="preserve"> </v>
      </c>
      <c r="K47">
        <v>46</v>
      </c>
      <c r="L47" t="str">
        <f t="shared" ca="1" si="1"/>
        <v xml:space="preserve"> </v>
      </c>
      <c r="M47" t="str">
        <f t="shared" ca="1" si="2"/>
        <v xml:space="preserve"> </v>
      </c>
      <c r="N47" s="3" t="str">
        <f t="shared" ca="1" si="3"/>
        <v xml:space="preserve"> </v>
      </c>
      <c r="O47" s="3" t="str">
        <f ca="1">IF(ISNUMBER($L47),INDIRECT("Input!A"&amp;1+MATCH($M47,aux_sheet_RRS!$D$2:$D$202,0))," ")</f>
        <v xml:space="preserve"> </v>
      </c>
      <c r="P47" s="3" t="str">
        <f ca="1">IF(ISNUMBER($L47),INDIRECT("Input!B"&amp;1+MATCH($M47,aux_sheet_RRS!$D$2:$D$202,0))," ")</f>
        <v xml:space="preserve"> </v>
      </c>
    </row>
    <row r="48" spans="1:16" x14ac:dyDescent="0.35">
      <c r="A48" t="str">
        <f>IF(ISBLANK(Input!A48)," ",ROUNDDOWN(aux_sheet_RRS!E48,0))</f>
        <v xml:space="preserve"> </v>
      </c>
      <c r="B48" t="str">
        <f ca="1">IF(ISBLANK(Input!A48)," ",INDIRECT("Input!A"&amp;1+MATCH($H48,aux_sheet_RRS!$D$2:$D$202,0)))</f>
        <v xml:space="preserve"> </v>
      </c>
      <c r="C48" t="str">
        <f ca="1">IF(ISBLANK(Input!B48)," ",INDIRECT("Input!B"&amp;1+MATCH($H48,aux_sheet_RRS!$D$2:$D$202,0)))</f>
        <v xml:space="preserve"> </v>
      </c>
      <c r="D48" t="str">
        <f ca="1">IF(ISBLANK(Input!C48)," ",INDIRECT("Input!C"&amp;1+MATCH($H48,aux_sheet_RRS!$D$2:$D$202,0)))</f>
        <v xml:space="preserve"> </v>
      </c>
      <c r="E48" t="str">
        <f ca="1">IF(ISBLANK(Input!D48)," ",INDIRECT("Input!D"&amp;1+MATCH($H48,aux_sheet_RRS!$D$2:$D$202,0)))</f>
        <v xml:space="preserve"> </v>
      </c>
      <c r="F48" t="str">
        <f ca="1">IF(ISBLANK(Input!E48)," ",INDIRECT("Input!H"&amp;1+MATCH($H48,aux_sheet_RRS!$D$2:$D$202,0)))</f>
        <v xml:space="preserve"> </v>
      </c>
      <c r="G48">
        <f ca="1">IF(ISBLANK(Input!G48)," ",INDIRECT("Input!AP"&amp;1+MATCH($H48,aux_sheet_RRS!$D$2:$D$202,0)))</f>
        <v>0</v>
      </c>
      <c r="H48">
        <f>aux_sheet_RRS!E48</f>
        <v>1000</v>
      </c>
      <c r="J48" t="str">
        <f t="shared" si="4"/>
        <v xml:space="preserve"> </v>
      </c>
      <c r="K48">
        <v>47</v>
      </c>
      <c r="L48" t="str">
        <f t="shared" ca="1" si="1"/>
        <v xml:space="preserve"> </v>
      </c>
      <c r="M48" t="str">
        <f t="shared" ca="1" si="2"/>
        <v xml:space="preserve"> </v>
      </c>
      <c r="N48" s="3" t="str">
        <f t="shared" ca="1" si="3"/>
        <v xml:space="preserve"> </v>
      </c>
      <c r="O48" s="3" t="str">
        <f ca="1">IF(ISNUMBER($L48),INDIRECT("Input!A"&amp;1+MATCH($M48,aux_sheet_RRS!$D$2:$D$202,0))," ")</f>
        <v xml:space="preserve"> </v>
      </c>
      <c r="P48" s="3" t="str">
        <f ca="1">IF(ISNUMBER($L48),INDIRECT("Input!B"&amp;1+MATCH($M48,aux_sheet_RRS!$D$2:$D$202,0))," ")</f>
        <v xml:space="preserve"> </v>
      </c>
    </row>
    <row r="49" spans="1:16" x14ac:dyDescent="0.35">
      <c r="A49" t="str">
        <f>IF(ISBLANK(Input!A49)," ",ROUNDDOWN(aux_sheet_RRS!E49,0))</f>
        <v xml:space="preserve"> </v>
      </c>
      <c r="B49" t="str">
        <f ca="1">IF(ISBLANK(Input!A49)," ",INDIRECT("Input!A"&amp;1+MATCH($H49,aux_sheet_RRS!$D$2:$D$202,0)))</f>
        <v xml:space="preserve"> </v>
      </c>
      <c r="C49" t="str">
        <f ca="1">IF(ISBLANK(Input!B49)," ",INDIRECT("Input!B"&amp;1+MATCH($H49,aux_sheet_RRS!$D$2:$D$202,0)))</f>
        <v xml:space="preserve"> </v>
      </c>
      <c r="D49" t="str">
        <f ca="1">IF(ISBLANK(Input!C49)," ",INDIRECT("Input!C"&amp;1+MATCH($H49,aux_sheet_RRS!$D$2:$D$202,0)))</f>
        <v xml:space="preserve"> </v>
      </c>
      <c r="E49" t="str">
        <f ca="1">IF(ISBLANK(Input!D49)," ",INDIRECT("Input!D"&amp;1+MATCH($H49,aux_sheet_RRS!$D$2:$D$202,0)))</f>
        <v xml:space="preserve"> </v>
      </c>
      <c r="F49" t="str">
        <f ca="1">IF(ISBLANK(Input!E49)," ",INDIRECT("Input!H"&amp;1+MATCH($H49,aux_sheet_RRS!$D$2:$D$202,0)))</f>
        <v xml:space="preserve"> </v>
      </c>
      <c r="G49">
        <f ca="1">IF(ISBLANK(Input!G49)," ",INDIRECT("Input!AP"&amp;1+MATCH($H49,aux_sheet_RRS!$D$2:$D$202,0)))</f>
        <v>0</v>
      </c>
      <c r="H49">
        <f>aux_sheet_RRS!E49</f>
        <v>1000</v>
      </c>
      <c r="J49" t="str">
        <f t="shared" si="4"/>
        <v xml:space="preserve"> </v>
      </c>
      <c r="K49">
        <v>48</v>
      </c>
      <c r="L49" t="str">
        <f t="shared" ca="1" si="1"/>
        <v xml:space="preserve"> </v>
      </c>
      <c r="M49" t="str">
        <f t="shared" ca="1" si="2"/>
        <v xml:space="preserve"> </v>
      </c>
      <c r="N49" s="3" t="str">
        <f t="shared" ca="1" si="3"/>
        <v xml:space="preserve"> </v>
      </c>
      <c r="O49" s="3" t="str">
        <f ca="1">IF(ISNUMBER($L49),INDIRECT("Input!A"&amp;1+MATCH($M49,aux_sheet_RRS!$D$2:$D$202,0))," ")</f>
        <v xml:space="preserve"> </v>
      </c>
      <c r="P49" s="3" t="str">
        <f ca="1">IF(ISNUMBER($L49),INDIRECT("Input!B"&amp;1+MATCH($M49,aux_sheet_RRS!$D$2:$D$202,0))," ")</f>
        <v xml:space="preserve"> </v>
      </c>
    </row>
    <row r="50" spans="1:16" x14ac:dyDescent="0.35">
      <c r="A50" t="str">
        <f>IF(ISBLANK(Input!A50)," ",ROUNDDOWN(aux_sheet_RRS!E50,0))</f>
        <v xml:space="preserve"> </v>
      </c>
      <c r="B50" t="str">
        <f ca="1">IF(ISBLANK(Input!A50)," ",INDIRECT("Input!A"&amp;1+MATCH($H50,aux_sheet_RRS!$D$2:$D$202,0)))</f>
        <v xml:space="preserve"> </v>
      </c>
      <c r="C50" t="str">
        <f ca="1">IF(ISBLANK(Input!B50)," ",INDIRECT("Input!B"&amp;1+MATCH($H50,aux_sheet_RRS!$D$2:$D$202,0)))</f>
        <v xml:space="preserve"> </v>
      </c>
      <c r="D50" t="str">
        <f ca="1">IF(ISBLANK(Input!C50)," ",INDIRECT("Input!C"&amp;1+MATCH($H50,aux_sheet_RRS!$D$2:$D$202,0)))</f>
        <v xml:space="preserve"> </v>
      </c>
      <c r="E50" t="str">
        <f ca="1">IF(ISBLANK(Input!D50)," ",INDIRECT("Input!D"&amp;1+MATCH($H50,aux_sheet_RRS!$D$2:$D$202,0)))</f>
        <v xml:space="preserve"> </v>
      </c>
      <c r="F50" t="str">
        <f ca="1">IF(ISBLANK(Input!E50)," ",INDIRECT("Input!H"&amp;1+MATCH($H50,aux_sheet_RRS!$D$2:$D$202,0)))</f>
        <v xml:space="preserve"> </v>
      </c>
      <c r="G50">
        <f ca="1">IF(ISBLANK(Input!G50)," ",INDIRECT("Input!AP"&amp;1+MATCH($H50,aux_sheet_RRS!$D$2:$D$202,0)))</f>
        <v>0</v>
      </c>
      <c r="H50">
        <f>aux_sheet_RRS!E50</f>
        <v>1000</v>
      </c>
      <c r="J50" t="str">
        <f t="shared" si="4"/>
        <v xml:space="preserve"> </v>
      </c>
      <c r="K50">
        <v>49</v>
      </c>
      <c r="L50" t="str">
        <f t="shared" ca="1" si="1"/>
        <v xml:space="preserve"> </v>
      </c>
      <c r="M50" t="str">
        <f t="shared" ca="1" si="2"/>
        <v xml:space="preserve"> </v>
      </c>
      <c r="N50" s="3" t="str">
        <f t="shared" ca="1" si="3"/>
        <v xml:space="preserve"> </v>
      </c>
      <c r="O50" s="3" t="str">
        <f ca="1">IF(ISNUMBER($L50),INDIRECT("Input!A"&amp;1+MATCH($M50,aux_sheet_RRS!$D$2:$D$202,0))," ")</f>
        <v xml:space="preserve"> </v>
      </c>
      <c r="P50" s="3" t="str">
        <f ca="1">IF(ISNUMBER($L50),INDIRECT("Input!B"&amp;1+MATCH($M50,aux_sheet_RRS!$D$2:$D$202,0))," ")</f>
        <v xml:space="preserve"> </v>
      </c>
    </row>
    <row r="51" spans="1:16" x14ac:dyDescent="0.35">
      <c r="A51" t="str">
        <f>IF(ISBLANK(Input!A51)," ",ROUNDDOWN(aux_sheet_RRS!E51,0))</f>
        <v xml:space="preserve"> </v>
      </c>
      <c r="B51" t="str">
        <f ca="1">IF(ISBLANK(Input!A51)," ",INDIRECT("Input!A"&amp;1+MATCH($H51,aux_sheet_RRS!$D$2:$D$202,0)))</f>
        <v xml:space="preserve"> </v>
      </c>
      <c r="C51" t="str">
        <f ca="1">IF(ISBLANK(Input!B51)," ",INDIRECT("Input!B"&amp;1+MATCH($H51,aux_sheet_RRS!$D$2:$D$202,0)))</f>
        <v xml:space="preserve"> </v>
      </c>
      <c r="D51" t="str">
        <f ca="1">IF(ISBLANK(Input!C51)," ",INDIRECT("Input!C"&amp;1+MATCH($H51,aux_sheet_RRS!$D$2:$D$202,0)))</f>
        <v xml:space="preserve"> </v>
      </c>
      <c r="E51" t="str">
        <f ca="1">IF(ISBLANK(Input!D51)," ",INDIRECT("Input!D"&amp;1+MATCH($H51,aux_sheet_RRS!$D$2:$D$202,0)))</f>
        <v xml:space="preserve"> </v>
      </c>
      <c r="F51" t="str">
        <f ca="1">IF(ISBLANK(Input!E51)," ",INDIRECT("Input!H"&amp;1+MATCH($H51,aux_sheet_RRS!$D$2:$D$202,0)))</f>
        <v xml:space="preserve"> </v>
      </c>
      <c r="G51">
        <f ca="1">IF(ISBLANK(Input!G51)," ",INDIRECT("Input!AP"&amp;1+MATCH($H51,aux_sheet_RRS!$D$2:$D$202,0)))</f>
        <v>0</v>
      </c>
      <c r="H51">
        <f>aux_sheet_RRS!E51</f>
        <v>1000</v>
      </c>
      <c r="J51" t="str">
        <f t="shared" si="4"/>
        <v xml:space="preserve"> </v>
      </c>
      <c r="K51">
        <v>50</v>
      </c>
      <c r="L51" t="str">
        <f t="shared" ca="1" si="1"/>
        <v xml:space="preserve"> </v>
      </c>
      <c r="M51" t="str">
        <f t="shared" ca="1" si="2"/>
        <v xml:space="preserve"> </v>
      </c>
      <c r="N51" s="3" t="str">
        <f t="shared" ca="1" si="3"/>
        <v xml:space="preserve"> </v>
      </c>
      <c r="O51" s="3" t="str">
        <f ca="1">IF(ISNUMBER($L51),INDIRECT("Input!A"&amp;1+MATCH($M51,aux_sheet_RRS!$D$2:$D$202,0))," ")</f>
        <v xml:space="preserve"> </v>
      </c>
      <c r="P51" s="3" t="str">
        <f ca="1">IF(ISNUMBER($L51),INDIRECT("Input!B"&amp;1+MATCH($M51,aux_sheet_RRS!$D$2:$D$202,0))," ")</f>
        <v xml:space="preserve"> </v>
      </c>
    </row>
    <row r="52" spans="1:16" x14ac:dyDescent="0.35">
      <c r="A52" t="str">
        <f>IF(ISBLANK(Input!A52)," ",ROUNDDOWN(aux_sheet_RRS!E52,0))</f>
        <v xml:space="preserve"> </v>
      </c>
      <c r="B52" t="str">
        <f ca="1">IF(ISBLANK(Input!A52)," ",INDIRECT("Input!A"&amp;1+MATCH($H52,aux_sheet_RRS!$D$2:$D$202,0)))</f>
        <v xml:space="preserve"> </v>
      </c>
      <c r="C52" t="str">
        <f ca="1">IF(ISBLANK(Input!B52)," ",INDIRECT("Input!B"&amp;1+MATCH($H52,aux_sheet_RRS!$D$2:$D$202,0)))</f>
        <v xml:space="preserve"> </v>
      </c>
      <c r="D52" t="str">
        <f ca="1">IF(ISBLANK(Input!C52)," ",INDIRECT("Input!C"&amp;1+MATCH($H52,aux_sheet_RRS!$D$2:$D$202,0)))</f>
        <v xml:space="preserve"> </v>
      </c>
      <c r="E52" t="str">
        <f ca="1">IF(ISBLANK(Input!D52)," ",INDIRECT("Input!D"&amp;1+MATCH($H52,aux_sheet_RRS!$D$2:$D$202,0)))</f>
        <v xml:space="preserve"> </v>
      </c>
      <c r="F52" t="str">
        <f ca="1">IF(ISBLANK(Input!E52)," ",INDIRECT("Input!H"&amp;1+MATCH($H52,aux_sheet_RRS!$D$2:$D$202,0)))</f>
        <v xml:space="preserve"> </v>
      </c>
      <c r="G52">
        <f ca="1">IF(ISBLANK(Input!G52)," ",INDIRECT("Input!AP"&amp;1+MATCH($H52,aux_sheet_RRS!$D$2:$D$202,0)))</f>
        <v>0</v>
      </c>
      <c r="H52">
        <f>aux_sheet_RRS!E52</f>
        <v>1000</v>
      </c>
      <c r="J52" t="str">
        <f t="shared" si="4"/>
        <v xml:space="preserve"> </v>
      </c>
      <c r="K52">
        <v>51</v>
      </c>
      <c r="L52" t="str">
        <f t="shared" ca="1" si="1"/>
        <v xml:space="preserve"> </v>
      </c>
      <c r="M52" t="str">
        <f t="shared" ca="1" si="2"/>
        <v xml:space="preserve"> </v>
      </c>
      <c r="N52" s="3" t="str">
        <f t="shared" ca="1" si="3"/>
        <v xml:space="preserve"> </v>
      </c>
      <c r="O52" s="3" t="str">
        <f ca="1">IF(ISNUMBER($L52),INDIRECT("Input!A"&amp;1+MATCH($M52,aux_sheet_RRS!$D$2:$D$202,0))," ")</f>
        <v xml:space="preserve"> </v>
      </c>
      <c r="P52" s="3" t="str">
        <f ca="1">IF(ISNUMBER($L52),INDIRECT("Input!B"&amp;1+MATCH($M52,aux_sheet_RRS!$D$2:$D$202,0))," ")</f>
        <v xml:space="preserve"> </v>
      </c>
    </row>
    <row r="53" spans="1:16" x14ac:dyDescent="0.35">
      <c r="A53" t="str">
        <f>IF(ISBLANK(Input!A53)," ",ROUNDDOWN(aux_sheet_RRS!E53,0))</f>
        <v xml:space="preserve"> </v>
      </c>
      <c r="B53" t="str">
        <f ca="1">IF(ISBLANK(Input!A53)," ",INDIRECT("Input!A"&amp;1+MATCH($H53,aux_sheet_RRS!$D$2:$D$202,0)))</f>
        <v xml:space="preserve"> </v>
      </c>
      <c r="C53" t="str">
        <f ca="1">IF(ISBLANK(Input!B53)," ",INDIRECT("Input!B"&amp;1+MATCH($H53,aux_sheet_RRS!$D$2:$D$202,0)))</f>
        <v xml:space="preserve"> </v>
      </c>
      <c r="D53" t="str">
        <f ca="1">IF(ISBLANK(Input!C53)," ",INDIRECT("Input!C"&amp;1+MATCH($H53,aux_sheet_RRS!$D$2:$D$202,0)))</f>
        <v xml:space="preserve"> </v>
      </c>
      <c r="E53" t="str">
        <f ca="1">IF(ISBLANK(Input!D53)," ",INDIRECT("Input!D"&amp;1+MATCH($H53,aux_sheet_RRS!$D$2:$D$202,0)))</f>
        <v xml:space="preserve"> </v>
      </c>
      <c r="F53" t="str">
        <f ca="1">IF(ISBLANK(Input!E53)," ",INDIRECT("Input!H"&amp;1+MATCH($H53,aux_sheet_RRS!$D$2:$D$202,0)))</f>
        <v xml:space="preserve"> </v>
      </c>
      <c r="G53">
        <f ca="1">IF(ISBLANK(Input!G53)," ",INDIRECT("Input!AP"&amp;1+MATCH($H53,aux_sheet_RRS!$D$2:$D$202,0)))</f>
        <v>0</v>
      </c>
      <c r="H53">
        <f>aux_sheet_RRS!E53</f>
        <v>1000</v>
      </c>
      <c r="J53" t="str">
        <f t="shared" si="4"/>
        <v xml:space="preserve"> </v>
      </c>
      <c r="K53">
        <v>52</v>
      </c>
      <c r="L53" t="str">
        <f t="shared" ca="1" si="1"/>
        <v xml:space="preserve"> </v>
      </c>
      <c r="M53" t="str">
        <f t="shared" ca="1" si="2"/>
        <v xml:space="preserve"> </v>
      </c>
      <c r="N53" s="3" t="str">
        <f t="shared" ca="1" si="3"/>
        <v xml:space="preserve"> </v>
      </c>
      <c r="O53" s="3" t="str">
        <f ca="1">IF(ISNUMBER($L53),INDIRECT("Input!A"&amp;1+MATCH($M53,aux_sheet_RRS!$D$2:$D$202,0))," ")</f>
        <v xml:space="preserve"> </v>
      </c>
      <c r="P53" s="3" t="str">
        <f ca="1">IF(ISNUMBER($L53),INDIRECT("Input!B"&amp;1+MATCH($M53,aux_sheet_RRS!$D$2:$D$202,0))," ")</f>
        <v xml:space="preserve"> </v>
      </c>
    </row>
    <row r="54" spans="1:16" x14ac:dyDescent="0.35">
      <c r="A54" t="str">
        <f>IF(ISBLANK(Input!A54)," ",ROUNDDOWN(aux_sheet_RRS!E54,0))</f>
        <v xml:space="preserve"> </v>
      </c>
      <c r="B54" t="str">
        <f ca="1">IF(ISBLANK(Input!A54)," ",INDIRECT("Input!A"&amp;1+MATCH($H54,aux_sheet_RRS!$D$2:$D$202,0)))</f>
        <v xml:space="preserve"> </v>
      </c>
      <c r="C54" t="str">
        <f ca="1">IF(ISBLANK(Input!B54)," ",INDIRECT("Input!B"&amp;1+MATCH($H54,aux_sheet_RRS!$D$2:$D$202,0)))</f>
        <v xml:space="preserve"> </v>
      </c>
      <c r="D54" t="str">
        <f ca="1">IF(ISBLANK(Input!C54)," ",INDIRECT("Input!C"&amp;1+MATCH($H54,aux_sheet_RRS!$D$2:$D$202,0)))</f>
        <v xml:space="preserve"> </v>
      </c>
      <c r="E54" t="str">
        <f ca="1">IF(ISBLANK(Input!D54)," ",INDIRECT("Input!D"&amp;1+MATCH($H54,aux_sheet_RRS!$D$2:$D$202,0)))</f>
        <v xml:space="preserve"> </v>
      </c>
      <c r="F54" t="str">
        <f ca="1">IF(ISBLANK(Input!E54)," ",INDIRECT("Input!H"&amp;1+MATCH($H54,aux_sheet_RRS!$D$2:$D$202,0)))</f>
        <v xml:space="preserve"> </v>
      </c>
      <c r="G54">
        <f ca="1">IF(ISBLANK(Input!G54)," ",INDIRECT("Input!AP"&amp;1+MATCH($H54,aux_sheet_RRS!$D$2:$D$202,0)))</f>
        <v>0</v>
      </c>
      <c r="H54">
        <f>aux_sheet_RRS!E54</f>
        <v>1000</v>
      </c>
      <c r="J54" t="str">
        <f t="shared" si="4"/>
        <v xml:space="preserve"> </v>
      </c>
      <c r="K54">
        <v>53</v>
      </c>
      <c r="L54" t="str">
        <f t="shared" ca="1" si="1"/>
        <v xml:space="preserve"> </v>
      </c>
      <c r="M54" t="str">
        <f t="shared" ca="1" si="2"/>
        <v xml:space="preserve"> </v>
      </c>
      <c r="N54" s="3" t="str">
        <f t="shared" ca="1" si="3"/>
        <v xml:space="preserve"> </v>
      </c>
      <c r="O54" s="3" t="str">
        <f ca="1">IF(ISNUMBER($L54),INDIRECT("Input!A"&amp;1+MATCH($M54,aux_sheet_RRS!$D$2:$D$202,0))," ")</f>
        <v xml:space="preserve"> </v>
      </c>
      <c r="P54" s="3" t="str">
        <f ca="1">IF(ISNUMBER($L54),INDIRECT("Input!B"&amp;1+MATCH($M54,aux_sheet_RRS!$D$2:$D$202,0))," ")</f>
        <v xml:space="preserve"> </v>
      </c>
    </row>
    <row r="55" spans="1:16" x14ac:dyDescent="0.35">
      <c r="A55" t="str">
        <f>IF(ISBLANK(Input!A55)," ",ROUNDDOWN(aux_sheet_RRS!E55,0))</f>
        <v xml:space="preserve"> </v>
      </c>
      <c r="B55" t="str">
        <f ca="1">IF(ISBLANK(Input!A55)," ",INDIRECT("Input!A"&amp;1+MATCH($H55,aux_sheet_RRS!$D$2:$D$202,0)))</f>
        <v xml:space="preserve"> </v>
      </c>
      <c r="C55" t="str">
        <f ca="1">IF(ISBLANK(Input!B55)," ",INDIRECT("Input!B"&amp;1+MATCH($H55,aux_sheet_RRS!$D$2:$D$202,0)))</f>
        <v xml:space="preserve"> </v>
      </c>
      <c r="D55" t="str">
        <f ca="1">IF(ISBLANK(Input!C55)," ",INDIRECT("Input!C"&amp;1+MATCH($H55,aux_sheet_RRS!$D$2:$D$202,0)))</f>
        <v xml:space="preserve"> </v>
      </c>
      <c r="E55" t="str">
        <f ca="1">IF(ISBLANK(Input!D55)," ",INDIRECT("Input!D"&amp;1+MATCH($H55,aux_sheet_RRS!$D$2:$D$202,0)))</f>
        <v xml:space="preserve"> </v>
      </c>
      <c r="F55" t="str">
        <f ca="1">IF(ISBLANK(Input!E55)," ",INDIRECT("Input!H"&amp;1+MATCH($H55,aux_sheet_RRS!$D$2:$D$202,0)))</f>
        <v xml:space="preserve"> </v>
      </c>
      <c r="G55">
        <f ca="1">IF(ISBLANK(Input!G55)," ",INDIRECT("Input!AP"&amp;1+MATCH($H55,aux_sheet_RRS!$D$2:$D$202,0)))</f>
        <v>0</v>
      </c>
      <c r="H55">
        <f>aux_sheet_RRS!E55</f>
        <v>1000</v>
      </c>
      <c r="J55" t="str">
        <f t="shared" si="4"/>
        <v xml:space="preserve"> </v>
      </c>
      <c r="K55">
        <v>54</v>
      </c>
      <c r="L55" t="str">
        <f t="shared" ca="1" si="1"/>
        <v xml:space="preserve"> </v>
      </c>
      <c r="M55" t="str">
        <f t="shared" ca="1" si="2"/>
        <v xml:space="preserve"> </v>
      </c>
      <c r="N55" s="3" t="str">
        <f t="shared" ca="1" si="3"/>
        <v xml:space="preserve"> </v>
      </c>
      <c r="O55" s="3" t="str">
        <f ca="1">IF(ISNUMBER($L55),INDIRECT("Input!A"&amp;1+MATCH($M55,aux_sheet_RRS!$D$2:$D$202,0))," ")</f>
        <v xml:space="preserve"> </v>
      </c>
      <c r="P55" s="3" t="str">
        <f ca="1">IF(ISNUMBER($L55),INDIRECT("Input!B"&amp;1+MATCH($M55,aux_sheet_RRS!$D$2:$D$202,0))," ")</f>
        <v xml:space="preserve"> </v>
      </c>
    </row>
    <row r="56" spans="1:16" x14ac:dyDescent="0.35">
      <c r="A56" t="str">
        <f>IF(ISBLANK(Input!A56)," ",ROUNDDOWN(aux_sheet_RRS!E56,0))</f>
        <v xml:space="preserve"> </v>
      </c>
      <c r="B56" t="str">
        <f ca="1">IF(ISBLANK(Input!A56)," ",INDIRECT("Input!A"&amp;1+MATCH($H56,aux_sheet_RRS!$D$2:$D$202,0)))</f>
        <v xml:space="preserve"> </v>
      </c>
      <c r="C56" t="str">
        <f ca="1">IF(ISBLANK(Input!B56)," ",INDIRECT("Input!B"&amp;1+MATCH($H56,aux_sheet_RRS!$D$2:$D$202,0)))</f>
        <v xml:space="preserve"> </v>
      </c>
      <c r="D56" t="str">
        <f ca="1">IF(ISBLANK(Input!C56)," ",INDIRECT("Input!C"&amp;1+MATCH($H56,aux_sheet_RRS!$D$2:$D$202,0)))</f>
        <v xml:space="preserve"> </v>
      </c>
      <c r="E56" t="str">
        <f ca="1">IF(ISBLANK(Input!D56)," ",INDIRECT("Input!D"&amp;1+MATCH($H56,aux_sheet_RRS!$D$2:$D$202,0)))</f>
        <v xml:space="preserve"> </v>
      </c>
      <c r="F56" t="str">
        <f ca="1">IF(ISBLANK(Input!E56)," ",INDIRECT("Input!H"&amp;1+MATCH($H56,aux_sheet_RRS!$D$2:$D$202,0)))</f>
        <v xml:space="preserve"> </v>
      </c>
      <c r="G56">
        <f ca="1">IF(ISBLANK(Input!G56)," ",INDIRECT("Input!AP"&amp;1+MATCH($H56,aux_sheet_RRS!$D$2:$D$202,0)))</f>
        <v>0</v>
      </c>
      <c r="H56">
        <f>aux_sheet_RRS!E56</f>
        <v>1000</v>
      </c>
      <c r="J56" t="str">
        <f t="shared" si="4"/>
        <v xml:space="preserve"> </v>
      </c>
      <c r="K56">
        <v>55</v>
      </c>
      <c r="L56" t="str">
        <f t="shared" ca="1" si="1"/>
        <v xml:space="preserve"> </v>
      </c>
      <c r="M56" t="str">
        <f t="shared" ca="1" si="2"/>
        <v xml:space="preserve"> </v>
      </c>
      <c r="N56" s="3" t="str">
        <f t="shared" ca="1" si="3"/>
        <v xml:space="preserve"> </v>
      </c>
      <c r="O56" s="3" t="str">
        <f ca="1">IF(ISNUMBER($L56),INDIRECT("Input!A"&amp;1+MATCH($M56,aux_sheet_RRS!$D$2:$D$202,0))," ")</f>
        <v xml:space="preserve"> </v>
      </c>
      <c r="P56" s="3" t="str">
        <f ca="1">IF(ISNUMBER($L56),INDIRECT("Input!B"&amp;1+MATCH($M56,aux_sheet_RRS!$D$2:$D$202,0))," ")</f>
        <v xml:space="preserve"> </v>
      </c>
    </row>
    <row r="57" spans="1:16" x14ac:dyDescent="0.35">
      <c r="A57" t="str">
        <f>IF(ISBLANK(Input!A57)," ",ROUNDDOWN(aux_sheet_RRS!E57,0))</f>
        <v xml:space="preserve"> </v>
      </c>
      <c r="B57" t="str">
        <f ca="1">IF(ISBLANK(Input!A57)," ",INDIRECT("Input!A"&amp;1+MATCH($H57,aux_sheet_RRS!$D$2:$D$202,0)))</f>
        <v xml:space="preserve"> </v>
      </c>
      <c r="C57" t="str">
        <f ca="1">IF(ISBLANK(Input!B57)," ",INDIRECT("Input!B"&amp;1+MATCH($H57,aux_sheet_RRS!$D$2:$D$202,0)))</f>
        <v xml:space="preserve"> </v>
      </c>
      <c r="D57" t="str">
        <f ca="1">IF(ISBLANK(Input!C57)," ",INDIRECT("Input!C"&amp;1+MATCH($H57,aux_sheet_RRS!$D$2:$D$202,0)))</f>
        <v xml:space="preserve"> </v>
      </c>
      <c r="E57" t="str">
        <f ca="1">IF(ISBLANK(Input!D57)," ",INDIRECT("Input!D"&amp;1+MATCH($H57,aux_sheet_RRS!$D$2:$D$202,0)))</f>
        <v xml:space="preserve"> </v>
      </c>
      <c r="F57" t="str">
        <f ca="1">IF(ISBLANK(Input!E57)," ",INDIRECT("Input!H"&amp;1+MATCH($H57,aux_sheet_RRS!$D$2:$D$202,0)))</f>
        <v xml:space="preserve"> </v>
      </c>
      <c r="G57">
        <f ca="1">IF(ISBLANK(Input!G57)," ",INDIRECT("Input!AP"&amp;1+MATCH($H57,aux_sheet_RRS!$D$2:$D$202,0)))</f>
        <v>0</v>
      </c>
      <c r="H57">
        <f>aux_sheet_RRS!E57</f>
        <v>1000</v>
      </c>
      <c r="J57" t="str">
        <f t="shared" si="4"/>
        <v xml:space="preserve"> </v>
      </c>
      <c r="K57">
        <v>56</v>
      </c>
      <c r="L57" t="str">
        <f t="shared" ca="1" si="1"/>
        <v xml:space="preserve"> </v>
      </c>
      <c r="M57" t="str">
        <f t="shared" ca="1" si="2"/>
        <v xml:space="preserve"> </v>
      </c>
      <c r="N57" s="3" t="str">
        <f t="shared" ca="1" si="3"/>
        <v xml:space="preserve"> </v>
      </c>
      <c r="O57" s="3" t="str">
        <f ca="1">IF(ISNUMBER($L57),INDIRECT("Input!A"&amp;1+MATCH($M57,aux_sheet_RRS!$D$2:$D$202,0))," ")</f>
        <v xml:space="preserve"> </v>
      </c>
      <c r="P57" s="3" t="str">
        <f ca="1">IF(ISNUMBER($L57),INDIRECT("Input!B"&amp;1+MATCH($M57,aux_sheet_RRS!$D$2:$D$202,0))," ")</f>
        <v xml:space="preserve"> </v>
      </c>
    </row>
    <row r="58" spans="1:16" x14ac:dyDescent="0.35">
      <c r="A58" t="str">
        <f>IF(ISBLANK(Input!A58)," ",ROUNDDOWN(aux_sheet_RRS!E58,0))</f>
        <v xml:space="preserve"> </v>
      </c>
      <c r="B58" t="str">
        <f ca="1">IF(ISBLANK(Input!A58)," ",INDIRECT("Input!A"&amp;1+MATCH($H58,aux_sheet_RRS!$D$2:$D$202,0)))</f>
        <v xml:space="preserve"> </v>
      </c>
      <c r="C58" t="str">
        <f ca="1">IF(ISBLANK(Input!B58)," ",INDIRECT("Input!B"&amp;1+MATCH($H58,aux_sheet_RRS!$D$2:$D$202,0)))</f>
        <v xml:space="preserve"> </v>
      </c>
      <c r="D58" t="str">
        <f ca="1">IF(ISBLANK(Input!C58)," ",INDIRECT("Input!C"&amp;1+MATCH($H58,aux_sheet_RRS!$D$2:$D$202,0)))</f>
        <v xml:space="preserve"> </v>
      </c>
      <c r="E58" t="str">
        <f ca="1">IF(ISBLANK(Input!D58)," ",INDIRECT("Input!D"&amp;1+MATCH($H58,aux_sheet_RRS!$D$2:$D$202,0)))</f>
        <v xml:space="preserve"> </v>
      </c>
      <c r="F58" t="str">
        <f ca="1">IF(ISBLANK(Input!E58)," ",INDIRECT("Input!H"&amp;1+MATCH($H58,aux_sheet_RRS!$D$2:$D$202,0)))</f>
        <v xml:space="preserve"> </v>
      </c>
      <c r="G58">
        <f ca="1">IF(ISBLANK(Input!G58)," ",INDIRECT("Input!AP"&amp;1+MATCH($H58,aux_sheet_RRS!$D$2:$D$202,0)))</f>
        <v>0</v>
      </c>
      <c r="H58">
        <f>aux_sheet_RRS!E58</f>
        <v>1000</v>
      </c>
      <c r="J58" t="str">
        <f t="shared" si="4"/>
        <v xml:space="preserve"> </v>
      </c>
      <c r="K58">
        <v>57</v>
      </c>
      <c r="L58" t="str">
        <f t="shared" ca="1" si="1"/>
        <v xml:space="preserve"> </v>
      </c>
      <c r="M58" t="str">
        <f t="shared" ca="1" si="2"/>
        <v xml:space="preserve"> </v>
      </c>
      <c r="N58" s="3" t="str">
        <f t="shared" ca="1" si="3"/>
        <v xml:space="preserve"> </v>
      </c>
      <c r="O58" s="3" t="str">
        <f ca="1">IF(ISNUMBER($L58),INDIRECT("Input!A"&amp;1+MATCH($M58,aux_sheet_RRS!$D$2:$D$202,0))," ")</f>
        <v xml:space="preserve"> </v>
      </c>
      <c r="P58" s="3" t="str">
        <f ca="1">IF(ISNUMBER($L58),INDIRECT("Input!B"&amp;1+MATCH($M58,aux_sheet_RRS!$D$2:$D$202,0))," ")</f>
        <v xml:space="preserve"> </v>
      </c>
    </row>
    <row r="59" spans="1:16" x14ac:dyDescent="0.35">
      <c r="A59" t="str">
        <f>IF(ISBLANK(Input!A59)," ",ROUNDDOWN(aux_sheet_RRS!E59,0))</f>
        <v xml:space="preserve"> </v>
      </c>
      <c r="B59" t="str">
        <f ca="1">IF(ISBLANK(Input!A59)," ",INDIRECT("Input!A"&amp;1+MATCH($H59,aux_sheet_RRS!$D$2:$D$202,0)))</f>
        <v xml:space="preserve"> </v>
      </c>
      <c r="C59" t="str">
        <f ca="1">IF(ISBLANK(Input!B59)," ",INDIRECT("Input!B"&amp;1+MATCH($H59,aux_sheet_RRS!$D$2:$D$202,0)))</f>
        <v xml:space="preserve"> </v>
      </c>
      <c r="D59" t="str">
        <f ca="1">IF(ISBLANK(Input!C59)," ",INDIRECT("Input!C"&amp;1+MATCH($H59,aux_sheet_RRS!$D$2:$D$202,0)))</f>
        <v xml:space="preserve"> </v>
      </c>
      <c r="E59" t="str">
        <f ca="1">IF(ISBLANK(Input!D59)," ",INDIRECT("Input!D"&amp;1+MATCH($H59,aux_sheet_RRS!$D$2:$D$202,0)))</f>
        <v xml:space="preserve"> </v>
      </c>
      <c r="F59" t="str">
        <f ca="1">IF(ISBLANK(Input!E59)," ",INDIRECT("Input!H"&amp;1+MATCH($H59,aux_sheet_RRS!$D$2:$D$202,0)))</f>
        <v xml:space="preserve"> </v>
      </c>
      <c r="G59">
        <f ca="1">IF(ISBLANK(Input!G59)," ",INDIRECT("Input!AP"&amp;1+MATCH($H59,aux_sheet_RRS!$D$2:$D$202,0)))</f>
        <v>0</v>
      </c>
      <c r="H59">
        <f>aux_sheet_RRS!E59</f>
        <v>1000</v>
      </c>
      <c r="J59" t="str">
        <f t="shared" si="4"/>
        <v xml:space="preserve"> </v>
      </c>
      <c r="K59">
        <v>58</v>
      </c>
      <c r="L59" t="str">
        <f t="shared" ca="1" si="1"/>
        <v xml:space="preserve"> </v>
      </c>
      <c r="M59" t="str">
        <f t="shared" ca="1" si="2"/>
        <v xml:space="preserve"> </v>
      </c>
      <c r="N59" s="3" t="str">
        <f t="shared" ca="1" si="3"/>
        <v xml:space="preserve"> </v>
      </c>
      <c r="O59" s="3" t="str">
        <f ca="1">IF(ISNUMBER($L59),INDIRECT("Input!A"&amp;1+MATCH($M59,aux_sheet_RRS!$D$2:$D$202,0))," ")</f>
        <v xml:space="preserve"> </v>
      </c>
      <c r="P59" s="3" t="str">
        <f ca="1">IF(ISNUMBER($L59),INDIRECT("Input!B"&amp;1+MATCH($M59,aux_sheet_RRS!$D$2:$D$202,0))," ")</f>
        <v xml:space="preserve"> </v>
      </c>
    </row>
    <row r="60" spans="1:16" x14ac:dyDescent="0.35">
      <c r="A60" t="str">
        <f>IF(ISBLANK(Input!A60)," ",ROUNDDOWN(aux_sheet_RRS!E60,0))</f>
        <v xml:space="preserve"> </v>
      </c>
      <c r="B60" t="str">
        <f ca="1">IF(ISBLANK(Input!A60)," ",INDIRECT("Input!A"&amp;1+MATCH($H60,aux_sheet_RRS!$D$2:$D$202,0)))</f>
        <v xml:space="preserve"> </v>
      </c>
      <c r="C60" t="str">
        <f ca="1">IF(ISBLANK(Input!B60)," ",INDIRECT("Input!B"&amp;1+MATCH($H60,aux_sheet_RRS!$D$2:$D$202,0)))</f>
        <v xml:space="preserve"> </v>
      </c>
      <c r="D60" t="str">
        <f ca="1">IF(ISBLANK(Input!C60)," ",INDIRECT("Input!C"&amp;1+MATCH($H60,aux_sheet_RRS!$D$2:$D$202,0)))</f>
        <v xml:space="preserve"> </v>
      </c>
      <c r="E60" t="str">
        <f ca="1">IF(ISBLANK(Input!D60)," ",INDIRECT("Input!D"&amp;1+MATCH($H60,aux_sheet_RRS!$D$2:$D$202,0)))</f>
        <v xml:space="preserve"> </v>
      </c>
      <c r="F60" t="str">
        <f ca="1">IF(ISBLANK(Input!E60)," ",INDIRECT("Input!H"&amp;1+MATCH($H60,aux_sheet_RRS!$D$2:$D$202,0)))</f>
        <v xml:space="preserve"> </v>
      </c>
      <c r="G60">
        <f ca="1">IF(ISBLANK(Input!G60)," ",INDIRECT("Input!AP"&amp;1+MATCH($H60,aux_sheet_RRS!$D$2:$D$202,0)))</f>
        <v>0</v>
      </c>
      <c r="H60">
        <f>aux_sheet_RRS!E60</f>
        <v>1000</v>
      </c>
      <c r="J60" t="str">
        <f t="shared" si="4"/>
        <v xml:space="preserve"> </v>
      </c>
      <c r="K60">
        <v>59</v>
      </c>
      <c r="L60" t="str">
        <f t="shared" ca="1" si="1"/>
        <v xml:space="preserve"> </v>
      </c>
      <c r="M60" t="str">
        <f t="shared" ca="1" si="2"/>
        <v xml:space="preserve"> </v>
      </c>
      <c r="N60" s="3" t="str">
        <f t="shared" ca="1" si="3"/>
        <v xml:space="preserve"> </v>
      </c>
      <c r="O60" s="3" t="str">
        <f ca="1">IF(ISNUMBER($L60),INDIRECT("Input!A"&amp;1+MATCH($M60,aux_sheet_RRS!$D$2:$D$202,0))," ")</f>
        <v xml:space="preserve"> </v>
      </c>
      <c r="P60" s="3" t="str">
        <f ca="1">IF(ISNUMBER($L60),INDIRECT("Input!B"&amp;1+MATCH($M60,aux_sheet_RRS!$D$2:$D$202,0))," ")</f>
        <v xml:space="preserve"> </v>
      </c>
    </row>
    <row r="61" spans="1:16" x14ac:dyDescent="0.35">
      <c r="A61" t="str">
        <f>IF(ISBLANK(Input!A61)," ",ROUNDDOWN(aux_sheet_RRS!E61,0))</f>
        <v xml:space="preserve"> </v>
      </c>
      <c r="B61" t="str">
        <f ca="1">IF(ISBLANK(Input!A61)," ",INDIRECT("Input!A"&amp;1+MATCH($H61,aux_sheet_RRS!$D$2:$D$202,0)))</f>
        <v xml:space="preserve"> </v>
      </c>
      <c r="C61" t="str">
        <f ca="1">IF(ISBLANK(Input!B61)," ",INDIRECT("Input!B"&amp;1+MATCH($H61,aux_sheet_RRS!$D$2:$D$202,0)))</f>
        <v xml:space="preserve"> </v>
      </c>
      <c r="D61" t="str">
        <f ca="1">IF(ISBLANK(Input!C61)," ",INDIRECT("Input!C"&amp;1+MATCH($H61,aux_sheet_RRS!$D$2:$D$202,0)))</f>
        <v xml:space="preserve"> </v>
      </c>
      <c r="E61" t="str">
        <f ca="1">IF(ISBLANK(Input!D61)," ",INDIRECT("Input!D"&amp;1+MATCH($H61,aux_sheet_RRS!$D$2:$D$202,0)))</f>
        <v xml:space="preserve"> </v>
      </c>
      <c r="F61" t="str">
        <f ca="1">IF(ISBLANK(Input!E61)," ",INDIRECT("Input!H"&amp;1+MATCH($H61,aux_sheet_RRS!$D$2:$D$202,0)))</f>
        <v xml:space="preserve"> </v>
      </c>
      <c r="G61">
        <f ca="1">IF(ISBLANK(Input!G61)," ",INDIRECT("Input!AP"&amp;1+MATCH($H61,aux_sheet_RRS!$D$2:$D$202,0)))</f>
        <v>0</v>
      </c>
      <c r="H61">
        <f>aux_sheet_RRS!E61</f>
        <v>1000</v>
      </c>
      <c r="J61" t="str">
        <f t="shared" si="4"/>
        <v xml:space="preserve"> </v>
      </c>
      <c r="K61">
        <v>60</v>
      </c>
      <c r="L61" t="str">
        <f t="shared" ca="1" si="1"/>
        <v xml:space="preserve"> </v>
      </c>
      <c r="M61" t="str">
        <f t="shared" ca="1" si="2"/>
        <v xml:space="preserve"> </v>
      </c>
      <c r="N61" s="3" t="str">
        <f t="shared" ca="1" si="3"/>
        <v xml:space="preserve"> </v>
      </c>
      <c r="O61" s="3" t="str">
        <f ca="1">IF(ISNUMBER($L61),INDIRECT("Input!A"&amp;1+MATCH($M61,aux_sheet_RRS!$D$2:$D$202,0))," ")</f>
        <v xml:space="preserve"> </v>
      </c>
      <c r="P61" s="3" t="str">
        <f ca="1">IF(ISNUMBER($L61),INDIRECT("Input!B"&amp;1+MATCH($M61,aux_sheet_RRS!$D$2:$D$202,0))," ")</f>
        <v xml:space="preserve"> </v>
      </c>
    </row>
    <row r="62" spans="1:16" x14ac:dyDescent="0.35">
      <c r="A62" t="str">
        <f>IF(ISBLANK(Input!A62)," ",ROUNDDOWN(aux_sheet_RRS!E62,0))</f>
        <v xml:space="preserve"> </v>
      </c>
      <c r="B62" t="str">
        <f ca="1">IF(ISBLANK(Input!A62)," ",INDIRECT("Input!A"&amp;1+MATCH($H62,aux_sheet_RRS!$D$2:$D$202,0)))</f>
        <v xml:space="preserve"> </v>
      </c>
      <c r="C62" t="str">
        <f ca="1">IF(ISBLANK(Input!B62)," ",INDIRECT("Input!B"&amp;1+MATCH($H62,aux_sheet_RRS!$D$2:$D$202,0)))</f>
        <v xml:space="preserve"> </v>
      </c>
      <c r="D62" t="str">
        <f ca="1">IF(ISBLANK(Input!C62)," ",INDIRECT("Input!C"&amp;1+MATCH($H62,aux_sheet_RRS!$D$2:$D$202,0)))</f>
        <v xml:space="preserve"> </v>
      </c>
      <c r="E62" t="str">
        <f ca="1">IF(ISBLANK(Input!D62)," ",INDIRECT("Input!D"&amp;1+MATCH($H62,aux_sheet_RRS!$D$2:$D$202,0)))</f>
        <v xml:space="preserve"> </v>
      </c>
      <c r="F62" t="str">
        <f ca="1">IF(ISBLANK(Input!E62)," ",INDIRECT("Input!H"&amp;1+MATCH($H62,aux_sheet_RRS!$D$2:$D$202,0)))</f>
        <v xml:space="preserve"> </v>
      </c>
      <c r="G62">
        <f ca="1">IF(ISBLANK(Input!G62)," ",INDIRECT("Input!AP"&amp;1+MATCH($H62,aux_sheet_RRS!$D$2:$D$202,0)))</f>
        <v>0</v>
      </c>
      <c r="H62">
        <f>aux_sheet_RRS!E62</f>
        <v>1000</v>
      </c>
      <c r="J62" t="str">
        <f t="shared" si="4"/>
        <v xml:space="preserve"> </v>
      </c>
      <c r="K62">
        <v>61</v>
      </c>
      <c r="L62" t="str">
        <f t="shared" ca="1" si="1"/>
        <v xml:space="preserve"> </v>
      </c>
      <c r="M62" t="str">
        <f t="shared" ca="1" si="2"/>
        <v xml:space="preserve"> </v>
      </c>
      <c r="N62" s="3" t="str">
        <f t="shared" ca="1" si="3"/>
        <v xml:space="preserve"> </v>
      </c>
      <c r="O62" s="3" t="str">
        <f ca="1">IF(ISNUMBER($L62),INDIRECT("Input!A"&amp;1+MATCH($M62,aux_sheet_RRS!$D$2:$D$202,0))," ")</f>
        <v xml:space="preserve"> </v>
      </c>
      <c r="P62" s="3" t="str">
        <f ca="1">IF(ISNUMBER($L62),INDIRECT("Input!B"&amp;1+MATCH($M62,aux_sheet_RRS!$D$2:$D$202,0))," ")</f>
        <v xml:space="preserve"> </v>
      </c>
    </row>
    <row r="63" spans="1:16" x14ac:dyDescent="0.35">
      <c r="A63" t="str">
        <f>IF(ISBLANK(Input!A63)," ",ROUNDDOWN(aux_sheet_RRS!E63,0))</f>
        <v xml:space="preserve"> </v>
      </c>
      <c r="B63" t="str">
        <f ca="1">IF(ISBLANK(Input!A63)," ",INDIRECT("Input!A"&amp;1+MATCH($H63,aux_sheet_RRS!$D$2:$D$202,0)))</f>
        <v xml:space="preserve"> </v>
      </c>
      <c r="C63" t="str">
        <f ca="1">IF(ISBLANK(Input!B63)," ",INDIRECT("Input!B"&amp;1+MATCH($H63,aux_sheet_RRS!$D$2:$D$202,0)))</f>
        <v xml:space="preserve"> </v>
      </c>
      <c r="D63" t="str">
        <f ca="1">IF(ISBLANK(Input!C63)," ",INDIRECT("Input!C"&amp;1+MATCH($H63,aux_sheet_RRS!$D$2:$D$202,0)))</f>
        <v xml:space="preserve"> </v>
      </c>
      <c r="E63" t="str">
        <f ca="1">IF(ISBLANK(Input!D63)," ",INDIRECT("Input!D"&amp;1+MATCH($H63,aux_sheet_RRS!$D$2:$D$202,0)))</f>
        <v xml:space="preserve"> </v>
      </c>
      <c r="F63" t="str">
        <f ca="1">IF(ISBLANK(Input!E63)," ",INDIRECT("Input!H"&amp;1+MATCH($H63,aux_sheet_RRS!$D$2:$D$202,0)))</f>
        <v xml:space="preserve"> </v>
      </c>
      <c r="G63">
        <f ca="1">IF(ISBLANK(Input!G63)," ",INDIRECT("Input!AP"&amp;1+MATCH($H63,aux_sheet_RRS!$D$2:$D$202,0)))</f>
        <v>0</v>
      </c>
      <c r="H63">
        <f>aux_sheet_RRS!E63</f>
        <v>1000</v>
      </c>
      <c r="J63" t="str">
        <f t="shared" si="4"/>
        <v xml:space="preserve"> </v>
      </c>
      <c r="K63">
        <v>62</v>
      </c>
      <c r="L63" t="str">
        <f t="shared" ca="1" si="1"/>
        <v xml:space="preserve"> </v>
      </c>
      <c r="M63" t="str">
        <f t="shared" ca="1" si="2"/>
        <v xml:space="preserve"> </v>
      </c>
      <c r="N63" s="3" t="str">
        <f t="shared" ca="1" si="3"/>
        <v xml:space="preserve"> </v>
      </c>
      <c r="O63" s="3" t="str">
        <f ca="1">IF(ISNUMBER($L63),INDIRECT("Input!A"&amp;1+MATCH($M63,aux_sheet_RRS!$D$2:$D$202,0))," ")</f>
        <v xml:space="preserve"> </v>
      </c>
      <c r="P63" s="3" t="str">
        <f ca="1">IF(ISNUMBER($L63),INDIRECT("Input!B"&amp;1+MATCH($M63,aux_sheet_RRS!$D$2:$D$202,0))," ")</f>
        <v xml:space="preserve"> </v>
      </c>
    </row>
    <row r="64" spans="1:16" x14ac:dyDescent="0.35">
      <c r="A64" t="str">
        <f>IF(ISBLANK(Input!A64)," ",ROUNDDOWN(aux_sheet_RRS!E64,0))</f>
        <v xml:space="preserve"> </v>
      </c>
      <c r="B64" t="str">
        <f ca="1">IF(ISBLANK(Input!A64)," ",INDIRECT("Input!A"&amp;1+MATCH($H64,aux_sheet_RRS!$D$2:$D$202,0)))</f>
        <v xml:space="preserve"> </v>
      </c>
      <c r="C64" t="str">
        <f ca="1">IF(ISBLANK(Input!B64)," ",INDIRECT("Input!B"&amp;1+MATCH($H64,aux_sheet_RRS!$D$2:$D$202,0)))</f>
        <v xml:space="preserve"> </v>
      </c>
      <c r="D64" t="str">
        <f ca="1">IF(ISBLANK(Input!C64)," ",INDIRECT("Input!C"&amp;1+MATCH($H64,aux_sheet_RRS!$D$2:$D$202,0)))</f>
        <v xml:space="preserve"> </v>
      </c>
      <c r="E64" t="str">
        <f ca="1">IF(ISBLANK(Input!D64)," ",INDIRECT("Input!D"&amp;1+MATCH($H64,aux_sheet_RRS!$D$2:$D$202,0)))</f>
        <v xml:space="preserve"> </v>
      </c>
      <c r="F64" t="str">
        <f ca="1">IF(ISBLANK(Input!E64)," ",INDIRECT("Input!H"&amp;1+MATCH($H64,aux_sheet_RRS!$D$2:$D$202,0)))</f>
        <v xml:space="preserve"> </v>
      </c>
      <c r="G64">
        <f ca="1">IF(ISBLANK(Input!G64)," ",INDIRECT("Input!AP"&amp;1+MATCH($H64,aux_sheet_RRS!$D$2:$D$202,0)))</f>
        <v>0</v>
      </c>
      <c r="H64">
        <f>aux_sheet_RRS!E64</f>
        <v>1000</v>
      </c>
      <c r="J64" t="str">
        <f t="shared" si="4"/>
        <v xml:space="preserve"> </v>
      </c>
      <c r="K64">
        <v>63</v>
      </c>
      <c r="L64" t="str">
        <f t="shared" ca="1" si="1"/>
        <v xml:space="preserve"> </v>
      </c>
      <c r="M64" t="str">
        <f t="shared" ca="1" si="2"/>
        <v xml:space="preserve"> </v>
      </c>
      <c r="N64" s="3" t="str">
        <f t="shared" ca="1" si="3"/>
        <v xml:space="preserve"> </v>
      </c>
      <c r="O64" s="3" t="str">
        <f ca="1">IF(ISNUMBER($L64),INDIRECT("Input!A"&amp;1+MATCH($M64,aux_sheet_RRS!$D$2:$D$202,0))," ")</f>
        <v xml:space="preserve"> </v>
      </c>
      <c r="P64" s="3" t="str">
        <f ca="1">IF(ISNUMBER($L64),INDIRECT("Input!B"&amp;1+MATCH($M64,aux_sheet_RRS!$D$2:$D$202,0))," ")</f>
        <v xml:space="preserve"> </v>
      </c>
    </row>
    <row r="65" spans="1:16" x14ac:dyDescent="0.35">
      <c r="A65" t="str">
        <f>IF(ISBLANK(Input!A65)," ",ROUNDDOWN(aux_sheet_RRS!E65,0))</f>
        <v xml:space="preserve"> </v>
      </c>
      <c r="B65" t="str">
        <f ca="1">IF(ISBLANK(Input!A65)," ",INDIRECT("Input!A"&amp;1+MATCH($H65,aux_sheet_RRS!$D$2:$D$202,0)))</f>
        <v xml:space="preserve"> </v>
      </c>
      <c r="C65" t="str">
        <f ca="1">IF(ISBLANK(Input!B65)," ",INDIRECT("Input!B"&amp;1+MATCH($H65,aux_sheet_RRS!$D$2:$D$202,0)))</f>
        <v xml:space="preserve"> </v>
      </c>
      <c r="D65" t="str">
        <f ca="1">IF(ISBLANK(Input!C65)," ",INDIRECT("Input!C"&amp;1+MATCH($H65,aux_sheet_RRS!$D$2:$D$202,0)))</f>
        <v xml:space="preserve"> </v>
      </c>
      <c r="E65" t="str">
        <f ca="1">IF(ISBLANK(Input!D65)," ",INDIRECT("Input!D"&amp;1+MATCH($H65,aux_sheet_RRS!$D$2:$D$202,0)))</f>
        <v xml:space="preserve"> </v>
      </c>
      <c r="F65" t="str">
        <f ca="1">IF(ISBLANK(Input!E65)," ",INDIRECT("Input!H"&amp;1+MATCH($H65,aux_sheet_RRS!$D$2:$D$202,0)))</f>
        <v xml:space="preserve"> </v>
      </c>
      <c r="G65">
        <f ca="1">IF(ISBLANK(Input!G65)," ",INDIRECT("Input!AP"&amp;1+MATCH($H65,aux_sheet_RRS!$D$2:$D$202,0)))</f>
        <v>0</v>
      </c>
      <c r="H65">
        <f>aux_sheet_RRS!E65</f>
        <v>1000</v>
      </c>
      <c r="J65" t="str">
        <f t="shared" si="4"/>
        <v xml:space="preserve"> </v>
      </c>
      <c r="K65">
        <v>64</v>
      </c>
      <c r="L65" t="str">
        <f t="shared" ca="1" si="1"/>
        <v xml:space="preserve"> </v>
      </c>
      <c r="M65" t="str">
        <f t="shared" ca="1" si="2"/>
        <v xml:space="preserve"> </v>
      </c>
      <c r="N65" s="3" t="str">
        <f t="shared" ca="1" si="3"/>
        <v xml:space="preserve"> </v>
      </c>
      <c r="O65" s="3" t="str">
        <f ca="1">IF(ISNUMBER($L65),INDIRECT("Input!A"&amp;1+MATCH($M65,aux_sheet_RRS!$D$2:$D$202,0))," ")</f>
        <v xml:space="preserve"> </v>
      </c>
      <c r="P65" s="3" t="str">
        <f ca="1">IF(ISNUMBER($L65),INDIRECT("Input!B"&amp;1+MATCH($M65,aux_sheet_RRS!$D$2:$D$202,0))," ")</f>
        <v xml:space="preserve"> </v>
      </c>
    </row>
    <row r="66" spans="1:16" x14ac:dyDescent="0.35">
      <c r="A66" t="str">
        <f>IF(ISBLANK(Input!A66)," ",ROUNDDOWN(aux_sheet_RRS!E66,0))</f>
        <v xml:space="preserve"> </v>
      </c>
      <c r="B66" t="str">
        <f ca="1">IF(ISBLANK(Input!A66)," ",INDIRECT("Input!A"&amp;1+MATCH($H66,aux_sheet_RRS!$D$2:$D$202,0)))</f>
        <v xml:space="preserve"> </v>
      </c>
      <c r="C66" t="str">
        <f ca="1">IF(ISBLANK(Input!B66)," ",INDIRECT("Input!B"&amp;1+MATCH($H66,aux_sheet_RRS!$D$2:$D$202,0)))</f>
        <v xml:space="preserve"> </v>
      </c>
      <c r="D66" t="str">
        <f ca="1">IF(ISBLANK(Input!C66)," ",INDIRECT("Input!C"&amp;1+MATCH($H66,aux_sheet_RRS!$D$2:$D$202,0)))</f>
        <v xml:space="preserve"> </v>
      </c>
      <c r="E66" t="str">
        <f ca="1">IF(ISBLANK(Input!D66)," ",INDIRECT("Input!D"&amp;1+MATCH($H66,aux_sheet_RRS!$D$2:$D$202,0)))</f>
        <v xml:space="preserve"> </v>
      </c>
      <c r="F66" t="str">
        <f ca="1">IF(ISBLANK(Input!E66)," ",INDIRECT("Input!H"&amp;1+MATCH($H66,aux_sheet_RRS!$D$2:$D$202,0)))</f>
        <v xml:space="preserve"> </v>
      </c>
      <c r="G66">
        <f ca="1">IF(ISBLANK(Input!G66)," ",INDIRECT("Input!AP"&amp;1+MATCH($H66,aux_sheet_RRS!$D$2:$D$202,0)))</f>
        <v>0</v>
      </c>
      <c r="H66">
        <f>aux_sheet_RRS!E66</f>
        <v>1000</v>
      </c>
      <c r="J66" t="str">
        <f t="shared" si="4"/>
        <v xml:space="preserve"> </v>
      </c>
      <c r="K66">
        <v>65</v>
      </c>
      <c r="L66" t="str">
        <f t="shared" ca="1" si="1"/>
        <v xml:space="preserve"> </v>
      </c>
      <c r="M66" t="str">
        <f t="shared" ca="1" si="2"/>
        <v xml:space="preserve"> </v>
      </c>
      <c r="N66" s="3" t="str">
        <f t="shared" ca="1" si="3"/>
        <v xml:space="preserve"> </v>
      </c>
      <c r="O66" s="3" t="str">
        <f ca="1">IF(ISNUMBER($L66),INDIRECT("Input!A"&amp;1+MATCH($M66,aux_sheet_RRS!$D$2:$D$202,0))," ")</f>
        <v xml:space="preserve"> </v>
      </c>
      <c r="P66" s="3" t="str">
        <f ca="1">IF(ISNUMBER($L66),INDIRECT("Input!B"&amp;1+MATCH($M66,aux_sheet_RRS!$D$2:$D$202,0))," ")</f>
        <v xml:space="preserve"> </v>
      </c>
    </row>
    <row r="67" spans="1:16" x14ac:dyDescent="0.35">
      <c r="A67" t="str">
        <f>IF(ISBLANK(Input!A67)," ",ROUNDDOWN(aux_sheet_RRS!E67,0))</f>
        <v xml:space="preserve"> </v>
      </c>
      <c r="B67" t="str">
        <f ca="1">IF(ISBLANK(Input!A67)," ",INDIRECT("Input!A"&amp;1+MATCH($H67,aux_sheet_RRS!$D$2:$D$202,0)))</f>
        <v xml:space="preserve"> </v>
      </c>
      <c r="C67" t="str">
        <f ca="1">IF(ISBLANK(Input!B67)," ",INDIRECT("Input!B"&amp;1+MATCH($H67,aux_sheet_RRS!$D$2:$D$202,0)))</f>
        <v xml:space="preserve"> </v>
      </c>
      <c r="D67" t="str">
        <f ca="1">IF(ISBLANK(Input!C67)," ",INDIRECT("Input!C"&amp;1+MATCH($H67,aux_sheet_RRS!$D$2:$D$202,0)))</f>
        <v xml:space="preserve"> </v>
      </c>
      <c r="E67" t="str">
        <f ca="1">IF(ISBLANK(Input!D67)," ",INDIRECT("Input!D"&amp;1+MATCH($H67,aux_sheet_RRS!$D$2:$D$202,0)))</f>
        <v xml:space="preserve"> </v>
      </c>
      <c r="F67" t="str">
        <f ca="1">IF(ISBLANK(Input!E67)," ",INDIRECT("Input!H"&amp;1+MATCH($H67,aux_sheet_RRS!$D$2:$D$202,0)))</f>
        <v xml:space="preserve"> </v>
      </c>
      <c r="G67">
        <f ca="1">IF(ISBLANK(Input!G67)," ",INDIRECT("Input!AP"&amp;1+MATCH($H67,aux_sheet_RRS!$D$2:$D$202,0)))</f>
        <v>0</v>
      </c>
      <c r="H67">
        <f>aux_sheet_RRS!E67</f>
        <v>1000</v>
      </c>
      <c r="J67" t="str">
        <f t="shared" si="4"/>
        <v xml:space="preserve"> </v>
      </c>
      <c r="K67">
        <v>66</v>
      </c>
      <c r="L67" t="str">
        <f t="shared" ref="L67:L130" ca="1" si="5">IF(K67&lt;$K$1,K67," ")</f>
        <v xml:space="preserve"> </v>
      </c>
      <c r="M67" t="str">
        <f t="shared" ref="M67:M130" ca="1" si="6">IF(ISNUMBER(L67),SMALL($J$2:$J$202,L67)," ")</f>
        <v xml:space="preserve"> </v>
      </c>
      <c r="N67" s="3" t="str">
        <f t="shared" ref="N67:N128" ca="1" si="7">IF(ISNUMBER(M67),ROUNDDOWN(M67,0)," ")</f>
        <v xml:space="preserve"> </v>
      </c>
      <c r="O67" s="3" t="str">
        <f ca="1">IF(ISNUMBER($L67),INDIRECT("Input!A"&amp;1+MATCH($M67,aux_sheet_RRS!$D$2:$D$202,0))," ")</f>
        <v xml:space="preserve"> </v>
      </c>
      <c r="P67" s="3" t="str">
        <f ca="1">IF(ISNUMBER($L67),INDIRECT("Input!B"&amp;1+MATCH($M67,aux_sheet_RRS!$D$2:$D$202,0))," ")</f>
        <v xml:space="preserve"> </v>
      </c>
    </row>
    <row r="68" spans="1:16" x14ac:dyDescent="0.35">
      <c r="A68" t="str">
        <f>IF(ISBLANK(Input!A68)," ",ROUNDDOWN(aux_sheet_RRS!E68,0))</f>
        <v xml:space="preserve"> </v>
      </c>
      <c r="B68" t="str">
        <f ca="1">IF(ISBLANK(Input!A68)," ",INDIRECT("Input!A"&amp;1+MATCH($H68,aux_sheet_RRS!$D$2:$D$202,0)))</f>
        <v xml:space="preserve"> </v>
      </c>
      <c r="C68" t="str">
        <f ca="1">IF(ISBLANK(Input!B68)," ",INDIRECT("Input!B"&amp;1+MATCH($H68,aux_sheet_RRS!$D$2:$D$202,0)))</f>
        <v xml:space="preserve"> </v>
      </c>
      <c r="D68" t="str">
        <f ca="1">IF(ISBLANK(Input!C68)," ",INDIRECT("Input!C"&amp;1+MATCH($H68,aux_sheet_RRS!$D$2:$D$202,0)))</f>
        <v xml:space="preserve"> </v>
      </c>
      <c r="E68" t="str">
        <f ca="1">IF(ISBLANK(Input!D68)," ",INDIRECT("Input!D"&amp;1+MATCH($H68,aux_sheet_RRS!$D$2:$D$202,0)))</f>
        <v xml:space="preserve"> </v>
      </c>
      <c r="F68" t="str">
        <f ca="1">IF(ISBLANK(Input!E68)," ",INDIRECT("Input!H"&amp;1+MATCH($H68,aux_sheet_RRS!$D$2:$D$202,0)))</f>
        <v xml:space="preserve"> </v>
      </c>
      <c r="G68">
        <f ca="1">IF(ISBLANK(Input!G68)," ",INDIRECT("Input!AP"&amp;1+MATCH($H68,aux_sheet_RRS!$D$2:$D$202,0)))</f>
        <v>0</v>
      </c>
      <c r="H68">
        <f>aux_sheet_RRS!E68</f>
        <v>1000</v>
      </c>
      <c r="J68" t="str">
        <f t="shared" si="4"/>
        <v xml:space="preserve"> </v>
      </c>
      <c r="K68">
        <v>67</v>
      </c>
      <c r="L68" t="str">
        <f t="shared" ca="1" si="5"/>
        <v xml:space="preserve"> </v>
      </c>
      <c r="M68" t="str">
        <f t="shared" ca="1" si="6"/>
        <v xml:space="preserve"> </v>
      </c>
      <c r="N68" s="3" t="str">
        <f t="shared" ca="1" si="7"/>
        <v xml:space="preserve"> </v>
      </c>
      <c r="O68" s="3" t="str">
        <f ca="1">IF(ISNUMBER($L68),INDIRECT("Input!A"&amp;1+MATCH($M68,aux_sheet_RRS!$D$2:$D$202,0))," ")</f>
        <v xml:space="preserve"> </v>
      </c>
      <c r="P68" s="3" t="str">
        <f ca="1">IF(ISNUMBER($L68),INDIRECT("Input!B"&amp;1+MATCH($M68,aux_sheet_RRS!$D$2:$D$202,0))," ")</f>
        <v xml:space="preserve"> </v>
      </c>
    </row>
    <row r="69" spans="1:16" x14ac:dyDescent="0.35">
      <c r="A69" t="str">
        <f>IF(ISBLANK(Input!A69)," ",ROUNDDOWN(aux_sheet_RRS!E69,0))</f>
        <v xml:space="preserve"> </v>
      </c>
      <c r="B69" t="str">
        <f ca="1">IF(ISBLANK(Input!A69)," ",INDIRECT("Input!A"&amp;1+MATCH($H69,aux_sheet_RRS!$D$2:$D$202,0)))</f>
        <v xml:space="preserve"> </v>
      </c>
      <c r="C69" t="str">
        <f ca="1">IF(ISBLANK(Input!B69)," ",INDIRECT("Input!B"&amp;1+MATCH($H69,aux_sheet_RRS!$D$2:$D$202,0)))</f>
        <v xml:space="preserve"> </v>
      </c>
      <c r="D69" t="str">
        <f ca="1">IF(ISBLANK(Input!C69)," ",INDIRECT("Input!C"&amp;1+MATCH($H69,aux_sheet_RRS!$D$2:$D$202,0)))</f>
        <v xml:space="preserve"> </v>
      </c>
      <c r="E69" t="str">
        <f ca="1">IF(ISBLANK(Input!D69)," ",INDIRECT("Input!D"&amp;1+MATCH($H69,aux_sheet_RRS!$D$2:$D$202,0)))</f>
        <v xml:space="preserve"> </v>
      </c>
      <c r="F69" t="str">
        <f ca="1">IF(ISBLANK(Input!E69)," ",INDIRECT("Input!H"&amp;1+MATCH($H69,aux_sheet_RRS!$D$2:$D$202,0)))</f>
        <v xml:space="preserve"> </v>
      </c>
      <c r="G69">
        <f ca="1">IF(ISBLANK(Input!G69)," ",INDIRECT("Input!AP"&amp;1+MATCH($H69,aux_sheet_RRS!$D$2:$D$202,0)))</f>
        <v>0</v>
      </c>
      <c r="H69">
        <f>aux_sheet_RRS!E69</f>
        <v>1000</v>
      </c>
      <c r="J69" t="str">
        <f t="shared" si="4"/>
        <v xml:space="preserve"> </v>
      </c>
      <c r="K69">
        <v>68</v>
      </c>
      <c r="L69" t="str">
        <f t="shared" ca="1" si="5"/>
        <v xml:space="preserve"> </v>
      </c>
      <c r="M69" t="str">
        <f t="shared" ca="1" si="6"/>
        <v xml:space="preserve"> </v>
      </c>
      <c r="N69" s="3" t="str">
        <f t="shared" ca="1" si="7"/>
        <v xml:space="preserve"> </v>
      </c>
      <c r="O69" s="3" t="str">
        <f ca="1">IF(ISNUMBER($L69),INDIRECT("Input!A"&amp;1+MATCH($M69,aux_sheet_RRS!$D$2:$D$202,0))," ")</f>
        <v xml:space="preserve"> </v>
      </c>
      <c r="P69" s="3" t="str">
        <f ca="1">IF(ISNUMBER($L69),INDIRECT("Input!B"&amp;1+MATCH($M69,aux_sheet_RRS!$D$2:$D$202,0))," ")</f>
        <v xml:space="preserve"> </v>
      </c>
    </row>
    <row r="70" spans="1:16" x14ac:dyDescent="0.35">
      <c r="A70" t="str">
        <f>IF(ISBLANK(Input!A70)," ",ROUNDDOWN(aux_sheet_RRS!E70,0))</f>
        <v xml:space="preserve"> </v>
      </c>
      <c r="B70" t="str">
        <f ca="1">IF(ISBLANK(Input!A70)," ",INDIRECT("Input!A"&amp;1+MATCH($H70,aux_sheet_RRS!$D$2:$D$202,0)))</f>
        <v xml:space="preserve"> </v>
      </c>
      <c r="C70" t="str">
        <f ca="1">IF(ISBLANK(Input!B70)," ",INDIRECT("Input!B"&amp;1+MATCH($H70,aux_sheet_RRS!$D$2:$D$202,0)))</f>
        <v xml:space="preserve"> </v>
      </c>
      <c r="D70" t="str">
        <f ca="1">IF(ISBLANK(Input!C70)," ",INDIRECT("Input!C"&amp;1+MATCH($H70,aux_sheet_RRS!$D$2:$D$202,0)))</f>
        <v xml:space="preserve"> </v>
      </c>
      <c r="E70" t="str">
        <f ca="1">IF(ISBLANK(Input!D70)," ",INDIRECT("Input!D"&amp;1+MATCH($H70,aux_sheet_RRS!$D$2:$D$202,0)))</f>
        <v xml:space="preserve"> </v>
      </c>
      <c r="F70" t="str">
        <f ca="1">IF(ISBLANK(Input!E70)," ",INDIRECT("Input!H"&amp;1+MATCH($H70,aux_sheet_RRS!$D$2:$D$202,0)))</f>
        <v xml:space="preserve"> </v>
      </c>
      <c r="G70">
        <f ca="1">IF(ISBLANK(Input!G70)," ",INDIRECT("Input!AP"&amp;1+MATCH($H70,aux_sheet_RRS!$D$2:$D$202,0)))</f>
        <v>0</v>
      </c>
      <c r="H70">
        <f>aux_sheet_RRS!E70</f>
        <v>1000</v>
      </c>
      <c r="J70" t="str">
        <f t="shared" si="4"/>
        <v xml:space="preserve"> </v>
      </c>
      <c r="K70">
        <v>69</v>
      </c>
      <c r="L70" t="str">
        <f t="shared" ca="1" si="5"/>
        <v xml:space="preserve"> </v>
      </c>
      <c r="M70" t="str">
        <f t="shared" ca="1" si="6"/>
        <v xml:space="preserve"> </v>
      </c>
      <c r="N70" s="3" t="str">
        <f t="shared" ca="1" si="7"/>
        <v xml:space="preserve"> </v>
      </c>
      <c r="O70" s="3" t="str">
        <f ca="1">IF(ISNUMBER($L70),INDIRECT("Input!A"&amp;1+MATCH($M70,aux_sheet_RRS!$D$2:$D$202,0))," ")</f>
        <v xml:space="preserve"> </v>
      </c>
      <c r="P70" s="3" t="str">
        <f ca="1">IF(ISNUMBER($L70),INDIRECT("Input!B"&amp;1+MATCH($M70,aux_sheet_RRS!$D$2:$D$202,0))," ")</f>
        <v xml:space="preserve"> </v>
      </c>
    </row>
    <row r="71" spans="1:16" x14ac:dyDescent="0.35">
      <c r="A71" t="str">
        <f>IF(ISBLANK(Input!A71)," ",ROUNDDOWN(aux_sheet_RRS!E71,0))</f>
        <v xml:space="preserve"> </v>
      </c>
      <c r="B71" t="str">
        <f ca="1">IF(ISBLANK(Input!A71)," ",INDIRECT("Input!A"&amp;1+MATCH($H71,aux_sheet_RRS!$D$2:$D$202,0)))</f>
        <v xml:space="preserve"> </v>
      </c>
      <c r="C71" t="str">
        <f ca="1">IF(ISBLANK(Input!B71)," ",INDIRECT("Input!B"&amp;1+MATCH($H71,aux_sheet_RRS!$D$2:$D$202,0)))</f>
        <v xml:space="preserve"> </v>
      </c>
      <c r="D71" t="str">
        <f ca="1">IF(ISBLANK(Input!C71)," ",INDIRECT("Input!C"&amp;1+MATCH($H71,aux_sheet_RRS!$D$2:$D$202,0)))</f>
        <v xml:space="preserve"> </v>
      </c>
      <c r="E71" t="str">
        <f ca="1">IF(ISBLANK(Input!D71)," ",INDIRECT("Input!D"&amp;1+MATCH($H71,aux_sheet_RRS!$D$2:$D$202,0)))</f>
        <v xml:space="preserve"> </v>
      </c>
      <c r="F71" t="str">
        <f ca="1">IF(ISBLANK(Input!E71)," ",INDIRECT("Input!H"&amp;1+MATCH($H71,aux_sheet_RRS!$D$2:$D$202,0)))</f>
        <v xml:space="preserve"> </v>
      </c>
      <c r="G71">
        <f ca="1">IF(ISBLANK(Input!G71)," ",INDIRECT("Input!AP"&amp;1+MATCH($H71,aux_sheet_RRS!$D$2:$D$202,0)))</f>
        <v>0</v>
      </c>
      <c r="H71">
        <f>aux_sheet_RRS!E71</f>
        <v>1000</v>
      </c>
      <c r="J71" t="str">
        <f t="shared" si="4"/>
        <v xml:space="preserve"> </v>
      </c>
      <c r="K71">
        <v>70</v>
      </c>
      <c r="L71" t="str">
        <f t="shared" ca="1" si="5"/>
        <v xml:space="preserve"> </v>
      </c>
      <c r="M71" t="str">
        <f t="shared" ca="1" si="6"/>
        <v xml:space="preserve"> </v>
      </c>
      <c r="N71" s="3" t="str">
        <f t="shared" ca="1" si="7"/>
        <v xml:space="preserve"> </v>
      </c>
      <c r="O71" s="3" t="str">
        <f ca="1">IF(ISNUMBER($L71),INDIRECT("Input!A"&amp;1+MATCH($M71,aux_sheet_RRS!$D$2:$D$202,0))," ")</f>
        <v xml:space="preserve"> </v>
      </c>
      <c r="P71" s="3" t="str">
        <f ca="1">IF(ISNUMBER($L71),INDIRECT("Input!B"&amp;1+MATCH($M71,aux_sheet_RRS!$D$2:$D$202,0))," ")</f>
        <v xml:space="preserve"> </v>
      </c>
    </row>
    <row r="72" spans="1:16" x14ac:dyDescent="0.35">
      <c r="A72" t="str">
        <f>IF(ISBLANK(Input!A72)," ",ROUNDDOWN(aux_sheet_RRS!E72,0))</f>
        <v xml:space="preserve"> </v>
      </c>
      <c r="B72" t="str">
        <f ca="1">IF(ISBLANK(Input!A72)," ",INDIRECT("Input!A"&amp;1+MATCH($H72,aux_sheet_RRS!$D$2:$D$202,0)))</f>
        <v xml:space="preserve"> </v>
      </c>
      <c r="C72" t="str">
        <f ca="1">IF(ISBLANK(Input!B72)," ",INDIRECT("Input!B"&amp;1+MATCH($H72,aux_sheet_RRS!$D$2:$D$202,0)))</f>
        <v xml:space="preserve"> </v>
      </c>
      <c r="D72" t="str">
        <f ca="1">IF(ISBLANK(Input!C72)," ",INDIRECT("Input!C"&amp;1+MATCH($H72,aux_sheet_RRS!$D$2:$D$202,0)))</f>
        <v xml:space="preserve"> </v>
      </c>
      <c r="E72" t="str">
        <f ca="1">IF(ISBLANK(Input!D72)," ",INDIRECT("Input!D"&amp;1+MATCH($H72,aux_sheet_RRS!$D$2:$D$202,0)))</f>
        <v xml:space="preserve"> </v>
      </c>
      <c r="F72" t="str">
        <f ca="1">IF(ISBLANK(Input!E72)," ",INDIRECT("Input!H"&amp;1+MATCH($H72,aux_sheet_RRS!$D$2:$D$202,0)))</f>
        <v xml:space="preserve"> </v>
      </c>
      <c r="G72">
        <f ca="1">IF(ISBLANK(Input!G72)," ",INDIRECT("Input!AP"&amp;1+MATCH($H72,aux_sheet_RRS!$D$2:$D$202,0)))</f>
        <v>0</v>
      </c>
      <c r="H72">
        <f>aux_sheet_RRS!E72</f>
        <v>1000</v>
      </c>
      <c r="J72" t="str">
        <f t="shared" si="4"/>
        <v xml:space="preserve"> </v>
      </c>
      <c r="K72">
        <v>71</v>
      </c>
      <c r="L72" t="str">
        <f t="shared" ca="1" si="5"/>
        <v xml:space="preserve"> </v>
      </c>
      <c r="M72" t="str">
        <f t="shared" ca="1" si="6"/>
        <v xml:space="preserve"> </v>
      </c>
      <c r="N72" s="3" t="str">
        <f t="shared" ca="1" si="7"/>
        <v xml:space="preserve"> </v>
      </c>
      <c r="O72" s="3" t="str">
        <f ca="1">IF(ISNUMBER($L72),INDIRECT("Input!A"&amp;1+MATCH($M72,aux_sheet_RRS!$D$2:$D$202,0))," ")</f>
        <v xml:space="preserve"> </v>
      </c>
      <c r="P72" s="3" t="str">
        <f ca="1">IF(ISNUMBER($L72),INDIRECT("Input!B"&amp;1+MATCH($M72,aux_sheet_RRS!$D$2:$D$202,0))," ")</f>
        <v xml:space="preserve"> </v>
      </c>
    </row>
    <row r="73" spans="1:16" x14ac:dyDescent="0.35">
      <c r="A73" t="str">
        <f>IF(ISBLANK(Input!A73)," ",ROUNDDOWN(aux_sheet_RRS!E73,0))</f>
        <v xml:space="preserve"> </v>
      </c>
      <c r="B73" t="str">
        <f ca="1">IF(ISBLANK(Input!A73)," ",INDIRECT("Input!A"&amp;1+MATCH($H73,aux_sheet_RRS!$D$2:$D$202,0)))</f>
        <v xml:space="preserve"> </v>
      </c>
      <c r="C73" t="str">
        <f ca="1">IF(ISBLANK(Input!B73)," ",INDIRECT("Input!B"&amp;1+MATCH($H73,aux_sheet_RRS!$D$2:$D$202,0)))</f>
        <v xml:space="preserve"> </v>
      </c>
      <c r="D73" t="str">
        <f ca="1">IF(ISBLANK(Input!C73)," ",INDIRECT("Input!C"&amp;1+MATCH($H73,aux_sheet_RRS!$D$2:$D$202,0)))</f>
        <v xml:space="preserve"> </v>
      </c>
      <c r="E73" t="str">
        <f ca="1">IF(ISBLANK(Input!D73)," ",INDIRECT("Input!D"&amp;1+MATCH($H73,aux_sheet_RRS!$D$2:$D$202,0)))</f>
        <v xml:space="preserve"> </v>
      </c>
      <c r="F73" t="str">
        <f ca="1">IF(ISBLANK(Input!E73)," ",INDIRECT("Input!H"&amp;1+MATCH($H73,aux_sheet_RRS!$D$2:$D$202,0)))</f>
        <v xml:space="preserve"> </v>
      </c>
      <c r="G73">
        <f ca="1">IF(ISBLANK(Input!G73)," ",INDIRECT("Input!AP"&amp;1+MATCH($H73,aux_sheet_RRS!$D$2:$D$202,0)))</f>
        <v>0</v>
      </c>
      <c r="H73">
        <f>aux_sheet_RRS!E73</f>
        <v>1000</v>
      </c>
      <c r="J73" t="str">
        <f t="shared" si="4"/>
        <v xml:space="preserve"> </v>
      </c>
      <c r="K73">
        <v>72</v>
      </c>
      <c r="L73" t="str">
        <f t="shared" ca="1" si="5"/>
        <v xml:space="preserve"> </v>
      </c>
      <c r="M73" t="str">
        <f t="shared" ca="1" si="6"/>
        <v xml:space="preserve"> </v>
      </c>
      <c r="N73" s="3" t="str">
        <f t="shared" ca="1" si="7"/>
        <v xml:space="preserve"> </v>
      </c>
      <c r="O73" s="3" t="str">
        <f ca="1">IF(ISNUMBER($L73),INDIRECT("Input!A"&amp;1+MATCH($M73,aux_sheet_RRS!$D$2:$D$202,0))," ")</f>
        <v xml:space="preserve"> </v>
      </c>
      <c r="P73" s="3" t="str">
        <f ca="1">IF(ISNUMBER($L73),INDIRECT("Input!B"&amp;1+MATCH($M73,aux_sheet_RRS!$D$2:$D$202,0))," ")</f>
        <v xml:space="preserve"> </v>
      </c>
    </row>
    <row r="74" spans="1:16" x14ac:dyDescent="0.35">
      <c r="A74" t="str">
        <f>IF(ISBLANK(Input!A74)," ",ROUNDDOWN(aux_sheet_RRS!E74,0))</f>
        <v xml:space="preserve"> </v>
      </c>
      <c r="B74" t="str">
        <f ca="1">IF(ISBLANK(Input!A74)," ",INDIRECT("Input!A"&amp;1+MATCH($H74,aux_sheet_RRS!$D$2:$D$202,0)))</f>
        <v xml:space="preserve"> </v>
      </c>
      <c r="C74" t="str">
        <f ca="1">IF(ISBLANK(Input!B74)," ",INDIRECT("Input!B"&amp;1+MATCH($H74,aux_sheet_RRS!$D$2:$D$202,0)))</f>
        <v xml:space="preserve"> </v>
      </c>
      <c r="D74" t="str">
        <f ca="1">IF(ISBLANK(Input!C74)," ",INDIRECT("Input!C"&amp;1+MATCH($H74,aux_sheet_RRS!$D$2:$D$202,0)))</f>
        <v xml:space="preserve"> </v>
      </c>
      <c r="E74" t="str">
        <f ca="1">IF(ISBLANK(Input!D74)," ",INDIRECT("Input!D"&amp;1+MATCH($H74,aux_sheet_RRS!$D$2:$D$202,0)))</f>
        <v xml:space="preserve"> </v>
      </c>
      <c r="F74" t="str">
        <f ca="1">IF(ISBLANK(Input!E74)," ",INDIRECT("Input!H"&amp;1+MATCH($H74,aux_sheet_RRS!$D$2:$D$202,0)))</f>
        <v xml:space="preserve"> </v>
      </c>
      <c r="G74">
        <f ca="1">IF(ISBLANK(Input!G74)," ",INDIRECT("Input!AP"&amp;1+MATCH($H74,aux_sheet_RRS!$D$2:$D$202,0)))</f>
        <v>0</v>
      </c>
      <c r="H74">
        <f>aux_sheet_RRS!E74</f>
        <v>1000</v>
      </c>
      <c r="J74" t="str">
        <f t="shared" si="4"/>
        <v xml:space="preserve"> </v>
      </c>
      <c r="K74">
        <v>73</v>
      </c>
      <c r="L74" t="str">
        <f t="shared" ca="1" si="5"/>
        <v xml:space="preserve"> </v>
      </c>
      <c r="M74" t="str">
        <f t="shared" ca="1" si="6"/>
        <v xml:space="preserve"> </v>
      </c>
      <c r="N74" s="3" t="str">
        <f t="shared" ca="1" si="7"/>
        <v xml:space="preserve"> </v>
      </c>
      <c r="O74" s="3" t="str">
        <f ca="1">IF(ISNUMBER($L74),INDIRECT("Input!A"&amp;1+MATCH($M74,aux_sheet_RRS!$D$2:$D$202,0))," ")</f>
        <v xml:space="preserve"> </v>
      </c>
      <c r="P74" s="3" t="str">
        <f ca="1">IF(ISNUMBER($L74),INDIRECT("Input!B"&amp;1+MATCH($M74,aux_sheet_RRS!$D$2:$D$202,0))," ")</f>
        <v xml:space="preserve"> </v>
      </c>
    </row>
    <row r="75" spans="1:16" x14ac:dyDescent="0.35">
      <c r="A75" t="str">
        <f>IF(ISBLANK(Input!A75)," ",ROUNDDOWN(aux_sheet_RRS!E75,0))</f>
        <v xml:space="preserve"> </v>
      </c>
      <c r="B75" t="str">
        <f ca="1">IF(ISBLANK(Input!A75)," ",INDIRECT("Input!A"&amp;1+MATCH($H75,aux_sheet_RRS!$D$2:$D$202,0)))</f>
        <v xml:space="preserve"> </v>
      </c>
      <c r="C75" t="str">
        <f ca="1">IF(ISBLANK(Input!B75)," ",INDIRECT("Input!B"&amp;1+MATCH($H75,aux_sheet_RRS!$D$2:$D$202,0)))</f>
        <v xml:space="preserve"> </v>
      </c>
      <c r="D75" t="str">
        <f ca="1">IF(ISBLANK(Input!C75)," ",INDIRECT("Input!C"&amp;1+MATCH($H75,aux_sheet_RRS!$D$2:$D$202,0)))</f>
        <v xml:space="preserve"> </v>
      </c>
      <c r="E75" t="str">
        <f ca="1">IF(ISBLANK(Input!D75)," ",INDIRECT("Input!D"&amp;1+MATCH($H75,aux_sheet_RRS!$D$2:$D$202,0)))</f>
        <v xml:space="preserve"> </v>
      </c>
      <c r="F75" t="str">
        <f ca="1">IF(ISBLANK(Input!E75)," ",INDIRECT("Input!H"&amp;1+MATCH($H75,aux_sheet_RRS!$D$2:$D$202,0)))</f>
        <v xml:space="preserve"> </v>
      </c>
      <c r="G75">
        <f ca="1">IF(ISBLANK(Input!G75)," ",INDIRECT("Input!AP"&amp;1+MATCH($H75,aux_sheet_RRS!$D$2:$D$202,0)))</f>
        <v>0</v>
      </c>
      <c r="H75">
        <f>aux_sheet_RRS!E75</f>
        <v>1000</v>
      </c>
      <c r="J75" t="str">
        <f t="shared" si="4"/>
        <v xml:space="preserve"> </v>
      </c>
      <c r="K75">
        <v>74</v>
      </c>
      <c r="L75" t="str">
        <f t="shared" ca="1" si="5"/>
        <v xml:space="preserve"> </v>
      </c>
      <c r="M75" t="str">
        <f t="shared" ca="1" si="6"/>
        <v xml:space="preserve"> </v>
      </c>
      <c r="N75" s="3" t="str">
        <f t="shared" ca="1" si="7"/>
        <v xml:space="preserve"> </v>
      </c>
      <c r="O75" s="3" t="str">
        <f ca="1">IF(ISNUMBER($L75),INDIRECT("Input!A"&amp;1+MATCH($M75,aux_sheet_RRS!$D$2:$D$202,0))," ")</f>
        <v xml:space="preserve"> </v>
      </c>
      <c r="P75" s="3" t="str">
        <f ca="1">IF(ISNUMBER($L75),INDIRECT("Input!B"&amp;1+MATCH($M75,aux_sheet_RRS!$D$2:$D$202,0))," ")</f>
        <v xml:space="preserve"> </v>
      </c>
    </row>
    <row r="76" spans="1:16" x14ac:dyDescent="0.35">
      <c r="A76" t="str">
        <f>IF(ISBLANK(Input!A76)," ",ROUNDDOWN(aux_sheet_RRS!E76,0))</f>
        <v xml:space="preserve"> </v>
      </c>
      <c r="B76" t="str">
        <f ca="1">IF(ISBLANK(Input!A76)," ",INDIRECT("Input!A"&amp;1+MATCH($H76,aux_sheet_RRS!$D$2:$D$202,0)))</f>
        <v xml:space="preserve"> </v>
      </c>
      <c r="C76" t="str">
        <f ca="1">IF(ISBLANK(Input!B76)," ",INDIRECT("Input!B"&amp;1+MATCH($H76,aux_sheet_RRS!$D$2:$D$202,0)))</f>
        <v xml:space="preserve"> </v>
      </c>
      <c r="D76" t="str">
        <f ca="1">IF(ISBLANK(Input!C76)," ",INDIRECT("Input!C"&amp;1+MATCH($H76,aux_sheet_RRS!$D$2:$D$202,0)))</f>
        <v xml:space="preserve"> </v>
      </c>
      <c r="E76" t="str">
        <f ca="1">IF(ISBLANK(Input!D76)," ",INDIRECT("Input!D"&amp;1+MATCH($H76,aux_sheet_RRS!$D$2:$D$202,0)))</f>
        <v xml:space="preserve"> </v>
      </c>
      <c r="F76" t="str">
        <f ca="1">IF(ISBLANK(Input!E76)," ",INDIRECT("Input!H"&amp;1+MATCH($H76,aux_sheet_RRS!$D$2:$D$202,0)))</f>
        <v xml:space="preserve"> </v>
      </c>
      <c r="G76">
        <f ca="1">IF(ISBLANK(Input!G76)," ",INDIRECT("Input!AP"&amp;1+MATCH($H76,aux_sheet_RRS!$D$2:$D$202,0)))</f>
        <v>0</v>
      </c>
      <c r="H76">
        <f>aux_sheet_RRS!E76</f>
        <v>1000</v>
      </c>
      <c r="J76" t="str">
        <f t="shared" si="4"/>
        <v xml:space="preserve"> </v>
      </c>
      <c r="K76">
        <v>75</v>
      </c>
      <c r="L76" t="str">
        <f t="shared" ca="1" si="5"/>
        <v xml:space="preserve"> </v>
      </c>
      <c r="M76" t="str">
        <f t="shared" ca="1" si="6"/>
        <v xml:space="preserve"> </v>
      </c>
      <c r="N76" s="3" t="str">
        <f t="shared" ca="1" si="7"/>
        <v xml:space="preserve"> </v>
      </c>
      <c r="O76" s="3" t="str">
        <f ca="1">IF(ISNUMBER($L76),INDIRECT("Input!A"&amp;1+MATCH($M76,aux_sheet_RRS!$D$2:$D$202,0))," ")</f>
        <v xml:space="preserve"> </v>
      </c>
      <c r="P76" s="3" t="str">
        <f ca="1">IF(ISNUMBER($L76),INDIRECT("Input!B"&amp;1+MATCH($M76,aux_sheet_RRS!$D$2:$D$202,0))," ")</f>
        <v xml:space="preserve"> </v>
      </c>
    </row>
    <row r="77" spans="1:16" x14ac:dyDescent="0.35">
      <c r="A77" t="str">
        <f>IF(ISBLANK(Input!A77)," ",ROUNDDOWN(aux_sheet_RRS!E77,0))</f>
        <v xml:space="preserve"> </v>
      </c>
      <c r="B77" t="str">
        <f ca="1">IF(ISBLANK(Input!A77)," ",INDIRECT("Input!A"&amp;1+MATCH($H77,aux_sheet_RRS!$D$2:$D$202,0)))</f>
        <v xml:space="preserve"> </v>
      </c>
      <c r="C77" t="str">
        <f ca="1">IF(ISBLANK(Input!B77)," ",INDIRECT("Input!B"&amp;1+MATCH($H77,aux_sheet_RRS!$D$2:$D$202,0)))</f>
        <v xml:space="preserve"> </v>
      </c>
      <c r="D77" t="str">
        <f ca="1">IF(ISBLANK(Input!C77)," ",INDIRECT("Input!C"&amp;1+MATCH($H77,aux_sheet_RRS!$D$2:$D$202,0)))</f>
        <v xml:space="preserve"> </v>
      </c>
      <c r="E77" t="str">
        <f ca="1">IF(ISBLANK(Input!D77)," ",INDIRECT("Input!D"&amp;1+MATCH($H77,aux_sheet_RRS!$D$2:$D$202,0)))</f>
        <v xml:space="preserve"> </v>
      </c>
      <c r="F77" t="str">
        <f ca="1">IF(ISBLANK(Input!E77)," ",INDIRECT("Input!H"&amp;1+MATCH($H77,aux_sheet_RRS!$D$2:$D$202,0)))</f>
        <v xml:space="preserve"> </v>
      </c>
      <c r="G77">
        <f ca="1">IF(ISBLANK(Input!G77)," ",INDIRECT("Input!AP"&amp;1+MATCH($H77,aux_sheet_RRS!$D$2:$D$202,0)))</f>
        <v>0</v>
      </c>
      <c r="H77">
        <f>aux_sheet_RRS!E77</f>
        <v>1000</v>
      </c>
      <c r="J77" t="str">
        <f t="shared" ref="J77:J140" si="8">IF(H77&gt;999," ",IF(G77="NP"," ",H77))</f>
        <v xml:space="preserve"> </v>
      </c>
      <c r="K77">
        <v>76</v>
      </c>
      <c r="L77" t="str">
        <f t="shared" ca="1" si="5"/>
        <v xml:space="preserve"> </v>
      </c>
      <c r="M77" t="str">
        <f t="shared" ca="1" si="6"/>
        <v xml:space="preserve"> </v>
      </c>
      <c r="N77" s="3" t="str">
        <f t="shared" ca="1" si="7"/>
        <v xml:space="preserve"> </v>
      </c>
      <c r="O77" s="3" t="str">
        <f ca="1">IF(ISNUMBER($L77),INDIRECT("Input!A"&amp;1+MATCH($M77,aux_sheet_RRS!$D$2:$D$202,0))," ")</f>
        <v xml:space="preserve"> </v>
      </c>
      <c r="P77" s="3" t="str">
        <f ca="1">IF(ISNUMBER($L77),INDIRECT("Input!B"&amp;1+MATCH($M77,aux_sheet_RRS!$D$2:$D$202,0))," ")</f>
        <v xml:space="preserve"> </v>
      </c>
    </row>
    <row r="78" spans="1:16" x14ac:dyDescent="0.35">
      <c r="A78" t="str">
        <f>IF(ISBLANK(Input!A78)," ",ROUNDDOWN(aux_sheet_RRS!E78,0))</f>
        <v xml:space="preserve"> </v>
      </c>
      <c r="B78" t="str">
        <f ca="1">IF(ISBLANK(Input!A78)," ",INDIRECT("Input!A"&amp;1+MATCH($H78,aux_sheet_RRS!$D$2:$D$202,0)))</f>
        <v xml:space="preserve"> </v>
      </c>
      <c r="C78" t="str">
        <f ca="1">IF(ISBLANK(Input!B78)," ",INDIRECT("Input!B"&amp;1+MATCH($H78,aux_sheet_RRS!$D$2:$D$202,0)))</f>
        <v xml:space="preserve"> </v>
      </c>
      <c r="D78" t="str">
        <f ca="1">IF(ISBLANK(Input!C78)," ",INDIRECT("Input!C"&amp;1+MATCH($H78,aux_sheet_RRS!$D$2:$D$202,0)))</f>
        <v xml:space="preserve"> </v>
      </c>
      <c r="E78" t="str">
        <f ca="1">IF(ISBLANK(Input!D78)," ",INDIRECT("Input!D"&amp;1+MATCH($H78,aux_sheet_RRS!$D$2:$D$202,0)))</f>
        <v xml:space="preserve"> </v>
      </c>
      <c r="F78" t="str">
        <f ca="1">IF(ISBLANK(Input!E78)," ",INDIRECT("Input!H"&amp;1+MATCH($H78,aux_sheet_RRS!$D$2:$D$202,0)))</f>
        <v xml:space="preserve"> </v>
      </c>
      <c r="G78">
        <f ca="1">IF(ISBLANK(Input!G78)," ",INDIRECT("Input!AP"&amp;1+MATCH($H78,aux_sheet_RRS!$D$2:$D$202,0)))</f>
        <v>0</v>
      </c>
      <c r="H78">
        <f>aux_sheet_RRS!E78</f>
        <v>1000</v>
      </c>
      <c r="J78" t="str">
        <f t="shared" si="8"/>
        <v xml:space="preserve"> </v>
      </c>
      <c r="K78">
        <v>77</v>
      </c>
      <c r="L78" t="str">
        <f t="shared" ca="1" si="5"/>
        <v xml:space="preserve"> </v>
      </c>
      <c r="M78" t="str">
        <f t="shared" ca="1" si="6"/>
        <v xml:space="preserve"> </v>
      </c>
      <c r="N78" s="3" t="str">
        <f t="shared" ca="1" si="7"/>
        <v xml:space="preserve"> </v>
      </c>
      <c r="O78" s="3" t="str">
        <f ca="1">IF(ISNUMBER($L78),INDIRECT("Input!A"&amp;1+MATCH($M78,aux_sheet_RRS!$D$2:$D$202,0))," ")</f>
        <v xml:space="preserve"> </v>
      </c>
      <c r="P78" s="3" t="str">
        <f ca="1">IF(ISNUMBER($L78),INDIRECT("Input!B"&amp;1+MATCH($M78,aux_sheet_RRS!$D$2:$D$202,0))," ")</f>
        <v xml:space="preserve"> </v>
      </c>
    </row>
    <row r="79" spans="1:16" x14ac:dyDescent="0.35">
      <c r="A79" t="str">
        <f>IF(ISBLANK(Input!A79)," ",ROUNDDOWN(aux_sheet_RRS!E79,0))</f>
        <v xml:space="preserve"> </v>
      </c>
      <c r="B79" t="str">
        <f ca="1">IF(ISBLANK(Input!A79)," ",INDIRECT("Input!A"&amp;1+MATCH($H79,aux_sheet_RRS!$D$2:$D$202,0)))</f>
        <v xml:space="preserve"> </v>
      </c>
      <c r="C79" t="str">
        <f ca="1">IF(ISBLANK(Input!B79)," ",INDIRECT("Input!B"&amp;1+MATCH($H79,aux_sheet_RRS!$D$2:$D$202,0)))</f>
        <v xml:space="preserve"> </v>
      </c>
      <c r="D79" t="str">
        <f ca="1">IF(ISBLANK(Input!C79)," ",INDIRECT("Input!C"&amp;1+MATCH($H79,aux_sheet_RRS!$D$2:$D$202,0)))</f>
        <v xml:space="preserve"> </v>
      </c>
      <c r="E79" t="str">
        <f ca="1">IF(ISBLANK(Input!D79)," ",INDIRECT("Input!D"&amp;1+MATCH($H79,aux_sheet_RRS!$D$2:$D$202,0)))</f>
        <v xml:space="preserve"> </v>
      </c>
      <c r="F79" t="str">
        <f ca="1">IF(ISBLANK(Input!E79)," ",INDIRECT("Input!H"&amp;1+MATCH($H79,aux_sheet_RRS!$D$2:$D$202,0)))</f>
        <v xml:space="preserve"> </v>
      </c>
      <c r="G79">
        <f ca="1">IF(ISBLANK(Input!G79)," ",INDIRECT("Input!AP"&amp;1+MATCH($H79,aux_sheet_RRS!$D$2:$D$202,0)))</f>
        <v>0</v>
      </c>
      <c r="H79">
        <f>aux_sheet_RRS!E79</f>
        <v>1000</v>
      </c>
      <c r="J79" t="str">
        <f t="shared" si="8"/>
        <v xml:space="preserve"> </v>
      </c>
      <c r="K79">
        <v>78</v>
      </c>
      <c r="L79" t="str">
        <f t="shared" ca="1" si="5"/>
        <v xml:space="preserve"> </v>
      </c>
      <c r="M79" t="str">
        <f t="shared" ca="1" si="6"/>
        <v xml:space="preserve"> </v>
      </c>
      <c r="N79" s="3" t="str">
        <f t="shared" ca="1" si="7"/>
        <v xml:space="preserve"> </v>
      </c>
      <c r="O79" s="3" t="str">
        <f ca="1">IF(ISNUMBER($L79),INDIRECT("Input!A"&amp;1+MATCH($M79,aux_sheet_RRS!$D$2:$D$202,0))," ")</f>
        <v xml:space="preserve"> </v>
      </c>
      <c r="P79" s="3" t="str">
        <f ca="1">IF(ISNUMBER($L79),INDIRECT("Input!B"&amp;1+MATCH($M79,aux_sheet_RRS!$D$2:$D$202,0))," ")</f>
        <v xml:space="preserve"> </v>
      </c>
    </row>
    <row r="80" spans="1:16" x14ac:dyDescent="0.35">
      <c r="A80" t="str">
        <f>IF(ISBLANK(Input!A80)," ",ROUNDDOWN(aux_sheet_RRS!E80,0))</f>
        <v xml:space="preserve"> </v>
      </c>
      <c r="B80" t="str">
        <f ca="1">IF(ISBLANK(Input!A80)," ",INDIRECT("Input!A"&amp;1+MATCH($H80,aux_sheet_RRS!$D$2:$D$202,0)))</f>
        <v xml:space="preserve"> </v>
      </c>
      <c r="C80" t="str">
        <f ca="1">IF(ISBLANK(Input!B80)," ",INDIRECT("Input!B"&amp;1+MATCH($H80,aux_sheet_RRS!$D$2:$D$202,0)))</f>
        <v xml:space="preserve"> </v>
      </c>
      <c r="D80" t="str">
        <f ca="1">IF(ISBLANK(Input!C80)," ",INDIRECT("Input!C"&amp;1+MATCH($H80,aux_sheet_RRS!$D$2:$D$202,0)))</f>
        <v xml:space="preserve"> </v>
      </c>
      <c r="E80" t="str">
        <f ca="1">IF(ISBLANK(Input!D80)," ",INDIRECT("Input!D"&amp;1+MATCH($H80,aux_sheet_RRS!$D$2:$D$202,0)))</f>
        <v xml:space="preserve"> </v>
      </c>
      <c r="F80" t="str">
        <f ca="1">IF(ISBLANK(Input!E80)," ",INDIRECT("Input!H"&amp;1+MATCH($H80,aux_sheet_RRS!$D$2:$D$202,0)))</f>
        <v xml:space="preserve"> </v>
      </c>
      <c r="G80">
        <f ca="1">IF(ISBLANK(Input!G80)," ",INDIRECT("Input!AP"&amp;1+MATCH($H80,aux_sheet_RRS!$D$2:$D$202,0)))</f>
        <v>0</v>
      </c>
      <c r="H80">
        <f>aux_sheet_RRS!E80</f>
        <v>1000</v>
      </c>
      <c r="J80" t="str">
        <f t="shared" si="8"/>
        <v xml:space="preserve"> </v>
      </c>
      <c r="K80">
        <v>79</v>
      </c>
      <c r="L80" t="str">
        <f t="shared" ca="1" si="5"/>
        <v xml:space="preserve"> </v>
      </c>
      <c r="M80" t="str">
        <f t="shared" ca="1" si="6"/>
        <v xml:space="preserve"> </v>
      </c>
      <c r="N80" s="3" t="str">
        <f t="shared" ca="1" si="7"/>
        <v xml:space="preserve"> </v>
      </c>
      <c r="O80" s="3" t="str">
        <f ca="1">IF(ISNUMBER($L80),INDIRECT("Input!A"&amp;1+MATCH($M80,aux_sheet_RRS!$D$2:$D$202,0))," ")</f>
        <v xml:space="preserve"> </v>
      </c>
      <c r="P80" s="3" t="str">
        <f ca="1">IF(ISNUMBER($L80),INDIRECT("Input!B"&amp;1+MATCH($M80,aux_sheet_RRS!$D$2:$D$202,0))," ")</f>
        <v xml:space="preserve"> </v>
      </c>
    </row>
    <row r="81" spans="1:16" x14ac:dyDescent="0.35">
      <c r="A81" t="str">
        <f>IF(ISBLANK(Input!A81)," ",ROUNDDOWN(aux_sheet_RRS!E81,0))</f>
        <v xml:space="preserve"> </v>
      </c>
      <c r="B81" t="str">
        <f ca="1">IF(ISBLANK(Input!A81)," ",INDIRECT("Input!A"&amp;1+MATCH($H81,aux_sheet_RRS!$D$2:$D$202,0)))</f>
        <v xml:space="preserve"> </v>
      </c>
      <c r="C81" t="str">
        <f ca="1">IF(ISBLANK(Input!B81)," ",INDIRECT("Input!B"&amp;1+MATCH($H81,aux_sheet_RRS!$D$2:$D$202,0)))</f>
        <v xml:space="preserve"> </v>
      </c>
      <c r="D81" t="str">
        <f ca="1">IF(ISBLANK(Input!C81)," ",INDIRECT("Input!C"&amp;1+MATCH($H81,aux_sheet_RRS!$D$2:$D$202,0)))</f>
        <v xml:space="preserve"> </v>
      </c>
      <c r="E81" t="str">
        <f ca="1">IF(ISBLANK(Input!D81)," ",INDIRECT("Input!D"&amp;1+MATCH($H81,aux_sheet_RRS!$D$2:$D$202,0)))</f>
        <v xml:space="preserve"> </v>
      </c>
      <c r="F81" t="str">
        <f ca="1">IF(ISBLANK(Input!E81)," ",INDIRECT("Input!H"&amp;1+MATCH($H81,aux_sheet_RRS!$D$2:$D$202,0)))</f>
        <v xml:space="preserve"> </v>
      </c>
      <c r="G81">
        <f ca="1">IF(ISBLANK(Input!G81)," ",INDIRECT("Input!AP"&amp;1+MATCH($H81,aux_sheet_RRS!$D$2:$D$202,0)))</f>
        <v>0</v>
      </c>
      <c r="H81">
        <f>aux_sheet_RRS!E81</f>
        <v>1000</v>
      </c>
      <c r="J81" t="str">
        <f t="shared" si="8"/>
        <v xml:space="preserve"> </v>
      </c>
      <c r="K81">
        <v>80</v>
      </c>
      <c r="L81" t="str">
        <f t="shared" ca="1" si="5"/>
        <v xml:space="preserve"> </v>
      </c>
      <c r="M81" t="str">
        <f t="shared" ca="1" si="6"/>
        <v xml:space="preserve"> </v>
      </c>
      <c r="N81" s="3" t="str">
        <f t="shared" ca="1" si="7"/>
        <v xml:space="preserve"> </v>
      </c>
      <c r="O81" s="3" t="str">
        <f ca="1">IF(ISNUMBER($L81),INDIRECT("Input!A"&amp;1+MATCH($M81,aux_sheet_RRS!$D$2:$D$202,0))," ")</f>
        <v xml:space="preserve"> </v>
      </c>
      <c r="P81" s="3" t="str">
        <f ca="1">IF(ISNUMBER($L81),INDIRECT("Input!B"&amp;1+MATCH($M81,aux_sheet_RRS!$D$2:$D$202,0))," ")</f>
        <v xml:space="preserve"> </v>
      </c>
    </row>
    <row r="82" spans="1:16" x14ac:dyDescent="0.35">
      <c r="A82" t="str">
        <f>IF(ISBLANK(Input!A82)," ",ROUNDDOWN(aux_sheet_RRS!E82,0))</f>
        <v xml:space="preserve"> </v>
      </c>
      <c r="B82" t="str">
        <f ca="1">IF(ISBLANK(Input!A82)," ",INDIRECT("Input!A"&amp;1+MATCH($H82,aux_sheet_RRS!$D$2:$D$202,0)))</f>
        <v xml:space="preserve"> </v>
      </c>
      <c r="C82" t="str">
        <f ca="1">IF(ISBLANK(Input!B82)," ",INDIRECT("Input!B"&amp;1+MATCH($H82,aux_sheet_RRS!$D$2:$D$202,0)))</f>
        <v xml:space="preserve"> </v>
      </c>
      <c r="D82" t="str">
        <f ca="1">IF(ISBLANK(Input!C82)," ",INDIRECT("Input!C"&amp;1+MATCH($H82,aux_sheet_RRS!$D$2:$D$202,0)))</f>
        <v xml:space="preserve"> </v>
      </c>
      <c r="E82" t="str">
        <f ca="1">IF(ISBLANK(Input!D82)," ",INDIRECT("Input!D"&amp;1+MATCH($H82,aux_sheet_RRS!$D$2:$D$202,0)))</f>
        <v xml:space="preserve"> </v>
      </c>
      <c r="F82" t="str">
        <f ca="1">IF(ISBLANK(Input!E82)," ",INDIRECT("Input!H"&amp;1+MATCH($H82,aux_sheet_RRS!$D$2:$D$202,0)))</f>
        <v xml:space="preserve"> </v>
      </c>
      <c r="G82">
        <f ca="1">IF(ISBLANK(Input!G82)," ",INDIRECT("Input!AP"&amp;1+MATCH($H82,aux_sheet_RRS!$D$2:$D$202,0)))</f>
        <v>0</v>
      </c>
      <c r="H82">
        <f>aux_sheet_RRS!E82</f>
        <v>1000</v>
      </c>
      <c r="J82" t="str">
        <f t="shared" si="8"/>
        <v xml:space="preserve"> </v>
      </c>
      <c r="K82">
        <v>81</v>
      </c>
      <c r="L82" t="str">
        <f t="shared" ca="1" si="5"/>
        <v xml:space="preserve"> </v>
      </c>
      <c r="M82" t="str">
        <f t="shared" ca="1" si="6"/>
        <v xml:space="preserve"> </v>
      </c>
      <c r="N82" s="3" t="str">
        <f t="shared" ca="1" si="7"/>
        <v xml:space="preserve"> </v>
      </c>
      <c r="O82" s="3" t="str">
        <f ca="1">IF(ISNUMBER($L82),INDIRECT("Input!A"&amp;1+MATCH($M82,aux_sheet_RRS!$D$2:$D$202,0))," ")</f>
        <v xml:space="preserve"> </v>
      </c>
      <c r="P82" s="3" t="str">
        <f ca="1">IF(ISNUMBER($L82),INDIRECT("Input!B"&amp;1+MATCH($M82,aux_sheet_RRS!$D$2:$D$202,0))," ")</f>
        <v xml:space="preserve"> </v>
      </c>
    </row>
    <row r="83" spans="1:16" x14ac:dyDescent="0.35">
      <c r="A83" t="str">
        <f>IF(ISBLANK(Input!A83)," ",ROUNDDOWN(aux_sheet_RRS!E83,0))</f>
        <v xml:space="preserve"> </v>
      </c>
      <c r="B83" t="str">
        <f ca="1">IF(ISBLANK(Input!A83)," ",INDIRECT("Input!A"&amp;1+MATCH($H83,aux_sheet_RRS!$D$2:$D$202,0)))</f>
        <v xml:space="preserve"> </v>
      </c>
      <c r="C83" t="str">
        <f ca="1">IF(ISBLANK(Input!B83)," ",INDIRECT("Input!B"&amp;1+MATCH($H83,aux_sheet_RRS!$D$2:$D$202,0)))</f>
        <v xml:space="preserve"> </v>
      </c>
      <c r="D83" t="str">
        <f ca="1">IF(ISBLANK(Input!C83)," ",INDIRECT("Input!C"&amp;1+MATCH($H83,aux_sheet_RRS!$D$2:$D$202,0)))</f>
        <v xml:space="preserve"> </v>
      </c>
      <c r="E83" t="str">
        <f ca="1">IF(ISBLANK(Input!D83)," ",INDIRECT("Input!D"&amp;1+MATCH($H83,aux_sheet_RRS!$D$2:$D$202,0)))</f>
        <v xml:space="preserve"> </v>
      </c>
      <c r="F83" t="str">
        <f ca="1">IF(ISBLANK(Input!E83)," ",INDIRECT("Input!H"&amp;1+MATCH($H83,aux_sheet_RRS!$D$2:$D$202,0)))</f>
        <v xml:space="preserve"> </v>
      </c>
      <c r="G83">
        <f ca="1">IF(ISBLANK(Input!G83)," ",INDIRECT("Input!AP"&amp;1+MATCH($H83,aux_sheet_RRS!$D$2:$D$202,0)))</f>
        <v>0</v>
      </c>
      <c r="H83">
        <f>aux_sheet_RRS!E83</f>
        <v>1000</v>
      </c>
      <c r="J83" t="str">
        <f t="shared" si="8"/>
        <v xml:space="preserve"> </v>
      </c>
      <c r="K83">
        <v>82</v>
      </c>
      <c r="L83" t="str">
        <f t="shared" ca="1" si="5"/>
        <v xml:space="preserve"> </v>
      </c>
      <c r="M83" t="str">
        <f t="shared" ca="1" si="6"/>
        <v xml:space="preserve"> </v>
      </c>
      <c r="N83" s="3" t="str">
        <f t="shared" ca="1" si="7"/>
        <v xml:space="preserve"> </v>
      </c>
      <c r="O83" s="3" t="str">
        <f ca="1">IF(ISNUMBER($L83),INDIRECT("Input!A"&amp;1+MATCH($M83,aux_sheet_RRS!$D$2:$D$202,0))," ")</f>
        <v xml:space="preserve"> </v>
      </c>
      <c r="P83" s="3" t="str">
        <f ca="1">IF(ISNUMBER($L83),INDIRECT("Input!B"&amp;1+MATCH($M83,aux_sheet_RRS!$D$2:$D$202,0))," ")</f>
        <v xml:space="preserve"> </v>
      </c>
    </row>
    <row r="84" spans="1:16" x14ac:dyDescent="0.35">
      <c r="A84" t="str">
        <f>IF(ISBLANK(Input!A84)," ",ROUNDDOWN(aux_sheet_RRS!E84,0))</f>
        <v xml:space="preserve"> </v>
      </c>
      <c r="B84" t="str">
        <f ca="1">IF(ISBLANK(Input!A84)," ",INDIRECT("Input!A"&amp;1+MATCH($H84,aux_sheet_RRS!$D$2:$D$202,0)))</f>
        <v xml:space="preserve"> </v>
      </c>
      <c r="C84" t="str">
        <f ca="1">IF(ISBLANK(Input!B84)," ",INDIRECT("Input!B"&amp;1+MATCH($H84,aux_sheet_RRS!$D$2:$D$202,0)))</f>
        <v xml:space="preserve"> </v>
      </c>
      <c r="D84" t="str">
        <f ca="1">IF(ISBLANK(Input!C84)," ",INDIRECT("Input!C"&amp;1+MATCH($H84,aux_sheet_RRS!$D$2:$D$202,0)))</f>
        <v xml:space="preserve"> </v>
      </c>
      <c r="E84" t="str">
        <f ca="1">IF(ISBLANK(Input!D84)," ",INDIRECT("Input!D"&amp;1+MATCH($H84,aux_sheet_RRS!$D$2:$D$202,0)))</f>
        <v xml:space="preserve"> </v>
      </c>
      <c r="F84" t="str">
        <f ca="1">IF(ISBLANK(Input!E84)," ",INDIRECT("Input!H"&amp;1+MATCH($H84,aux_sheet_RRS!$D$2:$D$202,0)))</f>
        <v xml:space="preserve"> </v>
      </c>
      <c r="G84">
        <f ca="1">IF(ISBLANK(Input!G84)," ",INDIRECT("Input!AP"&amp;1+MATCH($H84,aux_sheet_RRS!$D$2:$D$202,0)))</f>
        <v>0</v>
      </c>
      <c r="H84">
        <f>aux_sheet_RRS!E84</f>
        <v>1000</v>
      </c>
      <c r="J84" t="str">
        <f t="shared" si="8"/>
        <v xml:space="preserve"> </v>
      </c>
      <c r="K84">
        <v>83</v>
      </c>
      <c r="L84" t="str">
        <f t="shared" ca="1" si="5"/>
        <v xml:space="preserve"> </v>
      </c>
      <c r="M84" t="str">
        <f t="shared" ca="1" si="6"/>
        <v xml:space="preserve"> </v>
      </c>
      <c r="N84" s="3" t="str">
        <f t="shared" ca="1" si="7"/>
        <v xml:space="preserve"> </v>
      </c>
      <c r="O84" s="3" t="str">
        <f ca="1">IF(ISNUMBER($L84),INDIRECT("Input!A"&amp;1+MATCH($M84,aux_sheet_RRS!$D$2:$D$202,0))," ")</f>
        <v xml:space="preserve"> </v>
      </c>
      <c r="P84" s="3" t="str">
        <f ca="1">IF(ISNUMBER($L84),INDIRECT("Input!B"&amp;1+MATCH($M84,aux_sheet_RRS!$D$2:$D$202,0))," ")</f>
        <v xml:space="preserve"> </v>
      </c>
    </row>
    <row r="85" spans="1:16" x14ac:dyDescent="0.35">
      <c r="A85" t="str">
        <f>IF(ISBLANK(Input!A85)," ",ROUNDDOWN(aux_sheet_RRS!E85,0))</f>
        <v xml:space="preserve"> </v>
      </c>
      <c r="B85" t="str">
        <f ca="1">IF(ISBLANK(Input!A85)," ",INDIRECT("Input!A"&amp;1+MATCH($H85,aux_sheet_RRS!$D$2:$D$202,0)))</f>
        <v xml:space="preserve"> </v>
      </c>
      <c r="C85" t="str">
        <f ca="1">IF(ISBLANK(Input!B85)," ",INDIRECT("Input!B"&amp;1+MATCH($H85,aux_sheet_RRS!$D$2:$D$202,0)))</f>
        <v xml:space="preserve"> </v>
      </c>
      <c r="D85" t="str">
        <f ca="1">IF(ISBLANK(Input!C85)," ",INDIRECT("Input!C"&amp;1+MATCH($H85,aux_sheet_RRS!$D$2:$D$202,0)))</f>
        <v xml:space="preserve"> </v>
      </c>
      <c r="E85" t="str">
        <f ca="1">IF(ISBLANK(Input!D85)," ",INDIRECT("Input!D"&amp;1+MATCH($H85,aux_sheet_RRS!$D$2:$D$202,0)))</f>
        <v xml:space="preserve"> </v>
      </c>
      <c r="F85" t="str">
        <f ca="1">IF(ISBLANK(Input!E85)," ",INDIRECT("Input!H"&amp;1+MATCH($H85,aux_sheet_RRS!$D$2:$D$202,0)))</f>
        <v xml:space="preserve"> </v>
      </c>
      <c r="G85">
        <f ca="1">IF(ISBLANK(Input!G85)," ",INDIRECT("Input!AP"&amp;1+MATCH($H85,aux_sheet_RRS!$D$2:$D$202,0)))</f>
        <v>0</v>
      </c>
      <c r="H85">
        <f>aux_sheet_RRS!E85</f>
        <v>1000</v>
      </c>
      <c r="J85" t="str">
        <f t="shared" si="8"/>
        <v xml:space="preserve"> </v>
      </c>
      <c r="K85">
        <v>84</v>
      </c>
      <c r="L85" t="str">
        <f t="shared" ca="1" si="5"/>
        <v xml:space="preserve"> </v>
      </c>
      <c r="M85" t="str">
        <f t="shared" ca="1" si="6"/>
        <v xml:space="preserve"> </v>
      </c>
      <c r="N85" s="3" t="str">
        <f t="shared" ca="1" si="7"/>
        <v xml:space="preserve"> </v>
      </c>
      <c r="O85" s="3" t="str">
        <f ca="1">IF(ISNUMBER($L85),INDIRECT("Input!A"&amp;1+MATCH($M85,aux_sheet_RRS!$D$2:$D$202,0))," ")</f>
        <v xml:space="preserve"> </v>
      </c>
      <c r="P85" s="3" t="str">
        <f ca="1">IF(ISNUMBER($L85),INDIRECT("Input!B"&amp;1+MATCH($M85,aux_sheet_RRS!$D$2:$D$202,0))," ")</f>
        <v xml:space="preserve"> </v>
      </c>
    </row>
    <row r="86" spans="1:16" x14ac:dyDescent="0.35">
      <c r="A86" t="str">
        <f>IF(ISBLANK(Input!A86)," ",ROUNDDOWN(aux_sheet_RRS!E86,0))</f>
        <v xml:space="preserve"> </v>
      </c>
      <c r="B86" t="str">
        <f ca="1">IF(ISBLANK(Input!A86)," ",INDIRECT("Input!A"&amp;1+MATCH($H86,aux_sheet_RRS!$D$2:$D$202,0)))</f>
        <v xml:space="preserve"> </v>
      </c>
      <c r="C86" t="str">
        <f ca="1">IF(ISBLANK(Input!B86)," ",INDIRECT("Input!B"&amp;1+MATCH($H86,aux_sheet_RRS!$D$2:$D$202,0)))</f>
        <v xml:space="preserve"> </v>
      </c>
      <c r="D86" t="str">
        <f ca="1">IF(ISBLANK(Input!C86)," ",INDIRECT("Input!C"&amp;1+MATCH($H86,aux_sheet_RRS!$D$2:$D$202,0)))</f>
        <v xml:space="preserve"> </v>
      </c>
      <c r="E86" t="str">
        <f ca="1">IF(ISBLANK(Input!D86)," ",INDIRECT("Input!D"&amp;1+MATCH($H86,aux_sheet_RRS!$D$2:$D$202,0)))</f>
        <v xml:space="preserve"> </v>
      </c>
      <c r="F86" t="str">
        <f ca="1">IF(ISBLANK(Input!E86)," ",INDIRECT("Input!H"&amp;1+MATCH($H86,aux_sheet_RRS!$D$2:$D$202,0)))</f>
        <v xml:space="preserve"> </v>
      </c>
      <c r="G86">
        <f ca="1">IF(ISBLANK(Input!G86)," ",INDIRECT("Input!AP"&amp;1+MATCH($H86,aux_sheet_RRS!$D$2:$D$202,0)))</f>
        <v>0</v>
      </c>
      <c r="H86">
        <f>aux_sheet_RRS!E86</f>
        <v>1000</v>
      </c>
      <c r="J86" t="str">
        <f t="shared" si="8"/>
        <v xml:space="preserve"> </v>
      </c>
      <c r="K86">
        <v>85</v>
      </c>
      <c r="L86" t="str">
        <f t="shared" ca="1" si="5"/>
        <v xml:space="preserve"> </v>
      </c>
      <c r="M86" t="str">
        <f t="shared" ca="1" si="6"/>
        <v xml:space="preserve"> </v>
      </c>
      <c r="N86" s="3" t="str">
        <f t="shared" ca="1" si="7"/>
        <v xml:space="preserve"> </v>
      </c>
      <c r="O86" s="3" t="str">
        <f ca="1">IF(ISNUMBER($L86),INDIRECT("Input!A"&amp;1+MATCH($M86,aux_sheet_RRS!$D$2:$D$202,0))," ")</f>
        <v xml:space="preserve"> </v>
      </c>
      <c r="P86" s="3" t="str">
        <f ca="1">IF(ISNUMBER($L86),INDIRECT("Input!B"&amp;1+MATCH($M86,aux_sheet_RRS!$D$2:$D$202,0))," ")</f>
        <v xml:space="preserve"> </v>
      </c>
    </row>
    <row r="87" spans="1:16" x14ac:dyDescent="0.35">
      <c r="A87" t="str">
        <f>IF(ISBLANK(Input!A87)," ",ROUNDDOWN(aux_sheet_RRS!E87,0))</f>
        <v xml:space="preserve"> </v>
      </c>
      <c r="B87" t="str">
        <f ca="1">IF(ISBLANK(Input!A87)," ",INDIRECT("Input!A"&amp;1+MATCH($H87,aux_sheet_RRS!$D$2:$D$202,0)))</f>
        <v xml:space="preserve"> </v>
      </c>
      <c r="C87" t="str">
        <f ca="1">IF(ISBLANK(Input!B87)," ",INDIRECT("Input!B"&amp;1+MATCH($H87,aux_sheet_RRS!$D$2:$D$202,0)))</f>
        <v xml:space="preserve"> </v>
      </c>
      <c r="D87" t="str">
        <f ca="1">IF(ISBLANK(Input!C87)," ",INDIRECT("Input!C"&amp;1+MATCH($H87,aux_sheet_RRS!$D$2:$D$202,0)))</f>
        <v xml:space="preserve"> </v>
      </c>
      <c r="E87" t="str">
        <f ca="1">IF(ISBLANK(Input!D87)," ",INDIRECT("Input!D"&amp;1+MATCH($H87,aux_sheet_RRS!$D$2:$D$202,0)))</f>
        <v xml:space="preserve"> </v>
      </c>
      <c r="F87" t="str">
        <f ca="1">IF(ISBLANK(Input!E87)," ",INDIRECT("Input!H"&amp;1+MATCH($H87,aux_sheet_RRS!$D$2:$D$202,0)))</f>
        <v xml:space="preserve"> </v>
      </c>
      <c r="G87">
        <f ca="1">IF(ISBLANK(Input!G87)," ",INDIRECT("Input!AP"&amp;1+MATCH($H87,aux_sheet_RRS!$D$2:$D$202,0)))</f>
        <v>0</v>
      </c>
      <c r="H87">
        <f>aux_sheet_RRS!E87</f>
        <v>1000</v>
      </c>
      <c r="J87" t="str">
        <f t="shared" si="8"/>
        <v xml:space="preserve"> </v>
      </c>
      <c r="K87">
        <v>86</v>
      </c>
      <c r="L87" t="str">
        <f t="shared" ca="1" si="5"/>
        <v xml:space="preserve"> </v>
      </c>
      <c r="M87" t="str">
        <f t="shared" ca="1" si="6"/>
        <v xml:space="preserve"> </v>
      </c>
      <c r="N87" s="3" t="str">
        <f t="shared" ca="1" si="7"/>
        <v xml:space="preserve"> </v>
      </c>
      <c r="O87" s="3" t="str">
        <f ca="1">IF(ISNUMBER($L87),INDIRECT("Input!A"&amp;1+MATCH($M87,aux_sheet_RRS!$D$2:$D$202,0))," ")</f>
        <v xml:space="preserve"> </v>
      </c>
      <c r="P87" s="3" t="str">
        <f ca="1">IF(ISNUMBER($L87),INDIRECT("Input!B"&amp;1+MATCH($M87,aux_sheet_RRS!$D$2:$D$202,0))," ")</f>
        <v xml:space="preserve"> </v>
      </c>
    </row>
    <row r="88" spans="1:16" x14ac:dyDescent="0.35">
      <c r="A88" t="str">
        <f>IF(ISBLANK(Input!A88)," ",ROUNDDOWN(aux_sheet_RRS!E88,0))</f>
        <v xml:space="preserve"> </v>
      </c>
      <c r="B88" t="str">
        <f ca="1">IF(ISBLANK(Input!A88)," ",INDIRECT("Input!A"&amp;1+MATCH($H88,aux_sheet_RRS!$D$2:$D$202,0)))</f>
        <v xml:space="preserve"> </v>
      </c>
      <c r="C88" t="str">
        <f ca="1">IF(ISBLANK(Input!B88)," ",INDIRECT("Input!B"&amp;1+MATCH($H88,aux_sheet_RRS!$D$2:$D$202,0)))</f>
        <v xml:space="preserve"> </v>
      </c>
      <c r="D88" t="str">
        <f ca="1">IF(ISBLANK(Input!C88)," ",INDIRECT("Input!C"&amp;1+MATCH($H88,aux_sheet_RRS!$D$2:$D$202,0)))</f>
        <v xml:space="preserve"> </v>
      </c>
      <c r="E88" t="str">
        <f ca="1">IF(ISBLANK(Input!D88)," ",INDIRECT("Input!D"&amp;1+MATCH($H88,aux_sheet_RRS!$D$2:$D$202,0)))</f>
        <v xml:space="preserve"> </v>
      </c>
      <c r="F88" t="str">
        <f ca="1">IF(ISBLANK(Input!E88)," ",INDIRECT("Input!H"&amp;1+MATCH($H88,aux_sheet_RRS!$D$2:$D$202,0)))</f>
        <v xml:space="preserve"> </v>
      </c>
      <c r="G88">
        <f ca="1">IF(ISBLANK(Input!G88)," ",INDIRECT("Input!AP"&amp;1+MATCH($H88,aux_sheet_RRS!$D$2:$D$202,0)))</f>
        <v>0</v>
      </c>
      <c r="H88">
        <f>aux_sheet_RRS!E88</f>
        <v>1000</v>
      </c>
      <c r="J88" t="str">
        <f t="shared" si="8"/>
        <v xml:space="preserve"> </v>
      </c>
      <c r="K88">
        <v>87</v>
      </c>
      <c r="L88" t="str">
        <f t="shared" ca="1" si="5"/>
        <v xml:space="preserve"> </v>
      </c>
      <c r="M88" t="str">
        <f t="shared" ca="1" si="6"/>
        <v xml:space="preserve"> </v>
      </c>
      <c r="N88" s="3" t="str">
        <f t="shared" ca="1" si="7"/>
        <v xml:space="preserve"> </v>
      </c>
      <c r="O88" s="3" t="str">
        <f ca="1">IF(ISNUMBER($L88),INDIRECT("Input!A"&amp;1+MATCH($M88,aux_sheet_RRS!$D$2:$D$202,0))," ")</f>
        <v xml:space="preserve"> </v>
      </c>
      <c r="P88" s="3" t="str">
        <f ca="1">IF(ISNUMBER($L88),INDIRECT("Input!B"&amp;1+MATCH($M88,aux_sheet_RRS!$D$2:$D$202,0))," ")</f>
        <v xml:space="preserve"> </v>
      </c>
    </row>
    <row r="89" spans="1:16" x14ac:dyDescent="0.35">
      <c r="A89" t="str">
        <f>IF(ISBLANK(Input!A89)," ",ROUNDDOWN(aux_sheet_RRS!E89,0))</f>
        <v xml:space="preserve"> </v>
      </c>
      <c r="B89" t="str">
        <f ca="1">IF(ISBLANK(Input!A89)," ",INDIRECT("Input!A"&amp;1+MATCH($H89,aux_sheet_RRS!$D$2:$D$202,0)))</f>
        <v xml:space="preserve"> </v>
      </c>
      <c r="C89" t="str">
        <f ca="1">IF(ISBLANK(Input!B89)," ",INDIRECT("Input!B"&amp;1+MATCH($H89,aux_sheet_RRS!$D$2:$D$202,0)))</f>
        <v xml:space="preserve"> </v>
      </c>
      <c r="D89" t="str">
        <f ca="1">IF(ISBLANK(Input!C89)," ",INDIRECT("Input!C"&amp;1+MATCH($H89,aux_sheet_RRS!$D$2:$D$202,0)))</f>
        <v xml:space="preserve"> </v>
      </c>
      <c r="E89" t="str">
        <f ca="1">IF(ISBLANK(Input!D89)," ",INDIRECT("Input!D"&amp;1+MATCH($H89,aux_sheet_RRS!$D$2:$D$202,0)))</f>
        <v xml:space="preserve"> </v>
      </c>
      <c r="F89" t="str">
        <f ca="1">IF(ISBLANK(Input!E89)," ",INDIRECT("Input!H"&amp;1+MATCH($H89,aux_sheet_RRS!$D$2:$D$202,0)))</f>
        <v xml:space="preserve"> </v>
      </c>
      <c r="G89">
        <f ca="1">IF(ISBLANK(Input!G89)," ",INDIRECT("Input!AP"&amp;1+MATCH($H89,aux_sheet_RRS!$D$2:$D$202,0)))</f>
        <v>0</v>
      </c>
      <c r="H89">
        <f>aux_sheet_RRS!E89</f>
        <v>1000</v>
      </c>
      <c r="J89" t="str">
        <f t="shared" si="8"/>
        <v xml:space="preserve"> </v>
      </c>
      <c r="K89">
        <v>88</v>
      </c>
      <c r="L89" t="str">
        <f t="shared" ca="1" si="5"/>
        <v xml:space="preserve"> </v>
      </c>
      <c r="M89" t="str">
        <f t="shared" ca="1" si="6"/>
        <v xml:space="preserve"> </v>
      </c>
      <c r="N89" s="3" t="str">
        <f t="shared" ca="1" si="7"/>
        <v xml:space="preserve"> </v>
      </c>
      <c r="O89" s="3" t="str">
        <f ca="1">IF(ISNUMBER($L89),INDIRECT("Input!A"&amp;1+MATCH($M89,aux_sheet_RRS!$D$2:$D$202,0))," ")</f>
        <v xml:space="preserve"> </v>
      </c>
      <c r="P89" s="3" t="str">
        <f ca="1">IF(ISNUMBER($L89),INDIRECT("Input!B"&amp;1+MATCH($M89,aux_sheet_RRS!$D$2:$D$202,0))," ")</f>
        <v xml:space="preserve"> </v>
      </c>
    </row>
    <row r="90" spans="1:16" x14ac:dyDescent="0.35">
      <c r="A90" t="str">
        <f>IF(ISBLANK(Input!A90)," ",ROUNDDOWN(aux_sheet_RRS!E90,0))</f>
        <v xml:space="preserve"> </v>
      </c>
      <c r="B90" t="str">
        <f ca="1">IF(ISBLANK(Input!A90)," ",INDIRECT("Input!A"&amp;1+MATCH($H90,aux_sheet_RRS!$D$2:$D$202,0)))</f>
        <v xml:space="preserve"> </v>
      </c>
      <c r="C90" t="str">
        <f ca="1">IF(ISBLANK(Input!B90)," ",INDIRECT("Input!B"&amp;1+MATCH($H90,aux_sheet_RRS!$D$2:$D$202,0)))</f>
        <v xml:space="preserve"> </v>
      </c>
      <c r="D90" t="str">
        <f ca="1">IF(ISBLANK(Input!C90)," ",INDIRECT("Input!C"&amp;1+MATCH($H90,aux_sheet_RRS!$D$2:$D$202,0)))</f>
        <v xml:space="preserve"> </v>
      </c>
      <c r="E90" t="str">
        <f ca="1">IF(ISBLANK(Input!D90)," ",INDIRECT("Input!D"&amp;1+MATCH($H90,aux_sheet_RRS!$D$2:$D$202,0)))</f>
        <v xml:space="preserve"> </v>
      </c>
      <c r="F90" t="str">
        <f ca="1">IF(ISBLANK(Input!E90)," ",INDIRECT("Input!H"&amp;1+MATCH($H90,aux_sheet_RRS!$D$2:$D$202,0)))</f>
        <v xml:space="preserve"> </v>
      </c>
      <c r="G90">
        <f ca="1">IF(ISBLANK(Input!G90)," ",INDIRECT("Input!AP"&amp;1+MATCH($H90,aux_sheet_RRS!$D$2:$D$202,0)))</f>
        <v>0</v>
      </c>
      <c r="H90">
        <f>aux_sheet_RRS!E90</f>
        <v>1000</v>
      </c>
      <c r="J90" t="str">
        <f t="shared" si="8"/>
        <v xml:space="preserve"> </v>
      </c>
      <c r="K90">
        <v>89</v>
      </c>
      <c r="L90" t="str">
        <f t="shared" ca="1" si="5"/>
        <v xml:space="preserve"> </v>
      </c>
      <c r="M90" t="str">
        <f t="shared" ca="1" si="6"/>
        <v xml:space="preserve"> </v>
      </c>
      <c r="N90" s="3" t="str">
        <f t="shared" ca="1" si="7"/>
        <v xml:space="preserve"> </v>
      </c>
      <c r="O90" s="3" t="str">
        <f ca="1">IF(ISNUMBER($L90),INDIRECT("Input!A"&amp;1+MATCH($M90,aux_sheet_RRS!$D$2:$D$202,0))," ")</f>
        <v xml:space="preserve"> </v>
      </c>
      <c r="P90" s="3" t="str">
        <f ca="1">IF(ISNUMBER($L90),INDIRECT("Input!B"&amp;1+MATCH($M90,aux_sheet_RRS!$D$2:$D$202,0))," ")</f>
        <v xml:space="preserve"> </v>
      </c>
    </row>
    <row r="91" spans="1:16" x14ac:dyDescent="0.35">
      <c r="A91" t="str">
        <f>IF(ISBLANK(Input!A91)," ",ROUNDDOWN(aux_sheet_RRS!E91,0))</f>
        <v xml:space="preserve"> </v>
      </c>
      <c r="B91" t="str">
        <f ca="1">IF(ISBLANK(Input!A91)," ",INDIRECT("Input!A"&amp;1+MATCH($H91,aux_sheet_RRS!$D$2:$D$202,0)))</f>
        <v xml:space="preserve"> </v>
      </c>
      <c r="C91" t="str">
        <f ca="1">IF(ISBLANK(Input!B91)," ",INDIRECT("Input!B"&amp;1+MATCH($H91,aux_sheet_RRS!$D$2:$D$202,0)))</f>
        <v xml:space="preserve"> </v>
      </c>
      <c r="D91" t="str">
        <f ca="1">IF(ISBLANK(Input!C91)," ",INDIRECT("Input!C"&amp;1+MATCH($H91,aux_sheet_RRS!$D$2:$D$202,0)))</f>
        <v xml:space="preserve"> </v>
      </c>
      <c r="E91" t="str">
        <f ca="1">IF(ISBLANK(Input!D91)," ",INDIRECT("Input!D"&amp;1+MATCH($H91,aux_sheet_RRS!$D$2:$D$202,0)))</f>
        <v xml:space="preserve"> </v>
      </c>
      <c r="F91" t="str">
        <f ca="1">IF(ISBLANK(Input!E91)," ",INDIRECT("Input!H"&amp;1+MATCH($H91,aux_sheet_RRS!$D$2:$D$202,0)))</f>
        <v xml:space="preserve"> </v>
      </c>
      <c r="G91">
        <f ca="1">IF(ISBLANK(Input!G91)," ",INDIRECT("Input!AP"&amp;1+MATCH($H91,aux_sheet_RRS!$D$2:$D$202,0)))</f>
        <v>0</v>
      </c>
      <c r="H91">
        <f>aux_sheet_RRS!E91</f>
        <v>1000</v>
      </c>
      <c r="J91" t="str">
        <f t="shared" si="8"/>
        <v xml:space="preserve"> </v>
      </c>
      <c r="K91">
        <v>90</v>
      </c>
      <c r="L91" t="str">
        <f t="shared" ca="1" si="5"/>
        <v xml:space="preserve"> </v>
      </c>
      <c r="M91" t="str">
        <f t="shared" ca="1" si="6"/>
        <v xml:space="preserve"> </v>
      </c>
      <c r="N91" s="3" t="str">
        <f t="shared" ca="1" si="7"/>
        <v xml:space="preserve"> </v>
      </c>
      <c r="O91" s="3" t="str">
        <f ca="1">IF(ISNUMBER($L91),INDIRECT("Input!A"&amp;1+MATCH($M91,aux_sheet_RRS!$D$2:$D$202,0))," ")</f>
        <v xml:space="preserve"> </v>
      </c>
      <c r="P91" s="3" t="str">
        <f ca="1">IF(ISNUMBER($L91),INDIRECT("Input!B"&amp;1+MATCH($M91,aux_sheet_RRS!$D$2:$D$202,0))," ")</f>
        <v xml:space="preserve"> </v>
      </c>
    </row>
    <row r="92" spans="1:16" x14ac:dyDescent="0.35">
      <c r="A92" t="str">
        <f>IF(ISBLANK(Input!A92)," ",ROUNDDOWN(aux_sheet_RRS!E92,0))</f>
        <v xml:space="preserve"> </v>
      </c>
      <c r="B92" t="str">
        <f ca="1">IF(ISBLANK(Input!A92)," ",INDIRECT("Input!A"&amp;1+MATCH($H92,aux_sheet_RRS!$D$2:$D$202,0)))</f>
        <v xml:space="preserve"> </v>
      </c>
      <c r="C92" t="str">
        <f ca="1">IF(ISBLANK(Input!B92)," ",INDIRECT("Input!B"&amp;1+MATCH($H92,aux_sheet_RRS!$D$2:$D$202,0)))</f>
        <v xml:space="preserve"> </v>
      </c>
      <c r="D92" t="str">
        <f ca="1">IF(ISBLANK(Input!C92)," ",INDIRECT("Input!C"&amp;1+MATCH($H92,aux_sheet_RRS!$D$2:$D$202,0)))</f>
        <v xml:space="preserve"> </v>
      </c>
      <c r="E92" t="str">
        <f ca="1">IF(ISBLANK(Input!D92)," ",INDIRECT("Input!D"&amp;1+MATCH($H92,aux_sheet_RRS!$D$2:$D$202,0)))</f>
        <v xml:space="preserve"> </v>
      </c>
      <c r="F92" t="str">
        <f ca="1">IF(ISBLANK(Input!E92)," ",INDIRECT("Input!H"&amp;1+MATCH($H92,aux_sheet_RRS!$D$2:$D$202,0)))</f>
        <v xml:space="preserve"> </v>
      </c>
      <c r="G92">
        <f ca="1">IF(ISBLANK(Input!G92)," ",INDIRECT("Input!AP"&amp;1+MATCH($H92,aux_sheet_RRS!$D$2:$D$202,0)))</f>
        <v>0</v>
      </c>
      <c r="H92">
        <f>aux_sheet_RRS!E92</f>
        <v>1000</v>
      </c>
      <c r="J92" t="str">
        <f t="shared" si="8"/>
        <v xml:space="preserve"> </v>
      </c>
      <c r="K92">
        <v>91</v>
      </c>
      <c r="L92" t="str">
        <f t="shared" ca="1" si="5"/>
        <v xml:space="preserve"> </v>
      </c>
      <c r="M92" t="str">
        <f t="shared" ca="1" si="6"/>
        <v xml:space="preserve"> </v>
      </c>
      <c r="N92" s="3" t="str">
        <f t="shared" ca="1" si="7"/>
        <v xml:space="preserve"> </v>
      </c>
      <c r="O92" s="3" t="str">
        <f ca="1">IF(ISNUMBER($L92),INDIRECT("Input!A"&amp;1+MATCH($M92,aux_sheet_RRS!$D$2:$D$202,0))," ")</f>
        <v xml:space="preserve"> </v>
      </c>
      <c r="P92" s="3" t="str">
        <f ca="1">IF(ISNUMBER($L92),INDIRECT("Input!B"&amp;1+MATCH($M92,aux_sheet_RRS!$D$2:$D$202,0))," ")</f>
        <v xml:space="preserve"> </v>
      </c>
    </row>
    <row r="93" spans="1:16" x14ac:dyDescent="0.35">
      <c r="A93" t="str">
        <f>IF(ISBLANK(Input!A93)," ",ROUNDDOWN(aux_sheet_RRS!E93,0))</f>
        <v xml:space="preserve"> </v>
      </c>
      <c r="B93" t="str">
        <f ca="1">IF(ISBLANK(Input!A93)," ",INDIRECT("Input!A"&amp;1+MATCH($H93,aux_sheet_RRS!$D$2:$D$202,0)))</f>
        <v xml:space="preserve"> </v>
      </c>
      <c r="C93" t="str">
        <f ca="1">IF(ISBLANK(Input!B93)," ",INDIRECT("Input!B"&amp;1+MATCH($H93,aux_sheet_RRS!$D$2:$D$202,0)))</f>
        <v xml:space="preserve"> </v>
      </c>
      <c r="D93" t="str">
        <f ca="1">IF(ISBLANK(Input!C93)," ",INDIRECT("Input!C"&amp;1+MATCH($H93,aux_sheet_RRS!$D$2:$D$202,0)))</f>
        <v xml:space="preserve"> </v>
      </c>
      <c r="E93" t="str">
        <f ca="1">IF(ISBLANK(Input!D93)," ",INDIRECT("Input!D"&amp;1+MATCH($H93,aux_sheet_RRS!$D$2:$D$202,0)))</f>
        <v xml:space="preserve"> </v>
      </c>
      <c r="F93" t="str">
        <f ca="1">IF(ISBLANK(Input!E93)," ",INDIRECT("Input!H"&amp;1+MATCH($H93,aux_sheet_RRS!$D$2:$D$202,0)))</f>
        <v xml:space="preserve"> </v>
      </c>
      <c r="G93">
        <f ca="1">IF(ISBLANK(Input!G93)," ",INDIRECT("Input!AP"&amp;1+MATCH($H93,aux_sheet_RRS!$D$2:$D$202,0)))</f>
        <v>0</v>
      </c>
      <c r="H93">
        <f>aux_sheet_RRS!E93</f>
        <v>1000</v>
      </c>
      <c r="J93" t="str">
        <f t="shared" si="8"/>
        <v xml:space="preserve"> </v>
      </c>
      <c r="K93">
        <v>92</v>
      </c>
      <c r="L93" t="str">
        <f t="shared" ca="1" si="5"/>
        <v xml:space="preserve"> </v>
      </c>
      <c r="M93" t="str">
        <f t="shared" ca="1" si="6"/>
        <v xml:space="preserve"> </v>
      </c>
      <c r="N93" s="3" t="str">
        <f t="shared" ca="1" si="7"/>
        <v xml:space="preserve"> </v>
      </c>
      <c r="O93" s="3" t="str">
        <f ca="1">IF(ISNUMBER($L93),INDIRECT("Input!A"&amp;1+MATCH($M93,aux_sheet_RRS!$D$2:$D$202,0))," ")</f>
        <v xml:space="preserve"> </v>
      </c>
      <c r="P93" s="3" t="str">
        <f ca="1">IF(ISNUMBER($L93),INDIRECT("Input!B"&amp;1+MATCH($M93,aux_sheet_RRS!$D$2:$D$202,0))," ")</f>
        <v xml:space="preserve"> </v>
      </c>
    </row>
    <row r="94" spans="1:16" x14ac:dyDescent="0.35">
      <c r="A94" t="str">
        <f>IF(ISBLANK(Input!A94)," ",ROUNDDOWN(aux_sheet_RRS!E94,0))</f>
        <v xml:space="preserve"> </v>
      </c>
      <c r="B94" t="str">
        <f ca="1">IF(ISBLANK(Input!A94)," ",INDIRECT("Input!A"&amp;1+MATCH($H94,aux_sheet_RRS!$D$2:$D$202,0)))</f>
        <v xml:space="preserve"> </v>
      </c>
      <c r="C94" t="str">
        <f ca="1">IF(ISBLANK(Input!B94)," ",INDIRECT("Input!B"&amp;1+MATCH($H94,aux_sheet_RRS!$D$2:$D$202,0)))</f>
        <v xml:space="preserve"> </v>
      </c>
      <c r="D94" t="str">
        <f ca="1">IF(ISBLANK(Input!C94)," ",INDIRECT("Input!C"&amp;1+MATCH($H94,aux_sheet_RRS!$D$2:$D$202,0)))</f>
        <v xml:space="preserve"> </v>
      </c>
      <c r="E94" t="str">
        <f ca="1">IF(ISBLANK(Input!D94)," ",INDIRECT("Input!D"&amp;1+MATCH($H94,aux_sheet_RRS!$D$2:$D$202,0)))</f>
        <v xml:space="preserve"> </v>
      </c>
      <c r="F94" t="str">
        <f ca="1">IF(ISBLANK(Input!E94)," ",INDIRECT("Input!H"&amp;1+MATCH($H94,aux_sheet_RRS!$D$2:$D$202,0)))</f>
        <v xml:space="preserve"> </v>
      </c>
      <c r="G94">
        <f ca="1">IF(ISBLANK(Input!G94)," ",INDIRECT("Input!AP"&amp;1+MATCH($H94,aux_sheet_RRS!$D$2:$D$202,0)))</f>
        <v>0</v>
      </c>
      <c r="H94">
        <f>aux_sheet_RRS!E94</f>
        <v>1000</v>
      </c>
      <c r="J94" t="str">
        <f t="shared" si="8"/>
        <v xml:space="preserve"> </v>
      </c>
      <c r="K94">
        <v>93</v>
      </c>
      <c r="L94" t="str">
        <f t="shared" ca="1" si="5"/>
        <v xml:space="preserve"> </v>
      </c>
      <c r="M94" t="str">
        <f t="shared" ca="1" si="6"/>
        <v xml:space="preserve"> </v>
      </c>
      <c r="N94" s="3" t="str">
        <f t="shared" ca="1" si="7"/>
        <v xml:space="preserve"> </v>
      </c>
      <c r="O94" s="3" t="str">
        <f ca="1">IF(ISNUMBER($L94),INDIRECT("Input!A"&amp;1+MATCH($M94,aux_sheet_RRS!$D$2:$D$202,0))," ")</f>
        <v xml:space="preserve"> </v>
      </c>
      <c r="P94" s="3" t="str">
        <f ca="1">IF(ISNUMBER($L94),INDIRECT("Input!B"&amp;1+MATCH($M94,aux_sheet_RRS!$D$2:$D$202,0))," ")</f>
        <v xml:space="preserve"> </v>
      </c>
    </row>
    <row r="95" spans="1:16" x14ac:dyDescent="0.35">
      <c r="A95" t="str">
        <f>IF(ISBLANK(Input!A95)," ",ROUNDDOWN(aux_sheet_RRS!E95,0))</f>
        <v xml:space="preserve"> </v>
      </c>
      <c r="B95" t="str">
        <f ca="1">IF(ISBLANK(Input!A95)," ",INDIRECT("Input!A"&amp;1+MATCH($H95,aux_sheet_RRS!$D$2:$D$202,0)))</f>
        <v xml:space="preserve"> </v>
      </c>
      <c r="C95" t="str">
        <f ca="1">IF(ISBLANK(Input!B95)," ",INDIRECT("Input!B"&amp;1+MATCH($H95,aux_sheet_RRS!$D$2:$D$202,0)))</f>
        <v xml:space="preserve"> </v>
      </c>
      <c r="D95" t="str">
        <f ca="1">IF(ISBLANK(Input!C95)," ",INDIRECT("Input!C"&amp;1+MATCH($H95,aux_sheet_RRS!$D$2:$D$202,0)))</f>
        <v xml:space="preserve"> </v>
      </c>
      <c r="E95" t="str">
        <f ca="1">IF(ISBLANK(Input!D95)," ",INDIRECT("Input!D"&amp;1+MATCH($H95,aux_sheet_RRS!$D$2:$D$202,0)))</f>
        <v xml:space="preserve"> </v>
      </c>
      <c r="F95" t="str">
        <f ca="1">IF(ISBLANK(Input!E95)," ",INDIRECT("Input!H"&amp;1+MATCH($H95,aux_sheet_RRS!$D$2:$D$202,0)))</f>
        <v xml:space="preserve"> </v>
      </c>
      <c r="G95">
        <f ca="1">IF(ISBLANK(Input!G95)," ",INDIRECT("Input!AP"&amp;1+MATCH($H95,aux_sheet_RRS!$D$2:$D$202,0)))</f>
        <v>0</v>
      </c>
      <c r="H95">
        <f>aux_sheet_RRS!E95</f>
        <v>1000</v>
      </c>
      <c r="J95" t="str">
        <f t="shared" si="8"/>
        <v xml:space="preserve"> </v>
      </c>
      <c r="K95">
        <v>94</v>
      </c>
      <c r="L95" t="str">
        <f t="shared" ca="1" si="5"/>
        <v xml:space="preserve"> </v>
      </c>
      <c r="M95" t="str">
        <f t="shared" ca="1" si="6"/>
        <v xml:space="preserve"> </v>
      </c>
      <c r="N95" s="3" t="str">
        <f t="shared" ca="1" si="7"/>
        <v xml:space="preserve"> </v>
      </c>
      <c r="O95" s="3" t="str">
        <f ca="1">IF(ISNUMBER($L95),INDIRECT("Input!A"&amp;1+MATCH($M95,aux_sheet_RRS!$D$2:$D$202,0))," ")</f>
        <v xml:space="preserve"> </v>
      </c>
      <c r="P95" s="3" t="str">
        <f ca="1">IF(ISNUMBER($L95),INDIRECT("Input!B"&amp;1+MATCH($M95,aux_sheet_RRS!$D$2:$D$202,0))," ")</f>
        <v xml:space="preserve"> </v>
      </c>
    </row>
    <row r="96" spans="1:16" x14ac:dyDescent="0.35">
      <c r="A96" t="str">
        <f>IF(ISBLANK(Input!A96)," ",ROUNDDOWN(aux_sheet_RRS!E96,0))</f>
        <v xml:space="preserve"> </v>
      </c>
      <c r="B96" t="str">
        <f ca="1">IF(ISBLANK(Input!A96)," ",INDIRECT("Input!A"&amp;1+MATCH($H96,aux_sheet_RRS!$D$2:$D$202,0)))</f>
        <v xml:space="preserve"> </v>
      </c>
      <c r="C96" t="str">
        <f ca="1">IF(ISBLANK(Input!B96)," ",INDIRECT("Input!B"&amp;1+MATCH($H96,aux_sheet_RRS!$D$2:$D$202,0)))</f>
        <v xml:space="preserve"> </v>
      </c>
      <c r="D96" t="str">
        <f ca="1">IF(ISBLANK(Input!C96)," ",INDIRECT("Input!C"&amp;1+MATCH($H96,aux_sheet_RRS!$D$2:$D$202,0)))</f>
        <v xml:space="preserve"> </v>
      </c>
      <c r="E96" t="str">
        <f ca="1">IF(ISBLANK(Input!D96)," ",INDIRECT("Input!D"&amp;1+MATCH($H96,aux_sheet_RRS!$D$2:$D$202,0)))</f>
        <v xml:space="preserve"> </v>
      </c>
      <c r="F96" t="str">
        <f ca="1">IF(ISBLANK(Input!E96)," ",INDIRECT("Input!H"&amp;1+MATCH($H96,aux_sheet_RRS!$D$2:$D$202,0)))</f>
        <v xml:space="preserve"> </v>
      </c>
      <c r="G96">
        <f ca="1">IF(ISBLANK(Input!G96)," ",INDIRECT("Input!AP"&amp;1+MATCH($H96,aux_sheet_RRS!$D$2:$D$202,0)))</f>
        <v>0</v>
      </c>
      <c r="H96">
        <f>aux_sheet_RRS!E96</f>
        <v>1000</v>
      </c>
      <c r="J96" t="str">
        <f t="shared" si="8"/>
        <v xml:space="preserve"> </v>
      </c>
      <c r="K96">
        <v>95</v>
      </c>
      <c r="L96" t="str">
        <f t="shared" ca="1" si="5"/>
        <v xml:space="preserve"> </v>
      </c>
      <c r="M96" t="str">
        <f t="shared" ca="1" si="6"/>
        <v xml:space="preserve"> </v>
      </c>
      <c r="N96" s="3" t="str">
        <f t="shared" ca="1" si="7"/>
        <v xml:space="preserve"> </v>
      </c>
      <c r="O96" s="3" t="str">
        <f ca="1">IF(ISNUMBER($L96),INDIRECT("Input!A"&amp;1+MATCH($M96,aux_sheet_RRS!$D$2:$D$202,0))," ")</f>
        <v xml:space="preserve"> </v>
      </c>
      <c r="P96" s="3" t="str">
        <f ca="1">IF(ISNUMBER($L96),INDIRECT("Input!B"&amp;1+MATCH($M96,aux_sheet_RRS!$D$2:$D$202,0))," ")</f>
        <v xml:space="preserve"> </v>
      </c>
    </row>
    <row r="97" spans="1:16" x14ac:dyDescent="0.35">
      <c r="A97" t="str">
        <f>IF(ISBLANK(Input!A97)," ",ROUNDDOWN(aux_sheet_RRS!E97,0))</f>
        <v xml:space="preserve"> </v>
      </c>
      <c r="B97" t="str">
        <f ca="1">IF(ISBLANK(Input!A97)," ",INDIRECT("Input!A"&amp;1+MATCH($H97,aux_sheet_RRS!$D$2:$D$202,0)))</f>
        <v xml:space="preserve"> </v>
      </c>
      <c r="C97" t="str">
        <f ca="1">IF(ISBLANK(Input!B97)," ",INDIRECT("Input!B"&amp;1+MATCH($H97,aux_sheet_RRS!$D$2:$D$202,0)))</f>
        <v xml:space="preserve"> </v>
      </c>
      <c r="D97" t="str">
        <f ca="1">IF(ISBLANK(Input!C97)," ",INDIRECT("Input!C"&amp;1+MATCH($H97,aux_sheet_RRS!$D$2:$D$202,0)))</f>
        <v xml:space="preserve"> </v>
      </c>
      <c r="E97" t="str">
        <f ca="1">IF(ISBLANK(Input!D97)," ",INDIRECT("Input!D"&amp;1+MATCH($H97,aux_sheet_RRS!$D$2:$D$202,0)))</f>
        <v xml:space="preserve"> </v>
      </c>
      <c r="F97" t="str">
        <f ca="1">IF(ISBLANK(Input!E97)," ",INDIRECT("Input!H"&amp;1+MATCH($H97,aux_sheet_RRS!$D$2:$D$202,0)))</f>
        <v xml:space="preserve"> </v>
      </c>
      <c r="G97">
        <f ca="1">IF(ISBLANK(Input!G97)," ",INDIRECT("Input!AP"&amp;1+MATCH($H97,aux_sheet_RRS!$D$2:$D$202,0)))</f>
        <v>0</v>
      </c>
      <c r="H97">
        <f>aux_sheet_RRS!E97</f>
        <v>1000</v>
      </c>
      <c r="J97" t="str">
        <f t="shared" si="8"/>
        <v xml:space="preserve"> </v>
      </c>
      <c r="K97">
        <v>96</v>
      </c>
      <c r="L97" t="str">
        <f t="shared" ca="1" si="5"/>
        <v xml:space="preserve"> </v>
      </c>
      <c r="M97" t="str">
        <f t="shared" ca="1" si="6"/>
        <v xml:space="preserve"> </v>
      </c>
      <c r="N97" s="3" t="str">
        <f t="shared" ca="1" si="7"/>
        <v xml:space="preserve"> </v>
      </c>
      <c r="O97" s="3" t="str">
        <f ca="1">IF(ISNUMBER($L97),INDIRECT("Input!A"&amp;1+MATCH($M97,aux_sheet_RRS!$D$2:$D$202,0))," ")</f>
        <v xml:space="preserve"> </v>
      </c>
      <c r="P97" s="3" t="str">
        <f ca="1">IF(ISNUMBER($L97),INDIRECT("Input!B"&amp;1+MATCH($M97,aux_sheet_RRS!$D$2:$D$202,0))," ")</f>
        <v xml:space="preserve"> </v>
      </c>
    </row>
    <row r="98" spans="1:16" x14ac:dyDescent="0.35">
      <c r="A98" t="str">
        <f>IF(ISBLANK(Input!A98)," ",ROUNDDOWN(aux_sheet_RRS!E98,0))</f>
        <v xml:space="preserve"> </v>
      </c>
      <c r="B98" t="str">
        <f ca="1">IF(ISBLANK(Input!A98)," ",INDIRECT("Input!A"&amp;1+MATCH($H98,aux_sheet_RRS!$D$2:$D$202,0)))</f>
        <v xml:space="preserve"> </v>
      </c>
      <c r="C98" t="str">
        <f ca="1">IF(ISBLANK(Input!B98)," ",INDIRECT("Input!B"&amp;1+MATCH($H98,aux_sheet_RRS!$D$2:$D$202,0)))</f>
        <v xml:space="preserve"> </v>
      </c>
      <c r="D98" t="str">
        <f ca="1">IF(ISBLANK(Input!C98)," ",INDIRECT("Input!C"&amp;1+MATCH($H98,aux_sheet_RRS!$D$2:$D$202,0)))</f>
        <v xml:space="preserve"> </v>
      </c>
      <c r="E98" t="str">
        <f ca="1">IF(ISBLANK(Input!D98)," ",INDIRECT("Input!D"&amp;1+MATCH($H98,aux_sheet_RRS!$D$2:$D$202,0)))</f>
        <v xml:space="preserve"> </v>
      </c>
      <c r="F98" t="str">
        <f ca="1">IF(ISBLANK(Input!E98)," ",INDIRECT("Input!H"&amp;1+MATCH($H98,aux_sheet_RRS!$D$2:$D$202,0)))</f>
        <v xml:space="preserve"> </v>
      </c>
      <c r="G98">
        <f ca="1">IF(ISBLANK(Input!G98)," ",INDIRECT("Input!AP"&amp;1+MATCH($H98,aux_sheet_RRS!$D$2:$D$202,0)))</f>
        <v>0</v>
      </c>
      <c r="H98">
        <f>aux_sheet_RRS!E98</f>
        <v>1000</v>
      </c>
      <c r="J98" t="str">
        <f t="shared" si="8"/>
        <v xml:space="preserve"> </v>
      </c>
      <c r="K98">
        <v>97</v>
      </c>
      <c r="L98" t="str">
        <f t="shared" ca="1" si="5"/>
        <v xml:space="preserve"> </v>
      </c>
      <c r="M98" t="str">
        <f t="shared" ca="1" si="6"/>
        <v xml:space="preserve"> </v>
      </c>
      <c r="N98" s="3" t="str">
        <f t="shared" ca="1" si="7"/>
        <v xml:space="preserve"> </v>
      </c>
      <c r="O98" s="3" t="str">
        <f ca="1">IF(ISNUMBER($L98),INDIRECT("Input!A"&amp;1+MATCH($M98,aux_sheet_RRS!$D$2:$D$202,0))," ")</f>
        <v xml:space="preserve"> </v>
      </c>
      <c r="P98" s="3" t="str">
        <f ca="1">IF(ISNUMBER($L98),INDIRECT("Input!B"&amp;1+MATCH($M98,aux_sheet_RRS!$D$2:$D$202,0))," ")</f>
        <v xml:space="preserve"> </v>
      </c>
    </row>
    <row r="99" spans="1:16" x14ac:dyDescent="0.35">
      <c r="A99" t="str">
        <f>IF(ISBLANK(Input!A99)," ",ROUNDDOWN(aux_sheet_RRS!E99,0))</f>
        <v xml:space="preserve"> </v>
      </c>
      <c r="B99" t="str">
        <f ca="1">IF(ISBLANK(Input!A99)," ",INDIRECT("Input!A"&amp;1+MATCH($H99,aux_sheet_RRS!$D$2:$D$202,0)))</f>
        <v xml:space="preserve"> </v>
      </c>
      <c r="C99" t="str">
        <f ca="1">IF(ISBLANK(Input!B99)," ",INDIRECT("Input!B"&amp;1+MATCH($H99,aux_sheet_RRS!$D$2:$D$202,0)))</f>
        <v xml:space="preserve"> </v>
      </c>
      <c r="D99" t="str">
        <f ca="1">IF(ISBLANK(Input!C99)," ",INDIRECT("Input!C"&amp;1+MATCH($H99,aux_sheet_RRS!$D$2:$D$202,0)))</f>
        <v xml:space="preserve"> </v>
      </c>
      <c r="E99" t="str">
        <f ca="1">IF(ISBLANK(Input!D99)," ",INDIRECT("Input!D"&amp;1+MATCH($H99,aux_sheet_RRS!$D$2:$D$202,0)))</f>
        <v xml:space="preserve"> </v>
      </c>
      <c r="F99" t="str">
        <f ca="1">IF(ISBLANK(Input!E99)," ",INDIRECT("Input!H"&amp;1+MATCH($H99,aux_sheet_RRS!$D$2:$D$202,0)))</f>
        <v xml:space="preserve"> </v>
      </c>
      <c r="G99">
        <f ca="1">IF(ISBLANK(Input!G99)," ",INDIRECT("Input!AP"&amp;1+MATCH($H99,aux_sheet_RRS!$D$2:$D$202,0)))</f>
        <v>0</v>
      </c>
      <c r="H99">
        <f>aux_sheet_RRS!E99</f>
        <v>1000</v>
      </c>
      <c r="J99" t="str">
        <f t="shared" si="8"/>
        <v xml:space="preserve"> </v>
      </c>
      <c r="K99">
        <v>98</v>
      </c>
      <c r="L99" t="str">
        <f t="shared" ca="1" si="5"/>
        <v xml:space="preserve"> </v>
      </c>
      <c r="M99" t="str">
        <f t="shared" ca="1" si="6"/>
        <v xml:space="preserve"> </v>
      </c>
      <c r="N99" s="3" t="str">
        <f t="shared" ca="1" si="7"/>
        <v xml:space="preserve"> </v>
      </c>
      <c r="O99" s="3" t="str">
        <f ca="1">IF(ISNUMBER($L99),INDIRECT("Input!A"&amp;1+MATCH($M99,aux_sheet_RRS!$D$2:$D$202,0))," ")</f>
        <v xml:space="preserve"> </v>
      </c>
      <c r="P99" s="3" t="str">
        <f ca="1">IF(ISNUMBER($L99),INDIRECT("Input!B"&amp;1+MATCH($M99,aux_sheet_RRS!$D$2:$D$202,0))," ")</f>
        <v xml:space="preserve"> </v>
      </c>
    </row>
    <row r="100" spans="1:16" x14ac:dyDescent="0.35">
      <c r="A100" t="str">
        <f>IF(ISBLANK(Input!A100)," ",ROUNDDOWN(aux_sheet_RRS!E100,0))</f>
        <v xml:space="preserve"> </v>
      </c>
      <c r="B100" t="str">
        <f ca="1">IF(ISBLANK(Input!A100)," ",INDIRECT("Input!A"&amp;1+MATCH($H100,aux_sheet_RRS!$D$2:$D$202,0)))</f>
        <v xml:space="preserve"> </v>
      </c>
      <c r="C100" t="str">
        <f ca="1">IF(ISBLANK(Input!B100)," ",INDIRECT("Input!B"&amp;1+MATCH($H100,aux_sheet_RRS!$D$2:$D$202,0)))</f>
        <v xml:space="preserve"> </v>
      </c>
      <c r="D100" t="str">
        <f ca="1">IF(ISBLANK(Input!C100)," ",INDIRECT("Input!C"&amp;1+MATCH($H100,aux_sheet_RRS!$D$2:$D$202,0)))</f>
        <v xml:space="preserve"> </v>
      </c>
      <c r="E100" t="str">
        <f ca="1">IF(ISBLANK(Input!D100)," ",INDIRECT("Input!D"&amp;1+MATCH($H100,aux_sheet_RRS!$D$2:$D$202,0)))</f>
        <v xml:space="preserve"> </v>
      </c>
      <c r="F100" t="str">
        <f ca="1">IF(ISBLANK(Input!E100)," ",INDIRECT("Input!H"&amp;1+MATCH($H100,aux_sheet_RRS!$D$2:$D$202,0)))</f>
        <v xml:space="preserve"> </v>
      </c>
      <c r="G100">
        <f ca="1">IF(ISBLANK(Input!G100)," ",INDIRECT("Input!AP"&amp;1+MATCH($H100,aux_sheet_RRS!$D$2:$D$202,0)))</f>
        <v>0</v>
      </c>
      <c r="H100">
        <f>aux_sheet_RRS!E100</f>
        <v>1000</v>
      </c>
      <c r="J100" t="str">
        <f t="shared" si="8"/>
        <v xml:space="preserve"> </v>
      </c>
      <c r="K100">
        <v>99</v>
      </c>
      <c r="L100" t="str">
        <f t="shared" ca="1" si="5"/>
        <v xml:space="preserve"> </v>
      </c>
      <c r="M100" t="str">
        <f t="shared" ca="1" si="6"/>
        <v xml:space="preserve"> </v>
      </c>
      <c r="N100" s="3" t="str">
        <f t="shared" ca="1" si="7"/>
        <v xml:space="preserve"> </v>
      </c>
      <c r="O100" s="3" t="str">
        <f ca="1">IF(ISNUMBER($L100),INDIRECT("Input!A"&amp;1+MATCH($M100,aux_sheet_RRS!$D$2:$D$202,0))," ")</f>
        <v xml:space="preserve"> </v>
      </c>
      <c r="P100" s="3" t="str">
        <f ca="1">IF(ISNUMBER($L100),INDIRECT("Input!B"&amp;1+MATCH($M100,aux_sheet_RRS!$D$2:$D$202,0))," ")</f>
        <v xml:space="preserve"> </v>
      </c>
    </row>
    <row r="101" spans="1:16" x14ac:dyDescent="0.35">
      <c r="A101" t="str">
        <f>IF(ISBLANK(Input!A101)," ",ROUNDDOWN(aux_sheet_RRS!E101,0))</f>
        <v xml:space="preserve"> </v>
      </c>
      <c r="B101" t="str">
        <f ca="1">IF(ISBLANK(Input!A101)," ",INDIRECT("Input!A"&amp;1+MATCH($H101,aux_sheet_RRS!$D$2:$D$202,0)))</f>
        <v xml:space="preserve"> </v>
      </c>
      <c r="C101" t="str">
        <f ca="1">IF(ISBLANK(Input!B101)," ",INDIRECT("Input!B"&amp;1+MATCH($H101,aux_sheet_RRS!$D$2:$D$202,0)))</f>
        <v xml:space="preserve"> </v>
      </c>
      <c r="D101" t="str">
        <f ca="1">IF(ISBLANK(Input!C101)," ",INDIRECT("Input!C"&amp;1+MATCH($H101,aux_sheet_RRS!$D$2:$D$202,0)))</f>
        <v xml:space="preserve"> </v>
      </c>
      <c r="E101" t="str">
        <f ca="1">IF(ISBLANK(Input!D101)," ",INDIRECT("Input!D"&amp;1+MATCH($H101,aux_sheet_RRS!$D$2:$D$202,0)))</f>
        <v xml:space="preserve"> </v>
      </c>
      <c r="F101" t="str">
        <f ca="1">IF(ISBLANK(Input!E101)," ",INDIRECT("Input!H"&amp;1+MATCH($H101,aux_sheet_RRS!$D$2:$D$202,0)))</f>
        <v xml:space="preserve"> </v>
      </c>
      <c r="G101">
        <f ca="1">IF(ISBLANK(Input!G101)," ",INDIRECT("Input!AP"&amp;1+MATCH($H101,aux_sheet_RRS!$D$2:$D$202,0)))</f>
        <v>0</v>
      </c>
      <c r="H101">
        <f>aux_sheet_RRS!E101</f>
        <v>1000</v>
      </c>
      <c r="J101" t="str">
        <f t="shared" si="8"/>
        <v xml:space="preserve"> </v>
      </c>
      <c r="K101">
        <v>100</v>
      </c>
      <c r="L101" t="str">
        <f t="shared" ca="1" si="5"/>
        <v xml:space="preserve"> </v>
      </c>
      <c r="M101" t="str">
        <f t="shared" ca="1" si="6"/>
        <v xml:space="preserve"> </v>
      </c>
      <c r="N101" s="3" t="str">
        <f t="shared" ca="1" si="7"/>
        <v xml:space="preserve"> </v>
      </c>
      <c r="O101" s="3" t="str">
        <f ca="1">IF(ISNUMBER($L101),INDIRECT("Input!A"&amp;1+MATCH($M101,aux_sheet_RRS!$D$2:$D$202,0))," ")</f>
        <v xml:space="preserve"> </v>
      </c>
      <c r="P101" s="3" t="str">
        <f ca="1">IF(ISNUMBER($L101),INDIRECT("Input!B"&amp;1+MATCH($M101,aux_sheet_RRS!$D$2:$D$202,0))," ")</f>
        <v xml:space="preserve"> </v>
      </c>
    </row>
    <row r="102" spans="1:16" x14ac:dyDescent="0.35">
      <c r="A102" t="str">
        <f>IF(ISBLANK(Input!A102)," ",ROUNDDOWN(aux_sheet_RRS!E102,0))</f>
        <v xml:space="preserve"> </v>
      </c>
      <c r="B102" t="str">
        <f ca="1">IF(ISBLANK(Input!A102)," ",INDIRECT("Input!A"&amp;1+MATCH($H102,aux_sheet_RRS!$D$2:$D$202,0)))</f>
        <v xml:space="preserve"> </v>
      </c>
      <c r="C102" t="str">
        <f ca="1">IF(ISBLANK(Input!B102)," ",INDIRECT("Input!B"&amp;1+MATCH($H102,aux_sheet_RRS!$D$2:$D$202,0)))</f>
        <v xml:space="preserve"> </v>
      </c>
      <c r="D102" t="str">
        <f ca="1">IF(ISBLANK(Input!C102)," ",INDIRECT("Input!C"&amp;1+MATCH($H102,aux_sheet_RRS!$D$2:$D$202,0)))</f>
        <v xml:space="preserve"> </v>
      </c>
      <c r="E102" t="str">
        <f ca="1">IF(ISBLANK(Input!D102)," ",INDIRECT("Input!D"&amp;1+MATCH($H102,aux_sheet_RRS!$D$2:$D$202,0)))</f>
        <v xml:space="preserve"> </v>
      </c>
      <c r="F102" t="str">
        <f ca="1">IF(ISBLANK(Input!E102)," ",INDIRECT("Input!H"&amp;1+MATCH($H102,aux_sheet_RRS!$D$2:$D$202,0)))</f>
        <v xml:space="preserve"> </v>
      </c>
      <c r="G102">
        <f ca="1">IF(ISBLANK(Input!G102)," ",INDIRECT("Input!AP"&amp;1+MATCH($H102,aux_sheet_RRS!$D$2:$D$202,0)))</f>
        <v>0</v>
      </c>
      <c r="H102">
        <f>aux_sheet_RRS!E102</f>
        <v>1000</v>
      </c>
      <c r="J102" t="str">
        <f t="shared" si="8"/>
        <v xml:space="preserve"> </v>
      </c>
      <c r="K102">
        <v>101</v>
      </c>
      <c r="L102" t="str">
        <f t="shared" ca="1" si="5"/>
        <v xml:space="preserve"> </v>
      </c>
      <c r="M102" t="str">
        <f t="shared" ca="1" si="6"/>
        <v xml:space="preserve"> </v>
      </c>
      <c r="N102" s="3" t="str">
        <f t="shared" ca="1" si="7"/>
        <v xml:space="preserve"> </v>
      </c>
      <c r="O102" s="3" t="str">
        <f ca="1">IF(ISNUMBER($L102),INDIRECT("Input!A"&amp;1+MATCH($M102,aux_sheet_RRS!$D$2:$D$202,0))," ")</f>
        <v xml:space="preserve"> </v>
      </c>
      <c r="P102" s="3" t="str">
        <f ca="1">IF(ISNUMBER($L102),INDIRECT("Input!B"&amp;1+MATCH($M102,aux_sheet_RRS!$D$2:$D$202,0))," ")</f>
        <v xml:space="preserve"> </v>
      </c>
    </row>
    <row r="103" spans="1:16" x14ac:dyDescent="0.35">
      <c r="A103" t="str">
        <f>IF(ISBLANK(Input!A103)," ",ROUNDDOWN(aux_sheet_RRS!E103,0))</f>
        <v xml:space="preserve"> </v>
      </c>
      <c r="B103" t="str">
        <f ca="1">IF(ISBLANK(Input!A103)," ",INDIRECT("Input!A"&amp;1+MATCH($H103,aux_sheet_RRS!$D$2:$D$202,0)))</f>
        <v xml:space="preserve"> </v>
      </c>
      <c r="C103" t="str">
        <f ca="1">IF(ISBLANK(Input!B103)," ",INDIRECT("Input!B"&amp;1+MATCH($H103,aux_sheet_RRS!$D$2:$D$202,0)))</f>
        <v xml:space="preserve"> </v>
      </c>
      <c r="D103" t="str">
        <f ca="1">IF(ISBLANK(Input!C103)," ",INDIRECT("Input!C"&amp;1+MATCH($H103,aux_sheet_RRS!$D$2:$D$202,0)))</f>
        <v xml:space="preserve"> </v>
      </c>
      <c r="E103" t="str">
        <f ca="1">IF(ISBLANK(Input!D103)," ",INDIRECT("Input!D"&amp;1+MATCH($H103,aux_sheet_RRS!$D$2:$D$202,0)))</f>
        <v xml:space="preserve"> </v>
      </c>
      <c r="F103" t="str">
        <f ca="1">IF(ISBLANK(Input!E103)," ",INDIRECT("Input!H"&amp;1+MATCH($H103,aux_sheet_RRS!$D$2:$D$202,0)))</f>
        <v xml:space="preserve"> </v>
      </c>
      <c r="G103">
        <f ca="1">IF(ISBLANK(Input!G103)," ",INDIRECT("Input!AP"&amp;1+MATCH($H103,aux_sheet_RRS!$D$2:$D$202,0)))</f>
        <v>0</v>
      </c>
      <c r="H103">
        <f>aux_sheet_RRS!E103</f>
        <v>1000</v>
      </c>
      <c r="J103" t="str">
        <f t="shared" si="8"/>
        <v xml:space="preserve"> </v>
      </c>
      <c r="K103">
        <v>102</v>
      </c>
      <c r="L103" t="str">
        <f t="shared" ca="1" si="5"/>
        <v xml:space="preserve"> </v>
      </c>
      <c r="M103" t="str">
        <f t="shared" ca="1" si="6"/>
        <v xml:space="preserve"> </v>
      </c>
      <c r="N103" s="3" t="str">
        <f t="shared" ca="1" si="7"/>
        <v xml:space="preserve"> </v>
      </c>
      <c r="O103" s="3" t="str">
        <f ca="1">IF(ISNUMBER($L103),INDIRECT("Input!A"&amp;1+MATCH($M103,aux_sheet_RRS!$D$2:$D$202,0))," ")</f>
        <v xml:space="preserve"> </v>
      </c>
      <c r="P103" s="3" t="str">
        <f ca="1">IF(ISNUMBER($L103),INDIRECT("Input!B"&amp;1+MATCH($M103,aux_sheet_RRS!$D$2:$D$202,0))," ")</f>
        <v xml:space="preserve"> </v>
      </c>
    </row>
    <row r="104" spans="1:16" x14ac:dyDescent="0.35">
      <c r="A104" t="str">
        <f>IF(ISBLANK(Input!A104)," ",ROUNDDOWN(aux_sheet_RRS!E104,0))</f>
        <v xml:space="preserve"> </v>
      </c>
      <c r="B104" t="str">
        <f ca="1">IF(ISBLANK(Input!A104)," ",INDIRECT("Input!A"&amp;1+MATCH($H104,aux_sheet_RRS!$D$2:$D$202,0)))</f>
        <v xml:space="preserve"> </v>
      </c>
      <c r="C104" t="str">
        <f ca="1">IF(ISBLANK(Input!B104)," ",INDIRECT("Input!B"&amp;1+MATCH($H104,aux_sheet_RRS!$D$2:$D$202,0)))</f>
        <v xml:space="preserve"> </v>
      </c>
      <c r="D104" t="str">
        <f ca="1">IF(ISBLANK(Input!C104)," ",INDIRECT("Input!C"&amp;1+MATCH($H104,aux_sheet_RRS!$D$2:$D$202,0)))</f>
        <v xml:space="preserve"> </v>
      </c>
      <c r="E104" t="str">
        <f ca="1">IF(ISBLANK(Input!D104)," ",INDIRECT("Input!D"&amp;1+MATCH($H104,aux_sheet_RRS!$D$2:$D$202,0)))</f>
        <v xml:space="preserve"> </v>
      </c>
      <c r="F104" t="str">
        <f ca="1">IF(ISBLANK(Input!E104)," ",INDIRECT("Input!H"&amp;1+MATCH($H104,aux_sheet_RRS!$D$2:$D$202,0)))</f>
        <v xml:space="preserve"> </v>
      </c>
      <c r="G104">
        <f ca="1">IF(ISBLANK(Input!G104)," ",INDIRECT("Input!AP"&amp;1+MATCH($H104,aux_sheet_RRS!$D$2:$D$202,0)))</f>
        <v>0</v>
      </c>
      <c r="H104">
        <f>aux_sheet_RRS!E104</f>
        <v>1000</v>
      </c>
      <c r="J104" t="str">
        <f t="shared" si="8"/>
        <v xml:space="preserve"> </v>
      </c>
      <c r="K104">
        <v>103</v>
      </c>
      <c r="L104" t="str">
        <f t="shared" ca="1" si="5"/>
        <v xml:space="preserve"> </v>
      </c>
      <c r="M104" t="str">
        <f t="shared" ca="1" si="6"/>
        <v xml:space="preserve"> </v>
      </c>
      <c r="N104" s="3" t="str">
        <f t="shared" ca="1" si="7"/>
        <v xml:space="preserve"> </v>
      </c>
      <c r="O104" s="3" t="str">
        <f ca="1">IF(ISNUMBER($L104),INDIRECT("Input!A"&amp;1+MATCH($M104,aux_sheet_RRS!$D$2:$D$202,0))," ")</f>
        <v xml:space="preserve"> </v>
      </c>
      <c r="P104" s="3" t="str">
        <f ca="1">IF(ISNUMBER($L104),INDIRECT("Input!B"&amp;1+MATCH($M104,aux_sheet_RRS!$D$2:$D$202,0))," ")</f>
        <v xml:space="preserve"> </v>
      </c>
    </row>
    <row r="105" spans="1:16" x14ac:dyDescent="0.35">
      <c r="A105" t="str">
        <f>IF(ISBLANK(Input!A105)," ",ROUNDDOWN(aux_sheet_RRS!E105,0))</f>
        <v xml:space="preserve"> </v>
      </c>
      <c r="B105" t="str">
        <f ca="1">IF(ISBLANK(Input!A105)," ",INDIRECT("Input!A"&amp;1+MATCH($H105,aux_sheet_RRS!$D$2:$D$202,0)))</f>
        <v xml:space="preserve"> </v>
      </c>
      <c r="C105" t="str">
        <f ca="1">IF(ISBLANK(Input!B105)," ",INDIRECT("Input!B"&amp;1+MATCH($H105,aux_sheet_RRS!$D$2:$D$202,0)))</f>
        <v xml:space="preserve"> </v>
      </c>
      <c r="D105" t="str">
        <f ca="1">IF(ISBLANK(Input!C105)," ",INDIRECT("Input!C"&amp;1+MATCH($H105,aux_sheet_RRS!$D$2:$D$202,0)))</f>
        <v xml:space="preserve"> </v>
      </c>
      <c r="E105" t="str">
        <f ca="1">IF(ISBLANK(Input!D105)," ",INDIRECT("Input!D"&amp;1+MATCH($H105,aux_sheet_RRS!$D$2:$D$202,0)))</f>
        <v xml:space="preserve"> </v>
      </c>
      <c r="F105" t="str">
        <f ca="1">IF(ISBLANK(Input!E105)," ",INDIRECT("Input!H"&amp;1+MATCH($H105,aux_sheet_RRS!$D$2:$D$202,0)))</f>
        <v xml:space="preserve"> </v>
      </c>
      <c r="G105">
        <f ca="1">IF(ISBLANK(Input!G105)," ",INDIRECT("Input!AP"&amp;1+MATCH($H105,aux_sheet_RRS!$D$2:$D$202,0)))</f>
        <v>0</v>
      </c>
      <c r="H105">
        <f>aux_sheet_RRS!E105</f>
        <v>1000</v>
      </c>
      <c r="J105" t="str">
        <f t="shared" si="8"/>
        <v xml:space="preserve"> </v>
      </c>
      <c r="K105">
        <v>104</v>
      </c>
      <c r="L105" t="str">
        <f t="shared" ca="1" si="5"/>
        <v xml:space="preserve"> </v>
      </c>
      <c r="M105" t="str">
        <f t="shared" ca="1" si="6"/>
        <v xml:space="preserve"> </v>
      </c>
      <c r="N105" s="3" t="str">
        <f t="shared" ca="1" si="7"/>
        <v xml:space="preserve"> </v>
      </c>
      <c r="O105" s="3" t="str">
        <f ca="1">IF(ISNUMBER($L105),INDIRECT("Input!A"&amp;1+MATCH($M105,aux_sheet_RRS!$D$2:$D$202,0))," ")</f>
        <v xml:space="preserve"> </v>
      </c>
      <c r="P105" s="3" t="str">
        <f ca="1">IF(ISNUMBER($L105),INDIRECT("Input!B"&amp;1+MATCH($M105,aux_sheet_RRS!$D$2:$D$202,0))," ")</f>
        <v xml:space="preserve"> </v>
      </c>
    </row>
    <row r="106" spans="1:16" x14ac:dyDescent="0.35">
      <c r="A106" t="str">
        <f>IF(ISBLANK(Input!A106)," ",ROUNDDOWN(aux_sheet_RRS!E106,0))</f>
        <v xml:space="preserve"> </v>
      </c>
      <c r="B106" t="str">
        <f ca="1">IF(ISBLANK(Input!A106)," ",INDIRECT("Input!A"&amp;1+MATCH($H106,aux_sheet_RRS!$D$2:$D$202,0)))</f>
        <v xml:space="preserve"> </v>
      </c>
      <c r="C106" t="str">
        <f ca="1">IF(ISBLANK(Input!B106)," ",INDIRECT("Input!B"&amp;1+MATCH($H106,aux_sheet_RRS!$D$2:$D$202,0)))</f>
        <v xml:space="preserve"> </v>
      </c>
      <c r="D106" t="str">
        <f ca="1">IF(ISBLANK(Input!C106)," ",INDIRECT("Input!C"&amp;1+MATCH($H106,aux_sheet_RRS!$D$2:$D$202,0)))</f>
        <v xml:space="preserve"> </v>
      </c>
      <c r="E106" t="str">
        <f ca="1">IF(ISBLANK(Input!D106)," ",INDIRECT("Input!D"&amp;1+MATCH($H106,aux_sheet_RRS!$D$2:$D$202,0)))</f>
        <v xml:space="preserve"> </v>
      </c>
      <c r="F106" t="str">
        <f ca="1">IF(ISBLANK(Input!E106)," ",INDIRECT("Input!H"&amp;1+MATCH($H106,aux_sheet_RRS!$D$2:$D$202,0)))</f>
        <v xml:space="preserve"> </v>
      </c>
      <c r="G106">
        <f ca="1">IF(ISBLANK(Input!G106)," ",INDIRECT("Input!AP"&amp;1+MATCH($H106,aux_sheet_RRS!$D$2:$D$202,0)))</f>
        <v>0</v>
      </c>
      <c r="H106">
        <f>aux_sheet_RRS!E106</f>
        <v>1000</v>
      </c>
      <c r="J106" t="str">
        <f t="shared" si="8"/>
        <v xml:space="preserve"> </v>
      </c>
      <c r="K106">
        <v>105</v>
      </c>
      <c r="L106" t="str">
        <f t="shared" ca="1" si="5"/>
        <v xml:space="preserve"> </v>
      </c>
      <c r="M106" t="str">
        <f t="shared" ca="1" si="6"/>
        <v xml:space="preserve"> </v>
      </c>
      <c r="N106" s="3" t="str">
        <f t="shared" ca="1" si="7"/>
        <v xml:space="preserve"> </v>
      </c>
      <c r="O106" s="3" t="str">
        <f ca="1">IF(ISNUMBER($L106),INDIRECT("Input!A"&amp;1+MATCH($M106,aux_sheet_RRS!$D$2:$D$202,0))," ")</f>
        <v xml:space="preserve"> </v>
      </c>
      <c r="P106" s="3" t="str">
        <f ca="1">IF(ISNUMBER($L106),INDIRECT("Input!B"&amp;1+MATCH($M106,aux_sheet_RRS!$D$2:$D$202,0))," ")</f>
        <v xml:space="preserve"> </v>
      </c>
    </row>
    <row r="107" spans="1:16" x14ac:dyDescent="0.35">
      <c r="A107" t="str">
        <f>IF(ISBLANK(Input!A107)," ",ROUNDDOWN(aux_sheet_RRS!E107,0))</f>
        <v xml:space="preserve"> </v>
      </c>
      <c r="B107" t="str">
        <f ca="1">IF(ISBLANK(Input!A107)," ",INDIRECT("Input!A"&amp;1+MATCH($H107,aux_sheet_RRS!$D$2:$D$202,0)))</f>
        <v xml:space="preserve"> </v>
      </c>
      <c r="C107" t="str">
        <f ca="1">IF(ISBLANK(Input!B107)," ",INDIRECT("Input!B"&amp;1+MATCH($H107,aux_sheet_RRS!$D$2:$D$202,0)))</f>
        <v xml:space="preserve"> </v>
      </c>
      <c r="D107" t="str">
        <f ca="1">IF(ISBLANK(Input!C107)," ",INDIRECT("Input!C"&amp;1+MATCH($H107,aux_sheet_RRS!$D$2:$D$202,0)))</f>
        <v xml:space="preserve"> </v>
      </c>
      <c r="E107" t="str">
        <f ca="1">IF(ISBLANK(Input!D107)," ",INDIRECT("Input!D"&amp;1+MATCH($H107,aux_sheet_RRS!$D$2:$D$202,0)))</f>
        <v xml:space="preserve"> </v>
      </c>
      <c r="F107" t="str">
        <f ca="1">IF(ISBLANK(Input!E107)," ",INDIRECT("Input!H"&amp;1+MATCH($H107,aux_sheet_RRS!$D$2:$D$202,0)))</f>
        <v xml:space="preserve"> </v>
      </c>
      <c r="G107">
        <f ca="1">IF(ISBLANK(Input!G107)," ",INDIRECT("Input!AP"&amp;1+MATCH($H107,aux_sheet_RRS!$D$2:$D$202,0)))</f>
        <v>0</v>
      </c>
      <c r="H107">
        <f>aux_sheet_RRS!E107</f>
        <v>1000</v>
      </c>
      <c r="J107" t="str">
        <f t="shared" si="8"/>
        <v xml:space="preserve"> </v>
      </c>
      <c r="K107">
        <v>106</v>
      </c>
      <c r="L107" t="str">
        <f t="shared" ca="1" si="5"/>
        <v xml:space="preserve"> </v>
      </c>
      <c r="M107" t="str">
        <f t="shared" ca="1" si="6"/>
        <v xml:space="preserve"> </v>
      </c>
      <c r="N107" s="3" t="str">
        <f t="shared" ca="1" si="7"/>
        <v xml:space="preserve"> </v>
      </c>
      <c r="O107" s="3" t="str">
        <f ca="1">IF(ISNUMBER($L107),INDIRECT("Input!A"&amp;1+MATCH($M107,aux_sheet_RRS!$D$2:$D$202,0))," ")</f>
        <v xml:space="preserve"> </v>
      </c>
      <c r="P107" s="3" t="str">
        <f ca="1">IF(ISNUMBER($L107),INDIRECT("Input!B"&amp;1+MATCH($M107,aux_sheet_RRS!$D$2:$D$202,0))," ")</f>
        <v xml:space="preserve"> </v>
      </c>
    </row>
    <row r="108" spans="1:16" x14ac:dyDescent="0.35">
      <c r="A108" t="str">
        <f>IF(ISBLANK(Input!A108)," ",ROUNDDOWN(aux_sheet_RRS!E108,0))</f>
        <v xml:space="preserve"> </v>
      </c>
      <c r="B108" t="str">
        <f ca="1">IF(ISBLANK(Input!A108)," ",INDIRECT("Input!A"&amp;1+MATCH($H108,aux_sheet_RRS!$D$2:$D$202,0)))</f>
        <v xml:space="preserve"> </v>
      </c>
      <c r="C108" t="str">
        <f ca="1">IF(ISBLANK(Input!B108)," ",INDIRECT("Input!B"&amp;1+MATCH($H108,aux_sheet_RRS!$D$2:$D$202,0)))</f>
        <v xml:space="preserve"> </v>
      </c>
      <c r="D108" t="str">
        <f ca="1">IF(ISBLANK(Input!C108)," ",INDIRECT("Input!C"&amp;1+MATCH($H108,aux_sheet_RRS!$D$2:$D$202,0)))</f>
        <v xml:space="preserve"> </v>
      </c>
      <c r="E108" t="str">
        <f ca="1">IF(ISBLANK(Input!D108)," ",INDIRECT("Input!D"&amp;1+MATCH($H108,aux_sheet_RRS!$D$2:$D$202,0)))</f>
        <v xml:space="preserve"> </v>
      </c>
      <c r="F108" t="str">
        <f ca="1">IF(ISBLANK(Input!E108)," ",INDIRECT("Input!H"&amp;1+MATCH($H108,aux_sheet_RRS!$D$2:$D$202,0)))</f>
        <v xml:space="preserve"> </v>
      </c>
      <c r="G108">
        <f ca="1">IF(ISBLANK(Input!G108)," ",INDIRECT("Input!AP"&amp;1+MATCH($H108,aux_sheet_RRS!$D$2:$D$202,0)))</f>
        <v>0</v>
      </c>
      <c r="H108">
        <f>aux_sheet_RRS!E108</f>
        <v>1000</v>
      </c>
      <c r="J108" t="str">
        <f t="shared" si="8"/>
        <v xml:space="preserve"> </v>
      </c>
      <c r="K108">
        <v>107</v>
      </c>
      <c r="L108" t="str">
        <f t="shared" ca="1" si="5"/>
        <v xml:space="preserve"> </v>
      </c>
      <c r="M108" t="str">
        <f t="shared" ca="1" si="6"/>
        <v xml:space="preserve"> </v>
      </c>
      <c r="N108" s="3" t="str">
        <f t="shared" ca="1" si="7"/>
        <v xml:space="preserve"> </v>
      </c>
      <c r="O108" s="3" t="str">
        <f ca="1">IF(ISNUMBER($L108),INDIRECT("Input!A"&amp;1+MATCH($M108,aux_sheet_RRS!$D$2:$D$202,0))," ")</f>
        <v xml:space="preserve"> </v>
      </c>
      <c r="P108" s="3" t="str">
        <f ca="1">IF(ISNUMBER($L108),INDIRECT("Input!B"&amp;1+MATCH($M108,aux_sheet_RRS!$D$2:$D$202,0))," ")</f>
        <v xml:space="preserve"> </v>
      </c>
    </row>
    <row r="109" spans="1:16" x14ac:dyDescent="0.35">
      <c r="A109" t="str">
        <f>IF(ISBLANK(Input!A109)," ",ROUNDDOWN(aux_sheet_RRS!E109,0))</f>
        <v xml:space="preserve"> </v>
      </c>
      <c r="B109" t="str">
        <f ca="1">IF(ISBLANK(Input!A109)," ",INDIRECT("Input!A"&amp;1+MATCH($H109,aux_sheet_RRS!$D$2:$D$202,0)))</f>
        <v xml:space="preserve"> </v>
      </c>
      <c r="C109" t="str">
        <f ca="1">IF(ISBLANK(Input!B109)," ",INDIRECT("Input!B"&amp;1+MATCH($H109,aux_sheet_RRS!$D$2:$D$202,0)))</f>
        <v xml:space="preserve"> </v>
      </c>
      <c r="D109" t="str">
        <f ca="1">IF(ISBLANK(Input!C109)," ",INDIRECT("Input!C"&amp;1+MATCH($H109,aux_sheet_RRS!$D$2:$D$202,0)))</f>
        <v xml:space="preserve"> </v>
      </c>
      <c r="E109" t="str">
        <f ca="1">IF(ISBLANK(Input!D109)," ",INDIRECT("Input!D"&amp;1+MATCH($H109,aux_sheet_RRS!$D$2:$D$202,0)))</f>
        <v xml:space="preserve"> </v>
      </c>
      <c r="F109" t="str">
        <f ca="1">IF(ISBLANK(Input!E109)," ",INDIRECT("Input!H"&amp;1+MATCH($H109,aux_sheet_RRS!$D$2:$D$202,0)))</f>
        <v xml:space="preserve"> </v>
      </c>
      <c r="G109">
        <f ca="1">IF(ISBLANK(Input!G109)," ",INDIRECT("Input!AP"&amp;1+MATCH($H109,aux_sheet_RRS!$D$2:$D$202,0)))</f>
        <v>0</v>
      </c>
      <c r="H109">
        <f>aux_sheet_RRS!E109</f>
        <v>1000</v>
      </c>
      <c r="J109" t="str">
        <f t="shared" si="8"/>
        <v xml:space="preserve"> </v>
      </c>
      <c r="K109">
        <v>108</v>
      </c>
      <c r="L109" t="str">
        <f t="shared" ca="1" si="5"/>
        <v xml:space="preserve"> </v>
      </c>
      <c r="M109" t="str">
        <f t="shared" ca="1" si="6"/>
        <v xml:space="preserve"> </v>
      </c>
      <c r="N109" s="3" t="str">
        <f t="shared" ca="1" si="7"/>
        <v xml:space="preserve"> </v>
      </c>
      <c r="O109" s="3" t="str">
        <f ca="1">IF(ISNUMBER($L109),INDIRECT("Input!A"&amp;1+MATCH($M109,aux_sheet_RRS!$D$2:$D$202,0))," ")</f>
        <v xml:space="preserve"> </v>
      </c>
      <c r="P109" s="3" t="str">
        <f ca="1">IF(ISNUMBER($L109),INDIRECT("Input!B"&amp;1+MATCH($M109,aux_sheet_RRS!$D$2:$D$202,0))," ")</f>
        <v xml:space="preserve"> </v>
      </c>
    </row>
    <row r="110" spans="1:16" x14ac:dyDescent="0.35">
      <c r="A110" t="str">
        <f>IF(ISBLANK(Input!A110)," ",ROUNDDOWN(aux_sheet_RRS!E110,0))</f>
        <v xml:space="preserve"> </v>
      </c>
      <c r="B110" t="str">
        <f ca="1">IF(ISBLANK(Input!A110)," ",INDIRECT("Input!A"&amp;1+MATCH($H110,aux_sheet_RRS!$D$2:$D$202,0)))</f>
        <v xml:space="preserve"> </v>
      </c>
      <c r="C110" t="str">
        <f ca="1">IF(ISBLANK(Input!B110)," ",INDIRECT("Input!B"&amp;1+MATCH($H110,aux_sheet_RRS!$D$2:$D$202,0)))</f>
        <v xml:space="preserve"> </v>
      </c>
      <c r="D110" t="str">
        <f ca="1">IF(ISBLANK(Input!C110)," ",INDIRECT("Input!C"&amp;1+MATCH($H110,aux_sheet_RRS!$D$2:$D$202,0)))</f>
        <v xml:space="preserve"> </v>
      </c>
      <c r="E110" t="str">
        <f ca="1">IF(ISBLANK(Input!D110)," ",INDIRECT("Input!D"&amp;1+MATCH($H110,aux_sheet_RRS!$D$2:$D$202,0)))</f>
        <v xml:space="preserve"> </v>
      </c>
      <c r="F110" t="str">
        <f ca="1">IF(ISBLANK(Input!E110)," ",INDIRECT("Input!H"&amp;1+MATCH($H110,aux_sheet_RRS!$D$2:$D$202,0)))</f>
        <v xml:space="preserve"> </v>
      </c>
      <c r="G110">
        <f ca="1">IF(ISBLANK(Input!G110)," ",INDIRECT("Input!AP"&amp;1+MATCH($H110,aux_sheet_RRS!$D$2:$D$202,0)))</f>
        <v>0</v>
      </c>
      <c r="H110">
        <f>aux_sheet_RRS!E110</f>
        <v>1000</v>
      </c>
      <c r="J110" t="str">
        <f t="shared" si="8"/>
        <v xml:space="preserve"> </v>
      </c>
      <c r="K110">
        <v>109</v>
      </c>
      <c r="L110" t="str">
        <f t="shared" ca="1" si="5"/>
        <v xml:space="preserve"> </v>
      </c>
      <c r="M110" t="str">
        <f t="shared" ca="1" si="6"/>
        <v xml:space="preserve"> </v>
      </c>
      <c r="N110" s="3" t="str">
        <f t="shared" ca="1" si="7"/>
        <v xml:space="preserve"> </v>
      </c>
      <c r="O110" s="3" t="str">
        <f ca="1">IF(ISNUMBER($L110),INDIRECT("Input!A"&amp;1+MATCH($M110,aux_sheet_RRS!$D$2:$D$202,0))," ")</f>
        <v xml:space="preserve"> </v>
      </c>
      <c r="P110" s="3" t="str">
        <f ca="1">IF(ISNUMBER($L110),INDIRECT("Input!B"&amp;1+MATCH($M110,aux_sheet_RRS!$D$2:$D$202,0))," ")</f>
        <v xml:space="preserve"> </v>
      </c>
    </row>
    <row r="111" spans="1:16" x14ac:dyDescent="0.35">
      <c r="A111" t="str">
        <f>IF(ISBLANK(Input!A111)," ",ROUNDDOWN(aux_sheet_RRS!E111,0))</f>
        <v xml:space="preserve"> </v>
      </c>
      <c r="B111" t="str">
        <f ca="1">IF(ISBLANK(Input!A111)," ",INDIRECT("Input!A"&amp;1+MATCH($H111,aux_sheet_RRS!$D$2:$D$202,0)))</f>
        <v xml:space="preserve"> </v>
      </c>
      <c r="C111" t="str">
        <f ca="1">IF(ISBLANK(Input!B111)," ",INDIRECT("Input!B"&amp;1+MATCH($H111,aux_sheet_RRS!$D$2:$D$202,0)))</f>
        <v xml:space="preserve"> </v>
      </c>
      <c r="D111" t="str">
        <f ca="1">IF(ISBLANK(Input!C111)," ",INDIRECT("Input!C"&amp;1+MATCH($H111,aux_sheet_RRS!$D$2:$D$202,0)))</f>
        <v xml:space="preserve"> </v>
      </c>
      <c r="E111" t="str">
        <f ca="1">IF(ISBLANK(Input!D111)," ",INDIRECT("Input!D"&amp;1+MATCH($H111,aux_sheet_RRS!$D$2:$D$202,0)))</f>
        <v xml:space="preserve"> </v>
      </c>
      <c r="F111" t="str">
        <f ca="1">IF(ISBLANK(Input!E111)," ",INDIRECT("Input!H"&amp;1+MATCH($H111,aux_sheet_RRS!$D$2:$D$202,0)))</f>
        <v xml:space="preserve"> </v>
      </c>
      <c r="G111">
        <f ca="1">IF(ISBLANK(Input!G111)," ",INDIRECT("Input!AP"&amp;1+MATCH($H111,aux_sheet_RRS!$D$2:$D$202,0)))</f>
        <v>0</v>
      </c>
      <c r="H111">
        <f>aux_sheet_RRS!E111</f>
        <v>1000</v>
      </c>
      <c r="J111" t="str">
        <f t="shared" si="8"/>
        <v xml:space="preserve"> </v>
      </c>
      <c r="K111">
        <v>110</v>
      </c>
      <c r="L111" t="str">
        <f t="shared" ca="1" si="5"/>
        <v xml:space="preserve"> </v>
      </c>
      <c r="M111" t="str">
        <f t="shared" ca="1" si="6"/>
        <v xml:space="preserve"> </v>
      </c>
      <c r="N111" s="3" t="str">
        <f t="shared" ca="1" si="7"/>
        <v xml:space="preserve"> </v>
      </c>
      <c r="O111" s="3" t="str">
        <f ca="1">IF(ISNUMBER($L111),INDIRECT("Input!A"&amp;1+MATCH($M111,aux_sheet_RRS!$D$2:$D$202,0))," ")</f>
        <v xml:space="preserve"> </v>
      </c>
      <c r="P111" s="3" t="str">
        <f ca="1">IF(ISNUMBER($L111),INDIRECT("Input!B"&amp;1+MATCH($M111,aux_sheet_RRS!$D$2:$D$202,0))," ")</f>
        <v xml:space="preserve"> </v>
      </c>
    </row>
    <row r="112" spans="1:16" x14ac:dyDescent="0.35">
      <c r="A112" t="str">
        <f>IF(ISBLANK(Input!A112)," ",ROUNDDOWN(aux_sheet_RRS!E112,0))</f>
        <v xml:space="preserve"> </v>
      </c>
      <c r="B112" t="str">
        <f ca="1">IF(ISBLANK(Input!A112)," ",INDIRECT("Input!A"&amp;1+MATCH($H112,aux_sheet_RRS!$D$2:$D$202,0)))</f>
        <v xml:space="preserve"> </v>
      </c>
      <c r="C112" t="str">
        <f ca="1">IF(ISBLANK(Input!B112)," ",INDIRECT("Input!B"&amp;1+MATCH($H112,aux_sheet_RRS!$D$2:$D$202,0)))</f>
        <v xml:space="preserve"> </v>
      </c>
      <c r="D112" t="str">
        <f ca="1">IF(ISBLANK(Input!C112)," ",INDIRECT("Input!C"&amp;1+MATCH($H112,aux_sheet_RRS!$D$2:$D$202,0)))</f>
        <v xml:space="preserve"> </v>
      </c>
      <c r="E112" t="str">
        <f ca="1">IF(ISBLANK(Input!D112)," ",INDIRECT("Input!D"&amp;1+MATCH($H112,aux_sheet_RRS!$D$2:$D$202,0)))</f>
        <v xml:space="preserve"> </v>
      </c>
      <c r="F112" t="str">
        <f ca="1">IF(ISBLANK(Input!E112)," ",INDIRECT("Input!H"&amp;1+MATCH($H112,aux_sheet_RRS!$D$2:$D$202,0)))</f>
        <v xml:space="preserve"> </v>
      </c>
      <c r="G112">
        <f ca="1">IF(ISBLANK(Input!G112)," ",INDIRECT("Input!AP"&amp;1+MATCH($H112,aux_sheet_RRS!$D$2:$D$202,0)))</f>
        <v>0</v>
      </c>
      <c r="H112">
        <f>aux_sheet_RRS!E112</f>
        <v>1000</v>
      </c>
      <c r="J112" t="str">
        <f t="shared" si="8"/>
        <v xml:space="preserve"> </v>
      </c>
      <c r="K112">
        <v>111</v>
      </c>
      <c r="L112" t="str">
        <f t="shared" ca="1" si="5"/>
        <v xml:space="preserve"> </v>
      </c>
      <c r="M112" t="str">
        <f t="shared" ca="1" si="6"/>
        <v xml:space="preserve"> </v>
      </c>
      <c r="N112" s="3" t="str">
        <f t="shared" ca="1" si="7"/>
        <v xml:space="preserve"> </v>
      </c>
      <c r="O112" s="3" t="str">
        <f ca="1">IF(ISNUMBER($L112),INDIRECT("Input!A"&amp;1+MATCH($M112,aux_sheet_RRS!$D$2:$D$202,0))," ")</f>
        <v xml:space="preserve"> </v>
      </c>
      <c r="P112" s="3" t="str">
        <f ca="1">IF(ISNUMBER($L112),INDIRECT("Input!B"&amp;1+MATCH($M112,aux_sheet_RRS!$D$2:$D$202,0))," ")</f>
        <v xml:space="preserve"> </v>
      </c>
    </row>
    <row r="113" spans="1:16" x14ac:dyDescent="0.35">
      <c r="A113" t="str">
        <f>IF(ISBLANK(Input!A113)," ",ROUNDDOWN(aux_sheet_RRS!E113,0))</f>
        <v xml:space="preserve"> </v>
      </c>
      <c r="B113" t="str">
        <f ca="1">IF(ISBLANK(Input!A113)," ",INDIRECT("Input!A"&amp;1+MATCH($H113,aux_sheet_RRS!$D$2:$D$202,0)))</f>
        <v xml:space="preserve"> </v>
      </c>
      <c r="C113" t="str">
        <f ca="1">IF(ISBLANK(Input!B113)," ",INDIRECT("Input!B"&amp;1+MATCH($H113,aux_sheet_RRS!$D$2:$D$202,0)))</f>
        <v xml:space="preserve"> </v>
      </c>
      <c r="D113" t="str">
        <f ca="1">IF(ISBLANK(Input!C113)," ",INDIRECT("Input!C"&amp;1+MATCH($H113,aux_sheet_RRS!$D$2:$D$202,0)))</f>
        <v xml:space="preserve"> </v>
      </c>
      <c r="E113" t="str">
        <f ca="1">IF(ISBLANK(Input!D113)," ",INDIRECT("Input!D"&amp;1+MATCH($H113,aux_sheet_RRS!$D$2:$D$202,0)))</f>
        <v xml:space="preserve"> </v>
      </c>
      <c r="F113" t="str">
        <f ca="1">IF(ISBLANK(Input!E113)," ",INDIRECT("Input!H"&amp;1+MATCH($H113,aux_sheet_RRS!$D$2:$D$202,0)))</f>
        <v xml:space="preserve"> </v>
      </c>
      <c r="G113">
        <f ca="1">IF(ISBLANK(Input!G113)," ",INDIRECT("Input!AP"&amp;1+MATCH($H113,aux_sheet_RRS!$D$2:$D$202,0)))</f>
        <v>0</v>
      </c>
      <c r="H113">
        <f>aux_sheet_RRS!E113</f>
        <v>1000</v>
      </c>
      <c r="J113" t="str">
        <f t="shared" si="8"/>
        <v xml:space="preserve"> </v>
      </c>
      <c r="K113">
        <v>112</v>
      </c>
      <c r="L113" t="str">
        <f t="shared" ca="1" si="5"/>
        <v xml:space="preserve"> </v>
      </c>
      <c r="M113" t="str">
        <f t="shared" ca="1" si="6"/>
        <v xml:space="preserve"> </v>
      </c>
      <c r="N113" s="3" t="str">
        <f t="shared" ca="1" si="7"/>
        <v xml:space="preserve"> </v>
      </c>
      <c r="O113" s="3" t="str">
        <f ca="1">IF(ISNUMBER($L113),INDIRECT("Input!A"&amp;1+MATCH($M113,aux_sheet_RRS!$D$2:$D$202,0))," ")</f>
        <v xml:space="preserve"> </v>
      </c>
      <c r="P113" s="3" t="str">
        <f ca="1">IF(ISNUMBER($L113),INDIRECT("Input!B"&amp;1+MATCH($M113,aux_sheet_RRS!$D$2:$D$202,0))," ")</f>
        <v xml:space="preserve"> </v>
      </c>
    </row>
    <row r="114" spans="1:16" x14ac:dyDescent="0.35">
      <c r="A114" t="str">
        <f>IF(ISBLANK(Input!A114)," ",ROUNDDOWN(aux_sheet_RRS!E114,0))</f>
        <v xml:space="preserve"> </v>
      </c>
      <c r="B114" t="str">
        <f ca="1">IF(ISBLANK(Input!A114)," ",INDIRECT("Input!A"&amp;1+MATCH($H114,aux_sheet_RRS!$D$2:$D$202,0)))</f>
        <v xml:space="preserve"> </v>
      </c>
      <c r="C114" t="str">
        <f ca="1">IF(ISBLANK(Input!B114)," ",INDIRECT("Input!B"&amp;1+MATCH($H114,aux_sheet_RRS!$D$2:$D$202,0)))</f>
        <v xml:space="preserve"> </v>
      </c>
      <c r="D114" t="str">
        <f ca="1">IF(ISBLANK(Input!C114)," ",INDIRECT("Input!C"&amp;1+MATCH($H114,aux_sheet_RRS!$D$2:$D$202,0)))</f>
        <v xml:space="preserve"> </v>
      </c>
      <c r="E114" t="str">
        <f ca="1">IF(ISBLANK(Input!D114)," ",INDIRECT("Input!D"&amp;1+MATCH($H114,aux_sheet_RRS!$D$2:$D$202,0)))</f>
        <v xml:space="preserve"> </v>
      </c>
      <c r="F114" t="str">
        <f ca="1">IF(ISBLANK(Input!E114)," ",INDIRECT("Input!H"&amp;1+MATCH($H114,aux_sheet_RRS!$D$2:$D$202,0)))</f>
        <v xml:space="preserve"> </v>
      </c>
      <c r="G114">
        <f ca="1">IF(ISBLANK(Input!G114)," ",INDIRECT("Input!AP"&amp;1+MATCH($H114,aux_sheet_RRS!$D$2:$D$202,0)))</f>
        <v>0</v>
      </c>
      <c r="H114">
        <f>aux_sheet_RRS!E114</f>
        <v>1000</v>
      </c>
      <c r="J114" t="str">
        <f t="shared" si="8"/>
        <v xml:space="preserve"> </v>
      </c>
      <c r="K114">
        <v>113</v>
      </c>
      <c r="L114" t="str">
        <f t="shared" ca="1" si="5"/>
        <v xml:space="preserve"> </v>
      </c>
      <c r="M114" t="str">
        <f t="shared" ca="1" si="6"/>
        <v xml:space="preserve"> </v>
      </c>
      <c r="N114" s="3" t="str">
        <f t="shared" ca="1" si="7"/>
        <v xml:space="preserve"> </v>
      </c>
      <c r="O114" s="3" t="str">
        <f ca="1">IF(ISNUMBER($L114),INDIRECT("Input!A"&amp;1+MATCH($M114,aux_sheet_RRS!$D$2:$D$202,0))," ")</f>
        <v xml:space="preserve"> </v>
      </c>
      <c r="P114" s="3" t="str">
        <f ca="1">IF(ISNUMBER($L114),INDIRECT("Input!B"&amp;1+MATCH($M114,aux_sheet_RRS!$D$2:$D$202,0))," ")</f>
        <v xml:space="preserve"> </v>
      </c>
    </row>
    <row r="115" spans="1:16" x14ac:dyDescent="0.35">
      <c r="A115" t="str">
        <f>IF(ISBLANK(Input!A115)," ",ROUNDDOWN(aux_sheet_RRS!E115,0))</f>
        <v xml:space="preserve"> </v>
      </c>
      <c r="B115" t="str">
        <f ca="1">IF(ISBLANK(Input!A115)," ",INDIRECT("Input!A"&amp;1+MATCH($H115,aux_sheet_RRS!$D$2:$D$202,0)))</f>
        <v xml:space="preserve"> </v>
      </c>
      <c r="C115" t="str">
        <f ca="1">IF(ISBLANK(Input!B115)," ",INDIRECT("Input!B"&amp;1+MATCH($H115,aux_sheet_RRS!$D$2:$D$202,0)))</f>
        <v xml:space="preserve"> </v>
      </c>
      <c r="D115" t="str">
        <f ca="1">IF(ISBLANK(Input!C115)," ",INDIRECT("Input!C"&amp;1+MATCH($H115,aux_sheet_RRS!$D$2:$D$202,0)))</f>
        <v xml:space="preserve"> </v>
      </c>
      <c r="E115" t="str">
        <f ca="1">IF(ISBLANK(Input!D115)," ",INDIRECT("Input!D"&amp;1+MATCH($H115,aux_sheet_RRS!$D$2:$D$202,0)))</f>
        <v xml:space="preserve"> </v>
      </c>
      <c r="F115" t="str">
        <f ca="1">IF(ISBLANK(Input!E115)," ",INDIRECT("Input!H"&amp;1+MATCH($H115,aux_sheet_RRS!$D$2:$D$202,0)))</f>
        <v xml:space="preserve"> </v>
      </c>
      <c r="G115">
        <f ca="1">IF(ISBLANK(Input!G115)," ",INDIRECT("Input!AP"&amp;1+MATCH($H115,aux_sheet_RRS!$D$2:$D$202,0)))</f>
        <v>0</v>
      </c>
      <c r="H115">
        <f>aux_sheet_RRS!E115</f>
        <v>1000</v>
      </c>
      <c r="J115" t="str">
        <f t="shared" si="8"/>
        <v xml:space="preserve"> </v>
      </c>
      <c r="K115">
        <v>114</v>
      </c>
      <c r="L115" t="str">
        <f t="shared" ca="1" si="5"/>
        <v xml:space="preserve"> </v>
      </c>
      <c r="M115" t="str">
        <f t="shared" ca="1" si="6"/>
        <v xml:space="preserve"> </v>
      </c>
      <c r="N115" s="3" t="str">
        <f t="shared" ca="1" si="7"/>
        <v xml:space="preserve"> </v>
      </c>
      <c r="O115" s="3" t="str">
        <f ca="1">IF(ISNUMBER($L115),INDIRECT("Input!A"&amp;1+MATCH($M115,aux_sheet_RRS!$D$2:$D$202,0))," ")</f>
        <v xml:space="preserve"> </v>
      </c>
      <c r="P115" s="3" t="str">
        <f ca="1">IF(ISNUMBER($L115),INDIRECT("Input!B"&amp;1+MATCH($M115,aux_sheet_RRS!$D$2:$D$202,0))," ")</f>
        <v xml:space="preserve"> </v>
      </c>
    </row>
    <row r="116" spans="1:16" x14ac:dyDescent="0.35">
      <c r="A116" t="str">
        <f>IF(ISBLANK(Input!A116)," ",ROUNDDOWN(aux_sheet_RRS!E116,0))</f>
        <v xml:space="preserve"> </v>
      </c>
      <c r="B116" t="str">
        <f ca="1">IF(ISBLANK(Input!A116)," ",INDIRECT("Input!A"&amp;1+MATCH($H116,aux_sheet_RRS!$D$2:$D$202,0)))</f>
        <v xml:space="preserve"> </v>
      </c>
      <c r="C116" t="str">
        <f ca="1">IF(ISBLANK(Input!B116)," ",INDIRECT("Input!B"&amp;1+MATCH($H116,aux_sheet_RRS!$D$2:$D$202,0)))</f>
        <v xml:space="preserve"> </v>
      </c>
      <c r="D116" t="str">
        <f ca="1">IF(ISBLANK(Input!C116)," ",INDIRECT("Input!C"&amp;1+MATCH($H116,aux_sheet_RRS!$D$2:$D$202,0)))</f>
        <v xml:space="preserve"> </v>
      </c>
      <c r="E116" t="str">
        <f ca="1">IF(ISBLANK(Input!D116)," ",INDIRECT("Input!D"&amp;1+MATCH($H116,aux_sheet_RRS!$D$2:$D$202,0)))</f>
        <v xml:space="preserve"> </v>
      </c>
      <c r="F116" t="str">
        <f ca="1">IF(ISBLANK(Input!E116)," ",INDIRECT("Input!H"&amp;1+MATCH($H116,aux_sheet_RRS!$D$2:$D$202,0)))</f>
        <v xml:space="preserve"> </v>
      </c>
      <c r="G116">
        <f ca="1">IF(ISBLANK(Input!G116)," ",INDIRECT("Input!AP"&amp;1+MATCH($H116,aux_sheet_RRS!$D$2:$D$202,0)))</f>
        <v>0</v>
      </c>
      <c r="H116">
        <f>aux_sheet_RRS!E116</f>
        <v>1000</v>
      </c>
      <c r="J116" t="str">
        <f t="shared" si="8"/>
        <v xml:space="preserve"> </v>
      </c>
      <c r="K116">
        <v>115</v>
      </c>
      <c r="L116" t="str">
        <f t="shared" ca="1" si="5"/>
        <v xml:space="preserve"> </v>
      </c>
      <c r="M116" t="str">
        <f t="shared" ca="1" si="6"/>
        <v xml:space="preserve"> </v>
      </c>
      <c r="N116" s="3" t="str">
        <f t="shared" ca="1" si="7"/>
        <v xml:space="preserve"> </v>
      </c>
      <c r="O116" s="3" t="str">
        <f ca="1">IF(ISNUMBER($L116),INDIRECT("Input!A"&amp;1+MATCH($M116,aux_sheet_RRS!$D$2:$D$202,0))," ")</f>
        <v xml:space="preserve"> </v>
      </c>
      <c r="P116" s="3" t="str">
        <f ca="1">IF(ISNUMBER($L116),INDIRECT("Input!B"&amp;1+MATCH($M116,aux_sheet_RRS!$D$2:$D$202,0))," ")</f>
        <v xml:space="preserve"> </v>
      </c>
    </row>
    <row r="117" spans="1:16" x14ac:dyDescent="0.35">
      <c r="A117" t="str">
        <f>IF(ISBLANK(Input!A117)," ",ROUNDDOWN(aux_sheet_RRS!E117,0))</f>
        <v xml:space="preserve"> </v>
      </c>
      <c r="B117" t="str">
        <f ca="1">IF(ISBLANK(Input!A117)," ",INDIRECT("Input!A"&amp;1+MATCH($H117,aux_sheet_RRS!$D$2:$D$202,0)))</f>
        <v xml:space="preserve"> </v>
      </c>
      <c r="C117" t="str">
        <f ca="1">IF(ISBLANK(Input!B117)," ",INDIRECT("Input!B"&amp;1+MATCH($H117,aux_sheet_RRS!$D$2:$D$202,0)))</f>
        <v xml:space="preserve"> </v>
      </c>
      <c r="D117" t="str">
        <f ca="1">IF(ISBLANK(Input!C117)," ",INDIRECT("Input!C"&amp;1+MATCH($H117,aux_sheet_RRS!$D$2:$D$202,0)))</f>
        <v xml:space="preserve"> </v>
      </c>
      <c r="E117" t="str">
        <f ca="1">IF(ISBLANK(Input!D117)," ",INDIRECT("Input!D"&amp;1+MATCH($H117,aux_sheet_RRS!$D$2:$D$202,0)))</f>
        <v xml:space="preserve"> </v>
      </c>
      <c r="F117" t="str">
        <f ca="1">IF(ISBLANK(Input!E117)," ",INDIRECT("Input!H"&amp;1+MATCH($H117,aux_sheet_RRS!$D$2:$D$202,0)))</f>
        <v xml:space="preserve"> </v>
      </c>
      <c r="G117">
        <f ca="1">IF(ISBLANK(Input!G117)," ",INDIRECT("Input!AP"&amp;1+MATCH($H117,aux_sheet_RRS!$D$2:$D$202,0)))</f>
        <v>0</v>
      </c>
      <c r="H117">
        <f>aux_sheet_RRS!E117</f>
        <v>1000</v>
      </c>
      <c r="J117" t="str">
        <f t="shared" si="8"/>
        <v xml:space="preserve"> </v>
      </c>
      <c r="K117">
        <v>116</v>
      </c>
      <c r="L117" t="str">
        <f t="shared" ca="1" si="5"/>
        <v xml:space="preserve"> </v>
      </c>
      <c r="M117" t="str">
        <f t="shared" ca="1" si="6"/>
        <v xml:space="preserve"> </v>
      </c>
      <c r="N117" s="3" t="str">
        <f t="shared" ca="1" si="7"/>
        <v xml:space="preserve"> </v>
      </c>
      <c r="O117" s="3" t="str">
        <f ca="1">IF(ISNUMBER($L117),INDIRECT("Input!A"&amp;1+MATCH($M117,aux_sheet_RRS!$D$2:$D$202,0))," ")</f>
        <v xml:space="preserve"> </v>
      </c>
      <c r="P117" s="3" t="str">
        <f ca="1">IF(ISNUMBER($L117),INDIRECT("Input!B"&amp;1+MATCH($M117,aux_sheet_RRS!$D$2:$D$202,0))," ")</f>
        <v xml:space="preserve"> </v>
      </c>
    </row>
    <row r="118" spans="1:16" x14ac:dyDescent="0.35">
      <c r="A118" t="str">
        <f>IF(ISBLANK(Input!A118)," ",ROUNDDOWN(aux_sheet_RRS!E118,0))</f>
        <v xml:space="preserve"> </v>
      </c>
      <c r="B118" t="str">
        <f ca="1">IF(ISBLANK(Input!A118)," ",INDIRECT("Input!A"&amp;1+MATCH($H118,aux_sheet_RRS!$D$2:$D$202,0)))</f>
        <v xml:space="preserve"> </v>
      </c>
      <c r="C118" t="str">
        <f ca="1">IF(ISBLANK(Input!B118)," ",INDIRECT("Input!B"&amp;1+MATCH($H118,aux_sheet_RRS!$D$2:$D$202,0)))</f>
        <v xml:space="preserve"> </v>
      </c>
      <c r="D118" t="str">
        <f ca="1">IF(ISBLANK(Input!C118)," ",INDIRECT("Input!C"&amp;1+MATCH($H118,aux_sheet_RRS!$D$2:$D$202,0)))</f>
        <v xml:space="preserve"> </v>
      </c>
      <c r="E118" t="str">
        <f ca="1">IF(ISBLANK(Input!D118)," ",INDIRECT("Input!D"&amp;1+MATCH($H118,aux_sheet_RRS!$D$2:$D$202,0)))</f>
        <v xml:space="preserve"> </v>
      </c>
      <c r="F118" t="str">
        <f ca="1">IF(ISBLANK(Input!E118)," ",INDIRECT("Input!H"&amp;1+MATCH($H118,aux_sheet_RRS!$D$2:$D$202,0)))</f>
        <v xml:space="preserve"> </v>
      </c>
      <c r="G118">
        <f ca="1">IF(ISBLANK(Input!G118)," ",INDIRECT("Input!AP"&amp;1+MATCH($H118,aux_sheet_RRS!$D$2:$D$202,0)))</f>
        <v>0</v>
      </c>
      <c r="H118">
        <f>aux_sheet_RRS!E118</f>
        <v>1000</v>
      </c>
      <c r="J118" t="str">
        <f t="shared" si="8"/>
        <v xml:space="preserve"> </v>
      </c>
      <c r="K118">
        <v>117</v>
      </c>
      <c r="L118" t="str">
        <f t="shared" ca="1" si="5"/>
        <v xml:space="preserve"> </v>
      </c>
      <c r="M118" t="str">
        <f t="shared" ca="1" si="6"/>
        <v xml:space="preserve"> </v>
      </c>
      <c r="N118" s="3" t="str">
        <f t="shared" ca="1" si="7"/>
        <v xml:space="preserve"> </v>
      </c>
      <c r="O118" s="3" t="str">
        <f ca="1">IF(ISNUMBER($L118),INDIRECT("Input!A"&amp;1+MATCH($M118,aux_sheet_RRS!$D$2:$D$202,0))," ")</f>
        <v xml:space="preserve"> </v>
      </c>
      <c r="P118" s="3" t="str">
        <f ca="1">IF(ISNUMBER($L118),INDIRECT("Input!B"&amp;1+MATCH($M118,aux_sheet_RRS!$D$2:$D$202,0))," ")</f>
        <v xml:space="preserve"> </v>
      </c>
    </row>
    <row r="119" spans="1:16" x14ac:dyDescent="0.35">
      <c r="A119" t="str">
        <f>IF(ISBLANK(Input!A119)," ",ROUNDDOWN(aux_sheet_RRS!E119,0))</f>
        <v xml:space="preserve"> </v>
      </c>
      <c r="B119" t="str">
        <f ca="1">IF(ISBLANK(Input!A119)," ",INDIRECT("Input!A"&amp;1+MATCH($H119,aux_sheet_RRS!$D$2:$D$202,0)))</f>
        <v xml:space="preserve"> </v>
      </c>
      <c r="C119" t="str">
        <f ca="1">IF(ISBLANK(Input!B119)," ",INDIRECT("Input!B"&amp;1+MATCH($H119,aux_sheet_RRS!$D$2:$D$202,0)))</f>
        <v xml:space="preserve"> </v>
      </c>
      <c r="D119" t="str">
        <f ca="1">IF(ISBLANK(Input!C119)," ",INDIRECT("Input!C"&amp;1+MATCH($H119,aux_sheet_RRS!$D$2:$D$202,0)))</f>
        <v xml:space="preserve"> </v>
      </c>
      <c r="E119" t="str">
        <f ca="1">IF(ISBLANK(Input!D119)," ",INDIRECT("Input!D"&amp;1+MATCH($H119,aux_sheet_RRS!$D$2:$D$202,0)))</f>
        <v xml:space="preserve"> </v>
      </c>
      <c r="F119" t="str">
        <f ca="1">IF(ISBLANK(Input!E119)," ",INDIRECT("Input!H"&amp;1+MATCH($H119,aux_sheet_RRS!$D$2:$D$202,0)))</f>
        <v xml:space="preserve"> </v>
      </c>
      <c r="G119">
        <f ca="1">IF(ISBLANK(Input!G119)," ",INDIRECT("Input!AP"&amp;1+MATCH($H119,aux_sheet_RRS!$D$2:$D$202,0)))</f>
        <v>0</v>
      </c>
      <c r="H119">
        <f>aux_sheet_RRS!E119</f>
        <v>1000</v>
      </c>
      <c r="J119" t="str">
        <f t="shared" si="8"/>
        <v xml:space="preserve"> </v>
      </c>
      <c r="K119">
        <v>118</v>
      </c>
      <c r="L119" t="str">
        <f t="shared" ca="1" si="5"/>
        <v xml:space="preserve"> </v>
      </c>
      <c r="M119" t="str">
        <f t="shared" ca="1" si="6"/>
        <v xml:space="preserve"> </v>
      </c>
      <c r="N119" s="3" t="str">
        <f t="shared" ca="1" si="7"/>
        <v xml:space="preserve"> </v>
      </c>
      <c r="O119" s="3" t="str">
        <f ca="1">IF(ISNUMBER($L119),INDIRECT("Input!A"&amp;1+MATCH($M119,aux_sheet_RRS!$D$2:$D$202,0))," ")</f>
        <v xml:space="preserve"> </v>
      </c>
      <c r="P119" s="3" t="str">
        <f ca="1">IF(ISNUMBER($L119),INDIRECT("Input!B"&amp;1+MATCH($M119,aux_sheet_RRS!$D$2:$D$202,0))," ")</f>
        <v xml:space="preserve"> </v>
      </c>
    </row>
    <row r="120" spans="1:16" x14ac:dyDescent="0.35">
      <c r="A120" t="str">
        <f>IF(ISBLANK(Input!A120)," ",ROUNDDOWN(aux_sheet_RRS!E120,0))</f>
        <v xml:space="preserve"> </v>
      </c>
      <c r="B120" t="str">
        <f ca="1">IF(ISBLANK(Input!A120)," ",INDIRECT("Input!A"&amp;1+MATCH($H120,aux_sheet_RRS!$D$2:$D$202,0)))</f>
        <v xml:space="preserve"> </v>
      </c>
      <c r="C120" t="str">
        <f ca="1">IF(ISBLANK(Input!B120)," ",INDIRECT("Input!B"&amp;1+MATCH($H120,aux_sheet_RRS!$D$2:$D$202,0)))</f>
        <v xml:space="preserve"> </v>
      </c>
      <c r="D120" t="str">
        <f ca="1">IF(ISBLANK(Input!C120)," ",INDIRECT("Input!C"&amp;1+MATCH($H120,aux_sheet_RRS!$D$2:$D$202,0)))</f>
        <v xml:space="preserve"> </v>
      </c>
      <c r="E120" t="str">
        <f ca="1">IF(ISBLANK(Input!D120)," ",INDIRECT("Input!D"&amp;1+MATCH($H120,aux_sheet_RRS!$D$2:$D$202,0)))</f>
        <v xml:space="preserve"> </v>
      </c>
      <c r="F120" t="str">
        <f ca="1">IF(ISBLANK(Input!E120)," ",INDIRECT("Input!H"&amp;1+MATCH($H120,aux_sheet_RRS!$D$2:$D$202,0)))</f>
        <v xml:space="preserve"> </v>
      </c>
      <c r="G120">
        <f ca="1">IF(ISBLANK(Input!G120)," ",INDIRECT("Input!AP"&amp;1+MATCH($H120,aux_sheet_RRS!$D$2:$D$202,0)))</f>
        <v>0</v>
      </c>
      <c r="H120">
        <f>aux_sheet_RRS!E120</f>
        <v>1000</v>
      </c>
      <c r="J120" t="str">
        <f t="shared" si="8"/>
        <v xml:space="preserve"> </v>
      </c>
      <c r="K120">
        <v>119</v>
      </c>
      <c r="L120" t="str">
        <f t="shared" ca="1" si="5"/>
        <v xml:space="preserve"> </v>
      </c>
      <c r="M120" t="str">
        <f t="shared" ca="1" si="6"/>
        <v xml:space="preserve"> </v>
      </c>
      <c r="N120" s="3" t="str">
        <f t="shared" ca="1" si="7"/>
        <v xml:space="preserve"> </v>
      </c>
      <c r="O120" s="3" t="str">
        <f ca="1">IF(ISNUMBER($L120),INDIRECT("Input!A"&amp;1+MATCH($M120,aux_sheet_RRS!$D$2:$D$202,0))," ")</f>
        <v xml:space="preserve"> </v>
      </c>
      <c r="P120" s="3" t="str">
        <f ca="1">IF(ISNUMBER($L120),INDIRECT("Input!B"&amp;1+MATCH($M120,aux_sheet_RRS!$D$2:$D$202,0))," ")</f>
        <v xml:space="preserve"> </v>
      </c>
    </row>
    <row r="121" spans="1:16" x14ac:dyDescent="0.35">
      <c r="A121" t="str">
        <f>IF(ISBLANK(Input!A121)," ",ROUNDDOWN(aux_sheet_RRS!E121,0))</f>
        <v xml:space="preserve"> </v>
      </c>
      <c r="B121" t="str">
        <f ca="1">IF(ISBLANK(Input!A121)," ",INDIRECT("Input!A"&amp;1+MATCH($H121,aux_sheet_RRS!$D$2:$D$202,0)))</f>
        <v xml:space="preserve"> </v>
      </c>
      <c r="C121" t="str">
        <f ca="1">IF(ISBLANK(Input!B121)," ",INDIRECT("Input!B"&amp;1+MATCH($H121,aux_sheet_RRS!$D$2:$D$202,0)))</f>
        <v xml:space="preserve"> </v>
      </c>
      <c r="D121" t="str">
        <f ca="1">IF(ISBLANK(Input!C121)," ",INDIRECT("Input!C"&amp;1+MATCH($H121,aux_sheet_RRS!$D$2:$D$202,0)))</f>
        <v xml:space="preserve"> </v>
      </c>
      <c r="E121" t="str">
        <f ca="1">IF(ISBLANK(Input!D121)," ",INDIRECT("Input!D"&amp;1+MATCH($H121,aux_sheet_RRS!$D$2:$D$202,0)))</f>
        <v xml:space="preserve"> </v>
      </c>
      <c r="F121" t="str">
        <f ca="1">IF(ISBLANK(Input!E121)," ",INDIRECT("Input!H"&amp;1+MATCH($H121,aux_sheet_RRS!$D$2:$D$202,0)))</f>
        <v xml:space="preserve"> </v>
      </c>
      <c r="G121">
        <f ca="1">IF(ISBLANK(Input!G121)," ",INDIRECT("Input!AP"&amp;1+MATCH($H121,aux_sheet_RRS!$D$2:$D$202,0)))</f>
        <v>0</v>
      </c>
      <c r="H121">
        <f>aux_sheet_RRS!E121</f>
        <v>1000</v>
      </c>
      <c r="J121" t="str">
        <f t="shared" si="8"/>
        <v xml:space="preserve"> </v>
      </c>
      <c r="K121">
        <v>120</v>
      </c>
      <c r="L121" t="str">
        <f t="shared" ca="1" si="5"/>
        <v xml:space="preserve"> </v>
      </c>
      <c r="M121" t="str">
        <f t="shared" ca="1" si="6"/>
        <v xml:space="preserve"> </v>
      </c>
      <c r="N121" s="3" t="str">
        <f t="shared" ca="1" si="7"/>
        <v xml:space="preserve"> </v>
      </c>
      <c r="O121" s="3" t="str">
        <f ca="1">IF(ISNUMBER($L121),INDIRECT("Input!A"&amp;1+MATCH($M121,aux_sheet_RRS!$D$2:$D$202,0))," ")</f>
        <v xml:space="preserve"> </v>
      </c>
      <c r="P121" s="3" t="str">
        <f ca="1">IF(ISNUMBER($L121),INDIRECT("Input!B"&amp;1+MATCH($M121,aux_sheet_RRS!$D$2:$D$202,0))," ")</f>
        <v xml:space="preserve"> </v>
      </c>
    </row>
    <row r="122" spans="1:16" x14ac:dyDescent="0.35">
      <c r="A122" t="str">
        <f>IF(ISBLANK(Input!A122)," ",ROUNDDOWN(aux_sheet_RRS!E122,0))</f>
        <v xml:space="preserve"> </v>
      </c>
      <c r="B122" t="str">
        <f ca="1">IF(ISBLANK(Input!A122)," ",INDIRECT("Input!A"&amp;1+MATCH($H122,aux_sheet_RRS!$D$2:$D$202,0)))</f>
        <v xml:space="preserve"> </v>
      </c>
      <c r="C122" t="str">
        <f ca="1">IF(ISBLANK(Input!B122)," ",INDIRECT("Input!B"&amp;1+MATCH($H122,aux_sheet_RRS!$D$2:$D$202,0)))</f>
        <v xml:space="preserve"> </v>
      </c>
      <c r="D122" t="str">
        <f ca="1">IF(ISBLANK(Input!C122)," ",INDIRECT("Input!C"&amp;1+MATCH($H122,aux_sheet_RRS!$D$2:$D$202,0)))</f>
        <v xml:space="preserve"> </v>
      </c>
      <c r="E122" t="str">
        <f ca="1">IF(ISBLANK(Input!D122)," ",INDIRECT("Input!D"&amp;1+MATCH($H122,aux_sheet_RRS!$D$2:$D$202,0)))</f>
        <v xml:space="preserve"> </v>
      </c>
      <c r="F122" t="str">
        <f ca="1">IF(ISBLANK(Input!E122)," ",INDIRECT("Input!H"&amp;1+MATCH($H122,aux_sheet_RRS!$D$2:$D$202,0)))</f>
        <v xml:space="preserve"> </v>
      </c>
      <c r="G122">
        <f ca="1">IF(ISBLANK(Input!G122)," ",INDIRECT("Input!AP"&amp;1+MATCH($H122,aux_sheet_RRS!$D$2:$D$202,0)))</f>
        <v>0</v>
      </c>
      <c r="H122">
        <f>aux_sheet_RRS!E122</f>
        <v>1000</v>
      </c>
      <c r="J122" t="str">
        <f t="shared" si="8"/>
        <v xml:space="preserve"> </v>
      </c>
      <c r="K122">
        <v>121</v>
      </c>
      <c r="L122" t="str">
        <f t="shared" ca="1" si="5"/>
        <v xml:space="preserve"> </v>
      </c>
      <c r="M122" t="str">
        <f t="shared" ca="1" si="6"/>
        <v xml:space="preserve"> </v>
      </c>
      <c r="N122" s="3" t="str">
        <f t="shared" ca="1" si="7"/>
        <v xml:space="preserve"> </v>
      </c>
      <c r="O122" s="3" t="str">
        <f ca="1">IF(ISNUMBER($L122),INDIRECT("Input!A"&amp;1+MATCH($M122,aux_sheet_RRS!$D$2:$D$202,0))," ")</f>
        <v xml:space="preserve"> </v>
      </c>
      <c r="P122" s="3" t="str">
        <f ca="1">IF(ISNUMBER($L122),INDIRECT("Input!B"&amp;1+MATCH($M122,aux_sheet_RRS!$D$2:$D$202,0))," ")</f>
        <v xml:space="preserve"> </v>
      </c>
    </row>
    <row r="123" spans="1:16" x14ac:dyDescent="0.35">
      <c r="A123" t="str">
        <f>IF(ISBLANK(Input!A123)," ",ROUNDDOWN(aux_sheet_RRS!E123,0))</f>
        <v xml:space="preserve"> </v>
      </c>
      <c r="B123" t="str">
        <f ca="1">IF(ISBLANK(Input!A123)," ",INDIRECT("Input!A"&amp;1+MATCH($H123,aux_sheet_RRS!$D$2:$D$202,0)))</f>
        <v xml:space="preserve"> </v>
      </c>
      <c r="C123" t="str">
        <f ca="1">IF(ISBLANK(Input!B123)," ",INDIRECT("Input!B"&amp;1+MATCH($H123,aux_sheet_RRS!$D$2:$D$202,0)))</f>
        <v xml:space="preserve"> </v>
      </c>
      <c r="D123" t="str">
        <f ca="1">IF(ISBLANK(Input!C123)," ",INDIRECT("Input!C"&amp;1+MATCH($H123,aux_sheet_RRS!$D$2:$D$202,0)))</f>
        <v xml:space="preserve"> </v>
      </c>
      <c r="E123" t="str">
        <f ca="1">IF(ISBLANK(Input!D123)," ",INDIRECT("Input!D"&amp;1+MATCH($H123,aux_sheet_RRS!$D$2:$D$202,0)))</f>
        <v xml:space="preserve"> </v>
      </c>
      <c r="F123" t="str">
        <f ca="1">IF(ISBLANK(Input!E123)," ",INDIRECT("Input!H"&amp;1+MATCH($H123,aux_sheet_RRS!$D$2:$D$202,0)))</f>
        <v xml:space="preserve"> </v>
      </c>
      <c r="G123">
        <f ca="1">IF(ISBLANK(Input!G123)," ",INDIRECT("Input!AP"&amp;1+MATCH($H123,aux_sheet_RRS!$D$2:$D$202,0)))</f>
        <v>0</v>
      </c>
      <c r="H123">
        <f>aux_sheet_RRS!E123</f>
        <v>1000</v>
      </c>
      <c r="J123" t="str">
        <f t="shared" si="8"/>
        <v xml:space="preserve"> </v>
      </c>
      <c r="K123">
        <v>122</v>
      </c>
      <c r="L123" t="str">
        <f t="shared" ca="1" si="5"/>
        <v xml:space="preserve"> </v>
      </c>
      <c r="M123" t="str">
        <f t="shared" ca="1" si="6"/>
        <v xml:space="preserve"> </v>
      </c>
      <c r="N123" s="3" t="str">
        <f t="shared" ca="1" si="7"/>
        <v xml:space="preserve"> </v>
      </c>
      <c r="O123" s="3" t="str">
        <f ca="1">IF(ISNUMBER($L123),INDIRECT("Input!A"&amp;1+MATCH($M123,aux_sheet_RRS!$D$2:$D$202,0))," ")</f>
        <v xml:space="preserve"> </v>
      </c>
      <c r="P123" s="3" t="str">
        <f ca="1">IF(ISNUMBER($L123),INDIRECT("Input!B"&amp;1+MATCH($M123,aux_sheet_RRS!$D$2:$D$202,0))," ")</f>
        <v xml:space="preserve"> </v>
      </c>
    </row>
    <row r="124" spans="1:16" x14ac:dyDescent="0.35">
      <c r="A124" t="str">
        <f>IF(ISBLANK(Input!A124)," ",ROUNDDOWN(aux_sheet_RRS!E124,0))</f>
        <v xml:space="preserve"> </v>
      </c>
      <c r="B124" t="str">
        <f ca="1">IF(ISBLANK(Input!A124)," ",INDIRECT("Input!A"&amp;1+MATCH($H124,aux_sheet_RRS!$D$2:$D$202,0)))</f>
        <v xml:space="preserve"> </v>
      </c>
      <c r="C124" t="str">
        <f ca="1">IF(ISBLANK(Input!B124)," ",INDIRECT("Input!B"&amp;1+MATCH($H124,aux_sheet_RRS!$D$2:$D$202,0)))</f>
        <v xml:space="preserve"> </v>
      </c>
      <c r="D124" t="str">
        <f ca="1">IF(ISBLANK(Input!C124)," ",INDIRECT("Input!C"&amp;1+MATCH($H124,aux_sheet_RRS!$D$2:$D$202,0)))</f>
        <v xml:space="preserve"> </v>
      </c>
      <c r="E124" t="str">
        <f ca="1">IF(ISBLANK(Input!D124)," ",INDIRECT("Input!D"&amp;1+MATCH($H124,aux_sheet_RRS!$D$2:$D$202,0)))</f>
        <v xml:space="preserve"> </v>
      </c>
      <c r="F124" t="str">
        <f ca="1">IF(ISBLANK(Input!E124)," ",INDIRECT("Input!H"&amp;1+MATCH($H124,aux_sheet_RRS!$D$2:$D$202,0)))</f>
        <v xml:space="preserve"> </v>
      </c>
      <c r="G124">
        <f ca="1">IF(ISBLANK(Input!G124)," ",INDIRECT("Input!AP"&amp;1+MATCH($H124,aux_sheet_RRS!$D$2:$D$202,0)))</f>
        <v>0</v>
      </c>
      <c r="H124">
        <f>aux_sheet_RRS!E124</f>
        <v>1000</v>
      </c>
      <c r="J124" t="str">
        <f t="shared" si="8"/>
        <v xml:space="preserve"> </v>
      </c>
      <c r="K124">
        <v>123</v>
      </c>
      <c r="L124" t="str">
        <f t="shared" ca="1" si="5"/>
        <v xml:space="preserve"> </v>
      </c>
      <c r="M124" t="str">
        <f t="shared" ca="1" si="6"/>
        <v xml:space="preserve"> </v>
      </c>
      <c r="N124" s="3" t="str">
        <f t="shared" ca="1" si="7"/>
        <v xml:space="preserve"> </v>
      </c>
      <c r="O124" s="3" t="str">
        <f ca="1">IF(ISNUMBER($L124),INDIRECT("Input!A"&amp;1+MATCH($M124,aux_sheet_RRS!$D$2:$D$202,0))," ")</f>
        <v xml:space="preserve"> </v>
      </c>
      <c r="P124" s="3" t="str">
        <f ca="1">IF(ISNUMBER($L124),INDIRECT("Input!B"&amp;1+MATCH($M124,aux_sheet_RRS!$D$2:$D$202,0))," ")</f>
        <v xml:space="preserve"> </v>
      </c>
    </row>
    <row r="125" spans="1:16" x14ac:dyDescent="0.35">
      <c r="A125" t="str">
        <f>IF(ISBLANK(Input!A125)," ",ROUNDDOWN(aux_sheet_RRS!E125,0))</f>
        <v xml:space="preserve"> </v>
      </c>
      <c r="B125" t="str">
        <f ca="1">IF(ISBLANK(Input!A125)," ",INDIRECT("Input!A"&amp;1+MATCH($H125,aux_sheet_RRS!$D$2:$D$202,0)))</f>
        <v xml:space="preserve"> </v>
      </c>
      <c r="C125" t="str">
        <f ca="1">IF(ISBLANK(Input!B125)," ",INDIRECT("Input!B"&amp;1+MATCH($H125,aux_sheet_RRS!$D$2:$D$202,0)))</f>
        <v xml:space="preserve"> </v>
      </c>
      <c r="D125" t="str">
        <f ca="1">IF(ISBLANK(Input!C125)," ",INDIRECT("Input!C"&amp;1+MATCH($H125,aux_sheet_RRS!$D$2:$D$202,0)))</f>
        <v xml:space="preserve"> </v>
      </c>
      <c r="E125" t="str">
        <f ca="1">IF(ISBLANK(Input!D125)," ",INDIRECT("Input!D"&amp;1+MATCH($H125,aux_sheet_RRS!$D$2:$D$202,0)))</f>
        <v xml:space="preserve"> </v>
      </c>
      <c r="F125" t="str">
        <f ca="1">IF(ISBLANK(Input!E125)," ",INDIRECT("Input!H"&amp;1+MATCH($H125,aux_sheet_RRS!$D$2:$D$202,0)))</f>
        <v xml:space="preserve"> </v>
      </c>
      <c r="G125">
        <f ca="1">IF(ISBLANK(Input!G125)," ",INDIRECT("Input!AP"&amp;1+MATCH($H125,aux_sheet_RRS!$D$2:$D$202,0)))</f>
        <v>0</v>
      </c>
      <c r="H125">
        <f>aux_sheet_RRS!E125</f>
        <v>1000</v>
      </c>
      <c r="J125" t="str">
        <f t="shared" si="8"/>
        <v xml:space="preserve"> </v>
      </c>
      <c r="K125">
        <v>124</v>
      </c>
      <c r="L125" t="str">
        <f t="shared" ca="1" si="5"/>
        <v xml:space="preserve"> </v>
      </c>
      <c r="M125" t="str">
        <f t="shared" ca="1" si="6"/>
        <v xml:space="preserve"> </v>
      </c>
      <c r="N125" s="3" t="str">
        <f t="shared" ca="1" si="7"/>
        <v xml:space="preserve"> </v>
      </c>
      <c r="O125" s="3" t="str">
        <f ca="1">IF(ISNUMBER($L125),INDIRECT("Input!A"&amp;1+MATCH($M125,aux_sheet_RRS!$D$2:$D$202,0))," ")</f>
        <v xml:space="preserve"> </v>
      </c>
      <c r="P125" s="3" t="str">
        <f ca="1">IF(ISNUMBER($L125),INDIRECT("Input!B"&amp;1+MATCH($M125,aux_sheet_RRS!$D$2:$D$202,0))," ")</f>
        <v xml:space="preserve"> </v>
      </c>
    </row>
    <row r="126" spans="1:16" x14ac:dyDescent="0.35">
      <c r="A126" t="str">
        <f>IF(ISBLANK(Input!A126)," ",ROUNDDOWN(aux_sheet_RRS!E126,0))</f>
        <v xml:space="preserve"> </v>
      </c>
      <c r="B126" t="str">
        <f ca="1">IF(ISBLANK(Input!A126)," ",INDIRECT("Input!A"&amp;1+MATCH($H126,aux_sheet_RRS!$D$2:$D$202,0)))</f>
        <v xml:space="preserve"> </v>
      </c>
      <c r="C126" t="str">
        <f ca="1">IF(ISBLANK(Input!B126)," ",INDIRECT("Input!B"&amp;1+MATCH($H126,aux_sheet_RRS!$D$2:$D$202,0)))</f>
        <v xml:space="preserve"> </v>
      </c>
      <c r="D126" t="str">
        <f ca="1">IF(ISBLANK(Input!C126)," ",INDIRECT("Input!C"&amp;1+MATCH($H126,aux_sheet_RRS!$D$2:$D$202,0)))</f>
        <v xml:space="preserve"> </v>
      </c>
      <c r="E126" t="str">
        <f ca="1">IF(ISBLANK(Input!D126)," ",INDIRECT("Input!D"&amp;1+MATCH($H126,aux_sheet_RRS!$D$2:$D$202,0)))</f>
        <v xml:space="preserve"> </v>
      </c>
      <c r="F126" t="str">
        <f ca="1">IF(ISBLANK(Input!E126)," ",INDIRECT("Input!H"&amp;1+MATCH($H126,aux_sheet_RRS!$D$2:$D$202,0)))</f>
        <v xml:space="preserve"> </v>
      </c>
      <c r="G126">
        <f ca="1">IF(ISBLANK(Input!G126)," ",INDIRECT("Input!AP"&amp;1+MATCH($H126,aux_sheet_RRS!$D$2:$D$202,0)))</f>
        <v>0</v>
      </c>
      <c r="H126">
        <f>aux_sheet_RRS!E126</f>
        <v>1000</v>
      </c>
      <c r="J126" t="str">
        <f t="shared" si="8"/>
        <v xml:space="preserve"> </v>
      </c>
      <c r="K126">
        <v>125</v>
      </c>
      <c r="L126" t="str">
        <f t="shared" ca="1" si="5"/>
        <v xml:space="preserve"> </v>
      </c>
      <c r="M126" t="str">
        <f t="shared" ca="1" si="6"/>
        <v xml:space="preserve"> </v>
      </c>
      <c r="N126" s="3" t="str">
        <f t="shared" ca="1" si="7"/>
        <v xml:space="preserve"> </v>
      </c>
      <c r="O126" s="3" t="str">
        <f ca="1">IF(ISNUMBER($L126),INDIRECT("Input!A"&amp;1+MATCH($M126,aux_sheet_RRS!$D$2:$D$202,0))," ")</f>
        <v xml:space="preserve"> </v>
      </c>
      <c r="P126" s="3" t="str">
        <f ca="1">IF(ISNUMBER($L126),INDIRECT("Input!B"&amp;1+MATCH($M126,aux_sheet_RRS!$D$2:$D$202,0))," ")</f>
        <v xml:space="preserve"> </v>
      </c>
    </row>
    <row r="127" spans="1:16" x14ac:dyDescent="0.35">
      <c r="A127" t="str">
        <f>IF(ISBLANK(Input!A127)," ",ROUNDDOWN(aux_sheet_RRS!E127,0))</f>
        <v xml:space="preserve"> </v>
      </c>
      <c r="B127" t="str">
        <f ca="1">IF(ISBLANK(Input!A127)," ",INDIRECT("Input!A"&amp;1+MATCH($H127,aux_sheet_RRS!$D$2:$D$202,0)))</f>
        <v xml:space="preserve"> </v>
      </c>
      <c r="C127" t="str">
        <f ca="1">IF(ISBLANK(Input!B127)," ",INDIRECT("Input!B"&amp;1+MATCH($H127,aux_sheet_RRS!$D$2:$D$202,0)))</f>
        <v xml:space="preserve"> </v>
      </c>
      <c r="D127" t="str">
        <f ca="1">IF(ISBLANK(Input!C127)," ",INDIRECT("Input!C"&amp;1+MATCH($H127,aux_sheet_RRS!$D$2:$D$202,0)))</f>
        <v xml:space="preserve"> </v>
      </c>
      <c r="E127" t="str">
        <f ca="1">IF(ISBLANK(Input!D127)," ",INDIRECT("Input!D"&amp;1+MATCH($H127,aux_sheet_RRS!$D$2:$D$202,0)))</f>
        <v xml:space="preserve"> </v>
      </c>
      <c r="F127" t="str">
        <f ca="1">IF(ISBLANK(Input!E127)," ",INDIRECT("Input!H"&amp;1+MATCH($H127,aux_sheet_RRS!$D$2:$D$202,0)))</f>
        <v xml:space="preserve"> </v>
      </c>
      <c r="G127">
        <f ca="1">IF(ISBLANK(Input!G127)," ",INDIRECT("Input!AP"&amp;1+MATCH($H127,aux_sheet_RRS!$D$2:$D$202,0)))</f>
        <v>0</v>
      </c>
      <c r="H127">
        <f>aux_sheet_RRS!E127</f>
        <v>1000</v>
      </c>
      <c r="J127" t="str">
        <f t="shared" si="8"/>
        <v xml:space="preserve"> </v>
      </c>
      <c r="K127">
        <v>126</v>
      </c>
      <c r="L127" t="str">
        <f t="shared" ca="1" si="5"/>
        <v xml:space="preserve"> </v>
      </c>
      <c r="M127" t="str">
        <f t="shared" ca="1" si="6"/>
        <v xml:space="preserve"> </v>
      </c>
      <c r="N127" s="3" t="str">
        <f t="shared" ca="1" si="7"/>
        <v xml:space="preserve"> </v>
      </c>
      <c r="O127" s="3" t="str">
        <f ca="1">IF(ISNUMBER($L127),INDIRECT("Input!A"&amp;1+MATCH($M127,aux_sheet_RRS!$D$2:$D$202,0))," ")</f>
        <v xml:space="preserve"> </v>
      </c>
      <c r="P127" s="3" t="str">
        <f ca="1">IF(ISNUMBER($L127),INDIRECT("Input!B"&amp;1+MATCH($M127,aux_sheet_RRS!$D$2:$D$202,0))," ")</f>
        <v xml:space="preserve"> </v>
      </c>
    </row>
    <row r="128" spans="1:16" x14ac:dyDescent="0.35">
      <c r="A128" t="str">
        <f>IF(ISBLANK(Input!A128)," ",ROUNDDOWN(aux_sheet_RRS!E128,0))</f>
        <v xml:space="preserve"> </v>
      </c>
      <c r="B128" t="str">
        <f ca="1">IF(ISBLANK(Input!A128)," ",INDIRECT("Input!A"&amp;1+MATCH($H128,aux_sheet_RRS!$D$2:$D$202,0)))</f>
        <v xml:space="preserve"> </v>
      </c>
      <c r="C128" t="str">
        <f ca="1">IF(ISBLANK(Input!B128)," ",INDIRECT("Input!B"&amp;1+MATCH($H128,aux_sheet_RRS!$D$2:$D$202,0)))</f>
        <v xml:space="preserve"> </v>
      </c>
      <c r="D128" t="str">
        <f ca="1">IF(ISBLANK(Input!C128)," ",INDIRECT("Input!C"&amp;1+MATCH($H128,aux_sheet_RRS!$D$2:$D$202,0)))</f>
        <v xml:space="preserve"> </v>
      </c>
      <c r="E128" t="str">
        <f ca="1">IF(ISBLANK(Input!D128)," ",INDIRECT("Input!D"&amp;1+MATCH($H128,aux_sheet_RRS!$D$2:$D$202,0)))</f>
        <v xml:space="preserve"> </v>
      </c>
      <c r="F128" t="str">
        <f ca="1">IF(ISBLANK(Input!E128)," ",INDIRECT("Input!H"&amp;1+MATCH($H128,aux_sheet_RRS!$D$2:$D$202,0)))</f>
        <v xml:space="preserve"> </v>
      </c>
      <c r="G128">
        <f ca="1">IF(ISBLANK(Input!G128)," ",INDIRECT("Input!AP"&amp;1+MATCH($H128,aux_sheet_RRS!$D$2:$D$202,0)))</f>
        <v>0</v>
      </c>
      <c r="H128">
        <f>aux_sheet_RRS!E128</f>
        <v>1000</v>
      </c>
      <c r="J128" t="str">
        <f t="shared" si="8"/>
        <v xml:space="preserve"> </v>
      </c>
      <c r="K128">
        <v>127</v>
      </c>
      <c r="L128" t="str">
        <f t="shared" ca="1" si="5"/>
        <v xml:space="preserve"> </v>
      </c>
      <c r="M128" t="str">
        <f t="shared" ca="1" si="6"/>
        <v xml:space="preserve"> </v>
      </c>
      <c r="N128" s="3" t="str">
        <f t="shared" ca="1" si="7"/>
        <v xml:space="preserve"> </v>
      </c>
      <c r="O128" s="3" t="str">
        <f ca="1">IF(ISNUMBER($L128),INDIRECT("Input!A"&amp;1+MATCH($M128,aux_sheet_RRS!$D$2:$D$202,0))," ")</f>
        <v xml:space="preserve"> </v>
      </c>
      <c r="P128" s="3" t="str">
        <f ca="1">IF(ISNUMBER($L128),INDIRECT("Input!B"&amp;1+MATCH($M128,aux_sheet_RRS!$D$2:$D$202,0))," ")</f>
        <v xml:space="preserve"> </v>
      </c>
    </row>
    <row r="129" spans="1:16" x14ac:dyDescent="0.35">
      <c r="A129" t="str">
        <f>IF(ISBLANK(Input!A129)," ",ROUNDDOWN(aux_sheet_RRS!E129,0))</f>
        <v xml:space="preserve"> </v>
      </c>
      <c r="B129" t="str">
        <f ca="1">IF(ISBLANK(Input!A129)," ",INDIRECT("Input!A"&amp;1+MATCH($H129,aux_sheet_RRS!$D$2:$D$202,0)))</f>
        <v xml:space="preserve"> </v>
      </c>
      <c r="C129" t="str">
        <f ca="1">IF(ISBLANK(Input!B129)," ",INDIRECT("Input!B"&amp;1+MATCH($H129,aux_sheet_RRS!$D$2:$D$202,0)))</f>
        <v xml:space="preserve"> </v>
      </c>
      <c r="D129" t="str">
        <f ca="1">IF(ISBLANK(Input!C129)," ",INDIRECT("Input!C"&amp;1+MATCH($H129,aux_sheet_RRS!$D$2:$D$202,0)))</f>
        <v xml:space="preserve"> </v>
      </c>
      <c r="E129" t="str">
        <f ca="1">IF(ISBLANK(Input!D129)," ",INDIRECT("Input!D"&amp;1+MATCH($H129,aux_sheet_RRS!$D$2:$D$202,0)))</f>
        <v xml:space="preserve"> </v>
      </c>
      <c r="F129" t="str">
        <f ca="1">IF(ISBLANK(Input!E129)," ",INDIRECT("Input!H"&amp;1+MATCH($H129,aux_sheet_RRS!$D$2:$D$202,0)))</f>
        <v xml:space="preserve"> </v>
      </c>
      <c r="G129">
        <f ca="1">IF(ISBLANK(Input!G129)," ",INDIRECT("Input!AP"&amp;1+MATCH($H129,aux_sheet_RRS!$D$2:$D$202,0)))</f>
        <v>0</v>
      </c>
      <c r="H129">
        <f>aux_sheet_RRS!E129</f>
        <v>1000</v>
      </c>
      <c r="J129" t="str">
        <f t="shared" si="8"/>
        <v xml:space="preserve"> </v>
      </c>
      <c r="K129">
        <v>128</v>
      </c>
      <c r="L129" t="str">
        <f t="shared" ca="1" si="5"/>
        <v xml:space="preserve"> </v>
      </c>
      <c r="M129" t="str">
        <f t="shared" ca="1" si="6"/>
        <v xml:space="preserve"> </v>
      </c>
      <c r="N129" s="3" t="str">
        <f ca="1">IF(ISNUMBER(M129),ROUNDDOWN(M129,0)," ")</f>
        <v xml:space="preserve"> </v>
      </c>
      <c r="O129" s="3" t="str">
        <f ca="1">IF(ISNUMBER($L129),INDIRECT("Input!A"&amp;1+MATCH($M129,aux_sheet_RRS!$D$2:$D$202,0))," ")</f>
        <v xml:space="preserve"> </v>
      </c>
      <c r="P129" s="3" t="str">
        <f ca="1">IF(ISNUMBER($L129),INDIRECT("Input!B"&amp;1+MATCH($M129,aux_sheet_RRS!$D$2:$D$202,0))," ")</f>
        <v xml:space="preserve"> </v>
      </c>
    </row>
    <row r="130" spans="1:16" x14ac:dyDescent="0.35">
      <c r="A130" t="str">
        <f>IF(ISBLANK(Input!A130)," ",ROUNDDOWN(aux_sheet_RRS!E130,0))</f>
        <v xml:space="preserve"> </v>
      </c>
      <c r="B130" t="str">
        <f ca="1">IF(ISBLANK(Input!A130)," ",INDIRECT("Input!A"&amp;1+MATCH($H130,aux_sheet_RRS!$D$2:$D$202,0)))</f>
        <v xml:space="preserve"> </v>
      </c>
      <c r="C130" t="str">
        <f ca="1">IF(ISBLANK(Input!B130)," ",INDIRECT("Input!B"&amp;1+MATCH($H130,aux_sheet_RRS!$D$2:$D$202,0)))</f>
        <v xml:space="preserve"> </v>
      </c>
      <c r="D130" t="str">
        <f ca="1">IF(ISBLANK(Input!C130)," ",INDIRECT("Input!C"&amp;1+MATCH($H130,aux_sheet_RRS!$D$2:$D$202,0)))</f>
        <v xml:space="preserve"> </v>
      </c>
      <c r="E130" t="str">
        <f ca="1">IF(ISBLANK(Input!D130)," ",INDIRECT("Input!D"&amp;1+MATCH($H130,aux_sheet_RRS!$D$2:$D$202,0)))</f>
        <v xml:space="preserve"> </v>
      </c>
      <c r="F130" t="str">
        <f ca="1">IF(ISBLANK(Input!E130)," ",INDIRECT("Input!H"&amp;1+MATCH($H130,aux_sheet_RRS!$D$2:$D$202,0)))</f>
        <v xml:space="preserve"> </v>
      </c>
      <c r="G130">
        <f ca="1">IF(ISBLANK(Input!G130)," ",INDIRECT("Input!AP"&amp;1+MATCH($H130,aux_sheet_RRS!$D$2:$D$202,0)))</f>
        <v>0</v>
      </c>
      <c r="H130">
        <f>aux_sheet_RRS!E130</f>
        <v>1000</v>
      </c>
      <c r="J130" t="str">
        <f t="shared" si="8"/>
        <v xml:space="preserve"> </v>
      </c>
      <c r="K130">
        <v>129</v>
      </c>
      <c r="L130" t="str">
        <f t="shared" ca="1" si="5"/>
        <v xml:space="preserve"> </v>
      </c>
      <c r="M130" t="str">
        <f t="shared" ca="1" si="6"/>
        <v xml:space="preserve"> </v>
      </c>
      <c r="N130" s="3" t="str">
        <f t="shared" ref="N130:N193" ca="1" si="9">IF(ISNUMBER(M130),ROUNDDOWN(M130,0)," ")</f>
        <v xml:space="preserve"> </v>
      </c>
      <c r="O130" s="3" t="str">
        <f ca="1">IF(ISNUMBER($L130),INDIRECT("Input!A"&amp;1+MATCH($M130,aux_sheet_RRS!$D$2:$D$202,0))," ")</f>
        <v xml:space="preserve"> </v>
      </c>
      <c r="P130" s="3" t="str">
        <f ca="1">IF(ISNUMBER($L130),INDIRECT("Input!B"&amp;1+MATCH($M130,aux_sheet_RRS!$D$2:$D$202,0))," ")</f>
        <v xml:space="preserve"> </v>
      </c>
    </row>
    <row r="131" spans="1:16" x14ac:dyDescent="0.35">
      <c r="A131" t="str">
        <f>IF(ISBLANK(Input!A131)," ",ROUNDDOWN(aux_sheet_RRS!E131,0))</f>
        <v xml:space="preserve"> </v>
      </c>
      <c r="B131" t="str">
        <f ca="1">IF(ISBLANK(Input!A131)," ",INDIRECT("Input!A"&amp;1+MATCH($H131,aux_sheet_RRS!$D$2:$D$202,0)))</f>
        <v xml:space="preserve"> </v>
      </c>
      <c r="C131" t="str">
        <f ca="1">IF(ISBLANK(Input!B131)," ",INDIRECT("Input!B"&amp;1+MATCH($H131,aux_sheet_RRS!$D$2:$D$202,0)))</f>
        <v xml:space="preserve"> </v>
      </c>
      <c r="D131" t="str">
        <f ca="1">IF(ISBLANK(Input!C131)," ",INDIRECT("Input!C"&amp;1+MATCH($H131,aux_sheet_RRS!$D$2:$D$202,0)))</f>
        <v xml:space="preserve"> </v>
      </c>
      <c r="E131" t="str">
        <f ca="1">IF(ISBLANK(Input!D131)," ",INDIRECT("Input!D"&amp;1+MATCH($H131,aux_sheet_RRS!$D$2:$D$202,0)))</f>
        <v xml:space="preserve"> </v>
      </c>
      <c r="F131" t="str">
        <f ca="1">IF(ISBLANK(Input!E131)," ",INDIRECT("Input!H"&amp;1+MATCH($H131,aux_sheet_RRS!$D$2:$D$202,0)))</f>
        <v xml:space="preserve"> </v>
      </c>
      <c r="G131">
        <f ca="1">IF(ISBLANK(Input!G131)," ",INDIRECT("Input!AP"&amp;1+MATCH($H131,aux_sheet_RRS!$D$2:$D$202,0)))</f>
        <v>0</v>
      </c>
      <c r="H131">
        <f>aux_sheet_RRS!E131</f>
        <v>1000</v>
      </c>
      <c r="J131" t="str">
        <f t="shared" si="8"/>
        <v xml:space="preserve"> </v>
      </c>
      <c r="K131">
        <v>130</v>
      </c>
      <c r="L131" t="str">
        <f t="shared" ref="L131:L194" ca="1" si="10">IF(K131&lt;$K$1,K131," ")</f>
        <v xml:space="preserve"> </v>
      </c>
      <c r="M131" t="str">
        <f t="shared" ref="M131:M194" ca="1" si="11">IF(ISNUMBER(L131),SMALL($J$2:$J$202,L131)," ")</f>
        <v xml:space="preserve"> </v>
      </c>
      <c r="N131" s="3" t="str">
        <f t="shared" ca="1" si="9"/>
        <v xml:space="preserve"> </v>
      </c>
      <c r="O131" s="3" t="str">
        <f ca="1">IF(ISNUMBER($L131),INDIRECT("Input!A"&amp;1+MATCH($M131,aux_sheet_RRS!$D$2:$D$202,0))," ")</f>
        <v xml:space="preserve"> </v>
      </c>
      <c r="P131" s="3" t="str">
        <f ca="1">IF(ISNUMBER($L131),INDIRECT("Input!B"&amp;1+MATCH($M131,aux_sheet_RRS!$D$2:$D$202,0))," ")</f>
        <v xml:space="preserve"> </v>
      </c>
    </row>
    <row r="132" spans="1:16" x14ac:dyDescent="0.35">
      <c r="A132" t="str">
        <f>IF(ISBLANK(Input!A132)," ",ROUNDDOWN(aux_sheet_RRS!E132,0))</f>
        <v xml:space="preserve"> </v>
      </c>
      <c r="B132" t="str">
        <f ca="1">IF(ISBLANK(Input!A132)," ",INDIRECT("Input!A"&amp;1+MATCH($H132,aux_sheet_RRS!$D$2:$D$202,0)))</f>
        <v xml:space="preserve"> </v>
      </c>
      <c r="C132" t="str">
        <f ca="1">IF(ISBLANK(Input!B132)," ",INDIRECT("Input!B"&amp;1+MATCH($H132,aux_sheet_RRS!$D$2:$D$202,0)))</f>
        <v xml:space="preserve"> </v>
      </c>
      <c r="D132" t="str">
        <f ca="1">IF(ISBLANK(Input!C132)," ",INDIRECT("Input!C"&amp;1+MATCH($H132,aux_sheet_RRS!$D$2:$D$202,0)))</f>
        <v xml:space="preserve"> </v>
      </c>
      <c r="E132" t="str">
        <f ca="1">IF(ISBLANK(Input!D132)," ",INDIRECT("Input!D"&amp;1+MATCH($H132,aux_sheet_RRS!$D$2:$D$202,0)))</f>
        <v xml:space="preserve"> </v>
      </c>
      <c r="F132" t="str">
        <f ca="1">IF(ISBLANK(Input!E132)," ",INDIRECT("Input!H"&amp;1+MATCH($H132,aux_sheet_RRS!$D$2:$D$202,0)))</f>
        <v xml:space="preserve"> </v>
      </c>
      <c r="G132">
        <f ca="1">IF(ISBLANK(Input!G132)," ",INDIRECT("Input!AP"&amp;1+MATCH($H132,aux_sheet_RRS!$D$2:$D$202,0)))</f>
        <v>0</v>
      </c>
      <c r="H132">
        <f>aux_sheet_RRS!E132</f>
        <v>1000</v>
      </c>
      <c r="J132" t="str">
        <f t="shared" si="8"/>
        <v xml:space="preserve"> </v>
      </c>
      <c r="K132">
        <v>131</v>
      </c>
      <c r="L132" t="str">
        <f t="shared" ca="1" si="10"/>
        <v xml:space="preserve"> </v>
      </c>
      <c r="M132" t="str">
        <f t="shared" ca="1" si="11"/>
        <v xml:space="preserve"> </v>
      </c>
      <c r="N132" s="3" t="str">
        <f t="shared" ca="1" si="9"/>
        <v xml:space="preserve"> </v>
      </c>
      <c r="O132" s="3" t="str">
        <f ca="1">IF(ISNUMBER($L132),INDIRECT("Input!A"&amp;1+MATCH($M132,aux_sheet_RRS!$D$2:$D$202,0))," ")</f>
        <v xml:space="preserve"> </v>
      </c>
      <c r="P132" s="3" t="str">
        <f ca="1">IF(ISNUMBER($L132),INDIRECT("Input!B"&amp;1+MATCH($M132,aux_sheet_RRS!$D$2:$D$202,0))," ")</f>
        <v xml:space="preserve"> </v>
      </c>
    </row>
    <row r="133" spans="1:16" x14ac:dyDescent="0.35">
      <c r="A133" t="str">
        <f>IF(ISBLANK(Input!A133)," ",ROUNDDOWN(aux_sheet_RRS!E133,0))</f>
        <v xml:space="preserve"> </v>
      </c>
      <c r="B133" t="str">
        <f ca="1">IF(ISBLANK(Input!A133)," ",INDIRECT("Input!A"&amp;1+MATCH($H133,aux_sheet_RRS!$D$2:$D$202,0)))</f>
        <v xml:space="preserve"> </v>
      </c>
      <c r="C133" t="str">
        <f ca="1">IF(ISBLANK(Input!B133)," ",INDIRECT("Input!B"&amp;1+MATCH($H133,aux_sheet_RRS!$D$2:$D$202,0)))</f>
        <v xml:space="preserve"> </v>
      </c>
      <c r="D133" t="str">
        <f ca="1">IF(ISBLANK(Input!C133)," ",INDIRECT("Input!C"&amp;1+MATCH($H133,aux_sheet_RRS!$D$2:$D$202,0)))</f>
        <v xml:space="preserve"> </v>
      </c>
      <c r="E133" t="str">
        <f ca="1">IF(ISBLANK(Input!D133)," ",INDIRECT("Input!D"&amp;1+MATCH($H133,aux_sheet_RRS!$D$2:$D$202,0)))</f>
        <v xml:space="preserve"> </v>
      </c>
      <c r="F133" t="str">
        <f ca="1">IF(ISBLANK(Input!E133)," ",INDIRECT("Input!H"&amp;1+MATCH($H133,aux_sheet_RRS!$D$2:$D$202,0)))</f>
        <v xml:space="preserve"> </v>
      </c>
      <c r="G133">
        <f ca="1">IF(ISBLANK(Input!G133)," ",INDIRECT("Input!AP"&amp;1+MATCH($H133,aux_sheet_RRS!$D$2:$D$202,0)))</f>
        <v>0</v>
      </c>
      <c r="H133">
        <f>aux_sheet_RRS!E133</f>
        <v>1000</v>
      </c>
      <c r="J133" t="str">
        <f t="shared" si="8"/>
        <v xml:space="preserve"> </v>
      </c>
      <c r="K133">
        <v>132</v>
      </c>
      <c r="L133" t="str">
        <f t="shared" ca="1" si="10"/>
        <v xml:space="preserve"> </v>
      </c>
      <c r="M133" t="str">
        <f t="shared" ca="1" si="11"/>
        <v xml:space="preserve"> </v>
      </c>
      <c r="N133" s="3" t="str">
        <f t="shared" ca="1" si="9"/>
        <v xml:space="preserve"> </v>
      </c>
      <c r="O133" s="3" t="str">
        <f ca="1">IF(ISNUMBER($L133),INDIRECT("Input!A"&amp;1+MATCH($M133,aux_sheet_RRS!$D$2:$D$202,0))," ")</f>
        <v xml:space="preserve"> </v>
      </c>
      <c r="P133" s="3" t="str">
        <f ca="1">IF(ISNUMBER($L133),INDIRECT("Input!B"&amp;1+MATCH($M133,aux_sheet_RRS!$D$2:$D$202,0))," ")</f>
        <v xml:space="preserve"> </v>
      </c>
    </row>
    <row r="134" spans="1:16" x14ac:dyDescent="0.35">
      <c r="A134" t="str">
        <f>IF(ISBLANK(Input!A134)," ",ROUNDDOWN(aux_sheet_RRS!E134,0))</f>
        <v xml:space="preserve"> </v>
      </c>
      <c r="B134" t="str">
        <f ca="1">IF(ISBLANK(Input!A134)," ",INDIRECT("Input!A"&amp;1+MATCH($H134,aux_sheet_RRS!$D$2:$D$202,0)))</f>
        <v xml:space="preserve"> </v>
      </c>
      <c r="C134" t="str">
        <f ca="1">IF(ISBLANK(Input!B134)," ",INDIRECT("Input!B"&amp;1+MATCH($H134,aux_sheet_RRS!$D$2:$D$202,0)))</f>
        <v xml:space="preserve"> </v>
      </c>
      <c r="D134" t="str">
        <f ca="1">IF(ISBLANK(Input!C134)," ",INDIRECT("Input!C"&amp;1+MATCH($H134,aux_sheet_RRS!$D$2:$D$202,0)))</f>
        <v xml:space="preserve"> </v>
      </c>
      <c r="E134" t="str">
        <f ca="1">IF(ISBLANK(Input!D134)," ",INDIRECT("Input!D"&amp;1+MATCH($H134,aux_sheet_RRS!$D$2:$D$202,0)))</f>
        <v xml:space="preserve"> </v>
      </c>
      <c r="F134" t="str">
        <f ca="1">IF(ISBLANK(Input!E134)," ",INDIRECT("Input!H"&amp;1+MATCH($H134,aux_sheet_RRS!$D$2:$D$202,0)))</f>
        <v xml:space="preserve"> </v>
      </c>
      <c r="G134">
        <f ca="1">IF(ISBLANK(Input!G134)," ",INDIRECT("Input!AP"&amp;1+MATCH($H134,aux_sheet_RRS!$D$2:$D$202,0)))</f>
        <v>0</v>
      </c>
      <c r="H134">
        <f>aux_sheet_RRS!E134</f>
        <v>1000</v>
      </c>
      <c r="J134" t="str">
        <f t="shared" si="8"/>
        <v xml:space="preserve"> </v>
      </c>
      <c r="K134">
        <v>133</v>
      </c>
      <c r="L134" t="str">
        <f t="shared" ca="1" si="10"/>
        <v xml:space="preserve"> </v>
      </c>
      <c r="M134" t="str">
        <f t="shared" ca="1" si="11"/>
        <v xml:space="preserve"> </v>
      </c>
      <c r="N134" s="3" t="str">
        <f t="shared" ca="1" si="9"/>
        <v xml:space="preserve"> </v>
      </c>
      <c r="O134" s="3" t="str">
        <f ca="1">IF(ISNUMBER($L134),INDIRECT("Input!A"&amp;1+MATCH($M134,aux_sheet_RRS!$D$2:$D$202,0))," ")</f>
        <v xml:space="preserve"> </v>
      </c>
      <c r="P134" s="3" t="str">
        <f ca="1">IF(ISNUMBER($L134),INDIRECT("Input!B"&amp;1+MATCH($M134,aux_sheet_RRS!$D$2:$D$202,0))," ")</f>
        <v xml:space="preserve"> </v>
      </c>
    </row>
    <row r="135" spans="1:16" x14ac:dyDescent="0.35">
      <c r="A135" t="str">
        <f>IF(ISBLANK(Input!A135)," ",ROUNDDOWN(aux_sheet_RRS!E135,0))</f>
        <v xml:space="preserve"> </v>
      </c>
      <c r="B135" t="str">
        <f ca="1">IF(ISBLANK(Input!A135)," ",INDIRECT("Input!A"&amp;1+MATCH($H135,aux_sheet_RRS!$D$2:$D$202,0)))</f>
        <v xml:space="preserve"> </v>
      </c>
      <c r="C135" t="str">
        <f ca="1">IF(ISBLANK(Input!B135)," ",INDIRECT("Input!B"&amp;1+MATCH($H135,aux_sheet_RRS!$D$2:$D$202,0)))</f>
        <v xml:space="preserve"> </v>
      </c>
      <c r="D135" t="str">
        <f ca="1">IF(ISBLANK(Input!C135)," ",INDIRECT("Input!C"&amp;1+MATCH($H135,aux_sheet_RRS!$D$2:$D$202,0)))</f>
        <v xml:space="preserve"> </v>
      </c>
      <c r="E135" t="str">
        <f ca="1">IF(ISBLANK(Input!D135)," ",INDIRECT("Input!D"&amp;1+MATCH($H135,aux_sheet_RRS!$D$2:$D$202,0)))</f>
        <v xml:space="preserve"> </v>
      </c>
      <c r="F135" t="str">
        <f ca="1">IF(ISBLANK(Input!E135)," ",INDIRECT("Input!H"&amp;1+MATCH($H135,aux_sheet_RRS!$D$2:$D$202,0)))</f>
        <v xml:space="preserve"> </v>
      </c>
      <c r="G135">
        <f ca="1">IF(ISBLANK(Input!G135)," ",INDIRECT("Input!AP"&amp;1+MATCH($H135,aux_sheet_RRS!$D$2:$D$202,0)))</f>
        <v>0</v>
      </c>
      <c r="H135">
        <f>aux_sheet_RRS!E135</f>
        <v>1000</v>
      </c>
      <c r="J135" t="str">
        <f t="shared" si="8"/>
        <v xml:space="preserve"> </v>
      </c>
      <c r="K135">
        <v>134</v>
      </c>
      <c r="L135" t="str">
        <f t="shared" ca="1" si="10"/>
        <v xml:space="preserve"> </v>
      </c>
      <c r="M135" t="str">
        <f t="shared" ca="1" si="11"/>
        <v xml:space="preserve"> </v>
      </c>
      <c r="N135" s="3" t="str">
        <f t="shared" ca="1" si="9"/>
        <v xml:space="preserve"> </v>
      </c>
      <c r="O135" s="3" t="str">
        <f ca="1">IF(ISNUMBER($L135),INDIRECT("Input!A"&amp;1+MATCH($M135,aux_sheet_RRS!$D$2:$D$202,0))," ")</f>
        <v xml:space="preserve"> </v>
      </c>
      <c r="P135" s="3" t="str">
        <f ca="1">IF(ISNUMBER($L135),INDIRECT("Input!B"&amp;1+MATCH($M135,aux_sheet_RRS!$D$2:$D$202,0))," ")</f>
        <v xml:space="preserve"> </v>
      </c>
    </row>
    <row r="136" spans="1:16" x14ac:dyDescent="0.35">
      <c r="A136" t="str">
        <f>IF(ISBLANK(Input!A136)," ",ROUNDDOWN(aux_sheet_RRS!E136,0))</f>
        <v xml:space="preserve"> </v>
      </c>
      <c r="B136" t="str">
        <f ca="1">IF(ISBLANK(Input!A136)," ",INDIRECT("Input!A"&amp;1+MATCH($H136,aux_sheet_RRS!$D$2:$D$202,0)))</f>
        <v xml:space="preserve"> </v>
      </c>
      <c r="C136" t="str">
        <f ca="1">IF(ISBLANK(Input!B136)," ",INDIRECT("Input!B"&amp;1+MATCH($H136,aux_sheet_RRS!$D$2:$D$202,0)))</f>
        <v xml:space="preserve"> </v>
      </c>
      <c r="D136" t="str">
        <f ca="1">IF(ISBLANK(Input!C136)," ",INDIRECT("Input!C"&amp;1+MATCH($H136,aux_sheet_RRS!$D$2:$D$202,0)))</f>
        <v xml:space="preserve"> </v>
      </c>
      <c r="E136" t="str">
        <f ca="1">IF(ISBLANK(Input!D136)," ",INDIRECT("Input!D"&amp;1+MATCH($H136,aux_sheet_RRS!$D$2:$D$202,0)))</f>
        <v xml:space="preserve"> </v>
      </c>
      <c r="F136" t="str">
        <f ca="1">IF(ISBLANK(Input!E136)," ",INDIRECT("Input!H"&amp;1+MATCH($H136,aux_sheet_RRS!$D$2:$D$202,0)))</f>
        <v xml:space="preserve"> </v>
      </c>
      <c r="G136">
        <f ca="1">IF(ISBLANK(Input!G136)," ",INDIRECT("Input!AP"&amp;1+MATCH($H136,aux_sheet_RRS!$D$2:$D$202,0)))</f>
        <v>0</v>
      </c>
      <c r="H136">
        <f>aux_sheet_RRS!E136</f>
        <v>1000</v>
      </c>
      <c r="J136" t="str">
        <f t="shared" si="8"/>
        <v xml:space="preserve"> </v>
      </c>
      <c r="K136">
        <v>135</v>
      </c>
      <c r="L136" t="str">
        <f t="shared" ca="1" si="10"/>
        <v xml:space="preserve"> </v>
      </c>
      <c r="M136" t="str">
        <f t="shared" ca="1" si="11"/>
        <v xml:space="preserve"> </v>
      </c>
      <c r="N136" s="3" t="str">
        <f t="shared" ca="1" si="9"/>
        <v xml:space="preserve"> </v>
      </c>
      <c r="O136" s="3" t="str">
        <f ca="1">IF(ISNUMBER($L136),INDIRECT("Input!A"&amp;1+MATCH($M136,aux_sheet_RRS!$D$2:$D$202,0))," ")</f>
        <v xml:space="preserve"> </v>
      </c>
      <c r="P136" s="3" t="str">
        <f ca="1">IF(ISNUMBER($L136),INDIRECT("Input!B"&amp;1+MATCH($M136,aux_sheet_RRS!$D$2:$D$202,0))," ")</f>
        <v xml:space="preserve"> </v>
      </c>
    </row>
    <row r="137" spans="1:16" x14ac:dyDescent="0.35">
      <c r="A137" t="str">
        <f>IF(ISBLANK(Input!A137)," ",ROUNDDOWN(aux_sheet_RRS!E137,0))</f>
        <v xml:space="preserve"> </v>
      </c>
      <c r="B137" t="str">
        <f ca="1">IF(ISBLANK(Input!A137)," ",INDIRECT("Input!A"&amp;1+MATCH($H137,aux_sheet_RRS!$D$2:$D$202,0)))</f>
        <v xml:space="preserve"> </v>
      </c>
      <c r="C137" t="str">
        <f ca="1">IF(ISBLANK(Input!B137)," ",INDIRECT("Input!B"&amp;1+MATCH($H137,aux_sheet_RRS!$D$2:$D$202,0)))</f>
        <v xml:space="preserve"> </v>
      </c>
      <c r="D137" t="str">
        <f ca="1">IF(ISBLANK(Input!C137)," ",INDIRECT("Input!C"&amp;1+MATCH($H137,aux_sheet_RRS!$D$2:$D$202,0)))</f>
        <v xml:space="preserve"> </v>
      </c>
      <c r="E137" t="str">
        <f ca="1">IF(ISBLANK(Input!D137)," ",INDIRECT("Input!D"&amp;1+MATCH($H137,aux_sheet_RRS!$D$2:$D$202,0)))</f>
        <v xml:space="preserve"> </v>
      </c>
      <c r="F137" t="str">
        <f ca="1">IF(ISBLANK(Input!E137)," ",INDIRECT("Input!H"&amp;1+MATCH($H137,aux_sheet_RRS!$D$2:$D$202,0)))</f>
        <v xml:space="preserve"> </v>
      </c>
      <c r="G137">
        <f ca="1">IF(ISBLANK(Input!G137)," ",INDIRECT("Input!AP"&amp;1+MATCH($H137,aux_sheet_RRS!$D$2:$D$202,0)))</f>
        <v>0</v>
      </c>
      <c r="H137">
        <f>aux_sheet_RRS!E137</f>
        <v>1000</v>
      </c>
      <c r="J137" t="str">
        <f t="shared" si="8"/>
        <v xml:space="preserve"> </v>
      </c>
      <c r="K137">
        <v>136</v>
      </c>
      <c r="L137" t="str">
        <f t="shared" ca="1" si="10"/>
        <v xml:space="preserve"> </v>
      </c>
      <c r="M137" t="str">
        <f t="shared" ca="1" si="11"/>
        <v xml:space="preserve"> </v>
      </c>
      <c r="N137" s="3" t="str">
        <f t="shared" ca="1" si="9"/>
        <v xml:space="preserve"> </v>
      </c>
      <c r="O137" s="3" t="str">
        <f ca="1">IF(ISNUMBER($L137),INDIRECT("Input!A"&amp;1+MATCH($M137,aux_sheet_RRS!$D$2:$D$202,0))," ")</f>
        <v xml:space="preserve"> </v>
      </c>
      <c r="P137" s="3" t="str">
        <f ca="1">IF(ISNUMBER($L137),INDIRECT("Input!B"&amp;1+MATCH($M137,aux_sheet_RRS!$D$2:$D$202,0))," ")</f>
        <v xml:space="preserve"> </v>
      </c>
    </row>
    <row r="138" spans="1:16" x14ac:dyDescent="0.35">
      <c r="A138" t="str">
        <f>IF(ISBLANK(Input!A138)," ",ROUNDDOWN(aux_sheet_RRS!E138,0))</f>
        <v xml:space="preserve"> </v>
      </c>
      <c r="B138" t="str">
        <f ca="1">IF(ISBLANK(Input!A138)," ",INDIRECT("Input!A"&amp;1+MATCH($H138,aux_sheet_RRS!$D$2:$D$202,0)))</f>
        <v xml:space="preserve"> </v>
      </c>
      <c r="C138" t="str">
        <f ca="1">IF(ISBLANK(Input!B138)," ",INDIRECT("Input!B"&amp;1+MATCH($H138,aux_sheet_RRS!$D$2:$D$202,0)))</f>
        <v xml:space="preserve"> </v>
      </c>
      <c r="D138" t="str">
        <f ca="1">IF(ISBLANK(Input!C138)," ",INDIRECT("Input!C"&amp;1+MATCH($H138,aux_sheet_RRS!$D$2:$D$202,0)))</f>
        <v xml:space="preserve"> </v>
      </c>
      <c r="E138" t="str">
        <f ca="1">IF(ISBLANK(Input!D138)," ",INDIRECT("Input!D"&amp;1+MATCH($H138,aux_sheet_RRS!$D$2:$D$202,0)))</f>
        <v xml:space="preserve"> </v>
      </c>
      <c r="F138" t="str">
        <f ca="1">IF(ISBLANK(Input!E138)," ",INDIRECT("Input!H"&amp;1+MATCH($H138,aux_sheet_RRS!$D$2:$D$202,0)))</f>
        <v xml:space="preserve"> </v>
      </c>
      <c r="G138">
        <f ca="1">IF(ISBLANK(Input!G138)," ",INDIRECT("Input!AP"&amp;1+MATCH($H138,aux_sheet_RRS!$D$2:$D$202,0)))</f>
        <v>0</v>
      </c>
      <c r="H138">
        <f>aux_sheet_RRS!E138</f>
        <v>1000</v>
      </c>
      <c r="J138" t="str">
        <f t="shared" si="8"/>
        <v xml:space="preserve"> </v>
      </c>
      <c r="K138">
        <v>137</v>
      </c>
      <c r="L138" t="str">
        <f t="shared" ca="1" si="10"/>
        <v xml:space="preserve"> </v>
      </c>
      <c r="M138" t="str">
        <f t="shared" ca="1" si="11"/>
        <v xml:space="preserve"> </v>
      </c>
      <c r="N138" s="3" t="str">
        <f t="shared" ca="1" si="9"/>
        <v xml:space="preserve"> </v>
      </c>
      <c r="O138" s="3" t="str">
        <f ca="1">IF(ISNUMBER($L138),INDIRECT("Input!A"&amp;1+MATCH($M138,aux_sheet_RRS!$D$2:$D$202,0))," ")</f>
        <v xml:space="preserve"> </v>
      </c>
      <c r="P138" s="3" t="str">
        <f ca="1">IF(ISNUMBER($L138),INDIRECT("Input!B"&amp;1+MATCH($M138,aux_sheet_RRS!$D$2:$D$202,0))," ")</f>
        <v xml:space="preserve"> </v>
      </c>
    </row>
    <row r="139" spans="1:16" x14ac:dyDescent="0.35">
      <c r="A139" t="str">
        <f>IF(ISBLANK(Input!A139)," ",ROUNDDOWN(aux_sheet_RRS!E139,0))</f>
        <v xml:space="preserve"> </v>
      </c>
      <c r="B139" t="str">
        <f ca="1">IF(ISBLANK(Input!A139)," ",INDIRECT("Input!A"&amp;1+MATCH($H139,aux_sheet_RRS!$D$2:$D$202,0)))</f>
        <v xml:space="preserve"> </v>
      </c>
      <c r="C139" t="str">
        <f ca="1">IF(ISBLANK(Input!B139)," ",INDIRECT("Input!B"&amp;1+MATCH($H139,aux_sheet_RRS!$D$2:$D$202,0)))</f>
        <v xml:space="preserve"> </v>
      </c>
      <c r="D139" t="str">
        <f ca="1">IF(ISBLANK(Input!C139)," ",INDIRECT("Input!C"&amp;1+MATCH($H139,aux_sheet_RRS!$D$2:$D$202,0)))</f>
        <v xml:space="preserve"> </v>
      </c>
      <c r="E139" t="str">
        <f ca="1">IF(ISBLANK(Input!D139)," ",INDIRECT("Input!D"&amp;1+MATCH($H139,aux_sheet_RRS!$D$2:$D$202,0)))</f>
        <v xml:space="preserve"> </v>
      </c>
      <c r="F139" t="str">
        <f ca="1">IF(ISBLANK(Input!E139)," ",INDIRECT("Input!H"&amp;1+MATCH($H139,aux_sheet_RRS!$D$2:$D$202,0)))</f>
        <v xml:space="preserve"> </v>
      </c>
      <c r="G139">
        <f ca="1">IF(ISBLANK(Input!G139)," ",INDIRECT("Input!AP"&amp;1+MATCH($H139,aux_sheet_RRS!$D$2:$D$202,0)))</f>
        <v>0</v>
      </c>
      <c r="H139">
        <f>aux_sheet_RRS!E139</f>
        <v>1000</v>
      </c>
      <c r="J139" t="str">
        <f t="shared" si="8"/>
        <v xml:space="preserve"> </v>
      </c>
      <c r="K139">
        <v>138</v>
      </c>
      <c r="L139" t="str">
        <f t="shared" ca="1" si="10"/>
        <v xml:space="preserve"> </v>
      </c>
      <c r="M139" t="str">
        <f t="shared" ca="1" si="11"/>
        <v xml:space="preserve"> </v>
      </c>
      <c r="N139" s="3" t="str">
        <f t="shared" ca="1" si="9"/>
        <v xml:space="preserve"> </v>
      </c>
      <c r="O139" s="3" t="str">
        <f ca="1">IF(ISNUMBER($L139),INDIRECT("Input!A"&amp;1+MATCH($M139,aux_sheet_RRS!$D$2:$D$202,0))," ")</f>
        <v xml:space="preserve"> </v>
      </c>
      <c r="P139" s="3" t="str">
        <f ca="1">IF(ISNUMBER($L139),INDIRECT("Input!B"&amp;1+MATCH($M139,aux_sheet_RRS!$D$2:$D$202,0))," ")</f>
        <v xml:space="preserve"> </v>
      </c>
    </row>
    <row r="140" spans="1:16" x14ac:dyDescent="0.35">
      <c r="A140" t="str">
        <f>IF(ISBLANK(Input!A140)," ",ROUNDDOWN(aux_sheet_RRS!E140,0))</f>
        <v xml:space="preserve"> </v>
      </c>
      <c r="B140" t="str">
        <f ca="1">IF(ISBLANK(Input!A140)," ",INDIRECT("Input!A"&amp;1+MATCH($H140,aux_sheet_RRS!$D$2:$D$202,0)))</f>
        <v xml:space="preserve"> </v>
      </c>
      <c r="C140" t="str">
        <f ca="1">IF(ISBLANK(Input!B140)," ",INDIRECT("Input!B"&amp;1+MATCH($H140,aux_sheet_RRS!$D$2:$D$202,0)))</f>
        <v xml:space="preserve"> </v>
      </c>
      <c r="D140" t="str">
        <f ca="1">IF(ISBLANK(Input!C140)," ",INDIRECT("Input!C"&amp;1+MATCH($H140,aux_sheet_RRS!$D$2:$D$202,0)))</f>
        <v xml:space="preserve"> </v>
      </c>
      <c r="E140" t="str">
        <f ca="1">IF(ISBLANK(Input!D140)," ",INDIRECT("Input!D"&amp;1+MATCH($H140,aux_sheet_RRS!$D$2:$D$202,0)))</f>
        <v xml:space="preserve"> </v>
      </c>
      <c r="F140" t="str">
        <f ca="1">IF(ISBLANK(Input!E140)," ",INDIRECT("Input!H"&amp;1+MATCH($H140,aux_sheet_RRS!$D$2:$D$202,0)))</f>
        <v xml:space="preserve"> </v>
      </c>
      <c r="G140">
        <f ca="1">IF(ISBLANK(Input!G140)," ",INDIRECT("Input!AP"&amp;1+MATCH($H140,aux_sheet_RRS!$D$2:$D$202,0)))</f>
        <v>0</v>
      </c>
      <c r="H140">
        <f>aux_sheet_RRS!E140</f>
        <v>1000</v>
      </c>
      <c r="J140" t="str">
        <f t="shared" si="8"/>
        <v xml:space="preserve"> </v>
      </c>
      <c r="K140">
        <v>139</v>
      </c>
      <c r="L140" t="str">
        <f t="shared" ca="1" si="10"/>
        <v xml:space="preserve"> </v>
      </c>
      <c r="M140" t="str">
        <f t="shared" ca="1" si="11"/>
        <v xml:space="preserve"> </v>
      </c>
      <c r="N140" s="3" t="str">
        <f t="shared" ca="1" si="9"/>
        <v xml:space="preserve"> </v>
      </c>
      <c r="O140" s="3" t="str">
        <f ca="1">IF(ISNUMBER($L140),INDIRECT("Input!A"&amp;1+MATCH($M140,aux_sheet_RRS!$D$2:$D$202,0))," ")</f>
        <v xml:space="preserve"> </v>
      </c>
      <c r="P140" s="3" t="str">
        <f ca="1">IF(ISNUMBER($L140),INDIRECT("Input!B"&amp;1+MATCH($M140,aux_sheet_RRS!$D$2:$D$202,0))," ")</f>
        <v xml:space="preserve"> </v>
      </c>
    </row>
    <row r="141" spans="1:16" x14ac:dyDescent="0.35">
      <c r="A141" t="str">
        <f>IF(ISBLANK(Input!A141)," ",ROUNDDOWN(aux_sheet_RRS!E141,0))</f>
        <v xml:space="preserve"> </v>
      </c>
      <c r="B141" t="str">
        <f ca="1">IF(ISBLANK(Input!A141)," ",INDIRECT("Input!A"&amp;1+MATCH($H141,aux_sheet_RRS!$D$2:$D$202,0)))</f>
        <v xml:space="preserve"> </v>
      </c>
      <c r="C141" t="str">
        <f ca="1">IF(ISBLANK(Input!B141)," ",INDIRECT("Input!B"&amp;1+MATCH($H141,aux_sheet_RRS!$D$2:$D$202,0)))</f>
        <v xml:space="preserve"> </v>
      </c>
      <c r="D141" t="str">
        <f ca="1">IF(ISBLANK(Input!C141)," ",INDIRECT("Input!C"&amp;1+MATCH($H141,aux_sheet_RRS!$D$2:$D$202,0)))</f>
        <v xml:space="preserve"> </v>
      </c>
      <c r="E141" t="str">
        <f ca="1">IF(ISBLANK(Input!D141)," ",INDIRECT("Input!D"&amp;1+MATCH($H141,aux_sheet_RRS!$D$2:$D$202,0)))</f>
        <v xml:space="preserve"> </v>
      </c>
      <c r="F141" t="str">
        <f ca="1">IF(ISBLANK(Input!E141)," ",INDIRECT("Input!H"&amp;1+MATCH($H141,aux_sheet_RRS!$D$2:$D$202,0)))</f>
        <v xml:space="preserve"> </v>
      </c>
      <c r="G141">
        <f ca="1">IF(ISBLANK(Input!G141)," ",INDIRECT("Input!AP"&amp;1+MATCH($H141,aux_sheet_RRS!$D$2:$D$202,0)))</f>
        <v>0</v>
      </c>
      <c r="H141">
        <f>aux_sheet_RRS!E141</f>
        <v>1000</v>
      </c>
      <c r="J141" t="str">
        <f t="shared" ref="J141:J202" si="12">IF(H141&gt;999," ",IF(G141="NP"," ",H141))</f>
        <v xml:space="preserve"> </v>
      </c>
      <c r="K141">
        <v>140</v>
      </c>
      <c r="L141" t="str">
        <f t="shared" ca="1" si="10"/>
        <v xml:space="preserve"> </v>
      </c>
      <c r="M141" t="str">
        <f t="shared" ca="1" si="11"/>
        <v xml:space="preserve"> </v>
      </c>
      <c r="N141" s="3" t="str">
        <f t="shared" ca="1" si="9"/>
        <v xml:space="preserve"> </v>
      </c>
      <c r="O141" s="3" t="str">
        <f ca="1">IF(ISNUMBER($L141),INDIRECT("Input!A"&amp;1+MATCH($M141,aux_sheet_RRS!$D$2:$D$202,0))," ")</f>
        <v xml:space="preserve"> </v>
      </c>
      <c r="P141" s="3" t="str">
        <f ca="1">IF(ISNUMBER($L141),INDIRECT("Input!B"&amp;1+MATCH($M141,aux_sheet_RRS!$D$2:$D$202,0))," ")</f>
        <v xml:space="preserve"> </v>
      </c>
    </row>
    <row r="142" spans="1:16" x14ac:dyDescent="0.35">
      <c r="A142" t="str">
        <f>IF(ISBLANK(Input!A142)," ",ROUNDDOWN(aux_sheet_RRS!E142,0))</f>
        <v xml:space="preserve"> </v>
      </c>
      <c r="B142" t="str">
        <f ca="1">IF(ISBLANK(Input!A142)," ",INDIRECT("Input!A"&amp;1+MATCH($H142,aux_sheet_RRS!$D$2:$D$202,0)))</f>
        <v xml:space="preserve"> </v>
      </c>
      <c r="C142" t="str">
        <f ca="1">IF(ISBLANK(Input!B142)," ",INDIRECT("Input!B"&amp;1+MATCH($H142,aux_sheet_RRS!$D$2:$D$202,0)))</f>
        <v xml:space="preserve"> </v>
      </c>
      <c r="D142" t="str">
        <f ca="1">IF(ISBLANK(Input!C142)," ",INDIRECT("Input!C"&amp;1+MATCH($H142,aux_sheet_RRS!$D$2:$D$202,0)))</f>
        <v xml:space="preserve"> </v>
      </c>
      <c r="E142" t="str">
        <f ca="1">IF(ISBLANK(Input!D142)," ",INDIRECT("Input!D"&amp;1+MATCH($H142,aux_sheet_RRS!$D$2:$D$202,0)))</f>
        <v xml:space="preserve"> </v>
      </c>
      <c r="F142" t="str">
        <f ca="1">IF(ISBLANK(Input!E142)," ",INDIRECT("Input!H"&amp;1+MATCH($H142,aux_sheet_RRS!$D$2:$D$202,0)))</f>
        <v xml:space="preserve"> </v>
      </c>
      <c r="G142">
        <f ca="1">IF(ISBLANK(Input!G142)," ",INDIRECT("Input!AP"&amp;1+MATCH($H142,aux_sheet_RRS!$D$2:$D$202,0)))</f>
        <v>0</v>
      </c>
      <c r="H142">
        <f>aux_sheet_RRS!E142</f>
        <v>1000</v>
      </c>
      <c r="J142" t="str">
        <f t="shared" si="12"/>
        <v xml:space="preserve"> </v>
      </c>
      <c r="K142">
        <v>141</v>
      </c>
      <c r="L142" t="str">
        <f t="shared" ca="1" si="10"/>
        <v xml:space="preserve"> </v>
      </c>
      <c r="M142" t="str">
        <f t="shared" ca="1" si="11"/>
        <v xml:space="preserve"> </v>
      </c>
      <c r="N142" s="3" t="str">
        <f t="shared" ca="1" si="9"/>
        <v xml:space="preserve"> </v>
      </c>
      <c r="O142" s="3" t="str">
        <f ca="1">IF(ISNUMBER($L142),INDIRECT("Input!A"&amp;1+MATCH($M142,aux_sheet_RRS!$D$2:$D$202,0))," ")</f>
        <v xml:space="preserve"> </v>
      </c>
      <c r="P142" s="3" t="str">
        <f ca="1">IF(ISNUMBER($L142),INDIRECT("Input!B"&amp;1+MATCH($M142,aux_sheet_RRS!$D$2:$D$202,0))," ")</f>
        <v xml:space="preserve"> </v>
      </c>
    </row>
    <row r="143" spans="1:16" x14ac:dyDescent="0.35">
      <c r="A143" t="str">
        <f>IF(ISBLANK(Input!A143)," ",ROUNDDOWN(aux_sheet_RRS!E143,0))</f>
        <v xml:space="preserve"> </v>
      </c>
      <c r="B143" t="str">
        <f ca="1">IF(ISBLANK(Input!A143)," ",INDIRECT("Input!A"&amp;1+MATCH($H143,aux_sheet_RRS!$D$2:$D$202,0)))</f>
        <v xml:space="preserve"> </v>
      </c>
      <c r="C143" t="str">
        <f ca="1">IF(ISBLANK(Input!B143)," ",INDIRECT("Input!B"&amp;1+MATCH($H143,aux_sheet_RRS!$D$2:$D$202,0)))</f>
        <v xml:space="preserve"> </v>
      </c>
      <c r="D143" t="str">
        <f ca="1">IF(ISBLANK(Input!C143)," ",INDIRECT("Input!C"&amp;1+MATCH($H143,aux_sheet_RRS!$D$2:$D$202,0)))</f>
        <v xml:space="preserve"> </v>
      </c>
      <c r="E143" t="str">
        <f ca="1">IF(ISBLANK(Input!D143)," ",INDIRECT("Input!D"&amp;1+MATCH($H143,aux_sheet_RRS!$D$2:$D$202,0)))</f>
        <v xml:space="preserve"> </v>
      </c>
      <c r="F143" t="str">
        <f ca="1">IF(ISBLANK(Input!E143)," ",INDIRECT("Input!H"&amp;1+MATCH($H143,aux_sheet_RRS!$D$2:$D$202,0)))</f>
        <v xml:space="preserve"> </v>
      </c>
      <c r="G143">
        <f ca="1">IF(ISBLANK(Input!G143)," ",INDIRECT("Input!AP"&amp;1+MATCH($H143,aux_sheet_RRS!$D$2:$D$202,0)))</f>
        <v>0</v>
      </c>
      <c r="H143">
        <f>aux_sheet_RRS!E143</f>
        <v>1000</v>
      </c>
      <c r="J143" t="str">
        <f t="shared" si="12"/>
        <v xml:space="preserve"> </v>
      </c>
      <c r="K143">
        <v>142</v>
      </c>
      <c r="L143" t="str">
        <f t="shared" ca="1" si="10"/>
        <v xml:space="preserve"> </v>
      </c>
      <c r="M143" t="str">
        <f t="shared" ca="1" si="11"/>
        <v xml:space="preserve"> </v>
      </c>
      <c r="N143" s="3" t="str">
        <f t="shared" ca="1" si="9"/>
        <v xml:space="preserve"> </v>
      </c>
      <c r="O143" s="3" t="str">
        <f ca="1">IF(ISNUMBER($L143),INDIRECT("Input!A"&amp;1+MATCH($M143,aux_sheet_RRS!$D$2:$D$202,0))," ")</f>
        <v xml:space="preserve"> </v>
      </c>
      <c r="P143" s="3" t="str">
        <f ca="1">IF(ISNUMBER($L143),INDIRECT("Input!B"&amp;1+MATCH($M143,aux_sheet_RRS!$D$2:$D$202,0))," ")</f>
        <v xml:space="preserve"> </v>
      </c>
    </row>
    <row r="144" spans="1:16" x14ac:dyDescent="0.35">
      <c r="A144" t="str">
        <f>IF(ISBLANK(Input!A144)," ",ROUNDDOWN(aux_sheet_RRS!E144,0))</f>
        <v xml:space="preserve"> </v>
      </c>
      <c r="B144" t="str">
        <f ca="1">IF(ISBLANK(Input!A144)," ",INDIRECT("Input!A"&amp;1+MATCH($H144,aux_sheet_RRS!$D$2:$D$202,0)))</f>
        <v xml:space="preserve"> </v>
      </c>
      <c r="C144" t="str">
        <f ca="1">IF(ISBLANK(Input!B144)," ",INDIRECT("Input!B"&amp;1+MATCH($H144,aux_sheet_RRS!$D$2:$D$202,0)))</f>
        <v xml:space="preserve"> </v>
      </c>
      <c r="D144" t="str">
        <f ca="1">IF(ISBLANK(Input!C144)," ",INDIRECT("Input!C"&amp;1+MATCH($H144,aux_sheet_RRS!$D$2:$D$202,0)))</f>
        <v xml:space="preserve"> </v>
      </c>
      <c r="E144" t="str">
        <f ca="1">IF(ISBLANK(Input!D144)," ",INDIRECT("Input!D"&amp;1+MATCH($H144,aux_sheet_RRS!$D$2:$D$202,0)))</f>
        <v xml:space="preserve"> </v>
      </c>
      <c r="F144" t="str">
        <f ca="1">IF(ISBLANK(Input!E144)," ",INDIRECT("Input!H"&amp;1+MATCH($H144,aux_sheet_RRS!$D$2:$D$202,0)))</f>
        <v xml:space="preserve"> </v>
      </c>
      <c r="G144">
        <f ca="1">IF(ISBLANK(Input!G144)," ",INDIRECT("Input!AP"&amp;1+MATCH($H144,aux_sheet_RRS!$D$2:$D$202,0)))</f>
        <v>0</v>
      </c>
      <c r="H144">
        <f>aux_sheet_RRS!E144</f>
        <v>1000</v>
      </c>
      <c r="J144" t="str">
        <f t="shared" si="12"/>
        <v xml:space="preserve"> </v>
      </c>
      <c r="K144">
        <v>143</v>
      </c>
      <c r="L144" t="str">
        <f t="shared" ca="1" si="10"/>
        <v xml:space="preserve"> </v>
      </c>
      <c r="M144" t="str">
        <f t="shared" ca="1" si="11"/>
        <v xml:space="preserve"> </v>
      </c>
      <c r="N144" s="3" t="str">
        <f t="shared" ca="1" si="9"/>
        <v xml:space="preserve"> </v>
      </c>
      <c r="O144" s="3" t="str">
        <f ca="1">IF(ISNUMBER($L144),INDIRECT("Input!A"&amp;1+MATCH($M144,aux_sheet_RRS!$D$2:$D$202,0))," ")</f>
        <v xml:space="preserve"> </v>
      </c>
      <c r="P144" s="3" t="str">
        <f ca="1">IF(ISNUMBER($L144),INDIRECT("Input!B"&amp;1+MATCH($M144,aux_sheet_RRS!$D$2:$D$202,0))," ")</f>
        <v xml:space="preserve"> </v>
      </c>
    </row>
    <row r="145" spans="1:16" x14ac:dyDescent="0.35">
      <c r="A145" t="str">
        <f>IF(ISBLANK(Input!A145)," ",ROUNDDOWN(aux_sheet_RRS!E145,0))</f>
        <v xml:space="preserve"> </v>
      </c>
      <c r="B145" t="str">
        <f ca="1">IF(ISBLANK(Input!A145)," ",INDIRECT("Input!A"&amp;1+MATCH($H145,aux_sheet_RRS!$D$2:$D$202,0)))</f>
        <v xml:space="preserve"> </v>
      </c>
      <c r="C145" t="str">
        <f ca="1">IF(ISBLANK(Input!B145)," ",INDIRECT("Input!B"&amp;1+MATCH($H145,aux_sheet_RRS!$D$2:$D$202,0)))</f>
        <v xml:space="preserve"> </v>
      </c>
      <c r="D145" t="str">
        <f ca="1">IF(ISBLANK(Input!C145)," ",INDIRECT("Input!C"&amp;1+MATCH($H145,aux_sheet_RRS!$D$2:$D$202,0)))</f>
        <v xml:space="preserve"> </v>
      </c>
      <c r="E145" t="str">
        <f ca="1">IF(ISBLANK(Input!D145)," ",INDIRECT("Input!D"&amp;1+MATCH($H145,aux_sheet_RRS!$D$2:$D$202,0)))</f>
        <v xml:space="preserve"> </v>
      </c>
      <c r="F145" t="str">
        <f ca="1">IF(ISBLANK(Input!E145)," ",INDIRECT("Input!H"&amp;1+MATCH($H145,aux_sheet_RRS!$D$2:$D$202,0)))</f>
        <v xml:space="preserve"> </v>
      </c>
      <c r="G145">
        <f ca="1">IF(ISBLANK(Input!G145)," ",INDIRECT("Input!AP"&amp;1+MATCH($H145,aux_sheet_RRS!$D$2:$D$202,0)))</f>
        <v>0</v>
      </c>
      <c r="H145">
        <f>aux_sheet_RRS!E145</f>
        <v>1000</v>
      </c>
      <c r="J145" t="str">
        <f t="shared" si="12"/>
        <v xml:space="preserve"> </v>
      </c>
      <c r="K145">
        <v>144</v>
      </c>
      <c r="L145" t="str">
        <f t="shared" ca="1" si="10"/>
        <v xml:space="preserve"> </v>
      </c>
      <c r="M145" t="str">
        <f t="shared" ca="1" si="11"/>
        <v xml:space="preserve"> </v>
      </c>
      <c r="N145" s="3" t="str">
        <f t="shared" ca="1" si="9"/>
        <v xml:space="preserve"> </v>
      </c>
      <c r="O145" s="3" t="str">
        <f ca="1">IF(ISNUMBER($L145),INDIRECT("Input!A"&amp;1+MATCH($M145,aux_sheet_RRS!$D$2:$D$202,0))," ")</f>
        <v xml:space="preserve"> </v>
      </c>
      <c r="P145" s="3" t="str">
        <f ca="1">IF(ISNUMBER($L145),INDIRECT("Input!B"&amp;1+MATCH($M145,aux_sheet_RRS!$D$2:$D$202,0))," ")</f>
        <v xml:space="preserve"> </v>
      </c>
    </row>
    <row r="146" spans="1:16" x14ac:dyDescent="0.35">
      <c r="A146" t="str">
        <f>IF(ISBLANK(Input!A146)," ",ROUNDDOWN(aux_sheet_RRS!E146,0))</f>
        <v xml:space="preserve"> </v>
      </c>
      <c r="B146" t="str">
        <f ca="1">IF(ISBLANK(Input!A146)," ",INDIRECT("Input!A"&amp;1+MATCH($H146,aux_sheet_RRS!$D$2:$D$202,0)))</f>
        <v xml:space="preserve"> </v>
      </c>
      <c r="C146" t="str">
        <f ca="1">IF(ISBLANK(Input!B146)," ",INDIRECT("Input!B"&amp;1+MATCH($H146,aux_sheet_RRS!$D$2:$D$202,0)))</f>
        <v xml:space="preserve"> </v>
      </c>
      <c r="D146" t="str">
        <f ca="1">IF(ISBLANK(Input!C146)," ",INDIRECT("Input!C"&amp;1+MATCH($H146,aux_sheet_RRS!$D$2:$D$202,0)))</f>
        <v xml:space="preserve"> </v>
      </c>
      <c r="E146" t="str">
        <f ca="1">IF(ISBLANK(Input!D146)," ",INDIRECT("Input!D"&amp;1+MATCH($H146,aux_sheet_RRS!$D$2:$D$202,0)))</f>
        <v xml:space="preserve"> </v>
      </c>
      <c r="F146" t="str">
        <f ca="1">IF(ISBLANK(Input!E146)," ",INDIRECT("Input!H"&amp;1+MATCH($H146,aux_sheet_RRS!$D$2:$D$202,0)))</f>
        <v xml:space="preserve"> </v>
      </c>
      <c r="G146">
        <f ca="1">IF(ISBLANK(Input!G146)," ",INDIRECT("Input!AP"&amp;1+MATCH($H146,aux_sheet_RRS!$D$2:$D$202,0)))</f>
        <v>0</v>
      </c>
      <c r="H146">
        <f>aux_sheet_RRS!E146</f>
        <v>1000</v>
      </c>
      <c r="J146" t="str">
        <f t="shared" si="12"/>
        <v xml:space="preserve"> </v>
      </c>
      <c r="K146">
        <v>145</v>
      </c>
      <c r="L146" t="str">
        <f t="shared" ca="1" si="10"/>
        <v xml:space="preserve"> </v>
      </c>
      <c r="M146" t="str">
        <f t="shared" ca="1" si="11"/>
        <v xml:space="preserve"> </v>
      </c>
      <c r="N146" s="3" t="str">
        <f t="shared" ca="1" si="9"/>
        <v xml:space="preserve"> </v>
      </c>
      <c r="O146" s="3" t="str">
        <f ca="1">IF(ISNUMBER($L146),INDIRECT("Input!A"&amp;1+MATCH($M146,aux_sheet_RRS!$D$2:$D$202,0))," ")</f>
        <v xml:space="preserve"> </v>
      </c>
      <c r="P146" s="3" t="str">
        <f ca="1">IF(ISNUMBER($L146),INDIRECT("Input!B"&amp;1+MATCH($M146,aux_sheet_RRS!$D$2:$D$202,0))," ")</f>
        <v xml:space="preserve"> </v>
      </c>
    </row>
    <row r="147" spans="1:16" x14ac:dyDescent="0.35">
      <c r="A147" t="str">
        <f>IF(ISBLANK(Input!A147)," ",ROUNDDOWN(aux_sheet_RRS!E147,0))</f>
        <v xml:space="preserve"> </v>
      </c>
      <c r="B147" t="str">
        <f ca="1">IF(ISBLANK(Input!A147)," ",INDIRECT("Input!A"&amp;1+MATCH($H147,aux_sheet_RRS!$D$2:$D$202,0)))</f>
        <v xml:space="preserve"> </v>
      </c>
      <c r="C147" t="str">
        <f ca="1">IF(ISBLANK(Input!B147)," ",INDIRECT("Input!B"&amp;1+MATCH($H147,aux_sheet_RRS!$D$2:$D$202,0)))</f>
        <v xml:space="preserve"> </v>
      </c>
      <c r="D147" t="str">
        <f ca="1">IF(ISBLANK(Input!C147)," ",INDIRECT("Input!C"&amp;1+MATCH($H147,aux_sheet_RRS!$D$2:$D$202,0)))</f>
        <v xml:space="preserve"> </v>
      </c>
      <c r="E147" t="str">
        <f ca="1">IF(ISBLANK(Input!D147)," ",INDIRECT("Input!D"&amp;1+MATCH($H147,aux_sheet_RRS!$D$2:$D$202,0)))</f>
        <v xml:space="preserve"> </v>
      </c>
      <c r="F147" t="str">
        <f ca="1">IF(ISBLANK(Input!E147)," ",INDIRECT("Input!H"&amp;1+MATCH($H147,aux_sheet_RRS!$D$2:$D$202,0)))</f>
        <v xml:space="preserve"> </v>
      </c>
      <c r="G147">
        <f ca="1">IF(ISBLANK(Input!G147)," ",INDIRECT("Input!AP"&amp;1+MATCH($H147,aux_sheet_RRS!$D$2:$D$202,0)))</f>
        <v>0</v>
      </c>
      <c r="H147">
        <f>aux_sheet_RRS!E147</f>
        <v>1000</v>
      </c>
      <c r="J147" t="str">
        <f t="shared" si="12"/>
        <v xml:space="preserve"> </v>
      </c>
      <c r="K147">
        <v>146</v>
      </c>
      <c r="L147" t="str">
        <f t="shared" ca="1" si="10"/>
        <v xml:space="preserve"> </v>
      </c>
      <c r="M147" t="str">
        <f t="shared" ca="1" si="11"/>
        <v xml:space="preserve"> </v>
      </c>
      <c r="N147" s="3" t="str">
        <f t="shared" ca="1" si="9"/>
        <v xml:space="preserve"> </v>
      </c>
      <c r="O147" s="3" t="str">
        <f ca="1">IF(ISNUMBER($L147),INDIRECT("Input!A"&amp;1+MATCH($M147,aux_sheet_RRS!$D$2:$D$202,0))," ")</f>
        <v xml:space="preserve"> </v>
      </c>
      <c r="P147" s="3" t="str">
        <f ca="1">IF(ISNUMBER($L147),INDIRECT("Input!B"&amp;1+MATCH($M147,aux_sheet_RRS!$D$2:$D$202,0))," ")</f>
        <v xml:space="preserve"> </v>
      </c>
    </row>
    <row r="148" spans="1:16" x14ac:dyDescent="0.35">
      <c r="A148" t="str">
        <f>IF(ISBLANK(Input!A148)," ",ROUNDDOWN(aux_sheet_RRS!E148,0))</f>
        <v xml:space="preserve"> </v>
      </c>
      <c r="B148" t="str">
        <f ca="1">IF(ISBLANK(Input!A148)," ",INDIRECT("Input!A"&amp;1+MATCH($H148,aux_sheet_RRS!$D$2:$D$202,0)))</f>
        <v xml:space="preserve"> </v>
      </c>
      <c r="C148" t="str">
        <f ca="1">IF(ISBLANK(Input!B148)," ",INDIRECT("Input!B"&amp;1+MATCH($H148,aux_sheet_RRS!$D$2:$D$202,0)))</f>
        <v xml:space="preserve"> </v>
      </c>
      <c r="D148" t="str">
        <f ca="1">IF(ISBLANK(Input!C148)," ",INDIRECT("Input!C"&amp;1+MATCH($H148,aux_sheet_RRS!$D$2:$D$202,0)))</f>
        <v xml:space="preserve"> </v>
      </c>
      <c r="E148" t="str">
        <f ca="1">IF(ISBLANK(Input!D148)," ",INDIRECT("Input!D"&amp;1+MATCH($H148,aux_sheet_RRS!$D$2:$D$202,0)))</f>
        <v xml:space="preserve"> </v>
      </c>
      <c r="F148" t="str">
        <f ca="1">IF(ISBLANK(Input!E148)," ",INDIRECT("Input!H"&amp;1+MATCH($H148,aux_sheet_RRS!$D$2:$D$202,0)))</f>
        <v xml:space="preserve"> </v>
      </c>
      <c r="G148">
        <f ca="1">IF(ISBLANK(Input!G148)," ",INDIRECT("Input!AP"&amp;1+MATCH($H148,aux_sheet_RRS!$D$2:$D$202,0)))</f>
        <v>0</v>
      </c>
      <c r="H148">
        <f>aux_sheet_RRS!E148</f>
        <v>1000</v>
      </c>
      <c r="J148" t="str">
        <f t="shared" si="12"/>
        <v xml:space="preserve"> </v>
      </c>
      <c r="K148">
        <v>147</v>
      </c>
      <c r="L148" t="str">
        <f t="shared" ca="1" si="10"/>
        <v xml:space="preserve"> </v>
      </c>
      <c r="M148" t="str">
        <f t="shared" ca="1" si="11"/>
        <v xml:space="preserve"> </v>
      </c>
      <c r="N148" s="3" t="str">
        <f t="shared" ca="1" si="9"/>
        <v xml:space="preserve"> </v>
      </c>
      <c r="O148" s="3" t="str">
        <f ca="1">IF(ISNUMBER($L148),INDIRECT("Input!A"&amp;1+MATCH($M148,aux_sheet_RRS!$D$2:$D$202,0))," ")</f>
        <v xml:space="preserve"> </v>
      </c>
      <c r="P148" s="3" t="str">
        <f ca="1">IF(ISNUMBER($L148),INDIRECT("Input!B"&amp;1+MATCH($M148,aux_sheet_RRS!$D$2:$D$202,0))," ")</f>
        <v xml:space="preserve"> </v>
      </c>
    </row>
    <row r="149" spans="1:16" x14ac:dyDescent="0.35">
      <c r="A149" t="str">
        <f>IF(ISBLANK(Input!A149)," ",ROUNDDOWN(aux_sheet_RRS!E149,0))</f>
        <v xml:space="preserve"> </v>
      </c>
      <c r="B149" t="str">
        <f ca="1">IF(ISBLANK(Input!A149)," ",INDIRECT("Input!A"&amp;1+MATCH($H149,aux_sheet_RRS!$D$2:$D$202,0)))</f>
        <v xml:space="preserve"> </v>
      </c>
      <c r="C149" t="str">
        <f ca="1">IF(ISBLANK(Input!B149)," ",INDIRECT("Input!B"&amp;1+MATCH($H149,aux_sheet_RRS!$D$2:$D$202,0)))</f>
        <v xml:space="preserve"> </v>
      </c>
      <c r="D149" t="str">
        <f ca="1">IF(ISBLANK(Input!C149)," ",INDIRECT("Input!C"&amp;1+MATCH($H149,aux_sheet_RRS!$D$2:$D$202,0)))</f>
        <v xml:space="preserve"> </v>
      </c>
      <c r="E149" t="str">
        <f ca="1">IF(ISBLANK(Input!D149)," ",INDIRECT("Input!D"&amp;1+MATCH($H149,aux_sheet_RRS!$D$2:$D$202,0)))</f>
        <v xml:space="preserve"> </v>
      </c>
      <c r="F149" t="str">
        <f ca="1">IF(ISBLANK(Input!E149)," ",INDIRECT("Input!H"&amp;1+MATCH($H149,aux_sheet_RRS!$D$2:$D$202,0)))</f>
        <v xml:space="preserve"> </v>
      </c>
      <c r="G149">
        <f ca="1">IF(ISBLANK(Input!G149)," ",INDIRECT("Input!AP"&amp;1+MATCH($H149,aux_sheet_RRS!$D$2:$D$202,0)))</f>
        <v>0</v>
      </c>
      <c r="H149">
        <f>aux_sheet_RRS!E149</f>
        <v>1000</v>
      </c>
      <c r="J149" t="str">
        <f t="shared" si="12"/>
        <v xml:space="preserve"> </v>
      </c>
      <c r="K149">
        <v>148</v>
      </c>
      <c r="L149" t="str">
        <f t="shared" ca="1" si="10"/>
        <v xml:space="preserve"> </v>
      </c>
      <c r="M149" t="str">
        <f t="shared" ca="1" si="11"/>
        <v xml:space="preserve"> </v>
      </c>
      <c r="N149" s="3" t="str">
        <f t="shared" ca="1" si="9"/>
        <v xml:space="preserve"> </v>
      </c>
      <c r="O149" s="3" t="str">
        <f ca="1">IF(ISNUMBER($L149),INDIRECT("Input!A"&amp;1+MATCH($M149,aux_sheet_RRS!$D$2:$D$202,0))," ")</f>
        <v xml:space="preserve"> </v>
      </c>
      <c r="P149" s="3" t="str">
        <f ca="1">IF(ISNUMBER($L149),INDIRECT("Input!B"&amp;1+MATCH($M149,aux_sheet_RRS!$D$2:$D$202,0))," ")</f>
        <v xml:space="preserve"> </v>
      </c>
    </row>
    <row r="150" spans="1:16" x14ac:dyDescent="0.35">
      <c r="A150" t="str">
        <f>IF(ISBLANK(Input!A150)," ",ROUNDDOWN(aux_sheet_RRS!E150,0))</f>
        <v xml:space="preserve"> </v>
      </c>
      <c r="B150" t="str">
        <f ca="1">IF(ISBLANK(Input!A150)," ",INDIRECT("Input!A"&amp;1+MATCH($H150,aux_sheet_RRS!$D$2:$D$202,0)))</f>
        <v xml:space="preserve"> </v>
      </c>
      <c r="C150" t="str">
        <f ca="1">IF(ISBLANK(Input!B150)," ",INDIRECT("Input!B"&amp;1+MATCH($H150,aux_sheet_RRS!$D$2:$D$202,0)))</f>
        <v xml:space="preserve"> </v>
      </c>
      <c r="D150" t="str">
        <f ca="1">IF(ISBLANK(Input!C150)," ",INDIRECT("Input!C"&amp;1+MATCH($H150,aux_sheet_RRS!$D$2:$D$202,0)))</f>
        <v xml:space="preserve"> </v>
      </c>
      <c r="E150" t="str">
        <f ca="1">IF(ISBLANK(Input!D150)," ",INDIRECT("Input!D"&amp;1+MATCH($H150,aux_sheet_RRS!$D$2:$D$202,0)))</f>
        <v xml:space="preserve"> </v>
      </c>
      <c r="F150" t="str">
        <f ca="1">IF(ISBLANK(Input!E150)," ",INDIRECT("Input!H"&amp;1+MATCH($H150,aux_sheet_RRS!$D$2:$D$202,0)))</f>
        <v xml:space="preserve"> </v>
      </c>
      <c r="G150">
        <f ca="1">IF(ISBLANK(Input!G150)," ",INDIRECT("Input!AP"&amp;1+MATCH($H150,aux_sheet_RRS!$D$2:$D$202,0)))</f>
        <v>0</v>
      </c>
      <c r="H150">
        <f>aux_sheet_RRS!E150</f>
        <v>1000</v>
      </c>
      <c r="J150" t="str">
        <f t="shared" si="12"/>
        <v xml:space="preserve"> </v>
      </c>
      <c r="K150">
        <v>149</v>
      </c>
      <c r="L150" t="str">
        <f t="shared" ca="1" si="10"/>
        <v xml:space="preserve"> </v>
      </c>
      <c r="M150" t="str">
        <f t="shared" ca="1" si="11"/>
        <v xml:space="preserve"> </v>
      </c>
      <c r="N150" s="3" t="str">
        <f t="shared" ca="1" si="9"/>
        <v xml:space="preserve"> </v>
      </c>
      <c r="O150" s="3" t="str">
        <f ca="1">IF(ISNUMBER($L150),INDIRECT("Input!A"&amp;1+MATCH($M150,aux_sheet_RRS!$D$2:$D$202,0))," ")</f>
        <v xml:space="preserve"> </v>
      </c>
      <c r="P150" s="3" t="str">
        <f ca="1">IF(ISNUMBER($L150),INDIRECT("Input!B"&amp;1+MATCH($M150,aux_sheet_RRS!$D$2:$D$202,0))," ")</f>
        <v xml:space="preserve"> </v>
      </c>
    </row>
    <row r="151" spans="1:16" x14ac:dyDescent="0.35">
      <c r="A151" t="str">
        <f>IF(ISBLANK(Input!A151)," ",ROUNDDOWN(aux_sheet_RRS!E151,0))</f>
        <v xml:space="preserve"> </v>
      </c>
      <c r="B151" t="str">
        <f ca="1">IF(ISBLANK(Input!A151)," ",INDIRECT("Input!A"&amp;1+MATCH($H151,aux_sheet_RRS!$D$2:$D$202,0)))</f>
        <v xml:space="preserve"> </v>
      </c>
      <c r="C151" t="str">
        <f ca="1">IF(ISBLANK(Input!B151)," ",INDIRECT("Input!B"&amp;1+MATCH($H151,aux_sheet_RRS!$D$2:$D$202,0)))</f>
        <v xml:space="preserve"> </v>
      </c>
      <c r="D151" t="str">
        <f ca="1">IF(ISBLANK(Input!C151)," ",INDIRECT("Input!C"&amp;1+MATCH($H151,aux_sheet_RRS!$D$2:$D$202,0)))</f>
        <v xml:space="preserve"> </v>
      </c>
      <c r="E151" t="str">
        <f ca="1">IF(ISBLANK(Input!D151)," ",INDIRECT("Input!D"&amp;1+MATCH($H151,aux_sheet_RRS!$D$2:$D$202,0)))</f>
        <v xml:space="preserve"> </v>
      </c>
      <c r="F151" t="str">
        <f ca="1">IF(ISBLANK(Input!E151)," ",INDIRECT("Input!H"&amp;1+MATCH($H151,aux_sheet_RRS!$D$2:$D$202,0)))</f>
        <v xml:space="preserve"> </v>
      </c>
      <c r="G151">
        <f ca="1">IF(ISBLANK(Input!G151)," ",INDIRECT("Input!AP"&amp;1+MATCH($H151,aux_sheet_RRS!$D$2:$D$202,0)))</f>
        <v>0</v>
      </c>
      <c r="H151">
        <f>aux_sheet_RRS!E151</f>
        <v>1000</v>
      </c>
      <c r="J151" t="str">
        <f t="shared" si="12"/>
        <v xml:space="preserve"> </v>
      </c>
      <c r="K151">
        <v>150</v>
      </c>
      <c r="L151" t="str">
        <f t="shared" ca="1" si="10"/>
        <v xml:space="preserve"> </v>
      </c>
      <c r="M151" t="str">
        <f t="shared" ca="1" si="11"/>
        <v xml:space="preserve"> </v>
      </c>
      <c r="N151" s="3" t="str">
        <f t="shared" ca="1" si="9"/>
        <v xml:space="preserve"> </v>
      </c>
      <c r="O151" s="3" t="str">
        <f ca="1">IF(ISNUMBER($L151),INDIRECT("Input!A"&amp;1+MATCH($M151,aux_sheet_RRS!$D$2:$D$202,0))," ")</f>
        <v xml:space="preserve"> </v>
      </c>
      <c r="P151" s="3" t="str">
        <f ca="1">IF(ISNUMBER($L151),INDIRECT("Input!B"&amp;1+MATCH($M151,aux_sheet_RRS!$D$2:$D$202,0))," ")</f>
        <v xml:space="preserve"> </v>
      </c>
    </row>
    <row r="152" spans="1:16" x14ac:dyDescent="0.35">
      <c r="A152" t="str">
        <f>IF(ISBLANK(Input!A152)," ",ROUNDDOWN(aux_sheet_RRS!E152,0))</f>
        <v xml:space="preserve"> </v>
      </c>
      <c r="B152" t="str">
        <f ca="1">IF(ISBLANK(Input!A152)," ",INDIRECT("Input!A"&amp;1+MATCH($H152,aux_sheet_RRS!$D$2:$D$202,0)))</f>
        <v xml:space="preserve"> </v>
      </c>
      <c r="C152" t="str">
        <f ca="1">IF(ISBLANK(Input!B152)," ",INDIRECT("Input!B"&amp;1+MATCH($H152,aux_sheet_RRS!$D$2:$D$202,0)))</f>
        <v xml:space="preserve"> </v>
      </c>
      <c r="D152" t="str">
        <f ca="1">IF(ISBLANK(Input!C152)," ",INDIRECT("Input!C"&amp;1+MATCH($H152,aux_sheet_RRS!$D$2:$D$202,0)))</f>
        <v xml:space="preserve"> </v>
      </c>
      <c r="E152" t="str">
        <f ca="1">IF(ISBLANK(Input!D152)," ",INDIRECT("Input!D"&amp;1+MATCH($H152,aux_sheet_RRS!$D$2:$D$202,0)))</f>
        <v xml:space="preserve"> </v>
      </c>
      <c r="F152" t="str">
        <f ca="1">IF(ISBLANK(Input!E152)," ",INDIRECT("Input!H"&amp;1+MATCH($H152,aux_sheet_RRS!$D$2:$D$202,0)))</f>
        <v xml:space="preserve"> </v>
      </c>
      <c r="G152">
        <f ca="1">IF(ISBLANK(Input!G152)," ",INDIRECT("Input!AP"&amp;1+MATCH($H152,aux_sheet_RRS!$D$2:$D$202,0)))</f>
        <v>0</v>
      </c>
      <c r="H152">
        <f>aux_sheet_RRS!E152</f>
        <v>1000</v>
      </c>
      <c r="J152" t="str">
        <f t="shared" si="12"/>
        <v xml:space="preserve"> </v>
      </c>
      <c r="K152">
        <v>151</v>
      </c>
      <c r="L152" t="str">
        <f t="shared" ca="1" si="10"/>
        <v xml:space="preserve"> </v>
      </c>
      <c r="M152" t="str">
        <f t="shared" ca="1" si="11"/>
        <v xml:space="preserve"> </v>
      </c>
      <c r="N152" s="3" t="str">
        <f t="shared" ca="1" si="9"/>
        <v xml:space="preserve"> </v>
      </c>
      <c r="O152" s="3" t="str">
        <f ca="1">IF(ISNUMBER($L152),INDIRECT("Input!A"&amp;1+MATCH($M152,aux_sheet_RRS!$D$2:$D$202,0))," ")</f>
        <v xml:space="preserve"> </v>
      </c>
      <c r="P152" s="3" t="str">
        <f ca="1">IF(ISNUMBER($L152),INDIRECT("Input!B"&amp;1+MATCH($M152,aux_sheet_RRS!$D$2:$D$202,0))," ")</f>
        <v xml:space="preserve"> </v>
      </c>
    </row>
    <row r="153" spans="1:16" x14ac:dyDescent="0.35">
      <c r="A153" t="str">
        <f>IF(ISBLANK(Input!A153)," ",ROUNDDOWN(aux_sheet_RRS!E153,0))</f>
        <v xml:space="preserve"> </v>
      </c>
      <c r="B153" t="str">
        <f ca="1">IF(ISBLANK(Input!A153)," ",INDIRECT("Input!A"&amp;1+MATCH($H153,aux_sheet_RRS!$D$2:$D$202,0)))</f>
        <v xml:space="preserve"> </v>
      </c>
      <c r="C153" t="str">
        <f ca="1">IF(ISBLANK(Input!B153)," ",INDIRECT("Input!B"&amp;1+MATCH($H153,aux_sheet_RRS!$D$2:$D$202,0)))</f>
        <v xml:space="preserve"> </v>
      </c>
      <c r="D153" t="str">
        <f ca="1">IF(ISBLANK(Input!C153)," ",INDIRECT("Input!C"&amp;1+MATCH($H153,aux_sheet_RRS!$D$2:$D$202,0)))</f>
        <v xml:space="preserve"> </v>
      </c>
      <c r="E153" t="str">
        <f ca="1">IF(ISBLANK(Input!D153)," ",INDIRECT("Input!D"&amp;1+MATCH($H153,aux_sheet_RRS!$D$2:$D$202,0)))</f>
        <v xml:space="preserve"> </v>
      </c>
      <c r="F153" t="str">
        <f ca="1">IF(ISBLANK(Input!E153)," ",INDIRECT("Input!H"&amp;1+MATCH($H153,aux_sheet_RRS!$D$2:$D$202,0)))</f>
        <v xml:space="preserve"> </v>
      </c>
      <c r="G153">
        <f ca="1">IF(ISBLANK(Input!G153)," ",INDIRECT("Input!AP"&amp;1+MATCH($H153,aux_sheet_RRS!$D$2:$D$202,0)))</f>
        <v>0</v>
      </c>
      <c r="H153">
        <f>aux_sheet_RRS!E153</f>
        <v>1000</v>
      </c>
      <c r="J153" t="str">
        <f t="shared" si="12"/>
        <v xml:space="preserve"> </v>
      </c>
      <c r="K153">
        <v>152</v>
      </c>
      <c r="L153" t="str">
        <f t="shared" ca="1" si="10"/>
        <v xml:space="preserve"> </v>
      </c>
      <c r="M153" t="str">
        <f t="shared" ca="1" si="11"/>
        <v xml:space="preserve"> </v>
      </c>
      <c r="N153" s="3" t="str">
        <f t="shared" ca="1" si="9"/>
        <v xml:space="preserve"> </v>
      </c>
      <c r="O153" s="3" t="str">
        <f ca="1">IF(ISNUMBER($L153),INDIRECT("Input!A"&amp;1+MATCH($M153,aux_sheet_RRS!$D$2:$D$202,0))," ")</f>
        <v xml:space="preserve"> </v>
      </c>
      <c r="P153" s="3" t="str">
        <f ca="1">IF(ISNUMBER($L153),INDIRECT("Input!B"&amp;1+MATCH($M153,aux_sheet_RRS!$D$2:$D$202,0))," ")</f>
        <v xml:space="preserve"> </v>
      </c>
    </row>
    <row r="154" spans="1:16" x14ac:dyDescent="0.35">
      <c r="A154" t="str">
        <f>IF(ISBLANK(Input!A154)," ",ROUNDDOWN(aux_sheet_RRS!E154,0))</f>
        <v xml:space="preserve"> </v>
      </c>
      <c r="B154" t="str">
        <f ca="1">IF(ISBLANK(Input!A154)," ",INDIRECT("Input!A"&amp;1+MATCH($H154,aux_sheet_RRS!$D$2:$D$202,0)))</f>
        <v xml:space="preserve"> </v>
      </c>
      <c r="C154" t="str">
        <f ca="1">IF(ISBLANK(Input!B154)," ",INDIRECT("Input!B"&amp;1+MATCH($H154,aux_sheet_RRS!$D$2:$D$202,0)))</f>
        <v xml:space="preserve"> </v>
      </c>
      <c r="D154" t="str">
        <f ca="1">IF(ISBLANK(Input!C154)," ",INDIRECT("Input!C"&amp;1+MATCH($H154,aux_sheet_RRS!$D$2:$D$202,0)))</f>
        <v xml:space="preserve"> </v>
      </c>
      <c r="E154" t="str">
        <f ca="1">IF(ISBLANK(Input!D154)," ",INDIRECT("Input!D"&amp;1+MATCH($H154,aux_sheet_RRS!$D$2:$D$202,0)))</f>
        <v xml:space="preserve"> </v>
      </c>
      <c r="F154" t="str">
        <f ca="1">IF(ISBLANK(Input!E154)," ",INDIRECT("Input!H"&amp;1+MATCH($H154,aux_sheet_RRS!$D$2:$D$202,0)))</f>
        <v xml:space="preserve"> </v>
      </c>
      <c r="G154">
        <f ca="1">IF(ISBLANK(Input!G154)," ",INDIRECT("Input!AP"&amp;1+MATCH($H154,aux_sheet_RRS!$D$2:$D$202,0)))</f>
        <v>0</v>
      </c>
      <c r="H154">
        <f>aux_sheet_RRS!E154</f>
        <v>1000</v>
      </c>
      <c r="J154" t="str">
        <f t="shared" si="12"/>
        <v xml:space="preserve"> </v>
      </c>
      <c r="K154">
        <v>153</v>
      </c>
      <c r="L154" t="str">
        <f t="shared" ca="1" si="10"/>
        <v xml:space="preserve"> </v>
      </c>
      <c r="M154" t="str">
        <f t="shared" ca="1" si="11"/>
        <v xml:space="preserve"> </v>
      </c>
      <c r="N154" s="3" t="str">
        <f t="shared" ca="1" si="9"/>
        <v xml:space="preserve"> </v>
      </c>
      <c r="O154" s="3" t="str">
        <f ca="1">IF(ISNUMBER($L154),INDIRECT("Input!A"&amp;1+MATCH($M154,aux_sheet_RRS!$D$2:$D$202,0))," ")</f>
        <v xml:space="preserve"> </v>
      </c>
      <c r="P154" s="3" t="str">
        <f ca="1">IF(ISNUMBER($L154),INDIRECT("Input!B"&amp;1+MATCH($M154,aux_sheet_RRS!$D$2:$D$202,0))," ")</f>
        <v xml:space="preserve"> </v>
      </c>
    </row>
    <row r="155" spans="1:16" x14ac:dyDescent="0.35">
      <c r="A155" t="str">
        <f>IF(ISBLANK(Input!A155)," ",ROUNDDOWN(aux_sheet_RRS!E155,0))</f>
        <v xml:space="preserve"> </v>
      </c>
      <c r="B155" t="str">
        <f ca="1">IF(ISBLANK(Input!A155)," ",INDIRECT("Input!A"&amp;1+MATCH($H155,aux_sheet_RRS!$D$2:$D$202,0)))</f>
        <v xml:space="preserve"> </v>
      </c>
      <c r="C155" t="str">
        <f ca="1">IF(ISBLANK(Input!B155)," ",INDIRECT("Input!B"&amp;1+MATCH($H155,aux_sheet_RRS!$D$2:$D$202,0)))</f>
        <v xml:space="preserve"> </v>
      </c>
      <c r="D155" t="str">
        <f ca="1">IF(ISBLANK(Input!C155)," ",INDIRECT("Input!C"&amp;1+MATCH($H155,aux_sheet_RRS!$D$2:$D$202,0)))</f>
        <v xml:space="preserve"> </v>
      </c>
      <c r="E155" t="str">
        <f ca="1">IF(ISBLANK(Input!D155)," ",INDIRECT("Input!D"&amp;1+MATCH($H155,aux_sheet_RRS!$D$2:$D$202,0)))</f>
        <v xml:space="preserve"> </v>
      </c>
      <c r="F155" t="str">
        <f ca="1">IF(ISBLANK(Input!E155)," ",INDIRECT("Input!H"&amp;1+MATCH($H155,aux_sheet_RRS!$D$2:$D$202,0)))</f>
        <v xml:space="preserve"> </v>
      </c>
      <c r="G155">
        <f ca="1">IF(ISBLANK(Input!G155)," ",INDIRECT("Input!AP"&amp;1+MATCH($H155,aux_sheet_RRS!$D$2:$D$202,0)))</f>
        <v>0</v>
      </c>
      <c r="H155">
        <f>aux_sheet_RRS!E155</f>
        <v>1000</v>
      </c>
      <c r="J155" t="str">
        <f t="shared" si="12"/>
        <v xml:space="preserve"> </v>
      </c>
      <c r="K155">
        <v>154</v>
      </c>
      <c r="L155" t="str">
        <f t="shared" ca="1" si="10"/>
        <v xml:space="preserve"> </v>
      </c>
      <c r="M155" t="str">
        <f t="shared" ca="1" si="11"/>
        <v xml:space="preserve"> </v>
      </c>
      <c r="N155" s="3" t="str">
        <f t="shared" ca="1" si="9"/>
        <v xml:space="preserve"> </v>
      </c>
      <c r="O155" s="3" t="str">
        <f ca="1">IF(ISNUMBER($L155),INDIRECT("Input!A"&amp;1+MATCH($M155,aux_sheet_RRS!$D$2:$D$202,0))," ")</f>
        <v xml:space="preserve"> </v>
      </c>
      <c r="P155" s="3" t="str">
        <f ca="1">IF(ISNUMBER($L155),INDIRECT("Input!B"&amp;1+MATCH($M155,aux_sheet_RRS!$D$2:$D$202,0))," ")</f>
        <v xml:space="preserve"> </v>
      </c>
    </row>
    <row r="156" spans="1:16" x14ac:dyDescent="0.35">
      <c r="A156" t="str">
        <f>IF(ISBLANK(Input!A156)," ",ROUNDDOWN(aux_sheet_RRS!E156,0))</f>
        <v xml:space="preserve"> </v>
      </c>
      <c r="B156" t="str">
        <f ca="1">IF(ISBLANK(Input!A156)," ",INDIRECT("Input!A"&amp;1+MATCH($H156,aux_sheet_RRS!$D$2:$D$202,0)))</f>
        <v xml:space="preserve"> </v>
      </c>
      <c r="C156" t="str">
        <f ca="1">IF(ISBLANK(Input!B156)," ",INDIRECT("Input!B"&amp;1+MATCH($H156,aux_sheet_RRS!$D$2:$D$202,0)))</f>
        <v xml:space="preserve"> </v>
      </c>
      <c r="D156" t="str">
        <f ca="1">IF(ISBLANK(Input!C156)," ",INDIRECT("Input!C"&amp;1+MATCH($H156,aux_sheet_RRS!$D$2:$D$202,0)))</f>
        <v xml:space="preserve"> </v>
      </c>
      <c r="E156" t="str">
        <f ca="1">IF(ISBLANK(Input!D156)," ",INDIRECT("Input!D"&amp;1+MATCH($H156,aux_sheet_RRS!$D$2:$D$202,0)))</f>
        <v xml:space="preserve"> </v>
      </c>
      <c r="F156" t="str">
        <f ca="1">IF(ISBLANK(Input!E156)," ",INDIRECT("Input!H"&amp;1+MATCH($H156,aux_sheet_RRS!$D$2:$D$202,0)))</f>
        <v xml:space="preserve"> </v>
      </c>
      <c r="G156">
        <f ca="1">IF(ISBLANK(Input!G156)," ",INDIRECT("Input!AP"&amp;1+MATCH($H156,aux_sheet_RRS!$D$2:$D$202,0)))</f>
        <v>0</v>
      </c>
      <c r="H156">
        <f>aux_sheet_RRS!E156</f>
        <v>1000</v>
      </c>
      <c r="J156" t="str">
        <f t="shared" si="12"/>
        <v xml:space="preserve"> </v>
      </c>
      <c r="K156">
        <v>155</v>
      </c>
      <c r="L156" t="str">
        <f t="shared" ca="1" si="10"/>
        <v xml:space="preserve"> </v>
      </c>
      <c r="M156" t="str">
        <f t="shared" ca="1" si="11"/>
        <v xml:space="preserve"> </v>
      </c>
      <c r="N156" s="3" t="str">
        <f t="shared" ca="1" si="9"/>
        <v xml:space="preserve"> </v>
      </c>
      <c r="O156" s="3" t="str">
        <f ca="1">IF(ISNUMBER($L156),INDIRECT("Input!A"&amp;1+MATCH($M156,aux_sheet_RRS!$D$2:$D$202,0))," ")</f>
        <v xml:space="preserve"> </v>
      </c>
      <c r="P156" s="3" t="str">
        <f ca="1">IF(ISNUMBER($L156),INDIRECT("Input!B"&amp;1+MATCH($M156,aux_sheet_RRS!$D$2:$D$202,0))," ")</f>
        <v xml:space="preserve"> </v>
      </c>
    </row>
    <row r="157" spans="1:16" x14ac:dyDescent="0.35">
      <c r="A157" t="str">
        <f>IF(ISBLANK(Input!A157)," ",ROUNDDOWN(aux_sheet_RRS!E157,0))</f>
        <v xml:space="preserve"> </v>
      </c>
      <c r="B157" t="str">
        <f ca="1">IF(ISBLANK(Input!A157)," ",INDIRECT("Input!A"&amp;1+MATCH($H157,aux_sheet_RRS!$D$2:$D$202,0)))</f>
        <v xml:space="preserve"> </v>
      </c>
      <c r="C157" t="str">
        <f ca="1">IF(ISBLANK(Input!B157)," ",INDIRECT("Input!B"&amp;1+MATCH($H157,aux_sheet_RRS!$D$2:$D$202,0)))</f>
        <v xml:space="preserve"> </v>
      </c>
      <c r="D157" t="str">
        <f ca="1">IF(ISBLANK(Input!C157)," ",INDIRECT("Input!C"&amp;1+MATCH($H157,aux_sheet_RRS!$D$2:$D$202,0)))</f>
        <v xml:space="preserve"> </v>
      </c>
      <c r="E157" t="str">
        <f ca="1">IF(ISBLANK(Input!D157)," ",INDIRECT("Input!D"&amp;1+MATCH($H157,aux_sheet_RRS!$D$2:$D$202,0)))</f>
        <v xml:space="preserve"> </v>
      </c>
      <c r="F157" t="str">
        <f ca="1">IF(ISBLANK(Input!E157)," ",INDIRECT("Input!H"&amp;1+MATCH($H157,aux_sheet_RRS!$D$2:$D$202,0)))</f>
        <v xml:space="preserve"> </v>
      </c>
      <c r="G157">
        <f ca="1">IF(ISBLANK(Input!G157)," ",INDIRECT("Input!AP"&amp;1+MATCH($H157,aux_sheet_RRS!$D$2:$D$202,0)))</f>
        <v>0</v>
      </c>
      <c r="H157">
        <f>aux_sheet_RRS!E157</f>
        <v>1000</v>
      </c>
      <c r="J157" t="str">
        <f t="shared" si="12"/>
        <v xml:space="preserve"> </v>
      </c>
      <c r="K157">
        <v>156</v>
      </c>
      <c r="L157" t="str">
        <f t="shared" ca="1" si="10"/>
        <v xml:space="preserve"> </v>
      </c>
      <c r="M157" t="str">
        <f t="shared" ca="1" si="11"/>
        <v xml:space="preserve"> </v>
      </c>
      <c r="N157" s="3" t="str">
        <f t="shared" ca="1" si="9"/>
        <v xml:space="preserve"> </v>
      </c>
      <c r="O157" s="3" t="str">
        <f ca="1">IF(ISNUMBER($L157),INDIRECT("Input!A"&amp;1+MATCH($M157,aux_sheet_RRS!$D$2:$D$202,0))," ")</f>
        <v xml:space="preserve"> </v>
      </c>
      <c r="P157" s="3" t="str">
        <f ca="1">IF(ISNUMBER($L157),INDIRECT("Input!B"&amp;1+MATCH($M157,aux_sheet_RRS!$D$2:$D$202,0))," ")</f>
        <v xml:space="preserve"> </v>
      </c>
    </row>
    <row r="158" spans="1:16" x14ac:dyDescent="0.35">
      <c r="A158" t="str">
        <f>IF(ISBLANK(Input!A158)," ",ROUNDDOWN(aux_sheet_RRS!E158,0))</f>
        <v xml:space="preserve"> </v>
      </c>
      <c r="B158" t="str">
        <f ca="1">IF(ISBLANK(Input!A158)," ",INDIRECT("Input!A"&amp;1+MATCH($H158,aux_sheet_RRS!$D$2:$D$202,0)))</f>
        <v xml:space="preserve"> </v>
      </c>
      <c r="C158" t="str">
        <f ca="1">IF(ISBLANK(Input!B158)," ",INDIRECT("Input!B"&amp;1+MATCH($H158,aux_sheet_RRS!$D$2:$D$202,0)))</f>
        <v xml:space="preserve"> </v>
      </c>
      <c r="D158" t="str">
        <f ca="1">IF(ISBLANK(Input!C158)," ",INDIRECT("Input!C"&amp;1+MATCH($H158,aux_sheet_RRS!$D$2:$D$202,0)))</f>
        <v xml:space="preserve"> </v>
      </c>
      <c r="E158" t="str">
        <f ca="1">IF(ISBLANK(Input!D158)," ",INDIRECT("Input!D"&amp;1+MATCH($H158,aux_sheet_RRS!$D$2:$D$202,0)))</f>
        <v xml:space="preserve"> </v>
      </c>
      <c r="F158" t="str">
        <f ca="1">IF(ISBLANK(Input!E158)," ",INDIRECT("Input!H"&amp;1+MATCH($H158,aux_sheet_RRS!$D$2:$D$202,0)))</f>
        <v xml:space="preserve"> </v>
      </c>
      <c r="G158">
        <f ca="1">IF(ISBLANK(Input!G158)," ",INDIRECT("Input!AP"&amp;1+MATCH($H158,aux_sheet_RRS!$D$2:$D$202,0)))</f>
        <v>0</v>
      </c>
      <c r="H158">
        <f>aux_sheet_RRS!E158</f>
        <v>1000</v>
      </c>
      <c r="J158" t="str">
        <f t="shared" si="12"/>
        <v xml:space="preserve"> </v>
      </c>
      <c r="K158">
        <v>157</v>
      </c>
      <c r="L158" t="str">
        <f t="shared" ca="1" si="10"/>
        <v xml:space="preserve"> </v>
      </c>
      <c r="M158" t="str">
        <f t="shared" ca="1" si="11"/>
        <v xml:space="preserve"> </v>
      </c>
      <c r="N158" s="3" t="str">
        <f t="shared" ca="1" si="9"/>
        <v xml:space="preserve"> </v>
      </c>
      <c r="O158" s="3" t="str">
        <f ca="1">IF(ISNUMBER($L158),INDIRECT("Input!A"&amp;1+MATCH($M158,aux_sheet_RRS!$D$2:$D$202,0))," ")</f>
        <v xml:space="preserve"> </v>
      </c>
      <c r="P158" s="3" t="str">
        <f ca="1">IF(ISNUMBER($L158),INDIRECT("Input!B"&amp;1+MATCH($M158,aux_sheet_RRS!$D$2:$D$202,0))," ")</f>
        <v xml:space="preserve"> </v>
      </c>
    </row>
    <row r="159" spans="1:16" x14ac:dyDescent="0.35">
      <c r="A159" t="str">
        <f>IF(ISBLANK(Input!A159)," ",ROUNDDOWN(aux_sheet_RRS!E159,0))</f>
        <v xml:space="preserve"> </v>
      </c>
      <c r="B159" t="str">
        <f ca="1">IF(ISBLANK(Input!A159)," ",INDIRECT("Input!A"&amp;1+MATCH($H159,aux_sheet_RRS!$D$2:$D$202,0)))</f>
        <v xml:space="preserve"> </v>
      </c>
      <c r="C159" t="str">
        <f ca="1">IF(ISBLANK(Input!B159)," ",INDIRECT("Input!B"&amp;1+MATCH($H159,aux_sheet_RRS!$D$2:$D$202,0)))</f>
        <v xml:space="preserve"> </v>
      </c>
      <c r="D159" t="str">
        <f ca="1">IF(ISBLANK(Input!C159)," ",INDIRECT("Input!C"&amp;1+MATCH($H159,aux_sheet_RRS!$D$2:$D$202,0)))</f>
        <v xml:space="preserve"> </v>
      </c>
      <c r="E159" t="str">
        <f ca="1">IF(ISBLANK(Input!D159)," ",INDIRECT("Input!D"&amp;1+MATCH($H159,aux_sheet_RRS!$D$2:$D$202,0)))</f>
        <v xml:space="preserve"> </v>
      </c>
      <c r="F159" t="str">
        <f ca="1">IF(ISBLANK(Input!E159)," ",INDIRECT("Input!H"&amp;1+MATCH($H159,aux_sheet_RRS!$D$2:$D$202,0)))</f>
        <v xml:space="preserve"> </v>
      </c>
      <c r="G159">
        <f ca="1">IF(ISBLANK(Input!G159)," ",INDIRECT("Input!AP"&amp;1+MATCH($H159,aux_sheet_RRS!$D$2:$D$202,0)))</f>
        <v>0</v>
      </c>
      <c r="H159">
        <f>aux_sheet_RRS!E159</f>
        <v>1000</v>
      </c>
      <c r="J159" t="str">
        <f t="shared" si="12"/>
        <v xml:space="preserve"> </v>
      </c>
      <c r="K159">
        <v>158</v>
      </c>
      <c r="L159" t="str">
        <f t="shared" ca="1" si="10"/>
        <v xml:space="preserve"> </v>
      </c>
      <c r="M159" t="str">
        <f t="shared" ca="1" si="11"/>
        <v xml:space="preserve"> </v>
      </c>
      <c r="N159" s="3" t="str">
        <f t="shared" ca="1" si="9"/>
        <v xml:space="preserve"> </v>
      </c>
      <c r="O159" s="3" t="str">
        <f ca="1">IF(ISNUMBER($L159),INDIRECT("Input!A"&amp;1+MATCH($M159,aux_sheet_RRS!$D$2:$D$202,0))," ")</f>
        <v xml:space="preserve"> </v>
      </c>
      <c r="P159" s="3" t="str">
        <f ca="1">IF(ISNUMBER($L159),INDIRECT("Input!B"&amp;1+MATCH($M159,aux_sheet_RRS!$D$2:$D$202,0))," ")</f>
        <v xml:space="preserve"> </v>
      </c>
    </row>
    <row r="160" spans="1:16" x14ac:dyDescent="0.35">
      <c r="A160" t="str">
        <f>IF(ISBLANK(Input!A160)," ",ROUNDDOWN(aux_sheet_RRS!E160,0))</f>
        <v xml:space="preserve"> </v>
      </c>
      <c r="B160" t="str">
        <f ca="1">IF(ISBLANK(Input!A160)," ",INDIRECT("Input!A"&amp;1+MATCH($H160,aux_sheet_RRS!$D$2:$D$202,0)))</f>
        <v xml:space="preserve"> </v>
      </c>
      <c r="C160" t="str">
        <f ca="1">IF(ISBLANK(Input!B160)," ",INDIRECT("Input!B"&amp;1+MATCH($H160,aux_sheet_RRS!$D$2:$D$202,0)))</f>
        <v xml:space="preserve"> </v>
      </c>
      <c r="D160" t="str">
        <f ca="1">IF(ISBLANK(Input!C160)," ",INDIRECT("Input!C"&amp;1+MATCH($H160,aux_sheet_RRS!$D$2:$D$202,0)))</f>
        <v xml:space="preserve"> </v>
      </c>
      <c r="E160" t="str">
        <f ca="1">IF(ISBLANK(Input!D160)," ",INDIRECT("Input!D"&amp;1+MATCH($H160,aux_sheet_RRS!$D$2:$D$202,0)))</f>
        <v xml:space="preserve"> </v>
      </c>
      <c r="F160" t="str">
        <f ca="1">IF(ISBLANK(Input!E160)," ",INDIRECT("Input!H"&amp;1+MATCH($H160,aux_sheet_RRS!$D$2:$D$202,0)))</f>
        <v xml:space="preserve"> </v>
      </c>
      <c r="G160">
        <f ca="1">IF(ISBLANK(Input!G160)," ",INDIRECT("Input!AP"&amp;1+MATCH($H160,aux_sheet_RRS!$D$2:$D$202,0)))</f>
        <v>0</v>
      </c>
      <c r="H160">
        <f>aux_sheet_RRS!E160</f>
        <v>1000</v>
      </c>
      <c r="J160" t="str">
        <f t="shared" si="12"/>
        <v xml:space="preserve"> </v>
      </c>
      <c r="K160">
        <v>159</v>
      </c>
      <c r="L160" t="str">
        <f t="shared" ca="1" si="10"/>
        <v xml:space="preserve"> </v>
      </c>
      <c r="M160" t="str">
        <f t="shared" ca="1" si="11"/>
        <v xml:space="preserve"> </v>
      </c>
      <c r="N160" s="3" t="str">
        <f t="shared" ca="1" si="9"/>
        <v xml:space="preserve"> </v>
      </c>
      <c r="O160" s="3" t="str">
        <f ca="1">IF(ISNUMBER($L160),INDIRECT("Input!A"&amp;1+MATCH($M160,aux_sheet_RRS!$D$2:$D$202,0))," ")</f>
        <v xml:space="preserve"> </v>
      </c>
      <c r="P160" s="3" t="str">
        <f ca="1">IF(ISNUMBER($L160),INDIRECT("Input!B"&amp;1+MATCH($M160,aux_sheet_RRS!$D$2:$D$202,0))," ")</f>
        <v xml:space="preserve"> </v>
      </c>
    </row>
    <row r="161" spans="1:16" x14ac:dyDescent="0.35">
      <c r="A161" t="str">
        <f>IF(ISBLANK(Input!A161)," ",ROUNDDOWN(aux_sheet_RRS!E161,0))</f>
        <v xml:space="preserve"> </v>
      </c>
      <c r="B161" t="str">
        <f ca="1">IF(ISBLANK(Input!A161)," ",INDIRECT("Input!A"&amp;1+MATCH($H161,aux_sheet_RRS!$D$2:$D$202,0)))</f>
        <v xml:space="preserve"> </v>
      </c>
      <c r="C161" t="str">
        <f ca="1">IF(ISBLANK(Input!B161)," ",INDIRECT("Input!B"&amp;1+MATCH($H161,aux_sheet_RRS!$D$2:$D$202,0)))</f>
        <v xml:space="preserve"> </v>
      </c>
      <c r="D161" t="str">
        <f ca="1">IF(ISBLANK(Input!C161)," ",INDIRECT("Input!C"&amp;1+MATCH($H161,aux_sheet_RRS!$D$2:$D$202,0)))</f>
        <v xml:space="preserve"> </v>
      </c>
      <c r="E161" t="str">
        <f ca="1">IF(ISBLANK(Input!D161)," ",INDIRECT("Input!D"&amp;1+MATCH($H161,aux_sheet_RRS!$D$2:$D$202,0)))</f>
        <v xml:space="preserve"> </v>
      </c>
      <c r="F161" t="str">
        <f ca="1">IF(ISBLANK(Input!E161)," ",INDIRECT("Input!H"&amp;1+MATCH($H161,aux_sheet_RRS!$D$2:$D$202,0)))</f>
        <v xml:space="preserve"> </v>
      </c>
      <c r="G161">
        <f ca="1">IF(ISBLANK(Input!G161)," ",INDIRECT("Input!AP"&amp;1+MATCH($H161,aux_sheet_RRS!$D$2:$D$202,0)))</f>
        <v>0</v>
      </c>
      <c r="H161">
        <f>aux_sheet_RRS!E161</f>
        <v>1000</v>
      </c>
      <c r="J161" t="str">
        <f t="shared" si="12"/>
        <v xml:space="preserve"> </v>
      </c>
      <c r="K161">
        <v>160</v>
      </c>
      <c r="L161" t="str">
        <f t="shared" ca="1" si="10"/>
        <v xml:space="preserve"> </v>
      </c>
      <c r="M161" t="str">
        <f t="shared" ca="1" si="11"/>
        <v xml:space="preserve"> </v>
      </c>
      <c r="N161" s="3" t="str">
        <f t="shared" ca="1" si="9"/>
        <v xml:space="preserve"> </v>
      </c>
      <c r="O161" s="3" t="str">
        <f ca="1">IF(ISNUMBER($L161),INDIRECT("Input!A"&amp;1+MATCH($M161,aux_sheet_RRS!$D$2:$D$202,0))," ")</f>
        <v xml:space="preserve"> </v>
      </c>
      <c r="P161" s="3" t="str">
        <f ca="1">IF(ISNUMBER($L161),INDIRECT("Input!B"&amp;1+MATCH($M161,aux_sheet_RRS!$D$2:$D$202,0))," ")</f>
        <v xml:space="preserve"> </v>
      </c>
    </row>
    <row r="162" spans="1:16" x14ac:dyDescent="0.35">
      <c r="A162" t="str">
        <f>IF(ISBLANK(Input!A162)," ",ROUNDDOWN(aux_sheet_RRS!E162,0))</f>
        <v xml:space="preserve"> </v>
      </c>
      <c r="B162" t="str">
        <f ca="1">IF(ISBLANK(Input!A162)," ",INDIRECT("Input!A"&amp;1+MATCH($H162,aux_sheet_RRS!$D$2:$D$202,0)))</f>
        <v xml:space="preserve"> </v>
      </c>
      <c r="C162" t="str">
        <f ca="1">IF(ISBLANK(Input!B162)," ",INDIRECT("Input!B"&amp;1+MATCH($H162,aux_sheet_RRS!$D$2:$D$202,0)))</f>
        <v xml:space="preserve"> </v>
      </c>
      <c r="D162" t="str">
        <f ca="1">IF(ISBLANK(Input!C162)," ",INDIRECT("Input!C"&amp;1+MATCH($H162,aux_sheet_RRS!$D$2:$D$202,0)))</f>
        <v xml:space="preserve"> </v>
      </c>
      <c r="E162" t="str">
        <f ca="1">IF(ISBLANK(Input!D162)," ",INDIRECT("Input!D"&amp;1+MATCH($H162,aux_sheet_RRS!$D$2:$D$202,0)))</f>
        <v xml:space="preserve"> </v>
      </c>
      <c r="F162" t="str">
        <f ca="1">IF(ISBLANK(Input!E162)," ",INDIRECT("Input!H"&amp;1+MATCH($H162,aux_sheet_RRS!$D$2:$D$202,0)))</f>
        <v xml:space="preserve"> </v>
      </c>
      <c r="G162">
        <f ca="1">IF(ISBLANK(Input!G162)," ",INDIRECT("Input!AP"&amp;1+MATCH($H162,aux_sheet_RRS!$D$2:$D$202,0)))</f>
        <v>0</v>
      </c>
      <c r="H162">
        <f>aux_sheet_RRS!E162</f>
        <v>1000</v>
      </c>
      <c r="J162" t="str">
        <f t="shared" si="12"/>
        <v xml:space="preserve"> </v>
      </c>
      <c r="K162">
        <v>161</v>
      </c>
      <c r="L162" t="str">
        <f t="shared" ca="1" si="10"/>
        <v xml:space="preserve"> </v>
      </c>
      <c r="M162" t="str">
        <f t="shared" ca="1" si="11"/>
        <v xml:space="preserve"> </v>
      </c>
      <c r="N162" s="3" t="str">
        <f t="shared" ca="1" si="9"/>
        <v xml:space="preserve"> </v>
      </c>
      <c r="O162" s="3" t="str">
        <f ca="1">IF(ISNUMBER($L162),INDIRECT("Input!A"&amp;1+MATCH($M162,aux_sheet_RRS!$D$2:$D$202,0))," ")</f>
        <v xml:space="preserve"> </v>
      </c>
      <c r="P162" s="3" t="str">
        <f ca="1">IF(ISNUMBER($L162),INDIRECT("Input!B"&amp;1+MATCH($M162,aux_sheet_RRS!$D$2:$D$202,0))," ")</f>
        <v xml:space="preserve"> </v>
      </c>
    </row>
    <row r="163" spans="1:16" x14ac:dyDescent="0.35">
      <c r="A163" t="str">
        <f>IF(ISBLANK(Input!A163)," ",ROUNDDOWN(aux_sheet_RRS!E163,0))</f>
        <v xml:space="preserve"> </v>
      </c>
      <c r="B163" t="str">
        <f ca="1">IF(ISBLANK(Input!A163)," ",INDIRECT("Input!A"&amp;1+MATCH($H163,aux_sheet_RRS!$D$2:$D$202,0)))</f>
        <v xml:space="preserve"> </v>
      </c>
      <c r="C163" t="str">
        <f ca="1">IF(ISBLANK(Input!B163)," ",INDIRECT("Input!B"&amp;1+MATCH($H163,aux_sheet_RRS!$D$2:$D$202,0)))</f>
        <v xml:space="preserve"> </v>
      </c>
      <c r="D163" t="str">
        <f ca="1">IF(ISBLANK(Input!C163)," ",INDIRECT("Input!C"&amp;1+MATCH($H163,aux_sheet_RRS!$D$2:$D$202,0)))</f>
        <v xml:space="preserve"> </v>
      </c>
      <c r="E163" t="str">
        <f ca="1">IF(ISBLANK(Input!D163)," ",INDIRECT("Input!D"&amp;1+MATCH($H163,aux_sheet_RRS!$D$2:$D$202,0)))</f>
        <v xml:space="preserve"> </v>
      </c>
      <c r="F163" t="str">
        <f ca="1">IF(ISBLANK(Input!E163)," ",INDIRECT("Input!H"&amp;1+MATCH($H163,aux_sheet_RRS!$D$2:$D$202,0)))</f>
        <v xml:space="preserve"> </v>
      </c>
      <c r="G163">
        <f ca="1">IF(ISBLANK(Input!G163)," ",INDIRECT("Input!AP"&amp;1+MATCH($H163,aux_sheet_RRS!$D$2:$D$202,0)))</f>
        <v>0</v>
      </c>
      <c r="H163">
        <f>aux_sheet_RRS!E163</f>
        <v>1000</v>
      </c>
      <c r="J163" t="str">
        <f t="shared" si="12"/>
        <v xml:space="preserve"> </v>
      </c>
      <c r="K163">
        <v>162</v>
      </c>
      <c r="L163" t="str">
        <f t="shared" ca="1" si="10"/>
        <v xml:space="preserve"> </v>
      </c>
      <c r="M163" t="str">
        <f t="shared" ca="1" si="11"/>
        <v xml:space="preserve"> </v>
      </c>
      <c r="N163" s="3" t="str">
        <f t="shared" ca="1" si="9"/>
        <v xml:space="preserve"> </v>
      </c>
      <c r="O163" s="3" t="str">
        <f ca="1">IF(ISNUMBER($L163),INDIRECT("Input!A"&amp;1+MATCH($M163,aux_sheet_RRS!$D$2:$D$202,0))," ")</f>
        <v xml:space="preserve"> </v>
      </c>
      <c r="P163" s="3" t="str">
        <f ca="1">IF(ISNUMBER($L163),INDIRECT("Input!B"&amp;1+MATCH($M163,aux_sheet_RRS!$D$2:$D$202,0))," ")</f>
        <v xml:space="preserve"> </v>
      </c>
    </row>
    <row r="164" spans="1:16" x14ac:dyDescent="0.35">
      <c r="A164" t="str">
        <f>IF(ISBLANK(Input!A164)," ",ROUNDDOWN(aux_sheet_RRS!E164,0))</f>
        <v xml:space="preserve"> </v>
      </c>
      <c r="B164" t="str">
        <f ca="1">IF(ISBLANK(Input!A164)," ",INDIRECT("Input!A"&amp;1+MATCH($H164,aux_sheet_RRS!$D$2:$D$202,0)))</f>
        <v xml:space="preserve"> </v>
      </c>
      <c r="C164" t="str">
        <f ca="1">IF(ISBLANK(Input!B164)," ",INDIRECT("Input!B"&amp;1+MATCH($H164,aux_sheet_RRS!$D$2:$D$202,0)))</f>
        <v xml:space="preserve"> </v>
      </c>
      <c r="D164" t="str">
        <f ca="1">IF(ISBLANK(Input!C164)," ",INDIRECT("Input!C"&amp;1+MATCH($H164,aux_sheet_RRS!$D$2:$D$202,0)))</f>
        <v xml:space="preserve"> </v>
      </c>
      <c r="E164" t="str">
        <f ca="1">IF(ISBLANK(Input!D164)," ",INDIRECT("Input!D"&amp;1+MATCH($H164,aux_sheet_RRS!$D$2:$D$202,0)))</f>
        <v xml:space="preserve"> </v>
      </c>
      <c r="F164" t="str">
        <f ca="1">IF(ISBLANK(Input!E164)," ",INDIRECT("Input!H"&amp;1+MATCH($H164,aux_sheet_RRS!$D$2:$D$202,0)))</f>
        <v xml:space="preserve"> </v>
      </c>
      <c r="G164">
        <f ca="1">IF(ISBLANK(Input!G164)," ",INDIRECT("Input!AP"&amp;1+MATCH($H164,aux_sheet_RRS!$D$2:$D$202,0)))</f>
        <v>0</v>
      </c>
      <c r="H164">
        <f>aux_sheet_RRS!E164</f>
        <v>1000</v>
      </c>
      <c r="J164" t="str">
        <f t="shared" si="12"/>
        <v xml:space="preserve"> </v>
      </c>
      <c r="K164">
        <v>163</v>
      </c>
      <c r="L164" t="str">
        <f t="shared" ca="1" si="10"/>
        <v xml:space="preserve"> </v>
      </c>
      <c r="M164" t="str">
        <f t="shared" ca="1" si="11"/>
        <v xml:space="preserve"> </v>
      </c>
      <c r="N164" s="3" t="str">
        <f t="shared" ca="1" si="9"/>
        <v xml:space="preserve"> </v>
      </c>
      <c r="O164" s="3" t="str">
        <f ca="1">IF(ISNUMBER($L164),INDIRECT("Input!A"&amp;1+MATCH($M164,aux_sheet_RRS!$D$2:$D$202,0))," ")</f>
        <v xml:space="preserve"> </v>
      </c>
      <c r="P164" s="3" t="str">
        <f ca="1">IF(ISNUMBER($L164),INDIRECT("Input!B"&amp;1+MATCH($M164,aux_sheet_RRS!$D$2:$D$202,0))," ")</f>
        <v xml:space="preserve"> </v>
      </c>
    </row>
    <row r="165" spans="1:16" x14ac:dyDescent="0.35">
      <c r="A165" t="str">
        <f>IF(ISBLANK(Input!A165)," ",ROUNDDOWN(aux_sheet_RRS!E165,0))</f>
        <v xml:space="preserve"> </v>
      </c>
      <c r="B165" t="str">
        <f ca="1">IF(ISBLANK(Input!A165)," ",INDIRECT("Input!A"&amp;1+MATCH($H165,aux_sheet_RRS!$D$2:$D$202,0)))</f>
        <v xml:space="preserve"> </v>
      </c>
      <c r="C165" t="str">
        <f ca="1">IF(ISBLANK(Input!B165)," ",INDIRECT("Input!B"&amp;1+MATCH($H165,aux_sheet_RRS!$D$2:$D$202,0)))</f>
        <v xml:space="preserve"> </v>
      </c>
      <c r="D165" t="str">
        <f ca="1">IF(ISBLANK(Input!C165)," ",INDIRECT("Input!C"&amp;1+MATCH($H165,aux_sheet_RRS!$D$2:$D$202,0)))</f>
        <v xml:space="preserve"> </v>
      </c>
      <c r="E165" t="str">
        <f ca="1">IF(ISBLANK(Input!D165)," ",INDIRECT("Input!D"&amp;1+MATCH($H165,aux_sheet_RRS!$D$2:$D$202,0)))</f>
        <v xml:space="preserve"> </v>
      </c>
      <c r="F165" t="str">
        <f ca="1">IF(ISBLANK(Input!E165)," ",INDIRECT("Input!H"&amp;1+MATCH($H165,aux_sheet_RRS!$D$2:$D$202,0)))</f>
        <v xml:space="preserve"> </v>
      </c>
      <c r="G165">
        <f ca="1">IF(ISBLANK(Input!G165)," ",INDIRECT("Input!AP"&amp;1+MATCH($H165,aux_sheet_RRS!$D$2:$D$202,0)))</f>
        <v>0</v>
      </c>
      <c r="H165">
        <f>aux_sheet_RRS!E165</f>
        <v>1000</v>
      </c>
      <c r="J165" t="str">
        <f t="shared" si="12"/>
        <v xml:space="preserve"> </v>
      </c>
      <c r="K165">
        <v>164</v>
      </c>
      <c r="L165" t="str">
        <f t="shared" ca="1" si="10"/>
        <v xml:space="preserve"> </v>
      </c>
      <c r="M165" t="str">
        <f t="shared" ca="1" si="11"/>
        <v xml:space="preserve"> </v>
      </c>
      <c r="N165" s="3" t="str">
        <f t="shared" ca="1" si="9"/>
        <v xml:space="preserve"> </v>
      </c>
      <c r="O165" s="3" t="str">
        <f ca="1">IF(ISNUMBER($L165),INDIRECT("Input!A"&amp;1+MATCH($M165,aux_sheet_RRS!$D$2:$D$202,0))," ")</f>
        <v xml:space="preserve"> </v>
      </c>
      <c r="P165" s="3" t="str">
        <f ca="1">IF(ISNUMBER($L165),INDIRECT("Input!B"&amp;1+MATCH($M165,aux_sheet_RRS!$D$2:$D$202,0))," ")</f>
        <v xml:space="preserve"> </v>
      </c>
    </row>
    <row r="166" spans="1:16" x14ac:dyDescent="0.35">
      <c r="A166" t="str">
        <f>IF(ISBLANK(Input!A166)," ",ROUNDDOWN(aux_sheet_RRS!E166,0))</f>
        <v xml:space="preserve"> </v>
      </c>
      <c r="B166" t="str">
        <f ca="1">IF(ISBLANK(Input!A166)," ",INDIRECT("Input!A"&amp;1+MATCH($H166,aux_sheet_RRS!$D$2:$D$202,0)))</f>
        <v xml:space="preserve"> </v>
      </c>
      <c r="C166" t="str">
        <f ca="1">IF(ISBLANK(Input!B166)," ",INDIRECT("Input!B"&amp;1+MATCH($H166,aux_sheet_RRS!$D$2:$D$202,0)))</f>
        <v xml:space="preserve"> </v>
      </c>
      <c r="D166" t="str">
        <f ca="1">IF(ISBLANK(Input!C166)," ",INDIRECT("Input!C"&amp;1+MATCH($H166,aux_sheet_RRS!$D$2:$D$202,0)))</f>
        <v xml:space="preserve"> </v>
      </c>
      <c r="E166" t="str">
        <f ca="1">IF(ISBLANK(Input!D166)," ",INDIRECT("Input!D"&amp;1+MATCH($H166,aux_sheet_RRS!$D$2:$D$202,0)))</f>
        <v xml:space="preserve"> </v>
      </c>
      <c r="F166" t="str">
        <f ca="1">IF(ISBLANK(Input!E166)," ",INDIRECT("Input!H"&amp;1+MATCH($H166,aux_sheet_RRS!$D$2:$D$202,0)))</f>
        <v xml:space="preserve"> </v>
      </c>
      <c r="G166">
        <f ca="1">IF(ISBLANK(Input!G166)," ",INDIRECT("Input!AP"&amp;1+MATCH($H166,aux_sheet_RRS!$D$2:$D$202,0)))</f>
        <v>0</v>
      </c>
      <c r="H166">
        <f>aux_sheet_RRS!E166</f>
        <v>1000</v>
      </c>
      <c r="J166" t="str">
        <f t="shared" si="12"/>
        <v xml:space="preserve"> </v>
      </c>
      <c r="K166">
        <v>165</v>
      </c>
      <c r="L166" t="str">
        <f t="shared" ca="1" si="10"/>
        <v xml:space="preserve"> </v>
      </c>
      <c r="M166" t="str">
        <f t="shared" ca="1" si="11"/>
        <v xml:space="preserve"> </v>
      </c>
      <c r="N166" s="3" t="str">
        <f t="shared" ca="1" si="9"/>
        <v xml:space="preserve"> </v>
      </c>
      <c r="O166" s="3" t="str">
        <f ca="1">IF(ISNUMBER($L166),INDIRECT("Input!A"&amp;1+MATCH($M166,aux_sheet_RRS!$D$2:$D$202,0))," ")</f>
        <v xml:space="preserve"> </v>
      </c>
      <c r="P166" s="3" t="str">
        <f ca="1">IF(ISNUMBER($L166),INDIRECT("Input!B"&amp;1+MATCH($M166,aux_sheet_RRS!$D$2:$D$202,0))," ")</f>
        <v xml:space="preserve"> </v>
      </c>
    </row>
    <row r="167" spans="1:16" x14ac:dyDescent="0.35">
      <c r="A167" t="str">
        <f>IF(ISBLANK(Input!A167)," ",ROUNDDOWN(aux_sheet_RRS!E167,0))</f>
        <v xml:space="preserve"> </v>
      </c>
      <c r="B167" t="str">
        <f ca="1">IF(ISBLANK(Input!A167)," ",INDIRECT("Input!A"&amp;1+MATCH($H167,aux_sheet_RRS!$D$2:$D$202,0)))</f>
        <v xml:space="preserve"> </v>
      </c>
      <c r="C167" t="str">
        <f ca="1">IF(ISBLANK(Input!B167)," ",INDIRECT("Input!B"&amp;1+MATCH($H167,aux_sheet_RRS!$D$2:$D$202,0)))</f>
        <v xml:space="preserve"> </v>
      </c>
      <c r="D167" t="str">
        <f ca="1">IF(ISBLANK(Input!C167)," ",INDIRECT("Input!C"&amp;1+MATCH($H167,aux_sheet_RRS!$D$2:$D$202,0)))</f>
        <v xml:space="preserve"> </v>
      </c>
      <c r="E167" t="str">
        <f ca="1">IF(ISBLANK(Input!D167)," ",INDIRECT("Input!D"&amp;1+MATCH($H167,aux_sheet_RRS!$D$2:$D$202,0)))</f>
        <v xml:space="preserve"> </v>
      </c>
      <c r="F167" t="str">
        <f ca="1">IF(ISBLANK(Input!E167)," ",INDIRECT("Input!H"&amp;1+MATCH($H167,aux_sheet_RRS!$D$2:$D$202,0)))</f>
        <v xml:space="preserve"> </v>
      </c>
      <c r="G167">
        <f ca="1">IF(ISBLANK(Input!G167)," ",INDIRECT("Input!AP"&amp;1+MATCH($H167,aux_sheet_RRS!$D$2:$D$202,0)))</f>
        <v>0</v>
      </c>
      <c r="H167">
        <f>aux_sheet_RRS!E167</f>
        <v>1000</v>
      </c>
      <c r="J167" t="str">
        <f t="shared" si="12"/>
        <v xml:space="preserve"> </v>
      </c>
      <c r="K167">
        <v>166</v>
      </c>
      <c r="L167" t="str">
        <f t="shared" ca="1" si="10"/>
        <v xml:space="preserve"> </v>
      </c>
      <c r="M167" t="str">
        <f t="shared" ca="1" si="11"/>
        <v xml:space="preserve"> </v>
      </c>
      <c r="N167" s="3" t="str">
        <f t="shared" ca="1" si="9"/>
        <v xml:space="preserve"> </v>
      </c>
      <c r="O167" s="3" t="str">
        <f ca="1">IF(ISNUMBER($L167),INDIRECT("Input!A"&amp;1+MATCH($M167,aux_sheet_RRS!$D$2:$D$202,0))," ")</f>
        <v xml:space="preserve"> </v>
      </c>
      <c r="P167" s="3" t="str">
        <f ca="1">IF(ISNUMBER($L167),INDIRECT("Input!B"&amp;1+MATCH($M167,aux_sheet_RRS!$D$2:$D$202,0))," ")</f>
        <v xml:space="preserve"> </v>
      </c>
    </row>
    <row r="168" spans="1:16" x14ac:dyDescent="0.35">
      <c r="A168" t="str">
        <f>IF(ISBLANK(Input!A168)," ",ROUNDDOWN(aux_sheet_RRS!E168,0))</f>
        <v xml:space="preserve"> </v>
      </c>
      <c r="B168" t="str">
        <f ca="1">IF(ISBLANK(Input!A168)," ",INDIRECT("Input!A"&amp;1+MATCH($H168,aux_sheet_RRS!$D$2:$D$202,0)))</f>
        <v xml:space="preserve"> </v>
      </c>
      <c r="C168" t="str">
        <f ca="1">IF(ISBLANK(Input!B168)," ",INDIRECT("Input!B"&amp;1+MATCH($H168,aux_sheet_RRS!$D$2:$D$202,0)))</f>
        <v xml:space="preserve"> </v>
      </c>
      <c r="D168" t="str">
        <f ca="1">IF(ISBLANK(Input!C168)," ",INDIRECT("Input!C"&amp;1+MATCH($H168,aux_sheet_RRS!$D$2:$D$202,0)))</f>
        <v xml:space="preserve"> </v>
      </c>
      <c r="E168" t="str">
        <f ca="1">IF(ISBLANK(Input!D168)," ",INDIRECT("Input!D"&amp;1+MATCH($H168,aux_sheet_RRS!$D$2:$D$202,0)))</f>
        <v xml:space="preserve"> </v>
      </c>
      <c r="F168" t="str">
        <f ca="1">IF(ISBLANK(Input!E168)," ",INDIRECT("Input!H"&amp;1+MATCH($H168,aux_sheet_RRS!$D$2:$D$202,0)))</f>
        <v xml:space="preserve"> </v>
      </c>
      <c r="G168">
        <f ca="1">IF(ISBLANK(Input!G168)," ",INDIRECT("Input!AP"&amp;1+MATCH($H168,aux_sheet_RRS!$D$2:$D$202,0)))</f>
        <v>0</v>
      </c>
      <c r="H168">
        <f>aux_sheet_RRS!E168</f>
        <v>1000</v>
      </c>
      <c r="J168" t="str">
        <f t="shared" si="12"/>
        <v xml:space="preserve"> </v>
      </c>
      <c r="K168">
        <v>167</v>
      </c>
      <c r="L168" t="str">
        <f t="shared" ca="1" si="10"/>
        <v xml:space="preserve"> </v>
      </c>
      <c r="M168" t="str">
        <f t="shared" ca="1" si="11"/>
        <v xml:space="preserve"> </v>
      </c>
      <c r="N168" s="3" t="str">
        <f t="shared" ca="1" si="9"/>
        <v xml:space="preserve"> </v>
      </c>
      <c r="O168" s="3" t="str">
        <f ca="1">IF(ISNUMBER($L168),INDIRECT("Input!A"&amp;1+MATCH($M168,aux_sheet_RRS!$D$2:$D$202,0))," ")</f>
        <v xml:space="preserve"> </v>
      </c>
      <c r="P168" s="3" t="str">
        <f ca="1">IF(ISNUMBER($L168),INDIRECT("Input!B"&amp;1+MATCH($M168,aux_sheet_RRS!$D$2:$D$202,0))," ")</f>
        <v xml:space="preserve"> </v>
      </c>
    </row>
    <row r="169" spans="1:16" x14ac:dyDescent="0.35">
      <c r="A169" t="str">
        <f>IF(ISBLANK(Input!A169)," ",ROUNDDOWN(aux_sheet_RRS!E169,0))</f>
        <v xml:space="preserve"> </v>
      </c>
      <c r="B169" t="str">
        <f ca="1">IF(ISBLANK(Input!A169)," ",INDIRECT("Input!A"&amp;1+MATCH($H169,aux_sheet_RRS!$D$2:$D$202,0)))</f>
        <v xml:space="preserve"> </v>
      </c>
      <c r="C169" t="str">
        <f ca="1">IF(ISBLANK(Input!B169)," ",INDIRECT("Input!B"&amp;1+MATCH($H169,aux_sheet_RRS!$D$2:$D$202,0)))</f>
        <v xml:space="preserve"> </v>
      </c>
      <c r="D169" t="str">
        <f ca="1">IF(ISBLANK(Input!C169)," ",INDIRECT("Input!C"&amp;1+MATCH($H169,aux_sheet_RRS!$D$2:$D$202,0)))</f>
        <v xml:space="preserve"> </v>
      </c>
      <c r="E169" t="str">
        <f ca="1">IF(ISBLANK(Input!D169)," ",INDIRECT("Input!D"&amp;1+MATCH($H169,aux_sheet_RRS!$D$2:$D$202,0)))</f>
        <v xml:space="preserve"> </v>
      </c>
      <c r="F169" t="str">
        <f ca="1">IF(ISBLANK(Input!E169)," ",INDIRECT("Input!H"&amp;1+MATCH($H169,aux_sheet_RRS!$D$2:$D$202,0)))</f>
        <v xml:space="preserve"> </v>
      </c>
      <c r="G169">
        <f ca="1">IF(ISBLANK(Input!G169)," ",INDIRECT("Input!AP"&amp;1+MATCH($H169,aux_sheet_RRS!$D$2:$D$202,0)))</f>
        <v>0</v>
      </c>
      <c r="H169">
        <f>aux_sheet_RRS!E169</f>
        <v>1000</v>
      </c>
      <c r="J169" t="str">
        <f t="shared" si="12"/>
        <v xml:space="preserve"> </v>
      </c>
      <c r="K169">
        <v>168</v>
      </c>
      <c r="L169" t="str">
        <f t="shared" ca="1" si="10"/>
        <v xml:space="preserve"> </v>
      </c>
      <c r="M169" t="str">
        <f t="shared" ca="1" si="11"/>
        <v xml:space="preserve"> </v>
      </c>
      <c r="N169" s="3" t="str">
        <f t="shared" ca="1" si="9"/>
        <v xml:space="preserve"> </v>
      </c>
      <c r="O169" s="3" t="str">
        <f ca="1">IF(ISNUMBER($L169),INDIRECT("Input!A"&amp;1+MATCH($M169,aux_sheet_RRS!$D$2:$D$202,0))," ")</f>
        <v xml:space="preserve"> </v>
      </c>
      <c r="P169" s="3" t="str">
        <f ca="1">IF(ISNUMBER($L169),INDIRECT("Input!B"&amp;1+MATCH($M169,aux_sheet_RRS!$D$2:$D$202,0))," ")</f>
        <v xml:space="preserve"> </v>
      </c>
    </row>
    <row r="170" spans="1:16" x14ac:dyDescent="0.35">
      <c r="A170" t="str">
        <f>IF(ISBLANK(Input!A170)," ",ROUNDDOWN(aux_sheet_RRS!E170,0))</f>
        <v xml:space="preserve"> </v>
      </c>
      <c r="B170" t="str">
        <f ca="1">IF(ISBLANK(Input!A170)," ",INDIRECT("Input!A"&amp;1+MATCH($H170,aux_sheet_RRS!$D$2:$D$202,0)))</f>
        <v xml:space="preserve"> </v>
      </c>
      <c r="C170" t="str">
        <f ca="1">IF(ISBLANK(Input!B170)," ",INDIRECT("Input!B"&amp;1+MATCH($H170,aux_sheet_RRS!$D$2:$D$202,0)))</f>
        <v xml:space="preserve"> </v>
      </c>
      <c r="D170" t="str">
        <f ca="1">IF(ISBLANK(Input!C170)," ",INDIRECT("Input!C"&amp;1+MATCH($H170,aux_sheet_RRS!$D$2:$D$202,0)))</f>
        <v xml:space="preserve"> </v>
      </c>
      <c r="E170" t="str">
        <f ca="1">IF(ISBLANK(Input!D170)," ",INDIRECT("Input!D"&amp;1+MATCH($H170,aux_sheet_RRS!$D$2:$D$202,0)))</f>
        <v xml:space="preserve"> </v>
      </c>
      <c r="F170" t="str">
        <f ca="1">IF(ISBLANK(Input!E170)," ",INDIRECT("Input!H"&amp;1+MATCH($H170,aux_sheet_RRS!$D$2:$D$202,0)))</f>
        <v xml:space="preserve"> </v>
      </c>
      <c r="G170">
        <f ca="1">IF(ISBLANK(Input!G170)," ",INDIRECT("Input!AP"&amp;1+MATCH($H170,aux_sheet_RRS!$D$2:$D$202,0)))</f>
        <v>0</v>
      </c>
      <c r="H170">
        <f>aux_sheet_RRS!E170</f>
        <v>1000</v>
      </c>
      <c r="J170" t="str">
        <f t="shared" si="12"/>
        <v xml:space="preserve"> </v>
      </c>
      <c r="K170">
        <v>169</v>
      </c>
      <c r="L170" t="str">
        <f t="shared" ca="1" si="10"/>
        <v xml:space="preserve"> </v>
      </c>
      <c r="M170" t="str">
        <f t="shared" ca="1" si="11"/>
        <v xml:space="preserve"> </v>
      </c>
      <c r="N170" s="3" t="str">
        <f t="shared" ca="1" si="9"/>
        <v xml:space="preserve"> </v>
      </c>
      <c r="O170" s="3" t="str">
        <f ca="1">IF(ISNUMBER($L170),INDIRECT("Input!A"&amp;1+MATCH($M170,aux_sheet_RRS!$D$2:$D$202,0))," ")</f>
        <v xml:space="preserve"> </v>
      </c>
      <c r="P170" s="3" t="str">
        <f ca="1">IF(ISNUMBER($L170),INDIRECT("Input!B"&amp;1+MATCH($M170,aux_sheet_RRS!$D$2:$D$202,0))," ")</f>
        <v xml:space="preserve"> </v>
      </c>
    </row>
    <row r="171" spans="1:16" x14ac:dyDescent="0.35">
      <c r="A171" t="str">
        <f>IF(ISBLANK(Input!A171)," ",ROUNDDOWN(aux_sheet_RRS!E171,0))</f>
        <v xml:space="preserve"> </v>
      </c>
      <c r="B171" t="str">
        <f ca="1">IF(ISBLANK(Input!A171)," ",INDIRECT("Input!A"&amp;1+MATCH($H171,aux_sheet_RRS!$D$2:$D$202,0)))</f>
        <v xml:space="preserve"> </v>
      </c>
      <c r="C171" t="str">
        <f ca="1">IF(ISBLANK(Input!B171)," ",INDIRECT("Input!B"&amp;1+MATCH($H171,aux_sheet_RRS!$D$2:$D$202,0)))</f>
        <v xml:space="preserve"> </v>
      </c>
      <c r="D171" t="str">
        <f ca="1">IF(ISBLANK(Input!C171)," ",INDIRECT("Input!C"&amp;1+MATCH($H171,aux_sheet_RRS!$D$2:$D$202,0)))</f>
        <v xml:space="preserve"> </v>
      </c>
      <c r="E171" t="str">
        <f ca="1">IF(ISBLANK(Input!D171)," ",INDIRECT("Input!D"&amp;1+MATCH($H171,aux_sheet_RRS!$D$2:$D$202,0)))</f>
        <v xml:space="preserve"> </v>
      </c>
      <c r="F171" t="str">
        <f ca="1">IF(ISBLANK(Input!E171)," ",INDIRECT("Input!H"&amp;1+MATCH($H171,aux_sheet_RRS!$D$2:$D$202,0)))</f>
        <v xml:space="preserve"> </v>
      </c>
      <c r="G171">
        <f ca="1">IF(ISBLANK(Input!G171)," ",INDIRECT("Input!AP"&amp;1+MATCH($H171,aux_sheet_RRS!$D$2:$D$202,0)))</f>
        <v>0</v>
      </c>
      <c r="H171">
        <f>aux_sheet_RRS!E171</f>
        <v>1000</v>
      </c>
      <c r="J171" t="str">
        <f t="shared" si="12"/>
        <v xml:space="preserve"> </v>
      </c>
      <c r="K171">
        <v>170</v>
      </c>
      <c r="L171" t="str">
        <f t="shared" ca="1" si="10"/>
        <v xml:space="preserve"> </v>
      </c>
      <c r="M171" t="str">
        <f t="shared" ca="1" si="11"/>
        <v xml:space="preserve"> </v>
      </c>
      <c r="N171" s="3" t="str">
        <f t="shared" ca="1" si="9"/>
        <v xml:space="preserve"> </v>
      </c>
      <c r="O171" s="3" t="str">
        <f ca="1">IF(ISNUMBER($L171),INDIRECT("Input!A"&amp;1+MATCH($M171,aux_sheet_RRS!$D$2:$D$202,0))," ")</f>
        <v xml:space="preserve"> </v>
      </c>
      <c r="P171" s="3" t="str">
        <f ca="1">IF(ISNUMBER($L171),INDIRECT("Input!B"&amp;1+MATCH($M171,aux_sheet_RRS!$D$2:$D$202,0))," ")</f>
        <v xml:space="preserve"> </v>
      </c>
    </row>
    <row r="172" spans="1:16" x14ac:dyDescent="0.35">
      <c r="A172" t="str">
        <f>IF(ISBLANK(Input!A172)," ",ROUNDDOWN(aux_sheet_RRS!E172,0))</f>
        <v xml:space="preserve"> </v>
      </c>
      <c r="B172" t="str">
        <f ca="1">IF(ISBLANK(Input!A172)," ",INDIRECT("Input!A"&amp;1+MATCH($H172,aux_sheet_RRS!$D$2:$D$202,0)))</f>
        <v xml:space="preserve"> </v>
      </c>
      <c r="C172" t="str">
        <f ca="1">IF(ISBLANK(Input!B172)," ",INDIRECT("Input!B"&amp;1+MATCH($H172,aux_sheet_RRS!$D$2:$D$202,0)))</f>
        <v xml:space="preserve"> </v>
      </c>
      <c r="D172" t="str">
        <f ca="1">IF(ISBLANK(Input!C172)," ",INDIRECT("Input!C"&amp;1+MATCH($H172,aux_sheet_RRS!$D$2:$D$202,0)))</f>
        <v xml:space="preserve"> </v>
      </c>
      <c r="E172" t="str">
        <f ca="1">IF(ISBLANK(Input!D172)," ",INDIRECT("Input!D"&amp;1+MATCH($H172,aux_sheet_RRS!$D$2:$D$202,0)))</f>
        <v xml:space="preserve"> </v>
      </c>
      <c r="F172" t="str">
        <f ca="1">IF(ISBLANK(Input!E172)," ",INDIRECT("Input!H"&amp;1+MATCH($H172,aux_sheet_RRS!$D$2:$D$202,0)))</f>
        <v xml:space="preserve"> </v>
      </c>
      <c r="G172">
        <f ca="1">IF(ISBLANK(Input!G172)," ",INDIRECT("Input!AP"&amp;1+MATCH($H172,aux_sheet_RRS!$D$2:$D$202,0)))</f>
        <v>0</v>
      </c>
      <c r="H172">
        <f>aux_sheet_RRS!E172</f>
        <v>1000</v>
      </c>
      <c r="J172" t="str">
        <f t="shared" si="12"/>
        <v xml:space="preserve"> </v>
      </c>
      <c r="K172">
        <v>171</v>
      </c>
      <c r="L172" t="str">
        <f t="shared" ca="1" si="10"/>
        <v xml:space="preserve"> </v>
      </c>
      <c r="M172" t="str">
        <f t="shared" ca="1" si="11"/>
        <v xml:space="preserve"> </v>
      </c>
      <c r="N172" s="3" t="str">
        <f t="shared" ca="1" si="9"/>
        <v xml:space="preserve"> </v>
      </c>
      <c r="O172" s="3" t="str">
        <f ca="1">IF(ISNUMBER($L172),INDIRECT("Input!A"&amp;1+MATCH($M172,aux_sheet_RRS!$D$2:$D$202,0))," ")</f>
        <v xml:space="preserve"> </v>
      </c>
      <c r="P172" s="3" t="str">
        <f ca="1">IF(ISNUMBER($L172),INDIRECT("Input!B"&amp;1+MATCH($M172,aux_sheet_RRS!$D$2:$D$202,0))," ")</f>
        <v xml:space="preserve"> </v>
      </c>
    </row>
    <row r="173" spans="1:16" x14ac:dyDescent="0.35">
      <c r="A173" t="str">
        <f>IF(ISBLANK(Input!A173)," ",ROUNDDOWN(aux_sheet_RRS!E173,0))</f>
        <v xml:space="preserve"> </v>
      </c>
      <c r="B173" t="str">
        <f ca="1">IF(ISBLANK(Input!A173)," ",INDIRECT("Input!A"&amp;1+MATCH($H173,aux_sheet_RRS!$D$2:$D$202,0)))</f>
        <v xml:space="preserve"> </v>
      </c>
      <c r="C173" t="str">
        <f ca="1">IF(ISBLANK(Input!B173)," ",INDIRECT("Input!B"&amp;1+MATCH($H173,aux_sheet_RRS!$D$2:$D$202,0)))</f>
        <v xml:space="preserve"> </v>
      </c>
      <c r="D173" t="str">
        <f ca="1">IF(ISBLANK(Input!C173)," ",INDIRECT("Input!C"&amp;1+MATCH($H173,aux_sheet_RRS!$D$2:$D$202,0)))</f>
        <v xml:space="preserve"> </v>
      </c>
      <c r="E173" t="str">
        <f ca="1">IF(ISBLANK(Input!D173)," ",INDIRECT("Input!D"&amp;1+MATCH($H173,aux_sheet_RRS!$D$2:$D$202,0)))</f>
        <v xml:space="preserve"> </v>
      </c>
      <c r="F173" t="str">
        <f ca="1">IF(ISBLANK(Input!E173)," ",INDIRECT("Input!H"&amp;1+MATCH($H173,aux_sheet_RRS!$D$2:$D$202,0)))</f>
        <v xml:space="preserve"> </v>
      </c>
      <c r="G173">
        <f ca="1">IF(ISBLANK(Input!G173)," ",INDIRECT("Input!AP"&amp;1+MATCH($H173,aux_sheet_RRS!$D$2:$D$202,0)))</f>
        <v>0</v>
      </c>
      <c r="H173">
        <f>aux_sheet_RRS!E173</f>
        <v>1000</v>
      </c>
      <c r="J173" t="str">
        <f t="shared" si="12"/>
        <v xml:space="preserve"> </v>
      </c>
      <c r="K173">
        <v>172</v>
      </c>
      <c r="L173" t="str">
        <f t="shared" ca="1" si="10"/>
        <v xml:space="preserve"> </v>
      </c>
      <c r="M173" t="str">
        <f t="shared" ca="1" si="11"/>
        <v xml:space="preserve"> </v>
      </c>
      <c r="N173" s="3" t="str">
        <f t="shared" ca="1" si="9"/>
        <v xml:space="preserve"> </v>
      </c>
      <c r="O173" s="3" t="str">
        <f ca="1">IF(ISNUMBER($L173),INDIRECT("Input!A"&amp;1+MATCH($M173,aux_sheet_RRS!$D$2:$D$202,0))," ")</f>
        <v xml:space="preserve"> </v>
      </c>
      <c r="P173" s="3" t="str">
        <f ca="1">IF(ISNUMBER($L173),INDIRECT("Input!B"&amp;1+MATCH($M173,aux_sheet_RRS!$D$2:$D$202,0))," ")</f>
        <v xml:space="preserve"> </v>
      </c>
    </row>
    <row r="174" spans="1:16" x14ac:dyDescent="0.35">
      <c r="A174" t="str">
        <f>IF(ISBLANK(Input!A174)," ",ROUNDDOWN(aux_sheet_RRS!E174,0))</f>
        <v xml:space="preserve"> </v>
      </c>
      <c r="B174" t="str">
        <f ca="1">IF(ISBLANK(Input!A174)," ",INDIRECT("Input!A"&amp;1+MATCH($H174,aux_sheet_RRS!$D$2:$D$202,0)))</f>
        <v xml:space="preserve"> </v>
      </c>
      <c r="C174" t="str">
        <f ca="1">IF(ISBLANK(Input!B174)," ",INDIRECT("Input!B"&amp;1+MATCH($H174,aux_sheet_RRS!$D$2:$D$202,0)))</f>
        <v xml:space="preserve"> </v>
      </c>
      <c r="D174" t="str">
        <f ca="1">IF(ISBLANK(Input!C174)," ",INDIRECT("Input!C"&amp;1+MATCH($H174,aux_sheet_RRS!$D$2:$D$202,0)))</f>
        <v xml:space="preserve"> </v>
      </c>
      <c r="E174" t="str">
        <f ca="1">IF(ISBLANK(Input!D174)," ",INDIRECT("Input!D"&amp;1+MATCH($H174,aux_sheet_RRS!$D$2:$D$202,0)))</f>
        <v xml:space="preserve"> </v>
      </c>
      <c r="F174" t="str">
        <f ca="1">IF(ISBLANK(Input!E174)," ",INDIRECT("Input!H"&amp;1+MATCH($H174,aux_sheet_RRS!$D$2:$D$202,0)))</f>
        <v xml:space="preserve"> </v>
      </c>
      <c r="G174">
        <f ca="1">IF(ISBLANK(Input!G174)," ",INDIRECT("Input!AP"&amp;1+MATCH($H174,aux_sheet_RRS!$D$2:$D$202,0)))</f>
        <v>0</v>
      </c>
      <c r="H174">
        <f>aux_sheet_RRS!E174</f>
        <v>1000</v>
      </c>
      <c r="J174" t="str">
        <f t="shared" si="12"/>
        <v xml:space="preserve"> </v>
      </c>
      <c r="K174">
        <v>173</v>
      </c>
      <c r="L174" t="str">
        <f t="shared" ca="1" si="10"/>
        <v xml:space="preserve"> </v>
      </c>
      <c r="M174" t="str">
        <f t="shared" ca="1" si="11"/>
        <v xml:space="preserve"> </v>
      </c>
      <c r="N174" s="3" t="str">
        <f t="shared" ca="1" si="9"/>
        <v xml:space="preserve"> </v>
      </c>
      <c r="O174" s="3" t="str">
        <f ca="1">IF(ISNUMBER($L174),INDIRECT("Input!A"&amp;1+MATCH($M174,aux_sheet_RRS!$D$2:$D$202,0))," ")</f>
        <v xml:space="preserve"> </v>
      </c>
      <c r="P174" s="3" t="str">
        <f ca="1">IF(ISNUMBER($L174),INDIRECT("Input!B"&amp;1+MATCH($M174,aux_sheet_RRS!$D$2:$D$202,0))," ")</f>
        <v xml:space="preserve"> </v>
      </c>
    </row>
    <row r="175" spans="1:16" x14ac:dyDescent="0.35">
      <c r="A175" t="str">
        <f>IF(ISBLANK(Input!A175)," ",ROUNDDOWN(aux_sheet_RRS!E175,0))</f>
        <v xml:space="preserve"> </v>
      </c>
      <c r="B175" t="str">
        <f ca="1">IF(ISBLANK(Input!A175)," ",INDIRECT("Input!A"&amp;1+MATCH($H175,aux_sheet_RRS!$D$2:$D$202,0)))</f>
        <v xml:space="preserve"> </v>
      </c>
      <c r="C175" t="str">
        <f ca="1">IF(ISBLANK(Input!B175)," ",INDIRECT("Input!B"&amp;1+MATCH($H175,aux_sheet_RRS!$D$2:$D$202,0)))</f>
        <v xml:space="preserve"> </v>
      </c>
      <c r="D175" t="str">
        <f ca="1">IF(ISBLANK(Input!C175)," ",INDIRECT("Input!C"&amp;1+MATCH($H175,aux_sheet_RRS!$D$2:$D$202,0)))</f>
        <v xml:space="preserve"> </v>
      </c>
      <c r="E175" t="str">
        <f ca="1">IF(ISBLANK(Input!D175)," ",INDIRECT("Input!D"&amp;1+MATCH($H175,aux_sheet_RRS!$D$2:$D$202,0)))</f>
        <v xml:space="preserve"> </v>
      </c>
      <c r="F175" t="str">
        <f ca="1">IF(ISBLANK(Input!E175)," ",INDIRECT("Input!H"&amp;1+MATCH($H175,aux_sheet_RRS!$D$2:$D$202,0)))</f>
        <v xml:space="preserve"> </v>
      </c>
      <c r="G175">
        <f ca="1">IF(ISBLANK(Input!G175)," ",INDIRECT("Input!AP"&amp;1+MATCH($H175,aux_sheet_RRS!$D$2:$D$202,0)))</f>
        <v>0</v>
      </c>
      <c r="H175">
        <f>aux_sheet_RRS!E175</f>
        <v>1000</v>
      </c>
      <c r="J175" t="str">
        <f t="shared" si="12"/>
        <v xml:space="preserve"> </v>
      </c>
      <c r="K175">
        <v>174</v>
      </c>
      <c r="L175" t="str">
        <f t="shared" ca="1" si="10"/>
        <v xml:space="preserve"> </v>
      </c>
      <c r="M175" t="str">
        <f t="shared" ca="1" si="11"/>
        <v xml:space="preserve"> </v>
      </c>
      <c r="N175" s="3" t="str">
        <f t="shared" ca="1" si="9"/>
        <v xml:space="preserve"> </v>
      </c>
      <c r="O175" s="3" t="str">
        <f ca="1">IF(ISNUMBER($L175),INDIRECT("Input!A"&amp;1+MATCH($M175,aux_sheet_RRS!$D$2:$D$202,0))," ")</f>
        <v xml:space="preserve"> </v>
      </c>
      <c r="P175" s="3" t="str">
        <f ca="1">IF(ISNUMBER($L175),INDIRECT("Input!B"&amp;1+MATCH($M175,aux_sheet_RRS!$D$2:$D$202,0))," ")</f>
        <v xml:space="preserve"> </v>
      </c>
    </row>
    <row r="176" spans="1:16" x14ac:dyDescent="0.35">
      <c r="A176" t="str">
        <f>IF(ISBLANK(Input!A176)," ",ROUNDDOWN(aux_sheet_RRS!E176,0))</f>
        <v xml:space="preserve"> </v>
      </c>
      <c r="B176" t="str">
        <f ca="1">IF(ISBLANK(Input!A176)," ",INDIRECT("Input!A"&amp;1+MATCH($H176,aux_sheet_RRS!$D$2:$D$202,0)))</f>
        <v xml:space="preserve"> </v>
      </c>
      <c r="C176" t="str">
        <f ca="1">IF(ISBLANK(Input!B176)," ",INDIRECT("Input!B"&amp;1+MATCH($H176,aux_sheet_RRS!$D$2:$D$202,0)))</f>
        <v xml:space="preserve"> </v>
      </c>
      <c r="D176" t="str">
        <f ca="1">IF(ISBLANK(Input!C176)," ",INDIRECT("Input!C"&amp;1+MATCH($H176,aux_sheet_RRS!$D$2:$D$202,0)))</f>
        <v xml:space="preserve"> </v>
      </c>
      <c r="E176" t="str">
        <f ca="1">IF(ISBLANK(Input!D176)," ",INDIRECT("Input!D"&amp;1+MATCH($H176,aux_sheet_RRS!$D$2:$D$202,0)))</f>
        <v xml:space="preserve"> </v>
      </c>
      <c r="F176" t="str">
        <f ca="1">IF(ISBLANK(Input!E176)," ",INDIRECT("Input!H"&amp;1+MATCH($H176,aux_sheet_RRS!$D$2:$D$202,0)))</f>
        <v xml:space="preserve"> </v>
      </c>
      <c r="G176">
        <f ca="1">IF(ISBLANK(Input!G176)," ",INDIRECT("Input!AP"&amp;1+MATCH($H176,aux_sheet_RRS!$D$2:$D$202,0)))</f>
        <v>0</v>
      </c>
      <c r="H176">
        <f>aux_sheet_RRS!E176</f>
        <v>1000</v>
      </c>
      <c r="J176" t="str">
        <f t="shared" si="12"/>
        <v xml:space="preserve"> </v>
      </c>
      <c r="K176">
        <v>175</v>
      </c>
      <c r="L176" t="str">
        <f t="shared" ca="1" si="10"/>
        <v xml:space="preserve"> </v>
      </c>
      <c r="M176" t="str">
        <f t="shared" ca="1" si="11"/>
        <v xml:space="preserve"> </v>
      </c>
      <c r="N176" s="3" t="str">
        <f t="shared" ca="1" si="9"/>
        <v xml:space="preserve"> </v>
      </c>
      <c r="O176" s="3" t="str">
        <f ca="1">IF(ISNUMBER($L176),INDIRECT("Input!A"&amp;1+MATCH($M176,aux_sheet_RRS!$D$2:$D$202,0))," ")</f>
        <v xml:space="preserve"> </v>
      </c>
      <c r="P176" s="3" t="str">
        <f ca="1">IF(ISNUMBER($L176),INDIRECT("Input!B"&amp;1+MATCH($M176,aux_sheet_RRS!$D$2:$D$202,0))," ")</f>
        <v xml:space="preserve"> </v>
      </c>
    </row>
    <row r="177" spans="1:16" x14ac:dyDescent="0.35">
      <c r="A177" t="str">
        <f>IF(ISBLANK(Input!A177)," ",ROUNDDOWN(aux_sheet_RRS!E177,0))</f>
        <v xml:space="preserve"> </v>
      </c>
      <c r="B177" t="str">
        <f ca="1">IF(ISBLANK(Input!A177)," ",INDIRECT("Input!A"&amp;1+MATCH($H177,aux_sheet_RRS!$D$2:$D$202,0)))</f>
        <v xml:space="preserve"> </v>
      </c>
      <c r="C177" t="str">
        <f ca="1">IF(ISBLANK(Input!B177)," ",INDIRECT("Input!B"&amp;1+MATCH($H177,aux_sheet_RRS!$D$2:$D$202,0)))</f>
        <v xml:space="preserve"> </v>
      </c>
      <c r="D177" t="str">
        <f ca="1">IF(ISBLANK(Input!C177)," ",INDIRECT("Input!C"&amp;1+MATCH($H177,aux_sheet_RRS!$D$2:$D$202,0)))</f>
        <v xml:space="preserve"> </v>
      </c>
      <c r="E177" t="str">
        <f ca="1">IF(ISBLANK(Input!D177)," ",INDIRECT("Input!D"&amp;1+MATCH($H177,aux_sheet_RRS!$D$2:$D$202,0)))</f>
        <v xml:space="preserve"> </v>
      </c>
      <c r="F177" t="str">
        <f ca="1">IF(ISBLANK(Input!E177)," ",INDIRECT("Input!H"&amp;1+MATCH($H177,aux_sheet_RRS!$D$2:$D$202,0)))</f>
        <v xml:space="preserve"> </v>
      </c>
      <c r="G177">
        <f ca="1">IF(ISBLANK(Input!G177)," ",INDIRECT("Input!AP"&amp;1+MATCH($H177,aux_sheet_RRS!$D$2:$D$202,0)))</f>
        <v>0</v>
      </c>
      <c r="H177">
        <f>aux_sheet_RRS!E177</f>
        <v>1000</v>
      </c>
      <c r="J177" t="str">
        <f t="shared" si="12"/>
        <v xml:space="preserve"> </v>
      </c>
      <c r="K177">
        <v>176</v>
      </c>
      <c r="L177" t="str">
        <f t="shared" ca="1" si="10"/>
        <v xml:space="preserve"> </v>
      </c>
      <c r="M177" t="str">
        <f t="shared" ca="1" si="11"/>
        <v xml:space="preserve"> </v>
      </c>
      <c r="N177" s="3" t="str">
        <f t="shared" ca="1" si="9"/>
        <v xml:space="preserve"> </v>
      </c>
      <c r="O177" s="3" t="str">
        <f ca="1">IF(ISNUMBER($L177),INDIRECT("Input!A"&amp;1+MATCH($M177,aux_sheet_RRS!$D$2:$D$202,0))," ")</f>
        <v xml:space="preserve"> </v>
      </c>
      <c r="P177" s="3" t="str">
        <f ca="1">IF(ISNUMBER($L177),INDIRECT("Input!B"&amp;1+MATCH($M177,aux_sheet_RRS!$D$2:$D$202,0))," ")</f>
        <v xml:space="preserve"> </v>
      </c>
    </row>
    <row r="178" spans="1:16" x14ac:dyDescent="0.35">
      <c r="A178" t="str">
        <f>IF(ISBLANK(Input!A178)," ",ROUNDDOWN(aux_sheet_RRS!E178,0))</f>
        <v xml:space="preserve"> </v>
      </c>
      <c r="B178" t="str">
        <f ca="1">IF(ISBLANK(Input!A178)," ",INDIRECT("Input!A"&amp;1+MATCH($H178,aux_sheet_RRS!$D$2:$D$202,0)))</f>
        <v xml:space="preserve"> </v>
      </c>
      <c r="C178" t="str">
        <f ca="1">IF(ISBLANK(Input!B178)," ",INDIRECT("Input!B"&amp;1+MATCH($H178,aux_sheet_RRS!$D$2:$D$202,0)))</f>
        <v xml:space="preserve"> </v>
      </c>
      <c r="D178" t="str">
        <f ca="1">IF(ISBLANK(Input!C178)," ",INDIRECT("Input!C"&amp;1+MATCH($H178,aux_sheet_RRS!$D$2:$D$202,0)))</f>
        <v xml:space="preserve"> </v>
      </c>
      <c r="E178" t="str">
        <f ca="1">IF(ISBLANK(Input!D178)," ",INDIRECT("Input!D"&amp;1+MATCH($H178,aux_sheet_RRS!$D$2:$D$202,0)))</f>
        <v xml:space="preserve"> </v>
      </c>
      <c r="F178" t="str">
        <f ca="1">IF(ISBLANK(Input!E178)," ",INDIRECT("Input!H"&amp;1+MATCH($H178,aux_sheet_RRS!$D$2:$D$202,0)))</f>
        <v xml:space="preserve"> </v>
      </c>
      <c r="G178">
        <f ca="1">IF(ISBLANK(Input!G178)," ",INDIRECT("Input!AP"&amp;1+MATCH($H178,aux_sheet_RRS!$D$2:$D$202,0)))</f>
        <v>0</v>
      </c>
      <c r="H178">
        <f>aux_sheet_RRS!E178</f>
        <v>1000</v>
      </c>
      <c r="J178" t="str">
        <f t="shared" si="12"/>
        <v xml:space="preserve"> </v>
      </c>
      <c r="K178">
        <v>177</v>
      </c>
      <c r="L178" t="str">
        <f t="shared" ca="1" si="10"/>
        <v xml:space="preserve"> </v>
      </c>
      <c r="M178" t="str">
        <f t="shared" ca="1" si="11"/>
        <v xml:space="preserve"> </v>
      </c>
      <c r="N178" s="3" t="str">
        <f t="shared" ca="1" si="9"/>
        <v xml:space="preserve"> </v>
      </c>
      <c r="O178" s="3" t="str">
        <f ca="1">IF(ISNUMBER($L178),INDIRECT("Input!A"&amp;1+MATCH($M178,aux_sheet_RRS!$D$2:$D$202,0))," ")</f>
        <v xml:space="preserve"> </v>
      </c>
      <c r="P178" s="3" t="str">
        <f ca="1">IF(ISNUMBER($L178),INDIRECT("Input!B"&amp;1+MATCH($M178,aux_sheet_RRS!$D$2:$D$202,0))," ")</f>
        <v xml:space="preserve"> </v>
      </c>
    </row>
    <row r="179" spans="1:16" x14ac:dyDescent="0.35">
      <c r="A179" t="str">
        <f>IF(ISBLANK(Input!A179)," ",ROUNDDOWN(aux_sheet_RRS!E179,0))</f>
        <v xml:space="preserve"> </v>
      </c>
      <c r="B179" t="str">
        <f ca="1">IF(ISBLANK(Input!A179)," ",INDIRECT("Input!A"&amp;1+MATCH($H179,aux_sheet_RRS!$D$2:$D$202,0)))</f>
        <v xml:space="preserve"> </v>
      </c>
      <c r="C179" t="str">
        <f ca="1">IF(ISBLANK(Input!B179)," ",INDIRECT("Input!B"&amp;1+MATCH($H179,aux_sheet_RRS!$D$2:$D$202,0)))</f>
        <v xml:space="preserve"> </v>
      </c>
      <c r="D179" t="str">
        <f ca="1">IF(ISBLANK(Input!C179)," ",INDIRECT("Input!C"&amp;1+MATCH($H179,aux_sheet_RRS!$D$2:$D$202,0)))</f>
        <v xml:space="preserve"> </v>
      </c>
      <c r="E179" t="str">
        <f ca="1">IF(ISBLANK(Input!D179)," ",INDIRECT("Input!D"&amp;1+MATCH($H179,aux_sheet_RRS!$D$2:$D$202,0)))</f>
        <v xml:space="preserve"> </v>
      </c>
      <c r="F179" t="str">
        <f ca="1">IF(ISBLANK(Input!E179)," ",INDIRECT("Input!H"&amp;1+MATCH($H179,aux_sheet_RRS!$D$2:$D$202,0)))</f>
        <v xml:space="preserve"> </v>
      </c>
      <c r="G179">
        <f ca="1">IF(ISBLANK(Input!G179)," ",INDIRECT("Input!AP"&amp;1+MATCH($H179,aux_sheet_RRS!$D$2:$D$202,0)))</f>
        <v>0</v>
      </c>
      <c r="H179">
        <f>aux_sheet_RRS!E179</f>
        <v>1000</v>
      </c>
      <c r="J179" t="str">
        <f t="shared" si="12"/>
        <v xml:space="preserve"> </v>
      </c>
      <c r="K179">
        <v>178</v>
      </c>
      <c r="L179" t="str">
        <f t="shared" ca="1" si="10"/>
        <v xml:space="preserve"> </v>
      </c>
      <c r="M179" t="str">
        <f t="shared" ca="1" si="11"/>
        <v xml:space="preserve"> </v>
      </c>
      <c r="N179" s="3" t="str">
        <f t="shared" ca="1" si="9"/>
        <v xml:space="preserve"> </v>
      </c>
      <c r="O179" s="3" t="str">
        <f ca="1">IF(ISNUMBER($L179),INDIRECT("Input!A"&amp;1+MATCH($M179,aux_sheet_RRS!$D$2:$D$202,0))," ")</f>
        <v xml:space="preserve"> </v>
      </c>
      <c r="P179" s="3" t="str">
        <f ca="1">IF(ISNUMBER($L179),INDIRECT("Input!B"&amp;1+MATCH($M179,aux_sheet_RRS!$D$2:$D$202,0))," ")</f>
        <v xml:space="preserve"> </v>
      </c>
    </row>
    <row r="180" spans="1:16" x14ac:dyDescent="0.35">
      <c r="A180" t="str">
        <f>IF(ISBLANK(Input!A180)," ",ROUNDDOWN(aux_sheet_RRS!E180,0))</f>
        <v xml:space="preserve"> </v>
      </c>
      <c r="B180" t="str">
        <f ca="1">IF(ISBLANK(Input!A180)," ",INDIRECT("Input!A"&amp;1+MATCH($H180,aux_sheet_RRS!$D$2:$D$202,0)))</f>
        <v xml:space="preserve"> </v>
      </c>
      <c r="C180" t="str">
        <f ca="1">IF(ISBLANK(Input!B180)," ",INDIRECT("Input!B"&amp;1+MATCH($H180,aux_sheet_RRS!$D$2:$D$202,0)))</f>
        <v xml:space="preserve"> </v>
      </c>
      <c r="D180" t="str">
        <f ca="1">IF(ISBLANK(Input!C180)," ",INDIRECT("Input!C"&amp;1+MATCH($H180,aux_sheet_RRS!$D$2:$D$202,0)))</f>
        <v xml:space="preserve"> </v>
      </c>
      <c r="E180" t="str">
        <f ca="1">IF(ISBLANK(Input!D180)," ",INDIRECT("Input!D"&amp;1+MATCH($H180,aux_sheet_RRS!$D$2:$D$202,0)))</f>
        <v xml:space="preserve"> </v>
      </c>
      <c r="F180" t="str">
        <f ca="1">IF(ISBLANK(Input!E180)," ",INDIRECT("Input!H"&amp;1+MATCH($H180,aux_sheet_RRS!$D$2:$D$202,0)))</f>
        <v xml:space="preserve"> </v>
      </c>
      <c r="G180">
        <f ca="1">IF(ISBLANK(Input!G180)," ",INDIRECT("Input!AP"&amp;1+MATCH($H180,aux_sheet_RRS!$D$2:$D$202,0)))</f>
        <v>0</v>
      </c>
      <c r="H180">
        <f>aux_sheet_RRS!E180</f>
        <v>1000</v>
      </c>
      <c r="J180" t="str">
        <f t="shared" si="12"/>
        <v xml:space="preserve"> </v>
      </c>
      <c r="K180">
        <v>179</v>
      </c>
      <c r="L180" t="str">
        <f t="shared" ca="1" si="10"/>
        <v xml:space="preserve"> </v>
      </c>
      <c r="M180" t="str">
        <f t="shared" ca="1" si="11"/>
        <v xml:space="preserve"> </v>
      </c>
      <c r="N180" s="3" t="str">
        <f t="shared" ca="1" si="9"/>
        <v xml:space="preserve"> </v>
      </c>
      <c r="O180" s="3" t="str">
        <f ca="1">IF(ISNUMBER($L180),INDIRECT("Input!A"&amp;1+MATCH($M180,aux_sheet_RRS!$D$2:$D$202,0))," ")</f>
        <v xml:space="preserve"> </v>
      </c>
      <c r="P180" s="3" t="str">
        <f ca="1">IF(ISNUMBER($L180),INDIRECT("Input!B"&amp;1+MATCH($M180,aux_sheet_RRS!$D$2:$D$202,0))," ")</f>
        <v xml:space="preserve"> </v>
      </c>
    </row>
    <row r="181" spans="1:16" x14ac:dyDescent="0.35">
      <c r="A181" t="str">
        <f>IF(ISBLANK(Input!A181)," ",ROUNDDOWN(aux_sheet_RRS!E181,0))</f>
        <v xml:space="preserve"> </v>
      </c>
      <c r="B181" t="str">
        <f ca="1">IF(ISBLANK(Input!A181)," ",INDIRECT("Input!A"&amp;1+MATCH($H181,aux_sheet_RRS!$D$2:$D$202,0)))</f>
        <v xml:space="preserve"> </v>
      </c>
      <c r="C181" t="str">
        <f ca="1">IF(ISBLANK(Input!B181)," ",INDIRECT("Input!B"&amp;1+MATCH($H181,aux_sheet_RRS!$D$2:$D$202,0)))</f>
        <v xml:space="preserve"> </v>
      </c>
      <c r="D181" t="str">
        <f ca="1">IF(ISBLANK(Input!C181)," ",INDIRECT("Input!C"&amp;1+MATCH($H181,aux_sheet_RRS!$D$2:$D$202,0)))</f>
        <v xml:space="preserve"> </v>
      </c>
      <c r="E181" t="str">
        <f ca="1">IF(ISBLANK(Input!D181)," ",INDIRECT("Input!D"&amp;1+MATCH($H181,aux_sheet_RRS!$D$2:$D$202,0)))</f>
        <v xml:space="preserve"> </v>
      </c>
      <c r="F181" t="str">
        <f ca="1">IF(ISBLANK(Input!E181)," ",INDIRECT("Input!H"&amp;1+MATCH($H181,aux_sheet_RRS!$D$2:$D$202,0)))</f>
        <v xml:space="preserve"> </v>
      </c>
      <c r="G181">
        <f ca="1">IF(ISBLANK(Input!G181)," ",INDIRECT("Input!AP"&amp;1+MATCH($H181,aux_sheet_RRS!$D$2:$D$202,0)))</f>
        <v>0</v>
      </c>
      <c r="H181">
        <f>aux_sheet_RRS!E181</f>
        <v>1000</v>
      </c>
      <c r="J181" t="str">
        <f t="shared" si="12"/>
        <v xml:space="preserve"> </v>
      </c>
      <c r="K181">
        <v>180</v>
      </c>
      <c r="L181" t="str">
        <f t="shared" ca="1" si="10"/>
        <v xml:space="preserve"> </v>
      </c>
      <c r="M181" t="str">
        <f t="shared" ca="1" si="11"/>
        <v xml:space="preserve"> </v>
      </c>
      <c r="N181" s="3" t="str">
        <f t="shared" ca="1" si="9"/>
        <v xml:space="preserve"> </v>
      </c>
      <c r="O181" s="3" t="str">
        <f ca="1">IF(ISNUMBER($L181),INDIRECT("Input!A"&amp;1+MATCH($M181,aux_sheet_RRS!$D$2:$D$202,0))," ")</f>
        <v xml:space="preserve"> </v>
      </c>
      <c r="P181" s="3" t="str">
        <f ca="1">IF(ISNUMBER($L181),INDIRECT("Input!B"&amp;1+MATCH($M181,aux_sheet_RRS!$D$2:$D$202,0))," ")</f>
        <v xml:space="preserve"> </v>
      </c>
    </row>
    <row r="182" spans="1:16" x14ac:dyDescent="0.35">
      <c r="A182" t="str">
        <f>IF(ISBLANK(Input!A182)," ",ROUNDDOWN(aux_sheet_RRS!E182,0))</f>
        <v xml:space="preserve"> </v>
      </c>
      <c r="B182" t="str">
        <f ca="1">IF(ISBLANK(Input!A182)," ",INDIRECT("Input!A"&amp;1+MATCH($H182,aux_sheet_RRS!$D$2:$D$202,0)))</f>
        <v xml:space="preserve"> </v>
      </c>
      <c r="C182" t="str">
        <f ca="1">IF(ISBLANK(Input!B182)," ",INDIRECT("Input!B"&amp;1+MATCH($H182,aux_sheet_RRS!$D$2:$D$202,0)))</f>
        <v xml:space="preserve"> </v>
      </c>
      <c r="D182" t="str">
        <f ca="1">IF(ISBLANK(Input!C182)," ",INDIRECT("Input!C"&amp;1+MATCH($H182,aux_sheet_RRS!$D$2:$D$202,0)))</f>
        <v xml:space="preserve"> </v>
      </c>
      <c r="E182" t="str">
        <f ca="1">IF(ISBLANK(Input!D182)," ",INDIRECT("Input!D"&amp;1+MATCH($H182,aux_sheet_RRS!$D$2:$D$202,0)))</f>
        <v xml:space="preserve"> </v>
      </c>
      <c r="F182" t="str">
        <f ca="1">IF(ISBLANK(Input!E182)," ",INDIRECT("Input!H"&amp;1+MATCH($H182,aux_sheet_RRS!$D$2:$D$202,0)))</f>
        <v xml:space="preserve"> </v>
      </c>
      <c r="G182">
        <f ca="1">IF(ISBLANK(Input!G182)," ",INDIRECT("Input!AP"&amp;1+MATCH($H182,aux_sheet_RRS!$D$2:$D$202,0)))</f>
        <v>0</v>
      </c>
      <c r="H182">
        <f>aux_sheet_RRS!E182</f>
        <v>1000</v>
      </c>
      <c r="J182" t="str">
        <f t="shared" si="12"/>
        <v xml:space="preserve"> </v>
      </c>
      <c r="K182">
        <v>181</v>
      </c>
      <c r="L182" t="str">
        <f t="shared" ca="1" si="10"/>
        <v xml:space="preserve"> </v>
      </c>
      <c r="M182" t="str">
        <f t="shared" ca="1" si="11"/>
        <v xml:space="preserve"> </v>
      </c>
      <c r="N182" s="3" t="str">
        <f t="shared" ca="1" si="9"/>
        <v xml:space="preserve"> </v>
      </c>
      <c r="O182" s="3" t="str">
        <f ca="1">IF(ISNUMBER($L182),INDIRECT("Input!A"&amp;1+MATCH($M182,aux_sheet_RRS!$D$2:$D$202,0))," ")</f>
        <v xml:space="preserve"> </v>
      </c>
      <c r="P182" s="3" t="str">
        <f ca="1">IF(ISNUMBER($L182),INDIRECT("Input!B"&amp;1+MATCH($M182,aux_sheet_RRS!$D$2:$D$202,0))," ")</f>
        <v xml:space="preserve"> </v>
      </c>
    </row>
    <row r="183" spans="1:16" x14ac:dyDescent="0.35">
      <c r="A183" t="str">
        <f>IF(ISBLANK(Input!A183)," ",ROUNDDOWN(aux_sheet_RRS!E183,0))</f>
        <v xml:space="preserve"> </v>
      </c>
      <c r="B183" t="str">
        <f ca="1">IF(ISBLANK(Input!A183)," ",INDIRECT("Input!A"&amp;1+MATCH($H183,aux_sheet_RRS!$D$2:$D$202,0)))</f>
        <v xml:space="preserve"> </v>
      </c>
      <c r="C183" t="str">
        <f ca="1">IF(ISBLANK(Input!B183)," ",INDIRECT("Input!B"&amp;1+MATCH($H183,aux_sheet_RRS!$D$2:$D$202,0)))</f>
        <v xml:space="preserve"> </v>
      </c>
      <c r="D183" t="str">
        <f ca="1">IF(ISBLANK(Input!C183)," ",INDIRECT("Input!C"&amp;1+MATCH($H183,aux_sheet_RRS!$D$2:$D$202,0)))</f>
        <v xml:space="preserve"> </v>
      </c>
      <c r="E183" t="str">
        <f ca="1">IF(ISBLANK(Input!D183)," ",INDIRECT("Input!D"&amp;1+MATCH($H183,aux_sheet_RRS!$D$2:$D$202,0)))</f>
        <v xml:space="preserve"> </v>
      </c>
      <c r="F183" t="str">
        <f ca="1">IF(ISBLANK(Input!E183)," ",INDIRECT("Input!H"&amp;1+MATCH($H183,aux_sheet_RRS!$D$2:$D$202,0)))</f>
        <v xml:space="preserve"> </v>
      </c>
      <c r="G183">
        <f ca="1">IF(ISBLANK(Input!G183)," ",INDIRECT("Input!AP"&amp;1+MATCH($H183,aux_sheet_RRS!$D$2:$D$202,0)))</f>
        <v>0</v>
      </c>
      <c r="H183">
        <f>aux_sheet_RRS!E183</f>
        <v>1000</v>
      </c>
      <c r="J183" t="str">
        <f t="shared" si="12"/>
        <v xml:space="preserve"> </v>
      </c>
      <c r="K183">
        <v>182</v>
      </c>
      <c r="L183" t="str">
        <f t="shared" ca="1" si="10"/>
        <v xml:space="preserve"> </v>
      </c>
      <c r="M183" t="str">
        <f t="shared" ca="1" si="11"/>
        <v xml:space="preserve"> </v>
      </c>
      <c r="N183" s="3" t="str">
        <f t="shared" ca="1" si="9"/>
        <v xml:space="preserve"> </v>
      </c>
      <c r="O183" s="3" t="str">
        <f ca="1">IF(ISNUMBER($L183),INDIRECT("Input!A"&amp;1+MATCH($M183,aux_sheet_RRS!$D$2:$D$202,0))," ")</f>
        <v xml:space="preserve"> </v>
      </c>
      <c r="P183" s="3" t="str">
        <f ca="1">IF(ISNUMBER($L183),INDIRECT("Input!B"&amp;1+MATCH($M183,aux_sheet_RRS!$D$2:$D$202,0))," ")</f>
        <v xml:space="preserve"> </v>
      </c>
    </row>
    <row r="184" spans="1:16" x14ac:dyDescent="0.35">
      <c r="A184" t="str">
        <f>IF(ISBLANK(Input!A184)," ",ROUNDDOWN(aux_sheet_RRS!E184,0))</f>
        <v xml:space="preserve"> </v>
      </c>
      <c r="B184" t="str">
        <f ca="1">IF(ISBLANK(Input!A184)," ",INDIRECT("Input!A"&amp;1+MATCH($H184,aux_sheet_RRS!$D$2:$D$202,0)))</f>
        <v xml:space="preserve"> </v>
      </c>
      <c r="C184" t="str">
        <f ca="1">IF(ISBLANK(Input!B184)," ",INDIRECT("Input!B"&amp;1+MATCH($H184,aux_sheet_RRS!$D$2:$D$202,0)))</f>
        <v xml:space="preserve"> </v>
      </c>
      <c r="D184" t="str">
        <f ca="1">IF(ISBLANK(Input!C184)," ",INDIRECT("Input!C"&amp;1+MATCH($H184,aux_sheet_RRS!$D$2:$D$202,0)))</f>
        <v xml:space="preserve"> </v>
      </c>
      <c r="E184" t="str">
        <f ca="1">IF(ISBLANK(Input!D184)," ",INDIRECT("Input!D"&amp;1+MATCH($H184,aux_sheet_RRS!$D$2:$D$202,0)))</f>
        <v xml:space="preserve"> </v>
      </c>
      <c r="F184" t="str">
        <f ca="1">IF(ISBLANK(Input!E184)," ",INDIRECT("Input!H"&amp;1+MATCH($H184,aux_sheet_RRS!$D$2:$D$202,0)))</f>
        <v xml:space="preserve"> </v>
      </c>
      <c r="G184">
        <f ca="1">IF(ISBLANK(Input!G184)," ",INDIRECT("Input!AP"&amp;1+MATCH($H184,aux_sheet_RRS!$D$2:$D$202,0)))</f>
        <v>0</v>
      </c>
      <c r="H184">
        <f>aux_sheet_RRS!E184</f>
        <v>1000</v>
      </c>
      <c r="J184" t="str">
        <f t="shared" si="12"/>
        <v xml:space="preserve"> </v>
      </c>
      <c r="K184">
        <v>183</v>
      </c>
      <c r="L184" t="str">
        <f t="shared" ca="1" si="10"/>
        <v xml:space="preserve"> </v>
      </c>
      <c r="M184" t="str">
        <f t="shared" ca="1" si="11"/>
        <v xml:space="preserve"> </v>
      </c>
      <c r="N184" s="3" t="str">
        <f t="shared" ca="1" si="9"/>
        <v xml:space="preserve"> </v>
      </c>
      <c r="O184" s="3" t="str">
        <f ca="1">IF(ISNUMBER($L184),INDIRECT("Input!A"&amp;1+MATCH($M184,aux_sheet_RRS!$D$2:$D$202,0))," ")</f>
        <v xml:space="preserve"> </v>
      </c>
      <c r="P184" s="3" t="str">
        <f ca="1">IF(ISNUMBER($L184),INDIRECT("Input!B"&amp;1+MATCH($M184,aux_sheet_RRS!$D$2:$D$202,0))," ")</f>
        <v xml:space="preserve"> </v>
      </c>
    </row>
    <row r="185" spans="1:16" x14ac:dyDescent="0.35">
      <c r="A185" t="str">
        <f>IF(ISBLANK(Input!A185)," ",ROUNDDOWN(aux_sheet_RRS!E185,0))</f>
        <v xml:space="preserve"> </v>
      </c>
      <c r="B185" t="str">
        <f ca="1">IF(ISBLANK(Input!A185)," ",INDIRECT("Input!A"&amp;1+MATCH($H185,aux_sheet_RRS!$D$2:$D$202,0)))</f>
        <v xml:space="preserve"> </v>
      </c>
      <c r="C185" t="str">
        <f ca="1">IF(ISBLANK(Input!B185)," ",INDIRECT("Input!B"&amp;1+MATCH($H185,aux_sheet_RRS!$D$2:$D$202,0)))</f>
        <v xml:space="preserve"> </v>
      </c>
      <c r="D185" t="str">
        <f ca="1">IF(ISBLANK(Input!C185)," ",INDIRECT("Input!C"&amp;1+MATCH($H185,aux_sheet_RRS!$D$2:$D$202,0)))</f>
        <v xml:space="preserve"> </v>
      </c>
      <c r="E185" t="str">
        <f ca="1">IF(ISBLANK(Input!D185)," ",INDIRECT("Input!D"&amp;1+MATCH($H185,aux_sheet_RRS!$D$2:$D$202,0)))</f>
        <v xml:space="preserve"> </v>
      </c>
      <c r="F185" t="str">
        <f ca="1">IF(ISBLANK(Input!E185)," ",INDIRECT("Input!H"&amp;1+MATCH($H185,aux_sheet_RRS!$D$2:$D$202,0)))</f>
        <v xml:space="preserve"> </v>
      </c>
      <c r="G185">
        <f ca="1">IF(ISBLANK(Input!G185)," ",INDIRECT("Input!AP"&amp;1+MATCH($H185,aux_sheet_RRS!$D$2:$D$202,0)))</f>
        <v>0</v>
      </c>
      <c r="H185">
        <f>aux_sheet_RRS!E185</f>
        <v>1000</v>
      </c>
      <c r="J185" t="str">
        <f t="shared" si="12"/>
        <v xml:space="preserve"> </v>
      </c>
      <c r="K185">
        <v>184</v>
      </c>
      <c r="L185" t="str">
        <f t="shared" ca="1" si="10"/>
        <v xml:space="preserve"> </v>
      </c>
      <c r="M185" t="str">
        <f t="shared" ca="1" si="11"/>
        <v xml:space="preserve"> </v>
      </c>
      <c r="N185" s="3" t="str">
        <f t="shared" ca="1" si="9"/>
        <v xml:space="preserve"> </v>
      </c>
      <c r="O185" s="3" t="str">
        <f ca="1">IF(ISNUMBER($L185),INDIRECT("Input!A"&amp;1+MATCH($M185,aux_sheet_RRS!$D$2:$D$202,0))," ")</f>
        <v xml:space="preserve"> </v>
      </c>
      <c r="P185" s="3" t="str">
        <f ca="1">IF(ISNUMBER($L185),INDIRECT("Input!B"&amp;1+MATCH($M185,aux_sheet_RRS!$D$2:$D$202,0))," ")</f>
        <v xml:space="preserve"> </v>
      </c>
    </row>
    <row r="186" spans="1:16" x14ac:dyDescent="0.35">
      <c r="A186" t="str">
        <f>IF(ISBLANK(Input!A186)," ",ROUNDDOWN(aux_sheet_RRS!E186,0))</f>
        <v xml:space="preserve"> </v>
      </c>
      <c r="B186" t="str">
        <f ca="1">IF(ISBLANK(Input!A186)," ",INDIRECT("Input!A"&amp;1+MATCH($H186,aux_sheet_RRS!$D$2:$D$202,0)))</f>
        <v xml:space="preserve"> </v>
      </c>
      <c r="C186" t="str">
        <f ca="1">IF(ISBLANK(Input!B186)," ",INDIRECT("Input!B"&amp;1+MATCH($H186,aux_sheet_RRS!$D$2:$D$202,0)))</f>
        <v xml:space="preserve"> </v>
      </c>
      <c r="D186" t="str">
        <f ca="1">IF(ISBLANK(Input!C186)," ",INDIRECT("Input!C"&amp;1+MATCH($H186,aux_sheet_RRS!$D$2:$D$202,0)))</f>
        <v xml:space="preserve"> </v>
      </c>
      <c r="E186" t="str">
        <f ca="1">IF(ISBLANK(Input!D186)," ",INDIRECT("Input!D"&amp;1+MATCH($H186,aux_sheet_RRS!$D$2:$D$202,0)))</f>
        <v xml:space="preserve"> </v>
      </c>
      <c r="F186" t="str">
        <f ca="1">IF(ISBLANK(Input!E186)," ",INDIRECT("Input!H"&amp;1+MATCH($H186,aux_sheet_RRS!$D$2:$D$202,0)))</f>
        <v xml:space="preserve"> </v>
      </c>
      <c r="G186">
        <f ca="1">IF(ISBLANK(Input!G186)," ",INDIRECT("Input!AP"&amp;1+MATCH($H186,aux_sheet_RRS!$D$2:$D$202,0)))</f>
        <v>0</v>
      </c>
      <c r="H186">
        <f>aux_sheet_RRS!E186</f>
        <v>1000</v>
      </c>
      <c r="J186" t="str">
        <f t="shared" si="12"/>
        <v xml:space="preserve"> </v>
      </c>
      <c r="K186">
        <v>185</v>
      </c>
      <c r="L186" t="str">
        <f t="shared" ca="1" si="10"/>
        <v xml:space="preserve"> </v>
      </c>
      <c r="M186" t="str">
        <f t="shared" ca="1" si="11"/>
        <v xml:space="preserve"> </v>
      </c>
      <c r="N186" s="3" t="str">
        <f t="shared" ca="1" si="9"/>
        <v xml:space="preserve"> </v>
      </c>
      <c r="O186" s="3" t="str">
        <f ca="1">IF(ISNUMBER($L186),INDIRECT("Input!A"&amp;1+MATCH($M186,aux_sheet_RRS!$D$2:$D$202,0))," ")</f>
        <v xml:space="preserve"> </v>
      </c>
      <c r="P186" s="3" t="str">
        <f ca="1">IF(ISNUMBER($L186),INDIRECT("Input!B"&amp;1+MATCH($M186,aux_sheet_RRS!$D$2:$D$202,0))," ")</f>
        <v xml:space="preserve"> </v>
      </c>
    </row>
    <row r="187" spans="1:16" x14ac:dyDescent="0.35">
      <c r="A187" t="str">
        <f>IF(ISBLANK(Input!A187)," ",ROUNDDOWN(aux_sheet_RRS!E187,0))</f>
        <v xml:space="preserve"> </v>
      </c>
      <c r="B187" t="str">
        <f ca="1">IF(ISBLANK(Input!A187)," ",INDIRECT("Input!A"&amp;1+MATCH($H187,aux_sheet_RRS!$D$2:$D$202,0)))</f>
        <v xml:space="preserve"> </v>
      </c>
      <c r="C187" t="str">
        <f ca="1">IF(ISBLANK(Input!B187)," ",INDIRECT("Input!B"&amp;1+MATCH($H187,aux_sheet_RRS!$D$2:$D$202,0)))</f>
        <v xml:space="preserve"> </v>
      </c>
      <c r="D187" t="str">
        <f ca="1">IF(ISBLANK(Input!C187)," ",INDIRECT("Input!C"&amp;1+MATCH($H187,aux_sheet_RRS!$D$2:$D$202,0)))</f>
        <v xml:space="preserve"> </v>
      </c>
      <c r="E187" t="str">
        <f ca="1">IF(ISBLANK(Input!D187)," ",INDIRECT("Input!D"&amp;1+MATCH($H187,aux_sheet_RRS!$D$2:$D$202,0)))</f>
        <v xml:space="preserve"> </v>
      </c>
      <c r="F187" t="str">
        <f ca="1">IF(ISBLANK(Input!E187)," ",INDIRECT("Input!H"&amp;1+MATCH($H187,aux_sheet_RRS!$D$2:$D$202,0)))</f>
        <v xml:space="preserve"> </v>
      </c>
      <c r="G187">
        <f ca="1">IF(ISBLANK(Input!G187)," ",INDIRECT("Input!AP"&amp;1+MATCH($H187,aux_sheet_RRS!$D$2:$D$202,0)))</f>
        <v>0</v>
      </c>
      <c r="H187">
        <f>aux_sheet_RRS!E187</f>
        <v>1000</v>
      </c>
      <c r="J187" t="str">
        <f t="shared" si="12"/>
        <v xml:space="preserve"> </v>
      </c>
      <c r="K187">
        <v>186</v>
      </c>
      <c r="L187" t="str">
        <f t="shared" ca="1" si="10"/>
        <v xml:space="preserve"> </v>
      </c>
      <c r="M187" t="str">
        <f t="shared" ca="1" si="11"/>
        <v xml:space="preserve"> </v>
      </c>
      <c r="N187" s="3" t="str">
        <f t="shared" ca="1" si="9"/>
        <v xml:space="preserve"> </v>
      </c>
      <c r="O187" s="3" t="str">
        <f ca="1">IF(ISNUMBER($L187),INDIRECT("Input!A"&amp;1+MATCH($M187,aux_sheet_RRS!$D$2:$D$202,0))," ")</f>
        <v xml:space="preserve"> </v>
      </c>
      <c r="P187" s="3" t="str">
        <f ca="1">IF(ISNUMBER($L187),INDIRECT("Input!B"&amp;1+MATCH($M187,aux_sheet_RRS!$D$2:$D$202,0))," ")</f>
        <v xml:space="preserve"> </v>
      </c>
    </row>
    <row r="188" spans="1:16" x14ac:dyDescent="0.35">
      <c r="A188" t="str">
        <f>IF(ISBLANK(Input!A188)," ",ROUNDDOWN(aux_sheet_RRS!E188,0))</f>
        <v xml:space="preserve"> </v>
      </c>
      <c r="B188" t="str">
        <f ca="1">IF(ISBLANK(Input!A188)," ",INDIRECT("Input!A"&amp;1+MATCH($H188,aux_sheet_RRS!$D$2:$D$202,0)))</f>
        <v xml:space="preserve"> </v>
      </c>
      <c r="C188" t="str">
        <f ca="1">IF(ISBLANK(Input!B188)," ",INDIRECT("Input!B"&amp;1+MATCH($H188,aux_sheet_RRS!$D$2:$D$202,0)))</f>
        <v xml:space="preserve"> </v>
      </c>
      <c r="D188" t="str">
        <f ca="1">IF(ISBLANK(Input!C188)," ",INDIRECT("Input!C"&amp;1+MATCH($H188,aux_sheet_RRS!$D$2:$D$202,0)))</f>
        <v xml:space="preserve"> </v>
      </c>
      <c r="E188" t="str">
        <f ca="1">IF(ISBLANK(Input!D188)," ",INDIRECT("Input!D"&amp;1+MATCH($H188,aux_sheet_RRS!$D$2:$D$202,0)))</f>
        <v xml:space="preserve"> </v>
      </c>
      <c r="F188" t="str">
        <f ca="1">IF(ISBLANK(Input!E188)," ",INDIRECT("Input!H"&amp;1+MATCH($H188,aux_sheet_RRS!$D$2:$D$202,0)))</f>
        <v xml:space="preserve"> </v>
      </c>
      <c r="G188">
        <f ca="1">IF(ISBLANK(Input!G188)," ",INDIRECT("Input!AP"&amp;1+MATCH($H188,aux_sheet_RRS!$D$2:$D$202,0)))</f>
        <v>0</v>
      </c>
      <c r="H188">
        <f>aux_sheet_RRS!E188</f>
        <v>1000</v>
      </c>
      <c r="J188" t="str">
        <f t="shared" si="12"/>
        <v xml:space="preserve"> </v>
      </c>
      <c r="K188">
        <v>187</v>
      </c>
      <c r="L188" t="str">
        <f t="shared" ca="1" si="10"/>
        <v xml:space="preserve"> </v>
      </c>
      <c r="M188" t="str">
        <f t="shared" ca="1" si="11"/>
        <v xml:space="preserve"> </v>
      </c>
      <c r="N188" s="3" t="str">
        <f t="shared" ca="1" si="9"/>
        <v xml:space="preserve"> </v>
      </c>
      <c r="O188" s="3" t="str">
        <f ca="1">IF(ISNUMBER($L188),INDIRECT("Input!A"&amp;1+MATCH($M188,aux_sheet_RRS!$D$2:$D$202,0))," ")</f>
        <v xml:space="preserve"> </v>
      </c>
      <c r="P188" s="3" t="str">
        <f ca="1">IF(ISNUMBER($L188),INDIRECT("Input!B"&amp;1+MATCH($M188,aux_sheet_RRS!$D$2:$D$202,0))," ")</f>
        <v xml:space="preserve"> </v>
      </c>
    </row>
    <row r="189" spans="1:16" x14ac:dyDescent="0.35">
      <c r="A189" t="str">
        <f>IF(ISBLANK(Input!A189)," ",ROUNDDOWN(aux_sheet_RRS!E189,0))</f>
        <v xml:space="preserve"> </v>
      </c>
      <c r="B189" t="str">
        <f ca="1">IF(ISBLANK(Input!A189)," ",INDIRECT("Input!A"&amp;1+MATCH($H189,aux_sheet_RRS!$D$2:$D$202,0)))</f>
        <v xml:space="preserve"> </v>
      </c>
      <c r="C189" t="str">
        <f ca="1">IF(ISBLANK(Input!B189)," ",INDIRECT("Input!B"&amp;1+MATCH($H189,aux_sheet_RRS!$D$2:$D$202,0)))</f>
        <v xml:space="preserve"> </v>
      </c>
      <c r="D189" t="str">
        <f ca="1">IF(ISBLANK(Input!C189)," ",INDIRECT("Input!C"&amp;1+MATCH($H189,aux_sheet_RRS!$D$2:$D$202,0)))</f>
        <v xml:space="preserve"> </v>
      </c>
      <c r="E189" t="str">
        <f ca="1">IF(ISBLANK(Input!D189)," ",INDIRECT("Input!D"&amp;1+MATCH($H189,aux_sheet_RRS!$D$2:$D$202,0)))</f>
        <v xml:space="preserve"> </v>
      </c>
      <c r="F189" t="str">
        <f ca="1">IF(ISBLANK(Input!E189)," ",INDIRECT("Input!H"&amp;1+MATCH($H189,aux_sheet_RRS!$D$2:$D$202,0)))</f>
        <v xml:space="preserve"> </v>
      </c>
      <c r="G189">
        <f ca="1">IF(ISBLANK(Input!G189)," ",INDIRECT("Input!AP"&amp;1+MATCH($H189,aux_sheet_RRS!$D$2:$D$202,0)))</f>
        <v>0</v>
      </c>
      <c r="H189">
        <f>aux_sheet_RRS!E189</f>
        <v>1000</v>
      </c>
      <c r="J189" t="str">
        <f t="shared" si="12"/>
        <v xml:space="preserve"> </v>
      </c>
      <c r="K189">
        <v>188</v>
      </c>
      <c r="L189" t="str">
        <f t="shared" ca="1" si="10"/>
        <v xml:space="preserve"> </v>
      </c>
      <c r="M189" t="str">
        <f t="shared" ca="1" si="11"/>
        <v xml:space="preserve"> </v>
      </c>
      <c r="N189" s="3" t="str">
        <f t="shared" ca="1" si="9"/>
        <v xml:space="preserve"> </v>
      </c>
      <c r="O189" s="3" t="str">
        <f ca="1">IF(ISNUMBER($L189),INDIRECT("Input!A"&amp;1+MATCH($M189,aux_sheet_RRS!$D$2:$D$202,0))," ")</f>
        <v xml:space="preserve"> </v>
      </c>
      <c r="P189" s="3" t="str">
        <f ca="1">IF(ISNUMBER($L189),INDIRECT("Input!B"&amp;1+MATCH($M189,aux_sheet_RRS!$D$2:$D$202,0))," ")</f>
        <v xml:space="preserve"> </v>
      </c>
    </row>
    <row r="190" spans="1:16" x14ac:dyDescent="0.35">
      <c r="A190" t="str">
        <f>IF(ISBLANK(Input!A190)," ",ROUNDDOWN(aux_sheet_RRS!E190,0))</f>
        <v xml:space="preserve"> </v>
      </c>
      <c r="B190" t="str">
        <f ca="1">IF(ISBLANK(Input!A190)," ",INDIRECT("Input!A"&amp;1+MATCH($H190,aux_sheet_RRS!$D$2:$D$202,0)))</f>
        <v xml:space="preserve"> </v>
      </c>
      <c r="C190" t="str">
        <f ca="1">IF(ISBLANK(Input!B190)," ",INDIRECT("Input!B"&amp;1+MATCH($H190,aux_sheet_RRS!$D$2:$D$202,0)))</f>
        <v xml:space="preserve"> </v>
      </c>
      <c r="D190" t="str">
        <f ca="1">IF(ISBLANK(Input!C190)," ",INDIRECT("Input!C"&amp;1+MATCH($H190,aux_sheet_RRS!$D$2:$D$202,0)))</f>
        <v xml:space="preserve"> </v>
      </c>
      <c r="E190" t="str">
        <f ca="1">IF(ISBLANK(Input!D190)," ",INDIRECT("Input!D"&amp;1+MATCH($H190,aux_sheet_RRS!$D$2:$D$202,0)))</f>
        <v xml:space="preserve"> </v>
      </c>
      <c r="F190" t="str">
        <f ca="1">IF(ISBLANK(Input!E190)," ",INDIRECT("Input!H"&amp;1+MATCH($H190,aux_sheet_RRS!$D$2:$D$202,0)))</f>
        <v xml:space="preserve"> </v>
      </c>
      <c r="G190">
        <f ca="1">IF(ISBLANK(Input!G190)," ",INDIRECT("Input!AP"&amp;1+MATCH($H190,aux_sheet_RRS!$D$2:$D$202,0)))</f>
        <v>0</v>
      </c>
      <c r="H190">
        <f>aux_sheet_RRS!E190</f>
        <v>1000</v>
      </c>
      <c r="J190" t="str">
        <f t="shared" si="12"/>
        <v xml:space="preserve"> </v>
      </c>
      <c r="K190">
        <v>189</v>
      </c>
      <c r="L190" t="str">
        <f t="shared" ca="1" si="10"/>
        <v xml:space="preserve"> </v>
      </c>
      <c r="M190" t="str">
        <f t="shared" ca="1" si="11"/>
        <v xml:space="preserve"> </v>
      </c>
      <c r="N190" s="3" t="str">
        <f t="shared" ca="1" si="9"/>
        <v xml:space="preserve"> </v>
      </c>
      <c r="O190" s="3" t="str">
        <f ca="1">IF(ISNUMBER($L190),INDIRECT("Input!A"&amp;1+MATCH($M190,aux_sheet_RRS!$D$2:$D$202,0))," ")</f>
        <v xml:space="preserve"> </v>
      </c>
      <c r="P190" s="3" t="str">
        <f ca="1">IF(ISNUMBER($L190),INDIRECT("Input!B"&amp;1+MATCH($M190,aux_sheet_RRS!$D$2:$D$202,0))," ")</f>
        <v xml:space="preserve"> </v>
      </c>
    </row>
    <row r="191" spans="1:16" x14ac:dyDescent="0.35">
      <c r="A191" t="str">
        <f>IF(ISBLANK(Input!A191)," ",ROUNDDOWN(aux_sheet_RRS!E191,0))</f>
        <v xml:space="preserve"> </v>
      </c>
      <c r="B191" t="str">
        <f ca="1">IF(ISBLANK(Input!A191)," ",INDIRECT("Input!A"&amp;1+MATCH($H191,aux_sheet_RRS!$D$2:$D$202,0)))</f>
        <v xml:space="preserve"> </v>
      </c>
      <c r="C191" t="str">
        <f ca="1">IF(ISBLANK(Input!B191)," ",INDIRECT("Input!B"&amp;1+MATCH($H191,aux_sheet_RRS!$D$2:$D$202,0)))</f>
        <v xml:space="preserve"> </v>
      </c>
      <c r="D191" t="str">
        <f ca="1">IF(ISBLANK(Input!C191)," ",INDIRECT("Input!C"&amp;1+MATCH($H191,aux_sheet_RRS!$D$2:$D$202,0)))</f>
        <v xml:space="preserve"> </v>
      </c>
      <c r="E191" t="str">
        <f ca="1">IF(ISBLANK(Input!D191)," ",INDIRECT("Input!D"&amp;1+MATCH($H191,aux_sheet_RRS!$D$2:$D$202,0)))</f>
        <v xml:space="preserve"> </v>
      </c>
      <c r="F191" t="str">
        <f ca="1">IF(ISBLANK(Input!E191)," ",INDIRECT("Input!H"&amp;1+MATCH($H191,aux_sheet_RRS!$D$2:$D$202,0)))</f>
        <v xml:space="preserve"> </v>
      </c>
      <c r="G191">
        <f ca="1">IF(ISBLANK(Input!G191)," ",INDIRECT("Input!AP"&amp;1+MATCH($H191,aux_sheet_RRS!$D$2:$D$202,0)))</f>
        <v>0</v>
      </c>
      <c r="H191">
        <f>aux_sheet_RRS!E191</f>
        <v>1000</v>
      </c>
      <c r="J191" t="str">
        <f t="shared" si="12"/>
        <v xml:space="preserve"> </v>
      </c>
      <c r="K191">
        <v>190</v>
      </c>
      <c r="L191" t="str">
        <f t="shared" ca="1" si="10"/>
        <v xml:space="preserve"> </v>
      </c>
      <c r="M191" t="str">
        <f t="shared" ca="1" si="11"/>
        <v xml:space="preserve"> </v>
      </c>
      <c r="N191" s="3" t="str">
        <f t="shared" ca="1" si="9"/>
        <v xml:space="preserve"> </v>
      </c>
      <c r="O191" s="3" t="str">
        <f ca="1">IF(ISNUMBER($L191),INDIRECT("Input!A"&amp;1+MATCH($M191,aux_sheet_RRS!$D$2:$D$202,0))," ")</f>
        <v xml:space="preserve"> </v>
      </c>
      <c r="P191" s="3" t="str">
        <f ca="1">IF(ISNUMBER($L191),INDIRECT("Input!B"&amp;1+MATCH($M191,aux_sheet_RRS!$D$2:$D$202,0))," ")</f>
        <v xml:space="preserve"> </v>
      </c>
    </row>
    <row r="192" spans="1:16" x14ac:dyDescent="0.35">
      <c r="A192" t="str">
        <f>IF(ISBLANK(Input!A192)," ",ROUNDDOWN(aux_sheet_RRS!E192,0))</f>
        <v xml:space="preserve"> </v>
      </c>
      <c r="B192" t="str">
        <f ca="1">IF(ISBLANK(Input!A192)," ",INDIRECT("Input!A"&amp;1+MATCH($H192,aux_sheet_RRS!$D$2:$D$202,0)))</f>
        <v xml:space="preserve"> </v>
      </c>
      <c r="C192" t="str">
        <f ca="1">IF(ISBLANK(Input!B192)," ",INDIRECT("Input!B"&amp;1+MATCH($H192,aux_sheet_RRS!$D$2:$D$202,0)))</f>
        <v xml:space="preserve"> </v>
      </c>
      <c r="D192" t="str">
        <f ca="1">IF(ISBLANK(Input!C192)," ",INDIRECT("Input!C"&amp;1+MATCH($H192,aux_sheet_RRS!$D$2:$D$202,0)))</f>
        <v xml:space="preserve"> </v>
      </c>
      <c r="E192" t="str">
        <f ca="1">IF(ISBLANK(Input!D192)," ",INDIRECT("Input!D"&amp;1+MATCH($H192,aux_sheet_RRS!$D$2:$D$202,0)))</f>
        <v xml:space="preserve"> </v>
      </c>
      <c r="F192" t="str">
        <f ca="1">IF(ISBLANK(Input!E192)," ",INDIRECT("Input!H"&amp;1+MATCH($H192,aux_sheet_RRS!$D$2:$D$202,0)))</f>
        <v xml:space="preserve"> </v>
      </c>
      <c r="G192">
        <f ca="1">IF(ISBLANK(Input!G192)," ",INDIRECT("Input!AP"&amp;1+MATCH($H192,aux_sheet_RRS!$D$2:$D$202,0)))</f>
        <v>0</v>
      </c>
      <c r="H192">
        <f>aux_sheet_RRS!E192</f>
        <v>1000</v>
      </c>
      <c r="J192" t="str">
        <f t="shared" si="12"/>
        <v xml:space="preserve"> </v>
      </c>
      <c r="K192">
        <v>191</v>
      </c>
      <c r="L192" t="str">
        <f t="shared" ca="1" si="10"/>
        <v xml:space="preserve"> </v>
      </c>
      <c r="M192" t="str">
        <f t="shared" ca="1" si="11"/>
        <v xml:space="preserve"> </v>
      </c>
      <c r="N192" s="3" t="str">
        <f t="shared" ca="1" si="9"/>
        <v xml:space="preserve"> </v>
      </c>
      <c r="O192" s="3" t="str">
        <f ca="1">IF(ISNUMBER($L192),INDIRECT("Input!A"&amp;1+MATCH($M192,aux_sheet_RRS!$D$2:$D$202,0))," ")</f>
        <v xml:space="preserve"> </v>
      </c>
      <c r="P192" s="3" t="str">
        <f ca="1">IF(ISNUMBER($L192),INDIRECT("Input!B"&amp;1+MATCH($M192,aux_sheet_RRS!$D$2:$D$202,0))," ")</f>
        <v xml:space="preserve"> </v>
      </c>
    </row>
    <row r="193" spans="1:16" x14ac:dyDescent="0.35">
      <c r="A193" t="str">
        <f>IF(ISBLANK(Input!A193)," ",ROUNDDOWN(aux_sheet_RRS!E193,0))</f>
        <v xml:space="preserve"> </v>
      </c>
      <c r="B193" t="str">
        <f ca="1">IF(ISBLANK(Input!A193)," ",INDIRECT("Input!A"&amp;1+MATCH($H193,aux_sheet_RRS!$D$2:$D$202,0)))</f>
        <v xml:space="preserve"> </v>
      </c>
      <c r="C193" t="str">
        <f ca="1">IF(ISBLANK(Input!B193)," ",INDIRECT("Input!B"&amp;1+MATCH($H193,aux_sheet_RRS!$D$2:$D$202,0)))</f>
        <v xml:space="preserve"> </v>
      </c>
      <c r="D193" t="str">
        <f ca="1">IF(ISBLANK(Input!C193)," ",INDIRECT("Input!C"&amp;1+MATCH($H193,aux_sheet_RRS!$D$2:$D$202,0)))</f>
        <v xml:space="preserve"> </v>
      </c>
      <c r="E193" t="str">
        <f ca="1">IF(ISBLANK(Input!D193)," ",INDIRECT("Input!D"&amp;1+MATCH($H193,aux_sheet_RRS!$D$2:$D$202,0)))</f>
        <v xml:space="preserve"> </v>
      </c>
      <c r="F193" t="str">
        <f ca="1">IF(ISBLANK(Input!E193)," ",INDIRECT("Input!H"&amp;1+MATCH($H193,aux_sheet_RRS!$D$2:$D$202,0)))</f>
        <v xml:space="preserve"> </v>
      </c>
      <c r="G193">
        <f ca="1">IF(ISBLANK(Input!G193)," ",INDIRECT("Input!AP"&amp;1+MATCH($H193,aux_sheet_RRS!$D$2:$D$202,0)))</f>
        <v>0</v>
      </c>
      <c r="H193">
        <f>aux_sheet_RRS!E193</f>
        <v>1000</v>
      </c>
      <c r="J193" t="str">
        <f t="shared" si="12"/>
        <v xml:space="preserve"> </v>
      </c>
      <c r="K193">
        <v>192</v>
      </c>
      <c r="L193" t="str">
        <f t="shared" ca="1" si="10"/>
        <v xml:space="preserve"> </v>
      </c>
      <c r="M193" t="str">
        <f t="shared" ca="1" si="11"/>
        <v xml:space="preserve"> </v>
      </c>
      <c r="N193" s="3" t="str">
        <f t="shared" ca="1" si="9"/>
        <v xml:space="preserve"> </v>
      </c>
      <c r="O193" s="3" t="str">
        <f ca="1">IF(ISNUMBER($L193),INDIRECT("Input!A"&amp;1+MATCH($M193,aux_sheet_RRS!$D$2:$D$202,0))," ")</f>
        <v xml:space="preserve"> </v>
      </c>
      <c r="P193" s="3" t="str">
        <f ca="1">IF(ISNUMBER($L193),INDIRECT("Input!B"&amp;1+MATCH($M193,aux_sheet_RRS!$D$2:$D$202,0))," ")</f>
        <v xml:space="preserve"> </v>
      </c>
    </row>
    <row r="194" spans="1:16" x14ac:dyDescent="0.35">
      <c r="A194" t="str">
        <f>IF(ISBLANK(Input!A194)," ",ROUNDDOWN(aux_sheet_RRS!E194,0))</f>
        <v xml:space="preserve"> </v>
      </c>
      <c r="B194" t="str">
        <f ca="1">IF(ISBLANK(Input!A194)," ",INDIRECT("Input!A"&amp;1+MATCH($H194,aux_sheet_RRS!$D$2:$D$202,0)))</f>
        <v xml:space="preserve"> </v>
      </c>
      <c r="C194" t="str">
        <f ca="1">IF(ISBLANK(Input!B194)," ",INDIRECT("Input!B"&amp;1+MATCH($H194,aux_sheet_RRS!$D$2:$D$202,0)))</f>
        <v xml:space="preserve"> </v>
      </c>
      <c r="D194" t="str">
        <f ca="1">IF(ISBLANK(Input!C194)," ",INDIRECT("Input!C"&amp;1+MATCH($H194,aux_sheet_RRS!$D$2:$D$202,0)))</f>
        <v xml:space="preserve"> </v>
      </c>
      <c r="E194" t="str">
        <f ca="1">IF(ISBLANK(Input!D194)," ",INDIRECT("Input!D"&amp;1+MATCH($H194,aux_sheet_RRS!$D$2:$D$202,0)))</f>
        <v xml:space="preserve"> </v>
      </c>
      <c r="F194" t="str">
        <f ca="1">IF(ISBLANK(Input!E194)," ",INDIRECT("Input!H"&amp;1+MATCH($H194,aux_sheet_RRS!$D$2:$D$202,0)))</f>
        <v xml:space="preserve"> </v>
      </c>
      <c r="G194">
        <f ca="1">IF(ISBLANK(Input!G194)," ",INDIRECT("Input!AP"&amp;1+MATCH($H194,aux_sheet_RRS!$D$2:$D$202,0)))</f>
        <v>0</v>
      </c>
      <c r="H194">
        <f>aux_sheet_RRS!E194</f>
        <v>1000</v>
      </c>
      <c r="J194" t="str">
        <f t="shared" si="12"/>
        <v xml:space="preserve"> </v>
      </c>
      <c r="K194">
        <v>193</v>
      </c>
      <c r="L194" t="str">
        <f t="shared" ca="1" si="10"/>
        <v xml:space="preserve"> </v>
      </c>
      <c r="M194" t="str">
        <f t="shared" ca="1" si="11"/>
        <v xml:space="preserve"> </v>
      </c>
      <c r="N194" s="3" t="str">
        <f t="shared" ref="N194:N202" ca="1" si="13">IF(ISNUMBER(M194),ROUNDDOWN(M194,0)," ")</f>
        <v xml:space="preserve"> </v>
      </c>
      <c r="O194" s="3" t="str">
        <f ca="1">IF(ISNUMBER($L194),INDIRECT("Input!A"&amp;1+MATCH($M194,aux_sheet_RRS!$D$2:$D$202,0))," ")</f>
        <v xml:space="preserve"> </v>
      </c>
      <c r="P194" s="3" t="str">
        <f ca="1">IF(ISNUMBER($L194),INDIRECT("Input!B"&amp;1+MATCH($M194,aux_sheet_RRS!$D$2:$D$202,0))," ")</f>
        <v xml:space="preserve"> </v>
      </c>
    </row>
    <row r="195" spans="1:16" x14ac:dyDescent="0.35">
      <c r="A195" t="str">
        <f>IF(ISBLANK(Input!A195)," ",ROUNDDOWN(aux_sheet_RRS!E195,0))</f>
        <v xml:space="preserve"> </v>
      </c>
      <c r="B195" t="str">
        <f ca="1">IF(ISBLANK(Input!A195)," ",INDIRECT("Input!A"&amp;1+MATCH($H195,aux_sheet_RRS!$D$2:$D$202,0)))</f>
        <v xml:space="preserve"> </v>
      </c>
      <c r="C195" t="str">
        <f ca="1">IF(ISBLANK(Input!B195)," ",INDIRECT("Input!B"&amp;1+MATCH($H195,aux_sheet_RRS!$D$2:$D$202,0)))</f>
        <v xml:space="preserve"> </v>
      </c>
      <c r="D195" t="str">
        <f ca="1">IF(ISBLANK(Input!C195)," ",INDIRECT("Input!C"&amp;1+MATCH($H195,aux_sheet_RRS!$D$2:$D$202,0)))</f>
        <v xml:space="preserve"> </v>
      </c>
      <c r="E195" t="str">
        <f ca="1">IF(ISBLANK(Input!D195)," ",INDIRECT("Input!D"&amp;1+MATCH($H195,aux_sheet_RRS!$D$2:$D$202,0)))</f>
        <v xml:space="preserve"> </v>
      </c>
      <c r="F195" t="str">
        <f ca="1">IF(ISBLANK(Input!E195)," ",INDIRECT("Input!H"&amp;1+MATCH($H195,aux_sheet_RRS!$D$2:$D$202,0)))</f>
        <v xml:space="preserve"> </v>
      </c>
      <c r="G195">
        <f ca="1">IF(ISBLANK(Input!G195)," ",INDIRECT("Input!AP"&amp;1+MATCH($H195,aux_sheet_RRS!$D$2:$D$202,0)))</f>
        <v>0</v>
      </c>
      <c r="H195">
        <f>aux_sheet_RRS!E195</f>
        <v>1000</v>
      </c>
      <c r="J195" t="str">
        <f t="shared" si="12"/>
        <v xml:space="preserve"> </v>
      </c>
      <c r="K195">
        <v>194</v>
      </c>
      <c r="L195" t="str">
        <f t="shared" ref="L195:L202" ca="1" si="14">IF(K195&lt;$K$1,K195," ")</f>
        <v xml:space="preserve"> </v>
      </c>
      <c r="M195" t="str">
        <f t="shared" ref="M195:M202" ca="1" si="15">IF(ISNUMBER(L195),SMALL($J$2:$J$202,L195)," ")</f>
        <v xml:space="preserve"> </v>
      </c>
      <c r="N195" s="3" t="str">
        <f t="shared" ca="1" si="13"/>
        <v xml:space="preserve"> </v>
      </c>
      <c r="O195" s="3" t="str">
        <f ca="1">IF(ISNUMBER($L195),INDIRECT("Input!A"&amp;1+MATCH($M195,aux_sheet_RRS!$D$2:$D$202,0))," ")</f>
        <v xml:space="preserve"> </v>
      </c>
      <c r="P195" s="3" t="str">
        <f ca="1">IF(ISNUMBER($L195),INDIRECT("Input!B"&amp;1+MATCH($M195,aux_sheet_RRS!$D$2:$D$202,0))," ")</f>
        <v xml:space="preserve"> </v>
      </c>
    </row>
    <row r="196" spans="1:16" x14ac:dyDescent="0.35">
      <c r="A196" t="str">
        <f>IF(ISBLANK(Input!A196)," ",ROUNDDOWN(aux_sheet_RRS!E196,0))</f>
        <v xml:space="preserve"> </v>
      </c>
      <c r="B196" t="str">
        <f ca="1">IF(ISBLANK(Input!A196)," ",INDIRECT("Input!A"&amp;1+MATCH($H196,aux_sheet_RRS!$D$2:$D$202,0)))</f>
        <v xml:space="preserve"> </v>
      </c>
      <c r="C196" t="str">
        <f ca="1">IF(ISBLANK(Input!B196)," ",INDIRECT("Input!B"&amp;1+MATCH($H196,aux_sheet_RRS!$D$2:$D$202,0)))</f>
        <v xml:space="preserve"> </v>
      </c>
      <c r="D196" t="str">
        <f ca="1">IF(ISBLANK(Input!C196)," ",INDIRECT("Input!C"&amp;1+MATCH($H196,aux_sheet_RRS!$D$2:$D$202,0)))</f>
        <v xml:space="preserve"> </v>
      </c>
      <c r="E196" t="str">
        <f ca="1">IF(ISBLANK(Input!D196)," ",INDIRECT("Input!D"&amp;1+MATCH($H196,aux_sheet_RRS!$D$2:$D$202,0)))</f>
        <v xml:space="preserve"> </v>
      </c>
      <c r="F196" t="str">
        <f ca="1">IF(ISBLANK(Input!E196)," ",INDIRECT("Input!H"&amp;1+MATCH($H196,aux_sheet_RRS!$D$2:$D$202,0)))</f>
        <v xml:space="preserve"> </v>
      </c>
      <c r="G196">
        <f ca="1">IF(ISBLANK(Input!G196)," ",INDIRECT("Input!AP"&amp;1+MATCH($H196,aux_sheet_RRS!$D$2:$D$202,0)))</f>
        <v>0</v>
      </c>
      <c r="H196">
        <f>aux_sheet_RRS!E196</f>
        <v>1000</v>
      </c>
      <c r="J196" t="str">
        <f t="shared" si="12"/>
        <v xml:space="preserve"> </v>
      </c>
      <c r="K196">
        <v>195</v>
      </c>
      <c r="L196" t="str">
        <f t="shared" ca="1" si="14"/>
        <v xml:space="preserve"> </v>
      </c>
      <c r="M196" t="str">
        <f t="shared" ca="1" si="15"/>
        <v xml:space="preserve"> </v>
      </c>
      <c r="N196" s="3" t="str">
        <f t="shared" ca="1" si="13"/>
        <v xml:space="preserve"> </v>
      </c>
      <c r="O196" s="3" t="str">
        <f ca="1">IF(ISNUMBER($L196),INDIRECT("Input!A"&amp;1+MATCH($M196,aux_sheet_RRS!$D$2:$D$202,0))," ")</f>
        <v xml:space="preserve"> </v>
      </c>
      <c r="P196" s="3" t="str">
        <f ca="1">IF(ISNUMBER($L196),INDIRECT("Input!B"&amp;1+MATCH($M196,aux_sheet_RRS!$D$2:$D$202,0))," ")</f>
        <v xml:space="preserve"> </v>
      </c>
    </row>
    <row r="197" spans="1:16" x14ac:dyDescent="0.35">
      <c r="A197" t="str">
        <f>IF(ISBLANK(Input!A197)," ",ROUNDDOWN(aux_sheet_RRS!E197,0))</f>
        <v xml:space="preserve"> </v>
      </c>
      <c r="B197" t="str">
        <f ca="1">IF(ISBLANK(Input!A197)," ",INDIRECT("Input!A"&amp;1+MATCH($H197,aux_sheet_RRS!$D$2:$D$202,0)))</f>
        <v xml:space="preserve"> </v>
      </c>
      <c r="C197" t="str">
        <f ca="1">IF(ISBLANK(Input!B197)," ",INDIRECT("Input!B"&amp;1+MATCH($H197,aux_sheet_RRS!$D$2:$D$202,0)))</f>
        <v xml:space="preserve"> </v>
      </c>
      <c r="D197" t="str">
        <f ca="1">IF(ISBLANK(Input!C197)," ",INDIRECT("Input!C"&amp;1+MATCH($H197,aux_sheet_RRS!$D$2:$D$202,0)))</f>
        <v xml:space="preserve"> </v>
      </c>
      <c r="E197" t="str">
        <f ca="1">IF(ISBLANK(Input!D197)," ",INDIRECT("Input!D"&amp;1+MATCH($H197,aux_sheet_RRS!$D$2:$D$202,0)))</f>
        <v xml:space="preserve"> </v>
      </c>
      <c r="F197" t="str">
        <f ca="1">IF(ISBLANK(Input!E197)," ",INDIRECT("Input!H"&amp;1+MATCH($H197,aux_sheet_RRS!$D$2:$D$202,0)))</f>
        <v xml:space="preserve"> </v>
      </c>
      <c r="G197">
        <f ca="1">IF(ISBLANK(Input!G197)," ",INDIRECT("Input!AP"&amp;1+MATCH($H197,aux_sheet_RRS!$D$2:$D$202,0)))</f>
        <v>0</v>
      </c>
      <c r="H197">
        <f>aux_sheet_RRS!E197</f>
        <v>1000</v>
      </c>
      <c r="J197" t="str">
        <f t="shared" si="12"/>
        <v xml:space="preserve"> </v>
      </c>
      <c r="K197">
        <v>196</v>
      </c>
      <c r="L197" t="str">
        <f t="shared" ca="1" si="14"/>
        <v xml:space="preserve"> </v>
      </c>
      <c r="M197" t="str">
        <f t="shared" ca="1" si="15"/>
        <v xml:space="preserve"> </v>
      </c>
      <c r="N197" s="3" t="str">
        <f t="shared" ca="1" si="13"/>
        <v xml:space="preserve"> </v>
      </c>
      <c r="O197" s="3" t="str">
        <f ca="1">IF(ISNUMBER($L197),INDIRECT("Input!A"&amp;1+MATCH($M197,aux_sheet_RRS!$D$2:$D$202,0))," ")</f>
        <v xml:space="preserve"> </v>
      </c>
      <c r="P197" s="3" t="str">
        <f ca="1">IF(ISNUMBER($L197),INDIRECT("Input!B"&amp;1+MATCH($M197,aux_sheet_RRS!$D$2:$D$202,0))," ")</f>
        <v xml:space="preserve"> </v>
      </c>
    </row>
    <row r="198" spans="1:16" x14ac:dyDescent="0.35">
      <c r="A198" t="str">
        <f>IF(ISBLANK(Input!A198)," ",ROUNDDOWN(aux_sheet_RRS!E198,0))</f>
        <v xml:space="preserve"> </v>
      </c>
      <c r="B198" t="str">
        <f ca="1">IF(ISBLANK(Input!A198)," ",INDIRECT("Input!A"&amp;1+MATCH($H198,aux_sheet_RRS!$D$2:$D$202,0)))</f>
        <v xml:space="preserve"> </v>
      </c>
      <c r="C198" t="str">
        <f ca="1">IF(ISBLANK(Input!B198)," ",INDIRECT("Input!B"&amp;1+MATCH($H198,aux_sheet_RRS!$D$2:$D$202,0)))</f>
        <v xml:space="preserve"> </v>
      </c>
      <c r="D198" t="str">
        <f ca="1">IF(ISBLANK(Input!C198)," ",INDIRECT("Input!C"&amp;1+MATCH($H198,aux_sheet_RRS!$D$2:$D$202,0)))</f>
        <v xml:space="preserve"> </v>
      </c>
      <c r="E198" t="str">
        <f ca="1">IF(ISBLANK(Input!D198)," ",INDIRECT("Input!D"&amp;1+MATCH($H198,aux_sheet_RRS!$D$2:$D$202,0)))</f>
        <v xml:space="preserve"> </v>
      </c>
      <c r="F198" t="str">
        <f ca="1">IF(ISBLANK(Input!E198)," ",INDIRECT("Input!H"&amp;1+MATCH($H198,aux_sheet_RRS!$D$2:$D$202,0)))</f>
        <v xml:space="preserve"> </v>
      </c>
      <c r="G198">
        <f ca="1">IF(ISBLANK(Input!G198)," ",INDIRECT("Input!AP"&amp;1+MATCH($H198,aux_sheet_RRS!$D$2:$D$202,0)))</f>
        <v>0</v>
      </c>
      <c r="H198">
        <f>aux_sheet_RRS!E198</f>
        <v>1000</v>
      </c>
      <c r="J198" t="str">
        <f t="shared" si="12"/>
        <v xml:space="preserve"> </v>
      </c>
      <c r="K198">
        <v>197</v>
      </c>
      <c r="L198" t="str">
        <f t="shared" ca="1" si="14"/>
        <v xml:space="preserve"> </v>
      </c>
      <c r="M198" t="str">
        <f t="shared" ca="1" si="15"/>
        <v xml:space="preserve"> </v>
      </c>
      <c r="N198" s="3" t="str">
        <f t="shared" ca="1" si="13"/>
        <v xml:space="preserve"> </v>
      </c>
      <c r="O198" s="3" t="str">
        <f ca="1">IF(ISNUMBER($L198),INDIRECT("Input!A"&amp;1+MATCH($M198,aux_sheet_RRS!$D$2:$D$202,0))," ")</f>
        <v xml:space="preserve"> </v>
      </c>
      <c r="P198" s="3" t="str">
        <f ca="1">IF(ISNUMBER($L198),INDIRECT("Input!B"&amp;1+MATCH($M198,aux_sheet_RRS!$D$2:$D$202,0))," ")</f>
        <v xml:space="preserve"> </v>
      </c>
    </row>
    <row r="199" spans="1:16" x14ac:dyDescent="0.35">
      <c r="A199" t="str">
        <f>IF(ISBLANK(Input!A199)," ",ROUNDDOWN(aux_sheet_RRS!E199,0))</f>
        <v xml:space="preserve"> </v>
      </c>
      <c r="B199" t="str">
        <f ca="1">IF(ISBLANK(Input!A199)," ",INDIRECT("Input!A"&amp;1+MATCH($H199,aux_sheet_RRS!$D$2:$D$202,0)))</f>
        <v xml:space="preserve"> </v>
      </c>
      <c r="C199" t="str">
        <f ca="1">IF(ISBLANK(Input!B199)," ",INDIRECT("Input!B"&amp;1+MATCH($H199,aux_sheet_RRS!$D$2:$D$202,0)))</f>
        <v xml:space="preserve"> </v>
      </c>
      <c r="D199" t="str">
        <f ca="1">IF(ISBLANK(Input!C199)," ",INDIRECT("Input!C"&amp;1+MATCH($H199,aux_sheet_RRS!$D$2:$D$202,0)))</f>
        <v xml:space="preserve"> </v>
      </c>
      <c r="E199" t="str">
        <f ca="1">IF(ISBLANK(Input!D199)," ",INDIRECT("Input!D"&amp;1+MATCH($H199,aux_sheet_RRS!$D$2:$D$202,0)))</f>
        <v xml:space="preserve"> </v>
      </c>
      <c r="F199" t="str">
        <f ca="1">IF(ISBLANK(Input!E199)," ",INDIRECT("Input!H"&amp;1+MATCH($H199,aux_sheet_RRS!$D$2:$D$202,0)))</f>
        <v xml:space="preserve"> </v>
      </c>
      <c r="G199">
        <f ca="1">IF(ISBLANK(Input!G199)," ",INDIRECT("Input!AP"&amp;1+MATCH($H199,aux_sheet_RRS!$D$2:$D$202,0)))</f>
        <v>0</v>
      </c>
      <c r="H199">
        <f>aux_sheet_RRS!E199</f>
        <v>1000</v>
      </c>
      <c r="J199" t="str">
        <f t="shared" si="12"/>
        <v xml:space="preserve"> </v>
      </c>
      <c r="K199">
        <v>198</v>
      </c>
      <c r="L199" t="str">
        <f t="shared" ca="1" si="14"/>
        <v xml:space="preserve"> </v>
      </c>
      <c r="M199" t="str">
        <f t="shared" ca="1" si="15"/>
        <v xml:space="preserve"> </v>
      </c>
      <c r="N199" s="3" t="str">
        <f t="shared" ca="1" si="13"/>
        <v xml:space="preserve"> </v>
      </c>
      <c r="O199" s="3" t="str">
        <f ca="1">IF(ISNUMBER($L199),INDIRECT("Input!A"&amp;1+MATCH($M199,aux_sheet_RRS!$D$2:$D$202,0))," ")</f>
        <v xml:space="preserve"> </v>
      </c>
      <c r="P199" s="3" t="str">
        <f ca="1">IF(ISNUMBER($L199),INDIRECT("Input!B"&amp;1+MATCH($M199,aux_sheet_RRS!$D$2:$D$202,0))," ")</f>
        <v xml:space="preserve"> </v>
      </c>
    </row>
    <row r="200" spans="1:16" x14ac:dyDescent="0.35">
      <c r="A200" t="str">
        <f>IF(ISBLANK(Input!A200)," ",ROUNDDOWN(aux_sheet_RRS!E200,0))</f>
        <v xml:space="preserve"> </v>
      </c>
      <c r="B200" t="str">
        <f ca="1">IF(ISBLANK(Input!A200)," ",INDIRECT("Input!A"&amp;1+MATCH($H200,aux_sheet_RRS!$D$2:$D$202,0)))</f>
        <v xml:space="preserve"> </v>
      </c>
      <c r="C200" t="str">
        <f ca="1">IF(ISBLANK(Input!B200)," ",INDIRECT("Input!B"&amp;1+MATCH($H200,aux_sheet_RRS!$D$2:$D$202,0)))</f>
        <v xml:space="preserve"> </v>
      </c>
      <c r="D200" t="str">
        <f ca="1">IF(ISBLANK(Input!C200)," ",INDIRECT("Input!C"&amp;1+MATCH($H200,aux_sheet_RRS!$D$2:$D$202,0)))</f>
        <v xml:space="preserve"> </v>
      </c>
      <c r="E200" t="str">
        <f ca="1">IF(ISBLANK(Input!D200)," ",INDIRECT("Input!D"&amp;1+MATCH($H200,aux_sheet_RRS!$D$2:$D$202,0)))</f>
        <v xml:space="preserve"> </v>
      </c>
      <c r="F200" t="str">
        <f ca="1">IF(ISBLANK(Input!E200)," ",INDIRECT("Input!H"&amp;1+MATCH($H200,aux_sheet_RRS!$D$2:$D$202,0)))</f>
        <v xml:space="preserve"> </v>
      </c>
      <c r="G200">
        <f ca="1">IF(ISBLANK(Input!G200)," ",INDIRECT("Input!AP"&amp;1+MATCH($H200,aux_sheet_RRS!$D$2:$D$202,0)))</f>
        <v>0</v>
      </c>
      <c r="H200">
        <f>aux_sheet_RRS!E200</f>
        <v>1000</v>
      </c>
      <c r="J200" t="str">
        <f t="shared" si="12"/>
        <v xml:space="preserve"> </v>
      </c>
      <c r="K200">
        <v>199</v>
      </c>
      <c r="L200" t="str">
        <f t="shared" ca="1" si="14"/>
        <v xml:space="preserve"> </v>
      </c>
      <c r="M200" t="str">
        <f t="shared" ca="1" si="15"/>
        <v xml:space="preserve"> </v>
      </c>
      <c r="N200" s="3" t="str">
        <f t="shared" ca="1" si="13"/>
        <v xml:space="preserve"> </v>
      </c>
      <c r="O200" s="3" t="str">
        <f ca="1">IF(ISNUMBER($L200),INDIRECT("Input!A"&amp;1+MATCH($M200,aux_sheet_RRS!$D$2:$D$202,0))," ")</f>
        <v xml:space="preserve"> </v>
      </c>
      <c r="P200" s="3" t="str">
        <f ca="1">IF(ISNUMBER($L200),INDIRECT("Input!B"&amp;1+MATCH($M200,aux_sheet_RRS!$D$2:$D$202,0))," ")</f>
        <v xml:space="preserve"> </v>
      </c>
    </row>
    <row r="201" spans="1:16" x14ac:dyDescent="0.35">
      <c r="A201" t="str">
        <f>IF(ISBLANK(Input!A201)," ",ROUNDDOWN(aux_sheet_RRS!E201,0))</f>
        <v xml:space="preserve"> </v>
      </c>
      <c r="B201" t="str">
        <f ca="1">IF(ISBLANK(Input!A201)," ",INDIRECT("Input!A"&amp;1+MATCH($H201,aux_sheet_RRS!$D$2:$D$202,0)))</f>
        <v xml:space="preserve"> </v>
      </c>
      <c r="C201" t="str">
        <f ca="1">IF(ISBLANK(Input!B201)," ",INDIRECT("Input!B"&amp;1+MATCH($H201,aux_sheet_RRS!$D$2:$D$202,0)))</f>
        <v xml:space="preserve"> </v>
      </c>
      <c r="D201" t="str">
        <f ca="1">IF(ISBLANK(Input!C201)," ",INDIRECT("Input!C"&amp;1+MATCH($H201,aux_sheet_RRS!$D$2:$D$202,0)))</f>
        <v xml:space="preserve"> </v>
      </c>
      <c r="E201" t="str">
        <f ca="1">IF(ISBLANK(Input!D201)," ",INDIRECT("Input!D"&amp;1+MATCH($H201,aux_sheet_RRS!$D$2:$D$202,0)))</f>
        <v xml:space="preserve"> </v>
      </c>
      <c r="F201" t="str">
        <f ca="1">IF(ISBLANK(Input!E201)," ",INDIRECT("Input!H"&amp;1+MATCH($H201,aux_sheet_RRS!$D$2:$D$202,0)))</f>
        <v xml:space="preserve"> </v>
      </c>
      <c r="G201">
        <f ca="1">IF(ISBLANK(Input!G201)," ",INDIRECT("Input!AP"&amp;1+MATCH($H201,aux_sheet_RRS!$D$2:$D$202,0)))</f>
        <v>0</v>
      </c>
      <c r="H201">
        <f>aux_sheet_RRS!E201</f>
        <v>1000</v>
      </c>
      <c r="J201" t="str">
        <f t="shared" si="12"/>
        <v xml:space="preserve"> </v>
      </c>
      <c r="K201">
        <v>200</v>
      </c>
      <c r="L201" t="str">
        <f t="shared" ca="1" si="14"/>
        <v xml:space="preserve"> </v>
      </c>
      <c r="M201" t="str">
        <f t="shared" ca="1" si="15"/>
        <v xml:space="preserve"> </v>
      </c>
      <c r="N201" s="3" t="str">
        <f t="shared" ca="1" si="13"/>
        <v xml:space="preserve"> </v>
      </c>
      <c r="O201" s="3" t="str">
        <f ca="1">IF(ISNUMBER($L201),INDIRECT("Input!A"&amp;1+MATCH($M201,aux_sheet_RRS!$D$2:$D$202,0))," ")</f>
        <v xml:space="preserve"> </v>
      </c>
      <c r="P201" s="3" t="str">
        <f ca="1">IF(ISNUMBER($L201),INDIRECT("Input!B"&amp;1+MATCH($M201,aux_sheet_RRS!$D$2:$D$202,0))," ")</f>
        <v xml:space="preserve"> </v>
      </c>
    </row>
    <row r="202" spans="1:16" x14ac:dyDescent="0.35">
      <c r="A202" t="str">
        <f>IF(ISBLANK(Input!A202)," ",ROUNDDOWN(aux_sheet_RRS!E202,0))</f>
        <v xml:space="preserve"> </v>
      </c>
      <c r="B202" t="str">
        <f ca="1">IF(ISBLANK(Input!A202)," ",INDIRECT("Input!A"&amp;1+MATCH($H202,aux_sheet_RRS!$D$2:$D$202,0)))</f>
        <v xml:space="preserve"> </v>
      </c>
      <c r="C202" t="str">
        <f ca="1">IF(ISBLANK(Input!B202)," ",INDIRECT("Input!B"&amp;1+MATCH($H202,aux_sheet_RRS!$D$2:$D$202,0)))</f>
        <v xml:space="preserve"> </v>
      </c>
      <c r="D202" t="str">
        <f ca="1">IF(ISBLANK(Input!C202)," ",INDIRECT("Input!C"&amp;1+MATCH($H202,aux_sheet_RRS!$D$2:$D$202,0)))</f>
        <v xml:space="preserve"> </v>
      </c>
      <c r="E202" t="str">
        <f ca="1">IF(ISBLANK(Input!D202)," ",INDIRECT("Input!D"&amp;1+MATCH($H202,aux_sheet_RRS!$D$2:$D$202,0)))</f>
        <v xml:space="preserve"> </v>
      </c>
      <c r="F202" t="str">
        <f ca="1">IF(ISBLANK(Input!E202)," ",INDIRECT("Input!H"&amp;1+MATCH($H202,aux_sheet_RRS!$D$2:$D$202,0)))</f>
        <v xml:space="preserve"> </v>
      </c>
      <c r="G202" t="str">
        <f ca="1">IF(ISBLANK(Input!G202)," ",INDIRECT("Input!AP"&amp;1+MATCH($H202,aux_sheet_RRS!$D$2:$D$202,0)))</f>
        <v xml:space="preserve"> </v>
      </c>
      <c r="H202">
        <f>aux_sheet_RRS!E202</f>
        <v>1000</v>
      </c>
      <c r="J202" t="str">
        <f t="shared" si="12"/>
        <v xml:space="preserve"> </v>
      </c>
      <c r="K202">
        <v>201</v>
      </c>
      <c r="L202" t="str">
        <f t="shared" ca="1" si="14"/>
        <v xml:space="preserve"> </v>
      </c>
      <c r="M202" t="str">
        <f t="shared" ca="1" si="15"/>
        <v xml:space="preserve"> </v>
      </c>
      <c r="N202" s="3" t="str">
        <f t="shared" ca="1" si="13"/>
        <v xml:space="preserve"> </v>
      </c>
      <c r="O202" s="3" t="str">
        <f ca="1">IF(ISNUMBER($L202),INDIRECT("Input!A"&amp;1+MATCH($M202,aux_sheet_RRS!$D$2:$D$202,0))," ")</f>
        <v xml:space="preserve"> </v>
      </c>
      <c r="P202" s="3" t="str">
        <f ca="1">IF(ISNUMBER($L202),INDIRECT("Input!B"&amp;1+MATCH($M202,aux_sheet_RRS!$D$2:$D$202,0))," ")</f>
        <v xml:space="preserve"> </v>
      </c>
    </row>
  </sheetData>
  <sheetProtection sheet="1" objects="1" scenarios="1"/>
  <customSheetViews>
    <customSheetView guid="{A9C4060D-48A6-4A71-A108-B3947866F802}">
      <selection activeCell="T19" sqref="T19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2861C-C838-45D5-BED4-4CCCD112F8CF}">
  <sheetPr codeName="Tabelle4">
    <tabColor rgb="FFFFA7A7"/>
  </sheetPr>
  <dimension ref="A1:AO1720"/>
  <sheetViews>
    <sheetView topLeftCell="K1" workbookViewId="0">
      <selection activeCell="T2" sqref="T2"/>
    </sheetView>
  </sheetViews>
  <sheetFormatPr baseColWidth="10" defaultRowHeight="15.5" outlineLevelCol="1" x14ac:dyDescent="0.35"/>
  <cols>
    <col min="1" max="1" width="8.75" style="102" customWidth="1" outlineLevel="1"/>
    <col min="2" max="2" width="9.33203125" style="103" customWidth="1" outlineLevel="1"/>
    <col min="3" max="3" width="8.33203125" style="4" customWidth="1" outlineLevel="1"/>
    <col min="4" max="4" width="7.5" style="7" customWidth="1" outlineLevel="1"/>
    <col min="5" max="5" width="8.75" style="7" customWidth="1"/>
    <col min="6" max="6" width="8.08203125" style="4" customWidth="1" outlineLevel="1"/>
    <col min="14" max="14" width="16.25" customWidth="1"/>
    <col min="15" max="15" width="9.75" customWidth="1"/>
    <col min="21" max="21" width="12.4140625" customWidth="1"/>
    <col min="24" max="24" width="14.83203125" customWidth="1"/>
    <col min="38" max="38" width="10.33203125" customWidth="1"/>
    <col min="39" max="41" width="6.5" customWidth="1"/>
    <col min="42" max="60" width="2.08203125" customWidth="1"/>
  </cols>
  <sheetData>
    <row r="1" spans="1:41" s="22" customFormat="1" ht="62.5" thickBot="1" x14ac:dyDescent="0.4">
      <c r="A1" s="46" t="s">
        <v>57</v>
      </c>
      <c r="B1" s="34" t="s">
        <v>57</v>
      </c>
      <c r="C1" s="47" t="s">
        <v>58</v>
      </c>
      <c r="D1" s="25" t="s">
        <v>59</v>
      </c>
      <c r="E1" s="25" t="s">
        <v>59</v>
      </c>
      <c r="F1" s="47" t="s">
        <v>58</v>
      </c>
      <c r="G1" s="19" t="s">
        <v>56</v>
      </c>
      <c r="I1" s="22" t="str">
        <f>IF(Input!A1&gt;0,Input!A1,"")</f>
        <v>Name</v>
      </c>
      <c r="J1" s="22" t="str">
        <f>IF(Input!B1&gt;0,Input!B1,"")</f>
        <v>First Name</v>
      </c>
      <c r="K1" s="22" t="str">
        <f>IF(Input!C1&gt;0,Input!C1,"")</f>
        <v>Nat</v>
      </c>
      <c r="L1" s="22" t="str">
        <f>IF(Input!D1&gt;0,Input!D1,"")</f>
        <v>Category</v>
      </c>
      <c r="M1" s="22" t="str">
        <f>IF(Input!E1&gt;0,Input!E1,"")</f>
        <v>Rank old</v>
      </c>
      <c r="N1" s="22" t="str">
        <f>IF(Input!F1&gt;0,Input!F1,"")</f>
        <v>Overall Points old</v>
      </c>
      <c r="O1" s="22" t="str">
        <f>IF(Input!I1&gt;0,Input!I1,"")</f>
        <v>ACC score</v>
      </c>
      <c r="P1" s="22" t="s">
        <v>87</v>
      </c>
      <c r="Q1" s="22" t="s">
        <v>88</v>
      </c>
      <c r="R1" s="22" t="str">
        <f>IF(Input!L1&gt;0,Input!L1,"")</f>
        <v>AR score</v>
      </c>
      <c r="S1" s="22" t="s">
        <v>89</v>
      </c>
      <c r="T1" s="22" t="s">
        <v>90</v>
      </c>
      <c r="U1" s="22" t="str">
        <f>IF(Input!O1&gt;0,Input!O1,"")</f>
        <v>MTA  score</v>
      </c>
      <c r="V1" s="22" t="s">
        <v>91</v>
      </c>
      <c r="W1" s="22" t="s">
        <v>92</v>
      </c>
      <c r="X1" s="22" t="str">
        <f>IF(Input!R1&gt;0,Input!R1,"")</f>
        <v>FC score</v>
      </c>
      <c r="Y1" s="22" t="s">
        <v>93</v>
      </c>
      <c r="Z1" s="22" t="s">
        <v>94</v>
      </c>
      <c r="AA1" s="22" t="str">
        <f>IF(Input!U1&gt;0,Input!U1,"")</f>
        <v>END score</v>
      </c>
      <c r="AB1" s="22" t="s">
        <v>95</v>
      </c>
      <c r="AC1" s="22" t="s">
        <v>96</v>
      </c>
      <c r="AD1" s="22" t="str">
        <f>IF(Input!X1&gt;0,Input!X1,"")</f>
        <v>TCD score</v>
      </c>
      <c r="AE1" s="22" t="s">
        <v>97</v>
      </c>
      <c r="AF1" s="22" t="s">
        <v>98</v>
      </c>
      <c r="AG1" s="22" t="str">
        <f>IF(Input!AA1&gt;0,Input!AA1,"")</f>
        <v>Tapir score</v>
      </c>
      <c r="AH1" s="22" t="s">
        <v>99</v>
      </c>
      <c r="AI1" s="22" t="s">
        <v>100</v>
      </c>
      <c r="AJ1" s="22" t="str">
        <f>IF(Input!AD1&gt;0,Input!AD1,"")</f>
        <v>Extra event score</v>
      </c>
      <c r="AK1" s="22" t="s">
        <v>179</v>
      </c>
      <c r="AL1" s="22" t="s">
        <v>180</v>
      </c>
      <c r="AM1" s="22" t="str">
        <f>IF(Input!AG1&gt;0,Input!AG1,"")</f>
        <v>Extra timed event score</v>
      </c>
      <c r="AN1" s="22" t="s">
        <v>181</v>
      </c>
      <c r="AO1" s="22" t="s">
        <v>182</v>
      </c>
    </row>
    <row r="2" spans="1:41" ht="16.5" thickTop="1" thickBot="1" x14ac:dyDescent="0.4">
      <c r="A2" s="100">
        <f>IF(ISBLANK(Input!A2),1000,IF(Input!E2&gt;0,Input!E2+F2,1000))</f>
        <v>6.0010000000000003</v>
      </c>
      <c r="B2" s="101">
        <f>SMALL($A$2:$A$202,C2)</f>
        <v>1.006</v>
      </c>
      <c r="C2" s="96">
        <v>1</v>
      </c>
      <c r="D2" s="29">
        <f>IF(ISBLANK(Input!A2),1000,IF(Input!G2&gt;0,Input!G2+F2,1000))</f>
        <v>6.0010000000000003</v>
      </c>
      <c r="E2" s="29">
        <f>SMALL($D$2:$D$202,C2)</f>
        <v>1.0049999999999999</v>
      </c>
      <c r="F2" s="96">
        <v>1E-3</v>
      </c>
      <c r="G2" s="21" t="s">
        <v>201</v>
      </c>
      <c r="I2" t="str">
        <f>IF(Input!A2&gt;0,Input!A2,"")</f>
        <v>test</v>
      </c>
      <c r="J2" t="str">
        <f>IF(Input!B2&gt;0,Input!B2,"")</f>
        <v>a</v>
      </c>
      <c r="K2" t="str">
        <f>IF(Input!C2&gt;0,Input!C2,"")</f>
        <v>b</v>
      </c>
      <c r="L2" t="str">
        <f>IF(Input!D2&gt;0,Input!D2,"")</f>
        <v>j</v>
      </c>
      <c r="M2">
        <f>IF(Input!E2&gt;0,Input!E2,"")</f>
        <v>6</v>
      </c>
      <c r="N2">
        <f>IF(Input!F2&gt;0,Input!F2,"")</f>
        <v>19</v>
      </c>
      <c r="O2">
        <f>IF(Input!I2&lt;&gt;"",Input!I2,"")</f>
        <v>6</v>
      </c>
      <c r="P2">
        <f>IF(Q2&lt;&gt;"",  RANK(Q2,Q$2:Q$202,1)+((COUNTIF(Q$2:Q$202,Q2)-1)*0.5),"" )</f>
        <v>1</v>
      </c>
      <c r="Q2">
        <f>IF(O2&lt;&gt;"",IF(Input!K2&lt;&gt;"",ROUNDDOWN(Input!K2,0),0),"")</f>
        <v>1</v>
      </c>
      <c r="R2">
        <f>IF(Input!L2&lt;&gt;"",Input!L2,"")</f>
        <v>1</v>
      </c>
      <c r="S2">
        <f>IF(T2&lt;&gt;"",  RANK(T2,T$2:T$202,1)+((COUNTIF(T$2:T$202,T2)-1)*0.5),"" )</f>
        <v>6</v>
      </c>
      <c r="T2">
        <f>IF(R2&lt;&gt;"",IF(Input!N2&lt;&gt;"",ROUNDDOWN(Input!N2,0),0),"")</f>
        <v>6</v>
      </c>
      <c r="U2">
        <f>IF(Input!O2&lt;&gt;"",Input!O2,"")</f>
        <v>5</v>
      </c>
      <c r="V2">
        <f>IF(W2&lt;&gt;"",  RANK(W2,W$2:W$202,1)+((COUNTIF(W$2:W$202,W2)-1)*0.5),"" )</f>
        <v>6</v>
      </c>
      <c r="W2">
        <f>IF(U2&lt;&gt;"",IF(Input!Q2&lt;&gt;"",ROUNDDOWN(Input!Q2,0),0),"")</f>
        <v>6</v>
      </c>
      <c r="X2" t="str">
        <f>IF(Input!R2&lt;&gt;"",Input!R2,"")</f>
        <v>np</v>
      </c>
      <c r="Y2">
        <f>IF(Z2&lt;&gt;"",  RANK(Z2,Z$2:Z$202,1)+((COUNTIF(Z$2:Z$202,Z2)-1)*0.5),"" )</f>
        <v>6</v>
      </c>
      <c r="Z2">
        <f>IF(X2&lt;&gt;"",IF(Input!T2&lt;&gt;"",ROUNDDOWN(Input!T2,0),0),"")</f>
        <v>6</v>
      </c>
      <c r="AA2" t="str">
        <f>IF(Input!U2&lt;&gt;"",Input!U2,"")</f>
        <v/>
      </c>
      <c r="AB2" t="str">
        <f>IF(AC2&lt;&gt;"",  RANK(AC2,AC$2:AC$202,1)+((COUNTIF(AC$2:AC$202,AC2)-1)*0.5),"" )</f>
        <v/>
      </c>
      <c r="AC2" t="str">
        <f>IF(AA2&lt;&gt;"",IF(Input!W2&lt;&gt;"",ROUNDDOWN(Input!W2,0),0),"")</f>
        <v/>
      </c>
      <c r="AD2" t="str">
        <f>IF(Input!X2&lt;&gt;"",Input!X2,"")</f>
        <v/>
      </c>
      <c r="AE2" t="str">
        <f>IF(AF2&lt;&gt;"",  RANK(AF2,AF$2:AF$202,1)+((COUNTIF(AF$2:AF$202,AF2)-1)*0.5),"" )</f>
        <v/>
      </c>
      <c r="AF2" t="str">
        <f>IF(AD2&lt;&gt;"",IF(Input!Z2&lt;&gt;"",ROUNDDOWN(Input!Z2,0),0),"")</f>
        <v/>
      </c>
      <c r="AG2" t="str">
        <f>IF(Input!AA2&lt;&gt;"",Input!AA2,"")</f>
        <v/>
      </c>
      <c r="AH2" t="str">
        <f>IF(AI2&lt;&gt;"",  RANK(AI2,AI$2:AI$202,1)+((COUNTIF(AI$2:AI$202,AI2)-1)*0.5),"" )</f>
        <v/>
      </c>
      <c r="AI2" t="str">
        <f>IF(AG2&lt;&gt;"",IF(Input!AC2&lt;&gt;"",ROUNDDOWN(Input!AC2,0),0),"")</f>
        <v/>
      </c>
      <c r="AJ2" t="str">
        <f>IF(Input!AD2&lt;&gt;"",Input!AD2,"")</f>
        <v/>
      </c>
      <c r="AK2" t="str">
        <f>IF(AL2&lt;&gt;"",  RANK(AL2,AL$2:AL$202,1)+((COUNTIF(AL$2:AL$202,AL2)-1)*0.5),"" )</f>
        <v/>
      </c>
      <c r="AL2" t="str">
        <f>IF(AJ2&lt;&gt;"",IF(Input!AF2&lt;&gt;"",ROUNDDOWN(Input!AF2,0),0),"")</f>
        <v/>
      </c>
      <c r="AM2" t="str">
        <f>IF(Input!AG2&lt;&gt;"",Input!AG2,"")</f>
        <v/>
      </c>
      <c r="AN2" t="str">
        <f>IF(AO2&lt;&gt;"",  RANK(AO2,AO$2:AO$202,1)+((COUNTIF(AO$2:AO$202,AO2)-1)*0.5),"" )</f>
        <v/>
      </c>
      <c r="AO2" t="str">
        <f>IF(AM2&lt;&gt;"",IF(Input!AI2&lt;&gt;"",ROUNDDOWN(Input!AI2,0),0),"")</f>
        <v/>
      </c>
    </row>
    <row r="3" spans="1:41" ht="16.5" thickTop="1" thickBot="1" x14ac:dyDescent="0.4">
      <c r="A3" s="100">
        <f>IF(ISBLANK(Input!A3),1000,IF(Input!E3&gt;0,Input!E3+F3,1000))</f>
        <v>5.0019999999999998</v>
      </c>
      <c r="B3" s="101">
        <f t="shared" ref="B3:B66" si="0">SMALL($A$2:$A$202,C3)</f>
        <v>2.0049999999999999</v>
      </c>
      <c r="C3" s="4">
        <v>2</v>
      </c>
      <c r="D3" s="29">
        <f>IF(ISBLANK(Input!A3),1000,IF(Input!G3&gt;0,Input!G3+F3,1000))</f>
        <v>5.0019999999999998</v>
      </c>
      <c r="E3" s="29">
        <f t="shared" ref="E3:E66" si="1">SMALL($D$2:$D$202,C3)</f>
        <v>2.0059999999999998</v>
      </c>
      <c r="F3" s="4">
        <v>2E-3</v>
      </c>
      <c r="I3" t="str">
        <f>IF(Input!A3&gt;0,Input!A3,"")</f>
        <v>test1</v>
      </c>
      <c r="J3" t="str">
        <f>IF(Input!B3&gt;0,Input!B3,"")</f>
        <v>a1</v>
      </c>
      <c r="K3" t="str">
        <f>IF(Input!C3&gt;0,Input!C3,"")</f>
        <v>b1</v>
      </c>
      <c r="L3" t="str">
        <f>IF(Input!D3&gt;0,Input!D3,"")</f>
        <v>j</v>
      </c>
      <c r="M3">
        <f>IF(Input!E3&gt;0,Input!E3,"")</f>
        <v>5</v>
      </c>
      <c r="N3">
        <f>IF(Input!F3&gt;0,Input!F3,"")</f>
        <v>17</v>
      </c>
      <c r="O3">
        <f>IF(Input!I3&lt;&gt;"",Input!I3,"")</f>
        <v>5</v>
      </c>
      <c r="P3">
        <f t="shared" ref="P3:P66" si="2">IF(Q3&lt;&gt;"",  RANK(Q3,Q$2:Q$202,1)+((COUNTIF(Q$2:Q$202,Q3)-1)*0.5),"" )</f>
        <v>2</v>
      </c>
      <c r="Q3">
        <f>IF(O3&lt;&gt;"",IF(Input!K3&lt;&gt;"",ROUNDDOWN(Input!K3,0),0),"")</f>
        <v>2</v>
      </c>
      <c r="R3">
        <f>IF(Input!L3&lt;&gt;"",Input!L3,"")</f>
        <v>2</v>
      </c>
      <c r="S3">
        <f t="shared" ref="S3:S66" si="3">IF(T3&lt;&gt;"",  RANK(T3,T$2:T$202,1)+((COUNTIF(T$2:T$202,T3)-1)*0.5),"" )</f>
        <v>5</v>
      </c>
      <c r="T3">
        <f>IF(R3&lt;&gt;"",IF(Input!N3&lt;&gt;"",ROUNDDOWN(Input!N3,0),0),"")</f>
        <v>5</v>
      </c>
      <c r="U3">
        <f>IF(Input!O3&lt;&gt;"",Input!O3,"")</f>
        <v>6</v>
      </c>
      <c r="V3">
        <f t="shared" ref="V3:V66" si="4">IF(W3&lt;&gt;"",  RANK(W3,W$2:W$202,1)+((COUNTIF(W$2:W$202,W3)-1)*0.5),"" )</f>
        <v>5</v>
      </c>
      <c r="W3">
        <f>IF(U3&lt;&gt;"",IF(Input!Q3&lt;&gt;"",ROUNDDOWN(Input!Q3,0),0),"")</f>
        <v>5</v>
      </c>
      <c r="X3">
        <f>IF(Input!R3&lt;&gt;"",Input!R3,"")</f>
        <v>0</v>
      </c>
      <c r="Y3">
        <f t="shared" ref="Y3:Y66" si="5">IF(Z3&lt;&gt;"",  RANK(Z3,Z$2:Z$202,1)+((COUNTIF(Z$2:Z$202,Z3)-1)*0.5),"" )</f>
        <v>5</v>
      </c>
      <c r="Z3">
        <f>IF(X3&lt;&gt;"",IF(Input!T3&lt;&gt;"",ROUNDDOWN(Input!T3,0),0),"")</f>
        <v>5</v>
      </c>
      <c r="AA3" t="str">
        <f>IF(Input!U3&lt;&gt;"",Input!U3,"")</f>
        <v/>
      </c>
      <c r="AB3" t="str">
        <f t="shared" ref="AB3:AB66" si="6">IF(AC3&lt;&gt;"",  RANK(AC3,AC$2:AC$202,1)+((COUNTIF(AC$2:AC$202,AC3)-1)*0.5),"" )</f>
        <v/>
      </c>
      <c r="AC3" t="str">
        <f>IF(AA3&lt;&gt;"",IF(Input!W3&lt;&gt;"",ROUNDDOWN(Input!W3,0),0),"")</f>
        <v/>
      </c>
      <c r="AD3" t="str">
        <f>IF(Input!X3&lt;&gt;"",Input!X3,"")</f>
        <v/>
      </c>
      <c r="AE3" t="str">
        <f t="shared" ref="AE3:AE66" si="7">IF(AF3&lt;&gt;"",  RANK(AF3,AF$2:AF$202,1)+((COUNTIF(AF$2:AF$202,AF3)-1)*0.5),"" )</f>
        <v/>
      </c>
      <c r="AF3" t="str">
        <f>IF(AD3&lt;&gt;"",IF(Input!Z3&lt;&gt;"",ROUNDDOWN(Input!Z3,0),0),"")</f>
        <v/>
      </c>
      <c r="AG3" t="str">
        <f>IF(Input!AA3&lt;&gt;"",Input!AA3,"")</f>
        <v/>
      </c>
      <c r="AH3" t="str">
        <f t="shared" ref="AH3:AH66" si="8">IF(AI3&lt;&gt;"",  RANK(AI3,AI$2:AI$202,1)+((COUNTIF(AI$2:AI$202,AI3)-1)*0.5),"" )</f>
        <v/>
      </c>
      <c r="AI3" t="str">
        <f>IF(AG3&lt;&gt;"",IF(Input!AC3&lt;&gt;"",ROUNDDOWN(Input!AC3,0),0),"")</f>
        <v/>
      </c>
      <c r="AJ3" t="str">
        <f>IF(Input!AD3&lt;&gt;"",Input!AD3,"")</f>
        <v/>
      </c>
      <c r="AK3" t="str">
        <f t="shared" ref="AK3:AK66" si="9">IF(AL3&lt;&gt;"",  RANK(AL3,AL$2:AL$202,1)+((COUNTIF(AL$2:AL$202,AL3)-1)*0.5),"" )</f>
        <v/>
      </c>
      <c r="AL3" t="str">
        <f>IF(AJ3&lt;&gt;"",IF(Input!AF3&lt;&gt;"",ROUNDDOWN(Input!AF3,0),0),"")</f>
        <v/>
      </c>
      <c r="AM3" t="str">
        <f>IF(Input!AG3&lt;&gt;"",Input!AG3,"")</f>
        <v/>
      </c>
      <c r="AN3" t="str">
        <f t="shared" ref="AN3:AN66" si="10">IF(AO3&lt;&gt;"",  RANK(AO3,AO$2:AO$202,1)+((COUNTIF(AO$2:AO$202,AO3)-1)*0.5),"" )</f>
        <v/>
      </c>
      <c r="AO3" t="str">
        <f>IF(AM3&lt;&gt;"",IF(Input!AI3&lt;&gt;"",ROUNDDOWN(Input!AI3,0),0),"")</f>
        <v/>
      </c>
    </row>
    <row r="4" spans="1:41" ht="16.5" thickTop="1" thickBot="1" x14ac:dyDescent="0.4">
      <c r="A4" s="100">
        <f>IF(ISBLANK(Input!A4),1000,IF(Input!E4&gt;0,Input!E4+F4,1000))</f>
        <v>4.0030000000000001</v>
      </c>
      <c r="B4" s="101">
        <f t="shared" si="0"/>
        <v>3.004</v>
      </c>
      <c r="C4" s="4">
        <v>3</v>
      </c>
      <c r="D4" s="29">
        <f>IF(ISBLANK(Input!A4),1000,IF(Input!G4&gt;0,Input!G4+F4,1000))</f>
        <v>4.0030000000000001</v>
      </c>
      <c r="E4" s="29">
        <f t="shared" si="1"/>
        <v>3.004</v>
      </c>
      <c r="F4" s="4">
        <v>3.0000000000000001E-3</v>
      </c>
      <c r="I4" t="str">
        <f>IF(Input!A4&gt;0,Input!A4,"")</f>
        <v>test2</v>
      </c>
      <c r="J4" t="str">
        <f>IF(Input!B4&gt;0,Input!B4,"")</f>
        <v>a2</v>
      </c>
      <c r="K4" t="str">
        <f>IF(Input!C4&gt;0,Input!C4,"")</f>
        <v>b2</v>
      </c>
      <c r="L4" t="str">
        <f>IF(Input!D4&gt;0,Input!D4,"")</f>
        <v>j</v>
      </c>
      <c r="M4">
        <f>IF(Input!E4&gt;0,Input!E4,"")</f>
        <v>4</v>
      </c>
      <c r="N4">
        <f>IF(Input!F4&gt;0,Input!F4,"")</f>
        <v>15</v>
      </c>
      <c r="O4">
        <f>IF(Input!I4&lt;&gt;"",Input!I4,"")</f>
        <v>4</v>
      </c>
      <c r="P4">
        <f t="shared" si="2"/>
        <v>3</v>
      </c>
      <c r="Q4">
        <f>IF(O4&lt;&gt;"",IF(Input!K4&lt;&gt;"",ROUNDDOWN(Input!K4,0),0),"")</f>
        <v>3</v>
      </c>
      <c r="R4">
        <f>IF(Input!L4&lt;&gt;"",Input!L4,"")</f>
        <v>3</v>
      </c>
      <c r="S4">
        <f t="shared" si="3"/>
        <v>4</v>
      </c>
      <c r="T4">
        <f>IF(R4&lt;&gt;"",IF(Input!N4&lt;&gt;"",ROUNDDOWN(Input!N4,0),0),"")</f>
        <v>4</v>
      </c>
      <c r="U4">
        <f>IF(Input!O4&lt;&gt;"",Input!O4,"")</f>
        <v>7</v>
      </c>
      <c r="V4">
        <f t="shared" si="4"/>
        <v>4</v>
      </c>
      <c r="W4">
        <f>IF(U4&lt;&gt;"",IF(Input!Q4&lt;&gt;"",ROUNDDOWN(Input!Q4,0),0),"")</f>
        <v>4</v>
      </c>
      <c r="X4">
        <f>IF(Input!R4&lt;&gt;"",Input!R4,"")</f>
        <v>1</v>
      </c>
      <c r="Y4">
        <f t="shared" si="5"/>
        <v>4</v>
      </c>
      <c r="Z4">
        <f>IF(X4&lt;&gt;"",IF(Input!T4&lt;&gt;"",ROUNDDOWN(Input!T4,0),0),"")</f>
        <v>4</v>
      </c>
      <c r="AA4" t="str">
        <f>IF(Input!U4&lt;&gt;"",Input!U4,"")</f>
        <v/>
      </c>
      <c r="AB4" t="str">
        <f t="shared" si="6"/>
        <v/>
      </c>
      <c r="AC4" t="str">
        <f>IF(AA4&lt;&gt;"",IF(Input!W4&lt;&gt;"",ROUNDDOWN(Input!W4,0),0),"")</f>
        <v/>
      </c>
      <c r="AD4" t="str">
        <f>IF(Input!X4&lt;&gt;"",Input!X4,"")</f>
        <v/>
      </c>
      <c r="AE4" t="str">
        <f t="shared" si="7"/>
        <v/>
      </c>
      <c r="AF4" t="str">
        <f>IF(AD4&lt;&gt;"",IF(Input!Z4&lt;&gt;"",ROUNDDOWN(Input!Z4,0),0),"")</f>
        <v/>
      </c>
      <c r="AG4" t="str">
        <f>IF(Input!AA4&lt;&gt;"",Input!AA4,"")</f>
        <v/>
      </c>
      <c r="AH4" t="str">
        <f t="shared" si="8"/>
        <v/>
      </c>
      <c r="AI4" t="str">
        <f>IF(AG4&lt;&gt;"",IF(Input!AC4&lt;&gt;"",ROUNDDOWN(Input!AC4,0),0),"")</f>
        <v/>
      </c>
      <c r="AJ4" t="str">
        <f>IF(Input!AD4&lt;&gt;"",Input!AD4,"")</f>
        <v/>
      </c>
      <c r="AK4" t="str">
        <f t="shared" si="9"/>
        <v/>
      </c>
      <c r="AL4" t="str">
        <f>IF(AJ4&lt;&gt;"",IF(Input!AF4&lt;&gt;"",ROUNDDOWN(Input!AF4,0),0),"")</f>
        <v/>
      </c>
      <c r="AM4" t="str">
        <f>IF(Input!AG4&lt;&gt;"",Input!AG4,"")</f>
        <v/>
      </c>
      <c r="AN4" t="str">
        <f t="shared" si="10"/>
        <v/>
      </c>
      <c r="AO4" t="str">
        <f>IF(AM4&lt;&gt;"",IF(Input!AI4&lt;&gt;"",ROUNDDOWN(Input!AI4,0),0),"")</f>
        <v/>
      </c>
    </row>
    <row r="5" spans="1:41" ht="16.5" thickTop="1" thickBot="1" x14ac:dyDescent="0.4">
      <c r="A5" s="100">
        <f>IF(ISBLANK(Input!A5),1000,IF(Input!E5&gt;0,Input!E5+F5,1000))</f>
        <v>3.004</v>
      </c>
      <c r="B5" s="101">
        <f t="shared" si="0"/>
        <v>4.0030000000000001</v>
      </c>
      <c r="C5" s="4">
        <v>4</v>
      </c>
      <c r="D5" s="29">
        <f>IF(ISBLANK(Input!A5),1000,IF(Input!G5&gt;0,Input!G5+F5,1000))</f>
        <v>3.004</v>
      </c>
      <c r="E5" s="29">
        <f t="shared" si="1"/>
        <v>4.0030000000000001</v>
      </c>
      <c r="F5" s="4">
        <v>4.0000000000000001E-3</v>
      </c>
      <c r="I5" t="str">
        <f>IF(Input!A5&gt;0,Input!A5,"")</f>
        <v>test3</v>
      </c>
      <c r="J5" t="str">
        <f>IF(Input!B5&gt;0,Input!B5,"")</f>
        <v>a3</v>
      </c>
      <c r="K5" t="str">
        <f>IF(Input!C5&gt;0,Input!C5,"")</f>
        <v>b3</v>
      </c>
      <c r="L5" t="str">
        <f>IF(Input!D5&gt;0,Input!D5,"")</f>
        <v>j</v>
      </c>
      <c r="M5">
        <f>IF(Input!E5&gt;0,Input!E5,"")</f>
        <v>3</v>
      </c>
      <c r="N5">
        <f>IF(Input!F5&gt;0,Input!F5,"")</f>
        <v>13</v>
      </c>
      <c r="O5">
        <f>IF(Input!I5&lt;&gt;"",Input!I5,"")</f>
        <v>3</v>
      </c>
      <c r="P5">
        <f t="shared" si="2"/>
        <v>4</v>
      </c>
      <c r="Q5">
        <f>IF(O5&lt;&gt;"",IF(Input!K5&lt;&gt;"",ROUNDDOWN(Input!K5,0),0),"")</f>
        <v>4</v>
      </c>
      <c r="R5">
        <f>IF(Input!L5&lt;&gt;"",Input!L5,"")</f>
        <v>4</v>
      </c>
      <c r="S5">
        <f t="shared" si="3"/>
        <v>3</v>
      </c>
      <c r="T5">
        <f>IF(R5&lt;&gt;"",IF(Input!N5&lt;&gt;"",ROUNDDOWN(Input!N5,0),0),"")</f>
        <v>3</v>
      </c>
      <c r="U5">
        <f>IF(Input!O5&lt;&gt;"",Input!O5,"")</f>
        <v>8</v>
      </c>
      <c r="V5">
        <f t="shared" si="4"/>
        <v>3</v>
      </c>
      <c r="W5">
        <f>IF(U5&lt;&gt;"",IF(Input!Q5&lt;&gt;"",ROUNDDOWN(Input!Q5,0),0),"")</f>
        <v>3</v>
      </c>
      <c r="X5">
        <f>IF(Input!R5&lt;&gt;"",Input!R5,"")</f>
        <v>2</v>
      </c>
      <c r="Y5">
        <f t="shared" si="5"/>
        <v>3</v>
      </c>
      <c r="Z5">
        <f>IF(X5&lt;&gt;"",IF(Input!T5&lt;&gt;"",ROUNDDOWN(Input!T5,0),0),"")</f>
        <v>3</v>
      </c>
      <c r="AA5" t="str">
        <f>IF(Input!U5&lt;&gt;"",Input!U5,"")</f>
        <v/>
      </c>
      <c r="AB5" t="str">
        <f t="shared" si="6"/>
        <v/>
      </c>
      <c r="AC5" t="str">
        <f>IF(AA5&lt;&gt;"",IF(Input!W5&lt;&gt;"",ROUNDDOWN(Input!W5,0),0),"")</f>
        <v/>
      </c>
      <c r="AD5" t="str">
        <f>IF(Input!X5&lt;&gt;"",Input!X5,"")</f>
        <v/>
      </c>
      <c r="AE5" t="str">
        <f t="shared" si="7"/>
        <v/>
      </c>
      <c r="AF5" t="str">
        <f>IF(AD5&lt;&gt;"",IF(Input!Z5&lt;&gt;"",ROUNDDOWN(Input!Z5,0),0),"")</f>
        <v/>
      </c>
      <c r="AG5" t="str">
        <f>IF(Input!AA5&lt;&gt;"",Input!AA5,"")</f>
        <v/>
      </c>
      <c r="AH5" t="str">
        <f t="shared" si="8"/>
        <v/>
      </c>
      <c r="AI5" t="str">
        <f>IF(AG5&lt;&gt;"",IF(Input!AC5&lt;&gt;"",ROUNDDOWN(Input!AC5,0),0),"")</f>
        <v/>
      </c>
      <c r="AJ5" t="str">
        <f>IF(Input!AD5&lt;&gt;"",Input!AD5,"")</f>
        <v/>
      </c>
      <c r="AK5" t="str">
        <f t="shared" si="9"/>
        <v/>
      </c>
      <c r="AL5" t="str">
        <f>IF(AJ5&lt;&gt;"",IF(Input!AF5&lt;&gt;"",ROUNDDOWN(Input!AF5,0),0),"")</f>
        <v/>
      </c>
      <c r="AM5" t="str">
        <f>IF(Input!AG5&lt;&gt;"",Input!AG5,"")</f>
        <v/>
      </c>
      <c r="AN5" t="str">
        <f t="shared" si="10"/>
        <v/>
      </c>
      <c r="AO5" t="str">
        <f>IF(AM5&lt;&gt;"",IF(Input!AI5&lt;&gt;"",ROUNDDOWN(Input!AI5,0),0),"")</f>
        <v/>
      </c>
    </row>
    <row r="6" spans="1:41" ht="16.5" thickTop="1" thickBot="1" x14ac:dyDescent="0.4">
      <c r="A6" s="100">
        <f>IF(ISBLANK(Input!A6),1000,IF(Input!E6&gt;0,Input!E6+F6,1000))</f>
        <v>2.0049999999999999</v>
      </c>
      <c r="B6" s="101">
        <f t="shared" si="0"/>
        <v>5.0019999999999998</v>
      </c>
      <c r="C6" s="4">
        <v>5</v>
      </c>
      <c r="D6" s="29">
        <f>IF(ISBLANK(Input!A6),1000,IF(Input!G6&gt;0,Input!G6+F6,1000))</f>
        <v>1.0049999999999999</v>
      </c>
      <c r="E6" s="29">
        <f t="shared" si="1"/>
        <v>5.0019999999999998</v>
      </c>
      <c r="F6" s="4">
        <v>5.0000000000000001E-3</v>
      </c>
      <c r="I6" t="str">
        <f>IF(Input!A6&gt;0,Input!A6,"")</f>
        <v>test4</v>
      </c>
      <c r="J6" t="str">
        <f>IF(Input!B6&gt;0,Input!B6,"")</f>
        <v>a4</v>
      </c>
      <c r="K6" t="str">
        <f>IF(Input!C6&gt;0,Input!C6,"")</f>
        <v>b4</v>
      </c>
      <c r="L6" t="str">
        <f>IF(Input!D6&gt;0,Input!D6,"")</f>
        <v>j</v>
      </c>
      <c r="M6">
        <f>IF(Input!E6&gt;0,Input!E6,"")</f>
        <v>2</v>
      </c>
      <c r="N6">
        <f>IF(Input!F6&gt;0,Input!F6,"")</f>
        <v>11</v>
      </c>
      <c r="O6">
        <f>IF(Input!I6&lt;&gt;"",Input!I6,"")</f>
        <v>2</v>
      </c>
      <c r="P6">
        <f t="shared" si="2"/>
        <v>5</v>
      </c>
      <c r="Q6">
        <f>IF(O6&lt;&gt;"",IF(Input!K6&lt;&gt;"",ROUNDDOWN(Input!K6,0),0),"")</f>
        <v>5</v>
      </c>
      <c r="R6">
        <f>IF(Input!L6&lt;&gt;"",Input!L6,"")</f>
        <v>5</v>
      </c>
      <c r="S6">
        <f t="shared" si="3"/>
        <v>2</v>
      </c>
      <c r="T6">
        <f>IF(R6&lt;&gt;"",IF(Input!N6&lt;&gt;"",ROUNDDOWN(Input!N6,0),0),"")</f>
        <v>2</v>
      </c>
      <c r="U6">
        <f>IF(Input!O6&lt;&gt;"",Input!O6,"")</f>
        <v>9</v>
      </c>
      <c r="V6">
        <f t="shared" si="4"/>
        <v>2</v>
      </c>
      <c r="W6">
        <f>IF(U6&lt;&gt;"",IF(Input!Q6&lt;&gt;"",ROUNDDOWN(Input!Q6,0),0),"")</f>
        <v>2</v>
      </c>
      <c r="X6">
        <f>IF(Input!R6&lt;&gt;"",Input!R6,"")</f>
        <v>4</v>
      </c>
      <c r="Y6">
        <f t="shared" si="5"/>
        <v>2</v>
      </c>
      <c r="Z6">
        <f>IF(X6&lt;&gt;"",IF(Input!T6&lt;&gt;"",ROUNDDOWN(Input!T6,0),0),"")</f>
        <v>2</v>
      </c>
      <c r="AA6" t="str">
        <f>IF(Input!U6&lt;&gt;"",Input!U6,"")</f>
        <v/>
      </c>
      <c r="AB6" t="str">
        <f t="shared" si="6"/>
        <v/>
      </c>
      <c r="AC6" t="str">
        <f>IF(AA6&lt;&gt;"",IF(Input!W6&lt;&gt;"",ROUNDDOWN(Input!W6,0),0),"")</f>
        <v/>
      </c>
      <c r="AD6" t="str">
        <f>IF(Input!X6&lt;&gt;"",Input!X6,"")</f>
        <v/>
      </c>
      <c r="AE6" t="str">
        <f t="shared" si="7"/>
        <v/>
      </c>
      <c r="AF6" t="str">
        <f>IF(AD6&lt;&gt;"",IF(Input!Z6&lt;&gt;"",ROUNDDOWN(Input!Z6,0),0),"")</f>
        <v/>
      </c>
      <c r="AG6" t="str">
        <f>IF(Input!AA6&lt;&gt;"",Input!AA6,"")</f>
        <v/>
      </c>
      <c r="AH6" t="str">
        <f t="shared" si="8"/>
        <v/>
      </c>
      <c r="AI6" t="str">
        <f>IF(AG6&lt;&gt;"",IF(Input!AC6&lt;&gt;"",ROUNDDOWN(Input!AC6,0),0),"")</f>
        <v/>
      </c>
      <c r="AJ6" t="str">
        <f>IF(Input!AD6&lt;&gt;"",Input!AD6,"")</f>
        <v/>
      </c>
      <c r="AK6" t="str">
        <f t="shared" si="9"/>
        <v/>
      </c>
      <c r="AL6" t="str">
        <f>IF(AJ6&lt;&gt;"",IF(Input!AF6&lt;&gt;"",ROUNDDOWN(Input!AF6,0),0),"")</f>
        <v/>
      </c>
      <c r="AM6" t="str">
        <f>IF(Input!AG6&lt;&gt;"",Input!AG6,"")</f>
        <v/>
      </c>
      <c r="AN6" t="str">
        <f t="shared" si="10"/>
        <v/>
      </c>
      <c r="AO6" t="str">
        <f>IF(AM6&lt;&gt;"",IF(Input!AI6&lt;&gt;"",ROUNDDOWN(Input!AI6,0),0),"")</f>
        <v/>
      </c>
    </row>
    <row r="7" spans="1:41" ht="16.5" thickTop="1" thickBot="1" x14ac:dyDescent="0.4">
      <c r="A7" s="100">
        <f>IF(ISBLANK(Input!A7),1000,IF(Input!E7&gt;0,Input!E7+F7,1000))</f>
        <v>1.006</v>
      </c>
      <c r="B7" s="101">
        <f t="shared" si="0"/>
        <v>6.0010000000000003</v>
      </c>
      <c r="C7" s="4">
        <v>6</v>
      </c>
      <c r="D7" s="29">
        <f>IF(ISBLANK(Input!A7),1000,IF(Input!G7&gt;0,Input!G7+F7,1000))</f>
        <v>2.0059999999999998</v>
      </c>
      <c r="E7" s="29">
        <f t="shared" si="1"/>
        <v>6.0010000000000003</v>
      </c>
      <c r="F7" s="4">
        <v>6.0000000000000001E-3</v>
      </c>
      <c r="I7" t="str">
        <f>IF(Input!A7&gt;0,Input!A7,"")</f>
        <v>test5</v>
      </c>
      <c r="J7" t="str">
        <f>IF(Input!B7&gt;0,Input!B7,"")</f>
        <v>a5</v>
      </c>
      <c r="K7" t="str">
        <f>IF(Input!C7&gt;0,Input!C7,"")</f>
        <v>b5</v>
      </c>
      <c r="L7" t="str">
        <f>IF(Input!D7&gt;0,Input!D7,"")</f>
        <v>j</v>
      </c>
      <c r="M7">
        <f>IF(Input!E7&gt;0,Input!E7,"")</f>
        <v>1</v>
      </c>
      <c r="N7">
        <f>IF(Input!F7&gt;0,Input!F7,"")</f>
        <v>9</v>
      </c>
      <c r="O7">
        <f>IF(Input!I7&lt;&gt;"",Input!I7,"")</f>
        <v>1</v>
      </c>
      <c r="P7">
        <f t="shared" si="2"/>
        <v>6</v>
      </c>
      <c r="Q7">
        <f>IF(O7&lt;&gt;"",IF(Input!K7&lt;&gt;"",ROUNDDOWN(Input!K7,0),0),"")</f>
        <v>6</v>
      </c>
      <c r="R7">
        <f>IF(Input!L7&lt;&gt;"",Input!L7,"")</f>
        <v>6</v>
      </c>
      <c r="S7">
        <f t="shared" si="3"/>
        <v>1</v>
      </c>
      <c r="T7">
        <f>IF(R7&lt;&gt;"",IF(Input!N7&lt;&gt;"",ROUNDDOWN(Input!N7,0),0),"")</f>
        <v>1</v>
      </c>
      <c r="U7">
        <f>IF(Input!O7&lt;&gt;"",Input!O7,"")</f>
        <v>10</v>
      </c>
      <c r="V7">
        <f t="shared" si="4"/>
        <v>1</v>
      </c>
      <c r="W7">
        <f>IF(U7&lt;&gt;"",IF(Input!Q7&lt;&gt;"",ROUNDDOWN(Input!Q7,0),0),"")</f>
        <v>1</v>
      </c>
      <c r="X7">
        <f>IF(Input!R7&lt;&gt;"",Input!R7,"")</f>
        <v>74</v>
      </c>
      <c r="Y7">
        <f t="shared" si="5"/>
        <v>1</v>
      </c>
      <c r="Z7">
        <f>IF(X7&lt;&gt;"",IF(Input!T7&lt;&gt;"",ROUNDDOWN(Input!T7,0),0),"")</f>
        <v>1</v>
      </c>
      <c r="AA7" t="str">
        <f>IF(Input!U7&lt;&gt;"",Input!U7,"")</f>
        <v/>
      </c>
      <c r="AB7" t="str">
        <f t="shared" si="6"/>
        <v/>
      </c>
      <c r="AC7" t="str">
        <f>IF(AA7&lt;&gt;"",IF(Input!W7&lt;&gt;"",ROUNDDOWN(Input!W7,0),0),"")</f>
        <v/>
      </c>
      <c r="AD7" t="str">
        <f>IF(Input!X7&lt;&gt;"",Input!X7,"")</f>
        <v/>
      </c>
      <c r="AE7" t="str">
        <f t="shared" si="7"/>
        <v/>
      </c>
      <c r="AF7" t="str">
        <f>IF(AD7&lt;&gt;"",IF(Input!Z7&lt;&gt;"",ROUNDDOWN(Input!Z7,0),0),"")</f>
        <v/>
      </c>
      <c r="AG7" t="str">
        <f>IF(Input!AA7&lt;&gt;"",Input!AA7,"")</f>
        <v/>
      </c>
      <c r="AH7" t="str">
        <f t="shared" si="8"/>
        <v/>
      </c>
      <c r="AI7" t="str">
        <f>IF(AG7&lt;&gt;"",IF(Input!AC7&lt;&gt;"",ROUNDDOWN(Input!AC7,0),0),"")</f>
        <v/>
      </c>
      <c r="AJ7" t="str">
        <f>IF(Input!AD7&lt;&gt;"",Input!AD7,"")</f>
        <v/>
      </c>
      <c r="AK7" t="str">
        <f t="shared" si="9"/>
        <v/>
      </c>
      <c r="AL7" t="str">
        <f>IF(AJ7&lt;&gt;"",IF(Input!AF7&lt;&gt;"",ROUNDDOWN(Input!AF7,0),0),"")</f>
        <v/>
      </c>
      <c r="AM7" t="str">
        <f>IF(Input!AG7&lt;&gt;"",Input!AG7,"")</f>
        <v/>
      </c>
      <c r="AN7" t="str">
        <f t="shared" si="10"/>
        <v/>
      </c>
      <c r="AO7" t="str">
        <f>IF(AM7&lt;&gt;"",IF(Input!AI7&lt;&gt;"",ROUNDDOWN(Input!AI7,0),0),"")</f>
        <v/>
      </c>
    </row>
    <row r="8" spans="1:41" ht="16.5" thickTop="1" thickBot="1" x14ac:dyDescent="0.4">
      <c r="A8" s="100">
        <f>IF(ISBLANK(Input!A8),1000,IF(Input!E8&gt;0,Input!E8+F8,1000))</f>
        <v>1000</v>
      </c>
      <c r="B8" s="101">
        <f t="shared" si="0"/>
        <v>1000</v>
      </c>
      <c r="C8" s="4">
        <v>7</v>
      </c>
      <c r="D8" s="29">
        <f>IF(ISBLANK(Input!A8),1000,IF(Input!G8&gt;0,Input!G8+F8,1000))</f>
        <v>1000</v>
      </c>
      <c r="E8" s="29">
        <f t="shared" si="1"/>
        <v>1000</v>
      </c>
      <c r="F8" s="4">
        <v>7.0000000000000001E-3</v>
      </c>
      <c r="I8" t="str">
        <f>IF(Input!A8&gt;0,Input!A8,"")</f>
        <v/>
      </c>
      <c r="J8" t="str">
        <f>IF(Input!B8&gt;0,Input!B8,"")</f>
        <v/>
      </c>
      <c r="K8" t="str">
        <f>IF(Input!C8&gt;0,Input!C8,"")</f>
        <v/>
      </c>
      <c r="L8" t="str">
        <f>IF(Input!D8&gt;0,Input!D8,"")</f>
        <v/>
      </c>
      <c r="M8" t="str">
        <f>IF(Input!E8&gt;0,Input!E8,"")</f>
        <v xml:space="preserve"> </v>
      </c>
      <c r="N8" t="str">
        <f>IF(Input!F8&gt;0,Input!F8,"")</f>
        <v xml:space="preserve"> </v>
      </c>
      <c r="O8" t="str">
        <f>IF(Input!I8&lt;&gt;"",Input!I8,"")</f>
        <v/>
      </c>
      <c r="P8" t="str">
        <f t="shared" si="2"/>
        <v/>
      </c>
      <c r="Q8" t="str">
        <f>IF(O8&lt;&gt;"",IF(Input!K8&lt;&gt;"",ROUNDDOWN(Input!K8,0),0),"")</f>
        <v/>
      </c>
      <c r="R8" t="str">
        <f>IF(Input!L8&lt;&gt;"",Input!L8,"")</f>
        <v/>
      </c>
      <c r="S8" t="str">
        <f t="shared" si="3"/>
        <v/>
      </c>
      <c r="T8" t="str">
        <f>IF(R8&lt;&gt;"",IF(Input!N8&lt;&gt;"",ROUNDDOWN(Input!N8,0),0),"")</f>
        <v/>
      </c>
      <c r="U8" t="str">
        <f>IF(Input!O8&lt;&gt;"",Input!O8,"")</f>
        <v/>
      </c>
      <c r="V8" t="str">
        <f t="shared" si="4"/>
        <v/>
      </c>
      <c r="W8" t="str">
        <f>IF(U8&lt;&gt;"",IF(Input!Q8&lt;&gt;"",ROUNDDOWN(Input!Q8,0),0),"")</f>
        <v/>
      </c>
      <c r="X8" t="str">
        <f>IF(Input!R8&lt;&gt;"",Input!R8,"")</f>
        <v/>
      </c>
      <c r="Y8" t="str">
        <f t="shared" si="5"/>
        <v/>
      </c>
      <c r="Z8" t="str">
        <f>IF(X8&lt;&gt;"",IF(Input!T8&lt;&gt;"",ROUNDDOWN(Input!T8,0),0),"")</f>
        <v/>
      </c>
      <c r="AA8" t="str">
        <f>IF(Input!U8&lt;&gt;"",Input!U8,"")</f>
        <v/>
      </c>
      <c r="AB8" t="str">
        <f t="shared" si="6"/>
        <v/>
      </c>
      <c r="AC8" t="str">
        <f>IF(AA8&lt;&gt;"",IF(Input!W8&lt;&gt;"",ROUNDDOWN(Input!W8,0),0),"")</f>
        <v/>
      </c>
      <c r="AD8" t="str">
        <f>IF(Input!X8&lt;&gt;"",Input!X8,"")</f>
        <v/>
      </c>
      <c r="AE8" t="str">
        <f t="shared" si="7"/>
        <v/>
      </c>
      <c r="AF8" t="str">
        <f>IF(AD8&lt;&gt;"",IF(Input!Z8&lt;&gt;"",ROUNDDOWN(Input!Z8,0),0),"")</f>
        <v/>
      </c>
      <c r="AG8" t="str">
        <f>IF(Input!AA8&lt;&gt;"",Input!AA8,"")</f>
        <v/>
      </c>
      <c r="AH8" t="str">
        <f t="shared" si="8"/>
        <v/>
      </c>
      <c r="AI8" t="str">
        <f>IF(AG8&lt;&gt;"",IF(Input!AC8&lt;&gt;"",ROUNDDOWN(Input!AC8,0),0),"")</f>
        <v/>
      </c>
      <c r="AJ8" t="str">
        <f>IF(Input!AD8&lt;&gt;"",Input!AD8,"")</f>
        <v/>
      </c>
      <c r="AK8" t="str">
        <f t="shared" si="9"/>
        <v/>
      </c>
      <c r="AL8" t="str">
        <f>IF(AJ8&lt;&gt;"",IF(Input!AF8&lt;&gt;"",ROUNDDOWN(Input!AF8,0),0),"")</f>
        <v/>
      </c>
      <c r="AM8" t="str">
        <f>IF(Input!AG8&lt;&gt;"",Input!AG8,"")</f>
        <v/>
      </c>
      <c r="AN8" t="str">
        <f t="shared" si="10"/>
        <v/>
      </c>
      <c r="AO8" t="str">
        <f>IF(AM8&lt;&gt;"",IF(Input!AI8&lt;&gt;"",ROUNDDOWN(Input!AI8,0),0),"")</f>
        <v/>
      </c>
    </row>
    <row r="9" spans="1:41" ht="16.5" thickTop="1" thickBot="1" x14ac:dyDescent="0.4">
      <c r="A9" s="100">
        <f>IF(ISBLANK(Input!A9),1000,IF(Input!E9&gt;0,Input!E9+F9,1000))</f>
        <v>1000</v>
      </c>
      <c r="B9" s="101">
        <f t="shared" si="0"/>
        <v>1000</v>
      </c>
      <c r="C9" s="4">
        <v>8</v>
      </c>
      <c r="D9" s="29">
        <f>IF(ISBLANK(Input!A9),1000,IF(Input!G9&gt;0,Input!G9+F9,1000))</f>
        <v>1000</v>
      </c>
      <c r="E9" s="29">
        <f t="shared" si="1"/>
        <v>1000</v>
      </c>
      <c r="F9" s="4">
        <v>8.0000000000000002E-3</v>
      </c>
      <c r="I9" t="str">
        <f>IF(Input!A9&gt;0,Input!A9,"")</f>
        <v/>
      </c>
      <c r="J9" t="str">
        <f>IF(Input!B9&gt;0,Input!B9,"")</f>
        <v/>
      </c>
      <c r="K9" t="str">
        <f>IF(Input!C9&gt;0,Input!C9,"")</f>
        <v/>
      </c>
      <c r="L9" t="str">
        <f>IF(Input!D9&gt;0,Input!D9,"")</f>
        <v/>
      </c>
      <c r="M9" t="str">
        <f>IF(Input!E9&gt;0,Input!E9,"")</f>
        <v xml:space="preserve"> </v>
      </c>
      <c r="N9" t="str">
        <f>IF(Input!F9&gt;0,Input!F9,"")</f>
        <v xml:space="preserve"> </v>
      </c>
      <c r="O9" t="str">
        <f>IF(Input!I9&lt;&gt;"",Input!I9,"")</f>
        <v/>
      </c>
      <c r="P9" t="str">
        <f t="shared" si="2"/>
        <v/>
      </c>
      <c r="Q9" t="str">
        <f>IF(O9&lt;&gt;"",IF(Input!K9&lt;&gt;"",ROUNDDOWN(Input!K9,0),0),"")</f>
        <v/>
      </c>
      <c r="R9" t="str">
        <f>IF(Input!L9&lt;&gt;"",Input!L9,"")</f>
        <v/>
      </c>
      <c r="S9" t="str">
        <f t="shared" si="3"/>
        <v/>
      </c>
      <c r="T9" t="str">
        <f>IF(R9&lt;&gt;"",IF(Input!N9&lt;&gt;"",ROUNDDOWN(Input!N9,0),0),"")</f>
        <v/>
      </c>
      <c r="U9" t="str">
        <f>IF(Input!O9&lt;&gt;"",Input!O9,"")</f>
        <v/>
      </c>
      <c r="V9" t="str">
        <f t="shared" si="4"/>
        <v/>
      </c>
      <c r="W9" t="str">
        <f>IF(U9&lt;&gt;"",IF(Input!Q9&lt;&gt;"",ROUNDDOWN(Input!Q9,0),0),"")</f>
        <v/>
      </c>
      <c r="X9" t="str">
        <f>IF(Input!R9&lt;&gt;"",Input!R9,"")</f>
        <v/>
      </c>
      <c r="Y9" t="str">
        <f t="shared" si="5"/>
        <v/>
      </c>
      <c r="Z9" t="str">
        <f>IF(X9&lt;&gt;"",IF(Input!T9&lt;&gt;"",ROUNDDOWN(Input!T9,0),0),"")</f>
        <v/>
      </c>
      <c r="AA9" t="str">
        <f>IF(Input!U9&lt;&gt;"",Input!U9,"")</f>
        <v/>
      </c>
      <c r="AB9" t="str">
        <f t="shared" si="6"/>
        <v/>
      </c>
      <c r="AC9" t="str">
        <f>IF(AA9&lt;&gt;"",IF(Input!W9&lt;&gt;"",ROUNDDOWN(Input!W9,0),0),"")</f>
        <v/>
      </c>
      <c r="AD9" t="str">
        <f>IF(Input!X9&lt;&gt;"",Input!X9,"")</f>
        <v/>
      </c>
      <c r="AE9" t="str">
        <f t="shared" si="7"/>
        <v/>
      </c>
      <c r="AF9" t="str">
        <f>IF(AD9&lt;&gt;"",IF(Input!Z9&lt;&gt;"",ROUNDDOWN(Input!Z9,0),0),"")</f>
        <v/>
      </c>
      <c r="AG9" t="str">
        <f>IF(Input!AA9&lt;&gt;"",Input!AA9,"")</f>
        <v/>
      </c>
      <c r="AH9" t="str">
        <f t="shared" si="8"/>
        <v/>
      </c>
      <c r="AI9" t="str">
        <f>IF(AG9&lt;&gt;"",IF(Input!AC9&lt;&gt;"",ROUNDDOWN(Input!AC9,0),0),"")</f>
        <v/>
      </c>
      <c r="AJ9" t="str">
        <f>IF(Input!AD9&lt;&gt;"",Input!AD9,"")</f>
        <v/>
      </c>
      <c r="AK9" t="str">
        <f t="shared" si="9"/>
        <v/>
      </c>
      <c r="AL9" t="str">
        <f>IF(AJ9&lt;&gt;"",IF(Input!AF9&lt;&gt;"",ROUNDDOWN(Input!AF9,0),0),"")</f>
        <v/>
      </c>
      <c r="AM9" t="str">
        <f>IF(Input!AG9&lt;&gt;"",Input!AG9,"")</f>
        <v/>
      </c>
      <c r="AN9" t="str">
        <f t="shared" si="10"/>
        <v/>
      </c>
      <c r="AO9" t="str">
        <f>IF(AM9&lt;&gt;"",IF(Input!AI9&lt;&gt;"",ROUNDDOWN(Input!AI9,0),0),"")</f>
        <v/>
      </c>
    </row>
    <row r="10" spans="1:41" ht="16.5" thickTop="1" thickBot="1" x14ac:dyDescent="0.4">
      <c r="A10" s="100">
        <f>IF(ISBLANK(Input!A10),1000,IF(Input!E10&gt;0,Input!E10+F10,1000))</f>
        <v>1000</v>
      </c>
      <c r="B10" s="101">
        <f t="shared" si="0"/>
        <v>1000</v>
      </c>
      <c r="C10" s="4">
        <v>9</v>
      </c>
      <c r="D10" s="29">
        <f>IF(ISBLANK(Input!A10),1000,IF(Input!G10&gt;0,Input!G10+F10,1000))</f>
        <v>1000</v>
      </c>
      <c r="E10" s="29">
        <f t="shared" si="1"/>
        <v>1000</v>
      </c>
      <c r="F10" s="4">
        <v>8.9999999999999993E-3</v>
      </c>
      <c r="I10" t="str">
        <f>IF(Input!A10&gt;0,Input!A10,"")</f>
        <v/>
      </c>
      <c r="J10" t="str">
        <f>IF(Input!B10&gt;0,Input!B10,"")</f>
        <v/>
      </c>
      <c r="K10" t="str">
        <f>IF(Input!C10&gt;0,Input!C10,"")</f>
        <v/>
      </c>
      <c r="L10" t="str">
        <f>IF(Input!D10&gt;0,Input!D10,"")</f>
        <v/>
      </c>
      <c r="M10" t="str">
        <f>IF(Input!E10&gt;0,Input!E10,"")</f>
        <v xml:space="preserve"> </v>
      </c>
      <c r="N10" t="str">
        <f>IF(Input!F10&gt;0,Input!F10,"")</f>
        <v xml:space="preserve"> </v>
      </c>
      <c r="O10" t="str">
        <f>IF(Input!I10&lt;&gt;"",Input!I10,"")</f>
        <v/>
      </c>
      <c r="P10" t="str">
        <f t="shared" si="2"/>
        <v/>
      </c>
      <c r="Q10" t="str">
        <f>IF(O10&lt;&gt;"",IF(Input!K10&lt;&gt;"",ROUNDDOWN(Input!K10,0),0),"")</f>
        <v/>
      </c>
      <c r="R10" t="str">
        <f>IF(Input!L10&lt;&gt;"",Input!L10,"")</f>
        <v/>
      </c>
      <c r="S10" t="str">
        <f t="shared" si="3"/>
        <v/>
      </c>
      <c r="T10" t="str">
        <f>IF(R10&lt;&gt;"",IF(Input!N10&lt;&gt;"",ROUNDDOWN(Input!N10,0),0),"")</f>
        <v/>
      </c>
      <c r="U10" t="str">
        <f>IF(Input!O10&lt;&gt;"",Input!O10,"")</f>
        <v/>
      </c>
      <c r="V10" t="str">
        <f t="shared" si="4"/>
        <v/>
      </c>
      <c r="W10" t="str">
        <f>IF(U10&lt;&gt;"",IF(Input!Q10&lt;&gt;"",ROUNDDOWN(Input!Q10,0),0),"")</f>
        <v/>
      </c>
      <c r="X10" t="str">
        <f>IF(Input!R10&lt;&gt;"",Input!R10,"")</f>
        <v/>
      </c>
      <c r="Y10" t="str">
        <f t="shared" si="5"/>
        <v/>
      </c>
      <c r="Z10" t="str">
        <f>IF(X10&lt;&gt;"",IF(Input!T10&lt;&gt;"",ROUNDDOWN(Input!T10,0),0),"")</f>
        <v/>
      </c>
      <c r="AA10" t="str">
        <f>IF(Input!U10&lt;&gt;"",Input!U10,"")</f>
        <v/>
      </c>
      <c r="AB10" t="str">
        <f t="shared" si="6"/>
        <v/>
      </c>
      <c r="AC10" t="str">
        <f>IF(AA10&lt;&gt;"",IF(Input!W10&lt;&gt;"",ROUNDDOWN(Input!W10,0),0),"")</f>
        <v/>
      </c>
      <c r="AD10" t="str">
        <f>IF(Input!X10&lt;&gt;"",Input!X10,"")</f>
        <v/>
      </c>
      <c r="AE10" t="str">
        <f t="shared" si="7"/>
        <v/>
      </c>
      <c r="AF10" t="str">
        <f>IF(AD10&lt;&gt;"",IF(Input!Z10&lt;&gt;"",ROUNDDOWN(Input!Z10,0),0),"")</f>
        <v/>
      </c>
      <c r="AG10" t="str">
        <f>IF(Input!AA10&lt;&gt;"",Input!AA10,"")</f>
        <v/>
      </c>
      <c r="AH10" t="str">
        <f t="shared" si="8"/>
        <v/>
      </c>
      <c r="AI10" t="str">
        <f>IF(AG10&lt;&gt;"",IF(Input!AC10&lt;&gt;"",ROUNDDOWN(Input!AC10,0),0),"")</f>
        <v/>
      </c>
      <c r="AJ10" t="str">
        <f>IF(Input!AD10&lt;&gt;"",Input!AD10,"")</f>
        <v/>
      </c>
      <c r="AK10" t="str">
        <f t="shared" si="9"/>
        <v/>
      </c>
      <c r="AL10" t="str">
        <f>IF(AJ10&lt;&gt;"",IF(Input!AF10&lt;&gt;"",ROUNDDOWN(Input!AF10,0),0),"")</f>
        <v/>
      </c>
      <c r="AM10" t="str">
        <f>IF(Input!AG10&lt;&gt;"",Input!AG10,"")</f>
        <v/>
      </c>
      <c r="AN10" t="str">
        <f t="shared" si="10"/>
        <v/>
      </c>
      <c r="AO10" t="str">
        <f>IF(AM10&lt;&gt;"",IF(Input!AI10&lt;&gt;"",ROUNDDOWN(Input!AI10,0),0),"")</f>
        <v/>
      </c>
    </row>
    <row r="11" spans="1:41" ht="16.5" thickTop="1" thickBot="1" x14ac:dyDescent="0.4">
      <c r="A11" s="100">
        <f>IF(ISBLANK(Input!A11),1000,IF(Input!E11&gt;0,Input!E11+F11,1000))</f>
        <v>1000</v>
      </c>
      <c r="B11" s="101">
        <f t="shared" si="0"/>
        <v>1000</v>
      </c>
      <c r="C11" s="4">
        <v>10</v>
      </c>
      <c r="D11" s="29">
        <f>IF(ISBLANK(Input!A11),1000,IF(Input!G11&gt;0,Input!G11+F11,1000))</f>
        <v>1000</v>
      </c>
      <c r="E11" s="29">
        <f t="shared" si="1"/>
        <v>1000</v>
      </c>
      <c r="F11" s="4">
        <v>0.01</v>
      </c>
      <c r="I11" t="str">
        <f>IF(Input!A11&gt;0,Input!A11,"")</f>
        <v/>
      </c>
      <c r="J11" t="str">
        <f>IF(Input!B11&gt;0,Input!B11,"")</f>
        <v/>
      </c>
      <c r="K11" t="str">
        <f>IF(Input!C11&gt;0,Input!C11,"")</f>
        <v/>
      </c>
      <c r="L11" t="str">
        <f>IF(Input!D11&gt;0,Input!D11,"")</f>
        <v/>
      </c>
      <c r="M11" t="str">
        <f>IF(Input!E11&gt;0,Input!E11,"")</f>
        <v xml:space="preserve"> </v>
      </c>
      <c r="N11" t="str">
        <f>IF(Input!F11&gt;0,Input!F11,"")</f>
        <v xml:space="preserve"> </v>
      </c>
      <c r="O11" t="str">
        <f>IF(Input!I11&lt;&gt;"",Input!I11,"")</f>
        <v/>
      </c>
      <c r="P11" t="str">
        <f t="shared" si="2"/>
        <v/>
      </c>
      <c r="Q11" t="str">
        <f>IF(O11&lt;&gt;"",IF(Input!K11&lt;&gt;"",ROUNDDOWN(Input!K11,0),0),"")</f>
        <v/>
      </c>
      <c r="R11" t="str">
        <f>IF(Input!L11&lt;&gt;"",Input!L11,"")</f>
        <v/>
      </c>
      <c r="S11" t="str">
        <f t="shared" si="3"/>
        <v/>
      </c>
      <c r="T11" t="str">
        <f>IF(R11&lt;&gt;"",IF(Input!N11&lt;&gt;"",ROUNDDOWN(Input!N11,0),0),"")</f>
        <v/>
      </c>
      <c r="U11" t="str">
        <f>IF(Input!O11&lt;&gt;"",Input!O11,"")</f>
        <v/>
      </c>
      <c r="V11" t="str">
        <f t="shared" si="4"/>
        <v/>
      </c>
      <c r="W11" t="str">
        <f>IF(U11&lt;&gt;"",IF(Input!Q11&lt;&gt;"",ROUNDDOWN(Input!Q11,0),0),"")</f>
        <v/>
      </c>
      <c r="X11" t="str">
        <f>IF(Input!R11&lt;&gt;"",Input!R11,"")</f>
        <v/>
      </c>
      <c r="Y11" t="str">
        <f t="shared" si="5"/>
        <v/>
      </c>
      <c r="Z11" t="str">
        <f>IF(X11&lt;&gt;"",IF(Input!T11&lt;&gt;"",ROUNDDOWN(Input!T11,0),0),"")</f>
        <v/>
      </c>
      <c r="AA11" t="str">
        <f>IF(Input!U11&lt;&gt;"",Input!U11,"")</f>
        <v/>
      </c>
      <c r="AB11" t="str">
        <f t="shared" si="6"/>
        <v/>
      </c>
      <c r="AC11" t="str">
        <f>IF(AA11&lt;&gt;"",IF(Input!W11&lt;&gt;"",ROUNDDOWN(Input!W11,0),0),"")</f>
        <v/>
      </c>
      <c r="AD11" t="str">
        <f>IF(Input!X11&lt;&gt;"",Input!X11,"")</f>
        <v/>
      </c>
      <c r="AE11" t="str">
        <f t="shared" si="7"/>
        <v/>
      </c>
      <c r="AF11" t="str">
        <f>IF(AD11&lt;&gt;"",IF(Input!Z11&lt;&gt;"",ROUNDDOWN(Input!Z11,0),0),"")</f>
        <v/>
      </c>
      <c r="AG11" t="str">
        <f>IF(Input!AA11&lt;&gt;"",Input!AA11,"")</f>
        <v/>
      </c>
      <c r="AH11" t="str">
        <f t="shared" si="8"/>
        <v/>
      </c>
      <c r="AI11" t="str">
        <f>IF(AG11&lt;&gt;"",IF(Input!AC11&lt;&gt;"",ROUNDDOWN(Input!AC11,0),0),"")</f>
        <v/>
      </c>
      <c r="AJ11" t="str">
        <f>IF(Input!AD11&lt;&gt;"",Input!AD11,"")</f>
        <v/>
      </c>
      <c r="AK11" t="str">
        <f t="shared" si="9"/>
        <v/>
      </c>
      <c r="AL11" t="str">
        <f>IF(AJ11&lt;&gt;"",IF(Input!AF11&lt;&gt;"",ROUNDDOWN(Input!AF11,0),0),"")</f>
        <v/>
      </c>
      <c r="AM11" t="str">
        <f>IF(Input!AG11&lt;&gt;"",Input!AG11,"")</f>
        <v/>
      </c>
      <c r="AN11" t="str">
        <f t="shared" si="10"/>
        <v/>
      </c>
      <c r="AO11" t="str">
        <f>IF(AM11&lt;&gt;"",IF(Input!AI11&lt;&gt;"",ROUNDDOWN(Input!AI11,0),0),"")</f>
        <v/>
      </c>
    </row>
    <row r="12" spans="1:41" ht="16.5" thickTop="1" thickBot="1" x14ac:dyDescent="0.4">
      <c r="A12" s="100">
        <f>IF(ISBLANK(Input!A12),1000,IF(Input!E12&gt;0,Input!E12+F12,1000))</f>
        <v>1000</v>
      </c>
      <c r="B12" s="101">
        <f t="shared" si="0"/>
        <v>1000</v>
      </c>
      <c r="C12" s="4">
        <v>11</v>
      </c>
      <c r="D12" s="29">
        <f>IF(ISBLANK(Input!A12),1000,IF(Input!G12&gt;0,Input!G12+F12,1000))</f>
        <v>1000</v>
      </c>
      <c r="E12" s="29">
        <f t="shared" si="1"/>
        <v>1000</v>
      </c>
      <c r="F12" s="4">
        <v>1.0999999999999999E-2</v>
      </c>
      <c r="I12" t="str">
        <f>IF(Input!A12&gt;0,Input!A12,"")</f>
        <v/>
      </c>
      <c r="J12" t="str">
        <f>IF(Input!B12&gt;0,Input!B12,"")</f>
        <v/>
      </c>
      <c r="K12" t="str">
        <f>IF(Input!C12&gt;0,Input!C12,"")</f>
        <v/>
      </c>
      <c r="L12" t="str">
        <f>IF(Input!D12&gt;0,Input!D12,"")</f>
        <v/>
      </c>
      <c r="M12" t="str">
        <f>IF(Input!E12&gt;0,Input!E12,"")</f>
        <v xml:space="preserve"> </v>
      </c>
      <c r="N12" t="str">
        <f>IF(Input!F12&gt;0,Input!F12,"")</f>
        <v xml:space="preserve"> </v>
      </c>
      <c r="O12" t="str">
        <f>IF(Input!I12&lt;&gt;"",Input!I12,"")</f>
        <v/>
      </c>
      <c r="P12" t="str">
        <f t="shared" si="2"/>
        <v/>
      </c>
      <c r="Q12" t="str">
        <f>IF(O12&lt;&gt;"",IF(Input!K12&lt;&gt;"",ROUNDDOWN(Input!K12,0),0),"")</f>
        <v/>
      </c>
      <c r="R12" t="str">
        <f>IF(Input!L12&lt;&gt;"",Input!L12,"")</f>
        <v/>
      </c>
      <c r="S12" t="str">
        <f t="shared" si="3"/>
        <v/>
      </c>
      <c r="T12" t="str">
        <f>IF(R12&lt;&gt;"",IF(Input!N12&lt;&gt;"",ROUNDDOWN(Input!N12,0),0),"")</f>
        <v/>
      </c>
      <c r="U12" t="str">
        <f>IF(Input!O12&lt;&gt;"",Input!O12,"")</f>
        <v/>
      </c>
      <c r="V12" t="str">
        <f t="shared" si="4"/>
        <v/>
      </c>
      <c r="W12" t="str">
        <f>IF(U12&lt;&gt;"",IF(Input!Q12&lt;&gt;"",ROUNDDOWN(Input!Q12,0),0),"")</f>
        <v/>
      </c>
      <c r="X12" t="str">
        <f>IF(Input!R12&lt;&gt;"",Input!R12,"")</f>
        <v/>
      </c>
      <c r="Y12" t="str">
        <f t="shared" si="5"/>
        <v/>
      </c>
      <c r="Z12" t="str">
        <f>IF(X12&lt;&gt;"",IF(Input!T12&lt;&gt;"",ROUNDDOWN(Input!T12,0),0),"")</f>
        <v/>
      </c>
      <c r="AA12" t="str">
        <f>IF(Input!U12&lt;&gt;"",Input!U12,"")</f>
        <v/>
      </c>
      <c r="AB12" t="str">
        <f t="shared" si="6"/>
        <v/>
      </c>
      <c r="AC12" t="str">
        <f>IF(AA12&lt;&gt;"",IF(Input!W12&lt;&gt;"",ROUNDDOWN(Input!W12,0),0),"")</f>
        <v/>
      </c>
      <c r="AD12" t="str">
        <f>IF(Input!X12&lt;&gt;"",Input!X12,"")</f>
        <v/>
      </c>
      <c r="AE12" t="str">
        <f t="shared" si="7"/>
        <v/>
      </c>
      <c r="AF12" t="str">
        <f>IF(AD12&lt;&gt;"",IF(Input!Z12&lt;&gt;"",ROUNDDOWN(Input!Z12,0),0),"")</f>
        <v/>
      </c>
      <c r="AG12" t="str">
        <f>IF(Input!AA12&lt;&gt;"",Input!AA12,"")</f>
        <v/>
      </c>
      <c r="AH12" t="str">
        <f t="shared" si="8"/>
        <v/>
      </c>
      <c r="AI12" t="str">
        <f>IF(AG12&lt;&gt;"",IF(Input!AC12&lt;&gt;"",ROUNDDOWN(Input!AC12,0),0),"")</f>
        <v/>
      </c>
      <c r="AJ12" t="str">
        <f>IF(Input!AD12&lt;&gt;"",Input!AD12,"")</f>
        <v/>
      </c>
      <c r="AK12" t="str">
        <f t="shared" si="9"/>
        <v/>
      </c>
      <c r="AL12" t="str">
        <f>IF(AJ12&lt;&gt;"",IF(Input!AF12&lt;&gt;"",ROUNDDOWN(Input!AF12,0),0),"")</f>
        <v/>
      </c>
      <c r="AM12" t="str">
        <f>IF(Input!AG12&lt;&gt;"",Input!AG12,"")</f>
        <v/>
      </c>
      <c r="AN12" t="str">
        <f t="shared" si="10"/>
        <v/>
      </c>
      <c r="AO12" t="str">
        <f>IF(AM12&lt;&gt;"",IF(Input!AI12&lt;&gt;"",ROUNDDOWN(Input!AI12,0),0),"")</f>
        <v/>
      </c>
    </row>
    <row r="13" spans="1:41" ht="16.5" thickTop="1" thickBot="1" x14ac:dyDescent="0.4">
      <c r="A13" s="100">
        <f>IF(ISBLANK(Input!A13),1000,IF(Input!E13&gt;0,Input!E13+F13,1000))</f>
        <v>1000</v>
      </c>
      <c r="B13" s="101">
        <f t="shared" si="0"/>
        <v>1000</v>
      </c>
      <c r="C13" s="4">
        <v>12</v>
      </c>
      <c r="D13" s="29">
        <f>IF(ISBLANK(Input!A13),1000,IF(Input!G13&gt;0,Input!G13+F13,1000))</f>
        <v>1000</v>
      </c>
      <c r="E13" s="29">
        <f t="shared" si="1"/>
        <v>1000</v>
      </c>
      <c r="F13" s="4">
        <v>1.2E-2</v>
      </c>
      <c r="I13" t="str">
        <f>IF(Input!A13&gt;0,Input!A13,"")</f>
        <v/>
      </c>
      <c r="J13" t="str">
        <f>IF(Input!B13&gt;0,Input!B13,"")</f>
        <v/>
      </c>
      <c r="K13" t="str">
        <f>IF(Input!C13&gt;0,Input!C13,"")</f>
        <v/>
      </c>
      <c r="L13" t="str">
        <f>IF(Input!D13&gt;0,Input!D13,"")</f>
        <v/>
      </c>
      <c r="M13" t="str">
        <f>IF(Input!E13&gt;0,Input!E13,"")</f>
        <v xml:space="preserve"> </v>
      </c>
      <c r="N13" t="str">
        <f>IF(Input!F13&gt;0,Input!F13,"")</f>
        <v xml:space="preserve"> </v>
      </c>
      <c r="O13" t="str">
        <f>IF(Input!I13&lt;&gt;"",Input!I13,"")</f>
        <v/>
      </c>
      <c r="P13" t="str">
        <f t="shared" si="2"/>
        <v/>
      </c>
      <c r="Q13" t="str">
        <f>IF(O13&lt;&gt;"",IF(Input!K13&lt;&gt;"",ROUNDDOWN(Input!K13,0),0),"")</f>
        <v/>
      </c>
      <c r="R13" t="str">
        <f>IF(Input!L13&lt;&gt;"",Input!L13,"")</f>
        <v/>
      </c>
      <c r="S13" t="str">
        <f t="shared" si="3"/>
        <v/>
      </c>
      <c r="T13" t="str">
        <f>IF(R13&lt;&gt;"",IF(Input!N13&lt;&gt;"",ROUNDDOWN(Input!N13,0),0),"")</f>
        <v/>
      </c>
      <c r="U13" t="str">
        <f>IF(Input!O13&lt;&gt;"",Input!O13,"")</f>
        <v/>
      </c>
      <c r="V13" t="str">
        <f t="shared" si="4"/>
        <v/>
      </c>
      <c r="W13" t="str">
        <f>IF(U13&lt;&gt;"",IF(Input!Q13&lt;&gt;"",ROUNDDOWN(Input!Q13,0),0),"")</f>
        <v/>
      </c>
      <c r="X13" t="str">
        <f>IF(Input!R13&lt;&gt;"",Input!R13,"")</f>
        <v/>
      </c>
      <c r="Y13" t="str">
        <f t="shared" si="5"/>
        <v/>
      </c>
      <c r="Z13" t="str">
        <f>IF(X13&lt;&gt;"",IF(Input!T13&lt;&gt;"",ROUNDDOWN(Input!T13,0),0),"")</f>
        <v/>
      </c>
      <c r="AA13" t="str">
        <f>IF(Input!U13&lt;&gt;"",Input!U13,"")</f>
        <v/>
      </c>
      <c r="AB13" t="str">
        <f t="shared" si="6"/>
        <v/>
      </c>
      <c r="AC13" t="str">
        <f>IF(AA13&lt;&gt;"",IF(Input!W13&lt;&gt;"",ROUNDDOWN(Input!W13,0),0),"")</f>
        <v/>
      </c>
      <c r="AD13" t="str">
        <f>IF(Input!X13&lt;&gt;"",Input!X13,"")</f>
        <v/>
      </c>
      <c r="AE13" t="str">
        <f t="shared" si="7"/>
        <v/>
      </c>
      <c r="AF13" t="str">
        <f>IF(AD13&lt;&gt;"",IF(Input!Z13&lt;&gt;"",ROUNDDOWN(Input!Z13,0),0),"")</f>
        <v/>
      </c>
      <c r="AG13" t="str">
        <f>IF(Input!AA13&lt;&gt;"",Input!AA13,"")</f>
        <v/>
      </c>
      <c r="AH13" t="str">
        <f t="shared" si="8"/>
        <v/>
      </c>
      <c r="AI13" t="str">
        <f>IF(AG13&lt;&gt;"",IF(Input!AC13&lt;&gt;"",ROUNDDOWN(Input!AC13,0),0),"")</f>
        <v/>
      </c>
      <c r="AJ13" t="str">
        <f>IF(Input!AD13&lt;&gt;"",Input!AD13,"")</f>
        <v/>
      </c>
      <c r="AK13" t="str">
        <f t="shared" si="9"/>
        <v/>
      </c>
      <c r="AL13" t="str">
        <f>IF(AJ13&lt;&gt;"",IF(Input!AF13&lt;&gt;"",ROUNDDOWN(Input!AF13,0),0),"")</f>
        <v/>
      </c>
      <c r="AM13" t="str">
        <f>IF(Input!AG13&lt;&gt;"",Input!AG13,"")</f>
        <v/>
      </c>
      <c r="AN13" t="str">
        <f t="shared" si="10"/>
        <v/>
      </c>
      <c r="AO13" t="str">
        <f>IF(AM13&lt;&gt;"",IF(Input!AI13&lt;&gt;"",ROUNDDOWN(Input!AI13,0),0),"")</f>
        <v/>
      </c>
    </row>
    <row r="14" spans="1:41" ht="16.5" thickTop="1" thickBot="1" x14ac:dyDescent="0.4">
      <c r="A14" s="100">
        <f>IF(ISBLANK(Input!A14),1000,IF(Input!E14&gt;0,Input!E14+F14,1000))</f>
        <v>1000</v>
      </c>
      <c r="B14" s="101">
        <f t="shared" si="0"/>
        <v>1000</v>
      </c>
      <c r="C14" s="4">
        <v>13</v>
      </c>
      <c r="D14" s="29">
        <f>IF(ISBLANK(Input!A14),1000,IF(Input!G14&gt;0,Input!G14+F14,1000))</f>
        <v>1000</v>
      </c>
      <c r="E14" s="29">
        <f t="shared" si="1"/>
        <v>1000</v>
      </c>
      <c r="F14" s="4">
        <v>1.2999999999999999E-2</v>
      </c>
      <c r="I14" t="str">
        <f>IF(Input!A14&gt;0,Input!A14,"")</f>
        <v/>
      </c>
      <c r="J14" t="str">
        <f>IF(Input!B14&gt;0,Input!B14,"")</f>
        <v/>
      </c>
      <c r="K14" t="str">
        <f>IF(Input!C14&gt;0,Input!C14,"")</f>
        <v/>
      </c>
      <c r="L14" t="str">
        <f>IF(Input!D14&gt;0,Input!D14,"")</f>
        <v/>
      </c>
      <c r="M14" t="str">
        <f>IF(Input!E14&gt;0,Input!E14,"")</f>
        <v xml:space="preserve"> </v>
      </c>
      <c r="N14" t="str">
        <f>IF(Input!F14&gt;0,Input!F14,"")</f>
        <v xml:space="preserve"> </v>
      </c>
      <c r="O14" t="str">
        <f>IF(Input!I14&lt;&gt;"",Input!I14,"")</f>
        <v/>
      </c>
      <c r="P14" t="str">
        <f t="shared" si="2"/>
        <v/>
      </c>
      <c r="Q14" t="str">
        <f>IF(O14&lt;&gt;"",IF(Input!K14&lt;&gt;"",ROUNDDOWN(Input!K14,0),0),"")</f>
        <v/>
      </c>
      <c r="R14" t="str">
        <f>IF(Input!L14&lt;&gt;"",Input!L14,"")</f>
        <v/>
      </c>
      <c r="S14" t="str">
        <f t="shared" si="3"/>
        <v/>
      </c>
      <c r="T14" t="str">
        <f>IF(R14&lt;&gt;"",IF(Input!N14&lt;&gt;"",ROUNDDOWN(Input!N14,0),0),"")</f>
        <v/>
      </c>
      <c r="U14" t="str">
        <f>IF(Input!O14&lt;&gt;"",Input!O14,"")</f>
        <v/>
      </c>
      <c r="V14" t="str">
        <f t="shared" si="4"/>
        <v/>
      </c>
      <c r="W14" t="str">
        <f>IF(U14&lt;&gt;"",IF(Input!Q14&lt;&gt;"",ROUNDDOWN(Input!Q14,0),0),"")</f>
        <v/>
      </c>
      <c r="X14" t="str">
        <f>IF(Input!R14&lt;&gt;"",Input!R14,"")</f>
        <v/>
      </c>
      <c r="Y14" t="str">
        <f t="shared" si="5"/>
        <v/>
      </c>
      <c r="Z14" t="str">
        <f>IF(X14&lt;&gt;"",IF(Input!T14&lt;&gt;"",ROUNDDOWN(Input!T14,0),0),"")</f>
        <v/>
      </c>
      <c r="AA14" t="str">
        <f>IF(Input!U14&lt;&gt;"",Input!U14,"")</f>
        <v/>
      </c>
      <c r="AB14" t="str">
        <f t="shared" si="6"/>
        <v/>
      </c>
      <c r="AC14" t="str">
        <f>IF(AA14&lt;&gt;"",IF(Input!W14&lt;&gt;"",ROUNDDOWN(Input!W14,0),0),"")</f>
        <v/>
      </c>
      <c r="AD14" t="str">
        <f>IF(Input!X14&lt;&gt;"",Input!X14,"")</f>
        <v/>
      </c>
      <c r="AE14" t="str">
        <f t="shared" si="7"/>
        <v/>
      </c>
      <c r="AF14" t="str">
        <f>IF(AD14&lt;&gt;"",IF(Input!Z14&lt;&gt;"",ROUNDDOWN(Input!Z14,0),0),"")</f>
        <v/>
      </c>
      <c r="AG14" t="str">
        <f>IF(Input!AA14&lt;&gt;"",Input!AA14,"")</f>
        <v/>
      </c>
      <c r="AH14" t="str">
        <f t="shared" si="8"/>
        <v/>
      </c>
      <c r="AI14" t="str">
        <f>IF(AG14&lt;&gt;"",IF(Input!AC14&lt;&gt;"",ROUNDDOWN(Input!AC14,0),0),"")</f>
        <v/>
      </c>
      <c r="AJ14" t="str">
        <f>IF(Input!AD14&lt;&gt;"",Input!AD14,"")</f>
        <v/>
      </c>
      <c r="AK14" t="str">
        <f t="shared" si="9"/>
        <v/>
      </c>
      <c r="AL14" t="str">
        <f>IF(AJ14&lt;&gt;"",IF(Input!AF14&lt;&gt;"",ROUNDDOWN(Input!AF14,0),0),"")</f>
        <v/>
      </c>
      <c r="AM14" t="str">
        <f>IF(Input!AG14&lt;&gt;"",Input!AG14,"")</f>
        <v/>
      </c>
      <c r="AN14" t="str">
        <f t="shared" si="10"/>
        <v/>
      </c>
      <c r="AO14" t="str">
        <f>IF(AM14&lt;&gt;"",IF(Input!AI14&lt;&gt;"",ROUNDDOWN(Input!AI14,0),0),"")</f>
        <v/>
      </c>
    </row>
    <row r="15" spans="1:41" ht="16.5" thickTop="1" thickBot="1" x14ac:dyDescent="0.4">
      <c r="A15" s="100">
        <f>IF(ISBLANK(Input!A15),1000,IF(Input!E15&gt;0,Input!E15+F15,1000))</f>
        <v>1000</v>
      </c>
      <c r="B15" s="101">
        <f t="shared" si="0"/>
        <v>1000</v>
      </c>
      <c r="C15" s="4">
        <v>14</v>
      </c>
      <c r="D15" s="29">
        <f>IF(ISBLANK(Input!A15),1000,IF(Input!G15&gt;0,Input!G15+F15,1000))</f>
        <v>1000</v>
      </c>
      <c r="E15" s="29">
        <f t="shared" si="1"/>
        <v>1000</v>
      </c>
      <c r="F15" s="4">
        <v>1.4E-2</v>
      </c>
      <c r="I15" t="str">
        <f>IF(Input!A15&gt;0,Input!A15,"")</f>
        <v/>
      </c>
      <c r="J15" t="str">
        <f>IF(Input!B15&gt;0,Input!B15,"")</f>
        <v/>
      </c>
      <c r="K15" t="str">
        <f>IF(Input!C15&gt;0,Input!C15,"")</f>
        <v/>
      </c>
      <c r="L15" t="str">
        <f>IF(Input!D15&gt;0,Input!D15,"")</f>
        <v/>
      </c>
      <c r="M15" t="str">
        <f>IF(Input!E15&gt;0,Input!E15,"")</f>
        <v xml:space="preserve"> </v>
      </c>
      <c r="N15" t="str">
        <f>IF(Input!F15&gt;0,Input!F15,"")</f>
        <v xml:space="preserve"> </v>
      </c>
      <c r="O15" t="str">
        <f>IF(Input!I15&lt;&gt;"",Input!I15,"")</f>
        <v/>
      </c>
      <c r="P15" t="str">
        <f t="shared" si="2"/>
        <v/>
      </c>
      <c r="Q15" t="str">
        <f>IF(O15&lt;&gt;"",IF(Input!K15&lt;&gt;"",ROUNDDOWN(Input!K15,0),0),"")</f>
        <v/>
      </c>
      <c r="R15" t="str">
        <f>IF(Input!L15&lt;&gt;"",Input!L15,"")</f>
        <v/>
      </c>
      <c r="S15" t="str">
        <f t="shared" si="3"/>
        <v/>
      </c>
      <c r="T15" t="str">
        <f>IF(R15&lt;&gt;"",IF(Input!N15&lt;&gt;"",ROUNDDOWN(Input!N15,0),0),"")</f>
        <v/>
      </c>
      <c r="U15" t="str">
        <f>IF(Input!O15&lt;&gt;"",Input!O15,"")</f>
        <v/>
      </c>
      <c r="V15" t="str">
        <f t="shared" si="4"/>
        <v/>
      </c>
      <c r="W15" t="str">
        <f>IF(U15&lt;&gt;"",IF(Input!Q15&lt;&gt;"",ROUNDDOWN(Input!Q15,0),0),"")</f>
        <v/>
      </c>
      <c r="X15" t="str">
        <f>IF(Input!R15&lt;&gt;"",Input!R15,"")</f>
        <v/>
      </c>
      <c r="Y15" t="str">
        <f t="shared" si="5"/>
        <v/>
      </c>
      <c r="Z15" t="str">
        <f>IF(X15&lt;&gt;"",IF(Input!T15&lt;&gt;"",ROUNDDOWN(Input!T15,0),0),"")</f>
        <v/>
      </c>
      <c r="AA15" t="str">
        <f>IF(Input!U15&lt;&gt;"",Input!U15,"")</f>
        <v/>
      </c>
      <c r="AB15" t="str">
        <f t="shared" si="6"/>
        <v/>
      </c>
      <c r="AC15" t="str">
        <f>IF(AA15&lt;&gt;"",IF(Input!W15&lt;&gt;"",ROUNDDOWN(Input!W15,0),0),"")</f>
        <v/>
      </c>
      <c r="AD15" t="str">
        <f>IF(Input!X15&lt;&gt;"",Input!X15,"")</f>
        <v/>
      </c>
      <c r="AE15" t="str">
        <f t="shared" si="7"/>
        <v/>
      </c>
      <c r="AF15" t="str">
        <f>IF(AD15&lt;&gt;"",IF(Input!Z15&lt;&gt;"",ROUNDDOWN(Input!Z15,0),0),"")</f>
        <v/>
      </c>
      <c r="AG15" t="str">
        <f>IF(Input!AA15&lt;&gt;"",Input!AA15,"")</f>
        <v/>
      </c>
      <c r="AH15" t="str">
        <f t="shared" si="8"/>
        <v/>
      </c>
      <c r="AI15" t="str">
        <f>IF(AG15&lt;&gt;"",IF(Input!AC15&lt;&gt;"",ROUNDDOWN(Input!AC15,0),0),"")</f>
        <v/>
      </c>
      <c r="AJ15" t="str">
        <f>IF(Input!AD15&lt;&gt;"",Input!AD15,"")</f>
        <v/>
      </c>
      <c r="AK15" t="str">
        <f t="shared" si="9"/>
        <v/>
      </c>
      <c r="AL15" t="str">
        <f>IF(AJ15&lt;&gt;"",IF(Input!AF15&lt;&gt;"",ROUNDDOWN(Input!AF15,0),0),"")</f>
        <v/>
      </c>
      <c r="AM15" t="str">
        <f>IF(Input!AG15&lt;&gt;"",Input!AG15,"")</f>
        <v/>
      </c>
      <c r="AN15" t="str">
        <f t="shared" si="10"/>
        <v/>
      </c>
      <c r="AO15" t="str">
        <f>IF(AM15&lt;&gt;"",IF(Input!AI15&lt;&gt;"",ROUNDDOWN(Input!AI15,0),0),"")</f>
        <v/>
      </c>
    </row>
    <row r="16" spans="1:41" ht="16.5" thickTop="1" thickBot="1" x14ac:dyDescent="0.4">
      <c r="A16" s="100">
        <f>IF(ISBLANK(Input!A16),1000,IF(Input!E16&gt;0,Input!E16+F16,1000))</f>
        <v>1000</v>
      </c>
      <c r="B16" s="101">
        <f t="shared" si="0"/>
        <v>1000</v>
      </c>
      <c r="C16" s="4">
        <v>15</v>
      </c>
      <c r="D16" s="29">
        <f>IF(ISBLANK(Input!A16),1000,IF(Input!G16&gt;0,Input!G16+F16,1000))</f>
        <v>1000</v>
      </c>
      <c r="E16" s="29">
        <f t="shared" si="1"/>
        <v>1000</v>
      </c>
      <c r="F16" s="4">
        <v>1.4999999999999999E-2</v>
      </c>
      <c r="I16" t="str">
        <f>IF(Input!A16&gt;0,Input!A16,"")</f>
        <v/>
      </c>
      <c r="J16" t="str">
        <f>IF(Input!B16&gt;0,Input!B16,"")</f>
        <v/>
      </c>
      <c r="K16" t="str">
        <f>IF(Input!C16&gt;0,Input!C16,"")</f>
        <v/>
      </c>
      <c r="L16" t="str">
        <f>IF(Input!D16&gt;0,Input!D16,"")</f>
        <v/>
      </c>
      <c r="M16" t="str">
        <f>IF(Input!E16&gt;0,Input!E16,"")</f>
        <v xml:space="preserve"> </v>
      </c>
      <c r="N16" t="str">
        <f>IF(Input!F16&gt;0,Input!F16,"")</f>
        <v xml:space="preserve"> </v>
      </c>
      <c r="O16" t="str">
        <f>IF(Input!I16&lt;&gt;"",Input!I16,"")</f>
        <v/>
      </c>
      <c r="P16" t="str">
        <f t="shared" si="2"/>
        <v/>
      </c>
      <c r="Q16" t="str">
        <f>IF(O16&lt;&gt;"",IF(Input!K16&lt;&gt;"",ROUNDDOWN(Input!K16,0),0),"")</f>
        <v/>
      </c>
      <c r="R16" t="str">
        <f>IF(Input!L16&lt;&gt;"",Input!L16,"")</f>
        <v/>
      </c>
      <c r="S16" t="str">
        <f t="shared" si="3"/>
        <v/>
      </c>
      <c r="T16" t="str">
        <f>IF(R16&lt;&gt;"",IF(Input!N16&lt;&gt;"",ROUNDDOWN(Input!N16,0),0),"")</f>
        <v/>
      </c>
      <c r="U16" t="str">
        <f>IF(Input!O16&lt;&gt;"",Input!O16,"")</f>
        <v/>
      </c>
      <c r="V16" t="str">
        <f t="shared" si="4"/>
        <v/>
      </c>
      <c r="W16" t="str">
        <f>IF(U16&lt;&gt;"",IF(Input!Q16&lt;&gt;"",ROUNDDOWN(Input!Q16,0),0),"")</f>
        <v/>
      </c>
      <c r="X16" t="str">
        <f>IF(Input!R16&lt;&gt;"",Input!R16,"")</f>
        <v/>
      </c>
      <c r="Y16" t="str">
        <f t="shared" si="5"/>
        <v/>
      </c>
      <c r="Z16" t="str">
        <f>IF(X16&lt;&gt;"",IF(Input!T16&lt;&gt;"",ROUNDDOWN(Input!T16,0),0),"")</f>
        <v/>
      </c>
      <c r="AA16" t="str">
        <f>IF(Input!U16&lt;&gt;"",Input!U16,"")</f>
        <v/>
      </c>
      <c r="AB16" t="str">
        <f t="shared" si="6"/>
        <v/>
      </c>
      <c r="AC16" t="str">
        <f>IF(AA16&lt;&gt;"",IF(Input!W16&lt;&gt;"",ROUNDDOWN(Input!W16,0),0),"")</f>
        <v/>
      </c>
      <c r="AD16" t="str">
        <f>IF(Input!X16&lt;&gt;"",Input!X16,"")</f>
        <v/>
      </c>
      <c r="AE16" t="str">
        <f t="shared" si="7"/>
        <v/>
      </c>
      <c r="AF16" t="str">
        <f>IF(AD16&lt;&gt;"",IF(Input!Z16&lt;&gt;"",ROUNDDOWN(Input!Z16,0),0),"")</f>
        <v/>
      </c>
      <c r="AG16" t="str">
        <f>IF(Input!AA16&lt;&gt;"",Input!AA16,"")</f>
        <v/>
      </c>
      <c r="AH16" t="str">
        <f t="shared" si="8"/>
        <v/>
      </c>
      <c r="AI16" t="str">
        <f>IF(AG16&lt;&gt;"",IF(Input!AC16&lt;&gt;"",ROUNDDOWN(Input!AC16,0),0),"")</f>
        <v/>
      </c>
      <c r="AJ16" t="str">
        <f>IF(Input!AD16&lt;&gt;"",Input!AD16,"")</f>
        <v/>
      </c>
      <c r="AK16" t="str">
        <f t="shared" si="9"/>
        <v/>
      </c>
      <c r="AL16" t="str">
        <f>IF(AJ16&lt;&gt;"",IF(Input!AF16&lt;&gt;"",ROUNDDOWN(Input!AF16,0),0),"")</f>
        <v/>
      </c>
      <c r="AM16" t="str">
        <f>IF(Input!AG16&lt;&gt;"",Input!AG16,"")</f>
        <v/>
      </c>
      <c r="AN16" t="str">
        <f t="shared" si="10"/>
        <v/>
      </c>
      <c r="AO16" t="str">
        <f>IF(AM16&lt;&gt;"",IF(Input!AI16&lt;&gt;"",ROUNDDOWN(Input!AI16,0),0),"")</f>
        <v/>
      </c>
    </row>
    <row r="17" spans="1:41" ht="16.5" thickTop="1" thickBot="1" x14ac:dyDescent="0.4">
      <c r="A17" s="100">
        <f>IF(ISBLANK(Input!A17),1000,IF(Input!E17&gt;0,Input!E17+F17,1000))</f>
        <v>1000</v>
      </c>
      <c r="B17" s="101">
        <f t="shared" si="0"/>
        <v>1000</v>
      </c>
      <c r="C17" s="4">
        <v>16</v>
      </c>
      <c r="D17" s="29">
        <f>IF(ISBLANK(Input!A17),1000,IF(Input!G17&gt;0,Input!G17+F17,1000))</f>
        <v>1000</v>
      </c>
      <c r="E17" s="29">
        <f t="shared" si="1"/>
        <v>1000</v>
      </c>
      <c r="F17" s="4">
        <v>1.6E-2</v>
      </c>
      <c r="I17" t="str">
        <f>IF(Input!A17&gt;0,Input!A17,"")</f>
        <v/>
      </c>
      <c r="J17" t="str">
        <f>IF(Input!B17&gt;0,Input!B17,"")</f>
        <v/>
      </c>
      <c r="K17" t="str">
        <f>IF(Input!C17&gt;0,Input!C17,"")</f>
        <v/>
      </c>
      <c r="L17" t="str">
        <f>IF(Input!D17&gt;0,Input!D17,"")</f>
        <v/>
      </c>
      <c r="M17" t="str">
        <f>IF(Input!E17&gt;0,Input!E17,"")</f>
        <v xml:space="preserve"> </v>
      </c>
      <c r="N17" t="str">
        <f>IF(Input!F17&gt;0,Input!F17,"")</f>
        <v xml:space="preserve"> </v>
      </c>
      <c r="O17" t="str">
        <f>IF(Input!I17&lt;&gt;"",Input!I17,"")</f>
        <v/>
      </c>
      <c r="P17" t="str">
        <f t="shared" si="2"/>
        <v/>
      </c>
      <c r="Q17" t="str">
        <f>IF(O17&lt;&gt;"",IF(Input!K17&lt;&gt;"",ROUNDDOWN(Input!K17,0),0),"")</f>
        <v/>
      </c>
      <c r="R17" t="str">
        <f>IF(Input!L17&lt;&gt;"",Input!L17,"")</f>
        <v/>
      </c>
      <c r="S17" t="str">
        <f t="shared" si="3"/>
        <v/>
      </c>
      <c r="T17" t="str">
        <f>IF(R17&lt;&gt;"",IF(Input!N17&lt;&gt;"",ROUNDDOWN(Input!N17,0),0),"")</f>
        <v/>
      </c>
      <c r="U17" t="str">
        <f>IF(Input!O17&lt;&gt;"",Input!O17,"")</f>
        <v/>
      </c>
      <c r="V17" t="str">
        <f t="shared" si="4"/>
        <v/>
      </c>
      <c r="W17" t="str">
        <f>IF(U17&lt;&gt;"",IF(Input!Q17&lt;&gt;"",ROUNDDOWN(Input!Q17,0),0),"")</f>
        <v/>
      </c>
      <c r="X17" t="str">
        <f>IF(Input!R17&lt;&gt;"",Input!R17,"")</f>
        <v/>
      </c>
      <c r="Y17" t="str">
        <f t="shared" si="5"/>
        <v/>
      </c>
      <c r="Z17" t="str">
        <f>IF(X17&lt;&gt;"",IF(Input!T17&lt;&gt;"",ROUNDDOWN(Input!T17,0),0),"")</f>
        <v/>
      </c>
      <c r="AA17" t="str">
        <f>IF(Input!U17&lt;&gt;"",Input!U17,"")</f>
        <v/>
      </c>
      <c r="AB17" t="str">
        <f t="shared" si="6"/>
        <v/>
      </c>
      <c r="AC17" t="str">
        <f>IF(AA17&lt;&gt;"",IF(Input!W17&lt;&gt;"",ROUNDDOWN(Input!W17,0),0),"")</f>
        <v/>
      </c>
      <c r="AD17" t="str">
        <f>IF(Input!X17&lt;&gt;"",Input!X17,"")</f>
        <v/>
      </c>
      <c r="AE17" t="str">
        <f t="shared" si="7"/>
        <v/>
      </c>
      <c r="AF17" t="str">
        <f>IF(AD17&lt;&gt;"",IF(Input!Z17&lt;&gt;"",ROUNDDOWN(Input!Z17,0),0),"")</f>
        <v/>
      </c>
      <c r="AG17" t="str">
        <f>IF(Input!AA17&lt;&gt;"",Input!AA17,"")</f>
        <v/>
      </c>
      <c r="AH17" t="str">
        <f t="shared" si="8"/>
        <v/>
      </c>
      <c r="AI17" t="str">
        <f>IF(AG17&lt;&gt;"",IF(Input!AC17&lt;&gt;"",ROUNDDOWN(Input!AC17,0),0),"")</f>
        <v/>
      </c>
      <c r="AJ17" t="str">
        <f>IF(Input!AD17&lt;&gt;"",Input!AD17,"")</f>
        <v/>
      </c>
      <c r="AK17" t="str">
        <f t="shared" si="9"/>
        <v/>
      </c>
      <c r="AL17" t="str">
        <f>IF(AJ17&lt;&gt;"",IF(Input!AF17&lt;&gt;"",ROUNDDOWN(Input!AF17,0),0),"")</f>
        <v/>
      </c>
      <c r="AM17" t="str">
        <f>IF(Input!AG17&lt;&gt;"",Input!AG17,"")</f>
        <v/>
      </c>
      <c r="AN17" t="str">
        <f t="shared" si="10"/>
        <v/>
      </c>
      <c r="AO17" t="str">
        <f>IF(AM17&lt;&gt;"",IF(Input!AI17&lt;&gt;"",ROUNDDOWN(Input!AI17,0),0),"")</f>
        <v/>
      </c>
    </row>
    <row r="18" spans="1:41" ht="16.5" thickTop="1" thickBot="1" x14ac:dyDescent="0.4">
      <c r="A18" s="100">
        <f>IF(ISBLANK(Input!A18),1000,IF(Input!E18&gt;0,Input!E18+F18,1000))</f>
        <v>1000</v>
      </c>
      <c r="B18" s="101">
        <f t="shared" si="0"/>
        <v>1000</v>
      </c>
      <c r="C18" s="4">
        <v>17</v>
      </c>
      <c r="D18" s="29">
        <f>IF(ISBLANK(Input!A18),1000,IF(Input!G18&gt;0,Input!G18+F18,1000))</f>
        <v>1000</v>
      </c>
      <c r="E18" s="29">
        <f t="shared" si="1"/>
        <v>1000</v>
      </c>
      <c r="F18" s="4">
        <v>1.7000000000000001E-2</v>
      </c>
      <c r="I18" t="str">
        <f>IF(Input!A18&gt;0,Input!A18,"")</f>
        <v/>
      </c>
      <c r="J18" t="str">
        <f>IF(Input!B18&gt;0,Input!B18,"")</f>
        <v/>
      </c>
      <c r="K18" t="str">
        <f>IF(Input!C18&gt;0,Input!C18,"")</f>
        <v/>
      </c>
      <c r="L18" t="str">
        <f>IF(Input!D18&gt;0,Input!D18,"")</f>
        <v/>
      </c>
      <c r="M18" t="str">
        <f>IF(Input!E18&gt;0,Input!E18,"")</f>
        <v xml:space="preserve"> </v>
      </c>
      <c r="N18" t="str">
        <f>IF(Input!F18&gt;0,Input!F18,"")</f>
        <v xml:space="preserve"> </v>
      </c>
      <c r="O18" t="str">
        <f>IF(Input!I18&lt;&gt;"",Input!I18,"")</f>
        <v/>
      </c>
      <c r="P18" t="str">
        <f t="shared" si="2"/>
        <v/>
      </c>
      <c r="Q18" t="str">
        <f>IF(O18&lt;&gt;"",IF(Input!K18&lt;&gt;"",ROUNDDOWN(Input!K18,0),0),"")</f>
        <v/>
      </c>
      <c r="R18" t="str">
        <f>IF(Input!L18&lt;&gt;"",Input!L18,"")</f>
        <v/>
      </c>
      <c r="S18" t="str">
        <f t="shared" si="3"/>
        <v/>
      </c>
      <c r="T18" t="str">
        <f>IF(R18&lt;&gt;"",IF(Input!N18&lt;&gt;"",ROUNDDOWN(Input!N18,0),0),"")</f>
        <v/>
      </c>
      <c r="U18" t="str">
        <f>IF(Input!O18&lt;&gt;"",Input!O18,"")</f>
        <v/>
      </c>
      <c r="V18" t="str">
        <f t="shared" si="4"/>
        <v/>
      </c>
      <c r="W18" t="str">
        <f>IF(U18&lt;&gt;"",IF(Input!Q18&lt;&gt;"",ROUNDDOWN(Input!Q18,0),0),"")</f>
        <v/>
      </c>
      <c r="X18" t="str">
        <f>IF(Input!R18&lt;&gt;"",Input!R18,"")</f>
        <v/>
      </c>
      <c r="Y18" t="str">
        <f t="shared" si="5"/>
        <v/>
      </c>
      <c r="Z18" t="str">
        <f>IF(X18&lt;&gt;"",IF(Input!T18&lt;&gt;"",ROUNDDOWN(Input!T18,0),0),"")</f>
        <v/>
      </c>
      <c r="AA18" t="str">
        <f>IF(Input!U18&lt;&gt;"",Input!U18,"")</f>
        <v/>
      </c>
      <c r="AB18" t="str">
        <f t="shared" si="6"/>
        <v/>
      </c>
      <c r="AC18" t="str">
        <f>IF(AA18&lt;&gt;"",IF(Input!W18&lt;&gt;"",ROUNDDOWN(Input!W18,0),0),"")</f>
        <v/>
      </c>
      <c r="AD18" t="str">
        <f>IF(Input!X18&lt;&gt;"",Input!X18,"")</f>
        <v/>
      </c>
      <c r="AE18" t="str">
        <f t="shared" si="7"/>
        <v/>
      </c>
      <c r="AF18" t="str">
        <f>IF(AD18&lt;&gt;"",IF(Input!Z18&lt;&gt;"",ROUNDDOWN(Input!Z18,0),0),"")</f>
        <v/>
      </c>
      <c r="AG18" t="str">
        <f>IF(Input!AA18&lt;&gt;"",Input!AA18,"")</f>
        <v/>
      </c>
      <c r="AH18" t="str">
        <f t="shared" si="8"/>
        <v/>
      </c>
      <c r="AI18" t="str">
        <f>IF(AG18&lt;&gt;"",IF(Input!AC18&lt;&gt;"",ROUNDDOWN(Input!AC18,0),0),"")</f>
        <v/>
      </c>
      <c r="AJ18" t="str">
        <f>IF(Input!AD18&lt;&gt;"",Input!AD18,"")</f>
        <v/>
      </c>
      <c r="AK18" t="str">
        <f t="shared" si="9"/>
        <v/>
      </c>
      <c r="AL18" t="str">
        <f>IF(AJ18&lt;&gt;"",IF(Input!AF18&lt;&gt;"",ROUNDDOWN(Input!AF18,0),0),"")</f>
        <v/>
      </c>
      <c r="AM18" t="str">
        <f>IF(Input!AG18&lt;&gt;"",Input!AG18,"")</f>
        <v/>
      </c>
      <c r="AN18" t="str">
        <f t="shared" si="10"/>
        <v/>
      </c>
      <c r="AO18" t="str">
        <f>IF(AM18&lt;&gt;"",IF(Input!AI18&lt;&gt;"",ROUNDDOWN(Input!AI18,0),0),"")</f>
        <v/>
      </c>
    </row>
    <row r="19" spans="1:41" ht="16.5" thickTop="1" thickBot="1" x14ac:dyDescent="0.4">
      <c r="A19" s="100">
        <f>IF(ISBLANK(Input!A19),1000,IF(Input!E19&gt;0,Input!E19+F19,1000))</f>
        <v>1000</v>
      </c>
      <c r="B19" s="101">
        <f t="shared" si="0"/>
        <v>1000</v>
      </c>
      <c r="C19" s="4">
        <v>18</v>
      </c>
      <c r="D19" s="29">
        <f>IF(ISBLANK(Input!A19),1000,IF(Input!G19&gt;0,Input!G19+F19,1000))</f>
        <v>1000</v>
      </c>
      <c r="E19" s="29">
        <f t="shared" si="1"/>
        <v>1000</v>
      </c>
      <c r="F19" s="4">
        <v>1.7999999999999999E-2</v>
      </c>
      <c r="I19" t="str">
        <f>IF(Input!A19&gt;0,Input!A19,"")</f>
        <v/>
      </c>
      <c r="J19" t="str">
        <f>IF(Input!B19&gt;0,Input!B19,"")</f>
        <v/>
      </c>
      <c r="K19" t="str">
        <f>IF(Input!C19&gt;0,Input!C19,"")</f>
        <v/>
      </c>
      <c r="L19" t="str">
        <f>IF(Input!D19&gt;0,Input!D19,"")</f>
        <v/>
      </c>
      <c r="M19" t="str">
        <f>IF(Input!E19&gt;0,Input!E19,"")</f>
        <v xml:space="preserve"> </v>
      </c>
      <c r="N19" t="str">
        <f>IF(Input!F19&gt;0,Input!F19,"")</f>
        <v xml:space="preserve"> </v>
      </c>
      <c r="O19" t="str">
        <f>IF(Input!I19&lt;&gt;"",Input!I19,"")</f>
        <v/>
      </c>
      <c r="P19" t="str">
        <f t="shared" si="2"/>
        <v/>
      </c>
      <c r="Q19" t="str">
        <f>IF(O19&lt;&gt;"",IF(Input!K19&lt;&gt;"",ROUNDDOWN(Input!K19,0),0),"")</f>
        <v/>
      </c>
      <c r="R19" t="str">
        <f>IF(Input!L19&lt;&gt;"",Input!L19,"")</f>
        <v/>
      </c>
      <c r="S19" t="str">
        <f t="shared" si="3"/>
        <v/>
      </c>
      <c r="T19" t="str">
        <f>IF(R19&lt;&gt;"",IF(Input!N19&lt;&gt;"",ROUNDDOWN(Input!N19,0),0),"")</f>
        <v/>
      </c>
      <c r="U19" t="str">
        <f>IF(Input!O19&lt;&gt;"",Input!O19,"")</f>
        <v/>
      </c>
      <c r="V19" t="str">
        <f t="shared" si="4"/>
        <v/>
      </c>
      <c r="W19" t="str">
        <f>IF(U19&lt;&gt;"",IF(Input!Q19&lt;&gt;"",ROUNDDOWN(Input!Q19,0),0),"")</f>
        <v/>
      </c>
      <c r="X19" t="str">
        <f>IF(Input!R19&lt;&gt;"",Input!R19,"")</f>
        <v/>
      </c>
      <c r="Y19" t="str">
        <f t="shared" si="5"/>
        <v/>
      </c>
      <c r="Z19" t="str">
        <f>IF(X19&lt;&gt;"",IF(Input!T19&lt;&gt;"",ROUNDDOWN(Input!T19,0),0),"")</f>
        <v/>
      </c>
      <c r="AA19" t="str">
        <f>IF(Input!U19&lt;&gt;"",Input!U19,"")</f>
        <v/>
      </c>
      <c r="AB19" t="str">
        <f t="shared" si="6"/>
        <v/>
      </c>
      <c r="AC19" t="str">
        <f>IF(AA19&lt;&gt;"",IF(Input!W19&lt;&gt;"",ROUNDDOWN(Input!W19,0),0),"")</f>
        <v/>
      </c>
      <c r="AD19" t="str">
        <f>IF(Input!X19&lt;&gt;"",Input!X19,"")</f>
        <v/>
      </c>
      <c r="AE19" t="str">
        <f t="shared" si="7"/>
        <v/>
      </c>
      <c r="AF19" t="str">
        <f>IF(AD19&lt;&gt;"",IF(Input!Z19&lt;&gt;"",ROUNDDOWN(Input!Z19,0),0),"")</f>
        <v/>
      </c>
      <c r="AG19" t="str">
        <f>IF(Input!AA19&lt;&gt;"",Input!AA19,"")</f>
        <v/>
      </c>
      <c r="AH19" t="str">
        <f t="shared" si="8"/>
        <v/>
      </c>
      <c r="AI19" t="str">
        <f>IF(AG19&lt;&gt;"",IF(Input!AC19&lt;&gt;"",ROUNDDOWN(Input!AC19,0),0),"")</f>
        <v/>
      </c>
      <c r="AJ19" t="str">
        <f>IF(Input!AD19&lt;&gt;"",Input!AD19,"")</f>
        <v/>
      </c>
      <c r="AK19" t="str">
        <f t="shared" si="9"/>
        <v/>
      </c>
      <c r="AL19" t="str">
        <f>IF(AJ19&lt;&gt;"",IF(Input!AF19&lt;&gt;"",ROUNDDOWN(Input!AF19,0),0),"")</f>
        <v/>
      </c>
      <c r="AM19" t="str">
        <f>IF(Input!AG19&lt;&gt;"",Input!AG19,"")</f>
        <v/>
      </c>
      <c r="AN19" t="str">
        <f t="shared" si="10"/>
        <v/>
      </c>
      <c r="AO19" t="str">
        <f>IF(AM19&lt;&gt;"",IF(Input!AI19&lt;&gt;"",ROUNDDOWN(Input!AI19,0),0),"")</f>
        <v/>
      </c>
    </row>
    <row r="20" spans="1:41" ht="16.5" thickTop="1" thickBot="1" x14ac:dyDescent="0.4">
      <c r="A20" s="100">
        <f>IF(ISBLANK(Input!A20),1000,IF(Input!E20&gt;0,Input!E20+F20,1000))</f>
        <v>1000</v>
      </c>
      <c r="B20" s="101">
        <f t="shared" si="0"/>
        <v>1000</v>
      </c>
      <c r="C20" s="4">
        <v>19</v>
      </c>
      <c r="D20" s="29">
        <f>IF(ISBLANK(Input!A20),1000,IF(Input!G20&gt;0,Input!G20+F20,1000))</f>
        <v>1000</v>
      </c>
      <c r="E20" s="29">
        <f t="shared" si="1"/>
        <v>1000</v>
      </c>
      <c r="F20" s="4">
        <v>1.9E-2</v>
      </c>
      <c r="I20" t="str">
        <f>IF(Input!A20&gt;0,Input!A20,"")</f>
        <v/>
      </c>
      <c r="J20" t="str">
        <f>IF(Input!B20&gt;0,Input!B20,"")</f>
        <v/>
      </c>
      <c r="K20" t="str">
        <f>IF(Input!C20&gt;0,Input!C20,"")</f>
        <v/>
      </c>
      <c r="L20" t="str">
        <f>IF(Input!D20&gt;0,Input!D20,"")</f>
        <v/>
      </c>
      <c r="M20" t="str">
        <f>IF(Input!E20&gt;0,Input!E20,"")</f>
        <v xml:space="preserve"> </v>
      </c>
      <c r="N20" t="str">
        <f>IF(Input!F20&gt;0,Input!F20,"")</f>
        <v xml:space="preserve"> </v>
      </c>
      <c r="O20" t="str">
        <f>IF(Input!I20&lt;&gt;"",Input!I20,"")</f>
        <v/>
      </c>
      <c r="P20" t="str">
        <f t="shared" si="2"/>
        <v/>
      </c>
      <c r="Q20" t="str">
        <f>IF(O20&lt;&gt;"",IF(Input!K20&lt;&gt;"",ROUNDDOWN(Input!K20,0),0),"")</f>
        <v/>
      </c>
      <c r="R20" t="str">
        <f>IF(Input!L20&lt;&gt;"",Input!L20,"")</f>
        <v/>
      </c>
      <c r="S20" t="str">
        <f t="shared" si="3"/>
        <v/>
      </c>
      <c r="T20" t="str">
        <f>IF(R20&lt;&gt;"",IF(Input!N20&lt;&gt;"",ROUNDDOWN(Input!N20,0),0),"")</f>
        <v/>
      </c>
      <c r="U20" t="str">
        <f>IF(Input!O20&lt;&gt;"",Input!O20,"")</f>
        <v/>
      </c>
      <c r="V20" t="str">
        <f t="shared" si="4"/>
        <v/>
      </c>
      <c r="W20" t="str">
        <f>IF(U20&lt;&gt;"",IF(Input!Q20&lt;&gt;"",ROUNDDOWN(Input!Q20,0),0),"")</f>
        <v/>
      </c>
      <c r="X20" t="str">
        <f>IF(Input!R20&lt;&gt;"",Input!R20,"")</f>
        <v/>
      </c>
      <c r="Y20" t="str">
        <f t="shared" si="5"/>
        <v/>
      </c>
      <c r="Z20" t="str">
        <f>IF(X20&lt;&gt;"",IF(Input!T20&lt;&gt;"",ROUNDDOWN(Input!T20,0),0),"")</f>
        <v/>
      </c>
      <c r="AA20" t="str">
        <f>IF(Input!U20&lt;&gt;"",Input!U20,"")</f>
        <v/>
      </c>
      <c r="AB20" t="str">
        <f t="shared" si="6"/>
        <v/>
      </c>
      <c r="AC20" t="str">
        <f>IF(AA20&lt;&gt;"",IF(Input!W20&lt;&gt;"",ROUNDDOWN(Input!W20,0),0),"")</f>
        <v/>
      </c>
      <c r="AD20" t="str">
        <f>IF(Input!X20&lt;&gt;"",Input!X20,"")</f>
        <v/>
      </c>
      <c r="AE20" t="str">
        <f t="shared" si="7"/>
        <v/>
      </c>
      <c r="AF20" t="str">
        <f>IF(AD20&lt;&gt;"",IF(Input!Z20&lt;&gt;"",ROUNDDOWN(Input!Z20,0),0),"")</f>
        <v/>
      </c>
      <c r="AG20" t="str">
        <f>IF(Input!AA20&lt;&gt;"",Input!AA20,"")</f>
        <v/>
      </c>
      <c r="AH20" t="str">
        <f t="shared" si="8"/>
        <v/>
      </c>
      <c r="AI20" t="str">
        <f>IF(AG20&lt;&gt;"",IF(Input!AC20&lt;&gt;"",ROUNDDOWN(Input!AC20,0),0),"")</f>
        <v/>
      </c>
      <c r="AJ20" t="str">
        <f>IF(Input!AD20&lt;&gt;"",Input!AD20,"")</f>
        <v/>
      </c>
      <c r="AK20" t="str">
        <f t="shared" si="9"/>
        <v/>
      </c>
      <c r="AL20" t="str">
        <f>IF(AJ20&lt;&gt;"",IF(Input!AF20&lt;&gt;"",ROUNDDOWN(Input!AF20,0),0),"")</f>
        <v/>
      </c>
      <c r="AM20" t="str">
        <f>IF(Input!AG20&lt;&gt;"",Input!AG20,"")</f>
        <v/>
      </c>
      <c r="AN20" t="str">
        <f t="shared" si="10"/>
        <v/>
      </c>
      <c r="AO20" t="str">
        <f>IF(AM20&lt;&gt;"",IF(Input!AI20&lt;&gt;"",ROUNDDOWN(Input!AI20,0),0),"")</f>
        <v/>
      </c>
    </row>
    <row r="21" spans="1:41" ht="16.5" thickTop="1" thickBot="1" x14ac:dyDescent="0.4">
      <c r="A21" s="100">
        <f>IF(ISBLANK(Input!A21),1000,IF(Input!E21&gt;0,Input!E21+F21,1000))</f>
        <v>1000</v>
      </c>
      <c r="B21" s="101">
        <f t="shared" si="0"/>
        <v>1000</v>
      </c>
      <c r="C21" s="4">
        <v>20</v>
      </c>
      <c r="D21" s="29">
        <f>IF(ISBLANK(Input!A21),1000,IF(Input!G21&gt;0,Input!G21+F21,1000))</f>
        <v>1000</v>
      </c>
      <c r="E21" s="29">
        <f t="shared" si="1"/>
        <v>1000</v>
      </c>
      <c r="F21" s="4">
        <v>0.02</v>
      </c>
      <c r="I21" t="str">
        <f>IF(Input!A21&gt;0,Input!A21,"")</f>
        <v/>
      </c>
      <c r="J21" t="str">
        <f>IF(Input!B21&gt;0,Input!B21,"")</f>
        <v/>
      </c>
      <c r="K21" t="str">
        <f>IF(Input!C21&gt;0,Input!C21,"")</f>
        <v/>
      </c>
      <c r="L21" t="str">
        <f>IF(Input!D21&gt;0,Input!D21,"")</f>
        <v/>
      </c>
      <c r="M21" t="str">
        <f>IF(Input!E21&gt;0,Input!E21,"")</f>
        <v xml:space="preserve"> </v>
      </c>
      <c r="N21" t="str">
        <f>IF(Input!F21&gt;0,Input!F21,"")</f>
        <v xml:space="preserve"> </v>
      </c>
      <c r="O21" t="str">
        <f>IF(Input!I21&lt;&gt;"",Input!I21,"")</f>
        <v/>
      </c>
      <c r="P21" t="str">
        <f t="shared" si="2"/>
        <v/>
      </c>
      <c r="Q21" t="str">
        <f>IF(O21&lt;&gt;"",IF(Input!K21&lt;&gt;"",ROUNDDOWN(Input!K21,0),0),"")</f>
        <v/>
      </c>
      <c r="R21" t="str">
        <f>IF(Input!L21&lt;&gt;"",Input!L21,"")</f>
        <v/>
      </c>
      <c r="S21" t="str">
        <f t="shared" si="3"/>
        <v/>
      </c>
      <c r="T21" t="str">
        <f>IF(R21&lt;&gt;"",IF(Input!N21&lt;&gt;"",ROUNDDOWN(Input!N21,0),0),"")</f>
        <v/>
      </c>
      <c r="U21" t="str">
        <f>IF(Input!O21&lt;&gt;"",Input!O21,"")</f>
        <v/>
      </c>
      <c r="V21" t="str">
        <f t="shared" si="4"/>
        <v/>
      </c>
      <c r="W21" t="str">
        <f>IF(U21&lt;&gt;"",IF(Input!Q21&lt;&gt;"",ROUNDDOWN(Input!Q21,0),0),"")</f>
        <v/>
      </c>
      <c r="X21" t="str">
        <f>IF(Input!R21&lt;&gt;"",Input!R21,"")</f>
        <v/>
      </c>
      <c r="Y21" t="str">
        <f t="shared" si="5"/>
        <v/>
      </c>
      <c r="Z21" t="str">
        <f>IF(X21&lt;&gt;"",IF(Input!T21&lt;&gt;"",ROUNDDOWN(Input!T21,0),0),"")</f>
        <v/>
      </c>
      <c r="AA21" t="str">
        <f>IF(Input!U21&lt;&gt;"",Input!U21,"")</f>
        <v/>
      </c>
      <c r="AB21" t="str">
        <f t="shared" si="6"/>
        <v/>
      </c>
      <c r="AC21" t="str">
        <f>IF(AA21&lt;&gt;"",IF(Input!W21&lt;&gt;"",ROUNDDOWN(Input!W21,0),0),"")</f>
        <v/>
      </c>
      <c r="AD21" t="str">
        <f>IF(Input!X21&lt;&gt;"",Input!X21,"")</f>
        <v/>
      </c>
      <c r="AE21" t="str">
        <f t="shared" si="7"/>
        <v/>
      </c>
      <c r="AF21" t="str">
        <f>IF(AD21&lt;&gt;"",IF(Input!Z21&lt;&gt;"",ROUNDDOWN(Input!Z21,0),0),"")</f>
        <v/>
      </c>
      <c r="AG21" t="str">
        <f>IF(Input!AA21&lt;&gt;"",Input!AA21,"")</f>
        <v/>
      </c>
      <c r="AH21" t="str">
        <f t="shared" si="8"/>
        <v/>
      </c>
      <c r="AI21" t="str">
        <f>IF(AG21&lt;&gt;"",IF(Input!AC21&lt;&gt;"",ROUNDDOWN(Input!AC21,0),0),"")</f>
        <v/>
      </c>
      <c r="AJ21" t="str">
        <f>IF(Input!AD21&lt;&gt;"",Input!AD21,"")</f>
        <v/>
      </c>
      <c r="AK21" t="str">
        <f t="shared" si="9"/>
        <v/>
      </c>
      <c r="AL21" t="str">
        <f>IF(AJ21&lt;&gt;"",IF(Input!AF21&lt;&gt;"",ROUNDDOWN(Input!AF21,0),0),"")</f>
        <v/>
      </c>
      <c r="AM21" t="str">
        <f>IF(Input!AG21&lt;&gt;"",Input!AG21,"")</f>
        <v/>
      </c>
      <c r="AN21" t="str">
        <f t="shared" si="10"/>
        <v/>
      </c>
      <c r="AO21" t="str">
        <f>IF(AM21&lt;&gt;"",IF(Input!AI21&lt;&gt;"",ROUNDDOWN(Input!AI21,0),0),"")</f>
        <v/>
      </c>
    </row>
    <row r="22" spans="1:41" ht="16.5" thickTop="1" thickBot="1" x14ac:dyDescent="0.4">
      <c r="A22" s="100">
        <f>IF(ISBLANK(Input!A22),1000,IF(Input!E22&gt;0,Input!E22+F22,1000))</f>
        <v>1000</v>
      </c>
      <c r="B22" s="101">
        <f t="shared" si="0"/>
        <v>1000</v>
      </c>
      <c r="C22" s="4">
        <v>21</v>
      </c>
      <c r="D22" s="29">
        <f>IF(ISBLANK(Input!A22),1000,IF(Input!G22&gt;0,Input!G22+F22,1000))</f>
        <v>1000</v>
      </c>
      <c r="E22" s="29">
        <f t="shared" si="1"/>
        <v>1000</v>
      </c>
      <c r="F22" s="4">
        <v>2.1000000000000001E-2</v>
      </c>
      <c r="I22" t="str">
        <f>IF(Input!A22&gt;0,Input!A22,"")</f>
        <v/>
      </c>
      <c r="J22" t="str">
        <f>IF(Input!B22&gt;0,Input!B22,"")</f>
        <v/>
      </c>
      <c r="K22" t="str">
        <f>IF(Input!C22&gt;0,Input!C22,"")</f>
        <v/>
      </c>
      <c r="L22" t="str">
        <f>IF(Input!D22&gt;0,Input!D22,"")</f>
        <v/>
      </c>
      <c r="M22" t="str">
        <f>IF(Input!E22&gt;0,Input!E22,"")</f>
        <v xml:space="preserve"> </v>
      </c>
      <c r="N22" t="str">
        <f>IF(Input!F22&gt;0,Input!F22,"")</f>
        <v xml:space="preserve"> </v>
      </c>
      <c r="O22" t="str">
        <f>IF(Input!I22&lt;&gt;"",Input!I22,"")</f>
        <v/>
      </c>
      <c r="P22" t="str">
        <f t="shared" si="2"/>
        <v/>
      </c>
      <c r="Q22" t="str">
        <f>IF(O22&lt;&gt;"",IF(Input!K22&lt;&gt;"",ROUNDDOWN(Input!K22,0),0),"")</f>
        <v/>
      </c>
      <c r="R22" t="str">
        <f>IF(Input!L22&lt;&gt;"",Input!L22,"")</f>
        <v/>
      </c>
      <c r="S22" t="str">
        <f t="shared" si="3"/>
        <v/>
      </c>
      <c r="T22" t="str">
        <f>IF(R22&lt;&gt;"",IF(Input!N22&lt;&gt;"",ROUNDDOWN(Input!N22,0),0),"")</f>
        <v/>
      </c>
      <c r="U22" t="str">
        <f>IF(Input!O22&lt;&gt;"",Input!O22,"")</f>
        <v/>
      </c>
      <c r="V22" t="str">
        <f t="shared" si="4"/>
        <v/>
      </c>
      <c r="W22" t="str">
        <f>IF(U22&lt;&gt;"",IF(Input!Q22&lt;&gt;"",ROUNDDOWN(Input!Q22,0),0),"")</f>
        <v/>
      </c>
      <c r="X22" t="str">
        <f>IF(Input!R22&lt;&gt;"",Input!R22,"")</f>
        <v/>
      </c>
      <c r="Y22" t="str">
        <f t="shared" si="5"/>
        <v/>
      </c>
      <c r="Z22" t="str">
        <f>IF(X22&lt;&gt;"",IF(Input!T22&lt;&gt;"",ROUNDDOWN(Input!T22,0),0),"")</f>
        <v/>
      </c>
      <c r="AA22" t="str">
        <f>IF(Input!U22&lt;&gt;"",Input!U22,"")</f>
        <v/>
      </c>
      <c r="AB22" t="str">
        <f t="shared" si="6"/>
        <v/>
      </c>
      <c r="AC22" t="str">
        <f>IF(AA22&lt;&gt;"",IF(Input!W22&lt;&gt;"",ROUNDDOWN(Input!W22,0),0),"")</f>
        <v/>
      </c>
      <c r="AD22" t="str">
        <f>IF(Input!X22&lt;&gt;"",Input!X22,"")</f>
        <v/>
      </c>
      <c r="AE22" t="str">
        <f t="shared" si="7"/>
        <v/>
      </c>
      <c r="AF22" t="str">
        <f>IF(AD22&lt;&gt;"",IF(Input!Z22&lt;&gt;"",ROUNDDOWN(Input!Z22,0),0),"")</f>
        <v/>
      </c>
      <c r="AG22" t="str">
        <f>IF(Input!AA22&lt;&gt;"",Input!AA22,"")</f>
        <v/>
      </c>
      <c r="AH22" t="str">
        <f t="shared" si="8"/>
        <v/>
      </c>
      <c r="AI22" t="str">
        <f>IF(AG22&lt;&gt;"",IF(Input!AC22&lt;&gt;"",ROUNDDOWN(Input!AC22,0),0),"")</f>
        <v/>
      </c>
      <c r="AJ22" t="str">
        <f>IF(Input!AD22&lt;&gt;"",Input!AD22,"")</f>
        <v/>
      </c>
      <c r="AK22" t="str">
        <f t="shared" si="9"/>
        <v/>
      </c>
      <c r="AL22" t="str">
        <f>IF(AJ22&lt;&gt;"",IF(Input!AF22&lt;&gt;"",ROUNDDOWN(Input!AF22,0),0),"")</f>
        <v/>
      </c>
      <c r="AM22" t="str">
        <f>IF(Input!AG22&lt;&gt;"",Input!AG22,"")</f>
        <v/>
      </c>
      <c r="AN22" t="str">
        <f t="shared" si="10"/>
        <v/>
      </c>
      <c r="AO22" t="str">
        <f>IF(AM22&lt;&gt;"",IF(Input!AI22&lt;&gt;"",ROUNDDOWN(Input!AI22,0),0),"")</f>
        <v/>
      </c>
    </row>
    <row r="23" spans="1:41" ht="16.5" thickTop="1" thickBot="1" x14ac:dyDescent="0.4">
      <c r="A23" s="100">
        <f>IF(ISBLANK(Input!A23),1000,IF(Input!E23&gt;0,Input!E23+F23,1000))</f>
        <v>1000</v>
      </c>
      <c r="B23" s="101">
        <f t="shared" si="0"/>
        <v>1000</v>
      </c>
      <c r="C23" s="4">
        <v>22</v>
      </c>
      <c r="D23" s="29">
        <f>IF(ISBLANK(Input!A23),1000,IF(Input!G23&gt;0,Input!G23+F23,1000))</f>
        <v>1000</v>
      </c>
      <c r="E23" s="29">
        <f t="shared" si="1"/>
        <v>1000</v>
      </c>
      <c r="F23" s="4">
        <v>2.1999999999999999E-2</v>
      </c>
      <c r="I23" t="str">
        <f>IF(Input!A23&gt;0,Input!A23,"")</f>
        <v/>
      </c>
      <c r="J23" t="str">
        <f>IF(Input!B23&gt;0,Input!B23,"")</f>
        <v/>
      </c>
      <c r="K23" t="str">
        <f>IF(Input!C23&gt;0,Input!C23,"")</f>
        <v/>
      </c>
      <c r="L23" t="str">
        <f>IF(Input!D23&gt;0,Input!D23,"")</f>
        <v/>
      </c>
      <c r="M23" t="str">
        <f>IF(Input!E23&gt;0,Input!E23,"")</f>
        <v xml:space="preserve"> </v>
      </c>
      <c r="N23" t="str">
        <f>IF(Input!F23&gt;0,Input!F23,"")</f>
        <v xml:space="preserve"> </v>
      </c>
      <c r="O23" t="str">
        <f>IF(Input!I23&lt;&gt;"",Input!I23,"")</f>
        <v/>
      </c>
      <c r="P23" t="str">
        <f t="shared" si="2"/>
        <v/>
      </c>
      <c r="Q23" t="str">
        <f>IF(O23&lt;&gt;"",IF(Input!K23&lt;&gt;"",ROUNDDOWN(Input!K23,0),0),"")</f>
        <v/>
      </c>
      <c r="R23" t="str">
        <f>IF(Input!L23&lt;&gt;"",Input!L23,"")</f>
        <v/>
      </c>
      <c r="S23" t="str">
        <f t="shared" si="3"/>
        <v/>
      </c>
      <c r="T23" t="str">
        <f>IF(R23&lt;&gt;"",IF(Input!N23&lt;&gt;"",ROUNDDOWN(Input!N23,0),0),"")</f>
        <v/>
      </c>
      <c r="U23" t="str">
        <f>IF(Input!O23&lt;&gt;"",Input!O23,"")</f>
        <v/>
      </c>
      <c r="V23" t="str">
        <f t="shared" si="4"/>
        <v/>
      </c>
      <c r="W23" t="str">
        <f>IF(U23&lt;&gt;"",IF(Input!Q23&lt;&gt;"",ROUNDDOWN(Input!Q23,0),0),"")</f>
        <v/>
      </c>
      <c r="X23" t="str">
        <f>IF(Input!R23&lt;&gt;"",Input!R23,"")</f>
        <v/>
      </c>
      <c r="Y23" t="str">
        <f t="shared" si="5"/>
        <v/>
      </c>
      <c r="Z23" t="str">
        <f>IF(X23&lt;&gt;"",IF(Input!T23&lt;&gt;"",ROUNDDOWN(Input!T23,0),0),"")</f>
        <v/>
      </c>
      <c r="AA23" t="str">
        <f>IF(Input!U23&lt;&gt;"",Input!U23,"")</f>
        <v/>
      </c>
      <c r="AB23" t="str">
        <f t="shared" si="6"/>
        <v/>
      </c>
      <c r="AC23" t="str">
        <f>IF(AA23&lt;&gt;"",IF(Input!W23&lt;&gt;"",ROUNDDOWN(Input!W23,0),0),"")</f>
        <v/>
      </c>
      <c r="AD23" t="str">
        <f>IF(Input!X23&lt;&gt;"",Input!X23,"")</f>
        <v/>
      </c>
      <c r="AE23" t="str">
        <f t="shared" si="7"/>
        <v/>
      </c>
      <c r="AF23" t="str">
        <f>IF(AD23&lt;&gt;"",IF(Input!Z23&lt;&gt;"",ROUNDDOWN(Input!Z23,0),0),"")</f>
        <v/>
      </c>
      <c r="AG23" t="str">
        <f>IF(Input!AA23&lt;&gt;"",Input!AA23,"")</f>
        <v/>
      </c>
      <c r="AH23" t="str">
        <f t="shared" si="8"/>
        <v/>
      </c>
      <c r="AI23" t="str">
        <f>IF(AG23&lt;&gt;"",IF(Input!AC23&lt;&gt;"",ROUNDDOWN(Input!AC23,0),0),"")</f>
        <v/>
      </c>
      <c r="AJ23" t="str">
        <f>IF(Input!AD23&lt;&gt;"",Input!AD23,"")</f>
        <v/>
      </c>
      <c r="AK23" t="str">
        <f t="shared" si="9"/>
        <v/>
      </c>
      <c r="AL23" t="str">
        <f>IF(AJ23&lt;&gt;"",IF(Input!AF23&lt;&gt;"",ROUNDDOWN(Input!AF23,0),0),"")</f>
        <v/>
      </c>
      <c r="AM23" t="str">
        <f>IF(Input!AG23&lt;&gt;"",Input!AG23,"")</f>
        <v/>
      </c>
      <c r="AN23" t="str">
        <f t="shared" si="10"/>
        <v/>
      </c>
      <c r="AO23" t="str">
        <f>IF(AM23&lt;&gt;"",IF(Input!AI23&lt;&gt;"",ROUNDDOWN(Input!AI23,0),0),"")</f>
        <v/>
      </c>
    </row>
    <row r="24" spans="1:41" ht="16.5" thickTop="1" thickBot="1" x14ac:dyDescent="0.4">
      <c r="A24" s="100">
        <f>IF(ISBLANK(Input!A24),1000,IF(Input!E24&gt;0,Input!E24+F24,1000))</f>
        <v>1000</v>
      </c>
      <c r="B24" s="101">
        <f t="shared" si="0"/>
        <v>1000</v>
      </c>
      <c r="C24" s="4">
        <v>23</v>
      </c>
      <c r="D24" s="29">
        <f>IF(ISBLANK(Input!A24),1000,IF(Input!G24&gt;0,Input!G24+F24,1000))</f>
        <v>1000</v>
      </c>
      <c r="E24" s="29">
        <f t="shared" si="1"/>
        <v>1000</v>
      </c>
      <c r="F24" s="4">
        <v>2.3E-2</v>
      </c>
      <c r="I24" t="str">
        <f>IF(Input!A24&gt;0,Input!A24,"")</f>
        <v/>
      </c>
      <c r="J24" t="str">
        <f>IF(Input!B24&gt;0,Input!B24,"")</f>
        <v/>
      </c>
      <c r="K24" t="str">
        <f>IF(Input!C24&gt;0,Input!C24,"")</f>
        <v/>
      </c>
      <c r="L24" t="str">
        <f>IF(Input!D24&gt;0,Input!D24,"")</f>
        <v/>
      </c>
      <c r="M24" t="str">
        <f>IF(Input!E24&gt;0,Input!E24,"")</f>
        <v xml:space="preserve"> </v>
      </c>
      <c r="N24" t="str">
        <f>IF(Input!F24&gt;0,Input!F24,"")</f>
        <v xml:space="preserve"> </v>
      </c>
      <c r="O24" t="str">
        <f>IF(Input!I24&lt;&gt;"",Input!I24,"")</f>
        <v/>
      </c>
      <c r="P24" t="str">
        <f t="shared" si="2"/>
        <v/>
      </c>
      <c r="Q24" t="str">
        <f>IF(O24&lt;&gt;"",IF(Input!K24&lt;&gt;"",ROUNDDOWN(Input!K24,0),0),"")</f>
        <v/>
      </c>
      <c r="R24" t="str">
        <f>IF(Input!L24&lt;&gt;"",Input!L24,"")</f>
        <v/>
      </c>
      <c r="S24" t="str">
        <f t="shared" si="3"/>
        <v/>
      </c>
      <c r="T24" t="str">
        <f>IF(R24&lt;&gt;"",IF(Input!N24&lt;&gt;"",ROUNDDOWN(Input!N24,0),0),"")</f>
        <v/>
      </c>
      <c r="U24" t="str">
        <f>IF(Input!O24&lt;&gt;"",Input!O24,"")</f>
        <v/>
      </c>
      <c r="V24" t="str">
        <f t="shared" si="4"/>
        <v/>
      </c>
      <c r="W24" t="str">
        <f>IF(U24&lt;&gt;"",IF(Input!Q24&lt;&gt;"",ROUNDDOWN(Input!Q24,0),0),"")</f>
        <v/>
      </c>
      <c r="X24" t="str">
        <f>IF(Input!R24&lt;&gt;"",Input!R24,"")</f>
        <v/>
      </c>
      <c r="Y24" t="str">
        <f t="shared" si="5"/>
        <v/>
      </c>
      <c r="Z24" t="str">
        <f>IF(X24&lt;&gt;"",IF(Input!T24&lt;&gt;"",ROUNDDOWN(Input!T24,0),0),"")</f>
        <v/>
      </c>
      <c r="AA24" t="str">
        <f>IF(Input!U24&lt;&gt;"",Input!U24,"")</f>
        <v/>
      </c>
      <c r="AB24" t="str">
        <f t="shared" si="6"/>
        <v/>
      </c>
      <c r="AC24" t="str">
        <f>IF(AA24&lt;&gt;"",IF(Input!W24&lt;&gt;"",ROUNDDOWN(Input!W24,0),0),"")</f>
        <v/>
      </c>
      <c r="AD24" t="str">
        <f>IF(Input!X24&lt;&gt;"",Input!X24,"")</f>
        <v/>
      </c>
      <c r="AE24" t="str">
        <f t="shared" si="7"/>
        <v/>
      </c>
      <c r="AF24" t="str">
        <f>IF(AD24&lt;&gt;"",IF(Input!Z24&lt;&gt;"",ROUNDDOWN(Input!Z24,0),0),"")</f>
        <v/>
      </c>
      <c r="AG24" t="str">
        <f>IF(Input!AA24&lt;&gt;"",Input!AA24,"")</f>
        <v/>
      </c>
      <c r="AH24" t="str">
        <f t="shared" si="8"/>
        <v/>
      </c>
      <c r="AI24" t="str">
        <f>IF(AG24&lt;&gt;"",IF(Input!AC24&lt;&gt;"",ROUNDDOWN(Input!AC24,0),0),"")</f>
        <v/>
      </c>
      <c r="AJ24" t="str">
        <f>IF(Input!AD24&lt;&gt;"",Input!AD24,"")</f>
        <v/>
      </c>
      <c r="AK24" t="str">
        <f t="shared" si="9"/>
        <v/>
      </c>
      <c r="AL24" t="str">
        <f>IF(AJ24&lt;&gt;"",IF(Input!AF24&lt;&gt;"",ROUNDDOWN(Input!AF24,0),0),"")</f>
        <v/>
      </c>
      <c r="AM24" t="str">
        <f>IF(Input!AG24&lt;&gt;"",Input!AG24,"")</f>
        <v/>
      </c>
      <c r="AN24" t="str">
        <f t="shared" si="10"/>
        <v/>
      </c>
      <c r="AO24" t="str">
        <f>IF(AM24&lt;&gt;"",IF(Input!AI24&lt;&gt;"",ROUNDDOWN(Input!AI24,0),0),"")</f>
        <v/>
      </c>
    </row>
    <row r="25" spans="1:41" ht="16.5" thickTop="1" thickBot="1" x14ac:dyDescent="0.4">
      <c r="A25" s="100">
        <f>IF(ISBLANK(Input!A25),1000,IF(Input!E25&gt;0,Input!E25+F25,1000))</f>
        <v>1000</v>
      </c>
      <c r="B25" s="101">
        <f t="shared" si="0"/>
        <v>1000</v>
      </c>
      <c r="C25" s="4">
        <v>24</v>
      </c>
      <c r="D25" s="29">
        <f>IF(ISBLANK(Input!A25),1000,IF(Input!G25&gt;0,Input!G25+F25,1000))</f>
        <v>1000</v>
      </c>
      <c r="E25" s="29">
        <f t="shared" si="1"/>
        <v>1000</v>
      </c>
      <c r="F25" s="4">
        <v>2.4E-2</v>
      </c>
      <c r="I25" t="str">
        <f>IF(Input!A25&gt;0,Input!A25,"")</f>
        <v/>
      </c>
      <c r="J25" t="str">
        <f>IF(Input!B25&gt;0,Input!B25,"")</f>
        <v/>
      </c>
      <c r="K25" t="str">
        <f>IF(Input!C25&gt;0,Input!C25,"")</f>
        <v/>
      </c>
      <c r="L25" t="str">
        <f>IF(Input!D25&gt;0,Input!D25,"")</f>
        <v/>
      </c>
      <c r="M25" t="str">
        <f>IF(Input!E25&gt;0,Input!E25,"")</f>
        <v xml:space="preserve"> </v>
      </c>
      <c r="N25" t="str">
        <f>IF(Input!F25&gt;0,Input!F25,"")</f>
        <v xml:space="preserve"> </v>
      </c>
      <c r="O25" t="str">
        <f>IF(Input!I25&lt;&gt;"",Input!I25,"")</f>
        <v/>
      </c>
      <c r="P25" t="str">
        <f t="shared" si="2"/>
        <v/>
      </c>
      <c r="Q25" t="str">
        <f>IF(O25&lt;&gt;"",IF(Input!K25&lt;&gt;"",ROUNDDOWN(Input!K25,0),0),"")</f>
        <v/>
      </c>
      <c r="R25" t="str">
        <f>IF(Input!L25&lt;&gt;"",Input!L25,"")</f>
        <v/>
      </c>
      <c r="S25" t="str">
        <f t="shared" si="3"/>
        <v/>
      </c>
      <c r="T25" t="str">
        <f>IF(R25&lt;&gt;"",IF(Input!N25&lt;&gt;"",ROUNDDOWN(Input!N25,0),0),"")</f>
        <v/>
      </c>
      <c r="U25" t="str">
        <f>IF(Input!O25&lt;&gt;"",Input!O25,"")</f>
        <v/>
      </c>
      <c r="V25" t="str">
        <f t="shared" si="4"/>
        <v/>
      </c>
      <c r="W25" t="str">
        <f>IF(U25&lt;&gt;"",IF(Input!Q25&lt;&gt;"",ROUNDDOWN(Input!Q25,0),0),"")</f>
        <v/>
      </c>
      <c r="X25" t="str">
        <f>IF(Input!R25&lt;&gt;"",Input!R25,"")</f>
        <v/>
      </c>
      <c r="Y25" t="str">
        <f t="shared" si="5"/>
        <v/>
      </c>
      <c r="Z25" t="str">
        <f>IF(X25&lt;&gt;"",IF(Input!T25&lt;&gt;"",ROUNDDOWN(Input!T25,0),0),"")</f>
        <v/>
      </c>
      <c r="AA25" t="str">
        <f>IF(Input!U25&lt;&gt;"",Input!U25,"")</f>
        <v/>
      </c>
      <c r="AB25" t="str">
        <f t="shared" si="6"/>
        <v/>
      </c>
      <c r="AC25" t="str">
        <f>IF(AA25&lt;&gt;"",IF(Input!W25&lt;&gt;"",ROUNDDOWN(Input!W25,0),0),"")</f>
        <v/>
      </c>
      <c r="AD25" t="str">
        <f>IF(Input!X25&lt;&gt;"",Input!X25,"")</f>
        <v/>
      </c>
      <c r="AE25" t="str">
        <f t="shared" si="7"/>
        <v/>
      </c>
      <c r="AF25" t="str">
        <f>IF(AD25&lt;&gt;"",IF(Input!Z25&lt;&gt;"",ROUNDDOWN(Input!Z25,0),0),"")</f>
        <v/>
      </c>
      <c r="AG25" t="str">
        <f>IF(Input!AA25&lt;&gt;"",Input!AA25,"")</f>
        <v/>
      </c>
      <c r="AH25" t="str">
        <f t="shared" si="8"/>
        <v/>
      </c>
      <c r="AI25" t="str">
        <f>IF(AG25&lt;&gt;"",IF(Input!AC25&lt;&gt;"",ROUNDDOWN(Input!AC25,0),0),"")</f>
        <v/>
      </c>
      <c r="AJ25" t="str">
        <f>IF(Input!AD25&lt;&gt;"",Input!AD25,"")</f>
        <v/>
      </c>
      <c r="AK25" t="str">
        <f t="shared" si="9"/>
        <v/>
      </c>
      <c r="AL25" t="str">
        <f>IF(AJ25&lt;&gt;"",IF(Input!AF25&lt;&gt;"",ROUNDDOWN(Input!AF25,0),0),"")</f>
        <v/>
      </c>
      <c r="AM25" t="str">
        <f>IF(Input!AG25&lt;&gt;"",Input!AG25,"")</f>
        <v/>
      </c>
      <c r="AN25" t="str">
        <f t="shared" si="10"/>
        <v/>
      </c>
      <c r="AO25" t="str">
        <f>IF(AM25&lt;&gt;"",IF(Input!AI25&lt;&gt;"",ROUNDDOWN(Input!AI25,0),0),"")</f>
        <v/>
      </c>
    </row>
    <row r="26" spans="1:41" ht="16.5" thickTop="1" thickBot="1" x14ac:dyDescent="0.4">
      <c r="A26" s="100">
        <f>IF(ISBLANK(Input!A26),1000,IF(Input!E26&gt;0,Input!E26+F26,1000))</f>
        <v>1000</v>
      </c>
      <c r="B26" s="101">
        <f t="shared" si="0"/>
        <v>1000</v>
      </c>
      <c r="C26" s="4">
        <v>25</v>
      </c>
      <c r="D26" s="29">
        <f>IF(ISBLANK(Input!A26),1000,IF(Input!G26&gt;0,Input!G26+F26,1000))</f>
        <v>1000</v>
      </c>
      <c r="E26" s="29">
        <f t="shared" si="1"/>
        <v>1000</v>
      </c>
      <c r="F26" s="4">
        <v>2.5000000000000001E-2</v>
      </c>
      <c r="I26" t="str">
        <f>IF(Input!A26&gt;0,Input!A26,"")</f>
        <v/>
      </c>
      <c r="J26" t="str">
        <f>IF(Input!B26&gt;0,Input!B26,"")</f>
        <v/>
      </c>
      <c r="K26" t="str">
        <f>IF(Input!C26&gt;0,Input!C26,"")</f>
        <v/>
      </c>
      <c r="L26" t="str">
        <f>IF(Input!D26&gt;0,Input!D26,"")</f>
        <v/>
      </c>
      <c r="M26" t="str">
        <f>IF(Input!E26&gt;0,Input!E26,"")</f>
        <v xml:space="preserve"> </v>
      </c>
      <c r="N26" t="str">
        <f>IF(Input!F26&gt;0,Input!F26,"")</f>
        <v xml:space="preserve"> </v>
      </c>
      <c r="O26" t="str">
        <f>IF(Input!I26&lt;&gt;"",Input!I26,"")</f>
        <v/>
      </c>
      <c r="P26" t="str">
        <f t="shared" si="2"/>
        <v/>
      </c>
      <c r="Q26" t="str">
        <f>IF(O26&lt;&gt;"",IF(Input!K26&lt;&gt;"",ROUNDDOWN(Input!K26,0),0),"")</f>
        <v/>
      </c>
      <c r="R26" t="str">
        <f>IF(Input!L26&lt;&gt;"",Input!L26,"")</f>
        <v/>
      </c>
      <c r="S26" t="str">
        <f t="shared" si="3"/>
        <v/>
      </c>
      <c r="T26" t="str">
        <f>IF(R26&lt;&gt;"",IF(Input!N26&lt;&gt;"",ROUNDDOWN(Input!N26,0),0),"")</f>
        <v/>
      </c>
      <c r="U26" t="str">
        <f>IF(Input!O26&lt;&gt;"",Input!O26,"")</f>
        <v/>
      </c>
      <c r="V26" t="str">
        <f t="shared" si="4"/>
        <v/>
      </c>
      <c r="W26" t="str">
        <f>IF(U26&lt;&gt;"",IF(Input!Q26&lt;&gt;"",ROUNDDOWN(Input!Q26,0),0),"")</f>
        <v/>
      </c>
      <c r="X26" t="str">
        <f>IF(Input!R26&lt;&gt;"",Input!R26,"")</f>
        <v/>
      </c>
      <c r="Y26" t="str">
        <f t="shared" si="5"/>
        <v/>
      </c>
      <c r="Z26" t="str">
        <f>IF(X26&lt;&gt;"",IF(Input!T26&lt;&gt;"",ROUNDDOWN(Input!T26,0),0),"")</f>
        <v/>
      </c>
      <c r="AA26" t="str">
        <f>IF(Input!U26&lt;&gt;"",Input!U26,"")</f>
        <v/>
      </c>
      <c r="AB26" t="str">
        <f t="shared" si="6"/>
        <v/>
      </c>
      <c r="AC26" t="str">
        <f>IF(AA26&lt;&gt;"",IF(Input!W26&lt;&gt;"",ROUNDDOWN(Input!W26,0),0),"")</f>
        <v/>
      </c>
      <c r="AD26" t="str">
        <f>IF(Input!X26&lt;&gt;"",Input!X26,"")</f>
        <v/>
      </c>
      <c r="AE26" t="str">
        <f t="shared" si="7"/>
        <v/>
      </c>
      <c r="AF26" t="str">
        <f>IF(AD26&lt;&gt;"",IF(Input!Z26&lt;&gt;"",ROUNDDOWN(Input!Z26,0),0),"")</f>
        <v/>
      </c>
      <c r="AG26" t="str">
        <f>IF(Input!AA26&lt;&gt;"",Input!AA26,"")</f>
        <v/>
      </c>
      <c r="AH26" t="str">
        <f t="shared" si="8"/>
        <v/>
      </c>
      <c r="AI26" t="str">
        <f>IF(AG26&lt;&gt;"",IF(Input!AC26&lt;&gt;"",ROUNDDOWN(Input!AC26,0),0),"")</f>
        <v/>
      </c>
      <c r="AJ26" t="str">
        <f>IF(Input!AD26&lt;&gt;"",Input!AD26,"")</f>
        <v/>
      </c>
      <c r="AK26" t="str">
        <f t="shared" si="9"/>
        <v/>
      </c>
      <c r="AL26" t="str">
        <f>IF(AJ26&lt;&gt;"",IF(Input!AF26&lt;&gt;"",ROUNDDOWN(Input!AF26,0),0),"")</f>
        <v/>
      </c>
      <c r="AM26" t="str">
        <f>IF(Input!AG26&lt;&gt;"",Input!AG26,"")</f>
        <v/>
      </c>
      <c r="AN26" t="str">
        <f t="shared" si="10"/>
        <v/>
      </c>
      <c r="AO26" t="str">
        <f>IF(AM26&lt;&gt;"",IF(Input!AI26&lt;&gt;"",ROUNDDOWN(Input!AI26,0),0),"")</f>
        <v/>
      </c>
    </row>
    <row r="27" spans="1:41" ht="16.5" thickTop="1" thickBot="1" x14ac:dyDescent="0.4">
      <c r="A27" s="100">
        <f>IF(ISBLANK(Input!A27),1000,IF(Input!E27&gt;0,Input!E27+F27,1000))</f>
        <v>1000</v>
      </c>
      <c r="B27" s="101">
        <f t="shared" si="0"/>
        <v>1000</v>
      </c>
      <c r="C27" s="4">
        <v>26</v>
      </c>
      <c r="D27" s="29">
        <f>IF(ISBLANK(Input!A27),1000,IF(Input!G27&gt;0,Input!G27+F27,1000))</f>
        <v>1000</v>
      </c>
      <c r="E27" s="29">
        <f t="shared" si="1"/>
        <v>1000</v>
      </c>
      <c r="F27" s="4">
        <v>2.5999999999999999E-2</v>
      </c>
      <c r="I27" t="str">
        <f>IF(Input!A27&gt;0,Input!A27,"")</f>
        <v/>
      </c>
      <c r="J27" t="str">
        <f>IF(Input!B27&gt;0,Input!B27,"")</f>
        <v/>
      </c>
      <c r="K27" t="str">
        <f>IF(Input!C27&gt;0,Input!C27,"")</f>
        <v/>
      </c>
      <c r="L27" t="str">
        <f>IF(Input!D27&gt;0,Input!D27,"")</f>
        <v/>
      </c>
      <c r="M27" t="str">
        <f>IF(Input!E27&gt;0,Input!E27,"")</f>
        <v xml:space="preserve"> </v>
      </c>
      <c r="N27" t="str">
        <f>IF(Input!F27&gt;0,Input!F27,"")</f>
        <v xml:space="preserve"> </v>
      </c>
      <c r="O27" t="str">
        <f>IF(Input!I27&lt;&gt;"",Input!I27,"")</f>
        <v/>
      </c>
      <c r="P27" t="str">
        <f t="shared" si="2"/>
        <v/>
      </c>
      <c r="Q27" t="str">
        <f>IF(O27&lt;&gt;"",IF(Input!K27&lt;&gt;"",ROUNDDOWN(Input!K27,0),0),"")</f>
        <v/>
      </c>
      <c r="R27" t="str">
        <f>IF(Input!L27&lt;&gt;"",Input!L27,"")</f>
        <v/>
      </c>
      <c r="S27" t="str">
        <f t="shared" si="3"/>
        <v/>
      </c>
      <c r="T27" t="str">
        <f>IF(R27&lt;&gt;"",IF(Input!N27&lt;&gt;"",ROUNDDOWN(Input!N27,0),0),"")</f>
        <v/>
      </c>
      <c r="U27" t="str">
        <f>IF(Input!O27&lt;&gt;"",Input!O27,"")</f>
        <v/>
      </c>
      <c r="V27" t="str">
        <f t="shared" si="4"/>
        <v/>
      </c>
      <c r="W27" t="str">
        <f>IF(U27&lt;&gt;"",IF(Input!Q27&lt;&gt;"",ROUNDDOWN(Input!Q27,0),0),"")</f>
        <v/>
      </c>
      <c r="X27" t="str">
        <f>IF(Input!R27&lt;&gt;"",Input!R27,"")</f>
        <v/>
      </c>
      <c r="Y27" t="str">
        <f t="shared" si="5"/>
        <v/>
      </c>
      <c r="Z27" t="str">
        <f>IF(X27&lt;&gt;"",IF(Input!T27&lt;&gt;"",ROUNDDOWN(Input!T27,0),0),"")</f>
        <v/>
      </c>
      <c r="AA27" t="str">
        <f>IF(Input!U27&lt;&gt;"",Input!U27,"")</f>
        <v/>
      </c>
      <c r="AB27" t="str">
        <f t="shared" si="6"/>
        <v/>
      </c>
      <c r="AC27" t="str">
        <f>IF(AA27&lt;&gt;"",IF(Input!W27&lt;&gt;"",ROUNDDOWN(Input!W27,0),0),"")</f>
        <v/>
      </c>
      <c r="AD27" t="str">
        <f>IF(Input!X27&lt;&gt;"",Input!X27,"")</f>
        <v/>
      </c>
      <c r="AE27" t="str">
        <f t="shared" si="7"/>
        <v/>
      </c>
      <c r="AF27" t="str">
        <f>IF(AD27&lt;&gt;"",IF(Input!Z27&lt;&gt;"",ROUNDDOWN(Input!Z27,0),0),"")</f>
        <v/>
      </c>
      <c r="AG27" t="str">
        <f>IF(Input!AA27&lt;&gt;"",Input!AA27,"")</f>
        <v/>
      </c>
      <c r="AH27" t="str">
        <f t="shared" si="8"/>
        <v/>
      </c>
      <c r="AI27" t="str">
        <f>IF(AG27&lt;&gt;"",IF(Input!AC27&lt;&gt;"",ROUNDDOWN(Input!AC27,0),0),"")</f>
        <v/>
      </c>
      <c r="AJ27" t="str">
        <f>IF(Input!AD27&lt;&gt;"",Input!AD27,"")</f>
        <v/>
      </c>
      <c r="AK27" t="str">
        <f t="shared" si="9"/>
        <v/>
      </c>
      <c r="AL27" t="str">
        <f>IF(AJ27&lt;&gt;"",IF(Input!AF27&lt;&gt;"",ROUNDDOWN(Input!AF27,0),0),"")</f>
        <v/>
      </c>
      <c r="AM27" t="str">
        <f>IF(Input!AG27&lt;&gt;"",Input!AG27,"")</f>
        <v/>
      </c>
      <c r="AN27" t="str">
        <f t="shared" si="10"/>
        <v/>
      </c>
      <c r="AO27" t="str">
        <f>IF(AM27&lt;&gt;"",IF(Input!AI27&lt;&gt;"",ROUNDDOWN(Input!AI27,0),0),"")</f>
        <v/>
      </c>
    </row>
    <row r="28" spans="1:41" ht="16.5" thickTop="1" thickBot="1" x14ac:dyDescent="0.4">
      <c r="A28" s="100">
        <f>IF(ISBLANK(Input!A28),1000,IF(Input!E28&gt;0,Input!E28+F28,1000))</f>
        <v>1000</v>
      </c>
      <c r="B28" s="101">
        <f t="shared" si="0"/>
        <v>1000</v>
      </c>
      <c r="C28" s="4">
        <v>27</v>
      </c>
      <c r="D28" s="29">
        <f>IF(ISBLANK(Input!A28),1000,IF(Input!G28&gt;0,Input!G28+F28,1000))</f>
        <v>1000</v>
      </c>
      <c r="E28" s="29">
        <f t="shared" si="1"/>
        <v>1000</v>
      </c>
      <c r="F28" s="4">
        <v>2.7E-2</v>
      </c>
      <c r="I28" t="str">
        <f>IF(Input!A28&gt;0,Input!A28,"")</f>
        <v/>
      </c>
      <c r="J28" t="str">
        <f>IF(Input!B28&gt;0,Input!B28,"")</f>
        <v/>
      </c>
      <c r="K28" t="str">
        <f>IF(Input!C28&gt;0,Input!C28,"")</f>
        <v/>
      </c>
      <c r="L28" t="str">
        <f>IF(Input!D28&gt;0,Input!D28,"")</f>
        <v/>
      </c>
      <c r="M28" t="str">
        <f>IF(Input!E28&gt;0,Input!E28,"")</f>
        <v xml:space="preserve"> </v>
      </c>
      <c r="N28" t="str">
        <f>IF(Input!F28&gt;0,Input!F28,"")</f>
        <v xml:space="preserve"> </v>
      </c>
      <c r="O28" t="str">
        <f>IF(Input!I28&lt;&gt;"",Input!I28,"")</f>
        <v/>
      </c>
      <c r="P28" t="str">
        <f t="shared" si="2"/>
        <v/>
      </c>
      <c r="Q28" t="str">
        <f>IF(O28&lt;&gt;"",IF(Input!K28&lt;&gt;"",ROUNDDOWN(Input!K28,0),0),"")</f>
        <v/>
      </c>
      <c r="R28" t="str">
        <f>IF(Input!L28&lt;&gt;"",Input!L28,"")</f>
        <v/>
      </c>
      <c r="S28" t="str">
        <f t="shared" si="3"/>
        <v/>
      </c>
      <c r="T28" t="str">
        <f>IF(R28&lt;&gt;"",IF(Input!N28&lt;&gt;"",ROUNDDOWN(Input!N28,0),0),"")</f>
        <v/>
      </c>
      <c r="U28" t="str">
        <f>IF(Input!O28&lt;&gt;"",Input!O28,"")</f>
        <v/>
      </c>
      <c r="V28" t="str">
        <f t="shared" si="4"/>
        <v/>
      </c>
      <c r="W28" t="str">
        <f>IF(U28&lt;&gt;"",IF(Input!Q28&lt;&gt;"",ROUNDDOWN(Input!Q28,0),0),"")</f>
        <v/>
      </c>
      <c r="X28" t="str">
        <f>IF(Input!R28&lt;&gt;"",Input!R28,"")</f>
        <v/>
      </c>
      <c r="Y28" t="str">
        <f t="shared" si="5"/>
        <v/>
      </c>
      <c r="Z28" t="str">
        <f>IF(X28&lt;&gt;"",IF(Input!T28&lt;&gt;"",ROUNDDOWN(Input!T28,0),0),"")</f>
        <v/>
      </c>
      <c r="AA28" t="str">
        <f>IF(Input!U28&lt;&gt;"",Input!U28,"")</f>
        <v/>
      </c>
      <c r="AB28" t="str">
        <f t="shared" si="6"/>
        <v/>
      </c>
      <c r="AC28" t="str">
        <f>IF(AA28&lt;&gt;"",IF(Input!W28&lt;&gt;"",ROUNDDOWN(Input!W28,0),0),"")</f>
        <v/>
      </c>
      <c r="AD28" t="str">
        <f>IF(Input!X28&lt;&gt;"",Input!X28,"")</f>
        <v/>
      </c>
      <c r="AE28" t="str">
        <f t="shared" si="7"/>
        <v/>
      </c>
      <c r="AF28" t="str">
        <f>IF(AD28&lt;&gt;"",IF(Input!Z28&lt;&gt;"",ROUNDDOWN(Input!Z28,0),0),"")</f>
        <v/>
      </c>
      <c r="AG28" t="str">
        <f>IF(Input!AA28&lt;&gt;"",Input!AA28,"")</f>
        <v/>
      </c>
      <c r="AH28" t="str">
        <f t="shared" si="8"/>
        <v/>
      </c>
      <c r="AI28" t="str">
        <f>IF(AG28&lt;&gt;"",IF(Input!AC28&lt;&gt;"",ROUNDDOWN(Input!AC28,0),0),"")</f>
        <v/>
      </c>
      <c r="AJ28" t="str">
        <f>IF(Input!AD28&lt;&gt;"",Input!AD28,"")</f>
        <v/>
      </c>
      <c r="AK28" t="str">
        <f t="shared" si="9"/>
        <v/>
      </c>
      <c r="AL28" t="str">
        <f>IF(AJ28&lt;&gt;"",IF(Input!AF28&lt;&gt;"",ROUNDDOWN(Input!AF28,0),0),"")</f>
        <v/>
      </c>
      <c r="AM28" t="str">
        <f>IF(Input!AG28&lt;&gt;"",Input!AG28,"")</f>
        <v/>
      </c>
      <c r="AN28" t="str">
        <f t="shared" si="10"/>
        <v/>
      </c>
      <c r="AO28" t="str">
        <f>IF(AM28&lt;&gt;"",IF(Input!AI28&lt;&gt;"",ROUNDDOWN(Input!AI28,0),0),"")</f>
        <v/>
      </c>
    </row>
    <row r="29" spans="1:41" ht="16.5" thickTop="1" thickBot="1" x14ac:dyDescent="0.4">
      <c r="A29" s="100">
        <f>IF(ISBLANK(Input!A29),1000,IF(Input!E29&gt;0,Input!E29+F29,1000))</f>
        <v>1000</v>
      </c>
      <c r="B29" s="101">
        <f t="shared" si="0"/>
        <v>1000</v>
      </c>
      <c r="C29" s="4">
        <v>28</v>
      </c>
      <c r="D29" s="29">
        <f>IF(ISBLANK(Input!A29),1000,IF(Input!G29&gt;0,Input!G29+F29,1000))</f>
        <v>1000</v>
      </c>
      <c r="E29" s="29">
        <f t="shared" si="1"/>
        <v>1000</v>
      </c>
      <c r="F29" s="4">
        <v>2.8000000000000001E-2</v>
      </c>
      <c r="I29" t="str">
        <f>IF(Input!A29&gt;0,Input!A29,"")</f>
        <v/>
      </c>
      <c r="J29" t="str">
        <f>IF(Input!B29&gt;0,Input!B29,"")</f>
        <v/>
      </c>
      <c r="K29" t="str">
        <f>IF(Input!C29&gt;0,Input!C29,"")</f>
        <v/>
      </c>
      <c r="L29" t="str">
        <f>IF(Input!D29&gt;0,Input!D29,"")</f>
        <v/>
      </c>
      <c r="M29" t="str">
        <f>IF(Input!E29&gt;0,Input!E29,"")</f>
        <v xml:space="preserve"> </v>
      </c>
      <c r="N29" t="str">
        <f>IF(Input!F29&gt;0,Input!F29,"")</f>
        <v xml:space="preserve"> </v>
      </c>
      <c r="O29" t="str">
        <f>IF(Input!I29&lt;&gt;"",Input!I29,"")</f>
        <v/>
      </c>
      <c r="P29" t="str">
        <f t="shared" si="2"/>
        <v/>
      </c>
      <c r="Q29" t="str">
        <f>IF(O29&lt;&gt;"",IF(Input!K29&lt;&gt;"",ROUNDDOWN(Input!K29,0),0),"")</f>
        <v/>
      </c>
      <c r="R29" t="str">
        <f>IF(Input!L29&lt;&gt;"",Input!L29,"")</f>
        <v/>
      </c>
      <c r="S29" t="str">
        <f t="shared" si="3"/>
        <v/>
      </c>
      <c r="T29" t="str">
        <f>IF(R29&lt;&gt;"",IF(Input!N29&lt;&gt;"",ROUNDDOWN(Input!N29,0),0),"")</f>
        <v/>
      </c>
      <c r="U29" t="str">
        <f>IF(Input!O29&lt;&gt;"",Input!O29,"")</f>
        <v/>
      </c>
      <c r="V29" t="str">
        <f t="shared" si="4"/>
        <v/>
      </c>
      <c r="W29" t="str">
        <f>IF(U29&lt;&gt;"",IF(Input!Q29&lt;&gt;"",ROUNDDOWN(Input!Q29,0),0),"")</f>
        <v/>
      </c>
      <c r="X29" t="str">
        <f>IF(Input!R29&lt;&gt;"",Input!R29,"")</f>
        <v/>
      </c>
      <c r="Y29" t="str">
        <f t="shared" si="5"/>
        <v/>
      </c>
      <c r="Z29" t="str">
        <f>IF(X29&lt;&gt;"",IF(Input!T29&lt;&gt;"",ROUNDDOWN(Input!T29,0),0),"")</f>
        <v/>
      </c>
      <c r="AA29" t="str">
        <f>IF(Input!U29&lt;&gt;"",Input!U29,"")</f>
        <v/>
      </c>
      <c r="AB29" t="str">
        <f t="shared" si="6"/>
        <v/>
      </c>
      <c r="AC29" t="str">
        <f>IF(AA29&lt;&gt;"",IF(Input!W29&lt;&gt;"",ROUNDDOWN(Input!W29,0),0),"")</f>
        <v/>
      </c>
      <c r="AD29" t="str">
        <f>IF(Input!X29&lt;&gt;"",Input!X29,"")</f>
        <v/>
      </c>
      <c r="AE29" t="str">
        <f t="shared" si="7"/>
        <v/>
      </c>
      <c r="AF29" t="str">
        <f>IF(AD29&lt;&gt;"",IF(Input!Z29&lt;&gt;"",ROUNDDOWN(Input!Z29,0),0),"")</f>
        <v/>
      </c>
      <c r="AG29" t="str">
        <f>IF(Input!AA29&lt;&gt;"",Input!AA29,"")</f>
        <v/>
      </c>
      <c r="AH29" t="str">
        <f t="shared" si="8"/>
        <v/>
      </c>
      <c r="AI29" t="str">
        <f>IF(AG29&lt;&gt;"",IF(Input!AC29&lt;&gt;"",ROUNDDOWN(Input!AC29,0),0),"")</f>
        <v/>
      </c>
      <c r="AJ29" t="str">
        <f>IF(Input!AD29&lt;&gt;"",Input!AD29,"")</f>
        <v/>
      </c>
      <c r="AK29" t="str">
        <f t="shared" si="9"/>
        <v/>
      </c>
      <c r="AL29" t="str">
        <f>IF(AJ29&lt;&gt;"",IF(Input!AF29&lt;&gt;"",ROUNDDOWN(Input!AF29,0),0),"")</f>
        <v/>
      </c>
      <c r="AM29" t="str">
        <f>IF(Input!AG29&lt;&gt;"",Input!AG29,"")</f>
        <v/>
      </c>
      <c r="AN29" t="str">
        <f t="shared" si="10"/>
        <v/>
      </c>
      <c r="AO29" t="str">
        <f>IF(AM29&lt;&gt;"",IF(Input!AI29&lt;&gt;"",ROUNDDOWN(Input!AI29,0),0),"")</f>
        <v/>
      </c>
    </row>
    <row r="30" spans="1:41" ht="16.5" thickTop="1" thickBot="1" x14ac:dyDescent="0.4">
      <c r="A30" s="100">
        <f>IF(ISBLANK(Input!A30),1000,IF(Input!E30&gt;0,Input!E30+F30,1000))</f>
        <v>1000</v>
      </c>
      <c r="B30" s="101">
        <f t="shared" si="0"/>
        <v>1000</v>
      </c>
      <c r="C30" s="4">
        <v>29</v>
      </c>
      <c r="D30" s="29">
        <f>IF(ISBLANK(Input!A30),1000,IF(Input!G30&gt;0,Input!G30+F30,1000))</f>
        <v>1000</v>
      </c>
      <c r="E30" s="29">
        <f t="shared" si="1"/>
        <v>1000</v>
      </c>
      <c r="F30" s="4">
        <v>2.9000000000000001E-2</v>
      </c>
      <c r="I30" t="str">
        <f>IF(Input!A30&gt;0,Input!A30,"")</f>
        <v/>
      </c>
      <c r="J30" t="str">
        <f>IF(Input!B30&gt;0,Input!B30,"")</f>
        <v/>
      </c>
      <c r="K30" t="str">
        <f>IF(Input!C30&gt;0,Input!C30,"")</f>
        <v/>
      </c>
      <c r="L30" t="str">
        <f>IF(Input!D30&gt;0,Input!D30,"")</f>
        <v/>
      </c>
      <c r="M30" t="str">
        <f>IF(Input!E30&gt;0,Input!E30,"")</f>
        <v xml:space="preserve"> </v>
      </c>
      <c r="N30" t="str">
        <f>IF(Input!F30&gt;0,Input!F30,"")</f>
        <v xml:space="preserve"> </v>
      </c>
      <c r="O30" t="str">
        <f>IF(Input!I30&lt;&gt;"",Input!I30,"")</f>
        <v/>
      </c>
      <c r="P30" t="str">
        <f t="shared" si="2"/>
        <v/>
      </c>
      <c r="Q30" t="str">
        <f>IF(O30&lt;&gt;"",IF(Input!K30&lt;&gt;"",ROUNDDOWN(Input!K30,0),0),"")</f>
        <v/>
      </c>
      <c r="R30" t="str">
        <f>IF(Input!L30&lt;&gt;"",Input!L30,"")</f>
        <v/>
      </c>
      <c r="S30" t="str">
        <f t="shared" si="3"/>
        <v/>
      </c>
      <c r="T30" t="str">
        <f>IF(R30&lt;&gt;"",IF(Input!N30&lt;&gt;"",ROUNDDOWN(Input!N30,0),0),"")</f>
        <v/>
      </c>
      <c r="U30" t="str">
        <f>IF(Input!O30&lt;&gt;"",Input!O30,"")</f>
        <v/>
      </c>
      <c r="V30" t="str">
        <f t="shared" si="4"/>
        <v/>
      </c>
      <c r="W30" t="str">
        <f>IF(U30&lt;&gt;"",IF(Input!Q30&lt;&gt;"",ROUNDDOWN(Input!Q30,0),0),"")</f>
        <v/>
      </c>
      <c r="X30" t="str">
        <f>IF(Input!R30&lt;&gt;"",Input!R30,"")</f>
        <v/>
      </c>
      <c r="Y30" t="str">
        <f t="shared" si="5"/>
        <v/>
      </c>
      <c r="Z30" t="str">
        <f>IF(X30&lt;&gt;"",IF(Input!T30&lt;&gt;"",ROUNDDOWN(Input!T30,0),0),"")</f>
        <v/>
      </c>
      <c r="AA30" t="str">
        <f>IF(Input!U30&lt;&gt;"",Input!U30,"")</f>
        <v/>
      </c>
      <c r="AB30" t="str">
        <f t="shared" si="6"/>
        <v/>
      </c>
      <c r="AC30" t="str">
        <f>IF(AA30&lt;&gt;"",IF(Input!W30&lt;&gt;"",ROUNDDOWN(Input!W30,0),0),"")</f>
        <v/>
      </c>
      <c r="AD30" t="str">
        <f>IF(Input!X30&lt;&gt;"",Input!X30,"")</f>
        <v/>
      </c>
      <c r="AE30" t="str">
        <f t="shared" si="7"/>
        <v/>
      </c>
      <c r="AF30" t="str">
        <f>IF(AD30&lt;&gt;"",IF(Input!Z30&lt;&gt;"",ROUNDDOWN(Input!Z30,0),0),"")</f>
        <v/>
      </c>
      <c r="AG30" t="str">
        <f>IF(Input!AA30&lt;&gt;"",Input!AA30,"")</f>
        <v/>
      </c>
      <c r="AH30" t="str">
        <f t="shared" si="8"/>
        <v/>
      </c>
      <c r="AI30" t="str">
        <f>IF(AG30&lt;&gt;"",IF(Input!AC30&lt;&gt;"",ROUNDDOWN(Input!AC30,0),0),"")</f>
        <v/>
      </c>
      <c r="AJ30" t="str">
        <f>IF(Input!AD30&lt;&gt;"",Input!AD30,"")</f>
        <v/>
      </c>
      <c r="AK30" t="str">
        <f t="shared" si="9"/>
        <v/>
      </c>
      <c r="AL30" t="str">
        <f>IF(AJ30&lt;&gt;"",IF(Input!AF30&lt;&gt;"",ROUNDDOWN(Input!AF30,0),0),"")</f>
        <v/>
      </c>
      <c r="AM30" t="str">
        <f>IF(Input!AG30&lt;&gt;"",Input!AG30,"")</f>
        <v/>
      </c>
      <c r="AN30" t="str">
        <f t="shared" si="10"/>
        <v/>
      </c>
      <c r="AO30" t="str">
        <f>IF(AM30&lt;&gt;"",IF(Input!AI30&lt;&gt;"",ROUNDDOWN(Input!AI30,0),0),"")</f>
        <v/>
      </c>
    </row>
    <row r="31" spans="1:41" ht="16.5" thickTop="1" thickBot="1" x14ac:dyDescent="0.4">
      <c r="A31" s="100">
        <f>IF(ISBLANK(Input!A31),1000,IF(Input!E31&gt;0,Input!E31+F31,1000))</f>
        <v>1000</v>
      </c>
      <c r="B31" s="101">
        <f t="shared" si="0"/>
        <v>1000</v>
      </c>
      <c r="C31" s="4">
        <v>30</v>
      </c>
      <c r="D31" s="29">
        <f>IF(ISBLANK(Input!A31),1000,IF(Input!G31&gt;0,Input!G31+F31,1000))</f>
        <v>1000</v>
      </c>
      <c r="E31" s="29">
        <f t="shared" si="1"/>
        <v>1000</v>
      </c>
      <c r="F31" s="4">
        <v>0.03</v>
      </c>
      <c r="I31" t="str">
        <f>IF(Input!A31&gt;0,Input!A31,"")</f>
        <v/>
      </c>
      <c r="J31" t="str">
        <f>IF(Input!B31&gt;0,Input!B31,"")</f>
        <v/>
      </c>
      <c r="K31" t="str">
        <f>IF(Input!C31&gt;0,Input!C31,"")</f>
        <v/>
      </c>
      <c r="L31" t="str">
        <f>IF(Input!D31&gt;0,Input!D31,"")</f>
        <v/>
      </c>
      <c r="M31" t="str">
        <f>IF(Input!E31&gt;0,Input!E31,"")</f>
        <v xml:space="preserve"> </v>
      </c>
      <c r="N31" t="str">
        <f>IF(Input!F31&gt;0,Input!F31,"")</f>
        <v xml:space="preserve"> </v>
      </c>
      <c r="O31" t="str">
        <f>IF(Input!I31&lt;&gt;"",Input!I31,"")</f>
        <v/>
      </c>
      <c r="P31" t="str">
        <f t="shared" si="2"/>
        <v/>
      </c>
      <c r="Q31" t="str">
        <f>IF(O31&lt;&gt;"",IF(Input!K31&lt;&gt;"",ROUNDDOWN(Input!K31,0),0),"")</f>
        <v/>
      </c>
      <c r="R31" t="str">
        <f>IF(Input!L31&lt;&gt;"",Input!L31,"")</f>
        <v/>
      </c>
      <c r="S31" t="str">
        <f t="shared" si="3"/>
        <v/>
      </c>
      <c r="T31" t="str">
        <f>IF(R31&lt;&gt;"",IF(Input!N31&lt;&gt;"",ROUNDDOWN(Input!N31,0),0),"")</f>
        <v/>
      </c>
      <c r="U31" t="str">
        <f>IF(Input!O31&lt;&gt;"",Input!O31,"")</f>
        <v/>
      </c>
      <c r="V31" t="str">
        <f t="shared" si="4"/>
        <v/>
      </c>
      <c r="W31" t="str">
        <f>IF(U31&lt;&gt;"",IF(Input!Q31&lt;&gt;"",ROUNDDOWN(Input!Q31,0),0),"")</f>
        <v/>
      </c>
      <c r="X31" t="str">
        <f>IF(Input!R31&lt;&gt;"",Input!R31,"")</f>
        <v/>
      </c>
      <c r="Y31" t="str">
        <f t="shared" si="5"/>
        <v/>
      </c>
      <c r="Z31" t="str">
        <f>IF(X31&lt;&gt;"",IF(Input!T31&lt;&gt;"",ROUNDDOWN(Input!T31,0),0),"")</f>
        <v/>
      </c>
      <c r="AA31" t="str">
        <f>IF(Input!U31&lt;&gt;"",Input!U31,"")</f>
        <v/>
      </c>
      <c r="AB31" t="str">
        <f t="shared" si="6"/>
        <v/>
      </c>
      <c r="AC31" t="str">
        <f>IF(AA31&lt;&gt;"",IF(Input!W31&lt;&gt;"",ROUNDDOWN(Input!W31,0),0),"")</f>
        <v/>
      </c>
      <c r="AD31" t="str">
        <f>IF(Input!X31&lt;&gt;"",Input!X31,"")</f>
        <v/>
      </c>
      <c r="AE31" t="str">
        <f t="shared" si="7"/>
        <v/>
      </c>
      <c r="AF31" t="str">
        <f>IF(AD31&lt;&gt;"",IF(Input!Z31&lt;&gt;"",ROUNDDOWN(Input!Z31,0),0),"")</f>
        <v/>
      </c>
      <c r="AG31" t="str">
        <f>IF(Input!AA31&lt;&gt;"",Input!AA31,"")</f>
        <v/>
      </c>
      <c r="AH31" t="str">
        <f t="shared" si="8"/>
        <v/>
      </c>
      <c r="AI31" t="str">
        <f>IF(AG31&lt;&gt;"",IF(Input!AC31&lt;&gt;"",ROUNDDOWN(Input!AC31,0),0),"")</f>
        <v/>
      </c>
      <c r="AJ31" t="str">
        <f>IF(Input!AD31&lt;&gt;"",Input!AD31,"")</f>
        <v/>
      </c>
      <c r="AK31" t="str">
        <f t="shared" si="9"/>
        <v/>
      </c>
      <c r="AL31" t="str">
        <f>IF(AJ31&lt;&gt;"",IF(Input!AF31&lt;&gt;"",ROUNDDOWN(Input!AF31,0),0),"")</f>
        <v/>
      </c>
      <c r="AM31" t="str">
        <f>IF(Input!AG31&lt;&gt;"",Input!AG31,"")</f>
        <v/>
      </c>
      <c r="AN31" t="str">
        <f t="shared" si="10"/>
        <v/>
      </c>
      <c r="AO31" t="str">
        <f>IF(AM31&lt;&gt;"",IF(Input!AI31&lt;&gt;"",ROUNDDOWN(Input!AI31,0),0),"")</f>
        <v/>
      </c>
    </row>
    <row r="32" spans="1:41" ht="16.5" thickTop="1" thickBot="1" x14ac:dyDescent="0.4">
      <c r="A32" s="100">
        <f>IF(ISBLANK(Input!A32),1000,IF(Input!E32&gt;0,Input!E32+F32,1000))</f>
        <v>1000</v>
      </c>
      <c r="B32" s="101">
        <f t="shared" si="0"/>
        <v>1000</v>
      </c>
      <c r="C32" s="4">
        <v>31</v>
      </c>
      <c r="D32" s="29">
        <f>IF(ISBLANK(Input!A32),1000,IF(Input!G32&gt;0,Input!G32+F32,1000))</f>
        <v>1000</v>
      </c>
      <c r="E32" s="29">
        <f t="shared" si="1"/>
        <v>1000</v>
      </c>
      <c r="F32" s="4">
        <v>3.1E-2</v>
      </c>
      <c r="I32" t="str">
        <f>IF(Input!A32&gt;0,Input!A32,"")</f>
        <v/>
      </c>
      <c r="J32" t="str">
        <f>IF(Input!B32&gt;0,Input!B32,"")</f>
        <v/>
      </c>
      <c r="K32" t="str">
        <f>IF(Input!C32&gt;0,Input!C32,"")</f>
        <v/>
      </c>
      <c r="L32" t="str">
        <f>IF(Input!D32&gt;0,Input!D32,"")</f>
        <v/>
      </c>
      <c r="M32" t="str">
        <f>IF(Input!E32&gt;0,Input!E32,"")</f>
        <v xml:space="preserve"> </v>
      </c>
      <c r="N32" t="str">
        <f>IF(Input!F32&gt;0,Input!F32,"")</f>
        <v xml:space="preserve"> </v>
      </c>
      <c r="O32" t="str">
        <f>IF(Input!I32&lt;&gt;"",Input!I32,"")</f>
        <v/>
      </c>
      <c r="P32" t="str">
        <f t="shared" si="2"/>
        <v/>
      </c>
      <c r="Q32" t="str">
        <f>IF(O32&lt;&gt;"",IF(Input!K32&lt;&gt;"",ROUNDDOWN(Input!K32,0),0),"")</f>
        <v/>
      </c>
      <c r="R32" t="str">
        <f>IF(Input!L32&lt;&gt;"",Input!L32,"")</f>
        <v/>
      </c>
      <c r="S32" t="str">
        <f t="shared" si="3"/>
        <v/>
      </c>
      <c r="T32" t="str">
        <f>IF(R32&lt;&gt;"",IF(Input!N32&lt;&gt;"",ROUNDDOWN(Input!N32,0),0),"")</f>
        <v/>
      </c>
      <c r="U32" t="str">
        <f>IF(Input!O32&lt;&gt;"",Input!O32,"")</f>
        <v/>
      </c>
      <c r="V32" t="str">
        <f t="shared" si="4"/>
        <v/>
      </c>
      <c r="W32" t="str">
        <f>IF(U32&lt;&gt;"",IF(Input!Q32&lt;&gt;"",ROUNDDOWN(Input!Q32,0),0),"")</f>
        <v/>
      </c>
      <c r="X32" t="str">
        <f>IF(Input!R32&lt;&gt;"",Input!R32,"")</f>
        <v/>
      </c>
      <c r="Y32" t="str">
        <f t="shared" si="5"/>
        <v/>
      </c>
      <c r="Z32" t="str">
        <f>IF(X32&lt;&gt;"",IF(Input!T32&lt;&gt;"",ROUNDDOWN(Input!T32,0),0),"")</f>
        <v/>
      </c>
      <c r="AA32" t="str">
        <f>IF(Input!U32&lt;&gt;"",Input!U32,"")</f>
        <v/>
      </c>
      <c r="AB32" t="str">
        <f t="shared" si="6"/>
        <v/>
      </c>
      <c r="AC32" t="str">
        <f>IF(AA32&lt;&gt;"",IF(Input!W32&lt;&gt;"",ROUNDDOWN(Input!W32,0),0),"")</f>
        <v/>
      </c>
      <c r="AD32" t="str">
        <f>IF(Input!X32&lt;&gt;"",Input!X32,"")</f>
        <v/>
      </c>
      <c r="AE32" t="str">
        <f t="shared" si="7"/>
        <v/>
      </c>
      <c r="AF32" t="str">
        <f>IF(AD32&lt;&gt;"",IF(Input!Z32&lt;&gt;"",ROUNDDOWN(Input!Z32,0),0),"")</f>
        <v/>
      </c>
      <c r="AG32" t="str">
        <f>IF(Input!AA32&lt;&gt;"",Input!AA32,"")</f>
        <v/>
      </c>
      <c r="AH32" t="str">
        <f t="shared" si="8"/>
        <v/>
      </c>
      <c r="AI32" t="str">
        <f>IF(AG32&lt;&gt;"",IF(Input!AC32&lt;&gt;"",ROUNDDOWN(Input!AC32,0),0),"")</f>
        <v/>
      </c>
      <c r="AJ32" t="str">
        <f>IF(Input!AD32&lt;&gt;"",Input!AD32,"")</f>
        <v/>
      </c>
      <c r="AK32" t="str">
        <f t="shared" si="9"/>
        <v/>
      </c>
      <c r="AL32" t="str">
        <f>IF(AJ32&lt;&gt;"",IF(Input!AF32&lt;&gt;"",ROUNDDOWN(Input!AF32,0),0),"")</f>
        <v/>
      </c>
      <c r="AM32" t="str">
        <f>IF(Input!AG32&lt;&gt;"",Input!AG32,"")</f>
        <v/>
      </c>
      <c r="AN32" t="str">
        <f t="shared" si="10"/>
        <v/>
      </c>
      <c r="AO32" t="str">
        <f>IF(AM32&lt;&gt;"",IF(Input!AI32&lt;&gt;"",ROUNDDOWN(Input!AI32,0),0),"")</f>
        <v/>
      </c>
    </row>
    <row r="33" spans="1:41" ht="16.5" thickTop="1" thickBot="1" x14ac:dyDescent="0.4">
      <c r="A33" s="100">
        <f>IF(ISBLANK(Input!A33),1000,IF(Input!E33&gt;0,Input!E33+F33,1000))</f>
        <v>1000</v>
      </c>
      <c r="B33" s="101">
        <f t="shared" si="0"/>
        <v>1000</v>
      </c>
      <c r="C33" s="4">
        <v>32</v>
      </c>
      <c r="D33" s="29">
        <f>IF(ISBLANK(Input!A33),1000,IF(Input!G33&gt;0,Input!G33+F33,1000))</f>
        <v>1000</v>
      </c>
      <c r="E33" s="29">
        <f t="shared" si="1"/>
        <v>1000</v>
      </c>
      <c r="F33" s="4">
        <v>3.2000000000000001E-2</v>
      </c>
      <c r="I33" t="str">
        <f>IF(Input!A33&gt;0,Input!A33,"")</f>
        <v/>
      </c>
      <c r="J33" t="str">
        <f>IF(Input!B33&gt;0,Input!B33,"")</f>
        <v/>
      </c>
      <c r="K33" t="str">
        <f>IF(Input!C33&gt;0,Input!C33,"")</f>
        <v/>
      </c>
      <c r="L33" t="str">
        <f>IF(Input!D33&gt;0,Input!D33,"")</f>
        <v/>
      </c>
      <c r="M33" t="str">
        <f>IF(Input!E33&gt;0,Input!E33,"")</f>
        <v xml:space="preserve"> </v>
      </c>
      <c r="N33" t="str">
        <f>IF(Input!F33&gt;0,Input!F33,"")</f>
        <v xml:space="preserve"> </v>
      </c>
      <c r="O33" t="str">
        <f>IF(Input!I33&lt;&gt;"",Input!I33,"")</f>
        <v/>
      </c>
      <c r="P33" t="str">
        <f t="shared" si="2"/>
        <v/>
      </c>
      <c r="Q33" t="str">
        <f>IF(O33&lt;&gt;"",IF(Input!K33&lt;&gt;"",ROUNDDOWN(Input!K33,0),0),"")</f>
        <v/>
      </c>
      <c r="R33" t="str">
        <f>IF(Input!L33&lt;&gt;"",Input!L33,"")</f>
        <v/>
      </c>
      <c r="S33" t="str">
        <f t="shared" si="3"/>
        <v/>
      </c>
      <c r="T33" t="str">
        <f>IF(R33&lt;&gt;"",IF(Input!N33&lt;&gt;"",ROUNDDOWN(Input!N33,0),0),"")</f>
        <v/>
      </c>
      <c r="U33" t="str">
        <f>IF(Input!O33&lt;&gt;"",Input!O33,"")</f>
        <v/>
      </c>
      <c r="V33" t="str">
        <f t="shared" si="4"/>
        <v/>
      </c>
      <c r="W33" t="str">
        <f>IF(U33&lt;&gt;"",IF(Input!Q33&lt;&gt;"",ROUNDDOWN(Input!Q33,0),0),"")</f>
        <v/>
      </c>
      <c r="X33" t="str">
        <f>IF(Input!R33&lt;&gt;"",Input!R33,"")</f>
        <v/>
      </c>
      <c r="Y33" t="str">
        <f t="shared" si="5"/>
        <v/>
      </c>
      <c r="Z33" t="str">
        <f>IF(X33&lt;&gt;"",IF(Input!T33&lt;&gt;"",ROUNDDOWN(Input!T33,0),0),"")</f>
        <v/>
      </c>
      <c r="AA33" t="str">
        <f>IF(Input!U33&lt;&gt;"",Input!U33,"")</f>
        <v/>
      </c>
      <c r="AB33" t="str">
        <f t="shared" si="6"/>
        <v/>
      </c>
      <c r="AC33" t="str">
        <f>IF(AA33&lt;&gt;"",IF(Input!W33&lt;&gt;"",ROUNDDOWN(Input!W33,0),0),"")</f>
        <v/>
      </c>
      <c r="AD33" t="str">
        <f>IF(Input!X33&lt;&gt;"",Input!X33,"")</f>
        <v/>
      </c>
      <c r="AE33" t="str">
        <f t="shared" si="7"/>
        <v/>
      </c>
      <c r="AF33" t="str">
        <f>IF(AD33&lt;&gt;"",IF(Input!Z33&lt;&gt;"",ROUNDDOWN(Input!Z33,0),0),"")</f>
        <v/>
      </c>
      <c r="AG33" t="str">
        <f>IF(Input!AA33&lt;&gt;"",Input!AA33,"")</f>
        <v/>
      </c>
      <c r="AH33" t="str">
        <f t="shared" si="8"/>
        <v/>
      </c>
      <c r="AI33" t="str">
        <f>IF(AG33&lt;&gt;"",IF(Input!AC33&lt;&gt;"",ROUNDDOWN(Input!AC33,0),0),"")</f>
        <v/>
      </c>
      <c r="AJ33" t="str">
        <f>IF(Input!AD33&lt;&gt;"",Input!AD33,"")</f>
        <v/>
      </c>
      <c r="AK33" t="str">
        <f t="shared" si="9"/>
        <v/>
      </c>
      <c r="AL33" t="str">
        <f>IF(AJ33&lt;&gt;"",IF(Input!AF33&lt;&gt;"",ROUNDDOWN(Input!AF33,0),0),"")</f>
        <v/>
      </c>
      <c r="AM33" t="str">
        <f>IF(Input!AG33&lt;&gt;"",Input!AG33,"")</f>
        <v/>
      </c>
      <c r="AN33" t="str">
        <f t="shared" si="10"/>
        <v/>
      </c>
      <c r="AO33" t="str">
        <f>IF(AM33&lt;&gt;"",IF(Input!AI33&lt;&gt;"",ROUNDDOWN(Input!AI33,0),0),"")</f>
        <v/>
      </c>
    </row>
    <row r="34" spans="1:41" ht="16.5" thickTop="1" thickBot="1" x14ac:dyDescent="0.4">
      <c r="A34" s="100">
        <f>IF(ISBLANK(Input!A34),1000,IF(Input!E34&gt;0,Input!E34+F34,1000))</f>
        <v>1000</v>
      </c>
      <c r="B34" s="101">
        <f t="shared" si="0"/>
        <v>1000</v>
      </c>
      <c r="C34" s="4">
        <v>33</v>
      </c>
      <c r="D34" s="29">
        <f>IF(ISBLANK(Input!A34),1000,IF(Input!G34&gt;0,Input!G34+F34,1000))</f>
        <v>1000</v>
      </c>
      <c r="E34" s="29">
        <f t="shared" si="1"/>
        <v>1000</v>
      </c>
      <c r="F34" s="4">
        <v>3.3000000000000002E-2</v>
      </c>
      <c r="I34" t="str">
        <f>IF(Input!A34&gt;0,Input!A34,"")</f>
        <v/>
      </c>
      <c r="J34" t="str">
        <f>IF(Input!B34&gt;0,Input!B34,"")</f>
        <v/>
      </c>
      <c r="K34" t="str">
        <f>IF(Input!C34&gt;0,Input!C34,"")</f>
        <v/>
      </c>
      <c r="L34" t="str">
        <f>IF(Input!D34&gt;0,Input!D34,"")</f>
        <v/>
      </c>
      <c r="M34" t="str">
        <f>IF(Input!E34&gt;0,Input!E34,"")</f>
        <v xml:space="preserve"> </v>
      </c>
      <c r="N34" t="str">
        <f>IF(Input!F34&gt;0,Input!F34,"")</f>
        <v xml:space="preserve"> </v>
      </c>
      <c r="O34" t="str">
        <f>IF(Input!I34&lt;&gt;"",Input!I34,"")</f>
        <v/>
      </c>
      <c r="P34" t="str">
        <f t="shared" si="2"/>
        <v/>
      </c>
      <c r="Q34" t="str">
        <f>IF(O34&lt;&gt;"",IF(Input!K34&lt;&gt;"",ROUNDDOWN(Input!K34,0),0),"")</f>
        <v/>
      </c>
      <c r="R34" t="str">
        <f>IF(Input!L34&lt;&gt;"",Input!L34,"")</f>
        <v/>
      </c>
      <c r="S34" t="str">
        <f t="shared" si="3"/>
        <v/>
      </c>
      <c r="T34" t="str">
        <f>IF(R34&lt;&gt;"",IF(Input!N34&lt;&gt;"",ROUNDDOWN(Input!N34,0),0),"")</f>
        <v/>
      </c>
      <c r="U34" t="str">
        <f>IF(Input!O34&lt;&gt;"",Input!O34,"")</f>
        <v/>
      </c>
      <c r="V34" t="str">
        <f t="shared" si="4"/>
        <v/>
      </c>
      <c r="W34" t="str">
        <f>IF(U34&lt;&gt;"",IF(Input!Q34&lt;&gt;"",ROUNDDOWN(Input!Q34,0),0),"")</f>
        <v/>
      </c>
      <c r="X34" t="str">
        <f>IF(Input!R34&lt;&gt;"",Input!R34,"")</f>
        <v/>
      </c>
      <c r="Y34" t="str">
        <f t="shared" si="5"/>
        <v/>
      </c>
      <c r="Z34" t="str">
        <f>IF(X34&lt;&gt;"",IF(Input!T34&lt;&gt;"",ROUNDDOWN(Input!T34,0),0),"")</f>
        <v/>
      </c>
      <c r="AA34" t="str">
        <f>IF(Input!U34&lt;&gt;"",Input!U34,"")</f>
        <v/>
      </c>
      <c r="AB34" t="str">
        <f t="shared" si="6"/>
        <v/>
      </c>
      <c r="AC34" t="str">
        <f>IF(AA34&lt;&gt;"",IF(Input!W34&lt;&gt;"",ROUNDDOWN(Input!W34,0),0),"")</f>
        <v/>
      </c>
      <c r="AD34" t="str">
        <f>IF(Input!X34&lt;&gt;"",Input!X34,"")</f>
        <v/>
      </c>
      <c r="AE34" t="str">
        <f t="shared" si="7"/>
        <v/>
      </c>
      <c r="AF34" t="str">
        <f>IF(AD34&lt;&gt;"",IF(Input!Z34&lt;&gt;"",ROUNDDOWN(Input!Z34,0),0),"")</f>
        <v/>
      </c>
      <c r="AG34" t="str">
        <f>IF(Input!AA34&lt;&gt;"",Input!AA34,"")</f>
        <v/>
      </c>
      <c r="AH34" t="str">
        <f t="shared" si="8"/>
        <v/>
      </c>
      <c r="AI34" t="str">
        <f>IF(AG34&lt;&gt;"",IF(Input!AC34&lt;&gt;"",ROUNDDOWN(Input!AC34,0),0),"")</f>
        <v/>
      </c>
      <c r="AJ34" t="str">
        <f>IF(Input!AD34&lt;&gt;"",Input!AD34,"")</f>
        <v/>
      </c>
      <c r="AK34" t="str">
        <f t="shared" si="9"/>
        <v/>
      </c>
      <c r="AL34" t="str">
        <f>IF(AJ34&lt;&gt;"",IF(Input!AF34&lt;&gt;"",ROUNDDOWN(Input!AF34,0),0),"")</f>
        <v/>
      </c>
      <c r="AM34" t="str">
        <f>IF(Input!AG34&lt;&gt;"",Input!AG34,"")</f>
        <v/>
      </c>
      <c r="AN34" t="str">
        <f t="shared" si="10"/>
        <v/>
      </c>
      <c r="AO34" t="str">
        <f>IF(AM34&lt;&gt;"",IF(Input!AI34&lt;&gt;"",ROUNDDOWN(Input!AI34,0),0),"")</f>
        <v/>
      </c>
    </row>
    <row r="35" spans="1:41" ht="16.5" thickTop="1" thickBot="1" x14ac:dyDescent="0.4">
      <c r="A35" s="100">
        <f>IF(ISBLANK(Input!A35),1000,IF(Input!E35&gt;0,Input!E35+F35,1000))</f>
        <v>1000</v>
      </c>
      <c r="B35" s="101">
        <f t="shared" si="0"/>
        <v>1000</v>
      </c>
      <c r="C35" s="4">
        <v>34</v>
      </c>
      <c r="D35" s="29">
        <f>IF(ISBLANK(Input!A35),1000,IF(Input!G35&gt;0,Input!G35+F35,1000))</f>
        <v>1000</v>
      </c>
      <c r="E35" s="29">
        <f t="shared" si="1"/>
        <v>1000</v>
      </c>
      <c r="F35" s="4">
        <v>3.4000000000000002E-2</v>
      </c>
      <c r="I35" t="str">
        <f>IF(Input!A35&gt;0,Input!A35,"")</f>
        <v/>
      </c>
      <c r="J35" t="str">
        <f>IF(Input!B35&gt;0,Input!B35,"")</f>
        <v/>
      </c>
      <c r="K35" t="str">
        <f>IF(Input!C35&gt;0,Input!C35,"")</f>
        <v/>
      </c>
      <c r="L35" t="str">
        <f>IF(Input!D35&gt;0,Input!D35,"")</f>
        <v/>
      </c>
      <c r="M35" t="str">
        <f>IF(Input!E35&gt;0,Input!E35,"")</f>
        <v xml:space="preserve"> </v>
      </c>
      <c r="N35" t="str">
        <f>IF(Input!F35&gt;0,Input!F35,"")</f>
        <v xml:space="preserve"> </v>
      </c>
      <c r="O35" t="str">
        <f>IF(Input!I35&lt;&gt;"",Input!I35,"")</f>
        <v/>
      </c>
      <c r="P35" t="str">
        <f t="shared" si="2"/>
        <v/>
      </c>
      <c r="Q35" t="str">
        <f>IF(O35&lt;&gt;"",IF(Input!K35&lt;&gt;"",ROUNDDOWN(Input!K35,0),0),"")</f>
        <v/>
      </c>
      <c r="R35" t="str">
        <f>IF(Input!L35&lt;&gt;"",Input!L35,"")</f>
        <v/>
      </c>
      <c r="S35" t="str">
        <f t="shared" si="3"/>
        <v/>
      </c>
      <c r="T35" t="str">
        <f>IF(R35&lt;&gt;"",IF(Input!N35&lt;&gt;"",ROUNDDOWN(Input!N35,0),0),"")</f>
        <v/>
      </c>
      <c r="U35" t="str">
        <f>IF(Input!O35&lt;&gt;"",Input!O35,"")</f>
        <v/>
      </c>
      <c r="V35" t="str">
        <f t="shared" si="4"/>
        <v/>
      </c>
      <c r="W35" t="str">
        <f>IF(U35&lt;&gt;"",IF(Input!Q35&lt;&gt;"",ROUNDDOWN(Input!Q35,0),0),"")</f>
        <v/>
      </c>
      <c r="X35" t="str">
        <f>IF(Input!R35&lt;&gt;"",Input!R35,"")</f>
        <v/>
      </c>
      <c r="Y35" t="str">
        <f t="shared" si="5"/>
        <v/>
      </c>
      <c r="Z35" t="str">
        <f>IF(X35&lt;&gt;"",IF(Input!T35&lt;&gt;"",ROUNDDOWN(Input!T35,0),0),"")</f>
        <v/>
      </c>
      <c r="AA35" t="str">
        <f>IF(Input!U35&lt;&gt;"",Input!U35,"")</f>
        <v/>
      </c>
      <c r="AB35" t="str">
        <f t="shared" si="6"/>
        <v/>
      </c>
      <c r="AC35" t="str">
        <f>IF(AA35&lt;&gt;"",IF(Input!W35&lt;&gt;"",ROUNDDOWN(Input!W35,0),0),"")</f>
        <v/>
      </c>
      <c r="AD35" t="str">
        <f>IF(Input!X35&lt;&gt;"",Input!X35,"")</f>
        <v/>
      </c>
      <c r="AE35" t="str">
        <f t="shared" si="7"/>
        <v/>
      </c>
      <c r="AF35" t="str">
        <f>IF(AD35&lt;&gt;"",IF(Input!Z35&lt;&gt;"",ROUNDDOWN(Input!Z35,0),0),"")</f>
        <v/>
      </c>
      <c r="AG35" t="str">
        <f>IF(Input!AA35&lt;&gt;"",Input!AA35,"")</f>
        <v/>
      </c>
      <c r="AH35" t="str">
        <f t="shared" si="8"/>
        <v/>
      </c>
      <c r="AI35" t="str">
        <f>IF(AG35&lt;&gt;"",IF(Input!AC35&lt;&gt;"",ROUNDDOWN(Input!AC35,0),0),"")</f>
        <v/>
      </c>
      <c r="AJ35" t="str">
        <f>IF(Input!AD35&lt;&gt;"",Input!AD35,"")</f>
        <v/>
      </c>
      <c r="AK35" t="str">
        <f t="shared" si="9"/>
        <v/>
      </c>
      <c r="AL35" t="str">
        <f>IF(AJ35&lt;&gt;"",IF(Input!AF35&lt;&gt;"",ROUNDDOWN(Input!AF35,0),0),"")</f>
        <v/>
      </c>
      <c r="AM35" t="str">
        <f>IF(Input!AG35&lt;&gt;"",Input!AG35,"")</f>
        <v/>
      </c>
      <c r="AN35" t="str">
        <f t="shared" si="10"/>
        <v/>
      </c>
      <c r="AO35" t="str">
        <f>IF(AM35&lt;&gt;"",IF(Input!AI35&lt;&gt;"",ROUNDDOWN(Input!AI35,0),0),"")</f>
        <v/>
      </c>
    </row>
    <row r="36" spans="1:41" ht="16.5" thickTop="1" thickBot="1" x14ac:dyDescent="0.4">
      <c r="A36" s="100">
        <f>IF(ISBLANK(Input!A36),1000,IF(Input!E36&gt;0,Input!E36+F36,1000))</f>
        <v>1000</v>
      </c>
      <c r="B36" s="101">
        <f t="shared" si="0"/>
        <v>1000</v>
      </c>
      <c r="C36" s="4">
        <v>35</v>
      </c>
      <c r="D36" s="29">
        <f>IF(ISBLANK(Input!A36),1000,IF(Input!G36&gt;0,Input!G36+F36,1000))</f>
        <v>1000</v>
      </c>
      <c r="E36" s="29">
        <f t="shared" si="1"/>
        <v>1000</v>
      </c>
      <c r="F36" s="4">
        <v>3.5000000000000003E-2</v>
      </c>
      <c r="I36" t="str">
        <f>IF(Input!A36&gt;0,Input!A36,"")</f>
        <v/>
      </c>
      <c r="J36" t="str">
        <f>IF(Input!B36&gt;0,Input!B36,"")</f>
        <v/>
      </c>
      <c r="K36" t="str">
        <f>IF(Input!C36&gt;0,Input!C36,"")</f>
        <v/>
      </c>
      <c r="L36" t="str">
        <f>IF(Input!D36&gt;0,Input!D36,"")</f>
        <v/>
      </c>
      <c r="M36" t="str">
        <f>IF(Input!E36&gt;0,Input!E36,"")</f>
        <v xml:space="preserve"> </v>
      </c>
      <c r="N36" t="str">
        <f>IF(Input!F36&gt;0,Input!F36,"")</f>
        <v xml:space="preserve"> </v>
      </c>
      <c r="O36" t="str">
        <f>IF(Input!I36&lt;&gt;"",Input!I36,"")</f>
        <v/>
      </c>
      <c r="P36" t="str">
        <f t="shared" si="2"/>
        <v/>
      </c>
      <c r="Q36" t="str">
        <f>IF(O36&lt;&gt;"",IF(Input!K36&lt;&gt;"",ROUNDDOWN(Input!K36,0),0),"")</f>
        <v/>
      </c>
      <c r="R36" t="str">
        <f>IF(Input!L36&lt;&gt;"",Input!L36,"")</f>
        <v/>
      </c>
      <c r="S36" t="str">
        <f t="shared" si="3"/>
        <v/>
      </c>
      <c r="T36" t="str">
        <f>IF(R36&lt;&gt;"",IF(Input!N36&lt;&gt;"",ROUNDDOWN(Input!N36,0),0),"")</f>
        <v/>
      </c>
      <c r="U36" t="str">
        <f>IF(Input!O36&lt;&gt;"",Input!O36,"")</f>
        <v/>
      </c>
      <c r="V36" t="str">
        <f t="shared" si="4"/>
        <v/>
      </c>
      <c r="W36" t="str">
        <f>IF(U36&lt;&gt;"",IF(Input!Q36&lt;&gt;"",ROUNDDOWN(Input!Q36,0),0),"")</f>
        <v/>
      </c>
      <c r="X36" t="str">
        <f>IF(Input!R36&lt;&gt;"",Input!R36,"")</f>
        <v/>
      </c>
      <c r="Y36" t="str">
        <f t="shared" si="5"/>
        <v/>
      </c>
      <c r="Z36" t="str">
        <f>IF(X36&lt;&gt;"",IF(Input!T36&lt;&gt;"",ROUNDDOWN(Input!T36,0),0),"")</f>
        <v/>
      </c>
      <c r="AA36" t="str">
        <f>IF(Input!U36&lt;&gt;"",Input!U36,"")</f>
        <v/>
      </c>
      <c r="AB36" t="str">
        <f t="shared" si="6"/>
        <v/>
      </c>
      <c r="AC36" t="str">
        <f>IF(AA36&lt;&gt;"",IF(Input!W36&lt;&gt;"",ROUNDDOWN(Input!W36,0),0),"")</f>
        <v/>
      </c>
      <c r="AD36" t="str">
        <f>IF(Input!X36&lt;&gt;"",Input!X36,"")</f>
        <v/>
      </c>
      <c r="AE36" t="str">
        <f t="shared" si="7"/>
        <v/>
      </c>
      <c r="AF36" t="str">
        <f>IF(AD36&lt;&gt;"",IF(Input!Z36&lt;&gt;"",ROUNDDOWN(Input!Z36,0),0),"")</f>
        <v/>
      </c>
      <c r="AG36" t="str">
        <f>IF(Input!AA36&lt;&gt;"",Input!AA36,"")</f>
        <v/>
      </c>
      <c r="AH36" t="str">
        <f t="shared" si="8"/>
        <v/>
      </c>
      <c r="AI36" t="str">
        <f>IF(AG36&lt;&gt;"",IF(Input!AC36&lt;&gt;"",ROUNDDOWN(Input!AC36,0),0),"")</f>
        <v/>
      </c>
      <c r="AJ36" t="str">
        <f>IF(Input!AD36&lt;&gt;"",Input!AD36,"")</f>
        <v/>
      </c>
      <c r="AK36" t="str">
        <f t="shared" si="9"/>
        <v/>
      </c>
      <c r="AL36" t="str">
        <f>IF(AJ36&lt;&gt;"",IF(Input!AF36&lt;&gt;"",ROUNDDOWN(Input!AF36,0),0),"")</f>
        <v/>
      </c>
      <c r="AM36" t="str">
        <f>IF(Input!AG36&lt;&gt;"",Input!AG36,"")</f>
        <v/>
      </c>
      <c r="AN36" t="str">
        <f t="shared" si="10"/>
        <v/>
      </c>
      <c r="AO36" t="str">
        <f>IF(AM36&lt;&gt;"",IF(Input!AI36&lt;&gt;"",ROUNDDOWN(Input!AI36,0),0),"")</f>
        <v/>
      </c>
    </row>
    <row r="37" spans="1:41" ht="16.5" thickTop="1" thickBot="1" x14ac:dyDescent="0.4">
      <c r="A37" s="100">
        <f>IF(ISBLANK(Input!A37),1000,IF(Input!E37&gt;0,Input!E37+F37,1000))</f>
        <v>1000</v>
      </c>
      <c r="B37" s="101">
        <f t="shared" si="0"/>
        <v>1000</v>
      </c>
      <c r="C37" s="4">
        <v>36</v>
      </c>
      <c r="D37" s="29">
        <f>IF(ISBLANK(Input!A37),1000,IF(Input!G37&gt;0,Input!G37+F37,1000))</f>
        <v>1000</v>
      </c>
      <c r="E37" s="29">
        <f t="shared" si="1"/>
        <v>1000</v>
      </c>
      <c r="F37" s="4">
        <v>3.5999999999999997E-2</v>
      </c>
      <c r="I37" t="str">
        <f>IF(Input!A37&gt;0,Input!A37,"")</f>
        <v/>
      </c>
      <c r="J37" t="str">
        <f>IF(Input!B37&gt;0,Input!B37,"")</f>
        <v/>
      </c>
      <c r="K37" t="str">
        <f>IF(Input!C37&gt;0,Input!C37,"")</f>
        <v/>
      </c>
      <c r="L37" t="str">
        <f>IF(Input!D37&gt;0,Input!D37,"")</f>
        <v/>
      </c>
      <c r="M37" t="str">
        <f>IF(Input!E37&gt;0,Input!E37,"")</f>
        <v xml:space="preserve"> </v>
      </c>
      <c r="N37" t="str">
        <f>IF(Input!F37&gt;0,Input!F37,"")</f>
        <v xml:space="preserve"> </v>
      </c>
      <c r="O37" t="str">
        <f>IF(Input!I37&lt;&gt;"",Input!I37,"")</f>
        <v/>
      </c>
      <c r="P37" t="str">
        <f t="shared" si="2"/>
        <v/>
      </c>
      <c r="Q37" t="str">
        <f>IF(O37&lt;&gt;"",IF(Input!K37&lt;&gt;"",ROUNDDOWN(Input!K37,0),0),"")</f>
        <v/>
      </c>
      <c r="R37" t="str">
        <f>IF(Input!L37&lt;&gt;"",Input!L37,"")</f>
        <v/>
      </c>
      <c r="S37" t="str">
        <f t="shared" si="3"/>
        <v/>
      </c>
      <c r="T37" t="str">
        <f>IF(R37&lt;&gt;"",IF(Input!N37&lt;&gt;"",ROUNDDOWN(Input!N37,0),0),"")</f>
        <v/>
      </c>
      <c r="U37" t="str">
        <f>IF(Input!O37&lt;&gt;"",Input!O37,"")</f>
        <v/>
      </c>
      <c r="V37" t="str">
        <f t="shared" si="4"/>
        <v/>
      </c>
      <c r="W37" t="str">
        <f>IF(U37&lt;&gt;"",IF(Input!Q37&lt;&gt;"",ROUNDDOWN(Input!Q37,0),0),"")</f>
        <v/>
      </c>
      <c r="X37" t="str">
        <f>IF(Input!R37&lt;&gt;"",Input!R37,"")</f>
        <v/>
      </c>
      <c r="Y37" t="str">
        <f t="shared" si="5"/>
        <v/>
      </c>
      <c r="Z37" t="str">
        <f>IF(X37&lt;&gt;"",IF(Input!T37&lt;&gt;"",ROUNDDOWN(Input!T37,0),0),"")</f>
        <v/>
      </c>
      <c r="AA37" t="str">
        <f>IF(Input!U37&lt;&gt;"",Input!U37,"")</f>
        <v/>
      </c>
      <c r="AB37" t="str">
        <f t="shared" si="6"/>
        <v/>
      </c>
      <c r="AC37" t="str">
        <f>IF(AA37&lt;&gt;"",IF(Input!W37&lt;&gt;"",ROUNDDOWN(Input!W37,0),0),"")</f>
        <v/>
      </c>
      <c r="AD37" t="str">
        <f>IF(Input!X37&lt;&gt;"",Input!X37,"")</f>
        <v/>
      </c>
      <c r="AE37" t="str">
        <f t="shared" si="7"/>
        <v/>
      </c>
      <c r="AF37" t="str">
        <f>IF(AD37&lt;&gt;"",IF(Input!Z37&lt;&gt;"",ROUNDDOWN(Input!Z37,0),0),"")</f>
        <v/>
      </c>
      <c r="AG37" t="str">
        <f>IF(Input!AA37&lt;&gt;"",Input!AA37,"")</f>
        <v/>
      </c>
      <c r="AH37" t="str">
        <f t="shared" si="8"/>
        <v/>
      </c>
      <c r="AI37" t="str">
        <f>IF(AG37&lt;&gt;"",IF(Input!AC37&lt;&gt;"",ROUNDDOWN(Input!AC37,0),0),"")</f>
        <v/>
      </c>
      <c r="AJ37" t="str">
        <f>IF(Input!AD37&lt;&gt;"",Input!AD37,"")</f>
        <v/>
      </c>
      <c r="AK37" t="str">
        <f t="shared" si="9"/>
        <v/>
      </c>
      <c r="AL37" t="str">
        <f>IF(AJ37&lt;&gt;"",IF(Input!AF37&lt;&gt;"",ROUNDDOWN(Input!AF37,0),0),"")</f>
        <v/>
      </c>
      <c r="AM37" t="str">
        <f>IF(Input!AG37&lt;&gt;"",Input!AG37,"")</f>
        <v/>
      </c>
      <c r="AN37" t="str">
        <f t="shared" si="10"/>
        <v/>
      </c>
      <c r="AO37" t="str">
        <f>IF(AM37&lt;&gt;"",IF(Input!AI37&lt;&gt;"",ROUNDDOWN(Input!AI37,0),0),"")</f>
        <v/>
      </c>
    </row>
    <row r="38" spans="1:41" ht="16.5" thickTop="1" thickBot="1" x14ac:dyDescent="0.4">
      <c r="A38" s="100">
        <f>IF(ISBLANK(Input!A38),1000,IF(Input!E38&gt;0,Input!E38+F38,1000))</f>
        <v>1000</v>
      </c>
      <c r="B38" s="101">
        <f t="shared" si="0"/>
        <v>1000</v>
      </c>
      <c r="C38" s="4">
        <v>37</v>
      </c>
      <c r="D38" s="29">
        <f>IF(ISBLANK(Input!A38),1000,IF(Input!G38&gt;0,Input!G38+F38,1000))</f>
        <v>1000</v>
      </c>
      <c r="E38" s="29">
        <f t="shared" si="1"/>
        <v>1000</v>
      </c>
      <c r="F38" s="4">
        <v>3.6999999999999998E-2</v>
      </c>
      <c r="I38" t="str">
        <f>IF(Input!A38&gt;0,Input!A38,"")</f>
        <v/>
      </c>
      <c r="J38" t="str">
        <f>IF(Input!B38&gt;0,Input!B38,"")</f>
        <v/>
      </c>
      <c r="K38" t="str">
        <f>IF(Input!C38&gt;0,Input!C38,"")</f>
        <v/>
      </c>
      <c r="L38" t="str">
        <f>IF(Input!D38&gt;0,Input!D38,"")</f>
        <v/>
      </c>
      <c r="M38" t="str">
        <f>IF(Input!E38&gt;0,Input!E38,"")</f>
        <v xml:space="preserve"> </v>
      </c>
      <c r="N38" t="str">
        <f>IF(Input!F38&gt;0,Input!F38,"")</f>
        <v xml:space="preserve"> </v>
      </c>
      <c r="O38" t="str">
        <f>IF(Input!I38&lt;&gt;"",Input!I38,"")</f>
        <v/>
      </c>
      <c r="P38" t="str">
        <f t="shared" si="2"/>
        <v/>
      </c>
      <c r="Q38" t="str">
        <f>IF(O38&lt;&gt;"",IF(Input!K38&lt;&gt;"",ROUNDDOWN(Input!K38,0),0),"")</f>
        <v/>
      </c>
      <c r="R38" t="str">
        <f>IF(Input!L38&lt;&gt;"",Input!L38,"")</f>
        <v/>
      </c>
      <c r="S38" t="str">
        <f t="shared" si="3"/>
        <v/>
      </c>
      <c r="T38" t="str">
        <f>IF(R38&lt;&gt;"",IF(Input!N38&lt;&gt;"",ROUNDDOWN(Input!N38,0),0),"")</f>
        <v/>
      </c>
      <c r="U38" t="str">
        <f>IF(Input!O38&lt;&gt;"",Input!O38,"")</f>
        <v/>
      </c>
      <c r="V38" t="str">
        <f t="shared" si="4"/>
        <v/>
      </c>
      <c r="W38" t="str">
        <f>IF(U38&lt;&gt;"",IF(Input!Q38&lt;&gt;"",ROUNDDOWN(Input!Q38,0),0),"")</f>
        <v/>
      </c>
      <c r="X38" t="str">
        <f>IF(Input!R38&lt;&gt;"",Input!R38,"")</f>
        <v/>
      </c>
      <c r="Y38" t="str">
        <f t="shared" si="5"/>
        <v/>
      </c>
      <c r="Z38" t="str">
        <f>IF(X38&lt;&gt;"",IF(Input!T38&lt;&gt;"",ROUNDDOWN(Input!T38,0),0),"")</f>
        <v/>
      </c>
      <c r="AA38" t="str">
        <f>IF(Input!U38&lt;&gt;"",Input!U38,"")</f>
        <v/>
      </c>
      <c r="AB38" t="str">
        <f t="shared" si="6"/>
        <v/>
      </c>
      <c r="AC38" t="str">
        <f>IF(AA38&lt;&gt;"",IF(Input!W38&lt;&gt;"",ROUNDDOWN(Input!W38,0),0),"")</f>
        <v/>
      </c>
      <c r="AD38" t="str">
        <f>IF(Input!X38&lt;&gt;"",Input!X38,"")</f>
        <v/>
      </c>
      <c r="AE38" t="str">
        <f t="shared" si="7"/>
        <v/>
      </c>
      <c r="AF38" t="str">
        <f>IF(AD38&lt;&gt;"",IF(Input!Z38&lt;&gt;"",ROUNDDOWN(Input!Z38,0),0),"")</f>
        <v/>
      </c>
      <c r="AG38" t="str">
        <f>IF(Input!AA38&lt;&gt;"",Input!AA38,"")</f>
        <v/>
      </c>
      <c r="AH38" t="str">
        <f t="shared" si="8"/>
        <v/>
      </c>
      <c r="AI38" t="str">
        <f>IF(AG38&lt;&gt;"",IF(Input!AC38&lt;&gt;"",ROUNDDOWN(Input!AC38,0),0),"")</f>
        <v/>
      </c>
      <c r="AJ38" t="str">
        <f>IF(Input!AD38&lt;&gt;"",Input!AD38,"")</f>
        <v/>
      </c>
      <c r="AK38" t="str">
        <f t="shared" si="9"/>
        <v/>
      </c>
      <c r="AL38" t="str">
        <f>IF(AJ38&lt;&gt;"",IF(Input!AF38&lt;&gt;"",ROUNDDOWN(Input!AF38,0),0),"")</f>
        <v/>
      </c>
      <c r="AM38" t="str">
        <f>IF(Input!AG38&lt;&gt;"",Input!AG38,"")</f>
        <v/>
      </c>
      <c r="AN38" t="str">
        <f t="shared" si="10"/>
        <v/>
      </c>
      <c r="AO38" t="str">
        <f>IF(AM38&lt;&gt;"",IF(Input!AI38&lt;&gt;"",ROUNDDOWN(Input!AI38,0),0),"")</f>
        <v/>
      </c>
    </row>
    <row r="39" spans="1:41" ht="16.5" thickTop="1" thickBot="1" x14ac:dyDescent="0.4">
      <c r="A39" s="100">
        <f>IF(ISBLANK(Input!A39),1000,IF(Input!E39&gt;0,Input!E39+F39,1000))</f>
        <v>1000</v>
      </c>
      <c r="B39" s="101">
        <f t="shared" si="0"/>
        <v>1000</v>
      </c>
      <c r="C39" s="4">
        <v>38</v>
      </c>
      <c r="D39" s="29">
        <f>IF(ISBLANK(Input!A39),1000,IF(Input!G39&gt;0,Input!G39+F39,1000))</f>
        <v>1000</v>
      </c>
      <c r="E39" s="29">
        <f t="shared" si="1"/>
        <v>1000</v>
      </c>
      <c r="F39" s="4">
        <v>3.7999999999999999E-2</v>
      </c>
      <c r="I39" t="str">
        <f>IF(Input!A39&gt;0,Input!A39,"")</f>
        <v/>
      </c>
      <c r="J39" t="str">
        <f>IF(Input!B39&gt;0,Input!B39,"")</f>
        <v/>
      </c>
      <c r="K39" t="str">
        <f>IF(Input!C39&gt;0,Input!C39,"")</f>
        <v/>
      </c>
      <c r="L39" t="str">
        <f>IF(Input!D39&gt;0,Input!D39,"")</f>
        <v/>
      </c>
      <c r="M39" t="str">
        <f>IF(Input!E39&gt;0,Input!E39,"")</f>
        <v xml:space="preserve"> </v>
      </c>
      <c r="N39" t="str">
        <f>IF(Input!F39&gt;0,Input!F39,"")</f>
        <v xml:space="preserve"> </v>
      </c>
      <c r="O39" t="str">
        <f>IF(Input!I39&lt;&gt;"",Input!I39,"")</f>
        <v/>
      </c>
      <c r="P39" t="str">
        <f t="shared" si="2"/>
        <v/>
      </c>
      <c r="Q39" t="str">
        <f>IF(O39&lt;&gt;"",IF(Input!K39&lt;&gt;"",ROUNDDOWN(Input!K39,0),0),"")</f>
        <v/>
      </c>
      <c r="R39" t="str">
        <f>IF(Input!L39&lt;&gt;"",Input!L39,"")</f>
        <v/>
      </c>
      <c r="S39" t="str">
        <f t="shared" si="3"/>
        <v/>
      </c>
      <c r="T39" t="str">
        <f>IF(R39&lt;&gt;"",IF(Input!N39&lt;&gt;"",ROUNDDOWN(Input!N39,0),0),"")</f>
        <v/>
      </c>
      <c r="U39" t="str">
        <f>IF(Input!O39&lt;&gt;"",Input!O39,"")</f>
        <v/>
      </c>
      <c r="V39" t="str">
        <f t="shared" si="4"/>
        <v/>
      </c>
      <c r="W39" t="str">
        <f>IF(U39&lt;&gt;"",IF(Input!Q39&lt;&gt;"",ROUNDDOWN(Input!Q39,0),0),"")</f>
        <v/>
      </c>
      <c r="X39" t="str">
        <f>IF(Input!R39&lt;&gt;"",Input!R39,"")</f>
        <v/>
      </c>
      <c r="Y39" t="str">
        <f t="shared" si="5"/>
        <v/>
      </c>
      <c r="Z39" t="str">
        <f>IF(X39&lt;&gt;"",IF(Input!T39&lt;&gt;"",ROUNDDOWN(Input!T39,0),0),"")</f>
        <v/>
      </c>
      <c r="AA39" t="str">
        <f>IF(Input!U39&lt;&gt;"",Input!U39,"")</f>
        <v/>
      </c>
      <c r="AB39" t="str">
        <f t="shared" si="6"/>
        <v/>
      </c>
      <c r="AC39" t="str">
        <f>IF(AA39&lt;&gt;"",IF(Input!W39&lt;&gt;"",ROUNDDOWN(Input!W39,0),0),"")</f>
        <v/>
      </c>
      <c r="AD39" t="str">
        <f>IF(Input!X39&lt;&gt;"",Input!X39,"")</f>
        <v/>
      </c>
      <c r="AE39" t="str">
        <f t="shared" si="7"/>
        <v/>
      </c>
      <c r="AF39" t="str">
        <f>IF(AD39&lt;&gt;"",IF(Input!Z39&lt;&gt;"",ROUNDDOWN(Input!Z39,0),0),"")</f>
        <v/>
      </c>
      <c r="AG39" t="str">
        <f>IF(Input!AA39&lt;&gt;"",Input!AA39,"")</f>
        <v/>
      </c>
      <c r="AH39" t="str">
        <f t="shared" si="8"/>
        <v/>
      </c>
      <c r="AI39" t="str">
        <f>IF(AG39&lt;&gt;"",IF(Input!AC39&lt;&gt;"",ROUNDDOWN(Input!AC39,0),0),"")</f>
        <v/>
      </c>
      <c r="AJ39" t="str">
        <f>IF(Input!AD39&lt;&gt;"",Input!AD39,"")</f>
        <v/>
      </c>
      <c r="AK39" t="str">
        <f t="shared" si="9"/>
        <v/>
      </c>
      <c r="AL39" t="str">
        <f>IF(AJ39&lt;&gt;"",IF(Input!AF39&lt;&gt;"",ROUNDDOWN(Input!AF39,0),0),"")</f>
        <v/>
      </c>
      <c r="AM39" t="str">
        <f>IF(Input!AG39&lt;&gt;"",Input!AG39,"")</f>
        <v/>
      </c>
      <c r="AN39" t="str">
        <f t="shared" si="10"/>
        <v/>
      </c>
      <c r="AO39" t="str">
        <f>IF(AM39&lt;&gt;"",IF(Input!AI39&lt;&gt;"",ROUNDDOWN(Input!AI39,0),0),"")</f>
        <v/>
      </c>
    </row>
    <row r="40" spans="1:41" ht="16.5" thickTop="1" thickBot="1" x14ac:dyDescent="0.4">
      <c r="A40" s="100">
        <f>IF(ISBLANK(Input!A40),1000,IF(Input!E40&gt;0,Input!E40+F40,1000))</f>
        <v>1000</v>
      </c>
      <c r="B40" s="101">
        <f t="shared" si="0"/>
        <v>1000</v>
      </c>
      <c r="C40" s="4">
        <v>39</v>
      </c>
      <c r="D40" s="29">
        <f>IF(ISBLANK(Input!A40),1000,IF(Input!G40&gt;0,Input!G40+F40,1000))</f>
        <v>1000</v>
      </c>
      <c r="E40" s="29">
        <f t="shared" si="1"/>
        <v>1000</v>
      </c>
      <c r="F40" s="4">
        <v>3.9E-2</v>
      </c>
      <c r="I40" t="str">
        <f>IF(Input!A40&gt;0,Input!A40,"")</f>
        <v/>
      </c>
      <c r="J40" t="str">
        <f>IF(Input!B40&gt;0,Input!B40,"")</f>
        <v/>
      </c>
      <c r="K40" t="str">
        <f>IF(Input!C40&gt;0,Input!C40,"")</f>
        <v/>
      </c>
      <c r="L40" t="str">
        <f>IF(Input!D40&gt;0,Input!D40,"")</f>
        <v/>
      </c>
      <c r="M40" t="str">
        <f>IF(Input!E40&gt;0,Input!E40,"")</f>
        <v xml:space="preserve"> </v>
      </c>
      <c r="N40" t="str">
        <f>IF(Input!F40&gt;0,Input!F40,"")</f>
        <v xml:space="preserve"> </v>
      </c>
      <c r="O40" t="str">
        <f>IF(Input!I40&lt;&gt;"",Input!I40,"")</f>
        <v/>
      </c>
      <c r="P40" t="str">
        <f t="shared" si="2"/>
        <v/>
      </c>
      <c r="Q40" t="str">
        <f>IF(O40&lt;&gt;"",IF(Input!K40&lt;&gt;"",ROUNDDOWN(Input!K40,0),0),"")</f>
        <v/>
      </c>
      <c r="R40" t="str">
        <f>IF(Input!L40&lt;&gt;"",Input!L40,"")</f>
        <v/>
      </c>
      <c r="S40" t="str">
        <f t="shared" si="3"/>
        <v/>
      </c>
      <c r="T40" t="str">
        <f>IF(R40&lt;&gt;"",IF(Input!N40&lt;&gt;"",ROUNDDOWN(Input!N40,0),0),"")</f>
        <v/>
      </c>
      <c r="U40" t="str">
        <f>IF(Input!O40&lt;&gt;"",Input!O40,"")</f>
        <v/>
      </c>
      <c r="V40" t="str">
        <f t="shared" si="4"/>
        <v/>
      </c>
      <c r="W40" t="str">
        <f>IF(U40&lt;&gt;"",IF(Input!Q40&lt;&gt;"",ROUNDDOWN(Input!Q40,0),0),"")</f>
        <v/>
      </c>
      <c r="X40" t="str">
        <f>IF(Input!R40&lt;&gt;"",Input!R40,"")</f>
        <v/>
      </c>
      <c r="Y40" t="str">
        <f t="shared" si="5"/>
        <v/>
      </c>
      <c r="Z40" t="str">
        <f>IF(X40&lt;&gt;"",IF(Input!T40&lt;&gt;"",ROUNDDOWN(Input!T40,0),0),"")</f>
        <v/>
      </c>
      <c r="AA40" t="str">
        <f>IF(Input!U40&lt;&gt;"",Input!U40,"")</f>
        <v/>
      </c>
      <c r="AB40" t="str">
        <f t="shared" si="6"/>
        <v/>
      </c>
      <c r="AC40" t="str">
        <f>IF(AA40&lt;&gt;"",IF(Input!W40&lt;&gt;"",ROUNDDOWN(Input!W40,0),0),"")</f>
        <v/>
      </c>
      <c r="AD40" t="str">
        <f>IF(Input!X40&lt;&gt;"",Input!X40,"")</f>
        <v/>
      </c>
      <c r="AE40" t="str">
        <f t="shared" si="7"/>
        <v/>
      </c>
      <c r="AF40" t="str">
        <f>IF(AD40&lt;&gt;"",IF(Input!Z40&lt;&gt;"",ROUNDDOWN(Input!Z40,0),0),"")</f>
        <v/>
      </c>
      <c r="AG40" t="str">
        <f>IF(Input!AA40&lt;&gt;"",Input!AA40,"")</f>
        <v/>
      </c>
      <c r="AH40" t="str">
        <f t="shared" si="8"/>
        <v/>
      </c>
      <c r="AI40" t="str">
        <f>IF(AG40&lt;&gt;"",IF(Input!AC40&lt;&gt;"",ROUNDDOWN(Input!AC40,0),0),"")</f>
        <v/>
      </c>
      <c r="AJ40" t="str">
        <f>IF(Input!AD40&lt;&gt;"",Input!AD40,"")</f>
        <v/>
      </c>
      <c r="AK40" t="str">
        <f t="shared" si="9"/>
        <v/>
      </c>
      <c r="AL40" t="str">
        <f>IF(AJ40&lt;&gt;"",IF(Input!AF40&lt;&gt;"",ROUNDDOWN(Input!AF40,0),0),"")</f>
        <v/>
      </c>
      <c r="AM40" t="str">
        <f>IF(Input!AG40&lt;&gt;"",Input!AG40,"")</f>
        <v/>
      </c>
      <c r="AN40" t="str">
        <f t="shared" si="10"/>
        <v/>
      </c>
      <c r="AO40" t="str">
        <f>IF(AM40&lt;&gt;"",IF(Input!AI40&lt;&gt;"",ROUNDDOWN(Input!AI40,0),0),"")</f>
        <v/>
      </c>
    </row>
    <row r="41" spans="1:41" ht="16.5" thickTop="1" thickBot="1" x14ac:dyDescent="0.4">
      <c r="A41" s="100">
        <f>IF(ISBLANK(Input!A41),1000,IF(Input!E41&gt;0,Input!E41+F41,1000))</f>
        <v>1000</v>
      </c>
      <c r="B41" s="101">
        <f t="shared" si="0"/>
        <v>1000</v>
      </c>
      <c r="C41" s="4">
        <v>40</v>
      </c>
      <c r="D41" s="29">
        <f>IF(ISBLANK(Input!A41),1000,IF(Input!G41&gt;0,Input!G41+F41,1000))</f>
        <v>1000</v>
      </c>
      <c r="E41" s="29">
        <f t="shared" si="1"/>
        <v>1000</v>
      </c>
      <c r="F41" s="4">
        <v>0.04</v>
      </c>
      <c r="I41" t="str">
        <f>IF(Input!A41&gt;0,Input!A41,"")</f>
        <v/>
      </c>
      <c r="J41" t="str">
        <f>IF(Input!B41&gt;0,Input!B41,"")</f>
        <v/>
      </c>
      <c r="K41" t="str">
        <f>IF(Input!C41&gt;0,Input!C41,"")</f>
        <v/>
      </c>
      <c r="L41" t="str">
        <f>IF(Input!D41&gt;0,Input!D41,"")</f>
        <v/>
      </c>
      <c r="M41" t="str">
        <f>IF(Input!E41&gt;0,Input!E41,"")</f>
        <v xml:space="preserve"> </v>
      </c>
      <c r="N41" t="str">
        <f>IF(Input!F41&gt;0,Input!F41,"")</f>
        <v xml:space="preserve"> </v>
      </c>
      <c r="O41" t="str">
        <f>IF(Input!I41&lt;&gt;"",Input!I41,"")</f>
        <v/>
      </c>
      <c r="P41" t="str">
        <f t="shared" si="2"/>
        <v/>
      </c>
      <c r="Q41" t="str">
        <f>IF(O41&lt;&gt;"",IF(Input!K41&lt;&gt;"",ROUNDDOWN(Input!K41,0),0),"")</f>
        <v/>
      </c>
      <c r="R41" t="str">
        <f>IF(Input!L41&lt;&gt;"",Input!L41,"")</f>
        <v/>
      </c>
      <c r="S41" t="str">
        <f t="shared" si="3"/>
        <v/>
      </c>
      <c r="T41" t="str">
        <f>IF(R41&lt;&gt;"",IF(Input!N41&lt;&gt;"",ROUNDDOWN(Input!N41,0),0),"")</f>
        <v/>
      </c>
      <c r="U41" t="str">
        <f>IF(Input!O41&lt;&gt;"",Input!O41,"")</f>
        <v/>
      </c>
      <c r="V41" t="str">
        <f t="shared" si="4"/>
        <v/>
      </c>
      <c r="W41" t="str">
        <f>IF(U41&lt;&gt;"",IF(Input!Q41&lt;&gt;"",ROUNDDOWN(Input!Q41,0),0),"")</f>
        <v/>
      </c>
      <c r="X41" t="str">
        <f>IF(Input!R41&lt;&gt;"",Input!R41,"")</f>
        <v/>
      </c>
      <c r="Y41" t="str">
        <f t="shared" si="5"/>
        <v/>
      </c>
      <c r="Z41" t="str">
        <f>IF(X41&lt;&gt;"",IF(Input!T41&lt;&gt;"",ROUNDDOWN(Input!T41,0),0),"")</f>
        <v/>
      </c>
      <c r="AA41" t="str">
        <f>IF(Input!U41&lt;&gt;"",Input!U41,"")</f>
        <v/>
      </c>
      <c r="AB41" t="str">
        <f t="shared" si="6"/>
        <v/>
      </c>
      <c r="AC41" t="str">
        <f>IF(AA41&lt;&gt;"",IF(Input!W41&lt;&gt;"",ROUNDDOWN(Input!W41,0),0),"")</f>
        <v/>
      </c>
      <c r="AD41" t="str">
        <f>IF(Input!X41&lt;&gt;"",Input!X41,"")</f>
        <v/>
      </c>
      <c r="AE41" t="str">
        <f t="shared" si="7"/>
        <v/>
      </c>
      <c r="AF41" t="str">
        <f>IF(AD41&lt;&gt;"",IF(Input!Z41&lt;&gt;"",ROUNDDOWN(Input!Z41,0),0),"")</f>
        <v/>
      </c>
      <c r="AG41" t="str">
        <f>IF(Input!AA41&lt;&gt;"",Input!AA41,"")</f>
        <v/>
      </c>
      <c r="AH41" t="str">
        <f t="shared" si="8"/>
        <v/>
      </c>
      <c r="AI41" t="str">
        <f>IF(AG41&lt;&gt;"",IF(Input!AC41&lt;&gt;"",ROUNDDOWN(Input!AC41,0),0),"")</f>
        <v/>
      </c>
      <c r="AJ41" t="str">
        <f>IF(Input!AD41&lt;&gt;"",Input!AD41,"")</f>
        <v/>
      </c>
      <c r="AK41" t="str">
        <f t="shared" si="9"/>
        <v/>
      </c>
      <c r="AL41" t="str">
        <f>IF(AJ41&lt;&gt;"",IF(Input!AF41&lt;&gt;"",ROUNDDOWN(Input!AF41,0),0),"")</f>
        <v/>
      </c>
      <c r="AM41" t="str">
        <f>IF(Input!AG41&lt;&gt;"",Input!AG41,"")</f>
        <v/>
      </c>
      <c r="AN41" t="str">
        <f t="shared" si="10"/>
        <v/>
      </c>
      <c r="AO41" t="str">
        <f>IF(AM41&lt;&gt;"",IF(Input!AI41&lt;&gt;"",ROUNDDOWN(Input!AI41,0),0),"")</f>
        <v/>
      </c>
    </row>
    <row r="42" spans="1:41" ht="16.5" thickTop="1" thickBot="1" x14ac:dyDescent="0.4">
      <c r="A42" s="100">
        <f>IF(ISBLANK(Input!A42),1000,IF(Input!E42&gt;0,Input!E42+F42,1000))</f>
        <v>1000</v>
      </c>
      <c r="B42" s="101">
        <f t="shared" si="0"/>
        <v>1000</v>
      </c>
      <c r="C42" s="4">
        <v>41</v>
      </c>
      <c r="D42" s="29">
        <f>IF(ISBLANK(Input!A42),1000,IF(Input!G42&gt;0,Input!G42+F42,1000))</f>
        <v>1000</v>
      </c>
      <c r="E42" s="29">
        <f t="shared" si="1"/>
        <v>1000</v>
      </c>
      <c r="F42" s="4">
        <v>4.1000000000000002E-2</v>
      </c>
      <c r="I42" t="str">
        <f>IF(Input!A42&gt;0,Input!A42,"")</f>
        <v/>
      </c>
      <c r="J42" t="str">
        <f>IF(Input!B42&gt;0,Input!B42,"")</f>
        <v/>
      </c>
      <c r="K42" t="str">
        <f>IF(Input!C42&gt;0,Input!C42,"")</f>
        <v/>
      </c>
      <c r="L42" t="str">
        <f>IF(Input!D42&gt;0,Input!D42,"")</f>
        <v/>
      </c>
      <c r="M42" t="str">
        <f>IF(Input!E42&gt;0,Input!E42,"")</f>
        <v xml:space="preserve"> </v>
      </c>
      <c r="N42" t="str">
        <f>IF(Input!F42&gt;0,Input!F42,"")</f>
        <v xml:space="preserve"> </v>
      </c>
      <c r="O42" t="str">
        <f>IF(Input!I42&lt;&gt;"",Input!I42,"")</f>
        <v/>
      </c>
      <c r="P42" t="str">
        <f t="shared" si="2"/>
        <v/>
      </c>
      <c r="Q42" t="str">
        <f>IF(O42&lt;&gt;"",IF(Input!K42&lt;&gt;"",ROUNDDOWN(Input!K42,0),0),"")</f>
        <v/>
      </c>
      <c r="R42" t="str">
        <f>IF(Input!L42&lt;&gt;"",Input!L42,"")</f>
        <v/>
      </c>
      <c r="S42" t="str">
        <f t="shared" si="3"/>
        <v/>
      </c>
      <c r="T42" t="str">
        <f>IF(R42&lt;&gt;"",IF(Input!N42&lt;&gt;"",ROUNDDOWN(Input!N42,0),0),"")</f>
        <v/>
      </c>
      <c r="U42" t="str">
        <f>IF(Input!O42&lt;&gt;"",Input!O42,"")</f>
        <v/>
      </c>
      <c r="V42" t="str">
        <f t="shared" si="4"/>
        <v/>
      </c>
      <c r="W42" t="str">
        <f>IF(U42&lt;&gt;"",IF(Input!Q42&lt;&gt;"",ROUNDDOWN(Input!Q42,0),0),"")</f>
        <v/>
      </c>
      <c r="X42" t="str">
        <f>IF(Input!R42&lt;&gt;"",Input!R42,"")</f>
        <v/>
      </c>
      <c r="Y42" t="str">
        <f t="shared" si="5"/>
        <v/>
      </c>
      <c r="Z42" t="str">
        <f>IF(X42&lt;&gt;"",IF(Input!T42&lt;&gt;"",ROUNDDOWN(Input!T42,0),0),"")</f>
        <v/>
      </c>
      <c r="AA42" t="str">
        <f>IF(Input!U42&lt;&gt;"",Input!U42,"")</f>
        <v/>
      </c>
      <c r="AB42" t="str">
        <f t="shared" si="6"/>
        <v/>
      </c>
      <c r="AC42" t="str">
        <f>IF(AA42&lt;&gt;"",IF(Input!W42&lt;&gt;"",ROUNDDOWN(Input!W42,0),0),"")</f>
        <v/>
      </c>
      <c r="AD42" t="str">
        <f>IF(Input!X42&lt;&gt;"",Input!X42,"")</f>
        <v/>
      </c>
      <c r="AE42" t="str">
        <f t="shared" si="7"/>
        <v/>
      </c>
      <c r="AF42" t="str">
        <f>IF(AD42&lt;&gt;"",IF(Input!Z42&lt;&gt;"",ROUNDDOWN(Input!Z42,0),0),"")</f>
        <v/>
      </c>
      <c r="AG42" t="str">
        <f>IF(Input!AA42&lt;&gt;"",Input!AA42,"")</f>
        <v/>
      </c>
      <c r="AH42" t="str">
        <f t="shared" si="8"/>
        <v/>
      </c>
      <c r="AI42" t="str">
        <f>IF(AG42&lt;&gt;"",IF(Input!AC42&lt;&gt;"",ROUNDDOWN(Input!AC42,0),0),"")</f>
        <v/>
      </c>
      <c r="AJ42" t="str">
        <f>IF(Input!AD42&lt;&gt;"",Input!AD42,"")</f>
        <v/>
      </c>
      <c r="AK42" t="str">
        <f t="shared" si="9"/>
        <v/>
      </c>
      <c r="AL42" t="str">
        <f>IF(AJ42&lt;&gt;"",IF(Input!AF42&lt;&gt;"",ROUNDDOWN(Input!AF42,0),0),"")</f>
        <v/>
      </c>
      <c r="AM42" t="str">
        <f>IF(Input!AG42&lt;&gt;"",Input!AG42,"")</f>
        <v/>
      </c>
      <c r="AN42" t="str">
        <f t="shared" si="10"/>
        <v/>
      </c>
      <c r="AO42" t="str">
        <f>IF(AM42&lt;&gt;"",IF(Input!AI42&lt;&gt;"",ROUNDDOWN(Input!AI42,0),0),"")</f>
        <v/>
      </c>
    </row>
    <row r="43" spans="1:41" ht="16.5" thickTop="1" thickBot="1" x14ac:dyDescent="0.4">
      <c r="A43" s="100">
        <f>IF(ISBLANK(Input!A43),1000,IF(Input!E43&gt;0,Input!E43+F43,1000))</f>
        <v>1000</v>
      </c>
      <c r="B43" s="101">
        <f t="shared" si="0"/>
        <v>1000</v>
      </c>
      <c r="C43" s="4">
        <v>42</v>
      </c>
      <c r="D43" s="29">
        <f>IF(ISBLANK(Input!A43),1000,IF(Input!G43&gt;0,Input!G43+F43,1000))</f>
        <v>1000</v>
      </c>
      <c r="E43" s="29">
        <f t="shared" si="1"/>
        <v>1000</v>
      </c>
      <c r="F43" s="4">
        <v>4.2000000000000003E-2</v>
      </c>
      <c r="I43" t="str">
        <f>IF(Input!A43&gt;0,Input!A43,"")</f>
        <v/>
      </c>
      <c r="J43" t="str">
        <f>IF(Input!B43&gt;0,Input!B43,"")</f>
        <v/>
      </c>
      <c r="K43" t="str">
        <f>IF(Input!C43&gt;0,Input!C43,"")</f>
        <v/>
      </c>
      <c r="L43" t="str">
        <f>IF(Input!D43&gt;0,Input!D43,"")</f>
        <v/>
      </c>
      <c r="M43" t="str">
        <f>IF(Input!E43&gt;0,Input!E43,"")</f>
        <v xml:space="preserve"> </v>
      </c>
      <c r="N43" t="str">
        <f>IF(Input!F43&gt;0,Input!F43,"")</f>
        <v xml:space="preserve"> </v>
      </c>
      <c r="O43" t="str">
        <f>IF(Input!I43&lt;&gt;"",Input!I43,"")</f>
        <v/>
      </c>
      <c r="P43" t="str">
        <f t="shared" si="2"/>
        <v/>
      </c>
      <c r="Q43" t="str">
        <f>IF(O43&lt;&gt;"",IF(Input!K43&lt;&gt;"",ROUNDDOWN(Input!K43,0),0),"")</f>
        <v/>
      </c>
      <c r="R43" t="str">
        <f>IF(Input!L43&lt;&gt;"",Input!L43,"")</f>
        <v/>
      </c>
      <c r="S43" t="str">
        <f t="shared" si="3"/>
        <v/>
      </c>
      <c r="T43" t="str">
        <f>IF(R43&lt;&gt;"",IF(Input!N43&lt;&gt;"",ROUNDDOWN(Input!N43,0),0),"")</f>
        <v/>
      </c>
      <c r="U43" t="str">
        <f>IF(Input!O43&lt;&gt;"",Input!O43,"")</f>
        <v/>
      </c>
      <c r="V43" t="str">
        <f t="shared" si="4"/>
        <v/>
      </c>
      <c r="W43" t="str">
        <f>IF(U43&lt;&gt;"",IF(Input!Q43&lt;&gt;"",ROUNDDOWN(Input!Q43,0),0),"")</f>
        <v/>
      </c>
      <c r="X43" t="str">
        <f>IF(Input!R43&lt;&gt;"",Input!R43,"")</f>
        <v/>
      </c>
      <c r="Y43" t="str">
        <f t="shared" si="5"/>
        <v/>
      </c>
      <c r="Z43" t="str">
        <f>IF(X43&lt;&gt;"",IF(Input!T43&lt;&gt;"",ROUNDDOWN(Input!T43,0),0),"")</f>
        <v/>
      </c>
      <c r="AA43" t="str">
        <f>IF(Input!U43&lt;&gt;"",Input!U43,"")</f>
        <v/>
      </c>
      <c r="AB43" t="str">
        <f t="shared" si="6"/>
        <v/>
      </c>
      <c r="AC43" t="str">
        <f>IF(AA43&lt;&gt;"",IF(Input!W43&lt;&gt;"",ROUNDDOWN(Input!W43,0),0),"")</f>
        <v/>
      </c>
      <c r="AD43" t="str">
        <f>IF(Input!X43&lt;&gt;"",Input!X43,"")</f>
        <v/>
      </c>
      <c r="AE43" t="str">
        <f t="shared" si="7"/>
        <v/>
      </c>
      <c r="AF43" t="str">
        <f>IF(AD43&lt;&gt;"",IF(Input!Z43&lt;&gt;"",ROUNDDOWN(Input!Z43,0),0),"")</f>
        <v/>
      </c>
      <c r="AG43" t="str">
        <f>IF(Input!AA43&lt;&gt;"",Input!AA43,"")</f>
        <v/>
      </c>
      <c r="AH43" t="str">
        <f t="shared" si="8"/>
        <v/>
      </c>
      <c r="AI43" t="str">
        <f>IF(AG43&lt;&gt;"",IF(Input!AC43&lt;&gt;"",ROUNDDOWN(Input!AC43,0),0),"")</f>
        <v/>
      </c>
      <c r="AJ43" t="str">
        <f>IF(Input!AD43&lt;&gt;"",Input!AD43,"")</f>
        <v/>
      </c>
      <c r="AK43" t="str">
        <f t="shared" si="9"/>
        <v/>
      </c>
      <c r="AL43" t="str">
        <f>IF(AJ43&lt;&gt;"",IF(Input!AF43&lt;&gt;"",ROUNDDOWN(Input!AF43,0),0),"")</f>
        <v/>
      </c>
      <c r="AM43" t="str">
        <f>IF(Input!AG43&lt;&gt;"",Input!AG43,"")</f>
        <v/>
      </c>
      <c r="AN43" t="str">
        <f t="shared" si="10"/>
        <v/>
      </c>
      <c r="AO43" t="str">
        <f>IF(AM43&lt;&gt;"",IF(Input!AI43&lt;&gt;"",ROUNDDOWN(Input!AI43,0),0),"")</f>
        <v/>
      </c>
    </row>
    <row r="44" spans="1:41" ht="16.5" thickTop="1" thickBot="1" x14ac:dyDescent="0.4">
      <c r="A44" s="100">
        <f>IF(ISBLANK(Input!A44),1000,IF(Input!E44&gt;0,Input!E44+F44,1000))</f>
        <v>1000</v>
      </c>
      <c r="B44" s="101">
        <f t="shared" si="0"/>
        <v>1000</v>
      </c>
      <c r="C44" s="4">
        <v>43</v>
      </c>
      <c r="D44" s="29">
        <f>IF(ISBLANK(Input!A44),1000,IF(Input!G44&gt;0,Input!G44+F44,1000))</f>
        <v>1000</v>
      </c>
      <c r="E44" s="29">
        <f t="shared" si="1"/>
        <v>1000</v>
      </c>
      <c r="F44" s="4">
        <v>4.2999999999999997E-2</v>
      </c>
      <c r="I44" t="str">
        <f>IF(Input!A44&gt;0,Input!A44,"")</f>
        <v/>
      </c>
      <c r="J44" t="str">
        <f>IF(Input!B44&gt;0,Input!B44,"")</f>
        <v/>
      </c>
      <c r="K44" t="str">
        <f>IF(Input!C44&gt;0,Input!C44,"")</f>
        <v/>
      </c>
      <c r="L44" t="str">
        <f>IF(Input!D44&gt;0,Input!D44,"")</f>
        <v/>
      </c>
      <c r="M44" t="str">
        <f>IF(Input!E44&gt;0,Input!E44,"")</f>
        <v xml:space="preserve"> </v>
      </c>
      <c r="N44" t="str">
        <f>IF(Input!F44&gt;0,Input!F44,"")</f>
        <v xml:space="preserve"> </v>
      </c>
      <c r="O44" t="str">
        <f>IF(Input!I44&lt;&gt;"",Input!I44,"")</f>
        <v/>
      </c>
      <c r="P44" t="str">
        <f t="shared" si="2"/>
        <v/>
      </c>
      <c r="Q44" t="str">
        <f>IF(O44&lt;&gt;"",IF(Input!K44&lt;&gt;"",ROUNDDOWN(Input!K44,0),0),"")</f>
        <v/>
      </c>
      <c r="R44" t="str">
        <f>IF(Input!L44&lt;&gt;"",Input!L44,"")</f>
        <v/>
      </c>
      <c r="S44" t="str">
        <f t="shared" si="3"/>
        <v/>
      </c>
      <c r="T44" t="str">
        <f>IF(R44&lt;&gt;"",IF(Input!N44&lt;&gt;"",ROUNDDOWN(Input!N44,0),0),"")</f>
        <v/>
      </c>
      <c r="U44" t="str">
        <f>IF(Input!O44&lt;&gt;"",Input!O44,"")</f>
        <v/>
      </c>
      <c r="V44" t="str">
        <f t="shared" si="4"/>
        <v/>
      </c>
      <c r="W44" t="str">
        <f>IF(U44&lt;&gt;"",IF(Input!Q44&lt;&gt;"",ROUNDDOWN(Input!Q44,0),0),"")</f>
        <v/>
      </c>
      <c r="X44" t="str">
        <f>IF(Input!R44&lt;&gt;"",Input!R44,"")</f>
        <v/>
      </c>
      <c r="Y44" t="str">
        <f t="shared" si="5"/>
        <v/>
      </c>
      <c r="Z44" t="str">
        <f>IF(X44&lt;&gt;"",IF(Input!T44&lt;&gt;"",ROUNDDOWN(Input!T44,0),0),"")</f>
        <v/>
      </c>
      <c r="AA44" t="str">
        <f>IF(Input!U44&lt;&gt;"",Input!U44,"")</f>
        <v/>
      </c>
      <c r="AB44" t="str">
        <f t="shared" si="6"/>
        <v/>
      </c>
      <c r="AC44" t="str">
        <f>IF(AA44&lt;&gt;"",IF(Input!W44&lt;&gt;"",ROUNDDOWN(Input!W44,0),0),"")</f>
        <v/>
      </c>
      <c r="AD44" t="str">
        <f>IF(Input!X44&lt;&gt;"",Input!X44,"")</f>
        <v/>
      </c>
      <c r="AE44" t="str">
        <f t="shared" si="7"/>
        <v/>
      </c>
      <c r="AF44" t="str">
        <f>IF(AD44&lt;&gt;"",IF(Input!Z44&lt;&gt;"",ROUNDDOWN(Input!Z44,0),0),"")</f>
        <v/>
      </c>
      <c r="AG44" t="str">
        <f>IF(Input!AA44&lt;&gt;"",Input!AA44,"")</f>
        <v/>
      </c>
      <c r="AH44" t="str">
        <f t="shared" si="8"/>
        <v/>
      </c>
      <c r="AI44" t="str">
        <f>IF(AG44&lt;&gt;"",IF(Input!AC44&lt;&gt;"",ROUNDDOWN(Input!AC44,0),0),"")</f>
        <v/>
      </c>
      <c r="AJ44" t="str">
        <f>IF(Input!AD44&lt;&gt;"",Input!AD44,"")</f>
        <v/>
      </c>
      <c r="AK44" t="str">
        <f t="shared" si="9"/>
        <v/>
      </c>
      <c r="AL44" t="str">
        <f>IF(AJ44&lt;&gt;"",IF(Input!AF44&lt;&gt;"",ROUNDDOWN(Input!AF44,0),0),"")</f>
        <v/>
      </c>
      <c r="AM44" t="str">
        <f>IF(Input!AG44&lt;&gt;"",Input!AG44,"")</f>
        <v/>
      </c>
      <c r="AN44" t="str">
        <f t="shared" si="10"/>
        <v/>
      </c>
      <c r="AO44" t="str">
        <f>IF(AM44&lt;&gt;"",IF(Input!AI44&lt;&gt;"",ROUNDDOWN(Input!AI44,0),0),"")</f>
        <v/>
      </c>
    </row>
    <row r="45" spans="1:41" ht="16.5" thickTop="1" thickBot="1" x14ac:dyDescent="0.4">
      <c r="A45" s="100">
        <f>IF(ISBLANK(Input!A45),1000,IF(Input!E45&gt;0,Input!E45+F45,1000))</f>
        <v>1000</v>
      </c>
      <c r="B45" s="101">
        <f t="shared" si="0"/>
        <v>1000</v>
      </c>
      <c r="C45" s="4">
        <v>44</v>
      </c>
      <c r="D45" s="29">
        <f>IF(ISBLANK(Input!A45),1000,IF(Input!G45&gt;0,Input!G45+F45,1000))</f>
        <v>1000</v>
      </c>
      <c r="E45" s="29">
        <f t="shared" si="1"/>
        <v>1000</v>
      </c>
      <c r="F45" s="4">
        <v>4.3999999999999997E-2</v>
      </c>
      <c r="I45" t="str">
        <f>IF(Input!A45&gt;0,Input!A45,"")</f>
        <v/>
      </c>
      <c r="J45" t="str">
        <f>IF(Input!B45&gt;0,Input!B45,"")</f>
        <v/>
      </c>
      <c r="K45" t="str">
        <f>IF(Input!C45&gt;0,Input!C45,"")</f>
        <v/>
      </c>
      <c r="L45" t="str">
        <f>IF(Input!D45&gt;0,Input!D45,"")</f>
        <v/>
      </c>
      <c r="M45" t="str">
        <f>IF(Input!E45&gt;0,Input!E45,"")</f>
        <v xml:space="preserve"> </v>
      </c>
      <c r="N45" t="str">
        <f>IF(Input!F45&gt;0,Input!F45,"")</f>
        <v xml:space="preserve"> </v>
      </c>
      <c r="O45" t="str">
        <f>IF(Input!I45&lt;&gt;"",Input!I45,"")</f>
        <v/>
      </c>
      <c r="P45" t="str">
        <f t="shared" si="2"/>
        <v/>
      </c>
      <c r="Q45" t="str">
        <f>IF(O45&lt;&gt;"",IF(Input!K45&lt;&gt;"",ROUNDDOWN(Input!K45,0),0),"")</f>
        <v/>
      </c>
      <c r="R45" t="str">
        <f>IF(Input!L45&lt;&gt;"",Input!L45,"")</f>
        <v/>
      </c>
      <c r="S45" t="str">
        <f t="shared" si="3"/>
        <v/>
      </c>
      <c r="T45" t="str">
        <f>IF(R45&lt;&gt;"",IF(Input!N45&lt;&gt;"",ROUNDDOWN(Input!N45,0),0),"")</f>
        <v/>
      </c>
      <c r="U45" t="str">
        <f>IF(Input!O45&lt;&gt;"",Input!O45,"")</f>
        <v/>
      </c>
      <c r="V45" t="str">
        <f t="shared" si="4"/>
        <v/>
      </c>
      <c r="W45" t="str">
        <f>IF(U45&lt;&gt;"",IF(Input!Q45&lt;&gt;"",ROUNDDOWN(Input!Q45,0),0),"")</f>
        <v/>
      </c>
      <c r="X45" t="str">
        <f>IF(Input!R45&lt;&gt;"",Input!R45,"")</f>
        <v/>
      </c>
      <c r="Y45" t="str">
        <f t="shared" si="5"/>
        <v/>
      </c>
      <c r="Z45" t="str">
        <f>IF(X45&lt;&gt;"",IF(Input!T45&lt;&gt;"",ROUNDDOWN(Input!T45,0),0),"")</f>
        <v/>
      </c>
      <c r="AA45" t="str">
        <f>IF(Input!U45&lt;&gt;"",Input!U45,"")</f>
        <v/>
      </c>
      <c r="AB45" t="str">
        <f t="shared" si="6"/>
        <v/>
      </c>
      <c r="AC45" t="str">
        <f>IF(AA45&lt;&gt;"",IF(Input!W45&lt;&gt;"",ROUNDDOWN(Input!W45,0),0),"")</f>
        <v/>
      </c>
      <c r="AD45" t="str">
        <f>IF(Input!X45&lt;&gt;"",Input!X45,"")</f>
        <v/>
      </c>
      <c r="AE45" t="str">
        <f t="shared" si="7"/>
        <v/>
      </c>
      <c r="AF45" t="str">
        <f>IF(AD45&lt;&gt;"",IF(Input!Z45&lt;&gt;"",ROUNDDOWN(Input!Z45,0),0),"")</f>
        <v/>
      </c>
      <c r="AG45" t="str">
        <f>IF(Input!AA45&lt;&gt;"",Input!AA45,"")</f>
        <v/>
      </c>
      <c r="AH45" t="str">
        <f t="shared" si="8"/>
        <v/>
      </c>
      <c r="AI45" t="str">
        <f>IF(AG45&lt;&gt;"",IF(Input!AC45&lt;&gt;"",ROUNDDOWN(Input!AC45,0),0),"")</f>
        <v/>
      </c>
      <c r="AJ45" t="str">
        <f>IF(Input!AD45&lt;&gt;"",Input!AD45,"")</f>
        <v/>
      </c>
      <c r="AK45" t="str">
        <f t="shared" si="9"/>
        <v/>
      </c>
      <c r="AL45" t="str">
        <f>IF(AJ45&lt;&gt;"",IF(Input!AF45&lt;&gt;"",ROUNDDOWN(Input!AF45,0),0),"")</f>
        <v/>
      </c>
      <c r="AM45" t="str">
        <f>IF(Input!AG45&lt;&gt;"",Input!AG45,"")</f>
        <v/>
      </c>
      <c r="AN45" t="str">
        <f t="shared" si="10"/>
        <v/>
      </c>
      <c r="AO45" t="str">
        <f>IF(AM45&lt;&gt;"",IF(Input!AI45&lt;&gt;"",ROUNDDOWN(Input!AI45,0),0),"")</f>
        <v/>
      </c>
    </row>
    <row r="46" spans="1:41" ht="16.5" thickTop="1" thickBot="1" x14ac:dyDescent="0.4">
      <c r="A46" s="100">
        <f>IF(ISBLANK(Input!A46),1000,IF(Input!E46&gt;0,Input!E46+F46,1000))</f>
        <v>1000</v>
      </c>
      <c r="B46" s="101">
        <f t="shared" si="0"/>
        <v>1000</v>
      </c>
      <c r="C46" s="4">
        <v>45</v>
      </c>
      <c r="D46" s="29">
        <f>IF(ISBLANK(Input!A46),1000,IF(Input!G46&gt;0,Input!G46+F46,1000))</f>
        <v>1000</v>
      </c>
      <c r="E46" s="29">
        <f t="shared" si="1"/>
        <v>1000</v>
      </c>
      <c r="F46" s="4">
        <v>4.4999999999999998E-2</v>
      </c>
      <c r="I46" t="str">
        <f>IF(Input!A46&gt;0,Input!A46,"")</f>
        <v/>
      </c>
      <c r="J46" t="str">
        <f>IF(Input!B46&gt;0,Input!B46,"")</f>
        <v/>
      </c>
      <c r="K46" t="str">
        <f>IF(Input!C46&gt;0,Input!C46,"")</f>
        <v/>
      </c>
      <c r="L46" t="str">
        <f>IF(Input!D46&gt;0,Input!D46,"")</f>
        <v/>
      </c>
      <c r="M46" t="str">
        <f>IF(Input!E46&gt;0,Input!E46,"")</f>
        <v xml:space="preserve"> </v>
      </c>
      <c r="N46" t="str">
        <f>IF(Input!F46&gt;0,Input!F46,"")</f>
        <v xml:space="preserve"> </v>
      </c>
      <c r="O46" t="str">
        <f>IF(Input!I46&lt;&gt;"",Input!I46,"")</f>
        <v/>
      </c>
      <c r="P46" t="str">
        <f t="shared" si="2"/>
        <v/>
      </c>
      <c r="Q46" t="str">
        <f>IF(O46&lt;&gt;"",IF(Input!K46&lt;&gt;"",ROUNDDOWN(Input!K46,0),0),"")</f>
        <v/>
      </c>
      <c r="R46" t="str">
        <f>IF(Input!L46&lt;&gt;"",Input!L46,"")</f>
        <v/>
      </c>
      <c r="S46" t="str">
        <f t="shared" si="3"/>
        <v/>
      </c>
      <c r="T46" t="str">
        <f>IF(R46&lt;&gt;"",IF(Input!N46&lt;&gt;"",ROUNDDOWN(Input!N46,0),0),"")</f>
        <v/>
      </c>
      <c r="U46" t="str">
        <f>IF(Input!O46&lt;&gt;"",Input!O46,"")</f>
        <v/>
      </c>
      <c r="V46" t="str">
        <f t="shared" si="4"/>
        <v/>
      </c>
      <c r="W46" t="str">
        <f>IF(U46&lt;&gt;"",IF(Input!Q46&lt;&gt;"",ROUNDDOWN(Input!Q46,0),0),"")</f>
        <v/>
      </c>
      <c r="X46" t="str">
        <f>IF(Input!R46&lt;&gt;"",Input!R46,"")</f>
        <v/>
      </c>
      <c r="Y46" t="str">
        <f t="shared" si="5"/>
        <v/>
      </c>
      <c r="Z46" t="str">
        <f>IF(X46&lt;&gt;"",IF(Input!T46&lt;&gt;"",ROUNDDOWN(Input!T46,0),0),"")</f>
        <v/>
      </c>
      <c r="AA46" t="str">
        <f>IF(Input!U46&lt;&gt;"",Input!U46,"")</f>
        <v/>
      </c>
      <c r="AB46" t="str">
        <f t="shared" si="6"/>
        <v/>
      </c>
      <c r="AC46" t="str">
        <f>IF(AA46&lt;&gt;"",IF(Input!W46&lt;&gt;"",ROUNDDOWN(Input!W46,0),0),"")</f>
        <v/>
      </c>
      <c r="AD46" t="str">
        <f>IF(Input!X46&lt;&gt;"",Input!X46,"")</f>
        <v/>
      </c>
      <c r="AE46" t="str">
        <f t="shared" si="7"/>
        <v/>
      </c>
      <c r="AF46" t="str">
        <f>IF(AD46&lt;&gt;"",IF(Input!Z46&lt;&gt;"",ROUNDDOWN(Input!Z46,0),0),"")</f>
        <v/>
      </c>
      <c r="AG46" t="str">
        <f>IF(Input!AA46&lt;&gt;"",Input!AA46,"")</f>
        <v/>
      </c>
      <c r="AH46" t="str">
        <f t="shared" si="8"/>
        <v/>
      </c>
      <c r="AI46" t="str">
        <f>IF(AG46&lt;&gt;"",IF(Input!AC46&lt;&gt;"",ROUNDDOWN(Input!AC46,0),0),"")</f>
        <v/>
      </c>
      <c r="AJ46" t="str">
        <f>IF(Input!AD46&lt;&gt;"",Input!AD46,"")</f>
        <v/>
      </c>
      <c r="AK46" t="str">
        <f t="shared" si="9"/>
        <v/>
      </c>
      <c r="AL46" t="str">
        <f>IF(AJ46&lt;&gt;"",IF(Input!AF46&lt;&gt;"",ROUNDDOWN(Input!AF46,0),0),"")</f>
        <v/>
      </c>
      <c r="AM46" t="str">
        <f>IF(Input!AG46&lt;&gt;"",Input!AG46,"")</f>
        <v/>
      </c>
      <c r="AN46" t="str">
        <f t="shared" si="10"/>
        <v/>
      </c>
      <c r="AO46" t="str">
        <f>IF(AM46&lt;&gt;"",IF(Input!AI46&lt;&gt;"",ROUNDDOWN(Input!AI46,0),0),"")</f>
        <v/>
      </c>
    </row>
    <row r="47" spans="1:41" ht="16.5" thickTop="1" thickBot="1" x14ac:dyDescent="0.4">
      <c r="A47" s="100">
        <f>IF(ISBLANK(Input!A47),1000,IF(Input!E47&gt;0,Input!E47+F47,1000))</f>
        <v>1000</v>
      </c>
      <c r="B47" s="101">
        <f t="shared" si="0"/>
        <v>1000</v>
      </c>
      <c r="C47" s="4">
        <v>46</v>
      </c>
      <c r="D47" s="29">
        <f>IF(ISBLANK(Input!A47),1000,IF(Input!G47&gt;0,Input!G47+F47,1000))</f>
        <v>1000</v>
      </c>
      <c r="E47" s="29">
        <f t="shared" si="1"/>
        <v>1000</v>
      </c>
      <c r="F47" s="4">
        <v>4.5999999999999999E-2</v>
      </c>
      <c r="I47" t="str">
        <f>IF(Input!A47&gt;0,Input!A47,"")</f>
        <v/>
      </c>
      <c r="J47" t="str">
        <f>IF(Input!B47&gt;0,Input!B47,"")</f>
        <v/>
      </c>
      <c r="K47" t="str">
        <f>IF(Input!C47&gt;0,Input!C47,"")</f>
        <v/>
      </c>
      <c r="L47" t="str">
        <f>IF(Input!D47&gt;0,Input!D47,"")</f>
        <v/>
      </c>
      <c r="M47" t="str">
        <f>IF(Input!E47&gt;0,Input!E47,"")</f>
        <v xml:space="preserve"> </v>
      </c>
      <c r="N47" t="str">
        <f>IF(Input!F47&gt;0,Input!F47,"")</f>
        <v xml:space="preserve"> </v>
      </c>
      <c r="O47" t="str">
        <f>IF(Input!I47&lt;&gt;"",Input!I47,"")</f>
        <v/>
      </c>
      <c r="P47" t="str">
        <f t="shared" si="2"/>
        <v/>
      </c>
      <c r="Q47" t="str">
        <f>IF(O47&lt;&gt;"",IF(Input!K47&lt;&gt;"",ROUNDDOWN(Input!K47,0),0),"")</f>
        <v/>
      </c>
      <c r="R47" t="str">
        <f>IF(Input!L47&lt;&gt;"",Input!L47,"")</f>
        <v/>
      </c>
      <c r="S47" t="str">
        <f t="shared" si="3"/>
        <v/>
      </c>
      <c r="T47" t="str">
        <f>IF(R47&lt;&gt;"",IF(Input!N47&lt;&gt;"",ROUNDDOWN(Input!N47,0),0),"")</f>
        <v/>
      </c>
      <c r="U47" t="str">
        <f>IF(Input!O47&lt;&gt;"",Input!O47,"")</f>
        <v/>
      </c>
      <c r="V47" t="str">
        <f t="shared" si="4"/>
        <v/>
      </c>
      <c r="W47" t="str">
        <f>IF(U47&lt;&gt;"",IF(Input!Q47&lt;&gt;"",ROUNDDOWN(Input!Q47,0),0),"")</f>
        <v/>
      </c>
      <c r="X47" t="str">
        <f>IF(Input!R47&lt;&gt;"",Input!R47,"")</f>
        <v/>
      </c>
      <c r="Y47" t="str">
        <f t="shared" si="5"/>
        <v/>
      </c>
      <c r="Z47" t="str">
        <f>IF(X47&lt;&gt;"",IF(Input!T47&lt;&gt;"",ROUNDDOWN(Input!T47,0),0),"")</f>
        <v/>
      </c>
      <c r="AA47" t="str">
        <f>IF(Input!U47&lt;&gt;"",Input!U47,"")</f>
        <v/>
      </c>
      <c r="AB47" t="str">
        <f t="shared" si="6"/>
        <v/>
      </c>
      <c r="AC47" t="str">
        <f>IF(AA47&lt;&gt;"",IF(Input!W47&lt;&gt;"",ROUNDDOWN(Input!W47,0),0),"")</f>
        <v/>
      </c>
      <c r="AD47" t="str">
        <f>IF(Input!X47&lt;&gt;"",Input!X47,"")</f>
        <v/>
      </c>
      <c r="AE47" t="str">
        <f t="shared" si="7"/>
        <v/>
      </c>
      <c r="AF47" t="str">
        <f>IF(AD47&lt;&gt;"",IF(Input!Z47&lt;&gt;"",ROUNDDOWN(Input!Z47,0),0),"")</f>
        <v/>
      </c>
      <c r="AG47" t="str">
        <f>IF(Input!AA47&lt;&gt;"",Input!AA47,"")</f>
        <v/>
      </c>
      <c r="AH47" t="str">
        <f t="shared" si="8"/>
        <v/>
      </c>
      <c r="AI47" t="str">
        <f>IF(AG47&lt;&gt;"",IF(Input!AC47&lt;&gt;"",ROUNDDOWN(Input!AC47,0),0),"")</f>
        <v/>
      </c>
      <c r="AJ47" t="str">
        <f>IF(Input!AD47&lt;&gt;"",Input!AD47,"")</f>
        <v/>
      </c>
      <c r="AK47" t="str">
        <f t="shared" si="9"/>
        <v/>
      </c>
      <c r="AL47" t="str">
        <f>IF(AJ47&lt;&gt;"",IF(Input!AF47&lt;&gt;"",ROUNDDOWN(Input!AF47,0),0),"")</f>
        <v/>
      </c>
      <c r="AM47" t="str">
        <f>IF(Input!AG47&lt;&gt;"",Input!AG47,"")</f>
        <v/>
      </c>
      <c r="AN47" t="str">
        <f t="shared" si="10"/>
        <v/>
      </c>
      <c r="AO47" t="str">
        <f>IF(AM47&lt;&gt;"",IF(Input!AI47&lt;&gt;"",ROUNDDOWN(Input!AI47,0),0),"")</f>
        <v/>
      </c>
    </row>
    <row r="48" spans="1:41" ht="16.5" thickTop="1" thickBot="1" x14ac:dyDescent="0.4">
      <c r="A48" s="100">
        <f>IF(ISBLANK(Input!A48),1000,IF(Input!E48&gt;0,Input!E48+F48,1000))</f>
        <v>1000</v>
      </c>
      <c r="B48" s="101">
        <f t="shared" si="0"/>
        <v>1000</v>
      </c>
      <c r="C48" s="4">
        <v>47</v>
      </c>
      <c r="D48" s="29">
        <f>IF(ISBLANK(Input!A48),1000,IF(Input!G48&gt;0,Input!G48+F48,1000))</f>
        <v>1000</v>
      </c>
      <c r="E48" s="29">
        <f t="shared" si="1"/>
        <v>1000</v>
      </c>
      <c r="F48" s="4">
        <v>4.7E-2</v>
      </c>
      <c r="I48" t="str">
        <f>IF(Input!A48&gt;0,Input!A48,"")</f>
        <v/>
      </c>
      <c r="J48" t="str">
        <f>IF(Input!B48&gt;0,Input!B48,"")</f>
        <v/>
      </c>
      <c r="K48" t="str">
        <f>IF(Input!C48&gt;0,Input!C48,"")</f>
        <v/>
      </c>
      <c r="L48" t="str">
        <f>IF(Input!D48&gt;0,Input!D48,"")</f>
        <v/>
      </c>
      <c r="M48" t="str">
        <f>IF(Input!E48&gt;0,Input!E48,"")</f>
        <v xml:space="preserve"> </v>
      </c>
      <c r="N48" t="str">
        <f>IF(Input!F48&gt;0,Input!F48,"")</f>
        <v xml:space="preserve"> </v>
      </c>
      <c r="O48" t="str">
        <f>IF(Input!I48&lt;&gt;"",Input!I48,"")</f>
        <v/>
      </c>
      <c r="P48" t="str">
        <f t="shared" si="2"/>
        <v/>
      </c>
      <c r="Q48" t="str">
        <f>IF(O48&lt;&gt;"",IF(Input!K48&lt;&gt;"",ROUNDDOWN(Input!K48,0),0),"")</f>
        <v/>
      </c>
      <c r="R48" t="str">
        <f>IF(Input!L48&lt;&gt;"",Input!L48,"")</f>
        <v/>
      </c>
      <c r="S48" t="str">
        <f t="shared" si="3"/>
        <v/>
      </c>
      <c r="T48" t="str">
        <f>IF(R48&lt;&gt;"",IF(Input!N48&lt;&gt;"",ROUNDDOWN(Input!N48,0),0),"")</f>
        <v/>
      </c>
      <c r="U48" t="str">
        <f>IF(Input!O48&lt;&gt;"",Input!O48,"")</f>
        <v/>
      </c>
      <c r="V48" t="str">
        <f t="shared" si="4"/>
        <v/>
      </c>
      <c r="W48" t="str">
        <f>IF(U48&lt;&gt;"",IF(Input!Q48&lt;&gt;"",ROUNDDOWN(Input!Q48,0),0),"")</f>
        <v/>
      </c>
      <c r="X48" t="str">
        <f>IF(Input!R48&lt;&gt;"",Input!R48,"")</f>
        <v/>
      </c>
      <c r="Y48" t="str">
        <f t="shared" si="5"/>
        <v/>
      </c>
      <c r="Z48" t="str">
        <f>IF(X48&lt;&gt;"",IF(Input!T48&lt;&gt;"",ROUNDDOWN(Input!T48,0),0),"")</f>
        <v/>
      </c>
      <c r="AA48" t="str">
        <f>IF(Input!U48&lt;&gt;"",Input!U48,"")</f>
        <v/>
      </c>
      <c r="AB48" t="str">
        <f t="shared" si="6"/>
        <v/>
      </c>
      <c r="AC48" t="str">
        <f>IF(AA48&lt;&gt;"",IF(Input!W48&lt;&gt;"",ROUNDDOWN(Input!W48,0),0),"")</f>
        <v/>
      </c>
      <c r="AD48" t="str">
        <f>IF(Input!X48&lt;&gt;"",Input!X48,"")</f>
        <v/>
      </c>
      <c r="AE48" t="str">
        <f t="shared" si="7"/>
        <v/>
      </c>
      <c r="AF48" t="str">
        <f>IF(AD48&lt;&gt;"",IF(Input!Z48&lt;&gt;"",ROUNDDOWN(Input!Z48,0),0),"")</f>
        <v/>
      </c>
      <c r="AG48" t="str">
        <f>IF(Input!AA48&lt;&gt;"",Input!AA48,"")</f>
        <v/>
      </c>
      <c r="AH48" t="str">
        <f t="shared" si="8"/>
        <v/>
      </c>
      <c r="AI48" t="str">
        <f>IF(AG48&lt;&gt;"",IF(Input!AC48&lt;&gt;"",ROUNDDOWN(Input!AC48,0),0),"")</f>
        <v/>
      </c>
      <c r="AJ48" t="str">
        <f>IF(Input!AD48&lt;&gt;"",Input!AD48,"")</f>
        <v/>
      </c>
      <c r="AK48" t="str">
        <f t="shared" si="9"/>
        <v/>
      </c>
      <c r="AL48" t="str">
        <f>IF(AJ48&lt;&gt;"",IF(Input!AF48&lt;&gt;"",ROUNDDOWN(Input!AF48,0),0),"")</f>
        <v/>
      </c>
      <c r="AM48" t="str">
        <f>IF(Input!AG48&lt;&gt;"",Input!AG48,"")</f>
        <v/>
      </c>
      <c r="AN48" t="str">
        <f t="shared" si="10"/>
        <v/>
      </c>
      <c r="AO48" t="str">
        <f>IF(AM48&lt;&gt;"",IF(Input!AI48&lt;&gt;"",ROUNDDOWN(Input!AI48,0),0),"")</f>
        <v/>
      </c>
    </row>
    <row r="49" spans="1:41" ht="16.5" thickTop="1" thickBot="1" x14ac:dyDescent="0.4">
      <c r="A49" s="100">
        <f>IF(ISBLANK(Input!A49),1000,IF(Input!E49&gt;0,Input!E49+F49,1000))</f>
        <v>1000</v>
      </c>
      <c r="B49" s="101">
        <f t="shared" si="0"/>
        <v>1000</v>
      </c>
      <c r="C49" s="4">
        <v>48</v>
      </c>
      <c r="D49" s="29">
        <f>IF(ISBLANK(Input!A49),1000,IF(Input!G49&gt;0,Input!G49+F49,1000))</f>
        <v>1000</v>
      </c>
      <c r="E49" s="29">
        <f t="shared" si="1"/>
        <v>1000</v>
      </c>
      <c r="F49" s="4">
        <v>4.8000000000000001E-2</v>
      </c>
      <c r="I49" t="str">
        <f>IF(Input!A49&gt;0,Input!A49,"")</f>
        <v/>
      </c>
      <c r="J49" t="str">
        <f>IF(Input!B49&gt;0,Input!B49,"")</f>
        <v/>
      </c>
      <c r="K49" t="str">
        <f>IF(Input!C49&gt;0,Input!C49,"")</f>
        <v/>
      </c>
      <c r="L49" t="str">
        <f>IF(Input!D49&gt;0,Input!D49,"")</f>
        <v/>
      </c>
      <c r="M49" t="str">
        <f>IF(Input!E49&gt;0,Input!E49,"")</f>
        <v xml:space="preserve"> </v>
      </c>
      <c r="N49" t="str">
        <f>IF(Input!F49&gt;0,Input!F49,"")</f>
        <v xml:space="preserve"> </v>
      </c>
      <c r="O49" t="str">
        <f>IF(Input!I49&lt;&gt;"",Input!I49,"")</f>
        <v/>
      </c>
      <c r="P49" t="str">
        <f t="shared" si="2"/>
        <v/>
      </c>
      <c r="Q49" t="str">
        <f>IF(O49&lt;&gt;"",IF(Input!K49&lt;&gt;"",ROUNDDOWN(Input!K49,0),0),"")</f>
        <v/>
      </c>
      <c r="R49" t="str">
        <f>IF(Input!L49&lt;&gt;"",Input!L49,"")</f>
        <v/>
      </c>
      <c r="S49" t="str">
        <f t="shared" si="3"/>
        <v/>
      </c>
      <c r="T49" t="str">
        <f>IF(R49&lt;&gt;"",IF(Input!N49&lt;&gt;"",ROUNDDOWN(Input!N49,0),0),"")</f>
        <v/>
      </c>
      <c r="U49" t="str">
        <f>IF(Input!O49&lt;&gt;"",Input!O49,"")</f>
        <v/>
      </c>
      <c r="V49" t="str">
        <f t="shared" si="4"/>
        <v/>
      </c>
      <c r="W49" t="str">
        <f>IF(U49&lt;&gt;"",IF(Input!Q49&lt;&gt;"",ROUNDDOWN(Input!Q49,0),0),"")</f>
        <v/>
      </c>
      <c r="X49" t="str">
        <f>IF(Input!R49&lt;&gt;"",Input!R49,"")</f>
        <v/>
      </c>
      <c r="Y49" t="str">
        <f t="shared" si="5"/>
        <v/>
      </c>
      <c r="Z49" t="str">
        <f>IF(X49&lt;&gt;"",IF(Input!T49&lt;&gt;"",ROUNDDOWN(Input!T49,0),0),"")</f>
        <v/>
      </c>
      <c r="AA49" t="str">
        <f>IF(Input!U49&lt;&gt;"",Input!U49,"")</f>
        <v/>
      </c>
      <c r="AB49" t="str">
        <f t="shared" si="6"/>
        <v/>
      </c>
      <c r="AC49" t="str">
        <f>IF(AA49&lt;&gt;"",IF(Input!W49&lt;&gt;"",ROUNDDOWN(Input!W49,0),0),"")</f>
        <v/>
      </c>
      <c r="AD49" t="str">
        <f>IF(Input!X49&lt;&gt;"",Input!X49,"")</f>
        <v/>
      </c>
      <c r="AE49" t="str">
        <f t="shared" si="7"/>
        <v/>
      </c>
      <c r="AF49" t="str">
        <f>IF(AD49&lt;&gt;"",IF(Input!Z49&lt;&gt;"",ROUNDDOWN(Input!Z49,0),0),"")</f>
        <v/>
      </c>
      <c r="AG49" t="str">
        <f>IF(Input!AA49&lt;&gt;"",Input!AA49,"")</f>
        <v/>
      </c>
      <c r="AH49" t="str">
        <f t="shared" si="8"/>
        <v/>
      </c>
      <c r="AI49" t="str">
        <f>IF(AG49&lt;&gt;"",IF(Input!AC49&lt;&gt;"",ROUNDDOWN(Input!AC49,0),0),"")</f>
        <v/>
      </c>
      <c r="AJ49" t="str">
        <f>IF(Input!AD49&lt;&gt;"",Input!AD49,"")</f>
        <v/>
      </c>
      <c r="AK49" t="str">
        <f t="shared" si="9"/>
        <v/>
      </c>
      <c r="AL49" t="str">
        <f>IF(AJ49&lt;&gt;"",IF(Input!AF49&lt;&gt;"",ROUNDDOWN(Input!AF49,0),0),"")</f>
        <v/>
      </c>
      <c r="AM49" t="str">
        <f>IF(Input!AG49&lt;&gt;"",Input!AG49,"")</f>
        <v/>
      </c>
      <c r="AN49" t="str">
        <f t="shared" si="10"/>
        <v/>
      </c>
      <c r="AO49" t="str">
        <f>IF(AM49&lt;&gt;"",IF(Input!AI49&lt;&gt;"",ROUNDDOWN(Input!AI49,0),0),"")</f>
        <v/>
      </c>
    </row>
    <row r="50" spans="1:41" ht="16.5" thickTop="1" thickBot="1" x14ac:dyDescent="0.4">
      <c r="A50" s="100">
        <f>IF(ISBLANK(Input!A50),1000,IF(Input!E50&gt;0,Input!E50+F50,1000))</f>
        <v>1000</v>
      </c>
      <c r="B50" s="101">
        <f t="shared" si="0"/>
        <v>1000</v>
      </c>
      <c r="C50" s="4">
        <v>49</v>
      </c>
      <c r="D50" s="29">
        <f>IF(ISBLANK(Input!A50),1000,IF(Input!G50&gt;0,Input!G50+F50,1000))</f>
        <v>1000</v>
      </c>
      <c r="E50" s="29">
        <f t="shared" si="1"/>
        <v>1000</v>
      </c>
      <c r="F50" s="4">
        <v>4.9000000000000002E-2</v>
      </c>
      <c r="I50" t="str">
        <f>IF(Input!A50&gt;0,Input!A50,"")</f>
        <v/>
      </c>
      <c r="J50" t="str">
        <f>IF(Input!B50&gt;0,Input!B50,"")</f>
        <v/>
      </c>
      <c r="K50" t="str">
        <f>IF(Input!C50&gt;0,Input!C50,"")</f>
        <v/>
      </c>
      <c r="L50" t="str">
        <f>IF(Input!D50&gt;0,Input!D50,"")</f>
        <v/>
      </c>
      <c r="M50" t="str">
        <f>IF(Input!E50&gt;0,Input!E50,"")</f>
        <v xml:space="preserve"> </v>
      </c>
      <c r="N50" t="str">
        <f>IF(Input!F50&gt;0,Input!F50,"")</f>
        <v xml:space="preserve"> </v>
      </c>
      <c r="O50" t="str">
        <f>IF(Input!I50&lt;&gt;"",Input!I50,"")</f>
        <v/>
      </c>
      <c r="P50" t="str">
        <f t="shared" si="2"/>
        <v/>
      </c>
      <c r="Q50" t="str">
        <f>IF(O50&lt;&gt;"",IF(Input!K50&lt;&gt;"",ROUNDDOWN(Input!K50,0),0),"")</f>
        <v/>
      </c>
      <c r="R50" t="str">
        <f>IF(Input!L50&lt;&gt;"",Input!L50,"")</f>
        <v/>
      </c>
      <c r="S50" t="str">
        <f t="shared" si="3"/>
        <v/>
      </c>
      <c r="T50" t="str">
        <f>IF(R50&lt;&gt;"",IF(Input!N50&lt;&gt;"",ROUNDDOWN(Input!N50,0),0),"")</f>
        <v/>
      </c>
      <c r="U50" t="str">
        <f>IF(Input!O50&lt;&gt;"",Input!O50,"")</f>
        <v/>
      </c>
      <c r="V50" t="str">
        <f t="shared" si="4"/>
        <v/>
      </c>
      <c r="W50" t="str">
        <f>IF(U50&lt;&gt;"",IF(Input!Q50&lt;&gt;"",ROUNDDOWN(Input!Q50,0),0),"")</f>
        <v/>
      </c>
      <c r="X50" t="str">
        <f>IF(Input!R50&lt;&gt;"",Input!R50,"")</f>
        <v/>
      </c>
      <c r="Y50" t="str">
        <f t="shared" si="5"/>
        <v/>
      </c>
      <c r="Z50" t="str">
        <f>IF(X50&lt;&gt;"",IF(Input!T50&lt;&gt;"",ROUNDDOWN(Input!T50,0),0),"")</f>
        <v/>
      </c>
      <c r="AA50" t="str">
        <f>IF(Input!U50&lt;&gt;"",Input!U50,"")</f>
        <v/>
      </c>
      <c r="AB50" t="str">
        <f t="shared" si="6"/>
        <v/>
      </c>
      <c r="AC50" t="str">
        <f>IF(AA50&lt;&gt;"",IF(Input!W50&lt;&gt;"",ROUNDDOWN(Input!W50,0),0),"")</f>
        <v/>
      </c>
      <c r="AD50" t="str">
        <f>IF(Input!X50&lt;&gt;"",Input!X50,"")</f>
        <v/>
      </c>
      <c r="AE50" t="str">
        <f t="shared" si="7"/>
        <v/>
      </c>
      <c r="AF50" t="str">
        <f>IF(AD50&lt;&gt;"",IF(Input!Z50&lt;&gt;"",ROUNDDOWN(Input!Z50,0),0),"")</f>
        <v/>
      </c>
      <c r="AG50" t="str">
        <f>IF(Input!AA50&lt;&gt;"",Input!AA50,"")</f>
        <v/>
      </c>
      <c r="AH50" t="str">
        <f t="shared" si="8"/>
        <v/>
      </c>
      <c r="AI50" t="str">
        <f>IF(AG50&lt;&gt;"",IF(Input!AC50&lt;&gt;"",ROUNDDOWN(Input!AC50,0),0),"")</f>
        <v/>
      </c>
      <c r="AJ50" t="str">
        <f>IF(Input!AD50&lt;&gt;"",Input!AD50,"")</f>
        <v/>
      </c>
      <c r="AK50" t="str">
        <f t="shared" si="9"/>
        <v/>
      </c>
      <c r="AL50" t="str">
        <f>IF(AJ50&lt;&gt;"",IF(Input!AF50&lt;&gt;"",ROUNDDOWN(Input!AF50,0),0),"")</f>
        <v/>
      </c>
      <c r="AM50" t="str">
        <f>IF(Input!AG50&lt;&gt;"",Input!AG50,"")</f>
        <v/>
      </c>
      <c r="AN50" t="str">
        <f t="shared" si="10"/>
        <v/>
      </c>
      <c r="AO50" t="str">
        <f>IF(AM50&lt;&gt;"",IF(Input!AI50&lt;&gt;"",ROUNDDOWN(Input!AI50,0),0),"")</f>
        <v/>
      </c>
    </row>
    <row r="51" spans="1:41" ht="16.5" thickTop="1" thickBot="1" x14ac:dyDescent="0.4">
      <c r="A51" s="100">
        <f>IF(ISBLANK(Input!A51),1000,IF(Input!E51&gt;0,Input!E51+F51,1000))</f>
        <v>1000</v>
      </c>
      <c r="B51" s="101">
        <f t="shared" si="0"/>
        <v>1000</v>
      </c>
      <c r="C51" s="4">
        <v>50</v>
      </c>
      <c r="D51" s="29">
        <f>IF(ISBLANK(Input!A51),1000,IF(Input!G51&gt;0,Input!G51+F51,1000))</f>
        <v>1000</v>
      </c>
      <c r="E51" s="29">
        <f t="shared" si="1"/>
        <v>1000</v>
      </c>
      <c r="F51" s="4">
        <v>0.05</v>
      </c>
      <c r="I51" t="str">
        <f>IF(Input!A51&gt;0,Input!A51,"")</f>
        <v/>
      </c>
      <c r="J51" t="str">
        <f>IF(Input!B51&gt;0,Input!B51,"")</f>
        <v/>
      </c>
      <c r="K51" t="str">
        <f>IF(Input!C51&gt;0,Input!C51,"")</f>
        <v/>
      </c>
      <c r="L51" t="str">
        <f>IF(Input!D51&gt;0,Input!D51,"")</f>
        <v/>
      </c>
      <c r="M51" t="str">
        <f>IF(Input!E51&gt;0,Input!E51,"")</f>
        <v xml:space="preserve"> </v>
      </c>
      <c r="N51" t="str">
        <f>IF(Input!F51&gt;0,Input!F51,"")</f>
        <v xml:space="preserve"> </v>
      </c>
      <c r="O51" t="str">
        <f>IF(Input!I51&lt;&gt;"",Input!I51,"")</f>
        <v/>
      </c>
      <c r="P51" t="str">
        <f t="shared" si="2"/>
        <v/>
      </c>
      <c r="Q51" t="str">
        <f>IF(O51&lt;&gt;"",IF(Input!K51&lt;&gt;"",ROUNDDOWN(Input!K51,0),0),"")</f>
        <v/>
      </c>
      <c r="R51" t="str">
        <f>IF(Input!L51&lt;&gt;"",Input!L51,"")</f>
        <v/>
      </c>
      <c r="S51" t="str">
        <f t="shared" si="3"/>
        <v/>
      </c>
      <c r="T51" t="str">
        <f>IF(R51&lt;&gt;"",IF(Input!N51&lt;&gt;"",ROUNDDOWN(Input!N51,0),0),"")</f>
        <v/>
      </c>
      <c r="U51" t="str">
        <f>IF(Input!O51&lt;&gt;"",Input!O51,"")</f>
        <v/>
      </c>
      <c r="V51" t="str">
        <f t="shared" si="4"/>
        <v/>
      </c>
      <c r="W51" t="str">
        <f>IF(U51&lt;&gt;"",IF(Input!Q51&lt;&gt;"",ROUNDDOWN(Input!Q51,0),0),"")</f>
        <v/>
      </c>
      <c r="X51" t="str">
        <f>IF(Input!R51&lt;&gt;"",Input!R51,"")</f>
        <v/>
      </c>
      <c r="Y51" t="str">
        <f t="shared" si="5"/>
        <v/>
      </c>
      <c r="Z51" t="str">
        <f>IF(X51&lt;&gt;"",IF(Input!T51&lt;&gt;"",ROUNDDOWN(Input!T51,0),0),"")</f>
        <v/>
      </c>
      <c r="AA51" t="str">
        <f>IF(Input!U51&lt;&gt;"",Input!U51,"")</f>
        <v/>
      </c>
      <c r="AB51" t="str">
        <f t="shared" si="6"/>
        <v/>
      </c>
      <c r="AC51" t="str">
        <f>IF(AA51&lt;&gt;"",IF(Input!W51&lt;&gt;"",ROUNDDOWN(Input!W51,0),0),"")</f>
        <v/>
      </c>
      <c r="AD51" t="str">
        <f>IF(Input!X51&lt;&gt;"",Input!X51,"")</f>
        <v/>
      </c>
      <c r="AE51" t="str">
        <f t="shared" si="7"/>
        <v/>
      </c>
      <c r="AF51" t="str">
        <f>IF(AD51&lt;&gt;"",IF(Input!Z51&lt;&gt;"",ROUNDDOWN(Input!Z51,0),0),"")</f>
        <v/>
      </c>
      <c r="AG51" t="str">
        <f>IF(Input!AA51&lt;&gt;"",Input!AA51,"")</f>
        <v/>
      </c>
      <c r="AH51" t="str">
        <f t="shared" si="8"/>
        <v/>
      </c>
      <c r="AI51" t="str">
        <f>IF(AG51&lt;&gt;"",IF(Input!AC51&lt;&gt;"",ROUNDDOWN(Input!AC51,0),0),"")</f>
        <v/>
      </c>
      <c r="AJ51" t="str">
        <f>IF(Input!AD51&lt;&gt;"",Input!AD51,"")</f>
        <v/>
      </c>
      <c r="AK51" t="str">
        <f t="shared" si="9"/>
        <v/>
      </c>
      <c r="AL51" t="str">
        <f>IF(AJ51&lt;&gt;"",IF(Input!AF51&lt;&gt;"",ROUNDDOWN(Input!AF51,0),0),"")</f>
        <v/>
      </c>
      <c r="AM51" t="str">
        <f>IF(Input!AG51&lt;&gt;"",Input!AG51,"")</f>
        <v/>
      </c>
      <c r="AN51" t="str">
        <f t="shared" si="10"/>
        <v/>
      </c>
      <c r="AO51" t="str">
        <f>IF(AM51&lt;&gt;"",IF(Input!AI51&lt;&gt;"",ROUNDDOWN(Input!AI51,0),0),"")</f>
        <v/>
      </c>
    </row>
    <row r="52" spans="1:41" ht="16.5" thickTop="1" thickBot="1" x14ac:dyDescent="0.4">
      <c r="A52" s="100">
        <f>IF(ISBLANK(Input!A52),1000,IF(Input!E52&gt;0,Input!E52+F52,1000))</f>
        <v>1000</v>
      </c>
      <c r="B52" s="101">
        <f t="shared" si="0"/>
        <v>1000</v>
      </c>
      <c r="C52" s="4">
        <v>51</v>
      </c>
      <c r="D52" s="29">
        <f>IF(ISBLANK(Input!A52),1000,IF(Input!G52&gt;0,Input!G52+F52,1000))</f>
        <v>1000</v>
      </c>
      <c r="E52" s="29">
        <f t="shared" si="1"/>
        <v>1000</v>
      </c>
      <c r="F52" s="4">
        <v>5.0999999999999997E-2</v>
      </c>
      <c r="I52" t="str">
        <f>IF(Input!A52&gt;0,Input!A52,"")</f>
        <v/>
      </c>
      <c r="J52" t="str">
        <f>IF(Input!B52&gt;0,Input!B52,"")</f>
        <v/>
      </c>
      <c r="K52" t="str">
        <f>IF(Input!C52&gt;0,Input!C52,"")</f>
        <v/>
      </c>
      <c r="L52" t="str">
        <f>IF(Input!D52&gt;0,Input!D52,"")</f>
        <v/>
      </c>
      <c r="M52" t="str">
        <f>IF(Input!E52&gt;0,Input!E52,"")</f>
        <v xml:space="preserve"> </v>
      </c>
      <c r="N52" t="str">
        <f>IF(Input!F52&gt;0,Input!F52,"")</f>
        <v xml:space="preserve"> </v>
      </c>
      <c r="O52" t="str">
        <f>IF(Input!I52&lt;&gt;"",Input!I52,"")</f>
        <v/>
      </c>
      <c r="P52" t="str">
        <f t="shared" si="2"/>
        <v/>
      </c>
      <c r="Q52" t="str">
        <f>IF(O52&lt;&gt;"",IF(Input!K52&lt;&gt;"",ROUNDDOWN(Input!K52,0),0),"")</f>
        <v/>
      </c>
      <c r="R52" t="str">
        <f>IF(Input!L52&lt;&gt;"",Input!L52,"")</f>
        <v/>
      </c>
      <c r="S52" t="str">
        <f t="shared" si="3"/>
        <v/>
      </c>
      <c r="T52" t="str">
        <f>IF(R52&lt;&gt;"",IF(Input!N52&lt;&gt;"",ROUNDDOWN(Input!N52,0),0),"")</f>
        <v/>
      </c>
      <c r="U52" t="str">
        <f>IF(Input!O52&lt;&gt;"",Input!O52,"")</f>
        <v/>
      </c>
      <c r="V52" t="str">
        <f t="shared" si="4"/>
        <v/>
      </c>
      <c r="W52" t="str">
        <f>IF(U52&lt;&gt;"",IF(Input!Q52&lt;&gt;"",ROUNDDOWN(Input!Q52,0),0),"")</f>
        <v/>
      </c>
      <c r="X52" t="str">
        <f>IF(Input!R52&lt;&gt;"",Input!R52,"")</f>
        <v/>
      </c>
      <c r="Y52" t="str">
        <f t="shared" si="5"/>
        <v/>
      </c>
      <c r="Z52" t="str">
        <f>IF(X52&lt;&gt;"",IF(Input!T52&lt;&gt;"",ROUNDDOWN(Input!T52,0),0),"")</f>
        <v/>
      </c>
      <c r="AA52" t="str">
        <f>IF(Input!U52&lt;&gt;"",Input!U52,"")</f>
        <v/>
      </c>
      <c r="AB52" t="str">
        <f t="shared" si="6"/>
        <v/>
      </c>
      <c r="AC52" t="str">
        <f>IF(AA52&lt;&gt;"",IF(Input!W52&lt;&gt;"",ROUNDDOWN(Input!W52,0),0),"")</f>
        <v/>
      </c>
      <c r="AD52" t="str">
        <f>IF(Input!X52&lt;&gt;"",Input!X52,"")</f>
        <v/>
      </c>
      <c r="AE52" t="str">
        <f t="shared" si="7"/>
        <v/>
      </c>
      <c r="AF52" t="str">
        <f>IF(AD52&lt;&gt;"",IF(Input!Z52&lt;&gt;"",ROUNDDOWN(Input!Z52,0),0),"")</f>
        <v/>
      </c>
      <c r="AG52" t="str">
        <f>IF(Input!AA52&lt;&gt;"",Input!AA52,"")</f>
        <v/>
      </c>
      <c r="AH52" t="str">
        <f t="shared" si="8"/>
        <v/>
      </c>
      <c r="AI52" t="str">
        <f>IF(AG52&lt;&gt;"",IF(Input!AC52&lt;&gt;"",ROUNDDOWN(Input!AC52,0),0),"")</f>
        <v/>
      </c>
      <c r="AJ52" t="str">
        <f>IF(Input!AD52&lt;&gt;"",Input!AD52,"")</f>
        <v/>
      </c>
      <c r="AK52" t="str">
        <f t="shared" si="9"/>
        <v/>
      </c>
      <c r="AL52" t="str">
        <f>IF(AJ52&lt;&gt;"",IF(Input!AF52&lt;&gt;"",ROUNDDOWN(Input!AF52,0),0),"")</f>
        <v/>
      </c>
      <c r="AM52" t="str">
        <f>IF(Input!AG52&lt;&gt;"",Input!AG52,"")</f>
        <v/>
      </c>
      <c r="AN52" t="str">
        <f t="shared" si="10"/>
        <v/>
      </c>
      <c r="AO52" t="str">
        <f>IF(AM52&lt;&gt;"",IF(Input!AI52&lt;&gt;"",ROUNDDOWN(Input!AI52,0),0),"")</f>
        <v/>
      </c>
    </row>
    <row r="53" spans="1:41" ht="16.5" thickTop="1" thickBot="1" x14ac:dyDescent="0.4">
      <c r="A53" s="100">
        <f>IF(ISBLANK(Input!A53),1000,IF(Input!E53&gt;0,Input!E53+F53,1000))</f>
        <v>1000</v>
      </c>
      <c r="B53" s="101">
        <f t="shared" si="0"/>
        <v>1000</v>
      </c>
      <c r="C53" s="4">
        <v>52</v>
      </c>
      <c r="D53" s="29">
        <f>IF(ISBLANK(Input!A53),1000,IF(Input!G53&gt;0,Input!G53+F53,1000))</f>
        <v>1000</v>
      </c>
      <c r="E53" s="29">
        <f t="shared" si="1"/>
        <v>1000</v>
      </c>
      <c r="F53" s="4">
        <v>5.1999999999999998E-2</v>
      </c>
      <c r="I53" t="str">
        <f>IF(Input!A53&gt;0,Input!A53,"")</f>
        <v/>
      </c>
      <c r="J53" t="str">
        <f>IF(Input!B53&gt;0,Input!B53,"")</f>
        <v/>
      </c>
      <c r="K53" t="str">
        <f>IF(Input!C53&gt;0,Input!C53,"")</f>
        <v/>
      </c>
      <c r="L53" t="str">
        <f>IF(Input!D53&gt;0,Input!D53,"")</f>
        <v/>
      </c>
      <c r="M53" t="str">
        <f>IF(Input!E53&gt;0,Input!E53,"")</f>
        <v xml:space="preserve"> </v>
      </c>
      <c r="N53" t="str">
        <f>IF(Input!F53&gt;0,Input!F53,"")</f>
        <v xml:space="preserve"> </v>
      </c>
      <c r="O53" t="str">
        <f>IF(Input!I53&lt;&gt;"",Input!I53,"")</f>
        <v/>
      </c>
      <c r="P53" t="str">
        <f t="shared" si="2"/>
        <v/>
      </c>
      <c r="Q53" t="str">
        <f>IF(O53&lt;&gt;"",IF(Input!K53&lt;&gt;"",ROUNDDOWN(Input!K53,0),0),"")</f>
        <v/>
      </c>
      <c r="R53" t="str">
        <f>IF(Input!L53&lt;&gt;"",Input!L53,"")</f>
        <v/>
      </c>
      <c r="S53" t="str">
        <f t="shared" si="3"/>
        <v/>
      </c>
      <c r="T53" t="str">
        <f>IF(R53&lt;&gt;"",IF(Input!N53&lt;&gt;"",ROUNDDOWN(Input!N53,0),0),"")</f>
        <v/>
      </c>
      <c r="U53" t="str">
        <f>IF(Input!O53&lt;&gt;"",Input!O53,"")</f>
        <v/>
      </c>
      <c r="V53" t="str">
        <f t="shared" si="4"/>
        <v/>
      </c>
      <c r="W53" t="str">
        <f>IF(U53&lt;&gt;"",IF(Input!Q53&lt;&gt;"",ROUNDDOWN(Input!Q53,0),0),"")</f>
        <v/>
      </c>
      <c r="X53" t="str">
        <f>IF(Input!R53&lt;&gt;"",Input!R53,"")</f>
        <v/>
      </c>
      <c r="Y53" t="str">
        <f t="shared" si="5"/>
        <v/>
      </c>
      <c r="Z53" t="str">
        <f>IF(X53&lt;&gt;"",IF(Input!T53&lt;&gt;"",ROUNDDOWN(Input!T53,0),0),"")</f>
        <v/>
      </c>
      <c r="AA53" t="str">
        <f>IF(Input!U53&lt;&gt;"",Input!U53,"")</f>
        <v/>
      </c>
      <c r="AB53" t="str">
        <f t="shared" si="6"/>
        <v/>
      </c>
      <c r="AC53" t="str">
        <f>IF(AA53&lt;&gt;"",IF(Input!W53&lt;&gt;"",ROUNDDOWN(Input!W53,0),0),"")</f>
        <v/>
      </c>
      <c r="AD53" t="str">
        <f>IF(Input!X53&lt;&gt;"",Input!X53,"")</f>
        <v/>
      </c>
      <c r="AE53" t="str">
        <f t="shared" si="7"/>
        <v/>
      </c>
      <c r="AF53" t="str">
        <f>IF(AD53&lt;&gt;"",IF(Input!Z53&lt;&gt;"",ROUNDDOWN(Input!Z53,0),0),"")</f>
        <v/>
      </c>
      <c r="AG53" t="str">
        <f>IF(Input!AA53&lt;&gt;"",Input!AA53,"")</f>
        <v/>
      </c>
      <c r="AH53" t="str">
        <f t="shared" si="8"/>
        <v/>
      </c>
      <c r="AI53" t="str">
        <f>IF(AG53&lt;&gt;"",IF(Input!AC53&lt;&gt;"",ROUNDDOWN(Input!AC53,0),0),"")</f>
        <v/>
      </c>
      <c r="AJ53" t="str">
        <f>IF(Input!AD53&lt;&gt;"",Input!AD53,"")</f>
        <v/>
      </c>
      <c r="AK53" t="str">
        <f t="shared" si="9"/>
        <v/>
      </c>
      <c r="AL53" t="str">
        <f>IF(AJ53&lt;&gt;"",IF(Input!AF53&lt;&gt;"",ROUNDDOWN(Input!AF53,0),0),"")</f>
        <v/>
      </c>
      <c r="AM53" t="str">
        <f>IF(Input!AG53&lt;&gt;"",Input!AG53,"")</f>
        <v/>
      </c>
      <c r="AN53" t="str">
        <f t="shared" si="10"/>
        <v/>
      </c>
      <c r="AO53" t="str">
        <f>IF(AM53&lt;&gt;"",IF(Input!AI53&lt;&gt;"",ROUNDDOWN(Input!AI53,0),0),"")</f>
        <v/>
      </c>
    </row>
    <row r="54" spans="1:41" ht="16.5" thickTop="1" thickBot="1" x14ac:dyDescent="0.4">
      <c r="A54" s="100">
        <f>IF(ISBLANK(Input!A54),1000,IF(Input!E54&gt;0,Input!E54+F54,1000))</f>
        <v>1000</v>
      </c>
      <c r="B54" s="101">
        <f t="shared" si="0"/>
        <v>1000</v>
      </c>
      <c r="C54" s="4">
        <v>53</v>
      </c>
      <c r="D54" s="29">
        <f>IF(ISBLANK(Input!A54),1000,IF(Input!G54&gt;0,Input!G54+F54,1000))</f>
        <v>1000</v>
      </c>
      <c r="E54" s="29">
        <f t="shared" si="1"/>
        <v>1000</v>
      </c>
      <c r="F54" s="4">
        <v>5.2999999999999999E-2</v>
      </c>
      <c r="I54" t="str">
        <f>IF(Input!A54&gt;0,Input!A54,"")</f>
        <v/>
      </c>
      <c r="J54" t="str">
        <f>IF(Input!B54&gt;0,Input!B54,"")</f>
        <v/>
      </c>
      <c r="K54" t="str">
        <f>IF(Input!C54&gt;0,Input!C54,"")</f>
        <v/>
      </c>
      <c r="L54" t="str">
        <f>IF(Input!D54&gt;0,Input!D54,"")</f>
        <v/>
      </c>
      <c r="M54" t="str">
        <f>IF(Input!E54&gt;0,Input!E54,"")</f>
        <v xml:space="preserve"> </v>
      </c>
      <c r="N54" t="str">
        <f>IF(Input!F54&gt;0,Input!F54,"")</f>
        <v xml:space="preserve"> </v>
      </c>
      <c r="O54" t="str">
        <f>IF(Input!I54&lt;&gt;"",Input!I54,"")</f>
        <v/>
      </c>
      <c r="P54" t="str">
        <f t="shared" si="2"/>
        <v/>
      </c>
      <c r="Q54" t="str">
        <f>IF(O54&lt;&gt;"",IF(Input!K54&lt;&gt;"",ROUNDDOWN(Input!K54,0),0),"")</f>
        <v/>
      </c>
      <c r="R54" t="str">
        <f>IF(Input!L54&lt;&gt;"",Input!L54,"")</f>
        <v/>
      </c>
      <c r="S54" t="str">
        <f t="shared" si="3"/>
        <v/>
      </c>
      <c r="T54" t="str">
        <f>IF(R54&lt;&gt;"",IF(Input!N54&lt;&gt;"",ROUNDDOWN(Input!N54,0),0),"")</f>
        <v/>
      </c>
      <c r="U54" t="str">
        <f>IF(Input!O54&lt;&gt;"",Input!O54,"")</f>
        <v/>
      </c>
      <c r="V54" t="str">
        <f t="shared" si="4"/>
        <v/>
      </c>
      <c r="W54" t="str">
        <f>IF(U54&lt;&gt;"",IF(Input!Q54&lt;&gt;"",ROUNDDOWN(Input!Q54,0),0),"")</f>
        <v/>
      </c>
      <c r="X54" t="str">
        <f>IF(Input!R54&lt;&gt;"",Input!R54,"")</f>
        <v/>
      </c>
      <c r="Y54" t="str">
        <f t="shared" si="5"/>
        <v/>
      </c>
      <c r="Z54" t="str">
        <f>IF(X54&lt;&gt;"",IF(Input!T54&lt;&gt;"",ROUNDDOWN(Input!T54,0),0),"")</f>
        <v/>
      </c>
      <c r="AA54" t="str">
        <f>IF(Input!U54&lt;&gt;"",Input!U54,"")</f>
        <v/>
      </c>
      <c r="AB54" t="str">
        <f t="shared" si="6"/>
        <v/>
      </c>
      <c r="AC54" t="str">
        <f>IF(AA54&lt;&gt;"",IF(Input!W54&lt;&gt;"",ROUNDDOWN(Input!W54,0),0),"")</f>
        <v/>
      </c>
      <c r="AD54" t="str">
        <f>IF(Input!X54&lt;&gt;"",Input!X54,"")</f>
        <v/>
      </c>
      <c r="AE54" t="str">
        <f t="shared" si="7"/>
        <v/>
      </c>
      <c r="AF54" t="str">
        <f>IF(AD54&lt;&gt;"",IF(Input!Z54&lt;&gt;"",ROUNDDOWN(Input!Z54,0),0),"")</f>
        <v/>
      </c>
      <c r="AG54" t="str">
        <f>IF(Input!AA54&lt;&gt;"",Input!AA54,"")</f>
        <v/>
      </c>
      <c r="AH54" t="str">
        <f t="shared" si="8"/>
        <v/>
      </c>
      <c r="AI54" t="str">
        <f>IF(AG54&lt;&gt;"",IF(Input!AC54&lt;&gt;"",ROUNDDOWN(Input!AC54,0),0),"")</f>
        <v/>
      </c>
      <c r="AJ54" t="str">
        <f>IF(Input!AD54&lt;&gt;"",Input!AD54,"")</f>
        <v/>
      </c>
      <c r="AK54" t="str">
        <f t="shared" si="9"/>
        <v/>
      </c>
      <c r="AL54" t="str">
        <f>IF(AJ54&lt;&gt;"",IF(Input!AF54&lt;&gt;"",ROUNDDOWN(Input!AF54,0),0),"")</f>
        <v/>
      </c>
      <c r="AM54" t="str">
        <f>IF(Input!AG54&lt;&gt;"",Input!AG54,"")</f>
        <v/>
      </c>
      <c r="AN54" t="str">
        <f t="shared" si="10"/>
        <v/>
      </c>
      <c r="AO54" t="str">
        <f>IF(AM54&lt;&gt;"",IF(Input!AI54&lt;&gt;"",ROUNDDOWN(Input!AI54,0),0),"")</f>
        <v/>
      </c>
    </row>
    <row r="55" spans="1:41" ht="16.5" thickTop="1" thickBot="1" x14ac:dyDescent="0.4">
      <c r="A55" s="100">
        <f>IF(ISBLANK(Input!A55),1000,IF(Input!E55&gt;0,Input!E55+F55,1000))</f>
        <v>1000</v>
      </c>
      <c r="B55" s="101">
        <f t="shared" si="0"/>
        <v>1000</v>
      </c>
      <c r="C55" s="4">
        <v>54</v>
      </c>
      <c r="D55" s="29">
        <f>IF(ISBLANK(Input!A55),1000,IF(Input!G55&gt;0,Input!G55+F55,1000))</f>
        <v>1000</v>
      </c>
      <c r="E55" s="29">
        <f t="shared" si="1"/>
        <v>1000</v>
      </c>
      <c r="F55" s="4">
        <v>5.3999999999999999E-2</v>
      </c>
      <c r="I55" t="str">
        <f>IF(Input!A55&gt;0,Input!A55,"")</f>
        <v/>
      </c>
      <c r="J55" t="str">
        <f>IF(Input!B55&gt;0,Input!B55,"")</f>
        <v/>
      </c>
      <c r="K55" t="str">
        <f>IF(Input!C55&gt;0,Input!C55,"")</f>
        <v/>
      </c>
      <c r="L55" t="str">
        <f>IF(Input!D55&gt;0,Input!D55,"")</f>
        <v/>
      </c>
      <c r="M55" t="str">
        <f>IF(Input!E55&gt;0,Input!E55,"")</f>
        <v xml:space="preserve"> </v>
      </c>
      <c r="N55" t="str">
        <f>IF(Input!F55&gt;0,Input!F55,"")</f>
        <v xml:space="preserve"> </v>
      </c>
      <c r="O55" t="str">
        <f>IF(Input!I55&lt;&gt;"",Input!I55,"")</f>
        <v/>
      </c>
      <c r="P55" t="str">
        <f t="shared" si="2"/>
        <v/>
      </c>
      <c r="Q55" t="str">
        <f>IF(O55&lt;&gt;"",IF(Input!K55&lt;&gt;"",ROUNDDOWN(Input!K55,0),0),"")</f>
        <v/>
      </c>
      <c r="R55" t="str">
        <f>IF(Input!L55&lt;&gt;"",Input!L55,"")</f>
        <v/>
      </c>
      <c r="S55" t="str">
        <f t="shared" si="3"/>
        <v/>
      </c>
      <c r="T55" t="str">
        <f>IF(R55&lt;&gt;"",IF(Input!N55&lt;&gt;"",ROUNDDOWN(Input!N55,0),0),"")</f>
        <v/>
      </c>
      <c r="U55" t="str">
        <f>IF(Input!O55&lt;&gt;"",Input!O55,"")</f>
        <v/>
      </c>
      <c r="V55" t="str">
        <f t="shared" si="4"/>
        <v/>
      </c>
      <c r="W55" t="str">
        <f>IF(U55&lt;&gt;"",IF(Input!Q55&lt;&gt;"",ROUNDDOWN(Input!Q55,0),0),"")</f>
        <v/>
      </c>
      <c r="X55" t="str">
        <f>IF(Input!R55&lt;&gt;"",Input!R55,"")</f>
        <v/>
      </c>
      <c r="Y55" t="str">
        <f t="shared" si="5"/>
        <v/>
      </c>
      <c r="Z55" t="str">
        <f>IF(X55&lt;&gt;"",IF(Input!T55&lt;&gt;"",ROUNDDOWN(Input!T55,0),0),"")</f>
        <v/>
      </c>
      <c r="AA55" t="str">
        <f>IF(Input!U55&lt;&gt;"",Input!U55,"")</f>
        <v/>
      </c>
      <c r="AB55" t="str">
        <f t="shared" si="6"/>
        <v/>
      </c>
      <c r="AC55" t="str">
        <f>IF(AA55&lt;&gt;"",IF(Input!W55&lt;&gt;"",ROUNDDOWN(Input!W55,0),0),"")</f>
        <v/>
      </c>
      <c r="AD55" t="str">
        <f>IF(Input!X55&lt;&gt;"",Input!X55,"")</f>
        <v/>
      </c>
      <c r="AE55" t="str">
        <f t="shared" si="7"/>
        <v/>
      </c>
      <c r="AF55" t="str">
        <f>IF(AD55&lt;&gt;"",IF(Input!Z55&lt;&gt;"",ROUNDDOWN(Input!Z55,0),0),"")</f>
        <v/>
      </c>
      <c r="AG55" t="str">
        <f>IF(Input!AA55&lt;&gt;"",Input!AA55,"")</f>
        <v/>
      </c>
      <c r="AH55" t="str">
        <f t="shared" si="8"/>
        <v/>
      </c>
      <c r="AI55" t="str">
        <f>IF(AG55&lt;&gt;"",IF(Input!AC55&lt;&gt;"",ROUNDDOWN(Input!AC55,0),0),"")</f>
        <v/>
      </c>
      <c r="AJ55" t="str">
        <f>IF(Input!AD55&lt;&gt;"",Input!AD55,"")</f>
        <v/>
      </c>
      <c r="AK55" t="str">
        <f t="shared" si="9"/>
        <v/>
      </c>
      <c r="AL55" t="str">
        <f>IF(AJ55&lt;&gt;"",IF(Input!AF55&lt;&gt;"",ROUNDDOWN(Input!AF55,0),0),"")</f>
        <v/>
      </c>
      <c r="AM55" t="str">
        <f>IF(Input!AG55&lt;&gt;"",Input!AG55,"")</f>
        <v/>
      </c>
      <c r="AN55" t="str">
        <f t="shared" si="10"/>
        <v/>
      </c>
      <c r="AO55" t="str">
        <f>IF(AM55&lt;&gt;"",IF(Input!AI55&lt;&gt;"",ROUNDDOWN(Input!AI55,0),0),"")</f>
        <v/>
      </c>
    </row>
    <row r="56" spans="1:41" ht="16.5" thickTop="1" thickBot="1" x14ac:dyDescent="0.4">
      <c r="A56" s="100">
        <f>IF(ISBLANK(Input!A56),1000,IF(Input!E56&gt;0,Input!E56+F56,1000))</f>
        <v>1000</v>
      </c>
      <c r="B56" s="101">
        <f t="shared" si="0"/>
        <v>1000</v>
      </c>
      <c r="C56" s="4">
        <v>55</v>
      </c>
      <c r="D56" s="29">
        <f>IF(ISBLANK(Input!A56),1000,IF(Input!G56&gt;0,Input!G56+F56,1000))</f>
        <v>1000</v>
      </c>
      <c r="E56" s="29">
        <f t="shared" si="1"/>
        <v>1000</v>
      </c>
      <c r="F56" s="4">
        <v>5.5E-2</v>
      </c>
      <c r="I56" t="str">
        <f>IF(Input!A56&gt;0,Input!A56,"")</f>
        <v/>
      </c>
      <c r="J56" t="str">
        <f>IF(Input!B56&gt;0,Input!B56,"")</f>
        <v/>
      </c>
      <c r="K56" t="str">
        <f>IF(Input!C56&gt;0,Input!C56,"")</f>
        <v/>
      </c>
      <c r="L56" t="str">
        <f>IF(Input!D56&gt;0,Input!D56,"")</f>
        <v/>
      </c>
      <c r="M56" t="str">
        <f>IF(Input!E56&gt;0,Input!E56,"")</f>
        <v xml:space="preserve"> </v>
      </c>
      <c r="N56" t="str">
        <f>IF(Input!F56&gt;0,Input!F56,"")</f>
        <v xml:space="preserve"> </v>
      </c>
      <c r="O56" t="str">
        <f>IF(Input!I56&lt;&gt;"",Input!I56,"")</f>
        <v/>
      </c>
      <c r="P56" t="str">
        <f t="shared" si="2"/>
        <v/>
      </c>
      <c r="Q56" t="str">
        <f>IF(O56&lt;&gt;"",IF(Input!K56&lt;&gt;"",ROUNDDOWN(Input!K56,0),0),"")</f>
        <v/>
      </c>
      <c r="R56" t="str">
        <f>IF(Input!L56&lt;&gt;"",Input!L56,"")</f>
        <v/>
      </c>
      <c r="S56" t="str">
        <f t="shared" si="3"/>
        <v/>
      </c>
      <c r="T56" t="str">
        <f>IF(R56&lt;&gt;"",IF(Input!N56&lt;&gt;"",ROUNDDOWN(Input!N56,0),0),"")</f>
        <v/>
      </c>
      <c r="U56" t="str">
        <f>IF(Input!O56&lt;&gt;"",Input!O56,"")</f>
        <v/>
      </c>
      <c r="V56" t="str">
        <f t="shared" si="4"/>
        <v/>
      </c>
      <c r="W56" t="str">
        <f>IF(U56&lt;&gt;"",IF(Input!Q56&lt;&gt;"",ROUNDDOWN(Input!Q56,0),0),"")</f>
        <v/>
      </c>
      <c r="X56" t="str">
        <f>IF(Input!R56&lt;&gt;"",Input!R56,"")</f>
        <v/>
      </c>
      <c r="Y56" t="str">
        <f t="shared" si="5"/>
        <v/>
      </c>
      <c r="Z56" t="str">
        <f>IF(X56&lt;&gt;"",IF(Input!T56&lt;&gt;"",ROUNDDOWN(Input!T56,0),0),"")</f>
        <v/>
      </c>
      <c r="AA56" t="str">
        <f>IF(Input!U56&lt;&gt;"",Input!U56,"")</f>
        <v/>
      </c>
      <c r="AB56" t="str">
        <f t="shared" si="6"/>
        <v/>
      </c>
      <c r="AC56" t="str">
        <f>IF(AA56&lt;&gt;"",IF(Input!W56&lt;&gt;"",ROUNDDOWN(Input!W56,0),0),"")</f>
        <v/>
      </c>
      <c r="AD56" t="str">
        <f>IF(Input!X56&lt;&gt;"",Input!X56,"")</f>
        <v/>
      </c>
      <c r="AE56" t="str">
        <f t="shared" si="7"/>
        <v/>
      </c>
      <c r="AF56" t="str">
        <f>IF(AD56&lt;&gt;"",IF(Input!Z56&lt;&gt;"",ROUNDDOWN(Input!Z56,0),0),"")</f>
        <v/>
      </c>
      <c r="AG56" t="str">
        <f>IF(Input!AA56&lt;&gt;"",Input!AA56,"")</f>
        <v/>
      </c>
      <c r="AH56" t="str">
        <f t="shared" si="8"/>
        <v/>
      </c>
      <c r="AI56" t="str">
        <f>IF(AG56&lt;&gt;"",IF(Input!AC56&lt;&gt;"",ROUNDDOWN(Input!AC56,0),0),"")</f>
        <v/>
      </c>
      <c r="AJ56" t="str">
        <f>IF(Input!AD56&lt;&gt;"",Input!AD56,"")</f>
        <v/>
      </c>
      <c r="AK56" t="str">
        <f t="shared" si="9"/>
        <v/>
      </c>
      <c r="AL56" t="str">
        <f>IF(AJ56&lt;&gt;"",IF(Input!AF56&lt;&gt;"",ROUNDDOWN(Input!AF56,0),0),"")</f>
        <v/>
      </c>
      <c r="AM56" t="str">
        <f>IF(Input!AG56&lt;&gt;"",Input!AG56,"")</f>
        <v/>
      </c>
      <c r="AN56" t="str">
        <f t="shared" si="10"/>
        <v/>
      </c>
      <c r="AO56" t="str">
        <f>IF(AM56&lt;&gt;"",IF(Input!AI56&lt;&gt;"",ROUNDDOWN(Input!AI56,0),0),"")</f>
        <v/>
      </c>
    </row>
    <row r="57" spans="1:41" ht="16.5" thickTop="1" thickBot="1" x14ac:dyDescent="0.4">
      <c r="A57" s="100">
        <f>IF(ISBLANK(Input!A57),1000,IF(Input!E57&gt;0,Input!E57+F57,1000))</f>
        <v>1000</v>
      </c>
      <c r="B57" s="101">
        <f t="shared" si="0"/>
        <v>1000</v>
      </c>
      <c r="C57" s="4">
        <v>56</v>
      </c>
      <c r="D57" s="29">
        <f>IF(ISBLANK(Input!A57),1000,IF(Input!G57&gt;0,Input!G57+F57,1000))</f>
        <v>1000</v>
      </c>
      <c r="E57" s="29">
        <f t="shared" si="1"/>
        <v>1000</v>
      </c>
      <c r="F57" s="4">
        <v>5.6000000000000001E-2</v>
      </c>
      <c r="I57" t="str">
        <f>IF(Input!A57&gt;0,Input!A57,"")</f>
        <v/>
      </c>
      <c r="J57" t="str">
        <f>IF(Input!B57&gt;0,Input!B57,"")</f>
        <v/>
      </c>
      <c r="K57" t="str">
        <f>IF(Input!C57&gt;0,Input!C57,"")</f>
        <v/>
      </c>
      <c r="L57" t="str">
        <f>IF(Input!D57&gt;0,Input!D57,"")</f>
        <v/>
      </c>
      <c r="M57" t="str">
        <f>IF(Input!E57&gt;0,Input!E57,"")</f>
        <v xml:space="preserve"> </v>
      </c>
      <c r="N57" t="str">
        <f>IF(Input!F57&gt;0,Input!F57,"")</f>
        <v xml:space="preserve"> </v>
      </c>
      <c r="O57" t="str">
        <f>IF(Input!I57&lt;&gt;"",Input!I57,"")</f>
        <v/>
      </c>
      <c r="P57" t="str">
        <f t="shared" si="2"/>
        <v/>
      </c>
      <c r="Q57" t="str">
        <f>IF(O57&lt;&gt;"",IF(Input!K57&lt;&gt;"",ROUNDDOWN(Input!K57,0),0),"")</f>
        <v/>
      </c>
      <c r="R57" t="str">
        <f>IF(Input!L57&lt;&gt;"",Input!L57,"")</f>
        <v/>
      </c>
      <c r="S57" t="str">
        <f t="shared" si="3"/>
        <v/>
      </c>
      <c r="T57" t="str">
        <f>IF(R57&lt;&gt;"",IF(Input!N57&lt;&gt;"",ROUNDDOWN(Input!N57,0),0),"")</f>
        <v/>
      </c>
      <c r="U57" t="str">
        <f>IF(Input!O57&lt;&gt;"",Input!O57,"")</f>
        <v/>
      </c>
      <c r="V57" t="str">
        <f t="shared" si="4"/>
        <v/>
      </c>
      <c r="W57" t="str">
        <f>IF(U57&lt;&gt;"",IF(Input!Q57&lt;&gt;"",ROUNDDOWN(Input!Q57,0),0),"")</f>
        <v/>
      </c>
      <c r="X57" t="str">
        <f>IF(Input!R57&lt;&gt;"",Input!R57,"")</f>
        <v/>
      </c>
      <c r="Y57" t="str">
        <f t="shared" si="5"/>
        <v/>
      </c>
      <c r="Z57" t="str">
        <f>IF(X57&lt;&gt;"",IF(Input!T57&lt;&gt;"",ROUNDDOWN(Input!T57,0),0),"")</f>
        <v/>
      </c>
      <c r="AA57" t="str">
        <f>IF(Input!U57&lt;&gt;"",Input!U57,"")</f>
        <v/>
      </c>
      <c r="AB57" t="str">
        <f t="shared" si="6"/>
        <v/>
      </c>
      <c r="AC57" t="str">
        <f>IF(AA57&lt;&gt;"",IF(Input!W57&lt;&gt;"",ROUNDDOWN(Input!W57,0),0),"")</f>
        <v/>
      </c>
      <c r="AD57" t="str">
        <f>IF(Input!X57&lt;&gt;"",Input!X57,"")</f>
        <v/>
      </c>
      <c r="AE57" t="str">
        <f t="shared" si="7"/>
        <v/>
      </c>
      <c r="AF57" t="str">
        <f>IF(AD57&lt;&gt;"",IF(Input!Z57&lt;&gt;"",ROUNDDOWN(Input!Z57,0),0),"")</f>
        <v/>
      </c>
      <c r="AG57" t="str">
        <f>IF(Input!AA57&lt;&gt;"",Input!AA57,"")</f>
        <v/>
      </c>
      <c r="AH57" t="str">
        <f t="shared" si="8"/>
        <v/>
      </c>
      <c r="AI57" t="str">
        <f>IF(AG57&lt;&gt;"",IF(Input!AC57&lt;&gt;"",ROUNDDOWN(Input!AC57,0),0),"")</f>
        <v/>
      </c>
      <c r="AJ57" t="str">
        <f>IF(Input!AD57&lt;&gt;"",Input!AD57,"")</f>
        <v/>
      </c>
      <c r="AK57" t="str">
        <f t="shared" si="9"/>
        <v/>
      </c>
      <c r="AL57" t="str">
        <f>IF(AJ57&lt;&gt;"",IF(Input!AF57&lt;&gt;"",ROUNDDOWN(Input!AF57,0),0),"")</f>
        <v/>
      </c>
      <c r="AM57" t="str">
        <f>IF(Input!AG57&lt;&gt;"",Input!AG57,"")</f>
        <v/>
      </c>
      <c r="AN57" t="str">
        <f t="shared" si="10"/>
        <v/>
      </c>
      <c r="AO57" t="str">
        <f>IF(AM57&lt;&gt;"",IF(Input!AI57&lt;&gt;"",ROUNDDOWN(Input!AI57,0),0),"")</f>
        <v/>
      </c>
    </row>
    <row r="58" spans="1:41" ht="16.5" thickTop="1" thickBot="1" x14ac:dyDescent="0.4">
      <c r="A58" s="100">
        <f>IF(ISBLANK(Input!A58),1000,IF(Input!E58&gt;0,Input!E58+F58,1000))</f>
        <v>1000</v>
      </c>
      <c r="B58" s="101">
        <f t="shared" si="0"/>
        <v>1000</v>
      </c>
      <c r="C58" s="4">
        <v>57</v>
      </c>
      <c r="D58" s="29">
        <f>IF(ISBLANK(Input!A58),1000,IF(Input!G58&gt;0,Input!G58+F58,1000))</f>
        <v>1000</v>
      </c>
      <c r="E58" s="29">
        <f t="shared" si="1"/>
        <v>1000</v>
      </c>
      <c r="F58" s="4">
        <v>5.7000000000000002E-2</v>
      </c>
      <c r="I58" t="str">
        <f>IF(Input!A58&gt;0,Input!A58,"")</f>
        <v/>
      </c>
      <c r="J58" t="str">
        <f>IF(Input!B58&gt;0,Input!B58,"")</f>
        <v/>
      </c>
      <c r="K58" t="str">
        <f>IF(Input!C58&gt;0,Input!C58,"")</f>
        <v/>
      </c>
      <c r="L58" t="str">
        <f>IF(Input!D58&gt;0,Input!D58,"")</f>
        <v/>
      </c>
      <c r="M58" t="str">
        <f>IF(Input!E58&gt;0,Input!E58,"")</f>
        <v xml:space="preserve"> </v>
      </c>
      <c r="N58" t="str">
        <f>IF(Input!F58&gt;0,Input!F58,"")</f>
        <v xml:space="preserve"> </v>
      </c>
      <c r="O58" t="str">
        <f>IF(Input!I58&lt;&gt;"",Input!I58,"")</f>
        <v/>
      </c>
      <c r="P58" t="str">
        <f t="shared" si="2"/>
        <v/>
      </c>
      <c r="Q58" t="str">
        <f>IF(O58&lt;&gt;"",IF(Input!K58&lt;&gt;"",ROUNDDOWN(Input!K58,0),0),"")</f>
        <v/>
      </c>
      <c r="R58" t="str">
        <f>IF(Input!L58&lt;&gt;"",Input!L58,"")</f>
        <v/>
      </c>
      <c r="S58" t="str">
        <f t="shared" si="3"/>
        <v/>
      </c>
      <c r="T58" t="str">
        <f>IF(R58&lt;&gt;"",IF(Input!N58&lt;&gt;"",ROUNDDOWN(Input!N58,0),0),"")</f>
        <v/>
      </c>
      <c r="U58" t="str">
        <f>IF(Input!O58&lt;&gt;"",Input!O58,"")</f>
        <v/>
      </c>
      <c r="V58" t="str">
        <f t="shared" si="4"/>
        <v/>
      </c>
      <c r="W58" t="str">
        <f>IF(U58&lt;&gt;"",IF(Input!Q58&lt;&gt;"",ROUNDDOWN(Input!Q58,0),0),"")</f>
        <v/>
      </c>
      <c r="X58" t="str">
        <f>IF(Input!R58&lt;&gt;"",Input!R58,"")</f>
        <v/>
      </c>
      <c r="Y58" t="str">
        <f t="shared" si="5"/>
        <v/>
      </c>
      <c r="Z58" t="str">
        <f>IF(X58&lt;&gt;"",IF(Input!T58&lt;&gt;"",ROUNDDOWN(Input!T58,0),0),"")</f>
        <v/>
      </c>
      <c r="AA58" t="str">
        <f>IF(Input!U58&lt;&gt;"",Input!U58,"")</f>
        <v/>
      </c>
      <c r="AB58" t="str">
        <f t="shared" si="6"/>
        <v/>
      </c>
      <c r="AC58" t="str">
        <f>IF(AA58&lt;&gt;"",IF(Input!W58&lt;&gt;"",ROUNDDOWN(Input!W58,0),0),"")</f>
        <v/>
      </c>
      <c r="AD58" t="str">
        <f>IF(Input!X58&lt;&gt;"",Input!X58,"")</f>
        <v/>
      </c>
      <c r="AE58" t="str">
        <f t="shared" si="7"/>
        <v/>
      </c>
      <c r="AF58" t="str">
        <f>IF(AD58&lt;&gt;"",IF(Input!Z58&lt;&gt;"",ROUNDDOWN(Input!Z58,0),0),"")</f>
        <v/>
      </c>
      <c r="AG58" t="str">
        <f>IF(Input!AA58&lt;&gt;"",Input!AA58,"")</f>
        <v/>
      </c>
      <c r="AH58" t="str">
        <f t="shared" si="8"/>
        <v/>
      </c>
      <c r="AI58" t="str">
        <f>IF(AG58&lt;&gt;"",IF(Input!AC58&lt;&gt;"",ROUNDDOWN(Input!AC58,0),0),"")</f>
        <v/>
      </c>
      <c r="AJ58" t="str">
        <f>IF(Input!AD58&lt;&gt;"",Input!AD58,"")</f>
        <v/>
      </c>
      <c r="AK58" t="str">
        <f t="shared" si="9"/>
        <v/>
      </c>
      <c r="AL58" t="str">
        <f>IF(AJ58&lt;&gt;"",IF(Input!AF58&lt;&gt;"",ROUNDDOWN(Input!AF58,0),0),"")</f>
        <v/>
      </c>
      <c r="AM58" t="str">
        <f>IF(Input!AG58&lt;&gt;"",Input!AG58,"")</f>
        <v/>
      </c>
      <c r="AN58" t="str">
        <f t="shared" si="10"/>
        <v/>
      </c>
      <c r="AO58" t="str">
        <f>IF(AM58&lt;&gt;"",IF(Input!AI58&lt;&gt;"",ROUNDDOWN(Input!AI58,0),0),"")</f>
        <v/>
      </c>
    </row>
    <row r="59" spans="1:41" ht="16.5" thickTop="1" thickBot="1" x14ac:dyDescent="0.4">
      <c r="A59" s="100">
        <f>IF(ISBLANK(Input!A59),1000,IF(Input!E59&gt;0,Input!E59+F59,1000))</f>
        <v>1000</v>
      </c>
      <c r="B59" s="101">
        <f t="shared" si="0"/>
        <v>1000</v>
      </c>
      <c r="C59" s="4">
        <v>58</v>
      </c>
      <c r="D59" s="29">
        <f>IF(ISBLANK(Input!A59),1000,IF(Input!G59&gt;0,Input!G59+F59,1000))</f>
        <v>1000</v>
      </c>
      <c r="E59" s="29">
        <f t="shared" si="1"/>
        <v>1000</v>
      </c>
      <c r="F59" s="4">
        <v>5.8000000000000003E-2</v>
      </c>
      <c r="I59" t="str">
        <f>IF(Input!A59&gt;0,Input!A59,"")</f>
        <v/>
      </c>
      <c r="J59" t="str">
        <f>IF(Input!B59&gt;0,Input!B59,"")</f>
        <v/>
      </c>
      <c r="K59" t="str">
        <f>IF(Input!C59&gt;0,Input!C59,"")</f>
        <v/>
      </c>
      <c r="L59" t="str">
        <f>IF(Input!D59&gt;0,Input!D59,"")</f>
        <v/>
      </c>
      <c r="M59" t="str">
        <f>IF(Input!E59&gt;0,Input!E59,"")</f>
        <v xml:space="preserve"> </v>
      </c>
      <c r="N59" t="str">
        <f>IF(Input!F59&gt;0,Input!F59,"")</f>
        <v xml:space="preserve"> </v>
      </c>
      <c r="O59" t="str">
        <f>IF(Input!I59&lt;&gt;"",Input!I59,"")</f>
        <v/>
      </c>
      <c r="P59" t="str">
        <f t="shared" si="2"/>
        <v/>
      </c>
      <c r="Q59" t="str">
        <f>IF(O59&lt;&gt;"",IF(Input!K59&lt;&gt;"",ROUNDDOWN(Input!K59,0),0),"")</f>
        <v/>
      </c>
      <c r="R59" t="str">
        <f>IF(Input!L59&lt;&gt;"",Input!L59,"")</f>
        <v/>
      </c>
      <c r="S59" t="str">
        <f t="shared" si="3"/>
        <v/>
      </c>
      <c r="T59" t="str">
        <f>IF(R59&lt;&gt;"",IF(Input!N59&lt;&gt;"",ROUNDDOWN(Input!N59,0),0),"")</f>
        <v/>
      </c>
      <c r="U59" t="str">
        <f>IF(Input!O59&lt;&gt;"",Input!O59,"")</f>
        <v/>
      </c>
      <c r="V59" t="str">
        <f t="shared" si="4"/>
        <v/>
      </c>
      <c r="W59" t="str">
        <f>IF(U59&lt;&gt;"",IF(Input!Q59&lt;&gt;"",ROUNDDOWN(Input!Q59,0),0),"")</f>
        <v/>
      </c>
      <c r="X59" t="str">
        <f>IF(Input!R59&lt;&gt;"",Input!R59,"")</f>
        <v/>
      </c>
      <c r="Y59" t="str">
        <f t="shared" si="5"/>
        <v/>
      </c>
      <c r="Z59" t="str">
        <f>IF(X59&lt;&gt;"",IF(Input!T59&lt;&gt;"",ROUNDDOWN(Input!T59,0),0),"")</f>
        <v/>
      </c>
      <c r="AA59" t="str">
        <f>IF(Input!U59&lt;&gt;"",Input!U59,"")</f>
        <v/>
      </c>
      <c r="AB59" t="str">
        <f t="shared" si="6"/>
        <v/>
      </c>
      <c r="AC59" t="str">
        <f>IF(AA59&lt;&gt;"",IF(Input!W59&lt;&gt;"",ROUNDDOWN(Input!W59,0),0),"")</f>
        <v/>
      </c>
      <c r="AD59" t="str">
        <f>IF(Input!X59&lt;&gt;"",Input!X59,"")</f>
        <v/>
      </c>
      <c r="AE59" t="str">
        <f t="shared" si="7"/>
        <v/>
      </c>
      <c r="AF59" t="str">
        <f>IF(AD59&lt;&gt;"",IF(Input!Z59&lt;&gt;"",ROUNDDOWN(Input!Z59,0),0),"")</f>
        <v/>
      </c>
      <c r="AG59" t="str">
        <f>IF(Input!AA59&lt;&gt;"",Input!AA59,"")</f>
        <v/>
      </c>
      <c r="AH59" t="str">
        <f t="shared" si="8"/>
        <v/>
      </c>
      <c r="AI59" t="str">
        <f>IF(AG59&lt;&gt;"",IF(Input!AC59&lt;&gt;"",ROUNDDOWN(Input!AC59,0),0),"")</f>
        <v/>
      </c>
      <c r="AJ59" t="str">
        <f>IF(Input!AD59&lt;&gt;"",Input!AD59,"")</f>
        <v/>
      </c>
      <c r="AK59" t="str">
        <f t="shared" si="9"/>
        <v/>
      </c>
      <c r="AL59" t="str">
        <f>IF(AJ59&lt;&gt;"",IF(Input!AF59&lt;&gt;"",ROUNDDOWN(Input!AF59,0),0),"")</f>
        <v/>
      </c>
      <c r="AM59" t="str">
        <f>IF(Input!AG59&lt;&gt;"",Input!AG59,"")</f>
        <v/>
      </c>
      <c r="AN59" t="str">
        <f t="shared" si="10"/>
        <v/>
      </c>
      <c r="AO59" t="str">
        <f>IF(AM59&lt;&gt;"",IF(Input!AI59&lt;&gt;"",ROUNDDOWN(Input!AI59,0),0),"")</f>
        <v/>
      </c>
    </row>
    <row r="60" spans="1:41" ht="16.5" thickTop="1" thickBot="1" x14ac:dyDescent="0.4">
      <c r="A60" s="100">
        <f>IF(ISBLANK(Input!A60),1000,IF(Input!E60&gt;0,Input!E60+F60,1000))</f>
        <v>1000</v>
      </c>
      <c r="B60" s="101">
        <f t="shared" si="0"/>
        <v>1000</v>
      </c>
      <c r="C60" s="4">
        <v>59</v>
      </c>
      <c r="D60" s="29">
        <f>IF(ISBLANK(Input!A60),1000,IF(Input!G60&gt;0,Input!G60+F60,1000))</f>
        <v>1000</v>
      </c>
      <c r="E60" s="29">
        <f t="shared" si="1"/>
        <v>1000</v>
      </c>
      <c r="F60" s="4">
        <v>5.8999999999999997E-2</v>
      </c>
      <c r="I60" t="str">
        <f>IF(Input!A60&gt;0,Input!A60,"")</f>
        <v/>
      </c>
      <c r="J60" t="str">
        <f>IF(Input!B60&gt;0,Input!B60,"")</f>
        <v/>
      </c>
      <c r="K60" t="str">
        <f>IF(Input!C60&gt;0,Input!C60,"")</f>
        <v/>
      </c>
      <c r="L60" t="str">
        <f>IF(Input!D60&gt;0,Input!D60,"")</f>
        <v/>
      </c>
      <c r="M60" t="str">
        <f>IF(Input!E60&gt;0,Input!E60,"")</f>
        <v xml:space="preserve"> </v>
      </c>
      <c r="N60" t="str">
        <f>IF(Input!F60&gt;0,Input!F60,"")</f>
        <v xml:space="preserve"> </v>
      </c>
      <c r="O60" t="str">
        <f>IF(Input!I60&lt;&gt;"",Input!I60,"")</f>
        <v/>
      </c>
      <c r="P60" t="str">
        <f t="shared" si="2"/>
        <v/>
      </c>
      <c r="Q60" t="str">
        <f>IF(O60&lt;&gt;"",IF(Input!K60&lt;&gt;"",ROUNDDOWN(Input!K60,0),0),"")</f>
        <v/>
      </c>
      <c r="R60" t="str">
        <f>IF(Input!L60&lt;&gt;"",Input!L60,"")</f>
        <v/>
      </c>
      <c r="S60" t="str">
        <f t="shared" si="3"/>
        <v/>
      </c>
      <c r="T60" t="str">
        <f>IF(R60&lt;&gt;"",IF(Input!N60&lt;&gt;"",ROUNDDOWN(Input!N60,0),0),"")</f>
        <v/>
      </c>
      <c r="U60" t="str">
        <f>IF(Input!O60&lt;&gt;"",Input!O60,"")</f>
        <v/>
      </c>
      <c r="V60" t="str">
        <f t="shared" si="4"/>
        <v/>
      </c>
      <c r="W60" t="str">
        <f>IF(U60&lt;&gt;"",IF(Input!Q60&lt;&gt;"",ROUNDDOWN(Input!Q60,0),0),"")</f>
        <v/>
      </c>
      <c r="X60" t="str">
        <f>IF(Input!R60&lt;&gt;"",Input!R60,"")</f>
        <v/>
      </c>
      <c r="Y60" t="str">
        <f t="shared" si="5"/>
        <v/>
      </c>
      <c r="Z60" t="str">
        <f>IF(X60&lt;&gt;"",IF(Input!T60&lt;&gt;"",ROUNDDOWN(Input!T60,0),0),"")</f>
        <v/>
      </c>
      <c r="AA60" t="str">
        <f>IF(Input!U60&lt;&gt;"",Input!U60,"")</f>
        <v/>
      </c>
      <c r="AB60" t="str">
        <f t="shared" si="6"/>
        <v/>
      </c>
      <c r="AC60" t="str">
        <f>IF(AA60&lt;&gt;"",IF(Input!W60&lt;&gt;"",ROUNDDOWN(Input!W60,0),0),"")</f>
        <v/>
      </c>
      <c r="AD60" t="str">
        <f>IF(Input!X60&lt;&gt;"",Input!X60,"")</f>
        <v/>
      </c>
      <c r="AE60" t="str">
        <f t="shared" si="7"/>
        <v/>
      </c>
      <c r="AF60" t="str">
        <f>IF(AD60&lt;&gt;"",IF(Input!Z60&lt;&gt;"",ROUNDDOWN(Input!Z60,0),0),"")</f>
        <v/>
      </c>
      <c r="AG60" t="str">
        <f>IF(Input!AA60&lt;&gt;"",Input!AA60,"")</f>
        <v/>
      </c>
      <c r="AH60" t="str">
        <f t="shared" si="8"/>
        <v/>
      </c>
      <c r="AI60" t="str">
        <f>IF(AG60&lt;&gt;"",IF(Input!AC60&lt;&gt;"",ROUNDDOWN(Input!AC60,0),0),"")</f>
        <v/>
      </c>
      <c r="AJ60" t="str">
        <f>IF(Input!AD60&lt;&gt;"",Input!AD60,"")</f>
        <v/>
      </c>
      <c r="AK60" t="str">
        <f t="shared" si="9"/>
        <v/>
      </c>
      <c r="AL60" t="str">
        <f>IF(AJ60&lt;&gt;"",IF(Input!AF60&lt;&gt;"",ROUNDDOWN(Input!AF60,0),0),"")</f>
        <v/>
      </c>
      <c r="AM60" t="str">
        <f>IF(Input!AG60&lt;&gt;"",Input!AG60,"")</f>
        <v/>
      </c>
      <c r="AN60" t="str">
        <f t="shared" si="10"/>
        <v/>
      </c>
      <c r="AO60" t="str">
        <f>IF(AM60&lt;&gt;"",IF(Input!AI60&lt;&gt;"",ROUNDDOWN(Input!AI60,0),0),"")</f>
        <v/>
      </c>
    </row>
    <row r="61" spans="1:41" ht="16.5" thickTop="1" thickBot="1" x14ac:dyDescent="0.4">
      <c r="A61" s="100">
        <f>IF(ISBLANK(Input!A61),1000,IF(Input!E61&gt;0,Input!E61+F61,1000))</f>
        <v>1000</v>
      </c>
      <c r="B61" s="101">
        <f t="shared" si="0"/>
        <v>1000</v>
      </c>
      <c r="C61" s="4">
        <v>60</v>
      </c>
      <c r="D61" s="29">
        <f>IF(ISBLANK(Input!A61),1000,IF(Input!G61&gt;0,Input!G61+F61,1000))</f>
        <v>1000</v>
      </c>
      <c r="E61" s="29">
        <f t="shared" si="1"/>
        <v>1000</v>
      </c>
      <c r="F61" s="4">
        <v>0.06</v>
      </c>
      <c r="I61" t="str">
        <f>IF(Input!A61&gt;0,Input!A61,"")</f>
        <v/>
      </c>
      <c r="J61" t="str">
        <f>IF(Input!B61&gt;0,Input!B61,"")</f>
        <v/>
      </c>
      <c r="K61" t="str">
        <f>IF(Input!C61&gt;0,Input!C61,"")</f>
        <v/>
      </c>
      <c r="L61" t="str">
        <f>IF(Input!D61&gt;0,Input!D61,"")</f>
        <v/>
      </c>
      <c r="M61" t="str">
        <f>IF(Input!E61&gt;0,Input!E61,"")</f>
        <v xml:space="preserve"> </v>
      </c>
      <c r="N61" t="str">
        <f>IF(Input!F61&gt;0,Input!F61,"")</f>
        <v xml:space="preserve"> </v>
      </c>
      <c r="O61" t="str">
        <f>IF(Input!I61&lt;&gt;"",Input!I61,"")</f>
        <v/>
      </c>
      <c r="P61" t="str">
        <f t="shared" si="2"/>
        <v/>
      </c>
      <c r="Q61" t="str">
        <f>IF(O61&lt;&gt;"",IF(Input!K61&lt;&gt;"",ROUNDDOWN(Input!K61,0),0),"")</f>
        <v/>
      </c>
      <c r="R61" t="str">
        <f>IF(Input!L61&lt;&gt;"",Input!L61,"")</f>
        <v/>
      </c>
      <c r="S61" t="str">
        <f t="shared" si="3"/>
        <v/>
      </c>
      <c r="T61" t="str">
        <f>IF(R61&lt;&gt;"",IF(Input!N61&lt;&gt;"",ROUNDDOWN(Input!N61,0),0),"")</f>
        <v/>
      </c>
      <c r="U61" t="str">
        <f>IF(Input!O61&lt;&gt;"",Input!O61,"")</f>
        <v/>
      </c>
      <c r="V61" t="str">
        <f t="shared" si="4"/>
        <v/>
      </c>
      <c r="W61" t="str">
        <f>IF(U61&lt;&gt;"",IF(Input!Q61&lt;&gt;"",ROUNDDOWN(Input!Q61,0),0),"")</f>
        <v/>
      </c>
      <c r="X61" t="str">
        <f>IF(Input!R61&lt;&gt;"",Input!R61,"")</f>
        <v/>
      </c>
      <c r="Y61" t="str">
        <f t="shared" si="5"/>
        <v/>
      </c>
      <c r="Z61" t="str">
        <f>IF(X61&lt;&gt;"",IF(Input!T61&lt;&gt;"",ROUNDDOWN(Input!T61,0),0),"")</f>
        <v/>
      </c>
      <c r="AA61" t="str">
        <f>IF(Input!U61&lt;&gt;"",Input!U61,"")</f>
        <v/>
      </c>
      <c r="AB61" t="str">
        <f t="shared" si="6"/>
        <v/>
      </c>
      <c r="AC61" t="str">
        <f>IF(AA61&lt;&gt;"",IF(Input!W61&lt;&gt;"",ROUNDDOWN(Input!W61,0),0),"")</f>
        <v/>
      </c>
      <c r="AD61" t="str">
        <f>IF(Input!X61&lt;&gt;"",Input!X61,"")</f>
        <v/>
      </c>
      <c r="AE61" t="str">
        <f t="shared" si="7"/>
        <v/>
      </c>
      <c r="AF61" t="str">
        <f>IF(AD61&lt;&gt;"",IF(Input!Z61&lt;&gt;"",ROUNDDOWN(Input!Z61,0),0),"")</f>
        <v/>
      </c>
      <c r="AG61" t="str">
        <f>IF(Input!AA61&lt;&gt;"",Input!AA61,"")</f>
        <v/>
      </c>
      <c r="AH61" t="str">
        <f t="shared" si="8"/>
        <v/>
      </c>
      <c r="AI61" t="str">
        <f>IF(AG61&lt;&gt;"",IF(Input!AC61&lt;&gt;"",ROUNDDOWN(Input!AC61,0),0),"")</f>
        <v/>
      </c>
      <c r="AJ61" t="str">
        <f>IF(Input!AD61&lt;&gt;"",Input!AD61,"")</f>
        <v/>
      </c>
      <c r="AK61" t="str">
        <f t="shared" si="9"/>
        <v/>
      </c>
      <c r="AL61" t="str">
        <f>IF(AJ61&lt;&gt;"",IF(Input!AF61&lt;&gt;"",ROUNDDOWN(Input!AF61,0),0),"")</f>
        <v/>
      </c>
      <c r="AM61" t="str">
        <f>IF(Input!AG61&lt;&gt;"",Input!AG61,"")</f>
        <v/>
      </c>
      <c r="AN61" t="str">
        <f t="shared" si="10"/>
        <v/>
      </c>
      <c r="AO61" t="str">
        <f>IF(AM61&lt;&gt;"",IF(Input!AI61&lt;&gt;"",ROUNDDOWN(Input!AI61,0),0),"")</f>
        <v/>
      </c>
    </row>
    <row r="62" spans="1:41" ht="16.5" thickTop="1" thickBot="1" x14ac:dyDescent="0.4">
      <c r="A62" s="100">
        <f>IF(ISBLANK(Input!A62),1000,IF(Input!E62&gt;0,Input!E62+F62,1000))</f>
        <v>1000</v>
      </c>
      <c r="B62" s="101">
        <f t="shared" si="0"/>
        <v>1000</v>
      </c>
      <c r="C62" s="4">
        <v>61</v>
      </c>
      <c r="D62" s="29">
        <f>IF(ISBLANK(Input!A62),1000,IF(Input!G62&gt;0,Input!G62+F62,1000))</f>
        <v>1000</v>
      </c>
      <c r="E62" s="29">
        <f t="shared" si="1"/>
        <v>1000</v>
      </c>
      <c r="F62" s="4">
        <v>6.0999999999999999E-2</v>
      </c>
      <c r="I62" t="str">
        <f>IF(Input!A62&gt;0,Input!A62,"")</f>
        <v/>
      </c>
      <c r="J62" t="str">
        <f>IF(Input!B62&gt;0,Input!B62,"")</f>
        <v/>
      </c>
      <c r="K62" t="str">
        <f>IF(Input!C62&gt;0,Input!C62,"")</f>
        <v/>
      </c>
      <c r="L62" t="str">
        <f>IF(Input!D62&gt;0,Input!D62,"")</f>
        <v/>
      </c>
      <c r="M62" t="str">
        <f>IF(Input!E62&gt;0,Input!E62,"")</f>
        <v xml:space="preserve"> </v>
      </c>
      <c r="N62" t="str">
        <f>IF(Input!F62&gt;0,Input!F62,"")</f>
        <v xml:space="preserve"> </v>
      </c>
      <c r="O62" t="str">
        <f>IF(Input!I62&lt;&gt;"",Input!I62,"")</f>
        <v/>
      </c>
      <c r="P62" t="str">
        <f t="shared" si="2"/>
        <v/>
      </c>
      <c r="Q62" t="str">
        <f>IF(O62&lt;&gt;"",IF(Input!K62&lt;&gt;"",ROUNDDOWN(Input!K62,0),0),"")</f>
        <v/>
      </c>
      <c r="R62" t="str">
        <f>IF(Input!L62&lt;&gt;"",Input!L62,"")</f>
        <v/>
      </c>
      <c r="S62" t="str">
        <f t="shared" si="3"/>
        <v/>
      </c>
      <c r="T62" t="str">
        <f>IF(R62&lt;&gt;"",IF(Input!N62&lt;&gt;"",ROUNDDOWN(Input!N62,0),0),"")</f>
        <v/>
      </c>
      <c r="U62" t="str">
        <f>IF(Input!O62&lt;&gt;"",Input!O62,"")</f>
        <v/>
      </c>
      <c r="V62" t="str">
        <f t="shared" si="4"/>
        <v/>
      </c>
      <c r="W62" t="str">
        <f>IF(U62&lt;&gt;"",IF(Input!Q62&lt;&gt;"",ROUNDDOWN(Input!Q62,0),0),"")</f>
        <v/>
      </c>
      <c r="X62" t="str">
        <f>IF(Input!R62&lt;&gt;"",Input!R62,"")</f>
        <v/>
      </c>
      <c r="Y62" t="str">
        <f t="shared" si="5"/>
        <v/>
      </c>
      <c r="Z62" t="str">
        <f>IF(X62&lt;&gt;"",IF(Input!T62&lt;&gt;"",ROUNDDOWN(Input!T62,0),0),"")</f>
        <v/>
      </c>
      <c r="AA62" t="str">
        <f>IF(Input!U62&lt;&gt;"",Input!U62,"")</f>
        <v/>
      </c>
      <c r="AB62" t="str">
        <f t="shared" si="6"/>
        <v/>
      </c>
      <c r="AC62" t="str">
        <f>IF(AA62&lt;&gt;"",IF(Input!W62&lt;&gt;"",ROUNDDOWN(Input!W62,0),0),"")</f>
        <v/>
      </c>
      <c r="AD62" t="str">
        <f>IF(Input!X62&lt;&gt;"",Input!X62,"")</f>
        <v/>
      </c>
      <c r="AE62" t="str">
        <f t="shared" si="7"/>
        <v/>
      </c>
      <c r="AF62" t="str">
        <f>IF(AD62&lt;&gt;"",IF(Input!Z62&lt;&gt;"",ROUNDDOWN(Input!Z62,0),0),"")</f>
        <v/>
      </c>
      <c r="AG62" t="str">
        <f>IF(Input!AA62&lt;&gt;"",Input!AA62,"")</f>
        <v/>
      </c>
      <c r="AH62" t="str">
        <f t="shared" si="8"/>
        <v/>
      </c>
      <c r="AI62" t="str">
        <f>IF(AG62&lt;&gt;"",IF(Input!AC62&lt;&gt;"",ROUNDDOWN(Input!AC62,0),0),"")</f>
        <v/>
      </c>
      <c r="AJ62" t="str">
        <f>IF(Input!AD62&lt;&gt;"",Input!AD62,"")</f>
        <v/>
      </c>
      <c r="AK62" t="str">
        <f t="shared" si="9"/>
        <v/>
      </c>
      <c r="AL62" t="str">
        <f>IF(AJ62&lt;&gt;"",IF(Input!AF62&lt;&gt;"",ROUNDDOWN(Input!AF62,0),0),"")</f>
        <v/>
      </c>
      <c r="AM62" t="str">
        <f>IF(Input!AG62&lt;&gt;"",Input!AG62,"")</f>
        <v/>
      </c>
      <c r="AN62" t="str">
        <f t="shared" si="10"/>
        <v/>
      </c>
      <c r="AO62" t="str">
        <f>IF(AM62&lt;&gt;"",IF(Input!AI62&lt;&gt;"",ROUNDDOWN(Input!AI62,0),0),"")</f>
        <v/>
      </c>
    </row>
    <row r="63" spans="1:41" ht="16.5" thickTop="1" thickBot="1" x14ac:dyDescent="0.4">
      <c r="A63" s="100">
        <f>IF(ISBLANK(Input!A63),1000,IF(Input!E63&gt;0,Input!E63+F63,1000))</f>
        <v>1000</v>
      </c>
      <c r="B63" s="101">
        <f t="shared" si="0"/>
        <v>1000</v>
      </c>
      <c r="C63" s="4">
        <v>62</v>
      </c>
      <c r="D63" s="29">
        <f>IF(ISBLANK(Input!A63),1000,IF(Input!G63&gt;0,Input!G63+F63,1000))</f>
        <v>1000</v>
      </c>
      <c r="E63" s="29">
        <f t="shared" si="1"/>
        <v>1000</v>
      </c>
      <c r="F63" s="4">
        <v>6.2E-2</v>
      </c>
      <c r="I63" t="str">
        <f>IF(Input!A63&gt;0,Input!A63,"")</f>
        <v/>
      </c>
      <c r="J63" t="str">
        <f>IF(Input!B63&gt;0,Input!B63,"")</f>
        <v/>
      </c>
      <c r="K63" t="str">
        <f>IF(Input!C63&gt;0,Input!C63,"")</f>
        <v/>
      </c>
      <c r="L63" t="str">
        <f>IF(Input!D63&gt;0,Input!D63,"")</f>
        <v/>
      </c>
      <c r="M63" t="str">
        <f>IF(Input!E63&gt;0,Input!E63,"")</f>
        <v xml:space="preserve"> </v>
      </c>
      <c r="N63" t="str">
        <f>IF(Input!F63&gt;0,Input!F63,"")</f>
        <v xml:space="preserve"> </v>
      </c>
      <c r="O63" t="str">
        <f>IF(Input!I63&lt;&gt;"",Input!I63,"")</f>
        <v/>
      </c>
      <c r="P63" t="str">
        <f t="shared" si="2"/>
        <v/>
      </c>
      <c r="Q63" t="str">
        <f>IF(O63&lt;&gt;"",IF(Input!K63&lt;&gt;"",ROUNDDOWN(Input!K63,0),0),"")</f>
        <v/>
      </c>
      <c r="R63" t="str">
        <f>IF(Input!L63&lt;&gt;"",Input!L63,"")</f>
        <v/>
      </c>
      <c r="S63" t="str">
        <f t="shared" si="3"/>
        <v/>
      </c>
      <c r="T63" t="str">
        <f>IF(R63&lt;&gt;"",IF(Input!N63&lt;&gt;"",ROUNDDOWN(Input!N63,0),0),"")</f>
        <v/>
      </c>
      <c r="U63" t="str">
        <f>IF(Input!O63&lt;&gt;"",Input!O63,"")</f>
        <v/>
      </c>
      <c r="V63" t="str">
        <f t="shared" si="4"/>
        <v/>
      </c>
      <c r="W63" t="str">
        <f>IF(U63&lt;&gt;"",IF(Input!Q63&lt;&gt;"",ROUNDDOWN(Input!Q63,0),0),"")</f>
        <v/>
      </c>
      <c r="X63" t="str">
        <f>IF(Input!R63&lt;&gt;"",Input!R63,"")</f>
        <v/>
      </c>
      <c r="Y63" t="str">
        <f t="shared" si="5"/>
        <v/>
      </c>
      <c r="Z63" t="str">
        <f>IF(X63&lt;&gt;"",IF(Input!T63&lt;&gt;"",ROUNDDOWN(Input!T63,0),0),"")</f>
        <v/>
      </c>
      <c r="AA63" t="str">
        <f>IF(Input!U63&lt;&gt;"",Input!U63,"")</f>
        <v/>
      </c>
      <c r="AB63" t="str">
        <f t="shared" si="6"/>
        <v/>
      </c>
      <c r="AC63" t="str">
        <f>IF(AA63&lt;&gt;"",IF(Input!W63&lt;&gt;"",ROUNDDOWN(Input!W63,0),0),"")</f>
        <v/>
      </c>
      <c r="AD63" t="str">
        <f>IF(Input!X63&lt;&gt;"",Input!X63,"")</f>
        <v/>
      </c>
      <c r="AE63" t="str">
        <f t="shared" si="7"/>
        <v/>
      </c>
      <c r="AF63" t="str">
        <f>IF(AD63&lt;&gt;"",IF(Input!Z63&lt;&gt;"",ROUNDDOWN(Input!Z63,0),0),"")</f>
        <v/>
      </c>
      <c r="AG63" t="str">
        <f>IF(Input!AA63&lt;&gt;"",Input!AA63,"")</f>
        <v/>
      </c>
      <c r="AH63" t="str">
        <f t="shared" si="8"/>
        <v/>
      </c>
      <c r="AI63" t="str">
        <f>IF(AG63&lt;&gt;"",IF(Input!AC63&lt;&gt;"",ROUNDDOWN(Input!AC63,0),0),"")</f>
        <v/>
      </c>
      <c r="AJ63" t="str">
        <f>IF(Input!AD63&lt;&gt;"",Input!AD63,"")</f>
        <v/>
      </c>
      <c r="AK63" t="str">
        <f t="shared" si="9"/>
        <v/>
      </c>
      <c r="AL63" t="str">
        <f>IF(AJ63&lt;&gt;"",IF(Input!AF63&lt;&gt;"",ROUNDDOWN(Input!AF63,0),0),"")</f>
        <v/>
      </c>
      <c r="AM63" t="str">
        <f>IF(Input!AG63&lt;&gt;"",Input!AG63,"")</f>
        <v/>
      </c>
      <c r="AN63" t="str">
        <f t="shared" si="10"/>
        <v/>
      </c>
      <c r="AO63" t="str">
        <f>IF(AM63&lt;&gt;"",IF(Input!AI63&lt;&gt;"",ROUNDDOWN(Input!AI63,0),0),"")</f>
        <v/>
      </c>
    </row>
    <row r="64" spans="1:41" ht="16.5" thickTop="1" thickBot="1" x14ac:dyDescent="0.4">
      <c r="A64" s="100">
        <f>IF(ISBLANK(Input!A64),1000,IF(Input!E64&gt;0,Input!E64+F64,1000))</f>
        <v>1000</v>
      </c>
      <c r="B64" s="101">
        <f t="shared" si="0"/>
        <v>1000</v>
      </c>
      <c r="C64" s="4">
        <v>63</v>
      </c>
      <c r="D64" s="29">
        <f>IF(ISBLANK(Input!A64),1000,IF(Input!G64&gt;0,Input!G64+F64,1000))</f>
        <v>1000</v>
      </c>
      <c r="E64" s="29">
        <f t="shared" si="1"/>
        <v>1000</v>
      </c>
      <c r="F64" s="4">
        <v>6.3E-2</v>
      </c>
      <c r="I64" t="str">
        <f>IF(Input!A64&gt;0,Input!A64,"")</f>
        <v/>
      </c>
      <c r="J64" t="str">
        <f>IF(Input!B64&gt;0,Input!B64,"")</f>
        <v/>
      </c>
      <c r="K64" t="str">
        <f>IF(Input!C64&gt;0,Input!C64,"")</f>
        <v/>
      </c>
      <c r="L64" t="str">
        <f>IF(Input!D64&gt;0,Input!D64,"")</f>
        <v/>
      </c>
      <c r="M64" t="str">
        <f>IF(Input!E64&gt;0,Input!E64,"")</f>
        <v xml:space="preserve"> </v>
      </c>
      <c r="N64" t="str">
        <f>IF(Input!F64&gt;0,Input!F64,"")</f>
        <v xml:space="preserve"> </v>
      </c>
      <c r="O64" t="str">
        <f>IF(Input!I64&lt;&gt;"",Input!I64,"")</f>
        <v/>
      </c>
      <c r="P64" t="str">
        <f t="shared" si="2"/>
        <v/>
      </c>
      <c r="Q64" t="str">
        <f>IF(O64&lt;&gt;"",IF(Input!K64&lt;&gt;"",ROUNDDOWN(Input!K64,0),0),"")</f>
        <v/>
      </c>
      <c r="R64" t="str">
        <f>IF(Input!L64&lt;&gt;"",Input!L64,"")</f>
        <v/>
      </c>
      <c r="S64" t="str">
        <f t="shared" si="3"/>
        <v/>
      </c>
      <c r="T64" t="str">
        <f>IF(R64&lt;&gt;"",IF(Input!N64&lt;&gt;"",ROUNDDOWN(Input!N64,0),0),"")</f>
        <v/>
      </c>
      <c r="U64" t="str">
        <f>IF(Input!O64&lt;&gt;"",Input!O64,"")</f>
        <v/>
      </c>
      <c r="V64" t="str">
        <f t="shared" si="4"/>
        <v/>
      </c>
      <c r="W64" t="str">
        <f>IF(U64&lt;&gt;"",IF(Input!Q64&lt;&gt;"",ROUNDDOWN(Input!Q64,0),0),"")</f>
        <v/>
      </c>
      <c r="X64" t="str">
        <f>IF(Input!R64&lt;&gt;"",Input!R64,"")</f>
        <v/>
      </c>
      <c r="Y64" t="str">
        <f t="shared" si="5"/>
        <v/>
      </c>
      <c r="Z64" t="str">
        <f>IF(X64&lt;&gt;"",IF(Input!T64&lt;&gt;"",ROUNDDOWN(Input!T64,0),0),"")</f>
        <v/>
      </c>
      <c r="AA64" t="str">
        <f>IF(Input!U64&lt;&gt;"",Input!U64,"")</f>
        <v/>
      </c>
      <c r="AB64" t="str">
        <f t="shared" si="6"/>
        <v/>
      </c>
      <c r="AC64" t="str">
        <f>IF(AA64&lt;&gt;"",IF(Input!W64&lt;&gt;"",ROUNDDOWN(Input!W64,0),0),"")</f>
        <v/>
      </c>
      <c r="AD64" t="str">
        <f>IF(Input!X64&lt;&gt;"",Input!X64,"")</f>
        <v/>
      </c>
      <c r="AE64" t="str">
        <f t="shared" si="7"/>
        <v/>
      </c>
      <c r="AF64" t="str">
        <f>IF(AD64&lt;&gt;"",IF(Input!Z64&lt;&gt;"",ROUNDDOWN(Input!Z64,0),0),"")</f>
        <v/>
      </c>
      <c r="AG64" t="str">
        <f>IF(Input!AA64&lt;&gt;"",Input!AA64,"")</f>
        <v/>
      </c>
      <c r="AH64" t="str">
        <f t="shared" si="8"/>
        <v/>
      </c>
      <c r="AI64" t="str">
        <f>IF(AG64&lt;&gt;"",IF(Input!AC64&lt;&gt;"",ROUNDDOWN(Input!AC64,0),0),"")</f>
        <v/>
      </c>
      <c r="AJ64" t="str">
        <f>IF(Input!AD64&lt;&gt;"",Input!AD64,"")</f>
        <v/>
      </c>
      <c r="AK64" t="str">
        <f t="shared" si="9"/>
        <v/>
      </c>
      <c r="AL64" t="str">
        <f>IF(AJ64&lt;&gt;"",IF(Input!AF64&lt;&gt;"",ROUNDDOWN(Input!AF64,0),0),"")</f>
        <v/>
      </c>
      <c r="AM64" t="str">
        <f>IF(Input!AG64&lt;&gt;"",Input!AG64,"")</f>
        <v/>
      </c>
      <c r="AN64" t="str">
        <f t="shared" si="10"/>
        <v/>
      </c>
      <c r="AO64" t="str">
        <f>IF(AM64&lt;&gt;"",IF(Input!AI64&lt;&gt;"",ROUNDDOWN(Input!AI64,0),0),"")</f>
        <v/>
      </c>
    </row>
    <row r="65" spans="1:41" ht="16.5" thickTop="1" thickBot="1" x14ac:dyDescent="0.4">
      <c r="A65" s="100">
        <f>IF(ISBLANK(Input!A65),1000,IF(Input!E65&gt;0,Input!E65+F65,1000))</f>
        <v>1000</v>
      </c>
      <c r="B65" s="101">
        <f t="shared" si="0"/>
        <v>1000</v>
      </c>
      <c r="C65" s="4">
        <v>64</v>
      </c>
      <c r="D65" s="29">
        <f>IF(ISBLANK(Input!A65),1000,IF(Input!G65&gt;0,Input!G65+F65,1000))</f>
        <v>1000</v>
      </c>
      <c r="E65" s="29">
        <f t="shared" si="1"/>
        <v>1000</v>
      </c>
      <c r="F65" s="4">
        <v>6.4000000000000001E-2</v>
      </c>
      <c r="I65" t="str">
        <f>IF(Input!A65&gt;0,Input!A65,"")</f>
        <v/>
      </c>
      <c r="J65" t="str">
        <f>IF(Input!B65&gt;0,Input!B65,"")</f>
        <v/>
      </c>
      <c r="K65" t="str">
        <f>IF(Input!C65&gt;0,Input!C65,"")</f>
        <v/>
      </c>
      <c r="L65" t="str">
        <f>IF(Input!D65&gt;0,Input!D65,"")</f>
        <v/>
      </c>
      <c r="M65" t="str">
        <f>IF(Input!E65&gt;0,Input!E65,"")</f>
        <v xml:space="preserve"> </v>
      </c>
      <c r="N65" t="str">
        <f>IF(Input!F65&gt;0,Input!F65,"")</f>
        <v xml:space="preserve"> </v>
      </c>
      <c r="O65" t="str">
        <f>IF(Input!I65&lt;&gt;"",Input!I65,"")</f>
        <v/>
      </c>
      <c r="P65" t="str">
        <f t="shared" si="2"/>
        <v/>
      </c>
      <c r="Q65" t="str">
        <f>IF(O65&lt;&gt;"",IF(Input!K65&lt;&gt;"",ROUNDDOWN(Input!K65,0),0),"")</f>
        <v/>
      </c>
      <c r="R65" t="str">
        <f>IF(Input!L65&lt;&gt;"",Input!L65,"")</f>
        <v/>
      </c>
      <c r="S65" t="str">
        <f t="shared" si="3"/>
        <v/>
      </c>
      <c r="T65" t="str">
        <f>IF(R65&lt;&gt;"",IF(Input!N65&lt;&gt;"",ROUNDDOWN(Input!N65,0),0),"")</f>
        <v/>
      </c>
      <c r="U65" t="str">
        <f>IF(Input!O65&lt;&gt;"",Input!O65,"")</f>
        <v/>
      </c>
      <c r="V65" t="str">
        <f t="shared" si="4"/>
        <v/>
      </c>
      <c r="W65" t="str">
        <f>IF(U65&lt;&gt;"",IF(Input!Q65&lt;&gt;"",ROUNDDOWN(Input!Q65,0),0),"")</f>
        <v/>
      </c>
      <c r="X65" t="str">
        <f>IF(Input!R65&lt;&gt;"",Input!R65,"")</f>
        <v/>
      </c>
      <c r="Y65" t="str">
        <f t="shared" si="5"/>
        <v/>
      </c>
      <c r="Z65" t="str">
        <f>IF(X65&lt;&gt;"",IF(Input!T65&lt;&gt;"",ROUNDDOWN(Input!T65,0),0),"")</f>
        <v/>
      </c>
      <c r="AA65" t="str">
        <f>IF(Input!U65&lt;&gt;"",Input!U65,"")</f>
        <v/>
      </c>
      <c r="AB65" t="str">
        <f t="shared" si="6"/>
        <v/>
      </c>
      <c r="AC65" t="str">
        <f>IF(AA65&lt;&gt;"",IF(Input!W65&lt;&gt;"",ROUNDDOWN(Input!W65,0),0),"")</f>
        <v/>
      </c>
      <c r="AD65" t="str">
        <f>IF(Input!X65&lt;&gt;"",Input!X65,"")</f>
        <v/>
      </c>
      <c r="AE65" t="str">
        <f t="shared" si="7"/>
        <v/>
      </c>
      <c r="AF65" t="str">
        <f>IF(AD65&lt;&gt;"",IF(Input!Z65&lt;&gt;"",ROUNDDOWN(Input!Z65,0),0),"")</f>
        <v/>
      </c>
      <c r="AG65" t="str">
        <f>IF(Input!AA65&lt;&gt;"",Input!AA65,"")</f>
        <v/>
      </c>
      <c r="AH65" t="str">
        <f t="shared" si="8"/>
        <v/>
      </c>
      <c r="AI65" t="str">
        <f>IF(AG65&lt;&gt;"",IF(Input!AC65&lt;&gt;"",ROUNDDOWN(Input!AC65,0),0),"")</f>
        <v/>
      </c>
      <c r="AJ65" t="str">
        <f>IF(Input!AD65&lt;&gt;"",Input!AD65,"")</f>
        <v/>
      </c>
      <c r="AK65" t="str">
        <f t="shared" si="9"/>
        <v/>
      </c>
      <c r="AL65" t="str">
        <f>IF(AJ65&lt;&gt;"",IF(Input!AF65&lt;&gt;"",ROUNDDOWN(Input!AF65,0),0),"")</f>
        <v/>
      </c>
      <c r="AM65" t="str">
        <f>IF(Input!AG65&lt;&gt;"",Input!AG65,"")</f>
        <v/>
      </c>
      <c r="AN65" t="str">
        <f t="shared" si="10"/>
        <v/>
      </c>
      <c r="AO65" t="str">
        <f>IF(AM65&lt;&gt;"",IF(Input!AI65&lt;&gt;"",ROUNDDOWN(Input!AI65,0),0),"")</f>
        <v/>
      </c>
    </row>
    <row r="66" spans="1:41" ht="16.5" thickTop="1" thickBot="1" x14ac:dyDescent="0.4">
      <c r="A66" s="100">
        <f>IF(ISBLANK(Input!A66),1000,IF(Input!E66&gt;0,Input!E66+F66,1000))</f>
        <v>1000</v>
      </c>
      <c r="B66" s="101">
        <f t="shared" si="0"/>
        <v>1000</v>
      </c>
      <c r="C66" s="4">
        <v>65</v>
      </c>
      <c r="D66" s="29">
        <f>IF(ISBLANK(Input!A66),1000,IF(Input!G66&gt;0,Input!G66+F66,1000))</f>
        <v>1000</v>
      </c>
      <c r="E66" s="29">
        <f t="shared" si="1"/>
        <v>1000</v>
      </c>
      <c r="F66" s="4">
        <v>6.5000000000000002E-2</v>
      </c>
      <c r="I66" t="str">
        <f>IF(Input!A66&gt;0,Input!A66,"")</f>
        <v/>
      </c>
      <c r="J66" t="str">
        <f>IF(Input!B66&gt;0,Input!B66,"")</f>
        <v/>
      </c>
      <c r="K66" t="str">
        <f>IF(Input!C66&gt;0,Input!C66,"")</f>
        <v/>
      </c>
      <c r="L66" t="str">
        <f>IF(Input!D66&gt;0,Input!D66,"")</f>
        <v/>
      </c>
      <c r="M66" t="str">
        <f>IF(Input!E66&gt;0,Input!E66,"")</f>
        <v xml:space="preserve"> </v>
      </c>
      <c r="N66" t="str">
        <f>IF(Input!F66&gt;0,Input!F66,"")</f>
        <v xml:space="preserve"> </v>
      </c>
      <c r="O66" t="str">
        <f>IF(Input!I66&lt;&gt;"",Input!I66,"")</f>
        <v/>
      </c>
      <c r="P66" t="str">
        <f t="shared" si="2"/>
        <v/>
      </c>
      <c r="Q66" t="str">
        <f>IF(O66&lt;&gt;"",IF(Input!K66&lt;&gt;"",ROUNDDOWN(Input!K66,0),0),"")</f>
        <v/>
      </c>
      <c r="R66" t="str">
        <f>IF(Input!L66&lt;&gt;"",Input!L66,"")</f>
        <v/>
      </c>
      <c r="S66" t="str">
        <f t="shared" si="3"/>
        <v/>
      </c>
      <c r="T66" t="str">
        <f>IF(R66&lt;&gt;"",IF(Input!N66&lt;&gt;"",ROUNDDOWN(Input!N66,0),0),"")</f>
        <v/>
      </c>
      <c r="U66" t="str">
        <f>IF(Input!O66&lt;&gt;"",Input!O66,"")</f>
        <v/>
      </c>
      <c r="V66" t="str">
        <f t="shared" si="4"/>
        <v/>
      </c>
      <c r="W66" t="str">
        <f>IF(U66&lt;&gt;"",IF(Input!Q66&lt;&gt;"",ROUNDDOWN(Input!Q66,0),0),"")</f>
        <v/>
      </c>
      <c r="X66" t="str">
        <f>IF(Input!R66&lt;&gt;"",Input!R66,"")</f>
        <v/>
      </c>
      <c r="Y66" t="str">
        <f t="shared" si="5"/>
        <v/>
      </c>
      <c r="Z66" t="str">
        <f>IF(X66&lt;&gt;"",IF(Input!T66&lt;&gt;"",ROUNDDOWN(Input!T66,0),0),"")</f>
        <v/>
      </c>
      <c r="AA66" t="str">
        <f>IF(Input!U66&lt;&gt;"",Input!U66,"")</f>
        <v/>
      </c>
      <c r="AB66" t="str">
        <f t="shared" si="6"/>
        <v/>
      </c>
      <c r="AC66" t="str">
        <f>IF(AA66&lt;&gt;"",IF(Input!W66&lt;&gt;"",ROUNDDOWN(Input!W66,0),0),"")</f>
        <v/>
      </c>
      <c r="AD66" t="str">
        <f>IF(Input!X66&lt;&gt;"",Input!X66,"")</f>
        <v/>
      </c>
      <c r="AE66" t="str">
        <f t="shared" si="7"/>
        <v/>
      </c>
      <c r="AF66" t="str">
        <f>IF(AD66&lt;&gt;"",IF(Input!Z66&lt;&gt;"",ROUNDDOWN(Input!Z66,0),0),"")</f>
        <v/>
      </c>
      <c r="AG66" t="str">
        <f>IF(Input!AA66&lt;&gt;"",Input!AA66,"")</f>
        <v/>
      </c>
      <c r="AH66" t="str">
        <f t="shared" si="8"/>
        <v/>
      </c>
      <c r="AI66" t="str">
        <f>IF(AG66&lt;&gt;"",IF(Input!AC66&lt;&gt;"",ROUNDDOWN(Input!AC66,0),0),"")</f>
        <v/>
      </c>
      <c r="AJ66" t="str">
        <f>IF(Input!AD66&lt;&gt;"",Input!AD66,"")</f>
        <v/>
      </c>
      <c r="AK66" t="str">
        <f t="shared" si="9"/>
        <v/>
      </c>
      <c r="AL66" t="str">
        <f>IF(AJ66&lt;&gt;"",IF(Input!AF66&lt;&gt;"",ROUNDDOWN(Input!AF66,0),0),"")</f>
        <v/>
      </c>
      <c r="AM66" t="str">
        <f>IF(Input!AG66&lt;&gt;"",Input!AG66,"")</f>
        <v/>
      </c>
      <c r="AN66" t="str">
        <f t="shared" si="10"/>
        <v/>
      </c>
      <c r="AO66" t="str">
        <f>IF(AM66&lt;&gt;"",IF(Input!AI66&lt;&gt;"",ROUNDDOWN(Input!AI66,0),0),"")</f>
        <v/>
      </c>
    </row>
    <row r="67" spans="1:41" ht="16.5" thickTop="1" thickBot="1" x14ac:dyDescent="0.4">
      <c r="A67" s="100">
        <f>IF(ISBLANK(Input!A67),1000,IF(Input!E67&gt;0,Input!E67+F67,1000))</f>
        <v>1000</v>
      </c>
      <c r="B67" s="101">
        <f t="shared" ref="B67:B130" si="11">SMALL($A$2:$A$202,C67)</f>
        <v>1000</v>
      </c>
      <c r="C67" s="4">
        <v>66</v>
      </c>
      <c r="D67" s="29">
        <f>IF(ISBLANK(Input!A67),1000,IF(Input!G67&gt;0,Input!G67+F67,1000))</f>
        <v>1000</v>
      </c>
      <c r="E67" s="29">
        <f t="shared" ref="E67:E130" si="12">SMALL($D$2:$D$202,C67)</f>
        <v>1000</v>
      </c>
      <c r="F67" s="4">
        <v>6.6000000000000003E-2</v>
      </c>
      <c r="I67" t="str">
        <f>IF(Input!A67&gt;0,Input!A67,"")</f>
        <v/>
      </c>
      <c r="J67" t="str">
        <f>IF(Input!B67&gt;0,Input!B67,"")</f>
        <v/>
      </c>
      <c r="K67" t="str">
        <f>IF(Input!C67&gt;0,Input!C67,"")</f>
        <v/>
      </c>
      <c r="L67" t="str">
        <f>IF(Input!D67&gt;0,Input!D67,"")</f>
        <v/>
      </c>
      <c r="M67" t="str">
        <f>IF(Input!E67&gt;0,Input!E67,"")</f>
        <v xml:space="preserve"> </v>
      </c>
      <c r="N67" t="str">
        <f>IF(Input!F67&gt;0,Input!F67,"")</f>
        <v xml:space="preserve"> </v>
      </c>
      <c r="O67" t="str">
        <f>IF(Input!I67&lt;&gt;"",Input!I67,"")</f>
        <v/>
      </c>
      <c r="P67" t="str">
        <f t="shared" ref="P67:P130" si="13">IF(Q67&lt;&gt;"",  RANK(Q67,Q$2:Q$202,1)+((COUNTIF(Q$2:Q$202,Q67)-1)*0.5),"" )</f>
        <v/>
      </c>
      <c r="Q67" t="str">
        <f>IF(O67&lt;&gt;"",IF(Input!K67&lt;&gt;"",ROUNDDOWN(Input!K67,0),0),"")</f>
        <v/>
      </c>
      <c r="R67" t="str">
        <f>IF(Input!L67&lt;&gt;"",Input!L67,"")</f>
        <v/>
      </c>
      <c r="S67" t="str">
        <f t="shared" ref="S67:S130" si="14">IF(T67&lt;&gt;"",  RANK(T67,T$2:T$202,1)+((COUNTIF(T$2:T$202,T67)-1)*0.5),"" )</f>
        <v/>
      </c>
      <c r="T67" t="str">
        <f>IF(R67&lt;&gt;"",IF(Input!N67&lt;&gt;"",ROUNDDOWN(Input!N67,0),0),"")</f>
        <v/>
      </c>
      <c r="U67" t="str">
        <f>IF(Input!O67&lt;&gt;"",Input!O67,"")</f>
        <v/>
      </c>
      <c r="V67" t="str">
        <f t="shared" ref="V67:V130" si="15">IF(W67&lt;&gt;"",  RANK(W67,W$2:W$202,1)+((COUNTIF(W$2:W$202,W67)-1)*0.5),"" )</f>
        <v/>
      </c>
      <c r="W67" t="str">
        <f>IF(U67&lt;&gt;"",IF(Input!Q67&lt;&gt;"",ROUNDDOWN(Input!Q67,0),0),"")</f>
        <v/>
      </c>
      <c r="X67" t="str">
        <f>IF(Input!R67&lt;&gt;"",Input!R67,"")</f>
        <v/>
      </c>
      <c r="Y67" t="str">
        <f t="shared" ref="Y67:Y130" si="16">IF(Z67&lt;&gt;"",  RANK(Z67,Z$2:Z$202,1)+((COUNTIF(Z$2:Z$202,Z67)-1)*0.5),"" )</f>
        <v/>
      </c>
      <c r="Z67" t="str">
        <f>IF(X67&lt;&gt;"",IF(Input!T67&lt;&gt;"",ROUNDDOWN(Input!T67,0),0),"")</f>
        <v/>
      </c>
      <c r="AA67" t="str">
        <f>IF(Input!U67&lt;&gt;"",Input!U67,"")</f>
        <v/>
      </c>
      <c r="AB67" t="str">
        <f t="shared" ref="AB67:AB130" si="17">IF(AC67&lt;&gt;"",  RANK(AC67,AC$2:AC$202,1)+((COUNTIF(AC$2:AC$202,AC67)-1)*0.5),"" )</f>
        <v/>
      </c>
      <c r="AC67" t="str">
        <f>IF(AA67&lt;&gt;"",IF(Input!W67&lt;&gt;"",ROUNDDOWN(Input!W67,0),0),"")</f>
        <v/>
      </c>
      <c r="AD67" t="str">
        <f>IF(Input!X67&lt;&gt;"",Input!X67,"")</f>
        <v/>
      </c>
      <c r="AE67" t="str">
        <f t="shared" ref="AE67:AE130" si="18">IF(AF67&lt;&gt;"",  RANK(AF67,AF$2:AF$202,1)+((COUNTIF(AF$2:AF$202,AF67)-1)*0.5),"" )</f>
        <v/>
      </c>
      <c r="AF67" t="str">
        <f>IF(AD67&lt;&gt;"",IF(Input!Z67&lt;&gt;"",ROUNDDOWN(Input!Z67,0),0),"")</f>
        <v/>
      </c>
      <c r="AG67" t="str">
        <f>IF(Input!AA67&lt;&gt;"",Input!AA67,"")</f>
        <v/>
      </c>
      <c r="AH67" t="str">
        <f t="shared" ref="AH67:AH130" si="19">IF(AI67&lt;&gt;"",  RANK(AI67,AI$2:AI$202,1)+((COUNTIF(AI$2:AI$202,AI67)-1)*0.5),"" )</f>
        <v/>
      </c>
      <c r="AI67" t="str">
        <f>IF(AG67&lt;&gt;"",IF(Input!AC67&lt;&gt;"",ROUNDDOWN(Input!AC67,0),0),"")</f>
        <v/>
      </c>
      <c r="AJ67" t="str">
        <f>IF(Input!AD67&lt;&gt;"",Input!AD67,"")</f>
        <v/>
      </c>
      <c r="AK67" t="str">
        <f t="shared" ref="AK67:AK130" si="20">IF(AL67&lt;&gt;"",  RANK(AL67,AL$2:AL$202,1)+((COUNTIF(AL$2:AL$202,AL67)-1)*0.5),"" )</f>
        <v/>
      </c>
      <c r="AL67" t="str">
        <f>IF(AJ67&lt;&gt;"",IF(Input!AF67&lt;&gt;"",ROUNDDOWN(Input!AF67,0),0),"")</f>
        <v/>
      </c>
      <c r="AM67" t="str">
        <f>IF(Input!AG67&lt;&gt;"",Input!AG67,"")</f>
        <v/>
      </c>
      <c r="AN67" t="str">
        <f t="shared" ref="AN67:AN130" si="21">IF(AO67&lt;&gt;"",  RANK(AO67,AO$2:AO$202,1)+((COUNTIF(AO$2:AO$202,AO67)-1)*0.5),"" )</f>
        <v/>
      </c>
      <c r="AO67" t="str">
        <f>IF(AM67&lt;&gt;"",IF(Input!AI67&lt;&gt;"",ROUNDDOWN(Input!AI67,0),0),"")</f>
        <v/>
      </c>
    </row>
    <row r="68" spans="1:41" ht="16.5" thickTop="1" thickBot="1" x14ac:dyDescent="0.4">
      <c r="A68" s="100">
        <f>IF(ISBLANK(Input!A68),1000,IF(Input!E68&gt;0,Input!E68+F68,1000))</f>
        <v>1000</v>
      </c>
      <c r="B68" s="101">
        <f t="shared" si="11"/>
        <v>1000</v>
      </c>
      <c r="C68" s="4">
        <v>67</v>
      </c>
      <c r="D68" s="29">
        <f>IF(ISBLANK(Input!A68),1000,IF(Input!G68&gt;0,Input!G68+F68,1000))</f>
        <v>1000</v>
      </c>
      <c r="E68" s="29">
        <f t="shared" si="12"/>
        <v>1000</v>
      </c>
      <c r="F68" s="4">
        <v>6.7000000000000004E-2</v>
      </c>
      <c r="I68" t="str">
        <f>IF(Input!A68&gt;0,Input!A68,"")</f>
        <v/>
      </c>
      <c r="J68" t="str">
        <f>IF(Input!B68&gt;0,Input!B68,"")</f>
        <v/>
      </c>
      <c r="K68" t="str">
        <f>IF(Input!C68&gt;0,Input!C68,"")</f>
        <v/>
      </c>
      <c r="L68" t="str">
        <f>IF(Input!D68&gt;0,Input!D68,"")</f>
        <v/>
      </c>
      <c r="M68" t="str">
        <f>IF(Input!E68&gt;0,Input!E68,"")</f>
        <v xml:space="preserve"> </v>
      </c>
      <c r="N68" t="str">
        <f>IF(Input!F68&gt;0,Input!F68,"")</f>
        <v xml:space="preserve"> </v>
      </c>
      <c r="O68" t="str">
        <f>IF(Input!I68&lt;&gt;"",Input!I68,"")</f>
        <v/>
      </c>
      <c r="P68" t="str">
        <f t="shared" si="13"/>
        <v/>
      </c>
      <c r="Q68" t="str">
        <f>IF(O68&lt;&gt;"",IF(Input!K68&lt;&gt;"",ROUNDDOWN(Input!K68,0),0),"")</f>
        <v/>
      </c>
      <c r="R68" t="str">
        <f>IF(Input!L68&lt;&gt;"",Input!L68,"")</f>
        <v/>
      </c>
      <c r="S68" t="str">
        <f t="shared" si="14"/>
        <v/>
      </c>
      <c r="T68" t="str">
        <f>IF(R68&lt;&gt;"",IF(Input!N68&lt;&gt;"",ROUNDDOWN(Input!N68,0),0),"")</f>
        <v/>
      </c>
      <c r="U68" t="str">
        <f>IF(Input!O68&lt;&gt;"",Input!O68,"")</f>
        <v/>
      </c>
      <c r="V68" t="str">
        <f t="shared" si="15"/>
        <v/>
      </c>
      <c r="W68" t="str">
        <f>IF(U68&lt;&gt;"",IF(Input!Q68&lt;&gt;"",ROUNDDOWN(Input!Q68,0),0),"")</f>
        <v/>
      </c>
      <c r="X68" t="str">
        <f>IF(Input!R68&lt;&gt;"",Input!R68,"")</f>
        <v/>
      </c>
      <c r="Y68" t="str">
        <f t="shared" si="16"/>
        <v/>
      </c>
      <c r="Z68" t="str">
        <f>IF(X68&lt;&gt;"",IF(Input!T68&lt;&gt;"",ROUNDDOWN(Input!T68,0),0),"")</f>
        <v/>
      </c>
      <c r="AA68" t="str">
        <f>IF(Input!U68&lt;&gt;"",Input!U68,"")</f>
        <v/>
      </c>
      <c r="AB68" t="str">
        <f t="shared" si="17"/>
        <v/>
      </c>
      <c r="AC68" t="str">
        <f>IF(AA68&lt;&gt;"",IF(Input!W68&lt;&gt;"",ROUNDDOWN(Input!W68,0),0),"")</f>
        <v/>
      </c>
      <c r="AD68" t="str">
        <f>IF(Input!X68&lt;&gt;"",Input!X68,"")</f>
        <v/>
      </c>
      <c r="AE68" t="str">
        <f t="shared" si="18"/>
        <v/>
      </c>
      <c r="AF68" t="str">
        <f>IF(AD68&lt;&gt;"",IF(Input!Z68&lt;&gt;"",ROUNDDOWN(Input!Z68,0),0),"")</f>
        <v/>
      </c>
      <c r="AG68" t="str">
        <f>IF(Input!AA68&lt;&gt;"",Input!AA68,"")</f>
        <v/>
      </c>
      <c r="AH68" t="str">
        <f t="shared" si="19"/>
        <v/>
      </c>
      <c r="AI68" t="str">
        <f>IF(AG68&lt;&gt;"",IF(Input!AC68&lt;&gt;"",ROUNDDOWN(Input!AC68,0),0),"")</f>
        <v/>
      </c>
      <c r="AJ68" t="str">
        <f>IF(Input!AD68&lt;&gt;"",Input!AD68,"")</f>
        <v/>
      </c>
      <c r="AK68" t="str">
        <f t="shared" si="20"/>
        <v/>
      </c>
      <c r="AL68" t="str">
        <f>IF(AJ68&lt;&gt;"",IF(Input!AF68&lt;&gt;"",ROUNDDOWN(Input!AF68,0),0),"")</f>
        <v/>
      </c>
      <c r="AM68" t="str">
        <f>IF(Input!AG68&lt;&gt;"",Input!AG68,"")</f>
        <v/>
      </c>
      <c r="AN68" t="str">
        <f t="shared" si="21"/>
        <v/>
      </c>
      <c r="AO68" t="str">
        <f>IF(AM68&lt;&gt;"",IF(Input!AI68&lt;&gt;"",ROUNDDOWN(Input!AI68,0),0),"")</f>
        <v/>
      </c>
    </row>
    <row r="69" spans="1:41" ht="16.5" thickTop="1" thickBot="1" x14ac:dyDescent="0.4">
      <c r="A69" s="100">
        <f>IF(ISBLANK(Input!A69),1000,IF(Input!E69&gt;0,Input!E69+F69,1000))</f>
        <v>1000</v>
      </c>
      <c r="B69" s="101">
        <f t="shared" si="11"/>
        <v>1000</v>
      </c>
      <c r="C69" s="4">
        <v>68</v>
      </c>
      <c r="D69" s="29">
        <f>IF(ISBLANK(Input!A69),1000,IF(Input!G69&gt;0,Input!G69+F69,1000))</f>
        <v>1000</v>
      </c>
      <c r="E69" s="29">
        <f t="shared" si="12"/>
        <v>1000</v>
      </c>
      <c r="F69" s="4">
        <v>6.8000000000000005E-2</v>
      </c>
      <c r="I69" t="str">
        <f>IF(Input!A69&gt;0,Input!A69,"")</f>
        <v/>
      </c>
      <c r="J69" t="str">
        <f>IF(Input!B69&gt;0,Input!B69,"")</f>
        <v/>
      </c>
      <c r="K69" t="str">
        <f>IF(Input!C69&gt;0,Input!C69,"")</f>
        <v/>
      </c>
      <c r="L69" t="str">
        <f>IF(Input!D69&gt;0,Input!D69,"")</f>
        <v/>
      </c>
      <c r="M69" t="str">
        <f>IF(Input!E69&gt;0,Input!E69,"")</f>
        <v xml:space="preserve"> </v>
      </c>
      <c r="N69" t="str">
        <f>IF(Input!F69&gt;0,Input!F69,"")</f>
        <v xml:space="preserve"> </v>
      </c>
      <c r="O69" t="str">
        <f>IF(Input!I69&lt;&gt;"",Input!I69,"")</f>
        <v/>
      </c>
      <c r="P69" t="str">
        <f t="shared" si="13"/>
        <v/>
      </c>
      <c r="Q69" t="str">
        <f>IF(O69&lt;&gt;"",IF(Input!K69&lt;&gt;"",ROUNDDOWN(Input!K69,0),0),"")</f>
        <v/>
      </c>
      <c r="R69" t="str">
        <f>IF(Input!L69&lt;&gt;"",Input!L69,"")</f>
        <v/>
      </c>
      <c r="S69" t="str">
        <f t="shared" si="14"/>
        <v/>
      </c>
      <c r="T69" t="str">
        <f>IF(R69&lt;&gt;"",IF(Input!N69&lt;&gt;"",ROUNDDOWN(Input!N69,0),0),"")</f>
        <v/>
      </c>
      <c r="U69" t="str">
        <f>IF(Input!O69&lt;&gt;"",Input!O69,"")</f>
        <v/>
      </c>
      <c r="V69" t="str">
        <f t="shared" si="15"/>
        <v/>
      </c>
      <c r="W69" t="str">
        <f>IF(U69&lt;&gt;"",IF(Input!Q69&lt;&gt;"",ROUNDDOWN(Input!Q69,0),0),"")</f>
        <v/>
      </c>
      <c r="X69" t="str">
        <f>IF(Input!R69&lt;&gt;"",Input!R69,"")</f>
        <v/>
      </c>
      <c r="Y69" t="str">
        <f t="shared" si="16"/>
        <v/>
      </c>
      <c r="Z69" t="str">
        <f>IF(X69&lt;&gt;"",IF(Input!T69&lt;&gt;"",ROUNDDOWN(Input!T69,0),0),"")</f>
        <v/>
      </c>
      <c r="AA69" t="str">
        <f>IF(Input!U69&lt;&gt;"",Input!U69,"")</f>
        <v/>
      </c>
      <c r="AB69" t="str">
        <f t="shared" si="17"/>
        <v/>
      </c>
      <c r="AC69" t="str">
        <f>IF(AA69&lt;&gt;"",IF(Input!W69&lt;&gt;"",ROUNDDOWN(Input!W69,0),0),"")</f>
        <v/>
      </c>
      <c r="AD69" t="str">
        <f>IF(Input!X69&lt;&gt;"",Input!X69,"")</f>
        <v/>
      </c>
      <c r="AE69" t="str">
        <f t="shared" si="18"/>
        <v/>
      </c>
      <c r="AF69" t="str">
        <f>IF(AD69&lt;&gt;"",IF(Input!Z69&lt;&gt;"",ROUNDDOWN(Input!Z69,0),0),"")</f>
        <v/>
      </c>
      <c r="AG69" t="str">
        <f>IF(Input!AA69&lt;&gt;"",Input!AA69,"")</f>
        <v/>
      </c>
      <c r="AH69" t="str">
        <f t="shared" si="19"/>
        <v/>
      </c>
      <c r="AI69" t="str">
        <f>IF(AG69&lt;&gt;"",IF(Input!AC69&lt;&gt;"",ROUNDDOWN(Input!AC69,0),0),"")</f>
        <v/>
      </c>
      <c r="AJ69" t="str">
        <f>IF(Input!AD69&lt;&gt;"",Input!AD69,"")</f>
        <v/>
      </c>
      <c r="AK69" t="str">
        <f t="shared" si="20"/>
        <v/>
      </c>
      <c r="AL69" t="str">
        <f>IF(AJ69&lt;&gt;"",IF(Input!AF69&lt;&gt;"",ROUNDDOWN(Input!AF69,0),0),"")</f>
        <v/>
      </c>
      <c r="AM69" t="str">
        <f>IF(Input!AG69&lt;&gt;"",Input!AG69,"")</f>
        <v/>
      </c>
      <c r="AN69" t="str">
        <f t="shared" si="21"/>
        <v/>
      </c>
      <c r="AO69" t="str">
        <f>IF(AM69&lt;&gt;"",IF(Input!AI69&lt;&gt;"",ROUNDDOWN(Input!AI69,0),0),"")</f>
        <v/>
      </c>
    </row>
    <row r="70" spans="1:41" ht="16.5" thickTop="1" thickBot="1" x14ac:dyDescent="0.4">
      <c r="A70" s="100">
        <f>IF(ISBLANK(Input!A70),1000,IF(Input!E70&gt;0,Input!E70+F70,1000))</f>
        <v>1000</v>
      </c>
      <c r="B70" s="101">
        <f t="shared" si="11"/>
        <v>1000</v>
      </c>
      <c r="C70" s="4">
        <v>69</v>
      </c>
      <c r="D70" s="29">
        <f>IF(ISBLANK(Input!A70),1000,IF(Input!G70&gt;0,Input!G70+F70,1000))</f>
        <v>1000</v>
      </c>
      <c r="E70" s="29">
        <f t="shared" si="12"/>
        <v>1000</v>
      </c>
      <c r="F70" s="4">
        <v>6.9000000000000006E-2</v>
      </c>
      <c r="I70" t="str">
        <f>IF(Input!A70&gt;0,Input!A70,"")</f>
        <v/>
      </c>
      <c r="J70" t="str">
        <f>IF(Input!B70&gt;0,Input!B70,"")</f>
        <v/>
      </c>
      <c r="K70" t="str">
        <f>IF(Input!C70&gt;0,Input!C70,"")</f>
        <v/>
      </c>
      <c r="L70" t="str">
        <f>IF(Input!D70&gt;0,Input!D70,"")</f>
        <v/>
      </c>
      <c r="M70" t="str">
        <f>IF(Input!E70&gt;0,Input!E70,"")</f>
        <v xml:space="preserve"> </v>
      </c>
      <c r="N70" t="str">
        <f>IF(Input!F70&gt;0,Input!F70,"")</f>
        <v xml:space="preserve"> </v>
      </c>
      <c r="O70" t="str">
        <f>IF(Input!I70&lt;&gt;"",Input!I70,"")</f>
        <v/>
      </c>
      <c r="P70" t="str">
        <f t="shared" si="13"/>
        <v/>
      </c>
      <c r="Q70" t="str">
        <f>IF(O70&lt;&gt;"",IF(Input!K70&lt;&gt;"",ROUNDDOWN(Input!K70,0),0),"")</f>
        <v/>
      </c>
      <c r="R70" t="str">
        <f>IF(Input!L70&lt;&gt;"",Input!L70,"")</f>
        <v/>
      </c>
      <c r="S70" t="str">
        <f t="shared" si="14"/>
        <v/>
      </c>
      <c r="T70" t="str">
        <f>IF(R70&lt;&gt;"",IF(Input!N70&lt;&gt;"",ROUNDDOWN(Input!N70,0),0),"")</f>
        <v/>
      </c>
      <c r="U70" t="str">
        <f>IF(Input!O70&lt;&gt;"",Input!O70,"")</f>
        <v/>
      </c>
      <c r="V70" t="str">
        <f t="shared" si="15"/>
        <v/>
      </c>
      <c r="W70" t="str">
        <f>IF(U70&lt;&gt;"",IF(Input!Q70&lt;&gt;"",ROUNDDOWN(Input!Q70,0),0),"")</f>
        <v/>
      </c>
      <c r="X70" t="str">
        <f>IF(Input!R70&lt;&gt;"",Input!R70,"")</f>
        <v/>
      </c>
      <c r="Y70" t="str">
        <f t="shared" si="16"/>
        <v/>
      </c>
      <c r="Z70" t="str">
        <f>IF(X70&lt;&gt;"",IF(Input!T70&lt;&gt;"",ROUNDDOWN(Input!T70,0),0),"")</f>
        <v/>
      </c>
      <c r="AA70" t="str">
        <f>IF(Input!U70&lt;&gt;"",Input!U70,"")</f>
        <v/>
      </c>
      <c r="AB70" t="str">
        <f t="shared" si="17"/>
        <v/>
      </c>
      <c r="AC70" t="str">
        <f>IF(AA70&lt;&gt;"",IF(Input!W70&lt;&gt;"",ROUNDDOWN(Input!W70,0),0),"")</f>
        <v/>
      </c>
      <c r="AD70" t="str">
        <f>IF(Input!X70&lt;&gt;"",Input!X70,"")</f>
        <v/>
      </c>
      <c r="AE70" t="str">
        <f t="shared" si="18"/>
        <v/>
      </c>
      <c r="AF70" t="str">
        <f>IF(AD70&lt;&gt;"",IF(Input!Z70&lt;&gt;"",ROUNDDOWN(Input!Z70,0),0),"")</f>
        <v/>
      </c>
      <c r="AG70" t="str">
        <f>IF(Input!AA70&lt;&gt;"",Input!AA70,"")</f>
        <v/>
      </c>
      <c r="AH70" t="str">
        <f t="shared" si="19"/>
        <v/>
      </c>
      <c r="AI70" t="str">
        <f>IF(AG70&lt;&gt;"",IF(Input!AC70&lt;&gt;"",ROUNDDOWN(Input!AC70,0),0),"")</f>
        <v/>
      </c>
      <c r="AJ70" t="str">
        <f>IF(Input!AD70&lt;&gt;"",Input!AD70,"")</f>
        <v/>
      </c>
      <c r="AK70" t="str">
        <f t="shared" si="20"/>
        <v/>
      </c>
      <c r="AL70" t="str">
        <f>IF(AJ70&lt;&gt;"",IF(Input!AF70&lt;&gt;"",ROUNDDOWN(Input!AF70,0),0),"")</f>
        <v/>
      </c>
      <c r="AM70" t="str">
        <f>IF(Input!AG70&lt;&gt;"",Input!AG70,"")</f>
        <v/>
      </c>
      <c r="AN70" t="str">
        <f t="shared" si="21"/>
        <v/>
      </c>
      <c r="AO70" t="str">
        <f>IF(AM70&lt;&gt;"",IF(Input!AI70&lt;&gt;"",ROUNDDOWN(Input!AI70,0),0),"")</f>
        <v/>
      </c>
    </row>
    <row r="71" spans="1:41" ht="16.5" thickTop="1" thickBot="1" x14ac:dyDescent="0.4">
      <c r="A71" s="100">
        <f>IF(ISBLANK(Input!A71),1000,IF(Input!E71&gt;0,Input!E71+F71,1000))</f>
        <v>1000</v>
      </c>
      <c r="B71" s="101">
        <f t="shared" si="11"/>
        <v>1000</v>
      </c>
      <c r="C71" s="4">
        <v>70</v>
      </c>
      <c r="D71" s="29">
        <f>IF(ISBLANK(Input!A71),1000,IF(Input!G71&gt;0,Input!G71+F71,1000))</f>
        <v>1000</v>
      </c>
      <c r="E71" s="29">
        <f t="shared" si="12"/>
        <v>1000</v>
      </c>
      <c r="F71" s="4">
        <v>7.0000000000000007E-2</v>
      </c>
      <c r="I71" t="str">
        <f>IF(Input!A71&gt;0,Input!A71,"")</f>
        <v/>
      </c>
      <c r="J71" t="str">
        <f>IF(Input!B71&gt;0,Input!B71,"")</f>
        <v/>
      </c>
      <c r="K71" t="str">
        <f>IF(Input!C71&gt;0,Input!C71,"")</f>
        <v/>
      </c>
      <c r="L71" t="str">
        <f>IF(Input!D71&gt;0,Input!D71,"")</f>
        <v/>
      </c>
      <c r="M71" t="str">
        <f>IF(Input!E71&gt;0,Input!E71,"")</f>
        <v xml:space="preserve"> </v>
      </c>
      <c r="N71" t="str">
        <f>IF(Input!F71&gt;0,Input!F71,"")</f>
        <v xml:space="preserve"> </v>
      </c>
      <c r="O71" t="str">
        <f>IF(Input!I71&lt;&gt;"",Input!I71,"")</f>
        <v/>
      </c>
      <c r="P71" t="str">
        <f t="shared" si="13"/>
        <v/>
      </c>
      <c r="Q71" t="str">
        <f>IF(O71&lt;&gt;"",IF(Input!K71&lt;&gt;"",ROUNDDOWN(Input!K71,0),0),"")</f>
        <v/>
      </c>
      <c r="R71" t="str">
        <f>IF(Input!L71&lt;&gt;"",Input!L71,"")</f>
        <v/>
      </c>
      <c r="S71" t="str">
        <f t="shared" si="14"/>
        <v/>
      </c>
      <c r="T71" t="str">
        <f>IF(R71&lt;&gt;"",IF(Input!N71&lt;&gt;"",ROUNDDOWN(Input!N71,0),0),"")</f>
        <v/>
      </c>
      <c r="U71" t="str">
        <f>IF(Input!O71&lt;&gt;"",Input!O71,"")</f>
        <v/>
      </c>
      <c r="V71" t="str">
        <f t="shared" si="15"/>
        <v/>
      </c>
      <c r="W71" t="str">
        <f>IF(U71&lt;&gt;"",IF(Input!Q71&lt;&gt;"",ROUNDDOWN(Input!Q71,0),0),"")</f>
        <v/>
      </c>
      <c r="X71" t="str">
        <f>IF(Input!R71&lt;&gt;"",Input!R71,"")</f>
        <v/>
      </c>
      <c r="Y71" t="str">
        <f t="shared" si="16"/>
        <v/>
      </c>
      <c r="Z71" t="str">
        <f>IF(X71&lt;&gt;"",IF(Input!T71&lt;&gt;"",ROUNDDOWN(Input!T71,0),0),"")</f>
        <v/>
      </c>
      <c r="AA71" t="str">
        <f>IF(Input!U71&lt;&gt;"",Input!U71,"")</f>
        <v/>
      </c>
      <c r="AB71" t="str">
        <f t="shared" si="17"/>
        <v/>
      </c>
      <c r="AC71" t="str">
        <f>IF(AA71&lt;&gt;"",IF(Input!W71&lt;&gt;"",ROUNDDOWN(Input!W71,0),0),"")</f>
        <v/>
      </c>
      <c r="AD71" t="str">
        <f>IF(Input!X71&lt;&gt;"",Input!X71,"")</f>
        <v/>
      </c>
      <c r="AE71" t="str">
        <f t="shared" si="18"/>
        <v/>
      </c>
      <c r="AF71" t="str">
        <f>IF(AD71&lt;&gt;"",IF(Input!Z71&lt;&gt;"",ROUNDDOWN(Input!Z71,0),0),"")</f>
        <v/>
      </c>
      <c r="AG71" t="str">
        <f>IF(Input!AA71&lt;&gt;"",Input!AA71,"")</f>
        <v/>
      </c>
      <c r="AH71" t="str">
        <f t="shared" si="19"/>
        <v/>
      </c>
      <c r="AI71" t="str">
        <f>IF(AG71&lt;&gt;"",IF(Input!AC71&lt;&gt;"",ROUNDDOWN(Input!AC71,0),0),"")</f>
        <v/>
      </c>
      <c r="AJ71" t="str">
        <f>IF(Input!AD71&lt;&gt;"",Input!AD71,"")</f>
        <v/>
      </c>
      <c r="AK71" t="str">
        <f t="shared" si="20"/>
        <v/>
      </c>
      <c r="AL71" t="str">
        <f>IF(AJ71&lt;&gt;"",IF(Input!AF71&lt;&gt;"",ROUNDDOWN(Input!AF71,0),0),"")</f>
        <v/>
      </c>
      <c r="AM71" t="str">
        <f>IF(Input!AG71&lt;&gt;"",Input!AG71,"")</f>
        <v/>
      </c>
      <c r="AN71" t="str">
        <f t="shared" si="21"/>
        <v/>
      </c>
      <c r="AO71" t="str">
        <f>IF(AM71&lt;&gt;"",IF(Input!AI71&lt;&gt;"",ROUNDDOWN(Input!AI71,0),0),"")</f>
        <v/>
      </c>
    </row>
    <row r="72" spans="1:41" ht="16.5" thickTop="1" thickBot="1" x14ac:dyDescent="0.4">
      <c r="A72" s="100">
        <f>IF(ISBLANK(Input!A72),1000,IF(Input!E72&gt;0,Input!E72+F72,1000))</f>
        <v>1000</v>
      </c>
      <c r="B72" s="101">
        <f t="shared" si="11"/>
        <v>1000</v>
      </c>
      <c r="C72" s="4">
        <v>71</v>
      </c>
      <c r="D72" s="29">
        <f>IF(ISBLANK(Input!A72),1000,IF(Input!G72&gt;0,Input!G72+F72,1000))</f>
        <v>1000</v>
      </c>
      <c r="E72" s="29">
        <f t="shared" si="12"/>
        <v>1000</v>
      </c>
      <c r="F72" s="4">
        <v>7.0999999999999897E-2</v>
      </c>
      <c r="I72" t="str">
        <f>IF(Input!A72&gt;0,Input!A72,"")</f>
        <v/>
      </c>
      <c r="J72" t="str">
        <f>IF(Input!B72&gt;0,Input!B72,"")</f>
        <v/>
      </c>
      <c r="K72" t="str">
        <f>IF(Input!C72&gt;0,Input!C72,"")</f>
        <v/>
      </c>
      <c r="L72" t="str">
        <f>IF(Input!D72&gt;0,Input!D72,"")</f>
        <v/>
      </c>
      <c r="M72" t="str">
        <f>IF(Input!E72&gt;0,Input!E72,"")</f>
        <v xml:space="preserve"> </v>
      </c>
      <c r="N72" t="str">
        <f>IF(Input!F72&gt;0,Input!F72,"")</f>
        <v xml:space="preserve"> </v>
      </c>
      <c r="O72" t="str">
        <f>IF(Input!I72&lt;&gt;"",Input!I72,"")</f>
        <v/>
      </c>
      <c r="P72" t="str">
        <f t="shared" si="13"/>
        <v/>
      </c>
      <c r="Q72" t="str">
        <f>IF(O72&lt;&gt;"",IF(Input!K72&lt;&gt;"",ROUNDDOWN(Input!K72,0),0),"")</f>
        <v/>
      </c>
      <c r="R72" t="str">
        <f>IF(Input!L72&lt;&gt;"",Input!L72,"")</f>
        <v/>
      </c>
      <c r="S72" t="str">
        <f t="shared" si="14"/>
        <v/>
      </c>
      <c r="T72" t="str">
        <f>IF(R72&lt;&gt;"",IF(Input!N72&lt;&gt;"",ROUNDDOWN(Input!N72,0),0),"")</f>
        <v/>
      </c>
      <c r="U72" t="str">
        <f>IF(Input!O72&lt;&gt;"",Input!O72,"")</f>
        <v/>
      </c>
      <c r="V72" t="str">
        <f t="shared" si="15"/>
        <v/>
      </c>
      <c r="W72" t="str">
        <f>IF(U72&lt;&gt;"",IF(Input!Q72&lt;&gt;"",ROUNDDOWN(Input!Q72,0),0),"")</f>
        <v/>
      </c>
      <c r="X72" t="str">
        <f>IF(Input!R72&lt;&gt;"",Input!R72,"")</f>
        <v/>
      </c>
      <c r="Y72" t="str">
        <f t="shared" si="16"/>
        <v/>
      </c>
      <c r="Z72" t="str">
        <f>IF(X72&lt;&gt;"",IF(Input!T72&lt;&gt;"",ROUNDDOWN(Input!T72,0),0),"")</f>
        <v/>
      </c>
      <c r="AA72" t="str">
        <f>IF(Input!U72&lt;&gt;"",Input!U72,"")</f>
        <v/>
      </c>
      <c r="AB72" t="str">
        <f t="shared" si="17"/>
        <v/>
      </c>
      <c r="AC72" t="str">
        <f>IF(AA72&lt;&gt;"",IF(Input!W72&lt;&gt;"",ROUNDDOWN(Input!W72,0),0),"")</f>
        <v/>
      </c>
      <c r="AD72" t="str">
        <f>IF(Input!X72&lt;&gt;"",Input!X72,"")</f>
        <v/>
      </c>
      <c r="AE72" t="str">
        <f t="shared" si="18"/>
        <v/>
      </c>
      <c r="AF72" t="str">
        <f>IF(AD72&lt;&gt;"",IF(Input!Z72&lt;&gt;"",ROUNDDOWN(Input!Z72,0),0),"")</f>
        <v/>
      </c>
      <c r="AG72" t="str">
        <f>IF(Input!AA72&lt;&gt;"",Input!AA72,"")</f>
        <v/>
      </c>
      <c r="AH72" t="str">
        <f t="shared" si="19"/>
        <v/>
      </c>
      <c r="AI72" t="str">
        <f>IF(AG72&lt;&gt;"",IF(Input!AC72&lt;&gt;"",ROUNDDOWN(Input!AC72,0),0),"")</f>
        <v/>
      </c>
      <c r="AJ72" t="str">
        <f>IF(Input!AD72&lt;&gt;"",Input!AD72,"")</f>
        <v/>
      </c>
      <c r="AK72" t="str">
        <f t="shared" si="20"/>
        <v/>
      </c>
      <c r="AL72" t="str">
        <f>IF(AJ72&lt;&gt;"",IF(Input!AF72&lt;&gt;"",ROUNDDOWN(Input!AF72,0),0),"")</f>
        <v/>
      </c>
      <c r="AM72" t="str">
        <f>IF(Input!AG72&lt;&gt;"",Input!AG72,"")</f>
        <v/>
      </c>
      <c r="AN72" t="str">
        <f t="shared" si="21"/>
        <v/>
      </c>
      <c r="AO72" t="str">
        <f>IF(AM72&lt;&gt;"",IF(Input!AI72&lt;&gt;"",ROUNDDOWN(Input!AI72,0),0),"")</f>
        <v/>
      </c>
    </row>
    <row r="73" spans="1:41" ht="16.5" thickTop="1" thickBot="1" x14ac:dyDescent="0.4">
      <c r="A73" s="100">
        <f>IF(ISBLANK(Input!A73),1000,IF(Input!E73&gt;0,Input!E73+F73,1000))</f>
        <v>1000</v>
      </c>
      <c r="B73" s="101">
        <f t="shared" si="11"/>
        <v>1000</v>
      </c>
      <c r="C73" s="4">
        <v>72</v>
      </c>
      <c r="D73" s="29">
        <f>IF(ISBLANK(Input!A73),1000,IF(Input!G73&gt;0,Input!G73+F73,1000))</f>
        <v>1000</v>
      </c>
      <c r="E73" s="29">
        <f t="shared" si="12"/>
        <v>1000</v>
      </c>
      <c r="F73" s="4">
        <v>7.1999999999999897E-2</v>
      </c>
      <c r="I73" t="str">
        <f>IF(Input!A73&gt;0,Input!A73,"")</f>
        <v/>
      </c>
      <c r="J73" t="str">
        <f>IF(Input!B73&gt;0,Input!B73,"")</f>
        <v/>
      </c>
      <c r="K73" t="str">
        <f>IF(Input!C73&gt;0,Input!C73,"")</f>
        <v/>
      </c>
      <c r="L73" t="str">
        <f>IF(Input!D73&gt;0,Input!D73,"")</f>
        <v/>
      </c>
      <c r="M73" t="str">
        <f>IF(Input!E73&gt;0,Input!E73,"")</f>
        <v xml:space="preserve"> </v>
      </c>
      <c r="N73" t="str">
        <f>IF(Input!F73&gt;0,Input!F73,"")</f>
        <v xml:space="preserve"> </v>
      </c>
      <c r="O73" t="str">
        <f>IF(Input!I73&lt;&gt;"",Input!I73,"")</f>
        <v/>
      </c>
      <c r="P73" t="str">
        <f t="shared" si="13"/>
        <v/>
      </c>
      <c r="Q73" t="str">
        <f>IF(O73&lt;&gt;"",IF(Input!K73&lt;&gt;"",ROUNDDOWN(Input!K73,0),0),"")</f>
        <v/>
      </c>
      <c r="R73" t="str">
        <f>IF(Input!L73&lt;&gt;"",Input!L73,"")</f>
        <v/>
      </c>
      <c r="S73" t="str">
        <f t="shared" si="14"/>
        <v/>
      </c>
      <c r="T73" t="str">
        <f>IF(R73&lt;&gt;"",IF(Input!N73&lt;&gt;"",ROUNDDOWN(Input!N73,0),0),"")</f>
        <v/>
      </c>
      <c r="U73" t="str">
        <f>IF(Input!O73&lt;&gt;"",Input!O73,"")</f>
        <v/>
      </c>
      <c r="V73" t="str">
        <f t="shared" si="15"/>
        <v/>
      </c>
      <c r="W73" t="str">
        <f>IF(U73&lt;&gt;"",IF(Input!Q73&lt;&gt;"",ROUNDDOWN(Input!Q73,0),0),"")</f>
        <v/>
      </c>
      <c r="X73" t="str">
        <f>IF(Input!R73&lt;&gt;"",Input!R73,"")</f>
        <v/>
      </c>
      <c r="Y73" t="str">
        <f t="shared" si="16"/>
        <v/>
      </c>
      <c r="Z73" t="str">
        <f>IF(X73&lt;&gt;"",IF(Input!T73&lt;&gt;"",ROUNDDOWN(Input!T73,0),0),"")</f>
        <v/>
      </c>
      <c r="AA73" t="str">
        <f>IF(Input!U73&lt;&gt;"",Input!U73,"")</f>
        <v/>
      </c>
      <c r="AB73" t="str">
        <f t="shared" si="17"/>
        <v/>
      </c>
      <c r="AC73" t="str">
        <f>IF(AA73&lt;&gt;"",IF(Input!W73&lt;&gt;"",ROUNDDOWN(Input!W73,0),0),"")</f>
        <v/>
      </c>
      <c r="AD73" t="str">
        <f>IF(Input!X73&lt;&gt;"",Input!X73,"")</f>
        <v/>
      </c>
      <c r="AE73" t="str">
        <f t="shared" si="18"/>
        <v/>
      </c>
      <c r="AF73" t="str">
        <f>IF(AD73&lt;&gt;"",IF(Input!Z73&lt;&gt;"",ROUNDDOWN(Input!Z73,0),0),"")</f>
        <v/>
      </c>
      <c r="AG73" t="str">
        <f>IF(Input!AA73&lt;&gt;"",Input!AA73,"")</f>
        <v/>
      </c>
      <c r="AH73" t="str">
        <f t="shared" si="19"/>
        <v/>
      </c>
      <c r="AI73" t="str">
        <f>IF(AG73&lt;&gt;"",IF(Input!AC73&lt;&gt;"",ROUNDDOWN(Input!AC73,0),0),"")</f>
        <v/>
      </c>
      <c r="AJ73" t="str">
        <f>IF(Input!AD73&lt;&gt;"",Input!AD73,"")</f>
        <v/>
      </c>
      <c r="AK73" t="str">
        <f t="shared" si="20"/>
        <v/>
      </c>
      <c r="AL73" t="str">
        <f>IF(AJ73&lt;&gt;"",IF(Input!AF73&lt;&gt;"",ROUNDDOWN(Input!AF73,0),0),"")</f>
        <v/>
      </c>
      <c r="AM73" t="str">
        <f>IF(Input!AG73&lt;&gt;"",Input!AG73,"")</f>
        <v/>
      </c>
      <c r="AN73" t="str">
        <f t="shared" si="21"/>
        <v/>
      </c>
      <c r="AO73" t="str">
        <f>IF(AM73&lt;&gt;"",IF(Input!AI73&lt;&gt;"",ROUNDDOWN(Input!AI73,0),0),"")</f>
        <v/>
      </c>
    </row>
    <row r="74" spans="1:41" ht="16.5" thickTop="1" thickBot="1" x14ac:dyDescent="0.4">
      <c r="A74" s="100">
        <f>IF(ISBLANK(Input!A74),1000,IF(Input!E74&gt;0,Input!E74+F74,1000))</f>
        <v>1000</v>
      </c>
      <c r="B74" s="101">
        <f t="shared" si="11"/>
        <v>1000</v>
      </c>
      <c r="C74" s="4">
        <v>73</v>
      </c>
      <c r="D74" s="29">
        <f>IF(ISBLANK(Input!A74),1000,IF(Input!G74&gt;0,Input!G74+F74,1000))</f>
        <v>1000</v>
      </c>
      <c r="E74" s="29">
        <f t="shared" si="12"/>
        <v>1000</v>
      </c>
      <c r="F74" s="4">
        <v>7.2999999999999995E-2</v>
      </c>
      <c r="I74" t="str">
        <f>IF(Input!A74&gt;0,Input!A74,"")</f>
        <v/>
      </c>
      <c r="J74" t="str">
        <f>IF(Input!B74&gt;0,Input!B74,"")</f>
        <v/>
      </c>
      <c r="K74" t="str">
        <f>IF(Input!C74&gt;0,Input!C74,"")</f>
        <v/>
      </c>
      <c r="L74" t="str">
        <f>IF(Input!D74&gt;0,Input!D74,"")</f>
        <v/>
      </c>
      <c r="M74" t="str">
        <f>IF(Input!E74&gt;0,Input!E74,"")</f>
        <v xml:space="preserve"> </v>
      </c>
      <c r="N74" t="str">
        <f>IF(Input!F74&gt;0,Input!F74,"")</f>
        <v xml:space="preserve"> </v>
      </c>
      <c r="O74" t="str">
        <f>IF(Input!I74&lt;&gt;"",Input!I74,"")</f>
        <v/>
      </c>
      <c r="P74" t="str">
        <f t="shared" si="13"/>
        <v/>
      </c>
      <c r="Q74" t="str">
        <f>IF(O74&lt;&gt;"",IF(Input!K74&lt;&gt;"",ROUNDDOWN(Input!K74,0),0),"")</f>
        <v/>
      </c>
      <c r="R74" t="str">
        <f>IF(Input!L74&lt;&gt;"",Input!L74,"")</f>
        <v/>
      </c>
      <c r="S74" t="str">
        <f t="shared" si="14"/>
        <v/>
      </c>
      <c r="T74" t="str">
        <f>IF(R74&lt;&gt;"",IF(Input!N74&lt;&gt;"",ROUNDDOWN(Input!N74,0),0),"")</f>
        <v/>
      </c>
      <c r="U74" t="str">
        <f>IF(Input!O74&lt;&gt;"",Input!O74,"")</f>
        <v/>
      </c>
      <c r="V74" t="str">
        <f t="shared" si="15"/>
        <v/>
      </c>
      <c r="W74" t="str">
        <f>IF(U74&lt;&gt;"",IF(Input!Q74&lt;&gt;"",ROUNDDOWN(Input!Q74,0),0),"")</f>
        <v/>
      </c>
      <c r="X74" t="str">
        <f>IF(Input!R74&lt;&gt;"",Input!R74,"")</f>
        <v/>
      </c>
      <c r="Y74" t="str">
        <f t="shared" si="16"/>
        <v/>
      </c>
      <c r="Z74" t="str">
        <f>IF(X74&lt;&gt;"",IF(Input!T74&lt;&gt;"",ROUNDDOWN(Input!T74,0),0),"")</f>
        <v/>
      </c>
      <c r="AA74" t="str">
        <f>IF(Input!U74&lt;&gt;"",Input!U74,"")</f>
        <v/>
      </c>
      <c r="AB74" t="str">
        <f t="shared" si="17"/>
        <v/>
      </c>
      <c r="AC74" t="str">
        <f>IF(AA74&lt;&gt;"",IF(Input!W74&lt;&gt;"",ROUNDDOWN(Input!W74,0),0),"")</f>
        <v/>
      </c>
      <c r="AD74" t="str">
        <f>IF(Input!X74&lt;&gt;"",Input!X74,"")</f>
        <v/>
      </c>
      <c r="AE74" t="str">
        <f t="shared" si="18"/>
        <v/>
      </c>
      <c r="AF74" t="str">
        <f>IF(AD74&lt;&gt;"",IF(Input!Z74&lt;&gt;"",ROUNDDOWN(Input!Z74,0),0),"")</f>
        <v/>
      </c>
      <c r="AG74" t="str">
        <f>IF(Input!AA74&lt;&gt;"",Input!AA74,"")</f>
        <v/>
      </c>
      <c r="AH74" t="str">
        <f t="shared" si="19"/>
        <v/>
      </c>
      <c r="AI74" t="str">
        <f>IF(AG74&lt;&gt;"",IF(Input!AC74&lt;&gt;"",ROUNDDOWN(Input!AC74,0),0),"")</f>
        <v/>
      </c>
      <c r="AJ74" t="str">
        <f>IF(Input!AD74&lt;&gt;"",Input!AD74,"")</f>
        <v/>
      </c>
      <c r="AK74" t="str">
        <f t="shared" si="20"/>
        <v/>
      </c>
      <c r="AL74" t="str">
        <f>IF(AJ74&lt;&gt;"",IF(Input!AF74&lt;&gt;"",ROUNDDOWN(Input!AF74,0),0),"")</f>
        <v/>
      </c>
      <c r="AM74" t="str">
        <f>IF(Input!AG74&lt;&gt;"",Input!AG74,"")</f>
        <v/>
      </c>
      <c r="AN74" t="str">
        <f t="shared" si="21"/>
        <v/>
      </c>
      <c r="AO74" t="str">
        <f>IF(AM74&lt;&gt;"",IF(Input!AI74&lt;&gt;"",ROUNDDOWN(Input!AI74,0),0),"")</f>
        <v/>
      </c>
    </row>
    <row r="75" spans="1:41" ht="16.5" thickTop="1" thickBot="1" x14ac:dyDescent="0.4">
      <c r="A75" s="100">
        <f>IF(ISBLANK(Input!A75),1000,IF(Input!E75&gt;0,Input!E75+F75,1000))</f>
        <v>1000</v>
      </c>
      <c r="B75" s="101">
        <f t="shared" si="11"/>
        <v>1000</v>
      </c>
      <c r="C75" s="4">
        <v>74</v>
      </c>
      <c r="D75" s="29">
        <f>IF(ISBLANK(Input!A75),1000,IF(Input!G75&gt;0,Input!G75+F75,1000))</f>
        <v>1000</v>
      </c>
      <c r="E75" s="29">
        <f t="shared" si="12"/>
        <v>1000</v>
      </c>
      <c r="F75" s="4">
        <v>7.3999999999999899E-2</v>
      </c>
      <c r="I75" t="str">
        <f>IF(Input!A75&gt;0,Input!A75,"")</f>
        <v/>
      </c>
      <c r="J75" t="str">
        <f>IF(Input!B75&gt;0,Input!B75,"")</f>
        <v/>
      </c>
      <c r="K75" t="str">
        <f>IF(Input!C75&gt;0,Input!C75,"")</f>
        <v/>
      </c>
      <c r="L75" t="str">
        <f>IF(Input!D75&gt;0,Input!D75,"")</f>
        <v/>
      </c>
      <c r="M75" t="str">
        <f>IF(Input!E75&gt;0,Input!E75,"")</f>
        <v xml:space="preserve"> </v>
      </c>
      <c r="N75" t="str">
        <f>IF(Input!F75&gt;0,Input!F75,"")</f>
        <v xml:space="preserve"> </v>
      </c>
      <c r="O75" t="str">
        <f>IF(Input!I75&lt;&gt;"",Input!I75,"")</f>
        <v/>
      </c>
      <c r="P75" t="str">
        <f t="shared" si="13"/>
        <v/>
      </c>
      <c r="Q75" t="str">
        <f>IF(O75&lt;&gt;"",IF(Input!K75&lt;&gt;"",ROUNDDOWN(Input!K75,0),0),"")</f>
        <v/>
      </c>
      <c r="R75" t="str">
        <f>IF(Input!L75&lt;&gt;"",Input!L75,"")</f>
        <v/>
      </c>
      <c r="S75" t="str">
        <f t="shared" si="14"/>
        <v/>
      </c>
      <c r="T75" t="str">
        <f>IF(R75&lt;&gt;"",IF(Input!N75&lt;&gt;"",ROUNDDOWN(Input!N75,0),0),"")</f>
        <v/>
      </c>
      <c r="U75" t="str">
        <f>IF(Input!O75&lt;&gt;"",Input!O75,"")</f>
        <v/>
      </c>
      <c r="V75" t="str">
        <f t="shared" si="15"/>
        <v/>
      </c>
      <c r="W75" t="str">
        <f>IF(U75&lt;&gt;"",IF(Input!Q75&lt;&gt;"",ROUNDDOWN(Input!Q75,0),0),"")</f>
        <v/>
      </c>
      <c r="X75" t="str">
        <f>IF(Input!R75&lt;&gt;"",Input!R75,"")</f>
        <v/>
      </c>
      <c r="Y75" t="str">
        <f t="shared" si="16"/>
        <v/>
      </c>
      <c r="Z75" t="str">
        <f>IF(X75&lt;&gt;"",IF(Input!T75&lt;&gt;"",ROUNDDOWN(Input!T75,0),0),"")</f>
        <v/>
      </c>
      <c r="AA75" t="str">
        <f>IF(Input!U75&lt;&gt;"",Input!U75,"")</f>
        <v/>
      </c>
      <c r="AB75" t="str">
        <f t="shared" si="17"/>
        <v/>
      </c>
      <c r="AC75" t="str">
        <f>IF(AA75&lt;&gt;"",IF(Input!W75&lt;&gt;"",ROUNDDOWN(Input!W75,0),0),"")</f>
        <v/>
      </c>
      <c r="AD75" t="str">
        <f>IF(Input!X75&lt;&gt;"",Input!X75,"")</f>
        <v/>
      </c>
      <c r="AE75" t="str">
        <f t="shared" si="18"/>
        <v/>
      </c>
      <c r="AF75" t="str">
        <f>IF(AD75&lt;&gt;"",IF(Input!Z75&lt;&gt;"",ROUNDDOWN(Input!Z75,0),0),"")</f>
        <v/>
      </c>
      <c r="AG75" t="str">
        <f>IF(Input!AA75&lt;&gt;"",Input!AA75,"")</f>
        <v/>
      </c>
      <c r="AH75" t="str">
        <f t="shared" si="19"/>
        <v/>
      </c>
      <c r="AI75" t="str">
        <f>IF(AG75&lt;&gt;"",IF(Input!AC75&lt;&gt;"",ROUNDDOWN(Input!AC75,0),0),"")</f>
        <v/>
      </c>
      <c r="AJ75" t="str">
        <f>IF(Input!AD75&lt;&gt;"",Input!AD75,"")</f>
        <v/>
      </c>
      <c r="AK75" t="str">
        <f t="shared" si="20"/>
        <v/>
      </c>
      <c r="AL75" t="str">
        <f>IF(AJ75&lt;&gt;"",IF(Input!AF75&lt;&gt;"",ROUNDDOWN(Input!AF75,0),0),"")</f>
        <v/>
      </c>
      <c r="AM75" t="str">
        <f>IF(Input!AG75&lt;&gt;"",Input!AG75,"")</f>
        <v/>
      </c>
      <c r="AN75" t="str">
        <f t="shared" si="21"/>
        <v/>
      </c>
      <c r="AO75" t="str">
        <f>IF(AM75&lt;&gt;"",IF(Input!AI75&lt;&gt;"",ROUNDDOWN(Input!AI75,0),0),"")</f>
        <v/>
      </c>
    </row>
    <row r="76" spans="1:41" ht="16.5" thickTop="1" thickBot="1" x14ac:dyDescent="0.4">
      <c r="A76" s="100">
        <f>IF(ISBLANK(Input!A76),1000,IF(Input!E76&gt;0,Input!E76+F76,1000))</f>
        <v>1000</v>
      </c>
      <c r="B76" s="101">
        <f t="shared" si="11"/>
        <v>1000</v>
      </c>
      <c r="C76" s="4">
        <v>75</v>
      </c>
      <c r="D76" s="29">
        <f>IF(ISBLANK(Input!A76),1000,IF(Input!G76&gt;0,Input!G76+F76,1000))</f>
        <v>1000</v>
      </c>
      <c r="E76" s="29">
        <f t="shared" si="12"/>
        <v>1000</v>
      </c>
      <c r="F76" s="4">
        <v>7.49999999999999E-2</v>
      </c>
      <c r="I76" t="str">
        <f>IF(Input!A76&gt;0,Input!A76,"")</f>
        <v/>
      </c>
      <c r="J76" t="str">
        <f>IF(Input!B76&gt;0,Input!B76,"")</f>
        <v/>
      </c>
      <c r="K76" t="str">
        <f>IF(Input!C76&gt;0,Input!C76,"")</f>
        <v/>
      </c>
      <c r="L76" t="str">
        <f>IF(Input!D76&gt;0,Input!D76,"")</f>
        <v/>
      </c>
      <c r="M76" t="str">
        <f>IF(Input!E76&gt;0,Input!E76,"")</f>
        <v xml:space="preserve"> </v>
      </c>
      <c r="N76" t="str">
        <f>IF(Input!F76&gt;0,Input!F76,"")</f>
        <v xml:space="preserve"> </v>
      </c>
      <c r="O76" t="str">
        <f>IF(Input!I76&lt;&gt;"",Input!I76,"")</f>
        <v/>
      </c>
      <c r="P76" t="str">
        <f t="shared" si="13"/>
        <v/>
      </c>
      <c r="Q76" t="str">
        <f>IF(O76&lt;&gt;"",IF(Input!K76&lt;&gt;"",ROUNDDOWN(Input!K76,0),0),"")</f>
        <v/>
      </c>
      <c r="R76" t="str">
        <f>IF(Input!L76&lt;&gt;"",Input!L76,"")</f>
        <v/>
      </c>
      <c r="S76" t="str">
        <f t="shared" si="14"/>
        <v/>
      </c>
      <c r="T76" t="str">
        <f>IF(R76&lt;&gt;"",IF(Input!N76&lt;&gt;"",ROUNDDOWN(Input!N76,0),0),"")</f>
        <v/>
      </c>
      <c r="U76" t="str">
        <f>IF(Input!O76&lt;&gt;"",Input!O76,"")</f>
        <v/>
      </c>
      <c r="V76" t="str">
        <f t="shared" si="15"/>
        <v/>
      </c>
      <c r="W76" t="str">
        <f>IF(U76&lt;&gt;"",IF(Input!Q76&lt;&gt;"",ROUNDDOWN(Input!Q76,0),0),"")</f>
        <v/>
      </c>
      <c r="X76" t="str">
        <f>IF(Input!R76&lt;&gt;"",Input!R76,"")</f>
        <v/>
      </c>
      <c r="Y76" t="str">
        <f t="shared" si="16"/>
        <v/>
      </c>
      <c r="Z76" t="str">
        <f>IF(X76&lt;&gt;"",IF(Input!T76&lt;&gt;"",ROUNDDOWN(Input!T76,0),0),"")</f>
        <v/>
      </c>
      <c r="AA76" t="str">
        <f>IF(Input!U76&lt;&gt;"",Input!U76,"")</f>
        <v/>
      </c>
      <c r="AB76" t="str">
        <f t="shared" si="17"/>
        <v/>
      </c>
      <c r="AC76" t="str">
        <f>IF(AA76&lt;&gt;"",IF(Input!W76&lt;&gt;"",ROUNDDOWN(Input!W76,0),0),"")</f>
        <v/>
      </c>
      <c r="AD76" t="str">
        <f>IF(Input!X76&lt;&gt;"",Input!X76,"")</f>
        <v/>
      </c>
      <c r="AE76" t="str">
        <f t="shared" si="18"/>
        <v/>
      </c>
      <c r="AF76" t="str">
        <f>IF(AD76&lt;&gt;"",IF(Input!Z76&lt;&gt;"",ROUNDDOWN(Input!Z76,0),0),"")</f>
        <v/>
      </c>
      <c r="AG76" t="str">
        <f>IF(Input!AA76&lt;&gt;"",Input!AA76,"")</f>
        <v/>
      </c>
      <c r="AH76" t="str">
        <f t="shared" si="19"/>
        <v/>
      </c>
      <c r="AI76" t="str">
        <f>IF(AG76&lt;&gt;"",IF(Input!AC76&lt;&gt;"",ROUNDDOWN(Input!AC76,0),0),"")</f>
        <v/>
      </c>
      <c r="AJ76" t="str">
        <f>IF(Input!AD76&lt;&gt;"",Input!AD76,"")</f>
        <v/>
      </c>
      <c r="AK76" t="str">
        <f t="shared" si="20"/>
        <v/>
      </c>
      <c r="AL76" t="str">
        <f>IF(AJ76&lt;&gt;"",IF(Input!AF76&lt;&gt;"",ROUNDDOWN(Input!AF76,0),0),"")</f>
        <v/>
      </c>
      <c r="AM76" t="str">
        <f>IF(Input!AG76&lt;&gt;"",Input!AG76,"")</f>
        <v/>
      </c>
      <c r="AN76" t="str">
        <f t="shared" si="21"/>
        <v/>
      </c>
      <c r="AO76" t="str">
        <f>IF(AM76&lt;&gt;"",IF(Input!AI76&lt;&gt;"",ROUNDDOWN(Input!AI76,0),0),"")</f>
        <v/>
      </c>
    </row>
    <row r="77" spans="1:41" ht="16.5" thickTop="1" thickBot="1" x14ac:dyDescent="0.4">
      <c r="A77" s="100">
        <f>IF(ISBLANK(Input!A77),1000,IF(Input!E77&gt;0,Input!E77+F77,1000))</f>
        <v>1000</v>
      </c>
      <c r="B77" s="101">
        <f t="shared" si="11"/>
        <v>1000</v>
      </c>
      <c r="C77" s="4">
        <v>76</v>
      </c>
      <c r="D77" s="29">
        <f>IF(ISBLANK(Input!A77),1000,IF(Input!G77&gt;0,Input!G77+F77,1000))</f>
        <v>1000</v>
      </c>
      <c r="E77" s="29">
        <f t="shared" si="12"/>
        <v>1000</v>
      </c>
      <c r="F77" s="4">
        <v>7.5999999999999901E-2</v>
      </c>
      <c r="I77" t="str">
        <f>IF(Input!A77&gt;0,Input!A77,"")</f>
        <v/>
      </c>
      <c r="J77" t="str">
        <f>IF(Input!B77&gt;0,Input!B77,"")</f>
        <v/>
      </c>
      <c r="K77" t="str">
        <f>IF(Input!C77&gt;0,Input!C77,"")</f>
        <v/>
      </c>
      <c r="L77" t="str">
        <f>IF(Input!D77&gt;0,Input!D77,"")</f>
        <v/>
      </c>
      <c r="M77" t="str">
        <f>IF(Input!E77&gt;0,Input!E77,"")</f>
        <v xml:space="preserve"> </v>
      </c>
      <c r="N77" t="str">
        <f>IF(Input!F77&gt;0,Input!F77,"")</f>
        <v xml:space="preserve"> </v>
      </c>
      <c r="O77" t="str">
        <f>IF(Input!I77&lt;&gt;"",Input!I77,"")</f>
        <v/>
      </c>
      <c r="P77" t="str">
        <f t="shared" si="13"/>
        <v/>
      </c>
      <c r="Q77" t="str">
        <f>IF(O77&lt;&gt;"",IF(Input!K77&lt;&gt;"",ROUNDDOWN(Input!K77,0),0),"")</f>
        <v/>
      </c>
      <c r="R77" t="str">
        <f>IF(Input!L77&lt;&gt;"",Input!L77,"")</f>
        <v/>
      </c>
      <c r="S77" t="str">
        <f t="shared" si="14"/>
        <v/>
      </c>
      <c r="T77" t="str">
        <f>IF(R77&lt;&gt;"",IF(Input!N77&lt;&gt;"",ROUNDDOWN(Input!N77,0),0),"")</f>
        <v/>
      </c>
      <c r="U77" t="str">
        <f>IF(Input!O77&lt;&gt;"",Input!O77,"")</f>
        <v/>
      </c>
      <c r="V77" t="str">
        <f t="shared" si="15"/>
        <v/>
      </c>
      <c r="W77" t="str">
        <f>IF(U77&lt;&gt;"",IF(Input!Q77&lt;&gt;"",ROUNDDOWN(Input!Q77,0),0),"")</f>
        <v/>
      </c>
      <c r="X77" t="str">
        <f>IF(Input!R77&lt;&gt;"",Input!R77,"")</f>
        <v/>
      </c>
      <c r="Y77" t="str">
        <f t="shared" si="16"/>
        <v/>
      </c>
      <c r="Z77" t="str">
        <f>IF(X77&lt;&gt;"",IF(Input!T77&lt;&gt;"",ROUNDDOWN(Input!T77,0),0),"")</f>
        <v/>
      </c>
      <c r="AA77" t="str">
        <f>IF(Input!U77&lt;&gt;"",Input!U77,"")</f>
        <v/>
      </c>
      <c r="AB77" t="str">
        <f t="shared" si="17"/>
        <v/>
      </c>
      <c r="AC77" t="str">
        <f>IF(AA77&lt;&gt;"",IF(Input!W77&lt;&gt;"",ROUNDDOWN(Input!W77,0),0),"")</f>
        <v/>
      </c>
      <c r="AD77" t="str">
        <f>IF(Input!X77&lt;&gt;"",Input!X77,"")</f>
        <v/>
      </c>
      <c r="AE77" t="str">
        <f t="shared" si="18"/>
        <v/>
      </c>
      <c r="AF77" t="str">
        <f>IF(AD77&lt;&gt;"",IF(Input!Z77&lt;&gt;"",ROUNDDOWN(Input!Z77,0),0),"")</f>
        <v/>
      </c>
      <c r="AG77" t="str">
        <f>IF(Input!AA77&lt;&gt;"",Input!AA77,"")</f>
        <v/>
      </c>
      <c r="AH77" t="str">
        <f t="shared" si="19"/>
        <v/>
      </c>
      <c r="AI77" t="str">
        <f>IF(AG77&lt;&gt;"",IF(Input!AC77&lt;&gt;"",ROUNDDOWN(Input!AC77,0),0),"")</f>
        <v/>
      </c>
      <c r="AJ77" t="str">
        <f>IF(Input!AD77&lt;&gt;"",Input!AD77,"")</f>
        <v/>
      </c>
      <c r="AK77" t="str">
        <f t="shared" si="20"/>
        <v/>
      </c>
      <c r="AL77" t="str">
        <f>IF(AJ77&lt;&gt;"",IF(Input!AF77&lt;&gt;"",ROUNDDOWN(Input!AF77,0),0),"")</f>
        <v/>
      </c>
      <c r="AM77" t="str">
        <f>IF(Input!AG77&lt;&gt;"",Input!AG77,"")</f>
        <v/>
      </c>
      <c r="AN77" t="str">
        <f t="shared" si="21"/>
        <v/>
      </c>
      <c r="AO77" t="str">
        <f>IF(AM77&lt;&gt;"",IF(Input!AI77&lt;&gt;"",ROUNDDOWN(Input!AI77,0),0),"")</f>
        <v/>
      </c>
    </row>
    <row r="78" spans="1:41" ht="16.5" thickTop="1" thickBot="1" x14ac:dyDescent="0.4">
      <c r="A78" s="100">
        <f>IF(ISBLANK(Input!A78),1000,IF(Input!E78&gt;0,Input!E78+F78,1000))</f>
        <v>1000</v>
      </c>
      <c r="B78" s="101">
        <f t="shared" si="11"/>
        <v>1000</v>
      </c>
      <c r="C78" s="4">
        <v>77</v>
      </c>
      <c r="D78" s="29">
        <f>IF(ISBLANK(Input!A78),1000,IF(Input!G78&gt;0,Input!G78+F78,1000))</f>
        <v>1000</v>
      </c>
      <c r="E78" s="29">
        <f t="shared" si="12"/>
        <v>1000</v>
      </c>
      <c r="F78" s="4">
        <v>7.6999999999999902E-2</v>
      </c>
      <c r="I78" t="str">
        <f>IF(Input!A78&gt;0,Input!A78,"")</f>
        <v/>
      </c>
      <c r="J78" t="str">
        <f>IF(Input!B78&gt;0,Input!B78,"")</f>
        <v/>
      </c>
      <c r="K78" t="str">
        <f>IF(Input!C78&gt;0,Input!C78,"")</f>
        <v/>
      </c>
      <c r="L78" t="str">
        <f>IF(Input!D78&gt;0,Input!D78,"")</f>
        <v/>
      </c>
      <c r="M78" t="str">
        <f>IF(Input!E78&gt;0,Input!E78,"")</f>
        <v xml:space="preserve"> </v>
      </c>
      <c r="N78" t="str">
        <f>IF(Input!F78&gt;0,Input!F78,"")</f>
        <v xml:space="preserve"> </v>
      </c>
      <c r="O78" t="str">
        <f>IF(Input!I78&lt;&gt;"",Input!I78,"")</f>
        <v/>
      </c>
      <c r="P78" t="str">
        <f t="shared" si="13"/>
        <v/>
      </c>
      <c r="Q78" t="str">
        <f>IF(O78&lt;&gt;"",IF(Input!K78&lt;&gt;"",ROUNDDOWN(Input!K78,0),0),"")</f>
        <v/>
      </c>
      <c r="R78" t="str">
        <f>IF(Input!L78&lt;&gt;"",Input!L78,"")</f>
        <v/>
      </c>
      <c r="S78" t="str">
        <f t="shared" si="14"/>
        <v/>
      </c>
      <c r="T78" t="str">
        <f>IF(R78&lt;&gt;"",IF(Input!N78&lt;&gt;"",ROUNDDOWN(Input!N78,0),0),"")</f>
        <v/>
      </c>
      <c r="U78" t="str">
        <f>IF(Input!O78&lt;&gt;"",Input!O78,"")</f>
        <v/>
      </c>
      <c r="V78" t="str">
        <f t="shared" si="15"/>
        <v/>
      </c>
      <c r="W78" t="str">
        <f>IF(U78&lt;&gt;"",IF(Input!Q78&lt;&gt;"",ROUNDDOWN(Input!Q78,0),0),"")</f>
        <v/>
      </c>
      <c r="X78" t="str">
        <f>IF(Input!R78&lt;&gt;"",Input!R78,"")</f>
        <v/>
      </c>
      <c r="Y78" t="str">
        <f t="shared" si="16"/>
        <v/>
      </c>
      <c r="Z78" t="str">
        <f>IF(X78&lt;&gt;"",IF(Input!T78&lt;&gt;"",ROUNDDOWN(Input!T78,0),0),"")</f>
        <v/>
      </c>
      <c r="AA78" t="str">
        <f>IF(Input!U78&lt;&gt;"",Input!U78,"")</f>
        <v/>
      </c>
      <c r="AB78" t="str">
        <f t="shared" si="17"/>
        <v/>
      </c>
      <c r="AC78" t="str">
        <f>IF(AA78&lt;&gt;"",IF(Input!W78&lt;&gt;"",ROUNDDOWN(Input!W78,0),0),"")</f>
        <v/>
      </c>
      <c r="AD78" t="str">
        <f>IF(Input!X78&lt;&gt;"",Input!X78,"")</f>
        <v/>
      </c>
      <c r="AE78" t="str">
        <f t="shared" si="18"/>
        <v/>
      </c>
      <c r="AF78" t="str">
        <f>IF(AD78&lt;&gt;"",IF(Input!Z78&lt;&gt;"",ROUNDDOWN(Input!Z78,0),0),"")</f>
        <v/>
      </c>
      <c r="AG78" t="str">
        <f>IF(Input!AA78&lt;&gt;"",Input!AA78,"")</f>
        <v/>
      </c>
      <c r="AH78" t="str">
        <f t="shared" si="19"/>
        <v/>
      </c>
      <c r="AI78" t="str">
        <f>IF(AG78&lt;&gt;"",IF(Input!AC78&lt;&gt;"",ROUNDDOWN(Input!AC78,0),0),"")</f>
        <v/>
      </c>
      <c r="AJ78" t="str">
        <f>IF(Input!AD78&lt;&gt;"",Input!AD78,"")</f>
        <v/>
      </c>
      <c r="AK78" t="str">
        <f t="shared" si="20"/>
        <v/>
      </c>
      <c r="AL78" t="str">
        <f>IF(AJ78&lt;&gt;"",IF(Input!AF78&lt;&gt;"",ROUNDDOWN(Input!AF78,0),0),"")</f>
        <v/>
      </c>
      <c r="AM78" t="str">
        <f>IF(Input!AG78&lt;&gt;"",Input!AG78,"")</f>
        <v/>
      </c>
      <c r="AN78" t="str">
        <f t="shared" si="21"/>
        <v/>
      </c>
      <c r="AO78" t="str">
        <f>IF(AM78&lt;&gt;"",IF(Input!AI78&lt;&gt;"",ROUNDDOWN(Input!AI78,0),0),"")</f>
        <v/>
      </c>
    </row>
    <row r="79" spans="1:41" ht="16.5" thickTop="1" thickBot="1" x14ac:dyDescent="0.4">
      <c r="A79" s="100">
        <f>IF(ISBLANK(Input!A79),1000,IF(Input!E79&gt;0,Input!E79+F79,1000))</f>
        <v>1000</v>
      </c>
      <c r="B79" s="101">
        <f t="shared" si="11"/>
        <v>1000</v>
      </c>
      <c r="C79" s="4">
        <v>78</v>
      </c>
      <c r="D79" s="29">
        <f>IF(ISBLANK(Input!A79),1000,IF(Input!G79&gt;0,Input!G79+F79,1000))</f>
        <v>1000</v>
      </c>
      <c r="E79" s="29">
        <f t="shared" si="12"/>
        <v>1000</v>
      </c>
      <c r="F79" s="4">
        <v>7.7999999999999903E-2</v>
      </c>
      <c r="I79" t="str">
        <f>IF(Input!A79&gt;0,Input!A79,"")</f>
        <v/>
      </c>
      <c r="J79" t="str">
        <f>IF(Input!B79&gt;0,Input!B79,"")</f>
        <v/>
      </c>
      <c r="K79" t="str">
        <f>IF(Input!C79&gt;0,Input!C79,"")</f>
        <v/>
      </c>
      <c r="L79" t="str">
        <f>IF(Input!D79&gt;0,Input!D79,"")</f>
        <v/>
      </c>
      <c r="M79" t="str">
        <f>IF(Input!E79&gt;0,Input!E79,"")</f>
        <v xml:space="preserve"> </v>
      </c>
      <c r="N79" t="str">
        <f>IF(Input!F79&gt;0,Input!F79,"")</f>
        <v xml:space="preserve"> </v>
      </c>
      <c r="O79" t="str">
        <f>IF(Input!I79&lt;&gt;"",Input!I79,"")</f>
        <v/>
      </c>
      <c r="P79" t="str">
        <f t="shared" si="13"/>
        <v/>
      </c>
      <c r="Q79" t="str">
        <f>IF(O79&lt;&gt;"",IF(Input!K79&lt;&gt;"",ROUNDDOWN(Input!K79,0),0),"")</f>
        <v/>
      </c>
      <c r="R79" t="str">
        <f>IF(Input!L79&lt;&gt;"",Input!L79,"")</f>
        <v/>
      </c>
      <c r="S79" t="str">
        <f t="shared" si="14"/>
        <v/>
      </c>
      <c r="T79" t="str">
        <f>IF(R79&lt;&gt;"",IF(Input!N79&lt;&gt;"",ROUNDDOWN(Input!N79,0),0),"")</f>
        <v/>
      </c>
      <c r="U79" t="str">
        <f>IF(Input!O79&lt;&gt;"",Input!O79,"")</f>
        <v/>
      </c>
      <c r="V79" t="str">
        <f t="shared" si="15"/>
        <v/>
      </c>
      <c r="W79" t="str">
        <f>IF(U79&lt;&gt;"",IF(Input!Q79&lt;&gt;"",ROUNDDOWN(Input!Q79,0),0),"")</f>
        <v/>
      </c>
      <c r="X79" t="str">
        <f>IF(Input!R79&lt;&gt;"",Input!R79,"")</f>
        <v/>
      </c>
      <c r="Y79" t="str">
        <f t="shared" si="16"/>
        <v/>
      </c>
      <c r="Z79" t="str">
        <f>IF(X79&lt;&gt;"",IF(Input!T79&lt;&gt;"",ROUNDDOWN(Input!T79,0),0),"")</f>
        <v/>
      </c>
      <c r="AA79" t="str">
        <f>IF(Input!U79&lt;&gt;"",Input!U79,"")</f>
        <v/>
      </c>
      <c r="AB79" t="str">
        <f t="shared" si="17"/>
        <v/>
      </c>
      <c r="AC79" t="str">
        <f>IF(AA79&lt;&gt;"",IF(Input!W79&lt;&gt;"",ROUNDDOWN(Input!W79,0),0),"")</f>
        <v/>
      </c>
      <c r="AD79" t="str">
        <f>IF(Input!X79&lt;&gt;"",Input!X79,"")</f>
        <v/>
      </c>
      <c r="AE79" t="str">
        <f t="shared" si="18"/>
        <v/>
      </c>
      <c r="AF79" t="str">
        <f>IF(AD79&lt;&gt;"",IF(Input!Z79&lt;&gt;"",ROUNDDOWN(Input!Z79,0),0),"")</f>
        <v/>
      </c>
      <c r="AG79" t="str">
        <f>IF(Input!AA79&lt;&gt;"",Input!AA79,"")</f>
        <v/>
      </c>
      <c r="AH79" t="str">
        <f t="shared" si="19"/>
        <v/>
      </c>
      <c r="AI79" t="str">
        <f>IF(AG79&lt;&gt;"",IF(Input!AC79&lt;&gt;"",ROUNDDOWN(Input!AC79,0),0),"")</f>
        <v/>
      </c>
      <c r="AJ79" t="str">
        <f>IF(Input!AD79&lt;&gt;"",Input!AD79,"")</f>
        <v/>
      </c>
      <c r="AK79" t="str">
        <f t="shared" si="20"/>
        <v/>
      </c>
      <c r="AL79" t="str">
        <f>IF(AJ79&lt;&gt;"",IF(Input!AF79&lt;&gt;"",ROUNDDOWN(Input!AF79,0),0),"")</f>
        <v/>
      </c>
      <c r="AM79" t="str">
        <f>IF(Input!AG79&lt;&gt;"",Input!AG79,"")</f>
        <v/>
      </c>
      <c r="AN79" t="str">
        <f t="shared" si="21"/>
        <v/>
      </c>
      <c r="AO79" t="str">
        <f>IF(AM79&lt;&gt;"",IF(Input!AI79&lt;&gt;"",ROUNDDOWN(Input!AI79,0),0),"")</f>
        <v/>
      </c>
    </row>
    <row r="80" spans="1:41" ht="16.5" thickTop="1" thickBot="1" x14ac:dyDescent="0.4">
      <c r="A80" s="100">
        <f>IF(ISBLANK(Input!A80),1000,IF(Input!E80&gt;0,Input!E80+F80,1000))</f>
        <v>1000</v>
      </c>
      <c r="B80" s="101">
        <f t="shared" si="11"/>
        <v>1000</v>
      </c>
      <c r="C80" s="4">
        <v>79</v>
      </c>
      <c r="D80" s="29">
        <f>IF(ISBLANK(Input!A80),1000,IF(Input!G80&gt;0,Input!G80+F80,1000))</f>
        <v>1000</v>
      </c>
      <c r="E80" s="29">
        <f t="shared" si="12"/>
        <v>1000</v>
      </c>
      <c r="F80" s="4">
        <v>7.8999999999999904E-2</v>
      </c>
      <c r="I80" t="str">
        <f>IF(Input!A80&gt;0,Input!A80,"")</f>
        <v/>
      </c>
      <c r="J80" t="str">
        <f>IF(Input!B80&gt;0,Input!B80,"")</f>
        <v/>
      </c>
      <c r="K80" t="str">
        <f>IF(Input!C80&gt;0,Input!C80,"")</f>
        <v/>
      </c>
      <c r="L80" t="str">
        <f>IF(Input!D80&gt;0,Input!D80,"")</f>
        <v/>
      </c>
      <c r="M80" t="str">
        <f>IF(Input!E80&gt;0,Input!E80,"")</f>
        <v xml:space="preserve"> </v>
      </c>
      <c r="N80" t="str">
        <f>IF(Input!F80&gt;0,Input!F80,"")</f>
        <v xml:space="preserve"> </v>
      </c>
      <c r="O80" t="str">
        <f>IF(Input!I80&lt;&gt;"",Input!I80,"")</f>
        <v/>
      </c>
      <c r="P80" t="str">
        <f t="shared" si="13"/>
        <v/>
      </c>
      <c r="Q80" t="str">
        <f>IF(O80&lt;&gt;"",IF(Input!K80&lt;&gt;"",ROUNDDOWN(Input!K80,0),0),"")</f>
        <v/>
      </c>
      <c r="R80" t="str">
        <f>IF(Input!L80&lt;&gt;"",Input!L80,"")</f>
        <v/>
      </c>
      <c r="S80" t="str">
        <f t="shared" si="14"/>
        <v/>
      </c>
      <c r="T80" t="str">
        <f>IF(R80&lt;&gt;"",IF(Input!N80&lt;&gt;"",ROUNDDOWN(Input!N80,0),0),"")</f>
        <v/>
      </c>
      <c r="U80" t="str">
        <f>IF(Input!O80&lt;&gt;"",Input!O80,"")</f>
        <v/>
      </c>
      <c r="V80" t="str">
        <f t="shared" si="15"/>
        <v/>
      </c>
      <c r="W80" t="str">
        <f>IF(U80&lt;&gt;"",IF(Input!Q80&lt;&gt;"",ROUNDDOWN(Input!Q80,0),0),"")</f>
        <v/>
      </c>
      <c r="X80" t="str">
        <f>IF(Input!R80&lt;&gt;"",Input!R80,"")</f>
        <v/>
      </c>
      <c r="Y80" t="str">
        <f t="shared" si="16"/>
        <v/>
      </c>
      <c r="Z80" t="str">
        <f>IF(X80&lt;&gt;"",IF(Input!T80&lt;&gt;"",ROUNDDOWN(Input!T80,0),0),"")</f>
        <v/>
      </c>
      <c r="AA80" t="str">
        <f>IF(Input!U80&lt;&gt;"",Input!U80,"")</f>
        <v/>
      </c>
      <c r="AB80" t="str">
        <f t="shared" si="17"/>
        <v/>
      </c>
      <c r="AC80" t="str">
        <f>IF(AA80&lt;&gt;"",IF(Input!W80&lt;&gt;"",ROUNDDOWN(Input!W80,0),0),"")</f>
        <v/>
      </c>
      <c r="AD80" t="str">
        <f>IF(Input!X80&lt;&gt;"",Input!X80,"")</f>
        <v/>
      </c>
      <c r="AE80" t="str">
        <f t="shared" si="18"/>
        <v/>
      </c>
      <c r="AF80" t="str">
        <f>IF(AD80&lt;&gt;"",IF(Input!Z80&lt;&gt;"",ROUNDDOWN(Input!Z80,0),0),"")</f>
        <v/>
      </c>
      <c r="AG80" t="str">
        <f>IF(Input!AA80&lt;&gt;"",Input!AA80,"")</f>
        <v/>
      </c>
      <c r="AH80" t="str">
        <f t="shared" si="19"/>
        <v/>
      </c>
      <c r="AI80" t="str">
        <f>IF(AG80&lt;&gt;"",IF(Input!AC80&lt;&gt;"",ROUNDDOWN(Input!AC80,0),0),"")</f>
        <v/>
      </c>
      <c r="AJ80" t="str">
        <f>IF(Input!AD80&lt;&gt;"",Input!AD80,"")</f>
        <v/>
      </c>
      <c r="AK80" t="str">
        <f t="shared" si="20"/>
        <v/>
      </c>
      <c r="AL80" t="str">
        <f>IF(AJ80&lt;&gt;"",IF(Input!AF80&lt;&gt;"",ROUNDDOWN(Input!AF80,0),0),"")</f>
        <v/>
      </c>
      <c r="AM80" t="str">
        <f>IF(Input!AG80&lt;&gt;"",Input!AG80,"")</f>
        <v/>
      </c>
      <c r="AN80" t="str">
        <f t="shared" si="21"/>
        <v/>
      </c>
      <c r="AO80" t="str">
        <f>IF(AM80&lt;&gt;"",IF(Input!AI80&lt;&gt;"",ROUNDDOWN(Input!AI80,0),0),"")</f>
        <v/>
      </c>
    </row>
    <row r="81" spans="1:41" ht="16.5" thickTop="1" thickBot="1" x14ac:dyDescent="0.4">
      <c r="A81" s="100">
        <f>IF(ISBLANK(Input!A81),1000,IF(Input!E81&gt;0,Input!E81+F81,1000))</f>
        <v>1000</v>
      </c>
      <c r="B81" s="101">
        <f t="shared" si="11"/>
        <v>1000</v>
      </c>
      <c r="C81" s="4">
        <v>80</v>
      </c>
      <c r="D81" s="29">
        <f>IF(ISBLANK(Input!A81),1000,IF(Input!G81&gt;0,Input!G81+F81,1000))</f>
        <v>1000</v>
      </c>
      <c r="E81" s="29">
        <f t="shared" si="12"/>
        <v>1000</v>
      </c>
      <c r="F81" s="4">
        <v>7.9999999999999905E-2</v>
      </c>
      <c r="I81" t="str">
        <f>IF(Input!A81&gt;0,Input!A81,"")</f>
        <v/>
      </c>
      <c r="J81" t="str">
        <f>IF(Input!B81&gt;0,Input!B81,"")</f>
        <v/>
      </c>
      <c r="K81" t="str">
        <f>IF(Input!C81&gt;0,Input!C81,"")</f>
        <v/>
      </c>
      <c r="L81" t="str">
        <f>IF(Input!D81&gt;0,Input!D81,"")</f>
        <v/>
      </c>
      <c r="M81" t="str">
        <f>IF(Input!E81&gt;0,Input!E81,"")</f>
        <v xml:space="preserve"> </v>
      </c>
      <c r="N81" t="str">
        <f>IF(Input!F81&gt;0,Input!F81,"")</f>
        <v xml:space="preserve"> </v>
      </c>
      <c r="O81" t="str">
        <f>IF(Input!I81&lt;&gt;"",Input!I81,"")</f>
        <v/>
      </c>
      <c r="P81" t="str">
        <f t="shared" si="13"/>
        <v/>
      </c>
      <c r="Q81" t="str">
        <f>IF(O81&lt;&gt;"",IF(Input!K81&lt;&gt;"",ROUNDDOWN(Input!K81,0),0),"")</f>
        <v/>
      </c>
      <c r="R81" t="str">
        <f>IF(Input!L81&lt;&gt;"",Input!L81,"")</f>
        <v/>
      </c>
      <c r="S81" t="str">
        <f t="shared" si="14"/>
        <v/>
      </c>
      <c r="T81" t="str">
        <f>IF(R81&lt;&gt;"",IF(Input!N81&lt;&gt;"",ROUNDDOWN(Input!N81,0),0),"")</f>
        <v/>
      </c>
      <c r="U81" t="str">
        <f>IF(Input!O81&lt;&gt;"",Input!O81,"")</f>
        <v/>
      </c>
      <c r="V81" t="str">
        <f t="shared" si="15"/>
        <v/>
      </c>
      <c r="W81" t="str">
        <f>IF(U81&lt;&gt;"",IF(Input!Q81&lt;&gt;"",ROUNDDOWN(Input!Q81,0),0),"")</f>
        <v/>
      </c>
      <c r="X81" t="str">
        <f>IF(Input!R81&lt;&gt;"",Input!R81,"")</f>
        <v/>
      </c>
      <c r="Y81" t="str">
        <f t="shared" si="16"/>
        <v/>
      </c>
      <c r="Z81" t="str">
        <f>IF(X81&lt;&gt;"",IF(Input!T81&lt;&gt;"",ROUNDDOWN(Input!T81,0),0),"")</f>
        <v/>
      </c>
      <c r="AA81" t="str">
        <f>IF(Input!U81&lt;&gt;"",Input!U81,"")</f>
        <v/>
      </c>
      <c r="AB81" t="str">
        <f t="shared" si="17"/>
        <v/>
      </c>
      <c r="AC81" t="str">
        <f>IF(AA81&lt;&gt;"",IF(Input!W81&lt;&gt;"",ROUNDDOWN(Input!W81,0),0),"")</f>
        <v/>
      </c>
      <c r="AD81" t="str">
        <f>IF(Input!X81&lt;&gt;"",Input!X81,"")</f>
        <v/>
      </c>
      <c r="AE81" t="str">
        <f t="shared" si="18"/>
        <v/>
      </c>
      <c r="AF81" t="str">
        <f>IF(AD81&lt;&gt;"",IF(Input!Z81&lt;&gt;"",ROUNDDOWN(Input!Z81,0),0),"")</f>
        <v/>
      </c>
      <c r="AG81" t="str">
        <f>IF(Input!AA81&lt;&gt;"",Input!AA81,"")</f>
        <v/>
      </c>
      <c r="AH81" t="str">
        <f t="shared" si="19"/>
        <v/>
      </c>
      <c r="AI81" t="str">
        <f>IF(AG81&lt;&gt;"",IF(Input!AC81&lt;&gt;"",ROUNDDOWN(Input!AC81,0),0),"")</f>
        <v/>
      </c>
      <c r="AJ81" t="str">
        <f>IF(Input!AD81&lt;&gt;"",Input!AD81,"")</f>
        <v/>
      </c>
      <c r="AK81" t="str">
        <f t="shared" si="20"/>
        <v/>
      </c>
      <c r="AL81" t="str">
        <f>IF(AJ81&lt;&gt;"",IF(Input!AF81&lt;&gt;"",ROUNDDOWN(Input!AF81,0),0),"")</f>
        <v/>
      </c>
      <c r="AM81" t="str">
        <f>IF(Input!AG81&lt;&gt;"",Input!AG81,"")</f>
        <v/>
      </c>
      <c r="AN81" t="str">
        <f t="shared" si="21"/>
        <v/>
      </c>
      <c r="AO81" t="str">
        <f>IF(AM81&lt;&gt;"",IF(Input!AI81&lt;&gt;"",ROUNDDOWN(Input!AI81,0),0),"")</f>
        <v/>
      </c>
    </row>
    <row r="82" spans="1:41" ht="16.5" thickTop="1" thickBot="1" x14ac:dyDescent="0.4">
      <c r="A82" s="100">
        <f>IF(ISBLANK(Input!A82),1000,IF(Input!E82&gt;0,Input!E82+F82,1000))</f>
        <v>1000</v>
      </c>
      <c r="B82" s="101">
        <f t="shared" si="11"/>
        <v>1000</v>
      </c>
      <c r="C82" s="4">
        <v>81</v>
      </c>
      <c r="D82" s="29">
        <f>IF(ISBLANK(Input!A82),1000,IF(Input!G82&gt;0,Input!G82+F82,1000))</f>
        <v>1000</v>
      </c>
      <c r="E82" s="29">
        <f t="shared" si="12"/>
        <v>1000</v>
      </c>
      <c r="F82" s="4">
        <v>8.0999999999999905E-2</v>
      </c>
      <c r="I82" t="str">
        <f>IF(Input!A82&gt;0,Input!A82,"")</f>
        <v/>
      </c>
      <c r="J82" t="str">
        <f>IF(Input!B82&gt;0,Input!B82,"")</f>
        <v/>
      </c>
      <c r="K82" t="str">
        <f>IF(Input!C82&gt;0,Input!C82,"")</f>
        <v/>
      </c>
      <c r="L82" t="str">
        <f>IF(Input!D82&gt;0,Input!D82,"")</f>
        <v/>
      </c>
      <c r="M82" t="str">
        <f>IF(Input!E82&gt;0,Input!E82,"")</f>
        <v xml:space="preserve"> </v>
      </c>
      <c r="N82" t="str">
        <f>IF(Input!F82&gt;0,Input!F82,"")</f>
        <v xml:space="preserve"> </v>
      </c>
      <c r="O82" t="str">
        <f>IF(Input!I82&lt;&gt;"",Input!I82,"")</f>
        <v/>
      </c>
      <c r="P82" t="str">
        <f t="shared" si="13"/>
        <v/>
      </c>
      <c r="Q82" t="str">
        <f>IF(O82&lt;&gt;"",IF(Input!K82&lt;&gt;"",ROUNDDOWN(Input!K82,0),0),"")</f>
        <v/>
      </c>
      <c r="R82" t="str">
        <f>IF(Input!L82&lt;&gt;"",Input!L82,"")</f>
        <v/>
      </c>
      <c r="S82" t="str">
        <f t="shared" si="14"/>
        <v/>
      </c>
      <c r="T82" t="str">
        <f>IF(R82&lt;&gt;"",IF(Input!N82&lt;&gt;"",ROUNDDOWN(Input!N82,0),0),"")</f>
        <v/>
      </c>
      <c r="U82" t="str">
        <f>IF(Input!O82&lt;&gt;"",Input!O82,"")</f>
        <v/>
      </c>
      <c r="V82" t="str">
        <f t="shared" si="15"/>
        <v/>
      </c>
      <c r="W82" t="str">
        <f>IF(U82&lt;&gt;"",IF(Input!Q82&lt;&gt;"",ROUNDDOWN(Input!Q82,0),0),"")</f>
        <v/>
      </c>
      <c r="X82" t="str">
        <f>IF(Input!R82&lt;&gt;"",Input!R82,"")</f>
        <v/>
      </c>
      <c r="Y82" t="str">
        <f t="shared" si="16"/>
        <v/>
      </c>
      <c r="Z82" t="str">
        <f>IF(X82&lt;&gt;"",IF(Input!T82&lt;&gt;"",ROUNDDOWN(Input!T82,0),0),"")</f>
        <v/>
      </c>
      <c r="AA82" t="str">
        <f>IF(Input!U82&lt;&gt;"",Input!U82,"")</f>
        <v/>
      </c>
      <c r="AB82" t="str">
        <f t="shared" si="17"/>
        <v/>
      </c>
      <c r="AC82" t="str">
        <f>IF(AA82&lt;&gt;"",IF(Input!W82&lt;&gt;"",ROUNDDOWN(Input!W82,0),0),"")</f>
        <v/>
      </c>
      <c r="AD82" t="str">
        <f>IF(Input!X82&lt;&gt;"",Input!X82,"")</f>
        <v/>
      </c>
      <c r="AE82" t="str">
        <f t="shared" si="18"/>
        <v/>
      </c>
      <c r="AF82" t="str">
        <f>IF(AD82&lt;&gt;"",IF(Input!Z82&lt;&gt;"",ROUNDDOWN(Input!Z82,0),0),"")</f>
        <v/>
      </c>
      <c r="AG82" t="str">
        <f>IF(Input!AA82&lt;&gt;"",Input!AA82,"")</f>
        <v/>
      </c>
      <c r="AH82" t="str">
        <f t="shared" si="19"/>
        <v/>
      </c>
      <c r="AI82" t="str">
        <f>IF(AG82&lt;&gt;"",IF(Input!AC82&lt;&gt;"",ROUNDDOWN(Input!AC82,0),0),"")</f>
        <v/>
      </c>
      <c r="AJ82" t="str">
        <f>IF(Input!AD82&lt;&gt;"",Input!AD82,"")</f>
        <v/>
      </c>
      <c r="AK82" t="str">
        <f t="shared" si="20"/>
        <v/>
      </c>
      <c r="AL82" t="str">
        <f>IF(AJ82&lt;&gt;"",IF(Input!AF82&lt;&gt;"",ROUNDDOWN(Input!AF82,0),0),"")</f>
        <v/>
      </c>
      <c r="AM82" t="str">
        <f>IF(Input!AG82&lt;&gt;"",Input!AG82,"")</f>
        <v/>
      </c>
      <c r="AN82" t="str">
        <f t="shared" si="21"/>
        <v/>
      </c>
      <c r="AO82" t="str">
        <f>IF(AM82&lt;&gt;"",IF(Input!AI82&lt;&gt;"",ROUNDDOWN(Input!AI82,0),0),"")</f>
        <v/>
      </c>
    </row>
    <row r="83" spans="1:41" ht="16.5" thickTop="1" thickBot="1" x14ac:dyDescent="0.4">
      <c r="A83" s="100">
        <f>IF(ISBLANK(Input!A83),1000,IF(Input!E83&gt;0,Input!E83+F83,1000))</f>
        <v>1000</v>
      </c>
      <c r="B83" s="101">
        <f t="shared" si="11"/>
        <v>1000</v>
      </c>
      <c r="C83" s="4">
        <v>82</v>
      </c>
      <c r="D83" s="29">
        <f>IF(ISBLANK(Input!A83),1000,IF(Input!G83&gt;0,Input!G83+F83,1000))</f>
        <v>1000</v>
      </c>
      <c r="E83" s="29">
        <f t="shared" si="12"/>
        <v>1000</v>
      </c>
      <c r="F83" s="4">
        <v>8.1999999999999906E-2</v>
      </c>
      <c r="I83" t="str">
        <f>IF(Input!A83&gt;0,Input!A83,"")</f>
        <v/>
      </c>
      <c r="J83" t="str">
        <f>IF(Input!B83&gt;0,Input!B83,"")</f>
        <v/>
      </c>
      <c r="K83" t="str">
        <f>IF(Input!C83&gt;0,Input!C83,"")</f>
        <v/>
      </c>
      <c r="L83" t="str">
        <f>IF(Input!D83&gt;0,Input!D83,"")</f>
        <v/>
      </c>
      <c r="M83" t="str">
        <f>IF(Input!E83&gt;0,Input!E83,"")</f>
        <v xml:space="preserve"> </v>
      </c>
      <c r="N83" t="str">
        <f>IF(Input!F83&gt;0,Input!F83,"")</f>
        <v xml:space="preserve"> </v>
      </c>
      <c r="O83" t="str">
        <f>IF(Input!I83&lt;&gt;"",Input!I83,"")</f>
        <v/>
      </c>
      <c r="P83" t="str">
        <f t="shared" si="13"/>
        <v/>
      </c>
      <c r="Q83" t="str">
        <f>IF(O83&lt;&gt;"",IF(Input!K83&lt;&gt;"",ROUNDDOWN(Input!K83,0),0),"")</f>
        <v/>
      </c>
      <c r="R83" t="str">
        <f>IF(Input!L83&lt;&gt;"",Input!L83,"")</f>
        <v/>
      </c>
      <c r="S83" t="str">
        <f t="shared" si="14"/>
        <v/>
      </c>
      <c r="T83" t="str">
        <f>IF(R83&lt;&gt;"",IF(Input!N83&lt;&gt;"",ROUNDDOWN(Input!N83,0),0),"")</f>
        <v/>
      </c>
      <c r="U83" t="str">
        <f>IF(Input!O83&lt;&gt;"",Input!O83,"")</f>
        <v/>
      </c>
      <c r="V83" t="str">
        <f t="shared" si="15"/>
        <v/>
      </c>
      <c r="W83" t="str">
        <f>IF(U83&lt;&gt;"",IF(Input!Q83&lt;&gt;"",ROUNDDOWN(Input!Q83,0),0),"")</f>
        <v/>
      </c>
      <c r="X83" t="str">
        <f>IF(Input!R83&lt;&gt;"",Input!R83,"")</f>
        <v/>
      </c>
      <c r="Y83" t="str">
        <f t="shared" si="16"/>
        <v/>
      </c>
      <c r="Z83" t="str">
        <f>IF(X83&lt;&gt;"",IF(Input!T83&lt;&gt;"",ROUNDDOWN(Input!T83,0),0),"")</f>
        <v/>
      </c>
      <c r="AA83" t="str">
        <f>IF(Input!U83&lt;&gt;"",Input!U83,"")</f>
        <v/>
      </c>
      <c r="AB83" t="str">
        <f t="shared" si="17"/>
        <v/>
      </c>
      <c r="AC83" t="str">
        <f>IF(AA83&lt;&gt;"",IF(Input!W83&lt;&gt;"",ROUNDDOWN(Input!W83,0),0),"")</f>
        <v/>
      </c>
      <c r="AD83" t="str">
        <f>IF(Input!X83&lt;&gt;"",Input!X83,"")</f>
        <v/>
      </c>
      <c r="AE83" t="str">
        <f t="shared" si="18"/>
        <v/>
      </c>
      <c r="AF83" t="str">
        <f>IF(AD83&lt;&gt;"",IF(Input!Z83&lt;&gt;"",ROUNDDOWN(Input!Z83,0),0),"")</f>
        <v/>
      </c>
      <c r="AG83" t="str">
        <f>IF(Input!AA83&lt;&gt;"",Input!AA83,"")</f>
        <v/>
      </c>
      <c r="AH83" t="str">
        <f t="shared" si="19"/>
        <v/>
      </c>
      <c r="AI83" t="str">
        <f>IF(AG83&lt;&gt;"",IF(Input!AC83&lt;&gt;"",ROUNDDOWN(Input!AC83,0),0),"")</f>
        <v/>
      </c>
      <c r="AJ83" t="str">
        <f>IF(Input!AD83&lt;&gt;"",Input!AD83,"")</f>
        <v/>
      </c>
      <c r="AK83" t="str">
        <f t="shared" si="20"/>
        <v/>
      </c>
      <c r="AL83" t="str">
        <f>IF(AJ83&lt;&gt;"",IF(Input!AF83&lt;&gt;"",ROUNDDOWN(Input!AF83,0),0),"")</f>
        <v/>
      </c>
      <c r="AM83" t="str">
        <f>IF(Input!AG83&lt;&gt;"",Input!AG83,"")</f>
        <v/>
      </c>
      <c r="AN83" t="str">
        <f t="shared" si="21"/>
        <v/>
      </c>
      <c r="AO83" t="str">
        <f>IF(AM83&lt;&gt;"",IF(Input!AI83&lt;&gt;"",ROUNDDOWN(Input!AI83,0),0),"")</f>
        <v/>
      </c>
    </row>
    <row r="84" spans="1:41" ht="16.5" thickTop="1" thickBot="1" x14ac:dyDescent="0.4">
      <c r="A84" s="100">
        <f>IF(ISBLANK(Input!A84),1000,IF(Input!E84&gt;0,Input!E84+F84,1000))</f>
        <v>1000</v>
      </c>
      <c r="B84" s="101">
        <f t="shared" si="11"/>
        <v>1000</v>
      </c>
      <c r="C84" s="4">
        <v>83</v>
      </c>
      <c r="D84" s="29">
        <f>IF(ISBLANK(Input!A84),1000,IF(Input!G84&gt;0,Input!G84+F84,1000))</f>
        <v>1000</v>
      </c>
      <c r="E84" s="29">
        <f t="shared" si="12"/>
        <v>1000</v>
      </c>
      <c r="F84" s="4">
        <v>8.2999999999999893E-2</v>
      </c>
      <c r="I84" t="str">
        <f>IF(Input!A84&gt;0,Input!A84,"")</f>
        <v/>
      </c>
      <c r="J84" t="str">
        <f>IF(Input!B84&gt;0,Input!B84,"")</f>
        <v/>
      </c>
      <c r="K84" t="str">
        <f>IF(Input!C84&gt;0,Input!C84,"")</f>
        <v/>
      </c>
      <c r="L84" t="str">
        <f>IF(Input!D84&gt;0,Input!D84,"")</f>
        <v/>
      </c>
      <c r="M84" t="str">
        <f>IF(Input!E84&gt;0,Input!E84,"")</f>
        <v xml:space="preserve"> </v>
      </c>
      <c r="N84" t="str">
        <f>IF(Input!F84&gt;0,Input!F84,"")</f>
        <v xml:space="preserve"> </v>
      </c>
      <c r="O84" t="str">
        <f>IF(Input!I84&lt;&gt;"",Input!I84,"")</f>
        <v/>
      </c>
      <c r="P84" t="str">
        <f t="shared" si="13"/>
        <v/>
      </c>
      <c r="Q84" t="str">
        <f>IF(O84&lt;&gt;"",IF(Input!K84&lt;&gt;"",ROUNDDOWN(Input!K84,0),0),"")</f>
        <v/>
      </c>
      <c r="R84" t="str">
        <f>IF(Input!L84&lt;&gt;"",Input!L84,"")</f>
        <v/>
      </c>
      <c r="S84" t="str">
        <f t="shared" si="14"/>
        <v/>
      </c>
      <c r="T84" t="str">
        <f>IF(R84&lt;&gt;"",IF(Input!N84&lt;&gt;"",ROUNDDOWN(Input!N84,0),0),"")</f>
        <v/>
      </c>
      <c r="U84" t="str">
        <f>IF(Input!O84&lt;&gt;"",Input!O84,"")</f>
        <v/>
      </c>
      <c r="V84" t="str">
        <f t="shared" si="15"/>
        <v/>
      </c>
      <c r="W84" t="str">
        <f>IF(U84&lt;&gt;"",IF(Input!Q84&lt;&gt;"",ROUNDDOWN(Input!Q84,0),0),"")</f>
        <v/>
      </c>
      <c r="X84" t="str">
        <f>IF(Input!R84&lt;&gt;"",Input!R84,"")</f>
        <v/>
      </c>
      <c r="Y84" t="str">
        <f t="shared" si="16"/>
        <v/>
      </c>
      <c r="Z84" t="str">
        <f>IF(X84&lt;&gt;"",IF(Input!T84&lt;&gt;"",ROUNDDOWN(Input!T84,0),0),"")</f>
        <v/>
      </c>
      <c r="AA84" t="str">
        <f>IF(Input!U84&lt;&gt;"",Input!U84,"")</f>
        <v/>
      </c>
      <c r="AB84" t="str">
        <f t="shared" si="17"/>
        <v/>
      </c>
      <c r="AC84" t="str">
        <f>IF(AA84&lt;&gt;"",IF(Input!W84&lt;&gt;"",ROUNDDOWN(Input!W84,0),0),"")</f>
        <v/>
      </c>
      <c r="AD84" t="str">
        <f>IF(Input!X84&lt;&gt;"",Input!X84,"")</f>
        <v/>
      </c>
      <c r="AE84" t="str">
        <f t="shared" si="18"/>
        <v/>
      </c>
      <c r="AF84" t="str">
        <f>IF(AD84&lt;&gt;"",IF(Input!Z84&lt;&gt;"",ROUNDDOWN(Input!Z84,0),0),"")</f>
        <v/>
      </c>
      <c r="AG84" t="str">
        <f>IF(Input!AA84&lt;&gt;"",Input!AA84,"")</f>
        <v/>
      </c>
      <c r="AH84" t="str">
        <f t="shared" si="19"/>
        <v/>
      </c>
      <c r="AI84" t="str">
        <f>IF(AG84&lt;&gt;"",IF(Input!AC84&lt;&gt;"",ROUNDDOWN(Input!AC84,0),0),"")</f>
        <v/>
      </c>
      <c r="AJ84" t="str">
        <f>IF(Input!AD84&lt;&gt;"",Input!AD84,"")</f>
        <v/>
      </c>
      <c r="AK84" t="str">
        <f t="shared" si="20"/>
        <v/>
      </c>
      <c r="AL84" t="str">
        <f>IF(AJ84&lt;&gt;"",IF(Input!AF84&lt;&gt;"",ROUNDDOWN(Input!AF84,0),0),"")</f>
        <v/>
      </c>
      <c r="AM84" t="str">
        <f>IF(Input!AG84&lt;&gt;"",Input!AG84,"")</f>
        <v/>
      </c>
      <c r="AN84" t="str">
        <f t="shared" si="21"/>
        <v/>
      </c>
      <c r="AO84" t="str">
        <f>IF(AM84&lt;&gt;"",IF(Input!AI84&lt;&gt;"",ROUNDDOWN(Input!AI84,0),0),"")</f>
        <v/>
      </c>
    </row>
    <row r="85" spans="1:41" ht="16.5" thickTop="1" thickBot="1" x14ac:dyDescent="0.4">
      <c r="A85" s="100">
        <f>IF(ISBLANK(Input!A85),1000,IF(Input!E85&gt;0,Input!E85+F85,1000))</f>
        <v>1000</v>
      </c>
      <c r="B85" s="101">
        <f t="shared" si="11"/>
        <v>1000</v>
      </c>
      <c r="C85" s="4">
        <v>84</v>
      </c>
      <c r="D85" s="29">
        <f>IF(ISBLANK(Input!A85),1000,IF(Input!G85&gt;0,Input!G85+F85,1000))</f>
        <v>1000</v>
      </c>
      <c r="E85" s="29">
        <f t="shared" si="12"/>
        <v>1000</v>
      </c>
      <c r="F85" s="4">
        <v>8.3999999999999894E-2</v>
      </c>
      <c r="I85" t="str">
        <f>IF(Input!A85&gt;0,Input!A85,"")</f>
        <v/>
      </c>
      <c r="J85" t="str">
        <f>IF(Input!B85&gt;0,Input!B85,"")</f>
        <v/>
      </c>
      <c r="K85" t="str">
        <f>IF(Input!C85&gt;0,Input!C85,"")</f>
        <v/>
      </c>
      <c r="L85" t="str">
        <f>IF(Input!D85&gt;0,Input!D85,"")</f>
        <v/>
      </c>
      <c r="M85" t="str">
        <f>IF(Input!E85&gt;0,Input!E85,"")</f>
        <v xml:space="preserve"> </v>
      </c>
      <c r="N85" t="str">
        <f>IF(Input!F85&gt;0,Input!F85,"")</f>
        <v xml:space="preserve"> </v>
      </c>
      <c r="O85" t="str">
        <f>IF(Input!I85&lt;&gt;"",Input!I85,"")</f>
        <v/>
      </c>
      <c r="P85" t="str">
        <f t="shared" si="13"/>
        <v/>
      </c>
      <c r="Q85" t="str">
        <f>IF(O85&lt;&gt;"",IF(Input!K85&lt;&gt;"",ROUNDDOWN(Input!K85,0),0),"")</f>
        <v/>
      </c>
      <c r="R85" t="str">
        <f>IF(Input!L85&lt;&gt;"",Input!L85,"")</f>
        <v/>
      </c>
      <c r="S85" t="str">
        <f t="shared" si="14"/>
        <v/>
      </c>
      <c r="T85" t="str">
        <f>IF(R85&lt;&gt;"",IF(Input!N85&lt;&gt;"",ROUNDDOWN(Input!N85,0),0),"")</f>
        <v/>
      </c>
      <c r="U85" t="str">
        <f>IF(Input!O85&lt;&gt;"",Input!O85,"")</f>
        <v/>
      </c>
      <c r="V85" t="str">
        <f t="shared" si="15"/>
        <v/>
      </c>
      <c r="W85" t="str">
        <f>IF(U85&lt;&gt;"",IF(Input!Q85&lt;&gt;"",ROUNDDOWN(Input!Q85,0),0),"")</f>
        <v/>
      </c>
      <c r="X85" t="str">
        <f>IF(Input!R85&lt;&gt;"",Input!R85,"")</f>
        <v/>
      </c>
      <c r="Y85" t="str">
        <f t="shared" si="16"/>
        <v/>
      </c>
      <c r="Z85" t="str">
        <f>IF(X85&lt;&gt;"",IF(Input!T85&lt;&gt;"",ROUNDDOWN(Input!T85,0),0),"")</f>
        <v/>
      </c>
      <c r="AA85" t="str">
        <f>IF(Input!U85&lt;&gt;"",Input!U85,"")</f>
        <v/>
      </c>
      <c r="AB85" t="str">
        <f t="shared" si="17"/>
        <v/>
      </c>
      <c r="AC85" t="str">
        <f>IF(AA85&lt;&gt;"",IF(Input!W85&lt;&gt;"",ROUNDDOWN(Input!W85,0),0),"")</f>
        <v/>
      </c>
      <c r="AD85" t="str">
        <f>IF(Input!X85&lt;&gt;"",Input!X85,"")</f>
        <v/>
      </c>
      <c r="AE85" t="str">
        <f t="shared" si="18"/>
        <v/>
      </c>
      <c r="AF85" t="str">
        <f>IF(AD85&lt;&gt;"",IF(Input!Z85&lt;&gt;"",ROUNDDOWN(Input!Z85,0),0),"")</f>
        <v/>
      </c>
      <c r="AG85" t="str">
        <f>IF(Input!AA85&lt;&gt;"",Input!AA85,"")</f>
        <v/>
      </c>
      <c r="AH85" t="str">
        <f t="shared" si="19"/>
        <v/>
      </c>
      <c r="AI85" t="str">
        <f>IF(AG85&lt;&gt;"",IF(Input!AC85&lt;&gt;"",ROUNDDOWN(Input!AC85,0),0),"")</f>
        <v/>
      </c>
      <c r="AJ85" t="str">
        <f>IF(Input!AD85&lt;&gt;"",Input!AD85,"")</f>
        <v/>
      </c>
      <c r="AK85" t="str">
        <f t="shared" si="20"/>
        <v/>
      </c>
      <c r="AL85" t="str">
        <f>IF(AJ85&lt;&gt;"",IF(Input!AF85&lt;&gt;"",ROUNDDOWN(Input!AF85,0),0),"")</f>
        <v/>
      </c>
      <c r="AM85" t="str">
        <f>IF(Input!AG85&lt;&gt;"",Input!AG85,"")</f>
        <v/>
      </c>
      <c r="AN85" t="str">
        <f t="shared" si="21"/>
        <v/>
      </c>
      <c r="AO85" t="str">
        <f>IF(AM85&lt;&gt;"",IF(Input!AI85&lt;&gt;"",ROUNDDOWN(Input!AI85,0),0),"")</f>
        <v/>
      </c>
    </row>
    <row r="86" spans="1:41" ht="16.5" thickTop="1" thickBot="1" x14ac:dyDescent="0.4">
      <c r="A86" s="100">
        <f>IF(ISBLANK(Input!A86),1000,IF(Input!E86&gt;0,Input!E86+F86,1000))</f>
        <v>1000</v>
      </c>
      <c r="B86" s="101">
        <f t="shared" si="11"/>
        <v>1000</v>
      </c>
      <c r="C86" s="4">
        <v>85</v>
      </c>
      <c r="D86" s="29">
        <f>IF(ISBLANK(Input!A86),1000,IF(Input!G86&gt;0,Input!G86+F86,1000))</f>
        <v>1000</v>
      </c>
      <c r="E86" s="29">
        <f t="shared" si="12"/>
        <v>1000</v>
      </c>
      <c r="F86" s="4">
        <v>8.4999999999999895E-2</v>
      </c>
      <c r="I86" t="str">
        <f>IF(Input!A86&gt;0,Input!A86,"")</f>
        <v/>
      </c>
      <c r="J86" t="str">
        <f>IF(Input!B86&gt;0,Input!B86,"")</f>
        <v/>
      </c>
      <c r="K86" t="str">
        <f>IF(Input!C86&gt;0,Input!C86,"")</f>
        <v/>
      </c>
      <c r="L86" t="str">
        <f>IF(Input!D86&gt;0,Input!D86,"")</f>
        <v/>
      </c>
      <c r="M86" t="str">
        <f>IF(Input!E86&gt;0,Input!E86,"")</f>
        <v xml:space="preserve"> </v>
      </c>
      <c r="N86" t="str">
        <f>IF(Input!F86&gt;0,Input!F86,"")</f>
        <v xml:space="preserve"> </v>
      </c>
      <c r="O86" t="str">
        <f>IF(Input!I86&lt;&gt;"",Input!I86,"")</f>
        <v/>
      </c>
      <c r="P86" t="str">
        <f t="shared" si="13"/>
        <v/>
      </c>
      <c r="Q86" t="str">
        <f>IF(O86&lt;&gt;"",IF(Input!K86&lt;&gt;"",ROUNDDOWN(Input!K86,0),0),"")</f>
        <v/>
      </c>
      <c r="R86" t="str">
        <f>IF(Input!L86&lt;&gt;"",Input!L86,"")</f>
        <v/>
      </c>
      <c r="S86" t="str">
        <f t="shared" si="14"/>
        <v/>
      </c>
      <c r="T86" t="str">
        <f>IF(R86&lt;&gt;"",IF(Input!N86&lt;&gt;"",ROUNDDOWN(Input!N86,0),0),"")</f>
        <v/>
      </c>
      <c r="U86" t="str">
        <f>IF(Input!O86&lt;&gt;"",Input!O86,"")</f>
        <v/>
      </c>
      <c r="V86" t="str">
        <f t="shared" si="15"/>
        <v/>
      </c>
      <c r="W86" t="str">
        <f>IF(U86&lt;&gt;"",IF(Input!Q86&lt;&gt;"",ROUNDDOWN(Input!Q86,0),0),"")</f>
        <v/>
      </c>
      <c r="X86" t="str">
        <f>IF(Input!R86&lt;&gt;"",Input!R86,"")</f>
        <v/>
      </c>
      <c r="Y86" t="str">
        <f t="shared" si="16"/>
        <v/>
      </c>
      <c r="Z86" t="str">
        <f>IF(X86&lt;&gt;"",IF(Input!T86&lt;&gt;"",ROUNDDOWN(Input!T86,0),0),"")</f>
        <v/>
      </c>
      <c r="AA86" t="str">
        <f>IF(Input!U86&lt;&gt;"",Input!U86,"")</f>
        <v/>
      </c>
      <c r="AB86" t="str">
        <f t="shared" si="17"/>
        <v/>
      </c>
      <c r="AC86" t="str">
        <f>IF(AA86&lt;&gt;"",IF(Input!W86&lt;&gt;"",ROUNDDOWN(Input!W86,0),0),"")</f>
        <v/>
      </c>
      <c r="AD86" t="str">
        <f>IF(Input!X86&lt;&gt;"",Input!X86,"")</f>
        <v/>
      </c>
      <c r="AE86" t="str">
        <f t="shared" si="18"/>
        <v/>
      </c>
      <c r="AF86" t="str">
        <f>IF(AD86&lt;&gt;"",IF(Input!Z86&lt;&gt;"",ROUNDDOWN(Input!Z86,0),0),"")</f>
        <v/>
      </c>
      <c r="AG86" t="str">
        <f>IF(Input!AA86&lt;&gt;"",Input!AA86,"")</f>
        <v/>
      </c>
      <c r="AH86" t="str">
        <f t="shared" si="19"/>
        <v/>
      </c>
      <c r="AI86" t="str">
        <f>IF(AG86&lt;&gt;"",IF(Input!AC86&lt;&gt;"",ROUNDDOWN(Input!AC86,0),0),"")</f>
        <v/>
      </c>
      <c r="AJ86" t="str">
        <f>IF(Input!AD86&lt;&gt;"",Input!AD86,"")</f>
        <v/>
      </c>
      <c r="AK86" t="str">
        <f t="shared" si="20"/>
        <v/>
      </c>
      <c r="AL86" t="str">
        <f>IF(AJ86&lt;&gt;"",IF(Input!AF86&lt;&gt;"",ROUNDDOWN(Input!AF86,0),0),"")</f>
        <v/>
      </c>
      <c r="AM86" t="str">
        <f>IF(Input!AG86&lt;&gt;"",Input!AG86,"")</f>
        <v/>
      </c>
      <c r="AN86" t="str">
        <f t="shared" si="21"/>
        <v/>
      </c>
      <c r="AO86" t="str">
        <f>IF(AM86&lt;&gt;"",IF(Input!AI86&lt;&gt;"",ROUNDDOWN(Input!AI86,0),0),"")</f>
        <v/>
      </c>
    </row>
    <row r="87" spans="1:41" ht="16.5" thickTop="1" thickBot="1" x14ac:dyDescent="0.4">
      <c r="A87" s="100">
        <f>IF(ISBLANK(Input!A87),1000,IF(Input!E87&gt;0,Input!E87+F87,1000))</f>
        <v>1000</v>
      </c>
      <c r="B87" s="101">
        <f t="shared" si="11"/>
        <v>1000</v>
      </c>
      <c r="C87" s="4">
        <v>86</v>
      </c>
      <c r="D87" s="29">
        <f>IF(ISBLANK(Input!A87),1000,IF(Input!G87&gt;0,Input!G87+F87,1000))</f>
        <v>1000</v>
      </c>
      <c r="E87" s="29">
        <f t="shared" si="12"/>
        <v>1000</v>
      </c>
      <c r="F87" s="4">
        <v>8.5999999999999896E-2</v>
      </c>
      <c r="I87" t="str">
        <f>IF(Input!A87&gt;0,Input!A87,"")</f>
        <v/>
      </c>
      <c r="J87" t="str">
        <f>IF(Input!B87&gt;0,Input!B87,"")</f>
        <v/>
      </c>
      <c r="K87" t="str">
        <f>IF(Input!C87&gt;0,Input!C87,"")</f>
        <v/>
      </c>
      <c r="L87" t="str">
        <f>IF(Input!D87&gt;0,Input!D87,"")</f>
        <v/>
      </c>
      <c r="M87" t="str">
        <f>IF(Input!E87&gt;0,Input!E87,"")</f>
        <v xml:space="preserve"> </v>
      </c>
      <c r="N87" t="str">
        <f>IF(Input!F87&gt;0,Input!F87,"")</f>
        <v xml:space="preserve"> </v>
      </c>
      <c r="O87" t="str">
        <f>IF(Input!I87&lt;&gt;"",Input!I87,"")</f>
        <v/>
      </c>
      <c r="P87" t="str">
        <f t="shared" si="13"/>
        <v/>
      </c>
      <c r="Q87" t="str">
        <f>IF(O87&lt;&gt;"",IF(Input!K87&lt;&gt;"",ROUNDDOWN(Input!K87,0),0),"")</f>
        <v/>
      </c>
      <c r="R87" t="str">
        <f>IF(Input!L87&lt;&gt;"",Input!L87,"")</f>
        <v/>
      </c>
      <c r="S87" t="str">
        <f t="shared" si="14"/>
        <v/>
      </c>
      <c r="T87" t="str">
        <f>IF(R87&lt;&gt;"",IF(Input!N87&lt;&gt;"",ROUNDDOWN(Input!N87,0),0),"")</f>
        <v/>
      </c>
      <c r="U87" t="str">
        <f>IF(Input!O87&lt;&gt;"",Input!O87,"")</f>
        <v/>
      </c>
      <c r="V87" t="str">
        <f t="shared" si="15"/>
        <v/>
      </c>
      <c r="W87" t="str">
        <f>IF(U87&lt;&gt;"",IF(Input!Q87&lt;&gt;"",ROUNDDOWN(Input!Q87,0),0),"")</f>
        <v/>
      </c>
      <c r="X87" t="str">
        <f>IF(Input!R87&lt;&gt;"",Input!R87,"")</f>
        <v/>
      </c>
      <c r="Y87" t="str">
        <f t="shared" si="16"/>
        <v/>
      </c>
      <c r="Z87" t="str">
        <f>IF(X87&lt;&gt;"",IF(Input!T87&lt;&gt;"",ROUNDDOWN(Input!T87,0),0),"")</f>
        <v/>
      </c>
      <c r="AA87" t="str">
        <f>IF(Input!U87&lt;&gt;"",Input!U87,"")</f>
        <v/>
      </c>
      <c r="AB87" t="str">
        <f t="shared" si="17"/>
        <v/>
      </c>
      <c r="AC87" t="str">
        <f>IF(AA87&lt;&gt;"",IF(Input!W87&lt;&gt;"",ROUNDDOWN(Input!W87,0),0),"")</f>
        <v/>
      </c>
      <c r="AD87" t="str">
        <f>IF(Input!X87&lt;&gt;"",Input!X87,"")</f>
        <v/>
      </c>
      <c r="AE87" t="str">
        <f t="shared" si="18"/>
        <v/>
      </c>
      <c r="AF87" t="str">
        <f>IF(AD87&lt;&gt;"",IF(Input!Z87&lt;&gt;"",ROUNDDOWN(Input!Z87,0),0),"")</f>
        <v/>
      </c>
      <c r="AG87" t="str">
        <f>IF(Input!AA87&lt;&gt;"",Input!AA87,"")</f>
        <v/>
      </c>
      <c r="AH87" t="str">
        <f t="shared" si="19"/>
        <v/>
      </c>
      <c r="AI87" t="str">
        <f>IF(AG87&lt;&gt;"",IF(Input!AC87&lt;&gt;"",ROUNDDOWN(Input!AC87,0),0),"")</f>
        <v/>
      </c>
      <c r="AJ87" t="str">
        <f>IF(Input!AD87&lt;&gt;"",Input!AD87,"")</f>
        <v/>
      </c>
      <c r="AK87" t="str">
        <f t="shared" si="20"/>
        <v/>
      </c>
      <c r="AL87" t="str">
        <f>IF(AJ87&lt;&gt;"",IF(Input!AF87&lt;&gt;"",ROUNDDOWN(Input!AF87,0),0),"")</f>
        <v/>
      </c>
      <c r="AM87" t="str">
        <f>IF(Input!AG87&lt;&gt;"",Input!AG87,"")</f>
        <v/>
      </c>
      <c r="AN87" t="str">
        <f t="shared" si="21"/>
        <v/>
      </c>
      <c r="AO87" t="str">
        <f>IF(AM87&lt;&gt;"",IF(Input!AI87&lt;&gt;"",ROUNDDOWN(Input!AI87,0),0),"")</f>
        <v/>
      </c>
    </row>
    <row r="88" spans="1:41" ht="16.5" thickTop="1" thickBot="1" x14ac:dyDescent="0.4">
      <c r="A88" s="100">
        <f>IF(ISBLANK(Input!A88),1000,IF(Input!E88&gt;0,Input!E88+F88,1000))</f>
        <v>1000</v>
      </c>
      <c r="B88" s="101">
        <f t="shared" si="11"/>
        <v>1000</v>
      </c>
      <c r="C88" s="4">
        <v>87</v>
      </c>
      <c r="D88" s="29">
        <f>IF(ISBLANK(Input!A88),1000,IF(Input!G88&gt;0,Input!G88+F88,1000))</f>
        <v>1000</v>
      </c>
      <c r="E88" s="29">
        <f t="shared" si="12"/>
        <v>1000</v>
      </c>
      <c r="F88" s="4">
        <v>8.6999999999999897E-2</v>
      </c>
      <c r="I88" t="str">
        <f>IF(Input!A88&gt;0,Input!A88,"")</f>
        <v/>
      </c>
      <c r="J88" t="str">
        <f>IF(Input!B88&gt;0,Input!B88,"")</f>
        <v/>
      </c>
      <c r="K88" t="str">
        <f>IF(Input!C88&gt;0,Input!C88,"")</f>
        <v/>
      </c>
      <c r="L88" t="str">
        <f>IF(Input!D88&gt;0,Input!D88,"")</f>
        <v/>
      </c>
      <c r="M88" t="str">
        <f>IF(Input!E88&gt;0,Input!E88,"")</f>
        <v xml:space="preserve"> </v>
      </c>
      <c r="N88" t="str">
        <f>IF(Input!F88&gt;0,Input!F88,"")</f>
        <v xml:space="preserve"> </v>
      </c>
      <c r="O88" t="str">
        <f>IF(Input!I88&lt;&gt;"",Input!I88,"")</f>
        <v/>
      </c>
      <c r="P88" t="str">
        <f t="shared" si="13"/>
        <v/>
      </c>
      <c r="Q88" t="str">
        <f>IF(O88&lt;&gt;"",IF(Input!K88&lt;&gt;"",ROUNDDOWN(Input!K88,0),0),"")</f>
        <v/>
      </c>
      <c r="R88" t="str">
        <f>IF(Input!L88&lt;&gt;"",Input!L88,"")</f>
        <v/>
      </c>
      <c r="S88" t="str">
        <f t="shared" si="14"/>
        <v/>
      </c>
      <c r="T88" t="str">
        <f>IF(R88&lt;&gt;"",IF(Input!N88&lt;&gt;"",ROUNDDOWN(Input!N88,0),0),"")</f>
        <v/>
      </c>
      <c r="U88" t="str">
        <f>IF(Input!O88&lt;&gt;"",Input!O88,"")</f>
        <v/>
      </c>
      <c r="V88" t="str">
        <f t="shared" si="15"/>
        <v/>
      </c>
      <c r="W88" t="str">
        <f>IF(U88&lt;&gt;"",IF(Input!Q88&lt;&gt;"",ROUNDDOWN(Input!Q88,0),0),"")</f>
        <v/>
      </c>
      <c r="X88" t="str">
        <f>IF(Input!R88&lt;&gt;"",Input!R88,"")</f>
        <v/>
      </c>
      <c r="Y88" t="str">
        <f t="shared" si="16"/>
        <v/>
      </c>
      <c r="Z88" t="str">
        <f>IF(X88&lt;&gt;"",IF(Input!T88&lt;&gt;"",ROUNDDOWN(Input!T88,0),0),"")</f>
        <v/>
      </c>
      <c r="AA88" t="str">
        <f>IF(Input!U88&lt;&gt;"",Input!U88,"")</f>
        <v/>
      </c>
      <c r="AB88" t="str">
        <f t="shared" si="17"/>
        <v/>
      </c>
      <c r="AC88" t="str">
        <f>IF(AA88&lt;&gt;"",IF(Input!W88&lt;&gt;"",ROUNDDOWN(Input!W88,0),0),"")</f>
        <v/>
      </c>
      <c r="AD88" t="str">
        <f>IF(Input!X88&lt;&gt;"",Input!X88,"")</f>
        <v/>
      </c>
      <c r="AE88" t="str">
        <f t="shared" si="18"/>
        <v/>
      </c>
      <c r="AF88" t="str">
        <f>IF(AD88&lt;&gt;"",IF(Input!Z88&lt;&gt;"",ROUNDDOWN(Input!Z88,0),0),"")</f>
        <v/>
      </c>
      <c r="AG88" t="str">
        <f>IF(Input!AA88&lt;&gt;"",Input!AA88,"")</f>
        <v/>
      </c>
      <c r="AH88" t="str">
        <f t="shared" si="19"/>
        <v/>
      </c>
      <c r="AI88" t="str">
        <f>IF(AG88&lt;&gt;"",IF(Input!AC88&lt;&gt;"",ROUNDDOWN(Input!AC88,0),0),"")</f>
        <v/>
      </c>
      <c r="AJ88" t="str">
        <f>IF(Input!AD88&lt;&gt;"",Input!AD88,"")</f>
        <v/>
      </c>
      <c r="AK88" t="str">
        <f t="shared" si="20"/>
        <v/>
      </c>
      <c r="AL88" t="str">
        <f>IF(AJ88&lt;&gt;"",IF(Input!AF88&lt;&gt;"",ROUNDDOWN(Input!AF88,0),0),"")</f>
        <v/>
      </c>
      <c r="AM88" t="str">
        <f>IF(Input!AG88&lt;&gt;"",Input!AG88,"")</f>
        <v/>
      </c>
      <c r="AN88" t="str">
        <f t="shared" si="21"/>
        <v/>
      </c>
      <c r="AO88" t="str">
        <f>IF(AM88&lt;&gt;"",IF(Input!AI88&lt;&gt;"",ROUNDDOWN(Input!AI88,0),0),"")</f>
        <v/>
      </c>
    </row>
    <row r="89" spans="1:41" ht="16.5" thickTop="1" thickBot="1" x14ac:dyDescent="0.4">
      <c r="A89" s="100">
        <f>IF(ISBLANK(Input!A89),1000,IF(Input!E89&gt;0,Input!E89+F89,1000))</f>
        <v>1000</v>
      </c>
      <c r="B89" s="101">
        <f t="shared" si="11"/>
        <v>1000</v>
      </c>
      <c r="C89" s="4">
        <v>88</v>
      </c>
      <c r="D89" s="29">
        <f>IF(ISBLANK(Input!A89),1000,IF(Input!G89&gt;0,Input!G89+F89,1000))</f>
        <v>1000</v>
      </c>
      <c r="E89" s="29">
        <f t="shared" si="12"/>
        <v>1000</v>
      </c>
      <c r="F89" s="4">
        <v>8.7999999999999898E-2</v>
      </c>
      <c r="I89" t="str">
        <f>IF(Input!A89&gt;0,Input!A89,"")</f>
        <v/>
      </c>
      <c r="J89" t="str">
        <f>IF(Input!B89&gt;0,Input!B89,"")</f>
        <v/>
      </c>
      <c r="K89" t="str">
        <f>IF(Input!C89&gt;0,Input!C89,"")</f>
        <v/>
      </c>
      <c r="L89" t="str">
        <f>IF(Input!D89&gt;0,Input!D89,"")</f>
        <v/>
      </c>
      <c r="M89" t="str">
        <f>IF(Input!E89&gt;0,Input!E89,"")</f>
        <v xml:space="preserve"> </v>
      </c>
      <c r="N89" t="str">
        <f>IF(Input!F89&gt;0,Input!F89,"")</f>
        <v xml:space="preserve"> </v>
      </c>
      <c r="O89" t="str">
        <f>IF(Input!I89&lt;&gt;"",Input!I89,"")</f>
        <v/>
      </c>
      <c r="P89" t="str">
        <f t="shared" si="13"/>
        <v/>
      </c>
      <c r="Q89" t="str">
        <f>IF(O89&lt;&gt;"",IF(Input!K89&lt;&gt;"",ROUNDDOWN(Input!K89,0),0),"")</f>
        <v/>
      </c>
      <c r="R89" t="str">
        <f>IF(Input!L89&lt;&gt;"",Input!L89,"")</f>
        <v/>
      </c>
      <c r="S89" t="str">
        <f t="shared" si="14"/>
        <v/>
      </c>
      <c r="T89" t="str">
        <f>IF(R89&lt;&gt;"",IF(Input!N89&lt;&gt;"",ROUNDDOWN(Input!N89,0),0),"")</f>
        <v/>
      </c>
      <c r="U89" t="str">
        <f>IF(Input!O89&lt;&gt;"",Input!O89,"")</f>
        <v/>
      </c>
      <c r="V89" t="str">
        <f t="shared" si="15"/>
        <v/>
      </c>
      <c r="W89" t="str">
        <f>IF(U89&lt;&gt;"",IF(Input!Q89&lt;&gt;"",ROUNDDOWN(Input!Q89,0),0),"")</f>
        <v/>
      </c>
      <c r="X89" t="str">
        <f>IF(Input!R89&lt;&gt;"",Input!R89,"")</f>
        <v/>
      </c>
      <c r="Y89" t="str">
        <f t="shared" si="16"/>
        <v/>
      </c>
      <c r="Z89" t="str">
        <f>IF(X89&lt;&gt;"",IF(Input!T89&lt;&gt;"",ROUNDDOWN(Input!T89,0),0),"")</f>
        <v/>
      </c>
      <c r="AA89" t="str">
        <f>IF(Input!U89&lt;&gt;"",Input!U89,"")</f>
        <v/>
      </c>
      <c r="AB89" t="str">
        <f t="shared" si="17"/>
        <v/>
      </c>
      <c r="AC89" t="str">
        <f>IF(AA89&lt;&gt;"",IF(Input!W89&lt;&gt;"",ROUNDDOWN(Input!W89,0),0),"")</f>
        <v/>
      </c>
      <c r="AD89" t="str">
        <f>IF(Input!X89&lt;&gt;"",Input!X89,"")</f>
        <v/>
      </c>
      <c r="AE89" t="str">
        <f t="shared" si="18"/>
        <v/>
      </c>
      <c r="AF89" t="str">
        <f>IF(AD89&lt;&gt;"",IF(Input!Z89&lt;&gt;"",ROUNDDOWN(Input!Z89,0),0),"")</f>
        <v/>
      </c>
      <c r="AG89" t="str">
        <f>IF(Input!AA89&lt;&gt;"",Input!AA89,"")</f>
        <v/>
      </c>
      <c r="AH89" t="str">
        <f t="shared" si="19"/>
        <v/>
      </c>
      <c r="AI89" t="str">
        <f>IF(AG89&lt;&gt;"",IF(Input!AC89&lt;&gt;"",ROUNDDOWN(Input!AC89,0),0),"")</f>
        <v/>
      </c>
      <c r="AJ89" t="str">
        <f>IF(Input!AD89&lt;&gt;"",Input!AD89,"")</f>
        <v/>
      </c>
      <c r="AK89" t="str">
        <f t="shared" si="20"/>
        <v/>
      </c>
      <c r="AL89" t="str">
        <f>IF(AJ89&lt;&gt;"",IF(Input!AF89&lt;&gt;"",ROUNDDOWN(Input!AF89,0),0),"")</f>
        <v/>
      </c>
      <c r="AM89" t="str">
        <f>IF(Input!AG89&lt;&gt;"",Input!AG89,"")</f>
        <v/>
      </c>
      <c r="AN89" t="str">
        <f t="shared" si="21"/>
        <v/>
      </c>
      <c r="AO89" t="str">
        <f>IF(AM89&lt;&gt;"",IF(Input!AI89&lt;&gt;"",ROUNDDOWN(Input!AI89,0),0),"")</f>
        <v/>
      </c>
    </row>
    <row r="90" spans="1:41" ht="16.5" thickTop="1" thickBot="1" x14ac:dyDescent="0.4">
      <c r="A90" s="100">
        <f>IF(ISBLANK(Input!A90),1000,IF(Input!E90&gt;0,Input!E90+F90,1000))</f>
        <v>1000</v>
      </c>
      <c r="B90" s="101">
        <f t="shared" si="11"/>
        <v>1000</v>
      </c>
      <c r="C90" s="4">
        <v>89</v>
      </c>
      <c r="D90" s="29">
        <f>IF(ISBLANK(Input!A90),1000,IF(Input!G90&gt;0,Input!G90+F90,1000))</f>
        <v>1000</v>
      </c>
      <c r="E90" s="29">
        <f t="shared" si="12"/>
        <v>1000</v>
      </c>
      <c r="F90" s="4">
        <v>8.8999999999999899E-2</v>
      </c>
      <c r="I90" t="str">
        <f>IF(Input!A90&gt;0,Input!A90,"")</f>
        <v/>
      </c>
      <c r="J90" t="str">
        <f>IF(Input!B90&gt;0,Input!B90,"")</f>
        <v/>
      </c>
      <c r="K90" t="str">
        <f>IF(Input!C90&gt;0,Input!C90,"")</f>
        <v/>
      </c>
      <c r="L90" t="str">
        <f>IF(Input!D90&gt;0,Input!D90,"")</f>
        <v/>
      </c>
      <c r="M90" t="str">
        <f>IF(Input!E90&gt;0,Input!E90,"")</f>
        <v xml:space="preserve"> </v>
      </c>
      <c r="N90" t="str">
        <f>IF(Input!F90&gt;0,Input!F90,"")</f>
        <v xml:space="preserve"> </v>
      </c>
      <c r="O90" t="str">
        <f>IF(Input!I90&lt;&gt;"",Input!I90,"")</f>
        <v/>
      </c>
      <c r="P90" t="str">
        <f t="shared" si="13"/>
        <v/>
      </c>
      <c r="Q90" t="str">
        <f>IF(O90&lt;&gt;"",IF(Input!K90&lt;&gt;"",ROUNDDOWN(Input!K90,0),0),"")</f>
        <v/>
      </c>
      <c r="R90" t="str">
        <f>IF(Input!L90&lt;&gt;"",Input!L90,"")</f>
        <v/>
      </c>
      <c r="S90" t="str">
        <f t="shared" si="14"/>
        <v/>
      </c>
      <c r="T90" t="str">
        <f>IF(R90&lt;&gt;"",IF(Input!N90&lt;&gt;"",ROUNDDOWN(Input!N90,0),0),"")</f>
        <v/>
      </c>
      <c r="U90" t="str">
        <f>IF(Input!O90&lt;&gt;"",Input!O90,"")</f>
        <v/>
      </c>
      <c r="V90" t="str">
        <f t="shared" si="15"/>
        <v/>
      </c>
      <c r="W90" t="str">
        <f>IF(U90&lt;&gt;"",IF(Input!Q90&lt;&gt;"",ROUNDDOWN(Input!Q90,0),0),"")</f>
        <v/>
      </c>
      <c r="X90" t="str">
        <f>IF(Input!R90&lt;&gt;"",Input!R90,"")</f>
        <v/>
      </c>
      <c r="Y90" t="str">
        <f t="shared" si="16"/>
        <v/>
      </c>
      <c r="Z90" t="str">
        <f>IF(X90&lt;&gt;"",IF(Input!T90&lt;&gt;"",ROUNDDOWN(Input!T90,0),0),"")</f>
        <v/>
      </c>
      <c r="AA90" t="str">
        <f>IF(Input!U90&lt;&gt;"",Input!U90,"")</f>
        <v/>
      </c>
      <c r="AB90" t="str">
        <f t="shared" si="17"/>
        <v/>
      </c>
      <c r="AC90" t="str">
        <f>IF(AA90&lt;&gt;"",IF(Input!W90&lt;&gt;"",ROUNDDOWN(Input!W90,0),0),"")</f>
        <v/>
      </c>
      <c r="AD90" t="str">
        <f>IF(Input!X90&lt;&gt;"",Input!X90,"")</f>
        <v/>
      </c>
      <c r="AE90" t="str">
        <f t="shared" si="18"/>
        <v/>
      </c>
      <c r="AF90" t="str">
        <f>IF(AD90&lt;&gt;"",IF(Input!Z90&lt;&gt;"",ROUNDDOWN(Input!Z90,0),0),"")</f>
        <v/>
      </c>
      <c r="AG90" t="str">
        <f>IF(Input!AA90&lt;&gt;"",Input!AA90,"")</f>
        <v/>
      </c>
      <c r="AH90" t="str">
        <f t="shared" si="19"/>
        <v/>
      </c>
      <c r="AI90" t="str">
        <f>IF(AG90&lt;&gt;"",IF(Input!AC90&lt;&gt;"",ROUNDDOWN(Input!AC90,0),0),"")</f>
        <v/>
      </c>
      <c r="AJ90" t="str">
        <f>IF(Input!AD90&lt;&gt;"",Input!AD90,"")</f>
        <v/>
      </c>
      <c r="AK90" t="str">
        <f t="shared" si="20"/>
        <v/>
      </c>
      <c r="AL90" t="str">
        <f>IF(AJ90&lt;&gt;"",IF(Input!AF90&lt;&gt;"",ROUNDDOWN(Input!AF90,0),0),"")</f>
        <v/>
      </c>
      <c r="AM90" t="str">
        <f>IF(Input!AG90&lt;&gt;"",Input!AG90,"")</f>
        <v/>
      </c>
      <c r="AN90" t="str">
        <f t="shared" si="21"/>
        <v/>
      </c>
      <c r="AO90" t="str">
        <f>IF(AM90&lt;&gt;"",IF(Input!AI90&lt;&gt;"",ROUNDDOWN(Input!AI90,0),0),"")</f>
        <v/>
      </c>
    </row>
    <row r="91" spans="1:41" ht="16.5" thickTop="1" thickBot="1" x14ac:dyDescent="0.4">
      <c r="A91" s="100">
        <f>IF(ISBLANK(Input!A91),1000,IF(Input!E91&gt;0,Input!E91+F91,1000))</f>
        <v>1000</v>
      </c>
      <c r="B91" s="101">
        <f t="shared" si="11"/>
        <v>1000</v>
      </c>
      <c r="C91" s="4">
        <v>90</v>
      </c>
      <c r="D91" s="29">
        <f>IF(ISBLANK(Input!A91),1000,IF(Input!G91&gt;0,Input!G91+F91,1000))</f>
        <v>1000</v>
      </c>
      <c r="E91" s="29">
        <f t="shared" si="12"/>
        <v>1000</v>
      </c>
      <c r="F91" s="4">
        <v>8.99999999999999E-2</v>
      </c>
      <c r="I91" t="str">
        <f>IF(Input!A91&gt;0,Input!A91,"")</f>
        <v/>
      </c>
      <c r="J91" t="str">
        <f>IF(Input!B91&gt;0,Input!B91,"")</f>
        <v/>
      </c>
      <c r="K91" t="str">
        <f>IF(Input!C91&gt;0,Input!C91,"")</f>
        <v/>
      </c>
      <c r="L91" t="str">
        <f>IF(Input!D91&gt;0,Input!D91,"")</f>
        <v/>
      </c>
      <c r="M91" t="str">
        <f>IF(Input!E91&gt;0,Input!E91,"")</f>
        <v xml:space="preserve"> </v>
      </c>
      <c r="N91" t="str">
        <f>IF(Input!F91&gt;0,Input!F91,"")</f>
        <v xml:space="preserve"> </v>
      </c>
      <c r="O91" t="str">
        <f>IF(Input!I91&lt;&gt;"",Input!I91,"")</f>
        <v/>
      </c>
      <c r="P91" t="str">
        <f t="shared" si="13"/>
        <v/>
      </c>
      <c r="Q91" t="str">
        <f>IF(O91&lt;&gt;"",IF(Input!K91&lt;&gt;"",ROUNDDOWN(Input!K91,0),0),"")</f>
        <v/>
      </c>
      <c r="R91" t="str">
        <f>IF(Input!L91&lt;&gt;"",Input!L91,"")</f>
        <v/>
      </c>
      <c r="S91" t="str">
        <f t="shared" si="14"/>
        <v/>
      </c>
      <c r="T91" t="str">
        <f>IF(R91&lt;&gt;"",IF(Input!N91&lt;&gt;"",ROUNDDOWN(Input!N91,0),0),"")</f>
        <v/>
      </c>
      <c r="U91" t="str">
        <f>IF(Input!O91&lt;&gt;"",Input!O91,"")</f>
        <v/>
      </c>
      <c r="V91" t="str">
        <f t="shared" si="15"/>
        <v/>
      </c>
      <c r="W91" t="str">
        <f>IF(U91&lt;&gt;"",IF(Input!Q91&lt;&gt;"",ROUNDDOWN(Input!Q91,0),0),"")</f>
        <v/>
      </c>
      <c r="X91" t="str">
        <f>IF(Input!R91&lt;&gt;"",Input!R91,"")</f>
        <v/>
      </c>
      <c r="Y91" t="str">
        <f t="shared" si="16"/>
        <v/>
      </c>
      <c r="Z91" t="str">
        <f>IF(X91&lt;&gt;"",IF(Input!T91&lt;&gt;"",ROUNDDOWN(Input!T91,0),0),"")</f>
        <v/>
      </c>
      <c r="AA91" t="str">
        <f>IF(Input!U91&lt;&gt;"",Input!U91,"")</f>
        <v/>
      </c>
      <c r="AB91" t="str">
        <f t="shared" si="17"/>
        <v/>
      </c>
      <c r="AC91" t="str">
        <f>IF(AA91&lt;&gt;"",IF(Input!W91&lt;&gt;"",ROUNDDOWN(Input!W91,0),0),"")</f>
        <v/>
      </c>
      <c r="AD91" t="str">
        <f>IF(Input!X91&lt;&gt;"",Input!X91,"")</f>
        <v/>
      </c>
      <c r="AE91" t="str">
        <f t="shared" si="18"/>
        <v/>
      </c>
      <c r="AF91" t="str">
        <f>IF(AD91&lt;&gt;"",IF(Input!Z91&lt;&gt;"",ROUNDDOWN(Input!Z91,0),0),"")</f>
        <v/>
      </c>
      <c r="AG91" t="str">
        <f>IF(Input!AA91&lt;&gt;"",Input!AA91,"")</f>
        <v/>
      </c>
      <c r="AH91" t="str">
        <f t="shared" si="19"/>
        <v/>
      </c>
      <c r="AI91" t="str">
        <f>IF(AG91&lt;&gt;"",IF(Input!AC91&lt;&gt;"",ROUNDDOWN(Input!AC91,0),0),"")</f>
        <v/>
      </c>
      <c r="AJ91" t="str">
        <f>IF(Input!AD91&lt;&gt;"",Input!AD91,"")</f>
        <v/>
      </c>
      <c r="AK91" t="str">
        <f t="shared" si="20"/>
        <v/>
      </c>
      <c r="AL91" t="str">
        <f>IF(AJ91&lt;&gt;"",IF(Input!AF91&lt;&gt;"",ROUNDDOWN(Input!AF91,0),0),"")</f>
        <v/>
      </c>
      <c r="AM91" t="str">
        <f>IF(Input!AG91&lt;&gt;"",Input!AG91,"")</f>
        <v/>
      </c>
      <c r="AN91" t="str">
        <f t="shared" si="21"/>
        <v/>
      </c>
      <c r="AO91" t="str">
        <f>IF(AM91&lt;&gt;"",IF(Input!AI91&lt;&gt;"",ROUNDDOWN(Input!AI91,0),0),"")</f>
        <v/>
      </c>
    </row>
    <row r="92" spans="1:41" ht="16.5" thickTop="1" thickBot="1" x14ac:dyDescent="0.4">
      <c r="A92" s="100">
        <f>IF(ISBLANK(Input!A92),1000,IF(Input!E92&gt;0,Input!E92+F92,1000))</f>
        <v>1000</v>
      </c>
      <c r="B92" s="101">
        <f t="shared" si="11"/>
        <v>1000</v>
      </c>
      <c r="C92" s="4">
        <v>91</v>
      </c>
      <c r="D92" s="29">
        <f>IF(ISBLANK(Input!A92),1000,IF(Input!G92&gt;0,Input!G92+F92,1000))</f>
        <v>1000</v>
      </c>
      <c r="E92" s="29">
        <f t="shared" si="12"/>
        <v>1000</v>
      </c>
      <c r="F92" s="4">
        <v>9.09999999999999E-2</v>
      </c>
      <c r="I92" t="str">
        <f>IF(Input!A92&gt;0,Input!A92,"")</f>
        <v/>
      </c>
      <c r="J92" t="str">
        <f>IF(Input!B92&gt;0,Input!B92,"")</f>
        <v/>
      </c>
      <c r="K92" t="str">
        <f>IF(Input!C92&gt;0,Input!C92,"")</f>
        <v/>
      </c>
      <c r="L92" t="str">
        <f>IF(Input!D92&gt;0,Input!D92,"")</f>
        <v/>
      </c>
      <c r="M92" t="str">
        <f>IF(Input!E92&gt;0,Input!E92,"")</f>
        <v xml:space="preserve"> </v>
      </c>
      <c r="N92" t="str">
        <f>IF(Input!F92&gt;0,Input!F92,"")</f>
        <v xml:space="preserve"> </v>
      </c>
      <c r="O92" t="str">
        <f>IF(Input!I92&lt;&gt;"",Input!I92,"")</f>
        <v/>
      </c>
      <c r="P92" t="str">
        <f t="shared" si="13"/>
        <v/>
      </c>
      <c r="Q92" t="str">
        <f>IF(O92&lt;&gt;"",IF(Input!K92&lt;&gt;"",ROUNDDOWN(Input!K92,0),0),"")</f>
        <v/>
      </c>
      <c r="R92" t="str">
        <f>IF(Input!L92&lt;&gt;"",Input!L92,"")</f>
        <v/>
      </c>
      <c r="S92" t="str">
        <f t="shared" si="14"/>
        <v/>
      </c>
      <c r="T92" t="str">
        <f>IF(R92&lt;&gt;"",IF(Input!N92&lt;&gt;"",ROUNDDOWN(Input!N92,0),0),"")</f>
        <v/>
      </c>
      <c r="U92" t="str">
        <f>IF(Input!O92&lt;&gt;"",Input!O92,"")</f>
        <v/>
      </c>
      <c r="V92" t="str">
        <f t="shared" si="15"/>
        <v/>
      </c>
      <c r="W92" t="str">
        <f>IF(U92&lt;&gt;"",IF(Input!Q92&lt;&gt;"",ROUNDDOWN(Input!Q92,0),0),"")</f>
        <v/>
      </c>
      <c r="X92" t="str">
        <f>IF(Input!R92&lt;&gt;"",Input!R92,"")</f>
        <v/>
      </c>
      <c r="Y92" t="str">
        <f t="shared" si="16"/>
        <v/>
      </c>
      <c r="Z92" t="str">
        <f>IF(X92&lt;&gt;"",IF(Input!T92&lt;&gt;"",ROUNDDOWN(Input!T92,0),0),"")</f>
        <v/>
      </c>
      <c r="AA92" t="str">
        <f>IF(Input!U92&lt;&gt;"",Input!U92,"")</f>
        <v/>
      </c>
      <c r="AB92" t="str">
        <f t="shared" si="17"/>
        <v/>
      </c>
      <c r="AC92" t="str">
        <f>IF(AA92&lt;&gt;"",IF(Input!W92&lt;&gt;"",ROUNDDOWN(Input!W92,0),0),"")</f>
        <v/>
      </c>
      <c r="AD92" t="str">
        <f>IF(Input!X92&lt;&gt;"",Input!X92,"")</f>
        <v/>
      </c>
      <c r="AE92" t="str">
        <f t="shared" si="18"/>
        <v/>
      </c>
      <c r="AF92" t="str">
        <f>IF(AD92&lt;&gt;"",IF(Input!Z92&lt;&gt;"",ROUNDDOWN(Input!Z92,0),0),"")</f>
        <v/>
      </c>
      <c r="AG92" t="str">
        <f>IF(Input!AA92&lt;&gt;"",Input!AA92,"")</f>
        <v/>
      </c>
      <c r="AH92" t="str">
        <f t="shared" si="19"/>
        <v/>
      </c>
      <c r="AI92" t="str">
        <f>IF(AG92&lt;&gt;"",IF(Input!AC92&lt;&gt;"",ROUNDDOWN(Input!AC92,0),0),"")</f>
        <v/>
      </c>
      <c r="AJ92" t="str">
        <f>IF(Input!AD92&lt;&gt;"",Input!AD92,"")</f>
        <v/>
      </c>
      <c r="AK92" t="str">
        <f t="shared" si="20"/>
        <v/>
      </c>
      <c r="AL92" t="str">
        <f>IF(AJ92&lt;&gt;"",IF(Input!AF92&lt;&gt;"",ROUNDDOWN(Input!AF92,0),0),"")</f>
        <v/>
      </c>
      <c r="AM92" t="str">
        <f>IF(Input!AG92&lt;&gt;"",Input!AG92,"")</f>
        <v/>
      </c>
      <c r="AN92" t="str">
        <f t="shared" si="21"/>
        <v/>
      </c>
      <c r="AO92" t="str">
        <f>IF(AM92&lt;&gt;"",IF(Input!AI92&lt;&gt;"",ROUNDDOWN(Input!AI92,0),0),"")</f>
        <v/>
      </c>
    </row>
    <row r="93" spans="1:41" ht="16.5" thickTop="1" thickBot="1" x14ac:dyDescent="0.4">
      <c r="A93" s="100">
        <f>IF(ISBLANK(Input!A93),1000,IF(Input!E93&gt;0,Input!E93+F93,1000))</f>
        <v>1000</v>
      </c>
      <c r="B93" s="101">
        <f t="shared" si="11"/>
        <v>1000</v>
      </c>
      <c r="C93" s="4">
        <v>92</v>
      </c>
      <c r="D93" s="29">
        <f>IF(ISBLANK(Input!A93),1000,IF(Input!G93&gt;0,Input!G93+F93,1000))</f>
        <v>1000</v>
      </c>
      <c r="E93" s="29">
        <f t="shared" si="12"/>
        <v>1000</v>
      </c>
      <c r="F93" s="4">
        <v>9.1999999999999901E-2</v>
      </c>
      <c r="I93" t="str">
        <f>IF(Input!A93&gt;0,Input!A93,"")</f>
        <v/>
      </c>
      <c r="J93" t="str">
        <f>IF(Input!B93&gt;0,Input!B93,"")</f>
        <v/>
      </c>
      <c r="K93" t="str">
        <f>IF(Input!C93&gt;0,Input!C93,"")</f>
        <v/>
      </c>
      <c r="L93" t="str">
        <f>IF(Input!D93&gt;0,Input!D93,"")</f>
        <v/>
      </c>
      <c r="M93" t="str">
        <f>IF(Input!E93&gt;0,Input!E93,"")</f>
        <v xml:space="preserve"> </v>
      </c>
      <c r="N93" t="str">
        <f>IF(Input!F93&gt;0,Input!F93,"")</f>
        <v xml:space="preserve"> </v>
      </c>
      <c r="O93" t="str">
        <f>IF(Input!I93&lt;&gt;"",Input!I93,"")</f>
        <v/>
      </c>
      <c r="P93" t="str">
        <f t="shared" si="13"/>
        <v/>
      </c>
      <c r="Q93" t="str">
        <f>IF(O93&lt;&gt;"",IF(Input!K93&lt;&gt;"",ROUNDDOWN(Input!K93,0),0),"")</f>
        <v/>
      </c>
      <c r="R93" t="str">
        <f>IF(Input!L93&lt;&gt;"",Input!L93,"")</f>
        <v/>
      </c>
      <c r="S93" t="str">
        <f t="shared" si="14"/>
        <v/>
      </c>
      <c r="T93" t="str">
        <f>IF(R93&lt;&gt;"",IF(Input!N93&lt;&gt;"",ROUNDDOWN(Input!N93,0),0),"")</f>
        <v/>
      </c>
      <c r="U93" t="str">
        <f>IF(Input!O93&lt;&gt;"",Input!O93,"")</f>
        <v/>
      </c>
      <c r="V93" t="str">
        <f t="shared" si="15"/>
        <v/>
      </c>
      <c r="W93" t="str">
        <f>IF(U93&lt;&gt;"",IF(Input!Q93&lt;&gt;"",ROUNDDOWN(Input!Q93,0),0),"")</f>
        <v/>
      </c>
      <c r="X93" t="str">
        <f>IF(Input!R93&lt;&gt;"",Input!R93,"")</f>
        <v/>
      </c>
      <c r="Y93" t="str">
        <f t="shared" si="16"/>
        <v/>
      </c>
      <c r="Z93" t="str">
        <f>IF(X93&lt;&gt;"",IF(Input!T93&lt;&gt;"",ROUNDDOWN(Input!T93,0),0),"")</f>
        <v/>
      </c>
      <c r="AA93" t="str">
        <f>IF(Input!U93&lt;&gt;"",Input!U93,"")</f>
        <v/>
      </c>
      <c r="AB93" t="str">
        <f t="shared" si="17"/>
        <v/>
      </c>
      <c r="AC93" t="str">
        <f>IF(AA93&lt;&gt;"",IF(Input!W93&lt;&gt;"",ROUNDDOWN(Input!W93,0),0),"")</f>
        <v/>
      </c>
      <c r="AD93" t="str">
        <f>IF(Input!X93&lt;&gt;"",Input!X93,"")</f>
        <v/>
      </c>
      <c r="AE93" t="str">
        <f t="shared" si="18"/>
        <v/>
      </c>
      <c r="AF93" t="str">
        <f>IF(AD93&lt;&gt;"",IF(Input!Z93&lt;&gt;"",ROUNDDOWN(Input!Z93,0),0),"")</f>
        <v/>
      </c>
      <c r="AG93" t="str">
        <f>IF(Input!AA93&lt;&gt;"",Input!AA93,"")</f>
        <v/>
      </c>
      <c r="AH93" t="str">
        <f t="shared" si="19"/>
        <v/>
      </c>
      <c r="AI93" t="str">
        <f>IF(AG93&lt;&gt;"",IF(Input!AC93&lt;&gt;"",ROUNDDOWN(Input!AC93,0),0),"")</f>
        <v/>
      </c>
      <c r="AJ93" t="str">
        <f>IF(Input!AD93&lt;&gt;"",Input!AD93,"")</f>
        <v/>
      </c>
      <c r="AK93" t="str">
        <f t="shared" si="20"/>
        <v/>
      </c>
      <c r="AL93" t="str">
        <f>IF(AJ93&lt;&gt;"",IF(Input!AF93&lt;&gt;"",ROUNDDOWN(Input!AF93,0),0),"")</f>
        <v/>
      </c>
      <c r="AM93" t="str">
        <f>IF(Input!AG93&lt;&gt;"",Input!AG93,"")</f>
        <v/>
      </c>
      <c r="AN93" t="str">
        <f t="shared" si="21"/>
        <v/>
      </c>
      <c r="AO93" t="str">
        <f>IF(AM93&lt;&gt;"",IF(Input!AI93&lt;&gt;"",ROUNDDOWN(Input!AI93,0),0),"")</f>
        <v/>
      </c>
    </row>
    <row r="94" spans="1:41" ht="16.5" thickTop="1" thickBot="1" x14ac:dyDescent="0.4">
      <c r="A94" s="100">
        <f>IF(ISBLANK(Input!A94),1000,IF(Input!E94&gt;0,Input!E94+F94,1000))</f>
        <v>1000</v>
      </c>
      <c r="B94" s="101">
        <f t="shared" si="11"/>
        <v>1000</v>
      </c>
      <c r="C94" s="4">
        <v>93</v>
      </c>
      <c r="D94" s="29">
        <f>IF(ISBLANK(Input!A94),1000,IF(Input!G94&gt;0,Input!G94+F94,1000))</f>
        <v>1000</v>
      </c>
      <c r="E94" s="29">
        <f t="shared" si="12"/>
        <v>1000</v>
      </c>
      <c r="F94" s="4">
        <v>9.2999999999999902E-2</v>
      </c>
      <c r="I94" t="str">
        <f>IF(Input!A94&gt;0,Input!A94,"")</f>
        <v/>
      </c>
      <c r="J94" t="str">
        <f>IF(Input!B94&gt;0,Input!B94,"")</f>
        <v/>
      </c>
      <c r="K94" t="str">
        <f>IF(Input!C94&gt;0,Input!C94,"")</f>
        <v/>
      </c>
      <c r="L94" t="str">
        <f>IF(Input!D94&gt;0,Input!D94,"")</f>
        <v/>
      </c>
      <c r="M94" t="str">
        <f>IF(Input!E94&gt;0,Input!E94,"")</f>
        <v xml:space="preserve"> </v>
      </c>
      <c r="N94" t="str">
        <f>IF(Input!F94&gt;0,Input!F94,"")</f>
        <v xml:space="preserve"> </v>
      </c>
      <c r="O94" t="str">
        <f>IF(Input!I94&lt;&gt;"",Input!I94,"")</f>
        <v/>
      </c>
      <c r="P94" t="str">
        <f t="shared" si="13"/>
        <v/>
      </c>
      <c r="Q94" t="str">
        <f>IF(O94&lt;&gt;"",IF(Input!K94&lt;&gt;"",ROUNDDOWN(Input!K94,0),0),"")</f>
        <v/>
      </c>
      <c r="R94" t="str">
        <f>IF(Input!L94&lt;&gt;"",Input!L94,"")</f>
        <v/>
      </c>
      <c r="S94" t="str">
        <f t="shared" si="14"/>
        <v/>
      </c>
      <c r="T94" t="str">
        <f>IF(R94&lt;&gt;"",IF(Input!N94&lt;&gt;"",ROUNDDOWN(Input!N94,0),0),"")</f>
        <v/>
      </c>
      <c r="U94" t="str">
        <f>IF(Input!O94&lt;&gt;"",Input!O94,"")</f>
        <v/>
      </c>
      <c r="V94" t="str">
        <f t="shared" si="15"/>
        <v/>
      </c>
      <c r="W94" t="str">
        <f>IF(U94&lt;&gt;"",IF(Input!Q94&lt;&gt;"",ROUNDDOWN(Input!Q94,0),0),"")</f>
        <v/>
      </c>
      <c r="X94" t="str">
        <f>IF(Input!R94&lt;&gt;"",Input!R94,"")</f>
        <v/>
      </c>
      <c r="Y94" t="str">
        <f t="shared" si="16"/>
        <v/>
      </c>
      <c r="Z94" t="str">
        <f>IF(X94&lt;&gt;"",IF(Input!T94&lt;&gt;"",ROUNDDOWN(Input!T94,0),0),"")</f>
        <v/>
      </c>
      <c r="AA94" t="str">
        <f>IF(Input!U94&lt;&gt;"",Input!U94,"")</f>
        <v/>
      </c>
      <c r="AB94" t="str">
        <f t="shared" si="17"/>
        <v/>
      </c>
      <c r="AC94" t="str">
        <f>IF(AA94&lt;&gt;"",IF(Input!W94&lt;&gt;"",ROUNDDOWN(Input!W94,0),0),"")</f>
        <v/>
      </c>
      <c r="AD94" t="str">
        <f>IF(Input!X94&lt;&gt;"",Input!X94,"")</f>
        <v/>
      </c>
      <c r="AE94" t="str">
        <f t="shared" si="18"/>
        <v/>
      </c>
      <c r="AF94" t="str">
        <f>IF(AD94&lt;&gt;"",IF(Input!Z94&lt;&gt;"",ROUNDDOWN(Input!Z94,0),0),"")</f>
        <v/>
      </c>
      <c r="AG94" t="str">
        <f>IF(Input!AA94&lt;&gt;"",Input!AA94,"")</f>
        <v/>
      </c>
      <c r="AH94" t="str">
        <f t="shared" si="19"/>
        <v/>
      </c>
      <c r="AI94" t="str">
        <f>IF(AG94&lt;&gt;"",IF(Input!AC94&lt;&gt;"",ROUNDDOWN(Input!AC94,0),0),"")</f>
        <v/>
      </c>
      <c r="AJ94" t="str">
        <f>IF(Input!AD94&lt;&gt;"",Input!AD94,"")</f>
        <v/>
      </c>
      <c r="AK94" t="str">
        <f t="shared" si="20"/>
        <v/>
      </c>
      <c r="AL94" t="str">
        <f>IF(AJ94&lt;&gt;"",IF(Input!AF94&lt;&gt;"",ROUNDDOWN(Input!AF94,0),0),"")</f>
        <v/>
      </c>
      <c r="AM94" t="str">
        <f>IF(Input!AG94&lt;&gt;"",Input!AG94,"")</f>
        <v/>
      </c>
      <c r="AN94" t="str">
        <f t="shared" si="21"/>
        <v/>
      </c>
      <c r="AO94" t="str">
        <f>IF(AM94&lt;&gt;"",IF(Input!AI94&lt;&gt;"",ROUNDDOWN(Input!AI94,0),0),"")</f>
        <v/>
      </c>
    </row>
    <row r="95" spans="1:41" ht="16.5" thickTop="1" thickBot="1" x14ac:dyDescent="0.4">
      <c r="A95" s="100">
        <f>IF(ISBLANK(Input!A95),1000,IF(Input!E95&gt;0,Input!E95+F95,1000))</f>
        <v>1000</v>
      </c>
      <c r="B95" s="101">
        <f t="shared" si="11"/>
        <v>1000</v>
      </c>
      <c r="C95" s="4">
        <v>94</v>
      </c>
      <c r="D95" s="29">
        <f>IF(ISBLANK(Input!A95),1000,IF(Input!G95&gt;0,Input!G95+F95,1000))</f>
        <v>1000</v>
      </c>
      <c r="E95" s="29">
        <f t="shared" si="12"/>
        <v>1000</v>
      </c>
      <c r="F95" s="4">
        <v>9.3999999999999903E-2</v>
      </c>
      <c r="I95" t="str">
        <f>IF(Input!A95&gt;0,Input!A95,"")</f>
        <v/>
      </c>
      <c r="J95" t="str">
        <f>IF(Input!B95&gt;0,Input!B95,"")</f>
        <v/>
      </c>
      <c r="K95" t="str">
        <f>IF(Input!C95&gt;0,Input!C95,"")</f>
        <v/>
      </c>
      <c r="L95" t="str">
        <f>IF(Input!D95&gt;0,Input!D95,"")</f>
        <v/>
      </c>
      <c r="M95" t="str">
        <f>IF(Input!E95&gt;0,Input!E95,"")</f>
        <v xml:space="preserve"> </v>
      </c>
      <c r="N95" t="str">
        <f>IF(Input!F95&gt;0,Input!F95,"")</f>
        <v xml:space="preserve"> </v>
      </c>
      <c r="O95" t="str">
        <f>IF(Input!I95&lt;&gt;"",Input!I95,"")</f>
        <v/>
      </c>
      <c r="P95" t="str">
        <f t="shared" si="13"/>
        <v/>
      </c>
      <c r="Q95" t="str">
        <f>IF(O95&lt;&gt;"",IF(Input!K95&lt;&gt;"",ROUNDDOWN(Input!K95,0),0),"")</f>
        <v/>
      </c>
      <c r="R95" t="str">
        <f>IF(Input!L95&lt;&gt;"",Input!L95,"")</f>
        <v/>
      </c>
      <c r="S95" t="str">
        <f t="shared" si="14"/>
        <v/>
      </c>
      <c r="T95" t="str">
        <f>IF(R95&lt;&gt;"",IF(Input!N95&lt;&gt;"",ROUNDDOWN(Input!N95,0),0),"")</f>
        <v/>
      </c>
      <c r="U95" t="str">
        <f>IF(Input!O95&lt;&gt;"",Input!O95,"")</f>
        <v/>
      </c>
      <c r="V95" t="str">
        <f t="shared" si="15"/>
        <v/>
      </c>
      <c r="W95" t="str">
        <f>IF(U95&lt;&gt;"",IF(Input!Q95&lt;&gt;"",ROUNDDOWN(Input!Q95,0),0),"")</f>
        <v/>
      </c>
      <c r="X95" t="str">
        <f>IF(Input!R95&lt;&gt;"",Input!R95,"")</f>
        <v/>
      </c>
      <c r="Y95" t="str">
        <f t="shared" si="16"/>
        <v/>
      </c>
      <c r="Z95" t="str">
        <f>IF(X95&lt;&gt;"",IF(Input!T95&lt;&gt;"",ROUNDDOWN(Input!T95,0),0),"")</f>
        <v/>
      </c>
      <c r="AA95" t="str">
        <f>IF(Input!U95&lt;&gt;"",Input!U95,"")</f>
        <v/>
      </c>
      <c r="AB95" t="str">
        <f t="shared" si="17"/>
        <v/>
      </c>
      <c r="AC95" t="str">
        <f>IF(AA95&lt;&gt;"",IF(Input!W95&lt;&gt;"",ROUNDDOWN(Input!W95,0),0),"")</f>
        <v/>
      </c>
      <c r="AD95" t="str">
        <f>IF(Input!X95&lt;&gt;"",Input!X95,"")</f>
        <v/>
      </c>
      <c r="AE95" t="str">
        <f t="shared" si="18"/>
        <v/>
      </c>
      <c r="AF95" t="str">
        <f>IF(AD95&lt;&gt;"",IF(Input!Z95&lt;&gt;"",ROUNDDOWN(Input!Z95,0),0),"")</f>
        <v/>
      </c>
      <c r="AG95" t="str">
        <f>IF(Input!AA95&lt;&gt;"",Input!AA95,"")</f>
        <v/>
      </c>
      <c r="AH95" t="str">
        <f t="shared" si="19"/>
        <v/>
      </c>
      <c r="AI95" t="str">
        <f>IF(AG95&lt;&gt;"",IF(Input!AC95&lt;&gt;"",ROUNDDOWN(Input!AC95,0),0),"")</f>
        <v/>
      </c>
      <c r="AJ95" t="str">
        <f>IF(Input!AD95&lt;&gt;"",Input!AD95,"")</f>
        <v/>
      </c>
      <c r="AK95" t="str">
        <f t="shared" si="20"/>
        <v/>
      </c>
      <c r="AL95" t="str">
        <f>IF(AJ95&lt;&gt;"",IF(Input!AF95&lt;&gt;"",ROUNDDOWN(Input!AF95,0),0),"")</f>
        <v/>
      </c>
      <c r="AM95" t="str">
        <f>IF(Input!AG95&lt;&gt;"",Input!AG95,"")</f>
        <v/>
      </c>
      <c r="AN95" t="str">
        <f t="shared" si="21"/>
        <v/>
      </c>
      <c r="AO95" t="str">
        <f>IF(AM95&lt;&gt;"",IF(Input!AI95&lt;&gt;"",ROUNDDOWN(Input!AI95,0),0),"")</f>
        <v/>
      </c>
    </row>
    <row r="96" spans="1:41" ht="16.5" thickTop="1" thickBot="1" x14ac:dyDescent="0.4">
      <c r="A96" s="100">
        <f>IF(ISBLANK(Input!A96),1000,IF(Input!E96&gt;0,Input!E96+F96,1000))</f>
        <v>1000</v>
      </c>
      <c r="B96" s="101">
        <f t="shared" si="11"/>
        <v>1000</v>
      </c>
      <c r="C96" s="4">
        <v>95</v>
      </c>
      <c r="D96" s="29">
        <f>IF(ISBLANK(Input!A96),1000,IF(Input!G96&gt;0,Input!G96+F96,1000))</f>
        <v>1000</v>
      </c>
      <c r="E96" s="29">
        <f t="shared" si="12"/>
        <v>1000</v>
      </c>
      <c r="F96" s="4">
        <v>9.4999999999999904E-2</v>
      </c>
      <c r="I96" t="str">
        <f>IF(Input!A96&gt;0,Input!A96,"")</f>
        <v/>
      </c>
      <c r="J96" t="str">
        <f>IF(Input!B96&gt;0,Input!B96,"")</f>
        <v/>
      </c>
      <c r="K96" t="str">
        <f>IF(Input!C96&gt;0,Input!C96,"")</f>
        <v/>
      </c>
      <c r="L96" t="str">
        <f>IF(Input!D96&gt;0,Input!D96,"")</f>
        <v/>
      </c>
      <c r="M96" t="str">
        <f>IF(Input!E96&gt;0,Input!E96,"")</f>
        <v xml:space="preserve"> </v>
      </c>
      <c r="N96" t="str">
        <f>IF(Input!F96&gt;0,Input!F96,"")</f>
        <v xml:space="preserve"> </v>
      </c>
      <c r="O96" t="str">
        <f>IF(Input!I96&lt;&gt;"",Input!I96,"")</f>
        <v/>
      </c>
      <c r="P96" t="str">
        <f t="shared" si="13"/>
        <v/>
      </c>
      <c r="Q96" t="str">
        <f>IF(O96&lt;&gt;"",IF(Input!K96&lt;&gt;"",ROUNDDOWN(Input!K96,0),0),"")</f>
        <v/>
      </c>
      <c r="R96" t="str">
        <f>IF(Input!L96&lt;&gt;"",Input!L96,"")</f>
        <v/>
      </c>
      <c r="S96" t="str">
        <f t="shared" si="14"/>
        <v/>
      </c>
      <c r="T96" t="str">
        <f>IF(R96&lt;&gt;"",IF(Input!N96&lt;&gt;"",ROUNDDOWN(Input!N96,0),0),"")</f>
        <v/>
      </c>
      <c r="U96" t="str">
        <f>IF(Input!O96&lt;&gt;"",Input!O96,"")</f>
        <v/>
      </c>
      <c r="V96" t="str">
        <f t="shared" si="15"/>
        <v/>
      </c>
      <c r="W96" t="str">
        <f>IF(U96&lt;&gt;"",IF(Input!Q96&lt;&gt;"",ROUNDDOWN(Input!Q96,0),0),"")</f>
        <v/>
      </c>
      <c r="X96" t="str">
        <f>IF(Input!R96&lt;&gt;"",Input!R96,"")</f>
        <v/>
      </c>
      <c r="Y96" t="str">
        <f t="shared" si="16"/>
        <v/>
      </c>
      <c r="Z96" t="str">
        <f>IF(X96&lt;&gt;"",IF(Input!T96&lt;&gt;"",ROUNDDOWN(Input!T96,0),0),"")</f>
        <v/>
      </c>
      <c r="AA96" t="str">
        <f>IF(Input!U96&lt;&gt;"",Input!U96,"")</f>
        <v/>
      </c>
      <c r="AB96" t="str">
        <f t="shared" si="17"/>
        <v/>
      </c>
      <c r="AC96" t="str">
        <f>IF(AA96&lt;&gt;"",IF(Input!W96&lt;&gt;"",ROUNDDOWN(Input!W96,0),0),"")</f>
        <v/>
      </c>
      <c r="AD96" t="str">
        <f>IF(Input!X96&lt;&gt;"",Input!X96,"")</f>
        <v/>
      </c>
      <c r="AE96" t="str">
        <f t="shared" si="18"/>
        <v/>
      </c>
      <c r="AF96" t="str">
        <f>IF(AD96&lt;&gt;"",IF(Input!Z96&lt;&gt;"",ROUNDDOWN(Input!Z96,0),0),"")</f>
        <v/>
      </c>
      <c r="AG96" t="str">
        <f>IF(Input!AA96&lt;&gt;"",Input!AA96,"")</f>
        <v/>
      </c>
      <c r="AH96" t="str">
        <f t="shared" si="19"/>
        <v/>
      </c>
      <c r="AI96" t="str">
        <f>IF(AG96&lt;&gt;"",IF(Input!AC96&lt;&gt;"",ROUNDDOWN(Input!AC96,0),0),"")</f>
        <v/>
      </c>
      <c r="AJ96" t="str">
        <f>IF(Input!AD96&lt;&gt;"",Input!AD96,"")</f>
        <v/>
      </c>
      <c r="AK96" t="str">
        <f t="shared" si="20"/>
        <v/>
      </c>
      <c r="AL96" t="str">
        <f>IF(AJ96&lt;&gt;"",IF(Input!AF96&lt;&gt;"",ROUNDDOWN(Input!AF96,0),0),"")</f>
        <v/>
      </c>
      <c r="AM96" t="str">
        <f>IF(Input!AG96&lt;&gt;"",Input!AG96,"")</f>
        <v/>
      </c>
      <c r="AN96" t="str">
        <f t="shared" si="21"/>
        <v/>
      </c>
      <c r="AO96" t="str">
        <f>IF(AM96&lt;&gt;"",IF(Input!AI96&lt;&gt;"",ROUNDDOWN(Input!AI96,0),0),"")</f>
        <v/>
      </c>
    </row>
    <row r="97" spans="1:41" ht="16.5" thickTop="1" thickBot="1" x14ac:dyDescent="0.4">
      <c r="A97" s="100">
        <f>IF(ISBLANK(Input!A97),1000,IF(Input!E97&gt;0,Input!E97+F97,1000))</f>
        <v>1000</v>
      </c>
      <c r="B97" s="101">
        <f t="shared" si="11"/>
        <v>1000</v>
      </c>
      <c r="C97" s="4">
        <v>96</v>
      </c>
      <c r="D97" s="29">
        <f>IF(ISBLANK(Input!A97),1000,IF(Input!G97&gt;0,Input!G97+F97,1000))</f>
        <v>1000</v>
      </c>
      <c r="E97" s="29">
        <f t="shared" si="12"/>
        <v>1000</v>
      </c>
      <c r="F97" s="4">
        <v>9.5999999999999905E-2</v>
      </c>
      <c r="I97" t="str">
        <f>IF(Input!A97&gt;0,Input!A97,"")</f>
        <v/>
      </c>
      <c r="J97" t="str">
        <f>IF(Input!B97&gt;0,Input!B97,"")</f>
        <v/>
      </c>
      <c r="K97" t="str">
        <f>IF(Input!C97&gt;0,Input!C97,"")</f>
        <v/>
      </c>
      <c r="L97" t="str">
        <f>IF(Input!D97&gt;0,Input!D97,"")</f>
        <v/>
      </c>
      <c r="M97" t="str">
        <f>IF(Input!E97&gt;0,Input!E97,"")</f>
        <v xml:space="preserve"> </v>
      </c>
      <c r="N97" t="str">
        <f>IF(Input!F97&gt;0,Input!F97,"")</f>
        <v xml:space="preserve"> </v>
      </c>
      <c r="O97" t="str">
        <f>IF(Input!I97&lt;&gt;"",Input!I97,"")</f>
        <v/>
      </c>
      <c r="P97" t="str">
        <f t="shared" si="13"/>
        <v/>
      </c>
      <c r="Q97" t="str">
        <f>IF(O97&lt;&gt;"",IF(Input!K97&lt;&gt;"",ROUNDDOWN(Input!K97,0),0),"")</f>
        <v/>
      </c>
      <c r="R97" t="str">
        <f>IF(Input!L97&lt;&gt;"",Input!L97,"")</f>
        <v/>
      </c>
      <c r="S97" t="str">
        <f t="shared" si="14"/>
        <v/>
      </c>
      <c r="T97" t="str">
        <f>IF(R97&lt;&gt;"",IF(Input!N97&lt;&gt;"",ROUNDDOWN(Input!N97,0),0),"")</f>
        <v/>
      </c>
      <c r="U97" t="str">
        <f>IF(Input!O97&lt;&gt;"",Input!O97,"")</f>
        <v/>
      </c>
      <c r="V97" t="str">
        <f t="shared" si="15"/>
        <v/>
      </c>
      <c r="W97" t="str">
        <f>IF(U97&lt;&gt;"",IF(Input!Q97&lt;&gt;"",ROUNDDOWN(Input!Q97,0),0),"")</f>
        <v/>
      </c>
      <c r="X97" t="str">
        <f>IF(Input!R97&lt;&gt;"",Input!R97,"")</f>
        <v/>
      </c>
      <c r="Y97" t="str">
        <f t="shared" si="16"/>
        <v/>
      </c>
      <c r="Z97" t="str">
        <f>IF(X97&lt;&gt;"",IF(Input!T97&lt;&gt;"",ROUNDDOWN(Input!T97,0),0),"")</f>
        <v/>
      </c>
      <c r="AA97" t="str">
        <f>IF(Input!U97&lt;&gt;"",Input!U97,"")</f>
        <v/>
      </c>
      <c r="AB97" t="str">
        <f t="shared" si="17"/>
        <v/>
      </c>
      <c r="AC97" t="str">
        <f>IF(AA97&lt;&gt;"",IF(Input!W97&lt;&gt;"",ROUNDDOWN(Input!W97,0),0),"")</f>
        <v/>
      </c>
      <c r="AD97" t="str">
        <f>IF(Input!X97&lt;&gt;"",Input!X97,"")</f>
        <v/>
      </c>
      <c r="AE97" t="str">
        <f t="shared" si="18"/>
        <v/>
      </c>
      <c r="AF97" t="str">
        <f>IF(AD97&lt;&gt;"",IF(Input!Z97&lt;&gt;"",ROUNDDOWN(Input!Z97,0),0),"")</f>
        <v/>
      </c>
      <c r="AG97" t="str">
        <f>IF(Input!AA97&lt;&gt;"",Input!AA97,"")</f>
        <v/>
      </c>
      <c r="AH97" t="str">
        <f t="shared" si="19"/>
        <v/>
      </c>
      <c r="AI97" t="str">
        <f>IF(AG97&lt;&gt;"",IF(Input!AC97&lt;&gt;"",ROUNDDOWN(Input!AC97,0),0),"")</f>
        <v/>
      </c>
      <c r="AJ97" t="str">
        <f>IF(Input!AD97&lt;&gt;"",Input!AD97,"")</f>
        <v/>
      </c>
      <c r="AK97" t="str">
        <f t="shared" si="20"/>
        <v/>
      </c>
      <c r="AL97" t="str">
        <f>IF(AJ97&lt;&gt;"",IF(Input!AF97&lt;&gt;"",ROUNDDOWN(Input!AF97,0),0),"")</f>
        <v/>
      </c>
      <c r="AM97" t="str">
        <f>IF(Input!AG97&lt;&gt;"",Input!AG97,"")</f>
        <v/>
      </c>
      <c r="AN97" t="str">
        <f t="shared" si="21"/>
        <v/>
      </c>
      <c r="AO97" t="str">
        <f>IF(AM97&lt;&gt;"",IF(Input!AI97&lt;&gt;"",ROUNDDOWN(Input!AI97,0),0),"")</f>
        <v/>
      </c>
    </row>
    <row r="98" spans="1:41" ht="16.5" thickTop="1" thickBot="1" x14ac:dyDescent="0.4">
      <c r="A98" s="100">
        <f>IF(ISBLANK(Input!A98),1000,IF(Input!E98&gt;0,Input!E98+F98,1000))</f>
        <v>1000</v>
      </c>
      <c r="B98" s="101">
        <f t="shared" si="11"/>
        <v>1000</v>
      </c>
      <c r="C98" s="4">
        <v>97</v>
      </c>
      <c r="D98" s="29">
        <f>IF(ISBLANK(Input!A98),1000,IF(Input!G98&gt;0,Input!G98+F98,1000))</f>
        <v>1000</v>
      </c>
      <c r="E98" s="29">
        <f t="shared" si="12"/>
        <v>1000</v>
      </c>
      <c r="F98" s="4">
        <v>9.6999999999999906E-2</v>
      </c>
      <c r="I98" t="str">
        <f>IF(Input!A98&gt;0,Input!A98,"")</f>
        <v/>
      </c>
      <c r="J98" t="str">
        <f>IF(Input!B98&gt;0,Input!B98,"")</f>
        <v/>
      </c>
      <c r="K98" t="str">
        <f>IF(Input!C98&gt;0,Input!C98,"")</f>
        <v/>
      </c>
      <c r="L98" t="str">
        <f>IF(Input!D98&gt;0,Input!D98,"")</f>
        <v/>
      </c>
      <c r="M98" t="str">
        <f>IF(Input!E98&gt;0,Input!E98,"")</f>
        <v xml:space="preserve"> </v>
      </c>
      <c r="N98" t="str">
        <f>IF(Input!F98&gt;0,Input!F98,"")</f>
        <v xml:space="preserve"> </v>
      </c>
      <c r="O98" t="str">
        <f>IF(Input!I98&lt;&gt;"",Input!I98,"")</f>
        <v/>
      </c>
      <c r="P98" t="str">
        <f t="shared" si="13"/>
        <v/>
      </c>
      <c r="Q98" t="str">
        <f>IF(O98&lt;&gt;"",IF(Input!K98&lt;&gt;"",ROUNDDOWN(Input!K98,0),0),"")</f>
        <v/>
      </c>
      <c r="R98" t="str">
        <f>IF(Input!L98&lt;&gt;"",Input!L98,"")</f>
        <v/>
      </c>
      <c r="S98" t="str">
        <f t="shared" si="14"/>
        <v/>
      </c>
      <c r="T98" t="str">
        <f>IF(R98&lt;&gt;"",IF(Input!N98&lt;&gt;"",ROUNDDOWN(Input!N98,0),0),"")</f>
        <v/>
      </c>
      <c r="U98" t="str">
        <f>IF(Input!O98&lt;&gt;"",Input!O98,"")</f>
        <v/>
      </c>
      <c r="V98" t="str">
        <f t="shared" si="15"/>
        <v/>
      </c>
      <c r="W98" t="str">
        <f>IF(U98&lt;&gt;"",IF(Input!Q98&lt;&gt;"",ROUNDDOWN(Input!Q98,0),0),"")</f>
        <v/>
      </c>
      <c r="X98" t="str">
        <f>IF(Input!R98&lt;&gt;"",Input!R98,"")</f>
        <v/>
      </c>
      <c r="Y98" t="str">
        <f t="shared" si="16"/>
        <v/>
      </c>
      <c r="Z98" t="str">
        <f>IF(X98&lt;&gt;"",IF(Input!T98&lt;&gt;"",ROUNDDOWN(Input!T98,0),0),"")</f>
        <v/>
      </c>
      <c r="AA98" t="str">
        <f>IF(Input!U98&lt;&gt;"",Input!U98,"")</f>
        <v/>
      </c>
      <c r="AB98" t="str">
        <f t="shared" si="17"/>
        <v/>
      </c>
      <c r="AC98" t="str">
        <f>IF(AA98&lt;&gt;"",IF(Input!W98&lt;&gt;"",ROUNDDOWN(Input!W98,0),0),"")</f>
        <v/>
      </c>
      <c r="AD98" t="str">
        <f>IF(Input!X98&lt;&gt;"",Input!X98,"")</f>
        <v/>
      </c>
      <c r="AE98" t="str">
        <f t="shared" si="18"/>
        <v/>
      </c>
      <c r="AF98" t="str">
        <f>IF(AD98&lt;&gt;"",IF(Input!Z98&lt;&gt;"",ROUNDDOWN(Input!Z98,0),0),"")</f>
        <v/>
      </c>
      <c r="AG98" t="str">
        <f>IF(Input!AA98&lt;&gt;"",Input!AA98,"")</f>
        <v/>
      </c>
      <c r="AH98" t="str">
        <f t="shared" si="19"/>
        <v/>
      </c>
      <c r="AI98" t="str">
        <f>IF(AG98&lt;&gt;"",IF(Input!AC98&lt;&gt;"",ROUNDDOWN(Input!AC98,0),0),"")</f>
        <v/>
      </c>
      <c r="AJ98" t="str">
        <f>IF(Input!AD98&lt;&gt;"",Input!AD98,"")</f>
        <v/>
      </c>
      <c r="AK98" t="str">
        <f t="shared" si="20"/>
        <v/>
      </c>
      <c r="AL98" t="str">
        <f>IF(AJ98&lt;&gt;"",IF(Input!AF98&lt;&gt;"",ROUNDDOWN(Input!AF98,0),0),"")</f>
        <v/>
      </c>
      <c r="AM98" t="str">
        <f>IF(Input!AG98&lt;&gt;"",Input!AG98,"")</f>
        <v/>
      </c>
      <c r="AN98" t="str">
        <f t="shared" si="21"/>
        <v/>
      </c>
      <c r="AO98" t="str">
        <f>IF(AM98&lt;&gt;"",IF(Input!AI98&lt;&gt;"",ROUNDDOWN(Input!AI98,0),0),"")</f>
        <v/>
      </c>
    </row>
    <row r="99" spans="1:41" ht="16.5" thickTop="1" thickBot="1" x14ac:dyDescent="0.4">
      <c r="A99" s="100">
        <f>IF(ISBLANK(Input!A99),1000,IF(Input!E99&gt;0,Input!E99+F99,1000))</f>
        <v>1000</v>
      </c>
      <c r="B99" s="101">
        <f t="shared" si="11"/>
        <v>1000</v>
      </c>
      <c r="C99" s="4">
        <v>98</v>
      </c>
      <c r="D99" s="29">
        <f>IF(ISBLANK(Input!A99),1000,IF(Input!G99&gt;0,Input!G99+F99,1000))</f>
        <v>1000</v>
      </c>
      <c r="E99" s="29">
        <f t="shared" si="12"/>
        <v>1000</v>
      </c>
      <c r="F99" s="4">
        <v>9.7999999999999907E-2</v>
      </c>
      <c r="I99" t="str">
        <f>IF(Input!A99&gt;0,Input!A99,"")</f>
        <v/>
      </c>
      <c r="J99" t="str">
        <f>IF(Input!B99&gt;0,Input!B99,"")</f>
        <v/>
      </c>
      <c r="K99" t="str">
        <f>IF(Input!C99&gt;0,Input!C99,"")</f>
        <v/>
      </c>
      <c r="L99" t="str">
        <f>IF(Input!D99&gt;0,Input!D99,"")</f>
        <v/>
      </c>
      <c r="M99" t="str">
        <f>IF(Input!E99&gt;0,Input!E99,"")</f>
        <v xml:space="preserve"> </v>
      </c>
      <c r="N99" t="str">
        <f>IF(Input!F99&gt;0,Input!F99,"")</f>
        <v xml:space="preserve"> </v>
      </c>
      <c r="O99" t="str">
        <f>IF(Input!I99&lt;&gt;"",Input!I99,"")</f>
        <v/>
      </c>
      <c r="P99" t="str">
        <f t="shared" si="13"/>
        <v/>
      </c>
      <c r="Q99" t="str">
        <f>IF(O99&lt;&gt;"",IF(Input!K99&lt;&gt;"",ROUNDDOWN(Input!K99,0),0),"")</f>
        <v/>
      </c>
      <c r="R99" t="str">
        <f>IF(Input!L99&lt;&gt;"",Input!L99,"")</f>
        <v/>
      </c>
      <c r="S99" t="str">
        <f t="shared" si="14"/>
        <v/>
      </c>
      <c r="T99" t="str">
        <f>IF(R99&lt;&gt;"",IF(Input!N99&lt;&gt;"",ROUNDDOWN(Input!N99,0),0),"")</f>
        <v/>
      </c>
      <c r="U99" t="str">
        <f>IF(Input!O99&lt;&gt;"",Input!O99,"")</f>
        <v/>
      </c>
      <c r="V99" t="str">
        <f t="shared" si="15"/>
        <v/>
      </c>
      <c r="W99" t="str">
        <f>IF(U99&lt;&gt;"",IF(Input!Q99&lt;&gt;"",ROUNDDOWN(Input!Q99,0),0),"")</f>
        <v/>
      </c>
      <c r="X99" t="str">
        <f>IF(Input!R99&lt;&gt;"",Input!R99,"")</f>
        <v/>
      </c>
      <c r="Y99" t="str">
        <f t="shared" si="16"/>
        <v/>
      </c>
      <c r="Z99" t="str">
        <f>IF(X99&lt;&gt;"",IF(Input!T99&lt;&gt;"",ROUNDDOWN(Input!T99,0),0),"")</f>
        <v/>
      </c>
      <c r="AA99" t="str">
        <f>IF(Input!U99&lt;&gt;"",Input!U99,"")</f>
        <v/>
      </c>
      <c r="AB99" t="str">
        <f t="shared" si="17"/>
        <v/>
      </c>
      <c r="AC99" t="str">
        <f>IF(AA99&lt;&gt;"",IF(Input!W99&lt;&gt;"",ROUNDDOWN(Input!W99,0),0),"")</f>
        <v/>
      </c>
      <c r="AD99" t="str">
        <f>IF(Input!X99&lt;&gt;"",Input!X99,"")</f>
        <v/>
      </c>
      <c r="AE99" t="str">
        <f t="shared" si="18"/>
        <v/>
      </c>
      <c r="AF99" t="str">
        <f>IF(AD99&lt;&gt;"",IF(Input!Z99&lt;&gt;"",ROUNDDOWN(Input!Z99,0),0),"")</f>
        <v/>
      </c>
      <c r="AG99" t="str">
        <f>IF(Input!AA99&lt;&gt;"",Input!AA99,"")</f>
        <v/>
      </c>
      <c r="AH99" t="str">
        <f t="shared" si="19"/>
        <v/>
      </c>
      <c r="AI99" t="str">
        <f>IF(AG99&lt;&gt;"",IF(Input!AC99&lt;&gt;"",ROUNDDOWN(Input!AC99,0),0),"")</f>
        <v/>
      </c>
      <c r="AJ99" t="str">
        <f>IF(Input!AD99&lt;&gt;"",Input!AD99,"")</f>
        <v/>
      </c>
      <c r="AK99" t="str">
        <f t="shared" si="20"/>
        <v/>
      </c>
      <c r="AL99" t="str">
        <f>IF(AJ99&lt;&gt;"",IF(Input!AF99&lt;&gt;"",ROUNDDOWN(Input!AF99,0),0),"")</f>
        <v/>
      </c>
      <c r="AM99" t="str">
        <f>IF(Input!AG99&lt;&gt;"",Input!AG99,"")</f>
        <v/>
      </c>
      <c r="AN99" t="str">
        <f t="shared" si="21"/>
        <v/>
      </c>
      <c r="AO99" t="str">
        <f>IF(AM99&lt;&gt;"",IF(Input!AI99&lt;&gt;"",ROUNDDOWN(Input!AI99,0),0),"")</f>
        <v/>
      </c>
    </row>
    <row r="100" spans="1:41" ht="16.5" thickTop="1" thickBot="1" x14ac:dyDescent="0.4">
      <c r="A100" s="100">
        <f>IF(ISBLANK(Input!A100),1000,IF(Input!E100&gt;0,Input!E100+F100,1000))</f>
        <v>1000</v>
      </c>
      <c r="B100" s="101">
        <f t="shared" si="11"/>
        <v>1000</v>
      </c>
      <c r="C100" s="4">
        <v>99</v>
      </c>
      <c r="D100" s="29">
        <f>IF(ISBLANK(Input!A100),1000,IF(Input!G100&gt;0,Input!G100+F100,1000))</f>
        <v>1000</v>
      </c>
      <c r="E100" s="29">
        <f t="shared" si="12"/>
        <v>1000</v>
      </c>
      <c r="F100" s="4">
        <v>9.8999999999999894E-2</v>
      </c>
      <c r="I100" t="str">
        <f>IF(Input!A100&gt;0,Input!A100,"")</f>
        <v/>
      </c>
      <c r="J100" t="str">
        <f>IF(Input!B100&gt;0,Input!B100,"")</f>
        <v/>
      </c>
      <c r="K100" t="str">
        <f>IF(Input!C100&gt;0,Input!C100,"")</f>
        <v/>
      </c>
      <c r="L100" t="str">
        <f>IF(Input!D100&gt;0,Input!D100,"")</f>
        <v/>
      </c>
      <c r="M100" t="str">
        <f>IF(Input!E100&gt;0,Input!E100,"")</f>
        <v xml:space="preserve"> </v>
      </c>
      <c r="N100" t="str">
        <f>IF(Input!F100&gt;0,Input!F100,"")</f>
        <v xml:space="preserve"> </v>
      </c>
      <c r="O100" t="str">
        <f>IF(Input!I100&lt;&gt;"",Input!I100,"")</f>
        <v/>
      </c>
      <c r="P100" t="str">
        <f t="shared" si="13"/>
        <v/>
      </c>
      <c r="Q100" t="str">
        <f>IF(O100&lt;&gt;"",IF(Input!K100&lt;&gt;"",ROUNDDOWN(Input!K100,0),0),"")</f>
        <v/>
      </c>
      <c r="R100" t="str">
        <f>IF(Input!L100&lt;&gt;"",Input!L100,"")</f>
        <v/>
      </c>
      <c r="S100" t="str">
        <f t="shared" si="14"/>
        <v/>
      </c>
      <c r="T100" t="str">
        <f>IF(R100&lt;&gt;"",IF(Input!N100&lt;&gt;"",ROUNDDOWN(Input!N100,0),0),"")</f>
        <v/>
      </c>
      <c r="U100" t="str">
        <f>IF(Input!O100&lt;&gt;"",Input!O100,"")</f>
        <v/>
      </c>
      <c r="V100" t="str">
        <f t="shared" si="15"/>
        <v/>
      </c>
      <c r="W100" t="str">
        <f>IF(U100&lt;&gt;"",IF(Input!Q100&lt;&gt;"",ROUNDDOWN(Input!Q100,0),0),"")</f>
        <v/>
      </c>
      <c r="X100" t="str">
        <f>IF(Input!R100&lt;&gt;"",Input!R100,"")</f>
        <v/>
      </c>
      <c r="Y100" t="str">
        <f t="shared" si="16"/>
        <v/>
      </c>
      <c r="Z100" t="str">
        <f>IF(X100&lt;&gt;"",IF(Input!T100&lt;&gt;"",ROUNDDOWN(Input!T100,0),0),"")</f>
        <v/>
      </c>
      <c r="AA100" t="str">
        <f>IF(Input!U100&lt;&gt;"",Input!U100,"")</f>
        <v/>
      </c>
      <c r="AB100" t="str">
        <f t="shared" si="17"/>
        <v/>
      </c>
      <c r="AC100" t="str">
        <f>IF(AA100&lt;&gt;"",IF(Input!W100&lt;&gt;"",ROUNDDOWN(Input!W100,0),0),"")</f>
        <v/>
      </c>
      <c r="AD100" t="str">
        <f>IF(Input!X100&lt;&gt;"",Input!X100,"")</f>
        <v/>
      </c>
      <c r="AE100" t="str">
        <f t="shared" si="18"/>
        <v/>
      </c>
      <c r="AF100" t="str">
        <f>IF(AD100&lt;&gt;"",IF(Input!Z100&lt;&gt;"",ROUNDDOWN(Input!Z100,0),0),"")</f>
        <v/>
      </c>
      <c r="AG100" t="str">
        <f>IF(Input!AA100&lt;&gt;"",Input!AA100,"")</f>
        <v/>
      </c>
      <c r="AH100" t="str">
        <f t="shared" si="19"/>
        <v/>
      </c>
      <c r="AI100" t="str">
        <f>IF(AG100&lt;&gt;"",IF(Input!AC100&lt;&gt;"",ROUNDDOWN(Input!AC100,0),0),"")</f>
        <v/>
      </c>
      <c r="AJ100" t="str">
        <f>IF(Input!AD100&lt;&gt;"",Input!AD100,"")</f>
        <v/>
      </c>
      <c r="AK100" t="str">
        <f t="shared" si="20"/>
        <v/>
      </c>
      <c r="AL100" t="str">
        <f>IF(AJ100&lt;&gt;"",IF(Input!AF100&lt;&gt;"",ROUNDDOWN(Input!AF100,0),0),"")</f>
        <v/>
      </c>
      <c r="AM100" t="str">
        <f>IF(Input!AG100&lt;&gt;"",Input!AG100,"")</f>
        <v/>
      </c>
      <c r="AN100" t="str">
        <f t="shared" si="21"/>
        <v/>
      </c>
      <c r="AO100" t="str">
        <f>IF(AM100&lt;&gt;"",IF(Input!AI100&lt;&gt;"",ROUNDDOWN(Input!AI100,0),0),"")</f>
        <v/>
      </c>
    </row>
    <row r="101" spans="1:41" ht="16.5" thickTop="1" thickBot="1" x14ac:dyDescent="0.4">
      <c r="A101" s="100">
        <f>IF(ISBLANK(Input!A101),1000,IF(Input!E101&gt;0,Input!E101+F101,1000))</f>
        <v>1000</v>
      </c>
      <c r="B101" s="101">
        <f t="shared" si="11"/>
        <v>1000</v>
      </c>
      <c r="C101" s="4">
        <v>100</v>
      </c>
      <c r="D101" s="29">
        <f>IF(ISBLANK(Input!A101),1000,IF(Input!G101&gt;0,Input!G101+F101,1000))</f>
        <v>1000</v>
      </c>
      <c r="E101" s="29">
        <f t="shared" si="12"/>
        <v>1000</v>
      </c>
      <c r="F101" s="4">
        <v>9.9999999999999895E-2</v>
      </c>
      <c r="I101" t="str">
        <f>IF(Input!A101&gt;0,Input!A101,"")</f>
        <v/>
      </c>
      <c r="J101" t="str">
        <f>IF(Input!B101&gt;0,Input!B101,"")</f>
        <v/>
      </c>
      <c r="K101" t="str">
        <f>IF(Input!C101&gt;0,Input!C101,"")</f>
        <v/>
      </c>
      <c r="L101" t="str">
        <f>IF(Input!D101&gt;0,Input!D101,"")</f>
        <v/>
      </c>
      <c r="M101" t="str">
        <f>IF(Input!E101&gt;0,Input!E101,"")</f>
        <v xml:space="preserve"> </v>
      </c>
      <c r="N101" t="str">
        <f>IF(Input!F101&gt;0,Input!F101,"")</f>
        <v xml:space="preserve"> </v>
      </c>
      <c r="O101" t="str">
        <f>IF(Input!I101&lt;&gt;"",Input!I101,"")</f>
        <v/>
      </c>
      <c r="P101" t="str">
        <f t="shared" si="13"/>
        <v/>
      </c>
      <c r="Q101" t="str">
        <f>IF(O101&lt;&gt;"",IF(Input!K101&lt;&gt;"",ROUNDDOWN(Input!K101,0),0),"")</f>
        <v/>
      </c>
      <c r="R101" t="str">
        <f>IF(Input!L101&lt;&gt;"",Input!L101,"")</f>
        <v/>
      </c>
      <c r="S101" t="str">
        <f t="shared" si="14"/>
        <v/>
      </c>
      <c r="T101" t="str">
        <f>IF(R101&lt;&gt;"",IF(Input!N101&lt;&gt;"",ROUNDDOWN(Input!N101,0),0),"")</f>
        <v/>
      </c>
      <c r="U101" t="str">
        <f>IF(Input!O101&lt;&gt;"",Input!O101,"")</f>
        <v/>
      </c>
      <c r="V101" t="str">
        <f t="shared" si="15"/>
        <v/>
      </c>
      <c r="W101" t="str">
        <f>IF(U101&lt;&gt;"",IF(Input!Q101&lt;&gt;"",ROUNDDOWN(Input!Q101,0),0),"")</f>
        <v/>
      </c>
      <c r="X101" t="str">
        <f>IF(Input!R101&lt;&gt;"",Input!R101,"")</f>
        <v/>
      </c>
      <c r="Y101" t="str">
        <f t="shared" si="16"/>
        <v/>
      </c>
      <c r="Z101" t="str">
        <f>IF(X101&lt;&gt;"",IF(Input!T101&lt;&gt;"",ROUNDDOWN(Input!T101,0),0),"")</f>
        <v/>
      </c>
      <c r="AA101" t="str">
        <f>IF(Input!U101&lt;&gt;"",Input!U101,"")</f>
        <v/>
      </c>
      <c r="AB101" t="str">
        <f t="shared" si="17"/>
        <v/>
      </c>
      <c r="AC101" t="str">
        <f>IF(AA101&lt;&gt;"",IF(Input!W101&lt;&gt;"",ROUNDDOWN(Input!W101,0),0),"")</f>
        <v/>
      </c>
      <c r="AD101" t="str">
        <f>IF(Input!X101&lt;&gt;"",Input!X101,"")</f>
        <v/>
      </c>
      <c r="AE101" t="str">
        <f t="shared" si="18"/>
        <v/>
      </c>
      <c r="AF101" t="str">
        <f>IF(AD101&lt;&gt;"",IF(Input!Z101&lt;&gt;"",ROUNDDOWN(Input!Z101,0),0),"")</f>
        <v/>
      </c>
      <c r="AG101" t="str">
        <f>IF(Input!AA101&lt;&gt;"",Input!AA101,"")</f>
        <v/>
      </c>
      <c r="AH101" t="str">
        <f t="shared" si="19"/>
        <v/>
      </c>
      <c r="AI101" t="str">
        <f>IF(AG101&lt;&gt;"",IF(Input!AC101&lt;&gt;"",ROUNDDOWN(Input!AC101,0),0),"")</f>
        <v/>
      </c>
      <c r="AJ101" t="str">
        <f>IF(Input!AD101&lt;&gt;"",Input!AD101,"")</f>
        <v/>
      </c>
      <c r="AK101" t="str">
        <f t="shared" si="20"/>
        <v/>
      </c>
      <c r="AL101" t="str">
        <f>IF(AJ101&lt;&gt;"",IF(Input!AF101&lt;&gt;"",ROUNDDOWN(Input!AF101,0),0),"")</f>
        <v/>
      </c>
      <c r="AM101" t="str">
        <f>IF(Input!AG101&lt;&gt;"",Input!AG101,"")</f>
        <v/>
      </c>
      <c r="AN101" t="str">
        <f t="shared" si="21"/>
        <v/>
      </c>
      <c r="AO101" t="str">
        <f>IF(AM101&lt;&gt;"",IF(Input!AI101&lt;&gt;"",ROUNDDOWN(Input!AI101,0),0),"")</f>
        <v/>
      </c>
    </row>
    <row r="102" spans="1:41" ht="16.5" thickTop="1" thickBot="1" x14ac:dyDescent="0.4">
      <c r="A102" s="100">
        <f>IF(ISBLANK(Input!A102),1000,IF(Input!E102&gt;0,Input!E102+F102,1000))</f>
        <v>1000</v>
      </c>
      <c r="B102" s="101">
        <f t="shared" si="11"/>
        <v>1000</v>
      </c>
      <c r="C102" s="4">
        <v>101</v>
      </c>
      <c r="D102" s="29">
        <f>IF(ISBLANK(Input!A102),1000,IF(Input!G102&gt;0,Input!G102+F102,1000))</f>
        <v>1000</v>
      </c>
      <c r="E102" s="29">
        <f t="shared" si="12"/>
        <v>1000</v>
      </c>
      <c r="F102" s="4">
        <v>0.10100000000000001</v>
      </c>
      <c r="I102" t="str">
        <f>IF(Input!A102&gt;0,Input!A102,"")</f>
        <v/>
      </c>
      <c r="J102" t="str">
        <f>IF(Input!B102&gt;0,Input!B102,"")</f>
        <v/>
      </c>
      <c r="K102" t="str">
        <f>IF(Input!C102&gt;0,Input!C102,"")</f>
        <v/>
      </c>
      <c r="L102" t="str">
        <f>IF(Input!D102&gt;0,Input!D102,"")</f>
        <v/>
      </c>
      <c r="M102" t="str">
        <f>IF(Input!E102&gt;0,Input!E102,"")</f>
        <v xml:space="preserve"> </v>
      </c>
      <c r="N102" t="str">
        <f>IF(Input!F102&gt;0,Input!F102,"")</f>
        <v xml:space="preserve"> </v>
      </c>
      <c r="O102" t="str">
        <f>IF(Input!I102&lt;&gt;"",Input!I102,"")</f>
        <v/>
      </c>
      <c r="P102" t="str">
        <f t="shared" si="13"/>
        <v/>
      </c>
      <c r="Q102" t="str">
        <f>IF(O102&lt;&gt;"",IF(Input!K102&lt;&gt;"",ROUNDDOWN(Input!K102,0),0),"")</f>
        <v/>
      </c>
      <c r="R102" t="str">
        <f>IF(Input!L102&lt;&gt;"",Input!L102,"")</f>
        <v/>
      </c>
      <c r="S102" t="str">
        <f t="shared" si="14"/>
        <v/>
      </c>
      <c r="T102" t="str">
        <f>IF(R102&lt;&gt;"",IF(Input!N102&lt;&gt;"",ROUNDDOWN(Input!N102,0),0),"")</f>
        <v/>
      </c>
      <c r="U102" t="str">
        <f>IF(Input!O102&lt;&gt;"",Input!O102,"")</f>
        <v/>
      </c>
      <c r="V102" t="str">
        <f t="shared" si="15"/>
        <v/>
      </c>
      <c r="W102" t="str">
        <f>IF(U102&lt;&gt;"",IF(Input!Q102&lt;&gt;"",ROUNDDOWN(Input!Q102,0),0),"")</f>
        <v/>
      </c>
      <c r="X102" t="str">
        <f>IF(Input!R102&lt;&gt;"",Input!R102,"")</f>
        <v/>
      </c>
      <c r="Y102" t="str">
        <f t="shared" si="16"/>
        <v/>
      </c>
      <c r="Z102" t="str">
        <f>IF(X102&lt;&gt;"",IF(Input!T102&lt;&gt;"",ROUNDDOWN(Input!T102,0),0),"")</f>
        <v/>
      </c>
      <c r="AA102" t="str">
        <f>IF(Input!U102&lt;&gt;"",Input!U102,"")</f>
        <v/>
      </c>
      <c r="AB102" t="str">
        <f t="shared" si="17"/>
        <v/>
      </c>
      <c r="AC102" t="str">
        <f>IF(AA102&lt;&gt;"",IF(Input!W102&lt;&gt;"",ROUNDDOWN(Input!W102,0),0),"")</f>
        <v/>
      </c>
      <c r="AD102" t="str">
        <f>IF(Input!X102&lt;&gt;"",Input!X102,"")</f>
        <v/>
      </c>
      <c r="AE102" t="str">
        <f t="shared" si="18"/>
        <v/>
      </c>
      <c r="AF102" t="str">
        <f>IF(AD102&lt;&gt;"",IF(Input!Z102&lt;&gt;"",ROUNDDOWN(Input!Z102,0),0),"")</f>
        <v/>
      </c>
      <c r="AG102" t="str">
        <f>IF(Input!AA102&lt;&gt;"",Input!AA102,"")</f>
        <v/>
      </c>
      <c r="AH102" t="str">
        <f t="shared" si="19"/>
        <v/>
      </c>
      <c r="AI102" t="str">
        <f>IF(AG102&lt;&gt;"",IF(Input!AC102&lt;&gt;"",ROUNDDOWN(Input!AC102,0),0),"")</f>
        <v/>
      </c>
      <c r="AJ102" t="str">
        <f>IF(Input!AD102&lt;&gt;"",Input!AD102,"")</f>
        <v/>
      </c>
      <c r="AK102" t="str">
        <f t="shared" si="20"/>
        <v/>
      </c>
      <c r="AL102" t="str">
        <f>IF(AJ102&lt;&gt;"",IF(Input!AF102&lt;&gt;"",ROUNDDOWN(Input!AF102,0),0),"")</f>
        <v/>
      </c>
      <c r="AM102" t="str">
        <f>IF(Input!AG102&lt;&gt;"",Input!AG102,"")</f>
        <v/>
      </c>
      <c r="AN102" t="str">
        <f t="shared" si="21"/>
        <v/>
      </c>
      <c r="AO102" t="str">
        <f>IF(AM102&lt;&gt;"",IF(Input!AI102&lt;&gt;"",ROUNDDOWN(Input!AI102,0),0),"")</f>
        <v/>
      </c>
    </row>
    <row r="103" spans="1:41" ht="16.5" thickTop="1" thickBot="1" x14ac:dyDescent="0.4">
      <c r="A103" s="100">
        <f>IF(ISBLANK(Input!A103),1000,IF(Input!E103&gt;0,Input!E103+F103,1000))</f>
        <v>1000</v>
      </c>
      <c r="B103" s="101">
        <f t="shared" si="11"/>
        <v>1000</v>
      </c>
      <c r="C103" s="4">
        <v>102</v>
      </c>
      <c r="D103" s="29">
        <f>IF(ISBLANK(Input!A103),1000,IF(Input!G103&gt;0,Input!G103+F103,1000))</f>
        <v>1000</v>
      </c>
      <c r="E103" s="29">
        <f t="shared" si="12"/>
        <v>1000</v>
      </c>
      <c r="F103" s="4">
        <v>0.10199999999999999</v>
      </c>
      <c r="I103" t="str">
        <f>IF(Input!A103&gt;0,Input!A103,"")</f>
        <v/>
      </c>
      <c r="J103" t="str">
        <f>IF(Input!B103&gt;0,Input!B103,"")</f>
        <v/>
      </c>
      <c r="K103" t="str">
        <f>IF(Input!C103&gt;0,Input!C103,"")</f>
        <v/>
      </c>
      <c r="L103" t="str">
        <f>IF(Input!D103&gt;0,Input!D103,"")</f>
        <v/>
      </c>
      <c r="M103" t="str">
        <f>IF(Input!E103&gt;0,Input!E103,"")</f>
        <v xml:space="preserve"> </v>
      </c>
      <c r="N103" t="str">
        <f>IF(Input!F103&gt;0,Input!F103,"")</f>
        <v xml:space="preserve"> </v>
      </c>
      <c r="O103" t="str">
        <f>IF(Input!I103&lt;&gt;"",Input!I103,"")</f>
        <v/>
      </c>
      <c r="P103" t="str">
        <f t="shared" si="13"/>
        <v/>
      </c>
      <c r="Q103" t="str">
        <f>IF(O103&lt;&gt;"",IF(Input!K103&lt;&gt;"",ROUNDDOWN(Input!K103,0),0),"")</f>
        <v/>
      </c>
      <c r="R103" t="str">
        <f>IF(Input!L103&lt;&gt;"",Input!L103,"")</f>
        <v/>
      </c>
      <c r="S103" t="str">
        <f t="shared" si="14"/>
        <v/>
      </c>
      <c r="T103" t="str">
        <f>IF(R103&lt;&gt;"",IF(Input!N103&lt;&gt;"",ROUNDDOWN(Input!N103,0),0),"")</f>
        <v/>
      </c>
      <c r="U103" t="str">
        <f>IF(Input!O103&lt;&gt;"",Input!O103,"")</f>
        <v/>
      </c>
      <c r="V103" t="str">
        <f t="shared" si="15"/>
        <v/>
      </c>
      <c r="W103" t="str">
        <f>IF(U103&lt;&gt;"",IF(Input!Q103&lt;&gt;"",ROUNDDOWN(Input!Q103,0),0),"")</f>
        <v/>
      </c>
      <c r="X103" t="str">
        <f>IF(Input!R103&lt;&gt;"",Input!R103,"")</f>
        <v/>
      </c>
      <c r="Y103" t="str">
        <f t="shared" si="16"/>
        <v/>
      </c>
      <c r="Z103" t="str">
        <f>IF(X103&lt;&gt;"",IF(Input!T103&lt;&gt;"",ROUNDDOWN(Input!T103,0),0),"")</f>
        <v/>
      </c>
      <c r="AA103" t="str">
        <f>IF(Input!U103&lt;&gt;"",Input!U103,"")</f>
        <v/>
      </c>
      <c r="AB103" t="str">
        <f t="shared" si="17"/>
        <v/>
      </c>
      <c r="AC103" t="str">
        <f>IF(AA103&lt;&gt;"",IF(Input!W103&lt;&gt;"",ROUNDDOWN(Input!W103,0),0),"")</f>
        <v/>
      </c>
      <c r="AD103" t="str">
        <f>IF(Input!X103&lt;&gt;"",Input!X103,"")</f>
        <v/>
      </c>
      <c r="AE103" t="str">
        <f t="shared" si="18"/>
        <v/>
      </c>
      <c r="AF103" t="str">
        <f>IF(AD103&lt;&gt;"",IF(Input!Z103&lt;&gt;"",ROUNDDOWN(Input!Z103,0),0),"")</f>
        <v/>
      </c>
      <c r="AG103" t="str">
        <f>IF(Input!AA103&lt;&gt;"",Input!AA103,"")</f>
        <v/>
      </c>
      <c r="AH103" t="str">
        <f t="shared" si="19"/>
        <v/>
      </c>
      <c r="AI103" t="str">
        <f>IF(AG103&lt;&gt;"",IF(Input!AC103&lt;&gt;"",ROUNDDOWN(Input!AC103,0),0),"")</f>
        <v/>
      </c>
      <c r="AJ103" t="str">
        <f>IF(Input!AD103&lt;&gt;"",Input!AD103,"")</f>
        <v/>
      </c>
      <c r="AK103" t="str">
        <f t="shared" si="20"/>
        <v/>
      </c>
      <c r="AL103" t="str">
        <f>IF(AJ103&lt;&gt;"",IF(Input!AF103&lt;&gt;"",ROUNDDOWN(Input!AF103,0),0),"")</f>
        <v/>
      </c>
      <c r="AM103" t="str">
        <f>IF(Input!AG103&lt;&gt;"",Input!AG103,"")</f>
        <v/>
      </c>
      <c r="AN103" t="str">
        <f t="shared" si="21"/>
        <v/>
      </c>
      <c r="AO103" t="str">
        <f>IF(AM103&lt;&gt;"",IF(Input!AI103&lt;&gt;"",ROUNDDOWN(Input!AI103,0),0),"")</f>
        <v/>
      </c>
    </row>
    <row r="104" spans="1:41" ht="16.5" thickTop="1" thickBot="1" x14ac:dyDescent="0.4">
      <c r="A104" s="100">
        <f>IF(ISBLANK(Input!A104),1000,IF(Input!E104&gt;0,Input!E104+F104,1000))</f>
        <v>1000</v>
      </c>
      <c r="B104" s="101">
        <f t="shared" si="11"/>
        <v>1000</v>
      </c>
      <c r="C104" s="4">
        <v>103</v>
      </c>
      <c r="D104" s="29">
        <f>IF(ISBLANK(Input!A104),1000,IF(Input!G104&gt;0,Input!G104+F104,1000))</f>
        <v>1000</v>
      </c>
      <c r="E104" s="29">
        <f t="shared" si="12"/>
        <v>1000</v>
      </c>
      <c r="F104" s="4">
        <v>0.10299999999999999</v>
      </c>
      <c r="I104" t="str">
        <f>IF(Input!A104&gt;0,Input!A104,"")</f>
        <v/>
      </c>
      <c r="J104" t="str">
        <f>IF(Input!B104&gt;0,Input!B104,"")</f>
        <v/>
      </c>
      <c r="K104" t="str">
        <f>IF(Input!C104&gt;0,Input!C104,"")</f>
        <v/>
      </c>
      <c r="L104" t="str">
        <f>IF(Input!D104&gt;0,Input!D104,"")</f>
        <v/>
      </c>
      <c r="M104" t="str">
        <f>IF(Input!E104&gt;0,Input!E104,"")</f>
        <v xml:space="preserve"> </v>
      </c>
      <c r="N104" t="str">
        <f>IF(Input!F104&gt;0,Input!F104,"")</f>
        <v xml:space="preserve"> </v>
      </c>
      <c r="O104" t="str">
        <f>IF(Input!I104&lt;&gt;"",Input!I104,"")</f>
        <v/>
      </c>
      <c r="P104" t="str">
        <f t="shared" si="13"/>
        <v/>
      </c>
      <c r="Q104" t="str">
        <f>IF(O104&lt;&gt;"",IF(Input!K104&lt;&gt;"",ROUNDDOWN(Input!K104,0),0),"")</f>
        <v/>
      </c>
      <c r="R104" t="str">
        <f>IF(Input!L104&lt;&gt;"",Input!L104,"")</f>
        <v/>
      </c>
      <c r="S104" t="str">
        <f t="shared" si="14"/>
        <v/>
      </c>
      <c r="T104" t="str">
        <f>IF(R104&lt;&gt;"",IF(Input!N104&lt;&gt;"",ROUNDDOWN(Input!N104,0),0),"")</f>
        <v/>
      </c>
      <c r="U104" t="str">
        <f>IF(Input!O104&lt;&gt;"",Input!O104,"")</f>
        <v/>
      </c>
      <c r="V104" t="str">
        <f t="shared" si="15"/>
        <v/>
      </c>
      <c r="W104" t="str">
        <f>IF(U104&lt;&gt;"",IF(Input!Q104&lt;&gt;"",ROUNDDOWN(Input!Q104,0),0),"")</f>
        <v/>
      </c>
      <c r="X104" t="str">
        <f>IF(Input!R104&lt;&gt;"",Input!R104,"")</f>
        <v/>
      </c>
      <c r="Y104" t="str">
        <f t="shared" si="16"/>
        <v/>
      </c>
      <c r="Z104" t="str">
        <f>IF(X104&lt;&gt;"",IF(Input!T104&lt;&gt;"",ROUNDDOWN(Input!T104,0),0),"")</f>
        <v/>
      </c>
      <c r="AA104" t="str">
        <f>IF(Input!U104&lt;&gt;"",Input!U104,"")</f>
        <v/>
      </c>
      <c r="AB104" t="str">
        <f t="shared" si="17"/>
        <v/>
      </c>
      <c r="AC104" t="str">
        <f>IF(AA104&lt;&gt;"",IF(Input!W104&lt;&gt;"",ROUNDDOWN(Input!W104,0),0),"")</f>
        <v/>
      </c>
      <c r="AD104" t="str">
        <f>IF(Input!X104&lt;&gt;"",Input!X104,"")</f>
        <v/>
      </c>
      <c r="AE104" t="str">
        <f t="shared" si="18"/>
        <v/>
      </c>
      <c r="AF104" t="str">
        <f>IF(AD104&lt;&gt;"",IF(Input!Z104&lt;&gt;"",ROUNDDOWN(Input!Z104,0),0),"")</f>
        <v/>
      </c>
      <c r="AG104" t="str">
        <f>IF(Input!AA104&lt;&gt;"",Input!AA104,"")</f>
        <v/>
      </c>
      <c r="AH104" t="str">
        <f t="shared" si="19"/>
        <v/>
      </c>
      <c r="AI104" t="str">
        <f>IF(AG104&lt;&gt;"",IF(Input!AC104&lt;&gt;"",ROUNDDOWN(Input!AC104,0),0),"")</f>
        <v/>
      </c>
      <c r="AJ104" t="str">
        <f>IF(Input!AD104&lt;&gt;"",Input!AD104,"")</f>
        <v/>
      </c>
      <c r="AK104" t="str">
        <f t="shared" si="20"/>
        <v/>
      </c>
      <c r="AL104" t="str">
        <f>IF(AJ104&lt;&gt;"",IF(Input!AF104&lt;&gt;"",ROUNDDOWN(Input!AF104,0),0),"")</f>
        <v/>
      </c>
      <c r="AM104" t="str">
        <f>IF(Input!AG104&lt;&gt;"",Input!AG104,"")</f>
        <v/>
      </c>
      <c r="AN104" t="str">
        <f t="shared" si="21"/>
        <v/>
      </c>
      <c r="AO104" t="str">
        <f>IF(AM104&lt;&gt;"",IF(Input!AI104&lt;&gt;"",ROUNDDOWN(Input!AI104,0),0),"")</f>
        <v/>
      </c>
    </row>
    <row r="105" spans="1:41" ht="16.5" thickTop="1" thickBot="1" x14ac:dyDescent="0.4">
      <c r="A105" s="100">
        <f>IF(ISBLANK(Input!A105),1000,IF(Input!E105&gt;0,Input!E105+F105,1000))</f>
        <v>1000</v>
      </c>
      <c r="B105" s="101">
        <f t="shared" si="11"/>
        <v>1000</v>
      </c>
      <c r="C105" s="4">
        <v>104</v>
      </c>
      <c r="D105" s="29">
        <f>IF(ISBLANK(Input!A105),1000,IF(Input!G105&gt;0,Input!G105+F105,1000))</f>
        <v>1000</v>
      </c>
      <c r="E105" s="29">
        <f t="shared" si="12"/>
        <v>1000</v>
      </c>
      <c r="F105" s="4">
        <v>0.104</v>
      </c>
      <c r="I105" t="str">
        <f>IF(Input!A105&gt;0,Input!A105,"")</f>
        <v/>
      </c>
      <c r="J105" t="str">
        <f>IF(Input!B105&gt;0,Input!B105,"")</f>
        <v/>
      </c>
      <c r="K105" t="str">
        <f>IF(Input!C105&gt;0,Input!C105,"")</f>
        <v/>
      </c>
      <c r="L105" t="str">
        <f>IF(Input!D105&gt;0,Input!D105,"")</f>
        <v/>
      </c>
      <c r="M105" t="str">
        <f>IF(Input!E105&gt;0,Input!E105,"")</f>
        <v xml:space="preserve"> </v>
      </c>
      <c r="N105" t="str">
        <f>IF(Input!F105&gt;0,Input!F105,"")</f>
        <v xml:space="preserve"> </v>
      </c>
      <c r="O105" t="str">
        <f>IF(Input!I105&lt;&gt;"",Input!I105,"")</f>
        <v/>
      </c>
      <c r="P105" t="str">
        <f t="shared" si="13"/>
        <v/>
      </c>
      <c r="Q105" t="str">
        <f>IF(O105&lt;&gt;"",IF(Input!K105&lt;&gt;"",ROUNDDOWN(Input!K105,0),0),"")</f>
        <v/>
      </c>
      <c r="R105" t="str">
        <f>IF(Input!L105&lt;&gt;"",Input!L105,"")</f>
        <v/>
      </c>
      <c r="S105" t="str">
        <f t="shared" si="14"/>
        <v/>
      </c>
      <c r="T105" t="str">
        <f>IF(R105&lt;&gt;"",IF(Input!N105&lt;&gt;"",ROUNDDOWN(Input!N105,0),0),"")</f>
        <v/>
      </c>
      <c r="U105" t="str">
        <f>IF(Input!O105&lt;&gt;"",Input!O105,"")</f>
        <v/>
      </c>
      <c r="V105" t="str">
        <f t="shared" si="15"/>
        <v/>
      </c>
      <c r="W105" t="str">
        <f>IF(U105&lt;&gt;"",IF(Input!Q105&lt;&gt;"",ROUNDDOWN(Input!Q105,0),0),"")</f>
        <v/>
      </c>
      <c r="X105" t="str">
        <f>IF(Input!R105&lt;&gt;"",Input!R105,"")</f>
        <v/>
      </c>
      <c r="Y105" t="str">
        <f t="shared" si="16"/>
        <v/>
      </c>
      <c r="Z105" t="str">
        <f>IF(X105&lt;&gt;"",IF(Input!T105&lt;&gt;"",ROUNDDOWN(Input!T105,0),0),"")</f>
        <v/>
      </c>
      <c r="AA105" t="str">
        <f>IF(Input!U105&lt;&gt;"",Input!U105,"")</f>
        <v/>
      </c>
      <c r="AB105" t="str">
        <f t="shared" si="17"/>
        <v/>
      </c>
      <c r="AC105" t="str">
        <f>IF(AA105&lt;&gt;"",IF(Input!W105&lt;&gt;"",ROUNDDOWN(Input!W105,0),0),"")</f>
        <v/>
      </c>
      <c r="AD105" t="str">
        <f>IF(Input!X105&lt;&gt;"",Input!X105,"")</f>
        <v/>
      </c>
      <c r="AE105" t="str">
        <f t="shared" si="18"/>
        <v/>
      </c>
      <c r="AF105" t="str">
        <f>IF(AD105&lt;&gt;"",IF(Input!Z105&lt;&gt;"",ROUNDDOWN(Input!Z105,0),0),"")</f>
        <v/>
      </c>
      <c r="AG105" t="str">
        <f>IF(Input!AA105&lt;&gt;"",Input!AA105,"")</f>
        <v/>
      </c>
      <c r="AH105" t="str">
        <f t="shared" si="19"/>
        <v/>
      </c>
      <c r="AI105" t="str">
        <f>IF(AG105&lt;&gt;"",IF(Input!AC105&lt;&gt;"",ROUNDDOWN(Input!AC105,0),0),"")</f>
        <v/>
      </c>
      <c r="AJ105" t="str">
        <f>IF(Input!AD105&lt;&gt;"",Input!AD105,"")</f>
        <v/>
      </c>
      <c r="AK105" t="str">
        <f t="shared" si="20"/>
        <v/>
      </c>
      <c r="AL105" t="str">
        <f>IF(AJ105&lt;&gt;"",IF(Input!AF105&lt;&gt;"",ROUNDDOWN(Input!AF105,0),0),"")</f>
        <v/>
      </c>
      <c r="AM105" t="str">
        <f>IF(Input!AG105&lt;&gt;"",Input!AG105,"")</f>
        <v/>
      </c>
      <c r="AN105" t="str">
        <f t="shared" si="21"/>
        <v/>
      </c>
      <c r="AO105" t="str">
        <f>IF(AM105&lt;&gt;"",IF(Input!AI105&lt;&gt;"",ROUNDDOWN(Input!AI105,0),0),"")</f>
        <v/>
      </c>
    </row>
    <row r="106" spans="1:41" ht="16.5" thickTop="1" thickBot="1" x14ac:dyDescent="0.4">
      <c r="A106" s="100">
        <f>IF(ISBLANK(Input!A106),1000,IF(Input!E106&gt;0,Input!E106+F106,1000))</f>
        <v>1000</v>
      </c>
      <c r="B106" s="101">
        <f t="shared" si="11"/>
        <v>1000</v>
      </c>
      <c r="C106" s="4">
        <v>105</v>
      </c>
      <c r="D106" s="29">
        <f>IF(ISBLANK(Input!A106),1000,IF(Input!G106&gt;0,Input!G106+F106,1000))</f>
        <v>1000</v>
      </c>
      <c r="E106" s="29">
        <f t="shared" si="12"/>
        <v>1000</v>
      </c>
      <c r="F106" s="4">
        <v>0.105</v>
      </c>
      <c r="I106" t="str">
        <f>IF(Input!A106&gt;0,Input!A106,"")</f>
        <v/>
      </c>
      <c r="J106" t="str">
        <f>IF(Input!B106&gt;0,Input!B106,"")</f>
        <v/>
      </c>
      <c r="K106" t="str">
        <f>IF(Input!C106&gt;0,Input!C106,"")</f>
        <v/>
      </c>
      <c r="L106" t="str">
        <f>IF(Input!D106&gt;0,Input!D106,"")</f>
        <v/>
      </c>
      <c r="M106" t="str">
        <f>IF(Input!E106&gt;0,Input!E106,"")</f>
        <v xml:space="preserve"> </v>
      </c>
      <c r="N106" t="str">
        <f>IF(Input!F106&gt;0,Input!F106,"")</f>
        <v xml:space="preserve"> </v>
      </c>
      <c r="O106" t="str">
        <f>IF(Input!I106&lt;&gt;"",Input!I106,"")</f>
        <v/>
      </c>
      <c r="P106" t="str">
        <f t="shared" si="13"/>
        <v/>
      </c>
      <c r="Q106" t="str">
        <f>IF(O106&lt;&gt;"",IF(Input!K106&lt;&gt;"",ROUNDDOWN(Input!K106,0),0),"")</f>
        <v/>
      </c>
      <c r="R106" t="str">
        <f>IF(Input!L106&lt;&gt;"",Input!L106,"")</f>
        <v/>
      </c>
      <c r="S106" t="str">
        <f t="shared" si="14"/>
        <v/>
      </c>
      <c r="T106" t="str">
        <f>IF(R106&lt;&gt;"",IF(Input!N106&lt;&gt;"",ROUNDDOWN(Input!N106,0),0),"")</f>
        <v/>
      </c>
      <c r="U106" t="str">
        <f>IF(Input!O106&lt;&gt;"",Input!O106,"")</f>
        <v/>
      </c>
      <c r="V106" t="str">
        <f t="shared" si="15"/>
        <v/>
      </c>
      <c r="W106" t="str">
        <f>IF(U106&lt;&gt;"",IF(Input!Q106&lt;&gt;"",ROUNDDOWN(Input!Q106,0),0),"")</f>
        <v/>
      </c>
      <c r="X106" t="str">
        <f>IF(Input!R106&lt;&gt;"",Input!R106,"")</f>
        <v/>
      </c>
      <c r="Y106" t="str">
        <f t="shared" si="16"/>
        <v/>
      </c>
      <c r="Z106" t="str">
        <f>IF(X106&lt;&gt;"",IF(Input!T106&lt;&gt;"",ROUNDDOWN(Input!T106,0),0),"")</f>
        <v/>
      </c>
      <c r="AA106" t="str">
        <f>IF(Input!U106&lt;&gt;"",Input!U106,"")</f>
        <v/>
      </c>
      <c r="AB106" t="str">
        <f t="shared" si="17"/>
        <v/>
      </c>
      <c r="AC106" t="str">
        <f>IF(AA106&lt;&gt;"",IF(Input!W106&lt;&gt;"",ROUNDDOWN(Input!W106,0),0),"")</f>
        <v/>
      </c>
      <c r="AD106" t="str">
        <f>IF(Input!X106&lt;&gt;"",Input!X106,"")</f>
        <v/>
      </c>
      <c r="AE106" t="str">
        <f t="shared" si="18"/>
        <v/>
      </c>
      <c r="AF106" t="str">
        <f>IF(AD106&lt;&gt;"",IF(Input!Z106&lt;&gt;"",ROUNDDOWN(Input!Z106,0),0),"")</f>
        <v/>
      </c>
      <c r="AG106" t="str">
        <f>IF(Input!AA106&lt;&gt;"",Input!AA106,"")</f>
        <v/>
      </c>
      <c r="AH106" t="str">
        <f t="shared" si="19"/>
        <v/>
      </c>
      <c r="AI106" t="str">
        <f>IF(AG106&lt;&gt;"",IF(Input!AC106&lt;&gt;"",ROUNDDOWN(Input!AC106,0),0),"")</f>
        <v/>
      </c>
      <c r="AJ106" t="str">
        <f>IF(Input!AD106&lt;&gt;"",Input!AD106,"")</f>
        <v/>
      </c>
      <c r="AK106" t="str">
        <f t="shared" si="20"/>
        <v/>
      </c>
      <c r="AL106" t="str">
        <f>IF(AJ106&lt;&gt;"",IF(Input!AF106&lt;&gt;"",ROUNDDOWN(Input!AF106,0),0),"")</f>
        <v/>
      </c>
      <c r="AM106" t="str">
        <f>IF(Input!AG106&lt;&gt;"",Input!AG106,"")</f>
        <v/>
      </c>
      <c r="AN106" t="str">
        <f t="shared" si="21"/>
        <v/>
      </c>
      <c r="AO106" t="str">
        <f>IF(AM106&lt;&gt;"",IF(Input!AI106&lt;&gt;"",ROUNDDOWN(Input!AI106,0),0),"")</f>
        <v/>
      </c>
    </row>
    <row r="107" spans="1:41" ht="16.5" thickTop="1" thickBot="1" x14ac:dyDescent="0.4">
      <c r="A107" s="100">
        <f>IF(ISBLANK(Input!A107),1000,IF(Input!E107&gt;0,Input!E107+F107,1000))</f>
        <v>1000</v>
      </c>
      <c r="B107" s="101">
        <f t="shared" si="11"/>
        <v>1000</v>
      </c>
      <c r="C107" s="4">
        <v>106</v>
      </c>
      <c r="D107" s="29">
        <f>IF(ISBLANK(Input!A107),1000,IF(Input!G107&gt;0,Input!G107+F107,1000))</f>
        <v>1000</v>
      </c>
      <c r="E107" s="29">
        <f t="shared" si="12"/>
        <v>1000</v>
      </c>
      <c r="F107" s="4">
        <v>0.106</v>
      </c>
      <c r="I107" t="str">
        <f>IF(Input!A107&gt;0,Input!A107,"")</f>
        <v/>
      </c>
      <c r="J107" t="str">
        <f>IF(Input!B107&gt;0,Input!B107,"")</f>
        <v/>
      </c>
      <c r="K107" t="str">
        <f>IF(Input!C107&gt;0,Input!C107,"")</f>
        <v/>
      </c>
      <c r="L107" t="str">
        <f>IF(Input!D107&gt;0,Input!D107,"")</f>
        <v/>
      </c>
      <c r="M107" t="str">
        <f>IF(Input!E107&gt;0,Input!E107,"")</f>
        <v xml:space="preserve"> </v>
      </c>
      <c r="N107" t="str">
        <f>IF(Input!F107&gt;0,Input!F107,"")</f>
        <v xml:space="preserve"> </v>
      </c>
      <c r="O107" t="str">
        <f>IF(Input!I107&lt;&gt;"",Input!I107,"")</f>
        <v/>
      </c>
      <c r="P107" t="str">
        <f t="shared" si="13"/>
        <v/>
      </c>
      <c r="Q107" t="str">
        <f>IF(O107&lt;&gt;"",IF(Input!K107&lt;&gt;"",ROUNDDOWN(Input!K107,0),0),"")</f>
        <v/>
      </c>
      <c r="R107" t="str">
        <f>IF(Input!L107&lt;&gt;"",Input!L107,"")</f>
        <v/>
      </c>
      <c r="S107" t="str">
        <f t="shared" si="14"/>
        <v/>
      </c>
      <c r="T107" t="str">
        <f>IF(R107&lt;&gt;"",IF(Input!N107&lt;&gt;"",ROUNDDOWN(Input!N107,0),0),"")</f>
        <v/>
      </c>
      <c r="U107" t="str">
        <f>IF(Input!O107&lt;&gt;"",Input!O107,"")</f>
        <v/>
      </c>
      <c r="V107" t="str">
        <f t="shared" si="15"/>
        <v/>
      </c>
      <c r="W107" t="str">
        <f>IF(U107&lt;&gt;"",IF(Input!Q107&lt;&gt;"",ROUNDDOWN(Input!Q107,0),0),"")</f>
        <v/>
      </c>
      <c r="X107" t="str">
        <f>IF(Input!R107&lt;&gt;"",Input!R107,"")</f>
        <v/>
      </c>
      <c r="Y107" t="str">
        <f t="shared" si="16"/>
        <v/>
      </c>
      <c r="Z107" t="str">
        <f>IF(X107&lt;&gt;"",IF(Input!T107&lt;&gt;"",ROUNDDOWN(Input!T107,0),0),"")</f>
        <v/>
      </c>
      <c r="AA107" t="str">
        <f>IF(Input!U107&lt;&gt;"",Input!U107,"")</f>
        <v/>
      </c>
      <c r="AB107" t="str">
        <f t="shared" si="17"/>
        <v/>
      </c>
      <c r="AC107" t="str">
        <f>IF(AA107&lt;&gt;"",IF(Input!W107&lt;&gt;"",ROUNDDOWN(Input!W107,0),0),"")</f>
        <v/>
      </c>
      <c r="AD107" t="str">
        <f>IF(Input!X107&lt;&gt;"",Input!X107,"")</f>
        <v/>
      </c>
      <c r="AE107" t="str">
        <f t="shared" si="18"/>
        <v/>
      </c>
      <c r="AF107" t="str">
        <f>IF(AD107&lt;&gt;"",IF(Input!Z107&lt;&gt;"",ROUNDDOWN(Input!Z107,0),0),"")</f>
        <v/>
      </c>
      <c r="AG107" t="str">
        <f>IF(Input!AA107&lt;&gt;"",Input!AA107,"")</f>
        <v/>
      </c>
      <c r="AH107" t="str">
        <f t="shared" si="19"/>
        <v/>
      </c>
      <c r="AI107" t="str">
        <f>IF(AG107&lt;&gt;"",IF(Input!AC107&lt;&gt;"",ROUNDDOWN(Input!AC107,0),0),"")</f>
        <v/>
      </c>
      <c r="AJ107" t="str">
        <f>IF(Input!AD107&lt;&gt;"",Input!AD107,"")</f>
        <v/>
      </c>
      <c r="AK107" t="str">
        <f t="shared" si="20"/>
        <v/>
      </c>
      <c r="AL107" t="str">
        <f>IF(AJ107&lt;&gt;"",IF(Input!AF107&lt;&gt;"",ROUNDDOWN(Input!AF107,0),0),"")</f>
        <v/>
      </c>
      <c r="AM107" t="str">
        <f>IF(Input!AG107&lt;&gt;"",Input!AG107,"")</f>
        <v/>
      </c>
      <c r="AN107" t="str">
        <f t="shared" si="21"/>
        <v/>
      </c>
      <c r="AO107" t="str">
        <f>IF(AM107&lt;&gt;"",IF(Input!AI107&lt;&gt;"",ROUNDDOWN(Input!AI107,0),0),"")</f>
        <v/>
      </c>
    </row>
    <row r="108" spans="1:41" ht="16.5" thickTop="1" thickBot="1" x14ac:dyDescent="0.4">
      <c r="A108" s="100">
        <f>IF(ISBLANK(Input!A108),1000,IF(Input!E108&gt;0,Input!E108+F108,1000))</f>
        <v>1000</v>
      </c>
      <c r="B108" s="101">
        <f t="shared" si="11"/>
        <v>1000</v>
      </c>
      <c r="C108" s="4">
        <v>107</v>
      </c>
      <c r="D108" s="29">
        <f>IF(ISBLANK(Input!A108),1000,IF(Input!G108&gt;0,Input!G108+F108,1000))</f>
        <v>1000</v>
      </c>
      <c r="E108" s="29">
        <f t="shared" si="12"/>
        <v>1000</v>
      </c>
      <c r="F108" s="4">
        <v>0.107</v>
      </c>
      <c r="I108" t="str">
        <f>IF(Input!A108&gt;0,Input!A108,"")</f>
        <v/>
      </c>
      <c r="J108" t="str">
        <f>IF(Input!B108&gt;0,Input!B108,"")</f>
        <v/>
      </c>
      <c r="K108" t="str">
        <f>IF(Input!C108&gt;0,Input!C108,"")</f>
        <v/>
      </c>
      <c r="L108" t="str">
        <f>IF(Input!D108&gt;0,Input!D108,"")</f>
        <v/>
      </c>
      <c r="M108" t="str">
        <f>IF(Input!E108&gt;0,Input!E108,"")</f>
        <v xml:space="preserve"> </v>
      </c>
      <c r="N108" t="str">
        <f>IF(Input!F108&gt;0,Input!F108,"")</f>
        <v xml:space="preserve"> </v>
      </c>
      <c r="O108" t="str">
        <f>IF(Input!I108&lt;&gt;"",Input!I108,"")</f>
        <v/>
      </c>
      <c r="P108" t="str">
        <f t="shared" si="13"/>
        <v/>
      </c>
      <c r="Q108" t="str">
        <f>IF(O108&lt;&gt;"",IF(Input!K108&lt;&gt;"",ROUNDDOWN(Input!K108,0),0),"")</f>
        <v/>
      </c>
      <c r="R108" t="str">
        <f>IF(Input!L108&lt;&gt;"",Input!L108,"")</f>
        <v/>
      </c>
      <c r="S108" t="str">
        <f t="shared" si="14"/>
        <v/>
      </c>
      <c r="T108" t="str">
        <f>IF(R108&lt;&gt;"",IF(Input!N108&lt;&gt;"",ROUNDDOWN(Input!N108,0),0),"")</f>
        <v/>
      </c>
      <c r="U108" t="str">
        <f>IF(Input!O108&lt;&gt;"",Input!O108,"")</f>
        <v/>
      </c>
      <c r="V108" t="str">
        <f t="shared" si="15"/>
        <v/>
      </c>
      <c r="W108" t="str">
        <f>IF(U108&lt;&gt;"",IF(Input!Q108&lt;&gt;"",ROUNDDOWN(Input!Q108,0),0),"")</f>
        <v/>
      </c>
      <c r="X108" t="str">
        <f>IF(Input!R108&lt;&gt;"",Input!R108,"")</f>
        <v/>
      </c>
      <c r="Y108" t="str">
        <f t="shared" si="16"/>
        <v/>
      </c>
      <c r="Z108" t="str">
        <f>IF(X108&lt;&gt;"",IF(Input!T108&lt;&gt;"",ROUNDDOWN(Input!T108,0),0),"")</f>
        <v/>
      </c>
      <c r="AA108" t="str">
        <f>IF(Input!U108&lt;&gt;"",Input!U108,"")</f>
        <v/>
      </c>
      <c r="AB108" t="str">
        <f t="shared" si="17"/>
        <v/>
      </c>
      <c r="AC108" t="str">
        <f>IF(AA108&lt;&gt;"",IF(Input!W108&lt;&gt;"",ROUNDDOWN(Input!W108,0),0),"")</f>
        <v/>
      </c>
      <c r="AD108" t="str">
        <f>IF(Input!X108&lt;&gt;"",Input!X108,"")</f>
        <v/>
      </c>
      <c r="AE108" t="str">
        <f t="shared" si="18"/>
        <v/>
      </c>
      <c r="AF108" t="str">
        <f>IF(AD108&lt;&gt;"",IF(Input!Z108&lt;&gt;"",ROUNDDOWN(Input!Z108,0),0),"")</f>
        <v/>
      </c>
      <c r="AG108" t="str">
        <f>IF(Input!AA108&lt;&gt;"",Input!AA108,"")</f>
        <v/>
      </c>
      <c r="AH108" t="str">
        <f t="shared" si="19"/>
        <v/>
      </c>
      <c r="AI108" t="str">
        <f>IF(AG108&lt;&gt;"",IF(Input!AC108&lt;&gt;"",ROUNDDOWN(Input!AC108,0),0),"")</f>
        <v/>
      </c>
      <c r="AJ108" t="str">
        <f>IF(Input!AD108&lt;&gt;"",Input!AD108,"")</f>
        <v/>
      </c>
      <c r="AK108" t="str">
        <f t="shared" si="20"/>
        <v/>
      </c>
      <c r="AL108" t="str">
        <f>IF(AJ108&lt;&gt;"",IF(Input!AF108&lt;&gt;"",ROUNDDOWN(Input!AF108,0),0),"")</f>
        <v/>
      </c>
      <c r="AM108" t="str">
        <f>IF(Input!AG108&lt;&gt;"",Input!AG108,"")</f>
        <v/>
      </c>
      <c r="AN108" t="str">
        <f t="shared" si="21"/>
        <v/>
      </c>
      <c r="AO108" t="str">
        <f>IF(AM108&lt;&gt;"",IF(Input!AI108&lt;&gt;"",ROUNDDOWN(Input!AI108,0),0),"")</f>
        <v/>
      </c>
    </row>
    <row r="109" spans="1:41" ht="16.5" thickTop="1" thickBot="1" x14ac:dyDescent="0.4">
      <c r="A109" s="100">
        <f>IF(ISBLANK(Input!A109),1000,IF(Input!E109&gt;0,Input!E109+F109,1000))</f>
        <v>1000</v>
      </c>
      <c r="B109" s="101">
        <f t="shared" si="11"/>
        <v>1000</v>
      </c>
      <c r="C109" s="4">
        <v>108</v>
      </c>
      <c r="D109" s="29">
        <f>IF(ISBLANK(Input!A109),1000,IF(Input!G109&gt;0,Input!G109+F109,1000))</f>
        <v>1000</v>
      </c>
      <c r="E109" s="29">
        <f t="shared" si="12"/>
        <v>1000</v>
      </c>
      <c r="F109" s="4">
        <v>0.108</v>
      </c>
      <c r="I109" t="str">
        <f>IF(Input!A109&gt;0,Input!A109,"")</f>
        <v/>
      </c>
      <c r="J109" t="str">
        <f>IF(Input!B109&gt;0,Input!B109,"")</f>
        <v/>
      </c>
      <c r="K109" t="str">
        <f>IF(Input!C109&gt;0,Input!C109,"")</f>
        <v/>
      </c>
      <c r="L109" t="str">
        <f>IF(Input!D109&gt;0,Input!D109,"")</f>
        <v/>
      </c>
      <c r="M109" t="str">
        <f>IF(Input!E109&gt;0,Input!E109,"")</f>
        <v xml:space="preserve"> </v>
      </c>
      <c r="N109" t="str">
        <f>IF(Input!F109&gt;0,Input!F109,"")</f>
        <v xml:space="preserve"> </v>
      </c>
      <c r="O109" t="str">
        <f>IF(Input!I109&lt;&gt;"",Input!I109,"")</f>
        <v/>
      </c>
      <c r="P109" t="str">
        <f t="shared" si="13"/>
        <v/>
      </c>
      <c r="Q109" t="str">
        <f>IF(O109&lt;&gt;"",IF(Input!K109&lt;&gt;"",ROUNDDOWN(Input!K109,0),0),"")</f>
        <v/>
      </c>
      <c r="R109" t="str">
        <f>IF(Input!L109&lt;&gt;"",Input!L109,"")</f>
        <v/>
      </c>
      <c r="S109" t="str">
        <f t="shared" si="14"/>
        <v/>
      </c>
      <c r="T109" t="str">
        <f>IF(R109&lt;&gt;"",IF(Input!N109&lt;&gt;"",ROUNDDOWN(Input!N109,0),0),"")</f>
        <v/>
      </c>
      <c r="U109" t="str">
        <f>IF(Input!O109&lt;&gt;"",Input!O109,"")</f>
        <v/>
      </c>
      <c r="V109" t="str">
        <f t="shared" si="15"/>
        <v/>
      </c>
      <c r="W109" t="str">
        <f>IF(U109&lt;&gt;"",IF(Input!Q109&lt;&gt;"",ROUNDDOWN(Input!Q109,0),0),"")</f>
        <v/>
      </c>
      <c r="X109" t="str">
        <f>IF(Input!R109&lt;&gt;"",Input!R109,"")</f>
        <v/>
      </c>
      <c r="Y109" t="str">
        <f t="shared" si="16"/>
        <v/>
      </c>
      <c r="Z109" t="str">
        <f>IF(X109&lt;&gt;"",IF(Input!T109&lt;&gt;"",ROUNDDOWN(Input!T109,0),0),"")</f>
        <v/>
      </c>
      <c r="AA109" t="str">
        <f>IF(Input!U109&lt;&gt;"",Input!U109,"")</f>
        <v/>
      </c>
      <c r="AB109" t="str">
        <f t="shared" si="17"/>
        <v/>
      </c>
      <c r="AC109" t="str">
        <f>IF(AA109&lt;&gt;"",IF(Input!W109&lt;&gt;"",ROUNDDOWN(Input!W109,0),0),"")</f>
        <v/>
      </c>
      <c r="AD109" t="str">
        <f>IF(Input!X109&lt;&gt;"",Input!X109,"")</f>
        <v/>
      </c>
      <c r="AE109" t="str">
        <f t="shared" si="18"/>
        <v/>
      </c>
      <c r="AF109" t="str">
        <f>IF(AD109&lt;&gt;"",IF(Input!Z109&lt;&gt;"",ROUNDDOWN(Input!Z109,0),0),"")</f>
        <v/>
      </c>
      <c r="AG109" t="str">
        <f>IF(Input!AA109&lt;&gt;"",Input!AA109,"")</f>
        <v/>
      </c>
      <c r="AH109" t="str">
        <f t="shared" si="19"/>
        <v/>
      </c>
      <c r="AI109" t="str">
        <f>IF(AG109&lt;&gt;"",IF(Input!AC109&lt;&gt;"",ROUNDDOWN(Input!AC109,0),0),"")</f>
        <v/>
      </c>
      <c r="AJ109" t="str">
        <f>IF(Input!AD109&lt;&gt;"",Input!AD109,"")</f>
        <v/>
      </c>
      <c r="AK109" t="str">
        <f t="shared" si="20"/>
        <v/>
      </c>
      <c r="AL109" t="str">
        <f>IF(AJ109&lt;&gt;"",IF(Input!AF109&lt;&gt;"",ROUNDDOWN(Input!AF109,0),0),"")</f>
        <v/>
      </c>
      <c r="AM109" t="str">
        <f>IF(Input!AG109&lt;&gt;"",Input!AG109,"")</f>
        <v/>
      </c>
      <c r="AN109" t="str">
        <f t="shared" si="21"/>
        <v/>
      </c>
      <c r="AO109" t="str">
        <f>IF(AM109&lt;&gt;"",IF(Input!AI109&lt;&gt;"",ROUNDDOWN(Input!AI109,0),0),"")</f>
        <v/>
      </c>
    </row>
    <row r="110" spans="1:41" ht="16.5" thickTop="1" thickBot="1" x14ac:dyDescent="0.4">
      <c r="A110" s="100">
        <f>IF(ISBLANK(Input!A110),1000,IF(Input!E110&gt;0,Input!E110+F110,1000))</f>
        <v>1000</v>
      </c>
      <c r="B110" s="101">
        <f t="shared" si="11"/>
        <v>1000</v>
      </c>
      <c r="C110" s="4">
        <v>109</v>
      </c>
      <c r="D110" s="29">
        <f>IF(ISBLANK(Input!A110),1000,IF(Input!G110&gt;0,Input!G110+F110,1000))</f>
        <v>1000</v>
      </c>
      <c r="E110" s="29">
        <f t="shared" si="12"/>
        <v>1000</v>
      </c>
      <c r="F110" s="4">
        <v>0.109</v>
      </c>
      <c r="I110" t="str">
        <f>IF(Input!A110&gt;0,Input!A110,"")</f>
        <v/>
      </c>
      <c r="J110" t="str">
        <f>IF(Input!B110&gt;0,Input!B110,"")</f>
        <v/>
      </c>
      <c r="K110" t="str">
        <f>IF(Input!C110&gt;0,Input!C110,"")</f>
        <v/>
      </c>
      <c r="L110" t="str">
        <f>IF(Input!D110&gt;0,Input!D110,"")</f>
        <v/>
      </c>
      <c r="M110" t="str">
        <f>IF(Input!E110&gt;0,Input!E110,"")</f>
        <v xml:space="preserve"> </v>
      </c>
      <c r="N110" t="str">
        <f>IF(Input!F110&gt;0,Input!F110,"")</f>
        <v xml:space="preserve"> </v>
      </c>
      <c r="O110" t="str">
        <f>IF(Input!I110&lt;&gt;"",Input!I110,"")</f>
        <v/>
      </c>
      <c r="P110" t="str">
        <f t="shared" si="13"/>
        <v/>
      </c>
      <c r="Q110" t="str">
        <f>IF(O110&lt;&gt;"",IF(Input!K110&lt;&gt;"",ROUNDDOWN(Input!K110,0),0),"")</f>
        <v/>
      </c>
      <c r="R110" t="str">
        <f>IF(Input!L110&lt;&gt;"",Input!L110,"")</f>
        <v/>
      </c>
      <c r="S110" t="str">
        <f t="shared" si="14"/>
        <v/>
      </c>
      <c r="T110" t="str">
        <f>IF(R110&lt;&gt;"",IF(Input!N110&lt;&gt;"",ROUNDDOWN(Input!N110,0),0),"")</f>
        <v/>
      </c>
      <c r="U110" t="str">
        <f>IF(Input!O110&lt;&gt;"",Input!O110,"")</f>
        <v/>
      </c>
      <c r="V110" t="str">
        <f t="shared" si="15"/>
        <v/>
      </c>
      <c r="W110" t="str">
        <f>IF(U110&lt;&gt;"",IF(Input!Q110&lt;&gt;"",ROUNDDOWN(Input!Q110,0),0),"")</f>
        <v/>
      </c>
      <c r="X110" t="str">
        <f>IF(Input!R110&lt;&gt;"",Input!R110,"")</f>
        <v/>
      </c>
      <c r="Y110" t="str">
        <f t="shared" si="16"/>
        <v/>
      </c>
      <c r="Z110" t="str">
        <f>IF(X110&lt;&gt;"",IF(Input!T110&lt;&gt;"",ROUNDDOWN(Input!T110,0),0),"")</f>
        <v/>
      </c>
      <c r="AA110" t="str">
        <f>IF(Input!U110&lt;&gt;"",Input!U110,"")</f>
        <v/>
      </c>
      <c r="AB110" t="str">
        <f t="shared" si="17"/>
        <v/>
      </c>
      <c r="AC110" t="str">
        <f>IF(AA110&lt;&gt;"",IF(Input!W110&lt;&gt;"",ROUNDDOWN(Input!W110,0),0),"")</f>
        <v/>
      </c>
      <c r="AD110" t="str">
        <f>IF(Input!X110&lt;&gt;"",Input!X110,"")</f>
        <v/>
      </c>
      <c r="AE110" t="str">
        <f t="shared" si="18"/>
        <v/>
      </c>
      <c r="AF110" t="str">
        <f>IF(AD110&lt;&gt;"",IF(Input!Z110&lt;&gt;"",ROUNDDOWN(Input!Z110,0),0),"")</f>
        <v/>
      </c>
      <c r="AG110" t="str">
        <f>IF(Input!AA110&lt;&gt;"",Input!AA110,"")</f>
        <v/>
      </c>
      <c r="AH110" t="str">
        <f t="shared" si="19"/>
        <v/>
      </c>
      <c r="AI110" t="str">
        <f>IF(AG110&lt;&gt;"",IF(Input!AC110&lt;&gt;"",ROUNDDOWN(Input!AC110,0),0),"")</f>
        <v/>
      </c>
      <c r="AJ110" t="str">
        <f>IF(Input!AD110&lt;&gt;"",Input!AD110,"")</f>
        <v/>
      </c>
      <c r="AK110" t="str">
        <f t="shared" si="20"/>
        <v/>
      </c>
      <c r="AL110" t="str">
        <f>IF(AJ110&lt;&gt;"",IF(Input!AF110&lt;&gt;"",ROUNDDOWN(Input!AF110,0),0),"")</f>
        <v/>
      </c>
      <c r="AM110" t="str">
        <f>IF(Input!AG110&lt;&gt;"",Input!AG110,"")</f>
        <v/>
      </c>
      <c r="AN110" t="str">
        <f t="shared" si="21"/>
        <v/>
      </c>
      <c r="AO110" t="str">
        <f>IF(AM110&lt;&gt;"",IF(Input!AI110&lt;&gt;"",ROUNDDOWN(Input!AI110,0),0),"")</f>
        <v/>
      </c>
    </row>
    <row r="111" spans="1:41" ht="16.5" thickTop="1" thickBot="1" x14ac:dyDescent="0.4">
      <c r="A111" s="100">
        <f>IF(ISBLANK(Input!A111),1000,IF(Input!E111&gt;0,Input!E111+F111,1000))</f>
        <v>1000</v>
      </c>
      <c r="B111" s="101">
        <f t="shared" si="11"/>
        <v>1000</v>
      </c>
      <c r="C111" s="4">
        <v>110</v>
      </c>
      <c r="D111" s="29">
        <f>IF(ISBLANK(Input!A111),1000,IF(Input!G111&gt;0,Input!G111+F111,1000))</f>
        <v>1000</v>
      </c>
      <c r="E111" s="29">
        <f t="shared" si="12"/>
        <v>1000</v>
      </c>
      <c r="F111" s="4">
        <v>0.11</v>
      </c>
      <c r="I111" t="str">
        <f>IF(Input!A111&gt;0,Input!A111,"")</f>
        <v/>
      </c>
      <c r="J111" t="str">
        <f>IF(Input!B111&gt;0,Input!B111,"")</f>
        <v/>
      </c>
      <c r="K111" t="str">
        <f>IF(Input!C111&gt;0,Input!C111,"")</f>
        <v/>
      </c>
      <c r="L111" t="str">
        <f>IF(Input!D111&gt;0,Input!D111,"")</f>
        <v/>
      </c>
      <c r="M111" t="str">
        <f>IF(Input!E111&gt;0,Input!E111,"")</f>
        <v xml:space="preserve"> </v>
      </c>
      <c r="N111" t="str">
        <f>IF(Input!F111&gt;0,Input!F111,"")</f>
        <v xml:space="preserve"> </v>
      </c>
      <c r="O111" t="str">
        <f>IF(Input!I111&lt;&gt;"",Input!I111,"")</f>
        <v/>
      </c>
      <c r="P111" t="str">
        <f t="shared" si="13"/>
        <v/>
      </c>
      <c r="Q111" t="str">
        <f>IF(O111&lt;&gt;"",IF(Input!K111&lt;&gt;"",ROUNDDOWN(Input!K111,0),0),"")</f>
        <v/>
      </c>
      <c r="R111" t="str">
        <f>IF(Input!L111&lt;&gt;"",Input!L111,"")</f>
        <v/>
      </c>
      <c r="S111" t="str">
        <f t="shared" si="14"/>
        <v/>
      </c>
      <c r="T111" t="str">
        <f>IF(R111&lt;&gt;"",IF(Input!N111&lt;&gt;"",ROUNDDOWN(Input!N111,0),0),"")</f>
        <v/>
      </c>
      <c r="U111" t="str">
        <f>IF(Input!O111&lt;&gt;"",Input!O111,"")</f>
        <v/>
      </c>
      <c r="V111" t="str">
        <f t="shared" si="15"/>
        <v/>
      </c>
      <c r="W111" t="str">
        <f>IF(U111&lt;&gt;"",IF(Input!Q111&lt;&gt;"",ROUNDDOWN(Input!Q111,0),0),"")</f>
        <v/>
      </c>
      <c r="X111" t="str">
        <f>IF(Input!R111&lt;&gt;"",Input!R111,"")</f>
        <v/>
      </c>
      <c r="Y111" t="str">
        <f t="shared" si="16"/>
        <v/>
      </c>
      <c r="Z111" t="str">
        <f>IF(X111&lt;&gt;"",IF(Input!T111&lt;&gt;"",ROUNDDOWN(Input!T111,0),0),"")</f>
        <v/>
      </c>
      <c r="AA111" t="str">
        <f>IF(Input!U111&lt;&gt;"",Input!U111,"")</f>
        <v/>
      </c>
      <c r="AB111" t="str">
        <f t="shared" si="17"/>
        <v/>
      </c>
      <c r="AC111" t="str">
        <f>IF(AA111&lt;&gt;"",IF(Input!W111&lt;&gt;"",ROUNDDOWN(Input!W111,0),0),"")</f>
        <v/>
      </c>
      <c r="AD111" t="str">
        <f>IF(Input!X111&lt;&gt;"",Input!X111,"")</f>
        <v/>
      </c>
      <c r="AE111" t="str">
        <f t="shared" si="18"/>
        <v/>
      </c>
      <c r="AF111" t="str">
        <f>IF(AD111&lt;&gt;"",IF(Input!Z111&lt;&gt;"",ROUNDDOWN(Input!Z111,0),0),"")</f>
        <v/>
      </c>
      <c r="AG111" t="str">
        <f>IF(Input!AA111&lt;&gt;"",Input!AA111,"")</f>
        <v/>
      </c>
      <c r="AH111" t="str">
        <f t="shared" si="19"/>
        <v/>
      </c>
      <c r="AI111" t="str">
        <f>IF(AG111&lt;&gt;"",IF(Input!AC111&lt;&gt;"",ROUNDDOWN(Input!AC111,0),0),"")</f>
        <v/>
      </c>
      <c r="AJ111" t="str">
        <f>IF(Input!AD111&lt;&gt;"",Input!AD111,"")</f>
        <v/>
      </c>
      <c r="AK111" t="str">
        <f t="shared" si="20"/>
        <v/>
      </c>
      <c r="AL111" t="str">
        <f>IF(AJ111&lt;&gt;"",IF(Input!AF111&lt;&gt;"",ROUNDDOWN(Input!AF111,0),0),"")</f>
        <v/>
      </c>
      <c r="AM111" t="str">
        <f>IF(Input!AG111&lt;&gt;"",Input!AG111,"")</f>
        <v/>
      </c>
      <c r="AN111" t="str">
        <f t="shared" si="21"/>
        <v/>
      </c>
      <c r="AO111" t="str">
        <f>IF(AM111&lt;&gt;"",IF(Input!AI111&lt;&gt;"",ROUNDDOWN(Input!AI111,0),0),"")</f>
        <v/>
      </c>
    </row>
    <row r="112" spans="1:41" ht="16.5" thickTop="1" thickBot="1" x14ac:dyDescent="0.4">
      <c r="A112" s="100">
        <f>IF(ISBLANK(Input!A112),1000,IF(Input!E112&gt;0,Input!E112+F112,1000))</f>
        <v>1000</v>
      </c>
      <c r="B112" s="101">
        <f t="shared" si="11"/>
        <v>1000</v>
      </c>
      <c r="C112" s="4">
        <v>111</v>
      </c>
      <c r="D112" s="29">
        <f>IF(ISBLANK(Input!A112),1000,IF(Input!G112&gt;0,Input!G112+F112,1000))</f>
        <v>1000</v>
      </c>
      <c r="E112" s="29">
        <f t="shared" si="12"/>
        <v>1000</v>
      </c>
      <c r="F112" s="4">
        <v>0.111</v>
      </c>
      <c r="I112" t="str">
        <f>IF(Input!A112&gt;0,Input!A112,"")</f>
        <v/>
      </c>
      <c r="J112" t="str">
        <f>IF(Input!B112&gt;0,Input!B112,"")</f>
        <v/>
      </c>
      <c r="K112" t="str">
        <f>IF(Input!C112&gt;0,Input!C112,"")</f>
        <v/>
      </c>
      <c r="L112" t="str">
        <f>IF(Input!D112&gt;0,Input!D112,"")</f>
        <v/>
      </c>
      <c r="M112" t="str">
        <f>IF(Input!E112&gt;0,Input!E112,"")</f>
        <v xml:space="preserve"> </v>
      </c>
      <c r="N112" t="str">
        <f>IF(Input!F112&gt;0,Input!F112,"")</f>
        <v xml:space="preserve"> </v>
      </c>
      <c r="O112" t="str">
        <f>IF(Input!I112&lt;&gt;"",Input!I112,"")</f>
        <v/>
      </c>
      <c r="P112" t="str">
        <f t="shared" si="13"/>
        <v/>
      </c>
      <c r="Q112" t="str">
        <f>IF(O112&lt;&gt;"",IF(Input!K112&lt;&gt;"",ROUNDDOWN(Input!K112,0),0),"")</f>
        <v/>
      </c>
      <c r="R112" t="str">
        <f>IF(Input!L112&lt;&gt;"",Input!L112,"")</f>
        <v/>
      </c>
      <c r="S112" t="str">
        <f t="shared" si="14"/>
        <v/>
      </c>
      <c r="T112" t="str">
        <f>IF(R112&lt;&gt;"",IF(Input!N112&lt;&gt;"",ROUNDDOWN(Input!N112,0),0),"")</f>
        <v/>
      </c>
      <c r="U112" t="str">
        <f>IF(Input!O112&lt;&gt;"",Input!O112,"")</f>
        <v/>
      </c>
      <c r="V112" t="str">
        <f t="shared" si="15"/>
        <v/>
      </c>
      <c r="W112" t="str">
        <f>IF(U112&lt;&gt;"",IF(Input!Q112&lt;&gt;"",ROUNDDOWN(Input!Q112,0),0),"")</f>
        <v/>
      </c>
      <c r="X112" t="str">
        <f>IF(Input!R112&lt;&gt;"",Input!R112,"")</f>
        <v/>
      </c>
      <c r="Y112" t="str">
        <f t="shared" si="16"/>
        <v/>
      </c>
      <c r="Z112" t="str">
        <f>IF(X112&lt;&gt;"",IF(Input!T112&lt;&gt;"",ROUNDDOWN(Input!T112,0),0),"")</f>
        <v/>
      </c>
      <c r="AA112" t="str">
        <f>IF(Input!U112&lt;&gt;"",Input!U112,"")</f>
        <v/>
      </c>
      <c r="AB112" t="str">
        <f t="shared" si="17"/>
        <v/>
      </c>
      <c r="AC112" t="str">
        <f>IF(AA112&lt;&gt;"",IF(Input!W112&lt;&gt;"",ROUNDDOWN(Input!W112,0),0),"")</f>
        <v/>
      </c>
      <c r="AD112" t="str">
        <f>IF(Input!X112&lt;&gt;"",Input!X112,"")</f>
        <v/>
      </c>
      <c r="AE112" t="str">
        <f t="shared" si="18"/>
        <v/>
      </c>
      <c r="AF112" t="str">
        <f>IF(AD112&lt;&gt;"",IF(Input!Z112&lt;&gt;"",ROUNDDOWN(Input!Z112,0),0),"")</f>
        <v/>
      </c>
      <c r="AG112" t="str">
        <f>IF(Input!AA112&lt;&gt;"",Input!AA112,"")</f>
        <v/>
      </c>
      <c r="AH112" t="str">
        <f t="shared" si="19"/>
        <v/>
      </c>
      <c r="AI112" t="str">
        <f>IF(AG112&lt;&gt;"",IF(Input!AC112&lt;&gt;"",ROUNDDOWN(Input!AC112,0),0),"")</f>
        <v/>
      </c>
      <c r="AJ112" t="str">
        <f>IF(Input!AD112&lt;&gt;"",Input!AD112,"")</f>
        <v/>
      </c>
      <c r="AK112" t="str">
        <f t="shared" si="20"/>
        <v/>
      </c>
      <c r="AL112" t="str">
        <f>IF(AJ112&lt;&gt;"",IF(Input!AF112&lt;&gt;"",ROUNDDOWN(Input!AF112,0),0),"")</f>
        <v/>
      </c>
      <c r="AM112" t="str">
        <f>IF(Input!AG112&lt;&gt;"",Input!AG112,"")</f>
        <v/>
      </c>
      <c r="AN112" t="str">
        <f t="shared" si="21"/>
        <v/>
      </c>
      <c r="AO112" t="str">
        <f>IF(AM112&lt;&gt;"",IF(Input!AI112&lt;&gt;"",ROUNDDOWN(Input!AI112,0),0),"")</f>
        <v/>
      </c>
    </row>
    <row r="113" spans="1:41" ht="16.5" thickTop="1" thickBot="1" x14ac:dyDescent="0.4">
      <c r="A113" s="100">
        <f>IF(ISBLANK(Input!A113),1000,IF(Input!E113&gt;0,Input!E113+F113,1000))</f>
        <v>1000</v>
      </c>
      <c r="B113" s="101">
        <f t="shared" si="11"/>
        <v>1000</v>
      </c>
      <c r="C113" s="4">
        <v>112</v>
      </c>
      <c r="D113" s="29">
        <f>IF(ISBLANK(Input!A113),1000,IF(Input!G113&gt;0,Input!G113+F113,1000))</f>
        <v>1000</v>
      </c>
      <c r="E113" s="29">
        <f t="shared" si="12"/>
        <v>1000</v>
      </c>
      <c r="F113" s="4">
        <v>0.112</v>
      </c>
      <c r="I113" t="str">
        <f>IF(Input!A113&gt;0,Input!A113,"")</f>
        <v/>
      </c>
      <c r="J113" t="str">
        <f>IF(Input!B113&gt;0,Input!B113,"")</f>
        <v/>
      </c>
      <c r="K113" t="str">
        <f>IF(Input!C113&gt;0,Input!C113,"")</f>
        <v/>
      </c>
      <c r="L113" t="str">
        <f>IF(Input!D113&gt;0,Input!D113,"")</f>
        <v/>
      </c>
      <c r="M113" t="str">
        <f>IF(Input!E113&gt;0,Input!E113,"")</f>
        <v xml:space="preserve"> </v>
      </c>
      <c r="N113" t="str">
        <f>IF(Input!F113&gt;0,Input!F113,"")</f>
        <v xml:space="preserve"> </v>
      </c>
      <c r="O113" t="str">
        <f>IF(Input!I113&lt;&gt;"",Input!I113,"")</f>
        <v/>
      </c>
      <c r="P113" t="str">
        <f t="shared" si="13"/>
        <v/>
      </c>
      <c r="Q113" t="str">
        <f>IF(O113&lt;&gt;"",IF(Input!K113&lt;&gt;"",ROUNDDOWN(Input!K113,0),0),"")</f>
        <v/>
      </c>
      <c r="R113" t="str">
        <f>IF(Input!L113&lt;&gt;"",Input!L113,"")</f>
        <v/>
      </c>
      <c r="S113" t="str">
        <f t="shared" si="14"/>
        <v/>
      </c>
      <c r="T113" t="str">
        <f>IF(R113&lt;&gt;"",IF(Input!N113&lt;&gt;"",ROUNDDOWN(Input!N113,0),0),"")</f>
        <v/>
      </c>
      <c r="U113" t="str">
        <f>IF(Input!O113&lt;&gt;"",Input!O113,"")</f>
        <v/>
      </c>
      <c r="V113" t="str">
        <f t="shared" si="15"/>
        <v/>
      </c>
      <c r="W113" t="str">
        <f>IF(U113&lt;&gt;"",IF(Input!Q113&lt;&gt;"",ROUNDDOWN(Input!Q113,0),0),"")</f>
        <v/>
      </c>
      <c r="X113" t="str">
        <f>IF(Input!R113&lt;&gt;"",Input!R113,"")</f>
        <v/>
      </c>
      <c r="Y113" t="str">
        <f t="shared" si="16"/>
        <v/>
      </c>
      <c r="Z113" t="str">
        <f>IF(X113&lt;&gt;"",IF(Input!T113&lt;&gt;"",ROUNDDOWN(Input!T113,0),0),"")</f>
        <v/>
      </c>
      <c r="AA113" t="str">
        <f>IF(Input!U113&lt;&gt;"",Input!U113,"")</f>
        <v/>
      </c>
      <c r="AB113" t="str">
        <f t="shared" si="17"/>
        <v/>
      </c>
      <c r="AC113" t="str">
        <f>IF(AA113&lt;&gt;"",IF(Input!W113&lt;&gt;"",ROUNDDOWN(Input!W113,0),0),"")</f>
        <v/>
      </c>
      <c r="AD113" t="str">
        <f>IF(Input!X113&lt;&gt;"",Input!X113,"")</f>
        <v/>
      </c>
      <c r="AE113" t="str">
        <f t="shared" si="18"/>
        <v/>
      </c>
      <c r="AF113" t="str">
        <f>IF(AD113&lt;&gt;"",IF(Input!Z113&lt;&gt;"",ROUNDDOWN(Input!Z113,0),0),"")</f>
        <v/>
      </c>
      <c r="AG113" t="str">
        <f>IF(Input!AA113&lt;&gt;"",Input!AA113,"")</f>
        <v/>
      </c>
      <c r="AH113" t="str">
        <f t="shared" si="19"/>
        <v/>
      </c>
      <c r="AI113" t="str">
        <f>IF(AG113&lt;&gt;"",IF(Input!AC113&lt;&gt;"",ROUNDDOWN(Input!AC113,0),0),"")</f>
        <v/>
      </c>
      <c r="AJ113" t="str">
        <f>IF(Input!AD113&lt;&gt;"",Input!AD113,"")</f>
        <v/>
      </c>
      <c r="AK113" t="str">
        <f t="shared" si="20"/>
        <v/>
      </c>
      <c r="AL113" t="str">
        <f>IF(AJ113&lt;&gt;"",IF(Input!AF113&lt;&gt;"",ROUNDDOWN(Input!AF113,0),0),"")</f>
        <v/>
      </c>
      <c r="AM113" t="str">
        <f>IF(Input!AG113&lt;&gt;"",Input!AG113,"")</f>
        <v/>
      </c>
      <c r="AN113" t="str">
        <f t="shared" si="21"/>
        <v/>
      </c>
      <c r="AO113" t="str">
        <f>IF(AM113&lt;&gt;"",IF(Input!AI113&lt;&gt;"",ROUNDDOWN(Input!AI113,0),0),"")</f>
        <v/>
      </c>
    </row>
    <row r="114" spans="1:41" ht="16.5" thickTop="1" thickBot="1" x14ac:dyDescent="0.4">
      <c r="A114" s="100">
        <f>IF(ISBLANK(Input!A114),1000,IF(Input!E114&gt;0,Input!E114+F114,1000))</f>
        <v>1000</v>
      </c>
      <c r="B114" s="101">
        <f t="shared" si="11"/>
        <v>1000</v>
      </c>
      <c r="C114" s="4">
        <v>113</v>
      </c>
      <c r="D114" s="29">
        <f>IF(ISBLANK(Input!A114),1000,IF(Input!G114&gt;0,Input!G114+F114,1000))</f>
        <v>1000</v>
      </c>
      <c r="E114" s="29">
        <f t="shared" si="12"/>
        <v>1000</v>
      </c>
      <c r="F114" s="4">
        <v>0.113</v>
      </c>
      <c r="I114" t="str">
        <f>IF(Input!A114&gt;0,Input!A114,"")</f>
        <v/>
      </c>
      <c r="J114" t="str">
        <f>IF(Input!B114&gt;0,Input!B114,"")</f>
        <v/>
      </c>
      <c r="K114" t="str">
        <f>IF(Input!C114&gt;0,Input!C114,"")</f>
        <v/>
      </c>
      <c r="L114" t="str">
        <f>IF(Input!D114&gt;0,Input!D114,"")</f>
        <v/>
      </c>
      <c r="M114" t="str">
        <f>IF(Input!E114&gt;0,Input!E114,"")</f>
        <v xml:space="preserve"> </v>
      </c>
      <c r="N114" t="str">
        <f>IF(Input!F114&gt;0,Input!F114,"")</f>
        <v xml:space="preserve"> </v>
      </c>
      <c r="O114" t="str">
        <f>IF(Input!I114&lt;&gt;"",Input!I114,"")</f>
        <v/>
      </c>
      <c r="P114" t="str">
        <f t="shared" si="13"/>
        <v/>
      </c>
      <c r="Q114" t="str">
        <f>IF(O114&lt;&gt;"",IF(Input!K114&lt;&gt;"",ROUNDDOWN(Input!K114,0),0),"")</f>
        <v/>
      </c>
      <c r="R114" t="str">
        <f>IF(Input!L114&lt;&gt;"",Input!L114,"")</f>
        <v/>
      </c>
      <c r="S114" t="str">
        <f t="shared" si="14"/>
        <v/>
      </c>
      <c r="T114" t="str">
        <f>IF(R114&lt;&gt;"",IF(Input!N114&lt;&gt;"",ROUNDDOWN(Input!N114,0),0),"")</f>
        <v/>
      </c>
      <c r="U114" t="str">
        <f>IF(Input!O114&lt;&gt;"",Input!O114,"")</f>
        <v/>
      </c>
      <c r="V114" t="str">
        <f t="shared" si="15"/>
        <v/>
      </c>
      <c r="W114" t="str">
        <f>IF(U114&lt;&gt;"",IF(Input!Q114&lt;&gt;"",ROUNDDOWN(Input!Q114,0),0),"")</f>
        <v/>
      </c>
      <c r="X114" t="str">
        <f>IF(Input!R114&lt;&gt;"",Input!R114,"")</f>
        <v/>
      </c>
      <c r="Y114" t="str">
        <f t="shared" si="16"/>
        <v/>
      </c>
      <c r="Z114" t="str">
        <f>IF(X114&lt;&gt;"",IF(Input!T114&lt;&gt;"",ROUNDDOWN(Input!T114,0),0),"")</f>
        <v/>
      </c>
      <c r="AA114" t="str">
        <f>IF(Input!U114&lt;&gt;"",Input!U114,"")</f>
        <v/>
      </c>
      <c r="AB114" t="str">
        <f t="shared" si="17"/>
        <v/>
      </c>
      <c r="AC114" t="str">
        <f>IF(AA114&lt;&gt;"",IF(Input!W114&lt;&gt;"",ROUNDDOWN(Input!W114,0),0),"")</f>
        <v/>
      </c>
      <c r="AD114" t="str">
        <f>IF(Input!X114&lt;&gt;"",Input!X114,"")</f>
        <v/>
      </c>
      <c r="AE114" t="str">
        <f t="shared" si="18"/>
        <v/>
      </c>
      <c r="AF114" t="str">
        <f>IF(AD114&lt;&gt;"",IF(Input!Z114&lt;&gt;"",ROUNDDOWN(Input!Z114,0),0),"")</f>
        <v/>
      </c>
      <c r="AG114" t="str">
        <f>IF(Input!AA114&lt;&gt;"",Input!AA114,"")</f>
        <v/>
      </c>
      <c r="AH114" t="str">
        <f t="shared" si="19"/>
        <v/>
      </c>
      <c r="AI114" t="str">
        <f>IF(AG114&lt;&gt;"",IF(Input!AC114&lt;&gt;"",ROUNDDOWN(Input!AC114,0),0),"")</f>
        <v/>
      </c>
      <c r="AJ114" t="str">
        <f>IF(Input!AD114&lt;&gt;"",Input!AD114,"")</f>
        <v/>
      </c>
      <c r="AK114" t="str">
        <f t="shared" si="20"/>
        <v/>
      </c>
      <c r="AL114" t="str">
        <f>IF(AJ114&lt;&gt;"",IF(Input!AF114&lt;&gt;"",ROUNDDOWN(Input!AF114,0),0),"")</f>
        <v/>
      </c>
      <c r="AM114" t="str">
        <f>IF(Input!AG114&lt;&gt;"",Input!AG114,"")</f>
        <v/>
      </c>
      <c r="AN114" t="str">
        <f t="shared" si="21"/>
        <v/>
      </c>
      <c r="AO114" t="str">
        <f>IF(AM114&lt;&gt;"",IF(Input!AI114&lt;&gt;"",ROUNDDOWN(Input!AI114,0),0),"")</f>
        <v/>
      </c>
    </row>
    <row r="115" spans="1:41" ht="16.5" thickTop="1" thickBot="1" x14ac:dyDescent="0.4">
      <c r="A115" s="100">
        <f>IF(ISBLANK(Input!A115),1000,IF(Input!E115&gt;0,Input!E115+F115,1000))</f>
        <v>1000</v>
      </c>
      <c r="B115" s="101">
        <f t="shared" si="11"/>
        <v>1000</v>
      </c>
      <c r="C115" s="4">
        <v>114</v>
      </c>
      <c r="D115" s="29">
        <f>IF(ISBLANK(Input!A115),1000,IF(Input!G115&gt;0,Input!G115+F115,1000))</f>
        <v>1000</v>
      </c>
      <c r="E115" s="29">
        <f t="shared" si="12"/>
        <v>1000</v>
      </c>
      <c r="F115" s="4">
        <v>0.114</v>
      </c>
      <c r="I115" t="str">
        <f>IF(Input!A115&gt;0,Input!A115,"")</f>
        <v/>
      </c>
      <c r="J115" t="str">
        <f>IF(Input!B115&gt;0,Input!B115,"")</f>
        <v/>
      </c>
      <c r="K115" t="str">
        <f>IF(Input!C115&gt;0,Input!C115,"")</f>
        <v/>
      </c>
      <c r="L115" t="str">
        <f>IF(Input!D115&gt;0,Input!D115,"")</f>
        <v/>
      </c>
      <c r="M115" t="str">
        <f>IF(Input!E115&gt;0,Input!E115,"")</f>
        <v xml:space="preserve"> </v>
      </c>
      <c r="N115" t="str">
        <f>IF(Input!F115&gt;0,Input!F115,"")</f>
        <v xml:space="preserve"> </v>
      </c>
      <c r="O115" t="str">
        <f>IF(Input!I115&lt;&gt;"",Input!I115,"")</f>
        <v/>
      </c>
      <c r="P115" t="str">
        <f t="shared" si="13"/>
        <v/>
      </c>
      <c r="Q115" t="str">
        <f>IF(O115&lt;&gt;"",IF(Input!K115&lt;&gt;"",ROUNDDOWN(Input!K115,0),0),"")</f>
        <v/>
      </c>
      <c r="R115" t="str">
        <f>IF(Input!L115&lt;&gt;"",Input!L115,"")</f>
        <v/>
      </c>
      <c r="S115" t="str">
        <f t="shared" si="14"/>
        <v/>
      </c>
      <c r="T115" t="str">
        <f>IF(R115&lt;&gt;"",IF(Input!N115&lt;&gt;"",ROUNDDOWN(Input!N115,0),0),"")</f>
        <v/>
      </c>
      <c r="U115" t="str">
        <f>IF(Input!O115&lt;&gt;"",Input!O115,"")</f>
        <v/>
      </c>
      <c r="V115" t="str">
        <f t="shared" si="15"/>
        <v/>
      </c>
      <c r="W115" t="str">
        <f>IF(U115&lt;&gt;"",IF(Input!Q115&lt;&gt;"",ROUNDDOWN(Input!Q115,0),0),"")</f>
        <v/>
      </c>
      <c r="X115" t="str">
        <f>IF(Input!R115&lt;&gt;"",Input!R115,"")</f>
        <v/>
      </c>
      <c r="Y115" t="str">
        <f t="shared" si="16"/>
        <v/>
      </c>
      <c r="Z115" t="str">
        <f>IF(X115&lt;&gt;"",IF(Input!T115&lt;&gt;"",ROUNDDOWN(Input!T115,0),0),"")</f>
        <v/>
      </c>
      <c r="AA115" t="str">
        <f>IF(Input!U115&lt;&gt;"",Input!U115,"")</f>
        <v/>
      </c>
      <c r="AB115" t="str">
        <f t="shared" si="17"/>
        <v/>
      </c>
      <c r="AC115" t="str">
        <f>IF(AA115&lt;&gt;"",IF(Input!W115&lt;&gt;"",ROUNDDOWN(Input!W115,0),0),"")</f>
        <v/>
      </c>
      <c r="AD115" t="str">
        <f>IF(Input!X115&lt;&gt;"",Input!X115,"")</f>
        <v/>
      </c>
      <c r="AE115" t="str">
        <f t="shared" si="18"/>
        <v/>
      </c>
      <c r="AF115" t="str">
        <f>IF(AD115&lt;&gt;"",IF(Input!Z115&lt;&gt;"",ROUNDDOWN(Input!Z115,0),0),"")</f>
        <v/>
      </c>
      <c r="AG115" t="str">
        <f>IF(Input!AA115&lt;&gt;"",Input!AA115,"")</f>
        <v/>
      </c>
      <c r="AH115" t="str">
        <f t="shared" si="19"/>
        <v/>
      </c>
      <c r="AI115" t="str">
        <f>IF(AG115&lt;&gt;"",IF(Input!AC115&lt;&gt;"",ROUNDDOWN(Input!AC115,0),0),"")</f>
        <v/>
      </c>
      <c r="AJ115" t="str">
        <f>IF(Input!AD115&lt;&gt;"",Input!AD115,"")</f>
        <v/>
      </c>
      <c r="AK115" t="str">
        <f t="shared" si="20"/>
        <v/>
      </c>
      <c r="AL115" t="str">
        <f>IF(AJ115&lt;&gt;"",IF(Input!AF115&lt;&gt;"",ROUNDDOWN(Input!AF115,0),0),"")</f>
        <v/>
      </c>
      <c r="AM115" t="str">
        <f>IF(Input!AG115&lt;&gt;"",Input!AG115,"")</f>
        <v/>
      </c>
      <c r="AN115" t="str">
        <f t="shared" si="21"/>
        <v/>
      </c>
      <c r="AO115" t="str">
        <f>IF(AM115&lt;&gt;"",IF(Input!AI115&lt;&gt;"",ROUNDDOWN(Input!AI115,0),0),"")</f>
        <v/>
      </c>
    </row>
    <row r="116" spans="1:41" ht="16.5" thickTop="1" thickBot="1" x14ac:dyDescent="0.4">
      <c r="A116" s="100">
        <f>IF(ISBLANK(Input!A116),1000,IF(Input!E116&gt;0,Input!E116+F116,1000))</f>
        <v>1000</v>
      </c>
      <c r="B116" s="101">
        <f t="shared" si="11"/>
        <v>1000</v>
      </c>
      <c r="C116" s="4">
        <v>115</v>
      </c>
      <c r="D116" s="29">
        <f>IF(ISBLANK(Input!A116),1000,IF(Input!G116&gt;0,Input!G116+F116,1000))</f>
        <v>1000</v>
      </c>
      <c r="E116" s="29">
        <f t="shared" si="12"/>
        <v>1000</v>
      </c>
      <c r="F116" s="4">
        <v>0.115</v>
      </c>
      <c r="I116" t="str">
        <f>IF(Input!A116&gt;0,Input!A116,"")</f>
        <v/>
      </c>
      <c r="J116" t="str">
        <f>IF(Input!B116&gt;0,Input!B116,"")</f>
        <v/>
      </c>
      <c r="K116" t="str">
        <f>IF(Input!C116&gt;0,Input!C116,"")</f>
        <v/>
      </c>
      <c r="L116" t="str">
        <f>IF(Input!D116&gt;0,Input!D116,"")</f>
        <v/>
      </c>
      <c r="M116" t="str">
        <f>IF(Input!E116&gt;0,Input!E116,"")</f>
        <v xml:space="preserve"> </v>
      </c>
      <c r="N116" t="str">
        <f>IF(Input!F116&gt;0,Input!F116,"")</f>
        <v xml:space="preserve"> </v>
      </c>
      <c r="O116" t="str">
        <f>IF(Input!I116&lt;&gt;"",Input!I116,"")</f>
        <v/>
      </c>
      <c r="P116" t="str">
        <f t="shared" si="13"/>
        <v/>
      </c>
      <c r="Q116" t="str">
        <f>IF(O116&lt;&gt;"",IF(Input!K116&lt;&gt;"",ROUNDDOWN(Input!K116,0),0),"")</f>
        <v/>
      </c>
      <c r="R116" t="str">
        <f>IF(Input!L116&lt;&gt;"",Input!L116,"")</f>
        <v/>
      </c>
      <c r="S116" t="str">
        <f t="shared" si="14"/>
        <v/>
      </c>
      <c r="T116" t="str">
        <f>IF(R116&lt;&gt;"",IF(Input!N116&lt;&gt;"",ROUNDDOWN(Input!N116,0),0),"")</f>
        <v/>
      </c>
      <c r="U116" t="str">
        <f>IF(Input!O116&lt;&gt;"",Input!O116,"")</f>
        <v/>
      </c>
      <c r="V116" t="str">
        <f t="shared" si="15"/>
        <v/>
      </c>
      <c r="W116" t="str">
        <f>IF(U116&lt;&gt;"",IF(Input!Q116&lt;&gt;"",ROUNDDOWN(Input!Q116,0),0),"")</f>
        <v/>
      </c>
      <c r="X116" t="str">
        <f>IF(Input!R116&lt;&gt;"",Input!R116,"")</f>
        <v/>
      </c>
      <c r="Y116" t="str">
        <f t="shared" si="16"/>
        <v/>
      </c>
      <c r="Z116" t="str">
        <f>IF(X116&lt;&gt;"",IF(Input!T116&lt;&gt;"",ROUNDDOWN(Input!T116,0),0),"")</f>
        <v/>
      </c>
      <c r="AA116" t="str">
        <f>IF(Input!U116&lt;&gt;"",Input!U116,"")</f>
        <v/>
      </c>
      <c r="AB116" t="str">
        <f t="shared" si="17"/>
        <v/>
      </c>
      <c r="AC116" t="str">
        <f>IF(AA116&lt;&gt;"",IF(Input!W116&lt;&gt;"",ROUNDDOWN(Input!W116,0),0),"")</f>
        <v/>
      </c>
      <c r="AD116" t="str">
        <f>IF(Input!X116&lt;&gt;"",Input!X116,"")</f>
        <v/>
      </c>
      <c r="AE116" t="str">
        <f t="shared" si="18"/>
        <v/>
      </c>
      <c r="AF116" t="str">
        <f>IF(AD116&lt;&gt;"",IF(Input!Z116&lt;&gt;"",ROUNDDOWN(Input!Z116,0),0),"")</f>
        <v/>
      </c>
      <c r="AG116" t="str">
        <f>IF(Input!AA116&lt;&gt;"",Input!AA116,"")</f>
        <v/>
      </c>
      <c r="AH116" t="str">
        <f t="shared" si="19"/>
        <v/>
      </c>
      <c r="AI116" t="str">
        <f>IF(AG116&lt;&gt;"",IF(Input!AC116&lt;&gt;"",ROUNDDOWN(Input!AC116,0),0),"")</f>
        <v/>
      </c>
      <c r="AJ116" t="str">
        <f>IF(Input!AD116&lt;&gt;"",Input!AD116,"")</f>
        <v/>
      </c>
      <c r="AK116" t="str">
        <f t="shared" si="20"/>
        <v/>
      </c>
      <c r="AL116" t="str">
        <f>IF(AJ116&lt;&gt;"",IF(Input!AF116&lt;&gt;"",ROUNDDOWN(Input!AF116,0),0),"")</f>
        <v/>
      </c>
      <c r="AM116" t="str">
        <f>IF(Input!AG116&lt;&gt;"",Input!AG116,"")</f>
        <v/>
      </c>
      <c r="AN116" t="str">
        <f t="shared" si="21"/>
        <v/>
      </c>
      <c r="AO116" t="str">
        <f>IF(AM116&lt;&gt;"",IF(Input!AI116&lt;&gt;"",ROUNDDOWN(Input!AI116,0),0),"")</f>
        <v/>
      </c>
    </row>
    <row r="117" spans="1:41" ht="16.5" thickTop="1" thickBot="1" x14ac:dyDescent="0.4">
      <c r="A117" s="100">
        <f>IF(ISBLANK(Input!A117),1000,IF(Input!E117&gt;0,Input!E117+F117,1000))</f>
        <v>1000</v>
      </c>
      <c r="B117" s="101">
        <f t="shared" si="11"/>
        <v>1000</v>
      </c>
      <c r="C117" s="4">
        <v>116</v>
      </c>
      <c r="D117" s="29">
        <f>IF(ISBLANK(Input!A117),1000,IF(Input!G117&gt;0,Input!G117+F117,1000))</f>
        <v>1000</v>
      </c>
      <c r="E117" s="29">
        <f t="shared" si="12"/>
        <v>1000</v>
      </c>
      <c r="F117" s="4">
        <v>0.11600000000000001</v>
      </c>
      <c r="I117" t="str">
        <f>IF(Input!A117&gt;0,Input!A117,"")</f>
        <v/>
      </c>
      <c r="J117" t="str">
        <f>IF(Input!B117&gt;0,Input!B117,"")</f>
        <v/>
      </c>
      <c r="K117" t="str">
        <f>IF(Input!C117&gt;0,Input!C117,"")</f>
        <v/>
      </c>
      <c r="L117" t="str">
        <f>IF(Input!D117&gt;0,Input!D117,"")</f>
        <v/>
      </c>
      <c r="M117" t="str">
        <f>IF(Input!E117&gt;0,Input!E117,"")</f>
        <v xml:space="preserve"> </v>
      </c>
      <c r="N117" t="str">
        <f>IF(Input!F117&gt;0,Input!F117,"")</f>
        <v xml:space="preserve"> </v>
      </c>
      <c r="O117" t="str">
        <f>IF(Input!I117&lt;&gt;"",Input!I117,"")</f>
        <v/>
      </c>
      <c r="P117" t="str">
        <f t="shared" si="13"/>
        <v/>
      </c>
      <c r="Q117" t="str">
        <f>IF(O117&lt;&gt;"",IF(Input!K117&lt;&gt;"",ROUNDDOWN(Input!K117,0),0),"")</f>
        <v/>
      </c>
      <c r="R117" t="str">
        <f>IF(Input!L117&lt;&gt;"",Input!L117,"")</f>
        <v/>
      </c>
      <c r="S117" t="str">
        <f t="shared" si="14"/>
        <v/>
      </c>
      <c r="T117" t="str">
        <f>IF(R117&lt;&gt;"",IF(Input!N117&lt;&gt;"",ROUNDDOWN(Input!N117,0),0),"")</f>
        <v/>
      </c>
      <c r="U117" t="str">
        <f>IF(Input!O117&lt;&gt;"",Input!O117,"")</f>
        <v/>
      </c>
      <c r="V117" t="str">
        <f t="shared" si="15"/>
        <v/>
      </c>
      <c r="W117" t="str">
        <f>IF(U117&lt;&gt;"",IF(Input!Q117&lt;&gt;"",ROUNDDOWN(Input!Q117,0),0),"")</f>
        <v/>
      </c>
      <c r="X117" t="str">
        <f>IF(Input!R117&lt;&gt;"",Input!R117,"")</f>
        <v/>
      </c>
      <c r="Y117" t="str">
        <f t="shared" si="16"/>
        <v/>
      </c>
      <c r="Z117" t="str">
        <f>IF(X117&lt;&gt;"",IF(Input!T117&lt;&gt;"",ROUNDDOWN(Input!T117,0),0),"")</f>
        <v/>
      </c>
      <c r="AA117" t="str">
        <f>IF(Input!U117&lt;&gt;"",Input!U117,"")</f>
        <v/>
      </c>
      <c r="AB117" t="str">
        <f t="shared" si="17"/>
        <v/>
      </c>
      <c r="AC117" t="str">
        <f>IF(AA117&lt;&gt;"",IF(Input!W117&lt;&gt;"",ROUNDDOWN(Input!W117,0),0),"")</f>
        <v/>
      </c>
      <c r="AD117" t="str">
        <f>IF(Input!X117&lt;&gt;"",Input!X117,"")</f>
        <v/>
      </c>
      <c r="AE117" t="str">
        <f t="shared" si="18"/>
        <v/>
      </c>
      <c r="AF117" t="str">
        <f>IF(AD117&lt;&gt;"",IF(Input!Z117&lt;&gt;"",ROUNDDOWN(Input!Z117,0),0),"")</f>
        <v/>
      </c>
      <c r="AG117" t="str">
        <f>IF(Input!AA117&lt;&gt;"",Input!AA117,"")</f>
        <v/>
      </c>
      <c r="AH117" t="str">
        <f t="shared" si="19"/>
        <v/>
      </c>
      <c r="AI117" t="str">
        <f>IF(AG117&lt;&gt;"",IF(Input!AC117&lt;&gt;"",ROUNDDOWN(Input!AC117,0),0),"")</f>
        <v/>
      </c>
      <c r="AJ117" t="str">
        <f>IF(Input!AD117&lt;&gt;"",Input!AD117,"")</f>
        <v/>
      </c>
      <c r="AK117" t="str">
        <f t="shared" si="20"/>
        <v/>
      </c>
      <c r="AL117" t="str">
        <f>IF(AJ117&lt;&gt;"",IF(Input!AF117&lt;&gt;"",ROUNDDOWN(Input!AF117,0),0),"")</f>
        <v/>
      </c>
      <c r="AM117" t="str">
        <f>IF(Input!AG117&lt;&gt;"",Input!AG117,"")</f>
        <v/>
      </c>
      <c r="AN117" t="str">
        <f t="shared" si="21"/>
        <v/>
      </c>
      <c r="AO117" t="str">
        <f>IF(AM117&lt;&gt;"",IF(Input!AI117&lt;&gt;"",ROUNDDOWN(Input!AI117,0),0),"")</f>
        <v/>
      </c>
    </row>
    <row r="118" spans="1:41" ht="16.5" thickTop="1" thickBot="1" x14ac:dyDescent="0.4">
      <c r="A118" s="100">
        <f>IF(ISBLANK(Input!A118),1000,IF(Input!E118&gt;0,Input!E118+F118,1000))</f>
        <v>1000</v>
      </c>
      <c r="B118" s="101">
        <f t="shared" si="11"/>
        <v>1000</v>
      </c>
      <c r="C118" s="4">
        <v>117</v>
      </c>
      <c r="D118" s="29">
        <f>IF(ISBLANK(Input!A118),1000,IF(Input!G118&gt;0,Input!G118+F118,1000))</f>
        <v>1000</v>
      </c>
      <c r="E118" s="29">
        <f t="shared" si="12"/>
        <v>1000</v>
      </c>
      <c r="F118" s="4">
        <v>0.11700000000000001</v>
      </c>
      <c r="I118" t="str">
        <f>IF(Input!A118&gt;0,Input!A118,"")</f>
        <v/>
      </c>
      <c r="J118" t="str">
        <f>IF(Input!B118&gt;0,Input!B118,"")</f>
        <v/>
      </c>
      <c r="K118" t="str">
        <f>IF(Input!C118&gt;0,Input!C118,"")</f>
        <v/>
      </c>
      <c r="L118" t="str">
        <f>IF(Input!D118&gt;0,Input!D118,"")</f>
        <v/>
      </c>
      <c r="M118" t="str">
        <f>IF(Input!E118&gt;0,Input!E118,"")</f>
        <v xml:space="preserve"> </v>
      </c>
      <c r="N118" t="str">
        <f>IF(Input!F118&gt;0,Input!F118,"")</f>
        <v xml:space="preserve"> </v>
      </c>
      <c r="O118" t="str">
        <f>IF(Input!I118&lt;&gt;"",Input!I118,"")</f>
        <v/>
      </c>
      <c r="P118" t="str">
        <f t="shared" si="13"/>
        <v/>
      </c>
      <c r="Q118" t="str">
        <f>IF(O118&lt;&gt;"",IF(Input!K118&lt;&gt;"",ROUNDDOWN(Input!K118,0),0),"")</f>
        <v/>
      </c>
      <c r="R118" t="str">
        <f>IF(Input!L118&lt;&gt;"",Input!L118,"")</f>
        <v/>
      </c>
      <c r="S118" t="str">
        <f t="shared" si="14"/>
        <v/>
      </c>
      <c r="T118" t="str">
        <f>IF(R118&lt;&gt;"",IF(Input!N118&lt;&gt;"",ROUNDDOWN(Input!N118,0),0),"")</f>
        <v/>
      </c>
      <c r="U118" t="str">
        <f>IF(Input!O118&lt;&gt;"",Input!O118,"")</f>
        <v/>
      </c>
      <c r="V118" t="str">
        <f t="shared" si="15"/>
        <v/>
      </c>
      <c r="W118" t="str">
        <f>IF(U118&lt;&gt;"",IF(Input!Q118&lt;&gt;"",ROUNDDOWN(Input!Q118,0),0),"")</f>
        <v/>
      </c>
      <c r="X118" t="str">
        <f>IF(Input!R118&lt;&gt;"",Input!R118,"")</f>
        <v/>
      </c>
      <c r="Y118" t="str">
        <f t="shared" si="16"/>
        <v/>
      </c>
      <c r="Z118" t="str">
        <f>IF(X118&lt;&gt;"",IF(Input!T118&lt;&gt;"",ROUNDDOWN(Input!T118,0),0),"")</f>
        <v/>
      </c>
      <c r="AA118" t="str">
        <f>IF(Input!U118&lt;&gt;"",Input!U118,"")</f>
        <v/>
      </c>
      <c r="AB118" t="str">
        <f t="shared" si="17"/>
        <v/>
      </c>
      <c r="AC118" t="str">
        <f>IF(AA118&lt;&gt;"",IF(Input!W118&lt;&gt;"",ROUNDDOWN(Input!W118,0),0),"")</f>
        <v/>
      </c>
      <c r="AD118" t="str">
        <f>IF(Input!X118&lt;&gt;"",Input!X118,"")</f>
        <v/>
      </c>
      <c r="AE118" t="str">
        <f t="shared" si="18"/>
        <v/>
      </c>
      <c r="AF118" t="str">
        <f>IF(AD118&lt;&gt;"",IF(Input!Z118&lt;&gt;"",ROUNDDOWN(Input!Z118,0),0),"")</f>
        <v/>
      </c>
      <c r="AG118" t="str">
        <f>IF(Input!AA118&lt;&gt;"",Input!AA118,"")</f>
        <v/>
      </c>
      <c r="AH118" t="str">
        <f t="shared" si="19"/>
        <v/>
      </c>
      <c r="AI118" t="str">
        <f>IF(AG118&lt;&gt;"",IF(Input!AC118&lt;&gt;"",ROUNDDOWN(Input!AC118,0),0),"")</f>
        <v/>
      </c>
      <c r="AJ118" t="str">
        <f>IF(Input!AD118&lt;&gt;"",Input!AD118,"")</f>
        <v/>
      </c>
      <c r="AK118" t="str">
        <f t="shared" si="20"/>
        <v/>
      </c>
      <c r="AL118" t="str">
        <f>IF(AJ118&lt;&gt;"",IF(Input!AF118&lt;&gt;"",ROUNDDOWN(Input!AF118,0),0),"")</f>
        <v/>
      </c>
      <c r="AM118" t="str">
        <f>IF(Input!AG118&lt;&gt;"",Input!AG118,"")</f>
        <v/>
      </c>
      <c r="AN118" t="str">
        <f t="shared" si="21"/>
        <v/>
      </c>
      <c r="AO118" t="str">
        <f>IF(AM118&lt;&gt;"",IF(Input!AI118&lt;&gt;"",ROUNDDOWN(Input!AI118,0),0),"")</f>
        <v/>
      </c>
    </row>
    <row r="119" spans="1:41" ht="16.5" thickTop="1" thickBot="1" x14ac:dyDescent="0.4">
      <c r="A119" s="100">
        <f>IF(ISBLANK(Input!A119),1000,IF(Input!E119&gt;0,Input!E119+F119,1000))</f>
        <v>1000</v>
      </c>
      <c r="B119" s="101">
        <f t="shared" si="11"/>
        <v>1000</v>
      </c>
      <c r="C119" s="4">
        <v>118</v>
      </c>
      <c r="D119" s="29">
        <f>IF(ISBLANK(Input!A119),1000,IF(Input!G119&gt;0,Input!G119+F119,1000))</f>
        <v>1000</v>
      </c>
      <c r="E119" s="29">
        <f t="shared" si="12"/>
        <v>1000</v>
      </c>
      <c r="F119" s="4">
        <v>0.11799999999999999</v>
      </c>
      <c r="I119" t="str">
        <f>IF(Input!A119&gt;0,Input!A119,"")</f>
        <v/>
      </c>
      <c r="J119" t="str">
        <f>IF(Input!B119&gt;0,Input!B119,"")</f>
        <v/>
      </c>
      <c r="K119" t="str">
        <f>IF(Input!C119&gt;0,Input!C119,"")</f>
        <v/>
      </c>
      <c r="L119" t="str">
        <f>IF(Input!D119&gt;0,Input!D119,"")</f>
        <v/>
      </c>
      <c r="M119" t="str">
        <f>IF(Input!E119&gt;0,Input!E119,"")</f>
        <v xml:space="preserve"> </v>
      </c>
      <c r="N119" t="str">
        <f>IF(Input!F119&gt;0,Input!F119,"")</f>
        <v xml:space="preserve"> </v>
      </c>
      <c r="O119" t="str">
        <f>IF(Input!I119&lt;&gt;"",Input!I119,"")</f>
        <v/>
      </c>
      <c r="P119" t="str">
        <f t="shared" si="13"/>
        <v/>
      </c>
      <c r="Q119" t="str">
        <f>IF(O119&lt;&gt;"",IF(Input!K119&lt;&gt;"",ROUNDDOWN(Input!K119,0),0),"")</f>
        <v/>
      </c>
      <c r="R119" t="str">
        <f>IF(Input!L119&lt;&gt;"",Input!L119,"")</f>
        <v/>
      </c>
      <c r="S119" t="str">
        <f t="shared" si="14"/>
        <v/>
      </c>
      <c r="T119" t="str">
        <f>IF(R119&lt;&gt;"",IF(Input!N119&lt;&gt;"",ROUNDDOWN(Input!N119,0),0),"")</f>
        <v/>
      </c>
      <c r="U119" t="str">
        <f>IF(Input!O119&lt;&gt;"",Input!O119,"")</f>
        <v/>
      </c>
      <c r="V119" t="str">
        <f t="shared" si="15"/>
        <v/>
      </c>
      <c r="W119" t="str">
        <f>IF(U119&lt;&gt;"",IF(Input!Q119&lt;&gt;"",ROUNDDOWN(Input!Q119,0),0),"")</f>
        <v/>
      </c>
      <c r="X119" t="str">
        <f>IF(Input!R119&lt;&gt;"",Input!R119,"")</f>
        <v/>
      </c>
      <c r="Y119" t="str">
        <f t="shared" si="16"/>
        <v/>
      </c>
      <c r="Z119" t="str">
        <f>IF(X119&lt;&gt;"",IF(Input!T119&lt;&gt;"",ROUNDDOWN(Input!T119,0),0),"")</f>
        <v/>
      </c>
      <c r="AA119" t="str">
        <f>IF(Input!U119&lt;&gt;"",Input!U119,"")</f>
        <v/>
      </c>
      <c r="AB119" t="str">
        <f t="shared" si="17"/>
        <v/>
      </c>
      <c r="AC119" t="str">
        <f>IF(AA119&lt;&gt;"",IF(Input!W119&lt;&gt;"",ROUNDDOWN(Input!W119,0),0),"")</f>
        <v/>
      </c>
      <c r="AD119" t="str">
        <f>IF(Input!X119&lt;&gt;"",Input!X119,"")</f>
        <v/>
      </c>
      <c r="AE119" t="str">
        <f t="shared" si="18"/>
        <v/>
      </c>
      <c r="AF119" t="str">
        <f>IF(AD119&lt;&gt;"",IF(Input!Z119&lt;&gt;"",ROUNDDOWN(Input!Z119,0),0),"")</f>
        <v/>
      </c>
      <c r="AG119" t="str">
        <f>IF(Input!AA119&lt;&gt;"",Input!AA119,"")</f>
        <v/>
      </c>
      <c r="AH119" t="str">
        <f t="shared" si="19"/>
        <v/>
      </c>
      <c r="AI119" t="str">
        <f>IF(AG119&lt;&gt;"",IF(Input!AC119&lt;&gt;"",ROUNDDOWN(Input!AC119,0),0),"")</f>
        <v/>
      </c>
      <c r="AJ119" t="str">
        <f>IF(Input!AD119&lt;&gt;"",Input!AD119,"")</f>
        <v/>
      </c>
      <c r="AK119" t="str">
        <f t="shared" si="20"/>
        <v/>
      </c>
      <c r="AL119" t="str">
        <f>IF(AJ119&lt;&gt;"",IF(Input!AF119&lt;&gt;"",ROUNDDOWN(Input!AF119,0),0),"")</f>
        <v/>
      </c>
      <c r="AM119" t="str">
        <f>IF(Input!AG119&lt;&gt;"",Input!AG119,"")</f>
        <v/>
      </c>
      <c r="AN119" t="str">
        <f t="shared" si="21"/>
        <v/>
      </c>
      <c r="AO119" t="str">
        <f>IF(AM119&lt;&gt;"",IF(Input!AI119&lt;&gt;"",ROUNDDOWN(Input!AI119,0),0),"")</f>
        <v/>
      </c>
    </row>
    <row r="120" spans="1:41" ht="16.5" thickTop="1" thickBot="1" x14ac:dyDescent="0.4">
      <c r="A120" s="100">
        <f>IF(ISBLANK(Input!A120),1000,IF(Input!E120&gt;0,Input!E120+F120,1000))</f>
        <v>1000</v>
      </c>
      <c r="B120" s="101">
        <f t="shared" si="11"/>
        <v>1000</v>
      </c>
      <c r="C120" s="4">
        <v>119</v>
      </c>
      <c r="D120" s="29">
        <f>IF(ISBLANK(Input!A120),1000,IF(Input!G120&gt;0,Input!G120+F120,1000))</f>
        <v>1000</v>
      </c>
      <c r="E120" s="29">
        <f t="shared" si="12"/>
        <v>1000</v>
      </c>
      <c r="F120" s="4">
        <v>0.11899999999999999</v>
      </c>
      <c r="I120" t="str">
        <f>IF(Input!A120&gt;0,Input!A120,"")</f>
        <v/>
      </c>
      <c r="J120" t="str">
        <f>IF(Input!B120&gt;0,Input!B120,"")</f>
        <v/>
      </c>
      <c r="K120" t="str">
        <f>IF(Input!C120&gt;0,Input!C120,"")</f>
        <v/>
      </c>
      <c r="L120" t="str">
        <f>IF(Input!D120&gt;0,Input!D120,"")</f>
        <v/>
      </c>
      <c r="M120" t="str">
        <f>IF(Input!E120&gt;0,Input!E120,"")</f>
        <v xml:space="preserve"> </v>
      </c>
      <c r="N120" t="str">
        <f>IF(Input!F120&gt;0,Input!F120,"")</f>
        <v xml:space="preserve"> </v>
      </c>
      <c r="O120" t="str">
        <f>IF(Input!I120&lt;&gt;"",Input!I120,"")</f>
        <v/>
      </c>
      <c r="P120" t="str">
        <f t="shared" si="13"/>
        <v/>
      </c>
      <c r="Q120" t="str">
        <f>IF(O120&lt;&gt;"",IF(Input!K120&lt;&gt;"",ROUNDDOWN(Input!K120,0),0),"")</f>
        <v/>
      </c>
      <c r="R120" t="str">
        <f>IF(Input!L120&lt;&gt;"",Input!L120,"")</f>
        <v/>
      </c>
      <c r="S120" t="str">
        <f t="shared" si="14"/>
        <v/>
      </c>
      <c r="T120" t="str">
        <f>IF(R120&lt;&gt;"",IF(Input!N120&lt;&gt;"",ROUNDDOWN(Input!N120,0),0),"")</f>
        <v/>
      </c>
      <c r="U120" t="str">
        <f>IF(Input!O120&lt;&gt;"",Input!O120,"")</f>
        <v/>
      </c>
      <c r="V120" t="str">
        <f t="shared" si="15"/>
        <v/>
      </c>
      <c r="W120" t="str">
        <f>IF(U120&lt;&gt;"",IF(Input!Q120&lt;&gt;"",ROUNDDOWN(Input!Q120,0),0),"")</f>
        <v/>
      </c>
      <c r="X120" t="str">
        <f>IF(Input!R120&lt;&gt;"",Input!R120,"")</f>
        <v/>
      </c>
      <c r="Y120" t="str">
        <f t="shared" si="16"/>
        <v/>
      </c>
      <c r="Z120" t="str">
        <f>IF(X120&lt;&gt;"",IF(Input!T120&lt;&gt;"",ROUNDDOWN(Input!T120,0),0),"")</f>
        <v/>
      </c>
      <c r="AA120" t="str">
        <f>IF(Input!U120&lt;&gt;"",Input!U120,"")</f>
        <v/>
      </c>
      <c r="AB120" t="str">
        <f t="shared" si="17"/>
        <v/>
      </c>
      <c r="AC120" t="str">
        <f>IF(AA120&lt;&gt;"",IF(Input!W120&lt;&gt;"",ROUNDDOWN(Input!W120,0),0),"")</f>
        <v/>
      </c>
      <c r="AD120" t="str">
        <f>IF(Input!X120&lt;&gt;"",Input!X120,"")</f>
        <v/>
      </c>
      <c r="AE120" t="str">
        <f t="shared" si="18"/>
        <v/>
      </c>
      <c r="AF120" t="str">
        <f>IF(AD120&lt;&gt;"",IF(Input!Z120&lt;&gt;"",ROUNDDOWN(Input!Z120,0),0),"")</f>
        <v/>
      </c>
      <c r="AG120" t="str">
        <f>IF(Input!AA120&lt;&gt;"",Input!AA120,"")</f>
        <v/>
      </c>
      <c r="AH120" t="str">
        <f t="shared" si="19"/>
        <v/>
      </c>
      <c r="AI120" t="str">
        <f>IF(AG120&lt;&gt;"",IF(Input!AC120&lt;&gt;"",ROUNDDOWN(Input!AC120,0),0),"")</f>
        <v/>
      </c>
      <c r="AJ120" t="str">
        <f>IF(Input!AD120&lt;&gt;"",Input!AD120,"")</f>
        <v/>
      </c>
      <c r="AK120" t="str">
        <f t="shared" si="20"/>
        <v/>
      </c>
      <c r="AL120" t="str">
        <f>IF(AJ120&lt;&gt;"",IF(Input!AF120&lt;&gt;"",ROUNDDOWN(Input!AF120,0),0),"")</f>
        <v/>
      </c>
      <c r="AM120" t="str">
        <f>IF(Input!AG120&lt;&gt;"",Input!AG120,"")</f>
        <v/>
      </c>
      <c r="AN120" t="str">
        <f t="shared" si="21"/>
        <v/>
      </c>
      <c r="AO120" t="str">
        <f>IF(AM120&lt;&gt;"",IF(Input!AI120&lt;&gt;"",ROUNDDOWN(Input!AI120,0),0),"")</f>
        <v/>
      </c>
    </row>
    <row r="121" spans="1:41" ht="16.5" thickTop="1" thickBot="1" x14ac:dyDescent="0.4">
      <c r="A121" s="100">
        <f>IF(ISBLANK(Input!A121),1000,IF(Input!E121&gt;0,Input!E121+F121,1000))</f>
        <v>1000</v>
      </c>
      <c r="B121" s="101">
        <f t="shared" si="11"/>
        <v>1000</v>
      </c>
      <c r="C121" s="4">
        <v>120</v>
      </c>
      <c r="D121" s="29">
        <f>IF(ISBLANK(Input!A121),1000,IF(Input!G121&gt;0,Input!G121+F121,1000))</f>
        <v>1000</v>
      </c>
      <c r="E121" s="29">
        <f t="shared" si="12"/>
        <v>1000</v>
      </c>
      <c r="F121" s="4">
        <v>0.12</v>
      </c>
      <c r="I121" t="str">
        <f>IF(Input!A121&gt;0,Input!A121,"")</f>
        <v/>
      </c>
      <c r="J121" t="str">
        <f>IF(Input!B121&gt;0,Input!B121,"")</f>
        <v/>
      </c>
      <c r="K121" t="str">
        <f>IF(Input!C121&gt;0,Input!C121,"")</f>
        <v/>
      </c>
      <c r="L121" t="str">
        <f>IF(Input!D121&gt;0,Input!D121,"")</f>
        <v/>
      </c>
      <c r="M121" t="str">
        <f>IF(Input!E121&gt;0,Input!E121,"")</f>
        <v xml:space="preserve"> </v>
      </c>
      <c r="N121" t="str">
        <f>IF(Input!F121&gt;0,Input!F121,"")</f>
        <v xml:space="preserve"> </v>
      </c>
      <c r="O121" t="str">
        <f>IF(Input!I121&lt;&gt;"",Input!I121,"")</f>
        <v/>
      </c>
      <c r="P121" t="str">
        <f t="shared" si="13"/>
        <v/>
      </c>
      <c r="Q121" t="str">
        <f>IF(O121&lt;&gt;"",IF(Input!K121&lt;&gt;"",ROUNDDOWN(Input!K121,0),0),"")</f>
        <v/>
      </c>
      <c r="R121" t="str">
        <f>IF(Input!L121&lt;&gt;"",Input!L121,"")</f>
        <v/>
      </c>
      <c r="S121" t="str">
        <f t="shared" si="14"/>
        <v/>
      </c>
      <c r="T121" t="str">
        <f>IF(R121&lt;&gt;"",IF(Input!N121&lt;&gt;"",ROUNDDOWN(Input!N121,0),0),"")</f>
        <v/>
      </c>
      <c r="U121" t="str">
        <f>IF(Input!O121&lt;&gt;"",Input!O121,"")</f>
        <v/>
      </c>
      <c r="V121" t="str">
        <f t="shared" si="15"/>
        <v/>
      </c>
      <c r="W121" t="str">
        <f>IF(U121&lt;&gt;"",IF(Input!Q121&lt;&gt;"",ROUNDDOWN(Input!Q121,0),0),"")</f>
        <v/>
      </c>
      <c r="X121" t="str">
        <f>IF(Input!R121&lt;&gt;"",Input!R121,"")</f>
        <v/>
      </c>
      <c r="Y121" t="str">
        <f t="shared" si="16"/>
        <v/>
      </c>
      <c r="Z121" t="str">
        <f>IF(X121&lt;&gt;"",IF(Input!T121&lt;&gt;"",ROUNDDOWN(Input!T121,0),0),"")</f>
        <v/>
      </c>
      <c r="AA121" t="str">
        <f>IF(Input!U121&lt;&gt;"",Input!U121,"")</f>
        <v/>
      </c>
      <c r="AB121" t="str">
        <f t="shared" si="17"/>
        <v/>
      </c>
      <c r="AC121" t="str">
        <f>IF(AA121&lt;&gt;"",IF(Input!W121&lt;&gt;"",ROUNDDOWN(Input!W121,0),0),"")</f>
        <v/>
      </c>
      <c r="AD121" t="str">
        <f>IF(Input!X121&lt;&gt;"",Input!X121,"")</f>
        <v/>
      </c>
      <c r="AE121" t="str">
        <f t="shared" si="18"/>
        <v/>
      </c>
      <c r="AF121" t="str">
        <f>IF(AD121&lt;&gt;"",IF(Input!Z121&lt;&gt;"",ROUNDDOWN(Input!Z121,0),0),"")</f>
        <v/>
      </c>
      <c r="AG121" t="str">
        <f>IF(Input!AA121&lt;&gt;"",Input!AA121,"")</f>
        <v/>
      </c>
      <c r="AH121" t="str">
        <f t="shared" si="19"/>
        <v/>
      </c>
      <c r="AI121" t="str">
        <f>IF(AG121&lt;&gt;"",IF(Input!AC121&lt;&gt;"",ROUNDDOWN(Input!AC121,0),0),"")</f>
        <v/>
      </c>
      <c r="AJ121" t="str">
        <f>IF(Input!AD121&lt;&gt;"",Input!AD121,"")</f>
        <v/>
      </c>
      <c r="AK121" t="str">
        <f t="shared" si="20"/>
        <v/>
      </c>
      <c r="AL121" t="str">
        <f>IF(AJ121&lt;&gt;"",IF(Input!AF121&lt;&gt;"",ROUNDDOWN(Input!AF121,0),0),"")</f>
        <v/>
      </c>
      <c r="AM121" t="str">
        <f>IF(Input!AG121&lt;&gt;"",Input!AG121,"")</f>
        <v/>
      </c>
      <c r="AN121" t="str">
        <f t="shared" si="21"/>
        <v/>
      </c>
      <c r="AO121" t="str">
        <f>IF(AM121&lt;&gt;"",IF(Input!AI121&lt;&gt;"",ROUNDDOWN(Input!AI121,0),0),"")</f>
        <v/>
      </c>
    </row>
    <row r="122" spans="1:41" ht="16.5" thickTop="1" thickBot="1" x14ac:dyDescent="0.4">
      <c r="A122" s="100">
        <f>IF(ISBLANK(Input!A122),1000,IF(Input!E122&gt;0,Input!E122+F122,1000))</f>
        <v>1000</v>
      </c>
      <c r="B122" s="101">
        <f t="shared" si="11"/>
        <v>1000</v>
      </c>
      <c r="C122" s="4">
        <v>121</v>
      </c>
      <c r="D122" s="29">
        <f>IF(ISBLANK(Input!A122),1000,IF(Input!G122&gt;0,Input!G122+F122,1000))</f>
        <v>1000</v>
      </c>
      <c r="E122" s="29">
        <f t="shared" si="12"/>
        <v>1000</v>
      </c>
      <c r="F122" s="4">
        <v>0.121</v>
      </c>
      <c r="I122" t="str">
        <f>IF(Input!A122&gt;0,Input!A122,"")</f>
        <v/>
      </c>
      <c r="J122" t="str">
        <f>IF(Input!B122&gt;0,Input!B122,"")</f>
        <v/>
      </c>
      <c r="K122" t="str">
        <f>IF(Input!C122&gt;0,Input!C122,"")</f>
        <v/>
      </c>
      <c r="L122" t="str">
        <f>IF(Input!D122&gt;0,Input!D122,"")</f>
        <v/>
      </c>
      <c r="M122" t="str">
        <f>IF(Input!E122&gt;0,Input!E122,"")</f>
        <v xml:space="preserve"> </v>
      </c>
      <c r="N122" t="str">
        <f>IF(Input!F122&gt;0,Input!F122,"")</f>
        <v xml:space="preserve"> </v>
      </c>
      <c r="O122" t="str">
        <f>IF(Input!I122&lt;&gt;"",Input!I122,"")</f>
        <v/>
      </c>
      <c r="P122" t="str">
        <f t="shared" si="13"/>
        <v/>
      </c>
      <c r="Q122" t="str">
        <f>IF(O122&lt;&gt;"",IF(Input!K122&lt;&gt;"",ROUNDDOWN(Input!K122,0),0),"")</f>
        <v/>
      </c>
      <c r="R122" t="str">
        <f>IF(Input!L122&lt;&gt;"",Input!L122,"")</f>
        <v/>
      </c>
      <c r="S122" t="str">
        <f t="shared" si="14"/>
        <v/>
      </c>
      <c r="T122" t="str">
        <f>IF(R122&lt;&gt;"",IF(Input!N122&lt;&gt;"",ROUNDDOWN(Input!N122,0),0),"")</f>
        <v/>
      </c>
      <c r="U122" t="str">
        <f>IF(Input!O122&lt;&gt;"",Input!O122,"")</f>
        <v/>
      </c>
      <c r="V122" t="str">
        <f t="shared" si="15"/>
        <v/>
      </c>
      <c r="W122" t="str">
        <f>IF(U122&lt;&gt;"",IF(Input!Q122&lt;&gt;"",ROUNDDOWN(Input!Q122,0),0),"")</f>
        <v/>
      </c>
      <c r="X122" t="str">
        <f>IF(Input!R122&lt;&gt;"",Input!R122,"")</f>
        <v/>
      </c>
      <c r="Y122" t="str">
        <f t="shared" si="16"/>
        <v/>
      </c>
      <c r="Z122" t="str">
        <f>IF(X122&lt;&gt;"",IF(Input!T122&lt;&gt;"",ROUNDDOWN(Input!T122,0),0),"")</f>
        <v/>
      </c>
      <c r="AA122" t="str">
        <f>IF(Input!U122&lt;&gt;"",Input!U122,"")</f>
        <v/>
      </c>
      <c r="AB122" t="str">
        <f t="shared" si="17"/>
        <v/>
      </c>
      <c r="AC122" t="str">
        <f>IF(AA122&lt;&gt;"",IF(Input!W122&lt;&gt;"",ROUNDDOWN(Input!W122,0),0),"")</f>
        <v/>
      </c>
      <c r="AD122" t="str">
        <f>IF(Input!X122&lt;&gt;"",Input!X122,"")</f>
        <v/>
      </c>
      <c r="AE122" t="str">
        <f t="shared" si="18"/>
        <v/>
      </c>
      <c r="AF122" t="str">
        <f>IF(AD122&lt;&gt;"",IF(Input!Z122&lt;&gt;"",ROUNDDOWN(Input!Z122,0),0),"")</f>
        <v/>
      </c>
      <c r="AG122" t="str">
        <f>IF(Input!AA122&lt;&gt;"",Input!AA122,"")</f>
        <v/>
      </c>
      <c r="AH122" t="str">
        <f t="shared" si="19"/>
        <v/>
      </c>
      <c r="AI122" t="str">
        <f>IF(AG122&lt;&gt;"",IF(Input!AC122&lt;&gt;"",ROUNDDOWN(Input!AC122,0),0),"")</f>
        <v/>
      </c>
      <c r="AJ122" t="str">
        <f>IF(Input!AD122&lt;&gt;"",Input!AD122,"")</f>
        <v/>
      </c>
      <c r="AK122" t="str">
        <f t="shared" si="20"/>
        <v/>
      </c>
      <c r="AL122" t="str">
        <f>IF(AJ122&lt;&gt;"",IF(Input!AF122&lt;&gt;"",ROUNDDOWN(Input!AF122,0),0),"")</f>
        <v/>
      </c>
      <c r="AM122" t="str">
        <f>IF(Input!AG122&lt;&gt;"",Input!AG122,"")</f>
        <v/>
      </c>
      <c r="AN122" t="str">
        <f t="shared" si="21"/>
        <v/>
      </c>
      <c r="AO122" t="str">
        <f>IF(AM122&lt;&gt;"",IF(Input!AI122&lt;&gt;"",ROUNDDOWN(Input!AI122,0),0),"")</f>
        <v/>
      </c>
    </row>
    <row r="123" spans="1:41" ht="16.5" thickTop="1" thickBot="1" x14ac:dyDescent="0.4">
      <c r="A123" s="100">
        <f>IF(ISBLANK(Input!A123),1000,IF(Input!E123&gt;0,Input!E123+F123,1000))</f>
        <v>1000</v>
      </c>
      <c r="B123" s="101">
        <f t="shared" si="11"/>
        <v>1000</v>
      </c>
      <c r="C123" s="4">
        <v>122</v>
      </c>
      <c r="D123" s="29">
        <f>IF(ISBLANK(Input!A123),1000,IF(Input!G123&gt;0,Input!G123+F123,1000))</f>
        <v>1000</v>
      </c>
      <c r="E123" s="29">
        <f t="shared" si="12"/>
        <v>1000</v>
      </c>
      <c r="F123" s="4">
        <v>0.122</v>
      </c>
      <c r="I123" t="str">
        <f>IF(Input!A123&gt;0,Input!A123,"")</f>
        <v/>
      </c>
      <c r="J123" t="str">
        <f>IF(Input!B123&gt;0,Input!B123,"")</f>
        <v/>
      </c>
      <c r="K123" t="str">
        <f>IF(Input!C123&gt;0,Input!C123,"")</f>
        <v/>
      </c>
      <c r="L123" t="str">
        <f>IF(Input!D123&gt;0,Input!D123,"")</f>
        <v/>
      </c>
      <c r="M123" t="str">
        <f>IF(Input!E123&gt;0,Input!E123,"")</f>
        <v xml:space="preserve"> </v>
      </c>
      <c r="N123" t="str">
        <f>IF(Input!F123&gt;0,Input!F123,"")</f>
        <v xml:space="preserve"> </v>
      </c>
      <c r="O123" t="str">
        <f>IF(Input!I123&lt;&gt;"",Input!I123,"")</f>
        <v/>
      </c>
      <c r="P123" t="str">
        <f t="shared" si="13"/>
        <v/>
      </c>
      <c r="Q123" t="str">
        <f>IF(O123&lt;&gt;"",IF(Input!K123&lt;&gt;"",ROUNDDOWN(Input!K123,0),0),"")</f>
        <v/>
      </c>
      <c r="R123" t="str">
        <f>IF(Input!L123&lt;&gt;"",Input!L123,"")</f>
        <v/>
      </c>
      <c r="S123" t="str">
        <f t="shared" si="14"/>
        <v/>
      </c>
      <c r="T123" t="str">
        <f>IF(R123&lt;&gt;"",IF(Input!N123&lt;&gt;"",ROUNDDOWN(Input!N123,0),0),"")</f>
        <v/>
      </c>
      <c r="U123" t="str">
        <f>IF(Input!O123&lt;&gt;"",Input!O123,"")</f>
        <v/>
      </c>
      <c r="V123" t="str">
        <f t="shared" si="15"/>
        <v/>
      </c>
      <c r="W123" t="str">
        <f>IF(U123&lt;&gt;"",IF(Input!Q123&lt;&gt;"",ROUNDDOWN(Input!Q123,0),0),"")</f>
        <v/>
      </c>
      <c r="X123" t="str">
        <f>IF(Input!R123&lt;&gt;"",Input!R123,"")</f>
        <v/>
      </c>
      <c r="Y123" t="str">
        <f t="shared" si="16"/>
        <v/>
      </c>
      <c r="Z123" t="str">
        <f>IF(X123&lt;&gt;"",IF(Input!T123&lt;&gt;"",ROUNDDOWN(Input!T123,0),0),"")</f>
        <v/>
      </c>
      <c r="AA123" t="str">
        <f>IF(Input!U123&lt;&gt;"",Input!U123,"")</f>
        <v/>
      </c>
      <c r="AB123" t="str">
        <f t="shared" si="17"/>
        <v/>
      </c>
      <c r="AC123" t="str">
        <f>IF(AA123&lt;&gt;"",IF(Input!W123&lt;&gt;"",ROUNDDOWN(Input!W123,0),0),"")</f>
        <v/>
      </c>
      <c r="AD123" t="str">
        <f>IF(Input!X123&lt;&gt;"",Input!X123,"")</f>
        <v/>
      </c>
      <c r="AE123" t="str">
        <f t="shared" si="18"/>
        <v/>
      </c>
      <c r="AF123" t="str">
        <f>IF(AD123&lt;&gt;"",IF(Input!Z123&lt;&gt;"",ROUNDDOWN(Input!Z123,0),0),"")</f>
        <v/>
      </c>
      <c r="AG123" t="str">
        <f>IF(Input!AA123&lt;&gt;"",Input!AA123,"")</f>
        <v/>
      </c>
      <c r="AH123" t="str">
        <f t="shared" si="19"/>
        <v/>
      </c>
      <c r="AI123" t="str">
        <f>IF(AG123&lt;&gt;"",IF(Input!AC123&lt;&gt;"",ROUNDDOWN(Input!AC123,0),0),"")</f>
        <v/>
      </c>
      <c r="AJ123" t="str">
        <f>IF(Input!AD123&lt;&gt;"",Input!AD123,"")</f>
        <v/>
      </c>
      <c r="AK123" t="str">
        <f t="shared" si="20"/>
        <v/>
      </c>
      <c r="AL123" t="str">
        <f>IF(AJ123&lt;&gt;"",IF(Input!AF123&lt;&gt;"",ROUNDDOWN(Input!AF123,0),0),"")</f>
        <v/>
      </c>
      <c r="AM123" t="str">
        <f>IF(Input!AG123&lt;&gt;"",Input!AG123,"")</f>
        <v/>
      </c>
      <c r="AN123" t="str">
        <f t="shared" si="21"/>
        <v/>
      </c>
      <c r="AO123" t="str">
        <f>IF(AM123&lt;&gt;"",IF(Input!AI123&lt;&gt;"",ROUNDDOWN(Input!AI123,0),0),"")</f>
        <v/>
      </c>
    </row>
    <row r="124" spans="1:41" ht="16.5" thickTop="1" thickBot="1" x14ac:dyDescent="0.4">
      <c r="A124" s="100">
        <f>IF(ISBLANK(Input!A124),1000,IF(Input!E124&gt;0,Input!E124+F124,1000))</f>
        <v>1000</v>
      </c>
      <c r="B124" s="101">
        <f t="shared" si="11"/>
        <v>1000</v>
      </c>
      <c r="C124" s="4">
        <v>123</v>
      </c>
      <c r="D124" s="29">
        <f>IF(ISBLANK(Input!A124),1000,IF(Input!G124&gt;0,Input!G124+F124,1000))</f>
        <v>1000</v>
      </c>
      <c r="E124" s="29">
        <f t="shared" si="12"/>
        <v>1000</v>
      </c>
      <c r="F124" s="4">
        <v>0.123</v>
      </c>
      <c r="I124" t="str">
        <f>IF(Input!A124&gt;0,Input!A124,"")</f>
        <v/>
      </c>
      <c r="J124" t="str">
        <f>IF(Input!B124&gt;0,Input!B124,"")</f>
        <v/>
      </c>
      <c r="K124" t="str">
        <f>IF(Input!C124&gt;0,Input!C124,"")</f>
        <v/>
      </c>
      <c r="L124" t="str">
        <f>IF(Input!D124&gt;0,Input!D124,"")</f>
        <v/>
      </c>
      <c r="M124" t="str">
        <f>IF(Input!E124&gt;0,Input!E124,"")</f>
        <v xml:space="preserve"> </v>
      </c>
      <c r="N124" t="str">
        <f>IF(Input!F124&gt;0,Input!F124,"")</f>
        <v xml:space="preserve"> </v>
      </c>
      <c r="O124" t="str">
        <f>IF(Input!I124&lt;&gt;"",Input!I124,"")</f>
        <v/>
      </c>
      <c r="P124" t="str">
        <f t="shared" si="13"/>
        <v/>
      </c>
      <c r="Q124" t="str">
        <f>IF(O124&lt;&gt;"",IF(Input!K124&lt;&gt;"",ROUNDDOWN(Input!K124,0),0),"")</f>
        <v/>
      </c>
      <c r="R124" t="str">
        <f>IF(Input!L124&lt;&gt;"",Input!L124,"")</f>
        <v/>
      </c>
      <c r="S124" t="str">
        <f t="shared" si="14"/>
        <v/>
      </c>
      <c r="T124" t="str">
        <f>IF(R124&lt;&gt;"",IF(Input!N124&lt;&gt;"",ROUNDDOWN(Input!N124,0),0),"")</f>
        <v/>
      </c>
      <c r="U124" t="str">
        <f>IF(Input!O124&lt;&gt;"",Input!O124,"")</f>
        <v/>
      </c>
      <c r="V124" t="str">
        <f t="shared" si="15"/>
        <v/>
      </c>
      <c r="W124" t="str">
        <f>IF(U124&lt;&gt;"",IF(Input!Q124&lt;&gt;"",ROUNDDOWN(Input!Q124,0),0),"")</f>
        <v/>
      </c>
      <c r="X124" t="str">
        <f>IF(Input!R124&lt;&gt;"",Input!R124,"")</f>
        <v/>
      </c>
      <c r="Y124" t="str">
        <f t="shared" si="16"/>
        <v/>
      </c>
      <c r="Z124" t="str">
        <f>IF(X124&lt;&gt;"",IF(Input!T124&lt;&gt;"",ROUNDDOWN(Input!T124,0),0),"")</f>
        <v/>
      </c>
      <c r="AA124" t="str">
        <f>IF(Input!U124&lt;&gt;"",Input!U124,"")</f>
        <v/>
      </c>
      <c r="AB124" t="str">
        <f t="shared" si="17"/>
        <v/>
      </c>
      <c r="AC124" t="str">
        <f>IF(AA124&lt;&gt;"",IF(Input!W124&lt;&gt;"",ROUNDDOWN(Input!W124,0),0),"")</f>
        <v/>
      </c>
      <c r="AD124" t="str">
        <f>IF(Input!X124&lt;&gt;"",Input!X124,"")</f>
        <v/>
      </c>
      <c r="AE124" t="str">
        <f t="shared" si="18"/>
        <v/>
      </c>
      <c r="AF124" t="str">
        <f>IF(AD124&lt;&gt;"",IF(Input!Z124&lt;&gt;"",ROUNDDOWN(Input!Z124,0),0),"")</f>
        <v/>
      </c>
      <c r="AG124" t="str">
        <f>IF(Input!AA124&lt;&gt;"",Input!AA124,"")</f>
        <v/>
      </c>
      <c r="AH124" t="str">
        <f t="shared" si="19"/>
        <v/>
      </c>
      <c r="AI124" t="str">
        <f>IF(AG124&lt;&gt;"",IF(Input!AC124&lt;&gt;"",ROUNDDOWN(Input!AC124,0),0),"")</f>
        <v/>
      </c>
      <c r="AJ124" t="str">
        <f>IF(Input!AD124&lt;&gt;"",Input!AD124,"")</f>
        <v/>
      </c>
      <c r="AK124" t="str">
        <f t="shared" si="20"/>
        <v/>
      </c>
      <c r="AL124" t="str">
        <f>IF(AJ124&lt;&gt;"",IF(Input!AF124&lt;&gt;"",ROUNDDOWN(Input!AF124,0),0),"")</f>
        <v/>
      </c>
      <c r="AM124" t="str">
        <f>IF(Input!AG124&lt;&gt;"",Input!AG124,"")</f>
        <v/>
      </c>
      <c r="AN124" t="str">
        <f t="shared" si="21"/>
        <v/>
      </c>
      <c r="AO124" t="str">
        <f>IF(AM124&lt;&gt;"",IF(Input!AI124&lt;&gt;"",ROUNDDOWN(Input!AI124,0),0),"")</f>
        <v/>
      </c>
    </row>
    <row r="125" spans="1:41" ht="16.5" thickTop="1" thickBot="1" x14ac:dyDescent="0.4">
      <c r="A125" s="100">
        <f>IF(ISBLANK(Input!A125),1000,IF(Input!E125&gt;0,Input!E125+F125,1000))</f>
        <v>1000</v>
      </c>
      <c r="B125" s="101">
        <f t="shared" si="11"/>
        <v>1000</v>
      </c>
      <c r="C125" s="4">
        <v>124</v>
      </c>
      <c r="D125" s="29">
        <f>IF(ISBLANK(Input!A125),1000,IF(Input!G125&gt;0,Input!G125+F125,1000))</f>
        <v>1000</v>
      </c>
      <c r="E125" s="29">
        <f t="shared" si="12"/>
        <v>1000</v>
      </c>
      <c r="F125" s="4">
        <v>0.124</v>
      </c>
      <c r="I125" t="str">
        <f>IF(Input!A125&gt;0,Input!A125,"")</f>
        <v/>
      </c>
      <c r="J125" t="str">
        <f>IF(Input!B125&gt;0,Input!B125,"")</f>
        <v/>
      </c>
      <c r="K125" t="str">
        <f>IF(Input!C125&gt;0,Input!C125,"")</f>
        <v/>
      </c>
      <c r="L125" t="str">
        <f>IF(Input!D125&gt;0,Input!D125,"")</f>
        <v/>
      </c>
      <c r="M125" t="str">
        <f>IF(Input!E125&gt;0,Input!E125,"")</f>
        <v xml:space="preserve"> </v>
      </c>
      <c r="N125" t="str">
        <f>IF(Input!F125&gt;0,Input!F125,"")</f>
        <v xml:space="preserve"> </v>
      </c>
      <c r="O125" t="str">
        <f>IF(Input!I125&lt;&gt;"",Input!I125,"")</f>
        <v/>
      </c>
      <c r="P125" t="str">
        <f t="shared" si="13"/>
        <v/>
      </c>
      <c r="Q125" t="str">
        <f>IF(O125&lt;&gt;"",IF(Input!K125&lt;&gt;"",ROUNDDOWN(Input!K125,0),0),"")</f>
        <v/>
      </c>
      <c r="R125" t="str">
        <f>IF(Input!L125&lt;&gt;"",Input!L125,"")</f>
        <v/>
      </c>
      <c r="S125" t="str">
        <f t="shared" si="14"/>
        <v/>
      </c>
      <c r="T125" t="str">
        <f>IF(R125&lt;&gt;"",IF(Input!N125&lt;&gt;"",ROUNDDOWN(Input!N125,0),0),"")</f>
        <v/>
      </c>
      <c r="U125" t="str">
        <f>IF(Input!O125&lt;&gt;"",Input!O125,"")</f>
        <v/>
      </c>
      <c r="V125" t="str">
        <f t="shared" si="15"/>
        <v/>
      </c>
      <c r="W125" t="str">
        <f>IF(U125&lt;&gt;"",IF(Input!Q125&lt;&gt;"",ROUNDDOWN(Input!Q125,0),0),"")</f>
        <v/>
      </c>
      <c r="X125" t="str">
        <f>IF(Input!R125&lt;&gt;"",Input!R125,"")</f>
        <v/>
      </c>
      <c r="Y125" t="str">
        <f t="shared" si="16"/>
        <v/>
      </c>
      <c r="Z125" t="str">
        <f>IF(X125&lt;&gt;"",IF(Input!T125&lt;&gt;"",ROUNDDOWN(Input!T125,0),0),"")</f>
        <v/>
      </c>
      <c r="AA125" t="str">
        <f>IF(Input!U125&lt;&gt;"",Input!U125,"")</f>
        <v/>
      </c>
      <c r="AB125" t="str">
        <f t="shared" si="17"/>
        <v/>
      </c>
      <c r="AC125" t="str">
        <f>IF(AA125&lt;&gt;"",IF(Input!W125&lt;&gt;"",ROUNDDOWN(Input!W125,0),0),"")</f>
        <v/>
      </c>
      <c r="AD125" t="str">
        <f>IF(Input!X125&lt;&gt;"",Input!X125,"")</f>
        <v/>
      </c>
      <c r="AE125" t="str">
        <f t="shared" si="18"/>
        <v/>
      </c>
      <c r="AF125" t="str">
        <f>IF(AD125&lt;&gt;"",IF(Input!Z125&lt;&gt;"",ROUNDDOWN(Input!Z125,0),0),"")</f>
        <v/>
      </c>
      <c r="AG125" t="str">
        <f>IF(Input!AA125&lt;&gt;"",Input!AA125,"")</f>
        <v/>
      </c>
      <c r="AH125" t="str">
        <f t="shared" si="19"/>
        <v/>
      </c>
      <c r="AI125" t="str">
        <f>IF(AG125&lt;&gt;"",IF(Input!AC125&lt;&gt;"",ROUNDDOWN(Input!AC125,0),0),"")</f>
        <v/>
      </c>
      <c r="AJ125" t="str">
        <f>IF(Input!AD125&lt;&gt;"",Input!AD125,"")</f>
        <v/>
      </c>
      <c r="AK125" t="str">
        <f t="shared" si="20"/>
        <v/>
      </c>
      <c r="AL125" t="str">
        <f>IF(AJ125&lt;&gt;"",IF(Input!AF125&lt;&gt;"",ROUNDDOWN(Input!AF125,0),0),"")</f>
        <v/>
      </c>
      <c r="AM125" t="str">
        <f>IF(Input!AG125&lt;&gt;"",Input!AG125,"")</f>
        <v/>
      </c>
      <c r="AN125" t="str">
        <f t="shared" si="21"/>
        <v/>
      </c>
      <c r="AO125" t="str">
        <f>IF(AM125&lt;&gt;"",IF(Input!AI125&lt;&gt;"",ROUNDDOWN(Input!AI125,0),0),"")</f>
        <v/>
      </c>
    </row>
    <row r="126" spans="1:41" ht="16.5" thickTop="1" thickBot="1" x14ac:dyDescent="0.4">
      <c r="A126" s="100">
        <f>IF(ISBLANK(Input!A126),1000,IF(Input!E126&gt;0,Input!E126+F126,1000))</f>
        <v>1000</v>
      </c>
      <c r="B126" s="101">
        <f t="shared" si="11"/>
        <v>1000</v>
      </c>
      <c r="C126" s="4">
        <v>125</v>
      </c>
      <c r="D126" s="29">
        <f>IF(ISBLANK(Input!A126),1000,IF(Input!G126&gt;0,Input!G126+F126,1000))</f>
        <v>1000</v>
      </c>
      <c r="E126" s="29">
        <f t="shared" si="12"/>
        <v>1000</v>
      </c>
      <c r="F126" s="4">
        <v>0.125</v>
      </c>
      <c r="I126" t="str">
        <f>IF(Input!A126&gt;0,Input!A126,"")</f>
        <v/>
      </c>
      <c r="J126" t="str">
        <f>IF(Input!B126&gt;0,Input!B126,"")</f>
        <v/>
      </c>
      <c r="K126" t="str">
        <f>IF(Input!C126&gt;0,Input!C126,"")</f>
        <v/>
      </c>
      <c r="L126" t="str">
        <f>IF(Input!D126&gt;0,Input!D126,"")</f>
        <v/>
      </c>
      <c r="M126" t="str">
        <f>IF(Input!E126&gt;0,Input!E126,"")</f>
        <v xml:space="preserve"> </v>
      </c>
      <c r="N126" t="str">
        <f>IF(Input!F126&gt;0,Input!F126,"")</f>
        <v xml:space="preserve"> </v>
      </c>
      <c r="O126" t="str">
        <f>IF(Input!I126&lt;&gt;"",Input!I126,"")</f>
        <v/>
      </c>
      <c r="P126" t="str">
        <f t="shared" si="13"/>
        <v/>
      </c>
      <c r="Q126" t="str">
        <f>IF(O126&lt;&gt;"",IF(Input!K126&lt;&gt;"",ROUNDDOWN(Input!K126,0),0),"")</f>
        <v/>
      </c>
      <c r="R126" t="str">
        <f>IF(Input!L126&lt;&gt;"",Input!L126,"")</f>
        <v/>
      </c>
      <c r="S126" t="str">
        <f t="shared" si="14"/>
        <v/>
      </c>
      <c r="T126" t="str">
        <f>IF(R126&lt;&gt;"",IF(Input!N126&lt;&gt;"",ROUNDDOWN(Input!N126,0),0),"")</f>
        <v/>
      </c>
      <c r="U126" t="str">
        <f>IF(Input!O126&lt;&gt;"",Input!O126,"")</f>
        <v/>
      </c>
      <c r="V126" t="str">
        <f t="shared" si="15"/>
        <v/>
      </c>
      <c r="W126" t="str">
        <f>IF(U126&lt;&gt;"",IF(Input!Q126&lt;&gt;"",ROUNDDOWN(Input!Q126,0),0),"")</f>
        <v/>
      </c>
      <c r="X126" t="str">
        <f>IF(Input!R126&lt;&gt;"",Input!R126,"")</f>
        <v/>
      </c>
      <c r="Y126" t="str">
        <f t="shared" si="16"/>
        <v/>
      </c>
      <c r="Z126" t="str">
        <f>IF(X126&lt;&gt;"",IF(Input!T126&lt;&gt;"",ROUNDDOWN(Input!T126,0),0),"")</f>
        <v/>
      </c>
      <c r="AA126" t="str">
        <f>IF(Input!U126&lt;&gt;"",Input!U126,"")</f>
        <v/>
      </c>
      <c r="AB126" t="str">
        <f t="shared" si="17"/>
        <v/>
      </c>
      <c r="AC126" t="str">
        <f>IF(AA126&lt;&gt;"",IF(Input!W126&lt;&gt;"",ROUNDDOWN(Input!W126,0),0),"")</f>
        <v/>
      </c>
      <c r="AD126" t="str">
        <f>IF(Input!X126&lt;&gt;"",Input!X126,"")</f>
        <v/>
      </c>
      <c r="AE126" t="str">
        <f t="shared" si="18"/>
        <v/>
      </c>
      <c r="AF126" t="str">
        <f>IF(AD126&lt;&gt;"",IF(Input!Z126&lt;&gt;"",ROUNDDOWN(Input!Z126,0),0),"")</f>
        <v/>
      </c>
      <c r="AG126" t="str">
        <f>IF(Input!AA126&lt;&gt;"",Input!AA126,"")</f>
        <v/>
      </c>
      <c r="AH126" t="str">
        <f t="shared" si="19"/>
        <v/>
      </c>
      <c r="AI126" t="str">
        <f>IF(AG126&lt;&gt;"",IF(Input!AC126&lt;&gt;"",ROUNDDOWN(Input!AC126,0),0),"")</f>
        <v/>
      </c>
      <c r="AJ126" t="str">
        <f>IF(Input!AD126&lt;&gt;"",Input!AD126,"")</f>
        <v/>
      </c>
      <c r="AK126" t="str">
        <f t="shared" si="20"/>
        <v/>
      </c>
      <c r="AL126" t="str">
        <f>IF(AJ126&lt;&gt;"",IF(Input!AF126&lt;&gt;"",ROUNDDOWN(Input!AF126,0),0),"")</f>
        <v/>
      </c>
      <c r="AM126" t="str">
        <f>IF(Input!AG126&lt;&gt;"",Input!AG126,"")</f>
        <v/>
      </c>
      <c r="AN126" t="str">
        <f t="shared" si="21"/>
        <v/>
      </c>
      <c r="AO126" t="str">
        <f>IF(AM126&lt;&gt;"",IF(Input!AI126&lt;&gt;"",ROUNDDOWN(Input!AI126,0),0),"")</f>
        <v/>
      </c>
    </row>
    <row r="127" spans="1:41" ht="16.5" thickTop="1" thickBot="1" x14ac:dyDescent="0.4">
      <c r="A127" s="100">
        <f>IF(ISBLANK(Input!A127),1000,IF(Input!E127&gt;0,Input!E127+F127,1000))</f>
        <v>1000</v>
      </c>
      <c r="B127" s="101">
        <f t="shared" si="11"/>
        <v>1000</v>
      </c>
      <c r="C127" s="4">
        <v>126</v>
      </c>
      <c r="D127" s="29">
        <f>IF(ISBLANK(Input!A127),1000,IF(Input!G127&gt;0,Input!G127+F127,1000))</f>
        <v>1000</v>
      </c>
      <c r="E127" s="29">
        <f t="shared" si="12"/>
        <v>1000</v>
      </c>
      <c r="F127" s="4">
        <v>0.126</v>
      </c>
      <c r="I127" t="str">
        <f>IF(Input!A127&gt;0,Input!A127,"")</f>
        <v/>
      </c>
      <c r="J127" t="str">
        <f>IF(Input!B127&gt;0,Input!B127,"")</f>
        <v/>
      </c>
      <c r="K127" t="str">
        <f>IF(Input!C127&gt;0,Input!C127,"")</f>
        <v/>
      </c>
      <c r="L127" t="str">
        <f>IF(Input!D127&gt;0,Input!D127,"")</f>
        <v/>
      </c>
      <c r="M127" t="str">
        <f>IF(Input!E127&gt;0,Input!E127,"")</f>
        <v xml:space="preserve"> </v>
      </c>
      <c r="N127" t="str">
        <f>IF(Input!F127&gt;0,Input!F127,"")</f>
        <v xml:space="preserve"> </v>
      </c>
      <c r="O127" t="str">
        <f>IF(Input!I127&lt;&gt;"",Input!I127,"")</f>
        <v/>
      </c>
      <c r="P127" t="str">
        <f t="shared" si="13"/>
        <v/>
      </c>
      <c r="Q127" t="str">
        <f>IF(O127&lt;&gt;"",IF(Input!K127&lt;&gt;"",ROUNDDOWN(Input!K127,0),0),"")</f>
        <v/>
      </c>
      <c r="R127" t="str">
        <f>IF(Input!L127&lt;&gt;"",Input!L127,"")</f>
        <v/>
      </c>
      <c r="S127" t="str">
        <f t="shared" si="14"/>
        <v/>
      </c>
      <c r="T127" t="str">
        <f>IF(R127&lt;&gt;"",IF(Input!N127&lt;&gt;"",ROUNDDOWN(Input!N127,0),0),"")</f>
        <v/>
      </c>
      <c r="U127" t="str">
        <f>IF(Input!O127&lt;&gt;"",Input!O127,"")</f>
        <v/>
      </c>
      <c r="V127" t="str">
        <f t="shared" si="15"/>
        <v/>
      </c>
      <c r="W127" t="str">
        <f>IF(U127&lt;&gt;"",IF(Input!Q127&lt;&gt;"",ROUNDDOWN(Input!Q127,0),0),"")</f>
        <v/>
      </c>
      <c r="X127" t="str">
        <f>IF(Input!R127&lt;&gt;"",Input!R127,"")</f>
        <v/>
      </c>
      <c r="Y127" t="str">
        <f t="shared" si="16"/>
        <v/>
      </c>
      <c r="Z127" t="str">
        <f>IF(X127&lt;&gt;"",IF(Input!T127&lt;&gt;"",ROUNDDOWN(Input!T127,0),0),"")</f>
        <v/>
      </c>
      <c r="AA127" t="str">
        <f>IF(Input!U127&lt;&gt;"",Input!U127,"")</f>
        <v/>
      </c>
      <c r="AB127" t="str">
        <f t="shared" si="17"/>
        <v/>
      </c>
      <c r="AC127" t="str">
        <f>IF(AA127&lt;&gt;"",IF(Input!W127&lt;&gt;"",ROUNDDOWN(Input!W127,0),0),"")</f>
        <v/>
      </c>
      <c r="AD127" t="str">
        <f>IF(Input!X127&lt;&gt;"",Input!X127,"")</f>
        <v/>
      </c>
      <c r="AE127" t="str">
        <f t="shared" si="18"/>
        <v/>
      </c>
      <c r="AF127" t="str">
        <f>IF(AD127&lt;&gt;"",IF(Input!Z127&lt;&gt;"",ROUNDDOWN(Input!Z127,0),0),"")</f>
        <v/>
      </c>
      <c r="AG127" t="str">
        <f>IF(Input!AA127&lt;&gt;"",Input!AA127,"")</f>
        <v/>
      </c>
      <c r="AH127" t="str">
        <f t="shared" si="19"/>
        <v/>
      </c>
      <c r="AI127" t="str">
        <f>IF(AG127&lt;&gt;"",IF(Input!AC127&lt;&gt;"",ROUNDDOWN(Input!AC127,0),0),"")</f>
        <v/>
      </c>
      <c r="AJ127" t="str">
        <f>IF(Input!AD127&lt;&gt;"",Input!AD127,"")</f>
        <v/>
      </c>
      <c r="AK127" t="str">
        <f t="shared" si="20"/>
        <v/>
      </c>
      <c r="AL127" t="str">
        <f>IF(AJ127&lt;&gt;"",IF(Input!AF127&lt;&gt;"",ROUNDDOWN(Input!AF127,0),0),"")</f>
        <v/>
      </c>
      <c r="AM127" t="str">
        <f>IF(Input!AG127&lt;&gt;"",Input!AG127,"")</f>
        <v/>
      </c>
      <c r="AN127" t="str">
        <f t="shared" si="21"/>
        <v/>
      </c>
      <c r="AO127" t="str">
        <f>IF(AM127&lt;&gt;"",IF(Input!AI127&lt;&gt;"",ROUNDDOWN(Input!AI127,0),0),"")</f>
        <v/>
      </c>
    </row>
    <row r="128" spans="1:41" ht="16.5" thickTop="1" thickBot="1" x14ac:dyDescent="0.4">
      <c r="A128" s="100">
        <f>IF(ISBLANK(Input!A128),1000,IF(Input!E128&gt;0,Input!E128+F128,1000))</f>
        <v>1000</v>
      </c>
      <c r="B128" s="101">
        <f t="shared" si="11"/>
        <v>1000</v>
      </c>
      <c r="C128" s="4">
        <v>127</v>
      </c>
      <c r="D128" s="29">
        <f>IF(ISBLANK(Input!A128),1000,IF(Input!G128&gt;0,Input!G128+F128,1000))</f>
        <v>1000</v>
      </c>
      <c r="E128" s="29">
        <f t="shared" si="12"/>
        <v>1000</v>
      </c>
      <c r="F128" s="4">
        <v>0.127</v>
      </c>
      <c r="I128" t="str">
        <f>IF(Input!A128&gt;0,Input!A128,"")</f>
        <v/>
      </c>
      <c r="J128" t="str">
        <f>IF(Input!B128&gt;0,Input!B128,"")</f>
        <v/>
      </c>
      <c r="K128" t="str">
        <f>IF(Input!C128&gt;0,Input!C128,"")</f>
        <v/>
      </c>
      <c r="L128" t="str">
        <f>IF(Input!D128&gt;0,Input!D128,"")</f>
        <v/>
      </c>
      <c r="M128" t="str">
        <f>IF(Input!E128&gt;0,Input!E128,"")</f>
        <v xml:space="preserve"> </v>
      </c>
      <c r="N128" t="str">
        <f>IF(Input!F128&gt;0,Input!F128,"")</f>
        <v xml:space="preserve"> </v>
      </c>
      <c r="O128" t="str">
        <f>IF(Input!I128&lt;&gt;"",Input!I128,"")</f>
        <v/>
      </c>
      <c r="P128" t="str">
        <f t="shared" si="13"/>
        <v/>
      </c>
      <c r="Q128" t="str">
        <f>IF(O128&lt;&gt;"",IF(Input!K128&lt;&gt;"",ROUNDDOWN(Input!K128,0),0),"")</f>
        <v/>
      </c>
      <c r="R128" t="str">
        <f>IF(Input!L128&lt;&gt;"",Input!L128,"")</f>
        <v/>
      </c>
      <c r="S128" t="str">
        <f t="shared" si="14"/>
        <v/>
      </c>
      <c r="T128" t="str">
        <f>IF(R128&lt;&gt;"",IF(Input!N128&lt;&gt;"",ROUNDDOWN(Input!N128,0),0),"")</f>
        <v/>
      </c>
      <c r="U128" t="str">
        <f>IF(Input!O128&lt;&gt;"",Input!O128,"")</f>
        <v/>
      </c>
      <c r="V128" t="str">
        <f t="shared" si="15"/>
        <v/>
      </c>
      <c r="W128" t="str">
        <f>IF(U128&lt;&gt;"",IF(Input!Q128&lt;&gt;"",ROUNDDOWN(Input!Q128,0),0),"")</f>
        <v/>
      </c>
      <c r="X128" t="str">
        <f>IF(Input!R128&lt;&gt;"",Input!R128,"")</f>
        <v/>
      </c>
      <c r="Y128" t="str">
        <f t="shared" si="16"/>
        <v/>
      </c>
      <c r="Z128" t="str">
        <f>IF(X128&lt;&gt;"",IF(Input!T128&lt;&gt;"",ROUNDDOWN(Input!T128,0),0),"")</f>
        <v/>
      </c>
      <c r="AA128" t="str">
        <f>IF(Input!U128&lt;&gt;"",Input!U128,"")</f>
        <v/>
      </c>
      <c r="AB128" t="str">
        <f t="shared" si="17"/>
        <v/>
      </c>
      <c r="AC128" t="str">
        <f>IF(AA128&lt;&gt;"",IF(Input!W128&lt;&gt;"",ROUNDDOWN(Input!W128,0),0),"")</f>
        <v/>
      </c>
      <c r="AD128" t="str">
        <f>IF(Input!X128&lt;&gt;"",Input!X128,"")</f>
        <v/>
      </c>
      <c r="AE128" t="str">
        <f t="shared" si="18"/>
        <v/>
      </c>
      <c r="AF128" t="str">
        <f>IF(AD128&lt;&gt;"",IF(Input!Z128&lt;&gt;"",ROUNDDOWN(Input!Z128,0),0),"")</f>
        <v/>
      </c>
      <c r="AG128" t="str">
        <f>IF(Input!AA128&lt;&gt;"",Input!AA128,"")</f>
        <v/>
      </c>
      <c r="AH128" t="str">
        <f t="shared" si="19"/>
        <v/>
      </c>
      <c r="AI128" t="str">
        <f>IF(AG128&lt;&gt;"",IF(Input!AC128&lt;&gt;"",ROUNDDOWN(Input!AC128,0),0),"")</f>
        <v/>
      </c>
      <c r="AJ128" t="str">
        <f>IF(Input!AD128&lt;&gt;"",Input!AD128,"")</f>
        <v/>
      </c>
      <c r="AK128" t="str">
        <f t="shared" si="20"/>
        <v/>
      </c>
      <c r="AL128" t="str">
        <f>IF(AJ128&lt;&gt;"",IF(Input!AF128&lt;&gt;"",ROUNDDOWN(Input!AF128,0),0),"")</f>
        <v/>
      </c>
      <c r="AM128" t="str">
        <f>IF(Input!AG128&lt;&gt;"",Input!AG128,"")</f>
        <v/>
      </c>
      <c r="AN128" t="str">
        <f t="shared" si="21"/>
        <v/>
      </c>
      <c r="AO128" t="str">
        <f>IF(AM128&lt;&gt;"",IF(Input!AI128&lt;&gt;"",ROUNDDOWN(Input!AI128,0),0),"")</f>
        <v/>
      </c>
    </row>
    <row r="129" spans="1:41" ht="16.5" thickTop="1" thickBot="1" x14ac:dyDescent="0.4">
      <c r="A129" s="100">
        <f>IF(ISBLANK(Input!A129),1000,IF(Input!E129&gt;0,Input!E129+F129,1000))</f>
        <v>1000</v>
      </c>
      <c r="B129" s="101">
        <f t="shared" si="11"/>
        <v>1000</v>
      </c>
      <c r="C129" s="4">
        <v>128</v>
      </c>
      <c r="D129" s="29">
        <f>IF(ISBLANK(Input!A129),1000,IF(Input!G129&gt;0,Input!G129+F129,1000))</f>
        <v>1000</v>
      </c>
      <c r="E129" s="29">
        <f t="shared" si="12"/>
        <v>1000</v>
      </c>
      <c r="F129" s="4">
        <v>0.128</v>
      </c>
      <c r="I129" t="str">
        <f>IF(Input!A129&gt;0,Input!A129,"")</f>
        <v/>
      </c>
      <c r="J129" t="str">
        <f>IF(Input!B129&gt;0,Input!B129,"")</f>
        <v/>
      </c>
      <c r="K129" t="str">
        <f>IF(Input!C129&gt;0,Input!C129,"")</f>
        <v/>
      </c>
      <c r="L129" t="str">
        <f>IF(Input!D129&gt;0,Input!D129,"")</f>
        <v/>
      </c>
      <c r="M129" t="str">
        <f>IF(Input!E129&gt;0,Input!E129,"")</f>
        <v xml:space="preserve"> </v>
      </c>
      <c r="N129" t="str">
        <f>IF(Input!F129&gt;0,Input!F129,"")</f>
        <v xml:space="preserve"> </v>
      </c>
      <c r="O129" t="str">
        <f>IF(Input!I129&lt;&gt;"",Input!I129,"")</f>
        <v/>
      </c>
      <c r="P129" t="str">
        <f t="shared" si="13"/>
        <v/>
      </c>
      <c r="Q129" t="str">
        <f>IF(O129&lt;&gt;"",IF(Input!K129&lt;&gt;"",ROUNDDOWN(Input!K129,0),0),"")</f>
        <v/>
      </c>
      <c r="R129" t="str">
        <f>IF(Input!L129&lt;&gt;"",Input!L129,"")</f>
        <v/>
      </c>
      <c r="S129" t="str">
        <f t="shared" si="14"/>
        <v/>
      </c>
      <c r="T129" t="str">
        <f>IF(R129&lt;&gt;"",IF(Input!N129&lt;&gt;"",ROUNDDOWN(Input!N129,0),0),"")</f>
        <v/>
      </c>
      <c r="U129" t="str">
        <f>IF(Input!O129&lt;&gt;"",Input!O129,"")</f>
        <v/>
      </c>
      <c r="V129" t="str">
        <f t="shared" si="15"/>
        <v/>
      </c>
      <c r="W129" t="str">
        <f>IF(U129&lt;&gt;"",IF(Input!Q129&lt;&gt;"",ROUNDDOWN(Input!Q129,0),0),"")</f>
        <v/>
      </c>
      <c r="X129" t="str">
        <f>IF(Input!R129&lt;&gt;"",Input!R129,"")</f>
        <v/>
      </c>
      <c r="Y129" t="str">
        <f t="shared" si="16"/>
        <v/>
      </c>
      <c r="Z129" t="str">
        <f>IF(X129&lt;&gt;"",IF(Input!T129&lt;&gt;"",ROUNDDOWN(Input!T129,0),0),"")</f>
        <v/>
      </c>
      <c r="AA129" t="str">
        <f>IF(Input!U129&lt;&gt;"",Input!U129,"")</f>
        <v/>
      </c>
      <c r="AB129" t="str">
        <f t="shared" si="17"/>
        <v/>
      </c>
      <c r="AC129" t="str">
        <f>IF(AA129&lt;&gt;"",IF(Input!W129&lt;&gt;"",ROUNDDOWN(Input!W129,0),0),"")</f>
        <v/>
      </c>
      <c r="AD129" t="str">
        <f>IF(Input!X129&lt;&gt;"",Input!X129,"")</f>
        <v/>
      </c>
      <c r="AE129" t="str">
        <f t="shared" si="18"/>
        <v/>
      </c>
      <c r="AF129" t="str">
        <f>IF(AD129&lt;&gt;"",IF(Input!Z129&lt;&gt;"",ROUNDDOWN(Input!Z129,0),0),"")</f>
        <v/>
      </c>
      <c r="AG129" t="str">
        <f>IF(Input!AA129&lt;&gt;"",Input!AA129,"")</f>
        <v/>
      </c>
      <c r="AH129" t="str">
        <f t="shared" si="19"/>
        <v/>
      </c>
      <c r="AI129" t="str">
        <f>IF(AG129&lt;&gt;"",IF(Input!AC129&lt;&gt;"",ROUNDDOWN(Input!AC129,0),0),"")</f>
        <v/>
      </c>
      <c r="AJ129" t="str">
        <f>IF(Input!AD129&lt;&gt;"",Input!AD129,"")</f>
        <v/>
      </c>
      <c r="AK129" t="str">
        <f t="shared" si="20"/>
        <v/>
      </c>
      <c r="AL129" t="str">
        <f>IF(AJ129&lt;&gt;"",IF(Input!AF129&lt;&gt;"",ROUNDDOWN(Input!AF129,0),0),"")</f>
        <v/>
      </c>
      <c r="AM129" t="str">
        <f>IF(Input!AG129&lt;&gt;"",Input!AG129,"")</f>
        <v/>
      </c>
      <c r="AN129" t="str">
        <f t="shared" si="21"/>
        <v/>
      </c>
      <c r="AO129" t="str">
        <f>IF(AM129&lt;&gt;"",IF(Input!AI129&lt;&gt;"",ROUNDDOWN(Input!AI129,0),0),"")</f>
        <v/>
      </c>
    </row>
    <row r="130" spans="1:41" ht="16.5" thickTop="1" thickBot="1" x14ac:dyDescent="0.4">
      <c r="A130" s="100">
        <f>IF(ISBLANK(Input!A130),1000,IF(Input!E130&gt;0,Input!E130+F130,1000))</f>
        <v>1000</v>
      </c>
      <c r="B130" s="101">
        <f t="shared" si="11"/>
        <v>1000</v>
      </c>
      <c r="C130" s="4">
        <v>129</v>
      </c>
      <c r="D130" s="29">
        <f>IF(ISBLANK(Input!A130),1000,IF(Input!G130&gt;0,Input!G130+F130,1000))</f>
        <v>1000</v>
      </c>
      <c r="E130" s="29">
        <f t="shared" si="12"/>
        <v>1000</v>
      </c>
      <c r="F130" s="4">
        <v>0.129</v>
      </c>
      <c r="I130" t="str">
        <f>IF(Input!A130&gt;0,Input!A130,"")</f>
        <v/>
      </c>
      <c r="J130" t="str">
        <f>IF(Input!B130&gt;0,Input!B130,"")</f>
        <v/>
      </c>
      <c r="K130" t="str">
        <f>IF(Input!C130&gt;0,Input!C130,"")</f>
        <v/>
      </c>
      <c r="L130" t="str">
        <f>IF(Input!D130&gt;0,Input!D130,"")</f>
        <v/>
      </c>
      <c r="M130" t="str">
        <f>IF(Input!E130&gt;0,Input!E130,"")</f>
        <v xml:space="preserve"> </v>
      </c>
      <c r="N130" t="str">
        <f>IF(Input!F130&gt;0,Input!F130,"")</f>
        <v xml:space="preserve"> </v>
      </c>
      <c r="O130" t="str">
        <f>IF(Input!I130&lt;&gt;"",Input!I130,"")</f>
        <v/>
      </c>
      <c r="P130" t="str">
        <f t="shared" si="13"/>
        <v/>
      </c>
      <c r="Q130" t="str">
        <f>IF(O130&lt;&gt;"",IF(Input!K130&lt;&gt;"",ROUNDDOWN(Input!K130,0),0),"")</f>
        <v/>
      </c>
      <c r="R130" t="str">
        <f>IF(Input!L130&lt;&gt;"",Input!L130,"")</f>
        <v/>
      </c>
      <c r="S130" t="str">
        <f t="shared" si="14"/>
        <v/>
      </c>
      <c r="T130" t="str">
        <f>IF(R130&lt;&gt;"",IF(Input!N130&lt;&gt;"",ROUNDDOWN(Input!N130,0),0),"")</f>
        <v/>
      </c>
      <c r="U130" t="str">
        <f>IF(Input!O130&lt;&gt;"",Input!O130,"")</f>
        <v/>
      </c>
      <c r="V130" t="str">
        <f t="shared" si="15"/>
        <v/>
      </c>
      <c r="W130" t="str">
        <f>IF(U130&lt;&gt;"",IF(Input!Q130&lt;&gt;"",ROUNDDOWN(Input!Q130,0),0),"")</f>
        <v/>
      </c>
      <c r="X130" t="str">
        <f>IF(Input!R130&lt;&gt;"",Input!R130,"")</f>
        <v/>
      </c>
      <c r="Y130" t="str">
        <f t="shared" si="16"/>
        <v/>
      </c>
      <c r="Z130" t="str">
        <f>IF(X130&lt;&gt;"",IF(Input!T130&lt;&gt;"",ROUNDDOWN(Input!T130,0),0),"")</f>
        <v/>
      </c>
      <c r="AA130" t="str">
        <f>IF(Input!U130&lt;&gt;"",Input!U130,"")</f>
        <v/>
      </c>
      <c r="AB130" t="str">
        <f t="shared" si="17"/>
        <v/>
      </c>
      <c r="AC130" t="str">
        <f>IF(AA130&lt;&gt;"",IF(Input!W130&lt;&gt;"",ROUNDDOWN(Input!W130,0),0),"")</f>
        <v/>
      </c>
      <c r="AD130" t="str">
        <f>IF(Input!X130&lt;&gt;"",Input!X130,"")</f>
        <v/>
      </c>
      <c r="AE130" t="str">
        <f t="shared" si="18"/>
        <v/>
      </c>
      <c r="AF130" t="str">
        <f>IF(AD130&lt;&gt;"",IF(Input!Z130&lt;&gt;"",ROUNDDOWN(Input!Z130,0),0),"")</f>
        <v/>
      </c>
      <c r="AG130" t="str">
        <f>IF(Input!AA130&lt;&gt;"",Input!AA130,"")</f>
        <v/>
      </c>
      <c r="AH130" t="str">
        <f t="shared" si="19"/>
        <v/>
      </c>
      <c r="AI130" t="str">
        <f>IF(AG130&lt;&gt;"",IF(Input!AC130&lt;&gt;"",ROUNDDOWN(Input!AC130,0),0),"")</f>
        <v/>
      </c>
      <c r="AJ130" t="str">
        <f>IF(Input!AD130&lt;&gt;"",Input!AD130,"")</f>
        <v/>
      </c>
      <c r="AK130" t="str">
        <f t="shared" si="20"/>
        <v/>
      </c>
      <c r="AL130" t="str">
        <f>IF(AJ130&lt;&gt;"",IF(Input!AF130&lt;&gt;"",ROUNDDOWN(Input!AF130,0),0),"")</f>
        <v/>
      </c>
      <c r="AM130" t="str">
        <f>IF(Input!AG130&lt;&gt;"",Input!AG130,"")</f>
        <v/>
      </c>
      <c r="AN130" t="str">
        <f t="shared" si="21"/>
        <v/>
      </c>
      <c r="AO130" t="str">
        <f>IF(AM130&lt;&gt;"",IF(Input!AI130&lt;&gt;"",ROUNDDOWN(Input!AI130,0),0),"")</f>
        <v/>
      </c>
    </row>
    <row r="131" spans="1:41" ht="16.5" thickTop="1" thickBot="1" x14ac:dyDescent="0.4">
      <c r="A131" s="100">
        <f>IF(ISBLANK(Input!A131),1000,IF(Input!E131&gt;0,Input!E131+F131,1000))</f>
        <v>1000</v>
      </c>
      <c r="B131" s="101">
        <f t="shared" ref="B131:B194" si="22">SMALL($A$2:$A$202,C131)</f>
        <v>1000</v>
      </c>
      <c r="C131" s="4">
        <v>130</v>
      </c>
      <c r="D131" s="29">
        <f>IF(ISBLANK(Input!A131),1000,IF(Input!G131&gt;0,Input!G131+F131,1000))</f>
        <v>1000</v>
      </c>
      <c r="E131" s="29">
        <f t="shared" ref="E131:E194" si="23">SMALL($D$2:$D$202,C131)</f>
        <v>1000</v>
      </c>
      <c r="F131" s="4">
        <v>0.13</v>
      </c>
      <c r="I131" t="str">
        <f>IF(Input!A131&gt;0,Input!A131,"")</f>
        <v/>
      </c>
      <c r="J131" t="str">
        <f>IF(Input!B131&gt;0,Input!B131,"")</f>
        <v/>
      </c>
      <c r="K131" t="str">
        <f>IF(Input!C131&gt;0,Input!C131,"")</f>
        <v/>
      </c>
      <c r="L131" t="str">
        <f>IF(Input!D131&gt;0,Input!D131,"")</f>
        <v/>
      </c>
      <c r="M131" t="str">
        <f>IF(Input!E131&gt;0,Input!E131,"")</f>
        <v xml:space="preserve"> </v>
      </c>
      <c r="N131" t="str">
        <f>IF(Input!F131&gt;0,Input!F131,"")</f>
        <v xml:space="preserve"> </v>
      </c>
      <c r="O131" t="str">
        <f>IF(Input!I131&lt;&gt;"",Input!I131,"")</f>
        <v/>
      </c>
      <c r="P131" t="str">
        <f t="shared" ref="P131:P194" si="24">IF(Q131&lt;&gt;"",  RANK(Q131,Q$2:Q$202,1)+((COUNTIF(Q$2:Q$202,Q131)-1)*0.5),"" )</f>
        <v/>
      </c>
      <c r="Q131" t="str">
        <f>IF(O131&lt;&gt;"",IF(Input!K131&lt;&gt;"",ROUNDDOWN(Input!K131,0),0),"")</f>
        <v/>
      </c>
      <c r="R131" t="str">
        <f>IF(Input!L131&lt;&gt;"",Input!L131,"")</f>
        <v/>
      </c>
      <c r="S131" t="str">
        <f t="shared" ref="S131:S194" si="25">IF(T131&lt;&gt;"",  RANK(T131,T$2:T$202,1)+((COUNTIF(T$2:T$202,T131)-1)*0.5),"" )</f>
        <v/>
      </c>
      <c r="T131" t="str">
        <f>IF(R131&lt;&gt;"",IF(Input!N131&lt;&gt;"",ROUNDDOWN(Input!N131,0),0),"")</f>
        <v/>
      </c>
      <c r="U131" t="str">
        <f>IF(Input!O131&lt;&gt;"",Input!O131,"")</f>
        <v/>
      </c>
      <c r="V131" t="str">
        <f t="shared" ref="V131:V194" si="26">IF(W131&lt;&gt;"",  RANK(W131,W$2:W$202,1)+((COUNTIF(W$2:W$202,W131)-1)*0.5),"" )</f>
        <v/>
      </c>
      <c r="W131" t="str">
        <f>IF(U131&lt;&gt;"",IF(Input!Q131&lt;&gt;"",ROUNDDOWN(Input!Q131,0),0),"")</f>
        <v/>
      </c>
      <c r="X131" t="str">
        <f>IF(Input!R131&lt;&gt;"",Input!R131,"")</f>
        <v/>
      </c>
      <c r="Y131" t="str">
        <f t="shared" ref="Y131:Y194" si="27">IF(Z131&lt;&gt;"",  RANK(Z131,Z$2:Z$202,1)+((COUNTIF(Z$2:Z$202,Z131)-1)*0.5),"" )</f>
        <v/>
      </c>
      <c r="Z131" t="str">
        <f>IF(X131&lt;&gt;"",IF(Input!T131&lt;&gt;"",ROUNDDOWN(Input!T131,0),0),"")</f>
        <v/>
      </c>
      <c r="AA131" t="str">
        <f>IF(Input!U131&lt;&gt;"",Input!U131,"")</f>
        <v/>
      </c>
      <c r="AB131" t="str">
        <f t="shared" ref="AB131:AB194" si="28">IF(AC131&lt;&gt;"",  RANK(AC131,AC$2:AC$202,1)+((COUNTIF(AC$2:AC$202,AC131)-1)*0.5),"" )</f>
        <v/>
      </c>
      <c r="AC131" t="str">
        <f>IF(AA131&lt;&gt;"",IF(Input!W131&lt;&gt;"",ROUNDDOWN(Input!W131,0),0),"")</f>
        <v/>
      </c>
      <c r="AD131" t="str">
        <f>IF(Input!X131&lt;&gt;"",Input!X131,"")</f>
        <v/>
      </c>
      <c r="AE131" t="str">
        <f t="shared" ref="AE131:AE194" si="29">IF(AF131&lt;&gt;"",  RANK(AF131,AF$2:AF$202,1)+((COUNTIF(AF$2:AF$202,AF131)-1)*0.5),"" )</f>
        <v/>
      </c>
      <c r="AF131" t="str">
        <f>IF(AD131&lt;&gt;"",IF(Input!Z131&lt;&gt;"",ROUNDDOWN(Input!Z131,0),0),"")</f>
        <v/>
      </c>
      <c r="AG131" t="str">
        <f>IF(Input!AA131&lt;&gt;"",Input!AA131,"")</f>
        <v/>
      </c>
      <c r="AH131" t="str">
        <f t="shared" ref="AH131:AH194" si="30">IF(AI131&lt;&gt;"",  RANK(AI131,AI$2:AI$202,1)+((COUNTIF(AI$2:AI$202,AI131)-1)*0.5),"" )</f>
        <v/>
      </c>
      <c r="AI131" t="str">
        <f>IF(AG131&lt;&gt;"",IF(Input!AC131&lt;&gt;"",ROUNDDOWN(Input!AC131,0),0),"")</f>
        <v/>
      </c>
      <c r="AJ131" t="str">
        <f>IF(Input!AD131&lt;&gt;"",Input!AD131,"")</f>
        <v/>
      </c>
      <c r="AK131" t="str">
        <f t="shared" ref="AK131:AK194" si="31">IF(AL131&lt;&gt;"",  RANK(AL131,AL$2:AL$202,1)+((COUNTIF(AL$2:AL$202,AL131)-1)*0.5),"" )</f>
        <v/>
      </c>
      <c r="AL131" t="str">
        <f>IF(AJ131&lt;&gt;"",IF(Input!AF131&lt;&gt;"",ROUNDDOWN(Input!AF131,0),0),"")</f>
        <v/>
      </c>
      <c r="AM131" t="str">
        <f>IF(Input!AG131&lt;&gt;"",Input!AG131,"")</f>
        <v/>
      </c>
      <c r="AN131" t="str">
        <f t="shared" ref="AN131:AN194" si="32">IF(AO131&lt;&gt;"",  RANK(AO131,AO$2:AO$202,1)+((COUNTIF(AO$2:AO$202,AO131)-1)*0.5),"" )</f>
        <v/>
      </c>
      <c r="AO131" t="str">
        <f>IF(AM131&lt;&gt;"",IF(Input!AI131&lt;&gt;"",ROUNDDOWN(Input!AI131,0),0),"")</f>
        <v/>
      </c>
    </row>
    <row r="132" spans="1:41" ht="16.5" thickTop="1" thickBot="1" x14ac:dyDescent="0.4">
      <c r="A132" s="100">
        <f>IF(ISBLANK(Input!A132),1000,IF(Input!E132&gt;0,Input!E132+F132,1000))</f>
        <v>1000</v>
      </c>
      <c r="B132" s="101">
        <f t="shared" si="22"/>
        <v>1000</v>
      </c>
      <c r="C132" s="4">
        <v>131</v>
      </c>
      <c r="D132" s="29">
        <f>IF(ISBLANK(Input!A132),1000,IF(Input!G132&gt;0,Input!G132+F132,1000))</f>
        <v>1000</v>
      </c>
      <c r="E132" s="29">
        <f t="shared" si="23"/>
        <v>1000</v>
      </c>
      <c r="F132" s="4">
        <v>0.13100000000000001</v>
      </c>
      <c r="I132" t="str">
        <f>IF(Input!A132&gt;0,Input!A132,"")</f>
        <v/>
      </c>
      <c r="J132" t="str">
        <f>IF(Input!B132&gt;0,Input!B132,"")</f>
        <v/>
      </c>
      <c r="K132" t="str">
        <f>IF(Input!C132&gt;0,Input!C132,"")</f>
        <v/>
      </c>
      <c r="L132" t="str">
        <f>IF(Input!D132&gt;0,Input!D132,"")</f>
        <v/>
      </c>
      <c r="M132" t="str">
        <f>IF(Input!E132&gt;0,Input!E132,"")</f>
        <v xml:space="preserve"> </v>
      </c>
      <c r="N132" t="str">
        <f>IF(Input!F132&gt;0,Input!F132,"")</f>
        <v xml:space="preserve"> </v>
      </c>
      <c r="O132" t="str">
        <f>IF(Input!I132&lt;&gt;"",Input!I132,"")</f>
        <v/>
      </c>
      <c r="P132" t="str">
        <f t="shared" si="24"/>
        <v/>
      </c>
      <c r="Q132" t="str">
        <f>IF(O132&lt;&gt;"",IF(Input!K132&lt;&gt;"",ROUNDDOWN(Input!K132,0),0),"")</f>
        <v/>
      </c>
      <c r="R132" t="str">
        <f>IF(Input!L132&lt;&gt;"",Input!L132,"")</f>
        <v/>
      </c>
      <c r="S132" t="str">
        <f t="shared" si="25"/>
        <v/>
      </c>
      <c r="T132" t="str">
        <f>IF(R132&lt;&gt;"",IF(Input!N132&lt;&gt;"",ROUNDDOWN(Input!N132,0),0),"")</f>
        <v/>
      </c>
      <c r="U132" t="str">
        <f>IF(Input!O132&lt;&gt;"",Input!O132,"")</f>
        <v/>
      </c>
      <c r="V132" t="str">
        <f t="shared" si="26"/>
        <v/>
      </c>
      <c r="W132" t="str">
        <f>IF(U132&lt;&gt;"",IF(Input!Q132&lt;&gt;"",ROUNDDOWN(Input!Q132,0),0),"")</f>
        <v/>
      </c>
      <c r="X132" t="str">
        <f>IF(Input!R132&lt;&gt;"",Input!R132,"")</f>
        <v/>
      </c>
      <c r="Y132" t="str">
        <f t="shared" si="27"/>
        <v/>
      </c>
      <c r="Z132" t="str">
        <f>IF(X132&lt;&gt;"",IF(Input!T132&lt;&gt;"",ROUNDDOWN(Input!T132,0),0),"")</f>
        <v/>
      </c>
      <c r="AA132" t="str">
        <f>IF(Input!U132&lt;&gt;"",Input!U132,"")</f>
        <v/>
      </c>
      <c r="AB132" t="str">
        <f t="shared" si="28"/>
        <v/>
      </c>
      <c r="AC132" t="str">
        <f>IF(AA132&lt;&gt;"",IF(Input!W132&lt;&gt;"",ROUNDDOWN(Input!W132,0),0),"")</f>
        <v/>
      </c>
      <c r="AD132" t="str">
        <f>IF(Input!X132&lt;&gt;"",Input!X132,"")</f>
        <v/>
      </c>
      <c r="AE132" t="str">
        <f t="shared" si="29"/>
        <v/>
      </c>
      <c r="AF132" t="str">
        <f>IF(AD132&lt;&gt;"",IF(Input!Z132&lt;&gt;"",ROUNDDOWN(Input!Z132,0),0),"")</f>
        <v/>
      </c>
      <c r="AG132" t="str">
        <f>IF(Input!AA132&lt;&gt;"",Input!AA132,"")</f>
        <v/>
      </c>
      <c r="AH132" t="str">
        <f t="shared" si="30"/>
        <v/>
      </c>
      <c r="AI132" t="str">
        <f>IF(AG132&lt;&gt;"",IF(Input!AC132&lt;&gt;"",ROUNDDOWN(Input!AC132,0),0),"")</f>
        <v/>
      </c>
      <c r="AJ132" t="str">
        <f>IF(Input!AD132&lt;&gt;"",Input!AD132,"")</f>
        <v/>
      </c>
      <c r="AK132" t="str">
        <f t="shared" si="31"/>
        <v/>
      </c>
      <c r="AL132" t="str">
        <f>IF(AJ132&lt;&gt;"",IF(Input!AF132&lt;&gt;"",ROUNDDOWN(Input!AF132,0),0),"")</f>
        <v/>
      </c>
      <c r="AM132" t="str">
        <f>IF(Input!AG132&lt;&gt;"",Input!AG132,"")</f>
        <v/>
      </c>
      <c r="AN132" t="str">
        <f t="shared" si="32"/>
        <v/>
      </c>
      <c r="AO132" t="str">
        <f>IF(AM132&lt;&gt;"",IF(Input!AI132&lt;&gt;"",ROUNDDOWN(Input!AI132,0),0),"")</f>
        <v/>
      </c>
    </row>
    <row r="133" spans="1:41" ht="16.5" thickTop="1" thickBot="1" x14ac:dyDescent="0.4">
      <c r="A133" s="100">
        <f>IF(ISBLANK(Input!A133),1000,IF(Input!E133&gt;0,Input!E133+F133,1000))</f>
        <v>1000</v>
      </c>
      <c r="B133" s="101">
        <f t="shared" si="22"/>
        <v>1000</v>
      </c>
      <c r="C133" s="4">
        <v>132</v>
      </c>
      <c r="D133" s="29">
        <f>IF(ISBLANK(Input!A133),1000,IF(Input!G133&gt;0,Input!G133+F133,1000))</f>
        <v>1000</v>
      </c>
      <c r="E133" s="29">
        <f t="shared" si="23"/>
        <v>1000</v>
      </c>
      <c r="F133" s="4">
        <v>0.13200000000000001</v>
      </c>
      <c r="I133" t="str">
        <f>IF(Input!A133&gt;0,Input!A133,"")</f>
        <v/>
      </c>
      <c r="J133" t="str">
        <f>IF(Input!B133&gt;0,Input!B133,"")</f>
        <v/>
      </c>
      <c r="K133" t="str">
        <f>IF(Input!C133&gt;0,Input!C133,"")</f>
        <v/>
      </c>
      <c r="L133" t="str">
        <f>IF(Input!D133&gt;0,Input!D133,"")</f>
        <v/>
      </c>
      <c r="M133" t="str">
        <f>IF(Input!E133&gt;0,Input!E133,"")</f>
        <v xml:space="preserve"> </v>
      </c>
      <c r="N133" t="str">
        <f>IF(Input!F133&gt;0,Input!F133,"")</f>
        <v xml:space="preserve"> </v>
      </c>
      <c r="O133" t="str">
        <f>IF(Input!I133&lt;&gt;"",Input!I133,"")</f>
        <v/>
      </c>
      <c r="P133" t="str">
        <f t="shared" si="24"/>
        <v/>
      </c>
      <c r="Q133" t="str">
        <f>IF(O133&lt;&gt;"",IF(Input!K133&lt;&gt;"",ROUNDDOWN(Input!K133,0),0),"")</f>
        <v/>
      </c>
      <c r="R133" t="str">
        <f>IF(Input!L133&lt;&gt;"",Input!L133,"")</f>
        <v/>
      </c>
      <c r="S133" t="str">
        <f t="shared" si="25"/>
        <v/>
      </c>
      <c r="T133" t="str">
        <f>IF(R133&lt;&gt;"",IF(Input!N133&lt;&gt;"",ROUNDDOWN(Input!N133,0),0),"")</f>
        <v/>
      </c>
      <c r="U133" t="str">
        <f>IF(Input!O133&lt;&gt;"",Input!O133,"")</f>
        <v/>
      </c>
      <c r="V133" t="str">
        <f t="shared" si="26"/>
        <v/>
      </c>
      <c r="W133" t="str">
        <f>IF(U133&lt;&gt;"",IF(Input!Q133&lt;&gt;"",ROUNDDOWN(Input!Q133,0),0),"")</f>
        <v/>
      </c>
      <c r="X133" t="str">
        <f>IF(Input!R133&lt;&gt;"",Input!R133,"")</f>
        <v/>
      </c>
      <c r="Y133" t="str">
        <f t="shared" si="27"/>
        <v/>
      </c>
      <c r="Z133" t="str">
        <f>IF(X133&lt;&gt;"",IF(Input!T133&lt;&gt;"",ROUNDDOWN(Input!T133,0),0),"")</f>
        <v/>
      </c>
      <c r="AA133" t="str">
        <f>IF(Input!U133&lt;&gt;"",Input!U133,"")</f>
        <v/>
      </c>
      <c r="AB133" t="str">
        <f t="shared" si="28"/>
        <v/>
      </c>
      <c r="AC133" t="str">
        <f>IF(AA133&lt;&gt;"",IF(Input!W133&lt;&gt;"",ROUNDDOWN(Input!W133,0),0),"")</f>
        <v/>
      </c>
      <c r="AD133" t="str">
        <f>IF(Input!X133&lt;&gt;"",Input!X133,"")</f>
        <v/>
      </c>
      <c r="AE133" t="str">
        <f t="shared" si="29"/>
        <v/>
      </c>
      <c r="AF133" t="str">
        <f>IF(AD133&lt;&gt;"",IF(Input!Z133&lt;&gt;"",ROUNDDOWN(Input!Z133,0),0),"")</f>
        <v/>
      </c>
      <c r="AG133" t="str">
        <f>IF(Input!AA133&lt;&gt;"",Input!AA133,"")</f>
        <v/>
      </c>
      <c r="AH133" t="str">
        <f t="shared" si="30"/>
        <v/>
      </c>
      <c r="AI133" t="str">
        <f>IF(AG133&lt;&gt;"",IF(Input!AC133&lt;&gt;"",ROUNDDOWN(Input!AC133,0),0),"")</f>
        <v/>
      </c>
      <c r="AJ133" t="str">
        <f>IF(Input!AD133&lt;&gt;"",Input!AD133,"")</f>
        <v/>
      </c>
      <c r="AK133" t="str">
        <f t="shared" si="31"/>
        <v/>
      </c>
      <c r="AL133" t="str">
        <f>IF(AJ133&lt;&gt;"",IF(Input!AF133&lt;&gt;"",ROUNDDOWN(Input!AF133,0),0),"")</f>
        <v/>
      </c>
      <c r="AM133" t="str">
        <f>IF(Input!AG133&lt;&gt;"",Input!AG133,"")</f>
        <v/>
      </c>
      <c r="AN133" t="str">
        <f t="shared" si="32"/>
        <v/>
      </c>
      <c r="AO133" t="str">
        <f>IF(AM133&lt;&gt;"",IF(Input!AI133&lt;&gt;"",ROUNDDOWN(Input!AI133,0),0),"")</f>
        <v/>
      </c>
    </row>
    <row r="134" spans="1:41" ht="16.5" thickTop="1" thickBot="1" x14ac:dyDescent="0.4">
      <c r="A134" s="100">
        <f>IF(ISBLANK(Input!A134),1000,IF(Input!E134&gt;0,Input!E134+F134,1000))</f>
        <v>1000</v>
      </c>
      <c r="B134" s="101">
        <f t="shared" si="22"/>
        <v>1000</v>
      </c>
      <c r="C134" s="4">
        <v>133</v>
      </c>
      <c r="D134" s="29">
        <f>IF(ISBLANK(Input!A134),1000,IF(Input!G134&gt;0,Input!G134+F134,1000))</f>
        <v>1000</v>
      </c>
      <c r="E134" s="29">
        <f t="shared" si="23"/>
        <v>1000</v>
      </c>
      <c r="F134" s="4">
        <v>0.13300000000000001</v>
      </c>
      <c r="I134" t="str">
        <f>IF(Input!A134&gt;0,Input!A134,"")</f>
        <v/>
      </c>
      <c r="J134" t="str">
        <f>IF(Input!B134&gt;0,Input!B134,"")</f>
        <v/>
      </c>
      <c r="K134" t="str">
        <f>IF(Input!C134&gt;0,Input!C134,"")</f>
        <v/>
      </c>
      <c r="L134" t="str">
        <f>IF(Input!D134&gt;0,Input!D134,"")</f>
        <v/>
      </c>
      <c r="M134" t="str">
        <f>IF(Input!E134&gt;0,Input!E134,"")</f>
        <v xml:space="preserve"> </v>
      </c>
      <c r="N134" t="str">
        <f>IF(Input!F134&gt;0,Input!F134,"")</f>
        <v xml:space="preserve"> </v>
      </c>
      <c r="O134" t="str">
        <f>IF(Input!I134&lt;&gt;"",Input!I134,"")</f>
        <v/>
      </c>
      <c r="P134" t="str">
        <f t="shared" si="24"/>
        <v/>
      </c>
      <c r="Q134" t="str">
        <f>IF(O134&lt;&gt;"",IF(Input!K134&lt;&gt;"",ROUNDDOWN(Input!K134,0),0),"")</f>
        <v/>
      </c>
      <c r="R134" t="str">
        <f>IF(Input!L134&lt;&gt;"",Input!L134,"")</f>
        <v/>
      </c>
      <c r="S134" t="str">
        <f t="shared" si="25"/>
        <v/>
      </c>
      <c r="T134" t="str">
        <f>IF(R134&lt;&gt;"",IF(Input!N134&lt;&gt;"",ROUNDDOWN(Input!N134,0),0),"")</f>
        <v/>
      </c>
      <c r="U134" t="str">
        <f>IF(Input!O134&lt;&gt;"",Input!O134,"")</f>
        <v/>
      </c>
      <c r="V134" t="str">
        <f t="shared" si="26"/>
        <v/>
      </c>
      <c r="W134" t="str">
        <f>IF(U134&lt;&gt;"",IF(Input!Q134&lt;&gt;"",ROUNDDOWN(Input!Q134,0),0),"")</f>
        <v/>
      </c>
      <c r="X134" t="str">
        <f>IF(Input!R134&lt;&gt;"",Input!R134,"")</f>
        <v/>
      </c>
      <c r="Y134" t="str">
        <f t="shared" si="27"/>
        <v/>
      </c>
      <c r="Z134" t="str">
        <f>IF(X134&lt;&gt;"",IF(Input!T134&lt;&gt;"",ROUNDDOWN(Input!T134,0),0),"")</f>
        <v/>
      </c>
      <c r="AA134" t="str">
        <f>IF(Input!U134&lt;&gt;"",Input!U134,"")</f>
        <v/>
      </c>
      <c r="AB134" t="str">
        <f t="shared" si="28"/>
        <v/>
      </c>
      <c r="AC134" t="str">
        <f>IF(AA134&lt;&gt;"",IF(Input!W134&lt;&gt;"",ROUNDDOWN(Input!W134,0),0),"")</f>
        <v/>
      </c>
      <c r="AD134" t="str">
        <f>IF(Input!X134&lt;&gt;"",Input!X134,"")</f>
        <v/>
      </c>
      <c r="AE134" t="str">
        <f t="shared" si="29"/>
        <v/>
      </c>
      <c r="AF134" t="str">
        <f>IF(AD134&lt;&gt;"",IF(Input!Z134&lt;&gt;"",ROUNDDOWN(Input!Z134,0),0),"")</f>
        <v/>
      </c>
      <c r="AG134" t="str">
        <f>IF(Input!AA134&lt;&gt;"",Input!AA134,"")</f>
        <v/>
      </c>
      <c r="AH134" t="str">
        <f t="shared" si="30"/>
        <v/>
      </c>
      <c r="AI134" t="str">
        <f>IF(AG134&lt;&gt;"",IF(Input!AC134&lt;&gt;"",ROUNDDOWN(Input!AC134,0),0),"")</f>
        <v/>
      </c>
      <c r="AJ134" t="str">
        <f>IF(Input!AD134&lt;&gt;"",Input!AD134,"")</f>
        <v/>
      </c>
      <c r="AK134" t="str">
        <f t="shared" si="31"/>
        <v/>
      </c>
      <c r="AL134" t="str">
        <f>IF(AJ134&lt;&gt;"",IF(Input!AF134&lt;&gt;"",ROUNDDOWN(Input!AF134,0),0),"")</f>
        <v/>
      </c>
      <c r="AM134" t="str">
        <f>IF(Input!AG134&lt;&gt;"",Input!AG134,"")</f>
        <v/>
      </c>
      <c r="AN134" t="str">
        <f t="shared" si="32"/>
        <v/>
      </c>
      <c r="AO134" t="str">
        <f>IF(AM134&lt;&gt;"",IF(Input!AI134&lt;&gt;"",ROUNDDOWN(Input!AI134,0),0),"")</f>
        <v/>
      </c>
    </row>
    <row r="135" spans="1:41" ht="16.5" thickTop="1" thickBot="1" x14ac:dyDescent="0.4">
      <c r="A135" s="100">
        <f>IF(ISBLANK(Input!A135),1000,IF(Input!E135&gt;0,Input!E135+F135,1000))</f>
        <v>1000</v>
      </c>
      <c r="B135" s="101">
        <f t="shared" si="22"/>
        <v>1000</v>
      </c>
      <c r="C135" s="4">
        <v>134</v>
      </c>
      <c r="D135" s="29">
        <f>IF(ISBLANK(Input!A135),1000,IF(Input!G135&gt;0,Input!G135+F135,1000))</f>
        <v>1000</v>
      </c>
      <c r="E135" s="29">
        <f t="shared" si="23"/>
        <v>1000</v>
      </c>
      <c r="F135" s="4">
        <v>0.13400000000000001</v>
      </c>
      <c r="I135" t="str">
        <f>IF(Input!A135&gt;0,Input!A135,"")</f>
        <v/>
      </c>
      <c r="J135" t="str">
        <f>IF(Input!B135&gt;0,Input!B135,"")</f>
        <v/>
      </c>
      <c r="K135" t="str">
        <f>IF(Input!C135&gt;0,Input!C135,"")</f>
        <v/>
      </c>
      <c r="L135" t="str">
        <f>IF(Input!D135&gt;0,Input!D135,"")</f>
        <v/>
      </c>
      <c r="M135" t="str">
        <f>IF(Input!E135&gt;0,Input!E135,"")</f>
        <v xml:space="preserve"> </v>
      </c>
      <c r="N135" t="str">
        <f>IF(Input!F135&gt;0,Input!F135,"")</f>
        <v xml:space="preserve"> </v>
      </c>
      <c r="O135" t="str">
        <f>IF(Input!I135&lt;&gt;"",Input!I135,"")</f>
        <v/>
      </c>
      <c r="P135" t="str">
        <f t="shared" si="24"/>
        <v/>
      </c>
      <c r="Q135" t="str">
        <f>IF(O135&lt;&gt;"",IF(Input!K135&lt;&gt;"",ROUNDDOWN(Input!K135,0),0),"")</f>
        <v/>
      </c>
      <c r="R135" t="str">
        <f>IF(Input!L135&lt;&gt;"",Input!L135,"")</f>
        <v/>
      </c>
      <c r="S135" t="str">
        <f t="shared" si="25"/>
        <v/>
      </c>
      <c r="T135" t="str">
        <f>IF(R135&lt;&gt;"",IF(Input!N135&lt;&gt;"",ROUNDDOWN(Input!N135,0),0),"")</f>
        <v/>
      </c>
      <c r="U135" t="str">
        <f>IF(Input!O135&lt;&gt;"",Input!O135,"")</f>
        <v/>
      </c>
      <c r="V135" t="str">
        <f t="shared" si="26"/>
        <v/>
      </c>
      <c r="W135" t="str">
        <f>IF(U135&lt;&gt;"",IF(Input!Q135&lt;&gt;"",ROUNDDOWN(Input!Q135,0),0),"")</f>
        <v/>
      </c>
      <c r="X135" t="str">
        <f>IF(Input!R135&lt;&gt;"",Input!R135,"")</f>
        <v/>
      </c>
      <c r="Y135" t="str">
        <f t="shared" si="27"/>
        <v/>
      </c>
      <c r="Z135" t="str">
        <f>IF(X135&lt;&gt;"",IF(Input!T135&lt;&gt;"",ROUNDDOWN(Input!T135,0),0),"")</f>
        <v/>
      </c>
      <c r="AA135" t="str">
        <f>IF(Input!U135&lt;&gt;"",Input!U135,"")</f>
        <v/>
      </c>
      <c r="AB135" t="str">
        <f t="shared" si="28"/>
        <v/>
      </c>
      <c r="AC135" t="str">
        <f>IF(AA135&lt;&gt;"",IF(Input!W135&lt;&gt;"",ROUNDDOWN(Input!W135,0),0),"")</f>
        <v/>
      </c>
      <c r="AD135" t="str">
        <f>IF(Input!X135&lt;&gt;"",Input!X135,"")</f>
        <v/>
      </c>
      <c r="AE135" t="str">
        <f t="shared" si="29"/>
        <v/>
      </c>
      <c r="AF135" t="str">
        <f>IF(AD135&lt;&gt;"",IF(Input!Z135&lt;&gt;"",ROUNDDOWN(Input!Z135,0),0),"")</f>
        <v/>
      </c>
      <c r="AG135" t="str">
        <f>IF(Input!AA135&lt;&gt;"",Input!AA135,"")</f>
        <v/>
      </c>
      <c r="AH135" t="str">
        <f t="shared" si="30"/>
        <v/>
      </c>
      <c r="AI135" t="str">
        <f>IF(AG135&lt;&gt;"",IF(Input!AC135&lt;&gt;"",ROUNDDOWN(Input!AC135,0),0),"")</f>
        <v/>
      </c>
      <c r="AJ135" t="str">
        <f>IF(Input!AD135&lt;&gt;"",Input!AD135,"")</f>
        <v/>
      </c>
      <c r="AK135" t="str">
        <f t="shared" si="31"/>
        <v/>
      </c>
      <c r="AL135" t="str">
        <f>IF(AJ135&lt;&gt;"",IF(Input!AF135&lt;&gt;"",ROUNDDOWN(Input!AF135,0),0),"")</f>
        <v/>
      </c>
      <c r="AM135" t="str">
        <f>IF(Input!AG135&lt;&gt;"",Input!AG135,"")</f>
        <v/>
      </c>
      <c r="AN135" t="str">
        <f t="shared" si="32"/>
        <v/>
      </c>
      <c r="AO135" t="str">
        <f>IF(AM135&lt;&gt;"",IF(Input!AI135&lt;&gt;"",ROUNDDOWN(Input!AI135,0),0),"")</f>
        <v/>
      </c>
    </row>
    <row r="136" spans="1:41" ht="16.5" thickTop="1" thickBot="1" x14ac:dyDescent="0.4">
      <c r="A136" s="100">
        <f>IF(ISBLANK(Input!A136),1000,IF(Input!E136&gt;0,Input!E136+F136,1000))</f>
        <v>1000</v>
      </c>
      <c r="B136" s="101">
        <f t="shared" si="22"/>
        <v>1000</v>
      </c>
      <c r="C136" s="4">
        <v>135</v>
      </c>
      <c r="D136" s="29">
        <f>IF(ISBLANK(Input!A136),1000,IF(Input!G136&gt;0,Input!G136+F136,1000))</f>
        <v>1000</v>
      </c>
      <c r="E136" s="29">
        <f t="shared" si="23"/>
        <v>1000</v>
      </c>
      <c r="F136" s="4">
        <v>0.13500000000000001</v>
      </c>
      <c r="I136" t="str">
        <f>IF(Input!A136&gt;0,Input!A136,"")</f>
        <v/>
      </c>
      <c r="J136" t="str">
        <f>IF(Input!B136&gt;0,Input!B136,"")</f>
        <v/>
      </c>
      <c r="K136" t="str">
        <f>IF(Input!C136&gt;0,Input!C136,"")</f>
        <v/>
      </c>
      <c r="L136" t="str">
        <f>IF(Input!D136&gt;0,Input!D136,"")</f>
        <v/>
      </c>
      <c r="M136" t="str">
        <f>IF(Input!E136&gt;0,Input!E136,"")</f>
        <v xml:space="preserve"> </v>
      </c>
      <c r="N136" t="str">
        <f>IF(Input!F136&gt;0,Input!F136,"")</f>
        <v xml:space="preserve"> </v>
      </c>
      <c r="O136" t="str">
        <f>IF(Input!I136&lt;&gt;"",Input!I136,"")</f>
        <v/>
      </c>
      <c r="P136" t="str">
        <f t="shared" si="24"/>
        <v/>
      </c>
      <c r="Q136" t="str">
        <f>IF(O136&lt;&gt;"",IF(Input!K136&lt;&gt;"",ROUNDDOWN(Input!K136,0),0),"")</f>
        <v/>
      </c>
      <c r="R136" t="str">
        <f>IF(Input!L136&lt;&gt;"",Input!L136,"")</f>
        <v/>
      </c>
      <c r="S136" t="str">
        <f t="shared" si="25"/>
        <v/>
      </c>
      <c r="T136" t="str">
        <f>IF(R136&lt;&gt;"",IF(Input!N136&lt;&gt;"",ROUNDDOWN(Input!N136,0),0),"")</f>
        <v/>
      </c>
      <c r="U136" t="str">
        <f>IF(Input!O136&lt;&gt;"",Input!O136,"")</f>
        <v/>
      </c>
      <c r="V136" t="str">
        <f t="shared" si="26"/>
        <v/>
      </c>
      <c r="W136" t="str">
        <f>IF(U136&lt;&gt;"",IF(Input!Q136&lt;&gt;"",ROUNDDOWN(Input!Q136,0),0),"")</f>
        <v/>
      </c>
      <c r="X136" t="str">
        <f>IF(Input!R136&lt;&gt;"",Input!R136,"")</f>
        <v/>
      </c>
      <c r="Y136" t="str">
        <f t="shared" si="27"/>
        <v/>
      </c>
      <c r="Z136" t="str">
        <f>IF(X136&lt;&gt;"",IF(Input!T136&lt;&gt;"",ROUNDDOWN(Input!T136,0),0),"")</f>
        <v/>
      </c>
      <c r="AA136" t="str">
        <f>IF(Input!U136&lt;&gt;"",Input!U136,"")</f>
        <v/>
      </c>
      <c r="AB136" t="str">
        <f t="shared" si="28"/>
        <v/>
      </c>
      <c r="AC136" t="str">
        <f>IF(AA136&lt;&gt;"",IF(Input!W136&lt;&gt;"",ROUNDDOWN(Input!W136,0),0),"")</f>
        <v/>
      </c>
      <c r="AD136" t="str">
        <f>IF(Input!X136&lt;&gt;"",Input!X136,"")</f>
        <v/>
      </c>
      <c r="AE136" t="str">
        <f t="shared" si="29"/>
        <v/>
      </c>
      <c r="AF136" t="str">
        <f>IF(AD136&lt;&gt;"",IF(Input!Z136&lt;&gt;"",ROUNDDOWN(Input!Z136,0),0),"")</f>
        <v/>
      </c>
      <c r="AG136" t="str">
        <f>IF(Input!AA136&lt;&gt;"",Input!AA136,"")</f>
        <v/>
      </c>
      <c r="AH136" t="str">
        <f t="shared" si="30"/>
        <v/>
      </c>
      <c r="AI136" t="str">
        <f>IF(AG136&lt;&gt;"",IF(Input!AC136&lt;&gt;"",ROUNDDOWN(Input!AC136,0),0),"")</f>
        <v/>
      </c>
      <c r="AJ136" t="str">
        <f>IF(Input!AD136&lt;&gt;"",Input!AD136,"")</f>
        <v/>
      </c>
      <c r="AK136" t="str">
        <f t="shared" si="31"/>
        <v/>
      </c>
      <c r="AL136" t="str">
        <f>IF(AJ136&lt;&gt;"",IF(Input!AF136&lt;&gt;"",ROUNDDOWN(Input!AF136,0),0),"")</f>
        <v/>
      </c>
      <c r="AM136" t="str">
        <f>IF(Input!AG136&lt;&gt;"",Input!AG136,"")</f>
        <v/>
      </c>
      <c r="AN136" t="str">
        <f t="shared" si="32"/>
        <v/>
      </c>
      <c r="AO136" t="str">
        <f>IF(AM136&lt;&gt;"",IF(Input!AI136&lt;&gt;"",ROUNDDOWN(Input!AI136,0),0),"")</f>
        <v/>
      </c>
    </row>
    <row r="137" spans="1:41" ht="16.5" thickTop="1" thickBot="1" x14ac:dyDescent="0.4">
      <c r="A137" s="100">
        <f>IF(ISBLANK(Input!A137),1000,IF(Input!E137&gt;0,Input!E137+F137,1000))</f>
        <v>1000</v>
      </c>
      <c r="B137" s="101">
        <f t="shared" si="22"/>
        <v>1000</v>
      </c>
      <c r="C137" s="4">
        <v>136</v>
      </c>
      <c r="D137" s="29">
        <f>IF(ISBLANK(Input!A137),1000,IF(Input!G137&gt;0,Input!G137+F137,1000))</f>
        <v>1000</v>
      </c>
      <c r="E137" s="29">
        <f t="shared" si="23"/>
        <v>1000</v>
      </c>
      <c r="F137" s="4">
        <v>0.13600000000000001</v>
      </c>
      <c r="I137" t="str">
        <f>IF(Input!A137&gt;0,Input!A137,"")</f>
        <v/>
      </c>
      <c r="J137" t="str">
        <f>IF(Input!B137&gt;0,Input!B137,"")</f>
        <v/>
      </c>
      <c r="K137" t="str">
        <f>IF(Input!C137&gt;0,Input!C137,"")</f>
        <v/>
      </c>
      <c r="L137" t="str">
        <f>IF(Input!D137&gt;0,Input!D137,"")</f>
        <v/>
      </c>
      <c r="M137" t="str">
        <f>IF(Input!E137&gt;0,Input!E137,"")</f>
        <v xml:space="preserve"> </v>
      </c>
      <c r="N137" t="str">
        <f>IF(Input!F137&gt;0,Input!F137,"")</f>
        <v xml:space="preserve"> </v>
      </c>
      <c r="O137" t="str">
        <f>IF(Input!I137&lt;&gt;"",Input!I137,"")</f>
        <v/>
      </c>
      <c r="P137" t="str">
        <f t="shared" si="24"/>
        <v/>
      </c>
      <c r="Q137" t="str">
        <f>IF(O137&lt;&gt;"",IF(Input!K137&lt;&gt;"",ROUNDDOWN(Input!K137,0),0),"")</f>
        <v/>
      </c>
      <c r="R137" t="str">
        <f>IF(Input!L137&lt;&gt;"",Input!L137,"")</f>
        <v/>
      </c>
      <c r="S137" t="str">
        <f t="shared" si="25"/>
        <v/>
      </c>
      <c r="T137" t="str">
        <f>IF(R137&lt;&gt;"",IF(Input!N137&lt;&gt;"",ROUNDDOWN(Input!N137,0),0),"")</f>
        <v/>
      </c>
      <c r="U137" t="str">
        <f>IF(Input!O137&lt;&gt;"",Input!O137,"")</f>
        <v/>
      </c>
      <c r="V137" t="str">
        <f t="shared" si="26"/>
        <v/>
      </c>
      <c r="W137" t="str">
        <f>IF(U137&lt;&gt;"",IF(Input!Q137&lt;&gt;"",ROUNDDOWN(Input!Q137,0),0),"")</f>
        <v/>
      </c>
      <c r="X137" t="str">
        <f>IF(Input!R137&lt;&gt;"",Input!R137,"")</f>
        <v/>
      </c>
      <c r="Y137" t="str">
        <f t="shared" si="27"/>
        <v/>
      </c>
      <c r="Z137" t="str">
        <f>IF(X137&lt;&gt;"",IF(Input!T137&lt;&gt;"",ROUNDDOWN(Input!T137,0),0),"")</f>
        <v/>
      </c>
      <c r="AA137" t="str">
        <f>IF(Input!U137&lt;&gt;"",Input!U137,"")</f>
        <v/>
      </c>
      <c r="AB137" t="str">
        <f t="shared" si="28"/>
        <v/>
      </c>
      <c r="AC137" t="str">
        <f>IF(AA137&lt;&gt;"",IF(Input!W137&lt;&gt;"",ROUNDDOWN(Input!W137,0),0),"")</f>
        <v/>
      </c>
      <c r="AD137" t="str">
        <f>IF(Input!X137&lt;&gt;"",Input!X137,"")</f>
        <v/>
      </c>
      <c r="AE137" t="str">
        <f t="shared" si="29"/>
        <v/>
      </c>
      <c r="AF137" t="str">
        <f>IF(AD137&lt;&gt;"",IF(Input!Z137&lt;&gt;"",ROUNDDOWN(Input!Z137,0),0),"")</f>
        <v/>
      </c>
      <c r="AG137" t="str">
        <f>IF(Input!AA137&lt;&gt;"",Input!AA137,"")</f>
        <v/>
      </c>
      <c r="AH137" t="str">
        <f t="shared" si="30"/>
        <v/>
      </c>
      <c r="AI137" t="str">
        <f>IF(AG137&lt;&gt;"",IF(Input!AC137&lt;&gt;"",ROUNDDOWN(Input!AC137,0),0),"")</f>
        <v/>
      </c>
      <c r="AJ137" t="str">
        <f>IF(Input!AD137&lt;&gt;"",Input!AD137,"")</f>
        <v/>
      </c>
      <c r="AK137" t="str">
        <f t="shared" si="31"/>
        <v/>
      </c>
      <c r="AL137" t="str">
        <f>IF(AJ137&lt;&gt;"",IF(Input!AF137&lt;&gt;"",ROUNDDOWN(Input!AF137,0),0),"")</f>
        <v/>
      </c>
      <c r="AM137" t="str">
        <f>IF(Input!AG137&lt;&gt;"",Input!AG137,"")</f>
        <v/>
      </c>
      <c r="AN137" t="str">
        <f t="shared" si="32"/>
        <v/>
      </c>
      <c r="AO137" t="str">
        <f>IF(AM137&lt;&gt;"",IF(Input!AI137&lt;&gt;"",ROUNDDOWN(Input!AI137,0),0),"")</f>
        <v/>
      </c>
    </row>
    <row r="138" spans="1:41" ht="16.5" thickTop="1" thickBot="1" x14ac:dyDescent="0.4">
      <c r="A138" s="100">
        <f>IF(ISBLANK(Input!A138),1000,IF(Input!E138&gt;0,Input!E138+F138,1000))</f>
        <v>1000</v>
      </c>
      <c r="B138" s="101">
        <f t="shared" si="22"/>
        <v>1000</v>
      </c>
      <c r="C138" s="4">
        <v>137</v>
      </c>
      <c r="D138" s="29">
        <f>IF(ISBLANK(Input!A138),1000,IF(Input!G138&gt;0,Input!G138+F138,1000))</f>
        <v>1000</v>
      </c>
      <c r="E138" s="29">
        <f t="shared" si="23"/>
        <v>1000</v>
      </c>
      <c r="F138" s="4">
        <v>0.13700000000000001</v>
      </c>
      <c r="I138" t="str">
        <f>IF(Input!A138&gt;0,Input!A138,"")</f>
        <v/>
      </c>
      <c r="J138" t="str">
        <f>IF(Input!B138&gt;0,Input!B138,"")</f>
        <v/>
      </c>
      <c r="K138" t="str">
        <f>IF(Input!C138&gt;0,Input!C138,"")</f>
        <v/>
      </c>
      <c r="L138" t="str">
        <f>IF(Input!D138&gt;0,Input!D138,"")</f>
        <v/>
      </c>
      <c r="M138" t="str">
        <f>IF(Input!E138&gt;0,Input!E138,"")</f>
        <v xml:space="preserve"> </v>
      </c>
      <c r="N138" t="str">
        <f>IF(Input!F138&gt;0,Input!F138,"")</f>
        <v xml:space="preserve"> </v>
      </c>
      <c r="O138" t="str">
        <f>IF(Input!I138&lt;&gt;"",Input!I138,"")</f>
        <v/>
      </c>
      <c r="P138" t="str">
        <f t="shared" si="24"/>
        <v/>
      </c>
      <c r="Q138" t="str">
        <f>IF(O138&lt;&gt;"",IF(Input!K138&lt;&gt;"",ROUNDDOWN(Input!K138,0),0),"")</f>
        <v/>
      </c>
      <c r="R138" t="str">
        <f>IF(Input!L138&lt;&gt;"",Input!L138,"")</f>
        <v/>
      </c>
      <c r="S138" t="str">
        <f t="shared" si="25"/>
        <v/>
      </c>
      <c r="T138" t="str">
        <f>IF(R138&lt;&gt;"",IF(Input!N138&lt;&gt;"",ROUNDDOWN(Input!N138,0),0),"")</f>
        <v/>
      </c>
      <c r="U138" t="str">
        <f>IF(Input!O138&lt;&gt;"",Input!O138,"")</f>
        <v/>
      </c>
      <c r="V138" t="str">
        <f t="shared" si="26"/>
        <v/>
      </c>
      <c r="W138" t="str">
        <f>IF(U138&lt;&gt;"",IF(Input!Q138&lt;&gt;"",ROUNDDOWN(Input!Q138,0),0),"")</f>
        <v/>
      </c>
      <c r="X138" t="str">
        <f>IF(Input!R138&lt;&gt;"",Input!R138,"")</f>
        <v/>
      </c>
      <c r="Y138" t="str">
        <f t="shared" si="27"/>
        <v/>
      </c>
      <c r="Z138" t="str">
        <f>IF(X138&lt;&gt;"",IF(Input!T138&lt;&gt;"",ROUNDDOWN(Input!T138,0),0),"")</f>
        <v/>
      </c>
      <c r="AA138" t="str">
        <f>IF(Input!U138&lt;&gt;"",Input!U138,"")</f>
        <v/>
      </c>
      <c r="AB138" t="str">
        <f t="shared" si="28"/>
        <v/>
      </c>
      <c r="AC138" t="str">
        <f>IF(AA138&lt;&gt;"",IF(Input!W138&lt;&gt;"",ROUNDDOWN(Input!W138,0),0),"")</f>
        <v/>
      </c>
      <c r="AD138" t="str">
        <f>IF(Input!X138&lt;&gt;"",Input!X138,"")</f>
        <v/>
      </c>
      <c r="AE138" t="str">
        <f t="shared" si="29"/>
        <v/>
      </c>
      <c r="AF138" t="str">
        <f>IF(AD138&lt;&gt;"",IF(Input!Z138&lt;&gt;"",ROUNDDOWN(Input!Z138,0),0),"")</f>
        <v/>
      </c>
      <c r="AG138" t="str">
        <f>IF(Input!AA138&lt;&gt;"",Input!AA138,"")</f>
        <v/>
      </c>
      <c r="AH138" t="str">
        <f t="shared" si="30"/>
        <v/>
      </c>
      <c r="AI138" t="str">
        <f>IF(AG138&lt;&gt;"",IF(Input!AC138&lt;&gt;"",ROUNDDOWN(Input!AC138,0),0),"")</f>
        <v/>
      </c>
      <c r="AJ138" t="str">
        <f>IF(Input!AD138&lt;&gt;"",Input!AD138,"")</f>
        <v/>
      </c>
      <c r="AK138" t="str">
        <f t="shared" si="31"/>
        <v/>
      </c>
      <c r="AL138" t="str">
        <f>IF(AJ138&lt;&gt;"",IF(Input!AF138&lt;&gt;"",ROUNDDOWN(Input!AF138,0),0),"")</f>
        <v/>
      </c>
      <c r="AM138" t="str">
        <f>IF(Input!AG138&lt;&gt;"",Input!AG138,"")</f>
        <v/>
      </c>
      <c r="AN138" t="str">
        <f t="shared" si="32"/>
        <v/>
      </c>
      <c r="AO138" t="str">
        <f>IF(AM138&lt;&gt;"",IF(Input!AI138&lt;&gt;"",ROUNDDOWN(Input!AI138,0),0),"")</f>
        <v/>
      </c>
    </row>
    <row r="139" spans="1:41" ht="16.5" thickTop="1" thickBot="1" x14ac:dyDescent="0.4">
      <c r="A139" s="100">
        <f>IF(ISBLANK(Input!A139),1000,IF(Input!E139&gt;0,Input!E139+F139,1000))</f>
        <v>1000</v>
      </c>
      <c r="B139" s="101">
        <f t="shared" si="22"/>
        <v>1000</v>
      </c>
      <c r="C139" s="4">
        <v>138</v>
      </c>
      <c r="D139" s="29">
        <f>IF(ISBLANK(Input!A139),1000,IF(Input!G139&gt;0,Input!G139+F139,1000))</f>
        <v>1000</v>
      </c>
      <c r="E139" s="29">
        <f t="shared" si="23"/>
        <v>1000</v>
      </c>
      <c r="F139" s="4">
        <v>0.13800000000000001</v>
      </c>
      <c r="I139" t="str">
        <f>IF(Input!A139&gt;0,Input!A139,"")</f>
        <v/>
      </c>
      <c r="J139" t="str">
        <f>IF(Input!B139&gt;0,Input!B139,"")</f>
        <v/>
      </c>
      <c r="K139" t="str">
        <f>IF(Input!C139&gt;0,Input!C139,"")</f>
        <v/>
      </c>
      <c r="L139" t="str">
        <f>IF(Input!D139&gt;0,Input!D139,"")</f>
        <v/>
      </c>
      <c r="M139" t="str">
        <f>IF(Input!E139&gt;0,Input!E139,"")</f>
        <v xml:space="preserve"> </v>
      </c>
      <c r="N139" t="str">
        <f>IF(Input!F139&gt;0,Input!F139,"")</f>
        <v xml:space="preserve"> </v>
      </c>
      <c r="O139" t="str">
        <f>IF(Input!I139&lt;&gt;"",Input!I139,"")</f>
        <v/>
      </c>
      <c r="P139" t="str">
        <f t="shared" si="24"/>
        <v/>
      </c>
      <c r="Q139" t="str">
        <f>IF(O139&lt;&gt;"",IF(Input!K139&lt;&gt;"",ROUNDDOWN(Input!K139,0),0),"")</f>
        <v/>
      </c>
      <c r="R139" t="str">
        <f>IF(Input!L139&lt;&gt;"",Input!L139,"")</f>
        <v/>
      </c>
      <c r="S139" t="str">
        <f t="shared" si="25"/>
        <v/>
      </c>
      <c r="T139" t="str">
        <f>IF(R139&lt;&gt;"",IF(Input!N139&lt;&gt;"",ROUNDDOWN(Input!N139,0),0),"")</f>
        <v/>
      </c>
      <c r="U139" t="str">
        <f>IF(Input!O139&lt;&gt;"",Input!O139,"")</f>
        <v/>
      </c>
      <c r="V139" t="str">
        <f t="shared" si="26"/>
        <v/>
      </c>
      <c r="W139" t="str">
        <f>IF(U139&lt;&gt;"",IF(Input!Q139&lt;&gt;"",ROUNDDOWN(Input!Q139,0),0),"")</f>
        <v/>
      </c>
      <c r="X139" t="str">
        <f>IF(Input!R139&lt;&gt;"",Input!R139,"")</f>
        <v/>
      </c>
      <c r="Y139" t="str">
        <f t="shared" si="27"/>
        <v/>
      </c>
      <c r="Z139" t="str">
        <f>IF(X139&lt;&gt;"",IF(Input!T139&lt;&gt;"",ROUNDDOWN(Input!T139,0),0),"")</f>
        <v/>
      </c>
      <c r="AA139" t="str">
        <f>IF(Input!U139&lt;&gt;"",Input!U139,"")</f>
        <v/>
      </c>
      <c r="AB139" t="str">
        <f t="shared" si="28"/>
        <v/>
      </c>
      <c r="AC139" t="str">
        <f>IF(AA139&lt;&gt;"",IF(Input!W139&lt;&gt;"",ROUNDDOWN(Input!W139,0),0),"")</f>
        <v/>
      </c>
      <c r="AD139" t="str">
        <f>IF(Input!X139&lt;&gt;"",Input!X139,"")</f>
        <v/>
      </c>
      <c r="AE139" t="str">
        <f t="shared" si="29"/>
        <v/>
      </c>
      <c r="AF139" t="str">
        <f>IF(AD139&lt;&gt;"",IF(Input!Z139&lt;&gt;"",ROUNDDOWN(Input!Z139,0),0),"")</f>
        <v/>
      </c>
      <c r="AG139" t="str">
        <f>IF(Input!AA139&lt;&gt;"",Input!AA139,"")</f>
        <v/>
      </c>
      <c r="AH139" t="str">
        <f t="shared" si="30"/>
        <v/>
      </c>
      <c r="AI139" t="str">
        <f>IF(AG139&lt;&gt;"",IF(Input!AC139&lt;&gt;"",ROUNDDOWN(Input!AC139,0),0),"")</f>
        <v/>
      </c>
      <c r="AJ139" t="str">
        <f>IF(Input!AD139&lt;&gt;"",Input!AD139,"")</f>
        <v/>
      </c>
      <c r="AK139" t="str">
        <f t="shared" si="31"/>
        <v/>
      </c>
      <c r="AL139" t="str">
        <f>IF(AJ139&lt;&gt;"",IF(Input!AF139&lt;&gt;"",ROUNDDOWN(Input!AF139,0),0),"")</f>
        <v/>
      </c>
      <c r="AM139" t="str">
        <f>IF(Input!AG139&lt;&gt;"",Input!AG139,"")</f>
        <v/>
      </c>
      <c r="AN139" t="str">
        <f t="shared" si="32"/>
        <v/>
      </c>
      <c r="AO139" t="str">
        <f>IF(AM139&lt;&gt;"",IF(Input!AI139&lt;&gt;"",ROUNDDOWN(Input!AI139,0),0),"")</f>
        <v/>
      </c>
    </row>
    <row r="140" spans="1:41" ht="16.5" thickTop="1" thickBot="1" x14ac:dyDescent="0.4">
      <c r="A140" s="100">
        <f>IF(ISBLANK(Input!A140),1000,IF(Input!E140&gt;0,Input!E140+F140,1000))</f>
        <v>1000</v>
      </c>
      <c r="B140" s="101">
        <f t="shared" si="22"/>
        <v>1000</v>
      </c>
      <c r="C140" s="4">
        <v>139</v>
      </c>
      <c r="D140" s="29">
        <f>IF(ISBLANK(Input!A140),1000,IF(Input!G140&gt;0,Input!G140+F140,1000))</f>
        <v>1000</v>
      </c>
      <c r="E140" s="29">
        <f t="shared" si="23"/>
        <v>1000</v>
      </c>
      <c r="F140" s="4">
        <v>0.13900000000000001</v>
      </c>
      <c r="I140" t="str">
        <f>IF(Input!A140&gt;0,Input!A140,"")</f>
        <v/>
      </c>
      <c r="J140" t="str">
        <f>IF(Input!B140&gt;0,Input!B140,"")</f>
        <v/>
      </c>
      <c r="K140" t="str">
        <f>IF(Input!C140&gt;0,Input!C140,"")</f>
        <v/>
      </c>
      <c r="L140" t="str">
        <f>IF(Input!D140&gt;0,Input!D140,"")</f>
        <v/>
      </c>
      <c r="M140" t="str">
        <f>IF(Input!E140&gt;0,Input!E140,"")</f>
        <v xml:space="preserve"> </v>
      </c>
      <c r="N140" t="str">
        <f>IF(Input!F140&gt;0,Input!F140,"")</f>
        <v xml:space="preserve"> </v>
      </c>
      <c r="O140" t="str">
        <f>IF(Input!I140&lt;&gt;"",Input!I140,"")</f>
        <v/>
      </c>
      <c r="P140" t="str">
        <f t="shared" si="24"/>
        <v/>
      </c>
      <c r="Q140" t="str">
        <f>IF(O140&lt;&gt;"",IF(Input!K140&lt;&gt;"",ROUNDDOWN(Input!K140,0),0),"")</f>
        <v/>
      </c>
      <c r="R140" t="str">
        <f>IF(Input!L140&lt;&gt;"",Input!L140,"")</f>
        <v/>
      </c>
      <c r="S140" t="str">
        <f t="shared" si="25"/>
        <v/>
      </c>
      <c r="T140" t="str">
        <f>IF(R140&lt;&gt;"",IF(Input!N140&lt;&gt;"",ROUNDDOWN(Input!N140,0),0),"")</f>
        <v/>
      </c>
      <c r="U140" t="str">
        <f>IF(Input!O140&lt;&gt;"",Input!O140,"")</f>
        <v/>
      </c>
      <c r="V140" t="str">
        <f t="shared" si="26"/>
        <v/>
      </c>
      <c r="W140" t="str">
        <f>IF(U140&lt;&gt;"",IF(Input!Q140&lt;&gt;"",ROUNDDOWN(Input!Q140,0),0),"")</f>
        <v/>
      </c>
      <c r="X140" t="str">
        <f>IF(Input!R140&lt;&gt;"",Input!R140,"")</f>
        <v/>
      </c>
      <c r="Y140" t="str">
        <f t="shared" si="27"/>
        <v/>
      </c>
      <c r="Z140" t="str">
        <f>IF(X140&lt;&gt;"",IF(Input!T140&lt;&gt;"",ROUNDDOWN(Input!T140,0),0),"")</f>
        <v/>
      </c>
      <c r="AA140" t="str">
        <f>IF(Input!U140&lt;&gt;"",Input!U140,"")</f>
        <v/>
      </c>
      <c r="AB140" t="str">
        <f t="shared" si="28"/>
        <v/>
      </c>
      <c r="AC140" t="str">
        <f>IF(AA140&lt;&gt;"",IF(Input!W140&lt;&gt;"",ROUNDDOWN(Input!W140,0),0),"")</f>
        <v/>
      </c>
      <c r="AD140" t="str">
        <f>IF(Input!X140&lt;&gt;"",Input!X140,"")</f>
        <v/>
      </c>
      <c r="AE140" t="str">
        <f t="shared" si="29"/>
        <v/>
      </c>
      <c r="AF140" t="str">
        <f>IF(AD140&lt;&gt;"",IF(Input!Z140&lt;&gt;"",ROUNDDOWN(Input!Z140,0),0),"")</f>
        <v/>
      </c>
      <c r="AG140" t="str">
        <f>IF(Input!AA140&lt;&gt;"",Input!AA140,"")</f>
        <v/>
      </c>
      <c r="AH140" t="str">
        <f t="shared" si="30"/>
        <v/>
      </c>
      <c r="AI140" t="str">
        <f>IF(AG140&lt;&gt;"",IF(Input!AC140&lt;&gt;"",ROUNDDOWN(Input!AC140,0),0),"")</f>
        <v/>
      </c>
      <c r="AJ140" t="str">
        <f>IF(Input!AD140&lt;&gt;"",Input!AD140,"")</f>
        <v/>
      </c>
      <c r="AK140" t="str">
        <f t="shared" si="31"/>
        <v/>
      </c>
      <c r="AL140" t="str">
        <f>IF(AJ140&lt;&gt;"",IF(Input!AF140&lt;&gt;"",ROUNDDOWN(Input!AF140,0),0),"")</f>
        <v/>
      </c>
      <c r="AM140" t="str">
        <f>IF(Input!AG140&lt;&gt;"",Input!AG140,"")</f>
        <v/>
      </c>
      <c r="AN140" t="str">
        <f t="shared" si="32"/>
        <v/>
      </c>
      <c r="AO140" t="str">
        <f>IF(AM140&lt;&gt;"",IF(Input!AI140&lt;&gt;"",ROUNDDOWN(Input!AI140,0),0),"")</f>
        <v/>
      </c>
    </row>
    <row r="141" spans="1:41" ht="16.5" thickTop="1" thickBot="1" x14ac:dyDescent="0.4">
      <c r="A141" s="100">
        <f>IF(ISBLANK(Input!A141),1000,IF(Input!E141&gt;0,Input!E141+F141,1000))</f>
        <v>1000</v>
      </c>
      <c r="B141" s="101">
        <f t="shared" si="22"/>
        <v>1000</v>
      </c>
      <c r="C141" s="4">
        <v>140</v>
      </c>
      <c r="D141" s="29">
        <f>IF(ISBLANK(Input!A141),1000,IF(Input!G141&gt;0,Input!G141+F141,1000))</f>
        <v>1000</v>
      </c>
      <c r="E141" s="29">
        <f t="shared" si="23"/>
        <v>1000</v>
      </c>
      <c r="F141" s="4">
        <v>0.14000000000000001</v>
      </c>
      <c r="I141" t="str">
        <f>IF(Input!A141&gt;0,Input!A141,"")</f>
        <v/>
      </c>
      <c r="J141" t="str">
        <f>IF(Input!B141&gt;0,Input!B141,"")</f>
        <v/>
      </c>
      <c r="K141" t="str">
        <f>IF(Input!C141&gt;0,Input!C141,"")</f>
        <v/>
      </c>
      <c r="L141" t="str">
        <f>IF(Input!D141&gt;0,Input!D141,"")</f>
        <v/>
      </c>
      <c r="M141" t="str">
        <f>IF(Input!E141&gt;0,Input!E141,"")</f>
        <v xml:space="preserve"> </v>
      </c>
      <c r="N141" t="str">
        <f>IF(Input!F141&gt;0,Input!F141,"")</f>
        <v xml:space="preserve"> </v>
      </c>
      <c r="O141" t="str">
        <f>IF(Input!I141&lt;&gt;"",Input!I141,"")</f>
        <v/>
      </c>
      <c r="P141" t="str">
        <f t="shared" si="24"/>
        <v/>
      </c>
      <c r="Q141" t="str">
        <f>IF(O141&lt;&gt;"",IF(Input!K141&lt;&gt;"",ROUNDDOWN(Input!K141,0),0),"")</f>
        <v/>
      </c>
      <c r="R141" t="str">
        <f>IF(Input!L141&lt;&gt;"",Input!L141,"")</f>
        <v/>
      </c>
      <c r="S141" t="str">
        <f t="shared" si="25"/>
        <v/>
      </c>
      <c r="T141" t="str">
        <f>IF(R141&lt;&gt;"",IF(Input!N141&lt;&gt;"",ROUNDDOWN(Input!N141,0),0),"")</f>
        <v/>
      </c>
      <c r="U141" t="str">
        <f>IF(Input!O141&lt;&gt;"",Input!O141,"")</f>
        <v/>
      </c>
      <c r="V141" t="str">
        <f t="shared" si="26"/>
        <v/>
      </c>
      <c r="W141" t="str">
        <f>IF(U141&lt;&gt;"",IF(Input!Q141&lt;&gt;"",ROUNDDOWN(Input!Q141,0),0),"")</f>
        <v/>
      </c>
      <c r="X141" t="str">
        <f>IF(Input!R141&lt;&gt;"",Input!R141,"")</f>
        <v/>
      </c>
      <c r="Y141" t="str">
        <f t="shared" si="27"/>
        <v/>
      </c>
      <c r="Z141" t="str">
        <f>IF(X141&lt;&gt;"",IF(Input!T141&lt;&gt;"",ROUNDDOWN(Input!T141,0),0),"")</f>
        <v/>
      </c>
      <c r="AA141" t="str">
        <f>IF(Input!U141&lt;&gt;"",Input!U141,"")</f>
        <v/>
      </c>
      <c r="AB141" t="str">
        <f t="shared" si="28"/>
        <v/>
      </c>
      <c r="AC141" t="str">
        <f>IF(AA141&lt;&gt;"",IF(Input!W141&lt;&gt;"",ROUNDDOWN(Input!W141,0),0),"")</f>
        <v/>
      </c>
      <c r="AD141" t="str">
        <f>IF(Input!X141&lt;&gt;"",Input!X141,"")</f>
        <v/>
      </c>
      <c r="AE141" t="str">
        <f t="shared" si="29"/>
        <v/>
      </c>
      <c r="AF141" t="str">
        <f>IF(AD141&lt;&gt;"",IF(Input!Z141&lt;&gt;"",ROUNDDOWN(Input!Z141,0),0),"")</f>
        <v/>
      </c>
      <c r="AG141" t="str">
        <f>IF(Input!AA141&lt;&gt;"",Input!AA141,"")</f>
        <v/>
      </c>
      <c r="AH141" t="str">
        <f t="shared" si="30"/>
        <v/>
      </c>
      <c r="AI141" t="str">
        <f>IF(AG141&lt;&gt;"",IF(Input!AC141&lt;&gt;"",ROUNDDOWN(Input!AC141,0),0),"")</f>
        <v/>
      </c>
      <c r="AJ141" t="str">
        <f>IF(Input!AD141&lt;&gt;"",Input!AD141,"")</f>
        <v/>
      </c>
      <c r="AK141" t="str">
        <f t="shared" si="31"/>
        <v/>
      </c>
      <c r="AL141" t="str">
        <f>IF(AJ141&lt;&gt;"",IF(Input!AF141&lt;&gt;"",ROUNDDOWN(Input!AF141,0),0),"")</f>
        <v/>
      </c>
      <c r="AM141" t="str">
        <f>IF(Input!AG141&lt;&gt;"",Input!AG141,"")</f>
        <v/>
      </c>
      <c r="AN141" t="str">
        <f t="shared" si="32"/>
        <v/>
      </c>
      <c r="AO141" t="str">
        <f>IF(AM141&lt;&gt;"",IF(Input!AI141&lt;&gt;"",ROUNDDOWN(Input!AI141,0),0),"")</f>
        <v/>
      </c>
    </row>
    <row r="142" spans="1:41" ht="16.5" thickTop="1" thickBot="1" x14ac:dyDescent="0.4">
      <c r="A142" s="100">
        <f>IF(ISBLANK(Input!A142),1000,IF(Input!E142&gt;0,Input!E142+F142,1000))</f>
        <v>1000</v>
      </c>
      <c r="B142" s="101">
        <f t="shared" si="22"/>
        <v>1000</v>
      </c>
      <c r="C142" s="4">
        <v>141</v>
      </c>
      <c r="D142" s="29">
        <f>IF(ISBLANK(Input!A142),1000,IF(Input!G142&gt;0,Input!G142+F142,1000))</f>
        <v>1000</v>
      </c>
      <c r="E142" s="29">
        <f t="shared" si="23"/>
        <v>1000</v>
      </c>
      <c r="F142" s="4">
        <v>0.14099999999999999</v>
      </c>
      <c r="I142" t="str">
        <f>IF(Input!A142&gt;0,Input!A142,"")</f>
        <v/>
      </c>
      <c r="J142" t="str">
        <f>IF(Input!B142&gt;0,Input!B142,"")</f>
        <v/>
      </c>
      <c r="K142" t="str">
        <f>IF(Input!C142&gt;0,Input!C142,"")</f>
        <v/>
      </c>
      <c r="L142" t="str">
        <f>IF(Input!D142&gt;0,Input!D142,"")</f>
        <v/>
      </c>
      <c r="M142" t="str">
        <f>IF(Input!E142&gt;0,Input!E142,"")</f>
        <v xml:space="preserve"> </v>
      </c>
      <c r="N142" t="str">
        <f>IF(Input!F142&gt;0,Input!F142,"")</f>
        <v xml:space="preserve"> </v>
      </c>
      <c r="O142" t="str">
        <f>IF(Input!I142&lt;&gt;"",Input!I142,"")</f>
        <v/>
      </c>
      <c r="P142" t="str">
        <f t="shared" si="24"/>
        <v/>
      </c>
      <c r="Q142" t="str">
        <f>IF(O142&lt;&gt;"",IF(Input!K142&lt;&gt;"",ROUNDDOWN(Input!K142,0),0),"")</f>
        <v/>
      </c>
      <c r="R142" t="str">
        <f>IF(Input!L142&lt;&gt;"",Input!L142,"")</f>
        <v/>
      </c>
      <c r="S142" t="str">
        <f t="shared" si="25"/>
        <v/>
      </c>
      <c r="T142" t="str">
        <f>IF(R142&lt;&gt;"",IF(Input!N142&lt;&gt;"",ROUNDDOWN(Input!N142,0),0),"")</f>
        <v/>
      </c>
      <c r="U142" t="str">
        <f>IF(Input!O142&lt;&gt;"",Input!O142,"")</f>
        <v/>
      </c>
      <c r="V142" t="str">
        <f t="shared" si="26"/>
        <v/>
      </c>
      <c r="W142" t="str">
        <f>IF(U142&lt;&gt;"",IF(Input!Q142&lt;&gt;"",ROUNDDOWN(Input!Q142,0),0),"")</f>
        <v/>
      </c>
      <c r="X142" t="str">
        <f>IF(Input!R142&lt;&gt;"",Input!R142,"")</f>
        <v/>
      </c>
      <c r="Y142" t="str">
        <f t="shared" si="27"/>
        <v/>
      </c>
      <c r="Z142" t="str">
        <f>IF(X142&lt;&gt;"",IF(Input!T142&lt;&gt;"",ROUNDDOWN(Input!T142,0),0),"")</f>
        <v/>
      </c>
      <c r="AA142" t="str">
        <f>IF(Input!U142&lt;&gt;"",Input!U142,"")</f>
        <v/>
      </c>
      <c r="AB142" t="str">
        <f t="shared" si="28"/>
        <v/>
      </c>
      <c r="AC142" t="str">
        <f>IF(AA142&lt;&gt;"",IF(Input!W142&lt;&gt;"",ROUNDDOWN(Input!W142,0),0),"")</f>
        <v/>
      </c>
      <c r="AD142" t="str">
        <f>IF(Input!X142&lt;&gt;"",Input!X142,"")</f>
        <v/>
      </c>
      <c r="AE142" t="str">
        <f t="shared" si="29"/>
        <v/>
      </c>
      <c r="AF142" t="str">
        <f>IF(AD142&lt;&gt;"",IF(Input!Z142&lt;&gt;"",ROUNDDOWN(Input!Z142,0),0),"")</f>
        <v/>
      </c>
      <c r="AG142" t="str">
        <f>IF(Input!AA142&lt;&gt;"",Input!AA142,"")</f>
        <v/>
      </c>
      <c r="AH142" t="str">
        <f t="shared" si="30"/>
        <v/>
      </c>
      <c r="AI142" t="str">
        <f>IF(AG142&lt;&gt;"",IF(Input!AC142&lt;&gt;"",ROUNDDOWN(Input!AC142,0),0),"")</f>
        <v/>
      </c>
      <c r="AJ142" t="str">
        <f>IF(Input!AD142&lt;&gt;"",Input!AD142,"")</f>
        <v/>
      </c>
      <c r="AK142" t="str">
        <f t="shared" si="31"/>
        <v/>
      </c>
      <c r="AL142" t="str">
        <f>IF(AJ142&lt;&gt;"",IF(Input!AF142&lt;&gt;"",ROUNDDOWN(Input!AF142,0),0),"")</f>
        <v/>
      </c>
      <c r="AM142" t="str">
        <f>IF(Input!AG142&lt;&gt;"",Input!AG142,"")</f>
        <v/>
      </c>
      <c r="AN142" t="str">
        <f t="shared" si="32"/>
        <v/>
      </c>
      <c r="AO142" t="str">
        <f>IF(AM142&lt;&gt;"",IF(Input!AI142&lt;&gt;"",ROUNDDOWN(Input!AI142,0),0),"")</f>
        <v/>
      </c>
    </row>
    <row r="143" spans="1:41" ht="16.5" thickTop="1" thickBot="1" x14ac:dyDescent="0.4">
      <c r="A143" s="100">
        <f>IF(ISBLANK(Input!A143),1000,IF(Input!E143&gt;0,Input!E143+F143,1000))</f>
        <v>1000</v>
      </c>
      <c r="B143" s="101">
        <f t="shared" si="22"/>
        <v>1000</v>
      </c>
      <c r="C143" s="4">
        <v>142</v>
      </c>
      <c r="D143" s="29">
        <f>IF(ISBLANK(Input!A143),1000,IF(Input!G143&gt;0,Input!G143+F143,1000))</f>
        <v>1000</v>
      </c>
      <c r="E143" s="29">
        <f t="shared" si="23"/>
        <v>1000</v>
      </c>
      <c r="F143" s="4">
        <v>0.14199999999999999</v>
      </c>
      <c r="I143" t="str">
        <f>IF(Input!A143&gt;0,Input!A143,"")</f>
        <v/>
      </c>
      <c r="J143" t="str">
        <f>IF(Input!B143&gt;0,Input!B143,"")</f>
        <v/>
      </c>
      <c r="K143" t="str">
        <f>IF(Input!C143&gt;0,Input!C143,"")</f>
        <v/>
      </c>
      <c r="L143" t="str">
        <f>IF(Input!D143&gt;0,Input!D143,"")</f>
        <v/>
      </c>
      <c r="M143" t="str">
        <f>IF(Input!E143&gt;0,Input!E143,"")</f>
        <v xml:space="preserve"> </v>
      </c>
      <c r="N143" t="str">
        <f>IF(Input!F143&gt;0,Input!F143,"")</f>
        <v xml:space="preserve"> </v>
      </c>
      <c r="O143" t="str">
        <f>IF(Input!I143&lt;&gt;"",Input!I143,"")</f>
        <v/>
      </c>
      <c r="P143" t="str">
        <f t="shared" si="24"/>
        <v/>
      </c>
      <c r="Q143" t="str">
        <f>IF(O143&lt;&gt;"",IF(Input!K143&lt;&gt;"",ROUNDDOWN(Input!K143,0),0),"")</f>
        <v/>
      </c>
      <c r="R143" t="str">
        <f>IF(Input!L143&lt;&gt;"",Input!L143,"")</f>
        <v/>
      </c>
      <c r="S143" t="str">
        <f t="shared" si="25"/>
        <v/>
      </c>
      <c r="T143" t="str">
        <f>IF(R143&lt;&gt;"",IF(Input!N143&lt;&gt;"",ROUNDDOWN(Input!N143,0),0),"")</f>
        <v/>
      </c>
      <c r="U143" t="str">
        <f>IF(Input!O143&lt;&gt;"",Input!O143,"")</f>
        <v/>
      </c>
      <c r="V143" t="str">
        <f t="shared" si="26"/>
        <v/>
      </c>
      <c r="W143" t="str">
        <f>IF(U143&lt;&gt;"",IF(Input!Q143&lt;&gt;"",ROUNDDOWN(Input!Q143,0),0),"")</f>
        <v/>
      </c>
      <c r="X143" t="str">
        <f>IF(Input!R143&lt;&gt;"",Input!R143,"")</f>
        <v/>
      </c>
      <c r="Y143" t="str">
        <f t="shared" si="27"/>
        <v/>
      </c>
      <c r="Z143" t="str">
        <f>IF(X143&lt;&gt;"",IF(Input!T143&lt;&gt;"",ROUNDDOWN(Input!T143,0),0),"")</f>
        <v/>
      </c>
      <c r="AA143" t="str">
        <f>IF(Input!U143&lt;&gt;"",Input!U143,"")</f>
        <v/>
      </c>
      <c r="AB143" t="str">
        <f t="shared" si="28"/>
        <v/>
      </c>
      <c r="AC143" t="str">
        <f>IF(AA143&lt;&gt;"",IF(Input!W143&lt;&gt;"",ROUNDDOWN(Input!W143,0),0),"")</f>
        <v/>
      </c>
      <c r="AD143" t="str">
        <f>IF(Input!X143&lt;&gt;"",Input!X143,"")</f>
        <v/>
      </c>
      <c r="AE143" t="str">
        <f t="shared" si="29"/>
        <v/>
      </c>
      <c r="AF143" t="str">
        <f>IF(AD143&lt;&gt;"",IF(Input!Z143&lt;&gt;"",ROUNDDOWN(Input!Z143,0),0),"")</f>
        <v/>
      </c>
      <c r="AG143" t="str">
        <f>IF(Input!AA143&lt;&gt;"",Input!AA143,"")</f>
        <v/>
      </c>
      <c r="AH143" t="str">
        <f t="shared" si="30"/>
        <v/>
      </c>
      <c r="AI143" t="str">
        <f>IF(AG143&lt;&gt;"",IF(Input!AC143&lt;&gt;"",ROUNDDOWN(Input!AC143,0),0),"")</f>
        <v/>
      </c>
      <c r="AJ143" t="str">
        <f>IF(Input!AD143&lt;&gt;"",Input!AD143,"")</f>
        <v/>
      </c>
      <c r="AK143" t="str">
        <f t="shared" si="31"/>
        <v/>
      </c>
      <c r="AL143" t="str">
        <f>IF(AJ143&lt;&gt;"",IF(Input!AF143&lt;&gt;"",ROUNDDOWN(Input!AF143,0),0),"")</f>
        <v/>
      </c>
      <c r="AM143" t="str">
        <f>IF(Input!AG143&lt;&gt;"",Input!AG143,"")</f>
        <v/>
      </c>
      <c r="AN143" t="str">
        <f t="shared" si="32"/>
        <v/>
      </c>
      <c r="AO143" t="str">
        <f>IF(AM143&lt;&gt;"",IF(Input!AI143&lt;&gt;"",ROUNDDOWN(Input!AI143,0),0),"")</f>
        <v/>
      </c>
    </row>
    <row r="144" spans="1:41" ht="16.5" thickTop="1" thickBot="1" x14ac:dyDescent="0.4">
      <c r="A144" s="100">
        <f>IF(ISBLANK(Input!A144),1000,IF(Input!E144&gt;0,Input!E144+F144,1000))</f>
        <v>1000</v>
      </c>
      <c r="B144" s="101">
        <f t="shared" si="22"/>
        <v>1000</v>
      </c>
      <c r="C144" s="4">
        <v>143</v>
      </c>
      <c r="D144" s="29">
        <f>IF(ISBLANK(Input!A144),1000,IF(Input!G144&gt;0,Input!G144+F144,1000))</f>
        <v>1000</v>
      </c>
      <c r="E144" s="29">
        <f t="shared" si="23"/>
        <v>1000</v>
      </c>
      <c r="F144" s="4">
        <v>0.14299999999999999</v>
      </c>
      <c r="I144" t="str">
        <f>IF(Input!A144&gt;0,Input!A144,"")</f>
        <v/>
      </c>
      <c r="J144" t="str">
        <f>IF(Input!B144&gt;0,Input!B144,"")</f>
        <v/>
      </c>
      <c r="K144" t="str">
        <f>IF(Input!C144&gt;0,Input!C144,"")</f>
        <v/>
      </c>
      <c r="L144" t="str">
        <f>IF(Input!D144&gt;0,Input!D144,"")</f>
        <v/>
      </c>
      <c r="M144" t="str">
        <f>IF(Input!E144&gt;0,Input!E144,"")</f>
        <v xml:space="preserve"> </v>
      </c>
      <c r="N144" t="str">
        <f>IF(Input!F144&gt;0,Input!F144,"")</f>
        <v xml:space="preserve"> </v>
      </c>
      <c r="O144" t="str">
        <f>IF(Input!I144&lt;&gt;"",Input!I144,"")</f>
        <v/>
      </c>
      <c r="P144" t="str">
        <f t="shared" si="24"/>
        <v/>
      </c>
      <c r="Q144" t="str">
        <f>IF(O144&lt;&gt;"",IF(Input!K144&lt;&gt;"",ROUNDDOWN(Input!K144,0),0),"")</f>
        <v/>
      </c>
      <c r="R144" t="str">
        <f>IF(Input!L144&lt;&gt;"",Input!L144,"")</f>
        <v/>
      </c>
      <c r="S144" t="str">
        <f t="shared" si="25"/>
        <v/>
      </c>
      <c r="T144" t="str">
        <f>IF(R144&lt;&gt;"",IF(Input!N144&lt;&gt;"",ROUNDDOWN(Input!N144,0),0),"")</f>
        <v/>
      </c>
      <c r="U144" t="str">
        <f>IF(Input!O144&lt;&gt;"",Input!O144,"")</f>
        <v/>
      </c>
      <c r="V144" t="str">
        <f t="shared" si="26"/>
        <v/>
      </c>
      <c r="W144" t="str">
        <f>IF(U144&lt;&gt;"",IF(Input!Q144&lt;&gt;"",ROUNDDOWN(Input!Q144,0),0),"")</f>
        <v/>
      </c>
      <c r="X144" t="str">
        <f>IF(Input!R144&lt;&gt;"",Input!R144,"")</f>
        <v/>
      </c>
      <c r="Y144" t="str">
        <f t="shared" si="27"/>
        <v/>
      </c>
      <c r="Z144" t="str">
        <f>IF(X144&lt;&gt;"",IF(Input!T144&lt;&gt;"",ROUNDDOWN(Input!T144,0),0),"")</f>
        <v/>
      </c>
      <c r="AA144" t="str">
        <f>IF(Input!U144&lt;&gt;"",Input!U144,"")</f>
        <v/>
      </c>
      <c r="AB144" t="str">
        <f t="shared" si="28"/>
        <v/>
      </c>
      <c r="AC144" t="str">
        <f>IF(AA144&lt;&gt;"",IF(Input!W144&lt;&gt;"",ROUNDDOWN(Input!W144,0),0),"")</f>
        <v/>
      </c>
      <c r="AD144" t="str">
        <f>IF(Input!X144&lt;&gt;"",Input!X144,"")</f>
        <v/>
      </c>
      <c r="AE144" t="str">
        <f t="shared" si="29"/>
        <v/>
      </c>
      <c r="AF144" t="str">
        <f>IF(AD144&lt;&gt;"",IF(Input!Z144&lt;&gt;"",ROUNDDOWN(Input!Z144,0),0),"")</f>
        <v/>
      </c>
      <c r="AG144" t="str">
        <f>IF(Input!AA144&lt;&gt;"",Input!AA144,"")</f>
        <v/>
      </c>
      <c r="AH144" t="str">
        <f t="shared" si="30"/>
        <v/>
      </c>
      <c r="AI144" t="str">
        <f>IF(AG144&lt;&gt;"",IF(Input!AC144&lt;&gt;"",ROUNDDOWN(Input!AC144,0),0),"")</f>
        <v/>
      </c>
      <c r="AJ144" t="str">
        <f>IF(Input!AD144&lt;&gt;"",Input!AD144,"")</f>
        <v/>
      </c>
      <c r="AK144" t="str">
        <f t="shared" si="31"/>
        <v/>
      </c>
      <c r="AL144" t="str">
        <f>IF(AJ144&lt;&gt;"",IF(Input!AF144&lt;&gt;"",ROUNDDOWN(Input!AF144,0),0),"")</f>
        <v/>
      </c>
      <c r="AM144" t="str">
        <f>IF(Input!AG144&lt;&gt;"",Input!AG144,"")</f>
        <v/>
      </c>
      <c r="AN144" t="str">
        <f t="shared" si="32"/>
        <v/>
      </c>
      <c r="AO144" t="str">
        <f>IF(AM144&lt;&gt;"",IF(Input!AI144&lt;&gt;"",ROUNDDOWN(Input!AI144,0),0),"")</f>
        <v/>
      </c>
    </row>
    <row r="145" spans="1:41" ht="16.5" thickTop="1" thickBot="1" x14ac:dyDescent="0.4">
      <c r="A145" s="100">
        <f>IF(ISBLANK(Input!A145),1000,IF(Input!E145&gt;0,Input!E145+F145,1000))</f>
        <v>1000</v>
      </c>
      <c r="B145" s="101">
        <f t="shared" si="22"/>
        <v>1000</v>
      </c>
      <c r="C145" s="4">
        <v>144</v>
      </c>
      <c r="D145" s="29">
        <f>IF(ISBLANK(Input!A145),1000,IF(Input!G145&gt;0,Input!G145+F145,1000))</f>
        <v>1000</v>
      </c>
      <c r="E145" s="29">
        <f t="shared" si="23"/>
        <v>1000</v>
      </c>
      <c r="F145" s="4">
        <v>0.14399999999999999</v>
      </c>
      <c r="I145" t="str">
        <f>IF(Input!A145&gt;0,Input!A145,"")</f>
        <v/>
      </c>
      <c r="J145" t="str">
        <f>IF(Input!B145&gt;0,Input!B145,"")</f>
        <v/>
      </c>
      <c r="K145" t="str">
        <f>IF(Input!C145&gt;0,Input!C145,"")</f>
        <v/>
      </c>
      <c r="L145" t="str">
        <f>IF(Input!D145&gt;0,Input!D145,"")</f>
        <v/>
      </c>
      <c r="M145" t="str">
        <f>IF(Input!E145&gt;0,Input!E145,"")</f>
        <v xml:space="preserve"> </v>
      </c>
      <c r="N145" t="str">
        <f>IF(Input!F145&gt;0,Input!F145,"")</f>
        <v xml:space="preserve"> </v>
      </c>
      <c r="O145" t="str">
        <f>IF(Input!I145&lt;&gt;"",Input!I145,"")</f>
        <v/>
      </c>
      <c r="P145" t="str">
        <f t="shared" si="24"/>
        <v/>
      </c>
      <c r="Q145" t="str">
        <f>IF(O145&lt;&gt;"",IF(Input!K145&lt;&gt;"",ROUNDDOWN(Input!K145,0),0),"")</f>
        <v/>
      </c>
      <c r="R145" t="str">
        <f>IF(Input!L145&lt;&gt;"",Input!L145,"")</f>
        <v/>
      </c>
      <c r="S145" t="str">
        <f t="shared" si="25"/>
        <v/>
      </c>
      <c r="T145" t="str">
        <f>IF(R145&lt;&gt;"",IF(Input!N145&lt;&gt;"",ROUNDDOWN(Input!N145,0),0),"")</f>
        <v/>
      </c>
      <c r="U145" t="str">
        <f>IF(Input!O145&lt;&gt;"",Input!O145,"")</f>
        <v/>
      </c>
      <c r="V145" t="str">
        <f t="shared" si="26"/>
        <v/>
      </c>
      <c r="W145" t="str">
        <f>IF(U145&lt;&gt;"",IF(Input!Q145&lt;&gt;"",ROUNDDOWN(Input!Q145,0),0),"")</f>
        <v/>
      </c>
      <c r="X145" t="str">
        <f>IF(Input!R145&lt;&gt;"",Input!R145,"")</f>
        <v/>
      </c>
      <c r="Y145" t="str">
        <f t="shared" si="27"/>
        <v/>
      </c>
      <c r="Z145" t="str">
        <f>IF(X145&lt;&gt;"",IF(Input!T145&lt;&gt;"",ROUNDDOWN(Input!T145,0),0),"")</f>
        <v/>
      </c>
      <c r="AA145" t="str">
        <f>IF(Input!U145&lt;&gt;"",Input!U145,"")</f>
        <v/>
      </c>
      <c r="AB145" t="str">
        <f t="shared" si="28"/>
        <v/>
      </c>
      <c r="AC145" t="str">
        <f>IF(AA145&lt;&gt;"",IF(Input!W145&lt;&gt;"",ROUNDDOWN(Input!W145,0),0),"")</f>
        <v/>
      </c>
      <c r="AD145" t="str">
        <f>IF(Input!X145&lt;&gt;"",Input!X145,"")</f>
        <v/>
      </c>
      <c r="AE145" t="str">
        <f t="shared" si="29"/>
        <v/>
      </c>
      <c r="AF145" t="str">
        <f>IF(AD145&lt;&gt;"",IF(Input!Z145&lt;&gt;"",ROUNDDOWN(Input!Z145,0),0),"")</f>
        <v/>
      </c>
      <c r="AG145" t="str">
        <f>IF(Input!AA145&lt;&gt;"",Input!AA145,"")</f>
        <v/>
      </c>
      <c r="AH145" t="str">
        <f t="shared" si="30"/>
        <v/>
      </c>
      <c r="AI145" t="str">
        <f>IF(AG145&lt;&gt;"",IF(Input!AC145&lt;&gt;"",ROUNDDOWN(Input!AC145,0),0),"")</f>
        <v/>
      </c>
      <c r="AJ145" t="str">
        <f>IF(Input!AD145&lt;&gt;"",Input!AD145,"")</f>
        <v/>
      </c>
      <c r="AK145" t="str">
        <f t="shared" si="31"/>
        <v/>
      </c>
      <c r="AL145" t="str">
        <f>IF(AJ145&lt;&gt;"",IF(Input!AF145&lt;&gt;"",ROUNDDOWN(Input!AF145,0),0),"")</f>
        <v/>
      </c>
      <c r="AM145" t="str">
        <f>IF(Input!AG145&lt;&gt;"",Input!AG145,"")</f>
        <v/>
      </c>
      <c r="AN145" t="str">
        <f t="shared" si="32"/>
        <v/>
      </c>
      <c r="AO145" t="str">
        <f>IF(AM145&lt;&gt;"",IF(Input!AI145&lt;&gt;"",ROUNDDOWN(Input!AI145,0),0),"")</f>
        <v/>
      </c>
    </row>
    <row r="146" spans="1:41" ht="16.5" thickTop="1" thickBot="1" x14ac:dyDescent="0.4">
      <c r="A146" s="100">
        <f>IF(ISBLANK(Input!A146),1000,IF(Input!E146&gt;0,Input!E146+F146,1000))</f>
        <v>1000</v>
      </c>
      <c r="B146" s="101">
        <f t="shared" si="22"/>
        <v>1000</v>
      </c>
      <c r="C146" s="4">
        <v>145</v>
      </c>
      <c r="D146" s="29">
        <f>IF(ISBLANK(Input!A146),1000,IF(Input!G146&gt;0,Input!G146+F146,1000))</f>
        <v>1000</v>
      </c>
      <c r="E146" s="29">
        <f t="shared" si="23"/>
        <v>1000</v>
      </c>
      <c r="F146" s="4">
        <v>0.14499999999999999</v>
      </c>
      <c r="I146" t="str">
        <f>IF(Input!A146&gt;0,Input!A146,"")</f>
        <v/>
      </c>
      <c r="J146" t="str">
        <f>IF(Input!B146&gt;0,Input!B146,"")</f>
        <v/>
      </c>
      <c r="K146" t="str">
        <f>IF(Input!C146&gt;0,Input!C146,"")</f>
        <v/>
      </c>
      <c r="L146" t="str">
        <f>IF(Input!D146&gt;0,Input!D146,"")</f>
        <v/>
      </c>
      <c r="M146" t="str">
        <f>IF(Input!E146&gt;0,Input!E146,"")</f>
        <v xml:space="preserve"> </v>
      </c>
      <c r="N146" t="str">
        <f>IF(Input!F146&gt;0,Input!F146,"")</f>
        <v xml:space="preserve"> </v>
      </c>
      <c r="O146" t="str">
        <f>IF(Input!I146&lt;&gt;"",Input!I146,"")</f>
        <v/>
      </c>
      <c r="P146" t="str">
        <f t="shared" si="24"/>
        <v/>
      </c>
      <c r="Q146" t="str">
        <f>IF(O146&lt;&gt;"",IF(Input!K146&lt;&gt;"",ROUNDDOWN(Input!K146,0),0),"")</f>
        <v/>
      </c>
      <c r="R146" t="str">
        <f>IF(Input!L146&lt;&gt;"",Input!L146,"")</f>
        <v/>
      </c>
      <c r="S146" t="str">
        <f t="shared" si="25"/>
        <v/>
      </c>
      <c r="T146" t="str">
        <f>IF(R146&lt;&gt;"",IF(Input!N146&lt;&gt;"",ROUNDDOWN(Input!N146,0),0),"")</f>
        <v/>
      </c>
      <c r="U146" t="str">
        <f>IF(Input!O146&lt;&gt;"",Input!O146,"")</f>
        <v/>
      </c>
      <c r="V146" t="str">
        <f t="shared" si="26"/>
        <v/>
      </c>
      <c r="W146" t="str">
        <f>IF(U146&lt;&gt;"",IF(Input!Q146&lt;&gt;"",ROUNDDOWN(Input!Q146,0),0),"")</f>
        <v/>
      </c>
      <c r="X146" t="str">
        <f>IF(Input!R146&lt;&gt;"",Input!R146,"")</f>
        <v/>
      </c>
      <c r="Y146" t="str">
        <f t="shared" si="27"/>
        <v/>
      </c>
      <c r="Z146" t="str">
        <f>IF(X146&lt;&gt;"",IF(Input!T146&lt;&gt;"",ROUNDDOWN(Input!T146,0),0),"")</f>
        <v/>
      </c>
      <c r="AA146" t="str">
        <f>IF(Input!U146&lt;&gt;"",Input!U146,"")</f>
        <v/>
      </c>
      <c r="AB146" t="str">
        <f t="shared" si="28"/>
        <v/>
      </c>
      <c r="AC146" t="str">
        <f>IF(AA146&lt;&gt;"",IF(Input!W146&lt;&gt;"",ROUNDDOWN(Input!W146,0),0),"")</f>
        <v/>
      </c>
      <c r="AD146" t="str">
        <f>IF(Input!X146&lt;&gt;"",Input!X146,"")</f>
        <v/>
      </c>
      <c r="AE146" t="str">
        <f t="shared" si="29"/>
        <v/>
      </c>
      <c r="AF146" t="str">
        <f>IF(AD146&lt;&gt;"",IF(Input!Z146&lt;&gt;"",ROUNDDOWN(Input!Z146,0),0),"")</f>
        <v/>
      </c>
      <c r="AG146" t="str">
        <f>IF(Input!AA146&lt;&gt;"",Input!AA146,"")</f>
        <v/>
      </c>
      <c r="AH146" t="str">
        <f t="shared" si="30"/>
        <v/>
      </c>
      <c r="AI146" t="str">
        <f>IF(AG146&lt;&gt;"",IF(Input!AC146&lt;&gt;"",ROUNDDOWN(Input!AC146,0),0),"")</f>
        <v/>
      </c>
      <c r="AJ146" t="str">
        <f>IF(Input!AD146&lt;&gt;"",Input!AD146,"")</f>
        <v/>
      </c>
      <c r="AK146" t="str">
        <f t="shared" si="31"/>
        <v/>
      </c>
      <c r="AL146" t="str">
        <f>IF(AJ146&lt;&gt;"",IF(Input!AF146&lt;&gt;"",ROUNDDOWN(Input!AF146,0),0),"")</f>
        <v/>
      </c>
      <c r="AM146" t="str">
        <f>IF(Input!AG146&lt;&gt;"",Input!AG146,"")</f>
        <v/>
      </c>
      <c r="AN146" t="str">
        <f t="shared" si="32"/>
        <v/>
      </c>
      <c r="AO146" t="str">
        <f>IF(AM146&lt;&gt;"",IF(Input!AI146&lt;&gt;"",ROUNDDOWN(Input!AI146,0),0),"")</f>
        <v/>
      </c>
    </row>
    <row r="147" spans="1:41" ht="16.5" thickTop="1" thickBot="1" x14ac:dyDescent="0.4">
      <c r="A147" s="100">
        <f>IF(ISBLANK(Input!A147),1000,IF(Input!E147&gt;0,Input!E147+F147,1000))</f>
        <v>1000</v>
      </c>
      <c r="B147" s="101">
        <f t="shared" si="22"/>
        <v>1000</v>
      </c>
      <c r="C147" s="4">
        <v>146</v>
      </c>
      <c r="D147" s="29">
        <f>IF(ISBLANK(Input!A147),1000,IF(Input!G147&gt;0,Input!G147+F147,1000))</f>
        <v>1000</v>
      </c>
      <c r="E147" s="29">
        <f t="shared" si="23"/>
        <v>1000</v>
      </c>
      <c r="F147" s="4">
        <v>0.14599999999999999</v>
      </c>
      <c r="I147" t="str">
        <f>IF(Input!A147&gt;0,Input!A147,"")</f>
        <v/>
      </c>
      <c r="J147" t="str">
        <f>IF(Input!B147&gt;0,Input!B147,"")</f>
        <v/>
      </c>
      <c r="K147" t="str">
        <f>IF(Input!C147&gt;0,Input!C147,"")</f>
        <v/>
      </c>
      <c r="L147" t="str">
        <f>IF(Input!D147&gt;0,Input!D147,"")</f>
        <v/>
      </c>
      <c r="M147" t="str">
        <f>IF(Input!E147&gt;0,Input!E147,"")</f>
        <v xml:space="preserve"> </v>
      </c>
      <c r="N147" t="str">
        <f>IF(Input!F147&gt;0,Input!F147,"")</f>
        <v xml:space="preserve"> </v>
      </c>
      <c r="O147" t="str">
        <f>IF(Input!I147&lt;&gt;"",Input!I147,"")</f>
        <v/>
      </c>
      <c r="P147" t="str">
        <f t="shared" si="24"/>
        <v/>
      </c>
      <c r="Q147" t="str">
        <f>IF(O147&lt;&gt;"",IF(Input!K147&lt;&gt;"",ROUNDDOWN(Input!K147,0),0),"")</f>
        <v/>
      </c>
      <c r="R147" t="str">
        <f>IF(Input!L147&lt;&gt;"",Input!L147,"")</f>
        <v/>
      </c>
      <c r="S147" t="str">
        <f t="shared" si="25"/>
        <v/>
      </c>
      <c r="T147" t="str">
        <f>IF(R147&lt;&gt;"",IF(Input!N147&lt;&gt;"",ROUNDDOWN(Input!N147,0),0),"")</f>
        <v/>
      </c>
      <c r="U147" t="str">
        <f>IF(Input!O147&lt;&gt;"",Input!O147,"")</f>
        <v/>
      </c>
      <c r="V147" t="str">
        <f t="shared" si="26"/>
        <v/>
      </c>
      <c r="W147" t="str">
        <f>IF(U147&lt;&gt;"",IF(Input!Q147&lt;&gt;"",ROUNDDOWN(Input!Q147,0),0),"")</f>
        <v/>
      </c>
      <c r="X147" t="str">
        <f>IF(Input!R147&lt;&gt;"",Input!R147,"")</f>
        <v/>
      </c>
      <c r="Y147" t="str">
        <f t="shared" si="27"/>
        <v/>
      </c>
      <c r="Z147" t="str">
        <f>IF(X147&lt;&gt;"",IF(Input!T147&lt;&gt;"",ROUNDDOWN(Input!T147,0),0),"")</f>
        <v/>
      </c>
      <c r="AA147" t="str">
        <f>IF(Input!U147&lt;&gt;"",Input!U147,"")</f>
        <v/>
      </c>
      <c r="AB147" t="str">
        <f t="shared" si="28"/>
        <v/>
      </c>
      <c r="AC147" t="str">
        <f>IF(AA147&lt;&gt;"",IF(Input!W147&lt;&gt;"",ROUNDDOWN(Input!W147,0),0),"")</f>
        <v/>
      </c>
      <c r="AD147" t="str">
        <f>IF(Input!X147&lt;&gt;"",Input!X147,"")</f>
        <v/>
      </c>
      <c r="AE147" t="str">
        <f t="shared" si="29"/>
        <v/>
      </c>
      <c r="AF147" t="str">
        <f>IF(AD147&lt;&gt;"",IF(Input!Z147&lt;&gt;"",ROUNDDOWN(Input!Z147,0),0),"")</f>
        <v/>
      </c>
      <c r="AG147" t="str">
        <f>IF(Input!AA147&lt;&gt;"",Input!AA147,"")</f>
        <v/>
      </c>
      <c r="AH147" t="str">
        <f t="shared" si="30"/>
        <v/>
      </c>
      <c r="AI147" t="str">
        <f>IF(AG147&lt;&gt;"",IF(Input!AC147&lt;&gt;"",ROUNDDOWN(Input!AC147,0),0),"")</f>
        <v/>
      </c>
      <c r="AJ147" t="str">
        <f>IF(Input!AD147&lt;&gt;"",Input!AD147,"")</f>
        <v/>
      </c>
      <c r="AK147" t="str">
        <f t="shared" si="31"/>
        <v/>
      </c>
      <c r="AL147" t="str">
        <f>IF(AJ147&lt;&gt;"",IF(Input!AF147&lt;&gt;"",ROUNDDOWN(Input!AF147,0),0),"")</f>
        <v/>
      </c>
      <c r="AM147" t="str">
        <f>IF(Input!AG147&lt;&gt;"",Input!AG147,"")</f>
        <v/>
      </c>
      <c r="AN147" t="str">
        <f t="shared" si="32"/>
        <v/>
      </c>
      <c r="AO147" t="str">
        <f>IF(AM147&lt;&gt;"",IF(Input!AI147&lt;&gt;"",ROUNDDOWN(Input!AI147,0),0),"")</f>
        <v/>
      </c>
    </row>
    <row r="148" spans="1:41" ht="16.5" thickTop="1" thickBot="1" x14ac:dyDescent="0.4">
      <c r="A148" s="100">
        <f>IF(ISBLANK(Input!A148),1000,IF(Input!E148&gt;0,Input!E148+F148,1000))</f>
        <v>1000</v>
      </c>
      <c r="B148" s="101">
        <f t="shared" si="22"/>
        <v>1000</v>
      </c>
      <c r="C148" s="4">
        <v>147</v>
      </c>
      <c r="D148" s="29">
        <f>IF(ISBLANK(Input!A148),1000,IF(Input!G148&gt;0,Input!G148+F148,1000))</f>
        <v>1000</v>
      </c>
      <c r="E148" s="29">
        <f t="shared" si="23"/>
        <v>1000</v>
      </c>
      <c r="F148" s="4">
        <v>0.14699999999999999</v>
      </c>
      <c r="I148" t="str">
        <f>IF(Input!A148&gt;0,Input!A148,"")</f>
        <v/>
      </c>
      <c r="J148" t="str">
        <f>IF(Input!B148&gt;0,Input!B148,"")</f>
        <v/>
      </c>
      <c r="K148" t="str">
        <f>IF(Input!C148&gt;0,Input!C148,"")</f>
        <v/>
      </c>
      <c r="L148" t="str">
        <f>IF(Input!D148&gt;0,Input!D148,"")</f>
        <v/>
      </c>
      <c r="M148" t="str">
        <f>IF(Input!E148&gt;0,Input!E148,"")</f>
        <v xml:space="preserve"> </v>
      </c>
      <c r="N148" t="str">
        <f>IF(Input!F148&gt;0,Input!F148,"")</f>
        <v xml:space="preserve"> </v>
      </c>
      <c r="O148" t="str">
        <f>IF(Input!I148&lt;&gt;"",Input!I148,"")</f>
        <v/>
      </c>
      <c r="P148" t="str">
        <f t="shared" si="24"/>
        <v/>
      </c>
      <c r="Q148" t="str">
        <f>IF(O148&lt;&gt;"",IF(Input!K148&lt;&gt;"",ROUNDDOWN(Input!K148,0),0),"")</f>
        <v/>
      </c>
      <c r="R148" t="str">
        <f>IF(Input!L148&lt;&gt;"",Input!L148,"")</f>
        <v/>
      </c>
      <c r="S148" t="str">
        <f t="shared" si="25"/>
        <v/>
      </c>
      <c r="T148" t="str">
        <f>IF(R148&lt;&gt;"",IF(Input!N148&lt;&gt;"",ROUNDDOWN(Input!N148,0),0),"")</f>
        <v/>
      </c>
      <c r="U148" t="str">
        <f>IF(Input!O148&lt;&gt;"",Input!O148,"")</f>
        <v/>
      </c>
      <c r="V148" t="str">
        <f t="shared" si="26"/>
        <v/>
      </c>
      <c r="W148" t="str">
        <f>IF(U148&lt;&gt;"",IF(Input!Q148&lt;&gt;"",ROUNDDOWN(Input!Q148,0),0),"")</f>
        <v/>
      </c>
      <c r="X148" t="str">
        <f>IF(Input!R148&lt;&gt;"",Input!R148,"")</f>
        <v/>
      </c>
      <c r="Y148" t="str">
        <f t="shared" si="27"/>
        <v/>
      </c>
      <c r="Z148" t="str">
        <f>IF(X148&lt;&gt;"",IF(Input!T148&lt;&gt;"",ROUNDDOWN(Input!T148,0),0),"")</f>
        <v/>
      </c>
      <c r="AA148" t="str">
        <f>IF(Input!U148&lt;&gt;"",Input!U148,"")</f>
        <v/>
      </c>
      <c r="AB148" t="str">
        <f t="shared" si="28"/>
        <v/>
      </c>
      <c r="AC148" t="str">
        <f>IF(AA148&lt;&gt;"",IF(Input!W148&lt;&gt;"",ROUNDDOWN(Input!W148,0),0),"")</f>
        <v/>
      </c>
      <c r="AD148" t="str">
        <f>IF(Input!X148&lt;&gt;"",Input!X148,"")</f>
        <v/>
      </c>
      <c r="AE148" t="str">
        <f t="shared" si="29"/>
        <v/>
      </c>
      <c r="AF148" t="str">
        <f>IF(AD148&lt;&gt;"",IF(Input!Z148&lt;&gt;"",ROUNDDOWN(Input!Z148,0),0),"")</f>
        <v/>
      </c>
      <c r="AG148" t="str">
        <f>IF(Input!AA148&lt;&gt;"",Input!AA148,"")</f>
        <v/>
      </c>
      <c r="AH148" t="str">
        <f t="shared" si="30"/>
        <v/>
      </c>
      <c r="AI148" t="str">
        <f>IF(AG148&lt;&gt;"",IF(Input!AC148&lt;&gt;"",ROUNDDOWN(Input!AC148,0),0),"")</f>
        <v/>
      </c>
      <c r="AJ148" t="str">
        <f>IF(Input!AD148&lt;&gt;"",Input!AD148,"")</f>
        <v/>
      </c>
      <c r="AK148" t="str">
        <f t="shared" si="31"/>
        <v/>
      </c>
      <c r="AL148" t="str">
        <f>IF(AJ148&lt;&gt;"",IF(Input!AF148&lt;&gt;"",ROUNDDOWN(Input!AF148,0),0),"")</f>
        <v/>
      </c>
      <c r="AM148" t="str">
        <f>IF(Input!AG148&lt;&gt;"",Input!AG148,"")</f>
        <v/>
      </c>
      <c r="AN148" t="str">
        <f t="shared" si="32"/>
        <v/>
      </c>
      <c r="AO148" t="str">
        <f>IF(AM148&lt;&gt;"",IF(Input!AI148&lt;&gt;"",ROUNDDOWN(Input!AI148,0),0),"")</f>
        <v/>
      </c>
    </row>
    <row r="149" spans="1:41" ht="16.5" thickTop="1" thickBot="1" x14ac:dyDescent="0.4">
      <c r="A149" s="100">
        <f>IF(ISBLANK(Input!A149),1000,IF(Input!E149&gt;0,Input!E149+F149,1000))</f>
        <v>1000</v>
      </c>
      <c r="B149" s="101">
        <f t="shared" si="22"/>
        <v>1000</v>
      </c>
      <c r="C149" s="4">
        <v>148</v>
      </c>
      <c r="D149" s="29">
        <f>IF(ISBLANK(Input!A149),1000,IF(Input!G149&gt;0,Input!G149+F149,1000))</f>
        <v>1000</v>
      </c>
      <c r="E149" s="29">
        <f t="shared" si="23"/>
        <v>1000</v>
      </c>
      <c r="F149" s="4">
        <v>0.14799999999999999</v>
      </c>
      <c r="I149" t="str">
        <f>IF(Input!A149&gt;0,Input!A149,"")</f>
        <v/>
      </c>
      <c r="J149" t="str">
        <f>IF(Input!B149&gt;0,Input!B149,"")</f>
        <v/>
      </c>
      <c r="K149" t="str">
        <f>IF(Input!C149&gt;0,Input!C149,"")</f>
        <v/>
      </c>
      <c r="L149" t="str">
        <f>IF(Input!D149&gt;0,Input!D149,"")</f>
        <v/>
      </c>
      <c r="M149" t="str">
        <f>IF(Input!E149&gt;0,Input!E149,"")</f>
        <v xml:space="preserve"> </v>
      </c>
      <c r="N149" t="str">
        <f>IF(Input!F149&gt;0,Input!F149,"")</f>
        <v xml:space="preserve"> </v>
      </c>
      <c r="O149" t="str">
        <f>IF(Input!I149&lt;&gt;"",Input!I149,"")</f>
        <v/>
      </c>
      <c r="P149" t="str">
        <f t="shared" si="24"/>
        <v/>
      </c>
      <c r="Q149" t="str">
        <f>IF(O149&lt;&gt;"",IF(Input!K149&lt;&gt;"",ROUNDDOWN(Input!K149,0),0),"")</f>
        <v/>
      </c>
      <c r="R149" t="str">
        <f>IF(Input!L149&lt;&gt;"",Input!L149,"")</f>
        <v/>
      </c>
      <c r="S149" t="str">
        <f t="shared" si="25"/>
        <v/>
      </c>
      <c r="T149" t="str">
        <f>IF(R149&lt;&gt;"",IF(Input!N149&lt;&gt;"",ROUNDDOWN(Input!N149,0),0),"")</f>
        <v/>
      </c>
      <c r="U149" t="str">
        <f>IF(Input!O149&lt;&gt;"",Input!O149,"")</f>
        <v/>
      </c>
      <c r="V149" t="str">
        <f t="shared" si="26"/>
        <v/>
      </c>
      <c r="W149" t="str">
        <f>IF(U149&lt;&gt;"",IF(Input!Q149&lt;&gt;"",ROUNDDOWN(Input!Q149,0),0),"")</f>
        <v/>
      </c>
      <c r="X149" t="str">
        <f>IF(Input!R149&lt;&gt;"",Input!R149,"")</f>
        <v/>
      </c>
      <c r="Y149" t="str">
        <f t="shared" si="27"/>
        <v/>
      </c>
      <c r="Z149" t="str">
        <f>IF(X149&lt;&gt;"",IF(Input!T149&lt;&gt;"",ROUNDDOWN(Input!T149,0),0),"")</f>
        <v/>
      </c>
      <c r="AA149" t="str">
        <f>IF(Input!U149&lt;&gt;"",Input!U149,"")</f>
        <v/>
      </c>
      <c r="AB149" t="str">
        <f t="shared" si="28"/>
        <v/>
      </c>
      <c r="AC149" t="str">
        <f>IF(AA149&lt;&gt;"",IF(Input!W149&lt;&gt;"",ROUNDDOWN(Input!W149,0),0),"")</f>
        <v/>
      </c>
      <c r="AD149" t="str">
        <f>IF(Input!X149&lt;&gt;"",Input!X149,"")</f>
        <v/>
      </c>
      <c r="AE149" t="str">
        <f t="shared" si="29"/>
        <v/>
      </c>
      <c r="AF149" t="str">
        <f>IF(AD149&lt;&gt;"",IF(Input!Z149&lt;&gt;"",ROUNDDOWN(Input!Z149,0),0),"")</f>
        <v/>
      </c>
      <c r="AG149" t="str">
        <f>IF(Input!AA149&lt;&gt;"",Input!AA149,"")</f>
        <v/>
      </c>
      <c r="AH149" t="str">
        <f t="shared" si="30"/>
        <v/>
      </c>
      <c r="AI149" t="str">
        <f>IF(AG149&lt;&gt;"",IF(Input!AC149&lt;&gt;"",ROUNDDOWN(Input!AC149,0),0),"")</f>
        <v/>
      </c>
      <c r="AJ149" t="str">
        <f>IF(Input!AD149&lt;&gt;"",Input!AD149,"")</f>
        <v/>
      </c>
      <c r="AK149" t="str">
        <f t="shared" si="31"/>
        <v/>
      </c>
      <c r="AL149" t="str">
        <f>IF(AJ149&lt;&gt;"",IF(Input!AF149&lt;&gt;"",ROUNDDOWN(Input!AF149,0),0),"")</f>
        <v/>
      </c>
      <c r="AM149" t="str">
        <f>IF(Input!AG149&lt;&gt;"",Input!AG149,"")</f>
        <v/>
      </c>
      <c r="AN149" t="str">
        <f t="shared" si="32"/>
        <v/>
      </c>
      <c r="AO149" t="str">
        <f>IF(AM149&lt;&gt;"",IF(Input!AI149&lt;&gt;"",ROUNDDOWN(Input!AI149,0),0),"")</f>
        <v/>
      </c>
    </row>
    <row r="150" spans="1:41" ht="16.5" thickTop="1" thickBot="1" x14ac:dyDescent="0.4">
      <c r="A150" s="100">
        <f>IF(ISBLANK(Input!A150),1000,IF(Input!E150&gt;0,Input!E150+F150,1000))</f>
        <v>1000</v>
      </c>
      <c r="B150" s="101">
        <f t="shared" si="22"/>
        <v>1000</v>
      </c>
      <c r="C150" s="4">
        <v>149</v>
      </c>
      <c r="D150" s="29">
        <f>IF(ISBLANK(Input!A150),1000,IF(Input!G150&gt;0,Input!G150+F150,1000))</f>
        <v>1000</v>
      </c>
      <c r="E150" s="29">
        <f t="shared" si="23"/>
        <v>1000</v>
      </c>
      <c r="F150" s="4">
        <v>0.14899999999999999</v>
      </c>
      <c r="I150" t="str">
        <f>IF(Input!A150&gt;0,Input!A150,"")</f>
        <v/>
      </c>
      <c r="J150" t="str">
        <f>IF(Input!B150&gt;0,Input!B150,"")</f>
        <v/>
      </c>
      <c r="K150" t="str">
        <f>IF(Input!C150&gt;0,Input!C150,"")</f>
        <v/>
      </c>
      <c r="L150" t="str">
        <f>IF(Input!D150&gt;0,Input!D150,"")</f>
        <v/>
      </c>
      <c r="M150" t="str">
        <f>IF(Input!E150&gt;0,Input!E150,"")</f>
        <v xml:space="preserve"> </v>
      </c>
      <c r="N150" t="str">
        <f>IF(Input!F150&gt;0,Input!F150,"")</f>
        <v xml:space="preserve"> </v>
      </c>
      <c r="O150" t="str">
        <f>IF(Input!I150&lt;&gt;"",Input!I150,"")</f>
        <v/>
      </c>
      <c r="P150" t="str">
        <f t="shared" si="24"/>
        <v/>
      </c>
      <c r="Q150" t="str">
        <f>IF(O150&lt;&gt;"",IF(Input!K150&lt;&gt;"",ROUNDDOWN(Input!K150,0),0),"")</f>
        <v/>
      </c>
      <c r="R150" t="str">
        <f>IF(Input!L150&lt;&gt;"",Input!L150,"")</f>
        <v/>
      </c>
      <c r="S150" t="str">
        <f t="shared" si="25"/>
        <v/>
      </c>
      <c r="T150" t="str">
        <f>IF(R150&lt;&gt;"",IF(Input!N150&lt;&gt;"",ROUNDDOWN(Input!N150,0),0),"")</f>
        <v/>
      </c>
      <c r="U150" t="str">
        <f>IF(Input!O150&lt;&gt;"",Input!O150,"")</f>
        <v/>
      </c>
      <c r="V150" t="str">
        <f t="shared" si="26"/>
        <v/>
      </c>
      <c r="W150" t="str">
        <f>IF(U150&lt;&gt;"",IF(Input!Q150&lt;&gt;"",ROUNDDOWN(Input!Q150,0),0),"")</f>
        <v/>
      </c>
      <c r="X150" t="str">
        <f>IF(Input!R150&lt;&gt;"",Input!R150,"")</f>
        <v/>
      </c>
      <c r="Y150" t="str">
        <f t="shared" si="27"/>
        <v/>
      </c>
      <c r="Z150" t="str">
        <f>IF(X150&lt;&gt;"",IF(Input!T150&lt;&gt;"",ROUNDDOWN(Input!T150,0),0),"")</f>
        <v/>
      </c>
      <c r="AA150" t="str">
        <f>IF(Input!U150&lt;&gt;"",Input!U150,"")</f>
        <v/>
      </c>
      <c r="AB150" t="str">
        <f t="shared" si="28"/>
        <v/>
      </c>
      <c r="AC150" t="str">
        <f>IF(AA150&lt;&gt;"",IF(Input!W150&lt;&gt;"",ROUNDDOWN(Input!W150,0),0),"")</f>
        <v/>
      </c>
      <c r="AD150" t="str">
        <f>IF(Input!X150&lt;&gt;"",Input!X150,"")</f>
        <v/>
      </c>
      <c r="AE150" t="str">
        <f t="shared" si="29"/>
        <v/>
      </c>
      <c r="AF150" t="str">
        <f>IF(AD150&lt;&gt;"",IF(Input!Z150&lt;&gt;"",ROUNDDOWN(Input!Z150,0),0),"")</f>
        <v/>
      </c>
      <c r="AG150" t="str">
        <f>IF(Input!AA150&lt;&gt;"",Input!AA150,"")</f>
        <v/>
      </c>
      <c r="AH150" t="str">
        <f t="shared" si="30"/>
        <v/>
      </c>
      <c r="AI150" t="str">
        <f>IF(AG150&lt;&gt;"",IF(Input!AC150&lt;&gt;"",ROUNDDOWN(Input!AC150,0),0),"")</f>
        <v/>
      </c>
      <c r="AJ150" t="str">
        <f>IF(Input!AD150&lt;&gt;"",Input!AD150,"")</f>
        <v/>
      </c>
      <c r="AK150" t="str">
        <f t="shared" si="31"/>
        <v/>
      </c>
      <c r="AL150" t="str">
        <f>IF(AJ150&lt;&gt;"",IF(Input!AF150&lt;&gt;"",ROUNDDOWN(Input!AF150,0),0),"")</f>
        <v/>
      </c>
      <c r="AM150" t="str">
        <f>IF(Input!AG150&lt;&gt;"",Input!AG150,"")</f>
        <v/>
      </c>
      <c r="AN150" t="str">
        <f t="shared" si="32"/>
        <v/>
      </c>
      <c r="AO150" t="str">
        <f>IF(AM150&lt;&gt;"",IF(Input!AI150&lt;&gt;"",ROUNDDOWN(Input!AI150,0),0),"")</f>
        <v/>
      </c>
    </row>
    <row r="151" spans="1:41" ht="16.5" thickTop="1" thickBot="1" x14ac:dyDescent="0.4">
      <c r="A151" s="100">
        <f>IF(ISBLANK(Input!A151),1000,IF(Input!E151&gt;0,Input!E151+F151,1000))</f>
        <v>1000</v>
      </c>
      <c r="B151" s="101">
        <f t="shared" si="22"/>
        <v>1000</v>
      </c>
      <c r="C151" s="4">
        <v>150</v>
      </c>
      <c r="D151" s="29">
        <f>IF(ISBLANK(Input!A151),1000,IF(Input!G151&gt;0,Input!G151+F151,1000))</f>
        <v>1000</v>
      </c>
      <c r="E151" s="29">
        <f t="shared" si="23"/>
        <v>1000</v>
      </c>
      <c r="F151" s="4">
        <v>0.15</v>
      </c>
      <c r="I151" t="str">
        <f>IF(Input!A151&gt;0,Input!A151,"")</f>
        <v/>
      </c>
      <c r="J151" t="str">
        <f>IF(Input!B151&gt;0,Input!B151,"")</f>
        <v/>
      </c>
      <c r="K151" t="str">
        <f>IF(Input!C151&gt;0,Input!C151,"")</f>
        <v/>
      </c>
      <c r="L151" t="str">
        <f>IF(Input!D151&gt;0,Input!D151,"")</f>
        <v/>
      </c>
      <c r="M151" t="str">
        <f>IF(Input!E151&gt;0,Input!E151,"")</f>
        <v xml:space="preserve"> </v>
      </c>
      <c r="N151" t="str">
        <f>IF(Input!F151&gt;0,Input!F151,"")</f>
        <v xml:space="preserve"> </v>
      </c>
      <c r="O151" t="str">
        <f>IF(Input!I151&lt;&gt;"",Input!I151,"")</f>
        <v/>
      </c>
      <c r="P151" t="str">
        <f t="shared" si="24"/>
        <v/>
      </c>
      <c r="Q151" t="str">
        <f>IF(O151&lt;&gt;"",IF(Input!K151&lt;&gt;"",ROUNDDOWN(Input!K151,0),0),"")</f>
        <v/>
      </c>
      <c r="R151" t="str">
        <f>IF(Input!L151&lt;&gt;"",Input!L151,"")</f>
        <v/>
      </c>
      <c r="S151" t="str">
        <f t="shared" si="25"/>
        <v/>
      </c>
      <c r="T151" t="str">
        <f>IF(R151&lt;&gt;"",IF(Input!N151&lt;&gt;"",ROUNDDOWN(Input!N151,0),0),"")</f>
        <v/>
      </c>
      <c r="U151" t="str">
        <f>IF(Input!O151&lt;&gt;"",Input!O151,"")</f>
        <v/>
      </c>
      <c r="V151" t="str">
        <f t="shared" si="26"/>
        <v/>
      </c>
      <c r="W151" t="str">
        <f>IF(U151&lt;&gt;"",IF(Input!Q151&lt;&gt;"",ROUNDDOWN(Input!Q151,0),0),"")</f>
        <v/>
      </c>
      <c r="X151" t="str">
        <f>IF(Input!R151&lt;&gt;"",Input!R151,"")</f>
        <v/>
      </c>
      <c r="Y151" t="str">
        <f t="shared" si="27"/>
        <v/>
      </c>
      <c r="Z151" t="str">
        <f>IF(X151&lt;&gt;"",IF(Input!T151&lt;&gt;"",ROUNDDOWN(Input!T151,0),0),"")</f>
        <v/>
      </c>
      <c r="AA151" t="str">
        <f>IF(Input!U151&lt;&gt;"",Input!U151,"")</f>
        <v/>
      </c>
      <c r="AB151" t="str">
        <f t="shared" si="28"/>
        <v/>
      </c>
      <c r="AC151" t="str">
        <f>IF(AA151&lt;&gt;"",IF(Input!W151&lt;&gt;"",ROUNDDOWN(Input!W151,0),0),"")</f>
        <v/>
      </c>
      <c r="AD151" t="str">
        <f>IF(Input!X151&lt;&gt;"",Input!X151,"")</f>
        <v/>
      </c>
      <c r="AE151" t="str">
        <f t="shared" si="29"/>
        <v/>
      </c>
      <c r="AF151" t="str">
        <f>IF(AD151&lt;&gt;"",IF(Input!Z151&lt;&gt;"",ROUNDDOWN(Input!Z151,0),0),"")</f>
        <v/>
      </c>
      <c r="AG151" t="str">
        <f>IF(Input!AA151&lt;&gt;"",Input!AA151,"")</f>
        <v/>
      </c>
      <c r="AH151" t="str">
        <f t="shared" si="30"/>
        <v/>
      </c>
      <c r="AI151" t="str">
        <f>IF(AG151&lt;&gt;"",IF(Input!AC151&lt;&gt;"",ROUNDDOWN(Input!AC151,0),0),"")</f>
        <v/>
      </c>
      <c r="AJ151" t="str">
        <f>IF(Input!AD151&lt;&gt;"",Input!AD151,"")</f>
        <v/>
      </c>
      <c r="AK151" t="str">
        <f t="shared" si="31"/>
        <v/>
      </c>
      <c r="AL151" t="str">
        <f>IF(AJ151&lt;&gt;"",IF(Input!AF151&lt;&gt;"",ROUNDDOWN(Input!AF151,0),0),"")</f>
        <v/>
      </c>
      <c r="AM151" t="str">
        <f>IF(Input!AG151&lt;&gt;"",Input!AG151,"")</f>
        <v/>
      </c>
      <c r="AN151" t="str">
        <f t="shared" si="32"/>
        <v/>
      </c>
      <c r="AO151" t="str">
        <f>IF(AM151&lt;&gt;"",IF(Input!AI151&lt;&gt;"",ROUNDDOWN(Input!AI151,0),0),"")</f>
        <v/>
      </c>
    </row>
    <row r="152" spans="1:41" ht="16.5" thickTop="1" thickBot="1" x14ac:dyDescent="0.4">
      <c r="A152" s="100">
        <f>IF(ISBLANK(Input!A152),1000,IF(Input!E152&gt;0,Input!E152+F152,1000))</f>
        <v>1000</v>
      </c>
      <c r="B152" s="101">
        <f t="shared" si="22"/>
        <v>1000</v>
      </c>
      <c r="C152" s="4">
        <v>151</v>
      </c>
      <c r="D152" s="29">
        <f>IF(ISBLANK(Input!A152),1000,IF(Input!G152&gt;0,Input!G152+F152,1000))</f>
        <v>1000</v>
      </c>
      <c r="E152" s="29">
        <f t="shared" si="23"/>
        <v>1000</v>
      </c>
      <c r="F152" s="4">
        <v>0.151</v>
      </c>
      <c r="I152" t="str">
        <f>IF(Input!A152&gt;0,Input!A152,"")</f>
        <v/>
      </c>
      <c r="J152" t="str">
        <f>IF(Input!B152&gt;0,Input!B152,"")</f>
        <v/>
      </c>
      <c r="K152" t="str">
        <f>IF(Input!C152&gt;0,Input!C152,"")</f>
        <v/>
      </c>
      <c r="L152" t="str">
        <f>IF(Input!D152&gt;0,Input!D152,"")</f>
        <v/>
      </c>
      <c r="M152" t="str">
        <f>IF(Input!E152&gt;0,Input!E152,"")</f>
        <v xml:space="preserve"> </v>
      </c>
      <c r="N152" t="str">
        <f>IF(Input!F152&gt;0,Input!F152,"")</f>
        <v xml:space="preserve"> </v>
      </c>
      <c r="O152" t="str">
        <f>IF(Input!I152&lt;&gt;"",Input!I152,"")</f>
        <v/>
      </c>
      <c r="P152" t="str">
        <f t="shared" si="24"/>
        <v/>
      </c>
      <c r="Q152" t="str">
        <f>IF(O152&lt;&gt;"",IF(Input!K152&lt;&gt;"",ROUNDDOWN(Input!K152,0),0),"")</f>
        <v/>
      </c>
      <c r="R152" t="str">
        <f>IF(Input!L152&lt;&gt;"",Input!L152,"")</f>
        <v/>
      </c>
      <c r="S152" t="str">
        <f t="shared" si="25"/>
        <v/>
      </c>
      <c r="T152" t="str">
        <f>IF(R152&lt;&gt;"",IF(Input!N152&lt;&gt;"",ROUNDDOWN(Input!N152,0),0),"")</f>
        <v/>
      </c>
      <c r="U152" t="str">
        <f>IF(Input!O152&lt;&gt;"",Input!O152,"")</f>
        <v/>
      </c>
      <c r="V152" t="str">
        <f t="shared" si="26"/>
        <v/>
      </c>
      <c r="W152" t="str">
        <f>IF(U152&lt;&gt;"",IF(Input!Q152&lt;&gt;"",ROUNDDOWN(Input!Q152,0),0),"")</f>
        <v/>
      </c>
      <c r="X152" t="str">
        <f>IF(Input!R152&lt;&gt;"",Input!R152,"")</f>
        <v/>
      </c>
      <c r="Y152" t="str">
        <f t="shared" si="27"/>
        <v/>
      </c>
      <c r="Z152" t="str">
        <f>IF(X152&lt;&gt;"",IF(Input!T152&lt;&gt;"",ROUNDDOWN(Input!T152,0),0),"")</f>
        <v/>
      </c>
      <c r="AA152" t="str">
        <f>IF(Input!U152&lt;&gt;"",Input!U152,"")</f>
        <v/>
      </c>
      <c r="AB152" t="str">
        <f t="shared" si="28"/>
        <v/>
      </c>
      <c r="AC152" t="str">
        <f>IF(AA152&lt;&gt;"",IF(Input!W152&lt;&gt;"",ROUNDDOWN(Input!W152,0),0),"")</f>
        <v/>
      </c>
      <c r="AD152" t="str">
        <f>IF(Input!X152&lt;&gt;"",Input!X152,"")</f>
        <v/>
      </c>
      <c r="AE152" t="str">
        <f t="shared" si="29"/>
        <v/>
      </c>
      <c r="AF152" t="str">
        <f>IF(AD152&lt;&gt;"",IF(Input!Z152&lt;&gt;"",ROUNDDOWN(Input!Z152,0),0),"")</f>
        <v/>
      </c>
      <c r="AG152" t="str">
        <f>IF(Input!AA152&lt;&gt;"",Input!AA152,"")</f>
        <v/>
      </c>
      <c r="AH152" t="str">
        <f t="shared" si="30"/>
        <v/>
      </c>
      <c r="AI152" t="str">
        <f>IF(AG152&lt;&gt;"",IF(Input!AC152&lt;&gt;"",ROUNDDOWN(Input!AC152,0),0),"")</f>
        <v/>
      </c>
      <c r="AJ152" t="str">
        <f>IF(Input!AD152&lt;&gt;"",Input!AD152,"")</f>
        <v/>
      </c>
      <c r="AK152" t="str">
        <f t="shared" si="31"/>
        <v/>
      </c>
      <c r="AL152" t="str">
        <f>IF(AJ152&lt;&gt;"",IF(Input!AF152&lt;&gt;"",ROUNDDOWN(Input!AF152,0),0),"")</f>
        <v/>
      </c>
      <c r="AM152" t="str">
        <f>IF(Input!AG152&lt;&gt;"",Input!AG152,"")</f>
        <v/>
      </c>
      <c r="AN152" t="str">
        <f t="shared" si="32"/>
        <v/>
      </c>
      <c r="AO152" t="str">
        <f>IF(AM152&lt;&gt;"",IF(Input!AI152&lt;&gt;"",ROUNDDOWN(Input!AI152,0),0),"")</f>
        <v/>
      </c>
    </row>
    <row r="153" spans="1:41" ht="16.5" thickTop="1" thickBot="1" x14ac:dyDescent="0.4">
      <c r="A153" s="100">
        <f>IF(ISBLANK(Input!A153),1000,IF(Input!E153&gt;0,Input!E153+F153,1000))</f>
        <v>1000</v>
      </c>
      <c r="B153" s="101">
        <f t="shared" si="22"/>
        <v>1000</v>
      </c>
      <c r="C153" s="4">
        <v>152</v>
      </c>
      <c r="D153" s="29">
        <f>IF(ISBLANK(Input!A153),1000,IF(Input!G153&gt;0,Input!G153+F153,1000))</f>
        <v>1000</v>
      </c>
      <c r="E153" s="29">
        <f t="shared" si="23"/>
        <v>1000</v>
      </c>
      <c r="F153" s="4">
        <v>0.152</v>
      </c>
      <c r="I153" t="str">
        <f>IF(Input!A153&gt;0,Input!A153,"")</f>
        <v/>
      </c>
      <c r="J153" t="str">
        <f>IF(Input!B153&gt;0,Input!B153,"")</f>
        <v/>
      </c>
      <c r="K153" t="str">
        <f>IF(Input!C153&gt;0,Input!C153,"")</f>
        <v/>
      </c>
      <c r="L153" t="str">
        <f>IF(Input!D153&gt;0,Input!D153,"")</f>
        <v/>
      </c>
      <c r="M153" t="str">
        <f>IF(Input!E153&gt;0,Input!E153,"")</f>
        <v xml:space="preserve"> </v>
      </c>
      <c r="N153" t="str">
        <f>IF(Input!F153&gt;0,Input!F153,"")</f>
        <v xml:space="preserve"> </v>
      </c>
      <c r="O153" t="str">
        <f>IF(Input!I153&lt;&gt;"",Input!I153,"")</f>
        <v/>
      </c>
      <c r="P153" t="str">
        <f t="shared" si="24"/>
        <v/>
      </c>
      <c r="Q153" t="str">
        <f>IF(O153&lt;&gt;"",IF(Input!K153&lt;&gt;"",ROUNDDOWN(Input!K153,0),0),"")</f>
        <v/>
      </c>
      <c r="R153" t="str">
        <f>IF(Input!L153&lt;&gt;"",Input!L153,"")</f>
        <v/>
      </c>
      <c r="S153" t="str">
        <f t="shared" si="25"/>
        <v/>
      </c>
      <c r="T153" t="str">
        <f>IF(R153&lt;&gt;"",IF(Input!N153&lt;&gt;"",ROUNDDOWN(Input!N153,0),0),"")</f>
        <v/>
      </c>
      <c r="U153" t="str">
        <f>IF(Input!O153&lt;&gt;"",Input!O153,"")</f>
        <v/>
      </c>
      <c r="V153" t="str">
        <f t="shared" si="26"/>
        <v/>
      </c>
      <c r="W153" t="str">
        <f>IF(U153&lt;&gt;"",IF(Input!Q153&lt;&gt;"",ROUNDDOWN(Input!Q153,0),0),"")</f>
        <v/>
      </c>
      <c r="X153" t="str">
        <f>IF(Input!R153&lt;&gt;"",Input!R153,"")</f>
        <v/>
      </c>
      <c r="Y153" t="str">
        <f t="shared" si="27"/>
        <v/>
      </c>
      <c r="Z153" t="str">
        <f>IF(X153&lt;&gt;"",IF(Input!T153&lt;&gt;"",ROUNDDOWN(Input!T153,0),0),"")</f>
        <v/>
      </c>
      <c r="AA153" t="str">
        <f>IF(Input!U153&lt;&gt;"",Input!U153,"")</f>
        <v/>
      </c>
      <c r="AB153" t="str">
        <f t="shared" si="28"/>
        <v/>
      </c>
      <c r="AC153" t="str">
        <f>IF(AA153&lt;&gt;"",IF(Input!W153&lt;&gt;"",ROUNDDOWN(Input!W153,0),0),"")</f>
        <v/>
      </c>
      <c r="AD153" t="str">
        <f>IF(Input!X153&lt;&gt;"",Input!X153,"")</f>
        <v/>
      </c>
      <c r="AE153" t="str">
        <f t="shared" si="29"/>
        <v/>
      </c>
      <c r="AF153" t="str">
        <f>IF(AD153&lt;&gt;"",IF(Input!Z153&lt;&gt;"",ROUNDDOWN(Input!Z153,0),0),"")</f>
        <v/>
      </c>
      <c r="AG153" t="str">
        <f>IF(Input!AA153&lt;&gt;"",Input!AA153,"")</f>
        <v/>
      </c>
      <c r="AH153" t="str">
        <f t="shared" si="30"/>
        <v/>
      </c>
      <c r="AI153" t="str">
        <f>IF(AG153&lt;&gt;"",IF(Input!AC153&lt;&gt;"",ROUNDDOWN(Input!AC153,0),0),"")</f>
        <v/>
      </c>
      <c r="AJ153" t="str">
        <f>IF(Input!AD153&lt;&gt;"",Input!AD153,"")</f>
        <v/>
      </c>
      <c r="AK153" t="str">
        <f t="shared" si="31"/>
        <v/>
      </c>
      <c r="AL153" t="str">
        <f>IF(AJ153&lt;&gt;"",IF(Input!AF153&lt;&gt;"",ROUNDDOWN(Input!AF153,0),0),"")</f>
        <v/>
      </c>
      <c r="AM153" t="str">
        <f>IF(Input!AG153&lt;&gt;"",Input!AG153,"")</f>
        <v/>
      </c>
      <c r="AN153" t="str">
        <f t="shared" si="32"/>
        <v/>
      </c>
      <c r="AO153" t="str">
        <f>IF(AM153&lt;&gt;"",IF(Input!AI153&lt;&gt;"",ROUNDDOWN(Input!AI153,0),0),"")</f>
        <v/>
      </c>
    </row>
    <row r="154" spans="1:41" ht="16.5" thickTop="1" thickBot="1" x14ac:dyDescent="0.4">
      <c r="A154" s="100">
        <f>IF(ISBLANK(Input!A154),1000,IF(Input!E154&gt;0,Input!E154+F154,1000))</f>
        <v>1000</v>
      </c>
      <c r="B154" s="101">
        <f t="shared" si="22"/>
        <v>1000</v>
      </c>
      <c r="C154" s="4">
        <v>153</v>
      </c>
      <c r="D154" s="29">
        <f>IF(ISBLANK(Input!A154),1000,IF(Input!G154&gt;0,Input!G154+F154,1000))</f>
        <v>1000</v>
      </c>
      <c r="E154" s="29">
        <f t="shared" si="23"/>
        <v>1000</v>
      </c>
      <c r="F154" s="4">
        <v>0.153</v>
      </c>
      <c r="I154" t="str">
        <f>IF(Input!A154&gt;0,Input!A154,"")</f>
        <v/>
      </c>
      <c r="J154" t="str">
        <f>IF(Input!B154&gt;0,Input!B154,"")</f>
        <v/>
      </c>
      <c r="K154" t="str">
        <f>IF(Input!C154&gt;0,Input!C154,"")</f>
        <v/>
      </c>
      <c r="L154" t="str">
        <f>IF(Input!D154&gt;0,Input!D154,"")</f>
        <v/>
      </c>
      <c r="M154" t="str">
        <f>IF(Input!E154&gt;0,Input!E154,"")</f>
        <v xml:space="preserve"> </v>
      </c>
      <c r="N154" t="str">
        <f>IF(Input!F154&gt;0,Input!F154,"")</f>
        <v xml:space="preserve"> </v>
      </c>
      <c r="O154" t="str">
        <f>IF(Input!I154&lt;&gt;"",Input!I154,"")</f>
        <v/>
      </c>
      <c r="P154" t="str">
        <f t="shared" si="24"/>
        <v/>
      </c>
      <c r="Q154" t="str">
        <f>IF(O154&lt;&gt;"",IF(Input!K154&lt;&gt;"",ROUNDDOWN(Input!K154,0),0),"")</f>
        <v/>
      </c>
      <c r="R154" t="str">
        <f>IF(Input!L154&lt;&gt;"",Input!L154,"")</f>
        <v/>
      </c>
      <c r="S154" t="str">
        <f t="shared" si="25"/>
        <v/>
      </c>
      <c r="T154" t="str">
        <f>IF(R154&lt;&gt;"",IF(Input!N154&lt;&gt;"",ROUNDDOWN(Input!N154,0),0),"")</f>
        <v/>
      </c>
      <c r="U154" t="str">
        <f>IF(Input!O154&lt;&gt;"",Input!O154,"")</f>
        <v/>
      </c>
      <c r="V154" t="str">
        <f t="shared" si="26"/>
        <v/>
      </c>
      <c r="W154" t="str">
        <f>IF(U154&lt;&gt;"",IF(Input!Q154&lt;&gt;"",ROUNDDOWN(Input!Q154,0),0),"")</f>
        <v/>
      </c>
      <c r="X154" t="str">
        <f>IF(Input!R154&lt;&gt;"",Input!R154,"")</f>
        <v/>
      </c>
      <c r="Y154" t="str">
        <f t="shared" si="27"/>
        <v/>
      </c>
      <c r="Z154" t="str">
        <f>IF(X154&lt;&gt;"",IF(Input!T154&lt;&gt;"",ROUNDDOWN(Input!T154,0),0),"")</f>
        <v/>
      </c>
      <c r="AA154" t="str">
        <f>IF(Input!U154&lt;&gt;"",Input!U154,"")</f>
        <v/>
      </c>
      <c r="AB154" t="str">
        <f t="shared" si="28"/>
        <v/>
      </c>
      <c r="AC154" t="str">
        <f>IF(AA154&lt;&gt;"",IF(Input!W154&lt;&gt;"",ROUNDDOWN(Input!W154,0),0),"")</f>
        <v/>
      </c>
      <c r="AD154" t="str">
        <f>IF(Input!X154&lt;&gt;"",Input!X154,"")</f>
        <v/>
      </c>
      <c r="AE154" t="str">
        <f t="shared" si="29"/>
        <v/>
      </c>
      <c r="AF154" t="str">
        <f>IF(AD154&lt;&gt;"",IF(Input!Z154&lt;&gt;"",ROUNDDOWN(Input!Z154,0),0),"")</f>
        <v/>
      </c>
      <c r="AG154" t="str">
        <f>IF(Input!AA154&lt;&gt;"",Input!AA154,"")</f>
        <v/>
      </c>
      <c r="AH154" t="str">
        <f t="shared" si="30"/>
        <v/>
      </c>
      <c r="AI154" t="str">
        <f>IF(AG154&lt;&gt;"",IF(Input!AC154&lt;&gt;"",ROUNDDOWN(Input!AC154,0),0),"")</f>
        <v/>
      </c>
      <c r="AJ154" t="str">
        <f>IF(Input!AD154&lt;&gt;"",Input!AD154,"")</f>
        <v/>
      </c>
      <c r="AK154" t="str">
        <f t="shared" si="31"/>
        <v/>
      </c>
      <c r="AL154" t="str">
        <f>IF(AJ154&lt;&gt;"",IF(Input!AF154&lt;&gt;"",ROUNDDOWN(Input!AF154,0),0),"")</f>
        <v/>
      </c>
      <c r="AM154" t="str">
        <f>IF(Input!AG154&lt;&gt;"",Input!AG154,"")</f>
        <v/>
      </c>
      <c r="AN154" t="str">
        <f t="shared" si="32"/>
        <v/>
      </c>
      <c r="AO154" t="str">
        <f>IF(AM154&lt;&gt;"",IF(Input!AI154&lt;&gt;"",ROUNDDOWN(Input!AI154,0),0),"")</f>
        <v/>
      </c>
    </row>
    <row r="155" spans="1:41" ht="16.5" thickTop="1" thickBot="1" x14ac:dyDescent="0.4">
      <c r="A155" s="100">
        <f>IF(ISBLANK(Input!A155),1000,IF(Input!E155&gt;0,Input!E155+F155,1000))</f>
        <v>1000</v>
      </c>
      <c r="B155" s="101">
        <f t="shared" si="22"/>
        <v>1000</v>
      </c>
      <c r="C155" s="4">
        <v>154</v>
      </c>
      <c r="D155" s="29">
        <f>IF(ISBLANK(Input!A155),1000,IF(Input!G155&gt;0,Input!G155+F155,1000))</f>
        <v>1000</v>
      </c>
      <c r="E155" s="29">
        <f t="shared" si="23"/>
        <v>1000</v>
      </c>
      <c r="F155" s="4">
        <v>0.154</v>
      </c>
      <c r="I155" t="str">
        <f>IF(Input!A155&gt;0,Input!A155,"")</f>
        <v/>
      </c>
      <c r="J155" t="str">
        <f>IF(Input!B155&gt;0,Input!B155,"")</f>
        <v/>
      </c>
      <c r="K155" t="str">
        <f>IF(Input!C155&gt;0,Input!C155,"")</f>
        <v/>
      </c>
      <c r="L155" t="str">
        <f>IF(Input!D155&gt;0,Input!D155,"")</f>
        <v/>
      </c>
      <c r="M155" t="str">
        <f>IF(Input!E155&gt;0,Input!E155,"")</f>
        <v xml:space="preserve"> </v>
      </c>
      <c r="N155" t="str">
        <f>IF(Input!F155&gt;0,Input!F155,"")</f>
        <v xml:space="preserve"> </v>
      </c>
      <c r="O155" t="str">
        <f>IF(Input!I155&lt;&gt;"",Input!I155,"")</f>
        <v/>
      </c>
      <c r="P155" t="str">
        <f t="shared" si="24"/>
        <v/>
      </c>
      <c r="Q155" t="str">
        <f>IF(O155&lt;&gt;"",IF(Input!K155&lt;&gt;"",ROUNDDOWN(Input!K155,0),0),"")</f>
        <v/>
      </c>
      <c r="R155" t="str">
        <f>IF(Input!L155&lt;&gt;"",Input!L155,"")</f>
        <v/>
      </c>
      <c r="S155" t="str">
        <f t="shared" si="25"/>
        <v/>
      </c>
      <c r="T155" t="str">
        <f>IF(R155&lt;&gt;"",IF(Input!N155&lt;&gt;"",ROUNDDOWN(Input!N155,0),0),"")</f>
        <v/>
      </c>
      <c r="U155" t="str">
        <f>IF(Input!O155&lt;&gt;"",Input!O155,"")</f>
        <v/>
      </c>
      <c r="V155" t="str">
        <f t="shared" si="26"/>
        <v/>
      </c>
      <c r="W155" t="str">
        <f>IF(U155&lt;&gt;"",IF(Input!Q155&lt;&gt;"",ROUNDDOWN(Input!Q155,0),0),"")</f>
        <v/>
      </c>
      <c r="X155" t="str">
        <f>IF(Input!R155&lt;&gt;"",Input!R155,"")</f>
        <v/>
      </c>
      <c r="Y155" t="str">
        <f t="shared" si="27"/>
        <v/>
      </c>
      <c r="Z155" t="str">
        <f>IF(X155&lt;&gt;"",IF(Input!T155&lt;&gt;"",ROUNDDOWN(Input!T155,0),0),"")</f>
        <v/>
      </c>
      <c r="AA155" t="str">
        <f>IF(Input!U155&lt;&gt;"",Input!U155,"")</f>
        <v/>
      </c>
      <c r="AB155" t="str">
        <f t="shared" si="28"/>
        <v/>
      </c>
      <c r="AC155" t="str">
        <f>IF(AA155&lt;&gt;"",IF(Input!W155&lt;&gt;"",ROUNDDOWN(Input!W155,0),0),"")</f>
        <v/>
      </c>
      <c r="AD155" t="str">
        <f>IF(Input!X155&lt;&gt;"",Input!X155,"")</f>
        <v/>
      </c>
      <c r="AE155" t="str">
        <f t="shared" si="29"/>
        <v/>
      </c>
      <c r="AF155" t="str">
        <f>IF(AD155&lt;&gt;"",IF(Input!Z155&lt;&gt;"",ROUNDDOWN(Input!Z155,0),0),"")</f>
        <v/>
      </c>
      <c r="AG155" t="str">
        <f>IF(Input!AA155&lt;&gt;"",Input!AA155,"")</f>
        <v/>
      </c>
      <c r="AH155" t="str">
        <f t="shared" si="30"/>
        <v/>
      </c>
      <c r="AI155" t="str">
        <f>IF(AG155&lt;&gt;"",IF(Input!AC155&lt;&gt;"",ROUNDDOWN(Input!AC155,0),0),"")</f>
        <v/>
      </c>
      <c r="AJ155" t="str">
        <f>IF(Input!AD155&lt;&gt;"",Input!AD155,"")</f>
        <v/>
      </c>
      <c r="AK155" t="str">
        <f t="shared" si="31"/>
        <v/>
      </c>
      <c r="AL155" t="str">
        <f>IF(AJ155&lt;&gt;"",IF(Input!AF155&lt;&gt;"",ROUNDDOWN(Input!AF155,0),0),"")</f>
        <v/>
      </c>
      <c r="AM155" t="str">
        <f>IF(Input!AG155&lt;&gt;"",Input!AG155,"")</f>
        <v/>
      </c>
      <c r="AN155" t="str">
        <f t="shared" si="32"/>
        <v/>
      </c>
      <c r="AO155" t="str">
        <f>IF(AM155&lt;&gt;"",IF(Input!AI155&lt;&gt;"",ROUNDDOWN(Input!AI155,0),0),"")</f>
        <v/>
      </c>
    </row>
    <row r="156" spans="1:41" ht="16.5" thickTop="1" thickBot="1" x14ac:dyDescent="0.4">
      <c r="A156" s="100">
        <f>IF(ISBLANK(Input!A156),1000,IF(Input!E156&gt;0,Input!E156+F156,1000))</f>
        <v>1000</v>
      </c>
      <c r="B156" s="101">
        <f t="shared" si="22"/>
        <v>1000</v>
      </c>
      <c r="C156" s="4">
        <v>155</v>
      </c>
      <c r="D156" s="29">
        <f>IF(ISBLANK(Input!A156),1000,IF(Input!G156&gt;0,Input!G156+F156,1000))</f>
        <v>1000</v>
      </c>
      <c r="E156" s="29">
        <f t="shared" si="23"/>
        <v>1000</v>
      </c>
      <c r="F156" s="4">
        <v>0.155</v>
      </c>
      <c r="I156" t="str">
        <f>IF(Input!A156&gt;0,Input!A156,"")</f>
        <v/>
      </c>
      <c r="J156" t="str">
        <f>IF(Input!B156&gt;0,Input!B156,"")</f>
        <v/>
      </c>
      <c r="K156" t="str">
        <f>IF(Input!C156&gt;0,Input!C156,"")</f>
        <v/>
      </c>
      <c r="L156" t="str">
        <f>IF(Input!D156&gt;0,Input!D156,"")</f>
        <v/>
      </c>
      <c r="M156" t="str">
        <f>IF(Input!E156&gt;0,Input!E156,"")</f>
        <v xml:space="preserve"> </v>
      </c>
      <c r="N156" t="str">
        <f>IF(Input!F156&gt;0,Input!F156,"")</f>
        <v xml:space="preserve"> </v>
      </c>
      <c r="O156" t="str">
        <f>IF(Input!I156&lt;&gt;"",Input!I156,"")</f>
        <v/>
      </c>
      <c r="P156" t="str">
        <f t="shared" si="24"/>
        <v/>
      </c>
      <c r="Q156" t="str">
        <f>IF(O156&lt;&gt;"",IF(Input!K156&lt;&gt;"",ROUNDDOWN(Input!K156,0),0),"")</f>
        <v/>
      </c>
      <c r="R156" t="str">
        <f>IF(Input!L156&lt;&gt;"",Input!L156,"")</f>
        <v/>
      </c>
      <c r="S156" t="str">
        <f t="shared" si="25"/>
        <v/>
      </c>
      <c r="T156" t="str">
        <f>IF(R156&lt;&gt;"",IF(Input!N156&lt;&gt;"",ROUNDDOWN(Input!N156,0),0),"")</f>
        <v/>
      </c>
      <c r="U156" t="str">
        <f>IF(Input!O156&lt;&gt;"",Input!O156,"")</f>
        <v/>
      </c>
      <c r="V156" t="str">
        <f t="shared" si="26"/>
        <v/>
      </c>
      <c r="W156" t="str">
        <f>IF(U156&lt;&gt;"",IF(Input!Q156&lt;&gt;"",ROUNDDOWN(Input!Q156,0),0),"")</f>
        <v/>
      </c>
      <c r="X156" t="str">
        <f>IF(Input!R156&lt;&gt;"",Input!R156,"")</f>
        <v/>
      </c>
      <c r="Y156" t="str">
        <f t="shared" si="27"/>
        <v/>
      </c>
      <c r="Z156" t="str">
        <f>IF(X156&lt;&gt;"",IF(Input!T156&lt;&gt;"",ROUNDDOWN(Input!T156,0),0),"")</f>
        <v/>
      </c>
      <c r="AA156" t="str">
        <f>IF(Input!U156&lt;&gt;"",Input!U156,"")</f>
        <v/>
      </c>
      <c r="AB156" t="str">
        <f t="shared" si="28"/>
        <v/>
      </c>
      <c r="AC156" t="str">
        <f>IF(AA156&lt;&gt;"",IF(Input!W156&lt;&gt;"",ROUNDDOWN(Input!W156,0),0),"")</f>
        <v/>
      </c>
      <c r="AD156" t="str">
        <f>IF(Input!X156&lt;&gt;"",Input!X156,"")</f>
        <v/>
      </c>
      <c r="AE156" t="str">
        <f t="shared" si="29"/>
        <v/>
      </c>
      <c r="AF156" t="str">
        <f>IF(AD156&lt;&gt;"",IF(Input!Z156&lt;&gt;"",ROUNDDOWN(Input!Z156,0),0),"")</f>
        <v/>
      </c>
      <c r="AG156" t="str">
        <f>IF(Input!AA156&lt;&gt;"",Input!AA156,"")</f>
        <v/>
      </c>
      <c r="AH156" t="str">
        <f t="shared" si="30"/>
        <v/>
      </c>
      <c r="AI156" t="str">
        <f>IF(AG156&lt;&gt;"",IF(Input!AC156&lt;&gt;"",ROUNDDOWN(Input!AC156,0),0),"")</f>
        <v/>
      </c>
      <c r="AJ156" t="str">
        <f>IF(Input!AD156&lt;&gt;"",Input!AD156,"")</f>
        <v/>
      </c>
      <c r="AK156" t="str">
        <f t="shared" si="31"/>
        <v/>
      </c>
      <c r="AL156" t="str">
        <f>IF(AJ156&lt;&gt;"",IF(Input!AF156&lt;&gt;"",ROUNDDOWN(Input!AF156,0),0),"")</f>
        <v/>
      </c>
      <c r="AM156" t="str">
        <f>IF(Input!AG156&lt;&gt;"",Input!AG156,"")</f>
        <v/>
      </c>
      <c r="AN156" t="str">
        <f t="shared" si="32"/>
        <v/>
      </c>
      <c r="AO156" t="str">
        <f>IF(AM156&lt;&gt;"",IF(Input!AI156&lt;&gt;"",ROUNDDOWN(Input!AI156,0),0),"")</f>
        <v/>
      </c>
    </row>
    <row r="157" spans="1:41" ht="16.5" thickTop="1" thickBot="1" x14ac:dyDescent="0.4">
      <c r="A157" s="100">
        <f>IF(ISBLANK(Input!A157),1000,IF(Input!E157&gt;0,Input!E157+F157,1000))</f>
        <v>1000</v>
      </c>
      <c r="B157" s="101">
        <f t="shared" si="22"/>
        <v>1000</v>
      </c>
      <c r="C157" s="4">
        <v>156</v>
      </c>
      <c r="D157" s="29">
        <f>IF(ISBLANK(Input!A157),1000,IF(Input!G157&gt;0,Input!G157+F157,1000))</f>
        <v>1000</v>
      </c>
      <c r="E157" s="29">
        <f t="shared" si="23"/>
        <v>1000</v>
      </c>
      <c r="F157" s="4">
        <v>0.156</v>
      </c>
      <c r="I157" t="str">
        <f>IF(Input!A157&gt;0,Input!A157,"")</f>
        <v/>
      </c>
      <c r="J157" t="str">
        <f>IF(Input!B157&gt;0,Input!B157,"")</f>
        <v/>
      </c>
      <c r="K157" t="str">
        <f>IF(Input!C157&gt;0,Input!C157,"")</f>
        <v/>
      </c>
      <c r="L157" t="str">
        <f>IF(Input!D157&gt;0,Input!D157,"")</f>
        <v/>
      </c>
      <c r="M157" t="str">
        <f>IF(Input!E157&gt;0,Input!E157,"")</f>
        <v xml:space="preserve"> </v>
      </c>
      <c r="N157" t="str">
        <f>IF(Input!F157&gt;0,Input!F157,"")</f>
        <v xml:space="preserve"> </v>
      </c>
      <c r="O157" t="str">
        <f>IF(Input!I157&lt;&gt;"",Input!I157,"")</f>
        <v/>
      </c>
      <c r="P157" t="str">
        <f t="shared" si="24"/>
        <v/>
      </c>
      <c r="Q157" t="str">
        <f>IF(O157&lt;&gt;"",IF(Input!K157&lt;&gt;"",ROUNDDOWN(Input!K157,0),0),"")</f>
        <v/>
      </c>
      <c r="R157" t="str">
        <f>IF(Input!L157&lt;&gt;"",Input!L157,"")</f>
        <v/>
      </c>
      <c r="S157" t="str">
        <f t="shared" si="25"/>
        <v/>
      </c>
      <c r="T157" t="str">
        <f>IF(R157&lt;&gt;"",IF(Input!N157&lt;&gt;"",ROUNDDOWN(Input!N157,0),0),"")</f>
        <v/>
      </c>
      <c r="U157" t="str">
        <f>IF(Input!O157&lt;&gt;"",Input!O157,"")</f>
        <v/>
      </c>
      <c r="V157" t="str">
        <f t="shared" si="26"/>
        <v/>
      </c>
      <c r="W157" t="str">
        <f>IF(U157&lt;&gt;"",IF(Input!Q157&lt;&gt;"",ROUNDDOWN(Input!Q157,0),0),"")</f>
        <v/>
      </c>
      <c r="X157" t="str">
        <f>IF(Input!R157&lt;&gt;"",Input!R157,"")</f>
        <v/>
      </c>
      <c r="Y157" t="str">
        <f t="shared" si="27"/>
        <v/>
      </c>
      <c r="Z157" t="str">
        <f>IF(X157&lt;&gt;"",IF(Input!T157&lt;&gt;"",ROUNDDOWN(Input!T157,0),0),"")</f>
        <v/>
      </c>
      <c r="AA157" t="str">
        <f>IF(Input!U157&lt;&gt;"",Input!U157,"")</f>
        <v/>
      </c>
      <c r="AB157" t="str">
        <f t="shared" si="28"/>
        <v/>
      </c>
      <c r="AC157" t="str">
        <f>IF(AA157&lt;&gt;"",IF(Input!W157&lt;&gt;"",ROUNDDOWN(Input!W157,0),0),"")</f>
        <v/>
      </c>
      <c r="AD157" t="str">
        <f>IF(Input!X157&lt;&gt;"",Input!X157,"")</f>
        <v/>
      </c>
      <c r="AE157" t="str">
        <f t="shared" si="29"/>
        <v/>
      </c>
      <c r="AF157" t="str">
        <f>IF(AD157&lt;&gt;"",IF(Input!Z157&lt;&gt;"",ROUNDDOWN(Input!Z157,0),0),"")</f>
        <v/>
      </c>
      <c r="AG157" t="str">
        <f>IF(Input!AA157&lt;&gt;"",Input!AA157,"")</f>
        <v/>
      </c>
      <c r="AH157" t="str">
        <f t="shared" si="30"/>
        <v/>
      </c>
      <c r="AI157" t="str">
        <f>IF(AG157&lt;&gt;"",IF(Input!AC157&lt;&gt;"",ROUNDDOWN(Input!AC157,0),0),"")</f>
        <v/>
      </c>
      <c r="AJ157" t="str">
        <f>IF(Input!AD157&lt;&gt;"",Input!AD157,"")</f>
        <v/>
      </c>
      <c r="AK157" t="str">
        <f t="shared" si="31"/>
        <v/>
      </c>
      <c r="AL157" t="str">
        <f>IF(AJ157&lt;&gt;"",IF(Input!AF157&lt;&gt;"",ROUNDDOWN(Input!AF157,0),0),"")</f>
        <v/>
      </c>
      <c r="AM157" t="str">
        <f>IF(Input!AG157&lt;&gt;"",Input!AG157,"")</f>
        <v/>
      </c>
      <c r="AN157" t="str">
        <f t="shared" si="32"/>
        <v/>
      </c>
      <c r="AO157" t="str">
        <f>IF(AM157&lt;&gt;"",IF(Input!AI157&lt;&gt;"",ROUNDDOWN(Input!AI157,0),0),"")</f>
        <v/>
      </c>
    </row>
    <row r="158" spans="1:41" ht="16.5" thickTop="1" thickBot="1" x14ac:dyDescent="0.4">
      <c r="A158" s="100">
        <f>IF(ISBLANK(Input!A158),1000,IF(Input!E158&gt;0,Input!E158+F158,1000))</f>
        <v>1000</v>
      </c>
      <c r="B158" s="101">
        <f t="shared" si="22"/>
        <v>1000</v>
      </c>
      <c r="C158" s="4">
        <v>157</v>
      </c>
      <c r="D158" s="29">
        <f>IF(ISBLANK(Input!A158),1000,IF(Input!G158&gt;0,Input!G158+F158,1000))</f>
        <v>1000</v>
      </c>
      <c r="E158" s="29">
        <f t="shared" si="23"/>
        <v>1000</v>
      </c>
      <c r="F158" s="4">
        <v>0.157</v>
      </c>
      <c r="I158" t="str">
        <f>IF(Input!A158&gt;0,Input!A158,"")</f>
        <v/>
      </c>
      <c r="J158" t="str">
        <f>IF(Input!B158&gt;0,Input!B158,"")</f>
        <v/>
      </c>
      <c r="K158" t="str">
        <f>IF(Input!C158&gt;0,Input!C158,"")</f>
        <v/>
      </c>
      <c r="L158" t="str">
        <f>IF(Input!D158&gt;0,Input!D158,"")</f>
        <v/>
      </c>
      <c r="M158" t="str">
        <f>IF(Input!E158&gt;0,Input!E158,"")</f>
        <v xml:space="preserve"> </v>
      </c>
      <c r="N158" t="str">
        <f>IF(Input!F158&gt;0,Input!F158,"")</f>
        <v xml:space="preserve"> </v>
      </c>
      <c r="O158" t="str">
        <f>IF(Input!I158&lt;&gt;"",Input!I158,"")</f>
        <v/>
      </c>
      <c r="P158" t="str">
        <f t="shared" si="24"/>
        <v/>
      </c>
      <c r="Q158" t="str">
        <f>IF(O158&lt;&gt;"",IF(Input!K158&lt;&gt;"",ROUNDDOWN(Input!K158,0),0),"")</f>
        <v/>
      </c>
      <c r="R158" t="str">
        <f>IF(Input!L158&lt;&gt;"",Input!L158,"")</f>
        <v/>
      </c>
      <c r="S158" t="str">
        <f t="shared" si="25"/>
        <v/>
      </c>
      <c r="T158" t="str">
        <f>IF(R158&lt;&gt;"",IF(Input!N158&lt;&gt;"",ROUNDDOWN(Input!N158,0),0),"")</f>
        <v/>
      </c>
      <c r="U158" t="str">
        <f>IF(Input!O158&lt;&gt;"",Input!O158,"")</f>
        <v/>
      </c>
      <c r="V158" t="str">
        <f t="shared" si="26"/>
        <v/>
      </c>
      <c r="W158" t="str">
        <f>IF(U158&lt;&gt;"",IF(Input!Q158&lt;&gt;"",ROUNDDOWN(Input!Q158,0),0),"")</f>
        <v/>
      </c>
      <c r="X158" t="str">
        <f>IF(Input!R158&lt;&gt;"",Input!R158,"")</f>
        <v/>
      </c>
      <c r="Y158" t="str">
        <f t="shared" si="27"/>
        <v/>
      </c>
      <c r="Z158" t="str">
        <f>IF(X158&lt;&gt;"",IF(Input!T158&lt;&gt;"",ROUNDDOWN(Input!T158,0),0),"")</f>
        <v/>
      </c>
      <c r="AA158" t="str">
        <f>IF(Input!U158&lt;&gt;"",Input!U158,"")</f>
        <v/>
      </c>
      <c r="AB158" t="str">
        <f t="shared" si="28"/>
        <v/>
      </c>
      <c r="AC158" t="str">
        <f>IF(AA158&lt;&gt;"",IF(Input!W158&lt;&gt;"",ROUNDDOWN(Input!W158,0),0),"")</f>
        <v/>
      </c>
      <c r="AD158" t="str">
        <f>IF(Input!X158&lt;&gt;"",Input!X158,"")</f>
        <v/>
      </c>
      <c r="AE158" t="str">
        <f t="shared" si="29"/>
        <v/>
      </c>
      <c r="AF158" t="str">
        <f>IF(AD158&lt;&gt;"",IF(Input!Z158&lt;&gt;"",ROUNDDOWN(Input!Z158,0),0),"")</f>
        <v/>
      </c>
      <c r="AG158" t="str">
        <f>IF(Input!AA158&lt;&gt;"",Input!AA158,"")</f>
        <v/>
      </c>
      <c r="AH158" t="str">
        <f t="shared" si="30"/>
        <v/>
      </c>
      <c r="AI158" t="str">
        <f>IF(AG158&lt;&gt;"",IF(Input!AC158&lt;&gt;"",ROUNDDOWN(Input!AC158,0),0),"")</f>
        <v/>
      </c>
      <c r="AJ158" t="str">
        <f>IF(Input!AD158&lt;&gt;"",Input!AD158,"")</f>
        <v/>
      </c>
      <c r="AK158" t="str">
        <f t="shared" si="31"/>
        <v/>
      </c>
      <c r="AL158" t="str">
        <f>IF(AJ158&lt;&gt;"",IF(Input!AF158&lt;&gt;"",ROUNDDOWN(Input!AF158,0),0),"")</f>
        <v/>
      </c>
      <c r="AM158" t="str">
        <f>IF(Input!AG158&lt;&gt;"",Input!AG158,"")</f>
        <v/>
      </c>
      <c r="AN158" t="str">
        <f t="shared" si="32"/>
        <v/>
      </c>
      <c r="AO158" t="str">
        <f>IF(AM158&lt;&gt;"",IF(Input!AI158&lt;&gt;"",ROUNDDOWN(Input!AI158,0),0),"")</f>
        <v/>
      </c>
    </row>
    <row r="159" spans="1:41" ht="16.5" thickTop="1" thickBot="1" x14ac:dyDescent="0.4">
      <c r="A159" s="100">
        <f>IF(ISBLANK(Input!A159),1000,IF(Input!E159&gt;0,Input!E159+F159,1000))</f>
        <v>1000</v>
      </c>
      <c r="B159" s="101">
        <f t="shared" si="22"/>
        <v>1000</v>
      </c>
      <c r="C159" s="4">
        <v>158</v>
      </c>
      <c r="D159" s="29">
        <f>IF(ISBLANK(Input!A159),1000,IF(Input!G159&gt;0,Input!G159+F159,1000))</f>
        <v>1000</v>
      </c>
      <c r="E159" s="29">
        <f t="shared" si="23"/>
        <v>1000</v>
      </c>
      <c r="F159" s="4">
        <v>0.158</v>
      </c>
      <c r="I159" t="str">
        <f>IF(Input!A159&gt;0,Input!A159,"")</f>
        <v/>
      </c>
      <c r="J159" t="str">
        <f>IF(Input!B159&gt;0,Input!B159,"")</f>
        <v/>
      </c>
      <c r="K159" t="str">
        <f>IF(Input!C159&gt;0,Input!C159,"")</f>
        <v/>
      </c>
      <c r="L159" t="str">
        <f>IF(Input!D159&gt;0,Input!D159,"")</f>
        <v/>
      </c>
      <c r="M159" t="str">
        <f>IF(Input!E159&gt;0,Input!E159,"")</f>
        <v xml:space="preserve"> </v>
      </c>
      <c r="N159" t="str">
        <f>IF(Input!F159&gt;0,Input!F159,"")</f>
        <v xml:space="preserve"> </v>
      </c>
      <c r="O159" t="str">
        <f>IF(Input!I159&lt;&gt;"",Input!I159,"")</f>
        <v/>
      </c>
      <c r="P159" t="str">
        <f t="shared" si="24"/>
        <v/>
      </c>
      <c r="Q159" t="str">
        <f>IF(O159&lt;&gt;"",IF(Input!K159&lt;&gt;"",ROUNDDOWN(Input!K159,0),0),"")</f>
        <v/>
      </c>
      <c r="R159" t="str">
        <f>IF(Input!L159&lt;&gt;"",Input!L159,"")</f>
        <v/>
      </c>
      <c r="S159" t="str">
        <f t="shared" si="25"/>
        <v/>
      </c>
      <c r="T159" t="str">
        <f>IF(R159&lt;&gt;"",IF(Input!N159&lt;&gt;"",ROUNDDOWN(Input!N159,0),0),"")</f>
        <v/>
      </c>
      <c r="U159" t="str">
        <f>IF(Input!O159&lt;&gt;"",Input!O159,"")</f>
        <v/>
      </c>
      <c r="V159" t="str">
        <f t="shared" si="26"/>
        <v/>
      </c>
      <c r="W159" t="str">
        <f>IF(U159&lt;&gt;"",IF(Input!Q159&lt;&gt;"",ROUNDDOWN(Input!Q159,0),0),"")</f>
        <v/>
      </c>
      <c r="X159" t="str">
        <f>IF(Input!R159&lt;&gt;"",Input!R159,"")</f>
        <v/>
      </c>
      <c r="Y159" t="str">
        <f t="shared" si="27"/>
        <v/>
      </c>
      <c r="Z159" t="str">
        <f>IF(X159&lt;&gt;"",IF(Input!T159&lt;&gt;"",ROUNDDOWN(Input!T159,0),0),"")</f>
        <v/>
      </c>
      <c r="AA159" t="str">
        <f>IF(Input!U159&lt;&gt;"",Input!U159,"")</f>
        <v/>
      </c>
      <c r="AB159" t="str">
        <f t="shared" si="28"/>
        <v/>
      </c>
      <c r="AC159" t="str">
        <f>IF(AA159&lt;&gt;"",IF(Input!W159&lt;&gt;"",ROUNDDOWN(Input!W159,0),0),"")</f>
        <v/>
      </c>
      <c r="AD159" t="str">
        <f>IF(Input!X159&lt;&gt;"",Input!X159,"")</f>
        <v/>
      </c>
      <c r="AE159" t="str">
        <f t="shared" si="29"/>
        <v/>
      </c>
      <c r="AF159" t="str">
        <f>IF(AD159&lt;&gt;"",IF(Input!Z159&lt;&gt;"",ROUNDDOWN(Input!Z159,0),0),"")</f>
        <v/>
      </c>
      <c r="AG159" t="str">
        <f>IF(Input!AA159&lt;&gt;"",Input!AA159,"")</f>
        <v/>
      </c>
      <c r="AH159" t="str">
        <f t="shared" si="30"/>
        <v/>
      </c>
      <c r="AI159" t="str">
        <f>IF(AG159&lt;&gt;"",IF(Input!AC159&lt;&gt;"",ROUNDDOWN(Input!AC159,0),0),"")</f>
        <v/>
      </c>
      <c r="AJ159" t="str">
        <f>IF(Input!AD159&lt;&gt;"",Input!AD159,"")</f>
        <v/>
      </c>
      <c r="AK159" t="str">
        <f t="shared" si="31"/>
        <v/>
      </c>
      <c r="AL159" t="str">
        <f>IF(AJ159&lt;&gt;"",IF(Input!AF159&lt;&gt;"",ROUNDDOWN(Input!AF159,0),0),"")</f>
        <v/>
      </c>
      <c r="AM159" t="str">
        <f>IF(Input!AG159&lt;&gt;"",Input!AG159,"")</f>
        <v/>
      </c>
      <c r="AN159" t="str">
        <f t="shared" si="32"/>
        <v/>
      </c>
      <c r="AO159" t="str">
        <f>IF(AM159&lt;&gt;"",IF(Input!AI159&lt;&gt;"",ROUNDDOWN(Input!AI159,0),0),"")</f>
        <v/>
      </c>
    </row>
    <row r="160" spans="1:41" ht="16.5" thickTop="1" thickBot="1" x14ac:dyDescent="0.4">
      <c r="A160" s="100">
        <f>IF(ISBLANK(Input!A160),1000,IF(Input!E160&gt;0,Input!E160+F160,1000))</f>
        <v>1000</v>
      </c>
      <c r="B160" s="101">
        <f t="shared" si="22"/>
        <v>1000</v>
      </c>
      <c r="C160" s="4">
        <v>159</v>
      </c>
      <c r="D160" s="29">
        <f>IF(ISBLANK(Input!A160),1000,IF(Input!G160&gt;0,Input!G160+F160,1000))</f>
        <v>1000</v>
      </c>
      <c r="E160" s="29">
        <f t="shared" si="23"/>
        <v>1000</v>
      </c>
      <c r="F160" s="4">
        <v>0.159</v>
      </c>
      <c r="I160" t="str">
        <f>IF(Input!A160&gt;0,Input!A160,"")</f>
        <v/>
      </c>
      <c r="J160" t="str">
        <f>IF(Input!B160&gt;0,Input!B160,"")</f>
        <v/>
      </c>
      <c r="K160" t="str">
        <f>IF(Input!C160&gt;0,Input!C160,"")</f>
        <v/>
      </c>
      <c r="L160" t="str">
        <f>IF(Input!D160&gt;0,Input!D160,"")</f>
        <v/>
      </c>
      <c r="M160" t="str">
        <f>IF(Input!E160&gt;0,Input!E160,"")</f>
        <v xml:space="preserve"> </v>
      </c>
      <c r="N160" t="str">
        <f>IF(Input!F160&gt;0,Input!F160,"")</f>
        <v xml:space="preserve"> </v>
      </c>
      <c r="O160" t="str">
        <f>IF(Input!I160&lt;&gt;"",Input!I160,"")</f>
        <v/>
      </c>
      <c r="P160" t="str">
        <f t="shared" si="24"/>
        <v/>
      </c>
      <c r="Q160" t="str">
        <f>IF(O160&lt;&gt;"",IF(Input!K160&lt;&gt;"",ROUNDDOWN(Input!K160,0),0),"")</f>
        <v/>
      </c>
      <c r="R160" t="str">
        <f>IF(Input!L160&lt;&gt;"",Input!L160,"")</f>
        <v/>
      </c>
      <c r="S160" t="str">
        <f t="shared" si="25"/>
        <v/>
      </c>
      <c r="T160" t="str">
        <f>IF(R160&lt;&gt;"",IF(Input!N160&lt;&gt;"",ROUNDDOWN(Input!N160,0),0),"")</f>
        <v/>
      </c>
      <c r="U160" t="str">
        <f>IF(Input!O160&lt;&gt;"",Input!O160,"")</f>
        <v/>
      </c>
      <c r="V160" t="str">
        <f t="shared" si="26"/>
        <v/>
      </c>
      <c r="W160" t="str">
        <f>IF(U160&lt;&gt;"",IF(Input!Q160&lt;&gt;"",ROUNDDOWN(Input!Q160,0),0),"")</f>
        <v/>
      </c>
      <c r="X160" t="str">
        <f>IF(Input!R160&lt;&gt;"",Input!R160,"")</f>
        <v/>
      </c>
      <c r="Y160" t="str">
        <f t="shared" si="27"/>
        <v/>
      </c>
      <c r="Z160" t="str">
        <f>IF(X160&lt;&gt;"",IF(Input!T160&lt;&gt;"",ROUNDDOWN(Input!T160,0),0),"")</f>
        <v/>
      </c>
      <c r="AA160" t="str">
        <f>IF(Input!U160&lt;&gt;"",Input!U160,"")</f>
        <v/>
      </c>
      <c r="AB160" t="str">
        <f t="shared" si="28"/>
        <v/>
      </c>
      <c r="AC160" t="str">
        <f>IF(AA160&lt;&gt;"",IF(Input!W160&lt;&gt;"",ROUNDDOWN(Input!W160,0),0),"")</f>
        <v/>
      </c>
      <c r="AD160" t="str">
        <f>IF(Input!X160&lt;&gt;"",Input!X160,"")</f>
        <v/>
      </c>
      <c r="AE160" t="str">
        <f t="shared" si="29"/>
        <v/>
      </c>
      <c r="AF160" t="str">
        <f>IF(AD160&lt;&gt;"",IF(Input!Z160&lt;&gt;"",ROUNDDOWN(Input!Z160,0),0),"")</f>
        <v/>
      </c>
      <c r="AG160" t="str">
        <f>IF(Input!AA160&lt;&gt;"",Input!AA160,"")</f>
        <v/>
      </c>
      <c r="AH160" t="str">
        <f t="shared" si="30"/>
        <v/>
      </c>
      <c r="AI160" t="str">
        <f>IF(AG160&lt;&gt;"",IF(Input!AC160&lt;&gt;"",ROUNDDOWN(Input!AC160,0),0),"")</f>
        <v/>
      </c>
      <c r="AJ160" t="str">
        <f>IF(Input!AD160&lt;&gt;"",Input!AD160,"")</f>
        <v/>
      </c>
      <c r="AK160" t="str">
        <f t="shared" si="31"/>
        <v/>
      </c>
      <c r="AL160" t="str">
        <f>IF(AJ160&lt;&gt;"",IF(Input!AF160&lt;&gt;"",ROUNDDOWN(Input!AF160,0),0),"")</f>
        <v/>
      </c>
      <c r="AM160" t="str">
        <f>IF(Input!AG160&lt;&gt;"",Input!AG160,"")</f>
        <v/>
      </c>
      <c r="AN160" t="str">
        <f t="shared" si="32"/>
        <v/>
      </c>
      <c r="AO160" t="str">
        <f>IF(AM160&lt;&gt;"",IF(Input!AI160&lt;&gt;"",ROUNDDOWN(Input!AI160,0),0),"")</f>
        <v/>
      </c>
    </row>
    <row r="161" spans="1:41" ht="16.5" thickTop="1" thickBot="1" x14ac:dyDescent="0.4">
      <c r="A161" s="100">
        <f>IF(ISBLANK(Input!A161),1000,IF(Input!E161&gt;0,Input!E161+F161,1000))</f>
        <v>1000</v>
      </c>
      <c r="B161" s="101">
        <f t="shared" si="22"/>
        <v>1000</v>
      </c>
      <c r="C161" s="4">
        <v>160</v>
      </c>
      <c r="D161" s="29">
        <f>IF(ISBLANK(Input!A161),1000,IF(Input!G161&gt;0,Input!G161+F161,1000))</f>
        <v>1000</v>
      </c>
      <c r="E161" s="29">
        <f t="shared" si="23"/>
        <v>1000</v>
      </c>
      <c r="F161" s="4">
        <v>0.16</v>
      </c>
      <c r="I161" t="str">
        <f>IF(Input!A161&gt;0,Input!A161,"")</f>
        <v/>
      </c>
      <c r="J161" t="str">
        <f>IF(Input!B161&gt;0,Input!B161,"")</f>
        <v/>
      </c>
      <c r="K161" t="str">
        <f>IF(Input!C161&gt;0,Input!C161,"")</f>
        <v/>
      </c>
      <c r="L161" t="str">
        <f>IF(Input!D161&gt;0,Input!D161,"")</f>
        <v/>
      </c>
      <c r="M161" t="str">
        <f>IF(Input!E161&gt;0,Input!E161,"")</f>
        <v xml:space="preserve"> </v>
      </c>
      <c r="N161" t="str">
        <f>IF(Input!F161&gt;0,Input!F161,"")</f>
        <v xml:space="preserve"> </v>
      </c>
      <c r="O161" t="str">
        <f>IF(Input!I161&lt;&gt;"",Input!I161,"")</f>
        <v/>
      </c>
      <c r="P161" t="str">
        <f t="shared" si="24"/>
        <v/>
      </c>
      <c r="Q161" t="str">
        <f>IF(O161&lt;&gt;"",IF(Input!K161&lt;&gt;"",ROUNDDOWN(Input!K161,0),0),"")</f>
        <v/>
      </c>
      <c r="R161" t="str">
        <f>IF(Input!L161&lt;&gt;"",Input!L161,"")</f>
        <v/>
      </c>
      <c r="S161" t="str">
        <f t="shared" si="25"/>
        <v/>
      </c>
      <c r="T161" t="str">
        <f>IF(R161&lt;&gt;"",IF(Input!N161&lt;&gt;"",ROUNDDOWN(Input!N161,0),0),"")</f>
        <v/>
      </c>
      <c r="U161" t="str">
        <f>IF(Input!O161&lt;&gt;"",Input!O161,"")</f>
        <v/>
      </c>
      <c r="V161" t="str">
        <f t="shared" si="26"/>
        <v/>
      </c>
      <c r="W161" t="str">
        <f>IF(U161&lt;&gt;"",IF(Input!Q161&lt;&gt;"",ROUNDDOWN(Input!Q161,0),0),"")</f>
        <v/>
      </c>
      <c r="X161" t="str">
        <f>IF(Input!R161&lt;&gt;"",Input!R161,"")</f>
        <v/>
      </c>
      <c r="Y161" t="str">
        <f t="shared" si="27"/>
        <v/>
      </c>
      <c r="Z161" t="str">
        <f>IF(X161&lt;&gt;"",IF(Input!T161&lt;&gt;"",ROUNDDOWN(Input!T161,0),0),"")</f>
        <v/>
      </c>
      <c r="AA161" t="str">
        <f>IF(Input!U161&lt;&gt;"",Input!U161,"")</f>
        <v/>
      </c>
      <c r="AB161" t="str">
        <f t="shared" si="28"/>
        <v/>
      </c>
      <c r="AC161" t="str">
        <f>IF(AA161&lt;&gt;"",IF(Input!W161&lt;&gt;"",ROUNDDOWN(Input!W161,0),0),"")</f>
        <v/>
      </c>
      <c r="AD161" t="str">
        <f>IF(Input!X161&lt;&gt;"",Input!X161,"")</f>
        <v/>
      </c>
      <c r="AE161" t="str">
        <f t="shared" si="29"/>
        <v/>
      </c>
      <c r="AF161" t="str">
        <f>IF(AD161&lt;&gt;"",IF(Input!Z161&lt;&gt;"",ROUNDDOWN(Input!Z161,0),0),"")</f>
        <v/>
      </c>
      <c r="AG161" t="str">
        <f>IF(Input!AA161&lt;&gt;"",Input!AA161,"")</f>
        <v/>
      </c>
      <c r="AH161" t="str">
        <f t="shared" si="30"/>
        <v/>
      </c>
      <c r="AI161" t="str">
        <f>IF(AG161&lt;&gt;"",IF(Input!AC161&lt;&gt;"",ROUNDDOWN(Input!AC161,0),0),"")</f>
        <v/>
      </c>
      <c r="AJ161" t="str">
        <f>IF(Input!AD161&lt;&gt;"",Input!AD161,"")</f>
        <v/>
      </c>
      <c r="AK161" t="str">
        <f t="shared" si="31"/>
        <v/>
      </c>
      <c r="AL161" t="str">
        <f>IF(AJ161&lt;&gt;"",IF(Input!AF161&lt;&gt;"",ROUNDDOWN(Input!AF161,0),0),"")</f>
        <v/>
      </c>
      <c r="AM161" t="str">
        <f>IF(Input!AG161&lt;&gt;"",Input!AG161,"")</f>
        <v/>
      </c>
      <c r="AN161" t="str">
        <f t="shared" si="32"/>
        <v/>
      </c>
      <c r="AO161" t="str">
        <f>IF(AM161&lt;&gt;"",IF(Input!AI161&lt;&gt;"",ROUNDDOWN(Input!AI161,0),0),"")</f>
        <v/>
      </c>
    </row>
    <row r="162" spans="1:41" ht="16.5" thickTop="1" thickBot="1" x14ac:dyDescent="0.4">
      <c r="A162" s="100">
        <f>IF(ISBLANK(Input!A162),1000,IF(Input!E162&gt;0,Input!E162+F162,1000))</f>
        <v>1000</v>
      </c>
      <c r="B162" s="101">
        <f t="shared" si="22"/>
        <v>1000</v>
      </c>
      <c r="C162" s="4">
        <v>161</v>
      </c>
      <c r="D162" s="29">
        <f>IF(ISBLANK(Input!A162),1000,IF(Input!G162&gt;0,Input!G162+F162,1000))</f>
        <v>1000</v>
      </c>
      <c r="E162" s="29">
        <f t="shared" si="23"/>
        <v>1000</v>
      </c>
      <c r="F162" s="4">
        <v>0.161</v>
      </c>
      <c r="I162" t="str">
        <f>IF(Input!A162&gt;0,Input!A162,"")</f>
        <v/>
      </c>
      <c r="J162" t="str">
        <f>IF(Input!B162&gt;0,Input!B162,"")</f>
        <v/>
      </c>
      <c r="K162" t="str">
        <f>IF(Input!C162&gt;0,Input!C162,"")</f>
        <v/>
      </c>
      <c r="L162" t="str">
        <f>IF(Input!D162&gt;0,Input!D162,"")</f>
        <v/>
      </c>
      <c r="M162" t="str">
        <f>IF(Input!E162&gt;0,Input!E162,"")</f>
        <v xml:space="preserve"> </v>
      </c>
      <c r="N162" t="str">
        <f>IF(Input!F162&gt;0,Input!F162,"")</f>
        <v xml:space="preserve"> </v>
      </c>
      <c r="O162" t="str">
        <f>IF(Input!I162&lt;&gt;"",Input!I162,"")</f>
        <v/>
      </c>
      <c r="P162" t="str">
        <f t="shared" si="24"/>
        <v/>
      </c>
      <c r="Q162" t="str">
        <f>IF(O162&lt;&gt;"",IF(Input!K162&lt;&gt;"",ROUNDDOWN(Input!K162,0),0),"")</f>
        <v/>
      </c>
      <c r="R162" t="str">
        <f>IF(Input!L162&lt;&gt;"",Input!L162,"")</f>
        <v/>
      </c>
      <c r="S162" t="str">
        <f t="shared" si="25"/>
        <v/>
      </c>
      <c r="T162" t="str">
        <f>IF(R162&lt;&gt;"",IF(Input!N162&lt;&gt;"",ROUNDDOWN(Input!N162,0),0),"")</f>
        <v/>
      </c>
      <c r="U162" t="str">
        <f>IF(Input!O162&lt;&gt;"",Input!O162,"")</f>
        <v/>
      </c>
      <c r="V162" t="str">
        <f t="shared" si="26"/>
        <v/>
      </c>
      <c r="W162" t="str">
        <f>IF(U162&lt;&gt;"",IF(Input!Q162&lt;&gt;"",ROUNDDOWN(Input!Q162,0),0),"")</f>
        <v/>
      </c>
      <c r="X162" t="str">
        <f>IF(Input!R162&lt;&gt;"",Input!R162,"")</f>
        <v/>
      </c>
      <c r="Y162" t="str">
        <f t="shared" si="27"/>
        <v/>
      </c>
      <c r="Z162" t="str">
        <f>IF(X162&lt;&gt;"",IF(Input!T162&lt;&gt;"",ROUNDDOWN(Input!T162,0),0),"")</f>
        <v/>
      </c>
      <c r="AA162" t="str">
        <f>IF(Input!U162&lt;&gt;"",Input!U162,"")</f>
        <v/>
      </c>
      <c r="AB162" t="str">
        <f t="shared" si="28"/>
        <v/>
      </c>
      <c r="AC162" t="str">
        <f>IF(AA162&lt;&gt;"",IF(Input!W162&lt;&gt;"",ROUNDDOWN(Input!W162,0),0),"")</f>
        <v/>
      </c>
      <c r="AD162" t="str">
        <f>IF(Input!X162&lt;&gt;"",Input!X162,"")</f>
        <v/>
      </c>
      <c r="AE162" t="str">
        <f t="shared" si="29"/>
        <v/>
      </c>
      <c r="AF162" t="str">
        <f>IF(AD162&lt;&gt;"",IF(Input!Z162&lt;&gt;"",ROUNDDOWN(Input!Z162,0),0),"")</f>
        <v/>
      </c>
      <c r="AG162" t="str">
        <f>IF(Input!AA162&lt;&gt;"",Input!AA162,"")</f>
        <v/>
      </c>
      <c r="AH162" t="str">
        <f t="shared" si="30"/>
        <v/>
      </c>
      <c r="AI162" t="str">
        <f>IF(AG162&lt;&gt;"",IF(Input!AC162&lt;&gt;"",ROUNDDOWN(Input!AC162,0),0),"")</f>
        <v/>
      </c>
      <c r="AJ162" t="str">
        <f>IF(Input!AD162&lt;&gt;"",Input!AD162,"")</f>
        <v/>
      </c>
      <c r="AK162" t="str">
        <f t="shared" si="31"/>
        <v/>
      </c>
      <c r="AL162" t="str">
        <f>IF(AJ162&lt;&gt;"",IF(Input!AF162&lt;&gt;"",ROUNDDOWN(Input!AF162,0),0),"")</f>
        <v/>
      </c>
      <c r="AM162" t="str">
        <f>IF(Input!AG162&lt;&gt;"",Input!AG162,"")</f>
        <v/>
      </c>
      <c r="AN162" t="str">
        <f t="shared" si="32"/>
        <v/>
      </c>
      <c r="AO162" t="str">
        <f>IF(AM162&lt;&gt;"",IF(Input!AI162&lt;&gt;"",ROUNDDOWN(Input!AI162,0),0),"")</f>
        <v/>
      </c>
    </row>
    <row r="163" spans="1:41" ht="16.5" thickTop="1" thickBot="1" x14ac:dyDescent="0.4">
      <c r="A163" s="100">
        <f>IF(ISBLANK(Input!A163),1000,IF(Input!E163&gt;0,Input!E163+F163,1000))</f>
        <v>1000</v>
      </c>
      <c r="B163" s="101">
        <f t="shared" si="22"/>
        <v>1000</v>
      </c>
      <c r="C163" s="4">
        <v>162</v>
      </c>
      <c r="D163" s="29">
        <f>IF(ISBLANK(Input!A163),1000,IF(Input!G163&gt;0,Input!G163+F163,1000))</f>
        <v>1000</v>
      </c>
      <c r="E163" s="29">
        <f t="shared" si="23"/>
        <v>1000</v>
      </c>
      <c r="F163" s="4">
        <v>0.16200000000000001</v>
      </c>
      <c r="I163" t="str">
        <f>IF(Input!A163&gt;0,Input!A163,"")</f>
        <v/>
      </c>
      <c r="J163" t="str">
        <f>IF(Input!B163&gt;0,Input!B163,"")</f>
        <v/>
      </c>
      <c r="K163" t="str">
        <f>IF(Input!C163&gt;0,Input!C163,"")</f>
        <v/>
      </c>
      <c r="L163" t="str">
        <f>IF(Input!D163&gt;0,Input!D163,"")</f>
        <v/>
      </c>
      <c r="M163" t="str">
        <f>IF(Input!E163&gt;0,Input!E163,"")</f>
        <v xml:space="preserve"> </v>
      </c>
      <c r="N163" t="str">
        <f>IF(Input!F163&gt;0,Input!F163,"")</f>
        <v xml:space="preserve"> </v>
      </c>
      <c r="O163" t="str">
        <f>IF(Input!I163&lt;&gt;"",Input!I163,"")</f>
        <v/>
      </c>
      <c r="P163" t="str">
        <f t="shared" si="24"/>
        <v/>
      </c>
      <c r="Q163" t="str">
        <f>IF(O163&lt;&gt;"",IF(Input!K163&lt;&gt;"",ROUNDDOWN(Input!K163,0),0),"")</f>
        <v/>
      </c>
      <c r="R163" t="str">
        <f>IF(Input!L163&lt;&gt;"",Input!L163,"")</f>
        <v/>
      </c>
      <c r="S163" t="str">
        <f t="shared" si="25"/>
        <v/>
      </c>
      <c r="T163" t="str">
        <f>IF(R163&lt;&gt;"",IF(Input!N163&lt;&gt;"",ROUNDDOWN(Input!N163,0),0),"")</f>
        <v/>
      </c>
      <c r="U163" t="str">
        <f>IF(Input!O163&lt;&gt;"",Input!O163,"")</f>
        <v/>
      </c>
      <c r="V163" t="str">
        <f t="shared" si="26"/>
        <v/>
      </c>
      <c r="W163" t="str">
        <f>IF(U163&lt;&gt;"",IF(Input!Q163&lt;&gt;"",ROUNDDOWN(Input!Q163,0),0),"")</f>
        <v/>
      </c>
      <c r="X163" t="str">
        <f>IF(Input!R163&lt;&gt;"",Input!R163,"")</f>
        <v/>
      </c>
      <c r="Y163" t="str">
        <f t="shared" si="27"/>
        <v/>
      </c>
      <c r="Z163" t="str">
        <f>IF(X163&lt;&gt;"",IF(Input!T163&lt;&gt;"",ROUNDDOWN(Input!T163,0),0),"")</f>
        <v/>
      </c>
      <c r="AA163" t="str">
        <f>IF(Input!U163&lt;&gt;"",Input!U163,"")</f>
        <v/>
      </c>
      <c r="AB163" t="str">
        <f t="shared" si="28"/>
        <v/>
      </c>
      <c r="AC163" t="str">
        <f>IF(AA163&lt;&gt;"",IF(Input!W163&lt;&gt;"",ROUNDDOWN(Input!W163,0),0),"")</f>
        <v/>
      </c>
      <c r="AD163" t="str">
        <f>IF(Input!X163&lt;&gt;"",Input!X163,"")</f>
        <v/>
      </c>
      <c r="AE163" t="str">
        <f t="shared" si="29"/>
        <v/>
      </c>
      <c r="AF163" t="str">
        <f>IF(AD163&lt;&gt;"",IF(Input!Z163&lt;&gt;"",ROUNDDOWN(Input!Z163,0),0),"")</f>
        <v/>
      </c>
      <c r="AG163" t="str">
        <f>IF(Input!AA163&lt;&gt;"",Input!AA163,"")</f>
        <v/>
      </c>
      <c r="AH163" t="str">
        <f t="shared" si="30"/>
        <v/>
      </c>
      <c r="AI163" t="str">
        <f>IF(AG163&lt;&gt;"",IF(Input!AC163&lt;&gt;"",ROUNDDOWN(Input!AC163,0),0),"")</f>
        <v/>
      </c>
      <c r="AJ163" t="str">
        <f>IF(Input!AD163&lt;&gt;"",Input!AD163,"")</f>
        <v/>
      </c>
      <c r="AK163" t="str">
        <f t="shared" si="31"/>
        <v/>
      </c>
      <c r="AL163" t="str">
        <f>IF(AJ163&lt;&gt;"",IF(Input!AF163&lt;&gt;"",ROUNDDOWN(Input!AF163,0),0),"")</f>
        <v/>
      </c>
      <c r="AM163" t="str">
        <f>IF(Input!AG163&lt;&gt;"",Input!AG163,"")</f>
        <v/>
      </c>
      <c r="AN163" t="str">
        <f t="shared" si="32"/>
        <v/>
      </c>
      <c r="AO163" t="str">
        <f>IF(AM163&lt;&gt;"",IF(Input!AI163&lt;&gt;"",ROUNDDOWN(Input!AI163,0),0),"")</f>
        <v/>
      </c>
    </row>
    <row r="164" spans="1:41" ht="16.5" thickTop="1" thickBot="1" x14ac:dyDescent="0.4">
      <c r="A164" s="100">
        <f>IF(ISBLANK(Input!A164),1000,IF(Input!E164&gt;0,Input!E164+F164,1000))</f>
        <v>1000</v>
      </c>
      <c r="B164" s="101">
        <f t="shared" si="22"/>
        <v>1000</v>
      </c>
      <c r="C164" s="4">
        <v>163</v>
      </c>
      <c r="D164" s="29">
        <f>IF(ISBLANK(Input!A164),1000,IF(Input!G164&gt;0,Input!G164+F164,1000))</f>
        <v>1000</v>
      </c>
      <c r="E164" s="29">
        <f t="shared" si="23"/>
        <v>1000</v>
      </c>
      <c r="F164" s="4">
        <v>0.16300000000000001</v>
      </c>
      <c r="I164" t="str">
        <f>IF(Input!A164&gt;0,Input!A164,"")</f>
        <v/>
      </c>
      <c r="J164" t="str">
        <f>IF(Input!B164&gt;0,Input!B164,"")</f>
        <v/>
      </c>
      <c r="K164" t="str">
        <f>IF(Input!C164&gt;0,Input!C164,"")</f>
        <v/>
      </c>
      <c r="L164" t="str">
        <f>IF(Input!D164&gt;0,Input!D164,"")</f>
        <v/>
      </c>
      <c r="M164" t="str">
        <f>IF(Input!E164&gt;0,Input!E164,"")</f>
        <v xml:space="preserve"> </v>
      </c>
      <c r="N164" t="str">
        <f>IF(Input!F164&gt;0,Input!F164,"")</f>
        <v xml:space="preserve"> </v>
      </c>
      <c r="O164" t="str">
        <f>IF(Input!I164&lt;&gt;"",Input!I164,"")</f>
        <v/>
      </c>
      <c r="P164" t="str">
        <f t="shared" si="24"/>
        <v/>
      </c>
      <c r="Q164" t="str">
        <f>IF(O164&lt;&gt;"",IF(Input!K164&lt;&gt;"",ROUNDDOWN(Input!K164,0),0),"")</f>
        <v/>
      </c>
      <c r="R164" t="str">
        <f>IF(Input!L164&lt;&gt;"",Input!L164,"")</f>
        <v/>
      </c>
      <c r="S164" t="str">
        <f t="shared" si="25"/>
        <v/>
      </c>
      <c r="T164" t="str">
        <f>IF(R164&lt;&gt;"",IF(Input!N164&lt;&gt;"",ROUNDDOWN(Input!N164,0),0),"")</f>
        <v/>
      </c>
      <c r="U164" t="str">
        <f>IF(Input!O164&lt;&gt;"",Input!O164,"")</f>
        <v/>
      </c>
      <c r="V164" t="str">
        <f t="shared" si="26"/>
        <v/>
      </c>
      <c r="W164" t="str">
        <f>IF(U164&lt;&gt;"",IF(Input!Q164&lt;&gt;"",ROUNDDOWN(Input!Q164,0),0),"")</f>
        <v/>
      </c>
      <c r="X164" t="str">
        <f>IF(Input!R164&lt;&gt;"",Input!R164,"")</f>
        <v/>
      </c>
      <c r="Y164" t="str">
        <f t="shared" si="27"/>
        <v/>
      </c>
      <c r="Z164" t="str">
        <f>IF(X164&lt;&gt;"",IF(Input!T164&lt;&gt;"",ROUNDDOWN(Input!T164,0),0),"")</f>
        <v/>
      </c>
      <c r="AA164" t="str">
        <f>IF(Input!U164&lt;&gt;"",Input!U164,"")</f>
        <v/>
      </c>
      <c r="AB164" t="str">
        <f t="shared" si="28"/>
        <v/>
      </c>
      <c r="AC164" t="str">
        <f>IF(AA164&lt;&gt;"",IF(Input!W164&lt;&gt;"",ROUNDDOWN(Input!W164,0),0),"")</f>
        <v/>
      </c>
      <c r="AD164" t="str">
        <f>IF(Input!X164&lt;&gt;"",Input!X164,"")</f>
        <v/>
      </c>
      <c r="AE164" t="str">
        <f t="shared" si="29"/>
        <v/>
      </c>
      <c r="AF164" t="str">
        <f>IF(AD164&lt;&gt;"",IF(Input!Z164&lt;&gt;"",ROUNDDOWN(Input!Z164,0),0),"")</f>
        <v/>
      </c>
      <c r="AG164" t="str">
        <f>IF(Input!AA164&lt;&gt;"",Input!AA164,"")</f>
        <v/>
      </c>
      <c r="AH164" t="str">
        <f t="shared" si="30"/>
        <v/>
      </c>
      <c r="AI164" t="str">
        <f>IF(AG164&lt;&gt;"",IF(Input!AC164&lt;&gt;"",ROUNDDOWN(Input!AC164,0),0),"")</f>
        <v/>
      </c>
      <c r="AJ164" t="str">
        <f>IF(Input!AD164&lt;&gt;"",Input!AD164,"")</f>
        <v/>
      </c>
      <c r="AK164" t="str">
        <f t="shared" si="31"/>
        <v/>
      </c>
      <c r="AL164" t="str">
        <f>IF(AJ164&lt;&gt;"",IF(Input!AF164&lt;&gt;"",ROUNDDOWN(Input!AF164,0),0),"")</f>
        <v/>
      </c>
      <c r="AM164" t="str">
        <f>IF(Input!AG164&lt;&gt;"",Input!AG164,"")</f>
        <v/>
      </c>
      <c r="AN164" t="str">
        <f t="shared" si="32"/>
        <v/>
      </c>
      <c r="AO164" t="str">
        <f>IF(AM164&lt;&gt;"",IF(Input!AI164&lt;&gt;"",ROUNDDOWN(Input!AI164,0),0),"")</f>
        <v/>
      </c>
    </row>
    <row r="165" spans="1:41" ht="16.5" thickTop="1" thickBot="1" x14ac:dyDescent="0.4">
      <c r="A165" s="100">
        <f>IF(ISBLANK(Input!A165),1000,IF(Input!E165&gt;0,Input!E165+F165,1000))</f>
        <v>1000</v>
      </c>
      <c r="B165" s="101">
        <f t="shared" si="22"/>
        <v>1000</v>
      </c>
      <c r="C165" s="4">
        <v>164</v>
      </c>
      <c r="D165" s="29">
        <f>IF(ISBLANK(Input!A165),1000,IF(Input!G165&gt;0,Input!G165+F165,1000))</f>
        <v>1000</v>
      </c>
      <c r="E165" s="29">
        <f t="shared" si="23"/>
        <v>1000</v>
      </c>
      <c r="F165" s="4">
        <v>0.16400000000000001</v>
      </c>
      <c r="I165" t="str">
        <f>IF(Input!A165&gt;0,Input!A165,"")</f>
        <v/>
      </c>
      <c r="J165" t="str">
        <f>IF(Input!B165&gt;0,Input!B165,"")</f>
        <v/>
      </c>
      <c r="K165" t="str">
        <f>IF(Input!C165&gt;0,Input!C165,"")</f>
        <v/>
      </c>
      <c r="L165" t="str">
        <f>IF(Input!D165&gt;0,Input!D165,"")</f>
        <v/>
      </c>
      <c r="M165" t="str">
        <f>IF(Input!E165&gt;0,Input!E165,"")</f>
        <v xml:space="preserve"> </v>
      </c>
      <c r="N165" t="str">
        <f>IF(Input!F165&gt;0,Input!F165,"")</f>
        <v xml:space="preserve"> </v>
      </c>
      <c r="O165" t="str">
        <f>IF(Input!I165&lt;&gt;"",Input!I165,"")</f>
        <v/>
      </c>
      <c r="P165" t="str">
        <f t="shared" si="24"/>
        <v/>
      </c>
      <c r="Q165" t="str">
        <f>IF(O165&lt;&gt;"",IF(Input!K165&lt;&gt;"",ROUNDDOWN(Input!K165,0),0),"")</f>
        <v/>
      </c>
      <c r="R165" t="str">
        <f>IF(Input!L165&lt;&gt;"",Input!L165,"")</f>
        <v/>
      </c>
      <c r="S165" t="str">
        <f t="shared" si="25"/>
        <v/>
      </c>
      <c r="T165" t="str">
        <f>IF(R165&lt;&gt;"",IF(Input!N165&lt;&gt;"",ROUNDDOWN(Input!N165,0),0),"")</f>
        <v/>
      </c>
      <c r="U165" t="str">
        <f>IF(Input!O165&lt;&gt;"",Input!O165,"")</f>
        <v/>
      </c>
      <c r="V165" t="str">
        <f t="shared" si="26"/>
        <v/>
      </c>
      <c r="W165" t="str">
        <f>IF(U165&lt;&gt;"",IF(Input!Q165&lt;&gt;"",ROUNDDOWN(Input!Q165,0),0),"")</f>
        <v/>
      </c>
      <c r="X165" t="str">
        <f>IF(Input!R165&lt;&gt;"",Input!R165,"")</f>
        <v/>
      </c>
      <c r="Y165" t="str">
        <f t="shared" si="27"/>
        <v/>
      </c>
      <c r="Z165" t="str">
        <f>IF(X165&lt;&gt;"",IF(Input!T165&lt;&gt;"",ROUNDDOWN(Input!T165,0),0),"")</f>
        <v/>
      </c>
      <c r="AA165" t="str">
        <f>IF(Input!U165&lt;&gt;"",Input!U165,"")</f>
        <v/>
      </c>
      <c r="AB165" t="str">
        <f t="shared" si="28"/>
        <v/>
      </c>
      <c r="AC165" t="str">
        <f>IF(AA165&lt;&gt;"",IF(Input!W165&lt;&gt;"",ROUNDDOWN(Input!W165,0),0),"")</f>
        <v/>
      </c>
      <c r="AD165" t="str">
        <f>IF(Input!X165&lt;&gt;"",Input!X165,"")</f>
        <v/>
      </c>
      <c r="AE165" t="str">
        <f t="shared" si="29"/>
        <v/>
      </c>
      <c r="AF165" t="str">
        <f>IF(AD165&lt;&gt;"",IF(Input!Z165&lt;&gt;"",ROUNDDOWN(Input!Z165,0),0),"")</f>
        <v/>
      </c>
      <c r="AG165" t="str">
        <f>IF(Input!AA165&lt;&gt;"",Input!AA165,"")</f>
        <v/>
      </c>
      <c r="AH165" t="str">
        <f t="shared" si="30"/>
        <v/>
      </c>
      <c r="AI165" t="str">
        <f>IF(AG165&lt;&gt;"",IF(Input!AC165&lt;&gt;"",ROUNDDOWN(Input!AC165,0),0),"")</f>
        <v/>
      </c>
      <c r="AJ165" t="str">
        <f>IF(Input!AD165&lt;&gt;"",Input!AD165,"")</f>
        <v/>
      </c>
      <c r="AK165" t="str">
        <f t="shared" si="31"/>
        <v/>
      </c>
      <c r="AL165" t="str">
        <f>IF(AJ165&lt;&gt;"",IF(Input!AF165&lt;&gt;"",ROUNDDOWN(Input!AF165,0),0),"")</f>
        <v/>
      </c>
      <c r="AM165" t="str">
        <f>IF(Input!AG165&lt;&gt;"",Input!AG165,"")</f>
        <v/>
      </c>
      <c r="AN165" t="str">
        <f t="shared" si="32"/>
        <v/>
      </c>
      <c r="AO165" t="str">
        <f>IF(AM165&lt;&gt;"",IF(Input!AI165&lt;&gt;"",ROUNDDOWN(Input!AI165,0),0),"")</f>
        <v/>
      </c>
    </row>
    <row r="166" spans="1:41" ht="16.5" thickTop="1" thickBot="1" x14ac:dyDescent="0.4">
      <c r="A166" s="100">
        <f>IF(ISBLANK(Input!A166),1000,IF(Input!E166&gt;0,Input!E166+F166,1000))</f>
        <v>1000</v>
      </c>
      <c r="B166" s="101">
        <f t="shared" si="22"/>
        <v>1000</v>
      </c>
      <c r="C166" s="4">
        <v>165</v>
      </c>
      <c r="D166" s="29">
        <f>IF(ISBLANK(Input!A166),1000,IF(Input!G166&gt;0,Input!G166+F166,1000))</f>
        <v>1000</v>
      </c>
      <c r="E166" s="29">
        <f t="shared" si="23"/>
        <v>1000</v>
      </c>
      <c r="F166" s="4">
        <v>0.16500000000000001</v>
      </c>
      <c r="I166" t="str">
        <f>IF(Input!A166&gt;0,Input!A166,"")</f>
        <v/>
      </c>
      <c r="J166" t="str">
        <f>IF(Input!B166&gt;0,Input!B166,"")</f>
        <v/>
      </c>
      <c r="K166" t="str">
        <f>IF(Input!C166&gt;0,Input!C166,"")</f>
        <v/>
      </c>
      <c r="L166" t="str">
        <f>IF(Input!D166&gt;0,Input!D166,"")</f>
        <v/>
      </c>
      <c r="M166" t="str">
        <f>IF(Input!E166&gt;0,Input!E166,"")</f>
        <v xml:space="preserve"> </v>
      </c>
      <c r="N166" t="str">
        <f>IF(Input!F166&gt;0,Input!F166,"")</f>
        <v xml:space="preserve"> </v>
      </c>
      <c r="O166" t="str">
        <f>IF(Input!I166&lt;&gt;"",Input!I166,"")</f>
        <v/>
      </c>
      <c r="P166" t="str">
        <f t="shared" si="24"/>
        <v/>
      </c>
      <c r="Q166" t="str">
        <f>IF(O166&lt;&gt;"",IF(Input!K166&lt;&gt;"",ROUNDDOWN(Input!K166,0),0),"")</f>
        <v/>
      </c>
      <c r="R166" t="str">
        <f>IF(Input!L166&lt;&gt;"",Input!L166,"")</f>
        <v/>
      </c>
      <c r="S166" t="str">
        <f t="shared" si="25"/>
        <v/>
      </c>
      <c r="T166" t="str">
        <f>IF(R166&lt;&gt;"",IF(Input!N166&lt;&gt;"",ROUNDDOWN(Input!N166,0),0),"")</f>
        <v/>
      </c>
      <c r="U166" t="str">
        <f>IF(Input!O166&lt;&gt;"",Input!O166,"")</f>
        <v/>
      </c>
      <c r="V166" t="str">
        <f t="shared" si="26"/>
        <v/>
      </c>
      <c r="W166" t="str">
        <f>IF(U166&lt;&gt;"",IF(Input!Q166&lt;&gt;"",ROUNDDOWN(Input!Q166,0),0),"")</f>
        <v/>
      </c>
      <c r="X166" t="str">
        <f>IF(Input!R166&lt;&gt;"",Input!R166,"")</f>
        <v/>
      </c>
      <c r="Y166" t="str">
        <f t="shared" si="27"/>
        <v/>
      </c>
      <c r="Z166" t="str">
        <f>IF(X166&lt;&gt;"",IF(Input!T166&lt;&gt;"",ROUNDDOWN(Input!T166,0),0),"")</f>
        <v/>
      </c>
      <c r="AA166" t="str">
        <f>IF(Input!U166&lt;&gt;"",Input!U166,"")</f>
        <v/>
      </c>
      <c r="AB166" t="str">
        <f t="shared" si="28"/>
        <v/>
      </c>
      <c r="AC166" t="str">
        <f>IF(AA166&lt;&gt;"",IF(Input!W166&lt;&gt;"",ROUNDDOWN(Input!W166,0),0),"")</f>
        <v/>
      </c>
      <c r="AD166" t="str">
        <f>IF(Input!X166&lt;&gt;"",Input!X166,"")</f>
        <v/>
      </c>
      <c r="AE166" t="str">
        <f t="shared" si="29"/>
        <v/>
      </c>
      <c r="AF166" t="str">
        <f>IF(AD166&lt;&gt;"",IF(Input!Z166&lt;&gt;"",ROUNDDOWN(Input!Z166,0),0),"")</f>
        <v/>
      </c>
      <c r="AG166" t="str">
        <f>IF(Input!AA166&lt;&gt;"",Input!AA166,"")</f>
        <v/>
      </c>
      <c r="AH166" t="str">
        <f t="shared" si="30"/>
        <v/>
      </c>
      <c r="AI166" t="str">
        <f>IF(AG166&lt;&gt;"",IF(Input!AC166&lt;&gt;"",ROUNDDOWN(Input!AC166,0),0),"")</f>
        <v/>
      </c>
      <c r="AJ166" t="str">
        <f>IF(Input!AD166&lt;&gt;"",Input!AD166,"")</f>
        <v/>
      </c>
      <c r="AK166" t="str">
        <f t="shared" si="31"/>
        <v/>
      </c>
      <c r="AL166" t="str">
        <f>IF(AJ166&lt;&gt;"",IF(Input!AF166&lt;&gt;"",ROUNDDOWN(Input!AF166,0),0),"")</f>
        <v/>
      </c>
      <c r="AM166" t="str">
        <f>IF(Input!AG166&lt;&gt;"",Input!AG166,"")</f>
        <v/>
      </c>
      <c r="AN166" t="str">
        <f t="shared" si="32"/>
        <v/>
      </c>
      <c r="AO166" t="str">
        <f>IF(AM166&lt;&gt;"",IF(Input!AI166&lt;&gt;"",ROUNDDOWN(Input!AI166,0),0),"")</f>
        <v/>
      </c>
    </row>
    <row r="167" spans="1:41" ht="16.5" thickTop="1" thickBot="1" x14ac:dyDescent="0.4">
      <c r="A167" s="100">
        <f>IF(ISBLANK(Input!A167),1000,IF(Input!E167&gt;0,Input!E167+F167,1000))</f>
        <v>1000</v>
      </c>
      <c r="B167" s="101">
        <f t="shared" si="22"/>
        <v>1000</v>
      </c>
      <c r="C167" s="4">
        <v>166</v>
      </c>
      <c r="D167" s="29">
        <f>IF(ISBLANK(Input!A167),1000,IF(Input!G167&gt;0,Input!G167+F167,1000))</f>
        <v>1000</v>
      </c>
      <c r="E167" s="29">
        <f t="shared" si="23"/>
        <v>1000</v>
      </c>
      <c r="F167" s="4">
        <v>0.16600000000000001</v>
      </c>
      <c r="I167" t="str">
        <f>IF(Input!A167&gt;0,Input!A167,"")</f>
        <v/>
      </c>
      <c r="J167" t="str">
        <f>IF(Input!B167&gt;0,Input!B167,"")</f>
        <v/>
      </c>
      <c r="K167" t="str">
        <f>IF(Input!C167&gt;0,Input!C167,"")</f>
        <v/>
      </c>
      <c r="L167" t="str">
        <f>IF(Input!D167&gt;0,Input!D167,"")</f>
        <v/>
      </c>
      <c r="M167" t="str">
        <f>IF(Input!E167&gt;0,Input!E167,"")</f>
        <v xml:space="preserve"> </v>
      </c>
      <c r="N167" t="str">
        <f>IF(Input!F167&gt;0,Input!F167,"")</f>
        <v xml:space="preserve"> </v>
      </c>
      <c r="O167" t="str">
        <f>IF(Input!I167&lt;&gt;"",Input!I167,"")</f>
        <v/>
      </c>
      <c r="P167" t="str">
        <f t="shared" si="24"/>
        <v/>
      </c>
      <c r="Q167" t="str">
        <f>IF(O167&lt;&gt;"",IF(Input!K167&lt;&gt;"",ROUNDDOWN(Input!K167,0),0),"")</f>
        <v/>
      </c>
      <c r="R167" t="str">
        <f>IF(Input!L167&lt;&gt;"",Input!L167,"")</f>
        <v/>
      </c>
      <c r="S167" t="str">
        <f t="shared" si="25"/>
        <v/>
      </c>
      <c r="T167" t="str">
        <f>IF(R167&lt;&gt;"",IF(Input!N167&lt;&gt;"",ROUNDDOWN(Input!N167,0),0),"")</f>
        <v/>
      </c>
      <c r="U167" t="str">
        <f>IF(Input!O167&lt;&gt;"",Input!O167,"")</f>
        <v/>
      </c>
      <c r="V167" t="str">
        <f t="shared" si="26"/>
        <v/>
      </c>
      <c r="W167" t="str">
        <f>IF(U167&lt;&gt;"",IF(Input!Q167&lt;&gt;"",ROUNDDOWN(Input!Q167,0),0),"")</f>
        <v/>
      </c>
      <c r="X167" t="str">
        <f>IF(Input!R167&lt;&gt;"",Input!R167,"")</f>
        <v/>
      </c>
      <c r="Y167" t="str">
        <f t="shared" si="27"/>
        <v/>
      </c>
      <c r="Z167" t="str">
        <f>IF(X167&lt;&gt;"",IF(Input!T167&lt;&gt;"",ROUNDDOWN(Input!T167,0),0),"")</f>
        <v/>
      </c>
      <c r="AA167" t="str">
        <f>IF(Input!U167&lt;&gt;"",Input!U167,"")</f>
        <v/>
      </c>
      <c r="AB167" t="str">
        <f t="shared" si="28"/>
        <v/>
      </c>
      <c r="AC167" t="str">
        <f>IF(AA167&lt;&gt;"",IF(Input!W167&lt;&gt;"",ROUNDDOWN(Input!W167,0),0),"")</f>
        <v/>
      </c>
      <c r="AD167" t="str">
        <f>IF(Input!X167&lt;&gt;"",Input!X167,"")</f>
        <v/>
      </c>
      <c r="AE167" t="str">
        <f t="shared" si="29"/>
        <v/>
      </c>
      <c r="AF167" t="str">
        <f>IF(AD167&lt;&gt;"",IF(Input!Z167&lt;&gt;"",ROUNDDOWN(Input!Z167,0),0),"")</f>
        <v/>
      </c>
      <c r="AG167" t="str">
        <f>IF(Input!AA167&lt;&gt;"",Input!AA167,"")</f>
        <v/>
      </c>
      <c r="AH167" t="str">
        <f t="shared" si="30"/>
        <v/>
      </c>
      <c r="AI167" t="str">
        <f>IF(AG167&lt;&gt;"",IF(Input!AC167&lt;&gt;"",ROUNDDOWN(Input!AC167,0),0),"")</f>
        <v/>
      </c>
      <c r="AJ167" t="str">
        <f>IF(Input!AD167&lt;&gt;"",Input!AD167,"")</f>
        <v/>
      </c>
      <c r="AK167" t="str">
        <f t="shared" si="31"/>
        <v/>
      </c>
      <c r="AL167" t="str">
        <f>IF(AJ167&lt;&gt;"",IF(Input!AF167&lt;&gt;"",ROUNDDOWN(Input!AF167,0),0),"")</f>
        <v/>
      </c>
      <c r="AM167" t="str">
        <f>IF(Input!AG167&lt;&gt;"",Input!AG167,"")</f>
        <v/>
      </c>
      <c r="AN167" t="str">
        <f t="shared" si="32"/>
        <v/>
      </c>
      <c r="AO167" t="str">
        <f>IF(AM167&lt;&gt;"",IF(Input!AI167&lt;&gt;"",ROUNDDOWN(Input!AI167,0),0),"")</f>
        <v/>
      </c>
    </row>
    <row r="168" spans="1:41" ht="16.5" thickTop="1" thickBot="1" x14ac:dyDescent="0.4">
      <c r="A168" s="100">
        <f>IF(ISBLANK(Input!A168),1000,IF(Input!E168&gt;0,Input!E168+F168,1000))</f>
        <v>1000</v>
      </c>
      <c r="B168" s="101">
        <f t="shared" si="22"/>
        <v>1000</v>
      </c>
      <c r="C168" s="4">
        <v>167</v>
      </c>
      <c r="D168" s="29">
        <f>IF(ISBLANK(Input!A168),1000,IF(Input!G168&gt;0,Input!G168+F168,1000))</f>
        <v>1000</v>
      </c>
      <c r="E168" s="29">
        <f t="shared" si="23"/>
        <v>1000</v>
      </c>
      <c r="F168" s="4">
        <v>0.16700000000000001</v>
      </c>
      <c r="I168" t="str">
        <f>IF(Input!A168&gt;0,Input!A168,"")</f>
        <v/>
      </c>
      <c r="J168" t="str">
        <f>IF(Input!B168&gt;0,Input!B168,"")</f>
        <v/>
      </c>
      <c r="K168" t="str">
        <f>IF(Input!C168&gt;0,Input!C168,"")</f>
        <v/>
      </c>
      <c r="L168" t="str">
        <f>IF(Input!D168&gt;0,Input!D168,"")</f>
        <v/>
      </c>
      <c r="M168" t="str">
        <f>IF(Input!E168&gt;0,Input!E168,"")</f>
        <v xml:space="preserve"> </v>
      </c>
      <c r="N168" t="str">
        <f>IF(Input!F168&gt;0,Input!F168,"")</f>
        <v xml:space="preserve"> </v>
      </c>
      <c r="O168" t="str">
        <f>IF(Input!I168&lt;&gt;"",Input!I168,"")</f>
        <v/>
      </c>
      <c r="P168" t="str">
        <f t="shared" si="24"/>
        <v/>
      </c>
      <c r="Q168" t="str">
        <f>IF(O168&lt;&gt;"",IF(Input!K168&lt;&gt;"",ROUNDDOWN(Input!K168,0),0),"")</f>
        <v/>
      </c>
      <c r="R168" t="str">
        <f>IF(Input!L168&lt;&gt;"",Input!L168,"")</f>
        <v/>
      </c>
      <c r="S168" t="str">
        <f t="shared" si="25"/>
        <v/>
      </c>
      <c r="T168" t="str">
        <f>IF(R168&lt;&gt;"",IF(Input!N168&lt;&gt;"",ROUNDDOWN(Input!N168,0),0),"")</f>
        <v/>
      </c>
      <c r="U168" t="str">
        <f>IF(Input!O168&lt;&gt;"",Input!O168,"")</f>
        <v/>
      </c>
      <c r="V168" t="str">
        <f t="shared" si="26"/>
        <v/>
      </c>
      <c r="W168" t="str">
        <f>IF(U168&lt;&gt;"",IF(Input!Q168&lt;&gt;"",ROUNDDOWN(Input!Q168,0),0),"")</f>
        <v/>
      </c>
      <c r="X168" t="str">
        <f>IF(Input!R168&lt;&gt;"",Input!R168,"")</f>
        <v/>
      </c>
      <c r="Y168" t="str">
        <f t="shared" si="27"/>
        <v/>
      </c>
      <c r="Z168" t="str">
        <f>IF(X168&lt;&gt;"",IF(Input!T168&lt;&gt;"",ROUNDDOWN(Input!T168,0),0),"")</f>
        <v/>
      </c>
      <c r="AA168" t="str">
        <f>IF(Input!U168&lt;&gt;"",Input!U168,"")</f>
        <v/>
      </c>
      <c r="AB168" t="str">
        <f t="shared" si="28"/>
        <v/>
      </c>
      <c r="AC168" t="str">
        <f>IF(AA168&lt;&gt;"",IF(Input!W168&lt;&gt;"",ROUNDDOWN(Input!W168,0),0),"")</f>
        <v/>
      </c>
      <c r="AD168" t="str">
        <f>IF(Input!X168&lt;&gt;"",Input!X168,"")</f>
        <v/>
      </c>
      <c r="AE168" t="str">
        <f t="shared" si="29"/>
        <v/>
      </c>
      <c r="AF168" t="str">
        <f>IF(AD168&lt;&gt;"",IF(Input!Z168&lt;&gt;"",ROUNDDOWN(Input!Z168,0),0),"")</f>
        <v/>
      </c>
      <c r="AG168" t="str">
        <f>IF(Input!AA168&lt;&gt;"",Input!AA168,"")</f>
        <v/>
      </c>
      <c r="AH168" t="str">
        <f t="shared" si="30"/>
        <v/>
      </c>
      <c r="AI168" t="str">
        <f>IF(AG168&lt;&gt;"",IF(Input!AC168&lt;&gt;"",ROUNDDOWN(Input!AC168,0),0),"")</f>
        <v/>
      </c>
      <c r="AJ168" t="str">
        <f>IF(Input!AD168&lt;&gt;"",Input!AD168,"")</f>
        <v/>
      </c>
      <c r="AK168" t="str">
        <f t="shared" si="31"/>
        <v/>
      </c>
      <c r="AL168" t="str">
        <f>IF(AJ168&lt;&gt;"",IF(Input!AF168&lt;&gt;"",ROUNDDOWN(Input!AF168,0),0),"")</f>
        <v/>
      </c>
      <c r="AM168" t="str">
        <f>IF(Input!AG168&lt;&gt;"",Input!AG168,"")</f>
        <v/>
      </c>
      <c r="AN168" t="str">
        <f t="shared" si="32"/>
        <v/>
      </c>
      <c r="AO168" t="str">
        <f>IF(AM168&lt;&gt;"",IF(Input!AI168&lt;&gt;"",ROUNDDOWN(Input!AI168,0),0),"")</f>
        <v/>
      </c>
    </row>
    <row r="169" spans="1:41" ht="16.5" thickTop="1" thickBot="1" x14ac:dyDescent="0.4">
      <c r="A169" s="100">
        <f>IF(ISBLANK(Input!A169),1000,IF(Input!E169&gt;0,Input!E169+F169,1000))</f>
        <v>1000</v>
      </c>
      <c r="B169" s="101">
        <f t="shared" si="22"/>
        <v>1000</v>
      </c>
      <c r="C169" s="4">
        <v>168</v>
      </c>
      <c r="D169" s="29">
        <f>IF(ISBLANK(Input!A169),1000,IF(Input!G169&gt;0,Input!G169+F169,1000))</f>
        <v>1000</v>
      </c>
      <c r="E169" s="29">
        <f t="shared" si="23"/>
        <v>1000</v>
      </c>
      <c r="F169" s="4">
        <v>0.16800000000000001</v>
      </c>
      <c r="I169" t="str">
        <f>IF(Input!A169&gt;0,Input!A169,"")</f>
        <v/>
      </c>
      <c r="J169" t="str">
        <f>IF(Input!B169&gt;0,Input!B169,"")</f>
        <v/>
      </c>
      <c r="K169" t="str">
        <f>IF(Input!C169&gt;0,Input!C169,"")</f>
        <v/>
      </c>
      <c r="L169" t="str">
        <f>IF(Input!D169&gt;0,Input!D169,"")</f>
        <v/>
      </c>
      <c r="M169" t="str">
        <f>IF(Input!E169&gt;0,Input!E169,"")</f>
        <v xml:space="preserve"> </v>
      </c>
      <c r="N169" t="str">
        <f>IF(Input!F169&gt;0,Input!F169,"")</f>
        <v xml:space="preserve"> </v>
      </c>
      <c r="O169" t="str">
        <f>IF(Input!I169&lt;&gt;"",Input!I169,"")</f>
        <v/>
      </c>
      <c r="P169" t="str">
        <f t="shared" si="24"/>
        <v/>
      </c>
      <c r="Q169" t="str">
        <f>IF(O169&lt;&gt;"",IF(Input!K169&lt;&gt;"",ROUNDDOWN(Input!K169,0),0),"")</f>
        <v/>
      </c>
      <c r="R169" t="str">
        <f>IF(Input!L169&lt;&gt;"",Input!L169,"")</f>
        <v/>
      </c>
      <c r="S169" t="str">
        <f t="shared" si="25"/>
        <v/>
      </c>
      <c r="T169" t="str">
        <f>IF(R169&lt;&gt;"",IF(Input!N169&lt;&gt;"",ROUNDDOWN(Input!N169,0),0),"")</f>
        <v/>
      </c>
      <c r="U169" t="str">
        <f>IF(Input!O169&lt;&gt;"",Input!O169,"")</f>
        <v/>
      </c>
      <c r="V169" t="str">
        <f t="shared" si="26"/>
        <v/>
      </c>
      <c r="W169" t="str">
        <f>IF(U169&lt;&gt;"",IF(Input!Q169&lt;&gt;"",ROUNDDOWN(Input!Q169,0),0),"")</f>
        <v/>
      </c>
      <c r="X169" t="str">
        <f>IF(Input!R169&lt;&gt;"",Input!R169,"")</f>
        <v/>
      </c>
      <c r="Y169" t="str">
        <f t="shared" si="27"/>
        <v/>
      </c>
      <c r="Z169" t="str">
        <f>IF(X169&lt;&gt;"",IF(Input!T169&lt;&gt;"",ROUNDDOWN(Input!T169,0),0),"")</f>
        <v/>
      </c>
      <c r="AA169" t="str">
        <f>IF(Input!U169&lt;&gt;"",Input!U169,"")</f>
        <v/>
      </c>
      <c r="AB169" t="str">
        <f t="shared" si="28"/>
        <v/>
      </c>
      <c r="AC169" t="str">
        <f>IF(AA169&lt;&gt;"",IF(Input!W169&lt;&gt;"",ROUNDDOWN(Input!W169,0),0),"")</f>
        <v/>
      </c>
      <c r="AD169" t="str">
        <f>IF(Input!X169&lt;&gt;"",Input!X169,"")</f>
        <v/>
      </c>
      <c r="AE169" t="str">
        <f t="shared" si="29"/>
        <v/>
      </c>
      <c r="AF169" t="str">
        <f>IF(AD169&lt;&gt;"",IF(Input!Z169&lt;&gt;"",ROUNDDOWN(Input!Z169,0),0),"")</f>
        <v/>
      </c>
      <c r="AG169" t="str">
        <f>IF(Input!AA169&lt;&gt;"",Input!AA169,"")</f>
        <v/>
      </c>
      <c r="AH169" t="str">
        <f t="shared" si="30"/>
        <v/>
      </c>
      <c r="AI169" t="str">
        <f>IF(AG169&lt;&gt;"",IF(Input!AC169&lt;&gt;"",ROUNDDOWN(Input!AC169,0),0),"")</f>
        <v/>
      </c>
      <c r="AJ169" t="str">
        <f>IF(Input!AD169&lt;&gt;"",Input!AD169,"")</f>
        <v/>
      </c>
      <c r="AK169" t="str">
        <f t="shared" si="31"/>
        <v/>
      </c>
      <c r="AL169" t="str">
        <f>IF(AJ169&lt;&gt;"",IF(Input!AF169&lt;&gt;"",ROUNDDOWN(Input!AF169,0),0),"")</f>
        <v/>
      </c>
      <c r="AM169" t="str">
        <f>IF(Input!AG169&lt;&gt;"",Input!AG169,"")</f>
        <v/>
      </c>
      <c r="AN169" t="str">
        <f t="shared" si="32"/>
        <v/>
      </c>
      <c r="AO169" t="str">
        <f>IF(AM169&lt;&gt;"",IF(Input!AI169&lt;&gt;"",ROUNDDOWN(Input!AI169,0),0),"")</f>
        <v/>
      </c>
    </row>
    <row r="170" spans="1:41" ht="16.5" thickTop="1" thickBot="1" x14ac:dyDescent="0.4">
      <c r="A170" s="100">
        <f>IF(ISBLANK(Input!A170),1000,IF(Input!E170&gt;0,Input!E170+F170,1000))</f>
        <v>1000</v>
      </c>
      <c r="B170" s="101">
        <f t="shared" si="22"/>
        <v>1000</v>
      </c>
      <c r="C170" s="4">
        <v>169</v>
      </c>
      <c r="D170" s="29">
        <f>IF(ISBLANK(Input!A170),1000,IF(Input!G170&gt;0,Input!G170+F170,1000))</f>
        <v>1000</v>
      </c>
      <c r="E170" s="29">
        <f t="shared" si="23"/>
        <v>1000</v>
      </c>
      <c r="F170" s="4">
        <v>0.16900000000000001</v>
      </c>
      <c r="I170" t="str">
        <f>IF(Input!A170&gt;0,Input!A170,"")</f>
        <v/>
      </c>
      <c r="J170" t="str">
        <f>IF(Input!B170&gt;0,Input!B170,"")</f>
        <v/>
      </c>
      <c r="K170" t="str">
        <f>IF(Input!C170&gt;0,Input!C170,"")</f>
        <v/>
      </c>
      <c r="L170" t="str">
        <f>IF(Input!D170&gt;0,Input!D170,"")</f>
        <v/>
      </c>
      <c r="M170" t="str">
        <f>IF(Input!E170&gt;0,Input!E170,"")</f>
        <v xml:space="preserve"> </v>
      </c>
      <c r="N170" t="str">
        <f>IF(Input!F170&gt;0,Input!F170,"")</f>
        <v xml:space="preserve"> </v>
      </c>
      <c r="O170" t="str">
        <f>IF(Input!I170&lt;&gt;"",Input!I170,"")</f>
        <v/>
      </c>
      <c r="P170" t="str">
        <f t="shared" si="24"/>
        <v/>
      </c>
      <c r="Q170" t="str">
        <f>IF(O170&lt;&gt;"",IF(Input!K170&lt;&gt;"",ROUNDDOWN(Input!K170,0),0),"")</f>
        <v/>
      </c>
      <c r="R170" t="str">
        <f>IF(Input!L170&lt;&gt;"",Input!L170,"")</f>
        <v/>
      </c>
      <c r="S170" t="str">
        <f t="shared" si="25"/>
        <v/>
      </c>
      <c r="T170" t="str">
        <f>IF(R170&lt;&gt;"",IF(Input!N170&lt;&gt;"",ROUNDDOWN(Input!N170,0),0),"")</f>
        <v/>
      </c>
      <c r="U170" t="str">
        <f>IF(Input!O170&lt;&gt;"",Input!O170,"")</f>
        <v/>
      </c>
      <c r="V170" t="str">
        <f t="shared" si="26"/>
        <v/>
      </c>
      <c r="W170" t="str">
        <f>IF(U170&lt;&gt;"",IF(Input!Q170&lt;&gt;"",ROUNDDOWN(Input!Q170,0),0),"")</f>
        <v/>
      </c>
      <c r="X170" t="str">
        <f>IF(Input!R170&lt;&gt;"",Input!R170,"")</f>
        <v/>
      </c>
      <c r="Y170" t="str">
        <f t="shared" si="27"/>
        <v/>
      </c>
      <c r="Z170" t="str">
        <f>IF(X170&lt;&gt;"",IF(Input!T170&lt;&gt;"",ROUNDDOWN(Input!T170,0),0),"")</f>
        <v/>
      </c>
      <c r="AA170" t="str">
        <f>IF(Input!U170&lt;&gt;"",Input!U170,"")</f>
        <v/>
      </c>
      <c r="AB170" t="str">
        <f t="shared" si="28"/>
        <v/>
      </c>
      <c r="AC170" t="str">
        <f>IF(AA170&lt;&gt;"",IF(Input!W170&lt;&gt;"",ROUNDDOWN(Input!W170,0),0),"")</f>
        <v/>
      </c>
      <c r="AD170" t="str">
        <f>IF(Input!X170&lt;&gt;"",Input!X170,"")</f>
        <v/>
      </c>
      <c r="AE170" t="str">
        <f t="shared" si="29"/>
        <v/>
      </c>
      <c r="AF170" t="str">
        <f>IF(AD170&lt;&gt;"",IF(Input!Z170&lt;&gt;"",ROUNDDOWN(Input!Z170,0),0),"")</f>
        <v/>
      </c>
      <c r="AG170" t="str">
        <f>IF(Input!AA170&lt;&gt;"",Input!AA170,"")</f>
        <v/>
      </c>
      <c r="AH170" t="str">
        <f t="shared" si="30"/>
        <v/>
      </c>
      <c r="AI170" t="str">
        <f>IF(AG170&lt;&gt;"",IF(Input!AC170&lt;&gt;"",ROUNDDOWN(Input!AC170,0),0),"")</f>
        <v/>
      </c>
      <c r="AJ170" t="str">
        <f>IF(Input!AD170&lt;&gt;"",Input!AD170,"")</f>
        <v/>
      </c>
      <c r="AK170" t="str">
        <f t="shared" si="31"/>
        <v/>
      </c>
      <c r="AL170" t="str">
        <f>IF(AJ170&lt;&gt;"",IF(Input!AF170&lt;&gt;"",ROUNDDOWN(Input!AF170,0),0),"")</f>
        <v/>
      </c>
      <c r="AM170" t="str">
        <f>IF(Input!AG170&lt;&gt;"",Input!AG170,"")</f>
        <v/>
      </c>
      <c r="AN170" t="str">
        <f t="shared" si="32"/>
        <v/>
      </c>
      <c r="AO170" t="str">
        <f>IF(AM170&lt;&gt;"",IF(Input!AI170&lt;&gt;"",ROUNDDOWN(Input!AI170,0),0),"")</f>
        <v/>
      </c>
    </row>
    <row r="171" spans="1:41" ht="16.5" thickTop="1" thickBot="1" x14ac:dyDescent="0.4">
      <c r="A171" s="100">
        <f>IF(ISBLANK(Input!A171),1000,IF(Input!E171&gt;0,Input!E171+F171,1000))</f>
        <v>1000</v>
      </c>
      <c r="B171" s="101">
        <f t="shared" si="22"/>
        <v>1000</v>
      </c>
      <c r="C171" s="4">
        <v>170</v>
      </c>
      <c r="D171" s="29">
        <f>IF(ISBLANK(Input!A171),1000,IF(Input!G171&gt;0,Input!G171+F171,1000))</f>
        <v>1000</v>
      </c>
      <c r="E171" s="29">
        <f t="shared" si="23"/>
        <v>1000</v>
      </c>
      <c r="F171" s="4">
        <v>0.17</v>
      </c>
      <c r="I171" t="str">
        <f>IF(Input!A171&gt;0,Input!A171,"")</f>
        <v/>
      </c>
      <c r="J171" t="str">
        <f>IF(Input!B171&gt;0,Input!B171,"")</f>
        <v/>
      </c>
      <c r="K171" t="str">
        <f>IF(Input!C171&gt;0,Input!C171,"")</f>
        <v/>
      </c>
      <c r="L171" t="str">
        <f>IF(Input!D171&gt;0,Input!D171,"")</f>
        <v/>
      </c>
      <c r="M171" t="str">
        <f>IF(Input!E171&gt;0,Input!E171,"")</f>
        <v xml:space="preserve"> </v>
      </c>
      <c r="N171" t="str">
        <f>IF(Input!F171&gt;0,Input!F171,"")</f>
        <v xml:space="preserve"> </v>
      </c>
      <c r="O171" t="str">
        <f>IF(Input!I171&lt;&gt;"",Input!I171,"")</f>
        <v/>
      </c>
      <c r="P171" t="str">
        <f t="shared" si="24"/>
        <v/>
      </c>
      <c r="Q171" t="str">
        <f>IF(O171&lt;&gt;"",IF(Input!K171&lt;&gt;"",ROUNDDOWN(Input!K171,0),0),"")</f>
        <v/>
      </c>
      <c r="R171" t="str">
        <f>IF(Input!L171&lt;&gt;"",Input!L171,"")</f>
        <v/>
      </c>
      <c r="S171" t="str">
        <f t="shared" si="25"/>
        <v/>
      </c>
      <c r="T171" t="str">
        <f>IF(R171&lt;&gt;"",IF(Input!N171&lt;&gt;"",ROUNDDOWN(Input!N171,0),0),"")</f>
        <v/>
      </c>
      <c r="U171" t="str">
        <f>IF(Input!O171&lt;&gt;"",Input!O171,"")</f>
        <v/>
      </c>
      <c r="V171" t="str">
        <f t="shared" si="26"/>
        <v/>
      </c>
      <c r="W171" t="str">
        <f>IF(U171&lt;&gt;"",IF(Input!Q171&lt;&gt;"",ROUNDDOWN(Input!Q171,0),0),"")</f>
        <v/>
      </c>
      <c r="X171" t="str">
        <f>IF(Input!R171&lt;&gt;"",Input!R171,"")</f>
        <v/>
      </c>
      <c r="Y171" t="str">
        <f t="shared" si="27"/>
        <v/>
      </c>
      <c r="Z171" t="str">
        <f>IF(X171&lt;&gt;"",IF(Input!T171&lt;&gt;"",ROUNDDOWN(Input!T171,0),0),"")</f>
        <v/>
      </c>
      <c r="AA171" t="str">
        <f>IF(Input!U171&lt;&gt;"",Input!U171,"")</f>
        <v/>
      </c>
      <c r="AB171" t="str">
        <f t="shared" si="28"/>
        <v/>
      </c>
      <c r="AC171" t="str">
        <f>IF(AA171&lt;&gt;"",IF(Input!W171&lt;&gt;"",ROUNDDOWN(Input!W171,0),0),"")</f>
        <v/>
      </c>
      <c r="AD171" t="str">
        <f>IF(Input!X171&lt;&gt;"",Input!X171,"")</f>
        <v/>
      </c>
      <c r="AE171" t="str">
        <f t="shared" si="29"/>
        <v/>
      </c>
      <c r="AF171" t="str">
        <f>IF(AD171&lt;&gt;"",IF(Input!Z171&lt;&gt;"",ROUNDDOWN(Input!Z171,0),0),"")</f>
        <v/>
      </c>
      <c r="AG171" t="str">
        <f>IF(Input!AA171&lt;&gt;"",Input!AA171,"")</f>
        <v/>
      </c>
      <c r="AH171" t="str">
        <f t="shared" si="30"/>
        <v/>
      </c>
      <c r="AI171" t="str">
        <f>IF(AG171&lt;&gt;"",IF(Input!AC171&lt;&gt;"",ROUNDDOWN(Input!AC171,0),0),"")</f>
        <v/>
      </c>
      <c r="AJ171" t="str">
        <f>IF(Input!AD171&lt;&gt;"",Input!AD171,"")</f>
        <v/>
      </c>
      <c r="AK171" t="str">
        <f t="shared" si="31"/>
        <v/>
      </c>
      <c r="AL171" t="str">
        <f>IF(AJ171&lt;&gt;"",IF(Input!AF171&lt;&gt;"",ROUNDDOWN(Input!AF171,0),0),"")</f>
        <v/>
      </c>
      <c r="AM171" t="str">
        <f>IF(Input!AG171&lt;&gt;"",Input!AG171,"")</f>
        <v/>
      </c>
      <c r="AN171" t="str">
        <f t="shared" si="32"/>
        <v/>
      </c>
      <c r="AO171" t="str">
        <f>IF(AM171&lt;&gt;"",IF(Input!AI171&lt;&gt;"",ROUNDDOWN(Input!AI171,0),0),"")</f>
        <v/>
      </c>
    </row>
    <row r="172" spans="1:41" ht="16.5" thickTop="1" thickBot="1" x14ac:dyDescent="0.4">
      <c r="A172" s="100">
        <f>IF(ISBLANK(Input!A172),1000,IF(Input!E172&gt;0,Input!E172+F172,1000))</f>
        <v>1000</v>
      </c>
      <c r="B172" s="101">
        <f t="shared" si="22"/>
        <v>1000</v>
      </c>
      <c r="C172" s="4">
        <v>171</v>
      </c>
      <c r="D172" s="29">
        <f>IF(ISBLANK(Input!A172),1000,IF(Input!G172&gt;0,Input!G172+F172,1000))</f>
        <v>1000</v>
      </c>
      <c r="E172" s="29">
        <f t="shared" si="23"/>
        <v>1000</v>
      </c>
      <c r="F172" s="4">
        <v>0.17100000000000001</v>
      </c>
      <c r="I172" t="str">
        <f>IF(Input!A172&gt;0,Input!A172,"")</f>
        <v/>
      </c>
      <c r="J172" t="str">
        <f>IF(Input!B172&gt;0,Input!B172,"")</f>
        <v/>
      </c>
      <c r="K172" t="str">
        <f>IF(Input!C172&gt;0,Input!C172,"")</f>
        <v/>
      </c>
      <c r="L172" t="str">
        <f>IF(Input!D172&gt;0,Input!D172,"")</f>
        <v/>
      </c>
      <c r="M172" t="str">
        <f>IF(Input!E172&gt;0,Input!E172,"")</f>
        <v xml:space="preserve"> </v>
      </c>
      <c r="N172" t="str">
        <f>IF(Input!F172&gt;0,Input!F172,"")</f>
        <v xml:space="preserve"> </v>
      </c>
      <c r="O172" t="str">
        <f>IF(Input!I172&lt;&gt;"",Input!I172,"")</f>
        <v/>
      </c>
      <c r="P172" t="str">
        <f t="shared" si="24"/>
        <v/>
      </c>
      <c r="Q172" t="str">
        <f>IF(O172&lt;&gt;"",IF(Input!K172&lt;&gt;"",ROUNDDOWN(Input!K172,0),0),"")</f>
        <v/>
      </c>
      <c r="R172" t="str">
        <f>IF(Input!L172&lt;&gt;"",Input!L172,"")</f>
        <v/>
      </c>
      <c r="S172" t="str">
        <f t="shared" si="25"/>
        <v/>
      </c>
      <c r="T172" t="str">
        <f>IF(R172&lt;&gt;"",IF(Input!N172&lt;&gt;"",ROUNDDOWN(Input!N172,0),0),"")</f>
        <v/>
      </c>
      <c r="U172" t="str">
        <f>IF(Input!O172&lt;&gt;"",Input!O172,"")</f>
        <v/>
      </c>
      <c r="V172" t="str">
        <f t="shared" si="26"/>
        <v/>
      </c>
      <c r="W172" t="str">
        <f>IF(U172&lt;&gt;"",IF(Input!Q172&lt;&gt;"",ROUNDDOWN(Input!Q172,0),0),"")</f>
        <v/>
      </c>
      <c r="X172" t="str">
        <f>IF(Input!R172&lt;&gt;"",Input!R172,"")</f>
        <v/>
      </c>
      <c r="Y172" t="str">
        <f t="shared" si="27"/>
        <v/>
      </c>
      <c r="Z172" t="str">
        <f>IF(X172&lt;&gt;"",IF(Input!T172&lt;&gt;"",ROUNDDOWN(Input!T172,0),0),"")</f>
        <v/>
      </c>
      <c r="AA172" t="str">
        <f>IF(Input!U172&lt;&gt;"",Input!U172,"")</f>
        <v/>
      </c>
      <c r="AB172" t="str">
        <f t="shared" si="28"/>
        <v/>
      </c>
      <c r="AC172" t="str">
        <f>IF(AA172&lt;&gt;"",IF(Input!W172&lt;&gt;"",ROUNDDOWN(Input!W172,0),0),"")</f>
        <v/>
      </c>
      <c r="AD172" t="str">
        <f>IF(Input!X172&lt;&gt;"",Input!X172,"")</f>
        <v/>
      </c>
      <c r="AE172" t="str">
        <f t="shared" si="29"/>
        <v/>
      </c>
      <c r="AF172" t="str">
        <f>IF(AD172&lt;&gt;"",IF(Input!Z172&lt;&gt;"",ROUNDDOWN(Input!Z172,0),0),"")</f>
        <v/>
      </c>
      <c r="AG172" t="str">
        <f>IF(Input!AA172&lt;&gt;"",Input!AA172,"")</f>
        <v/>
      </c>
      <c r="AH172" t="str">
        <f t="shared" si="30"/>
        <v/>
      </c>
      <c r="AI172" t="str">
        <f>IF(AG172&lt;&gt;"",IF(Input!AC172&lt;&gt;"",ROUNDDOWN(Input!AC172,0),0),"")</f>
        <v/>
      </c>
      <c r="AJ172" t="str">
        <f>IF(Input!AD172&lt;&gt;"",Input!AD172,"")</f>
        <v/>
      </c>
      <c r="AK172" t="str">
        <f t="shared" si="31"/>
        <v/>
      </c>
      <c r="AL172" t="str">
        <f>IF(AJ172&lt;&gt;"",IF(Input!AF172&lt;&gt;"",ROUNDDOWN(Input!AF172,0),0),"")</f>
        <v/>
      </c>
      <c r="AM172" t="str">
        <f>IF(Input!AG172&lt;&gt;"",Input!AG172,"")</f>
        <v/>
      </c>
      <c r="AN172" t="str">
        <f t="shared" si="32"/>
        <v/>
      </c>
      <c r="AO172" t="str">
        <f>IF(AM172&lt;&gt;"",IF(Input!AI172&lt;&gt;"",ROUNDDOWN(Input!AI172,0),0),"")</f>
        <v/>
      </c>
    </row>
    <row r="173" spans="1:41" ht="16.5" thickTop="1" thickBot="1" x14ac:dyDescent="0.4">
      <c r="A173" s="100">
        <f>IF(ISBLANK(Input!A173),1000,IF(Input!E173&gt;0,Input!E173+F173,1000))</f>
        <v>1000</v>
      </c>
      <c r="B173" s="101">
        <f t="shared" si="22"/>
        <v>1000</v>
      </c>
      <c r="C173" s="4">
        <v>172</v>
      </c>
      <c r="D173" s="29">
        <f>IF(ISBLANK(Input!A173),1000,IF(Input!G173&gt;0,Input!G173+F173,1000))</f>
        <v>1000</v>
      </c>
      <c r="E173" s="29">
        <f t="shared" si="23"/>
        <v>1000</v>
      </c>
      <c r="F173" s="4">
        <v>0.17199999999999999</v>
      </c>
      <c r="I173" t="str">
        <f>IF(Input!A173&gt;0,Input!A173,"")</f>
        <v/>
      </c>
      <c r="J173" t="str">
        <f>IF(Input!B173&gt;0,Input!B173,"")</f>
        <v/>
      </c>
      <c r="K173" t="str">
        <f>IF(Input!C173&gt;0,Input!C173,"")</f>
        <v/>
      </c>
      <c r="L173" t="str">
        <f>IF(Input!D173&gt;0,Input!D173,"")</f>
        <v/>
      </c>
      <c r="M173" t="str">
        <f>IF(Input!E173&gt;0,Input!E173,"")</f>
        <v xml:space="preserve"> </v>
      </c>
      <c r="N173" t="str">
        <f>IF(Input!F173&gt;0,Input!F173,"")</f>
        <v xml:space="preserve"> </v>
      </c>
      <c r="O173" t="str">
        <f>IF(Input!I173&lt;&gt;"",Input!I173,"")</f>
        <v/>
      </c>
      <c r="P173" t="str">
        <f t="shared" si="24"/>
        <v/>
      </c>
      <c r="Q173" t="str">
        <f>IF(O173&lt;&gt;"",IF(Input!K173&lt;&gt;"",ROUNDDOWN(Input!K173,0),0),"")</f>
        <v/>
      </c>
      <c r="R173" t="str">
        <f>IF(Input!L173&lt;&gt;"",Input!L173,"")</f>
        <v/>
      </c>
      <c r="S173" t="str">
        <f t="shared" si="25"/>
        <v/>
      </c>
      <c r="T173" t="str">
        <f>IF(R173&lt;&gt;"",IF(Input!N173&lt;&gt;"",ROUNDDOWN(Input!N173,0),0),"")</f>
        <v/>
      </c>
      <c r="U173" t="str">
        <f>IF(Input!O173&lt;&gt;"",Input!O173,"")</f>
        <v/>
      </c>
      <c r="V173" t="str">
        <f t="shared" si="26"/>
        <v/>
      </c>
      <c r="W173" t="str">
        <f>IF(U173&lt;&gt;"",IF(Input!Q173&lt;&gt;"",ROUNDDOWN(Input!Q173,0),0),"")</f>
        <v/>
      </c>
      <c r="X173" t="str">
        <f>IF(Input!R173&lt;&gt;"",Input!R173,"")</f>
        <v/>
      </c>
      <c r="Y173" t="str">
        <f t="shared" si="27"/>
        <v/>
      </c>
      <c r="Z173" t="str">
        <f>IF(X173&lt;&gt;"",IF(Input!T173&lt;&gt;"",ROUNDDOWN(Input!T173,0),0),"")</f>
        <v/>
      </c>
      <c r="AA173" t="str">
        <f>IF(Input!U173&lt;&gt;"",Input!U173,"")</f>
        <v/>
      </c>
      <c r="AB173" t="str">
        <f t="shared" si="28"/>
        <v/>
      </c>
      <c r="AC173" t="str">
        <f>IF(AA173&lt;&gt;"",IF(Input!W173&lt;&gt;"",ROUNDDOWN(Input!W173,0),0),"")</f>
        <v/>
      </c>
      <c r="AD173" t="str">
        <f>IF(Input!X173&lt;&gt;"",Input!X173,"")</f>
        <v/>
      </c>
      <c r="AE173" t="str">
        <f t="shared" si="29"/>
        <v/>
      </c>
      <c r="AF173" t="str">
        <f>IF(AD173&lt;&gt;"",IF(Input!Z173&lt;&gt;"",ROUNDDOWN(Input!Z173,0),0),"")</f>
        <v/>
      </c>
      <c r="AG173" t="str">
        <f>IF(Input!AA173&lt;&gt;"",Input!AA173,"")</f>
        <v/>
      </c>
      <c r="AH173" t="str">
        <f t="shared" si="30"/>
        <v/>
      </c>
      <c r="AI173" t="str">
        <f>IF(AG173&lt;&gt;"",IF(Input!AC173&lt;&gt;"",ROUNDDOWN(Input!AC173,0),0),"")</f>
        <v/>
      </c>
      <c r="AJ173" t="str">
        <f>IF(Input!AD173&lt;&gt;"",Input!AD173,"")</f>
        <v/>
      </c>
      <c r="AK173" t="str">
        <f t="shared" si="31"/>
        <v/>
      </c>
      <c r="AL173" t="str">
        <f>IF(AJ173&lt;&gt;"",IF(Input!AF173&lt;&gt;"",ROUNDDOWN(Input!AF173,0),0),"")</f>
        <v/>
      </c>
      <c r="AM173" t="str">
        <f>IF(Input!AG173&lt;&gt;"",Input!AG173,"")</f>
        <v/>
      </c>
      <c r="AN173" t="str">
        <f t="shared" si="32"/>
        <v/>
      </c>
      <c r="AO173" t="str">
        <f>IF(AM173&lt;&gt;"",IF(Input!AI173&lt;&gt;"",ROUNDDOWN(Input!AI173,0),0),"")</f>
        <v/>
      </c>
    </row>
    <row r="174" spans="1:41" ht="16.5" thickTop="1" thickBot="1" x14ac:dyDescent="0.4">
      <c r="A174" s="100">
        <f>IF(ISBLANK(Input!A174),1000,IF(Input!E174&gt;0,Input!E174+F174,1000))</f>
        <v>1000</v>
      </c>
      <c r="B174" s="101">
        <f t="shared" si="22"/>
        <v>1000</v>
      </c>
      <c r="C174" s="4">
        <v>173</v>
      </c>
      <c r="D174" s="29">
        <f>IF(ISBLANK(Input!A174),1000,IF(Input!G174&gt;0,Input!G174+F174,1000))</f>
        <v>1000</v>
      </c>
      <c r="E174" s="29">
        <f t="shared" si="23"/>
        <v>1000</v>
      </c>
      <c r="F174" s="4">
        <v>0.17299999999999999</v>
      </c>
      <c r="I174" t="str">
        <f>IF(Input!A174&gt;0,Input!A174,"")</f>
        <v/>
      </c>
      <c r="J174" t="str">
        <f>IF(Input!B174&gt;0,Input!B174,"")</f>
        <v/>
      </c>
      <c r="K174" t="str">
        <f>IF(Input!C174&gt;0,Input!C174,"")</f>
        <v/>
      </c>
      <c r="L174" t="str">
        <f>IF(Input!D174&gt;0,Input!D174,"")</f>
        <v/>
      </c>
      <c r="M174" t="str">
        <f>IF(Input!E174&gt;0,Input!E174,"")</f>
        <v xml:space="preserve"> </v>
      </c>
      <c r="N174" t="str">
        <f>IF(Input!F174&gt;0,Input!F174,"")</f>
        <v xml:space="preserve"> </v>
      </c>
      <c r="O174" t="str">
        <f>IF(Input!I174&lt;&gt;"",Input!I174,"")</f>
        <v/>
      </c>
      <c r="P174" t="str">
        <f t="shared" si="24"/>
        <v/>
      </c>
      <c r="Q174" t="str">
        <f>IF(O174&lt;&gt;"",IF(Input!K174&lt;&gt;"",ROUNDDOWN(Input!K174,0),0),"")</f>
        <v/>
      </c>
      <c r="R174" t="str">
        <f>IF(Input!L174&lt;&gt;"",Input!L174,"")</f>
        <v/>
      </c>
      <c r="S174" t="str">
        <f t="shared" si="25"/>
        <v/>
      </c>
      <c r="T174" t="str">
        <f>IF(R174&lt;&gt;"",IF(Input!N174&lt;&gt;"",ROUNDDOWN(Input!N174,0),0),"")</f>
        <v/>
      </c>
      <c r="U174" t="str">
        <f>IF(Input!O174&lt;&gt;"",Input!O174,"")</f>
        <v/>
      </c>
      <c r="V174" t="str">
        <f t="shared" si="26"/>
        <v/>
      </c>
      <c r="W174" t="str">
        <f>IF(U174&lt;&gt;"",IF(Input!Q174&lt;&gt;"",ROUNDDOWN(Input!Q174,0),0),"")</f>
        <v/>
      </c>
      <c r="X174" t="str">
        <f>IF(Input!R174&lt;&gt;"",Input!R174,"")</f>
        <v/>
      </c>
      <c r="Y174" t="str">
        <f t="shared" si="27"/>
        <v/>
      </c>
      <c r="Z174" t="str">
        <f>IF(X174&lt;&gt;"",IF(Input!T174&lt;&gt;"",ROUNDDOWN(Input!T174,0),0),"")</f>
        <v/>
      </c>
      <c r="AA174" t="str">
        <f>IF(Input!U174&lt;&gt;"",Input!U174,"")</f>
        <v/>
      </c>
      <c r="AB174" t="str">
        <f t="shared" si="28"/>
        <v/>
      </c>
      <c r="AC174" t="str">
        <f>IF(AA174&lt;&gt;"",IF(Input!W174&lt;&gt;"",ROUNDDOWN(Input!W174,0),0),"")</f>
        <v/>
      </c>
      <c r="AD174" t="str">
        <f>IF(Input!X174&lt;&gt;"",Input!X174,"")</f>
        <v/>
      </c>
      <c r="AE174" t="str">
        <f t="shared" si="29"/>
        <v/>
      </c>
      <c r="AF174" t="str">
        <f>IF(AD174&lt;&gt;"",IF(Input!Z174&lt;&gt;"",ROUNDDOWN(Input!Z174,0),0),"")</f>
        <v/>
      </c>
      <c r="AG174" t="str">
        <f>IF(Input!AA174&lt;&gt;"",Input!AA174,"")</f>
        <v/>
      </c>
      <c r="AH174" t="str">
        <f t="shared" si="30"/>
        <v/>
      </c>
      <c r="AI174" t="str">
        <f>IF(AG174&lt;&gt;"",IF(Input!AC174&lt;&gt;"",ROUNDDOWN(Input!AC174,0),0),"")</f>
        <v/>
      </c>
      <c r="AJ174" t="str">
        <f>IF(Input!AD174&lt;&gt;"",Input!AD174,"")</f>
        <v/>
      </c>
      <c r="AK174" t="str">
        <f t="shared" si="31"/>
        <v/>
      </c>
      <c r="AL174" t="str">
        <f>IF(AJ174&lt;&gt;"",IF(Input!AF174&lt;&gt;"",ROUNDDOWN(Input!AF174,0),0),"")</f>
        <v/>
      </c>
      <c r="AM174" t="str">
        <f>IF(Input!AG174&lt;&gt;"",Input!AG174,"")</f>
        <v/>
      </c>
      <c r="AN174" t="str">
        <f t="shared" si="32"/>
        <v/>
      </c>
      <c r="AO174" t="str">
        <f>IF(AM174&lt;&gt;"",IF(Input!AI174&lt;&gt;"",ROUNDDOWN(Input!AI174,0),0),"")</f>
        <v/>
      </c>
    </row>
    <row r="175" spans="1:41" ht="16.5" thickTop="1" thickBot="1" x14ac:dyDescent="0.4">
      <c r="A175" s="100">
        <f>IF(ISBLANK(Input!A175),1000,IF(Input!E175&gt;0,Input!E175+F175,1000))</f>
        <v>1000</v>
      </c>
      <c r="B175" s="101">
        <f t="shared" si="22"/>
        <v>1000</v>
      </c>
      <c r="C175" s="4">
        <v>174</v>
      </c>
      <c r="D175" s="29">
        <f>IF(ISBLANK(Input!A175),1000,IF(Input!G175&gt;0,Input!G175+F175,1000))</f>
        <v>1000</v>
      </c>
      <c r="E175" s="29">
        <f t="shared" si="23"/>
        <v>1000</v>
      </c>
      <c r="F175" s="4">
        <v>0.17399999999999999</v>
      </c>
      <c r="I175" t="str">
        <f>IF(Input!A175&gt;0,Input!A175,"")</f>
        <v/>
      </c>
      <c r="J175" t="str">
        <f>IF(Input!B175&gt;0,Input!B175,"")</f>
        <v/>
      </c>
      <c r="K175" t="str">
        <f>IF(Input!C175&gt;0,Input!C175,"")</f>
        <v/>
      </c>
      <c r="L175" t="str">
        <f>IF(Input!D175&gt;0,Input!D175,"")</f>
        <v/>
      </c>
      <c r="M175" t="str">
        <f>IF(Input!E175&gt;0,Input!E175,"")</f>
        <v xml:space="preserve"> </v>
      </c>
      <c r="N175" t="str">
        <f>IF(Input!F175&gt;0,Input!F175,"")</f>
        <v xml:space="preserve"> </v>
      </c>
      <c r="O175" t="str">
        <f>IF(Input!I175&lt;&gt;"",Input!I175,"")</f>
        <v/>
      </c>
      <c r="P175" t="str">
        <f t="shared" si="24"/>
        <v/>
      </c>
      <c r="Q175" t="str">
        <f>IF(O175&lt;&gt;"",IF(Input!K175&lt;&gt;"",ROUNDDOWN(Input!K175,0),0),"")</f>
        <v/>
      </c>
      <c r="R175" t="str">
        <f>IF(Input!L175&lt;&gt;"",Input!L175,"")</f>
        <v/>
      </c>
      <c r="S175" t="str">
        <f t="shared" si="25"/>
        <v/>
      </c>
      <c r="T175" t="str">
        <f>IF(R175&lt;&gt;"",IF(Input!N175&lt;&gt;"",ROUNDDOWN(Input!N175,0),0),"")</f>
        <v/>
      </c>
      <c r="U175" t="str">
        <f>IF(Input!O175&lt;&gt;"",Input!O175,"")</f>
        <v/>
      </c>
      <c r="V175" t="str">
        <f t="shared" si="26"/>
        <v/>
      </c>
      <c r="W175" t="str">
        <f>IF(U175&lt;&gt;"",IF(Input!Q175&lt;&gt;"",ROUNDDOWN(Input!Q175,0),0),"")</f>
        <v/>
      </c>
      <c r="X175" t="str">
        <f>IF(Input!R175&lt;&gt;"",Input!R175,"")</f>
        <v/>
      </c>
      <c r="Y175" t="str">
        <f t="shared" si="27"/>
        <v/>
      </c>
      <c r="Z175" t="str">
        <f>IF(X175&lt;&gt;"",IF(Input!T175&lt;&gt;"",ROUNDDOWN(Input!T175,0),0),"")</f>
        <v/>
      </c>
      <c r="AA175" t="str">
        <f>IF(Input!U175&lt;&gt;"",Input!U175,"")</f>
        <v/>
      </c>
      <c r="AB175" t="str">
        <f t="shared" si="28"/>
        <v/>
      </c>
      <c r="AC175" t="str">
        <f>IF(AA175&lt;&gt;"",IF(Input!W175&lt;&gt;"",ROUNDDOWN(Input!W175,0),0),"")</f>
        <v/>
      </c>
      <c r="AD175" t="str">
        <f>IF(Input!X175&lt;&gt;"",Input!X175,"")</f>
        <v/>
      </c>
      <c r="AE175" t="str">
        <f t="shared" si="29"/>
        <v/>
      </c>
      <c r="AF175" t="str">
        <f>IF(AD175&lt;&gt;"",IF(Input!Z175&lt;&gt;"",ROUNDDOWN(Input!Z175,0),0),"")</f>
        <v/>
      </c>
      <c r="AG175" t="str">
        <f>IF(Input!AA175&lt;&gt;"",Input!AA175,"")</f>
        <v/>
      </c>
      <c r="AH175" t="str">
        <f t="shared" si="30"/>
        <v/>
      </c>
      <c r="AI175" t="str">
        <f>IF(AG175&lt;&gt;"",IF(Input!AC175&lt;&gt;"",ROUNDDOWN(Input!AC175,0),0),"")</f>
        <v/>
      </c>
      <c r="AJ175" t="str">
        <f>IF(Input!AD175&lt;&gt;"",Input!AD175,"")</f>
        <v/>
      </c>
      <c r="AK175" t="str">
        <f t="shared" si="31"/>
        <v/>
      </c>
      <c r="AL175" t="str">
        <f>IF(AJ175&lt;&gt;"",IF(Input!AF175&lt;&gt;"",ROUNDDOWN(Input!AF175,0),0),"")</f>
        <v/>
      </c>
      <c r="AM175" t="str">
        <f>IF(Input!AG175&lt;&gt;"",Input!AG175,"")</f>
        <v/>
      </c>
      <c r="AN175" t="str">
        <f t="shared" si="32"/>
        <v/>
      </c>
      <c r="AO175" t="str">
        <f>IF(AM175&lt;&gt;"",IF(Input!AI175&lt;&gt;"",ROUNDDOWN(Input!AI175,0),0),"")</f>
        <v/>
      </c>
    </row>
    <row r="176" spans="1:41" ht="16.5" thickTop="1" thickBot="1" x14ac:dyDescent="0.4">
      <c r="A176" s="100">
        <f>IF(ISBLANK(Input!A176),1000,IF(Input!E176&gt;0,Input!E176+F176,1000))</f>
        <v>1000</v>
      </c>
      <c r="B176" s="101">
        <f t="shared" si="22"/>
        <v>1000</v>
      </c>
      <c r="C176" s="4">
        <v>175</v>
      </c>
      <c r="D176" s="29">
        <f>IF(ISBLANK(Input!A176),1000,IF(Input!G176&gt;0,Input!G176+F176,1000))</f>
        <v>1000</v>
      </c>
      <c r="E176" s="29">
        <f t="shared" si="23"/>
        <v>1000</v>
      </c>
      <c r="F176" s="4">
        <v>0.17499999999999999</v>
      </c>
      <c r="I176" t="str">
        <f>IF(Input!A176&gt;0,Input!A176,"")</f>
        <v/>
      </c>
      <c r="J176" t="str">
        <f>IF(Input!B176&gt;0,Input!B176,"")</f>
        <v/>
      </c>
      <c r="K176" t="str">
        <f>IF(Input!C176&gt;0,Input!C176,"")</f>
        <v/>
      </c>
      <c r="L176" t="str">
        <f>IF(Input!D176&gt;0,Input!D176,"")</f>
        <v/>
      </c>
      <c r="M176" t="str">
        <f>IF(Input!E176&gt;0,Input!E176,"")</f>
        <v xml:space="preserve"> </v>
      </c>
      <c r="N176" t="str">
        <f>IF(Input!F176&gt;0,Input!F176,"")</f>
        <v xml:space="preserve"> </v>
      </c>
      <c r="O176" t="str">
        <f>IF(Input!I176&lt;&gt;"",Input!I176,"")</f>
        <v/>
      </c>
      <c r="P176" t="str">
        <f t="shared" si="24"/>
        <v/>
      </c>
      <c r="Q176" t="str">
        <f>IF(O176&lt;&gt;"",IF(Input!K176&lt;&gt;"",ROUNDDOWN(Input!K176,0),0),"")</f>
        <v/>
      </c>
      <c r="R176" t="str">
        <f>IF(Input!L176&lt;&gt;"",Input!L176,"")</f>
        <v/>
      </c>
      <c r="S176" t="str">
        <f t="shared" si="25"/>
        <v/>
      </c>
      <c r="T176" t="str">
        <f>IF(R176&lt;&gt;"",IF(Input!N176&lt;&gt;"",ROUNDDOWN(Input!N176,0),0),"")</f>
        <v/>
      </c>
      <c r="U176" t="str">
        <f>IF(Input!O176&lt;&gt;"",Input!O176,"")</f>
        <v/>
      </c>
      <c r="V176" t="str">
        <f t="shared" si="26"/>
        <v/>
      </c>
      <c r="W176" t="str">
        <f>IF(U176&lt;&gt;"",IF(Input!Q176&lt;&gt;"",ROUNDDOWN(Input!Q176,0),0),"")</f>
        <v/>
      </c>
      <c r="X176" t="str">
        <f>IF(Input!R176&lt;&gt;"",Input!R176,"")</f>
        <v/>
      </c>
      <c r="Y176" t="str">
        <f t="shared" si="27"/>
        <v/>
      </c>
      <c r="Z176" t="str">
        <f>IF(X176&lt;&gt;"",IF(Input!T176&lt;&gt;"",ROUNDDOWN(Input!T176,0),0),"")</f>
        <v/>
      </c>
      <c r="AA176" t="str">
        <f>IF(Input!U176&lt;&gt;"",Input!U176,"")</f>
        <v/>
      </c>
      <c r="AB176" t="str">
        <f t="shared" si="28"/>
        <v/>
      </c>
      <c r="AC176" t="str">
        <f>IF(AA176&lt;&gt;"",IF(Input!W176&lt;&gt;"",ROUNDDOWN(Input!W176,0),0),"")</f>
        <v/>
      </c>
      <c r="AD176" t="str">
        <f>IF(Input!X176&lt;&gt;"",Input!X176,"")</f>
        <v/>
      </c>
      <c r="AE176" t="str">
        <f t="shared" si="29"/>
        <v/>
      </c>
      <c r="AF176" t="str">
        <f>IF(AD176&lt;&gt;"",IF(Input!Z176&lt;&gt;"",ROUNDDOWN(Input!Z176,0),0),"")</f>
        <v/>
      </c>
      <c r="AG176" t="str">
        <f>IF(Input!AA176&lt;&gt;"",Input!AA176,"")</f>
        <v/>
      </c>
      <c r="AH176" t="str">
        <f t="shared" si="30"/>
        <v/>
      </c>
      <c r="AI176" t="str">
        <f>IF(AG176&lt;&gt;"",IF(Input!AC176&lt;&gt;"",ROUNDDOWN(Input!AC176,0),0),"")</f>
        <v/>
      </c>
      <c r="AJ176" t="str">
        <f>IF(Input!AD176&lt;&gt;"",Input!AD176,"")</f>
        <v/>
      </c>
      <c r="AK176" t="str">
        <f t="shared" si="31"/>
        <v/>
      </c>
      <c r="AL176" t="str">
        <f>IF(AJ176&lt;&gt;"",IF(Input!AF176&lt;&gt;"",ROUNDDOWN(Input!AF176,0),0),"")</f>
        <v/>
      </c>
      <c r="AM176" t="str">
        <f>IF(Input!AG176&lt;&gt;"",Input!AG176,"")</f>
        <v/>
      </c>
      <c r="AN176" t="str">
        <f t="shared" si="32"/>
        <v/>
      </c>
      <c r="AO176" t="str">
        <f>IF(AM176&lt;&gt;"",IF(Input!AI176&lt;&gt;"",ROUNDDOWN(Input!AI176,0),0),"")</f>
        <v/>
      </c>
    </row>
    <row r="177" spans="1:41" ht="16.5" thickTop="1" thickBot="1" x14ac:dyDescent="0.4">
      <c r="A177" s="100">
        <f>IF(ISBLANK(Input!A177),1000,IF(Input!E177&gt;0,Input!E177+F177,1000))</f>
        <v>1000</v>
      </c>
      <c r="B177" s="101">
        <f t="shared" si="22"/>
        <v>1000</v>
      </c>
      <c r="C177" s="4">
        <v>176</v>
      </c>
      <c r="D177" s="29">
        <f>IF(ISBLANK(Input!A177),1000,IF(Input!G177&gt;0,Input!G177+F177,1000))</f>
        <v>1000</v>
      </c>
      <c r="E177" s="29">
        <f t="shared" si="23"/>
        <v>1000</v>
      </c>
      <c r="F177" s="4">
        <v>0.17599999999999999</v>
      </c>
      <c r="I177" t="str">
        <f>IF(Input!A177&gt;0,Input!A177,"")</f>
        <v/>
      </c>
      <c r="J177" t="str">
        <f>IF(Input!B177&gt;0,Input!B177,"")</f>
        <v/>
      </c>
      <c r="K177" t="str">
        <f>IF(Input!C177&gt;0,Input!C177,"")</f>
        <v/>
      </c>
      <c r="L177" t="str">
        <f>IF(Input!D177&gt;0,Input!D177,"")</f>
        <v/>
      </c>
      <c r="M177" t="str">
        <f>IF(Input!E177&gt;0,Input!E177,"")</f>
        <v xml:space="preserve"> </v>
      </c>
      <c r="N177" t="str">
        <f>IF(Input!F177&gt;0,Input!F177,"")</f>
        <v xml:space="preserve"> </v>
      </c>
      <c r="O177" t="str">
        <f>IF(Input!I177&lt;&gt;"",Input!I177,"")</f>
        <v/>
      </c>
      <c r="P177" t="str">
        <f t="shared" si="24"/>
        <v/>
      </c>
      <c r="Q177" t="str">
        <f>IF(O177&lt;&gt;"",IF(Input!K177&lt;&gt;"",ROUNDDOWN(Input!K177,0),0),"")</f>
        <v/>
      </c>
      <c r="R177" t="str">
        <f>IF(Input!L177&lt;&gt;"",Input!L177,"")</f>
        <v/>
      </c>
      <c r="S177" t="str">
        <f t="shared" si="25"/>
        <v/>
      </c>
      <c r="T177" t="str">
        <f>IF(R177&lt;&gt;"",IF(Input!N177&lt;&gt;"",ROUNDDOWN(Input!N177,0),0),"")</f>
        <v/>
      </c>
      <c r="U177" t="str">
        <f>IF(Input!O177&lt;&gt;"",Input!O177,"")</f>
        <v/>
      </c>
      <c r="V177" t="str">
        <f t="shared" si="26"/>
        <v/>
      </c>
      <c r="W177" t="str">
        <f>IF(U177&lt;&gt;"",IF(Input!Q177&lt;&gt;"",ROUNDDOWN(Input!Q177,0),0),"")</f>
        <v/>
      </c>
      <c r="X177" t="str">
        <f>IF(Input!R177&lt;&gt;"",Input!R177,"")</f>
        <v/>
      </c>
      <c r="Y177" t="str">
        <f t="shared" si="27"/>
        <v/>
      </c>
      <c r="Z177" t="str">
        <f>IF(X177&lt;&gt;"",IF(Input!T177&lt;&gt;"",ROUNDDOWN(Input!T177,0),0),"")</f>
        <v/>
      </c>
      <c r="AA177" t="str">
        <f>IF(Input!U177&lt;&gt;"",Input!U177,"")</f>
        <v/>
      </c>
      <c r="AB177" t="str">
        <f t="shared" si="28"/>
        <v/>
      </c>
      <c r="AC177" t="str">
        <f>IF(AA177&lt;&gt;"",IF(Input!W177&lt;&gt;"",ROUNDDOWN(Input!W177,0),0),"")</f>
        <v/>
      </c>
      <c r="AD177" t="str">
        <f>IF(Input!X177&lt;&gt;"",Input!X177,"")</f>
        <v/>
      </c>
      <c r="AE177" t="str">
        <f t="shared" si="29"/>
        <v/>
      </c>
      <c r="AF177" t="str">
        <f>IF(AD177&lt;&gt;"",IF(Input!Z177&lt;&gt;"",ROUNDDOWN(Input!Z177,0),0),"")</f>
        <v/>
      </c>
      <c r="AG177" t="str">
        <f>IF(Input!AA177&lt;&gt;"",Input!AA177,"")</f>
        <v/>
      </c>
      <c r="AH177" t="str">
        <f t="shared" si="30"/>
        <v/>
      </c>
      <c r="AI177" t="str">
        <f>IF(AG177&lt;&gt;"",IF(Input!AC177&lt;&gt;"",ROUNDDOWN(Input!AC177,0),0),"")</f>
        <v/>
      </c>
      <c r="AJ177" t="str">
        <f>IF(Input!AD177&lt;&gt;"",Input!AD177,"")</f>
        <v/>
      </c>
      <c r="AK177" t="str">
        <f t="shared" si="31"/>
        <v/>
      </c>
      <c r="AL177" t="str">
        <f>IF(AJ177&lt;&gt;"",IF(Input!AF177&lt;&gt;"",ROUNDDOWN(Input!AF177,0),0),"")</f>
        <v/>
      </c>
      <c r="AM177" t="str">
        <f>IF(Input!AG177&lt;&gt;"",Input!AG177,"")</f>
        <v/>
      </c>
      <c r="AN177" t="str">
        <f t="shared" si="32"/>
        <v/>
      </c>
      <c r="AO177" t="str">
        <f>IF(AM177&lt;&gt;"",IF(Input!AI177&lt;&gt;"",ROUNDDOWN(Input!AI177,0),0),"")</f>
        <v/>
      </c>
    </row>
    <row r="178" spans="1:41" ht="16.5" thickTop="1" thickBot="1" x14ac:dyDescent="0.4">
      <c r="A178" s="100">
        <f>IF(ISBLANK(Input!A178),1000,IF(Input!E178&gt;0,Input!E178+F178,1000))</f>
        <v>1000</v>
      </c>
      <c r="B178" s="101">
        <f t="shared" si="22"/>
        <v>1000</v>
      </c>
      <c r="C178" s="4">
        <v>177</v>
      </c>
      <c r="D178" s="29">
        <f>IF(ISBLANK(Input!A178),1000,IF(Input!G178&gt;0,Input!G178+F178,1000))</f>
        <v>1000</v>
      </c>
      <c r="E178" s="29">
        <f t="shared" si="23"/>
        <v>1000</v>
      </c>
      <c r="F178" s="4">
        <v>0.17699999999999999</v>
      </c>
      <c r="I178" t="str">
        <f>IF(Input!A178&gt;0,Input!A178,"")</f>
        <v/>
      </c>
      <c r="J178" t="str">
        <f>IF(Input!B178&gt;0,Input!B178,"")</f>
        <v/>
      </c>
      <c r="K178" t="str">
        <f>IF(Input!C178&gt;0,Input!C178,"")</f>
        <v/>
      </c>
      <c r="L178" t="str">
        <f>IF(Input!D178&gt;0,Input!D178,"")</f>
        <v/>
      </c>
      <c r="M178" t="str">
        <f>IF(Input!E178&gt;0,Input!E178,"")</f>
        <v xml:space="preserve"> </v>
      </c>
      <c r="N178" t="str">
        <f>IF(Input!F178&gt;0,Input!F178,"")</f>
        <v xml:space="preserve"> </v>
      </c>
      <c r="O178" t="str">
        <f>IF(Input!I178&lt;&gt;"",Input!I178,"")</f>
        <v/>
      </c>
      <c r="P178" t="str">
        <f t="shared" si="24"/>
        <v/>
      </c>
      <c r="Q178" t="str">
        <f>IF(O178&lt;&gt;"",IF(Input!K178&lt;&gt;"",ROUNDDOWN(Input!K178,0),0),"")</f>
        <v/>
      </c>
      <c r="R178" t="str">
        <f>IF(Input!L178&lt;&gt;"",Input!L178,"")</f>
        <v/>
      </c>
      <c r="S178" t="str">
        <f t="shared" si="25"/>
        <v/>
      </c>
      <c r="T178" t="str">
        <f>IF(R178&lt;&gt;"",IF(Input!N178&lt;&gt;"",ROUNDDOWN(Input!N178,0),0),"")</f>
        <v/>
      </c>
      <c r="U178" t="str">
        <f>IF(Input!O178&lt;&gt;"",Input!O178,"")</f>
        <v/>
      </c>
      <c r="V178" t="str">
        <f t="shared" si="26"/>
        <v/>
      </c>
      <c r="W178" t="str">
        <f>IF(U178&lt;&gt;"",IF(Input!Q178&lt;&gt;"",ROUNDDOWN(Input!Q178,0),0),"")</f>
        <v/>
      </c>
      <c r="X178" t="str">
        <f>IF(Input!R178&lt;&gt;"",Input!R178,"")</f>
        <v/>
      </c>
      <c r="Y178" t="str">
        <f t="shared" si="27"/>
        <v/>
      </c>
      <c r="Z178" t="str">
        <f>IF(X178&lt;&gt;"",IF(Input!T178&lt;&gt;"",ROUNDDOWN(Input!T178,0),0),"")</f>
        <v/>
      </c>
      <c r="AA178" t="str">
        <f>IF(Input!U178&lt;&gt;"",Input!U178,"")</f>
        <v/>
      </c>
      <c r="AB178" t="str">
        <f t="shared" si="28"/>
        <v/>
      </c>
      <c r="AC178" t="str">
        <f>IF(AA178&lt;&gt;"",IF(Input!W178&lt;&gt;"",ROUNDDOWN(Input!W178,0),0),"")</f>
        <v/>
      </c>
      <c r="AD178" t="str">
        <f>IF(Input!X178&lt;&gt;"",Input!X178,"")</f>
        <v/>
      </c>
      <c r="AE178" t="str">
        <f t="shared" si="29"/>
        <v/>
      </c>
      <c r="AF178" t="str">
        <f>IF(AD178&lt;&gt;"",IF(Input!Z178&lt;&gt;"",ROUNDDOWN(Input!Z178,0),0),"")</f>
        <v/>
      </c>
      <c r="AG178" t="str">
        <f>IF(Input!AA178&lt;&gt;"",Input!AA178,"")</f>
        <v/>
      </c>
      <c r="AH178" t="str">
        <f t="shared" si="30"/>
        <v/>
      </c>
      <c r="AI178" t="str">
        <f>IF(AG178&lt;&gt;"",IF(Input!AC178&lt;&gt;"",ROUNDDOWN(Input!AC178,0),0),"")</f>
        <v/>
      </c>
      <c r="AJ178" t="str">
        <f>IF(Input!AD178&lt;&gt;"",Input!AD178,"")</f>
        <v/>
      </c>
      <c r="AK178" t="str">
        <f t="shared" si="31"/>
        <v/>
      </c>
      <c r="AL178" t="str">
        <f>IF(AJ178&lt;&gt;"",IF(Input!AF178&lt;&gt;"",ROUNDDOWN(Input!AF178,0),0),"")</f>
        <v/>
      </c>
      <c r="AM178" t="str">
        <f>IF(Input!AG178&lt;&gt;"",Input!AG178,"")</f>
        <v/>
      </c>
      <c r="AN178" t="str">
        <f t="shared" si="32"/>
        <v/>
      </c>
      <c r="AO178" t="str">
        <f>IF(AM178&lt;&gt;"",IF(Input!AI178&lt;&gt;"",ROUNDDOWN(Input!AI178,0),0),"")</f>
        <v/>
      </c>
    </row>
    <row r="179" spans="1:41" ht="16.5" thickTop="1" thickBot="1" x14ac:dyDescent="0.4">
      <c r="A179" s="100">
        <f>IF(ISBLANK(Input!A179),1000,IF(Input!E179&gt;0,Input!E179+F179,1000))</f>
        <v>1000</v>
      </c>
      <c r="B179" s="101">
        <f t="shared" si="22"/>
        <v>1000</v>
      </c>
      <c r="C179" s="4">
        <v>178</v>
      </c>
      <c r="D179" s="29">
        <f>IF(ISBLANK(Input!A179),1000,IF(Input!G179&gt;0,Input!G179+F179,1000))</f>
        <v>1000</v>
      </c>
      <c r="E179" s="29">
        <f t="shared" si="23"/>
        <v>1000</v>
      </c>
      <c r="F179" s="4">
        <v>0.17799999999999999</v>
      </c>
      <c r="I179" t="str">
        <f>IF(Input!A179&gt;0,Input!A179,"")</f>
        <v/>
      </c>
      <c r="J179" t="str">
        <f>IF(Input!B179&gt;0,Input!B179,"")</f>
        <v/>
      </c>
      <c r="K179" t="str">
        <f>IF(Input!C179&gt;0,Input!C179,"")</f>
        <v/>
      </c>
      <c r="L179" t="str">
        <f>IF(Input!D179&gt;0,Input!D179,"")</f>
        <v/>
      </c>
      <c r="M179" t="str">
        <f>IF(Input!E179&gt;0,Input!E179,"")</f>
        <v xml:space="preserve"> </v>
      </c>
      <c r="N179" t="str">
        <f>IF(Input!F179&gt;0,Input!F179,"")</f>
        <v xml:space="preserve"> </v>
      </c>
      <c r="O179" t="str">
        <f>IF(Input!I179&lt;&gt;"",Input!I179,"")</f>
        <v/>
      </c>
      <c r="P179" t="str">
        <f t="shared" si="24"/>
        <v/>
      </c>
      <c r="Q179" t="str">
        <f>IF(O179&lt;&gt;"",IF(Input!K179&lt;&gt;"",ROUNDDOWN(Input!K179,0),0),"")</f>
        <v/>
      </c>
      <c r="R179" t="str">
        <f>IF(Input!L179&lt;&gt;"",Input!L179,"")</f>
        <v/>
      </c>
      <c r="S179" t="str">
        <f t="shared" si="25"/>
        <v/>
      </c>
      <c r="T179" t="str">
        <f>IF(R179&lt;&gt;"",IF(Input!N179&lt;&gt;"",ROUNDDOWN(Input!N179,0),0),"")</f>
        <v/>
      </c>
      <c r="U179" t="str">
        <f>IF(Input!O179&lt;&gt;"",Input!O179,"")</f>
        <v/>
      </c>
      <c r="V179" t="str">
        <f t="shared" si="26"/>
        <v/>
      </c>
      <c r="W179" t="str">
        <f>IF(U179&lt;&gt;"",IF(Input!Q179&lt;&gt;"",ROUNDDOWN(Input!Q179,0),0),"")</f>
        <v/>
      </c>
      <c r="X179" t="str">
        <f>IF(Input!R179&lt;&gt;"",Input!R179,"")</f>
        <v/>
      </c>
      <c r="Y179" t="str">
        <f t="shared" si="27"/>
        <v/>
      </c>
      <c r="Z179" t="str">
        <f>IF(X179&lt;&gt;"",IF(Input!T179&lt;&gt;"",ROUNDDOWN(Input!T179,0),0),"")</f>
        <v/>
      </c>
      <c r="AA179" t="str">
        <f>IF(Input!U179&lt;&gt;"",Input!U179,"")</f>
        <v/>
      </c>
      <c r="AB179" t="str">
        <f t="shared" si="28"/>
        <v/>
      </c>
      <c r="AC179" t="str">
        <f>IF(AA179&lt;&gt;"",IF(Input!W179&lt;&gt;"",ROUNDDOWN(Input!W179,0),0),"")</f>
        <v/>
      </c>
      <c r="AD179" t="str">
        <f>IF(Input!X179&lt;&gt;"",Input!X179,"")</f>
        <v/>
      </c>
      <c r="AE179" t="str">
        <f t="shared" si="29"/>
        <v/>
      </c>
      <c r="AF179" t="str">
        <f>IF(AD179&lt;&gt;"",IF(Input!Z179&lt;&gt;"",ROUNDDOWN(Input!Z179,0),0),"")</f>
        <v/>
      </c>
      <c r="AG179" t="str">
        <f>IF(Input!AA179&lt;&gt;"",Input!AA179,"")</f>
        <v/>
      </c>
      <c r="AH179" t="str">
        <f t="shared" si="30"/>
        <v/>
      </c>
      <c r="AI179" t="str">
        <f>IF(AG179&lt;&gt;"",IF(Input!AC179&lt;&gt;"",ROUNDDOWN(Input!AC179,0),0),"")</f>
        <v/>
      </c>
      <c r="AJ179" t="str">
        <f>IF(Input!AD179&lt;&gt;"",Input!AD179,"")</f>
        <v/>
      </c>
      <c r="AK179" t="str">
        <f t="shared" si="31"/>
        <v/>
      </c>
      <c r="AL179" t="str">
        <f>IF(AJ179&lt;&gt;"",IF(Input!AF179&lt;&gt;"",ROUNDDOWN(Input!AF179,0),0),"")</f>
        <v/>
      </c>
      <c r="AM179" t="str">
        <f>IF(Input!AG179&lt;&gt;"",Input!AG179,"")</f>
        <v/>
      </c>
      <c r="AN179" t="str">
        <f t="shared" si="32"/>
        <v/>
      </c>
      <c r="AO179" t="str">
        <f>IF(AM179&lt;&gt;"",IF(Input!AI179&lt;&gt;"",ROUNDDOWN(Input!AI179,0),0),"")</f>
        <v/>
      </c>
    </row>
    <row r="180" spans="1:41" ht="16.5" thickTop="1" thickBot="1" x14ac:dyDescent="0.4">
      <c r="A180" s="100">
        <f>IF(ISBLANK(Input!A180),1000,IF(Input!E180&gt;0,Input!E180+F180,1000))</f>
        <v>1000</v>
      </c>
      <c r="B180" s="101">
        <f t="shared" si="22"/>
        <v>1000</v>
      </c>
      <c r="C180" s="4">
        <v>179</v>
      </c>
      <c r="D180" s="29">
        <f>IF(ISBLANK(Input!A180),1000,IF(Input!G180&gt;0,Input!G180+F180,1000))</f>
        <v>1000</v>
      </c>
      <c r="E180" s="29">
        <f t="shared" si="23"/>
        <v>1000</v>
      </c>
      <c r="F180" s="4">
        <v>0.17899999999999999</v>
      </c>
      <c r="I180" t="str">
        <f>IF(Input!A180&gt;0,Input!A180,"")</f>
        <v/>
      </c>
      <c r="J180" t="str">
        <f>IF(Input!B180&gt;0,Input!B180,"")</f>
        <v/>
      </c>
      <c r="K180" t="str">
        <f>IF(Input!C180&gt;0,Input!C180,"")</f>
        <v/>
      </c>
      <c r="L180" t="str">
        <f>IF(Input!D180&gt;0,Input!D180,"")</f>
        <v/>
      </c>
      <c r="M180" t="str">
        <f>IF(Input!E180&gt;0,Input!E180,"")</f>
        <v xml:space="preserve"> </v>
      </c>
      <c r="N180" t="str">
        <f>IF(Input!F180&gt;0,Input!F180,"")</f>
        <v xml:space="preserve"> </v>
      </c>
      <c r="O180" t="str">
        <f>IF(Input!I180&lt;&gt;"",Input!I180,"")</f>
        <v/>
      </c>
      <c r="P180" t="str">
        <f t="shared" si="24"/>
        <v/>
      </c>
      <c r="Q180" t="str">
        <f>IF(O180&lt;&gt;"",IF(Input!K180&lt;&gt;"",ROUNDDOWN(Input!K180,0),0),"")</f>
        <v/>
      </c>
      <c r="R180" t="str">
        <f>IF(Input!L180&lt;&gt;"",Input!L180,"")</f>
        <v/>
      </c>
      <c r="S180" t="str">
        <f t="shared" si="25"/>
        <v/>
      </c>
      <c r="T180" t="str">
        <f>IF(R180&lt;&gt;"",IF(Input!N180&lt;&gt;"",ROUNDDOWN(Input!N180,0),0),"")</f>
        <v/>
      </c>
      <c r="U180" t="str">
        <f>IF(Input!O180&lt;&gt;"",Input!O180,"")</f>
        <v/>
      </c>
      <c r="V180" t="str">
        <f t="shared" si="26"/>
        <v/>
      </c>
      <c r="W180" t="str">
        <f>IF(U180&lt;&gt;"",IF(Input!Q180&lt;&gt;"",ROUNDDOWN(Input!Q180,0),0),"")</f>
        <v/>
      </c>
      <c r="X180" t="str">
        <f>IF(Input!R180&lt;&gt;"",Input!R180,"")</f>
        <v/>
      </c>
      <c r="Y180" t="str">
        <f t="shared" si="27"/>
        <v/>
      </c>
      <c r="Z180" t="str">
        <f>IF(X180&lt;&gt;"",IF(Input!T180&lt;&gt;"",ROUNDDOWN(Input!T180,0),0),"")</f>
        <v/>
      </c>
      <c r="AA180" t="str">
        <f>IF(Input!U180&lt;&gt;"",Input!U180,"")</f>
        <v/>
      </c>
      <c r="AB180" t="str">
        <f t="shared" si="28"/>
        <v/>
      </c>
      <c r="AC180" t="str">
        <f>IF(AA180&lt;&gt;"",IF(Input!W180&lt;&gt;"",ROUNDDOWN(Input!W180,0),0),"")</f>
        <v/>
      </c>
      <c r="AD180" t="str">
        <f>IF(Input!X180&lt;&gt;"",Input!X180,"")</f>
        <v/>
      </c>
      <c r="AE180" t="str">
        <f t="shared" si="29"/>
        <v/>
      </c>
      <c r="AF180" t="str">
        <f>IF(AD180&lt;&gt;"",IF(Input!Z180&lt;&gt;"",ROUNDDOWN(Input!Z180,0),0),"")</f>
        <v/>
      </c>
      <c r="AG180" t="str">
        <f>IF(Input!AA180&lt;&gt;"",Input!AA180,"")</f>
        <v/>
      </c>
      <c r="AH180" t="str">
        <f t="shared" si="30"/>
        <v/>
      </c>
      <c r="AI180" t="str">
        <f>IF(AG180&lt;&gt;"",IF(Input!AC180&lt;&gt;"",ROUNDDOWN(Input!AC180,0),0),"")</f>
        <v/>
      </c>
      <c r="AJ180" t="str">
        <f>IF(Input!AD180&lt;&gt;"",Input!AD180,"")</f>
        <v/>
      </c>
      <c r="AK180" t="str">
        <f t="shared" si="31"/>
        <v/>
      </c>
      <c r="AL180" t="str">
        <f>IF(AJ180&lt;&gt;"",IF(Input!AF180&lt;&gt;"",ROUNDDOWN(Input!AF180,0),0),"")</f>
        <v/>
      </c>
      <c r="AM180" t="str">
        <f>IF(Input!AG180&lt;&gt;"",Input!AG180,"")</f>
        <v/>
      </c>
      <c r="AN180" t="str">
        <f t="shared" si="32"/>
        <v/>
      </c>
      <c r="AO180" t="str">
        <f>IF(AM180&lt;&gt;"",IF(Input!AI180&lt;&gt;"",ROUNDDOWN(Input!AI180,0),0),"")</f>
        <v/>
      </c>
    </row>
    <row r="181" spans="1:41" ht="16.5" thickTop="1" thickBot="1" x14ac:dyDescent="0.4">
      <c r="A181" s="100">
        <f>IF(ISBLANK(Input!A181),1000,IF(Input!E181&gt;0,Input!E181+F181,1000))</f>
        <v>1000</v>
      </c>
      <c r="B181" s="101">
        <f t="shared" si="22"/>
        <v>1000</v>
      </c>
      <c r="C181" s="4">
        <v>180</v>
      </c>
      <c r="D181" s="29">
        <f>IF(ISBLANK(Input!A181),1000,IF(Input!G181&gt;0,Input!G181+F181,1000))</f>
        <v>1000</v>
      </c>
      <c r="E181" s="29">
        <f t="shared" si="23"/>
        <v>1000</v>
      </c>
      <c r="F181" s="4">
        <v>0.18</v>
      </c>
      <c r="I181" t="str">
        <f>IF(Input!A181&gt;0,Input!A181,"")</f>
        <v/>
      </c>
      <c r="J181" t="str">
        <f>IF(Input!B181&gt;0,Input!B181,"")</f>
        <v/>
      </c>
      <c r="K181" t="str">
        <f>IF(Input!C181&gt;0,Input!C181,"")</f>
        <v/>
      </c>
      <c r="L181" t="str">
        <f>IF(Input!D181&gt;0,Input!D181,"")</f>
        <v/>
      </c>
      <c r="M181" t="str">
        <f>IF(Input!E181&gt;0,Input!E181,"")</f>
        <v xml:space="preserve"> </v>
      </c>
      <c r="N181" t="str">
        <f>IF(Input!F181&gt;0,Input!F181,"")</f>
        <v xml:space="preserve"> </v>
      </c>
      <c r="O181" t="str">
        <f>IF(Input!I181&lt;&gt;"",Input!I181,"")</f>
        <v/>
      </c>
      <c r="P181" t="str">
        <f t="shared" si="24"/>
        <v/>
      </c>
      <c r="Q181" t="str">
        <f>IF(O181&lt;&gt;"",IF(Input!K181&lt;&gt;"",ROUNDDOWN(Input!K181,0),0),"")</f>
        <v/>
      </c>
      <c r="R181" t="str">
        <f>IF(Input!L181&lt;&gt;"",Input!L181,"")</f>
        <v/>
      </c>
      <c r="S181" t="str">
        <f t="shared" si="25"/>
        <v/>
      </c>
      <c r="T181" t="str">
        <f>IF(R181&lt;&gt;"",IF(Input!N181&lt;&gt;"",ROUNDDOWN(Input!N181,0),0),"")</f>
        <v/>
      </c>
      <c r="U181" t="str">
        <f>IF(Input!O181&lt;&gt;"",Input!O181,"")</f>
        <v/>
      </c>
      <c r="V181" t="str">
        <f t="shared" si="26"/>
        <v/>
      </c>
      <c r="W181" t="str">
        <f>IF(U181&lt;&gt;"",IF(Input!Q181&lt;&gt;"",ROUNDDOWN(Input!Q181,0),0),"")</f>
        <v/>
      </c>
      <c r="X181" t="str">
        <f>IF(Input!R181&lt;&gt;"",Input!R181,"")</f>
        <v/>
      </c>
      <c r="Y181" t="str">
        <f t="shared" si="27"/>
        <v/>
      </c>
      <c r="Z181" t="str">
        <f>IF(X181&lt;&gt;"",IF(Input!T181&lt;&gt;"",ROUNDDOWN(Input!T181,0),0),"")</f>
        <v/>
      </c>
      <c r="AA181" t="str">
        <f>IF(Input!U181&lt;&gt;"",Input!U181,"")</f>
        <v/>
      </c>
      <c r="AB181" t="str">
        <f t="shared" si="28"/>
        <v/>
      </c>
      <c r="AC181" t="str">
        <f>IF(AA181&lt;&gt;"",IF(Input!W181&lt;&gt;"",ROUNDDOWN(Input!W181,0),0),"")</f>
        <v/>
      </c>
      <c r="AD181" t="str">
        <f>IF(Input!X181&lt;&gt;"",Input!X181,"")</f>
        <v/>
      </c>
      <c r="AE181" t="str">
        <f t="shared" si="29"/>
        <v/>
      </c>
      <c r="AF181" t="str">
        <f>IF(AD181&lt;&gt;"",IF(Input!Z181&lt;&gt;"",ROUNDDOWN(Input!Z181,0),0),"")</f>
        <v/>
      </c>
      <c r="AG181" t="str">
        <f>IF(Input!AA181&lt;&gt;"",Input!AA181,"")</f>
        <v/>
      </c>
      <c r="AH181" t="str">
        <f t="shared" si="30"/>
        <v/>
      </c>
      <c r="AI181" t="str">
        <f>IF(AG181&lt;&gt;"",IF(Input!AC181&lt;&gt;"",ROUNDDOWN(Input!AC181,0),0),"")</f>
        <v/>
      </c>
      <c r="AJ181" t="str">
        <f>IF(Input!AD181&lt;&gt;"",Input!AD181,"")</f>
        <v/>
      </c>
      <c r="AK181" t="str">
        <f t="shared" si="31"/>
        <v/>
      </c>
      <c r="AL181" t="str">
        <f>IF(AJ181&lt;&gt;"",IF(Input!AF181&lt;&gt;"",ROUNDDOWN(Input!AF181,0),0),"")</f>
        <v/>
      </c>
      <c r="AM181" t="str">
        <f>IF(Input!AG181&lt;&gt;"",Input!AG181,"")</f>
        <v/>
      </c>
      <c r="AN181" t="str">
        <f t="shared" si="32"/>
        <v/>
      </c>
      <c r="AO181" t="str">
        <f>IF(AM181&lt;&gt;"",IF(Input!AI181&lt;&gt;"",ROUNDDOWN(Input!AI181,0),0),"")</f>
        <v/>
      </c>
    </row>
    <row r="182" spans="1:41" ht="16.5" thickTop="1" thickBot="1" x14ac:dyDescent="0.4">
      <c r="A182" s="100">
        <f>IF(ISBLANK(Input!A182),1000,IF(Input!E182&gt;0,Input!E182+F182,1000))</f>
        <v>1000</v>
      </c>
      <c r="B182" s="101">
        <f t="shared" si="22"/>
        <v>1000</v>
      </c>
      <c r="C182" s="4">
        <v>181</v>
      </c>
      <c r="D182" s="29">
        <f>IF(ISBLANK(Input!A182),1000,IF(Input!G182&gt;0,Input!G182+F182,1000))</f>
        <v>1000</v>
      </c>
      <c r="E182" s="29">
        <f t="shared" si="23"/>
        <v>1000</v>
      </c>
      <c r="F182" s="4">
        <v>0.18099999999999999</v>
      </c>
      <c r="I182" t="str">
        <f>IF(Input!A182&gt;0,Input!A182,"")</f>
        <v/>
      </c>
      <c r="J182" t="str">
        <f>IF(Input!B182&gt;0,Input!B182,"")</f>
        <v/>
      </c>
      <c r="K182" t="str">
        <f>IF(Input!C182&gt;0,Input!C182,"")</f>
        <v/>
      </c>
      <c r="L182" t="str">
        <f>IF(Input!D182&gt;0,Input!D182,"")</f>
        <v/>
      </c>
      <c r="M182" t="str">
        <f>IF(Input!E182&gt;0,Input!E182,"")</f>
        <v xml:space="preserve"> </v>
      </c>
      <c r="N182" t="str">
        <f>IF(Input!F182&gt;0,Input!F182,"")</f>
        <v xml:space="preserve"> </v>
      </c>
      <c r="O182" t="str">
        <f>IF(Input!I182&lt;&gt;"",Input!I182,"")</f>
        <v/>
      </c>
      <c r="P182" t="str">
        <f t="shared" si="24"/>
        <v/>
      </c>
      <c r="Q182" t="str">
        <f>IF(O182&lt;&gt;"",IF(Input!K182&lt;&gt;"",ROUNDDOWN(Input!K182,0),0),"")</f>
        <v/>
      </c>
      <c r="R182" t="str">
        <f>IF(Input!L182&lt;&gt;"",Input!L182,"")</f>
        <v/>
      </c>
      <c r="S182" t="str">
        <f t="shared" si="25"/>
        <v/>
      </c>
      <c r="T182" t="str">
        <f>IF(R182&lt;&gt;"",IF(Input!N182&lt;&gt;"",ROUNDDOWN(Input!N182,0),0),"")</f>
        <v/>
      </c>
      <c r="U182" t="str">
        <f>IF(Input!O182&lt;&gt;"",Input!O182,"")</f>
        <v/>
      </c>
      <c r="V182" t="str">
        <f t="shared" si="26"/>
        <v/>
      </c>
      <c r="W182" t="str">
        <f>IF(U182&lt;&gt;"",IF(Input!Q182&lt;&gt;"",ROUNDDOWN(Input!Q182,0),0),"")</f>
        <v/>
      </c>
      <c r="X182" t="str">
        <f>IF(Input!R182&lt;&gt;"",Input!R182,"")</f>
        <v/>
      </c>
      <c r="Y182" t="str">
        <f t="shared" si="27"/>
        <v/>
      </c>
      <c r="Z182" t="str">
        <f>IF(X182&lt;&gt;"",IF(Input!T182&lt;&gt;"",ROUNDDOWN(Input!T182,0),0),"")</f>
        <v/>
      </c>
      <c r="AA182" t="str">
        <f>IF(Input!U182&lt;&gt;"",Input!U182,"")</f>
        <v/>
      </c>
      <c r="AB182" t="str">
        <f t="shared" si="28"/>
        <v/>
      </c>
      <c r="AC182" t="str">
        <f>IF(AA182&lt;&gt;"",IF(Input!W182&lt;&gt;"",ROUNDDOWN(Input!W182,0),0),"")</f>
        <v/>
      </c>
      <c r="AD182" t="str">
        <f>IF(Input!X182&lt;&gt;"",Input!X182,"")</f>
        <v/>
      </c>
      <c r="AE182" t="str">
        <f t="shared" si="29"/>
        <v/>
      </c>
      <c r="AF182" t="str">
        <f>IF(AD182&lt;&gt;"",IF(Input!Z182&lt;&gt;"",ROUNDDOWN(Input!Z182,0),0),"")</f>
        <v/>
      </c>
      <c r="AG182" t="str">
        <f>IF(Input!AA182&lt;&gt;"",Input!AA182,"")</f>
        <v/>
      </c>
      <c r="AH182" t="str">
        <f t="shared" si="30"/>
        <v/>
      </c>
      <c r="AI182" t="str">
        <f>IF(AG182&lt;&gt;"",IF(Input!AC182&lt;&gt;"",ROUNDDOWN(Input!AC182,0),0),"")</f>
        <v/>
      </c>
      <c r="AJ182" t="str">
        <f>IF(Input!AD182&lt;&gt;"",Input!AD182,"")</f>
        <v/>
      </c>
      <c r="AK182" t="str">
        <f t="shared" si="31"/>
        <v/>
      </c>
      <c r="AL182" t="str">
        <f>IF(AJ182&lt;&gt;"",IF(Input!AF182&lt;&gt;"",ROUNDDOWN(Input!AF182,0),0),"")</f>
        <v/>
      </c>
      <c r="AM182" t="str">
        <f>IF(Input!AG182&lt;&gt;"",Input!AG182,"")</f>
        <v/>
      </c>
      <c r="AN182" t="str">
        <f t="shared" si="32"/>
        <v/>
      </c>
      <c r="AO182" t="str">
        <f>IF(AM182&lt;&gt;"",IF(Input!AI182&lt;&gt;"",ROUNDDOWN(Input!AI182,0),0),"")</f>
        <v/>
      </c>
    </row>
    <row r="183" spans="1:41" ht="16.5" thickTop="1" thickBot="1" x14ac:dyDescent="0.4">
      <c r="A183" s="100">
        <f>IF(ISBLANK(Input!A183),1000,IF(Input!E183&gt;0,Input!E183+F183,1000))</f>
        <v>1000</v>
      </c>
      <c r="B183" s="101">
        <f t="shared" si="22"/>
        <v>1000</v>
      </c>
      <c r="C183" s="4">
        <v>182</v>
      </c>
      <c r="D183" s="29">
        <f>IF(ISBLANK(Input!A183),1000,IF(Input!G183&gt;0,Input!G183+F183,1000))</f>
        <v>1000</v>
      </c>
      <c r="E183" s="29">
        <f t="shared" si="23"/>
        <v>1000</v>
      </c>
      <c r="F183" s="4">
        <v>0.182</v>
      </c>
      <c r="I183" t="str">
        <f>IF(Input!A183&gt;0,Input!A183,"")</f>
        <v/>
      </c>
      <c r="J183" t="str">
        <f>IF(Input!B183&gt;0,Input!B183,"")</f>
        <v/>
      </c>
      <c r="K183" t="str">
        <f>IF(Input!C183&gt;0,Input!C183,"")</f>
        <v/>
      </c>
      <c r="L183" t="str">
        <f>IF(Input!D183&gt;0,Input!D183,"")</f>
        <v/>
      </c>
      <c r="M183" t="str">
        <f>IF(Input!E183&gt;0,Input!E183,"")</f>
        <v xml:space="preserve"> </v>
      </c>
      <c r="N183" t="str">
        <f>IF(Input!F183&gt;0,Input!F183,"")</f>
        <v xml:space="preserve"> </v>
      </c>
      <c r="O183" t="str">
        <f>IF(Input!I183&lt;&gt;"",Input!I183,"")</f>
        <v/>
      </c>
      <c r="P183" t="str">
        <f t="shared" si="24"/>
        <v/>
      </c>
      <c r="Q183" t="str">
        <f>IF(O183&lt;&gt;"",IF(Input!K183&lt;&gt;"",ROUNDDOWN(Input!K183,0),0),"")</f>
        <v/>
      </c>
      <c r="R183" t="str">
        <f>IF(Input!L183&lt;&gt;"",Input!L183,"")</f>
        <v/>
      </c>
      <c r="S183" t="str">
        <f t="shared" si="25"/>
        <v/>
      </c>
      <c r="T183" t="str">
        <f>IF(R183&lt;&gt;"",IF(Input!N183&lt;&gt;"",ROUNDDOWN(Input!N183,0),0),"")</f>
        <v/>
      </c>
      <c r="U183" t="str">
        <f>IF(Input!O183&lt;&gt;"",Input!O183,"")</f>
        <v/>
      </c>
      <c r="V183" t="str">
        <f t="shared" si="26"/>
        <v/>
      </c>
      <c r="W183" t="str">
        <f>IF(U183&lt;&gt;"",IF(Input!Q183&lt;&gt;"",ROUNDDOWN(Input!Q183,0),0),"")</f>
        <v/>
      </c>
      <c r="X183" t="str">
        <f>IF(Input!R183&lt;&gt;"",Input!R183,"")</f>
        <v/>
      </c>
      <c r="Y183" t="str">
        <f t="shared" si="27"/>
        <v/>
      </c>
      <c r="Z183" t="str">
        <f>IF(X183&lt;&gt;"",IF(Input!T183&lt;&gt;"",ROUNDDOWN(Input!T183,0),0),"")</f>
        <v/>
      </c>
      <c r="AA183" t="str">
        <f>IF(Input!U183&lt;&gt;"",Input!U183,"")</f>
        <v/>
      </c>
      <c r="AB183" t="str">
        <f t="shared" si="28"/>
        <v/>
      </c>
      <c r="AC183" t="str">
        <f>IF(AA183&lt;&gt;"",IF(Input!W183&lt;&gt;"",ROUNDDOWN(Input!W183,0),0),"")</f>
        <v/>
      </c>
      <c r="AD183" t="str">
        <f>IF(Input!X183&lt;&gt;"",Input!X183,"")</f>
        <v/>
      </c>
      <c r="AE183" t="str">
        <f t="shared" si="29"/>
        <v/>
      </c>
      <c r="AF183" t="str">
        <f>IF(AD183&lt;&gt;"",IF(Input!Z183&lt;&gt;"",ROUNDDOWN(Input!Z183,0),0),"")</f>
        <v/>
      </c>
      <c r="AG183" t="str">
        <f>IF(Input!AA183&lt;&gt;"",Input!AA183,"")</f>
        <v/>
      </c>
      <c r="AH183" t="str">
        <f t="shared" si="30"/>
        <v/>
      </c>
      <c r="AI183" t="str">
        <f>IF(AG183&lt;&gt;"",IF(Input!AC183&lt;&gt;"",ROUNDDOWN(Input!AC183,0),0),"")</f>
        <v/>
      </c>
      <c r="AJ183" t="str">
        <f>IF(Input!AD183&lt;&gt;"",Input!AD183,"")</f>
        <v/>
      </c>
      <c r="AK183" t="str">
        <f t="shared" si="31"/>
        <v/>
      </c>
      <c r="AL183" t="str">
        <f>IF(AJ183&lt;&gt;"",IF(Input!AF183&lt;&gt;"",ROUNDDOWN(Input!AF183,0),0),"")</f>
        <v/>
      </c>
      <c r="AM183" t="str">
        <f>IF(Input!AG183&lt;&gt;"",Input!AG183,"")</f>
        <v/>
      </c>
      <c r="AN183" t="str">
        <f t="shared" si="32"/>
        <v/>
      </c>
      <c r="AO183" t="str">
        <f>IF(AM183&lt;&gt;"",IF(Input!AI183&lt;&gt;"",ROUNDDOWN(Input!AI183,0),0),"")</f>
        <v/>
      </c>
    </row>
    <row r="184" spans="1:41" ht="16.5" thickTop="1" thickBot="1" x14ac:dyDescent="0.4">
      <c r="A184" s="100">
        <f>IF(ISBLANK(Input!A184),1000,IF(Input!E184&gt;0,Input!E184+F184,1000))</f>
        <v>1000</v>
      </c>
      <c r="B184" s="101">
        <f t="shared" si="22"/>
        <v>1000</v>
      </c>
      <c r="C184" s="4">
        <v>183</v>
      </c>
      <c r="D184" s="29">
        <f>IF(ISBLANK(Input!A184),1000,IF(Input!G184&gt;0,Input!G184+F184,1000))</f>
        <v>1000</v>
      </c>
      <c r="E184" s="29">
        <f t="shared" si="23"/>
        <v>1000</v>
      </c>
      <c r="F184" s="4">
        <v>0.183</v>
      </c>
      <c r="I184" t="str">
        <f>IF(Input!A184&gt;0,Input!A184,"")</f>
        <v/>
      </c>
      <c r="J184" t="str">
        <f>IF(Input!B184&gt;0,Input!B184,"")</f>
        <v/>
      </c>
      <c r="K184" t="str">
        <f>IF(Input!C184&gt;0,Input!C184,"")</f>
        <v/>
      </c>
      <c r="L184" t="str">
        <f>IF(Input!D184&gt;0,Input!D184,"")</f>
        <v/>
      </c>
      <c r="M184" t="str">
        <f>IF(Input!E184&gt;0,Input!E184,"")</f>
        <v xml:space="preserve"> </v>
      </c>
      <c r="N184" t="str">
        <f>IF(Input!F184&gt;0,Input!F184,"")</f>
        <v xml:space="preserve"> </v>
      </c>
      <c r="O184" t="str">
        <f>IF(Input!I184&lt;&gt;"",Input!I184,"")</f>
        <v/>
      </c>
      <c r="P184" t="str">
        <f t="shared" si="24"/>
        <v/>
      </c>
      <c r="Q184" t="str">
        <f>IF(O184&lt;&gt;"",IF(Input!K184&lt;&gt;"",ROUNDDOWN(Input!K184,0),0),"")</f>
        <v/>
      </c>
      <c r="R184" t="str">
        <f>IF(Input!L184&lt;&gt;"",Input!L184,"")</f>
        <v/>
      </c>
      <c r="S184" t="str">
        <f t="shared" si="25"/>
        <v/>
      </c>
      <c r="T184" t="str">
        <f>IF(R184&lt;&gt;"",IF(Input!N184&lt;&gt;"",ROUNDDOWN(Input!N184,0),0),"")</f>
        <v/>
      </c>
      <c r="U184" t="str">
        <f>IF(Input!O184&lt;&gt;"",Input!O184,"")</f>
        <v/>
      </c>
      <c r="V184" t="str">
        <f t="shared" si="26"/>
        <v/>
      </c>
      <c r="W184" t="str">
        <f>IF(U184&lt;&gt;"",IF(Input!Q184&lt;&gt;"",ROUNDDOWN(Input!Q184,0),0),"")</f>
        <v/>
      </c>
      <c r="X184" t="str">
        <f>IF(Input!R184&lt;&gt;"",Input!R184,"")</f>
        <v/>
      </c>
      <c r="Y184" t="str">
        <f t="shared" si="27"/>
        <v/>
      </c>
      <c r="Z184" t="str">
        <f>IF(X184&lt;&gt;"",IF(Input!T184&lt;&gt;"",ROUNDDOWN(Input!T184,0),0),"")</f>
        <v/>
      </c>
      <c r="AA184" t="str">
        <f>IF(Input!U184&lt;&gt;"",Input!U184,"")</f>
        <v/>
      </c>
      <c r="AB184" t="str">
        <f t="shared" si="28"/>
        <v/>
      </c>
      <c r="AC184" t="str">
        <f>IF(AA184&lt;&gt;"",IF(Input!W184&lt;&gt;"",ROUNDDOWN(Input!W184,0),0),"")</f>
        <v/>
      </c>
      <c r="AD184" t="str">
        <f>IF(Input!X184&lt;&gt;"",Input!X184,"")</f>
        <v/>
      </c>
      <c r="AE184" t="str">
        <f t="shared" si="29"/>
        <v/>
      </c>
      <c r="AF184" t="str">
        <f>IF(AD184&lt;&gt;"",IF(Input!Z184&lt;&gt;"",ROUNDDOWN(Input!Z184,0),0),"")</f>
        <v/>
      </c>
      <c r="AG184" t="str">
        <f>IF(Input!AA184&lt;&gt;"",Input!AA184,"")</f>
        <v/>
      </c>
      <c r="AH184" t="str">
        <f t="shared" si="30"/>
        <v/>
      </c>
      <c r="AI184" t="str">
        <f>IF(AG184&lt;&gt;"",IF(Input!AC184&lt;&gt;"",ROUNDDOWN(Input!AC184,0),0),"")</f>
        <v/>
      </c>
      <c r="AJ184" t="str">
        <f>IF(Input!AD184&lt;&gt;"",Input!AD184,"")</f>
        <v/>
      </c>
      <c r="AK184" t="str">
        <f t="shared" si="31"/>
        <v/>
      </c>
      <c r="AL184" t="str">
        <f>IF(AJ184&lt;&gt;"",IF(Input!AF184&lt;&gt;"",ROUNDDOWN(Input!AF184,0),0),"")</f>
        <v/>
      </c>
      <c r="AM184" t="str">
        <f>IF(Input!AG184&lt;&gt;"",Input!AG184,"")</f>
        <v/>
      </c>
      <c r="AN184" t="str">
        <f t="shared" si="32"/>
        <v/>
      </c>
      <c r="AO184" t="str">
        <f>IF(AM184&lt;&gt;"",IF(Input!AI184&lt;&gt;"",ROUNDDOWN(Input!AI184,0),0),"")</f>
        <v/>
      </c>
    </row>
    <row r="185" spans="1:41" ht="16.5" thickTop="1" thickBot="1" x14ac:dyDescent="0.4">
      <c r="A185" s="100">
        <f>IF(ISBLANK(Input!A185),1000,IF(Input!E185&gt;0,Input!E185+F185,1000))</f>
        <v>1000</v>
      </c>
      <c r="B185" s="101">
        <f t="shared" si="22"/>
        <v>1000</v>
      </c>
      <c r="C185" s="4">
        <v>184</v>
      </c>
      <c r="D185" s="29">
        <f>IF(ISBLANK(Input!A185),1000,IF(Input!G185&gt;0,Input!G185+F185,1000))</f>
        <v>1000</v>
      </c>
      <c r="E185" s="29">
        <f t="shared" si="23"/>
        <v>1000</v>
      </c>
      <c r="F185" s="4">
        <v>0.184</v>
      </c>
      <c r="I185" t="str">
        <f>IF(Input!A185&gt;0,Input!A185,"")</f>
        <v/>
      </c>
      <c r="J185" t="str">
        <f>IF(Input!B185&gt;0,Input!B185,"")</f>
        <v/>
      </c>
      <c r="K185" t="str">
        <f>IF(Input!C185&gt;0,Input!C185,"")</f>
        <v/>
      </c>
      <c r="L185" t="str">
        <f>IF(Input!D185&gt;0,Input!D185,"")</f>
        <v/>
      </c>
      <c r="M185" t="str">
        <f>IF(Input!E185&gt;0,Input!E185,"")</f>
        <v xml:space="preserve"> </v>
      </c>
      <c r="N185" t="str">
        <f>IF(Input!F185&gt;0,Input!F185,"")</f>
        <v xml:space="preserve"> </v>
      </c>
      <c r="O185" t="str">
        <f>IF(Input!I185&lt;&gt;"",Input!I185,"")</f>
        <v/>
      </c>
      <c r="P185" t="str">
        <f t="shared" si="24"/>
        <v/>
      </c>
      <c r="Q185" t="str">
        <f>IF(O185&lt;&gt;"",IF(Input!K185&lt;&gt;"",ROUNDDOWN(Input!K185,0),0),"")</f>
        <v/>
      </c>
      <c r="R185" t="str">
        <f>IF(Input!L185&lt;&gt;"",Input!L185,"")</f>
        <v/>
      </c>
      <c r="S185" t="str">
        <f t="shared" si="25"/>
        <v/>
      </c>
      <c r="T185" t="str">
        <f>IF(R185&lt;&gt;"",IF(Input!N185&lt;&gt;"",ROUNDDOWN(Input!N185,0),0),"")</f>
        <v/>
      </c>
      <c r="U185" t="str">
        <f>IF(Input!O185&lt;&gt;"",Input!O185,"")</f>
        <v/>
      </c>
      <c r="V185" t="str">
        <f t="shared" si="26"/>
        <v/>
      </c>
      <c r="W185" t="str">
        <f>IF(U185&lt;&gt;"",IF(Input!Q185&lt;&gt;"",ROUNDDOWN(Input!Q185,0),0),"")</f>
        <v/>
      </c>
      <c r="X185" t="str">
        <f>IF(Input!R185&lt;&gt;"",Input!R185,"")</f>
        <v/>
      </c>
      <c r="Y185" t="str">
        <f t="shared" si="27"/>
        <v/>
      </c>
      <c r="Z185" t="str">
        <f>IF(X185&lt;&gt;"",IF(Input!T185&lt;&gt;"",ROUNDDOWN(Input!T185,0),0),"")</f>
        <v/>
      </c>
      <c r="AA185" t="str">
        <f>IF(Input!U185&lt;&gt;"",Input!U185,"")</f>
        <v/>
      </c>
      <c r="AB185" t="str">
        <f t="shared" si="28"/>
        <v/>
      </c>
      <c r="AC185" t="str">
        <f>IF(AA185&lt;&gt;"",IF(Input!W185&lt;&gt;"",ROUNDDOWN(Input!W185,0),0),"")</f>
        <v/>
      </c>
      <c r="AD185" t="str">
        <f>IF(Input!X185&lt;&gt;"",Input!X185,"")</f>
        <v/>
      </c>
      <c r="AE185" t="str">
        <f t="shared" si="29"/>
        <v/>
      </c>
      <c r="AF185" t="str">
        <f>IF(AD185&lt;&gt;"",IF(Input!Z185&lt;&gt;"",ROUNDDOWN(Input!Z185,0),0),"")</f>
        <v/>
      </c>
      <c r="AG185" t="str">
        <f>IF(Input!AA185&lt;&gt;"",Input!AA185,"")</f>
        <v/>
      </c>
      <c r="AH185" t="str">
        <f t="shared" si="30"/>
        <v/>
      </c>
      <c r="AI185" t="str">
        <f>IF(AG185&lt;&gt;"",IF(Input!AC185&lt;&gt;"",ROUNDDOWN(Input!AC185,0),0),"")</f>
        <v/>
      </c>
      <c r="AJ185" t="str">
        <f>IF(Input!AD185&lt;&gt;"",Input!AD185,"")</f>
        <v/>
      </c>
      <c r="AK185" t="str">
        <f t="shared" si="31"/>
        <v/>
      </c>
      <c r="AL185" t="str">
        <f>IF(AJ185&lt;&gt;"",IF(Input!AF185&lt;&gt;"",ROUNDDOWN(Input!AF185,0),0),"")</f>
        <v/>
      </c>
      <c r="AM185" t="str">
        <f>IF(Input!AG185&lt;&gt;"",Input!AG185,"")</f>
        <v/>
      </c>
      <c r="AN185" t="str">
        <f t="shared" si="32"/>
        <v/>
      </c>
      <c r="AO185" t="str">
        <f>IF(AM185&lt;&gt;"",IF(Input!AI185&lt;&gt;"",ROUNDDOWN(Input!AI185,0),0),"")</f>
        <v/>
      </c>
    </row>
    <row r="186" spans="1:41" ht="16.5" thickTop="1" thickBot="1" x14ac:dyDescent="0.4">
      <c r="A186" s="100">
        <f>IF(ISBLANK(Input!A186),1000,IF(Input!E186&gt;0,Input!E186+F186,1000))</f>
        <v>1000</v>
      </c>
      <c r="B186" s="101">
        <f t="shared" si="22"/>
        <v>1000</v>
      </c>
      <c r="C186" s="4">
        <v>185</v>
      </c>
      <c r="D186" s="29">
        <f>IF(ISBLANK(Input!A186),1000,IF(Input!G186&gt;0,Input!G186+F186,1000))</f>
        <v>1000</v>
      </c>
      <c r="E186" s="29">
        <f t="shared" si="23"/>
        <v>1000</v>
      </c>
      <c r="F186" s="4">
        <v>0.185</v>
      </c>
      <c r="I186" t="str">
        <f>IF(Input!A186&gt;0,Input!A186,"")</f>
        <v/>
      </c>
      <c r="J186" t="str">
        <f>IF(Input!B186&gt;0,Input!B186,"")</f>
        <v/>
      </c>
      <c r="K186" t="str">
        <f>IF(Input!C186&gt;0,Input!C186,"")</f>
        <v/>
      </c>
      <c r="L186" t="str">
        <f>IF(Input!D186&gt;0,Input!D186,"")</f>
        <v/>
      </c>
      <c r="M186" t="str">
        <f>IF(Input!E186&gt;0,Input!E186,"")</f>
        <v xml:space="preserve"> </v>
      </c>
      <c r="N186" t="str">
        <f>IF(Input!F186&gt;0,Input!F186,"")</f>
        <v xml:space="preserve"> </v>
      </c>
      <c r="O186" t="str">
        <f>IF(Input!I186&lt;&gt;"",Input!I186,"")</f>
        <v/>
      </c>
      <c r="P186" t="str">
        <f t="shared" si="24"/>
        <v/>
      </c>
      <c r="Q186" t="str">
        <f>IF(O186&lt;&gt;"",IF(Input!K186&lt;&gt;"",ROUNDDOWN(Input!K186,0),0),"")</f>
        <v/>
      </c>
      <c r="R186" t="str">
        <f>IF(Input!L186&lt;&gt;"",Input!L186,"")</f>
        <v/>
      </c>
      <c r="S186" t="str">
        <f t="shared" si="25"/>
        <v/>
      </c>
      <c r="T186" t="str">
        <f>IF(R186&lt;&gt;"",IF(Input!N186&lt;&gt;"",ROUNDDOWN(Input!N186,0),0),"")</f>
        <v/>
      </c>
      <c r="U186" t="str">
        <f>IF(Input!O186&lt;&gt;"",Input!O186,"")</f>
        <v/>
      </c>
      <c r="V186" t="str">
        <f t="shared" si="26"/>
        <v/>
      </c>
      <c r="W186" t="str">
        <f>IF(U186&lt;&gt;"",IF(Input!Q186&lt;&gt;"",ROUNDDOWN(Input!Q186,0),0),"")</f>
        <v/>
      </c>
      <c r="X186" t="str">
        <f>IF(Input!R186&lt;&gt;"",Input!R186,"")</f>
        <v/>
      </c>
      <c r="Y186" t="str">
        <f t="shared" si="27"/>
        <v/>
      </c>
      <c r="Z186" t="str">
        <f>IF(X186&lt;&gt;"",IF(Input!T186&lt;&gt;"",ROUNDDOWN(Input!T186,0),0),"")</f>
        <v/>
      </c>
      <c r="AA186" t="str">
        <f>IF(Input!U186&lt;&gt;"",Input!U186,"")</f>
        <v/>
      </c>
      <c r="AB186" t="str">
        <f t="shared" si="28"/>
        <v/>
      </c>
      <c r="AC186" t="str">
        <f>IF(AA186&lt;&gt;"",IF(Input!W186&lt;&gt;"",ROUNDDOWN(Input!W186,0),0),"")</f>
        <v/>
      </c>
      <c r="AD186" t="str">
        <f>IF(Input!X186&lt;&gt;"",Input!X186,"")</f>
        <v/>
      </c>
      <c r="AE186" t="str">
        <f t="shared" si="29"/>
        <v/>
      </c>
      <c r="AF186" t="str">
        <f>IF(AD186&lt;&gt;"",IF(Input!Z186&lt;&gt;"",ROUNDDOWN(Input!Z186,0),0),"")</f>
        <v/>
      </c>
      <c r="AG186" t="str">
        <f>IF(Input!AA186&lt;&gt;"",Input!AA186,"")</f>
        <v/>
      </c>
      <c r="AH186" t="str">
        <f t="shared" si="30"/>
        <v/>
      </c>
      <c r="AI186" t="str">
        <f>IF(AG186&lt;&gt;"",IF(Input!AC186&lt;&gt;"",ROUNDDOWN(Input!AC186,0),0),"")</f>
        <v/>
      </c>
      <c r="AJ186" t="str">
        <f>IF(Input!AD186&lt;&gt;"",Input!AD186,"")</f>
        <v/>
      </c>
      <c r="AK186" t="str">
        <f t="shared" si="31"/>
        <v/>
      </c>
      <c r="AL186" t="str">
        <f>IF(AJ186&lt;&gt;"",IF(Input!AF186&lt;&gt;"",ROUNDDOWN(Input!AF186,0),0),"")</f>
        <v/>
      </c>
      <c r="AM186" t="str">
        <f>IF(Input!AG186&lt;&gt;"",Input!AG186,"")</f>
        <v/>
      </c>
      <c r="AN186" t="str">
        <f t="shared" si="32"/>
        <v/>
      </c>
      <c r="AO186" t="str">
        <f>IF(AM186&lt;&gt;"",IF(Input!AI186&lt;&gt;"",ROUNDDOWN(Input!AI186,0),0),"")</f>
        <v/>
      </c>
    </row>
    <row r="187" spans="1:41" ht="16.5" thickTop="1" thickBot="1" x14ac:dyDescent="0.4">
      <c r="A187" s="100">
        <f>IF(ISBLANK(Input!A187),1000,IF(Input!E187&gt;0,Input!E187+F187,1000))</f>
        <v>1000</v>
      </c>
      <c r="B187" s="101">
        <f t="shared" si="22"/>
        <v>1000</v>
      </c>
      <c r="C187" s="4">
        <v>186</v>
      </c>
      <c r="D187" s="29">
        <f>IF(ISBLANK(Input!A187),1000,IF(Input!G187&gt;0,Input!G187+F187,1000))</f>
        <v>1000</v>
      </c>
      <c r="E187" s="29">
        <f t="shared" si="23"/>
        <v>1000</v>
      </c>
      <c r="F187" s="4">
        <v>0.186</v>
      </c>
      <c r="I187" t="str">
        <f>IF(Input!A187&gt;0,Input!A187,"")</f>
        <v/>
      </c>
      <c r="J187" t="str">
        <f>IF(Input!B187&gt;0,Input!B187,"")</f>
        <v/>
      </c>
      <c r="K187" t="str">
        <f>IF(Input!C187&gt;0,Input!C187,"")</f>
        <v/>
      </c>
      <c r="L187" t="str">
        <f>IF(Input!D187&gt;0,Input!D187,"")</f>
        <v/>
      </c>
      <c r="M187" t="str">
        <f>IF(Input!E187&gt;0,Input!E187,"")</f>
        <v xml:space="preserve"> </v>
      </c>
      <c r="N187" t="str">
        <f>IF(Input!F187&gt;0,Input!F187,"")</f>
        <v xml:space="preserve"> </v>
      </c>
      <c r="O187" t="str">
        <f>IF(Input!I187&lt;&gt;"",Input!I187,"")</f>
        <v/>
      </c>
      <c r="P187" t="str">
        <f t="shared" si="24"/>
        <v/>
      </c>
      <c r="Q187" t="str">
        <f>IF(O187&lt;&gt;"",IF(Input!K187&lt;&gt;"",ROUNDDOWN(Input!K187,0),0),"")</f>
        <v/>
      </c>
      <c r="R187" t="str">
        <f>IF(Input!L187&lt;&gt;"",Input!L187,"")</f>
        <v/>
      </c>
      <c r="S187" t="str">
        <f t="shared" si="25"/>
        <v/>
      </c>
      <c r="T187" t="str">
        <f>IF(R187&lt;&gt;"",IF(Input!N187&lt;&gt;"",ROUNDDOWN(Input!N187,0),0),"")</f>
        <v/>
      </c>
      <c r="U187" t="str">
        <f>IF(Input!O187&lt;&gt;"",Input!O187,"")</f>
        <v/>
      </c>
      <c r="V187" t="str">
        <f t="shared" si="26"/>
        <v/>
      </c>
      <c r="W187" t="str">
        <f>IF(U187&lt;&gt;"",IF(Input!Q187&lt;&gt;"",ROUNDDOWN(Input!Q187,0),0),"")</f>
        <v/>
      </c>
      <c r="X187" t="str">
        <f>IF(Input!R187&lt;&gt;"",Input!R187,"")</f>
        <v/>
      </c>
      <c r="Y187" t="str">
        <f t="shared" si="27"/>
        <v/>
      </c>
      <c r="Z187" t="str">
        <f>IF(X187&lt;&gt;"",IF(Input!T187&lt;&gt;"",ROUNDDOWN(Input!T187,0),0),"")</f>
        <v/>
      </c>
      <c r="AA187" t="str">
        <f>IF(Input!U187&lt;&gt;"",Input!U187,"")</f>
        <v/>
      </c>
      <c r="AB187" t="str">
        <f t="shared" si="28"/>
        <v/>
      </c>
      <c r="AC187" t="str">
        <f>IF(AA187&lt;&gt;"",IF(Input!W187&lt;&gt;"",ROUNDDOWN(Input!W187,0),0),"")</f>
        <v/>
      </c>
      <c r="AD187" t="str">
        <f>IF(Input!X187&lt;&gt;"",Input!X187,"")</f>
        <v/>
      </c>
      <c r="AE187" t="str">
        <f t="shared" si="29"/>
        <v/>
      </c>
      <c r="AF187" t="str">
        <f>IF(AD187&lt;&gt;"",IF(Input!Z187&lt;&gt;"",ROUNDDOWN(Input!Z187,0),0),"")</f>
        <v/>
      </c>
      <c r="AG187" t="str">
        <f>IF(Input!AA187&lt;&gt;"",Input!AA187,"")</f>
        <v/>
      </c>
      <c r="AH187" t="str">
        <f t="shared" si="30"/>
        <v/>
      </c>
      <c r="AI187" t="str">
        <f>IF(AG187&lt;&gt;"",IF(Input!AC187&lt;&gt;"",ROUNDDOWN(Input!AC187,0),0),"")</f>
        <v/>
      </c>
      <c r="AJ187" t="str">
        <f>IF(Input!AD187&lt;&gt;"",Input!AD187,"")</f>
        <v/>
      </c>
      <c r="AK187" t="str">
        <f t="shared" si="31"/>
        <v/>
      </c>
      <c r="AL187" t="str">
        <f>IF(AJ187&lt;&gt;"",IF(Input!AF187&lt;&gt;"",ROUNDDOWN(Input!AF187,0),0),"")</f>
        <v/>
      </c>
      <c r="AM187" t="str">
        <f>IF(Input!AG187&lt;&gt;"",Input!AG187,"")</f>
        <v/>
      </c>
      <c r="AN187" t="str">
        <f t="shared" si="32"/>
        <v/>
      </c>
      <c r="AO187" t="str">
        <f>IF(AM187&lt;&gt;"",IF(Input!AI187&lt;&gt;"",ROUNDDOWN(Input!AI187,0),0),"")</f>
        <v/>
      </c>
    </row>
    <row r="188" spans="1:41" ht="16.5" thickTop="1" thickBot="1" x14ac:dyDescent="0.4">
      <c r="A188" s="100">
        <f>IF(ISBLANK(Input!A188),1000,IF(Input!E188&gt;0,Input!E188+F188,1000))</f>
        <v>1000</v>
      </c>
      <c r="B188" s="101">
        <f t="shared" si="22"/>
        <v>1000</v>
      </c>
      <c r="C188" s="4">
        <v>187</v>
      </c>
      <c r="D188" s="29">
        <f>IF(ISBLANK(Input!A188),1000,IF(Input!G188&gt;0,Input!G188+F188,1000))</f>
        <v>1000</v>
      </c>
      <c r="E188" s="29">
        <f t="shared" si="23"/>
        <v>1000</v>
      </c>
      <c r="F188" s="4">
        <v>0.187</v>
      </c>
      <c r="I188" t="str">
        <f>IF(Input!A188&gt;0,Input!A188,"")</f>
        <v/>
      </c>
      <c r="J188" t="str">
        <f>IF(Input!B188&gt;0,Input!B188,"")</f>
        <v/>
      </c>
      <c r="K188" t="str">
        <f>IF(Input!C188&gt;0,Input!C188,"")</f>
        <v/>
      </c>
      <c r="L188" t="str">
        <f>IF(Input!D188&gt;0,Input!D188,"")</f>
        <v/>
      </c>
      <c r="M188" t="str">
        <f>IF(Input!E188&gt;0,Input!E188,"")</f>
        <v xml:space="preserve"> </v>
      </c>
      <c r="N188" t="str">
        <f>IF(Input!F188&gt;0,Input!F188,"")</f>
        <v xml:space="preserve"> </v>
      </c>
      <c r="O188" t="str">
        <f>IF(Input!I188&lt;&gt;"",Input!I188,"")</f>
        <v/>
      </c>
      <c r="P188" t="str">
        <f t="shared" si="24"/>
        <v/>
      </c>
      <c r="Q188" t="str">
        <f>IF(O188&lt;&gt;"",IF(Input!K188&lt;&gt;"",ROUNDDOWN(Input!K188,0),0),"")</f>
        <v/>
      </c>
      <c r="R188" t="str">
        <f>IF(Input!L188&lt;&gt;"",Input!L188,"")</f>
        <v/>
      </c>
      <c r="S188" t="str">
        <f t="shared" si="25"/>
        <v/>
      </c>
      <c r="T188" t="str">
        <f>IF(R188&lt;&gt;"",IF(Input!N188&lt;&gt;"",ROUNDDOWN(Input!N188,0),0),"")</f>
        <v/>
      </c>
      <c r="U188" t="str">
        <f>IF(Input!O188&lt;&gt;"",Input!O188,"")</f>
        <v/>
      </c>
      <c r="V188" t="str">
        <f t="shared" si="26"/>
        <v/>
      </c>
      <c r="W188" t="str">
        <f>IF(U188&lt;&gt;"",IF(Input!Q188&lt;&gt;"",ROUNDDOWN(Input!Q188,0),0),"")</f>
        <v/>
      </c>
      <c r="X188" t="str">
        <f>IF(Input!R188&lt;&gt;"",Input!R188,"")</f>
        <v/>
      </c>
      <c r="Y188" t="str">
        <f t="shared" si="27"/>
        <v/>
      </c>
      <c r="Z188" t="str">
        <f>IF(X188&lt;&gt;"",IF(Input!T188&lt;&gt;"",ROUNDDOWN(Input!T188,0),0),"")</f>
        <v/>
      </c>
      <c r="AA188" t="str">
        <f>IF(Input!U188&lt;&gt;"",Input!U188,"")</f>
        <v/>
      </c>
      <c r="AB188" t="str">
        <f t="shared" si="28"/>
        <v/>
      </c>
      <c r="AC188" t="str">
        <f>IF(AA188&lt;&gt;"",IF(Input!W188&lt;&gt;"",ROUNDDOWN(Input!W188,0),0),"")</f>
        <v/>
      </c>
      <c r="AD188" t="str">
        <f>IF(Input!X188&lt;&gt;"",Input!X188,"")</f>
        <v/>
      </c>
      <c r="AE188" t="str">
        <f t="shared" si="29"/>
        <v/>
      </c>
      <c r="AF188" t="str">
        <f>IF(AD188&lt;&gt;"",IF(Input!Z188&lt;&gt;"",ROUNDDOWN(Input!Z188,0),0),"")</f>
        <v/>
      </c>
      <c r="AG188" t="str">
        <f>IF(Input!AA188&lt;&gt;"",Input!AA188,"")</f>
        <v/>
      </c>
      <c r="AH188" t="str">
        <f t="shared" si="30"/>
        <v/>
      </c>
      <c r="AI188" t="str">
        <f>IF(AG188&lt;&gt;"",IF(Input!AC188&lt;&gt;"",ROUNDDOWN(Input!AC188,0),0),"")</f>
        <v/>
      </c>
      <c r="AJ188" t="str">
        <f>IF(Input!AD188&lt;&gt;"",Input!AD188,"")</f>
        <v/>
      </c>
      <c r="AK188" t="str">
        <f t="shared" si="31"/>
        <v/>
      </c>
      <c r="AL188" t="str">
        <f>IF(AJ188&lt;&gt;"",IF(Input!AF188&lt;&gt;"",ROUNDDOWN(Input!AF188,0),0),"")</f>
        <v/>
      </c>
      <c r="AM188" t="str">
        <f>IF(Input!AG188&lt;&gt;"",Input!AG188,"")</f>
        <v/>
      </c>
      <c r="AN188" t="str">
        <f t="shared" si="32"/>
        <v/>
      </c>
      <c r="AO188" t="str">
        <f>IF(AM188&lt;&gt;"",IF(Input!AI188&lt;&gt;"",ROUNDDOWN(Input!AI188,0),0),"")</f>
        <v/>
      </c>
    </row>
    <row r="189" spans="1:41" ht="16.5" thickTop="1" thickBot="1" x14ac:dyDescent="0.4">
      <c r="A189" s="100">
        <f>IF(ISBLANK(Input!A189),1000,IF(Input!E189&gt;0,Input!E189+F189,1000))</f>
        <v>1000</v>
      </c>
      <c r="B189" s="101">
        <f t="shared" si="22"/>
        <v>1000</v>
      </c>
      <c r="C189" s="4">
        <v>188</v>
      </c>
      <c r="D189" s="29">
        <f>IF(ISBLANK(Input!A189),1000,IF(Input!G189&gt;0,Input!G189+F189,1000))</f>
        <v>1000</v>
      </c>
      <c r="E189" s="29">
        <f t="shared" si="23"/>
        <v>1000</v>
      </c>
      <c r="F189" s="4">
        <v>0.188</v>
      </c>
      <c r="I189" t="str">
        <f>IF(Input!A189&gt;0,Input!A189,"")</f>
        <v/>
      </c>
      <c r="J189" t="str">
        <f>IF(Input!B189&gt;0,Input!B189,"")</f>
        <v/>
      </c>
      <c r="K189" t="str">
        <f>IF(Input!C189&gt;0,Input!C189,"")</f>
        <v/>
      </c>
      <c r="L189" t="str">
        <f>IF(Input!D189&gt;0,Input!D189,"")</f>
        <v/>
      </c>
      <c r="M189" t="str">
        <f>IF(Input!E189&gt;0,Input!E189,"")</f>
        <v xml:space="preserve"> </v>
      </c>
      <c r="N189" t="str">
        <f>IF(Input!F189&gt;0,Input!F189,"")</f>
        <v xml:space="preserve"> </v>
      </c>
      <c r="O189" t="str">
        <f>IF(Input!I189&lt;&gt;"",Input!I189,"")</f>
        <v/>
      </c>
      <c r="P189" t="str">
        <f t="shared" si="24"/>
        <v/>
      </c>
      <c r="Q189" t="str">
        <f>IF(O189&lt;&gt;"",IF(Input!K189&lt;&gt;"",ROUNDDOWN(Input!K189,0),0),"")</f>
        <v/>
      </c>
      <c r="R189" t="str">
        <f>IF(Input!L189&lt;&gt;"",Input!L189,"")</f>
        <v/>
      </c>
      <c r="S189" t="str">
        <f t="shared" si="25"/>
        <v/>
      </c>
      <c r="T189" t="str">
        <f>IF(R189&lt;&gt;"",IF(Input!N189&lt;&gt;"",ROUNDDOWN(Input!N189,0),0),"")</f>
        <v/>
      </c>
      <c r="U189" t="str">
        <f>IF(Input!O189&lt;&gt;"",Input!O189,"")</f>
        <v/>
      </c>
      <c r="V189" t="str">
        <f t="shared" si="26"/>
        <v/>
      </c>
      <c r="W189" t="str">
        <f>IF(U189&lt;&gt;"",IF(Input!Q189&lt;&gt;"",ROUNDDOWN(Input!Q189,0),0),"")</f>
        <v/>
      </c>
      <c r="X189" t="str">
        <f>IF(Input!R189&lt;&gt;"",Input!R189,"")</f>
        <v/>
      </c>
      <c r="Y189" t="str">
        <f t="shared" si="27"/>
        <v/>
      </c>
      <c r="Z189" t="str">
        <f>IF(X189&lt;&gt;"",IF(Input!T189&lt;&gt;"",ROUNDDOWN(Input!T189,0),0),"")</f>
        <v/>
      </c>
      <c r="AA189" t="str">
        <f>IF(Input!U189&lt;&gt;"",Input!U189,"")</f>
        <v/>
      </c>
      <c r="AB189" t="str">
        <f t="shared" si="28"/>
        <v/>
      </c>
      <c r="AC189" t="str">
        <f>IF(AA189&lt;&gt;"",IF(Input!W189&lt;&gt;"",ROUNDDOWN(Input!W189,0),0),"")</f>
        <v/>
      </c>
      <c r="AD189" t="str">
        <f>IF(Input!X189&lt;&gt;"",Input!X189,"")</f>
        <v/>
      </c>
      <c r="AE189" t="str">
        <f t="shared" si="29"/>
        <v/>
      </c>
      <c r="AF189" t="str">
        <f>IF(AD189&lt;&gt;"",IF(Input!Z189&lt;&gt;"",ROUNDDOWN(Input!Z189,0),0),"")</f>
        <v/>
      </c>
      <c r="AG189" t="str">
        <f>IF(Input!AA189&lt;&gt;"",Input!AA189,"")</f>
        <v/>
      </c>
      <c r="AH189" t="str">
        <f t="shared" si="30"/>
        <v/>
      </c>
      <c r="AI189" t="str">
        <f>IF(AG189&lt;&gt;"",IF(Input!AC189&lt;&gt;"",ROUNDDOWN(Input!AC189,0),0),"")</f>
        <v/>
      </c>
      <c r="AJ189" t="str">
        <f>IF(Input!AD189&lt;&gt;"",Input!AD189,"")</f>
        <v/>
      </c>
      <c r="AK189" t="str">
        <f t="shared" si="31"/>
        <v/>
      </c>
      <c r="AL189" t="str">
        <f>IF(AJ189&lt;&gt;"",IF(Input!AF189&lt;&gt;"",ROUNDDOWN(Input!AF189,0),0),"")</f>
        <v/>
      </c>
      <c r="AM189" t="str">
        <f>IF(Input!AG189&lt;&gt;"",Input!AG189,"")</f>
        <v/>
      </c>
      <c r="AN189" t="str">
        <f t="shared" si="32"/>
        <v/>
      </c>
      <c r="AO189" t="str">
        <f>IF(AM189&lt;&gt;"",IF(Input!AI189&lt;&gt;"",ROUNDDOWN(Input!AI189,0),0),"")</f>
        <v/>
      </c>
    </row>
    <row r="190" spans="1:41" ht="16.5" thickTop="1" thickBot="1" x14ac:dyDescent="0.4">
      <c r="A190" s="100">
        <f>IF(ISBLANK(Input!A190),1000,IF(Input!E190&gt;0,Input!E190+F190,1000))</f>
        <v>1000</v>
      </c>
      <c r="B190" s="101">
        <f t="shared" si="22"/>
        <v>1000</v>
      </c>
      <c r="C190" s="4">
        <v>189</v>
      </c>
      <c r="D190" s="29">
        <f>IF(ISBLANK(Input!A190),1000,IF(Input!G190&gt;0,Input!G190+F190,1000))</f>
        <v>1000</v>
      </c>
      <c r="E190" s="29">
        <f t="shared" si="23"/>
        <v>1000</v>
      </c>
      <c r="F190" s="4">
        <v>0.189</v>
      </c>
      <c r="I190" t="str">
        <f>IF(Input!A190&gt;0,Input!A190,"")</f>
        <v/>
      </c>
      <c r="J190" t="str">
        <f>IF(Input!B190&gt;0,Input!B190,"")</f>
        <v/>
      </c>
      <c r="K190" t="str">
        <f>IF(Input!C190&gt;0,Input!C190,"")</f>
        <v/>
      </c>
      <c r="L190" t="str">
        <f>IF(Input!D190&gt;0,Input!D190,"")</f>
        <v/>
      </c>
      <c r="M190" t="str">
        <f>IF(Input!E190&gt;0,Input!E190,"")</f>
        <v xml:space="preserve"> </v>
      </c>
      <c r="N190" t="str">
        <f>IF(Input!F190&gt;0,Input!F190,"")</f>
        <v xml:space="preserve"> </v>
      </c>
      <c r="O190" t="str">
        <f>IF(Input!I190&lt;&gt;"",Input!I190,"")</f>
        <v/>
      </c>
      <c r="P190" t="str">
        <f t="shared" si="24"/>
        <v/>
      </c>
      <c r="Q190" t="str">
        <f>IF(O190&lt;&gt;"",IF(Input!K190&lt;&gt;"",ROUNDDOWN(Input!K190,0),0),"")</f>
        <v/>
      </c>
      <c r="R190" t="str">
        <f>IF(Input!L190&lt;&gt;"",Input!L190,"")</f>
        <v/>
      </c>
      <c r="S190" t="str">
        <f t="shared" si="25"/>
        <v/>
      </c>
      <c r="T190" t="str">
        <f>IF(R190&lt;&gt;"",IF(Input!N190&lt;&gt;"",ROUNDDOWN(Input!N190,0),0),"")</f>
        <v/>
      </c>
      <c r="U190" t="str">
        <f>IF(Input!O190&lt;&gt;"",Input!O190,"")</f>
        <v/>
      </c>
      <c r="V190" t="str">
        <f t="shared" si="26"/>
        <v/>
      </c>
      <c r="W190" t="str">
        <f>IF(U190&lt;&gt;"",IF(Input!Q190&lt;&gt;"",ROUNDDOWN(Input!Q190,0),0),"")</f>
        <v/>
      </c>
      <c r="X190" t="str">
        <f>IF(Input!R190&lt;&gt;"",Input!R190,"")</f>
        <v/>
      </c>
      <c r="Y190" t="str">
        <f t="shared" si="27"/>
        <v/>
      </c>
      <c r="Z190" t="str">
        <f>IF(X190&lt;&gt;"",IF(Input!T190&lt;&gt;"",ROUNDDOWN(Input!T190,0),0),"")</f>
        <v/>
      </c>
      <c r="AA190" t="str">
        <f>IF(Input!U190&lt;&gt;"",Input!U190,"")</f>
        <v/>
      </c>
      <c r="AB190" t="str">
        <f t="shared" si="28"/>
        <v/>
      </c>
      <c r="AC190" t="str">
        <f>IF(AA190&lt;&gt;"",IF(Input!W190&lt;&gt;"",ROUNDDOWN(Input!W190,0),0),"")</f>
        <v/>
      </c>
      <c r="AD190" t="str">
        <f>IF(Input!X190&lt;&gt;"",Input!X190,"")</f>
        <v/>
      </c>
      <c r="AE190" t="str">
        <f t="shared" si="29"/>
        <v/>
      </c>
      <c r="AF190" t="str">
        <f>IF(AD190&lt;&gt;"",IF(Input!Z190&lt;&gt;"",ROUNDDOWN(Input!Z190,0),0),"")</f>
        <v/>
      </c>
      <c r="AG190" t="str">
        <f>IF(Input!AA190&lt;&gt;"",Input!AA190,"")</f>
        <v/>
      </c>
      <c r="AH190" t="str">
        <f t="shared" si="30"/>
        <v/>
      </c>
      <c r="AI190" t="str">
        <f>IF(AG190&lt;&gt;"",IF(Input!AC190&lt;&gt;"",ROUNDDOWN(Input!AC190,0),0),"")</f>
        <v/>
      </c>
      <c r="AJ190" t="str">
        <f>IF(Input!AD190&lt;&gt;"",Input!AD190,"")</f>
        <v/>
      </c>
      <c r="AK190" t="str">
        <f t="shared" si="31"/>
        <v/>
      </c>
      <c r="AL190" t="str">
        <f>IF(AJ190&lt;&gt;"",IF(Input!AF190&lt;&gt;"",ROUNDDOWN(Input!AF190,0),0),"")</f>
        <v/>
      </c>
      <c r="AM190" t="str">
        <f>IF(Input!AG190&lt;&gt;"",Input!AG190,"")</f>
        <v/>
      </c>
      <c r="AN190" t="str">
        <f t="shared" si="32"/>
        <v/>
      </c>
      <c r="AO190" t="str">
        <f>IF(AM190&lt;&gt;"",IF(Input!AI190&lt;&gt;"",ROUNDDOWN(Input!AI190,0),0),"")</f>
        <v/>
      </c>
    </row>
    <row r="191" spans="1:41" ht="16.5" thickTop="1" thickBot="1" x14ac:dyDescent="0.4">
      <c r="A191" s="100">
        <f>IF(ISBLANK(Input!A191),1000,IF(Input!E191&gt;0,Input!E191+F191,1000))</f>
        <v>1000</v>
      </c>
      <c r="B191" s="101">
        <f t="shared" si="22"/>
        <v>1000</v>
      </c>
      <c r="C191" s="4">
        <v>190</v>
      </c>
      <c r="D191" s="29">
        <f>IF(ISBLANK(Input!A191),1000,IF(Input!G191&gt;0,Input!G191+F191,1000))</f>
        <v>1000</v>
      </c>
      <c r="E191" s="29">
        <f t="shared" si="23"/>
        <v>1000</v>
      </c>
      <c r="F191" s="4">
        <v>0.19</v>
      </c>
      <c r="I191" t="str">
        <f>IF(Input!A191&gt;0,Input!A191,"")</f>
        <v/>
      </c>
      <c r="J191" t="str">
        <f>IF(Input!B191&gt;0,Input!B191,"")</f>
        <v/>
      </c>
      <c r="K191" t="str">
        <f>IF(Input!C191&gt;0,Input!C191,"")</f>
        <v/>
      </c>
      <c r="L191" t="str">
        <f>IF(Input!D191&gt;0,Input!D191,"")</f>
        <v/>
      </c>
      <c r="M191" t="str">
        <f>IF(Input!E191&gt;0,Input!E191,"")</f>
        <v xml:space="preserve"> </v>
      </c>
      <c r="N191" t="str">
        <f>IF(Input!F191&gt;0,Input!F191,"")</f>
        <v xml:space="preserve"> </v>
      </c>
      <c r="O191" t="str">
        <f>IF(Input!I191&lt;&gt;"",Input!I191,"")</f>
        <v/>
      </c>
      <c r="P191" t="str">
        <f t="shared" si="24"/>
        <v/>
      </c>
      <c r="Q191" t="str">
        <f>IF(O191&lt;&gt;"",IF(Input!K191&lt;&gt;"",ROUNDDOWN(Input!K191,0),0),"")</f>
        <v/>
      </c>
      <c r="R191" t="str">
        <f>IF(Input!L191&lt;&gt;"",Input!L191,"")</f>
        <v/>
      </c>
      <c r="S191" t="str">
        <f t="shared" si="25"/>
        <v/>
      </c>
      <c r="T191" t="str">
        <f>IF(R191&lt;&gt;"",IF(Input!N191&lt;&gt;"",ROUNDDOWN(Input!N191,0),0),"")</f>
        <v/>
      </c>
      <c r="U191" t="str">
        <f>IF(Input!O191&lt;&gt;"",Input!O191,"")</f>
        <v/>
      </c>
      <c r="V191" t="str">
        <f t="shared" si="26"/>
        <v/>
      </c>
      <c r="W191" t="str">
        <f>IF(U191&lt;&gt;"",IF(Input!Q191&lt;&gt;"",ROUNDDOWN(Input!Q191,0),0),"")</f>
        <v/>
      </c>
      <c r="X191" t="str">
        <f>IF(Input!R191&lt;&gt;"",Input!R191,"")</f>
        <v/>
      </c>
      <c r="Y191" t="str">
        <f t="shared" si="27"/>
        <v/>
      </c>
      <c r="Z191" t="str">
        <f>IF(X191&lt;&gt;"",IF(Input!T191&lt;&gt;"",ROUNDDOWN(Input!T191,0),0),"")</f>
        <v/>
      </c>
      <c r="AA191" t="str">
        <f>IF(Input!U191&lt;&gt;"",Input!U191,"")</f>
        <v/>
      </c>
      <c r="AB191" t="str">
        <f t="shared" si="28"/>
        <v/>
      </c>
      <c r="AC191" t="str">
        <f>IF(AA191&lt;&gt;"",IF(Input!W191&lt;&gt;"",ROUNDDOWN(Input!W191,0),0),"")</f>
        <v/>
      </c>
      <c r="AD191" t="str">
        <f>IF(Input!X191&lt;&gt;"",Input!X191,"")</f>
        <v/>
      </c>
      <c r="AE191" t="str">
        <f t="shared" si="29"/>
        <v/>
      </c>
      <c r="AF191" t="str">
        <f>IF(AD191&lt;&gt;"",IF(Input!Z191&lt;&gt;"",ROUNDDOWN(Input!Z191,0),0),"")</f>
        <v/>
      </c>
      <c r="AG191" t="str">
        <f>IF(Input!AA191&lt;&gt;"",Input!AA191,"")</f>
        <v/>
      </c>
      <c r="AH191" t="str">
        <f t="shared" si="30"/>
        <v/>
      </c>
      <c r="AI191" t="str">
        <f>IF(AG191&lt;&gt;"",IF(Input!AC191&lt;&gt;"",ROUNDDOWN(Input!AC191,0),0),"")</f>
        <v/>
      </c>
      <c r="AJ191" t="str">
        <f>IF(Input!AD191&lt;&gt;"",Input!AD191,"")</f>
        <v/>
      </c>
      <c r="AK191" t="str">
        <f t="shared" si="31"/>
        <v/>
      </c>
      <c r="AL191" t="str">
        <f>IF(AJ191&lt;&gt;"",IF(Input!AF191&lt;&gt;"",ROUNDDOWN(Input!AF191,0),0),"")</f>
        <v/>
      </c>
      <c r="AM191" t="str">
        <f>IF(Input!AG191&lt;&gt;"",Input!AG191,"")</f>
        <v/>
      </c>
      <c r="AN191" t="str">
        <f t="shared" si="32"/>
        <v/>
      </c>
      <c r="AO191" t="str">
        <f>IF(AM191&lt;&gt;"",IF(Input!AI191&lt;&gt;"",ROUNDDOWN(Input!AI191,0),0),"")</f>
        <v/>
      </c>
    </row>
    <row r="192" spans="1:41" ht="16.5" thickTop="1" thickBot="1" x14ac:dyDescent="0.4">
      <c r="A192" s="100">
        <f>IF(ISBLANK(Input!A192),1000,IF(Input!E192&gt;0,Input!E192+F192,1000))</f>
        <v>1000</v>
      </c>
      <c r="B192" s="101">
        <f t="shared" si="22"/>
        <v>1000</v>
      </c>
      <c r="C192" s="4">
        <v>191</v>
      </c>
      <c r="D192" s="29">
        <f>IF(ISBLANK(Input!A192),1000,IF(Input!G192&gt;0,Input!G192+F192,1000))</f>
        <v>1000</v>
      </c>
      <c r="E192" s="29">
        <f t="shared" si="23"/>
        <v>1000</v>
      </c>
      <c r="F192" s="4">
        <v>0.191</v>
      </c>
      <c r="I192" t="str">
        <f>IF(Input!A192&gt;0,Input!A192,"")</f>
        <v/>
      </c>
      <c r="J192" t="str">
        <f>IF(Input!B192&gt;0,Input!B192,"")</f>
        <v/>
      </c>
      <c r="K192" t="str">
        <f>IF(Input!C192&gt;0,Input!C192,"")</f>
        <v/>
      </c>
      <c r="L192" t="str">
        <f>IF(Input!D192&gt;0,Input!D192,"")</f>
        <v/>
      </c>
      <c r="M192" t="str">
        <f>IF(Input!E192&gt;0,Input!E192,"")</f>
        <v xml:space="preserve"> </v>
      </c>
      <c r="N192" t="str">
        <f>IF(Input!F192&gt;0,Input!F192,"")</f>
        <v xml:space="preserve"> </v>
      </c>
      <c r="O192" t="str">
        <f>IF(Input!I192&lt;&gt;"",Input!I192,"")</f>
        <v/>
      </c>
      <c r="P192" t="str">
        <f t="shared" si="24"/>
        <v/>
      </c>
      <c r="Q192" t="str">
        <f>IF(O192&lt;&gt;"",IF(Input!K192&lt;&gt;"",ROUNDDOWN(Input!K192,0),0),"")</f>
        <v/>
      </c>
      <c r="R192" t="str">
        <f>IF(Input!L192&lt;&gt;"",Input!L192,"")</f>
        <v/>
      </c>
      <c r="S192" t="str">
        <f t="shared" si="25"/>
        <v/>
      </c>
      <c r="T192" t="str">
        <f>IF(R192&lt;&gt;"",IF(Input!N192&lt;&gt;"",ROUNDDOWN(Input!N192,0),0),"")</f>
        <v/>
      </c>
      <c r="U192" t="str">
        <f>IF(Input!O192&lt;&gt;"",Input!O192,"")</f>
        <v/>
      </c>
      <c r="V192" t="str">
        <f t="shared" si="26"/>
        <v/>
      </c>
      <c r="W192" t="str">
        <f>IF(U192&lt;&gt;"",IF(Input!Q192&lt;&gt;"",ROUNDDOWN(Input!Q192,0),0),"")</f>
        <v/>
      </c>
      <c r="X192" t="str">
        <f>IF(Input!R192&lt;&gt;"",Input!R192,"")</f>
        <v/>
      </c>
      <c r="Y192" t="str">
        <f t="shared" si="27"/>
        <v/>
      </c>
      <c r="Z192" t="str">
        <f>IF(X192&lt;&gt;"",IF(Input!T192&lt;&gt;"",ROUNDDOWN(Input!T192,0),0),"")</f>
        <v/>
      </c>
      <c r="AA192" t="str">
        <f>IF(Input!U192&lt;&gt;"",Input!U192,"")</f>
        <v/>
      </c>
      <c r="AB192" t="str">
        <f t="shared" si="28"/>
        <v/>
      </c>
      <c r="AC192" t="str">
        <f>IF(AA192&lt;&gt;"",IF(Input!W192&lt;&gt;"",ROUNDDOWN(Input!W192,0),0),"")</f>
        <v/>
      </c>
      <c r="AD192" t="str">
        <f>IF(Input!X192&lt;&gt;"",Input!X192,"")</f>
        <v/>
      </c>
      <c r="AE192" t="str">
        <f t="shared" si="29"/>
        <v/>
      </c>
      <c r="AF192" t="str">
        <f>IF(AD192&lt;&gt;"",IF(Input!Z192&lt;&gt;"",ROUNDDOWN(Input!Z192,0),0),"")</f>
        <v/>
      </c>
      <c r="AG192" t="str">
        <f>IF(Input!AA192&lt;&gt;"",Input!AA192,"")</f>
        <v/>
      </c>
      <c r="AH192" t="str">
        <f t="shared" si="30"/>
        <v/>
      </c>
      <c r="AI192" t="str">
        <f>IF(AG192&lt;&gt;"",IF(Input!AC192&lt;&gt;"",ROUNDDOWN(Input!AC192,0),0),"")</f>
        <v/>
      </c>
      <c r="AJ192" t="str">
        <f>IF(Input!AD192&lt;&gt;"",Input!AD192,"")</f>
        <v/>
      </c>
      <c r="AK192" t="str">
        <f t="shared" si="31"/>
        <v/>
      </c>
      <c r="AL192" t="str">
        <f>IF(AJ192&lt;&gt;"",IF(Input!AF192&lt;&gt;"",ROUNDDOWN(Input!AF192,0),0),"")</f>
        <v/>
      </c>
      <c r="AM192" t="str">
        <f>IF(Input!AG192&lt;&gt;"",Input!AG192,"")</f>
        <v/>
      </c>
      <c r="AN192" t="str">
        <f t="shared" si="32"/>
        <v/>
      </c>
      <c r="AO192" t="str">
        <f>IF(AM192&lt;&gt;"",IF(Input!AI192&lt;&gt;"",ROUNDDOWN(Input!AI192,0),0),"")</f>
        <v/>
      </c>
    </row>
    <row r="193" spans="1:41" ht="16.5" thickTop="1" thickBot="1" x14ac:dyDescent="0.4">
      <c r="A193" s="100">
        <f>IF(ISBLANK(Input!A193),1000,IF(Input!E193&gt;0,Input!E193+F193,1000))</f>
        <v>1000</v>
      </c>
      <c r="B193" s="101">
        <f t="shared" si="22"/>
        <v>1000</v>
      </c>
      <c r="C193" s="4">
        <v>192</v>
      </c>
      <c r="D193" s="29">
        <f>IF(ISBLANK(Input!A193),1000,IF(Input!G193&gt;0,Input!G193+F193,1000))</f>
        <v>1000</v>
      </c>
      <c r="E193" s="29">
        <f t="shared" si="23"/>
        <v>1000</v>
      </c>
      <c r="F193" s="4">
        <v>0.192</v>
      </c>
      <c r="I193" t="str">
        <f>IF(Input!A193&gt;0,Input!A193,"")</f>
        <v/>
      </c>
      <c r="J193" t="str">
        <f>IF(Input!B193&gt;0,Input!B193,"")</f>
        <v/>
      </c>
      <c r="K193" t="str">
        <f>IF(Input!C193&gt;0,Input!C193,"")</f>
        <v/>
      </c>
      <c r="L193" t="str">
        <f>IF(Input!D193&gt;0,Input!D193,"")</f>
        <v/>
      </c>
      <c r="M193" t="str">
        <f>IF(Input!E193&gt;0,Input!E193,"")</f>
        <v xml:space="preserve"> </v>
      </c>
      <c r="N193" t="str">
        <f>IF(Input!F193&gt;0,Input!F193,"")</f>
        <v xml:space="preserve"> </v>
      </c>
      <c r="O193" t="str">
        <f>IF(Input!I193&lt;&gt;"",Input!I193,"")</f>
        <v/>
      </c>
      <c r="P193" t="str">
        <f t="shared" si="24"/>
        <v/>
      </c>
      <c r="Q193" t="str">
        <f>IF(O193&lt;&gt;"",IF(Input!K193&lt;&gt;"",ROUNDDOWN(Input!K193,0),0),"")</f>
        <v/>
      </c>
      <c r="R193" t="str">
        <f>IF(Input!L193&lt;&gt;"",Input!L193,"")</f>
        <v/>
      </c>
      <c r="S193" t="str">
        <f t="shared" si="25"/>
        <v/>
      </c>
      <c r="T193" t="str">
        <f>IF(R193&lt;&gt;"",IF(Input!N193&lt;&gt;"",ROUNDDOWN(Input!N193,0),0),"")</f>
        <v/>
      </c>
      <c r="U193" t="str">
        <f>IF(Input!O193&lt;&gt;"",Input!O193,"")</f>
        <v/>
      </c>
      <c r="V193" t="str">
        <f t="shared" si="26"/>
        <v/>
      </c>
      <c r="W193" t="str">
        <f>IF(U193&lt;&gt;"",IF(Input!Q193&lt;&gt;"",ROUNDDOWN(Input!Q193,0),0),"")</f>
        <v/>
      </c>
      <c r="X193" t="str">
        <f>IF(Input!R193&lt;&gt;"",Input!R193,"")</f>
        <v/>
      </c>
      <c r="Y193" t="str">
        <f t="shared" si="27"/>
        <v/>
      </c>
      <c r="Z193" t="str">
        <f>IF(X193&lt;&gt;"",IF(Input!T193&lt;&gt;"",ROUNDDOWN(Input!T193,0),0),"")</f>
        <v/>
      </c>
      <c r="AA193" t="str">
        <f>IF(Input!U193&lt;&gt;"",Input!U193,"")</f>
        <v/>
      </c>
      <c r="AB193" t="str">
        <f t="shared" si="28"/>
        <v/>
      </c>
      <c r="AC193" t="str">
        <f>IF(AA193&lt;&gt;"",IF(Input!W193&lt;&gt;"",ROUNDDOWN(Input!W193,0),0),"")</f>
        <v/>
      </c>
      <c r="AD193" t="str">
        <f>IF(Input!X193&lt;&gt;"",Input!X193,"")</f>
        <v/>
      </c>
      <c r="AE193" t="str">
        <f t="shared" si="29"/>
        <v/>
      </c>
      <c r="AF193" t="str">
        <f>IF(AD193&lt;&gt;"",IF(Input!Z193&lt;&gt;"",ROUNDDOWN(Input!Z193,0),0),"")</f>
        <v/>
      </c>
      <c r="AG193" t="str">
        <f>IF(Input!AA193&lt;&gt;"",Input!AA193,"")</f>
        <v/>
      </c>
      <c r="AH193" t="str">
        <f t="shared" si="30"/>
        <v/>
      </c>
      <c r="AI193" t="str">
        <f>IF(AG193&lt;&gt;"",IF(Input!AC193&lt;&gt;"",ROUNDDOWN(Input!AC193,0),0),"")</f>
        <v/>
      </c>
      <c r="AJ193" t="str">
        <f>IF(Input!AD193&lt;&gt;"",Input!AD193,"")</f>
        <v/>
      </c>
      <c r="AK193" t="str">
        <f t="shared" si="31"/>
        <v/>
      </c>
      <c r="AL193" t="str">
        <f>IF(AJ193&lt;&gt;"",IF(Input!AF193&lt;&gt;"",ROUNDDOWN(Input!AF193,0),0),"")</f>
        <v/>
      </c>
      <c r="AM193" t="str">
        <f>IF(Input!AG193&lt;&gt;"",Input!AG193,"")</f>
        <v/>
      </c>
      <c r="AN193" t="str">
        <f t="shared" si="32"/>
        <v/>
      </c>
      <c r="AO193" t="str">
        <f>IF(AM193&lt;&gt;"",IF(Input!AI193&lt;&gt;"",ROUNDDOWN(Input!AI193,0),0),"")</f>
        <v/>
      </c>
    </row>
    <row r="194" spans="1:41" ht="16.5" thickTop="1" thickBot="1" x14ac:dyDescent="0.4">
      <c r="A194" s="100">
        <f>IF(ISBLANK(Input!A194),1000,IF(Input!E194&gt;0,Input!E194+F194,1000))</f>
        <v>1000</v>
      </c>
      <c r="B194" s="101">
        <f t="shared" si="22"/>
        <v>1000</v>
      </c>
      <c r="C194" s="4">
        <v>193</v>
      </c>
      <c r="D194" s="29">
        <f>IF(ISBLANK(Input!A194),1000,IF(Input!G194&gt;0,Input!G194+F194,1000))</f>
        <v>1000</v>
      </c>
      <c r="E194" s="29">
        <f t="shared" si="23"/>
        <v>1000</v>
      </c>
      <c r="F194" s="4">
        <v>0.193</v>
      </c>
      <c r="I194" t="str">
        <f>IF(Input!A194&gt;0,Input!A194,"")</f>
        <v/>
      </c>
      <c r="J194" t="str">
        <f>IF(Input!B194&gt;0,Input!B194,"")</f>
        <v/>
      </c>
      <c r="K194" t="str">
        <f>IF(Input!C194&gt;0,Input!C194,"")</f>
        <v/>
      </c>
      <c r="L194" t="str">
        <f>IF(Input!D194&gt;0,Input!D194,"")</f>
        <v/>
      </c>
      <c r="M194" t="str">
        <f>IF(Input!E194&gt;0,Input!E194,"")</f>
        <v xml:space="preserve"> </v>
      </c>
      <c r="N194" t="str">
        <f>IF(Input!F194&gt;0,Input!F194,"")</f>
        <v xml:space="preserve"> </v>
      </c>
      <c r="O194" t="str">
        <f>IF(Input!I194&lt;&gt;"",Input!I194,"")</f>
        <v/>
      </c>
      <c r="P194" t="str">
        <f t="shared" si="24"/>
        <v/>
      </c>
      <c r="Q194" t="str">
        <f>IF(O194&lt;&gt;"",IF(Input!K194&lt;&gt;"",ROUNDDOWN(Input!K194,0),0),"")</f>
        <v/>
      </c>
      <c r="R194" t="str">
        <f>IF(Input!L194&lt;&gt;"",Input!L194,"")</f>
        <v/>
      </c>
      <c r="S194" t="str">
        <f t="shared" si="25"/>
        <v/>
      </c>
      <c r="T194" t="str">
        <f>IF(R194&lt;&gt;"",IF(Input!N194&lt;&gt;"",ROUNDDOWN(Input!N194,0),0),"")</f>
        <v/>
      </c>
      <c r="U194" t="str">
        <f>IF(Input!O194&lt;&gt;"",Input!O194,"")</f>
        <v/>
      </c>
      <c r="V194" t="str">
        <f t="shared" si="26"/>
        <v/>
      </c>
      <c r="W194" t="str">
        <f>IF(U194&lt;&gt;"",IF(Input!Q194&lt;&gt;"",ROUNDDOWN(Input!Q194,0),0),"")</f>
        <v/>
      </c>
      <c r="X194" t="str">
        <f>IF(Input!R194&lt;&gt;"",Input!R194,"")</f>
        <v/>
      </c>
      <c r="Y194" t="str">
        <f t="shared" si="27"/>
        <v/>
      </c>
      <c r="Z194" t="str">
        <f>IF(X194&lt;&gt;"",IF(Input!T194&lt;&gt;"",ROUNDDOWN(Input!T194,0),0),"")</f>
        <v/>
      </c>
      <c r="AA194" t="str">
        <f>IF(Input!U194&lt;&gt;"",Input!U194,"")</f>
        <v/>
      </c>
      <c r="AB194" t="str">
        <f t="shared" si="28"/>
        <v/>
      </c>
      <c r="AC194" t="str">
        <f>IF(AA194&lt;&gt;"",IF(Input!W194&lt;&gt;"",ROUNDDOWN(Input!W194,0),0),"")</f>
        <v/>
      </c>
      <c r="AD194" t="str">
        <f>IF(Input!X194&lt;&gt;"",Input!X194,"")</f>
        <v/>
      </c>
      <c r="AE194" t="str">
        <f t="shared" si="29"/>
        <v/>
      </c>
      <c r="AF194" t="str">
        <f>IF(AD194&lt;&gt;"",IF(Input!Z194&lt;&gt;"",ROUNDDOWN(Input!Z194,0),0),"")</f>
        <v/>
      </c>
      <c r="AG194" t="str">
        <f>IF(Input!AA194&lt;&gt;"",Input!AA194,"")</f>
        <v/>
      </c>
      <c r="AH194" t="str">
        <f t="shared" si="30"/>
        <v/>
      </c>
      <c r="AI194" t="str">
        <f>IF(AG194&lt;&gt;"",IF(Input!AC194&lt;&gt;"",ROUNDDOWN(Input!AC194,0),0),"")</f>
        <v/>
      </c>
      <c r="AJ194" t="str">
        <f>IF(Input!AD194&lt;&gt;"",Input!AD194,"")</f>
        <v/>
      </c>
      <c r="AK194" t="str">
        <f t="shared" si="31"/>
        <v/>
      </c>
      <c r="AL194" t="str">
        <f>IF(AJ194&lt;&gt;"",IF(Input!AF194&lt;&gt;"",ROUNDDOWN(Input!AF194,0),0),"")</f>
        <v/>
      </c>
      <c r="AM194" t="str">
        <f>IF(Input!AG194&lt;&gt;"",Input!AG194,"")</f>
        <v/>
      </c>
      <c r="AN194" t="str">
        <f t="shared" si="32"/>
        <v/>
      </c>
      <c r="AO194" t="str">
        <f>IF(AM194&lt;&gt;"",IF(Input!AI194&lt;&gt;"",ROUNDDOWN(Input!AI194,0),0),"")</f>
        <v/>
      </c>
    </row>
    <row r="195" spans="1:41" ht="16.5" thickTop="1" thickBot="1" x14ac:dyDescent="0.4">
      <c r="A195" s="100">
        <f>IF(ISBLANK(Input!A195),1000,IF(Input!E195&gt;0,Input!E195+F195,1000))</f>
        <v>1000</v>
      </c>
      <c r="B195" s="101">
        <f t="shared" ref="B195:B202" si="33">SMALL($A$2:$A$202,C195)</f>
        <v>1000</v>
      </c>
      <c r="C195" s="4">
        <v>194</v>
      </c>
      <c r="D195" s="29">
        <f>IF(ISBLANK(Input!A195),1000,IF(Input!G195&gt;0,Input!G195+F195,1000))</f>
        <v>1000</v>
      </c>
      <c r="E195" s="29">
        <f t="shared" ref="E195:E202" si="34">SMALL($D$2:$D$202,C195)</f>
        <v>1000</v>
      </c>
      <c r="F195" s="4">
        <v>0.19400000000000001</v>
      </c>
      <c r="I195" t="str">
        <f>IF(Input!A195&gt;0,Input!A195,"")</f>
        <v/>
      </c>
      <c r="J195" t="str">
        <f>IF(Input!B195&gt;0,Input!B195,"")</f>
        <v/>
      </c>
      <c r="K195" t="str">
        <f>IF(Input!C195&gt;0,Input!C195,"")</f>
        <v/>
      </c>
      <c r="L195" t="str">
        <f>IF(Input!D195&gt;0,Input!D195,"")</f>
        <v/>
      </c>
      <c r="M195" t="str">
        <f>IF(Input!E195&gt;0,Input!E195,"")</f>
        <v xml:space="preserve"> </v>
      </c>
      <c r="N195" t="str">
        <f>IF(Input!F195&gt;0,Input!F195,"")</f>
        <v xml:space="preserve"> </v>
      </c>
      <c r="O195" t="str">
        <f>IF(Input!I195&lt;&gt;"",Input!I195,"")</f>
        <v/>
      </c>
      <c r="P195" t="str">
        <f t="shared" ref="P195:P203" si="35">IF(Q195&lt;&gt;"",  RANK(Q195,Q$2:Q$202,1)+((COUNTIF(Q$2:Q$202,Q195)-1)*0.5),"" )</f>
        <v/>
      </c>
      <c r="Q195" t="str">
        <f>IF(O195&lt;&gt;"",IF(Input!K195&lt;&gt;"",ROUNDDOWN(Input!K195,0),0),"")</f>
        <v/>
      </c>
      <c r="R195" t="str">
        <f>IF(Input!L195&lt;&gt;"",Input!L195,"")</f>
        <v/>
      </c>
      <c r="S195" t="str">
        <f t="shared" ref="S195:S203" si="36">IF(T195&lt;&gt;"",  RANK(T195,T$2:T$202,1)+((COUNTIF(T$2:T$202,T195)-1)*0.5),"" )</f>
        <v/>
      </c>
      <c r="T195" t="str">
        <f>IF(R195&lt;&gt;"",IF(Input!N195&lt;&gt;"",ROUNDDOWN(Input!N195,0),0),"")</f>
        <v/>
      </c>
      <c r="U195" t="str">
        <f>IF(Input!O195&lt;&gt;"",Input!O195,"")</f>
        <v/>
      </c>
      <c r="V195" t="str">
        <f t="shared" ref="V195:V203" si="37">IF(W195&lt;&gt;"",  RANK(W195,W$2:W$202,1)+((COUNTIF(W$2:W$202,W195)-1)*0.5),"" )</f>
        <v/>
      </c>
      <c r="W195" t="str">
        <f>IF(U195&lt;&gt;"",IF(Input!Q195&lt;&gt;"",ROUNDDOWN(Input!Q195,0),0),"")</f>
        <v/>
      </c>
      <c r="X195" t="str">
        <f>IF(Input!R195&lt;&gt;"",Input!R195,"")</f>
        <v/>
      </c>
      <c r="Y195" t="str">
        <f t="shared" ref="Y195:Y203" si="38">IF(Z195&lt;&gt;"",  RANK(Z195,Z$2:Z$202,1)+((COUNTIF(Z$2:Z$202,Z195)-1)*0.5),"" )</f>
        <v/>
      </c>
      <c r="Z195" t="str">
        <f>IF(X195&lt;&gt;"",IF(Input!T195&lt;&gt;"",ROUNDDOWN(Input!T195,0),0),"")</f>
        <v/>
      </c>
      <c r="AA195" t="str">
        <f>IF(Input!U195&lt;&gt;"",Input!U195,"")</f>
        <v/>
      </c>
      <c r="AB195" t="str">
        <f t="shared" ref="AB195:AB203" si="39">IF(AC195&lt;&gt;"",  RANK(AC195,AC$2:AC$202,1)+((COUNTIF(AC$2:AC$202,AC195)-1)*0.5),"" )</f>
        <v/>
      </c>
      <c r="AC195" t="str">
        <f>IF(AA195&lt;&gt;"",IF(Input!W195&lt;&gt;"",ROUNDDOWN(Input!W195,0),0),"")</f>
        <v/>
      </c>
      <c r="AD195" t="str">
        <f>IF(Input!X195&lt;&gt;"",Input!X195,"")</f>
        <v/>
      </c>
      <c r="AE195" t="str">
        <f t="shared" ref="AE195:AE203" si="40">IF(AF195&lt;&gt;"",  RANK(AF195,AF$2:AF$202,1)+((COUNTIF(AF$2:AF$202,AF195)-1)*0.5),"" )</f>
        <v/>
      </c>
      <c r="AF195" t="str">
        <f>IF(AD195&lt;&gt;"",IF(Input!Z195&lt;&gt;"",ROUNDDOWN(Input!Z195,0),0),"")</f>
        <v/>
      </c>
      <c r="AG195" t="str">
        <f>IF(Input!AA195&lt;&gt;"",Input!AA195,"")</f>
        <v/>
      </c>
      <c r="AH195" t="str">
        <f t="shared" ref="AH195:AH203" si="41">IF(AI195&lt;&gt;"",  RANK(AI195,AI$2:AI$202,1)+((COUNTIF(AI$2:AI$202,AI195)-1)*0.5),"" )</f>
        <v/>
      </c>
      <c r="AI195" t="str">
        <f>IF(AG195&lt;&gt;"",IF(Input!AC195&lt;&gt;"",ROUNDDOWN(Input!AC195,0),0),"")</f>
        <v/>
      </c>
      <c r="AJ195" t="str">
        <f>IF(Input!AD195&lt;&gt;"",Input!AD195,"")</f>
        <v/>
      </c>
      <c r="AK195" t="str">
        <f t="shared" ref="AK195:AK203" si="42">IF(AL195&lt;&gt;"",  RANK(AL195,AL$2:AL$202,1)+((COUNTIF(AL$2:AL$202,AL195)-1)*0.5),"" )</f>
        <v/>
      </c>
      <c r="AL195" t="str">
        <f>IF(AJ195&lt;&gt;"",IF(Input!AF195&lt;&gt;"",ROUNDDOWN(Input!AF195,0),0),"")</f>
        <v/>
      </c>
      <c r="AM195" t="str">
        <f>IF(Input!AG195&lt;&gt;"",Input!AG195,"")</f>
        <v/>
      </c>
      <c r="AN195" t="str">
        <f t="shared" ref="AN195:AN203" si="43">IF(AO195&lt;&gt;"",  RANK(AO195,AO$2:AO$202,1)+((COUNTIF(AO$2:AO$202,AO195)-1)*0.5),"" )</f>
        <v/>
      </c>
      <c r="AO195" t="str">
        <f>IF(AM195&lt;&gt;"",IF(Input!AI195&lt;&gt;"",ROUNDDOWN(Input!AI195,0),0),"")</f>
        <v/>
      </c>
    </row>
    <row r="196" spans="1:41" ht="16.5" thickTop="1" thickBot="1" x14ac:dyDescent="0.4">
      <c r="A196" s="100">
        <f>IF(ISBLANK(Input!A196),1000,IF(Input!E196&gt;0,Input!E196+F196,1000))</f>
        <v>1000</v>
      </c>
      <c r="B196" s="101">
        <f t="shared" si="33"/>
        <v>1000</v>
      </c>
      <c r="C196" s="4">
        <v>195</v>
      </c>
      <c r="D196" s="29">
        <f>IF(ISBLANK(Input!A196),1000,IF(Input!G196&gt;0,Input!G196+F196,1000))</f>
        <v>1000</v>
      </c>
      <c r="E196" s="29">
        <f t="shared" si="34"/>
        <v>1000</v>
      </c>
      <c r="F196" s="4">
        <v>0.19500000000000001</v>
      </c>
      <c r="I196" t="str">
        <f>IF(Input!A196&gt;0,Input!A196,"")</f>
        <v/>
      </c>
      <c r="J196" t="str">
        <f>IF(Input!B196&gt;0,Input!B196,"")</f>
        <v/>
      </c>
      <c r="K196" t="str">
        <f>IF(Input!C196&gt;0,Input!C196,"")</f>
        <v/>
      </c>
      <c r="L196" t="str">
        <f>IF(Input!D196&gt;0,Input!D196,"")</f>
        <v/>
      </c>
      <c r="M196" t="str">
        <f>IF(Input!E196&gt;0,Input!E196,"")</f>
        <v xml:space="preserve"> </v>
      </c>
      <c r="N196" t="str">
        <f>IF(Input!F196&gt;0,Input!F196,"")</f>
        <v xml:space="preserve"> </v>
      </c>
      <c r="O196" t="str">
        <f>IF(Input!I196&lt;&gt;"",Input!I196,"")</f>
        <v/>
      </c>
      <c r="P196" t="str">
        <f t="shared" si="35"/>
        <v/>
      </c>
      <c r="Q196" t="str">
        <f>IF(O196&lt;&gt;"",IF(Input!K196&lt;&gt;"",ROUNDDOWN(Input!K196,0),0),"")</f>
        <v/>
      </c>
      <c r="R196" t="str">
        <f>IF(Input!L196&lt;&gt;"",Input!L196,"")</f>
        <v/>
      </c>
      <c r="S196" t="str">
        <f t="shared" si="36"/>
        <v/>
      </c>
      <c r="T196" t="str">
        <f>IF(R196&lt;&gt;"",IF(Input!N196&lt;&gt;"",ROUNDDOWN(Input!N196,0),0),"")</f>
        <v/>
      </c>
      <c r="U196" t="str">
        <f>IF(Input!O196&lt;&gt;"",Input!O196,"")</f>
        <v/>
      </c>
      <c r="V196" t="str">
        <f t="shared" si="37"/>
        <v/>
      </c>
      <c r="W196" t="str">
        <f>IF(U196&lt;&gt;"",IF(Input!Q196&lt;&gt;"",ROUNDDOWN(Input!Q196,0),0),"")</f>
        <v/>
      </c>
      <c r="X196" t="str">
        <f>IF(Input!R196&lt;&gt;"",Input!R196,"")</f>
        <v/>
      </c>
      <c r="Y196" t="str">
        <f t="shared" si="38"/>
        <v/>
      </c>
      <c r="Z196" t="str">
        <f>IF(X196&lt;&gt;"",IF(Input!T196&lt;&gt;"",ROUNDDOWN(Input!T196,0),0),"")</f>
        <v/>
      </c>
      <c r="AA196" t="str">
        <f>IF(Input!U196&lt;&gt;"",Input!U196,"")</f>
        <v/>
      </c>
      <c r="AB196" t="str">
        <f t="shared" si="39"/>
        <v/>
      </c>
      <c r="AC196" t="str">
        <f>IF(AA196&lt;&gt;"",IF(Input!W196&lt;&gt;"",ROUNDDOWN(Input!W196,0),0),"")</f>
        <v/>
      </c>
      <c r="AD196" t="str">
        <f>IF(Input!X196&lt;&gt;"",Input!X196,"")</f>
        <v/>
      </c>
      <c r="AE196" t="str">
        <f t="shared" si="40"/>
        <v/>
      </c>
      <c r="AF196" t="str">
        <f>IF(AD196&lt;&gt;"",IF(Input!Z196&lt;&gt;"",ROUNDDOWN(Input!Z196,0),0),"")</f>
        <v/>
      </c>
      <c r="AG196" t="str">
        <f>IF(Input!AA196&lt;&gt;"",Input!AA196,"")</f>
        <v/>
      </c>
      <c r="AH196" t="str">
        <f t="shared" si="41"/>
        <v/>
      </c>
      <c r="AI196" t="str">
        <f>IF(AG196&lt;&gt;"",IF(Input!AC196&lt;&gt;"",ROUNDDOWN(Input!AC196,0),0),"")</f>
        <v/>
      </c>
      <c r="AJ196" t="str">
        <f>IF(Input!AD196&lt;&gt;"",Input!AD196,"")</f>
        <v/>
      </c>
      <c r="AK196" t="str">
        <f t="shared" si="42"/>
        <v/>
      </c>
      <c r="AL196" t="str">
        <f>IF(AJ196&lt;&gt;"",IF(Input!AF196&lt;&gt;"",ROUNDDOWN(Input!AF196,0),0),"")</f>
        <v/>
      </c>
      <c r="AM196" t="str">
        <f>IF(Input!AG196&lt;&gt;"",Input!AG196,"")</f>
        <v/>
      </c>
      <c r="AN196" t="str">
        <f t="shared" si="43"/>
        <v/>
      </c>
      <c r="AO196" t="str">
        <f>IF(AM196&lt;&gt;"",IF(Input!AI196&lt;&gt;"",ROUNDDOWN(Input!AI196,0),0),"")</f>
        <v/>
      </c>
    </row>
    <row r="197" spans="1:41" ht="16.5" thickTop="1" thickBot="1" x14ac:dyDescent="0.4">
      <c r="A197" s="100">
        <f>IF(ISBLANK(Input!A197),1000,IF(Input!E197&gt;0,Input!E197+F197,1000))</f>
        <v>1000</v>
      </c>
      <c r="B197" s="101">
        <f t="shared" si="33"/>
        <v>1000</v>
      </c>
      <c r="C197" s="4">
        <v>196</v>
      </c>
      <c r="D197" s="29">
        <f>IF(ISBLANK(Input!A197),1000,IF(Input!G197&gt;0,Input!G197+F197,1000))</f>
        <v>1000</v>
      </c>
      <c r="E197" s="29">
        <f t="shared" si="34"/>
        <v>1000</v>
      </c>
      <c r="F197" s="4">
        <v>0.19600000000000001</v>
      </c>
      <c r="I197" t="str">
        <f>IF(Input!A197&gt;0,Input!A197,"")</f>
        <v/>
      </c>
      <c r="J197" t="str">
        <f>IF(Input!B197&gt;0,Input!B197,"")</f>
        <v/>
      </c>
      <c r="K197" t="str">
        <f>IF(Input!C197&gt;0,Input!C197,"")</f>
        <v/>
      </c>
      <c r="L197" t="str">
        <f>IF(Input!D197&gt;0,Input!D197,"")</f>
        <v/>
      </c>
      <c r="M197" t="str">
        <f>IF(Input!E197&gt;0,Input!E197,"")</f>
        <v xml:space="preserve"> </v>
      </c>
      <c r="N197" t="str">
        <f>IF(Input!F197&gt;0,Input!F197,"")</f>
        <v xml:space="preserve"> </v>
      </c>
      <c r="O197" t="str">
        <f>IF(Input!I197&lt;&gt;"",Input!I197,"")</f>
        <v/>
      </c>
      <c r="P197" t="str">
        <f t="shared" si="35"/>
        <v/>
      </c>
      <c r="Q197" t="str">
        <f>IF(O197&lt;&gt;"",IF(Input!K197&lt;&gt;"",ROUNDDOWN(Input!K197,0),0),"")</f>
        <v/>
      </c>
      <c r="R197" t="str">
        <f>IF(Input!L197&lt;&gt;"",Input!L197,"")</f>
        <v/>
      </c>
      <c r="S197" t="str">
        <f t="shared" si="36"/>
        <v/>
      </c>
      <c r="T197" t="str">
        <f>IF(R197&lt;&gt;"",IF(Input!N197&lt;&gt;"",ROUNDDOWN(Input!N197,0),0),"")</f>
        <v/>
      </c>
      <c r="U197" t="str">
        <f>IF(Input!O197&lt;&gt;"",Input!O197,"")</f>
        <v/>
      </c>
      <c r="V197" t="str">
        <f t="shared" si="37"/>
        <v/>
      </c>
      <c r="W197" t="str">
        <f>IF(U197&lt;&gt;"",IF(Input!Q197&lt;&gt;"",ROUNDDOWN(Input!Q197,0),0),"")</f>
        <v/>
      </c>
      <c r="X197" t="str">
        <f>IF(Input!R197&lt;&gt;"",Input!R197,"")</f>
        <v/>
      </c>
      <c r="Y197" t="str">
        <f t="shared" si="38"/>
        <v/>
      </c>
      <c r="Z197" t="str">
        <f>IF(X197&lt;&gt;"",IF(Input!T197&lt;&gt;"",ROUNDDOWN(Input!T197,0),0),"")</f>
        <v/>
      </c>
      <c r="AA197" t="str">
        <f>IF(Input!U197&lt;&gt;"",Input!U197,"")</f>
        <v/>
      </c>
      <c r="AB197" t="str">
        <f t="shared" si="39"/>
        <v/>
      </c>
      <c r="AC197" t="str">
        <f>IF(AA197&lt;&gt;"",IF(Input!W197&lt;&gt;"",ROUNDDOWN(Input!W197,0),0),"")</f>
        <v/>
      </c>
      <c r="AD197" t="str">
        <f>IF(Input!X197&lt;&gt;"",Input!X197,"")</f>
        <v/>
      </c>
      <c r="AE197" t="str">
        <f t="shared" si="40"/>
        <v/>
      </c>
      <c r="AF197" t="str">
        <f>IF(AD197&lt;&gt;"",IF(Input!Z197&lt;&gt;"",ROUNDDOWN(Input!Z197,0),0),"")</f>
        <v/>
      </c>
      <c r="AG197" t="str">
        <f>IF(Input!AA197&lt;&gt;"",Input!AA197,"")</f>
        <v/>
      </c>
      <c r="AH197" t="str">
        <f t="shared" si="41"/>
        <v/>
      </c>
      <c r="AI197" t="str">
        <f>IF(AG197&lt;&gt;"",IF(Input!AC197&lt;&gt;"",ROUNDDOWN(Input!AC197,0),0),"")</f>
        <v/>
      </c>
      <c r="AJ197" t="str">
        <f>IF(Input!AD197&lt;&gt;"",Input!AD197,"")</f>
        <v/>
      </c>
      <c r="AK197" t="str">
        <f t="shared" si="42"/>
        <v/>
      </c>
      <c r="AL197" t="str">
        <f>IF(AJ197&lt;&gt;"",IF(Input!AF197&lt;&gt;"",ROUNDDOWN(Input!AF197,0),0),"")</f>
        <v/>
      </c>
      <c r="AM197" t="str">
        <f>IF(Input!AG197&lt;&gt;"",Input!AG197,"")</f>
        <v/>
      </c>
      <c r="AN197" t="str">
        <f t="shared" si="43"/>
        <v/>
      </c>
      <c r="AO197" t="str">
        <f>IF(AM197&lt;&gt;"",IF(Input!AI197&lt;&gt;"",ROUNDDOWN(Input!AI197,0),0),"")</f>
        <v/>
      </c>
    </row>
    <row r="198" spans="1:41" ht="16.5" thickTop="1" thickBot="1" x14ac:dyDescent="0.4">
      <c r="A198" s="100">
        <f>IF(ISBLANK(Input!A198),1000,IF(Input!E198&gt;0,Input!E198+F198,1000))</f>
        <v>1000</v>
      </c>
      <c r="B198" s="101">
        <f t="shared" si="33"/>
        <v>1000</v>
      </c>
      <c r="C198" s="4">
        <v>197</v>
      </c>
      <c r="D198" s="29">
        <f>IF(ISBLANK(Input!A198),1000,IF(Input!G198&gt;0,Input!G198+F198,1000))</f>
        <v>1000</v>
      </c>
      <c r="E198" s="29">
        <f t="shared" si="34"/>
        <v>1000</v>
      </c>
      <c r="F198" s="4">
        <v>0.19700000000000001</v>
      </c>
      <c r="I198" t="str">
        <f>IF(Input!A198&gt;0,Input!A198,"")</f>
        <v/>
      </c>
      <c r="J198" t="str">
        <f>IF(Input!B198&gt;0,Input!B198,"")</f>
        <v/>
      </c>
      <c r="K198" t="str">
        <f>IF(Input!C198&gt;0,Input!C198,"")</f>
        <v/>
      </c>
      <c r="L198" t="str">
        <f>IF(Input!D198&gt;0,Input!D198,"")</f>
        <v/>
      </c>
      <c r="M198" t="str">
        <f>IF(Input!E198&gt;0,Input!E198,"")</f>
        <v xml:space="preserve"> </v>
      </c>
      <c r="N198" t="str">
        <f>IF(Input!F198&gt;0,Input!F198,"")</f>
        <v xml:space="preserve"> </v>
      </c>
      <c r="O198" t="str">
        <f>IF(Input!I198&lt;&gt;"",Input!I198,"")</f>
        <v/>
      </c>
      <c r="P198" t="str">
        <f t="shared" si="35"/>
        <v/>
      </c>
      <c r="Q198" t="str">
        <f>IF(O198&lt;&gt;"",IF(Input!K198&lt;&gt;"",ROUNDDOWN(Input!K198,0),0),"")</f>
        <v/>
      </c>
      <c r="R198" t="str">
        <f>IF(Input!L198&lt;&gt;"",Input!L198,"")</f>
        <v/>
      </c>
      <c r="S198" t="str">
        <f t="shared" si="36"/>
        <v/>
      </c>
      <c r="T198" t="str">
        <f>IF(R198&lt;&gt;"",IF(Input!N198&lt;&gt;"",ROUNDDOWN(Input!N198,0),0),"")</f>
        <v/>
      </c>
      <c r="U198" t="str">
        <f>IF(Input!O198&lt;&gt;"",Input!O198,"")</f>
        <v/>
      </c>
      <c r="V198" t="str">
        <f t="shared" si="37"/>
        <v/>
      </c>
      <c r="W198" t="str">
        <f>IF(U198&lt;&gt;"",IF(Input!Q198&lt;&gt;"",ROUNDDOWN(Input!Q198,0),0),"")</f>
        <v/>
      </c>
      <c r="X198" t="str">
        <f>IF(Input!R198&lt;&gt;"",Input!R198,"")</f>
        <v/>
      </c>
      <c r="Y198" t="str">
        <f t="shared" si="38"/>
        <v/>
      </c>
      <c r="Z198" t="str">
        <f>IF(X198&lt;&gt;"",IF(Input!T198&lt;&gt;"",ROUNDDOWN(Input!T198,0),0),"")</f>
        <v/>
      </c>
      <c r="AA198" t="str">
        <f>IF(Input!U198&lt;&gt;"",Input!U198,"")</f>
        <v/>
      </c>
      <c r="AB198" t="str">
        <f t="shared" si="39"/>
        <v/>
      </c>
      <c r="AC198" t="str">
        <f>IF(AA198&lt;&gt;"",IF(Input!W198&lt;&gt;"",ROUNDDOWN(Input!W198,0),0),"")</f>
        <v/>
      </c>
      <c r="AD198" t="str">
        <f>IF(Input!X198&lt;&gt;"",Input!X198,"")</f>
        <v/>
      </c>
      <c r="AE198" t="str">
        <f t="shared" si="40"/>
        <v/>
      </c>
      <c r="AF198" t="str">
        <f>IF(AD198&lt;&gt;"",IF(Input!Z198&lt;&gt;"",ROUNDDOWN(Input!Z198,0),0),"")</f>
        <v/>
      </c>
      <c r="AG198" t="str">
        <f>IF(Input!AA198&lt;&gt;"",Input!AA198,"")</f>
        <v/>
      </c>
      <c r="AH198" t="str">
        <f t="shared" si="41"/>
        <v/>
      </c>
      <c r="AI198" t="str">
        <f>IF(AG198&lt;&gt;"",IF(Input!AC198&lt;&gt;"",ROUNDDOWN(Input!AC198,0),0),"")</f>
        <v/>
      </c>
      <c r="AJ198" t="str">
        <f>IF(Input!AD198&lt;&gt;"",Input!AD198,"")</f>
        <v/>
      </c>
      <c r="AK198" t="str">
        <f t="shared" si="42"/>
        <v/>
      </c>
      <c r="AL198" t="str">
        <f>IF(AJ198&lt;&gt;"",IF(Input!AF198&lt;&gt;"",ROUNDDOWN(Input!AF198,0),0),"")</f>
        <v/>
      </c>
      <c r="AM198" t="str">
        <f>IF(Input!AG198&lt;&gt;"",Input!AG198,"")</f>
        <v/>
      </c>
      <c r="AN198" t="str">
        <f t="shared" si="43"/>
        <v/>
      </c>
      <c r="AO198" t="str">
        <f>IF(AM198&lt;&gt;"",IF(Input!AI198&lt;&gt;"",ROUNDDOWN(Input!AI198,0),0),"")</f>
        <v/>
      </c>
    </row>
    <row r="199" spans="1:41" ht="16.5" thickTop="1" thickBot="1" x14ac:dyDescent="0.4">
      <c r="A199" s="100">
        <f>IF(ISBLANK(Input!A199),1000,IF(Input!E199&gt;0,Input!E199+F199,1000))</f>
        <v>1000</v>
      </c>
      <c r="B199" s="101">
        <f t="shared" si="33"/>
        <v>1000</v>
      </c>
      <c r="C199" s="4">
        <v>198</v>
      </c>
      <c r="D199" s="29">
        <f>IF(ISBLANK(Input!A199),1000,IF(Input!G199&gt;0,Input!G199+F199,1000))</f>
        <v>1000</v>
      </c>
      <c r="E199" s="29">
        <f t="shared" si="34"/>
        <v>1000</v>
      </c>
      <c r="F199" s="4">
        <v>0.19800000000000001</v>
      </c>
      <c r="I199" t="str">
        <f>IF(Input!A199&gt;0,Input!A199,"")</f>
        <v/>
      </c>
      <c r="J199" t="str">
        <f>IF(Input!B199&gt;0,Input!B199,"")</f>
        <v/>
      </c>
      <c r="K199" t="str">
        <f>IF(Input!C199&gt;0,Input!C199,"")</f>
        <v/>
      </c>
      <c r="L199" t="str">
        <f>IF(Input!D199&gt;0,Input!D199,"")</f>
        <v/>
      </c>
      <c r="M199" t="str">
        <f>IF(Input!E199&gt;0,Input!E199,"")</f>
        <v xml:space="preserve"> </v>
      </c>
      <c r="N199" t="str">
        <f>IF(Input!F199&gt;0,Input!F199,"")</f>
        <v xml:space="preserve"> </v>
      </c>
      <c r="O199" t="str">
        <f>IF(Input!I199&lt;&gt;"",Input!I199,"")</f>
        <v/>
      </c>
      <c r="P199" t="str">
        <f t="shared" si="35"/>
        <v/>
      </c>
      <c r="Q199" t="str">
        <f>IF(O199&lt;&gt;"",IF(Input!K199&lt;&gt;"",ROUNDDOWN(Input!K199,0),0),"")</f>
        <v/>
      </c>
      <c r="R199" t="str">
        <f>IF(Input!L199&lt;&gt;"",Input!L199,"")</f>
        <v/>
      </c>
      <c r="S199" t="str">
        <f t="shared" si="36"/>
        <v/>
      </c>
      <c r="T199" t="str">
        <f>IF(R199&lt;&gt;"",IF(Input!N199&lt;&gt;"",ROUNDDOWN(Input!N199,0),0),"")</f>
        <v/>
      </c>
      <c r="U199" t="str">
        <f>IF(Input!O199&lt;&gt;"",Input!O199,"")</f>
        <v/>
      </c>
      <c r="V199" t="str">
        <f t="shared" si="37"/>
        <v/>
      </c>
      <c r="W199" t="str">
        <f>IF(U199&lt;&gt;"",IF(Input!Q199&lt;&gt;"",ROUNDDOWN(Input!Q199,0),0),"")</f>
        <v/>
      </c>
      <c r="X199" t="str">
        <f>IF(Input!R199&lt;&gt;"",Input!R199,"")</f>
        <v/>
      </c>
      <c r="Y199" t="str">
        <f t="shared" si="38"/>
        <v/>
      </c>
      <c r="Z199" t="str">
        <f>IF(X199&lt;&gt;"",IF(Input!T199&lt;&gt;"",ROUNDDOWN(Input!T199,0),0),"")</f>
        <v/>
      </c>
      <c r="AA199" t="str">
        <f>IF(Input!U199&lt;&gt;"",Input!U199,"")</f>
        <v/>
      </c>
      <c r="AB199" t="str">
        <f t="shared" si="39"/>
        <v/>
      </c>
      <c r="AC199" t="str">
        <f>IF(AA199&lt;&gt;"",IF(Input!W199&lt;&gt;"",ROUNDDOWN(Input!W199,0),0),"")</f>
        <v/>
      </c>
      <c r="AD199" t="str">
        <f>IF(Input!X199&lt;&gt;"",Input!X199,"")</f>
        <v/>
      </c>
      <c r="AE199" t="str">
        <f t="shared" si="40"/>
        <v/>
      </c>
      <c r="AF199" t="str">
        <f>IF(AD199&lt;&gt;"",IF(Input!Z199&lt;&gt;"",ROUNDDOWN(Input!Z199,0),0),"")</f>
        <v/>
      </c>
      <c r="AG199" t="str">
        <f>IF(Input!AA199&lt;&gt;"",Input!AA199,"")</f>
        <v/>
      </c>
      <c r="AH199" t="str">
        <f t="shared" si="41"/>
        <v/>
      </c>
      <c r="AI199" t="str">
        <f>IF(AG199&lt;&gt;"",IF(Input!AC199&lt;&gt;"",ROUNDDOWN(Input!AC199,0),0),"")</f>
        <v/>
      </c>
      <c r="AJ199" t="str">
        <f>IF(Input!AD199&lt;&gt;"",Input!AD199,"")</f>
        <v/>
      </c>
      <c r="AK199" t="str">
        <f t="shared" si="42"/>
        <v/>
      </c>
      <c r="AL199" t="str">
        <f>IF(AJ199&lt;&gt;"",IF(Input!AF199&lt;&gt;"",ROUNDDOWN(Input!AF199,0),0),"")</f>
        <v/>
      </c>
      <c r="AM199" t="str">
        <f>IF(Input!AG199&lt;&gt;"",Input!AG199,"")</f>
        <v/>
      </c>
      <c r="AN199" t="str">
        <f t="shared" si="43"/>
        <v/>
      </c>
      <c r="AO199" t="str">
        <f>IF(AM199&lt;&gt;"",IF(Input!AI199&lt;&gt;"",ROUNDDOWN(Input!AI199,0),0),"")</f>
        <v/>
      </c>
    </row>
    <row r="200" spans="1:41" ht="16.5" thickTop="1" thickBot="1" x14ac:dyDescent="0.4">
      <c r="A200" s="100">
        <f>IF(ISBLANK(Input!A200),1000,IF(Input!E200&gt;0,Input!E200+F200,1000))</f>
        <v>1000</v>
      </c>
      <c r="B200" s="101">
        <f t="shared" si="33"/>
        <v>1000</v>
      </c>
      <c r="C200" s="4">
        <v>199</v>
      </c>
      <c r="D200" s="29">
        <f>IF(ISBLANK(Input!A200),1000,IF(Input!G200&gt;0,Input!G200+F200,1000))</f>
        <v>1000</v>
      </c>
      <c r="E200" s="29">
        <f t="shared" si="34"/>
        <v>1000</v>
      </c>
      <c r="F200" s="4">
        <v>0.19900000000000001</v>
      </c>
      <c r="I200" t="str">
        <f>IF(Input!A200&gt;0,Input!A200,"")</f>
        <v/>
      </c>
      <c r="J200" t="str">
        <f>IF(Input!B200&gt;0,Input!B200,"")</f>
        <v/>
      </c>
      <c r="K200" t="str">
        <f>IF(Input!C200&gt;0,Input!C200,"")</f>
        <v/>
      </c>
      <c r="L200" t="str">
        <f>IF(Input!D200&gt;0,Input!D200,"")</f>
        <v/>
      </c>
      <c r="M200" t="str">
        <f>IF(Input!E200&gt;0,Input!E200,"")</f>
        <v xml:space="preserve"> </v>
      </c>
      <c r="N200" t="str">
        <f>IF(Input!F200&gt;0,Input!F200,"")</f>
        <v xml:space="preserve"> </v>
      </c>
      <c r="O200" t="str">
        <f>IF(Input!I200&lt;&gt;"",Input!I200,"")</f>
        <v/>
      </c>
      <c r="P200" t="str">
        <f t="shared" si="35"/>
        <v/>
      </c>
      <c r="Q200" t="str">
        <f>IF(O200&lt;&gt;"",IF(Input!K200&lt;&gt;"",ROUNDDOWN(Input!K200,0),0),"")</f>
        <v/>
      </c>
      <c r="R200" t="str">
        <f>IF(Input!L200&lt;&gt;"",Input!L200,"")</f>
        <v/>
      </c>
      <c r="S200" t="str">
        <f t="shared" si="36"/>
        <v/>
      </c>
      <c r="T200" t="str">
        <f>IF(R200&lt;&gt;"",IF(Input!N200&lt;&gt;"",ROUNDDOWN(Input!N200,0),0),"")</f>
        <v/>
      </c>
      <c r="U200" t="str">
        <f>IF(Input!O200&lt;&gt;"",Input!O200,"")</f>
        <v/>
      </c>
      <c r="V200" t="str">
        <f t="shared" si="37"/>
        <v/>
      </c>
      <c r="W200" t="str">
        <f>IF(U200&lt;&gt;"",IF(Input!Q200&lt;&gt;"",ROUNDDOWN(Input!Q200,0),0),"")</f>
        <v/>
      </c>
      <c r="X200" t="str">
        <f>IF(Input!R200&lt;&gt;"",Input!R200,"")</f>
        <v/>
      </c>
      <c r="Y200" t="str">
        <f t="shared" si="38"/>
        <v/>
      </c>
      <c r="Z200" t="str">
        <f>IF(X200&lt;&gt;"",IF(Input!T200&lt;&gt;"",ROUNDDOWN(Input!T200,0),0),"")</f>
        <v/>
      </c>
      <c r="AA200" t="str">
        <f>IF(Input!U200&lt;&gt;"",Input!U200,"")</f>
        <v/>
      </c>
      <c r="AB200" t="str">
        <f t="shared" si="39"/>
        <v/>
      </c>
      <c r="AC200" t="str">
        <f>IF(AA200&lt;&gt;"",IF(Input!W200&lt;&gt;"",ROUNDDOWN(Input!W200,0),0),"")</f>
        <v/>
      </c>
      <c r="AD200" t="str">
        <f>IF(Input!X200&lt;&gt;"",Input!X200,"")</f>
        <v/>
      </c>
      <c r="AE200" t="str">
        <f t="shared" si="40"/>
        <v/>
      </c>
      <c r="AF200" t="str">
        <f>IF(AD200&lt;&gt;"",IF(Input!Z200&lt;&gt;"",ROUNDDOWN(Input!Z200,0),0),"")</f>
        <v/>
      </c>
      <c r="AG200" t="str">
        <f>IF(Input!AA200&lt;&gt;"",Input!AA200,"")</f>
        <v/>
      </c>
      <c r="AH200" t="str">
        <f t="shared" si="41"/>
        <v/>
      </c>
      <c r="AI200" t="str">
        <f>IF(AG200&lt;&gt;"",IF(Input!AC200&lt;&gt;"",ROUNDDOWN(Input!AC200,0),0),"")</f>
        <v/>
      </c>
      <c r="AJ200" t="str">
        <f>IF(Input!AD200&lt;&gt;"",Input!AD200,"")</f>
        <v/>
      </c>
      <c r="AK200" t="str">
        <f t="shared" si="42"/>
        <v/>
      </c>
      <c r="AL200" t="str">
        <f>IF(AJ200&lt;&gt;"",IF(Input!AF200&lt;&gt;"",ROUNDDOWN(Input!AF200,0),0),"")</f>
        <v/>
      </c>
      <c r="AM200" t="str">
        <f>IF(Input!AG200&lt;&gt;"",Input!AG200,"")</f>
        <v/>
      </c>
      <c r="AN200" t="str">
        <f t="shared" si="43"/>
        <v/>
      </c>
      <c r="AO200" t="str">
        <f>IF(AM200&lt;&gt;"",IF(Input!AI200&lt;&gt;"",ROUNDDOWN(Input!AI200,0),0),"")</f>
        <v/>
      </c>
    </row>
    <row r="201" spans="1:41" ht="16.5" thickTop="1" thickBot="1" x14ac:dyDescent="0.4">
      <c r="A201" s="100">
        <f>IF(ISBLANK(Input!A201),1000,IF(Input!E201&gt;0,Input!E201+F201,1000))</f>
        <v>1000</v>
      </c>
      <c r="B201" s="101">
        <f t="shared" si="33"/>
        <v>1000</v>
      </c>
      <c r="C201" s="98">
        <v>200</v>
      </c>
      <c r="D201" s="29">
        <f>IF(ISBLANK(Input!A201),1000,IF(Input!G201&gt;0,Input!G201+F201,1000))</f>
        <v>1000</v>
      </c>
      <c r="E201" s="29">
        <f t="shared" si="34"/>
        <v>1000</v>
      </c>
      <c r="F201" s="98">
        <v>0.2</v>
      </c>
      <c r="G201" s="54"/>
      <c r="I201" t="str">
        <f>IF(Input!A201&gt;0,Input!A201,"")</f>
        <v/>
      </c>
      <c r="J201" t="str">
        <f>IF(Input!B201&gt;0,Input!B201,"")</f>
        <v/>
      </c>
      <c r="K201" t="str">
        <f>IF(Input!C201&gt;0,Input!C201,"")</f>
        <v/>
      </c>
      <c r="L201" t="str">
        <f>IF(Input!D201&gt;0,Input!D201,"")</f>
        <v/>
      </c>
      <c r="M201" t="str">
        <f>IF(Input!E201&gt;0,Input!E201,"")</f>
        <v xml:space="preserve"> </v>
      </c>
      <c r="N201" t="str">
        <f>IF(Input!F201&gt;0,Input!F201,"")</f>
        <v xml:space="preserve"> </v>
      </c>
      <c r="O201" t="str">
        <f>IF(Input!I201&lt;&gt;"",Input!I201,"")</f>
        <v/>
      </c>
      <c r="P201" t="str">
        <f t="shared" si="35"/>
        <v/>
      </c>
      <c r="Q201" t="str">
        <f>IF(O201&lt;&gt;"",IF(Input!K201&lt;&gt;"",ROUNDDOWN(Input!K201,0),0),"")</f>
        <v/>
      </c>
      <c r="R201" t="str">
        <f>IF(Input!L201&lt;&gt;"",Input!L201,"")</f>
        <v/>
      </c>
      <c r="S201" t="str">
        <f t="shared" si="36"/>
        <v/>
      </c>
      <c r="T201" t="str">
        <f>IF(R201&lt;&gt;"",IF(Input!N201&lt;&gt;"",ROUNDDOWN(Input!N201,0),0),"")</f>
        <v/>
      </c>
      <c r="U201" t="str">
        <f>IF(Input!O201&lt;&gt;"",Input!O201,"")</f>
        <v/>
      </c>
      <c r="V201" t="str">
        <f t="shared" si="37"/>
        <v/>
      </c>
      <c r="W201" t="str">
        <f>IF(U201&lt;&gt;"",IF(Input!Q201&lt;&gt;"",ROUNDDOWN(Input!Q201,0),0),"")</f>
        <v/>
      </c>
      <c r="X201" t="str">
        <f>IF(Input!R201&lt;&gt;"",Input!R201,"")</f>
        <v/>
      </c>
      <c r="Y201" t="str">
        <f t="shared" si="38"/>
        <v/>
      </c>
      <c r="Z201" t="str">
        <f>IF(X201&lt;&gt;"",IF(Input!T201&lt;&gt;"",ROUNDDOWN(Input!T201,0),0),"")</f>
        <v/>
      </c>
      <c r="AA201" t="str">
        <f>IF(Input!U201&lt;&gt;"",Input!U201,"")</f>
        <v/>
      </c>
      <c r="AB201" t="str">
        <f t="shared" si="39"/>
        <v/>
      </c>
      <c r="AC201" t="str">
        <f>IF(AA201&lt;&gt;"",IF(Input!W201&lt;&gt;"",ROUNDDOWN(Input!W201,0),0),"")</f>
        <v/>
      </c>
      <c r="AD201" t="str">
        <f>IF(Input!X201&lt;&gt;"",Input!X201,"")</f>
        <v/>
      </c>
      <c r="AE201" t="str">
        <f t="shared" si="40"/>
        <v/>
      </c>
      <c r="AF201" t="str">
        <f>IF(AD201&lt;&gt;"",IF(Input!Z201&lt;&gt;"",ROUNDDOWN(Input!Z201,0),0),"")</f>
        <v/>
      </c>
      <c r="AG201" t="str">
        <f>IF(Input!AA201&lt;&gt;"",Input!AA201,"")</f>
        <v/>
      </c>
      <c r="AH201" t="str">
        <f t="shared" si="41"/>
        <v/>
      </c>
      <c r="AI201" t="str">
        <f>IF(AG201&lt;&gt;"",IF(Input!AC201&lt;&gt;"",ROUNDDOWN(Input!AC201,0),0),"")</f>
        <v/>
      </c>
      <c r="AJ201" t="str">
        <f>IF(Input!AD201&lt;&gt;"",Input!AD201,"")</f>
        <v/>
      </c>
      <c r="AK201" t="str">
        <f t="shared" si="42"/>
        <v/>
      </c>
      <c r="AL201" t="str">
        <f>IF(AJ201&lt;&gt;"",IF(Input!AF201&lt;&gt;"",ROUNDDOWN(Input!AF201,0),0),"")</f>
        <v/>
      </c>
      <c r="AM201" t="str">
        <f>IF(Input!AG201&lt;&gt;"",Input!AG201,"")</f>
        <v/>
      </c>
      <c r="AN201" t="str">
        <f t="shared" si="43"/>
        <v/>
      </c>
      <c r="AO201" t="str">
        <f>IF(AM201&lt;&gt;"",IF(Input!AI201&lt;&gt;"",ROUNDDOWN(Input!AI201,0),0),"")</f>
        <v/>
      </c>
    </row>
    <row r="202" spans="1:41" ht="16" thickTop="1" x14ac:dyDescent="0.35">
      <c r="A202" s="100">
        <f>IF(ISBLANK(Input!A202),1000,IF(Input!E202&gt;0,Input!E202+F202,1000))</f>
        <v>1000</v>
      </c>
      <c r="B202" s="101">
        <f t="shared" si="33"/>
        <v>1000</v>
      </c>
      <c r="C202" s="96">
        <v>201</v>
      </c>
      <c r="D202" s="29">
        <f>IF(ISBLANK(Input!A202),1000,IF(Input!G202&gt;0,Input!G202+F202,1000))</f>
        <v>1000</v>
      </c>
      <c r="E202" s="29">
        <f t="shared" si="34"/>
        <v>1000</v>
      </c>
      <c r="F202" s="96">
        <v>0.20100000000000001</v>
      </c>
      <c r="G202" s="21"/>
      <c r="I202" t="str">
        <f>IF(Input!A202&gt;0,Input!A202,"")</f>
        <v/>
      </c>
      <c r="J202" t="str">
        <f>IF(Input!B202&gt;0,Input!B202,"")</f>
        <v/>
      </c>
      <c r="K202" t="str">
        <f>IF(Input!C202&gt;0,Input!C202,"")</f>
        <v/>
      </c>
      <c r="L202" t="str">
        <f>IF(Input!D202&gt;0,Input!D202,"")</f>
        <v/>
      </c>
      <c r="M202" t="str">
        <f>IF(Input!E202&gt;0,Input!E202,"")</f>
        <v/>
      </c>
      <c r="N202" t="str">
        <f>IF(Input!F202&gt;0,Input!F202,"")</f>
        <v/>
      </c>
      <c r="O202" t="str">
        <f>IF(Input!I202&lt;&gt;"",Input!I202,"")</f>
        <v/>
      </c>
      <c r="P202" t="str">
        <f t="shared" si="35"/>
        <v/>
      </c>
      <c r="Q202" t="str">
        <f>IF(O202&lt;&gt;"",IF(Input!K202&lt;&gt;"",ROUNDDOWN(Input!K202,0),0),"")</f>
        <v/>
      </c>
      <c r="R202" t="str">
        <f>IF(Input!L202&lt;&gt;"",Input!L202,"")</f>
        <v/>
      </c>
      <c r="S202" t="str">
        <f t="shared" si="36"/>
        <v/>
      </c>
      <c r="T202" t="str">
        <f>IF(R202&lt;&gt;"",IF(Input!N202&lt;&gt;"",ROUNDDOWN(Input!N202,0),0),"")</f>
        <v/>
      </c>
      <c r="U202" t="str">
        <f>IF(Input!O202&lt;&gt;"",Input!O202,"")</f>
        <v/>
      </c>
      <c r="V202" t="str">
        <f t="shared" si="37"/>
        <v/>
      </c>
      <c r="W202" t="str">
        <f>IF(U202&lt;&gt;"",IF(Input!Q202&lt;&gt;"",ROUNDDOWN(Input!Q202,0),0),"")</f>
        <v/>
      </c>
      <c r="X202" t="str">
        <f>IF(Input!R202&lt;&gt;"",Input!R202,"")</f>
        <v/>
      </c>
      <c r="Y202" t="str">
        <f t="shared" si="38"/>
        <v/>
      </c>
      <c r="Z202" t="str">
        <f>IF(X202&lt;&gt;"",IF(Input!T202&lt;&gt;"",ROUNDDOWN(Input!T202,0),0),"")</f>
        <v/>
      </c>
      <c r="AA202" t="str">
        <f>IF(Input!U202&lt;&gt;"",Input!U202,"")</f>
        <v/>
      </c>
      <c r="AB202" t="str">
        <f t="shared" si="39"/>
        <v/>
      </c>
      <c r="AC202" t="str">
        <f>IF(AA202&lt;&gt;"",IF(Input!W202&lt;&gt;"",ROUNDDOWN(Input!W202,0),0),"")</f>
        <v/>
      </c>
      <c r="AD202" t="str">
        <f>IF(Input!X202&lt;&gt;"",Input!X202,"")</f>
        <v/>
      </c>
      <c r="AE202" t="str">
        <f t="shared" si="40"/>
        <v/>
      </c>
      <c r="AF202" t="str">
        <f>IF(AD202&lt;&gt;"",IF(Input!Z202&lt;&gt;"",ROUNDDOWN(Input!Z202,0),0),"")</f>
        <v/>
      </c>
      <c r="AG202" t="str">
        <f>IF(Input!AA202&lt;&gt;"",Input!AA202,"")</f>
        <v/>
      </c>
      <c r="AH202" t="str">
        <f t="shared" si="41"/>
        <v/>
      </c>
      <c r="AI202" t="str">
        <f>IF(AG202&lt;&gt;"",IF(Input!AC202&lt;&gt;"",ROUNDDOWN(Input!AC202,0),0),"")</f>
        <v/>
      </c>
      <c r="AJ202" t="str">
        <f>IF(Input!AD202&lt;&gt;"",Input!AD202,"")</f>
        <v/>
      </c>
      <c r="AK202" t="str">
        <f t="shared" si="42"/>
        <v/>
      </c>
      <c r="AL202" t="str">
        <f>IF(AJ202&lt;&gt;"",IF(Input!AF202&lt;&gt;"",ROUNDDOWN(Input!AF202,0),0),"")</f>
        <v/>
      </c>
      <c r="AM202" t="str">
        <f>IF(Input!AG202&lt;&gt;"",Input!AG202,"")</f>
        <v/>
      </c>
      <c r="AN202" t="str">
        <f t="shared" si="43"/>
        <v/>
      </c>
      <c r="AO202" t="str">
        <f>IF(AM202&lt;&gt;"",IF(Input!AI202&lt;&gt;"",ROUNDDOWN(Input!AI202,0),0),"")</f>
        <v/>
      </c>
    </row>
    <row r="203" spans="1:41" x14ac:dyDescent="0.35">
      <c r="I203" t="str">
        <f>IF(Input!A203&gt;0,Input!A203,"")</f>
        <v/>
      </c>
      <c r="J203" t="str">
        <f>IF(Input!B203&gt;0,Input!B203,"")</f>
        <v/>
      </c>
      <c r="K203" t="str">
        <f>IF(Input!C203&gt;0,Input!C203,"")</f>
        <v/>
      </c>
      <c r="L203" t="str">
        <f>IF(Input!D203&gt;0,Input!D203,"")</f>
        <v/>
      </c>
      <c r="M203" t="str">
        <f>IF(Input!E203&gt;0,Input!E203,"")</f>
        <v/>
      </c>
      <c r="N203" t="str">
        <f>IF(Input!F203&gt;0,Input!F203,"")</f>
        <v/>
      </c>
      <c r="O203" t="str">
        <f>IF(Input!I203&lt;&gt;"",Input!I203,"")</f>
        <v/>
      </c>
      <c r="P203" t="str">
        <f t="shared" si="35"/>
        <v/>
      </c>
      <c r="Q203" t="str">
        <f>IF(O203&lt;&gt;"",IF(Input!K203&lt;&gt;"",ROUNDDOWN(Input!K203,0),0),"")</f>
        <v/>
      </c>
      <c r="R203" t="str">
        <f>IF(Input!L203&lt;&gt;"",Input!L203,"")</f>
        <v/>
      </c>
      <c r="S203" t="str">
        <f t="shared" si="36"/>
        <v/>
      </c>
      <c r="T203" t="str">
        <f>IF(R203&lt;&gt;"",IF(Input!N203&lt;&gt;"",ROUNDDOWN(Input!N203,0),0),"")</f>
        <v/>
      </c>
      <c r="U203" t="str">
        <f>IF(Input!O203&lt;&gt;"",Input!O203,"")</f>
        <v/>
      </c>
      <c r="V203" t="str">
        <f t="shared" si="37"/>
        <v/>
      </c>
      <c r="W203" t="str">
        <f>IF(U203&lt;&gt;"",IF(Input!Q203&lt;&gt;"",ROUNDDOWN(Input!Q203,0),0),"")</f>
        <v/>
      </c>
      <c r="X203" t="str">
        <f>IF(Input!R203&lt;&gt;"",Input!R203,"")</f>
        <v/>
      </c>
      <c r="Y203" t="str">
        <f t="shared" si="38"/>
        <v/>
      </c>
      <c r="Z203" t="str">
        <f>IF(X203&lt;&gt;"",IF(Input!T203&lt;&gt;"",ROUNDDOWN(Input!T203,0),0),"")</f>
        <v/>
      </c>
      <c r="AA203" t="str">
        <f>IF(Input!U203&lt;&gt;"",Input!U203,"")</f>
        <v/>
      </c>
      <c r="AB203" t="str">
        <f t="shared" si="39"/>
        <v/>
      </c>
      <c r="AC203" t="str">
        <f>IF(AA203&lt;&gt;"",IF(Input!W203&lt;&gt;"",ROUNDDOWN(Input!W203,0),0),"")</f>
        <v/>
      </c>
      <c r="AD203" t="str">
        <f>IF(Input!X203&lt;&gt;"",Input!X203,"")</f>
        <v/>
      </c>
      <c r="AE203" t="str">
        <f t="shared" si="40"/>
        <v/>
      </c>
      <c r="AF203" t="str">
        <f>IF(AD203&lt;&gt;"",IF(Input!Z203&lt;&gt;"",ROUNDDOWN(Input!Z203,0),0),"")</f>
        <v/>
      </c>
      <c r="AG203" t="str">
        <f>IF(Input!AA203&lt;&gt;"",Input!AA203,"")</f>
        <v/>
      </c>
      <c r="AH203" t="str">
        <f t="shared" si="41"/>
        <v/>
      </c>
      <c r="AI203" t="str">
        <f>IF(AG203&lt;&gt;"",IF(Input!AC203&lt;&gt;"",ROUNDDOWN(Input!AC203,0),0),"")</f>
        <v/>
      </c>
      <c r="AJ203" t="str">
        <f>IF(Input!AD203&lt;&gt;"",Input!AD203,"")</f>
        <v/>
      </c>
      <c r="AK203" t="str">
        <f t="shared" si="42"/>
        <v/>
      </c>
      <c r="AL203" t="str">
        <f>IF(AJ203&lt;&gt;"",IF(Input!AF203&lt;&gt;"",ROUNDDOWN(Input!AF203,0),0),"")</f>
        <v/>
      </c>
      <c r="AM203" t="str">
        <f>IF(Input!AG203&lt;&gt;"",Input!AG203,"")</f>
        <v/>
      </c>
      <c r="AN203" t="str">
        <f t="shared" si="43"/>
        <v/>
      </c>
      <c r="AO203" t="str">
        <f>IF(AM203&lt;&gt;"",IF(Input!AI203&lt;&gt;"",ROUNDDOWN(Input!AI203,0),0),"")</f>
        <v/>
      </c>
    </row>
    <row r="204" spans="1:41" x14ac:dyDescent="0.35">
      <c r="I204" t="str">
        <f>IF(Input!A204&gt;0,Input!A204,"")</f>
        <v/>
      </c>
      <c r="J204" t="str">
        <f>IF(Input!B204&gt;0,Input!B204,"")</f>
        <v/>
      </c>
      <c r="K204" t="str">
        <f>IF(Input!C204&gt;0,Input!C204,"")</f>
        <v/>
      </c>
      <c r="L204" t="str">
        <f>IF(Input!D204&gt;0,Input!D204,"")</f>
        <v/>
      </c>
      <c r="M204" t="str">
        <f>IF(Input!E204&gt;0,Input!E204,"")</f>
        <v/>
      </c>
      <c r="N204" t="str">
        <f>IF(Input!F204&gt;0,Input!F204,"")</f>
        <v/>
      </c>
      <c r="O204" t="str">
        <f>IF($I204&lt;&gt;"",Input!I204&amp;IF(AND(Input!AG204&lt;&gt;"",Input!I204&lt;&gt;""),"+","")&amp;Input!AG204&amp;IF(AND(Input!#REF!&lt;&gt;"",OR(Input!AG204&lt;&gt;"",Input!I204&lt;&gt;"")),"+","")&amp;Input!#REF!&amp;IF(AND(Input!#REF!&lt;&gt;"",OR(Input!AG204&lt;&gt;"",Input!I204&lt;&gt;"",Input!#REF!&lt;&gt;"")),"+","")&amp;Input!#REF!&amp;IF(AND(Input!#REF!&lt;&gt;"",OR(Input!AG204&lt;&gt;"",Input!I204&lt;&gt;"",Input!#REF!&lt;&gt;"",Input!#REF!&lt;&gt;"")),"+","")&amp;Input!#REF!,"")</f>
        <v/>
      </c>
      <c r="P204" t="str">
        <f t="shared" ref="P204:P237" si="44">IF(Q204&lt;&gt;"",  RANK(Q204,Q$2:Q$202,1)+((COUNTIF(Q$2:Q$202,Q204)-1)*0.5),"" )</f>
        <v/>
      </c>
      <c r="Q204" t="str">
        <f>IF($I204&lt;&gt;"",IF(ISNUMBER(Input!K204),ROUNDDOWN(Input!K204,0),0)+IF(ISNUMBER(Input!AI204),ROUNDDOWN(Input!AI204,0),0)+IF(ISNUMBER(Input!#REF!),ROUNDDOWN(Input!#REF!,0),0)+IF(ISNUMBER(Input!#REF!),ROUNDDOWN(Input!#REF!,0),0)+IF(ISNUMBER(Input!#REF!),ROUNDDOWN(Input!#REF!,0),0),"")</f>
        <v/>
      </c>
      <c r="R204" t="str">
        <f>IF($I204&lt;&gt;"",Input!L204&amp;IF(AND(Input!#REF!&lt;&gt;"",Input!L204&lt;&gt;""),"+","")&amp;Input!#REF!&amp;IF(AND(Input!#REF!&lt;&gt;"",OR(Input!#REF!&lt;&gt;"",Input!L204&lt;&gt;"")),"+","")&amp;Input!#REF!&amp;IF(AND(Input!#REF!&lt;&gt;"",OR(Input!#REF!&lt;&gt;"",Input!L204&lt;&gt;"",Input!#REF!&lt;&gt;"")),"+","")&amp;Input!#REF!&amp;IF(AND(Input!#REF!&lt;&gt;"",OR(Input!#REF!&lt;&gt;"",Input!L204&lt;&gt;"",Input!#REF!&lt;&gt;"",Input!#REF!&lt;&gt;"")),"+","")&amp;Input!#REF!,"")</f>
        <v/>
      </c>
      <c r="S204" t="str">
        <f t="shared" ref="S204:S237" si="45">IF(T204&lt;&gt;"",  RANK(T204,T$2:T$202,1)+((COUNTIF(T$2:T$202,T204)-1)*0.5),"" )</f>
        <v/>
      </c>
      <c r="T204" t="str">
        <f>IF($I204&lt;&gt;"",IF(ISNUMBER(Input!N204),ROUNDDOWN(Input!N204,0),0)+IF(ISNUMBER(Input!#REF!),ROUNDDOWN(Input!#REF!,0),0)+IF(ISNUMBER(Input!#REF!),ROUNDDOWN(Input!#REF!,0),0)+IF(ISNUMBER(Input!#REF!),ROUNDDOWN(Input!#REF!,0),0)+IF(ISNUMBER(Input!#REF!),ROUNDDOWN(Input!#REF!,0),0),"")</f>
        <v/>
      </c>
      <c r="U204" t="str">
        <f>IF($I204&lt;&gt;"",Input!O204&amp;IF(AND(Input!#REF!&lt;&gt;"",Input!O204&lt;&gt;""),"+","")&amp;Input!#REF!&amp;IF(AND(Input!#REF!&lt;&gt;"",OR(Input!#REF!&lt;&gt;"",Input!O204&lt;&gt;"")),"+","")&amp;Input!#REF!&amp;IF(AND(Input!#REF!&lt;&gt;"",OR(Input!#REF!&lt;&gt;"",Input!O204&lt;&gt;"",Input!#REF!&lt;&gt;"")),"+","")&amp;Input!#REF!&amp;IF(AND(Input!#REF!&lt;&gt;"",OR(Input!#REF!&lt;&gt;"",Input!O204&lt;&gt;"",Input!#REF!&lt;&gt;"",Input!#REF!&lt;&gt;"")),"+","")&amp;Input!#REF!,"")</f>
        <v/>
      </c>
      <c r="V204" t="str">
        <f t="shared" ref="V204:V237" si="46">IF(W204&lt;&gt;"",  RANK(W204,W$2:W$202,1)+((COUNTIF(W$2:W$202,W204)-1)*0.5),"" )</f>
        <v/>
      </c>
      <c r="W204" t="str">
        <f>IF($I204&lt;&gt;"",IF(ISNUMBER(Input!Q204),ROUNDDOWN(Input!Q204,0),0)+IF(ISNUMBER(Input!#REF!),ROUNDDOWN(Input!#REF!,0),0)+IF(ISNUMBER(Input!#REF!),ROUNDDOWN(Input!#REF!,0),0)+IF(ISNUMBER(Input!#REF!),ROUNDDOWN(Input!#REF!,0),0)+IF(ISNUMBER(Input!#REF!),ROUNDDOWN(Input!#REF!,0),0),"")</f>
        <v/>
      </c>
      <c r="X204" t="str">
        <f>IF($I204&lt;&gt;"",Input!R204&amp;IF(AND(Input!#REF!&lt;&gt;"",Input!R204&lt;&gt;""),"+","")&amp;Input!#REF!&amp;IF(AND(Input!#REF!&lt;&gt;"",OR(Input!#REF!&lt;&gt;"",Input!R204&lt;&gt;"")),"+","")&amp;Input!#REF!&amp;IF(AND(Input!#REF!&lt;&gt;"",OR(Input!#REF!&lt;&gt;"",Input!R204&lt;&gt;"",Input!#REF!&lt;&gt;"")),"+","")&amp;Input!#REF!&amp;IF(AND(Input!#REF!&lt;&gt;"",OR(Input!#REF!&lt;&gt;"",Input!R204&lt;&gt;"",Input!#REF!&lt;&gt;"",Input!#REF!&lt;&gt;"")),"+","")&amp;Input!#REF!,"")</f>
        <v/>
      </c>
      <c r="Y204" t="str">
        <f t="shared" ref="Y204:Y237" si="47">IF(Z204&lt;&gt;"",  RANK(Z204,Z$2:Z$202,1)+((COUNTIF(Z$2:Z$202,Z204)-1)*0.5),"" )</f>
        <v/>
      </c>
      <c r="Z204" t="str">
        <f>IF($I204&lt;&gt;"",IF(ISNUMBER(Input!T204),ROUNDDOWN(Input!T204,0),0)+IF(ISNUMBER(Input!#REF!),ROUNDDOWN(Input!#REF!,0),0)+IF(ISNUMBER(Input!#REF!),ROUNDDOWN(Input!#REF!,0),0)+IF(ISNUMBER(Input!#REF!),ROUNDDOWN(Input!#REF!,0),0)+IF(ISNUMBER(Input!#REF!),ROUNDDOWN(Input!#REF!,0),0),"")</f>
        <v/>
      </c>
      <c r="AA204" t="str">
        <f>IF($I204&lt;&gt;"",Input!U204&amp;IF(AND(Input!#REF!&lt;&gt;"",Input!U204&lt;&gt;""),"+","")&amp;Input!#REF!&amp;IF(AND(Input!#REF!&lt;&gt;"",OR(Input!#REF!&lt;&gt;"",Input!U204&lt;&gt;"")),"+","")&amp;Input!#REF!&amp;IF(AND(Input!#REF!&lt;&gt;"",OR(Input!#REF!&lt;&gt;"",Input!U204&lt;&gt;"",Input!#REF!&lt;&gt;"")),"+","")&amp;Input!#REF!&amp;IF(AND(Input!#REF!&lt;&gt;"",OR(Input!#REF!&lt;&gt;"",Input!U204&lt;&gt;"",Input!#REF!&lt;&gt;"",Input!#REF!&lt;&gt;"")),"+","")&amp;Input!#REF!,"")</f>
        <v/>
      </c>
      <c r="AB204" t="str">
        <f t="shared" ref="AB204:AB237" si="48">IF(AC204&lt;&gt;"",  RANK(AC204,AC$2:AC$202,1)+((COUNTIF(AC$2:AC$202,AC204)-1)*0.5),"" )</f>
        <v/>
      </c>
      <c r="AC204" t="str">
        <f>IF($I204&lt;&gt;"",IF(ISNUMBER(Input!W204),ROUNDDOWN(Input!W204,0),0)+IF(ISNUMBER(Input!#REF!),ROUNDDOWN(Input!#REF!,0),0)+IF(ISNUMBER(Input!#REF!),ROUNDDOWN(Input!#REF!,0),0)+IF(ISNUMBER(Input!#REF!),ROUNDDOWN(Input!#REF!,0),0)+IF(ISNUMBER(Input!#REF!),ROUNDDOWN(Input!#REF!,0),0),"")</f>
        <v/>
      </c>
      <c r="AD204" t="str">
        <f>IF($I204&lt;&gt;"",Input!X204&amp;IF(AND(Input!#REF!&lt;&gt;"",Input!X204&lt;&gt;""),"+","")&amp;Input!#REF!&amp;IF(AND(Input!#REF!&lt;&gt;"",OR(Input!#REF!&lt;&gt;"",Input!X204&lt;&gt;"")),"+","")&amp;Input!#REF!&amp;IF(AND(Input!#REF!&lt;&gt;"",OR(Input!#REF!&lt;&gt;"",Input!X204&lt;&gt;"",Input!#REF!&lt;&gt;"")),"+","")&amp;Input!#REF!&amp;IF(AND(Input!#REF!&lt;&gt;"",OR(Input!#REF!&lt;&gt;"",Input!X204&lt;&gt;"",Input!#REF!&lt;&gt;"",Input!#REF!&lt;&gt;"")),"+","")&amp;Input!#REF!,"")</f>
        <v/>
      </c>
      <c r="AE204" t="str">
        <f t="shared" ref="AE204:AE237" si="49">IF(AF204&lt;&gt;"",  RANK(AF204,AF$2:AF$202,1)+((COUNTIF(AF$2:AF$202,AF204)-1)*0.5),"" )</f>
        <v/>
      </c>
      <c r="AF204" t="str">
        <f>IF($I204&lt;&gt;"",IF(ISNUMBER(Input!Z204),ROUNDDOWN(Input!Z204,0),0)+IF(ISNUMBER(Input!#REF!),ROUNDDOWN(Input!#REF!,0),0)+IF(ISNUMBER(Input!#REF!),ROUNDDOWN(Input!#REF!,0),0)+IF(ISNUMBER(Input!#REF!),ROUNDDOWN(Input!#REF!,0),0)+IF(ISNUMBER(Input!#REF!),ROUNDDOWN(Input!#REF!,0),0),"")</f>
        <v/>
      </c>
      <c r="AG204" t="str">
        <f>IF($I204&lt;&gt;"",Input!AA204&amp;IF(AND(Input!#REF!&lt;&gt;"",Input!AA204&lt;&gt;""),"+","")&amp;Input!#REF!&amp;IF(AND(Input!#REF!&lt;&gt;"",OR(Input!#REF!&lt;&gt;"",Input!AA204&lt;&gt;"")),"+","")&amp;Input!#REF!&amp;IF(AND(Input!#REF!&lt;&gt;"",OR(Input!#REF!&lt;&gt;"",Input!AA204&lt;&gt;"",Input!#REF!&lt;&gt;"")),"+","")&amp;Input!#REF!&amp;IF(AND(Input!#REF!&lt;&gt;"",OR(Input!#REF!&lt;&gt;"",Input!AA204&lt;&gt;"",Input!#REF!&lt;&gt;"",Input!#REF!&lt;&gt;"")),"+","")&amp;Input!#REF!,"")</f>
        <v/>
      </c>
      <c r="AH204" t="str">
        <f t="shared" ref="AH204:AH237" si="50">IF(AI204&lt;&gt;"",  RANK(AI204,AI$2:AI$202,1)+((COUNTIF(AI$2:AI$202,AI204)-1)*0.5),"" )</f>
        <v/>
      </c>
      <c r="AI204" t="str">
        <f>IF($I204&lt;&gt;"",IF(ISNUMBER(Input!AC204),ROUNDDOWN(Input!AC204,0),0)+IF(ISNUMBER(Input!#REF!),ROUNDDOWN(Input!#REF!,0),0)+IF(ISNUMBER(Input!#REF!),ROUNDDOWN(Input!#REF!,0),0)+IF(ISNUMBER(Input!#REF!),ROUNDDOWN(Input!#REF!,0),0)+IF(ISNUMBER(Input!#REF!),ROUNDDOWN(Input!#REF!,0),0),"")</f>
        <v/>
      </c>
      <c r="AJ204" t="str">
        <f>IF($I204&lt;&gt;"",Input!AD204&amp;IF(AND(Input!#REF!&lt;&gt;"",Input!AD204&lt;&gt;""),"+","")&amp;Input!#REF!&amp;IF(AND(Input!#REF!&lt;&gt;"",OR(Input!#REF!&lt;&gt;"",Input!AD204&lt;&gt;"")),"+","")&amp;Input!#REF!&amp;IF(AND(Input!#REF!&lt;&gt;"",OR(Input!#REF!&lt;&gt;"",Input!AD204&lt;&gt;"",Input!#REF!&lt;&gt;"")),"+","")&amp;Input!#REF!&amp;IF(AND(Input!#REF!&lt;&gt;"",OR(Input!#REF!&lt;&gt;"",Input!AD204&lt;&gt;"",Input!#REF!&lt;&gt;"",Input!#REF!&lt;&gt;"")),"+","")&amp;Input!#REF!,"")</f>
        <v/>
      </c>
      <c r="AK204" t="str">
        <f t="shared" ref="AK204:AK237" si="51">IF(AL204&lt;&gt;"",  RANK(AL204,AL$2:AL$202,1)+((COUNTIF(AL$2:AL$202,AL204)-1)*0.5),"" )</f>
        <v/>
      </c>
    </row>
    <row r="205" spans="1:41" x14ac:dyDescent="0.35">
      <c r="I205" t="str">
        <f>IF(Input!A205&gt;0,Input!A205,"")</f>
        <v/>
      </c>
      <c r="J205" t="str">
        <f>IF(Input!B205&gt;0,Input!B205,"")</f>
        <v/>
      </c>
      <c r="K205" t="str">
        <f>IF(Input!C205&gt;0,Input!C205,"")</f>
        <v/>
      </c>
      <c r="L205" t="str">
        <f>IF(Input!D205&gt;0,Input!D205,"")</f>
        <v/>
      </c>
      <c r="M205" t="str">
        <f>IF(Input!E205&gt;0,Input!E205,"")</f>
        <v/>
      </c>
      <c r="N205" t="str">
        <f>IF(Input!F205&gt;0,Input!F205,"")</f>
        <v/>
      </c>
      <c r="O205" t="str">
        <f>IF($I205&lt;&gt;"",Input!I205&amp;IF(AND(Input!AG205&lt;&gt;"",Input!I205&lt;&gt;""),"+","")&amp;Input!AG205&amp;IF(AND(Input!#REF!&lt;&gt;"",OR(Input!AG205&lt;&gt;"",Input!I205&lt;&gt;"")),"+","")&amp;Input!#REF!&amp;IF(AND(Input!#REF!&lt;&gt;"",OR(Input!AG205&lt;&gt;"",Input!I205&lt;&gt;"",Input!#REF!&lt;&gt;"")),"+","")&amp;Input!#REF!&amp;IF(AND(Input!#REF!&lt;&gt;"",OR(Input!AG205&lt;&gt;"",Input!I205&lt;&gt;"",Input!#REF!&lt;&gt;"",Input!#REF!&lt;&gt;"")),"+","")&amp;Input!#REF!,"")</f>
        <v/>
      </c>
      <c r="P205" t="str">
        <f t="shared" si="44"/>
        <v/>
      </c>
      <c r="Q205" t="str">
        <f>IF($I205&lt;&gt;"",IF(ISNUMBER(Input!K205),ROUNDDOWN(Input!K205,0),0)+IF(ISNUMBER(Input!AI205),ROUNDDOWN(Input!AI205,0),0)+IF(ISNUMBER(Input!#REF!),ROUNDDOWN(Input!#REF!,0),0)+IF(ISNUMBER(Input!#REF!),ROUNDDOWN(Input!#REF!,0),0)+IF(ISNUMBER(Input!#REF!),ROUNDDOWN(Input!#REF!,0),0),"")</f>
        <v/>
      </c>
      <c r="R205" t="str">
        <f>IF($I205&lt;&gt;"",Input!L205&amp;IF(AND(Input!#REF!&lt;&gt;"",Input!L205&lt;&gt;""),"+","")&amp;Input!#REF!&amp;IF(AND(Input!#REF!&lt;&gt;"",OR(Input!#REF!&lt;&gt;"",Input!L205&lt;&gt;"")),"+","")&amp;Input!#REF!&amp;IF(AND(Input!#REF!&lt;&gt;"",OR(Input!#REF!&lt;&gt;"",Input!L205&lt;&gt;"",Input!#REF!&lt;&gt;"")),"+","")&amp;Input!#REF!&amp;IF(AND(Input!#REF!&lt;&gt;"",OR(Input!#REF!&lt;&gt;"",Input!L205&lt;&gt;"",Input!#REF!&lt;&gt;"",Input!#REF!&lt;&gt;"")),"+","")&amp;Input!#REF!,"")</f>
        <v/>
      </c>
      <c r="S205" t="str">
        <f t="shared" si="45"/>
        <v/>
      </c>
      <c r="T205" t="str">
        <f>IF($I205&lt;&gt;"",IF(ISNUMBER(Input!N205),ROUNDDOWN(Input!N205,0),0)+IF(ISNUMBER(Input!#REF!),ROUNDDOWN(Input!#REF!,0),0)+IF(ISNUMBER(Input!#REF!),ROUNDDOWN(Input!#REF!,0),0)+IF(ISNUMBER(Input!#REF!),ROUNDDOWN(Input!#REF!,0),0)+IF(ISNUMBER(Input!#REF!),ROUNDDOWN(Input!#REF!,0),0),"")</f>
        <v/>
      </c>
      <c r="U205" t="str">
        <f>IF($I205&lt;&gt;"",Input!O205&amp;IF(AND(Input!#REF!&lt;&gt;"",Input!O205&lt;&gt;""),"+","")&amp;Input!#REF!&amp;IF(AND(Input!#REF!&lt;&gt;"",OR(Input!#REF!&lt;&gt;"",Input!O205&lt;&gt;"")),"+","")&amp;Input!#REF!&amp;IF(AND(Input!#REF!&lt;&gt;"",OR(Input!#REF!&lt;&gt;"",Input!O205&lt;&gt;"",Input!#REF!&lt;&gt;"")),"+","")&amp;Input!#REF!&amp;IF(AND(Input!#REF!&lt;&gt;"",OR(Input!#REF!&lt;&gt;"",Input!O205&lt;&gt;"",Input!#REF!&lt;&gt;"",Input!#REF!&lt;&gt;"")),"+","")&amp;Input!#REF!,"")</f>
        <v/>
      </c>
      <c r="V205" t="str">
        <f t="shared" si="46"/>
        <v/>
      </c>
      <c r="W205" t="str">
        <f>IF($I205&lt;&gt;"",IF(ISNUMBER(Input!Q205),ROUNDDOWN(Input!Q205,0),0)+IF(ISNUMBER(Input!#REF!),ROUNDDOWN(Input!#REF!,0),0)+IF(ISNUMBER(Input!#REF!),ROUNDDOWN(Input!#REF!,0),0)+IF(ISNUMBER(Input!#REF!),ROUNDDOWN(Input!#REF!,0),0)+IF(ISNUMBER(Input!#REF!),ROUNDDOWN(Input!#REF!,0),0),"")</f>
        <v/>
      </c>
      <c r="X205" t="str">
        <f>IF($I205&lt;&gt;"",Input!R205&amp;IF(AND(Input!#REF!&lt;&gt;"",Input!R205&lt;&gt;""),"+","")&amp;Input!#REF!&amp;IF(AND(Input!#REF!&lt;&gt;"",OR(Input!#REF!&lt;&gt;"",Input!R205&lt;&gt;"")),"+","")&amp;Input!#REF!&amp;IF(AND(Input!#REF!&lt;&gt;"",OR(Input!#REF!&lt;&gt;"",Input!R205&lt;&gt;"",Input!#REF!&lt;&gt;"")),"+","")&amp;Input!#REF!&amp;IF(AND(Input!#REF!&lt;&gt;"",OR(Input!#REF!&lt;&gt;"",Input!R205&lt;&gt;"",Input!#REF!&lt;&gt;"",Input!#REF!&lt;&gt;"")),"+","")&amp;Input!#REF!,"")</f>
        <v/>
      </c>
      <c r="Y205" t="str">
        <f t="shared" si="47"/>
        <v/>
      </c>
      <c r="Z205" t="str">
        <f>IF($I205&lt;&gt;"",IF(ISNUMBER(Input!T205),ROUNDDOWN(Input!T205,0),0)+IF(ISNUMBER(Input!#REF!),ROUNDDOWN(Input!#REF!,0),0)+IF(ISNUMBER(Input!#REF!),ROUNDDOWN(Input!#REF!,0),0)+IF(ISNUMBER(Input!#REF!),ROUNDDOWN(Input!#REF!,0),0)+IF(ISNUMBER(Input!#REF!),ROUNDDOWN(Input!#REF!,0),0),"")</f>
        <v/>
      </c>
      <c r="AA205" t="str">
        <f>IF($I205&lt;&gt;"",Input!U205&amp;IF(AND(Input!#REF!&lt;&gt;"",Input!U205&lt;&gt;""),"+","")&amp;Input!#REF!&amp;IF(AND(Input!#REF!&lt;&gt;"",OR(Input!#REF!&lt;&gt;"",Input!U205&lt;&gt;"")),"+","")&amp;Input!#REF!&amp;IF(AND(Input!#REF!&lt;&gt;"",OR(Input!#REF!&lt;&gt;"",Input!U205&lt;&gt;"",Input!#REF!&lt;&gt;"")),"+","")&amp;Input!#REF!&amp;IF(AND(Input!#REF!&lt;&gt;"",OR(Input!#REF!&lt;&gt;"",Input!U205&lt;&gt;"",Input!#REF!&lt;&gt;"",Input!#REF!&lt;&gt;"")),"+","")&amp;Input!#REF!,"")</f>
        <v/>
      </c>
      <c r="AB205" t="str">
        <f t="shared" si="48"/>
        <v/>
      </c>
      <c r="AC205" t="str">
        <f>IF($I205&lt;&gt;"",IF(ISNUMBER(Input!W205),ROUNDDOWN(Input!W205,0),0)+IF(ISNUMBER(Input!#REF!),ROUNDDOWN(Input!#REF!,0),0)+IF(ISNUMBER(Input!#REF!),ROUNDDOWN(Input!#REF!,0),0)+IF(ISNUMBER(Input!#REF!),ROUNDDOWN(Input!#REF!,0),0)+IF(ISNUMBER(Input!#REF!),ROUNDDOWN(Input!#REF!,0),0),"")</f>
        <v/>
      </c>
      <c r="AD205" t="str">
        <f>IF($I205&lt;&gt;"",Input!X205&amp;IF(AND(Input!#REF!&lt;&gt;"",Input!X205&lt;&gt;""),"+","")&amp;Input!#REF!&amp;IF(AND(Input!#REF!&lt;&gt;"",OR(Input!#REF!&lt;&gt;"",Input!X205&lt;&gt;"")),"+","")&amp;Input!#REF!&amp;IF(AND(Input!#REF!&lt;&gt;"",OR(Input!#REF!&lt;&gt;"",Input!X205&lt;&gt;"",Input!#REF!&lt;&gt;"")),"+","")&amp;Input!#REF!&amp;IF(AND(Input!#REF!&lt;&gt;"",OR(Input!#REF!&lt;&gt;"",Input!X205&lt;&gt;"",Input!#REF!&lt;&gt;"",Input!#REF!&lt;&gt;"")),"+","")&amp;Input!#REF!,"")</f>
        <v/>
      </c>
      <c r="AE205" t="str">
        <f t="shared" si="49"/>
        <v/>
      </c>
      <c r="AF205" t="str">
        <f>IF($I205&lt;&gt;"",IF(ISNUMBER(Input!Z205),ROUNDDOWN(Input!Z205,0),0)+IF(ISNUMBER(Input!#REF!),ROUNDDOWN(Input!#REF!,0),0)+IF(ISNUMBER(Input!#REF!),ROUNDDOWN(Input!#REF!,0),0)+IF(ISNUMBER(Input!#REF!),ROUNDDOWN(Input!#REF!,0),0)+IF(ISNUMBER(Input!#REF!),ROUNDDOWN(Input!#REF!,0),0),"")</f>
        <v/>
      </c>
      <c r="AG205" t="str">
        <f>IF($I205&lt;&gt;"",Input!AA205&amp;IF(AND(Input!#REF!&lt;&gt;"",Input!AA205&lt;&gt;""),"+","")&amp;Input!#REF!&amp;IF(AND(Input!#REF!&lt;&gt;"",OR(Input!#REF!&lt;&gt;"",Input!AA205&lt;&gt;"")),"+","")&amp;Input!#REF!&amp;IF(AND(Input!#REF!&lt;&gt;"",OR(Input!#REF!&lt;&gt;"",Input!AA205&lt;&gt;"",Input!#REF!&lt;&gt;"")),"+","")&amp;Input!#REF!&amp;IF(AND(Input!#REF!&lt;&gt;"",OR(Input!#REF!&lt;&gt;"",Input!AA205&lt;&gt;"",Input!#REF!&lt;&gt;"",Input!#REF!&lt;&gt;"")),"+","")&amp;Input!#REF!,"")</f>
        <v/>
      </c>
      <c r="AH205" t="str">
        <f t="shared" si="50"/>
        <v/>
      </c>
      <c r="AI205" t="str">
        <f>IF($I205&lt;&gt;"",IF(ISNUMBER(Input!AC205),ROUNDDOWN(Input!AC205,0),0)+IF(ISNUMBER(Input!#REF!),ROUNDDOWN(Input!#REF!,0),0)+IF(ISNUMBER(Input!#REF!),ROUNDDOWN(Input!#REF!,0),0)+IF(ISNUMBER(Input!#REF!),ROUNDDOWN(Input!#REF!,0),0)+IF(ISNUMBER(Input!#REF!),ROUNDDOWN(Input!#REF!,0),0),"")</f>
        <v/>
      </c>
      <c r="AJ205" t="str">
        <f>IF($I205&lt;&gt;"",Input!AD205&amp;IF(AND(Input!#REF!&lt;&gt;"",Input!AD205&lt;&gt;""),"+","")&amp;Input!#REF!&amp;IF(AND(Input!#REF!&lt;&gt;"",OR(Input!#REF!&lt;&gt;"",Input!AD205&lt;&gt;"")),"+","")&amp;Input!#REF!&amp;IF(AND(Input!#REF!&lt;&gt;"",OR(Input!#REF!&lt;&gt;"",Input!AD205&lt;&gt;"",Input!#REF!&lt;&gt;"")),"+","")&amp;Input!#REF!&amp;IF(AND(Input!#REF!&lt;&gt;"",OR(Input!#REF!&lt;&gt;"",Input!AD205&lt;&gt;"",Input!#REF!&lt;&gt;"",Input!#REF!&lt;&gt;"")),"+","")&amp;Input!#REF!,"")</f>
        <v/>
      </c>
      <c r="AK205" t="str">
        <f t="shared" si="51"/>
        <v/>
      </c>
    </row>
    <row r="206" spans="1:41" x14ac:dyDescent="0.35">
      <c r="I206" t="str">
        <f>IF(Input!A206&gt;0,Input!A206,"")</f>
        <v/>
      </c>
      <c r="J206" t="str">
        <f>IF(Input!B206&gt;0,Input!B206,"")</f>
        <v/>
      </c>
      <c r="K206" t="str">
        <f>IF(Input!C206&gt;0,Input!C206,"")</f>
        <v/>
      </c>
      <c r="L206" t="str">
        <f>IF(Input!D206&gt;0,Input!D206,"")</f>
        <v/>
      </c>
      <c r="M206" t="str">
        <f>IF(Input!E206&gt;0,Input!E206,"")</f>
        <v/>
      </c>
      <c r="N206" t="str">
        <f>IF(Input!F206&gt;0,Input!F206,"")</f>
        <v/>
      </c>
      <c r="O206" t="str">
        <f>IF($I206&lt;&gt;"",Input!I206&amp;IF(AND(Input!AG206&lt;&gt;"",Input!I206&lt;&gt;""),"+","")&amp;Input!AG206&amp;IF(AND(Input!#REF!&lt;&gt;"",OR(Input!AG206&lt;&gt;"",Input!I206&lt;&gt;"")),"+","")&amp;Input!#REF!&amp;IF(AND(Input!#REF!&lt;&gt;"",OR(Input!AG206&lt;&gt;"",Input!I206&lt;&gt;"",Input!#REF!&lt;&gt;"")),"+","")&amp;Input!#REF!&amp;IF(AND(Input!#REF!&lt;&gt;"",OR(Input!AG206&lt;&gt;"",Input!I206&lt;&gt;"",Input!#REF!&lt;&gt;"",Input!#REF!&lt;&gt;"")),"+","")&amp;Input!#REF!,"")</f>
        <v/>
      </c>
      <c r="P206" t="str">
        <f t="shared" si="44"/>
        <v/>
      </c>
      <c r="Q206" t="str">
        <f>IF($I206&lt;&gt;"",IF(ISNUMBER(Input!K206),ROUNDDOWN(Input!K206,0),0)+IF(ISNUMBER(Input!AI206),ROUNDDOWN(Input!AI206,0),0)+IF(ISNUMBER(Input!#REF!),ROUNDDOWN(Input!#REF!,0),0)+IF(ISNUMBER(Input!#REF!),ROUNDDOWN(Input!#REF!,0),0)+IF(ISNUMBER(Input!#REF!),ROUNDDOWN(Input!#REF!,0),0),"")</f>
        <v/>
      </c>
      <c r="R206" t="str">
        <f>IF($I206&lt;&gt;"",Input!L206&amp;IF(AND(Input!#REF!&lt;&gt;"",Input!L206&lt;&gt;""),"+","")&amp;Input!#REF!&amp;IF(AND(Input!#REF!&lt;&gt;"",OR(Input!#REF!&lt;&gt;"",Input!L206&lt;&gt;"")),"+","")&amp;Input!#REF!&amp;IF(AND(Input!#REF!&lt;&gt;"",OR(Input!#REF!&lt;&gt;"",Input!L206&lt;&gt;"",Input!#REF!&lt;&gt;"")),"+","")&amp;Input!#REF!&amp;IF(AND(Input!#REF!&lt;&gt;"",OR(Input!#REF!&lt;&gt;"",Input!L206&lt;&gt;"",Input!#REF!&lt;&gt;"",Input!#REF!&lt;&gt;"")),"+","")&amp;Input!#REF!,"")</f>
        <v/>
      </c>
      <c r="S206" t="str">
        <f t="shared" si="45"/>
        <v/>
      </c>
      <c r="T206" t="str">
        <f>IF($I206&lt;&gt;"",IF(ISNUMBER(Input!N206),ROUNDDOWN(Input!N206,0),0)+IF(ISNUMBER(Input!#REF!),ROUNDDOWN(Input!#REF!,0),0)+IF(ISNUMBER(Input!#REF!),ROUNDDOWN(Input!#REF!,0),0)+IF(ISNUMBER(Input!#REF!),ROUNDDOWN(Input!#REF!,0),0)+IF(ISNUMBER(Input!#REF!),ROUNDDOWN(Input!#REF!,0),0),"")</f>
        <v/>
      </c>
      <c r="U206" t="str">
        <f>IF($I206&lt;&gt;"",Input!O206&amp;IF(AND(Input!#REF!&lt;&gt;"",Input!O206&lt;&gt;""),"+","")&amp;Input!#REF!&amp;IF(AND(Input!#REF!&lt;&gt;"",OR(Input!#REF!&lt;&gt;"",Input!O206&lt;&gt;"")),"+","")&amp;Input!#REF!&amp;IF(AND(Input!#REF!&lt;&gt;"",OR(Input!#REF!&lt;&gt;"",Input!O206&lt;&gt;"",Input!#REF!&lt;&gt;"")),"+","")&amp;Input!#REF!&amp;IF(AND(Input!#REF!&lt;&gt;"",OR(Input!#REF!&lt;&gt;"",Input!O206&lt;&gt;"",Input!#REF!&lt;&gt;"",Input!#REF!&lt;&gt;"")),"+","")&amp;Input!#REF!,"")</f>
        <v/>
      </c>
      <c r="V206" t="str">
        <f t="shared" si="46"/>
        <v/>
      </c>
      <c r="W206" t="str">
        <f>IF($I206&lt;&gt;"",IF(ISNUMBER(Input!Q206),ROUNDDOWN(Input!Q206,0),0)+IF(ISNUMBER(Input!#REF!),ROUNDDOWN(Input!#REF!,0),0)+IF(ISNUMBER(Input!#REF!),ROUNDDOWN(Input!#REF!,0),0)+IF(ISNUMBER(Input!#REF!),ROUNDDOWN(Input!#REF!,0),0)+IF(ISNUMBER(Input!#REF!),ROUNDDOWN(Input!#REF!,0),0),"")</f>
        <v/>
      </c>
      <c r="X206" t="str">
        <f>IF($I206&lt;&gt;"",Input!R206&amp;IF(AND(Input!#REF!&lt;&gt;"",Input!R206&lt;&gt;""),"+","")&amp;Input!#REF!&amp;IF(AND(Input!#REF!&lt;&gt;"",OR(Input!#REF!&lt;&gt;"",Input!R206&lt;&gt;"")),"+","")&amp;Input!#REF!&amp;IF(AND(Input!#REF!&lt;&gt;"",OR(Input!#REF!&lt;&gt;"",Input!R206&lt;&gt;"",Input!#REF!&lt;&gt;"")),"+","")&amp;Input!#REF!&amp;IF(AND(Input!#REF!&lt;&gt;"",OR(Input!#REF!&lt;&gt;"",Input!R206&lt;&gt;"",Input!#REF!&lt;&gt;"",Input!#REF!&lt;&gt;"")),"+","")&amp;Input!#REF!,"")</f>
        <v/>
      </c>
      <c r="Y206" t="str">
        <f t="shared" si="47"/>
        <v/>
      </c>
      <c r="Z206" t="str">
        <f>IF($I206&lt;&gt;"",IF(ISNUMBER(Input!T206),ROUNDDOWN(Input!T206,0),0)+IF(ISNUMBER(Input!#REF!),ROUNDDOWN(Input!#REF!,0),0)+IF(ISNUMBER(Input!#REF!),ROUNDDOWN(Input!#REF!,0),0)+IF(ISNUMBER(Input!#REF!),ROUNDDOWN(Input!#REF!,0),0)+IF(ISNUMBER(Input!#REF!),ROUNDDOWN(Input!#REF!,0),0),"")</f>
        <v/>
      </c>
      <c r="AA206" t="str">
        <f>IF($I206&lt;&gt;"",Input!U206&amp;IF(AND(Input!#REF!&lt;&gt;"",Input!U206&lt;&gt;""),"+","")&amp;Input!#REF!&amp;IF(AND(Input!#REF!&lt;&gt;"",OR(Input!#REF!&lt;&gt;"",Input!U206&lt;&gt;"")),"+","")&amp;Input!#REF!&amp;IF(AND(Input!#REF!&lt;&gt;"",OR(Input!#REF!&lt;&gt;"",Input!U206&lt;&gt;"",Input!#REF!&lt;&gt;"")),"+","")&amp;Input!#REF!&amp;IF(AND(Input!#REF!&lt;&gt;"",OR(Input!#REF!&lt;&gt;"",Input!U206&lt;&gt;"",Input!#REF!&lt;&gt;"",Input!#REF!&lt;&gt;"")),"+","")&amp;Input!#REF!,"")</f>
        <v/>
      </c>
      <c r="AB206" t="str">
        <f t="shared" si="48"/>
        <v/>
      </c>
      <c r="AC206" t="str">
        <f>IF($I206&lt;&gt;"",IF(ISNUMBER(Input!W206),ROUNDDOWN(Input!W206,0),0)+IF(ISNUMBER(Input!#REF!),ROUNDDOWN(Input!#REF!,0),0)+IF(ISNUMBER(Input!#REF!),ROUNDDOWN(Input!#REF!,0),0)+IF(ISNUMBER(Input!#REF!),ROUNDDOWN(Input!#REF!,0),0)+IF(ISNUMBER(Input!#REF!),ROUNDDOWN(Input!#REF!,0),0),"")</f>
        <v/>
      </c>
      <c r="AD206" t="str">
        <f>IF($I206&lt;&gt;"",Input!X206&amp;IF(AND(Input!#REF!&lt;&gt;"",Input!X206&lt;&gt;""),"+","")&amp;Input!#REF!&amp;IF(AND(Input!#REF!&lt;&gt;"",OR(Input!#REF!&lt;&gt;"",Input!X206&lt;&gt;"")),"+","")&amp;Input!#REF!&amp;IF(AND(Input!#REF!&lt;&gt;"",OR(Input!#REF!&lt;&gt;"",Input!X206&lt;&gt;"",Input!#REF!&lt;&gt;"")),"+","")&amp;Input!#REF!&amp;IF(AND(Input!#REF!&lt;&gt;"",OR(Input!#REF!&lt;&gt;"",Input!X206&lt;&gt;"",Input!#REF!&lt;&gt;"",Input!#REF!&lt;&gt;"")),"+","")&amp;Input!#REF!,"")</f>
        <v/>
      </c>
      <c r="AE206" t="str">
        <f t="shared" si="49"/>
        <v/>
      </c>
      <c r="AF206" t="str">
        <f>IF($I206&lt;&gt;"",IF(ISNUMBER(Input!Z206),ROUNDDOWN(Input!Z206,0),0)+IF(ISNUMBER(Input!#REF!),ROUNDDOWN(Input!#REF!,0),0)+IF(ISNUMBER(Input!#REF!),ROUNDDOWN(Input!#REF!,0),0)+IF(ISNUMBER(Input!#REF!),ROUNDDOWN(Input!#REF!,0),0)+IF(ISNUMBER(Input!#REF!),ROUNDDOWN(Input!#REF!,0),0),"")</f>
        <v/>
      </c>
      <c r="AG206" t="str">
        <f>IF($I206&lt;&gt;"",Input!AA206&amp;IF(AND(Input!#REF!&lt;&gt;"",Input!AA206&lt;&gt;""),"+","")&amp;Input!#REF!&amp;IF(AND(Input!#REF!&lt;&gt;"",OR(Input!#REF!&lt;&gt;"",Input!AA206&lt;&gt;"")),"+","")&amp;Input!#REF!&amp;IF(AND(Input!#REF!&lt;&gt;"",OR(Input!#REF!&lt;&gt;"",Input!AA206&lt;&gt;"",Input!#REF!&lt;&gt;"")),"+","")&amp;Input!#REF!&amp;IF(AND(Input!#REF!&lt;&gt;"",OR(Input!#REF!&lt;&gt;"",Input!AA206&lt;&gt;"",Input!#REF!&lt;&gt;"",Input!#REF!&lt;&gt;"")),"+","")&amp;Input!#REF!,"")</f>
        <v/>
      </c>
      <c r="AH206" t="str">
        <f t="shared" si="50"/>
        <v/>
      </c>
      <c r="AI206" t="str">
        <f>IF($I206&lt;&gt;"",IF(ISNUMBER(Input!AC206),ROUNDDOWN(Input!AC206,0),0)+IF(ISNUMBER(Input!#REF!),ROUNDDOWN(Input!#REF!,0),0)+IF(ISNUMBER(Input!#REF!),ROUNDDOWN(Input!#REF!,0),0)+IF(ISNUMBER(Input!#REF!),ROUNDDOWN(Input!#REF!,0),0)+IF(ISNUMBER(Input!#REF!),ROUNDDOWN(Input!#REF!,0),0),"")</f>
        <v/>
      </c>
      <c r="AJ206" t="str">
        <f>IF($I206&lt;&gt;"",Input!AD206&amp;IF(AND(Input!#REF!&lt;&gt;"",Input!AD206&lt;&gt;""),"+","")&amp;Input!#REF!&amp;IF(AND(Input!#REF!&lt;&gt;"",OR(Input!#REF!&lt;&gt;"",Input!AD206&lt;&gt;"")),"+","")&amp;Input!#REF!&amp;IF(AND(Input!#REF!&lt;&gt;"",OR(Input!#REF!&lt;&gt;"",Input!AD206&lt;&gt;"",Input!#REF!&lt;&gt;"")),"+","")&amp;Input!#REF!&amp;IF(AND(Input!#REF!&lt;&gt;"",OR(Input!#REF!&lt;&gt;"",Input!AD206&lt;&gt;"",Input!#REF!&lt;&gt;"",Input!#REF!&lt;&gt;"")),"+","")&amp;Input!#REF!,"")</f>
        <v/>
      </c>
      <c r="AK206" t="str">
        <f t="shared" si="51"/>
        <v/>
      </c>
    </row>
    <row r="207" spans="1:41" x14ac:dyDescent="0.35">
      <c r="I207" t="str">
        <f>IF(Input!A207&gt;0,Input!A207,"")</f>
        <v/>
      </c>
      <c r="J207" t="str">
        <f>IF(Input!B207&gt;0,Input!B207,"")</f>
        <v/>
      </c>
      <c r="K207" t="str">
        <f>IF(Input!C207&gt;0,Input!C207,"")</f>
        <v/>
      </c>
      <c r="L207" t="str">
        <f>IF(Input!D207&gt;0,Input!D207,"")</f>
        <v/>
      </c>
      <c r="M207" t="str">
        <f>IF(Input!E207&gt;0,Input!E207,"")</f>
        <v/>
      </c>
      <c r="N207" t="str">
        <f>IF(Input!F207&gt;0,Input!F207,"")</f>
        <v/>
      </c>
      <c r="O207" t="str">
        <f>IF($I207&lt;&gt;"",Input!I207&amp;IF(AND(Input!AG207&lt;&gt;"",Input!I207&lt;&gt;""),"+","")&amp;Input!AG207&amp;IF(AND(Input!#REF!&lt;&gt;"",OR(Input!AG207&lt;&gt;"",Input!I207&lt;&gt;"")),"+","")&amp;Input!#REF!&amp;IF(AND(Input!#REF!&lt;&gt;"",OR(Input!AG207&lt;&gt;"",Input!I207&lt;&gt;"",Input!#REF!&lt;&gt;"")),"+","")&amp;Input!#REF!&amp;IF(AND(Input!#REF!&lt;&gt;"",OR(Input!AG207&lt;&gt;"",Input!I207&lt;&gt;"",Input!#REF!&lt;&gt;"",Input!#REF!&lt;&gt;"")),"+","")&amp;Input!#REF!,"")</f>
        <v/>
      </c>
      <c r="P207" t="str">
        <f t="shared" si="44"/>
        <v/>
      </c>
      <c r="Q207" t="str">
        <f>IF($I207&lt;&gt;"",IF(ISNUMBER(Input!K207),ROUNDDOWN(Input!K207,0),0)+IF(ISNUMBER(Input!AI207),ROUNDDOWN(Input!AI207,0),0)+IF(ISNUMBER(Input!#REF!),ROUNDDOWN(Input!#REF!,0),0)+IF(ISNUMBER(Input!#REF!),ROUNDDOWN(Input!#REF!,0),0)+IF(ISNUMBER(Input!#REF!),ROUNDDOWN(Input!#REF!,0),0),"")</f>
        <v/>
      </c>
      <c r="R207" t="str">
        <f>IF($I207&lt;&gt;"",Input!L207&amp;IF(AND(Input!#REF!&lt;&gt;"",Input!L207&lt;&gt;""),"+","")&amp;Input!#REF!&amp;IF(AND(Input!#REF!&lt;&gt;"",OR(Input!#REF!&lt;&gt;"",Input!L207&lt;&gt;"")),"+","")&amp;Input!#REF!&amp;IF(AND(Input!#REF!&lt;&gt;"",OR(Input!#REF!&lt;&gt;"",Input!L207&lt;&gt;"",Input!#REF!&lt;&gt;"")),"+","")&amp;Input!#REF!&amp;IF(AND(Input!#REF!&lt;&gt;"",OR(Input!#REF!&lt;&gt;"",Input!L207&lt;&gt;"",Input!#REF!&lt;&gt;"",Input!#REF!&lt;&gt;"")),"+","")&amp;Input!#REF!,"")</f>
        <v/>
      </c>
      <c r="S207" t="str">
        <f t="shared" si="45"/>
        <v/>
      </c>
      <c r="T207" t="str">
        <f>IF($I207&lt;&gt;"",IF(ISNUMBER(Input!N207),ROUNDDOWN(Input!N207,0),0)+IF(ISNUMBER(Input!#REF!),ROUNDDOWN(Input!#REF!,0),0)+IF(ISNUMBER(Input!#REF!),ROUNDDOWN(Input!#REF!,0),0)+IF(ISNUMBER(Input!#REF!),ROUNDDOWN(Input!#REF!,0),0)+IF(ISNUMBER(Input!#REF!),ROUNDDOWN(Input!#REF!,0),0),"")</f>
        <v/>
      </c>
      <c r="U207" t="str">
        <f>IF($I207&lt;&gt;"",Input!O207&amp;IF(AND(Input!#REF!&lt;&gt;"",Input!O207&lt;&gt;""),"+","")&amp;Input!#REF!&amp;IF(AND(Input!#REF!&lt;&gt;"",OR(Input!#REF!&lt;&gt;"",Input!O207&lt;&gt;"")),"+","")&amp;Input!#REF!&amp;IF(AND(Input!#REF!&lt;&gt;"",OR(Input!#REF!&lt;&gt;"",Input!O207&lt;&gt;"",Input!#REF!&lt;&gt;"")),"+","")&amp;Input!#REF!&amp;IF(AND(Input!#REF!&lt;&gt;"",OR(Input!#REF!&lt;&gt;"",Input!O207&lt;&gt;"",Input!#REF!&lt;&gt;"",Input!#REF!&lt;&gt;"")),"+","")&amp;Input!#REF!,"")</f>
        <v/>
      </c>
      <c r="V207" t="str">
        <f t="shared" si="46"/>
        <v/>
      </c>
      <c r="W207" t="str">
        <f>IF($I207&lt;&gt;"",IF(ISNUMBER(Input!Q207),ROUNDDOWN(Input!Q207,0),0)+IF(ISNUMBER(Input!#REF!),ROUNDDOWN(Input!#REF!,0),0)+IF(ISNUMBER(Input!#REF!),ROUNDDOWN(Input!#REF!,0),0)+IF(ISNUMBER(Input!#REF!),ROUNDDOWN(Input!#REF!,0),0)+IF(ISNUMBER(Input!#REF!),ROUNDDOWN(Input!#REF!,0),0),"")</f>
        <v/>
      </c>
      <c r="X207" t="str">
        <f>IF($I207&lt;&gt;"",Input!R207&amp;IF(AND(Input!#REF!&lt;&gt;"",Input!R207&lt;&gt;""),"+","")&amp;Input!#REF!&amp;IF(AND(Input!#REF!&lt;&gt;"",OR(Input!#REF!&lt;&gt;"",Input!R207&lt;&gt;"")),"+","")&amp;Input!#REF!&amp;IF(AND(Input!#REF!&lt;&gt;"",OR(Input!#REF!&lt;&gt;"",Input!R207&lt;&gt;"",Input!#REF!&lt;&gt;"")),"+","")&amp;Input!#REF!&amp;IF(AND(Input!#REF!&lt;&gt;"",OR(Input!#REF!&lt;&gt;"",Input!R207&lt;&gt;"",Input!#REF!&lt;&gt;"",Input!#REF!&lt;&gt;"")),"+","")&amp;Input!#REF!,"")</f>
        <v/>
      </c>
      <c r="Y207" t="str">
        <f t="shared" si="47"/>
        <v/>
      </c>
      <c r="Z207" t="str">
        <f>IF($I207&lt;&gt;"",IF(ISNUMBER(Input!T207),ROUNDDOWN(Input!T207,0),0)+IF(ISNUMBER(Input!#REF!),ROUNDDOWN(Input!#REF!,0),0)+IF(ISNUMBER(Input!#REF!),ROUNDDOWN(Input!#REF!,0),0)+IF(ISNUMBER(Input!#REF!),ROUNDDOWN(Input!#REF!,0),0)+IF(ISNUMBER(Input!#REF!),ROUNDDOWN(Input!#REF!,0),0),"")</f>
        <v/>
      </c>
      <c r="AA207" t="str">
        <f>IF($I207&lt;&gt;"",Input!U207&amp;IF(AND(Input!#REF!&lt;&gt;"",Input!U207&lt;&gt;""),"+","")&amp;Input!#REF!&amp;IF(AND(Input!#REF!&lt;&gt;"",OR(Input!#REF!&lt;&gt;"",Input!U207&lt;&gt;"")),"+","")&amp;Input!#REF!&amp;IF(AND(Input!#REF!&lt;&gt;"",OR(Input!#REF!&lt;&gt;"",Input!U207&lt;&gt;"",Input!#REF!&lt;&gt;"")),"+","")&amp;Input!#REF!&amp;IF(AND(Input!#REF!&lt;&gt;"",OR(Input!#REF!&lt;&gt;"",Input!U207&lt;&gt;"",Input!#REF!&lt;&gt;"",Input!#REF!&lt;&gt;"")),"+","")&amp;Input!#REF!,"")</f>
        <v/>
      </c>
      <c r="AB207" t="str">
        <f t="shared" si="48"/>
        <v/>
      </c>
      <c r="AC207" t="str">
        <f>IF($I207&lt;&gt;"",IF(ISNUMBER(Input!W207),ROUNDDOWN(Input!W207,0),0)+IF(ISNUMBER(Input!#REF!),ROUNDDOWN(Input!#REF!,0),0)+IF(ISNUMBER(Input!#REF!),ROUNDDOWN(Input!#REF!,0),0)+IF(ISNUMBER(Input!#REF!),ROUNDDOWN(Input!#REF!,0),0)+IF(ISNUMBER(Input!#REF!),ROUNDDOWN(Input!#REF!,0),0),"")</f>
        <v/>
      </c>
      <c r="AD207" t="str">
        <f>IF($I207&lt;&gt;"",Input!X207&amp;IF(AND(Input!#REF!&lt;&gt;"",Input!X207&lt;&gt;""),"+","")&amp;Input!#REF!&amp;IF(AND(Input!#REF!&lt;&gt;"",OR(Input!#REF!&lt;&gt;"",Input!X207&lt;&gt;"")),"+","")&amp;Input!#REF!&amp;IF(AND(Input!#REF!&lt;&gt;"",OR(Input!#REF!&lt;&gt;"",Input!X207&lt;&gt;"",Input!#REF!&lt;&gt;"")),"+","")&amp;Input!#REF!&amp;IF(AND(Input!#REF!&lt;&gt;"",OR(Input!#REF!&lt;&gt;"",Input!X207&lt;&gt;"",Input!#REF!&lt;&gt;"",Input!#REF!&lt;&gt;"")),"+","")&amp;Input!#REF!,"")</f>
        <v/>
      </c>
      <c r="AE207" t="str">
        <f t="shared" si="49"/>
        <v/>
      </c>
      <c r="AF207" t="str">
        <f>IF($I207&lt;&gt;"",IF(ISNUMBER(Input!Z207),ROUNDDOWN(Input!Z207,0),0)+IF(ISNUMBER(Input!#REF!),ROUNDDOWN(Input!#REF!,0),0)+IF(ISNUMBER(Input!#REF!),ROUNDDOWN(Input!#REF!,0),0)+IF(ISNUMBER(Input!#REF!),ROUNDDOWN(Input!#REF!,0),0)+IF(ISNUMBER(Input!#REF!),ROUNDDOWN(Input!#REF!,0),0),"")</f>
        <v/>
      </c>
      <c r="AG207" t="str">
        <f>IF($I207&lt;&gt;"",Input!AA207&amp;IF(AND(Input!#REF!&lt;&gt;"",Input!AA207&lt;&gt;""),"+","")&amp;Input!#REF!&amp;IF(AND(Input!#REF!&lt;&gt;"",OR(Input!#REF!&lt;&gt;"",Input!AA207&lt;&gt;"")),"+","")&amp;Input!#REF!&amp;IF(AND(Input!#REF!&lt;&gt;"",OR(Input!#REF!&lt;&gt;"",Input!AA207&lt;&gt;"",Input!#REF!&lt;&gt;"")),"+","")&amp;Input!#REF!&amp;IF(AND(Input!#REF!&lt;&gt;"",OR(Input!#REF!&lt;&gt;"",Input!AA207&lt;&gt;"",Input!#REF!&lt;&gt;"",Input!#REF!&lt;&gt;"")),"+","")&amp;Input!#REF!,"")</f>
        <v/>
      </c>
      <c r="AH207" t="str">
        <f t="shared" si="50"/>
        <v/>
      </c>
      <c r="AI207" t="str">
        <f>IF($I207&lt;&gt;"",IF(ISNUMBER(Input!AC207),ROUNDDOWN(Input!AC207,0),0)+IF(ISNUMBER(Input!#REF!),ROUNDDOWN(Input!#REF!,0),0)+IF(ISNUMBER(Input!#REF!),ROUNDDOWN(Input!#REF!,0),0)+IF(ISNUMBER(Input!#REF!),ROUNDDOWN(Input!#REF!,0),0)+IF(ISNUMBER(Input!#REF!),ROUNDDOWN(Input!#REF!,0),0),"")</f>
        <v/>
      </c>
      <c r="AJ207" t="str">
        <f>IF($I207&lt;&gt;"",Input!AD207&amp;IF(AND(Input!#REF!&lt;&gt;"",Input!AD207&lt;&gt;""),"+","")&amp;Input!#REF!&amp;IF(AND(Input!#REF!&lt;&gt;"",OR(Input!#REF!&lt;&gt;"",Input!AD207&lt;&gt;"")),"+","")&amp;Input!#REF!&amp;IF(AND(Input!#REF!&lt;&gt;"",OR(Input!#REF!&lt;&gt;"",Input!AD207&lt;&gt;"",Input!#REF!&lt;&gt;"")),"+","")&amp;Input!#REF!&amp;IF(AND(Input!#REF!&lt;&gt;"",OR(Input!#REF!&lt;&gt;"",Input!AD207&lt;&gt;"",Input!#REF!&lt;&gt;"",Input!#REF!&lt;&gt;"")),"+","")&amp;Input!#REF!,"")</f>
        <v/>
      </c>
      <c r="AK207" t="str">
        <f t="shared" si="51"/>
        <v/>
      </c>
    </row>
    <row r="208" spans="1:41" x14ac:dyDescent="0.35">
      <c r="I208" t="str">
        <f>IF(Input!A208&gt;0,Input!A208,"")</f>
        <v/>
      </c>
      <c r="J208" t="str">
        <f>IF(Input!B208&gt;0,Input!B208,"")</f>
        <v/>
      </c>
      <c r="K208" t="str">
        <f>IF(Input!C208&gt;0,Input!C208,"")</f>
        <v/>
      </c>
      <c r="L208" t="str">
        <f>IF(Input!D208&gt;0,Input!D208,"")</f>
        <v/>
      </c>
      <c r="M208" t="str">
        <f>IF(Input!E208&gt;0,Input!E208,"")</f>
        <v/>
      </c>
      <c r="N208" t="str">
        <f>IF(Input!F208&gt;0,Input!F208,"")</f>
        <v/>
      </c>
      <c r="O208" t="str">
        <f>IF($I208&lt;&gt;"",Input!I208&amp;IF(AND(Input!AG208&lt;&gt;"",Input!I208&lt;&gt;""),"+","")&amp;Input!AG208&amp;IF(AND(Input!#REF!&lt;&gt;"",OR(Input!AG208&lt;&gt;"",Input!I208&lt;&gt;"")),"+","")&amp;Input!#REF!&amp;IF(AND(Input!#REF!&lt;&gt;"",OR(Input!AG208&lt;&gt;"",Input!I208&lt;&gt;"",Input!#REF!&lt;&gt;"")),"+","")&amp;Input!#REF!&amp;IF(AND(Input!#REF!&lt;&gt;"",OR(Input!AG208&lt;&gt;"",Input!I208&lt;&gt;"",Input!#REF!&lt;&gt;"",Input!#REF!&lt;&gt;"")),"+","")&amp;Input!#REF!,"")</f>
        <v/>
      </c>
      <c r="P208" t="str">
        <f t="shared" si="44"/>
        <v/>
      </c>
      <c r="Q208" t="str">
        <f>IF($I208&lt;&gt;"",IF(ISNUMBER(Input!K208),ROUNDDOWN(Input!K208,0),0)+IF(ISNUMBER(Input!AI208),ROUNDDOWN(Input!AI208,0),0)+IF(ISNUMBER(Input!#REF!),ROUNDDOWN(Input!#REF!,0),0)+IF(ISNUMBER(Input!#REF!),ROUNDDOWN(Input!#REF!,0),0)+IF(ISNUMBER(Input!#REF!),ROUNDDOWN(Input!#REF!,0),0),"")</f>
        <v/>
      </c>
      <c r="R208" t="str">
        <f>IF($I208&lt;&gt;"",Input!L208&amp;IF(AND(Input!#REF!&lt;&gt;"",Input!L208&lt;&gt;""),"+","")&amp;Input!#REF!&amp;IF(AND(Input!#REF!&lt;&gt;"",OR(Input!#REF!&lt;&gt;"",Input!L208&lt;&gt;"")),"+","")&amp;Input!#REF!&amp;IF(AND(Input!#REF!&lt;&gt;"",OR(Input!#REF!&lt;&gt;"",Input!L208&lt;&gt;"",Input!#REF!&lt;&gt;"")),"+","")&amp;Input!#REF!&amp;IF(AND(Input!#REF!&lt;&gt;"",OR(Input!#REF!&lt;&gt;"",Input!L208&lt;&gt;"",Input!#REF!&lt;&gt;"",Input!#REF!&lt;&gt;"")),"+","")&amp;Input!#REF!,"")</f>
        <v/>
      </c>
      <c r="S208" t="str">
        <f t="shared" si="45"/>
        <v/>
      </c>
      <c r="T208" t="str">
        <f>IF($I208&lt;&gt;"",IF(ISNUMBER(Input!N208),ROUNDDOWN(Input!N208,0),0)+IF(ISNUMBER(Input!#REF!),ROUNDDOWN(Input!#REF!,0),0)+IF(ISNUMBER(Input!#REF!),ROUNDDOWN(Input!#REF!,0),0)+IF(ISNUMBER(Input!#REF!),ROUNDDOWN(Input!#REF!,0),0)+IF(ISNUMBER(Input!#REF!),ROUNDDOWN(Input!#REF!,0),0),"")</f>
        <v/>
      </c>
      <c r="U208" t="str">
        <f>IF($I208&lt;&gt;"",Input!O208&amp;IF(AND(Input!#REF!&lt;&gt;"",Input!O208&lt;&gt;""),"+","")&amp;Input!#REF!&amp;IF(AND(Input!#REF!&lt;&gt;"",OR(Input!#REF!&lt;&gt;"",Input!O208&lt;&gt;"")),"+","")&amp;Input!#REF!&amp;IF(AND(Input!#REF!&lt;&gt;"",OR(Input!#REF!&lt;&gt;"",Input!O208&lt;&gt;"",Input!#REF!&lt;&gt;"")),"+","")&amp;Input!#REF!&amp;IF(AND(Input!#REF!&lt;&gt;"",OR(Input!#REF!&lt;&gt;"",Input!O208&lt;&gt;"",Input!#REF!&lt;&gt;"",Input!#REF!&lt;&gt;"")),"+","")&amp;Input!#REF!,"")</f>
        <v/>
      </c>
      <c r="V208" t="str">
        <f t="shared" si="46"/>
        <v/>
      </c>
      <c r="W208" t="str">
        <f>IF($I208&lt;&gt;"",IF(ISNUMBER(Input!Q208),ROUNDDOWN(Input!Q208,0),0)+IF(ISNUMBER(Input!#REF!),ROUNDDOWN(Input!#REF!,0),0)+IF(ISNUMBER(Input!#REF!),ROUNDDOWN(Input!#REF!,0),0)+IF(ISNUMBER(Input!#REF!),ROUNDDOWN(Input!#REF!,0),0)+IF(ISNUMBER(Input!#REF!),ROUNDDOWN(Input!#REF!,0),0),"")</f>
        <v/>
      </c>
      <c r="X208" t="str">
        <f>IF($I208&lt;&gt;"",Input!R208&amp;IF(AND(Input!#REF!&lt;&gt;"",Input!R208&lt;&gt;""),"+","")&amp;Input!#REF!&amp;IF(AND(Input!#REF!&lt;&gt;"",OR(Input!#REF!&lt;&gt;"",Input!R208&lt;&gt;"")),"+","")&amp;Input!#REF!&amp;IF(AND(Input!#REF!&lt;&gt;"",OR(Input!#REF!&lt;&gt;"",Input!R208&lt;&gt;"",Input!#REF!&lt;&gt;"")),"+","")&amp;Input!#REF!&amp;IF(AND(Input!#REF!&lt;&gt;"",OR(Input!#REF!&lt;&gt;"",Input!R208&lt;&gt;"",Input!#REF!&lt;&gt;"",Input!#REF!&lt;&gt;"")),"+","")&amp;Input!#REF!,"")</f>
        <v/>
      </c>
      <c r="Y208" t="str">
        <f t="shared" si="47"/>
        <v/>
      </c>
      <c r="Z208" t="str">
        <f>IF($I208&lt;&gt;"",IF(ISNUMBER(Input!T208),ROUNDDOWN(Input!T208,0),0)+IF(ISNUMBER(Input!#REF!),ROUNDDOWN(Input!#REF!,0),0)+IF(ISNUMBER(Input!#REF!),ROUNDDOWN(Input!#REF!,0),0)+IF(ISNUMBER(Input!#REF!),ROUNDDOWN(Input!#REF!,0),0)+IF(ISNUMBER(Input!#REF!),ROUNDDOWN(Input!#REF!,0),0),"")</f>
        <v/>
      </c>
      <c r="AA208" t="str">
        <f>IF($I208&lt;&gt;"",Input!U208&amp;IF(AND(Input!#REF!&lt;&gt;"",Input!U208&lt;&gt;""),"+","")&amp;Input!#REF!&amp;IF(AND(Input!#REF!&lt;&gt;"",OR(Input!#REF!&lt;&gt;"",Input!U208&lt;&gt;"")),"+","")&amp;Input!#REF!&amp;IF(AND(Input!#REF!&lt;&gt;"",OR(Input!#REF!&lt;&gt;"",Input!U208&lt;&gt;"",Input!#REF!&lt;&gt;"")),"+","")&amp;Input!#REF!&amp;IF(AND(Input!#REF!&lt;&gt;"",OR(Input!#REF!&lt;&gt;"",Input!U208&lt;&gt;"",Input!#REF!&lt;&gt;"",Input!#REF!&lt;&gt;"")),"+","")&amp;Input!#REF!,"")</f>
        <v/>
      </c>
      <c r="AB208" t="str">
        <f t="shared" si="48"/>
        <v/>
      </c>
      <c r="AC208" t="str">
        <f>IF($I208&lt;&gt;"",IF(ISNUMBER(Input!W208),ROUNDDOWN(Input!W208,0),0)+IF(ISNUMBER(Input!#REF!),ROUNDDOWN(Input!#REF!,0),0)+IF(ISNUMBER(Input!#REF!),ROUNDDOWN(Input!#REF!,0),0)+IF(ISNUMBER(Input!#REF!),ROUNDDOWN(Input!#REF!,0),0)+IF(ISNUMBER(Input!#REF!),ROUNDDOWN(Input!#REF!,0),0),"")</f>
        <v/>
      </c>
      <c r="AD208" t="str">
        <f>IF($I208&lt;&gt;"",Input!X208&amp;IF(AND(Input!#REF!&lt;&gt;"",Input!X208&lt;&gt;""),"+","")&amp;Input!#REF!&amp;IF(AND(Input!#REF!&lt;&gt;"",OR(Input!#REF!&lt;&gt;"",Input!X208&lt;&gt;"")),"+","")&amp;Input!#REF!&amp;IF(AND(Input!#REF!&lt;&gt;"",OR(Input!#REF!&lt;&gt;"",Input!X208&lt;&gt;"",Input!#REF!&lt;&gt;"")),"+","")&amp;Input!#REF!&amp;IF(AND(Input!#REF!&lt;&gt;"",OR(Input!#REF!&lt;&gt;"",Input!X208&lt;&gt;"",Input!#REF!&lt;&gt;"",Input!#REF!&lt;&gt;"")),"+","")&amp;Input!#REF!,"")</f>
        <v/>
      </c>
      <c r="AE208" t="str">
        <f t="shared" si="49"/>
        <v/>
      </c>
      <c r="AF208" t="str">
        <f>IF($I208&lt;&gt;"",IF(ISNUMBER(Input!Z208),ROUNDDOWN(Input!Z208,0),0)+IF(ISNUMBER(Input!#REF!),ROUNDDOWN(Input!#REF!,0),0)+IF(ISNUMBER(Input!#REF!),ROUNDDOWN(Input!#REF!,0),0)+IF(ISNUMBER(Input!#REF!),ROUNDDOWN(Input!#REF!,0),0)+IF(ISNUMBER(Input!#REF!),ROUNDDOWN(Input!#REF!,0),0),"")</f>
        <v/>
      </c>
      <c r="AG208" t="str">
        <f>IF($I208&lt;&gt;"",Input!AA208&amp;IF(AND(Input!#REF!&lt;&gt;"",Input!AA208&lt;&gt;""),"+","")&amp;Input!#REF!&amp;IF(AND(Input!#REF!&lt;&gt;"",OR(Input!#REF!&lt;&gt;"",Input!AA208&lt;&gt;"")),"+","")&amp;Input!#REF!&amp;IF(AND(Input!#REF!&lt;&gt;"",OR(Input!#REF!&lt;&gt;"",Input!AA208&lt;&gt;"",Input!#REF!&lt;&gt;"")),"+","")&amp;Input!#REF!&amp;IF(AND(Input!#REF!&lt;&gt;"",OR(Input!#REF!&lt;&gt;"",Input!AA208&lt;&gt;"",Input!#REF!&lt;&gt;"",Input!#REF!&lt;&gt;"")),"+","")&amp;Input!#REF!,"")</f>
        <v/>
      </c>
      <c r="AH208" t="str">
        <f t="shared" si="50"/>
        <v/>
      </c>
      <c r="AI208" t="str">
        <f>IF($I208&lt;&gt;"",IF(ISNUMBER(Input!AC208),ROUNDDOWN(Input!AC208,0),0)+IF(ISNUMBER(Input!#REF!),ROUNDDOWN(Input!#REF!,0),0)+IF(ISNUMBER(Input!#REF!),ROUNDDOWN(Input!#REF!,0),0)+IF(ISNUMBER(Input!#REF!),ROUNDDOWN(Input!#REF!,0),0)+IF(ISNUMBER(Input!#REF!),ROUNDDOWN(Input!#REF!,0),0),"")</f>
        <v/>
      </c>
      <c r="AJ208" t="str">
        <f>IF($I208&lt;&gt;"",Input!AD208&amp;IF(AND(Input!#REF!&lt;&gt;"",Input!AD208&lt;&gt;""),"+","")&amp;Input!#REF!&amp;IF(AND(Input!#REF!&lt;&gt;"",OR(Input!#REF!&lt;&gt;"",Input!AD208&lt;&gt;"")),"+","")&amp;Input!#REF!&amp;IF(AND(Input!#REF!&lt;&gt;"",OR(Input!#REF!&lt;&gt;"",Input!AD208&lt;&gt;"",Input!#REF!&lt;&gt;"")),"+","")&amp;Input!#REF!&amp;IF(AND(Input!#REF!&lt;&gt;"",OR(Input!#REF!&lt;&gt;"",Input!AD208&lt;&gt;"",Input!#REF!&lt;&gt;"",Input!#REF!&lt;&gt;"")),"+","")&amp;Input!#REF!,"")</f>
        <v/>
      </c>
      <c r="AK208" t="str">
        <f t="shared" si="51"/>
        <v/>
      </c>
    </row>
    <row r="209" spans="3:37" x14ac:dyDescent="0.35">
      <c r="C209" s="3"/>
      <c r="D209"/>
      <c r="E209"/>
      <c r="F209" s="3"/>
      <c r="I209" t="str">
        <f>IF(Input!A209&gt;0,Input!A209,"")</f>
        <v/>
      </c>
      <c r="J209" t="str">
        <f>IF(Input!B209&gt;0,Input!B209,"")</f>
        <v/>
      </c>
      <c r="K209" t="str">
        <f>IF(Input!C209&gt;0,Input!C209,"")</f>
        <v/>
      </c>
      <c r="L209" t="str">
        <f>IF(Input!D209&gt;0,Input!D209,"")</f>
        <v/>
      </c>
      <c r="M209" t="str">
        <f>IF(Input!E209&gt;0,Input!E209,"")</f>
        <v/>
      </c>
      <c r="N209" t="str">
        <f>IF(Input!F209&gt;0,Input!F209,"")</f>
        <v/>
      </c>
      <c r="O209" t="str">
        <f>IF($I209&lt;&gt;"",Input!I209&amp;IF(AND(Input!AG209&lt;&gt;"",Input!I209&lt;&gt;""),"+","")&amp;Input!AG209&amp;IF(AND(Input!#REF!&lt;&gt;"",OR(Input!AG209&lt;&gt;"",Input!I209&lt;&gt;"")),"+","")&amp;Input!#REF!&amp;IF(AND(Input!#REF!&lt;&gt;"",OR(Input!AG209&lt;&gt;"",Input!I209&lt;&gt;"",Input!#REF!&lt;&gt;"")),"+","")&amp;Input!#REF!&amp;IF(AND(Input!#REF!&lt;&gt;"",OR(Input!AG209&lt;&gt;"",Input!I209&lt;&gt;"",Input!#REF!&lt;&gt;"",Input!#REF!&lt;&gt;"")),"+","")&amp;Input!#REF!,"")</f>
        <v/>
      </c>
      <c r="P209" t="str">
        <f t="shared" si="44"/>
        <v/>
      </c>
      <c r="Q209" t="str">
        <f>IF($I209&lt;&gt;"",IF(ISNUMBER(Input!K209),ROUNDDOWN(Input!K209,0),0)+IF(ISNUMBER(Input!AI209),ROUNDDOWN(Input!AI209,0),0)+IF(ISNUMBER(Input!#REF!),ROUNDDOWN(Input!#REF!,0),0)+IF(ISNUMBER(Input!#REF!),ROUNDDOWN(Input!#REF!,0),0)+IF(ISNUMBER(Input!#REF!),ROUNDDOWN(Input!#REF!,0),0),"")</f>
        <v/>
      </c>
      <c r="R209" t="str">
        <f>IF($I209&lt;&gt;"",Input!L209&amp;IF(AND(Input!#REF!&lt;&gt;"",Input!L209&lt;&gt;""),"+","")&amp;Input!#REF!&amp;IF(AND(Input!#REF!&lt;&gt;"",OR(Input!#REF!&lt;&gt;"",Input!L209&lt;&gt;"")),"+","")&amp;Input!#REF!&amp;IF(AND(Input!#REF!&lt;&gt;"",OR(Input!#REF!&lt;&gt;"",Input!L209&lt;&gt;"",Input!#REF!&lt;&gt;"")),"+","")&amp;Input!#REF!&amp;IF(AND(Input!#REF!&lt;&gt;"",OR(Input!#REF!&lt;&gt;"",Input!L209&lt;&gt;"",Input!#REF!&lt;&gt;"",Input!#REF!&lt;&gt;"")),"+","")&amp;Input!#REF!,"")</f>
        <v/>
      </c>
      <c r="S209" t="str">
        <f t="shared" si="45"/>
        <v/>
      </c>
      <c r="T209" t="str">
        <f>IF($I209&lt;&gt;"",IF(ISNUMBER(Input!N209),ROUNDDOWN(Input!N209,0),0)+IF(ISNUMBER(Input!#REF!),ROUNDDOWN(Input!#REF!,0),0)+IF(ISNUMBER(Input!#REF!),ROUNDDOWN(Input!#REF!,0),0)+IF(ISNUMBER(Input!#REF!),ROUNDDOWN(Input!#REF!,0),0)+IF(ISNUMBER(Input!#REF!),ROUNDDOWN(Input!#REF!,0),0),"")</f>
        <v/>
      </c>
      <c r="U209" t="str">
        <f>IF($I209&lt;&gt;"",Input!O209&amp;IF(AND(Input!#REF!&lt;&gt;"",Input!O209&lt;&gt;""),"+","")&amp;Input!#REF!&amp;IF(AND(Input!#REF!&lt;&gt;"",OR(Input!#REF!&lt;&gt;"",Input!O209&lt;&gt;"")),"+","")&amp;Input!#REF!&amp;IF(AND(Input!#REF!&lt;&gt;"",OR(Input!#REF!&lt;&gt;"",Input!O209&lt;&gt;"",Input!#REF!&lt;&gt;"")),"+","")&amp;Input!#REF!&amp;IF(AND(Input!#REF!&lt;&gt;"",OR(Input!#REF!&lt;&gt;"",Input!O209&lt;&gt;"",Input!#REF!&lt;&gt;"",Input!#REF!&lt;&gt;"")),"+","")&amp;Input!#REF!,"")</f>
        <v/>
      </c>
      <c r="V209" t="str">
        <f t="shared" si="46"/>
        <v/>
      </c>
      <c r="W209" t="str">
        <f>IF($I209&lt;&gt;"",IF(ISNUMBER(Input!Q209),ROUNDDOWN(Input!Q209,0),0)+IF(ISNUMBER(Input!#REF!),ROUNDDOWN(Input!#REF!,0),0)+IF(ISNUMBER(Input!#REF!),ROUNDDOWN(Input!#REF!,0),0)+IF(ISNUMBER(Input!#REF!),ROUNDDOWN(Input!#REF!,0),0)+IF(ISNUMBER(Input!#REF!),ROUNDDOWN(Input!#REF!,0),0),"")</f>
        <v/>
      </c>
      <c r="X209" t="str">
        <f>IF($I209&lt;&gt;"",Input!R209&amp;IF(AND(Input!#REF!&lt;&gt;"",Input!R209&lt;&gt;""),"+","")&amp;Input!#REF!&amp;IF(AND(Input!#REF!&lt;&gt;"",OR(Input!#REF!&lt;&gt;"",Input!R209&lt;&gt;"")),"+","")&amp;Input!#REF!&amp;IF(AND(Input!#REF!&lt;&gt;"",OR(Input!#REF!&lt;&gt;"",Input!R209&lt;&gt;"",Input!#REF!&lt;&gt;"")),"+","")&amp;Input!#REF!&amp;IF(AND(Input!#REF!&lt;&gt;"",OR(Input!#REF!&lt;&gt;"",Input!R209&lt;&gt;"",Input!#REF!&lt;&gt;"",Input!#REF!&lt;&gt;"")),"+","")&amp;Input!#REF!,"")</f>
        <v/>
      </c>
      <c r="Y209" t="str">
        <f t="shared" si="47"/>
        <v/>
      </c>
      <c r="Z209" t="str">
        <f>IF($I209&lt;&gt;"",IF(ISNUMBER(Input!T209),ROUNDDOWN(Input!T209,0),0)+IF(ISNUMBER(Input!#REF!),ROUNDDOWN(Input!#REF!,0),0)+IF(ISNUMBER(Input!#REF!),ROUNDDOWN(Input!#REF!,0),0)+IF(ISNUMBER(Input!#REF!),ROUNDDOWN(Input!#REF!,0),0)+IF(ISNUMBER(Input!#REF!),ROUNDDOWN(Input!#REF!,0),0),"")</f>
        <v/>
      </c>
      <c r="AA209" t="str">
        <f>IF($I209&lt;&gt;"",Input!U209&amp;IF(AND(Input!#REF!&lt;&gt;"",Input!U209&lt;&gt;""),"+","")&amp;Input!#REF!&amp;IF(AND(Input!#REF!&lt;&gt;"",OR(Input!#REF!&lt;&gt;"",Input!U209&lt;&gt;"")),"+","")&amp;Input!#REF!&amp;IF(AND(Input!#REF!&lt;&gt;"",OR(Input!#REF!&lt;&gt;"",Input!U209&lt;&gt;"",Input!#REF!&lt;&gt;"")),"+","")&amp;Input!#REF!&amp;IF(AND(Input!#REF!&lt;&gt;"",OR(Input!#REF!&lt;&gt;"",Input!U209&lt;&gt;"",Input!#REF!&lt;&gt;"",Input!#REF!&lt;&gt;"")),"+","")&amp;Input!#REF!,"")</f>
        <v/>
      </c>
      <c r="AB209" t="str">
        <f t="shared" si="48"/>
        <v/>
      </c>
      <c r="AC209" t="str">
        <f>IF($I209&lt;&gt;"",IF(ISNUMBER(Input!W209),ROUNDDOWN(Input!W209,0),0)+IF(ISNUMBER(Input!#REF!),ROUNDDOWN(Input!#REF!,0),0)+IF(ISNUMBER(Input!#REF!),ROUNDDOWN(Input!#REF!,0),0)+IF(ISNUMBER(Input!#REF!),ROUNDDOWN(Input!#REF!,0),0)+IF(ISNUMBER(Input!#REF!),ROUNDDOWN(Input!#REF!,0),0),"")</f>
        <v/>
      </c>
      <c r="AD209" t="str">
        <f>IF($I209&lt;&gt;"",Input!X209&amp;IF(AND(Input!#REF!&lt;&gt;"",Input!X209&lt;&gt;""),"+","")&amp;Input!#REF!&amp;IF(AND(Input!#REF!&lt;&gt;"",OR(Input!#REF!&lt;&gt;"",Input!X209&lt;&gt;"")),"+","")&amp;Input!#REF!&amp;IF(AND(Input!#REF!&lt;&gt;"",OR(Input!#REF!&lt;&gt;"",Input!X209&lt;&gt;"",Input!#REF!&lt;&gt;"")),"+","")&amp;Input!#REF!&amp;IF(AND(Input!#REF!&lt;&gt;"",OR(Input!#REF!&lt;&gt;"",Input!X209&lt;&gt;"",Input!#REF!&lt;&gt;"",Input!#REF!&lt;&gt;"")),"+","")&amp;Input!#REF!,"")</f>
        <v/>
      </c>
      <c r="AE209" t="str">
        <f t="shared" si="49"/>
        <v/>
      </c>
      <c r="AF209" t="str">
        <f>IF($I209&lt;&gt;"",IF(ISNUMBER(Input!Z209),ROUNDDOWN(Input!Z209,0),0)+IF(ISNUMBER(Input!#REF!),ROUNDDOWN(Input!#REF!,0),0)+IF(ISNUMBER(Input!#REF!),ROUNDDOWN(Input!#REF!,0),0)+IF(ISNUMBER(Input!#REF!),ROUNDDOWN(Input!#REF!,0),0)+IF(ISNUMBER(Input!#REF!),ROUNDDOWN(Input!#REF!,0),0),"")</f>
        <v/>
      </c>
      <c r="AG209" t="str">
        <f>IF($I209&lt;&gt;"",Input!AA209&amp;IF(AND(Input!#REF!&lt;&gt;"",Input!AA209&lt;&gt;""),"+","")&amp;Input!#REF!&amp;IF(AND(Input!#REF!&lt;&gt;"",OR(Input!#REF!&lt;&gt;"",Input!AA209&lt;&gt;"")),"+","")&amp;Input!#REF!&amp;IF(AND(Input!#REF!&lt;&gt;"",OR(Input!#REF!&lt;&gt;"",Input!AA209&lt;&gt;"",Input!#REF!&lt;&gt;"")),"+","")&amp;Input!#REF!&amp;IF(AND(Input!#REF!&lt;&gt;"",OR(Input!#REF!&lt;&gt;"",Input!AA209&lt;&gt;"",Input!#REF!&lt;&gt;"",Input!#REF!&lt;&gt;"")),"+","")&amp;Input!#REF!,"")</f>
        <v/>
      </c>
      <c r="AH209" t="str">
        <f t="shared" si="50"/>
        <v/>
      </c>
      <c r="AI209" t="str">
        <f>IF($I209&lt;&gt;"",IF(ISNUMBER(Input!AC209),ROUNDDOWN(Input!AC209,0),0)+IF(ISNUMBER(Input!#REF!),ROUNDDOWN(Input!#REF!,0),0)+IF(ISNUMBER(Input!#REF!),ROUNDDOWN(Input!#REF!,0),0)+IF(ISNUMBER(Input!#REF!),ROUNDDOWN(Input!#REF!,0),0)+IF(ISNUMBER(Input!#REF!),ROUNDDOWN(Input!#REF!,0),0),"")</f>
        <v/>
      </c>
      <c r="AJ209" t="str">
        <f>IF($I209&lt;&gt;"",Input!AD209&amp;IF(AND(Input!#REF!&lt;&gt;"",Input!AD209&lt;&gt;""),"+","")&amp;Input!#REF!&amp;IF(AND(Input!#REF!&lt;&gt;"",OR(Input!#REF!&lt;&gt;"",Input!AD209&lt;&gt;"")),"+","")&amp;Input!#REF!&amp;IF(AND(Input!#REF!&lt;&gt;"",OR(Input!#REF!&lt;&gt;"",Input!AD209&lt;&gt;"",Input!#REF!&lt;&gt;"")),"+","")&amp;Input!#REF!&amp;IF(AND(Input!#REF!&lt;&gt;"",OR(Input!#REF!&lt;&gt;"",Input!AD209&lt;&gt;"",Input!#REF!&lt;&gt;"",Input!#REF!&lt;&gt;"")),"+","")&amp;Input!#REF!,"")</f>
        <v/>
      </c>
      <c r="AK209" t="str">
        <f t="shared" si="51"/>
        <v/>
      </c>
    </row>
    <row r="210" spans="3:37" x14ac:dyDescent="0.35">
      <c r="C210" s="3"/>
      <c r="D210"/>
      <c r="E210"/>
      <c r="F210" s="3"/>
      <c r="I210" t="str">
        <f>IF(Input!A210&gt;0,Input!A210,"")</f>
        <v/>
      </c>
      <c r="J210" t="str">
        <f>IF(Input!B210&gt;0,Input!B210,"")</f>
        <v/>
      </c>
      <c r="K210" t="str">
        <f>IF(Input!C210&gt;0,Input!C210,"")</f>
        <v/>
      </c>
      <c r="L210" t="str">
        <f>IF(Input!D210&gt;0,Input!D210,"")</f>
        <v/>
      </c>
      <c r="M210" t="str">
        <f>IF(Input!E210&gt;0,Input!E210,"")</f>
        <v/>
      </c>
      <c r="N210" t="str">
        <f>IF(Input!F210&gt;0,Input!F210,"")</f>
        <v/>
      </c>
      <c r="O210" t="str">
        <f>IF($I210&lt;&gt;"",Input!I210&amp;IF(AND(Input!AG210&lt;&gt;"",Input!I210&lt;&gt;""),"+","")&amp;Input!AG210&amp;IF(AND(Input!#REF!&lt;&gt;"",OR(Input!AG210&lt;&gt;"",Input!I210&lt;&gt;"")),"+","")&amp;Input!#REF!&amp;IF(AND(Input!#REF!&lt;&gt;"",OR(Input!AG210&lt;&gt;"",Input!I210&lt;&gt;"",Input!#REF!&lt;&gt;"")),"+","")&amp;Input!#REF!&amp;IF(AND(Input!#REF!&lt;&gt;"",OR(Input!AG210&lt;&gt;"",Input!I210&lt;&gt;"",Input!#REF!&lt;&gt;"",Input!#REF!&lt;&gt;"")),"+","")&amp;Input!#REF!,"")</f>
        <v/>
      </c>
      <c r="P210" t="str">
        <f t="shared" si="44"/>
        <v/>
      </c>
      <c r="Q210" t="str">
        <f>IF($I210&lt;&gt;"",IF(ISNUMBER(Input!K210),ROUNDDOWN(Input!K210,0),0)+IF(ISNUMBER(Input!AI210),ROUNDDOWN(Input!AI210,0),0)+IF(ISNUMBER(Input!#REF!),ROUNDDOWN(Input!#REF!,0),0)+IF(ISNUMBER(Input!#REF!),ROUNDDOWN(Input!#REF!,0),0)+IF(ISNUMBER(Input!#REF!),ROUNDDOWN(Input!#REF!,0),0),"")</f>
        <v/>
      </c>
      <c r="R210" t="str">
        <f>IF($I210&lt;&gt;"",Input!L210&amp;IF(AND(Input!#REF!&lt;&gt;"",Input!L210&lt;&gt;""),"+","")&amp;Input!#REF!&amp;IF(AND(Input!#REF!&lt;&gt;"",OR(Input!#REF!&lt;&gt;"",Input!L210&lt;&gt;"")),"+","")&amp;Input!#REF!&amp;IF(AND(Input!#REF!&lt;&gt;"",OR(Input!#REF!&lt;&gt;"",Input!L210&lt;&gt;"",Input!#REF!&lt;&gt;"")),"+","")&amp;Input!#REF!&amp;IF(AND(Input!#REF!&lt;&gt;"",OR(Input!#REF!&lt;&gt;"",Input!L210&lt;&gt;"",Input!#REF!&lt;&gt;"",Input!#REF!&lt;&gt;"")),"+","")&amp;Input!#REF!,"")</f>
        <v/>
      </c>
      <c r="S210" t="str">
        <f t="shared" si="45"/>
        <v/>
      </c>
      <c r="T210" t="str">
        <f>IF($I210&lt;&gt;"",IF(ISNUMBER(Input!N210),ROUNDDOWN(Input!N210,0),0)+IF(ISNUMBER(Input!#REF!),ROUNDDOWN(Input!#REF!,0),0)+IF(ISNUMBER(Input!#REF!),ROUNDDOWN(Input!#REF!,0),0)+IF(ISNUMBER(Input!#REF!),ROUNDDOWN(Input!#REF!,0),0)+IF(ISNUMBER(Input!#REF!),ROUNDDOWN(Input!#REF!,0),0),"")</f>
        <v/>
      </c>
      <c r="U210" t="str">
        <f>IF($I210&lt;&gt;"",Input!O210&amp;IF(AND(Input!#REF!&lt;&gt;"",Input!O210&lt;&gt;""),"+","")&amp;Input!#REF!&amp;IF(AND(Input!#REF!&lt;&gt;"",OR(Input!#REF!&lt;&gt;"",Input!O210&lt;&gt;"")),"+","")&amp;Input!#REF!&amp;IF(AND(Input!#REF!&lt;&gt;"",OR(Input!#REF!&lt;&gt;"",Input!O210&lt;&gt;"",Input!#REF!&lt;&gt;"")),"+","")&amp;Input!#REF!&amp;IF(AND(Input!#REF!&lt;&gt;"",OR(Input!#REF!&lt;&gt;"",Input!O210&lt;&gt;"",Input!#REF!&lt;&gt;"",Input!#REF!&lt;&gt;"")),"+","")&amp;Input!#REF!,"")</f>
        <v/>
      </c>
      <c r="V210" t="str">
        <f t="shared" si="46"/>
        <v/>
      </c>
      <c r="W210" t="str">
        <f>IF($I210&lt;&gt;"",IF(ISNUMBER(Input!Q210),ROUNDDOWN(Input!Q210,0),0)+IF(ISNUMBER(Input!#REF!),ROUNDDOWN(Input!#REF!,0),0)+IF(ISNUMBER(Input!#REF!),ROUNDDOWN(Input!#REF!,0),0)+IF(ISNUMBER(Input!#REF!),ROUNDDOWN(Input!#REF!,0),0)+IF(ISNUMBER(Input!#REF!),ROUNDDOWN(Input!#REF!,0),0),"")</f>
        <v/>
      </c>
      <c r="X210" t="str">
        <f>IF($I210&lt;&gt;"",Input!R210&amp;IF(AND(Input!#REF!&lt;&gt;"",Input!R210&lt;&gt;""),"+","")&amp;Input!#REF!&amp;IF(AND(Input!#REF!&lt;&gt;"",OR(Input!#REF!&lt;&gt;"",Input!R210&lt;&gt;"")),"+","")&amp;Input!#REF!&amp;IF(AND(Input!#REF!&lt;&gt;"",OR(Input!#REF!&lt;&gt;"",Input!R210&lt;&gt;"",Input!#REF!&lt;&gt;"")),"+","")&amp;Input!#REF!&amp;IF(AND(Input!#REF!&lt;&gt;"",OR(Input!#REF!&lt;&gt;"",Input!R210&lt;&gt;"",Input!#REF!&lt;&gt;"",Input!#REF!&lt;&gt;"")),"+","")&amp;Input!#REF!,"")</f>
        <v/>
      </c>
      <c r="Y210" t="str">
        <f t="shared" si="47"/>
        <v/>
      </c>
      <c r="Z210" t="str">
        <f>IF($I210&lt;&gt;"",IF(ISNUMBER(Input!T210),ROUNDDOWN(Input!T210,0),0)+IF(ISNUMBER(Input!#REF!),ROUNDDOWN(Input!#REF!,0),0)+IF(ISNUMBER(Input!#REF!),ROUNDDOWN(Input!#REF!,0),0)+IF(ISNUMBER(Input!#REF!),ROUNDDOWN(Input!#REF!,0),0)+IF(ISNUMBER(Input!#REF!),ROUNDDOWN(Input!#REF!,0),0),"")</f>
        <v/>
      </c>
      <c r="AA210" t="str">
        <f>IF($I210&lt;&gt;"",Input!U210&amp;IF(AND(Input!#REF!&lt;&gt;"",Input!U210&lt;&gt;""),"+","")&amp;Input!#REF!&amp;IF(AND(Input!#REF!&lt;&gt;"",OR(Input!#REF!&lt;&gt;"",Input!U210&lt;&gt;"")),"+","")&amp;Input!#REF!&amp;IF(AND(Input!#REF!&lt;&gt;"",OR(Input!#REF!&lt;&gt;"",Input!U210&lt;&gt;"",Input!#REF!&lt;&gt;"")),"+","")&amp;Input!#REF!&amp;IF(AND(Input!#REF!&lt;&gt;"",OR(Input!#REF!&lt;&gt;"",Input!U210&lt;&gt;"",Input!#REF!&lt;&gt;"",Input!#REF!&lt;&gt;"")),"+","")&amp;Input!#REF!,"")</f>
        <v/>
      </c>
      <c r="AB210" t="str">
        <f t="shared" si="48"/>
        <v/>
      </c>
      <c r="AC210" t="str">
        <f>IF($I210&lt;&gt;"",IF(ISNUMBER(Input!W210),ROUNDDOWN(Input!W210,0),0)+IF(ISNUMBER(Input!#REF!),ROUNDDOWN(Input!#REF!,0),0)+IF(ISNUMBER(Input!#REF!),ROUNDDOWN(Input!#REF!,0),0)+IF(ISNUMBER(Input!#REF!),ROUNDDOWN(Input!#REF!,0),0)+IF(ISNUMBER(Input!#REF!),ROUNDDOWN(Input!#REF!,0),0),"")</f>
        <v/>
      </c>
      <c r="AD210" t="str">
        <f>IF($I210&lt;&gt;"",Input!X210&amp;IF(AND(Input!#REF!&lt;&gt;"",Input!X210&lt;&gt;""),"+","")&amp;Input!#REF!&amp;IF(AND(Input!#REF!&lt;&gt;"",OR(Input!#REF!&lt;&gt;"",Input!X210&lt;&gt;"")),"+","")&amp;Input!#REF!&amp;IF(AND(Input!#REF!&lt;&gt;"",OR(Input!#REF!&lt;&gt;"",Input!X210&lt;&gt;"",Input!#REF!&lt;&gt;"")),"+","")&amp;Input!#REF!&amp;IF(AND(Input!#REF!&lt;&gt;"",OR(Input!#REF!&lt;&gt;"",Input!X210&lt;&gt;"",Input!#REF!&lt;&gt;"",Input!#REF!&lt;&gt;"")),"+","")&amp;Input!#REF!,"")</f>
        <v/>
      </c>
      <c r="AE210" t="str">
        <f t="shared" si="49"/>
        <v/>
      </c>
      <c r="AF210" t="str">
        <f>IF($I210&lt;&gt;"",IF(ISNUMBER(Input!Z210),ROUNDDOWN(Input!Z210,0),0)+IF(ISNUMBER(Input!#REF!),ROUNDDOWN(Input!#REF!,0),0)+IF(ISNUMBER(Input!#REF!),ROUNDDOWN(Input!#REF!,0),0)+IF(ISNUMBER(Input!#REF!),ROUNDDOWN(Input!#REF!,0),0)+IF(ISNUMBER(Input!#REF!),ROUNDDOWN(Input!#REF!,0),0),"")</f>
        <v/>
      </c>
      <c r="AG210" t="str">
        <f>IF($I210&lt;&gt;"",Input!AA210&amp;IF(AND(Input!#REF!&lt;&gt;"",Input!AA210&lt;&gt;""),"+","")&amp;Input!#REF!&amp;IF(AND(Input!#REF!&lt;&gt;"",OR(Input!#REF!&lt;&gt;"",Input!AA210&lt;&gt;"")),"+","")&amp;Input!#REF!&amp;IF(AND(Input!#REF!&lt;&gt;"",OR(Input!#REF!&lt;&gt;"",Input!AA210&lt;&gt;"",Input!#REF!&lt;&gt;"")),"+","")&amp;Input!#REF!&amp;IF(AND(Input!#REF!&lt;&gt;"",OR(Input!#REF!&lt;&gt;"",Input!AA210&lt;&gt;"",Input!#REF!&lt;&gt;"",Input!#REF!&lt;&gt;"")),"+","")&amp;Input!#REF!,"")</f>
        <v/>
      </c>
      <c r="AH210" t="str">
        <f t="shared" si="50"/>
        <v/>
      </c>
      <c r="AI210" t="str">
        <f>IF($I210&lt;&gt;"",IF(ISNUMBER(Input!AC210),ROUNDDOWN(Input!AC210,0),0)+IF(ISNUMBER(Input!#REF!),ROUNDDOWN(Input!#REF!,0),0)+IF(ISNUMBER(Input!#REF!),ROUNDDOWN(Input!#REF!,0),0)+IF(ISNUMBER(Input!#REF!),ROUNDDOWN(Input!#REF!,0),0)+IF(ISNUMBER(Input!#REF!),ROUNDDOWN(Input!#REF!,0),0),"")</f>
        <v/>
      </c>
      <c r="AJ210" t="str">
        <f>IF($I210&lt;&gt;"",Input!AD210&amp;IF(AND(Input!#REF!&lt;&gt;"",Input!AD210&lt;&gt;""),"+","")&amp;Input!#REF!&amp;IF(AND(Input!#REF!&lt;&gt;"",OR(Input!#REF!&lt;&gt;"",Input!AD210&lt;&gt;"")),"+","")&amp;Input!#REF!&amp;IF(AND(Input!#REF!&lt;&gt;"",OR(Input!#REF!&lt;&gt;"",Input!AD210&lt;&gt;"",Input!#REF!&lt;&gt;"")),"+","")&amp;Input!#REF!&amp;IF(AND(Input!#REF!&lt;&gt;"",OR(Input!#REF!&lt;&gt;"",Input!AD210&lt;&gt;"",Input!#REF!&lt;&gt;"",Input!#REF!&lt;&gt;"")),"+","")&amp;Input!#REF!,"")</f>
        <v/>
      </c>
      <c r="AK210" t="str">
        <f t="shared" si="51"/>
        <v/>
      </c>
    </row>
    <row r="211" spans="3:37" x14ac:dyDescent="0.35">
      <c r="C211" s="3"/>
      <c r="D211"/>
      <c r="E211"/>
      <c r="F211" s="3"/>
      <c r="I211" t="str">
        <f>IF(Input!A211&gt;0,Input!A211,"")</f>
        <v/>
      </c>
      <c r="J211" t="str">
        <f>IF(Input!B211&gt;0,Input!B211,"")</f>
        <v/>
      </c>
      <c r="K211" t="str">
        <f>IF(Input!C211&gt;0,Input!C211,"")</f>
        <v/>
      </c>
      <c r="L211" t="str">
        <f>IF(Input!D211&gt;0,Input!D211,"")</f>
        <v/>
      </c>
      <c r="M211" t="str">
        <f>IF(Input!E211&gt;0,Input!E211,"")</f>
        <v/>
      </c>
      <c r="N211" t="str">
        <f>IF(Input!F211&gt;0,Input!F211,"")</f>
        <v/>
      </c>
      <c r="O211" t="str">
        <f>IF($I211&lt;&gt;"",Input!I211&amp;IF(AND(Input!AG211&lt;&gt;"",Input!I211&lt;&gt;""),"+","")&amp;Input!AG211&amp;IF(AND(Input!#REF!&lt;&gt;"",OR(Input!AG211&lt;&gt;"",Input!I211&lt;&gt;"")),"+","")&amp;Input!#REF!&amp;IF(AND(Input!#REF!&lt;&gt;"",OR(Input!AG211&lt;&gt;"",Input!I211&lt;&gt;"",Input!#REF!&lt;&gt;"")),"+","")&amp;Input!#REF!&amp;IF(AND(Input!#REF!&lt;&gt;"",OR(Input!AG211&lt;&gt;"",Input!I211&lt;&gt;"",Input!#REF!&lt;&gt;"",Input!#REF!&lt;&gt;"")),"+","")&amp;Input!#REF!,"")</f>
        <v/>
      </c>
      <c r="P211" t="str">
        <f t="shared" si="44"/>
        <v/>
      </c>
      <c r="Q211" t="str">
        <f>IF($I211&lt;&gt;"",IF(ISNUMBER(Input!K211),ROUNDDOWN(Input!K211,0),0)+IF(ISNUMBER(Input!AI211),ROUNDDOWN(Input!AI211,0),0)+IF(ISNUMBER(Input!#REF!),ROUNDDOWN(Input!#REF!,0),0)+IF(ISNUMBER(Input!#REF!),ROUNDDOWN(Input!#REF!,0),0)+IF(ISNUMBER(Input!#REF!),ROUNDDOWN(Input!#REF!,0),0),"")</f>
        <v/>
      </c>
      <c r="R211" t="str">
        <f>IF($I211&lt;&gt;"",Input!L211&amp;IF(AND(Input!#REF!&lt;&gt;"",Input!L211&lt;&gt;""),"+","")&amp;Input!#REF!&amp;IF(AND(Input!#REF!&lt;&gt;"",OR(Input!#REF!&lt;&gt;"",Input!L211&lt;&gt;"")),"+","")&amp;Input!#REF!&amp;IF(AND(Input!#REF!&lt;&gt;"",OR(Input!#REF!&lt;&gt;"",Input!L211&lt;&gt;"",Input!#REF!&lt;&gt;"")),"+","")&amp;Input!#REF!&amp;IF(AND(Input!#REF!&lt;&gt;"",OR(Input!#REF!&lt;&gt;"",Input!L211&lt;&gt;"",Input!#REF!&lt;&gt;"",Input!#REF!&lt;&gt;"")),"+","")&amp;Input!#REF!,"")</f>
        <v/>
      </c>
      <c r="S211" t="str">
        <f t="shared" si="45"/>
        <v/>
      </c>
      <c r="T211" t="str">
        <f>IF($I211&lt;&gt;"",IF(ISNUMBER(Input!N211),ROUNDDOWN(Input!N211,0),0)+IF(ISNUMBER(Input!#REF!),ROUNDDOWN(Input!#REF!,0),0)+IF(ISNUMBER(Input!#REF!),ROUNDDOWN(Input!#REF!,0),0)+IF(ISNUMBER(Input!#REF!),ROUNDDOWN(Input!#REF!,0),0)+IF(ISNUMBER(Input!#REF!),ROUNDDOWN(Input!#REF!,0),0),"")</f>
        <v/>
      </c>
      <c r="U211" t="str">
        <f>IF($I211&lt;&gt;"",Input!O211&amp;IF(AND(Input!#REF!&lt;&gt;"",Input!O211&lt;&gt;""),"+","")&amp;Input!#REF!&amp;IF(AND(Input!#REF!&lt;&gt;"",OR(Input!#REF!&lt;&gt;"",Input!O211&lt;&gt;"")),"+","")&amp;Input!#REF!&amp;IF(AND(Input!#REF!&lt;&gt;"",OR(Input!#REF!&lt;&gt;"",Input!O211&lt;&gt;"",Input!#REF!&lt;&gt;"")),"+","")&amp;Input!#REF!&amp;IF(AND(Input!#REF!&lt;&gt;"",OR(Input!#REF!&lt;&gt;"",Input!O211&lt;&gt;"",Input!#REF!&lt;&gt;"",Input!#REF!&lt;&gt;"")),"+","")&amp;Input!#REF!,"")</f>
        <v/>
      </c>
      <c r="V211" t="str">
        <f t="shared" si="46"/>
        <v/>
      </c>
      <c r="W211" t="str">
        <f>IF($I211&lt;&gt;"",IF(ISNUMBER(Input!Q211),ROUNDDOWN(Input!Q211,0),0)+IF(ISNUMBER(Input!#REF!),ROUNDDOWN(Input!#REF!,0),0)+IF(ISNUMBER(Input!#REF!),ROUNDDOWN(Input!#REF!,0),0)+IF(ISNUMBER(Input!#REF!),ROUNDDOWN(Input!#REF!,0),0)+IF(ISNUMBER(Input!#REF!),ROUNDDOWN(Input!#REF!,0),0),"")</f>
        <v/>
      </c>
      <c r="X211" t="str">
        <f>IF($I211&lt;&gt;"",Input!R211&amp;IF(AND(Input!#REF!&lt;&gt;"",Input!R211&lt;&gt;""),"+","")&amp;Input!#REF!&amp;IF(AND(Input!#REF!&lt;&gt;"",OR(Input!#REF!&lt;&gt;"",Input!R211&lt;&gt;"")),"+","")&amp;Input!#REF!&amp;IF(AND(Input!#REF!&lt;&gt;"",OR(Input!#REF!&lt;&gt;"",Input!R211&lt;&gt;"",Input!#REF!&lt;&gt;"")),"+","")&amp;Input!#REF!&amp;IF(AND(Input!#REF!&lt;&gt;"",OR(Input!#REF!&lt;&gt;"",Input!R211&lt;&gt;"",Input!#REF!&lt;&gt;"",Input!#REF!&lt;&gt;"")),"+","")&amp;Input!#REF!,"")</f>
        <v/>
      </c>
      <c r="Y211" t="str">
        <f t="shared" si="47"/>
        <v/>
      </c>
      <c r="Z211" t="str">
        <f>IF($I211&lt;&gt;"",IF(ISNUMBER(Input!T211),ROUNDDOWN(Input!T211,0),0)+IF(ISNUMBER(Input!#REF!),ROUNDDOWN(Input!#REF!,0),0)+IF(ISNUMBER(Input!#REF!),ROUNDDOWN(Input!#REF!,0),0)+IF(ISNUMBER(Input!#REF!),ROUNDDOWN(Input!#REF!,0),0)+IF(ISNUMBER(Input!#REF!),ROUNDDOWN(Input!#REF!,0),0),"")</f>
        <v/>
      </c>
      <c r="AA211" t="str">
        <f>IF($I211&lt;&gt;"",Input!U211&amp;IF(AND(Input!#REF!&lt;&gt;"",Input!U211&lt;&gt;""),"+","")&amp;Input!#REF!&amp;IF(AND(Input!#REF!&lt;&gt;"",OR(Input!#REF!&lt;&gt;"",Input!U211&lt;&gt;"")),"+","")&amp;Input!#REF!&amp;IF(AND(Input!#REF!&lt;&gt;"",OR(Input!#REF!&lt;&gt;"",Input!U211&lt;&gt;"",Input!#REF!&lt;&gt;"")),"+","")&amp;Input!#REF!&amp;IF(AND(Input!#REF!&lt;&gt;"",OR(Input!#REF!&lt;&gt;"",Input!U211&lt;&gt;"",Input!#REF!&lt;&gt;"",Input!#REF!&lt;&gt;"")),"+","")&amp;Input!#REF!,"")</f>
        <v/>
      </c>
      <c r="AB211" t="str">
        <f t="shared" si="48"/>
        <v/>
      </c>
      <c r="AC211" t="str">
        <f>IF($I211&lt;&gt;"",IF(ISNUMBER(Input!W211),ROUNDDOWN(Input!W211,0),0)+IF(ISNUMBER(Input!#REF!),ROUNDDOWN(Input!#REF!,0),0)+IF(ISNUMBER(Input!#REF!),ROUNDDOWN(Input!#REF!,0),0)+IF(ISNUMBER(Input!#REF!),ROUNDDOWN(Input!#REF!,0),0)+IF(ISNUMBER(Input!#REF!),ROUNDDOWN(Input!#REF!,0),0),"")</f>
        <v/>
      </c>
      <c r="AD211" t="str">
        <f>IF($I211&lt;&gt;"",Input!X211&amp;IF(AND(Input!#REF!&lt;&gt;"",Input!X211&lt;&gt;""),"+","")&amp;Input!#REF!&amp;IF(AND(Input!#REF!&lt;&gt;"",OR(Input!#REF!&lt;&gt;"",Input!X211&lt;&gt;"")),"+","")&amp;Input!#REF!&amp;IF(AND(Input!#REF!&lt;&gt;"",OR(Input!#REF!&lt;&gt;"",Input!X211&lt;&gt;"",Input!#REF!&lt;&gt;"")),"+","")&amp;Input!#REF!&amp;IF(AND(Input!#REF!&lt;&gt;"",OR(Input!#REF!&lt;&gt;"",Input!X211&lt;&gt;"",Input!#REF!&lt;&gt;"",Input!#REF!&lt;&gt;"")),"+","")&amp;Input!#REF!,"")</f>
        <v/>
      </c>
      <c r="AE211" t="str">
        <f t="shared" si="49"/>
        <v/>
      </c>
      <c r="AF211" t="str">
        <f>IF($I211&lt;&gt;"",IF(ISNUMBER(Input!Z211),ROUNDDOWN(Input!Z211,0),0)+IF(ISNUMBER(Input!#REF!),ROUNDDOWN(Input!#REF!,0),0)+IF(ISNUMBER(Input!#REF!),ROUNDDOWN(Input!#REF!,0),0)+IF(ISNUMBER(Input!#REF!),ROUNDDOWN(Input!#REF!,0),0)+IF(ISNUMBER(Input!#REF!),ROUNDDOWN(Input!#REF!,0),0),"")</f>
        <v/>
      </c>
      <c r="AG211" t="str">
        <f>IF($I211&lt;&gt;"",Input!AA211&amp;IF(AND(Input!#REF!&lt;&gt;"",Input!AA211&lt;&gt;""),"+","")&amp;Input!#REF!&amp;IF(AND(Input!#REF!&lt;&gt;"",OR(Input!#REF!&lt;&gt;"",Input!AA211&lt;&gt;"")),"+","")&amp;Input!#REF!&amp;IF(AND(Input!#REF!&lt;&gt;"",OR(Input!#REF!&lt;&gt;"",Input!AA211&lt;&gt;"",Input!#REF!&lt;&gt;"")),"+","")&amp;Input!#REF!&amp;IF(AND(Input!#REF!&lt;&gt;"",OR(Input!#REF!&lt;&gt;"",Input!AA211&lt;&gt;"",Input!#REF!&lt;&gt;"",Input!#REF!&lt;&gt;"")),"+","")&amp;Input!#REF!,"")</f>
        <v/>
      </c>
      <c r="AH211" t="str">
        <f t="shared" si="50"/>
        <v/>
      </c>
      <c r="AI211" t="str">
        <f>IF($I211&lt;&gt;"",IF(ISNUMBER(Input!AC211),ROUNDDOWN(Input!AC211,0),0)+IF(ISNUMBER(Input!#REF!),ROUNDDOWN(Input!#REF!,0),0)+IF(ISNUMBER(Input!#REF!),ROUNDDOWN(Input!#REF!,0),0)+IF(ISNUMBER(Input!#REF!),ROUNDDOWN(Input!#REF!,0),0)+IF(ISNUMBER(Input!#REF!),ROUNDDOWN(Input!#REF!,0),0),"")</f>
        <v/>
      </c>
      <c r="AJ211" t="str">
        <f>IF($I211&lt;&gt;"",Input!AD211&amp;IF(AND(Input!#REF!&lt;&gt;"",Input!AD211&lt;&gt;""),"+","")&amp;Input!#REF!&amp;IF(AND(Input!#REF!&lt;&gt;"",OR(Input!#REF!&lt;&gt;"",Input!AD211&lt;&gt;"")),"+","")&amp;Input!#REF!&amp;IF(AND(Input!#REF!&lt;&gt;"",OR(Input!#REF!&lt;&gt;"",Input!AD211&lt;&gt;"",Input!#REF!&lt;&gt;"")),"+","")&amp;Input!#REF!&amp;IF(AND(Input!#REF!&lt;&gt;"",OR(Input!#REF!&lt;&gt;"",Input!AD211&lt;&gt;"",Input!#REF!&lt;&gt;"",Input!#REF!&lt;&gt;"")),"+","")&amp;Input!#REF!,"")</f>
        <v/>
      </c>
      <c r="AK211" t="str">
        <f t="shared" si="51"/>
        <v/>
      </c>
    </row>
    <row r="212" spans="3:37" x14ac:dyDescent="0.35">
      <c r="C212" s="3"/>
      <c r="D212"/>
      <c r="E212"/>
      <c r="F212" s="3"/>
      <c r="I212" t="str">
        <f>IF(Input!A212&gt;0,Input!A212,"")</f>
        <v/>
      </c>
      <c r="J212" t="str">
        <f>IF(Input!B212&gt;0,Input!B212,"")</f>
        <v/>
      </c>
      <c r="K212" t="str">
        <f>IF(Input!C212&gt;0,Input!C212,"")</f>
        <v/>
      </c>
      <c r="L212" t="str">
        <f>IF(Input!D212&gt;0,Input!D212,"")</f>
        <v/>
      </c>
      <c r="M212" t="str">
        <f>IF(Input!E212&gt;0,Input!E212,"")</f>
        <v/>
      </c>
      <c r="N212" t="str">
        <f>IF(Input!F212&gt;0,Input!F212,"")</f>
        <v/>
      </c>
      <c r="O212" t="str">
        <f>IF($I212&lt;&gt;"",Input!I212&amp;IF(AND(Input!AG212&lt;&gt;"",Input!I212&lt;&gt;""),"+","")&amp;Input!AG212&amp;IF(AND(Input!#REF!&lt;&gt;"",OR(Input!AG212&lt;&gt;"",Input!I212&lt;&gt;"")),"+","")&amp;Input!#REF!&amp;IF(AND(Input!#REF!&lt;&gt;"",OR(Input!AG212&lt;&gt;"",Input!I212&lt;&gt;"",Input!#REF!&lt;&gt;"")),"+","")&amp;Input!#REF!&amp;IF(AND(Input!#REF!&lt;&gt;"",OR(Input!AG212&lt;&gt;"",Input!I212&lt;&gt;"",Input!#REF!&lt;&gt;"",Input!#REF!&lt;&gt;"")),"+","")&amp;Input!#REF!,"")</f>
        <v/>
      </c>
      <c r="P212" t="str">
        <f t="shared" si="44"/>
        <v/>
      </c>
      <c r="Q212" t="str">
        <f>IF($I212&lt;&gt;"",IF(ISNUMBER(Input!K212),ROUNDDOWN(Input!K212,0),0)+IF(ISNUMBER(Input!AI212),ROUNDDOWN(Input!AI212,0),0)+IF(ISNUMBER(Input!#REF!),ROUNDDOWN(Input!#REF!,0),0)+IF(ISNUMBER(Input!#REF!),ROUNDDOWN(Input!#REF!,0),0)+IF(ISNUMBER(Input!#REF!),ROUNDDOWN(Input!#REF!,0),0),"")</f>
        <v/>
      </c>
      <c r="R212" t="str">
        <f>IF($I212&lt;&gt;"",Input!L212&amp;IF(AND(Input!#REF!&lt;&gt;"",Input!L212&lt;&gt;""),"+","")&amp;Input!#REF!&amp;IF(AND(Input!#REF!&lt;&gt;"",OR(Input!#REF!&lt;&gt;"",Input!L212&lt;&gt;"")),"+","")&amp;Input!#REF!&amp;IF(AND(Input!#REF!&lt;&gt;"",OR(Input!#REF!&lt;&gt;"",Input!L212&lt;&gt;"",Input!#REF!&lt;&gt;"")),"+","")&amp;Input!#REF!&amp;IF(AND(Input!#REF!&lt;&gt;"",OR(Input!#REF!&lt;&gt;"",Input!L212&lt;&gt;"",Input!#REF!&lt;&gt;"",Input!#REF!&lt;&gt;"")),"+","")&amp;Input!#REF!,"")</f>
        <v/>
      </c>
      <c r="S212" t="str">
        <f t="shared" si="45"/>
        <v/>
      </c>
      <c r="T212" t="str">
        <f>IF($I212&lt;&gt;"",IF(ISNUMBER(Input!N212),ROUNDDOWN(Input!N212,0),0)+IF(ISNUMBER(Input!#REF!),ROUNDDOWN(Input!#REF!,0),0)+IF(ISNUMBER(Input!#REF!),ROUNDDOWN(Input!#REF!,0),0)+IF(ISNUMBER(Input!#REF!),ROUNDDOWN(Input!#REF!,0),0)+IF(ISNUMBER(Input!#REF!),ROUNDDOWN(Input!#REF!,0),0),"")</f>
        <v/>
      </c>
      <c r="U212" t="str">
        <f>IF($I212&lt;&gt;"",Input!O212&amp;IF(AND(Input!#REF!&lt;&gt;"",Input!O212&lt;&gt;""),"+","")&amp;Input!#REF!&amp;IF(AND(Input!#REF!&lt;&gt;"",OR(Input!#REF!&lt;&gt;"",Input!O212&lt;&gt;"")),"+","")&amp;Input!#REF!&amp;IF(AND(Input!#REF!&lt;&gt;"",OR(Input!#REF!&lt;&gt;"",Input!O212&lt;&gt;"",Input!#REF!&lt;&gt;"")),"+","")&amp;Input!#REF!&amp;IF(AND(Input!#REF!&lt;&gt;"",OR(Input!#REF!&lt;&gt;"",Input!O212&lt;&gt;"",Input!#REF!&lt;&gt;"",Input!#REF!&lt;&gt;"")),"+","")&amp;Input!#REF!,"")</f>
        <v/>
      </c>
      <c r="V212" t="str">
        <f t="shared" si="46"/>
        <v/>
      </c>
      <c r="W212" t="str">
        <f>IF($I212&lt;&gt;"",IF(ISNUMBER(Input!Q212),ROUNDDOWN(Input!Q212,0),0)+IF(ISNUMBER(Input!#REF!),ROUNDDOWN(Input!#REF!,0),0)+IF(ISNUMBER(Input!#REF!),ROUNDDOWN(Input!#REF!,0),0)+IF(ISNUMBER(Input!#REF!),ROUNDDOWN(Input!#REF!,0),0)+IF(ISNUMBER(Input!#REF!),ROUNDDOWN(Input!#REF!,0),0),"")</f>
        <v/>
      </c>
      <c r="X212" t="str">
        <f>IF($I212&lt;&gt;"",Input!R212&amp;IF(AND(Input!#REF!&lt;&gt;"",Input!R212&lt;&gt;""),"+","")&amp;Input!#REF!&amp;IF(AND(Input!#REF!&lt;&gt;"",OR(Input!#REF!&lt;&gt;"",Input!R212&lt;&gt;"")),"+","")&amp;Input!#REF!&amp;IF(AND(Input!#REF!&lt;&gt;"",OR(Input!#REF!&lt;&gt;"",Input!R212&lt;&gt;"",Input!#REF!&lt;&gt;"")),"+","")&amp;Input!#REF!&amp;IF(AND(Input!#REF!&lt;&gt;"",OR(Input!#REF!&lt;&gt;"",Input!R212&lt;&gt;"",Input!#REF!&lt;&gt;"",Input!#REF!&lt;&gt;"")),"+","")&amp;Input!#REF!,"")</f>
        <v/>
      </c>
      <c r="Y212" t="str">
        <f t="shared" si="47"/>
        <v/>
      </c>
      <c r="Z212" t="str">
        <f>IF($I212&lt;&gt;"",IF(ISNUMBER(Input!T212),ROUNDDOWN(Input!T212,0),0)+IF(ISNUMBER(Input!#REF!),ROUNDDOWN(Input!#REF!,0),0)+IF(ISNUMBER(Input!#REF!),ROUNDDOWN(Input!#REF!,0),0)+IF(ISNUMBER(Input!#REF!),ROUNDDOWN(Input!#REF!,0),0)+IF(ISNUMBER(Input!#REF!),ROUNDDOWN(Input!#REF!,0),0),"")</f>
        <v/>
      </c>
      <c r="AA212" t="str">
        <f>IF($I212&lt;&gt;"",Input!U212&amp;IF(AND(Input!#REF!&lt;&gt;"",Input!U212&lt;&gt;""),"+","")&amp;Input!#REF!&amp;IF(AND(Input!#REF!&lt;&gt;"",OR(Input!#REF!&lt;&gt;"",Input!U212&lt;&gt;"")),"+","")&amp;Input!#REF!&amp;IF(AND(Input!#REF!&lt;&gt;"",OR(Input!#REF!&lt;&gt;"",Input!U212&lt;&gt;"",Input!#REF!&lt;&gt;"")),"+","")&amp;Input!#REF!&amp;IF(AND(Input!#REF!&lt;&gt;"",OR(Input!#REF!&lt;&gt;"",Input!U212&lt;&gt;"",Input!#REF!&lt;&gt;"",Input!#REF!&lt;&gt;"")),"+","")&amp;Input!#REF!,"")</f>
        <v/>
      </c>
      <c r="AB212" t="str">
        <f t="shared" si="48"/>
        <v/>
      </c>
      <c r="AC212" t="str">
        <f>IF($I212&lt;&gt;"",IF(ISNUMBER(Input!W212),ROUNDDOWN(Input!W212,0),0)+IF(ISNUMBER(Input!#REF!),ROUNDDOWN(Input!#REF!,0),0)+IF(ISNUMBER(Input!#REF!),ROUNDDOWN(Input!#REF!,0),0)+IF(ISNUMBER(Input!#REF!),ROUNDDOWN(Input!#REF!,0),0)+IF(ISNUMBER(Input!#REF!),ROUNDDOWN(Input!#REF!,0),0),"")</f>
        <v/>
      </c>
      <c r="AD212" t="str">
        <f>IF($I212&lt;&gt;"",Input!X212&amp;IF(AND(Input!#REF!&lt;&gt;"",Input!X212&lt;&gt;""),"+","")&amp;Input!#REF!&amp;IF(AND(Input!#REF!&lt;&gt;"",OR(Input!#REF!&lt;&gt;"",Input!X212&lt;&gt;"")),"+","")&amp;Input!#REF!&amp;IF(AND(Input!#REF!&lt;&gt;"",OR(Input!#REF!&lt;&gt;"",Input!X212&lt;&gt;"",Input!#REF!&lt;&gt;"")),"+","")&amp;Input!#REF!&amp;IF(AND(Input!#REF!&lt;&gt;"",OR(Input!#REF!&lt;&gt;"",Input!X212&lt;&gt;"",Input!#REF!&lt;&gt;"",Input!#REF!&lt;&gt;"")),"+","")&amp;Input!#REF!,"")</f>
        <v/>
      </c>
      <c r="AE212" t="str">
        <f t="shared" si="49"/>
        <v/>
      </c>
      <c r="AF212" t="str">
        <f>IF($I212&lt;&gt;"",IF(ISNUMBER(Input!Z212),ROUNDDOWN(Input!Z212,0),0)+IF(ISNUMBER(Input!#REF!),ROUNDDOWN(Input!#REF!,0),0)+IF(ISNUMBER(Input!#REF!),ROUNDDOWN(Input!#REF!,0),0)+IF(ISNUMBER(Input!#REF!),ROUNDDOWN(Input!#REF!,0),0)+IF(ISNUMBER(Input!#REF!),ROUNDDOWN(Input!#REF!,0),0),"")</f>
        <v/>
      </c>
      <c r="AG212" t="str">
        <f>IF($I212&lt;&gt;"",Input!AA212&amp;IF(AND(Input!#REF!&lt;&gt;"",Input!AA212&lt;&gt;""),"+","")&amp;Input!#REF!&amp;IF(AND(Input!#REF!&lt;&gt;"",OR(Input!#REF!&lt;&gt;"",Input!AA212&lt;&gt;"")),"+","")&amp;Input!#REF!&amp;IF(AND(Input!#REF!&lt;&gt;"",OR(Input!#REF!&lt;&gt;"",Input!AA212&lt;&gt;"",Input!#REF!&lt;&gt;"")),"+","")&amp;Input!#REF!&amp;IF(AND(Input!#REF!&lt;&gt;"",OR(Input!#REF!&lt;&gt;"",Input!AA212&lt;&gt;"",Input!#REF!&lt;&gt;"",Input!#REF!&lt;&gt;"")),"+","")&amp;Input!#REF!,"")</f>
        <v/>
      </c>
      <c r="AH212" t="str">
        <f t="shared" si="50"/>
        <v/>
      </c>
      <c r="AI212" t="str">
        <f>IF($I212&lt;&gt;"",IF(ISNUMBER(Input!AC212),ROUNDDOWN(Input!AC212,0),0)+IF(ISNUMBER(Input!#REF!),ROUNDDOWN(Input!#REF!,0),0)+IF(ISNUMBER(Input!#REF!),ROUNDDOWN(Input!#REF!,0),0)+IF(ISNUMBER(Input!#REF!),ROUNDDOWN(Input!#REF!,0),0)+IF(ISNUMBER(Input!#REF!),ROUNDDOWN(Input!#REF!,0),0),"")</f>
        <v/>
      </c>
      <c r="AJ212" t="str">
        <f>IF($I212&lt;&gt;"",Input!AD212&amp;IF(AND(Input!#REF!&lt;&gt;"",Input!AD212&lt;&gt;""),"+","")&amp;Input!#REF!&amp;IF(AND(Input!#REF!&lt;&gt;"",OR(Input!#REF!&lt;&gt;"",Input!AD212&lt;&gt;"")),"+","")&amp;Input!#REF!&amp;IF(AND(Input!#REF!&lt;&gt;"",OR(Input!#REF!&lt;&gt;"",Input!AD212&lt;&gt;"",Input!#REF!&lt;&gt;"")),"+","")&amp;Input!#REF!&amp;IF(AND(Input!#REF!&lt;&gt;"",OR(Input!#REF!&lt;&gt;"",Input!AD212&lt;&gt;"",Input!#REF!&lt;&gt;"",Input!#REF!&lt;&gt;"")),"+","")&amp;Input!#REF!,"")</f>
        <v/>
      </c>
      <c r="AK212" t="str">
        <f t="shared" si="51"/>
        <v/>
      </c>
    </row>
    <row r="213" spans="3:37" x14ac:dyDescent="0.35">
      <c r="C213" s="3"/>
      <c r="D213"/>
      <c r="E213"/>
      <c r="F213" s="3"/>
      <c r="I213" t="str">
        <f>IF(Input!A213&gt;0,Input!A213,"")</f>
        <v/>
      </c>
      <c r="J213" t="str">
        <f>IF(Input!B213&gt;0,Input!B213,"")</f>
        <v/>
      </c>
      <c r="K213" t="str">
        <f>IF(Input!C213&gt;0,Input!C213,"")</f>
        <v/>
      </c>
      <c r="L213" t="str">
        <f>IF(Input!D213&gt;0,Input!D213,"")</f>
        <v/>
      </c>
      <c r="M213" t="str">
        <f>IF(Input!E213&gt;0,Input!E213,"")</f>
        <v/>
      </c>
      <c r="N213" t="str">
        <f>IF(Input!F213&gt;0,Input!F213,"")</f>
        <v/>
      </c>
      <c r="O213" t="str">
        <f>IF($I213&lt;&gt;"",Input!I213&amp;IF(AND(Input!AG213&lt;&gt;"",Input!I213&lt;&gt;""),"+","")&amp;Input!AG213&amp;IF(AND(Input!#REF!&lt;&gt;"",OR(Input!AG213&lt;&gt;"",Input!I213&lt;&gt;"")),"+","")&amp;Input!#REF!&amp;IF(AND(Input!#REF!&lt;&gt;"",OR(Input!AG213&lt;&gt;"",Input!I213&lt;&gt;"",Input!#REF!&lt;&gt;"")),"+","")&amp;Input!#REF!&amp;IF(AND(Input!#REF!&lt;&gt;"",OR(Input!AG213&lt;&gt;"",Input!I213&lt;&gt;"",Input!#REF!&lt;&gt;"",Input!#REF!&lt;&gt;"")),"+","")&amp;Input!#REF!,"")</f>
        <v/>
      </c>
      <c r="P213" t="str">
        <f t="shared" si="44"/>
        <v/>
      </c>
      <c r="Q213" t="str">
        <f>IF($I213&lt;&gt;"",IF(ISNUMBER(Input!K213),ROUNDDOWN(Input!K213,0),0)+IF(ISNUMBER(Input!AI213),ROUNDDOWN(Input!AI213,0),0)+IF(ISNUMBER(Input!#REF!),ROUNDDOWN(Input!#REF!,0),0)+IF(ISNUMBER(Input!#REF!),ROUNDDOWN(Input!#REF!,0),0)+IF(ISNUMBER(Input!#REF!),ROUNDDOWN(Input!#REF!,0),0),"")</f>
        <v/>
      </c>
      <c r="R213" t="str">
        <f>IF($I213&lt;&gt;"",Input!L213&amp;IF(AND(Input!#REF!&lt;&gt;"",Input!L213&lt;&gt;""),"+","")&amp;Input!#REF!&amp;IF(AND(Input!#REF!&lt;&gt;"",OR(Input!#REF!&lt;&gt;"",Input!L213&lt;&gt;"")),"+","")&amp;Input!#REF!&amp;IF(AND(Input!#REF!&lt;&gt;"",OR(Input!#REF!&lt;&gt;"",Input!L213&lt;&gt;"",Input!#REF!&lt;&gt;"")),"+","")&amp;Input!#REF!&amp;IF(AND(Input!#REF!&lt;&gt;"",OR(Input!#REF!&lt;&gt;"",Input!L213&lt;&gt;"",Input!#REF!&lt;&gt;"",Input!#REF!&lt;&gt;"")),"+","")&amp;Input!#REF!,"")</f>
        <v/>
      </c>
      <c r="S213" t="str">
        <f t="shared" si="45"/>
        <v/>
      </c>
      <c r="T213" t="str">
        <f>IF($I213&lt;&gt;"",IF(ISNUMBER(Input!N213),ROUNDDOWN(Input!N213,0),0)+IF(ISNUMBER(Input!#REF!),ROUNDDOWN(Input!#REF!,0),0)+IF(ISNUMBER(Input!#REF!),ROUNDDOWN(Input!#REF!,0),0)+IF(ISNUMBER(Input!#REF!),ROUNDDOWN(Input!#REF!,0),0)+IF(ISNUMBER(Input!#REF!),ROUNDDOWN(Input!#REF!,0),0),"")</f>
        <v/>
      </c>
      <c r="U213" t="str">
        <f>IF($I213&lt;&gt;"",Input!O213&amp;IF(AND(Input!#REF!&lt;&gt;"",Input!O213&lt;&gt;""),"+","")&amp;Input!#REF!&amp;IF(AND(Input!#REF!&lt;&gt;"",OR(Input!#REF!&lt;&gt;"",Input!O213&lt;&gt;"")),"+","")&amp;Input!#REF!&amp;IF(AND(Input!#REF!&lt;&gt;"",OR(Input!#REF!&lt;&gt;"",Input!O213&lt;&gt;"",Input!#REF!&lt;&gt;"")),"+","")&amp;Input!#REF!&amp;IF(AND(Input!#REF!&lt;&gt;"",OR(Input!#REF!&lt;&gt;"",Input!O213&lt;&gt;"",Input!#REF!&lt;&gt;"",Input!#REF!&lt;&gt;"")),"+","")&amp;Input!#REF!,"")</f>
        <v/>
      </c>
      <c r="V213" t="str">
        <f t="shared" si="46"/>
        <v/>
      </c>
      <c r="W213" t="str">
        <f>IF($I213&lt;&gt;"",IF(ISNUMBER(Input!Q213),ROUNDDOWN(Input!Q213,0),0)+IF(ISNUMBER(Input!#REF!),ROUNDDOWN(Input!#REF!,0),0)+IF(ISNUMBER(Input!#REF!),ROUNDDOWN(Input!#REF!,0),0)+IF(ISNUMBER(Input!#REF!),ROUNDDOWN(Input!#REF!,0),0)+IF(ISNUMBER(Input!#REF!),ROUNDDOWN(Input!#REF!,0),0),"")</f>
        <v/>
      </c>
      <c r="X213" t="str">
        <f>IF($I213&lt;&gt;"",Input!R213&amp;IF(AND(Input!#REF!&lt;&gt;"",Input!R213&lt;&gt;""),"+","")&amp;Input!#REF!&amp;IF(AND(Input!#REF!&lt;&gt;"",OR(Input!#REF!&lt;&gt;"",Input!R213&lt;&gt;"")),"+","")&amp;Input!#REF!&amp;IF(AND(Input!#REF!&lt;&gt;"",OR(Input!#REF!&lt;&gt;"",Input!R213&lt;&gt;"",Input!#REF!&lt;&gt;"")),"+","")&amp;Input!#REF!&amp;IF(AND(Input!#REF!&lt;&gt;"",OR(Input!#REF!&lt;&gt;"",Input!R213&lt;&gt;"",Input!#REF!&lt;&gt;"",Input!#REF!&lt;&gt;"")),"+","")&amp;Input!#REF!,"")</f>
        <v/>
      </c>
      <c r="Y213" t="str">
        <f t="shared" si="47"/>
        <v/>
      </c>
      <c r="Z213" t="str">
        <f>IF($I213&lt;&gt;"",IF(ISNUMBER(Input!T213),ROUNDDOWN(Input!T213,0),0)+IF(ISNUMBER(Input!#REF!),ROUNDDOWN(Input!#REF!,0),0)+IF(ISNUMBER(Input!#REF!),ROUNDDOWN(Input!#REF!,0),0)+IF(ISNUMBER(Input!#REF!),ROUNDDOWN(Input!#REF!,0),0)+IF(ISNUMBER(Input!#REF!),ROUNDDOWN(Input!#REF!,0),0),"")</f>
        <v/>
      </c>
      <c r="AA213" t="str">
        <f>IF($I213&lt;&gt;"",Input!U213&amp;IF(AND(Input!#REF!&lt;&gt;"",Input!U213&lt;&gt;""),"+","")&amp;Input!#REF!&amp;IF(AND(Input!#REF!&lt;&gt;"",OR(Input!#REF!&lt;&gt;"",Input!U213&lt;&gt;"")),"+","")&amp;Input!#REF!&amp;IF(AND(Input!#REF!&lt;&gt;"",OR(Input!#REF!&lt;&gt;"",Input!U213&lt;&gt;"",Input!#REF!&lt;&gt;"")),"+","")&amp;Input!#REF!&amp;IF(AND(Input!#REF!&lt;&gt;"",OR(Input!#REF!&lt;&gt;"",Input!U213&lt;&gt;"",Input!#REF!&lt;&gt;"",Input!#REF!&lt;&gt;"")),"+","")&amp;Input!#REF!,"")</f>
        <v/>
      </c>
      <c r="AB213" t="str">
        <f t="shared" si="48"/>
        <v/>
      </c>
      <c r="AC213" t="str">
        <f>IF($I213&lt;&gt;"",IF(ISNUMBER(Input!W213),ROUNDDOWN(Input!W213,0),0)+IF(ISNUMBER(Input!#REF!),ROUNDDOWN(Input!#REF!,0),0)+IF(ISNUMBER(Input!#REF!),ROUNDDOWN(Input!#REF!,0),0)+IF(ISNUMBER(Input!#REF!),ROUNDDOWN(Input!#REF!,0),0)+IF(ISNUMBER(Input!#REF!),ROUNDDOWN(Input!#REF!,0),0),"")</f>
        <v/>
      </c>
      <c r="AD213" t="str">
        <f>IF($I213&lt;&gt;"",Input!X213&amp;IF(AND(Input!#REF!&lt;&gt;"",Input!X213&lt;&gt;""),"+","")&amp;Input!#REF!&amp;IF(AND(Input!#REF!&lt;&gt;"",OR(Input!#REF!&lt;&gt;"",Input!X213&lt;&gt;"")),"+","")&amp;Input!#REF!&amp;IF(AND(Input!#REF!&lt;&gt;"",OR(Input!#REF!&lt;&gt;"",Input!X213&lt;&gt;"",Input!#REF!&lt;&gt;"")),"+","")&amp;Input!#REF!&amp;IF(AND(Input!#REF!&lt;&gt;"",OR(Input!#REF!&lt;&gt;"",Input!X213&lt;&gt;"",Input!#REF!&lt;&gt;"",Input!#REF!&lt;&gt;"")),"+","")&amp;Input!#REF!,"")</f>
        <v/>
      </c>
      <c r="AE213" t="str">
        <f t="shared" si="49"/>
        <v/>
      </c>
      <c r="AF213" t="str">
        <f>IF($I213&lt;&gt;"",IF(ISNUMBER(Input!Z213),ROUNDDOWN(Input!Z213,0),0)+IF(ISNUMBER(Input!#REF!),ROUNDDOWN(Input!#REF!,0),0)+IF(ISNUMBER(Input!#REF!),ROUNDDOWN(Input!#REF!,0),0)+IF(ISNUMBER(Input!#REF!),ROUNDDOWN(Input!#REF!,0),0)+IF(ISNUMBER(Input!#REF!),ROUNDDOWN(Input!#REF!,0),0),"")</f>
        <v/>
      </c>
      <c r="AG213" t="str">
        <f>IF($I213&lt;&gt;"",Input!AA213&amp;IF(AND(Input!#REF!&lt;&gt;"",Input!AA213&lt;&gt;""),"+","")&amp;Input!#REF!&amp;IF(AND(Input!#REF!&lt;&gt;"",OR(Input!#REF!&lt;&gt;"",Input!AA213&lt;&gt;"")),"+","")&amp;Input!#REF!&amp;IF(AND(Input!#REF!&lt;&gt;"",OR(Input!#REF!&lt;&gt;"",Input!AA213&lt;&gt;"",Input!#REF!&lt;&gt;"")),"+","")&amp;Input!#REF!&amp;IF(AND(Input!#REF!&lt;&gt;"",OR(Input!#REF!&lt;&gt;"",Input!AA213&lt;&gt;"",Input!#REF!&lt;&gt;"",Input!#REF!&lt;&gt;"")),"+","")&amp;Input!#REF!,"")</f>
        <v/>
      </c>
      <c r="AH213" t="str">
        <f t="shared" si="50"/>
        <v/>
      </c>
      <c r="AI213" t="str">
        <f>IF($I213&lt;&gt;"",IF(ISNUMBER(Input!AC213),ROUNDDOWN(Input!AC213,0),0)+IF(ISNUMBER(Input!#REF!),ROUNDDOWN(Input!#REF!,0),0)+IF(ISNUMBER(Input!#REF!),ROUNDDOWN(Input!#REF!,0),0)+IF(ISNUMBER(Input!#REF!),ROUNDDOWN(Input!#REF!,0),0)+IF(ISNUMBER(Input!#REF!),ROUNDDOWN(Input!#REF!,0),0),"")</f>
        <v/>
      </c>
      <c r="AJ213" t="str">
        <f>IF($I213&lt;&gt;"",Input!AD213&amp;IF(AND(Input!#REF!&lt;&gt;"",Input!AD213&lt;&gt;""),"+","")&amp;Input!#REF!&amp;IF(AND(Input!#REF!&lt;&gt;"",OR(Input!#REF!&lt;&gt;"",Input!AD213&lt;&gt;"")),"+","")&amp;Input!#REF!&amp;IF(AND(Input!#REF!&lt;&gt;"",OR(Input!#REF!&lt;&gt;"",Input!AD213&lt;&gt;"",Input!#REF!&lt;&gt;"")),"+","")&amp;Input!#REF!&amp;IF(AND(Input!#REF!&lt;&gt;"",OR(Input!#REF!&lt;&gt;"",Input!AD213&lt;&gt;"",Input!#REF!&lt;&gt;"",Input!#REF!&lt;&gt;"")),"+","")&amp;Input!#REF!,"")</f>
        <v/>
      </c>
      <c r="AK213" t="str">
        <f t="shared" si="51"/>
        <v/>
      </c>
    </row>
    <row r="214" spans="3:37" x14ac:dyDescent="0.35">
      <c r="C214" s="3"/>
      <c r="D214"/>
      <c r="E214"/>
      <c r="F214" s="3"/>
      <c r="I214" t="str">
        <f>IF(Input!A214&gt;0,Input!A214,"")</f>
        <v/>
      </c>
      <c r="J214" t="str">
        <f>IF(Input!B214&gt;0,Input!B214,"")</f>
        <v/>
      </c>
      <c r="K214" t="str">
        <f>IF(Input!C214&gt;0,Input!C214,"")</f>
        <v/>
      </c>
      <c r="L214" t="str">
        <f>IF(Input!D214&gt;0,Input!D214,"")</f>
        <v/>
      </c>
      <c r="M214" t="str">
        <f>IF(Input!E214&gt;0,Input!E214,"")</f>
        <v/>
      </c>
      <c r="N214" t="str">
        <f>IF(Input!F214&gt;0,Input!F214,"")</f>
        <v/>
      </c>
      <c r="O214" t="str">
        <f>IF($I214&lt;&gt;"",Input!I214&amp;IF(AND(Input!AG214&lt;&gt;"",Input!I214&lt;&gt;""),"+","")&amp;Input!AG214&amp;IF(AND(Input!#REF!&lt;&gt;"",OR(Input!AG214&lt;&gt;"",Input!I214&lt;&gt;"")),"+","")&amp;Input!#REF!&amp;IF(AND(Input!#REF!&lt;&gt;"",OR(Input!AG214&lt;&gt;"",Input!I214&lt;&gt;"",Input!#REF!&lt;&gt;"")),"+","")&amp;Input!#REF!&amp;IF(AND(Input!#REF!&lt;&gt;"",OR(Input!AG214&lt;&gt;"",Input!I214&lt;&gt;"",Input!#REF!&lt;&gt;"",Input!#REF!&lt;&gt;"")),"+","")&amp;Input!#REF!,"")</f>
        <v/>
      </c>
      <c r="P214" t="str">
        <f t="shared" si="44"/>
        <v/>
      </c>
      <c r="Q214" t="str">
        <f>IF($I214&lt;&gt;"",IF(ISNUMBER(Input!K214),ROUNDDOWN(Input!K214,0),0)+IF(ISNUMBER(Input!AI214),ROUNDDOWN(Input!AI214,0),0)+IF(ISNUMBER(Input!#REF!),ROUNDDOWN(Input!#REF!,0),0)+IF(ISNUMBER(Input!#REF!),ROUNDDOWN(Input!#REF!,0),0)+IF(ISNUMBER(Input!#REF!),ROUNDDOWN(Input!#REF!,0),0),"")</f>
        <v/>
      </c>
      <c r="R214" t="str">
        <f>IF($I214&lt;&gt;"",Input!L214&amp;IF(AND(Input!#REF!&lt;&gt;"",Input!L214&lt;&gt;""),"+","")&amp;Input!#REF!&amp;IF(AND(Input!#REF!&lt;&gt;"",OR(Input!#REF!&lt;&gt;"",Input!L214&lt;&gt;"")),"+","")&amp;Input!#REF!&amp;IF(AND(Input!#REF!&lt;&gt;"",OR(Input!#REF!&lt;&gt;"",Input!L214&lt;&gt;"",Input!#REF!&lt;&gt;"")),"+","")&amp;Input!#REF!&amp;IF(AND(Input!#REF!&lt;&gt;"",OR(Input!#REF!&lt;&gt;"",Input!L214&lt;&gt;"",Input!#REF!&lt;&gt;"",Input!#REF!&lt;&gt;"")),"+","")&amp;Input!#REF!,"")</f>
        <v/>
      </c>
      <c r="S214" t="str">
        <f t="shared" si="45"/>
        <v/>
      </c>
      <c r="T214" t="str">
        <f>IF($I214&lt;&gt;"",IF(ISNUMBER(Input!N214),ROUNDDOWN(Input!N214,0),0)+IF(ISNUMBER(Input!#REF!),ROUNDDOWN(Input!#REF!,0),0)+IF(ISNUMBER(Input!#REF!),ROUNDDOWN(Input!#REF!,0),0)+IF(ISNUMBER(Input!#REF!),ROUNDDOWN(Input!#REF!,0),0)+IF(ISNUMBER(Input!#REF!),ROUNDDOWN(Input!#REF!,0),0),"")</f>
        <v/>
      </c>
      <c r="U214" t="str">
        <f>IF($I214&lt;&gt;"",Input!O214&amp;IF(AND(Input!#REF!&lt;&gt;"",Input!O214&lt;&gt;""),"+","")&amp;Input!#REF!&amp;IF(AND(Input!#REF!&lt;&gt;"",OR(Input!#REF!&lt;&gt;"",Input!O214&lt;&gt;"")),"+","")&amp;Input!#REF!&amp;IF(AND(Input!#REF!&lt;&gt;"",OR(Input!#REF!&lt;&gt;"",Input!O214&lt;&gt;"",Input!#REF!&lt;&gt;"")),"+","")&amp;Input!#REF!&amp;IF(AND(Input!#REF!&lt;&gt;"",OR(Input!#REF!&lt;&gt;"",Input!O214&lt;&gt;"",Input!#REF!&lt;&gt;"",Input!#REF!&lt;&gt;"")),"+","")&amp;Input!#REF!,"")</f>
        <v/>
      </c>
      <c r="V214" t="str">
        <f t="shared" si="46"/>
        <v/>
      </c>
      <c r="W214" t="str">
        <f>IF($I214&lt;&gt;"",IF(ISNUMBER(Input!Q214),ROUNDDOWN(Input!Q214,0),0)+IF(ISNUMBER(Input!#REF!),ROUNDDOWN(Input!#REF!,0),0)+IF(ISNUMBER(Input!#REF!),ROUNDDOWN(Input!#REF!,0),0)+IF(ISNUMBER(Input!#REF!),ROUNDDOWN(Input!#REF!,0),0)+IF(ISNUMBER(Input!#REF!),ROUNDDOWN(Input!#REF!,0),0),"")</f>
        <v/>
      </c>
      <c r="X214" t="str">
        <f>IF($I214&lt;&gt;"",Input!R214&amp;IF(AND(Input!#REF!&lt;&gt;"",Input!R214&lt;&gt;""),"+","")&amp;Input!#REF!&amp;IF(AND(Input!#REF!&lt;&gt;"",OR(Input!#REF!&lt;&gt;"",Input!R214&lt;&gt;"")),"+","")&amp;Input!#REF!&amp;IF(AND(Input!#REF!&lt;&gt;"",OR(Input!#REF!&lt;&gt;"",Input!R214&lt;&gt;"",Input!#REF!&lt;&gt;"")),"+","")&amp;Input!#REF!&amp;IF(AND(Input!#REF!&lt;&gt;"",OR(Input!#REF!&lt;&gt;"",Input!R214&lt;&gt;"",Input!#REF!&lt;&gt;"",Input!#REF!&lt;&gt;"")),"+","")&amp;Input!#REF!,"")</f>
        <v/>
      </c>
      <c r="Y214" t="str">
        <f t="shared" si="47"/>
        <v/>
      </c>
      <c r="Z214" t="str">
        <f>IF($I214&lt;&gt;"",IF(ISNUMBER(Input!T214),ROUNDDOWN(Input!T214,0),0)+IF(ISNUMBER(Input!#REF!),ROUNDDOWN(Input!#REF!,0),0)+IF(ISNUMBER(Input!#REF!),ROUNDDOWN(Input!#REF!,0),0)+IF(ISNUMBER(Input!#REF!),ROUNDDOWN(Input!#REF!,0),0)+IF(ISNUMBER(Input!#REF!),ROUNDDOWN(Input!#REF!,0),0),"")</f>
        <v/>
      </c>
      <c r="AA214" t="str">
        <f>IF($I214&lt;&gt;"",Input!U214&amp;IF(AND(Input!#REF!&lt;&gt;"",Input!U214&lt;&gt;""),"+","")&amp;Input!#REF!&amp;IF(AND(Input!#REF!&lt;&gt;"",OR(Input!#REF!&lt;&gt;"",Input!U214&lt;&gt;"")),"+","")&amp;Input!#REF!&amp;IF(AND(Input!#REF!&lt;&gt;"",OR(Input!#REF!&lt;&gt;"",Input!U214&lt;&gt;"",Input!#REF!&lt;&gt;"")),"+","")&amp;Input!#REF!&amp;IF(AND(Input!#REF!&lt;&gt;"",OR(Input!#REF!&lt;&gt;"",Input!U214&lt;&gt;"",Input!#REF!&lt;&gt;"",Input!#REF!&lt;&gt;"")),"+","")&amp;Input!#REF!,"")</f>
        <v/>
      </c>
      <c r="AB214" t="str">
        <f t="shared" si="48"/>
        <v/>
      </c>
      <c r="AC214" t="str">
        <f>IF($I214&lt;&gt;"",IF(ISNUMBER(Input!W214),ROUNDDOWN(Input!W214,0),0)+IF(ISNUMBER(Input!#REF!),ROUNDDOWN(Input!#REF!,0),0)+IF(ISNUMBER(Input!#REF!),ROUNDDOWN(Input!#REF!,0),0)+IF(ISNUMBER(Input!#REF!),ROUNDDOWN(Input!#REF!,0),0)+IF(ISNUMBER(Input!#REF!),ROUNDDOWN(Input!#REF!,0),0),"")</f>
        <v/>
      </c>
      <c r="AD214" t="str">
        <f>IF($I214&lt;&gt;"",Input!X214&amp;IF(AND(Input!#REF!&lt;&gt;"",Input!X214&lt;&gt;""),"+","")&amp;Input!#REF!&amp;IF(AND(Input!#REF!&lt;&gt;"",OR(Input!#REF!&lt;&gt;"",Input!X214&lt;&gt;"")),"+","")&amp;Input!#REF!&amp;IF(AND(Input!#REF!&lt;&gt;"",OR(Input!#REF!&lt;&gt;"",Input!X214&lt;&gt;"",Input!#REF!&lt;&gt;"")),"+","")&amp;Input!#REF!&amp;IF(AND(Input!#REF!&lt;&gt;"",OR(Input!#REF!&lt;&gt;"",Input!X214&lt;&gt;"",Input!#REF!&lt;&gt;"",Input!#REF!&lt;&gt;"")),"+","")&amp;Input!#REF!,"")</f>
        <v/>
      </c>
      <c r="AE214" t="str">
        <f t="shared" si="49"/>
        <v/>
      </c>
      <c r="AF214" t="str">
        <f>IF($I214&lt;&gt;"",IF(ISNUMBER(Input!Z214),ROUNDDOWN(Input!Z214,0),0)+IF(ISNUMBER(Input!#REF!),ROUNDDOWN(Input!#REF!,0),0)+IF(ISNUMBER(Input!#REF!),ROUNDDOWN(Input!#REF!,0),0)+IF(ISNUMBER(Input!#REF!),ROUNDDOWN(Input!#REF!,0),0)+IF(ISNUMBER(Input!#REF!),ROUNDDOWN(Input!#REF!,0),0),"")</f>
        <v/>
      </c>
      <c r="AG214" t="str">
        <f>IF($I214&lt;&gt;"",Input!AA214&amp;IF(AND(Input!#REF!&lt;&gt;"",Input!AA214&lt;&gt;""),"+","")&amp;Input!#REF!&amp;IF(AND(Input!#REF!&lt;&gt;"",OR(Input!#REF!&lt;&gt;"",Input!AA214&lt;&gt;"")),"+","")&amp;Input!#REF!&amp;IF(AND(Input!#REF!&lt;&gt;"",OR(Input!#REF!&lt;&gt;"",Input!AA214&lt;&gt;"",Input!#REF!&lt;&gt;"")),"+","")&amp;Input!#REF!&amp;IF(AND(Input!#REF!&lt;&gt;"",OR(Input!#REF!&lt;&gt;"",Input!AA214&lt;&gt;"",Input!#REF!&lt;&gt;"",Input!#REF!&lt;&gt;"")),"+","")&amp;Input!#REF!,"")</f>
        <v/>
      </c>
      <c r="AH214" t="str">
        <f t="shared" si="50"/>
        <v/>
      </c>
      <c r="AI214" t="str">
        <f>IF($I214&lt;&gt;"",IF(ISNUMBER(Input!AC214),ROUNDDOWN(Input!AC214,0),0)+IF(ISNUMBER(Input!#REF!),ROUNDDOWN(Input!#REF!,0),0)+IF(ISNUMBER(Input!#REF!),ROUNDDOWN(Input!#REF!,0),0)+IF(ISNUMBER(Input!#REF!),ROUNDDOWN(Input!#REF!,0),0)+IF(ISNUMBER(Input!#REF!),ROUNDDOWN(Input!#REF!,0),0),"")</f>
        <v/>
      </c>
      <c r="AJ214" t="str">
        <f>IF($I214&lt;&gt;"",Input!AD214&amp;IF(AND(Input!#REF!&lt;&gt;"",Input!AD214&lt;&gt;""),"+","")&amp;Input!#REF!&amp;IF(AND(Input!#REF!&lt;&gt;"",OR(Input!#REF!&lt;&gt;"",Input!AD214&lt;&gt;"")),"+","")&amp;Input!#REF!&amp;IF(AND(Input!#REF!&lt;&gt;"",OR(Input!#REF!&lt;&gt;"",Input!AD214&lt;&gt;"",Input!#REF!&lt;&gt;"")),"+","")&amp;Input!#REF!&amp;IF(AND(Input!#REF!&lt;&gt;"",OR(Input!#REF!&lt;&gt;"",Input!AD214&lt;&gt;"",Input!#REF!&lt;&gt;"",Input!#REF!&lt;&gt;"")),"+","")&amp;Input!#REF!,"")</f>
        <v/>
      </c>
      <c r="AK214" t="str">
        <f t="shared" si="51"/>
        <v/>
      </c>
    </row>
    <row r="215" spans="3:37" x14ac:dyDescent="0.35">
      <c r="C215" s="3"/>
      <c r="D215"/>
      <c r="E215"/>
      <c r="F215" s="3"/>
      <c r="I215" t="str">
        <f>IF(Input!A215&gt;0,Input!A215,"")</f>
        <v/>
      </c>
      <c r="J215" t="str">
        <f>IF(Input!B215&gt;0,Input!B215,"")</f>
        <v/>
      </c>
      <c r="K215" t="str">
        <f>IF(Input!C215&gt;0,Input!C215,"")</f>
        <v/>
      </c>
      <c r="L215" t="str">
        <f>IF(Input!D215&gt;0,Input!D215,"")</f>
        <v/>
      </c>
      <c r="M215" t="str">
        <f>IF(Input!E215&gt;0,Input!E215,"")</f>
        <v/>
      </c>
      <c r="N215" t="str">
        <f>IF(Input!F215&gt;0,Input!F215,"")</f>
        <v/>
      </c>
      <c r="O215" t="str">
        <f>IF($I215&lt;&gt;"",Input!I215&amp;IF(AND(Input!AG215&lt;&gt;"",Input!I215&lt;&gt;""),"+","")&amp;Input!AG215&amp;IF(AND(Input!#REF!&lt;&gt;"",OR(Input!AG215&lt;&gt;"",Input!I215&lt;&gt;"")),"+","")&amp;Input!#REF!&amp;IF(AND(Input!#REF!&lt;&gt;"",OR(Input!AG215&lt;&gt;"",Input!I215&lt;&gt;"",Input!#REF!&lt;&gt;"")),"+","")&amp;Input!#REF!&amp;IF(AND(Input!#REF!&lt;&gt;"",OR(Input!AG215&lt;&gt;"",Input!I215&lt;&gt;"",Input!#REF!&lt;&gt;"",Input!#REF!&lt;&gt;"")),"+","")&amp;Input!#REF!,"")</f>
        <v/>
      </c>
      <c r="P215" t="str">
        <f t="shared" si="44"/>
        <v/>
      </c>
      <c r="Q215" t="str">
        <f>IF($I215&lt;&gt;"",IF(ISNUMBER(Input!K215),ROUNDDOWN(Input!K215,0),0)+IF(ISNUMBER(Input!AI215),ROUNDDOWN(Input!AI215,0),0)+IF(ISNUMBER(Input!#REF!),ROUNDDOWN(Input!#REF!,0),0)+IF(ISNUMBER(Input!#REF!),ROUNDDOWN(Input!#REF!,0),0)+IF(ISNUMBER(Input!#REF!),ROUNDDOWN(Input!#REF!,0),0),"")</f>
        <v/>
      </c>
      <c r="R215" t="str">
        <f>IF($I215&lt;&gt;"",Input!L215&amp;IF(AND(Input!#REF!&lt;&gt;"",Input!L215&lt;&gt;""),"+","")&amp;Input!#REF!&amp;IF(AND(Input!#REF!&lt;&gt;"",OR(Input!#REF!&lt;&gt;"",Input!L215&lt;&gt;"")),"+","")&amp;Input!#REF!&amp;IF(AND(Input!#REF!&lt;&gt;"",OR(Input!#REF!&lt;&gt;"",Input!L215&lt;&gt;"",Input!#REF!&lt;&gt;"")),"+","")&amp;Input!#REF!&amp;IF(AND(Input!#REF!&lt;&gt;"",OR(Input!#REF!&lt;&gt;"",Input!L215&lt;&gt;"",Input!#REF!&lt;&gt;"",Input!#REF!&lt;&gt;"")),"+","")&amp;Input!#REF!,"")</f>
        <v/>
      </c>
      <c r="S215" t="str">
        <f t="shared" si="45"/>
        <v/>
      </c>
      <c r="T215" t="str">
        <f>IF($I215&lt;&gt;"",IF(ISNUMBER(Input!N215),ROUNDDOWN(Input!N215,0),0)+IF(ISNUMBER(Input!#REF!),ROUNDDOWN(Input!#REF!,0),0)+IF(ISNUMBER(Input!#REF!),ROUNDDOWN(Input!#REF!,0),0)+IF(ISNUMBER(Input!#REF!),ROUNDDOWN(Input!#REF!,0),0)+IF(ISNUMBER(Input!#REF!),ROUNDDOWN(Input!#REF!,0),0),"")</f>
        <v/>
      </c>
      <c r="U215" t="str">
        <f>IF($I215&lt;&gt;"",Input!O215&amp;IF(AND(Input!#REF!&lt;&gt;"",Input!O215&lt;&gt;""),"+","")&amp;Input!#REF!&amp;IF(AND(Input!#REF!&lt;&gt;"",OR(Input!#REF!&lt;&gt;"",Input!O215&lt;&gt;"")),"+","")&amp;Input!#REF!&amp;IF(AND(Input!#REF!&lt;&gt;"",OR(Input!#REF!&lt;&gt;"",Input!O215&lt;&gt;"",Input!#REF!&lt;&gt;"")),"+","")&amp;Input!#REF!&amp;IF(AND(Input!#REF!&lt;&gt;"",OR(Input!#REF!&lt;&gt;"",Input!O215&lt;&gt;"",Input!#REF!&lt;&gt;"",Input!#REF!&lt;&gt;"")),"+","")&amp;Input!#REF!,"")</f>
        <v/>
      </c>
      <c r="V215" t="str">
        <f t="shared" si="46"/>
        <v/>
      </c>
      <c r="W215" t="str">
        <f>IF($I215&lt;&gt;"",IF(ISNUMBER(Input!Q215),ROUNDDOWN(Input!Q215,0),0)+IF(ISNUMBER(Input!#REF!),ROUNDDOWN(Input!#REF!,0),0)+IF(ISNUMBER(Input!#REF!),ROUNDDOWN(Input!#REF!,0),0)+IF(ISNUMBER(Input!#REF!),ROUNDDOWN(Input!#REF!,0),0)+IF(ISNUMBER(Input!#REF!),ROUNDDOWN(Input!#REF!,0),0),"")</f>
        <v/>
      </c>
      <c r="X215" t="str">
        <f>IF($I215&lt;&gt;"",Input!R215&amp;IF(AND(Input!#REF!&lt;&gt;"",Input!R215&lt;&gt;""),"+","")&amp;Input!#REF!&amp;IF(AND(Input!#REF!&lt;&gt;"",OR(Input!#REF!&lt;&gt;"",Input!R215&lt;&gt;"")),"+","")&amp;Input!#REF!&amp;IF(AND(Input!#REF!&lt;&gt;"",OR(Input!#REF!&lt;&gt;"",Input!R215&lt;&gt;"",Input!#REF!&lt;&gt;"")),"+","")&amp;Input!#REF!&amp;IF(AND(Input!#REF!&lt;&gt;"",OR(Input!#REF!&lt;&gt;"",Input!R215&lt;&gt;"",Input!#REF!&lt;&gt;"",Input!#REF!&lt;&gt;"")),"+","")&amp;Input!#REF!,"")</f>
        <v/>
      </c>
      <c r="Y215" t="str">
        <f t="shared" si="47"/>
        <v/>
      </c>
      <c r="Z215" t="str">
        <f>IF($I215&lt;&gt;"",IF(ISNUMBER(Input!T215),ROUNDDOWN(Input!T215,0),0)+IF(ISNUMBER(Input!#REF!),ROUNDDOWN(Input!#REF!,0),0)+IF(ISNUMBER(Input!#REF!),ROUNDDOWN(Input!#REF!,0),0)+IF(ISNUMBER(Input!#REF!),ROUNDDOWN(Input!#REF!,0),0)+IF(ISNUMBER(Input!#REF!),ROUNDDOWN(Input!#REF!,0),0),"")</f>
        <v/>
      </c>
      <c r="AA215" t="str">
        <f>IF($I215&lt;&gt;"",Input!U215&amp;IF(AND(Input!#REF!&lt;&gt;"",Input!U215&lt;&gt;""),"+","")&amp;Input!#REF!&amp;IF(AND(Input!#REF!&lt;&gt;"",OR(Input!#REF!&lt;&gt;"",Input!U215&lt;&gt;"")),"+","")&amp;Input!#REF!&amp;IF(AND(Input!#REF!&lt;&gt;"",OR(Input!#REF!&lt;&gt;"",Input!U215&lt;&gt;"",Input!#REF!&lt;&gt;"")),"+","")&amp;Input!#REF!&amp;IF(AND(Input!#REF!&lt;&gt;"",OR(Input!#REF!&lt;&gt;"",Input!U215&lt;&gt;"",Input!#REF!&lt;&gt;"",Input!#REF!&lt;&gt;"")),"+","")&amp;Input!#REF!,"")</f>
        <v/>
      </c>
      <c r="AB215" t="str">
        <f t="shared" si="48"/>
        <v/>
      </c>
      <c r="AC215" t="str">
        <f>IF($I215&lt;&gt;"",IF(ISNUMBER(Input!W215),ROUNDDOWN(Input!W215,0),0)+IF(ISNUMBER(Input!#REF!),ROUNDDOWN(Input!#REF!,0),0)+IF(ISNUMBER(Input!#REF!),ROUNDDOWN(Input!#REF!,0),0)+IF(ISNUMBER(Input!#REF!),ROUNDDOWN(Input!#REF!,0),0)+IF(ISNUMBER(Input!#REF!),ROUNDDOWN(Input!#REF!,0),0),"")</f>
        <v/>
      </c>
      <c r="AD215" t="str">
        <f>IF($I215&lt;&gt;"",Input!X215&amp;IF(AND(Input!#REF!&lt;&gt;"",Input!X215&lt;&gt;""),"+","")&amp;Input!#REF!&amp;IF(AND(Input!#REF!&lt;&gt;"",OR(Input!#REF!&lt;&gt;"",Input!X215&lt;&gt;"")),"+","")&amp;Input!#REF!&amp;IF(AND(Input!#REF!&lt;&gt;"",OR(Input!#REF!&lt;&gt;"",Input!X215&lt;&gt;"",Input!#REF!&lt;&gt;"")),"+","")&amp;Input!#REF!&amp;IF(AND(Input!#REF!&lt;&gt;"",OR(Input!#REF!&lt;&gt;"",Input!X215&lt;&gt;"",Input!#REF!&lt;&gt;"",Input!#REF!&lt;&gt;"")),"+","")&amp;Input!#REF!,"")</f>
        <v/>
      </c>
      <c r="AE215" t="str">
        <f t="shared" si="49"/>
        <v/>
      </c>
      <c r="AF215" t="str">
        <f>IF($I215&lt;&gt;"",IF(ISNUMBER(Input!Z215),ROUNDDOWN(Input!Z215,0),0)+IF(ISNUMBER(Input!#REF!),ROUNDDOWN(Input!#REF!,0),0)+IF(ISNUMBER(Input!#REF!),ROUNDDOWN(Input!#REF!,0),0)+IF(ISNUMBER(Input!#REF!),ROUNDDOWN(Input!#REF!,0),0)+IF(ISNUMBER(Input!#REF!),ROUNDDOWN(Input!#REF!,0),0),"")</f>
        <v/>
      </c>
      <c r="AG215" t="str">
        <f>IF($I215&lt;&gt;"",Input!AA215&amp;IF(AND(Input!#REF!&lt;&gt;"",Input!AA215&lt;&gt;""),"+","")&amp;Input!#REF!&amp;IF(AND(Input!#REF!&lt;&gt;"",OR(Input!#REF!&lt;&gt;"",Input!AA215&lt;&gt;"")),"+","")&amp;Input!#REF!&amp;IF(AND(Input!#REF!&lt;&gt;"",OR(Input!#REF!&lt;&gt;"",Input!AA215&lt;&gt;"",Input!#REF!&lt;&gt;"")),"+","")&amp;Input!#REF!&amp;IF(AND(Input!#REF!&lt;&gt;"",OR(Input!#REF!&lt;&gt;"",Input!AA215&lt;&gt;"",Input!#REF!&lt;&gt;"",Input!#REF!&lt;&gt;"")),"+","")&amp;Input!#REF!,"")</f>
        <v/>
      </c>
      <c r="AH215" t="str">
        <f t="shared" si="50"/>
        <v/>
      </c>
      <c r="AI215" t="str">
        <f>IF($I215&lt;&gt;"",IF(ISNUMBER(Input!AC215),ROUNDDOWN(Input!AC215,0),0)+IF(ISNUMBER(Input!#REF!),ROUNDDOWN(Input!#REF!,0),0)+IF(ISNUMBER(Input!#REF!),ROUNDDOWN(Input!#REF!,0),0)+IF(ISNUMBER(Input!#REF!),ROUNDDOWN(Input!#REF!,0),0)+IF(ISNUMBER(Input!#REF!),ROUNDDOWN(Input!#REF!,0),0),"")</f>
        <v/>
      </c>
      <c r="AJ215" t="str">
        <f>IF($I215&lt;&gt;"",Input!AD215&amp;IF(AND(Input!#REF!&lt;&gt;"",Input!AD215&lt;&gt;""),"+","")&amp;Input!#REF!&amp;IF(AND(Input!#REF!&lt;&gt;"",OR(Input!#REF!&lt;&gt;"",Input!AD215&lt;&gt;"")),"+","")&amp;Input!#REF!&amp;IF(AND(Input!#REF!&lt;&gt;"",OR(Input!#REF!&lt;&gt;"",Input!AD215&lt;&gt;"",Input!#REF!&lt;&gt;"")),"+","")&amp;Input!#REF!&amp;IF(AND(Input!#REF!&lt;&gt;"",OR(Input!#REF!&lt;&gt;"",Input!AD215&lt;&gt;"",Input!#REF!&lt;&gt;"",Input!#REF!&lt;&gt;"")),"+","")&amp;Input!#REF!,"")</f>
        <v/>
      </c>
      <c r="AK215" t="str">
        <f t="shared" si="51"/>
        <v/>
      </c>
    </row>
    <row r="216" spans="3:37" x14ac:dyDescent="0.35">
      <c r="C216" s="3"/>
      <c r="D216"/>
      <c r="E216"/>
      <c r="F216" s="3"/>
      <c r="I216" t="str">
        <f>IF(Input!A216&gt;0,Input!A216,"")</f>
        <v/>
      </c>
      <c r="J216" t="str">
        <f>IF(Input!B216&gt;0,Input!B216,"")</f>
        <v/>
      </c>
      <c r="K216" t="str">
        <f>IF(Input!C216&gt;0,Input!C216,"")</f>
        <v/>
      </c>
      <c r="L216" t="str">
        <f>IF(Input!D216&gt;0,Input!D216,"")</f>
        <v/>
      </c>
      <c r="M216" t="str">
        <f>IF(Input!E216&gt;0,Input!E216,"")</f>
        <v/>
      </c>
      <c r="N216" t="str">
        <f>IF(Input!F216&gt;0,Input!F216,"")</f>
        <v/>
      </c>
      <c r="O216" t="str">
        <f>IF($I216&lt;&gt;"",Input!I216&amp;IF(AND(Input!AG216&lt;&gt;"",Input!I216&lt;&gt;""),"+","")&amp;Input!AG216&amp;IF(AND(Input!#REF!&lt;&gt;"",OR(Input!AG216&lt;&gt;"",Input!I216&lt;&gt;"")),"+","")&amp;Input!#REF!&amp;IF(AND(Input!#REF!&lt;&gt;"",OR(Input!AG216&lt;&gt;"",Input!I216&lt;&gt;"",Input!#REF!&lt;&gt;"")),"+","")&amp;Input!#REF!&amp;IF(AND(Input!#REF!&lt;&gt;"",OR(Input!AG216&lt;&gt;"",Input!I216&lt;&gt;"",Input!#REF!&lt;&gt;"",Input!#REF!&lt;&gt;"")),"+","")&amp;Input!#REF!,"")</f>
        <v/>
      </c>
      <c r="P216" t="str">
        <f t="shared" si="44"/>
        <v/>
      </c>
      <c r="Q216" t="str">
        <f>IF($I216&lt;&gt;"",IF(ISNUMBER(Input!K216),ROUNDDOWN(Input!K216,0),0)+IF(ISNUMBER(Input!AI216),ROUNDDOWN(Input!AI216,0),0)+IF(ISNUMBER(Input!#REF!),ROUNDDOWN(Input!#REF!,0),0)+IF(ISNUMBER(Input!#REF!),ROUNDDOWN(Input!#REF!,0),0)+IF(ISNUMBER(Input!#REF!),ROUNDDOWN(Input!#REF!,0),0),"")</f>
        <v/>
      </c>
      <c r="R216" t="str">
        <f>IF($I216&lt;&gt;"",Input!L216&amp;IF(AND(Input!#REF!&lt;&gt;"",Input!L216&lt;&gt;""),"+","")&amp;Input!#REF!&amp;IF(AND(Input!#REF!&lt;&gt;"",OR(Input!#REF!&lt;&gt;"",Input!L216&lt;&gt;"")),"+","")&amp;Input!#REF!&amp;IF(AND(Input!#REF!&lt;&gt;"",OR(Input!#REF!&lt;&gt;"",Input!L216&lt;&gt;"",Input!#REF!&lt;&gt;"")),"+","")&amp;Input!#REF!&amp;IF(AND(Input!#REF!&lt;&gt;"",OR(Input!#REF!&lt;&gt;"",Input!L216&lt;&gt;"",Input!#REF!&lt;&gt;"",Input!#REF!&lt;&gt;"")),"+","")&amp;Input!#REF!,"")</f>
        <v/>
      </c>
      <c r="S216" t="str">
        <f t="shared" si="45"/>
        <v/>
      </c>
      <c r="T216" t="str">
        <f>IF($I216&lt;&gt;"",IF(ISNUMBER(Input!N216),ROUNDDOWN(Input!N216,0),0)+IF(ISNUMBER(Input!#REF!),ROUNDDOWN(Input!#REF!,0),0)+IF(ISNUMBER(Input!#REF!),ROUNDDOWN(Input!#REF!,0),0)+IF(ISNUMBER(Input!#REF!),ROUNDDOWN(Input!#REF!,0),0)+IF(ISNUMBER(Input!#REF!),ROUNDDOWN(Input!#REF!,0),0),"")</f>
        <v/>
      </c>
      <c r="U216" t="str">
        <f>IF($I216&lt;&gt;"",Input!O216&amp;IF(AND(Input!#REF!&lt;&gt;"",Input!O216&lt;&gt;""),"+","")&amp;Input!#REF!&amp;IF(AND(Input!#REF!&lt;&gt;"",OR(Input!#REF!&lt;&gt;"",Input!O216&lt;&gt;"")),"+","")&amp;Input!#REF!&amp;IF(AND(Input!#REF!&lt;&gt;"",OR(Input!#REF!&lt;&gt;"",Input!O216&lt;&gt;"",Input!#REF!&lt;&gt;"")),"+","")&amp;Input!#REF!&amp;IF(AND(Input!#REF!&lt;&gt;"",OR(Input!#REF!&lt;&gt;"",Input!O216&lt;&gt;"",Input!#REF!&lt;&gt;"",Input!#REF!&lt;&gt;"")),"+","")&amp;Input!#REF!,"")</f>
        <v/>
      </c>
      <c r="V216" t="str">
        <f t="shared" si="46"/>
        <v/>
      </c>
      <c r="W216" t="str">
        <f>IF($I216&lt;&gt;"",IF(ISNUMBER(Input!Q216),ROUNDDOWN(Input!Q216,0),0)+IF(ISNUMBER(Input!#REF!),ROUNDDOWN(Input!#REF!,0),0)+IF(ISNUMBER(Input!#REF!),ROUNDDOWN(Input!#REF!,0),0)+IF(ISNUMBER(Input!#REF!),ROUNDDOWN(Input!#REF!,0),0)+IF(ISNUMBER(Input!#REF!),ROUNDDOWN(Input!#REF!,0),0),"")</f>
        <v/>
      </c>
      <c r="X216" t="str">
        <f>IF($I216&lt;&gt;"",Input!R216&amp;IF(AND(Input!#REF!&lt;&gt;"",Input!R216&lt;&gt;""),"+","")&amp;Input!#REF!&amp;IF(AND(Input!#REF!&lt;&gt;"",OR(Input!#REF!&lt;&gt;"",Input!R216&lt;&gt;"")),"+","")&amp;Input!#REF!&amp;IF(AND(Input!#REF!&lt;&gt;"",OR(Input!#REF!&lt;&gt;"",Input!R216&lt;&gt;"",Input!#REF!&lt;&gt;"")),"+","")&amp;Input!#REF!&amp;IF(AND(Input!#REF!&lt;&gt;"",OR(Input!#REF!&lt;&gt;"",Input!R216&lt;&gt;"",Input!#REF!&lt;&gt;"",Input!#REF!&lt;&gt;"")),"+","")&amp;Input!#REF!,"")</f>
        <v/>
      </c>
      <c r="Y216" t="str">
        <f t="shared" si="47"/>
        <v/>
      </c>
      <c r="Z216" t="str">
        <f>IF($I216&lt;&gt;"",IF(ISNUMBER(Input!T216),ROUNDDOWN(Input!T216,0),0)+IF(ISNUMBER(Input!#REF!),ROUNDDOWN(Input!#REF!,0),0)+IF(ISNUMBER(Input!#REF!),ROUNDDOWN(Input!#REF!,0),0)+IF(ISNUMBER(Input!#REF!),ROUNDDOWN(Input!#REF!,0),0)+IF(ISNUMBER(Input!#REF!),ROUNDDOWN(Input!#REF!,0),0),"")</f>
        <v/>
      </c>
      <c r="AA216" t="str">
        <f>IF($I216&lt;&gt;"",Input!U216&amp;IF(AND(Input!#REF!&lt;&gt;"",Input!U216&lt;&gt;""),"+","")&amp;Input!#REF!&amp;IF(AND(Input!#REF!&lt;&gt;"",OR(Input!#REF!&lt;&gt;"",Input!U216&lt;&gt;"")),"+","")&amp;Input!#REF!&amp;IF(AND(Input!#REF!&lt;&gt;"",OR(Input!#REF!&lt;&gt;"",Input!U216&lt;&gt;"",Input!#REF!&lt;&gt;"")),"+","")&amp;Input!#REF!&amp;IF(AND(Input!#REF!&lt;&gt;"",OR(Input!#REF!&lt;&gt;"",Input!U216&lt;&gt;"",Input!#REF!&lt;&gt;"",Input!#REF!&lt;&gt;"")),"+","")&amp;Input!#REF!,"")</f>
        <v/>
      </c>
      <c r="AB216" t="str">
        <f t="shared" si="48"/>
        <v/>
      </c>
      <c r="AC216" t="str">
        <f>IF($I216&lt;&gt;"",IF(ISNUMBER(Input!W216),ROUNDDOWN(Input!W216,0),0)+IF(ISNUMBER(Input!#REF!),ROUNDDOWN(Input!#REF!,0),0)+IF(ISNUMBER(Input!#REF!),ROUNDDOWN(Input!#REF!,0),0)+IF(ISNUMBER(Input!#REF!),ROUNDDOWN(Input!#REF!,0),0)+IF(ISNUMBER(Input!#REF!),ROUNDDOWN(Input!#REF!,0),0),"")</f>
        <v/>
      </c>
      <c r="AD216" t="str">
        <f>IF($I216&lt;&gt;"",Input!X216&amp;IF(AND(Input!#REF!&lt;&gt;"",Input!X216&lt;&gt;""),"+","")&amp;Input!#REF!&amp;IF(AND(Input!#REF!&lt;&gt;"",OR(Input!#REF!&lt;&gt;"",Input!X216&lt;&gt;"")),"+","")&amp;Input!#REF!&amp;IF(AND(Input!#REF!&lt;&gt;"",OR(Input!#REF!&lt;&gt;"",Input!X216&lt;&gt;"",Input!#REF!&lt;&gt;"")),"+","")&amp;Input!#REF!&amp;IF(AND(Input!#REF!&lt;&gt;"",OR(Input!#REF!&lt;&gt;"",Input!X216&lt;&gt;"",Input!#REF!&lt;&gt;"",Input!#REF!&lt;&gt;"")),"+","")&amp;Input!#REF!,"")</f>
        <v/>
      </c>
      <c r="AE216" t="str">
        <f t="shared" si="49"/>
        <v/>
      </c>
      <c r="AF216" t="str">
        <f>IF($I216&lt;&gt;"",IF(ISNUMBER(Input!Z216),ROUNDDOWN(Input!Z216,0),0)+IF(ISNUMBER(Input!#REF!),ROUNDDOWN(Input!#REF!,0),0)+IF(ISNUMBER(Input!#REF!),ROUNDDOWN(Input!#REF!,0),0)+IF(ISNUMBER(Input!#REF!),ROUNDDOWN(Input!#REF!,0),0)+IF(ISNUMBER(Input!#REF!),ROUNDDOWN(Input!#REF!,0),0),"")</f>
        <v/>
      </c>
      <c r="AG216" t="str">
        <f>IF($I216&lt;&gt;"",Input!AA216&amp;IF(AND(Input!#REF!&lt;&gt;"",Input!AA216&lt;&gt;""),"+","")&amp;Input!#REF!&amp;IF(AND(Input!#REF!&lt;&gt;"",OR(Input!#REF!&lt;&gt;"",Input!AA216&lt;&gt;"")),"+","")&amp;Input!#REF!&amp;IF(AND(Input!#REF!&lt;&gt;"",OR(Input!#REF!&lt;&gt;"",Input!AA216&lt;&gt;"",Input!#REF!&lt;&gt;"")),"+","")&amp;Input!#REF!&amp;IF(AND(Input!#REF!&lt;&gt;"",OR(Input!#REF!&lt;&gt;"",Input!AA216&lt;&gt;"",Input!#REF!&lt;&gt;"",Input!#REF!&lt;&gt;"")),"+","")&amp;Input!#REF!,"")</f>
        <v/>
      </c>
      <c r="AH216" t="str">
        <f t="shared" si="50"/>
        <v/>
      </c>
      <c r="AI216" t="str">
        <f>IF($I216&lt;&gt;"",IF(ISNUMBER(Input!AC216),ROUNDDOWN(Input!AC216,0),0)+IF(ISNUMBER(Input!#REF!),ROUNDDOWN(Input!#REF!,0),0)+IF(ISNUMBER(Input!#REF!),ROUNDDOWN(Input!#REF!,0),0)+IF(ISNUMBER(Input!#REF!),ROUNDDOWN(Input!#REF!,0),0)+IF(ISNUMBER(Input!#REF!),ROUNDDOWN(Input!#REF!,0),0),"")</f>
        <v/>
      </c>
      <c r="AJ216" t="str">
        <f>IF($I216&lt;&gt;"",Input!AD216&amp;IF(AND(Input!#REF!&lt;&gt;"",Input!AD216&lt;&gt;""),"+","")&amp;Input!#REF!&amp;IF(AND(Input!#REF!&lt;&gt;"",OR(Input!#REF!&lt;&gt;"",Input!AD216&lt;&gt;"")),"+","")&amp;Input!#REF!&amp;IF(AND(Input!#REF!&lt;&gt;"",OR(Input!#REF!&lt;&gt;"",Input!AD216&lt;&gt;"",Input!#REF!&lt;&gt;"")),"+","")&amp;Input!#REF!&amp;IF(AND(Input!#REF!&lt;&gt;"",OR(Input!#REF!&lt;&gt;"",Input!AD216&lt;&gt;"",Input!#REF!&lt;&gt;"",Input!#REF!&lt;&gt;"")),"+","")&amp;Input!#REF!,"")</f>
        <v/>
      </c>
      <c r="AK216" t="str">
        <f t="shared" si="51"/>
        <v/>
      </c>
    </row>
    <row r="217" spans="3:37" x14ac:dyDescent="0.35">
      <c r="C217" s="3"/>
      <c r="D217"/>
      <c r="E217"/>
      <c r="F217" s="3"/>
      <c r="I217" t="str">
        <f>IF(Input!A217&gt;0,Input!A217,"")</f>
        <v/>
      </c>
      <c r="J217" t="str">
        <f>IF(Input!B217&gt;0,Input!B217,"")</f>
        <v/>
      </c>
      <c r="K217" t="str">
        <f>IF(Input!C217&gt;0,Input!C217,"")</f>
        <v/>
      </c>
      <c r="L217" t="str">
        <f>IF(Input!D217&gt;0,Input!D217,"")</f>
        <v/>
      </c>
      <c r="M217" t="str">
        <f>IF(Input!E217&gt;0,Input!E217,"")</f>
        <v/>
      </c>
      <c r="N217" t="str">
        <f>IF(Input!F217&gt;0,Input!F217,"")</f>
        <v/>
      </c>
      <c r="O217" t="str">
        <f>IF($I217&lt;&gt;"",Input!I217&amp;IF(AND(Input!AG217&lt;&gt;"",Input!I217&lt;&gt;""),"+","")&amp;Input!AG217&amp;IF(AND(Input!#REF!&lt;&gt;"",OR(Input!AG217&lt;&gt;"",Input!I217&lt;&gt;"")),"+","")&amp;Input!#REF!&amp;IF(AND(Input!#REF!&lt;&gt;"",OR(Input!AG217&lt;&gt;"",Input!I217&lt;&gt;"",Input!#REF!&lt;&gt;"")),"+","")&amp;Input!#REF!&amp;IF(AND(Input!#REF!&lt;&gt;"",OR(Input!AG217&lt;&gt;"",Input!I217&lt;&gt;"",Input!#REF!&lt;&gt;"",Input!#REF!&lt;&gt;"")),"+","")&amp;Input!#REF!,"")</f>
        <v/>
      </c>
      <c r="P217" t="str">
        <f t="shared" si="44"/>
        <v/>
      </c>
      <c r="Q217" t="str">
        <f>IF($I217&lt;&gt;"",IF(ISNUMBER(Input!K217),ROUNDDOWN(Input!K217,0),0)+IF(ISNUMBER(Input!AI217),ROUNDDOWN(Input!AI217,0),0)+IF(ISNUMBER(Input!#REF!),ROUNDDOWN(Input!#REF!,0),0)+IF(ISNUMBER(Input!#REF!),ROUNDDOWN(Input!#REF!,0),0)+IF(ISNUMBER(Input!#REF!),ROUNDDOWN(Input!#REF!,0),0),"")</f>
        <v/>
      </c>
      <c r="R217" t="str">
        <f>IF($I217&lt;&gt;"",Input!L217&amp;IF(AND(Input!#REF!&lt;&gt;"",Input!L217&lt;&gt;""),"+","")&amp;Input!#REF!&amp;IF(AND(Input!#REF!&lt;&gt;"",OR(Input!#REF!&lt;&gt;"",Input!L217&lt;&gt;"")),"+","")&amp;Input!#REF!&amp;IF(AND(Input!#REF!&lt;&gt;"",OR(Input!#REF!&lt;&gt;"",Input!L217&lt;&gt;"",Input!#REF!&lt;&gt;"")),"+","")&amp;Input!#REF!&amp;IF(AND(Input!#REF!&lt;&gt;"",OR(Input!#REF!&lt;&gt;"",Input!L217&lt;&gt;"",Input!#REF!&lt;&gt;"",Input!#REF!&lt;&gt;"")),"+","")&amp;Input!#REF!,"")</f>
        <v/>
      </c>
      <c r="S217" t="str">
        <f t="shared" si="45"/>
        <v/>
      </c>
      <c r="T217" t="str">
        <f>IF($I217&lt;&gt;"",IF(ISNUMBER(Input!N217),ROUNDDOWN(Input!N217,0),0)+IF(ISNUMBER(Input!#REF!),ROUNDDOWN(Input!#REF!,0),0)+IF(ISNUMBER(Input!#REF!),ROUNDDOWN(Input!#REF!,0),0)+IF(ISNUMBER(Input!#REF!),ROUNDDOWN(Input!#REF!,0),0)+IF(ISNUMBER(Input!#REF!),ROUNDDOWN(Input!#REF!,0),0),"")</f>
        <v/>
      </c>
      <c r="U217" t="str">
        <f>IF($I217&lt;&gt;"",Input!O217&amp;IF(AND(Input!#REF!&lt;&gt;"",Input!O217&lt;&gt;""),"+","")&amp;Input!#REF!&amp;IF(AND(Input!#REF!&lt;&gt;"",OR(Input!#REF!&lt;&gt;"",Input!O217&lt;&gt;"")),"+","")&amp;Input!#REF!&amp;IF(AND(Input!#REF!&lt;&gt;"",OR(Input!#REF!&lt;&gt;"",Input!O217&lt;&gt;"",Input!#REF!&lt;&gt;"")),"+","")&amp;Input!#REF!&amp;IF(AND(Input!#REF!&lt;&gt;"",OR(Input!#REF!&lt;&gt;"",Input!O217&lt;&gt;"",Input!#REF!&lt;&gt;"",Input!#REF!&lt;&gt;"")),"+","")&amp;Input!#REF!,"")</f>
        <v/>
      </c>
      <c r="V217" t="str">
        <f t="shared" si="46"/>
        <v/>
      </c>
      <c r="W217" t="str">
        <f>IF($I217&lt;&gt;"",IF(ISNUMBER(Input!Q217),ROUNDDOWN(Input!Q217,0),0)+IF(ISNUMBER(Input!#REF!),ROUNDDOWN(Input!#REF!,0),0)+IF(ISNUMBER(Input!#REF!),ROUNDDOWN(Input!#REF!,0),0)+IF(ISNUMBER(Input!#REF!),ROUNDDOWN(Input!#REF!,0),0)+IF(ISNUMBER(Input!#REF!),ROUNDDOWN(Input!#REF!,0),0),"")</f>
        <v/>
      </c>
      <c r="X217" t="str">
        <f>IF($I217&lt;&gt;"",Input!R217&amp;IF(AND(Input!#REF!&lt;&gt;"",Input!R217&lt;&gt;""),"+","")&amp;Input!#REF!&amp;IF(AND(Input!#REF!&lt;&gt;"",OR(Input!#REF!&lt;&gt;"",Input!R217&lt;&gt;"")),"+","")&amp;Input!#REF!&amp;IF(AND(Input!#REF!&lt;&gt;"",OR(Input!#REF!&lt;&gt;"",Input!R217&lt;&gt;"",Input!#REF!&lt;&gt;"")),"+","")&amp;Input!#REF!&amp;IF(AND(Input!#REF!&lt;&gt;"",OR(Input!#REF!&lt;&gt;"",Input!R217&lt;&gt;"",Input!#REF!&lt;&gt;"",Input!#REF!&lt;&gt;"")),"+","")&amp;Input!#REF!,"")</f>
        <v/>
      </c>
      <c r="Y217" t="str">
        <f t="shared" si="47"/>
        <v/>
      </c>
      <c r="Z217" t="str">
        <f>IF($I217&lt;&gt;"",IF(ISNUMBER(Input!T217),ROUNDDOWN(Input!T217,0),0)+IF(ISNUMBER(Input!#REF!),ROUNDDOWN(Input!#REF!,0),0)+IF(ISNUMBER(Input!#REF!),ROUNDDOWN(Input!#REF!,0),0)+IF(ISNUMBER(Input!#REF!),ROUNDDOWN(Input!#REF!,0),0)+IF(ISNUMBER(Input!#REF!),ROUNDDOWN(Input!#REF!,0),0),"")</f>
        <v/>
      </c>
      <c r="AA217" t="str">
        <f>IF($I217&lt;&gt;"",Input!U217&amp;IF(AND(Input!#REF!&lt;&gt;"",Input!U217&lt;&gt;""),"+","")&amp;Input!#REF!&amp;IF(AND(Input!#REF!&lt;&gt;"",OR(Input!#REF!&lt;&gt;"",Input!U217&lt;&gt;"")),"+","")&amp;Input!#REF!&amp;IF(AND(Input!#REF!&lt;&gt;"",OR(Input!#REF!&lt;&gt;"",Input!U217&lt;&gt;"",Input!#REF!&lt;&gt;"")),"+","")&amp;Input!#REF!&amp;IF(AND(Input!#REF!&lt;&gt;"",OR(Input!#REF!&lt;&gt;"",Input!U217&lt;&gt;"",Input!#REF!&lt;&gt;"",Input!#REF!&lt;&gt;"")),"+","")&amp;Input!#REF!,"")</f>
        <v/>
      </c>
      <c r="AB217" t="str">
        <f t="shared" si="48"/>
        <v/>
      </c>
      <c r="AC217" t="str">
        <f>IF($I217&lt;&gt;"",IF(ISNUMBER(Input!W217),ROUNDDOWN(Input!W217,0),0)+IF(ISNUMBER(Input!#REF!),ROUNDDOWN(Input!#REF!,0),0)+IF(ISNUMBER(Input!#REF!),ROUNDDOWN(Input!#REF!,0),0)+IF(ISNUMBER(Input!#REF!),ROUNDDOWN(Input!#REF!,0),0)+IF(ISNUMBER(Input!#REF!),ROUNDDOWN(Input!#REF!,0),0),"")</f>
        <v/>
      </c>
      <c r="AD217" t="str">
        <f>IF($I217&lt;&gt;"",Input!X217&amp;IF(AND(Input!#REF!&lt;&gt;"",Input!X217&lt;&gt;""),"+","")&amp;Input!#REF!&amp;IF(AND(Input!#REF!&lt;&gt;"",OR(Input!#REF!&lt;&gt;"",Input!X217&lt;&gt;"")),"+","")&amp;Input!#REF!&amp;IF(AND(Input!#REF!&lt;&gt;"",OR(Input!#REF!&lt;&gt;"",Input!X217&lt;&gt;"",Input!#REF!&lt;&gt;"")),"+","")&amp;Input!#REF!&amp;IF(AND(Input!#REF!&lt;&gt;"",OR(Input!#REF!&lt;&gt;"",Input!X217&lt;&gt;"",Input!#REF!&lt;&gt;"",Input!#REF!&lt;&gt;"")),"+","")&amp;Input!#REF!,"")</f>
        <v/>
      </c>
      <c r="AE217" t="str">
        <f t="shared" si="49"/>
        <v/>
      </c>
      <c r="AF217" t="str">
        <f>IF($I217&lt;&gt;"",IF(ISNUMBER(Input!Z217),ROUNDDOWN(Input!Z217,0),0)+IF(ISNUMBER(Input!#REF!),ROUNDDOWN(Input!#REF!,0),0)+IF(ISNUMBER(Input!#REF!),ROUNDDOWN(Input!#REF!,0),0)+IF(ISNUMBER(Input!#REF!),ROUNDDOWN(Input!#REF!,0),0)+IF(ISNUMBER(Input!#REF!),ROUNDDOWN(Input!#REF!,0),0),"")</f>
        <v/>
      </c>
      <c r="AG217" t="str">
        <f>IF($I217&lt;&gt;"",Input!AA217&amp;IF(AND(Input!#REF!&lt;&gt;"",Input!AA217&lt;&gt;""),"+","")&amp;Input!#REF!&amp;IF(AND(Input!#REF!&lt;&gt;"",OR(Input!#REF!&lt;&gt;"",Input!AA217&lt;&gt;"")),"+","")&amp;Input!#REF!&amp;IF(AND(Input!#REF!&lt;&gt;"",OR(Input!#REF!&lt;&gt;"",Input!AA217&lt;&gt;"",Input!#REF!&lt;&gt;"")),"+","")&amp;Input!#REF!&amp;IF(AND(Input!#REF!&lt;&gt;"",OR(Input!#REF!&lt;&gt;"",Input!AA217&lt;&gt;"",Input!#REF!&lt;&gt;"",Input!#REF!&lt;&gt;"")),"+","")&amp;Input!#REF!,"")</f>
        <v/>
      </c>
      <c r="AH217" t="str">
        <f t="shared" si="50"/>
        <v/>
      </c>
      <c r="AI217" t="str">
        <f>IF($I217&lt;&gt;"",IF(ISNUMBER(Input!AC217),ROUNDDOWN(Input!AC217,0),0)+IF(ISNUMBER(Input!#REF!),ROUNDDOWN(Input!#REF!,0),0)+IF(ISNUMBER(Input!#REF!),ROUNDDOWN(Input!#REF!,0),0)+IF(ISNUMBER(Input!#REF!),ROUNDDOWN(Input!#REF!,0),0)+IF(ISNUMBER(Input!#REF!),ROUNDDOWN(Input!#REF!,0),0),"")</f>
        <v/>
      </c>
      <c r="AJ217" t="str">
        <f>IF($I217&lt;&gt;"",Input!AD217&amp;IF(AND(Input!#REF!&lt;&gt;"",Input!AD217&lt;&gt;""),"+","")&amp;Input!#REF!&amp;IF(AND(Input!#REF!&lt;&gt;"",OR(Input!#REF!&lt;&gt;"",Input!AD217&lt;&gt;"")),"+","")&amp;Input!#REF!&amp;IF(AND(Input!#REF!&lt;&gt;"",OR(Input!#REF!&lt;&gt;"",Input!AD217&lt;&gt;"",Input!#REF!&lt;&gt;"")),"+","")&amp;Input!#REF!&amp;IF(AND(Input!#REF!&lt;&gt;"",OR(Input!#REF!&lt;&gt;"",Input!AD217&lt;&gt;"",Input!#REF!&lt;&gt;"",Input!#REF!&lt;&gt;"")),"+","")&amp;Input!#REF!,"")</f>
        <v/>
      </c>
      <c r="AK217" t="str">
        <f t="shared" si="51"/>
        <v/>
      </c>
    </row>
    <row r="218" spans="3:37" x14ac:dyDescent="0.35">
      <c r="C218" s="3"/>
      <c r="D218"/>
      <c r="E218"/>
      <c r="F218" s="3"/>
      <c r="I218" t="str">
        <f>IF(Input!A218&gt;0,Input!A218,"")</f>
        <v/>
      </c>
      <c r="J218" t="str">
        <f>IF(Input!B218&gt;0,Input!B218,"")</f>
        <v/>
      </c>
      <c r="K218" t="str">
        <f>IF(Input!C218&gt;0,Input!C218,"")</f>
        <v/>
      </c>
      <c r="L218" t="str">
        <f>IF(Input!D218&gt;0,Input!D218,"")</f>
        <v/>
      </c>
      <c r="M218" t="str">
        <f>IF(Input!E218&gt;0,Input!E218,"")</f>
        <v/>
      </c>
      <c r="N218" t="str">
        <f>IF(Input!F218&gt;0,Input!F218,"")</f>
        <v/>
      </c>
      <c r="O218" t="str">
        <f>IF($I218&lt;&gt;"",Input!I218&amp;IF(AND(Input!AG218&lt;&gt;"",Input!I218&lt;&gt;""),"+","")&amp;Input!AG218&amp;IF(AND(Input!#REF!&lt;&gt;"",OR(Input!AG218&lt;&gt;"",Input!I218&lt;&gt;"")),"+","")&amp;Input!#REF!&amp;IF(AND(Input!#REF!&lt;&gt;"",OR(Input!AG218&lt;&gt;"",Input!I218&lt;&gt;"",Input!#REF!&lt;&gt;"")),"+","")&amp;Input!#REF!&amp;IF(AND(Input!#REF!&lt;&gt;"",OR(Input!AG218&lt;&gt;"",Input!I218&lt;&gt;"",Input!#REF!&lt;&gt;"",Input!#REF!&lt;&gt;"")),"+","")&amp;Input!#REF!,"")</f>
        <v/>
      </c>
      <c r="P218" t="str">
        <f t="shared" si="44"/>
        <v/>
      </c>
      <c r="Q218" t="str">
        <f>IF($I218&lt;&gt;"",IF(ISNUMBER(Input!K218),ROUNDDOWN(Input!K218,0),0)+IF(ISNUMBER(Input!AI218),ROUNDDOWN(Input!AI218,0),0)+IF(ISNUMBER(Input!#REF!),ROUNDDOWN(Input!#REF!,0),0)+IF(ISNUMBER(Input!#REF!),ROUNDDOWN(Input!#REF!,0),0)+IF(ISNUMBER(Input!#REF!),ROUNDDOWN(Input!#REF!,0),0),"")</f>
        <v/>
      </c>
      <c r="R218" t="str">
        <f>IF($I218&lt;&gt;"",Input!L218&amp;IF(AND(Input!#REF!&lt;&gt;"",Input!L218&lt;&gt;""),"+","")&amp;Input!#REF!&amp;IF(AND(Input!#REF!&lt;&gt;"",OR(Input!#REF!&lt;&gt;"",Input!L218&lt;&gt;"")),"+","")&amp;Input!#REF!&amp;IF(AND(Input!#REF!&lt;&gt;"",OR(Input!#REF!&lt;&gt;"",Input!L218&lt;&gt;"",Input!#REF!&lt;&gt;"")),"+","")&amp;Input!#REF!&amp;IF(AND(Input!#REF!&lt;&gt;"",OR(Input!#REF!&lt;&gt;"",Input!L218&lt;&gt;"",Input!#REF!&lt;&gt;"",Input!#REF!&lt;&gt;"")),"+","")&amp;Input!#REF!,"")</f>
        <v/>
      </c>
      <c r="S218" t="str">
        <f t="shared" si="45"/>
        <v/>
      </c>
      <c r="T218" t="str">
        <f>IF($I218&lt;&gt;"",IF(ISNUMBER(Input!N218),ROUNDDOWN(Input!N218,0),0)+IF(ISNUMBER(Input!#REF!),ROUNDDOWN(Input!#REF!,0),0)+IF(ISNUMBER(Input!#REF!),ROUNDDOWN(Input!#REF!,0),0)+IF(ISNUMBER(Input!#REF!),ROUNDDOWN(Input!#REF!,0),0)+IF(ISNUMBER(Input!#REF!),ROUNDDOWN(Input!#REF!,0),0),"")</f>
        <v/>
      </c>
      <c r="U218" t="str">
        <f>IF($I218&lt;&gt;"",Input!O218&amp;IF(AND(Input!#REF!&lt;&gt;"",Input!O218&lt;&gt;""),"+","")&amp;Input!#REF!&amp;IF(AND(Input!#REF!&lt;&gt;"",OR(Input!#REF!&lt;&gt;"",Input!O218&lt;&gt;"")),"+","")&amp;Input!#REF!&amp;IF(AND(Input!#REF!&lt;&gt;"",OR(Input!#REF!&lt;&gt;"",Input!O218&lt;&gt;"",Input!#REF!&lt;&gt;"")),"+","")&amp;Input!#REF!&amp;IF(AND(Input!#REF!&lt;&gt;"",OR(Input!#REF!&lt;&gt;"",Input!O218&lt;&gt;"",Input!#REF!&lt;&gt;"",Input!#REF!&lt;&gt;"")),"+","")&amp;Input!#REF!,"")</f>
        <v/>
      </c>
      <c r="V218" t="str">
        <f t="shared" si="46"/>
        <v/>
      </c>
      <c r="W218" t="str">
        <f>IF($I218&lt;&gt;"",IF(ISNUMBER(Input!Q218),ROUNDDOWN(Input!Q218,0),0)+IF(ISNUMBER(Input!#REF!),ROUNDDOWN(Input!#REF!,0),0)+IF(ISNUMBER(Input!#REF!),ROUNDDOWN(Input!#REF!,0),0)+IF(ISNUMBER(Input!#REF!),ROUNDDOWN(Input!#REF!,0),0)+IF(ISNUMBER(Input!#REF!),ROUNDDOWN(Input!#REF!,0),0),"")</f>
        <v/>
      </c>
      <c r="X218" t="str">
        <f>IF($I218&lt;&gt;"",Input!R218&amp;IF(AND(Input!#REF!&lt;&gt;"",Input!R218&lt;&gt;""),"+","")&amp;Input!#REF!&amp;IF(AND(Input!#REF!&lt;&gt;"",OR(Input!#REF!&lt;&gt;"",Input!R218&lt;&gt;"")),"+","")&amp;Input!#REF!&amp;IF(AND(Input!#REF!&lt;&gt;"",OR(Input!#REF!&lt;&gt;"",Input!R218&lt;&gt;"",Input!#REF!&lt;&gt;"")),"+","")&amp;Input!#REF!&amp;IF(AND(Input!#REF!&lt;&gt;"",OR(Input!#REF!&lt;&gt;"",Input!R218&lt;&gt;"",Input!#REF!&lt;&gt;"",Input!#REF!&lt;&gt;"")),"+","")&amp;Input!#REF!,"")</f>
        <v/>
      </c>
      <c r="Y218" t="str">
        <f t="shared" si="47"/>
        <v/>
      </c>
      <c r="Z218" t="str">
        <f>IF($I218&lt;&gt;"",IF(ISNUMBER(Input!T218),ROUNDDOWN(Input!T218,0),0)+IF(ISNUMBER(Input!#REF!),ROUNDDOWN(Input!#REF!,0),0)+IF(ISNUMBER(Input!#REF!),ROUNDDOWN(Input!#REF!,0),0)+IF(ISNUMBER(Input!#REF!),ROUNDDOWN(Input!#REF!,0),0)+IF(ISNUMBER(Input!#REF!),ROUNDDOWN(Input!#REF!,0),0),"")</f>
        <v/>
      </c>
      <c r="AA218" t="str">
        <f>IF($I218&lt;&gt;"",Input!U218&amp;IF(AND(Input!#REF!&lt;&gt;"",Input!U218&lt;&gt;""),"+","")&amp;Input!#REF!&amp;IF(AND(Input!#REF!&lt;&gt;"",OR(Input!#REF!&lt;&gt;"",Input!U218&lt;&gt;"")),"+","")&amp;Input!#REF!&amp;IF(AND(Input!#REF!&lt;&gt;"",OR(Input!#REF!&lt;&gt;"",Input!U218&lt;&gt;"",Input!#REF!&lt;&gt;"")),"+","")&amp;Input!#REF!&amp;IF(AND(Input!#REF!&lt;&gt;"",OR(Input!#REF!&lt;&gt;"",Input!U218&lt;&gt;"",Input!#REF!&lt;&gt;"",Input!#REF!&lt;&gt;"")),"+","")&amp;Input!#REF!,"")</f>
        <v/>
      </c>
      <c r="AB218" t="str">
        <f t="shared" si="48"/>
        <v/>
      </c>
      <c r="AC218" t="str">
        <f>IF($I218&lt;&gt;"",IF(ISNUMBER(Input!W218),ROUNDDOWN(Input!W218,0),0)+IF(ISNUMBER(Input!#REF!),ROUNDDOWN(Input!#REF!,0),0)+IF(ISNUMBER(Input!#REF!),ROUNDDOWN(Input!#REF!,0),0)+IF(ISNUMBER(Input!#REF!),ROUNDDOWN(Input!#REF!,0),0)+IF(ISNUMBER(Input!#REF!),ROUNDDOWN(Input!#REF!,0),0),"")</f>
        <v/>
      </c>
      <c r="AD218" t="str">
        <f>IF($I218&lt;&gt;"",Input!X218&amp;IF(AND(Input!#REF!&lt;&gt;"",Input!X218&lt;&gt;""),"+","")&amp;Input!#REF!&amp;IF(AND(Input!#REF!&lt;&gt;"",OR(Input!#REF!&lt;&gt;"",Input!X218&lt;&gt;"")),"+","")&amp;Input!#REF!&amp;IF(AND(Input!#REF!&lt;&gt;"",OR(Input!#REF!&lt;&gt;"",Input!X218&lt;&gt;"",Input!#REF!&lt;&gt;"")),"+","")&amp;Input!#REF!&amp;IF(AND(Input!#REF!&lt;&gt;"",OR(Input!#REF!&lt;&gt;"",Input!X218&lt;&gt;"",Input!#REF!&lt;&gt;"",Input!#REF!&lt;&gt;"")),"+","")&amp;Input!#REF!,"")</f>
        <v/>
      </c>
      <c r="AE218" t="str">
        <f t="shared" si="49"/>
        <v/>
      </c>
      <c r="AF218" t="str">
        <f>IF($I218&lt;&gt;"",IF(ISNUMBER(Input!Z218),ROUNDDOWN(Input!Z218,0),0)+IF(ISNUMBER(Input!#REF!),ROUNDDOWN(Input!#REF!,0),0)+IF(ISNUMBER(Input!#REF!),ROUNDDOWN(Input!#REF!,0),0)+IF(ISNUMBER(Input!#REF!),ROUNDDOWN(Input!#REF!,0),0)+IF(ISNUMBER(Input!#REF!),ROUNDDOWN(Input!#REF!,0),0),"")</f>
        <v/>
      </c>
      <c r="AG218" t="str">
        <f>IF($I218&lt;&gt;"",Input!AA218&amp;IF(AND(Input!#REF!&lt;&gt;"",Input!AA218&lt;&gt;""),"+","")&amp;Input!#REF!&amp;IF(AND(Input!#REF!&lt;&gt;"",OR(Input!#REF!&lt;&gt;"",Input!AA218&lt;&gt;"")),"+","")&amp;Input!#REF!&amp;IF(AND(Input!#REF!&lt;&gt;"",OR(Input!#REF!&lt;&gt;"",Input!AA218&lt;&gt;"",Input!#REF!&lt;&gt;"")),"+","")&amp;Input!#REF!&amp;IF(AND(Input!#REF!&lt;&gt;"",OR(Input!#REF!&lt;&gt;"",Input!AA218&lt;&gt;"",Input!#REF!&lt;&gt;"",Input!#REF!&lt;&gt;"")),"+","")&amp;Input!#REF!,"")</f>
        <v/>
      </c>
      <c r="AH218" t="str">
        <f t="shared" si="50"/>
        <v/>
      </c>
      <c r="AI218" t="str">
        <f>IF($I218&lt;&gt;"",IF(ISNUMBER(Input!AC218),ROUNDDOWN(Input!AC218,0),0)+IF(ISNUMBER(Input!#REF!),ROUNDDOWN(Input!#REF!,0),0)+IF(ISNUMBER(Input!#REF!),ROUNDDOWN(Input!#REF!,0),0)+IF(ISNUMBER(Input!#REF!),ROUNDDOWN(Input!#REF!,0),0)+IF(ISNUMBER(Input!#REF!),ROUNDDOWN(Input!#REF!,0),0),"")</f>
        <v/>
      </c>
      <c r="AJ218" t="str">
        <f>IF($I218&lt;&gt;"",Input!AD218&amp;IF(AND(Input!#REF!&lt;&gt;"",Input!AD218&lt;&gt;""),"+","")&amp;Input!#REF!&amp;IF(AND(Input!#REF!&lt;&gt;"",OR(Input!#REF!&lt;&gt;"",Input!AD218&lt;&gt;"")),"+","")&amp;Input!#REF!&amp;IF(AND(Input!#REF!&lt;&gt;"",OR(Input!#REF!&lt;&gt;"",Input!AD218&lt;&gt;"",Input!#REF!&lt;&gt;"")),"+","")&amp;Input!#REF!&amp;IF(AND(Input!#REF!&lt;&gt;"",OR(Input!#REF!&lt;&gt;"",Input!AD218&lt;&gt;"",Input!#REF!&lt;&gt;"",Input!#REF!&lt;&gt;"")),"+","")&amp;Input!#REF!,"")</f>
        <v/>
      </c>
      <c r="AK218" t="str">
        <f t="shared" si="51"/>
        <v/>
      </c>
    </row>
    <row r="219" spans="3:37" x14ac:dyDescent="0.35">
      <c r="C219" s="3"/>
      <c r="D219"/>
      <c r="E219"/>
      <c r="F219" s="3"/>
      <c r="I219" t="str">
        <f>IF(Input!A219&gt;0,Input!A219,"")</f>
        <v/>
      </c>
      <c r="J219" t="str">
        <f>IF(Input!B219&gt;0,Input!B219,"")</f>
        <v/>
      </c>
      <c r="K219" t="str">
        <f>IF(Input!C219&gt;0,Input!C219,"")</f>
        <v/>
      </c>
      <c r="L219" t="str">
        <f>IF(Input!D219&gt;0,Input!D219,"")</f>
        <v/>
      </c>
      <c r="M219" t="str">
        <f>IF(Input!E219&gt;0,Input!E219,"")</f>
        <v/>
      </c>
      <c r="N219" t="str">
        <f>IF(Input!F219&gt;0,Input!F219,"")</f>
        <v/>
      </c>
      <c r="O219" t="str">
        <f>IF($I219&lt;&gt;"",Input!I219&amp;IF(AND(Input!AG219&lt;&gt;"",Input!I219&lt;&gt;""),"+","")&amp;Input!AG219&amp;IF(AND(Input!#REF!&lt;&gt;"",OR(Input!AG219&lt;&gt;"",Input!I219&lt;&gt;"")),"+","")&amp;Input!#REF!&amp;IF(AND(Input!#REF!&lt;&gt;"",OR(Input!AG219&lt;&gt;"",Input!I219&lt;&gt;"",Input!#REF!&lt;&gt;"")),"+","")&amp;Input!#REF!&amp;IF(AND(Input!#REF!&lt;&gt;"",OR(Input!AG219&lt;&gt;"",Input!I219&lt;&gt;"",Input!#REF!&lt;&gt;"",Input!#REF!&lt;&gt;"")),"+","")&amp;Input!#REF!,"")</f>
        <v/>
      </c>
      <c r="P219" t="str">
        <f t="shared" si="44"/>
        <v/>
      </c>
      <c r="Q219" t="str">
        <f>IF($I219&lt;&gt;"",IF(ISNUMBER(Input!K219),ROUNDDOWN(Input!K219,0),0)+IF(ISNUMBER(Input!AI219),ROUNDDOWN(Input!AI219,0),0)+IF(ISNUMBER(Input!#REF!),ROUNDDOWN(Input!#REF!,0),0)+IF(ISNUMBER(Input!#REF!),ROUNDDOWN(Input!#REF!,0),0)+IF(ISNUMBER(Input!#REF!),ROUNDDOWN(Input!#REF!,0),0),"")</f>
        <v/>
      </c>
      <c r="R219" t="str">
        <f>IF($I219&lt;&gt;"",Input!L219&amp;IF(AND(Input!#REF!&lt;&gt;"",Input!L219&lt;&gt;""),"+","")&amp;Input!#REF!&amp;IF(AND(Input!#REF!&lt;&gt;"",OR(Input!#REF!&lt;&gt;"",Input!L219&lt;&gt;"")),"+","")&amp;Input!#REF!&amp;IF(AND(Input!#REF!&lt;&gt;"",OR(Input!#REF!&lt;&gt;"",Input!L219&lt;&gt;"",Input!#REF!&lt;&gt;"")),"+","")&amp;Input!#REF!&amp;IF(AND(Input!#REF!&lt;&gt;"",OR(Input!#REF!&lt;&gt;"",Input!L219&lt;&gt;"",Input!#REF!&lt;&gt;"",Input!#REF!&lt;&gt;"")),"+","")&amp;Input!#REF!,"")</f>
        <v/>
      </c>
      <c r="S219" t="str">
        <f t="shared" si="45"/>
        <v/>
      </c>
      <c r="T219" t="str">
        <f>IF($I219&lt;&gt;"",IF(ISNUMBER(Input!N219),ROUNDDOWN(Input!N219,0),0)+IF(ISNUMBER(Input!#REF!),ROUNDDOWN(Input!#REF!,0),0)+IF(ISNUMBER(Input!#REF!),ROUNDDOWN(Input!#REF!,0),0)+IF(ISNUMBER(Input!#REF!),ROUNDDOWN(Input!#REF!,0),0)+IF(ISNUMBER(Input!#REF!),ROUNDDOWN(Input!#REF!,0),0),"")</f>
        <v/>
      </c>
      <c r="U219" t="str">
        <f>IF($I219&lt;&gt;"",Input!O219&amp;IF(AND(Input!#REF!&lt;&gt;"",Input!O219&lt;&gt;""),"+","")&amp;Input!#REF!&amp;IF(AND(Input!#REF!&lt;&gt;"",OR(Input!#REF!&lt;&gt;"",Input!O219&lt;&gt;"")),"+","")&amp;Input!#REF!&amp;IF(AND(Input!#REF!&lt;&gt;"",OR(Input!#REF!&lt;&gt;"",Input!O219&lt;&gt;"",Input!#REF!&lt;&gt;"")),"+","")&amp;Input!#REF!&amp;IF(AND(Input!#REF!&lt;&gt;"",OR(Input!#REF!&lt;&gt;"",Input!O219&lt;&gt;"",Input!#REF!&lt;&gt;"",Input!#REF!&lt;&gt;"")),"+","")&amp;Input!#REF!,"")</f>
        <v/>
      </c>
      <c r="V219" t="str">
        <f t="shared" si="46"/>
        <v/>
      </c>
      <c r="W219" t="str">
        <f>IF($I219&lt;&gt;"",IF(ISNUMBER(Input!Q219),ROUNDDOWN(Input!Q219,0),0)+IF(ISNUMBER(Input!#REF!),ROUNDDOWN(Input!#REF!,0),0)+IF(ISNUMBER(Input!#REF!),ROUNDDOWN(Input!#REF!,0),0)+IF(ISNUMBER(Input!#REF!),ROUNDDOWN(Input!#REF!,0),0)+IF(ISNUMBER(Input!#REF!),ROUNDDOWN(Input!#REF!,0),0),"")</f>
        <v/>
      </c>
      <c r="X219" t="str">
        <f>IF($I219&lt;&gt;"",Input!R219&amp;IF(AND(Input!#REF!&lt;&gt;"",Input!R219&lt;&gt;""),"+","")&amp;Input!#REF!&amp;IF(AND(Input!#REF!&lt;&gt;"",OR(Input!#REF!&lt;&gt;"",Input!R219&lt;&gt;"")),"+","")&amp;Input!#REF!&amp;IF(AND(Input!#REF!&lt;&gt;"",OR(Input!#REF!&lt;&gt;"",Input!R219&lt;&gt;"",Input!#REF!&lt;&gt;"")),"+","")&amp;Input!#REF!&amp;IF(AND(Input!#REF!&lt;&gt;"",OR(Input!#REF!&lt;&gt;"",Input!R219&lt;&gt;"",Input!#REF!&lt;&gt;"",Input!#REF!&lt;&gt;"")),"+","")&amp;Input!#REF!,"")</f>
        <v/>
      </c>
      <c r="Y219" t="str">
        <f t="shared" si="47"/>
        <v/>
      </c>
      <c r="Z219" t="str">
        <f>IF($I219&lt;&gt;"",IF(ISNUMBER(Input!T219),ROUNDDOWN(Input!T219,0),0)+IF(ISNUMBER(Input!#REF!),ROUNDDOWN(Input!#REF!,0),0)+IF(ISNUMBER(Input!#REF!),ROUNDDOWN(Input!#REF!,0),0)+IF(ISNUMBER(Input!#REF!),ROUNDDOWN(Input!#REF!,0),0)+IF(ISNUMBER(Input!#REF!),ROUNDDOWN(Input!#REF!,0),0),"")</f>
        <v/>
      </c>
      <c r="AA219" t="str">
        <f>IF($I219&lt;&gt;"",Input!U219&amp;IF(AND(Input!#REF!&lt;&gt;"",Input!U219&lt;&gt;""),"+","")&amp;Input!#REF!&amp;IF(AND(Input!#REF!&lt;&gt;"",OR(Input!#REF!&lt;&gt;"",Input!U219&lt;&gt;"")),"+","")&amp;Input!#REF!&amp;IF(AND(Input!#REF!&lt;&gt;"",OR(Input!#REF!&lt;&gt;"",Input!U219&lt;&gt;"",Input!#REF!&lt;&gt;"")),"+","")&amp;Input!#REF!&amp;IF(AND(Input!#REF!&lt;&gt;"",OR(Input!#REF!&lt;&gt;"",Input!U219&lt;&gt;"",Input!#REF!&lt;&gt;"",Input!#REF!&lt;&gt;"")),"+","")&amp;Input!#REF!,"")</f>
        <v/>
      </c>
      <c r="AB219" t="str">
        <f t="shared" si="48"/>
        <v/>
      </c>
      <c r="AC219" t="str">
        <f>IF($I219&lt;&gt;"",IF(ISNUMBER(Input!W219),ROUNDDOWN(Input!W219,0),0)+IF(ISNUMBER(Input!#REF!),ROUNDDOWN(Input!#REF!,0),0)+IF(ISNUMBER(Input!#REF!),ROUNDDOWN(Input!#REF!,0),0)+IF(ISNUMBER(Input!#REF!),ROUNDDOWN(Input!#REF!,0),0)+IF(ISNUMBER(Input!#REF!),ROUNDDOWN(Input!#REF!,0),0),"")</f>
        <v/>
      </c>
      <c r="AD219" t="str">
        <f>IF($I219&lt;&gt;"",Input!X219&amp;IF(AND(Input!#REF!&lt;&gt;"",Input!X219&lt;&gt;""),"+","")&amp;Input!#REF!&amp;IF(AND(Input!#REF!&lt;&gt;"",OR(Input!#REF!&lt;&gt;"",Input!X219&lt;&gt;"")),"+","")&amp;Input!#REF!&amp;IF(AND(Input!#REF!&lt;&gt;"",OR(Input!#REF!&lt;&gt;"",Input!X219&lt;&gt;"",Input!#REF!&lt;&gt;"")),"+","")&amp;Input!#REF!&amp;IF(AND(Input!#REF!&lt;&gt;"",OR(Input!#REF!&lt;&gt;"",Input!X219&lt;&gt;"",Input!#REF!&lt;&gt;"",Input!#REF!&lt;&gt;"")),"+","")&amp;Input!#REF!,"")</f>
        <v/>
      </c>
      <c r="AE219" t="str">
        <f t="shared" si="49"/>
        <v/>
      </c>
      <c r="AF219" t="str">
        <f>IF($I219&lt;&gt;"",IF(ISNUMBER(Input!Z219),ROUNDDOWN(Input!Z219,0),0)+IF(ISNUMBER(Input!#REF!),ROUNDDOWN(Input!#REF!,0),0)+IF(ISNUMBER(Input!#REF!),ROUNDDOWN(Input!#REF!,0),0)+IF(ISNUMBER(Input!#REF!),ROUNDDOWN(Input!#REF!,0),0)+IF(ISNUMBER(Input!#REF!),ROUNDDOWN(Input!#REF!,0),0),"")</f>
        <v/>
      </c>
      <c r="AG219" t="str">
        <f>IF($I219&lt;&gt;"",Input!AA219&amp;IF(AND(Input!#REF!&lt;&gt;"",Input!AA219&lt;&gt;""),"+","")&amp;Input!#REF!&amp;IF(AND(Input!#REF!&lt;&gt;"",OR(Input!#REF!&lt;&gt;"",Input!AA219&lt;&gt;"")),"+","")&amp;Input!#REF!&amp;IF(AND(Input!#REF!&lt;&gt;"",OR(Input!#REF!&lt;&gt;"",Input!AA219&lt;&gt;"",Input!#REF!&lt;&gt;"")),"+","")&amp;Input!#REF!&amp;IF(AND(Input!#REF!&lt;&gt;"",OR(Input!#REF!&lt;&gt;"",Input!AA219&lt;&gt;"",Input!#REF!&lt;&gt;"",Input!#REF!&lt;&gt;"")),"+","")&amp;Input!#REF!,"")</f>
        <v/>
      </c>
      <c r="AH219" t="str">
        <f t="shared" si="50"/>
        <v/>
      </c>
      <c r="AI219" t="str">
        <f>IF($I219&lt;&gt;"",IF(ISNUMBER(Input!AC219),ROUNDDOWN(Input!AC219,0),0)+IF(ISNUMBER(Input!#REF!),ROUNDDOWN(Input!#REF!,0),0)+IF(ISNUMBER(Input!#REF!),ROUNDDOWN(Input!#REF!,0),0)+IF(ISNUMBER(Input!#REF!),ROUNDDOWN(Input!#REF!,0),0)+IF(ISNUMBER(Input!#REF!),ROUNDDOWN(Input!#REF!,0),0),"")</f>
        <v/>
      </c>
      <c r="AJ219" t="str">
        <f>IF($I219&lt;&gt;"",Input!AD219&amp;IF(AND(Input!#REF!&lt;&gt;"",Input!AD219&lt;&gt;""),"+","")&amp;Input!#REF!&amp;IF(AND(Input!#REF!&lt;&gt;"",OR(Input!#REF!&lt;&gt;"",Input!AD219&lt;&gt;"")),"+","")&amp;Input!#REF!&amp;IF(AND(Input!#REF!&lt;&gt;"",OR(Input!#REF!&lt;&gt;"",Input!AD219&lt;&gt;"",Input!#REF!&lt;&gt;"")),"+","")&amp;Input!#REF!&amp;IF(AND(Input!#REF!&lt;&gt;"",OR(Input!#REF!&lt;&gt;"",Input!AD219&lt;&gt;"",Input!#REF!&lt;&gt;"",Input!#REF!&lt;&gt;"")),"+","")&amp;Input!#REF!,"")</f>
        <v/>
      </c>
      <c r="AK219" t="str">
        <f t="shared" si="51"/>
        <v/>
      </c>
    </row>
    <row r="220" spans="3:37" x14ac:dyDescent="0.35">
      <c r="C220" s="3"/>
      <c r="D220"/>
      <c r="E220"/>
      <c r="F220" s="3"/>
      <c r="I220" t="str">
        <f>IF(Input!A220&gt;0,Input!A220,"")</f>
        <v/>
      </c>
      <c r="J220" t="str">
        <f>IF(Input!B220&gt;0,Input!B220,"")</f>
        <v/>
      </c>
      <c r="K220" t="str">
        <f>IF(Input!C220&gt;0,Input!C220,"")</f>
        <v/>
      </c>
      <c r="L220" t="str">
        <f>IF(Input!D220&gt;0,Input!D220,"")</f>
        <v/>
      </c>
      <c r="M220" t="str">
        <f>IF(Input!E220&gt;0,Input!E220,"")</f>
        <v/>
      </c>
      <c r="N220" t="str">
        <f>IF(Input!F220&gt;0,Input!F220,"")</f>
        <v/>
      </c>
      <c r="O220" t="str">
        <f>IF($I220&lt;&gt;"",Input!I220&amp;IF(AND(Input!AG220&lt;&gt;"",Input!I220&lt;&gt;""),"+","")&amp;Input!AG220&amp;IF(AND(Input!#REF!&lt;&gt;"",OR(Input!AG220&lt;&gt;"",Input!I220&lt;&gt;"")),"+","")&amp;Input!#REF!&amp;IF(AND(Input!#REF!&lt;&gt;"",OR(Input!AG220&lt;&gt;"",Input!I220&lt;&gt;"",Input!#REF!&lt;&gt;"")),"+","")&amp;Input!#REF!&amp;IF(AND(Input!#REF!&lt;&gt;"",OR(Input!AG220&lt;&gt;"",Input!I220&lt;&gt;"",Input!#REF!&lt;&gt;"",Input!#REF!&lt;&gt;"")),"+","")&amp;Input!#REF!,"")</f>
        <v/>
      </c>
      <c r="P220" t="str">
        <f t="shared" si="44"/>
        <v/>
      </c>
      <c r="Q220" t="str">
        <f>IF($I220&lt;&gt;"",IF(ISNUMBER(Input!K220),ROUNDDOWN(Input!K220,0),0)+IF(ISNUMBER(Input!AI220),ROUNDDOWN(Input!AI220,0),0)+IF(ISNUMBER(Input!#REF!),ROUNDDOWN(Input!#REF!,0),0)+IF(ISNUMBER(Input!#REF!),ROUNDDOWN(Input!#REF!,0),0)+IF(ISNUMBER(Input!#REF!),ROUNDDOWN(Input!#REF!,0),0),"")</f>
        <v/>
      </c>
      <c r="R220" t="str">
        <f>IF($I220&lt;&gt;"",Input!L220&amp;IF(AND(Input!#REF!&lt;&gt;"",Input!L220&lt;&gt;""),"+","")&amp;Input!#REF!&amp;IF(AND(Input!#REF!&lt;&gt;"",OR(Input!#REF!&lt;&gt;"",Input!L220&lt;&gt;"")),"+","")&amp;Input!#REF!&amp;IF(AND(Input!#REF!&lt;&gt;"",OR(Input!#REF!&lt;&gt;"",Input!L220&lt;&gt;"",Input!#REF!&lt;&gt;"")),"+","")&amp;Input!#REF!&amp;IF(AND(Input!#REF!&lt;&gt;"",OR(Input!#REF!&lt;&gt;"",Input!L220&lt;&gt;"",Input!#REF!&lt;&gt;"",Input!#REF!&lt;&gt;"")),"+","")&amp;Input!#REF!,"")</f>
        <v/>
      </c>
      <c r="S220" t="str">
        <f t="shared" si="45"/>
        <v/>
      </c>
      <c r="T220" t="str">
        <f>IF($I220&lt;&gt;"",IF(ISNUMBER(Input!N220),ROUNDDOWN(Input!N220,0),0)+IF(ISNUMBER(Input!#REF!),ROUNDDOWN(Input!#REF!,0),0)+IF(ISNUMBER(Input!#REF!),ROUNDDOWN(Input!#REF!,0),0)+IF(ISNUMBER(Input!#REF!),ROUNDDOWN(Input!#REF!,0),0)+IF(ISNUMBER(Input!#REF!),ROUNDDOWN(Input!#REF!,0),0),"")</f>
        <v/>
      </c>
      <c r="U220" t="str">
        <f>IF($I220&lt;&gt;"",Input!O220&amp;IF(AND(Input!#REF!&lt;&gt;"",Input!O220&lt;&gt;""),"+","")&amp;Input!#REF!&amp;IF(AND(Input!#REF!&lt;&gt;"",OR(Input!#REF!&lt;&gt;"",Input!O220&lt;&gt;"")),"+","")&amp;Input!#REF!&amp;IF(AND(Input!#REF!&lt;&gt;"",OR(Input!#REF!&lt;&gt;"",Input!O220&lt;&gt;"",Input!#REF!&lt;&gt;"")),"+","")&amp;Input!#REF!&amp;IF(AND(Input!#REF!&lt;&gt;"",OR(Input!#REF!&lt;&gt;"",Input!O220&lt;&gt;"",Input!#REF!&lt;&gt;"",Input!#REF!&lt;&gt;"")),"+","")&amp;Input!#REF!,"")</f>
        <v/>
      </c>
      <c r="V220" t="str">
        <f t="shared" si="46"/>
        <v/>
      </c>
      <c r="W220" t="str">
        <f>IF($I220&lt;&gt;"",IF(ISNUMBER(Input!Q220),ROUNDDOWN(Input!Q220,0),0)+IF(ISNUMBER(Input!#REF!),ROUNDDOWN(Input!#REF!,0),0)+IF(ISNUMBER(Input!#REF!),ROUNDDOWN(Input!#REF!,0),0)+IF(ISNUMBER(Input!#REF!),ROUNDDOWN(Input!#REF!,0),0)+IF(ISNUMBER(Input!#REF!),ROUNDDOWN(Input!#REF!,0),0),"")</f>
        <v/>
      </c>
      <c r="X220" t="str">
        <f>IF($I220&lt;&gt;"",Input!R220&amp;IF(AND(Input!#REF!&lt;&gt;"",Input!R220&lt;&gt;""),"+","")&amp;Input!#REF!&amp;IF(AND(Input!#REF!&lt;&gt;"",OR(Input!#REF!&lt;&gt;"",Input!R220&lt;&gt;"")),"+","")&amp;Input!#REF!&amp;IF(AND(Input!#REF!&lt;&gt;"",OR(Input!#REF!&lt;&gt;"",Input!R220&lt;&gt;"",Input!#REF!&lt;&gt;"")),"+","")&amp;Input!#REF!&amp;IF(AND(Input!#REF!&lt;&gt;"",OR(Input!#REF!&lt;&gt;"",Input!R220&lt;&gt;"",Input!#REF!&lt;&gt;"",Input!#REF!&lt;&gt;"")),"+","")&amp;Input!#REF!,"")</f>
        <v/>
      </c>
      <c r="Y220" t="str">
        <f t="shared" si="47"/>
        <v/>
      </c>
      <c r="Z220" t="str">
        <f>IF($I220&lt;&gt;"",IF(ISNUMBER(Input!T220),ROUNDDOWN(Input!T220,0),0)+IF(ISNUMBER(Input!#REF!),ROUNDDOWN(Input!#REF!,0),0)+IF(ISNUMBER(Input!#REF!),ROUNDDOWN(Input!#REF!,0),0)+IF(ISNUMBER(Input!#REF!),ROUNDDOWN(Input!#REF!,0),0)+IF(ISNUMBER(Input!#REF!),ROUNDDOWN(Input!#REF!,0),0),"")</f>
        <v/>
      </c>
      <c r="AA220" t="str">
        <f>IF($I220&lt;&gt;"",Input!U220&amp;IF(AND(Input!#REF!&lt;&gt;"",Input!U220&lt;&gt;""),"+","")&amp;Input!#REF!&amp;IF(AND(Input!#REF!&lt;&gt;"",OR(Input!#REF!&lt;&gt;"",Input!U220&lt;&gt;"")),"+","")&amp;Input!#REF!&amp;IF(AND(Input!#REF!&lt;&gt;"",OR(Input!#REF!&lt;&gt;"",Input!U220&lt;&gt;"",Input!#REF!&lt;&gt;"")),"+","")&amp;Input!#REF!&amp;IF(AND(Input!#REF!&lt;&gt;"",OR(Input!#REF!&lt;&gt;"",Input!U220&lt;&gt;"",Input!#REF!&lt;&gt;"",Input!#REF!&lt;&gt;"")),"+","")&amp;Input!#REF!,"")</f>
        <v/>
      </c>
      <c r="AB220" t="str">
        <f t="shared" si="48"/>
        <v/>
      </c>
      <c r="AC220" t="str">
        <f>IF($I220&lt;&gt;"",IF(ISNUMBER(Input!W220),ROUNDDOWN(Input!W220,0),0)+IF(ISNUMBER(Input!#REF!),ROUNDDOWN(Input!#REF!,0),0)+IF(ISNUMBER(Input!#REF!),ROUNDDOWN(Input!#REF!,0),0)+IF(ISNUMBER(Input!#REF!),ROUNDDOWN(Input!#REF!,0),0)+IF(ISNUMBER(Input!#REF!),ROUNDDOWN(Input!#REF!,0),0),"")</f>
        <v/>
      </c>
      <c r="AD220" t="str">
        <f>IF($I220&lt;&gt;"",Input!X220&amp;IF(AND(Input!#REF!&lt;&gt;"",Input!X220&lt;&gt;""),"+","")&amp;Input!#REF!&amp;IF(AND(Input!#REF!&lt;&gt;"",OR(Input!#REF!&lt;&gt;"",Input!X220&lt;&gt;"")),"+","")&amp;Input!#REF!&amp;IF(AND(Input!#REF!&lt;&gt;"",OR(Input!#REF!&lt;&gt;"",Input!X220&lt;&gt;"",Input!#REF!&lt;&gt;"")),"+","")&amp;Input!#REF!&amp;IF(AND(Input!#REF!&lt;&gt;"",OR(Input!#REF!&lt;&gt;"",Input!X220&lt;&gt;"",Input!#REF!&lt;&gt;"",Input!#REF!&lt;&gt;"")),"+","")&amp;Input!#REF!,"")</f>
        <v/>
      </c>
      <c r="AE220" t="str">
        <f t="shared" si="49"/>
        <v/>
      </c>
      <c r="AF220" t="str">
        <f>IF($I220&lt;&gt;"",IF(ISNUMBER(Input!Z220),ROUNDDOWN(Input!Z220,0),0)+IF(ISNUMBER(Input!#REF!),ROUNDDOWN(Input!#REF!,0),0)+IF(ISNUMBER(Input!#REF!),ROUNDDOWN(Input!#REF!,0),0)+IF(ISNUMBER(Input!#REF!),ROUNDDOWN(Input!#REF!,0),0)+IF(ISNUMBER(Input!#REF!),ROUNDDOWN(Input!#REF!,0),0),"")</f>
        <v/>
      </c>
      <c r="AG220" t="str">
        <f>IF($I220&lt;&gt;"",Input!AA220&amp;IF(AND(Input!#REF!&lt;&gt;"",Input!AA220&lt;&gt;""),"+","")&amp;Input!#REF!&amp;IF(AND(Input!#REF!&lt;&gt;"",OR(Input!#REF!&lt;&gt;"",Input!AA220&lt;&gt;"")),"+","")&amp;Input!#REF!&amp;IF(AND(Input!#REF!&lt;&gt;"",OR(Input!#REF!&lt;&gt;"",Input!AA220&lt;&gt;"",Input!#REF!&lt;&gt;"")),"+","")&amp;Input!#REF!&amp;IF(AND(Input!#REF!&lt;&gt;"",OR(Input!#REF!&lt;&gt;"",Input!AA220&lt;&gt;"",Input!#REF!&lt;&gt;"",Input!#REF!&lt;&gt;"")),"+","")&amp;Input!#REF!,"")</f>
        <v/>
      </c>
      <c r="AH220" t="str">
        <f t="shared" si="50"/>
        <v/>
      </c>
      <c r="AI220" t="str">
        <f>IF($I220&lt;&gt;"",IF(ISNUMBER(Input!AC220),ROUNDDOWN(Input!AC220,0),0)+IF(ISNUMBER(Input!#REF!),ROUNDDOWN(Input!#REF!,0),0)+IF(ISNUMBER(Input!#REF!),ROUNDDOWN(Input!#REF!,0),0)+IF(ISNUMBER(Input!#REF!),ROUNDDOWN(Input!#REF!,0),0)+IF(ISNUMBER(Input!#REF!),ROUNDDOWN(Input!#REF!,0),0),"")</f>
        <v/>
      </c>
      <c r="AJ220" t="str">
        <f>IF($I220&lt;&gt;"",Input!AD220&amp;IF(AND(Input!#REF!&lt;&gt;"",Input!AD220&lt;&gt;""),"+","")&amp;Input!#REF!&amp;IF(AND(Input!#REF!&lt;&gt;"",OR(Input!#REF!&lt;&gt;"",Input!AD220&lt;&gt;"")),"+","")&amp;Input!#REF!&amp;IF(AND(Input!#REF!&lt;&gt;"",OR(Input!#REF!&lt;&gt;"",Input!AD220&lt;&gt;"",Input!#REF!&lt;&gt;"")),"+","")&amp;Input!#REF!&amp;IF(AND(Input!#REF!&lt;&gt;"",OR(Input!#REF!&lt;&gt;"",Input!AD220&lt;&gt;"",Input!#REF!&lt;&gt;"",Input!#REF!&lt;&gt;"")),"+","")&amp;Input!#REF!,"")</f>
        <v/>
      </c>
      <c r="AK220" t="str">
        <f t="shared" si="51"/>
        <v/>
      </c>
    </row>
    <row r="221" spans="3:37" x14ac:dyDescent="0.35">
      <c r="C221" s="3"/>
      <c r="D221"/>
      <c r="E221"/>
      <c r="F221" s="3"/>
      <c r="I221" t="str">
        <f>IF(Input!A221&gt;0,Input!A221,"")</f>
        <v/>
      </c>
      <c r="J221" t="str">
        <f>IF(Input!B221&gt;0,Input!B221,"")</f>
        <v/>
      </c>
      <c r="K221" t="str">
        <f>IF(Input!C221&gt;0,Input!C221,"")</f>
        <v/>
      </c>
      <c r="L221" t="str">
        <f>IF(Input!D221&gt;0,Input!D221,"")</f>
        <v/>
      </c>
      <c r="M221" t="str">
        <f>IF(Input!E221&gt;0,Input!E221,"")</f>
        <v/>
      </c>
      <c r="N221" t="str">
        <f>IF(Input!F221&gt;0,Input!F221,"")</f>
        <v/>
      </c>
      <c r="O221" t="str">
        <f>IF($I221&lt;&gt;"",Input!I221&amp;IF(AND(Input!AG221&lt;&gt;"",Input!I221&lt;&gt;""),"+","")&amp;Input!AG221&amp;IF(AND(Input!#REF!&lt;&gt;"",OR(Input!AG221&lt;&gt;"",Input!I221&lt;&gt;"")),"+","")&amp;Input!#REF!&amp;IF(AND(Input!#REF!&lt;&gt;"",OR(Input!AG221&lt;&gt;"",Input!I221&lt;&gt;"",Input!#REF!&lt;&gt;"")),"+","")&amp;Input!#REF!&amp;IF(AND(Input!#REF!&lt;&gt;"",OR(Input!AG221&lt;&gt;"",Input!I221&lt;&gt;"",Input!#REF!&lt;&gt;"",Input!#REF!&lt;&gt;"")),"+","")&amp;Input!#REF!,"")</f>
        <v/>
      </c>
      <c r="P221" t="str">
        <f t="shared" si="44"/>
        <v/>
      </c>
      <c r="Q221" t="str">
        <f>IF($I221&lt;&gt;"",IF(ISNUMBER(Input!K221),ROUNDDOWN(Input!K221,0),0)+IF(ISNUMBER(Input!AI221),ROUNDDOWN(Input!AI221,0),0)+IF(ISNUMBER(Input!#REF!),ROUNDDOWN(Input!#REF!,0),0)+IF(ISNUMBER(Input!#REF!),ROUNDDOWN(Input!#REF!,0),0)+IF(ISNUMBER(Input!#REF!),ROUNDDOWN(Input!#REF!,0),0),"")</f>
        <v/>
      </c>
      <c r="R221" t="str">
        <f>IF($I221&lt;&gt;"",Input!L221&amp;IF(AND(Input!#REF!&lt;&gt;"",Input!L221&lt;&gt;""),"+","")&amp;Input!#REF!&amp;IF(AND(Input!#REF!&lt;&gt;"",OR(Input!#REF!&lt;&gt;"",Input!L221&lt;&gt;"")),"+","")&amp;Input!#REF!&amp;IF(AND(Input!#REF!&lt;&gt;"",OR(Input!#REF!&lt;&gt;"",Input!L221&lt;&gt;"",Input!#REF!&lt;&gt;"")),"+","")&amp;Input!#REF!&amp;IF(AND(Input!#REF!&lt;&gt;"",OR(Input!#REF!&lt;&gt;"",Input!L221&lt;&gt;"",Input!#REF!&lt;&gt;"",Input!#REF!&lt;&gt;"")),"+","")&amp;Input!#REF!,"")</f>
        <v/>
      </c>
      <c r="S221" t="str">
        <f t="shared" si="45"/>
        <v/>
      </c>
      <c r="T221" t="str">
        <f>IF($I221&lt;&gt;"",IF(ISNUMBER(Input!N221),ROUNDDOWN(Input!N221,0),0)+IF(ISNUMBER(Input!#REF!),ROUNDDOWN(Input!#REF!,0),0)+IF(ISNUMBER(Input!#REF!),ROUNDDOWN(Input!#REF!,0),0)+IF(ISNUMBER(Input!#REF!),ROUNDDOWN(Input!#REF!,0),0)+IF(ISNUMBER(Input!#REF!),ROUNDDOWN(Input!#REF!,0),0),"")</f>
        <v/>
      </c>
      <c r="U221" t="str">
        <f>IF($I221&lt;&gt;"",Input!O221&amp;IF(AND(Input!#REF!&lt;&gt;"",Input!O221&lt;&gt;""),"+","")&amp;Input!#REF!&amp;IF(AND(Input!#REF!&lt;&gt;"",OR(Input!#REF!&lt;&gt;"",Input!O221&lt;&gt;"")),"+","")&amp;Input!#REF!&amp;IF(AND(Input!#REF!&lt;&gt;"",OR(Input!#REF!&lt;&gt;"",Input!O221&lt;&gt;"",Input!#REF!&lt;&gt;"")),"+","")&amp;Input!#REF!&amp;IF(AND(Input!#REF!&lt;&gt;"",OR(Input!#REF!&lt;&gt;"",Input!O221&lt;&gt;"",Input!#REF!&lt;&gt;"",Input!#REF!&lt;&gt;"")),"+","")&amp;Input!#REF!,"")</f>
        <v/>
      </c>
      <c r="V221" t="str">
        <f t="shared" si="46"/>
        <v/>
      </c>
      <c r="W221" t="str">
        <f>IF($I221&lt;&gt;"",IF(ISNUMBER(Input!Q221),ROUNDDOWN(Input!Q221,0),0)+IF(ISNUMBER(Input!#REF!),ROUNDDOWN(Input!#REF!,0),0)+IF(ISNUMBER(Input!#REF!),ROUNDDOWN(Input!#REF!,0),0)+IF(ISNUMBER(Input!#REF!),ROUNDDOWN(Input!#REF!,0),0)+IF(ISNUMBER(Input!#REF!),ROUNDDOWN(Input!#REF!,0),0),"")</f>
        <v/>
      </c>
      <c r="X221" t="str">
        <f>IF($I221&lt;&gt;"",Input!R221&amp;IF(AND(Input!#REF!&lt;&gt;"",Input!R221&lt;&gt;""),"+","")&amp;Input!#REF!&amp;IF(AND(Input!#REF!&lt;&gt;"",OR(Input!#REF!&lt;&gt;"",Input!R221&lt;&gt;"")),"+","")&amp;Input!#REF!&amp;IF(AND(Input!#REF!&lt;&gt;"",OR(Input!#REF!&lt;&gt;"",Input!R221&lt;&gt;"",Input!#REF!&lt;&gt;"")),"+","")&amp;Input!#REF!&amp;IF(AND(Input!#REF!&lt;&gt;"",OR(Input!#REF!&lt;&gt;"",Input!R221&lt;&gt;"",Input!#REF!&lt;&gt;"",Input!#REF!&lt;&gt;"")),"+","")&amp;Input!#REF!,"")</f>
        <v/>
      </c>
      <c r="Y221" t="str">
        <f t="shared" si="47"/>
        <v/>
      </c>
      <c r="Z221" t="str">
        <f>IF($I221&lt;&gt;"",IF(ISNUMBER(Input!T221),ROUNDDOWN(Input!T221,0),0)+IF(ISNUMBER(Input!#REF!),ROUNDDOWN(Input!#REF!,0),0)+IF(ISNUMBER(Input!#REF!),ROUNDDOWN(Input!#REF!,0),0)+IF(ISNUMBER(Input!#REF!),ROUNDDOWN(Input!#REF!,0),0)+IF(ISNUMBER(Input!#REF!),ROUNDDOWN(Input!#REF!,0),0),"")</f>
        <v/>
      </c>
      <c r="AA221" t="str">
        <f>IF($I221&lt;&gt;"",Input!U221&amp;IF(AND(Input!#REF!&lt;&gt;"",Input!U221&lt;&gt;""),"+","")&amp;Input!#REF!&amp;IF(AND(Input!#REF!&lt;&gt;"",OR(Input!#REF!&lt;&gt;"",Input!U221&lt;&gt;"")),"+","")&amp;Input!#REF!&amp;IF(AND(Input!#REF!&lt;&gt;"",OR(Input!#REF!&lt;&gt;"",Input!U221&lt;&gt;"",Input!#REF!&lt;&gt;"")),"+","")&amp;Input!#REF!&amp;IF(AND(Input!#REF!&lt;&gt;"",OR(Input!#REF!&lt;&gt;"",Input!U221&lt;&gt;"",Input!#REF!&lt;&gt;"",Input!#REF!&lt;&gt;"")),"+","")&amp;Input!#REF!,"")</f>
        <v/>
      </c>
      <c r="AB221" t="str">
        <f t="shared" si="48"/>
        <v/>
      </c>
      <c r="AC221" t="str">
        <f>IF($I221&lt;&gt;"",IF(ISNUMBER(Input!W221),ROUNDDOWN(Input!W221,0),0)+IF(ISNUMBER(Input!#REF!),ROUNDDOWN(Input!#REF!,0),0)+IF(ISNUMBER(Input!#REF!),ROUNDDOWN(Input!#REF!,0),0)+IF(ISNUMBER(Input!#REF!),ROUNDDOWN(Input!#REF!,0),0)+IF(ISNUMBER(Input!#REF!),ROUNDDOWN(Input!#REF!,0),0),"")</f>
        <v/>
      </c>
      <c r="AD221" t="str">
        <f>IF($I221&lt;&gt;"",Input!X221&amp;IF(AND(Input!#REF!&lt;&gt;"",Input!X221&lt;&gt;""),"+","")&amp;Input!#REF!&amp;IF(AND(Input!#REF!&lt;&gt;"",OR(Input!#REF!&lt;&gt;"",Input!X221&lt;&gt;"")),"+","")&amp;Input!#REF!&amp;IF(AND(Input!#REF!&lt;&gt;"",OR(Input!#REF!&lt;&gt;"",Input!X221&lt;&gt;"",Input!#REF!&lt;&gt;"")),"+","")&amp;Input!#REF!&amp;IF(AND(Input!#REF!&lt;&gt;"",OR(Input!#REF!&lt;&gt;"",Input!X221&lt;&gt;"",Input!#REF!&lt;&gt;"",Input!#REF!&lt;&gt;"")),"+","")&amp;Input!#REF!,"")</f>
        <v/>
      </c>
      <c r="AE221" t="str">
        <f t="shared" si="49"/>
        <v/>
      </c>
      <c r="AF221" t="str">
        <f>IF($I221&lt;&gt;"",IF(ISNUMBER(Input!Z221),ROUNDDOWN(Input!Z221,0),0)+IF(ISNUMBER(Input!#REF!),ROUNDDOWN(Input!#REF!,0),0)+IF(ISNUMBER(Input!#REF!),ROUNDDOWN(Input!#REF!,0),0)+IF(ISNUMBER(Input!#REF!),ROUNDDOWN(Input!#REF!,0),0)+IF(ISNUMBER(Input!#REF!),ROUNDDOWN(Input!#REF!,0),0),"")</f>
        <v/>
      </c>
      <c r="AG221" t="str">
        <f>IF($I221&lt;&gt;"",Input!AA221&amp;IF(AND(Input!#REF!&lt;&gt;"",Input!AA221&lt;&gt;""),"+","")&amp;Input!#REF!&amp;IF(AND(Input!#REF!&lt;&gt;"",OR(Input!#REF!&lt;&gt;"",Input!AA221&lt;&gt;"")),"+","")&amp;Input!#REF!&amp;IF(AND(Input!#REF!&lt;&gt;"",OR(Input!#REF!&lt;&gt;"",Input!AA221&lt;&gt;"",Input!#REF!&lt;&gt;"")),"+","")&amp;Input!#REF!&amp;IF(AND(Input!#REF!&lt;&gt;"",OR(Input!#REF!&lt;&gt;"",Input!AA221&lt;&gt;"",Input!#REF!&lt;&gt;"",Input!#REF!&lt;&gt;"")),"+","")&amp;Input!#REF!,"")</f>
        <v/>
      </c>
      <c r="AH221" t="str">
        <f t="shared" si="50"/>
        <v/>
      </c>
      <c r="AI221" t="str">
        <f>IF($I221&lt;&gt;"",IF(ISNUMBER(Input!AC221),ROUNDDOWN(Input!AC221,0),0)+IF(ISNUMBER(Input!#REF!),ROUNDDOWN(Input!#REF!,0),0)+IF(ISNUMBER(Input!#REF!),ROUNDDOWN(Input!#REF!,0),0)+IF(ISNUMBER(Input!#REF!),ROUNDDOWN(Input!#REF!,0),0)+IF(ISNUMBER(Input!#REF!),ROUNDDOWN(Input!#REF!,0),0),"")</f>
        <v/>
      </c>
      <c r="AJ221" t="str">
        <f>IF($I221&lt;&gt;"",Input!AD221&amp;IF(AND(Input!#REF!&lt;&gt;"",Input!AD221&lt;&gt;""),"+","")&amp;Input!#REF!&amp;IF(AND(Input!#REF!&lt;&gt;"",OR(Input!#REF!&lt;&gt;"",Input!AD221&lt;&gt;"")),"+","")&amp;Input!#REF!&amp;IF(AND(Input!#REF!&lt;&gt;"",OR(Input!#REF!&lt;&gt;"",Input!AD221&lt;&gt;"",Input!#REF!&lt;&gt;"")),"+","")&amp;Input!#REF!&amp;IF(AND(Input!#REF!&lt;&gt;"",OR(Input!#REF!&lt;&gt;"",Input!AD221&lt;&gt;"",Input!#REF!&lt;&gt;"",Input!#REF!&lt;&gt;"")),"+","")&amp;Input!#REF!,"")</f>
        <v/>
      </c>
      <c r="AK221" t="str">
        <f t="shared" si="51"/>
        <v/>
      </c>
    </row>
    <row r="222" spans="3:37" x14ac:dyDescent="0.35">
      <c r="C222" s="3"/>
      <c r="D222"/>
      <c r="E222"/>
      <c r="F222" s="3"/>
      <c r="I222" t="str">
        <f>IF(Input!A222&gt;0,Input!A222,"")</f>
        <v/>
      </c>
      <c r="J222" t="str">
        <f>IF(Input!B222&gt;0,Input!B222,"")</f>
        <v/>
      </c>
      <c r="K222" t="str">
        <f>IF(Input!C222&gt;0,Input!C222,"")</f>
        <v/>
      </c>
      <c r="L222" t="str">
        <f>IF(Input!D222&gt;0,Input!D222,"")</f>
        <v/>
      </c>
      <c r="M222" t="str">
        <f>IF(Input!E222&gt;0,Input!E222,"")</f>
        <v/>
      </c>
      <c r="N222" t="str">
        <f>IF(Input!F222&gt;0,Input!F222,"")</f>
        <v/>
      </c>
      <c r="O222" t="str">
        <f>IF($I222&lt;&gt;"",Input!I222&amp;IF(AND(Input!AG222&lt;&gt;"",Input!I222&lt;&gt;""),"+","")&amp;Input!AG222&amp;IF(AND(Input!#REF!&lt;&gt;"",OR(Input!AG222&lt;&gt;"",Input!I222&lt;&gt;"")),"+","")&amp;Input!#REF!&amp;IF(AND(Input!#REF!&lt;&gt;"",OR(Input!AG222&lt;&gt;"",Input!I222&lt;&gt;"",Input!#REF!&lt;&gt;"")),"+","")&amp;Input!#REF!&amp;IF(AND(Input!#REF!&lt;&gt;"",OR(Input!AG222&lt;&gt;"",Input!I222&lt;&gt;"",Input!#REF!&lt;&gt;"",Input!#REF!&lt;&gt;"")),"+","")&amp;Input!#REF!,"")</f>
        <v/>
      </c>
      <c r="P222" t="str">
        <f t="shared" si="44"/>
        <v/>
      </c>
      <c r="Q222" t="str">
        <f>IF($I222&lt;&gt;"",IF(ISNUMBER(Input!K222),ROUNDDOWN(Input!K222,0),0)+IF(ISNUMBER(Input!AI222),ROUNDDOWN(Input!AI222,0),0)+IF(ISNUMBER(Input!#REF!),ROUNDDOWN(Input!#REF!,0),0)+IF(ISNUMBER(Input!#REF!),ROUNDDOWN(Input!#REF!,0),0)+IF(ISNUMBER(Input!#REF!),ROUNDDOWN(Input!#REF!,0),0),"")</f>
        <v/>
      </c>
      <c r="R222" t="str">
        <f>IF($I222&lt;&gt;"",Input!L222&amp;IF(AND(Input!#REF!&lt;&gt;"",Input!L222&lt;&gt;""),"+","")&amp;Input!#REF!&amp;IF(AND(Input!#REF!&lt;&gt;"",OR(Input!#REF!&lt;&gt;"",Input!L222&lt;&gt;"")),"+","")&amp;Input!#REF!&amp;IF(AND(Input!#REF!&lt;&gt;"",OR(Input!#REF!&lt;&gt;"",Input!L222&lt;&gt;"",Input!#REF!&lt;&gt;"")),"+","")&amp;Input!#REF!&amp;IF(AND(Input!#REF!&lt;&gt;"",OR(Input!#REF!&lt;&gt;"",Input!L222&lt;&gt;"",Input!#REF!&lt;&gt;"",Input!#REF!&lt;&gt;"")),"+","")&amp;Input!#REF!,"")</f>
        <v/>
      </c>
      <c r="S222" t="str">
        <f t="shared" si="45"/>
        <v/>
      </c>
      <c r="T222" t="str">
        <f>IF($I222&lt;&gt;"",IF(ISNUMBER(Input!N222),ROUNDDOWN(Input!N222,0),0)+IF(ISNUMBER(Input!#REF!),ROUNDDOWN(Input!#REF!,0),0)+IF(ISNUMBER(Input!#REF!),ROUNDDOWN(Input!#REF!,0),0)+IF(ISNUMBER(Input!#REF!),ROUNDDOWN(Input!#REF!,0),0)+IF(ISNUMBER(Input!#REF!),ROUNDDOWN(Input!#REF!,0),0),"")</f>
        <v/>
      </c>
      <c r="U222" t="str">
        <f>IF($I222&lt;&gt;"",Input!O222&amp;IF(AND(Input!#REF!&lt;&gt;"",Input!O222&lt;&gt;""),"+","")&amp;Input!#REF!&amp;IF(AND(Input!#REF!&lt;&gt;"",OR(Input!#REF!&lt;&gt;"",Input!O222&lt;&gt;"")),"+","")&amp;Input!#REF!&amp;IF(AND(Input!#REF!&lt;&gt;"",OR(Input!#REF!&lt;&gt;"",Input!O222&lt;&gt;"",Input!#REF!&lt;&gt;"")),"+","")&amp;Input!#REF!&amp;IF(AND(Input!#REF!&lt;&gt;"",OR(Input!#REF!&lt;&gt;"",Input!O222&lt;&gt;"",Input!#REF!&lt;&gt;"",Input!#REF!&lt;&gt;"")),"+","")&amp;Input!#REF!,"")</f>
        <v/>
      </c>
      <c r="V222" t="str">
        <f t="shared" si="46"/>
        <v/>
      </c>
      <c r="W222" t="str">
        <f>IF($I222&lt;&gt;"",IF(ISNUMBER(Input!Q222),ROUNDDOWN(Input!Q222,0),0)+IF(ISNUMBER(Input!#REF!),ROUNDDOWN(Input!#REF!,0),0)+IF(ISNUMBER(Input!#REF!),ROUNDDOWN(Input!#REF!,0),0)+IF(ISNUMBER(Input!#REF!),ROUNDDOWN(Input!#REF!,0),0)+IF(ISNUMBER(Input!#REF!),ROUNDDOWN(Input!#REF!,0),0),"")</f>
        <v/>
      </c>
      <c r="X222" t="str">
        <f>IF($I222&lt;&gt;"",Input!R222&amp;IF(AND(Input!#REF!&lt;&gt;"",Input!R222&lt;&gt;""),"+","")&amp;Input!#REF!&amp;IF(AND(Input!#REF!&lt;&gt;"",OR(Input!#REF!&lt;&gt;"",Input!R222&lt;&gt;"")),"+","")&amp;Input!#REF!&amp;IF(AND(Input!#REF!&lt;&gt;"",OR(Input!#REF!&lt;&gt;"",Input!R222&lt;&gt;"",Input!#REF!&lt;&gt;"")),"+","")&amp;Input!#REF!&amp;IF(AND(Input!#REF!&lt;&gt;"",OR(Input!#REF!&lt;&gt;"",Input!R222&lt;&gt;"",Input!#REF!&lt;&gt;"",Input!#REF!&lt;&gt;"")),"+","")&amp;Input!#REF!,"")</f>
        <v/>
      </c>
      <c r="Y222" t="str">
        <f t="shared" si="47"/>
        <v/>
      </c>
      <c r="Z222" t="str">
        <f>IF($I222&lt;&gt;"",IF(ISNUMBER(Input!T222),ROUNDDOWN(Input!T222,0),0)+IF(ISNUMBER(Input!#REF!),ROUNDDOWN(Input!#REF!,0),0)+IF(ISNUMBER(Input!#REF!),ROUNDDOWN(Input!#REF!,0),0)+IF(ISNUMBER(Input!#REF!),ROUNDDOWN(Input!#REF!,0),0)+IF(ISNUMBER(Input!#REF!),ROUNDDOWN(Input!#REF!,0),0),"")</f>
        <v/>
      </c>
      <c r="AA222" t="str">
        <f>IF($I222&lt;&gt;"",Input!U222&amp;IF(AND(Input!#REF!&lt;&gt;"",Input!U222&lt;&gt;""),"+","")&amp;Input!#REF!&amp;IF(AND(Input!#REF!&lt;&gt;"",OR(Input!#REF!&lt;&gt;"",Input!U222&lt;&gt;"")),"+","")&amp;Input!#REF!&amp;IF(AND(Input!#REF!&lt;&gt;"",OR(Input!#REF!&lt;&gt;"",Input!U222&lt;&gt;"",Input!#REF!&lt;&gt;"")),"+","")&amp;Input!#REF!&amp;IF(AND(Input!#REF!&lt;&gt;"",OR(Input!#REF!&lt;&gt;"",Input!U222&lt;&gt;"",Input!#REF!&lt;&gt;"",Input!#REF!&lt;&gt;"")),"+","")&amp;Input!#REF!,"")</f>
        <v/>
      </c>
      <c r="AB222" t="str">
        <f t="shared" si="48"/>
        <v/>
      </c>
      <c r="AC222" t="str">
        <f>IF($I222&lt;&gt;"",IF(ISNUMBER(Input!W222),ROUNDDOWN(Input!W222,0),0)+IF(ISNUMBER(Input!#REF!),ROUNDDOWN(Input!#REF!,0),0)+IF(ISNUMBER(Input!#REF!),ROUNDDOWN(Input!#REF!,0),0)+IF(ISNUMBER(Input!#REF!),ROUNDDOWN(Input!#REF!,0),0)+IF(ISNUMBER(Input!#REF!),ROUNDDOWN(Input!#REF!,0),0),"")</f>
        <v/>
      </c>
      <c r="AD222" t="str">
        <f>IF($I222&lt;&gt;"",Input!X222&amp;IF(AND(Input!#REF!&lt;&gt;"",Input!X222&lt;&gt;""),"+","")&amp;Input!#REF!&amp;IF(AND(Input!#REF!&lt;&gt;"",OR(Input!#REF!&lt;&gt;"",Input!X222&lt;&gt;"")),"+","")&amp;Input!#REF!&amp;IF(AND(Input!#REF!&lt;&gt;"",OR(Input!#REF!&lt;&gt;"",Input!X222&lt;&gt;"",Input!#REF!&lt;&gt;"")),"+","")&amp;Input!#REF!&amp;IF(AND(Input!#REF!&lt;&gt;"",OR(Input!#REF!&lt;&gt;"",Input!X222&lt;&gt;"",Input!#REF!&lt;&gt;"",Input!#REF!&lt;&gt;"")),"+","")&amp;Input!#REF!,"")</f>
        <v/>
      </c>
      <c r="AE222" t="str">
        <f t="shared" si="49"/>
        <v/>
      </c>
      <c r="AF222" t="str">
        <f>IF($I222&lt;&gt;"",IF(ISNUMBER(Input!Z222),ROUNDDOWN(Input!Z222,0),0)+IF(ISNUMBER(Input!#REF!),ROUNDDOWN(Input!#REF!,0),0)+IF(ISNUMBER(Input!#REF!),ROUNDDOWN(Input!#REF!,0),0)+IF(ISNUMBER(Input!#REF!),ROUNDDOWN(Input!#REF!,0),0)+IF(ISNUMBER(Input!#REF!),ROUNDDOWN(Input!#REF!,0),0),"")</f>
        <v/>
      </c>
      <c r="AG222" t="str">
        <f>IF($I222&lt;&gt;"",Input!AA222&amp;IF(AND(Input!#REF!&lt;&gt;"",Input!AA222&lt;&gt;""),"+","")&amp;Input!#REF!&amp;IF(AND(Input!#REF!&lt;&gt;"",OR(Input!#REF!&lt;&gt;"",Input!AA222&lt;&gt;"")),"+","")&amp;Input!#REF!&amp;IF(AND(Input!#REF!&lt;&gt;"",OR(Input!#REF!&lt;&gt;"",Input!AA222&lt;&gt;"",Input!#REF!&lt;&gt;"")),"+","")&amp;Input!#REF!&amp;IF(AND(Input!#REF!&lt;&gt;"",OR(Input!#REF!&lt;&gt;"",Input!AA222&lt;&gt;"",Input!#REF!&lt;&gt;"",Input!#REF!&lt;&gt;"")),"+","")&amp;Input!#REF!,"")</f>
        <v/>
      </c>
      <c r="AH222" t="str">
        <f t="shared" si="50"/>
        <v/>
      </c>
      <c r="AI222" t="str">
        <f>IF($I222&lt;&gt;"",IF(ISNUMBER(Input!AC222),ROUNDDOWN(Input!AC222,0),0)+IF(ISNUMBER(Input!#REF!),ROUNDDOWN(Input!#REF!,0),0)+IF(ISNUMBER(Input!#REF!),ROUNDDOWN(Input!#REF!,0),0)+IF(ISNUMBER(Input!#REF!),ROUNDDOWN(Input!#REF!,0),0)+IF(ISNUMBER(Input!#REF!),ROUNDDOWN(Input!#REF!,0),0),"")</f>
        <v/>
      </c>
      <c r="AJ222" t="str">
        <f>IF($I222&lt;&gt;"",Input!AD222&amp;IF(AND(Input!#REF!&lt;&gt;"",Input!AD222&lt;&gt;""),"+","")&amp;Input!#REF!&amp;IF(AND(Input!#REF!&lt;&gt;"",OR(Input!#REF!&lt;&gt;"",Input!AD222&lt;&gt;"")),"+","")&amp;Input!#REF!&amp;IF(AND(Input!#REF!&lt;&gt;"",OR(Input!#REF!&lt;&gt;"",Input!AD222&lt;&gt;"",Input!#REF!&lt;&gt;"")),"+","")&amp;Input!#REF!&amp;IF(AND(Input!#REF!&lt;&gt;"",OR(Input!#REF!&lt;&gt;"",Input!AD222&lt;&gt;"",Input!#REF!&lt;&gt;"",Input!#REF!&lt;&gt;"")),"+","")&amp;Input!#REF!,"")</f>
        <v/>
      </c>
      <c r="AK222" t="str">
        <f t="shared" si="51"/>
        <v/>
      </c>
    </row>
    <row r="223" spans="3:37" x14ac:dyDescent="0.35">
      <c r="C223" s="3"/>
      <c r="D223"/>
      <c r="E223"/>
      <c r="F223" s="3"/>
      <c r="I223" t="str">
        <f>IF(Input!A223&gt;0,Input!A223,"")</f>
        <v/>
      </c>
      <c r="J223" t="str">
        <f>IF(Input!B223&gt;0,Input!B223,"")</f>
        <v/>
      </c>
      <c r="K223" t="str">
        <f>IF(Input!C223&gt;0,Input!C223,"")</f>
        <v/>
      </c>
      <c r="L223" t="str">
        <f>IF(Input!D223&gt;0,Input!D223,"")</f>
        <v/>
      </c>
      <c r="M223" t="str">
        <f>IF(Input!E223&gt;0,Input!E223,"")</f>
        <v/>
      </c>
      <c r="N223" t="str">
        <f>IF(Input!F223&gt;0,Input!F223,"")</f>
        <v/>
      </c>
      <c r="O223" t="str">
        <f>IF($I223&lt;&gt;"",Input!I223&amp;IF(AND(Input!AG223&lt;&gt;"",Input!I223&lt;&gt;""),"+","")&amp;Input!AG223&amp;IF(AND(Input!#REF!&lt;&gt;"",OR(Input!AG223&lt;&gt;"",Input!I223&lt;&gt;"")),"+","")&amp;Input!#REF!&amp;IF(AND(Input!#REF!&lt;&gt;"",OR(Input!AG223&lt;&gt;"",Input!I223&lt;&gt;"",Input!#REF!&lt;&gt;"")),"+","")&amp;Input!#REF!&amp;IF(AND(Input!#REF!&lt;&gt;"",OR(Input!AG223&lt;&gt;"",Input!I223&lt;&gt;"",Input!#REF!&lt;&gt;"",Input!#REF!&lt;&gt;"")),"+","")&amp;Input!#REF!,"")</f>
        <v/>
      </c>
      <c r="P223" t="str">
        <f t="shared" si="44"/>
        <v/>
      </c>
      <c r="Q223" t="str">
        <f>IF($I223&lt;&gt;"",IF(ISNUMBER(Input!K223),ROUNDDOWN(Input!K223,0),0)+IF(ISNUMBER(Input!AI223),ROUNDDOWN(Input!AI223,0),0)+IF(ISNUMBER(Input!#REF!),ROUNDDOWN(Input!#REF!,0),0)+IF(ISNUMBER(Input!#REF!),ROUNDDOWN(Input!#REF!,0),0)+IF(ISNUMBER(Input!#REF!),ROUNDDOWN(Input!#REF!,0),0),"")</f>
        <v/>
      </c>
      <c r="R223" t="str">
        <f>IF($I223&lt;&gt;"",Input!L223&amp;IF(AND(Input!#REF!&lt;&gt;"",Input!L223&lt;&gt;""),"+","")&amp;Input!#REF!&amp;IF(AND(Input!#REF!&lt;&gt;"",OR(Input!#REF!&lt;&gt;"",Input!L223&lt;&gt;"")),"+","")&amp;Input!#REF!&amp;IF(AND(Input!#REF!&lt;&gt;"",OR(Input!#REF!&lt;&gt;"",Input!L223&lt;&gt;"",Input!#REF!&lt;&gt;"")),"+","")&amp;Input!#REF!&amp;IF(AND(Input!#REF!&lt;&gt;"",OR(Input!#REF!&lt;&gt;"",Input!L223&lt;&gt;"",Input!#REF!&lt;&gt;"",Input!#REF!&lt;&gt;"")),"+","")&amp;Input!#REF!,"")</f>
        <v/>
      </c>
      <c r="S223" t="str">
        <f t="shared" si="45"/>
        <v/>
      </c>
      <c r="T223" t="str">
        <f>IF($I223&lt;&gt;"",IF(ISNUMBER(Input!N223),ROUNDDOWN(Input!N223,0),0)+IF(ISNUMBER(Input!#REF!),ROUNDDOWN(Input!#REF!,0),0)+IF(ISNUMBER(Input!#REF!),ROUNDDOWN(Input!#REF!,0),0)+IF(ISNUMBER(Input!#REF!),ROUNDDOWN(Input!#REF!,0),0)+IF(ISNUMBER(Input!#REF!),ROUNDDOWN(Input!#REF!,0),0),"")</f>
        <v/>
      </c>
      <c r="U223" t="str">
        <f>IF($I223&lt;&gt;"",Input!O223&amp;IF(AND(Input!#REF!&lt;&gt;"",Input!O223&lt;&gt;""),"+","")&amp;Input!#REF!&amp;IF(AND(Input!#REF!&lt;&gt;"",OR(Input!#REF!&lt;&gt;"",Input!O223&lt;&gt;"")),"+","")&amp;Input!#REF!&amp;IF(AND(Input!#REF!&lt;&gt;"",OR(Input!#REF!&lt;&gt;"",Input!O223&lt;&gt;"",Input!#REF!&lt;&gt;"")),"+","")&amp;Input!#REF!&amp;IF(AND(Input!#REF!&lt;&gt;"",OR(Input!#REF!&lt;&gt;"",Input!O223&lt;&gt;"",Input!#REF!&lt;&gt;"",Input!#REF!&lt;&gt;"")),"+","")&amp;Input!#REF!,"")</f>
        <v/>
      </c>
      <c r="V223" t="str">
        <f t="shared" si="46"/>
        <v/>
      </c>
      <c r="W223" t="str">
        <f>IF($I223&lt;&gt;"",IF(ISNUMBER(Input!Q223),ROUNDDOWN(Input!Q223,0),0)+IF(ISNUMBER(Input!#REF!),ROUNDDOWN(Input!#REF!,0),0)+IF(ISNUMBER(Input!#REF!),ROUNDDOWN(Input!#REF!,0),0)+IF(ISNUMBER(Input!#REF!),ROUNDDOWN(Input!#REF!,0),0)+IF(ISNUMBER(Input!#REF!),ROUNDDOWN(Input!#REF!,0),0),"")</f>
        <v/>
      </c>
      <c r="X223" t="str">
        <f>IF($I223&lt;&gt;"",Input!R223&amp;IF(AND(Input!#REF!&lt;&gt;"",Input!R223&lt;&gt;""),"+","")&amp;Input!#REF!&amp;IF(AND(Input!#REF!&lt;&gt;"",OR(Input!#REF!&lt;&gt;"",Input!R223&lt;&gt;"")),"+","")&amp;Input!#REF!&amp;IF(AND(Input!#REF!&lt;&gt;"",OR(Input!#REF!&lt;&gt;"",Input!R223&lt;&gt;"",Input!#REF!&lt;&gt;"")),"+","")&amp;Input!#REF!&amp;IF(AND(Input!#REF!&lt;&gt;"",OR(Input!#REF!&lt;&gt;"",Input!R223&lt;&gt;"",Input!#REF!&lt;&gt;"",Input!#REF!&lt;&gt;"")),"+","")&amp;Input!#REF!,"")</f>
        <v/>
      </c>
      <c r="Y223" t="str">
        <f t="shared" si="47"/>
        <v/>
      </c>
      <c r="Z223" t="str">
        <f>IF($I223&lt;&gt;"",IF(ISNUMBER(Input!T223),ROUNDDOWN(Input!T223,0),0)+IF(ISNUMBER(Input!#REF!),ROUNDDOWN(Input!#REF!,0),0)+IF(ISNUMBER(Input!#REF!),ROUNDDOWN(Input!#REF!,0),0)+IF(ISNUMBER(Input!#REF!),ROUNDDOWN(Input!#REF!,0),0)+IF(ISNUMBER(Input!#REF!),ROUNDDOWN(Input!#REF!,0),0),"")</f>
        <v/>
      </c>
      <c r="AA223" t="str">
        <f>IF($I223&lt;&gt;"",Input!U223&amp;IF(AND(Input!#REF!&lt;&gt;"",Input!U223&lt;&gt;""),"+","")&amp;Input!#REF!&amp;IF(AND(Input!#REF!&lt;&gt;"",OR(Input!#REF!&lt;&gt;"",Input!U223&lt;&gt;"")),"+","")&amp;Input!#REF!&amp;IF(AND(Input!#REF!&lt;&gt;"",OR(Input!#REF!&lt;&gt;"",Input!U223&lt;&gt;"",Input!#REF!&lt;&gt;"")),"+","")&amp;Input!#REF!&amp;IF(AND(Input!#REF!&lt;&gt;"",OR(Input!#REF!&lt;&gt;"",Input!U223&lt;&gt;"",Input!#REF!&lt;&gt;"",Input!#REF!&lt;&gt;"")),"+","")&amp;Input!#REF!,"")</f>
        <v/>
      </c>
      <c r="AB223" t="str">
        <f t="shared" si="48"/>
        <v/>
      </c>
      <c r="AC223" t="str">
        <f>IF($I223&lt;&gt;"",IF(ISNUMBER(Input!W223),ROUNDDOWN(Input!W223,0),0)+IF(ISNUMBER(Input!#REF!),ROUNDDOWN(Input!#REF!,0),0)+IF(ISNUMBER(Input!#REF!),ROUNDDOWN(Input!#REF!,0),0)+IF(ISNUMBER(Input!#REF!),ROUNDDOWN(Input!#REF!,0),0)+IF(ISNUMBER(Input!#REF!),ROUNDDOWN(Input!#REF!,0),0),"")</f>
        <v/>
      </c>
      <c r="AD223" t="str">
        <f>IF($I223&lt;&gt;"",Input!X223&amp;IF(AND(Input!#REF!&lt;&gt;"",Input!X223&lt;&gt;""),"+","")&amp;Input!#REF!&amp;IF(AND(Input!#REF!&lt;&gt;"",OR(Input!#REF!&lt;&gt;"",Input!X223&lt;&gt;"")),"+","")&amp;Input!#REF!&amp;IF(AND(Input!#REF!&lt;&gt;"",OR(Input!#REF!&lt;&gt;"",Input!X223&lt;&gt;"",Input!#REF!&lt;&gt;"")),"+","")&amp;Input!#REF!&amp;IF(AND(Input!#REF!&lt;&gt;"",OR(Input!#REF!&lt;&gt;"",Input!X223&lt;&gt;"",Input!#REF!&lt;&gt;"",Input!#REF!&lt;&gt;"")),"+","")&amp;Input!#REF!,"")</f>
        <v/>
      </c>
      <c r="AE223" t="str">
        <f t="shared" si="49"/>
        <v/>
      </c>
      <c r="AF223" t="str">
        <f>IF($I223&lt;&gt;"",IF(ISNUMBER(Input!Z223),ROUNDDOWN(Input!Z223,0),0)+IF(ISNUMBER(Input!#REF!),ROUNDDOWN(Input!#REF!,0),0)+IF(ISNUMBER(Input!#REF!),ROUNDDOWN(Input!#REF!,0),0)+IF(ISNUMBER(Input!#REF!),ROUNDDOWN(Input!#REF!,0),0)+IF(ISNUMBER(Input!#REF!),ROUNDDOWN(Input!#REF!,0),0),"")</f>
        <v/>
      </c>
      <c r="AG223" t="str">
        <f>IF($I223&lt;&gt;"",Input!AA223&amp;IF(AND(Input!#REF!&lt;&gt;"",Input!AA223&lt;&gt;""),"+","")&amp;Input!#REF!&amp;IF(AND(Input!#REF!&lt;&gt;"",OR(Input!#REF!&lt;&gt;"",Input!AA223&lt;&gt;"")),"+","")&amp;Input!#REF!&amp;IF(AND(Input!#REF!&lt;&gt;"",OR(Input!#REF!&lt;&gt;"",Input!AA223&lt;&gt;"",Input!#REF!&lt;&gt;"")),"+","")&amp;Input!#REF!&amp;IF(AND(Input!#REF!&lt;&gt;"",OR(Input!#REF!&lt;&gt;"",Input!AA223&lt;&gt;"",Input!#REF!&lt;&gt;"",Input!#REF!&lt;&gt;"")),"+","")&amp;Input!#REF!,"")</f>
        <v/>
      </c>
      <c r="AH223" t="str">
        <f t="shared" si="50"/>
        <v/>
      </c>
      <c r="AI223" t="str">
        <f>IF($I223&lt;&gt;"",IF(ISNUMBER(Input!AC223),ROUNDDOWN(Input!AC223,0),0)+IF(ISNUMBER(Input!#REF!),ROUNDDOWN(Input!#REF!,0),0)+IF(ISNUMBER(Input!#REF!),ROUNDDOWN(Input!#REF!,0),0)+IF(ISNUMBER(Input!#REF!),ROUNDDOWN(Input!#REF!,0),0)+IF(ISNUMBER(Input!#REF!),ROUNDDOWN(Input!#REF!,0),0),"")</f>
        <v/>
      </c>
      <c r="AJ223" t="str">
        <f>IF($I223&lt;&gt;"",Input!AD223&amp;IF(AND(Input!#REF!&lt;&gt;"",Input!AD223&lt;&gt;""),"+","")&amp;Input!#REF!&amp;IF(AND(Input!#REF!&lt;&gt;"",OR(Input!#REF!&lt;&gt;"",Input!AD223&lt;&gt;"")),"+","")&amp;Input!#REF!&amp;IF(AND(Input!#REF!&lt;&gt;"",OR(Input!#REF!&lt;&gt;"",Input!AD223&lt;&gt;"",Input!#REF!&lt;&gt;"")),"+","")&amp;Input!#REF!&amp;IF(AND(Input!#REF!&lt;&gt;"",OR(Input!#REF!&lt;&gt;"",Input!AD223&lt;&gt;"",Input!#REF!&lt;&gt;"",Input!#REF!&lt;&gt;"")),"+","")&amp;Input!#REF!,"")</f>
        <v/>
      </c>
      <c r="AK223" t="str">
        <f t="shared" si="51"/>
        <v/>
      </c>
    </row>
    <row r="224" spans="3:37" x14ac:dyDescent="0.35">
      <c r="C224" s="3"/>
      <c r="D224"/>
      <c r="E224"/>
      <c r="F224" s="3"/>
      <c r="I224" t="str">
        <f>IF(Input!A224&gt;0,Input!A224,"")</f>
        <v/>
      </c>
      <c r="J224" t="str">
        <f>IF(Input!B224&gt;0,Input!B224,"")</f>
        <v/>
      </c>
      <c r="K224" t="str">
        <f>IF(Input!C224&gt;0,Input!C224,"")</f>
        <v/>
      </c>
      <c r="L224" t="str">
        <f>IF(Input!D224&gt;0,Input!D224,"")</f>
        <v/>
      </c>
      <c r="M224" t="str">
        <f>IF(Input!E224&gt;0,Input!E224,"")</f>
        <v/>
      </c>
      <c r="N224" t="str">
        <f>IF(Input!F224&gt;0,Input!F224,"")</f>
        <v/>
      </c>
      <c r="O224" t="str">
        <f>IF($I224&lt;&gt;"",Input!I224&amp;IF(AND(Input!AG224&lt;&gt;"",Input!I224&lt;&gt;""),"+","")&amp;Input!AG224&amp;IF(AND(Input!#REF!&lt;&gt;"",OR(Input!AG224&lt;&gt;"",Input!I224&lt;&gt;"")),"+","")&amp;Input!#REF!&amp;IF(AND(Input!#REF!&lt;&gt;"",OR(Input!AG224&lt;&gt;"",Input!I224&lt;&gt;"",Input!#REF!&lt;&gt;"")),"+","")&amp;Input!#REF!&amp;IF(AND(Input!#REF!&lt;&gt;"",OR(Input!AG224&lt;&gt;"",Input!I224&lt;&gt;"",Input!#REF!&lt;&gt;"",Input!#REF!&lt;&gt;"")),"+","")&amp;Input!#REF!,"")</f>
        <v/>
      </c>
      <c r="P224" t="str">
        <f t="shared" si="44"/>
        <v/>
      </c>
      <c r="Q224" t="str">
        <f>IF($I224&lt;&gt;"",IF(ISNUMBER(Input!K224),ROUNDDOWN(Input!K224,0),0)+IF(ISNUMBER(Input!AI224),ROUNDDOWN(Input!AI224,0),0)+IF(ISNUMBER(Input!#REF!),ROUNDDOWN(Input!#REF!,0),0)+IF(ISNUMBER(Input!#REF!),ROUNDDOWN(Input!#REF!,0),0)+IF(ISNUMBER(Input!#REF!),ROUNDDOWN(Input!#REF!,0),0),"")</f>
        <v/>
      </c>
      <c r="R224" t="str">
        <f>IF($I224&lt;&gt;"",Input!L224&amp;IF(AND(Input!#REF!&lt;&gt;"",Input!L224&lt;&gt;""),"+","")&amp;Input!#REF!&amp;IF(AND(Input!#REF!&lt;&gt;"",OR(Input!#REF!&lt;&gt;"",Input!L224&lt;&gt;"")),"+","")&amp;Input!#REF!&amp;IF(AND(Input!#REF!&lt;&gt;"",OR(Input!#REF!&lt;&gt;"",Input!L224&lt;&gt;"",Input!#REF!&lt;&gt;"")),"+","")&amp;Input!#REF!&amp;IF(AND(Input!#REF!&lt;&gt;"",OR(Input!#REF!&lt;&gt;"",Input!L224&lt;&gt;"",Input!#REF!&lt;&gt;"",Input!#REF!&lt;&gt;"")),"+","")&amp;Input!#REF!,"")</f>
        <v/>
      </c>
      <c r="S224" t="str">
        <f t="shared" si="45"/>
        <v/>
      </c>
      <c r="T224" t="str">
        <f>IF($I224&lt;&gt;"",IF(ISNUMBER(Input!N224),ROUNDDOWN(Input!N224,0),0)+IF(ISNUMBER(Input!#REF!),ROUNDDOWN(Input!#REF!,0),0)+IF(ISNUMBER(Input!#REF!),ROUNDDOWN(Input!#REF!,0),0)+IF(ISNUMBER(Input!#REF!),ROUNDDOWN(Input!#REF!,0),0)+IF(ISNUMBER(Input!#REF!),ROUNDDOWN(Input!#REF!,0),0),"")</f>
        <v/>
      </c>
      <c r="U224" t="str">
        <f>IF($I224&lt;&gt;"",Input!O224&amp;IF(AND(Input!#REF!&lt;&gt;"",Input!O224&lt;&gt;""),"+","")&amp;Input!#REF!&amp;IF(AND(Input!#REF!&lt;&gt;"",OR(Input!#REF!&lt;&gt;"",Input!O224&lt;&gt;"")),"+","")&amp;Input!#REF!&amp;IF(AND(Input!#REF!&lt;&gt;"",OR(Input!#REF!&lt;&gt;"",Input!O224&lt;&gt;"",Input!#REF!&lt;&gt;"")),"+","")&amp;Input!#REF!&amp;IF(AND(Input!#REF!&lt;&gt;"",OR(Input!#REF!&lt;&gt;"",Input!O224&lt;&gt;"",Input!#REF!&lt;&gt;"",Input!#REF!&lt;&gt;"")),"+","")&amp;Input!#REF!,"")</f>
        <v/>
      </c>
      <c r="V224" t="str">
        <f t="shared" si="46"/>
        <v/>
      </c>
      <c r="W224" t="str">
        <f>IF($I224&lt;&gt;"",IF(ISNUMBER(Input!Q224),ROUNDDOWN(Input!Q224,0),0)+IF(ISNUMBER(Input!#REF!),ROUNDDOWN(Input!#REF!,0),0)+IF(ISNUMBER(Input!#REF!),ROUNDDOWN(Input!#REF!,0),0)+IF(ISNUMBER(Input!#REF!),ROUNDDOWN(Input!#REF!,0),0)+IF(ISNUMBER(Input!#REF!),ROUNDDOWN(Input!#REF!,0),0),"")</f>
        <v/>
      </c>
      <c r="X224" t="str">
        <f>IF($I224&lt;&gt;"",Input!R224&amp;IF(AND(Input!#REF!&lt;&gt;"",Input!R224&lt;&gt;""),"+","")&amp;Input!#REF!&amp;IF(AND(Input!#REF!&lt;&gt;"",OR(Input!#REF!&lt;&gt;"",Input!R224&lt;&gt;"")),"+","")&amp;Input!#REF!&amp;IF(AND(Input!#REF!&lt;&gt;"",OR(Input!#REF!&lt;&gt;"",Input!R224&lt;&gt;"",Input!#REF!&lt;&gt;"")),"+","")&amp;Input!#REF!&amp;IF(AND(Input!#REF!&lt;&gt;"",OR(Input!#REF!&lt;&gt;"",Input!R224&lt;&gt;"",Input!#REF!&lt;&gt;"",Input!#REF!&lt;&gt;"")),"+","")&amp;Input!#REF!,"")</f>
        <v/>
      </c>
      <c r="Y224" t="str">
        <f t="shared" si="47"/>
        <v/>
      </c>
      <c r="Z224" t="str">
        <f>IF($I224&lt;&gt;"",IF(ISNUMBER(Input!T224),ROUNDDOWN(Input!T224,0),0)+IF(ISNUMBER(Input!#REF!),ROUNDDOWN(Input!#REF!,0),0)+IF(ISNUMBER(Input!#REF!),ROUNDDOWN(Input!#REF!,0),0)+IF(ISNUMBER(Input!#REF!),ROUNDDOWN(Input!#REF!,0),0)+IF(ISNUMBER(Input!#REF!),ROUNDDOWN(Input!#REF!,0),0),"")</f>
        <v/>
      </c>
      <c r="AA224" t="str">
        <f>IF($I224&lt;&gt;"",Input!U224&amp;IF(AND(Input!#REF!&lt;&gt;"",Input!U224&lt;&gt;""),"+","")&amp;Input!#REF!&amp;IF(AND(Input!#REF!&lt;&gt;"",OR(Input!#REF!&lt;&gt;"",Input!U224&lt;&gt;"")),"+","")&amp;Input!#REF!&amp;IF(AND(Input!#REF!&lt;&gt;"",OR(Input!#REF!&lt;&gt;"",Input!U224&lt;&gt;"",Input!#REF!&lt;&gt;"")),"+","")&amp;Input!#REF!&amp;IF(AND(Input!#REF!&lt;&gt;"",OR(Input!#REF!&lt;&gt;"",Input!U224&lt;&gt;"",Input!#REF!&lt;&gt;"",Input!#REF!&lt;&gt;"")),"+","")&amp;Input!#REF!,"")</f>
        <v/>
      </c>
      <c r="AB224" t="str">
        <f t="shared" si="48"/>
        <v/>
      </c>
      <c r="AC224" t="str">
        <f>IF($I224&lt;&gt;"",IF(ISNUMBER(Input!W224),ROUNDDOWN(Input!W224,0),0)+IF(ISNUMBER(Input!#REF!),ROUNDDOWN(Input!#REF!,0),0)+IF(ISNUMBER(Input!#REF!),ROUNDDOWN(Input!#REF!,0),0)+IF(ISNUMBER(Input!#REF!),ROUNDDOWN(Input!#REF!,0),0)+IF(ISNUMBER(Input!#REF!),ROUNDDOWN(Input!#REF!,0),0),"")</f>
        <v/>
      </c>
      <c r="AD224" t="str">
        <f>IF($I224&lt;&gt;"",Input!X224&amp;IF(AND(Input!#REF!&lt;&gt;"",Input!X224&lt;&gt;""),"+","")&amp;Input!#REF!&amp;IF(AND(Input!#REF!&lt;&gt;"",OR(Input!#REF!&lt;&gt;"",Input!X224&lt;&gt;"")),"+","")&amp;Input!#REF!&amp;IF(AND(Input!#REF!&lt;&gt;"",OR(Input!#REF!&lt;&gt;"",Input!X224&lt;&gt;"",Input!#REF!&lt;&gt;"")),"+","")&amp;Input!#REF!&amp;IF(AND(Input!#REF!&lt;&gt;"",OR(Input!#REF!&lt;&gt;"",Input!X224&lt;&gt;"",Input!#REF!&lt;&gt;"",Input!#REF!&lt;&gt;"")),"+","")&amp;Input!#REF!,"")</f>
        <v/>
      </c>
      <c r="AE224" t="str">
        <f t="shared" si="49"/>
        <v/>
      </c>
      <c r="AF224" t="str">
        <f>IF($I224&lt;&gt;"",IF(ISNUMBER(Input!Z224),ROUNDDOWN(Input!Z224,0),0)+IF(ISNUMBER(Input!#REF!),ROUNDDOWN(Input!#REF!,0),0)+IF(ISNUMBER(Input!#REF!),ROUNDDOWN(Input!#REF!,0),0)+IF(ISNUMBER(Input!#REF!),ROUNDDOWN(Input!#REF!,0),0)+IF(ISNUMBER(Input!#REF!),ROUNDDOWN(Input!#REF!,0),0),"")</f>
        <v/>
      </c>
      <c r="AG224" t="str">
        <f>IF($I224&lt;&gt;"",Input!AA224&amp;IF(AND(Input!#REF!&lt;&gt;"",Input!AA224&lt;&gt;""),"+","")&amp;Input!#REF!&amp;IF(AND(Input!#REF!&lt;&gt;"",OR(Input!#REF!&lt;&gt;"",Input!AA224&lt;&gt;"")),"+","")&amp;Input!#REF!&amp;IF(AND(Input!#REF!&lt;&gt;"",OR(Input!#REF!&lt;&gt;"",Input!AA224&lt;&gt;"",Input!#REF!&lt;&gt;"")),"+","")&amp;Input!#REF!&amp;IF(AND(Input!#REF!&lt;&gt;"",OR(Input!#REF!&lt;&gt;"",Input!AA224&lt;&gt;"",Input!#REF!&lt;&gt;"",Input!#REF!&lt;&gt;"")),"+","")&amp;Input!#REF!,"")</f>
        <v/>
      </c>
      <c r="AH224" t="str">
        <f t="shared" si="50"/>
        <v/>
      </c>
      <c r="AI224" t="str">
        <f>IF($I224&lt;&gt;"",IF(ISNUMBER(Input!AC224),ROUNDDOWN(Input!AC224,0),0)+IF(ISNUMBER(Input!#REF!),ROUNDDOWN(Input!#REF!,0),0)+IF(ISNUMBER(Input!#REF!),ROUNDDOWN(Input!#REF!,0),0)+IF(ISNUMBER(Input!#REF!),ROUNDDOWN(Input!#REF!,0),0)+IF(ISNUMBER(Input!#REF!),ROUNDDOWN(Input!#REF!,0),0),"")</f>
        <v/>
      </c>
      <c r="AJ224" t="str">
        <f>IF($I224&lt;&gt;"",Input!AD224&amp;IF(AND(Input!#REF!&lt;&gt;"",Input!AD224&lt;&gt;""),"+","")&amp;Input!#REF!&amp;IF(AND(Input!#REF!&lt;&gt;"",OR(Input!#REF!&lt;&gt;"",Input!AD224&lt;&gt;"")),"+","")&amp;Input!#REF!&amp;IF(AND(Input!#REF!&lt;&gt;"",OR(Input!#REF!&lt;&gt;"",Input!AD224&lt;&gt;"",Input!#REF!&lt;&gt;"")),"+","")&amp;Input!#REF!&amp;IF(AND(Input!#REF!&lt;&gt;"",OR(Input!#REF!&lt;&gt;"",Input!AD224&lt;&gt;"",Input!#REF!&lt;&gt;"",Input!#REF!&lt;&gt;"")),"+","")&amp;Input!#REF!,"")</f>
        <v/>
      </c>
      <c r="AK224" t="str">
        <f t="shared" si="51"/>
        <v/>
      </c>
    </row>
    <row r="225" spans="3:37" x14ac:dyDescent="0.35">
      <c r="C225" s="3"/>
      <c r="D225"/>
      <c r="E225"/>
      <c r="F225" s="3"/>
      <c r="I225" t="str">
        <f>IF(Input!A225&gt;0,Input!A225,"")</f>
        <v/>
      </c>
      <c r="J225" t="str">
        <f>IF(Input!B225&gt;0,Input!B225,"")</f>
        <v/>
      </c>
      <c r="K225" t="str">
        <f>IF(Input!C225&gt;0,Input!C225,"")</f>
        <v/>
      </c>
      <c r="L225" t="str">
        <f>IF(Input!D225&gt;0,Input!D225,"")</f>
        <v/>
      </c>
      <c r="M225" t="str">
        <f>IF(Input!E225&gt;0,Input!E225,"")</f>
        <v/>
      </c>
      <c r="N225" t="str">
        <f>IF(Input!F225&gt;0,Input!F225,"")</f>
        <v/>
      </c>
      <c r="O225" t="str">
        <f>IF($I225&lt;&gt;"",Input!I225&amp;IF(AND(Input!AG225&lt;&gt;"",Input!I225&lt;&gt;""),"+","")&amp;Input!AG225&amp;IF(AND(Input!#REF!&lt;&gt;"",OR(Input!AG225&lt;&gt;"",Input!I225&lt;&gt;"")),"+","")&amp;Input!#REF!&amp;IF(AND(Input!#REF!&lt;&gt;"",OR(Input!AG225&lt;&gt;"",Input!I225&lt;&gt;"",Input!#REF!&lt;&gt;"")),"+","")&amp;Input!#REF!&amp;IF(AND(Input!#REF!&lt;&gt;"",OR(Input!AG225&lt;&gt;"",Input!I225&lt;&gt;"",Input!#REF!&lt;&gt;"",Input!#REF!&lt;&gt;"")),"+","")&amp;Input!#REF!,"")</f>
        <v/>
      </c>
      <c r="P225" t="str">
        <f t="shared" si="44"/>
        <v/>
      </c>
      <c r="Q225" t="str">
        <f>IF($I225&lt;&gt;"",IF(ISNUMBER(Input!K225),ROUNDDOWN(Input!K225,0),0)+IF(ISNUMBER(Input!AI225),ROUNDDOWN(Input!AI225,0),0)+IF(ISNUMBER(Input!#REF!),ROUNDDOWN(Input!#REF!,0),0)+IF(ISNUMBER(Input!#REF!),ROUNDDOWN(Input!#REF!,0),0)+IF(ISNUMBER(Input!#REF!),ROUNDDOWN(Input!#REF!,0),0),"")</f>
        <v/>
      </c>
      <c r="R225" t="str">
        <f>IF($I225&lt;&gt;"",Input!L225&amp;IF(AND(Input!#REF!&lt;&gt;"",Input!L225&lt;&gt;""),"+","")&amp;Input!#REF!&amp;IF(AND(Input!#REF!&lt;&gt;"",OR(Input!#REF!&lt;&gt;"",Input!L225&lt;&gt;"")),"+","")&amp;Input!#REF!&amp;IF(AND(Input!#REF!&lt;&gt;"",OR(Input!#REF!&lt;&gt;"",Input!L225&lt;&gt;"",Input!#REF!&lt;&gt;"")),"+","")&amp;Input!#REF!&amp;IF(AND(Input!#REF!&lt;&gt;"",OR(Input!#REF!&lt;&gt;"",Input!L225&lt;&gt;"",Input!#REF!&lt;&gt;"",Input!#REF!&lt;&gt;"")),"+","")&amp;Input!#REF!,"")</f>
        <v/>
      </c>
      <c r="S225" t="str">
        <f t="shared" si="45"/>
        <v/>
      </c>
      <c r="T225" t="str">
        <f>IF($I225&lt;&gt;"",IF(ISNUMBER(Input!N225),ROUNDDOWN(Input!N225,0),0)+IF(ISNUMBER(Input!#REF!),ROUNDDOWN(Input!#REF!,0),0)+IF(ISNUMBER(Input!#REF!),ROUNDDOWN(Input!#REF!,0),0)+IF(ISNUMBER(Input!#REF!),ROUNDDOWN(Input!#REF!,0),0)+IF(ISNUMBER(Input!#REF!),ROUNDDOWN(Input!#REF!,0),0),"")</f>
        <v/>
      </c>
      <c r="U225" t="str">
        <f>IF($I225&lt;&gt;"",Input!O225&amp;IF(AND(Input!#REF!&lt;&gt;"",Input!O225&lt;&gt;""),"+","")&amp;Input!#REF!&amp;IF(AND(Input!#REF!&lt;&gt;"",OR(Input!#REF!&lt;&gt;"",Input!O225&lt;&gt;"")),"+","")&amp;Input!#REF!&amp;IF(AND(Input!#REF!&lt;&gt;"",OR(Input!#REF!&lt;&gt;"",Input!O225&lt;&gt;"",Input!#REF!&lt;&gt;"")),"+","")&amp;Input!#REF!&amp;IF(AND(Input!#REF!&lt;&gt;"",OR(Input!#REF!&lt;&gt;"",Input!O225&lt;&gt;"",Input!#REF!&lt;&gt;"",Input!#REF!&lt;&gt;"")),"+","")&amp;Input!#REF!,"")</f>
        <v/>
      </c>
      <c r="V225" t="str">
        <f t="shared" si="46"/>
        <v/>
      </c>
      <c r="W225" t="str">
        <f>IF($I225&lt;&gt;"",IF(ISNUMBER(Input!Q225),ROUNDDOWN(Input!Q225,0),0)+IF(ISNUMBER(Input!#REF!),ROUNDDOWN(Input!#REF!,0),0)+IF(ISNUMBER(Input!#REF!),ROUNDDOWN(Input!#REF!,0),0)+IF(ISNUMBER(Input!#REF!),ROUNDDOWN(Input!#REF!,0),0)+IF(ISNUMBER(Input!#REF!),ROUNDDOWN(Input!#REF!,0),0),"")</f>
        <v/>
      </c>
      <c r="X225" t="str">
        <f>IF($I225&lt;&gt;"",Input!R225&amp;IF(AND(Input!#REF!&lt;&gt;"",Input!R225&lt;&gt;""),"+","")&amp;Input!#REF!&amp;IF(AND(Input!#REF!&lt;&gt;"",OR(Input!#REF!&lt;&gt;"",Input!R225&lt;&gt;"")),"+","")&amp;Input!#REF!&amp;IF(AND(Input!#REF!&lt;&gt;"",OR(Input!#REF!&lt;&gt;"",Input!R225&lt;&gt;"",Input!#REF!&lt;&gt;"")),"+","")&amp;Input!#REF!&amp;IF(AND(Input!#REF!&lt;&gt;"",OR(Input!#REF!&lt;&gt;"",Input!R225&lt;&gt;"",Input!#REF!&lt;&gt;"",Input!#REF!&lt;&gt;"")),"+","")&amp;Input!#REF!,"")</f>
        <v/>
      </c>
      <c r="Y225" t="str">
        <f t="shared" si="47"/>
        <v/>
      </c>
      <c r="Z225" t="str">
        <f>IF($I225&lt;&gt;"",IF(ISNUMBER(Input!T225),ROUNDDOWN(Input!T225,0),0)+IF(ISNUMBER(Input!#REF!),ROUNDDOWN(Input!#REF!,0),0)+IF(ISNUMBER(Input!#REF!),ROUNDDOWN(Input!#REF!,0),0)+IF(ISNUMBER(Input!#REF!),ROUNDDOWN(Input!#REF!,0),0)+IF(ISNUMBER(Input!#REF!),ROUNDDOWN(Input!#REF!,0),0),"")</f>
        <v/>
      </c>
      <c r="AA225" t="str">
        <f>IF($I225&lt;&gt;"",Input!U225&amp;IF(AND(Input!#REF!&lt;&gt;"",Input!U225&lt;&gt;""),"+","")&amp;Input!#REF!&amp;IF(AND(Input!#REF!&lt;&gt;"",OR(Input!#REF!&lt;&gt;"",Input!U225&lt;&gt;"")),"+","")&amp;Input!#REF!&amp;IF(AND(Input!#REF!&lt;&gt;"",OR(Input!#REF!&lt;&gt;"",Input!U225&lt;&gt;"",Input!#REF!&lt;&gt;"")),"+","")&amp;Input!#REF!&amp;IF(AND(Input!#REF!&lt;&gt;"",OR(Input!#REF!&lt;&gt;"",Input!U225&lt;&gt;"",Input!#REF!&lt;&gt;"",Input!#REF!&lt;&gt;"")),"+","")&amp;Input!#REF!,"")</f>
        <v/>
      </c>
      <c r="AB225" t="str">
        <f t="shared" si="48"/>
        <v/>
      </c>
      <c r="AC225" t="str">
        <f>IF($I225&lt;&gt;"",IF(ISNUMBER(Input!W225),ROUNDDOWN(Input!W225,0),0)+IF(ISNUMBER(Input!#REF!),ROUNDDOWN(Input!#REF!,0),0)+IF(ISNUMBER(Input!#REF!),ROUNDDOWN(Input!#REF!,0),0)+IF(ISNUMBER(Input!#REF!),ROUNDDOWN(Input!#REF!,0),0)+IF(ISNUMBER(Input!#REF!),ROUNDDOWN(Input!#REF!,0),0),"")</f>
        <v/>
      </c>
      <c r="AD225" t="str">
        <f>IF($I225&lt;&gt;"",Input!X225&amp;IF(AND(Input!#REF!&lt;&gt;"",Input!X225&lt;&gt;""),"+","")&amp;Input!#REF!&amp;IF(AND(Input!#REF!&lt;&gt;"",OR(Input!#REF!&lt;&gt;"",Input!X225&lt;&gt;"")),"+","")&amp;Input!#REF!&amp;IF(AND(Input!#REF!&lt;&gt;"",OR(Input!#REF!&lt;&gt;"",Input!X225&lt;&gt;"",Input!#REF!&lt;&gt;"")),"+","")&amp;Input!#REF!&amp;IF(AND(Input!#REF!&lt;&gt;"",OR(Input!#REF!&lt;&gt;"",Input!X225&lt;&gt;"",Input!#REF!&lt;&gt;"",Input!#REF!&lt;&gt;"")),"+","")&amp;Input!#REF!,"")</f>
        <v/>
      </c>
      <c r="AE225" t="str">
        <f t="shared" si="49"/>
        <v/>
      </c>
      <c r="AF225" t="str">
        <f>IF($I225&lt;&gt;"",IF(ISNUMBER(Input!Z225),ROUNDDOWN(Input!Z225,0),0)+IF(ISNUMBER(Input!#REF!),ROUNDDOWN(Input!#REF!,0),0)+IF(ISNUMBER(Input!#REF!),ROUNDDOWN(Input!#REF!,0),0)+IF(ISNUMBER(Input!#REF!),ROUNDDOWN(Input!#REF!,0),0)+IF(ISNUMBER(Input!#REF!),ROUNDDOWN(Input!#REF!,0),0),"")</f>
        <v/>
      </c>
      <c r="AG225" t="str">
        <f>IF($I225&lt;&gt;"",Input!AA225&amp;IF(AND(Input!#REF!&lt;&gt;"",Input!AA225&lt;&gt;""),"+","")&amp;Input!#REF!&amp;IF(AND(Input!#REF!&lt;&gt;"",OR(Input!#REF!&lt;&gt;"",Input!AA225&lt;&gt;"")),"+","")&amp;Input!#REF!&amp;IF(AND(Input!#REF!&lt;&gt;"",OR(Input!#REF!&lt;&gt;"",Input!AA225&lt;&gt;"",Input!#REF!&lt;&gt;"")),"+","")&amp;Input!#REF!&amp;IF(AND(Input!#REF!&lt;&gt;"",OR(Input!#REF!&lt;&gt;"",Input!AA225&lt;&gt;"",Input!#REF!&lt;&gt;"",Input!#REF!&lt;&gt;"")),"+","")&amp;Input!#REF!,"")</f>
        <v/>
      </c>
      <c r="AH225" t="str">
        <f t="shared" si="50"/>
        <v/>
      </c>
      <c r="AI225" t="str">
        <f>IF($I225&lt;&gt;"",IF(ISNUMBER(Input!AC225),ROUNDDOWN(Input!AC225,0),0)+IF(ISNUMBER(Input!#REF!),ROUNDDOWN(Input!#REF!,0),0)+IF(ISNUMBER(Input!#REF!),ROUNDDOWN(Input!#REF!,0),0)+IF(ISNUMBER(Input!#REF!),ROUNDDOWN(Input!#REF!,0),0)+IF(ISNUMBER(Input!#REF!),ROUNDDOWN(Input!#REF!,0),0),"")</f>
        <v/>
      </c>
      <c r="AJ225" t="str">
        <f>IF($I225&lt;&gt;"",Input!AD225&amp;IF(AND(Input!#REF!&lt;&gt;"",Input!AD225&lt;&gt;""),"+","")&amp;Input!#REF!&amp;IF(AND(Input!#REF!&lt;&gt;"",OR(Input!#REF!&lt;&gt;"",Input!AD225&lt;&gt;"")),"+","")&amp;Input!#REF!&amp;IF(AND(Input!#REF!&lt;&gt;"",OR(Input!#REF!&lt;&gt;"",Input!AD225&lt;&gt;"",Input!#REF!&lt;&gt;"")),"+","")&amp;Input!#REF!&amp;IF(AND(Input!#REF!&lt;&gt;"",OR(Input!#REF!&lt;&gt;"",Input!AD225&lt;&gt;"",Input!#REF!&lt;&gt;"",Input!#REF!&lt;&gt;"")),"+","")&amp;Input!#REF!,"")</f>
        <v/>
      </c>
      <c r="AK225" t="str">
        <f t="shared" si="51"/>
        <v/>
      </c>
    </row>
    <row r="226" spans="3:37" x14ac:dyDescent="0.35">
      <c r="C226" s="3"/>
      <c r="D226"/>
      <c r="E226"/>
      <c r="F226" s="3"/>
      <c r="I226" t="str">
        <f>IF(Input!A226&gt;0,Input!A226,"")</f>
        <v/>
      </c>
      <c r="J226" t="str">
        <f>IF(Input!B226&gt;0,Input!B226,"")</f>
        <v/>
      </c>
      <c r="K226" t="str">
        <f>IF(Input!C226&gt;0,Input!C226,"")</f>
        <v/>
      </c>
      <c r="L226" t="str">
        <f>IF(Input!D226&gt;0,Input!D226,"")</f>
        <v/>
      </c>
      <c r="M226" t="str">
        <f>IF(Input!E226&gt;0,Input!E226,"")</f>
        <v/>
      </c>
      <c r="N226" t="str">
        <f>IF(Input!F226&gt;0,Input!F226,"")</f>
        <v/>
      </c>
      <c r="O226" t="str">
        <f>IF($I226&lt;&gt;"",Input!I226&amp;IF(AND(Input!AG226&lt;&gt;"",Input!I226&lt;&gt;""),"+","")&amp;Input!AG226&amp;IF(AND(Input!#REF!&lt;&gt;"",OR(Input!AG226&lt;&gt;"",Input!I226&lt;&gt;"")),"+","")&amp;Input!#REF!&amp;IF(AND(Input!#REF!&lt;&gt;"",OR(Input!AG226&lt;&gt;"",Input!I226&lt;&gt;"",Input!#REF!&lt;&gt;"")),"+","")&amp;Input!#REF!&amp;IF(AND(Input!#REF!&lt;&gt;"",OR(Input!AG226&lt;&gt;"",Input!I226&lt;&gt;"",Input!#REF!&lt;&gt;"",Input!#REF!&lt;&gt;"")),"+","")&amp;Input!#REF!,"")</f>
        <v/>
      </c>
      <c r="P226" t="str">
        <f t="shared" si="44"/>
        <v/>
      </c>
      <c r="Q226" t="str">
        <f>IF($I226&lt;&gt;"",IF(ISNUMBER(Input!K226),ROUNDDOWN(Input!K226,0),0)+IF(ISNUMBER(Input!AI226),ROUNDDOWN(Input!AI226,0),0)+IF(ISNUMBER(Input!#REF!),ROUNDDOWN(Input!#REF!,0),0)+IF(ISNUMBER(Input!#REF!),ROUNDDOWN(Input!#REF!,0),0)+IF(ISNUMBER(Input!#REF!),ROUNDDOWN(Input!#REF!,0),0),"")</f>
        <v/>
      </c>
      <c r="R226" t="str">
        <f>IF($I226&lt;&gt;"",Input!L226&amp;IF(AND(Input!#REF!&lt;&gt;"",Input!L226&lt;&gt;""),"+","")&amp;Input!#REF!&amp;IF(AND(Input!#REF!&lt;&gt;"",OR(Input!#REF!&lt;&gt;"",Input!L226&lt;&gt;"")),"+","")&amp;Input!#REF!&amp;IF(AND(Input!#REF!&lt;&gt;"",OR(Input!#REF!&lt;&gt;"",Input!L226&lt;&gt;"",Input!#REF!&lt;&gt;"")),"+","")&amp;Input!#REF!&amp;IF(AND(Input!#REF!&lt;&gt;"",OR(Input!#REF!&lt;&gt;"",Input!L226&lt;&gt;"",Input!#REF!&lt;&gt;"",Input!#REF!&lt;&gt;"")),"+","")&amp;Input!#REF!,"")</f>
        <v/>
      </c>
      <c r="S226" t="str">
        <f t="shared" si="45"/>
        <v/>
      </c>
      <c r="T226" t="str">
        <f>IF($I226&lt;&gt;"",IF(ISNUMBER(Input!N226),ROUNDDOWN(Input!N226,0),0)+IF(ISNUMBER(Input!#REF!),ROUNDDOWN(Input!#REF!,0),0)+IF(ISNUMBER(Input!#REF!),ROUNDDOWN(Input!#REF!,0),0)+IF(ISNUMBER(Input!#REF!),ROUNDDOWN(Input!#REF!,0),0)+IF(ISNUMBER(Input!#REF!),ROUNDDOWN(Input!#REF!,0),0),"")</f>
        <v/>
      </c>
      <c r="U226" t="str">
        <f>IF($I226&lt;&gt;"",Input!O226&amp;IF(AND(Input!#REF!&lt;&gt;"",Input!O226&lt;&gt;""),"+","")&amp;Input!#REF!&amp;IF(AND(Input!#REF!&lt;&gt;"",OR(Input!#REF!&lt;&gt;"",Input!O226&lt;&gt;"")),"+","")&amp;Input!#REF!&amp;IF(AND(Input!#REF!&lt;&gt;"",OR(Input!#REF!&lt;&gt;"",Input!O226&lt;&gt;"",Input!#REF!&lt;&gt;"")),"+","")&amp;Input!#REF!&amp;IF(AND(Input!#REF!&lt;&gt;"",OR(Input!#REF!&lt;&gt;"",Input!O226&lt;&gt;"",Input!#REF!&lt;&gt;"",Input!#REF!&lt;&gt;"")),"+","")&amp;Input!#REF!,"")</f>
        <v/>
      </c>
      <c r="V226" t="str">
        <f t="shared" si="46"/>
        <v/>
      </c>
      <c r="W226" t="str">
        <f>IF($I226&lt;&gt;"",IF(ISNUMBER(Input!Q226),ROUNDDOWN(Input!Q226,0),0)+IF(ISNUMBER(Input!#REF!),ROUNDDOWN(Input!#REF!,0),0)+IF(ISNUMBER(Input!#REF!),ROUNDDOWN(Input!#REF!,0),0)+IF(ISNUMBER(Input!#REF!),ROUNDDOWN(Input!#REF!,0),0)+IF(ISNUMBER(Input!#REF!),ROUNDDOWN(Input!#REF!,0),0),"")</f>
        <v/>
      </c>
      <c r="X226" t="str">
        <f>IF($I226&lt;&gt;"",Input!R226&amp;IF(AND(Input!#REF!&lt;&gt;"",Input!R226&lt;&gt;""),"+","")&amp;Input!#REF!&amp;IF(AND(Input!#REF!&lt;&gt;"",OR(Input!#REF!&lt;&gt;"",Input!R226&lt;&gt;"")),"+","")&amp;Input!#REF!&amp;IF(AND(Input!#REF!&lt;&gt;"",OR(Input!#REF!&lt;&gt;"",Input!R226&lt;&gt;"",Input!#REF!&lt;&gt;"")),"+","")&amp;Input!#REF!&amp;IF(AND(Input!#REF!&lt;&gt;"",OR(Input!#REF!&lt;&gt;"",Input!R226&lt;&gt;"",Input!#REF!&lt;&gt;"",Input!#REF!&lt;&gt;"")),"+","")&amp;Input!#REF!,"")</f>
        <v/>
      </c>
      <c r="Y226" t="str">
        <f t="shared" si="47"/>
        <v/>
      </c>
      <c r="Z226" t="str">
        <f>IF($I226&lt;&gt;"",IF(ISNUMBER(Input!T226),ROUNDDOWN(Input!T226,0),0)+IF(ISNUMBER(Input!#REF!),ROUNDDOWN(Input!#REF!,0),0)+IF(ISNUMBER(Input!#REF!),ROUNDDOWN(Input!#REF!,0),0)+IF(ISNUMBER(Input!#REF!),ROUNDDOWN(Input!#REF!,0),0)+IF(ISNUMBER(Input!#REF!),ROUNDDOWN(Input!#REF!,0),0),"")</f>
        <v/>
      </c>
      <c r="AA226" t="str">
        <f>IF($I226&lt;&gt;"",Input!U226&amp;IF(AND(Input!#REF!&lt;&gt;"",Input!U226&lt;&gt;""),"+","")&amp;Input!#REF!&amp;IF(AND(Input!#REF!&lt;&gt;"",OR(Input!#REF!&lt;&gt;"",Input!U226&lt;&gt;"")),"+","")&amp;Input!#REF!&amp;IF(AND(Input!#REF!&lt;&gt;"",OR(Input!#REF!&lt;&gt;"",Input!U226&lt;&gt;"",Input!#REF!&lt;&gt;"")),"+","")&amp;Input!#REF!&amp;IF(AND(Input!#REF!&lt;&gt;"",OR(Input!#REF!&lt;&gt;"",Input!U226&lt;&gt;"",Input!#REF!&lt;&gt;"",Input!#REF!&lt;&gt;"")),"+","")&amp;Input!#REF!,"")</f>
        <v/>
      </c>
      <c r="AB226" t="str">
        <f t="shared" si="48"/>
        <v/>
      </c>
      <c r="AC226" t="str">
        <f>IF($I226&lt;&gt;"",IF(ISNUMBER(Input!W226),ROUNDDOWN(Input!W226,0),0)+IF(ISNUMBER(Input!#REF!),ROUNDDOWN(Input!#REF!,0),0)+IF(ISNUMBER(Input!#REF!),ROUNDDOWN(Input!#REF!,0),0)+IF(ISNUMBER(Input!#REF!),ROUNDDOWN(Input!#REF!,0),0)+IF(ISNUMBER(Input!#REF!),ROUNDDOWN(Input!#REF!,0),0),"")</f>
        <v/>
      </c>
      <c r="AD226" t="str">
        <f>IF($I226&lt;&gt;"",Input!X226&amp;IF(AND(Input!#REF!&lt;&gt;"",Input!X226&lt;&gt;""),"+","")&amp;Input!#REF!&amp;IF(AND(Input!#REF!&lt;&gt;"",OR(Input!#REF!&lt;&gt;"",Input!X226&lt;&gt;"")),"+","")&amp;Input!#REF!&amp;IF(AND(Input!#REF!&lt;&gt;"",OR(Input!#REF!&lt;&gt;"",Input!X226&lt;&gt;"",Input!#REF!&lt;&gt;"")),"+","")&amp;Input!#REF!&amp;IF(AND(Input!#REF!&lt;&gt;"",OR(Input!#REF!&lt;&gt;"",Input!X226&lt;&gt;"",Input!#REF!&lt;&gt;"",Input!#REF!&lt;&gt;"")),"+","")&amp;Input!#REF!,"")</f>
        <v/>
      </c>
      <c r="AE226" t="str">
        <f t="shared" si="49"/>
        <v/>
      </c>
      <c r="AF226" t="str">
        <f>IF($I226&lt;&gt;"",IF(ISNUMBER(Input!Z226),ROUNDDOWN(Input!Z226,0),0)+IF(ISNUMBER(Input!#REF!),ROUNDDOWN(Input!#REF!,0),0)+IF(ISNUMBER(Input!#REF!),ROUNDDOWN(Input!#REF!,0),0)+IF(ISNUMBER(Input!#REF!),ROUNDDOWN(Input!#REF!,0),0)+IF(ISNUMBER(Input!#REF!),ROUNDDOWN(Input!#REF!,0),0),"")</f>
        <v/>
      </c>
      <c r="AG226" t="str">
        <f>IF($I226&lt;&gt;"",Input!AA226&amp;IF(AND(Input!#REF!&lt;&gt;"",Input!AA226&lt;&gt;""),"+","")&amp;Input!#REF!&amp;IF(AND(Input!#REF!&lt;&gt;"",OR(Input!#REF!&lt;&gt;"",Input!AA226&lt;&gt;"")),"+","")&amp;Input!#REF!&amp;IF(AND(Input!#REF!&lt;&gt;"",OR(Input!#REF!&lt;&gt;"",Input!AA226&lt;&gt;"",Input!#REF!&lt;&gt;"")),"+","")&amp;Input!#REF!&amp;IF(AND(Input!#REF!&lt;&gt;"",OR(Input!#REF!&lt;&gt;"",Input!AA226&lt;&gt;"",Input!#REF!&lt;&gt;"",Input!#REF!&lt;&gt;"")),"+","")&amp;Input!#REF!,"")</f>
        <v/>
      </c>
      <c r="AH226" t="str">
        <f t="shared" si="50"/>
        <v/>
      </c>
      <c r="AI226" t="str">
        <f>IF($I226&lt;&gt;"",IF(ISNUMBER(Input!AC226),ROUNDDOWN(Input!AC226,0),0)+IF(ISNUMBER(Input!#REF!),ROUNDDOWN(Input!#REF!,0),0)+IF(ISNUMBER(Input!#REF!),ROUNDDOWN(Input!#REF!,0),0)+IF(ISNUMBER(Input!#REF!),ROUNDDOWN(Input!#REF!,0),0)+IF(ISNUMBER(Input!#REF!),ROUNDDOWN(Input!#REF!,0),0),"")</f>
        <v/>
      </c>
      <c r="AJ226" t="str">
        <f>IF($I226&lt;&gt;"",Input!AD226&amp;IF(AND(Input!#REF!&lt;&gt;"",Input!AD226&lt;&gt;""),"+","")&amp;Input!#REF!&amp;IF(AND(Input!#REF!&lt;&gt;"",OR(Input!#REF!&lt;&gt;"",Input!AD226&lt;&gt;"")),"+","")&amp;Input!#REF!&amp;IF(AND(Input!#REF!&lt;&gt;"",OR(Input!#REF!&lt;&gt;"",Input!AD226&lt;&gt;"",Input!#REF!&lt;&gt;"")),"+","")&amp;Input!#REF!&amp;IF(AND(Input!#REF!&lt;&gt;"",OR(Input!#REF!&lt;&gt;"",Input!AD226&lt;&gt;"",Input!#REF!&lt;&gt;"",Input!#REF!&lt;&gt;"")),"+","")&amp;Input!#REF!,"")</f>
        <v/>
      </c>
      <c r="AK226" t="str">
        <f t="shared" si="51"/>
        <v/>
      </c>
    </row>
    <row r="227" spans="3:37" x14ac:dyDescent="0.35">
      <c r="C227" s="3"/>
      <c r="D227"/>
      <c r="E227"/>
      <c r="F227" s="3"/>
      <c r="I227" t="str">
        <f>IF(Input!A227&gt;0,Input!A227,"")</f>
        <v/>
      </c>
      <c r="J227" t="str">
        <f>IF(Input!B227&gt;0,Input!B227,"")</f>
        <v/>
      </c>
      <c r="K227" t="str">
        <f>IF(Input!C227&gt;0,Input!C227,"")</f>
        <v/>
      </c>
      <c r="L227" t="str">
        <f>IF(Input!D227&gt;0,Input!D227,"")</f>
        <v/>
      </c>
      <c r="M227" t="str">
        <f>IF(Input!E227&gt;0,Input!E227,"")</f>
        <v/>
      </c>
      <c r="N227" t="str">
        <f>IF(Input!F227&gt;0,Input!F227,"")</f>
        <v/>
      </c>
      <c r="O227" t="str">
        <f>IF($I227&lt;&gt;"",Input!I227&amp;IF(AND(Input!AG227&lt;&gt;"",Input!I227&lt;&gt;""),"+","")&amp;Input!AG227&amp;IF(AND(Input!#REF!&lt;&gt;"",OR(Input!AG227&lt;&gt;"",Input!I227&lt;&gt;"")),"+","")&amp;Input!#REF!&amp;IF(AND(Input!#REF!&lt;&gt;"",OR(Input!AG227&lt;&gt;"",Input!I227&lt;&gt;"",Input!#REF!&lt;&gt;"")),"+","")&amp;Input!#REF!&amp;IF(AND(Input!#REF!&lt;&gt;"",OR(Input!AG227&lt;&gt;"",Input!I227&lt;&gt;"",Input!#REF!&lt;&gt;"",Input!#REF!&lt;&gt;"")),"+","")&amp;Input!#REF!,"")</f>
        <v/>
      </c>
      <c r="P227" t="str">
        <f t="shared" si="44"/>
        <v/>
      </c>
      <c r="Q227" t="str">
        <f>IF($I227&lt;&gt;"",IF(ISNUMBER(Input!K227),ROUNDDOWN(Input!K227,0),0)+IF(ISNUMBER(Input!AI227),ROUNDDOWN(Input!AI227,0),0)+IF(ISNUMBER(Input!#REF!),ROUNDDOWN(Input!#REF!,0),0)+IF(ISNUMBER(Input!#REF!),ROUNDDOWN(Input!#REF!,0),0)+IF(ISNUMBER(Input!#REF!),ROUNDDOWN(Input!#REF!,0),0),"")</f>
        <v/>
      </c>
      <c r="R227" t="str">
        <f>IF($I227&lt;&gt;"",Input!L227&amp;IF(AND(Input!#REF!&lt;&gt;"",Input!L227&lt;&gt;""),"+","")&amp;Input!#REF!&amp;IF(AND(Input!#REF!&lt;&gt;"",OR(Input!#REF!&lt;&gt;"",Input!L227&lt;&gt;"")),"+","")&amp;Input!#REF!&amp;IF(AND(Input!#REF!&lt;&gt;"",OR(Input!#REF!&lt;&gt;"",Input!L227&lt;&gt;"",Input!#REF!&lt;&gt;"")),"+","")&amp;Input!#REF!&amp;IF(AND(Input!#REF!&lt;&gt;"",OR(Input!#REF!&lt;&gt;"",Input!L227&lt;&gt;"",Input!#REF!&lt;&gt;"",Input!#REF!&lt;&gt;"")),"+","")&amp;Input!#REF!,"")</f>
        <v/>
      </c>
      <c r="S227" t="str">
        <f t="shared" si="45"/>
        <v/>
      </c>
      <c r="T227" t="str">
        <f>IF($I227&lt;&gt;"",IF(ISNUMBER(Input!N227),ROUNDDOWN(Input!N227,0),0)+IF(ISNUMBER(Input!#REF!),ROUNDDOWN(Input!#REF!,0),0)+IF(ISNUMBER(Input!#REF!),ROUNDDOWN(Input!#REF!,0),0)+IF(ISNUMBER(Input!#REF!),ROUNDDOWN(Input!#REF!,0),0)+IF(ISNUMBER(Input!#REF!),ROUNDDOWN(Input!#REF!,0),0),"")</f>
        <v/>
      </c>
      <c r="U227" t="str">
        <f>IF($I227&lt;&gt;"",Input!O227&amp;IF(AND(Input!#REF!&lt;&gt;"",Input!O227&lt;&gt;""),"+","")&amp;Input!#REF!&amp;IF(AND(Input!#REF!&lt;&gt;"",OR(Input!#REF!&lt;&gt;"",Input!O227&lt;&gt;"")),"+","")&amp;Input!#REF!&amp;IF(AND(Input!#REF!&lt;&gt;"",OR(Input!#REF!&lt;&gt;"",Input!O227&lt;&gt;"",Input!#REF!&lt;&gt;"")),"+","")&amp;Input!#REF!&amp;IF(AND(Input!#REF!&lt;&gt;"",OR(Input!#REF!&lt;&gt;"",Input!O227&lt;&gt;"",Input!#REF!&lt;&gt;"",Input!#REF!&lt;&gt;"")),"+","")&amp;Input!#REF!,"")</f>
        <v/>
      </c>
      <c r="V227" t="str">
        <f t="shared" si="46"/>
        <v/>
      </c>
      <c r="W227" t="str">
        <f>IF($I227&lt;&gt;"",IF(ISNUMBER(Input!Q227),ROUNDDOWN(Input!Q227,0),0)+IF(ISNUMBER(Input!#REF!),ROUNDDOWN(Input!#REF!,0),0)+IF(ISNUMBER(Input!#REF!),ROUNDDOWN(Input!#REF!,0),0)+IF(ISNUMBER(Input!#REF!),ROUNDDOWN(Input!#REF!,0),0)+IF(ISNUMBER(Input!#REF!),ROUNDDOWN(Input!#REF!,0),0),"")</f>
        <v/>
      </c>
      <c r="X227" t="str">
        <f>IF($I227&lt;&gt;"",Input!R227&amp;IF(AND(Input!#REF!&lt;&gt;"",Input!R227&lt;&gt;""),"+","")&amp;Input!#REF!&amp;IF(AND(Input!#REF!&lt;&gt;"",OR(Input!#REF!&lt;&gt;"",Input!R227&lt;&gt;"")),"+","")&amp;Input!#REF!&amp;IF(AND(Input!#REF!&lt;&gt;"",OR(Input!#REF!&lt;&gt;"",Input!R227&lt;&gt;"",Input!#REF!&lt;&gt;"")),"+","")&amp;Input!#REF!&amp;IF(AND(Input!#REF!&lt;&gt;"",OR(Input!#REF!&lt;&gt;"",Input!R227&lt;&gt;"",Input!#REF!&lt;&gt;"",Input!#REF!&lt;&gt;"")),"+","")&amp;Input!#REF!,"")</f>
        <v/>
      </c>
      <c r="Y227" t="str">
        <f t="shared" si="47"/>
        <v/>
      </c>
      <c r="Z227" t="str">
        <f>IF($I227&lt;&gt;"",IF(ISNUMBER(Input!T227),ROUNDDOWN(Input!T227,0),0)+IF(ISNUMBER(Input!#REF!),ROUNDDOWN(Input!#REF!,0),0)+IF(ISNUMBER(Input!#REF!),ROUNDDOWN(Input!#REF!,0),0)+IF(ISNUMBER(Input!#REF!),ROUNDDOWN(Input!#REF!,0),0)+IF(ISNUMBER(Input!#REF!),ROUNDDOWN(Input!#REF!,0),0),"")</f>
        <v/>
      </c>
      <c r="AA227" t="str">
        <f>IF($I227&lt;&gt;"",Input!U227&amp;IF(AND(Input!#REF!&lt;&gt;"",Input!U227&lt;&gt;""),"+","")&amp;Input!#REF!&amp;IF(AND(Input!#REF!&lt;&gt;"",OR(Input!#REF!&lt;&gt;"",Input!U227&lt;&gt;"")),"+","")&amp;Input!#REF!&amp;IF(AND(Input!#REF!&lt;&gt;"",OR(Input!#REF!&lt;&gt;"",Input!U227&lt;&gt;"",Input!#REF!&lt;&gt;"")),"+","")&amp;Input!#REF!&amp;IF(AND(Input!#REF!&lt;&gt;"",OR(Input!#REF!&lt;&gt;"",Input!U227&lt;&gt;"",Input!#REF!&lt;&gt;"",Input!#REF!&lt;&gt;"")),"+","")&amp;Input!#REF!,"")</f>
        <v/>
      </c>
      <c r="AB227" t="str">
        <f t="shared" si="48"/>
        <v/>
      </c>
      <c r="AC227" t="str">
        <f>IF($I227&lt;&gt;"",IF(ISNUMBER(Input!W227),ROUNDDOWN(Input!W227,0),0)+IF(ISNUMBER(Input!#REF!),ROUNDDOWN(Input!#REF!,0),0)+IF(ISNUMBER(Input!#REF!),ROUNDDOWN(Input!#REF!,0),0)+IF(ISNUMBER(Input!#REF!),ROUNDDOWN(Input!#REF!,0),0)+IF(ISNUMBER(Input!#REF!),ROUNDDOWN(Input!#REF!,0),0),"")</f>
        <v/>
      </c>
      <c r="AD227" t="str">
        <f>IF($I227&lt;&gt;"",Input!X227&amp;IF(AND(Input!#REF!&lt;&gt;"",Input!X227&lt;&gt;""),"+","")&amp;Input!#REF!&amp;IF(AND(Input!#REF!&lt;&gt;"",OR(Input!#REF!&lt;&gt;"",Input!X227&lt;&gt;"")),"+","")&amp;Input!#REF!&amp;IF(AND(Input!#REF!&lt;&gt;"",OR(Input!#REF!&lt;&gt;"",Input!X227&lt;&gt;"",Input!#REF!&lt;&gt;"")),"+","")&amp;Input!#REF!&amp;IF(AND(Input!#REF!&lt;&gt;"",OR(Input!#REF!&lt;&gt;"",Input!X227&lt;&gt;"",Input!#REF!&lt;&gt;"",Input!#REF!&lt;&gt;"")),"+","")&amp;Input!#REF!,"")</f>
        <v/>
      </c>
      <c r="AE227" t="str">
        <f t="shared" si="49"/>
        <v/>
      </c>
      <c r="AF227" t="str">
        <f>IF($I227&lt;&gt;"",IF(ISNUMBER(Input!Z227),ROUNDDOWN(Input!Z227,0),0)+IF(ISNUMBER(Input!#REF!),ROUNDDOWN(Input!#REF!,0),0)+IF(ISNUMBER(Input!#REF!),ROUNDDOWN(Input!#REF!,0),0)+IF(ISNUMBER(Input!#REF!),ROUNDDOWN(Input!#REF!,0),0)+IF(ISNUMBER(Input!#REF!),ROUNDDOWN(Input!#REF!,0),0),"")</f>
        <v/>
      </c>
      <c r="AG227" t="str">
        <f>IF($I227&lt;&gt;"",Input!AA227&amp;IF(AND(Input!#REF!&lt;&gt;"",Input!AA227&lt;&gt;""),"+","")&amp;Input!#REF!&amp;IF(AND(Input!#REF!&lt;&gt;"",OR(Input!#REF!&lt;&gt;"",Input!AA227&lt;&gt;"")),"+","")&amp;Input!#REF!&amp;IF(AND(Input!#REF!&lt;&gt;"",OR(Input!#REF!&lt;&gt;"",Input!AA227&lt;&gt;"",Input!#REF!&lt;&gt;"")),"+","")&amp;Input!#REF!&amp;IF(AND(Input!#REF!&lt;&gt;"",OR(Input!#REF!&lt;&gt;"",Input!AA227&lt;&gt;"",Input!#REF!&lt;&gt;"",Input!#REF!&lt;&gt;"")),"+","")&amp;Input!#REF!,"")</f>
        <v/>
      </c>
      <c r="AH227" t="str">
        <f t="shared" si="50"/>
        <v/>
      </c>
      <c r="AI227" t="str">
        <f>IF($I227&lt;&gt;"",IF(ISNUMBER(Input!AC227),ROUNDDOWN(Input!AC227,0),0)+IF(ISNUMBER(Input!#REF!),ROUNDDOWN(Input!#REF!,0),0)+IF(ISNUMBER(Input!#REF!),ROUNDDOWN(Input!#REF!,0),0)+IF(ISNUMBER(Input!#REF!),ROUNDDOWN(Input!#REF!,0),0)+IF(ISNUMBER(Input!#REF!),ROUNDDOWN(Input!#REF!,0),0),"")</f>
        <v/>
      </c>
      <c r="AJ227" t="str">
        <f>IF($I227&lt;&gt;"",Input!AD227&amp;IF(AND(Input!#REF!&lt;&gt;"",Input!AD227&lt;&gt;""),"+","")&amp;Input!#REF!&amp;IF(AND(Input!#REF!&lt;&gt;"",OR(Input!#REF!&lt;&gt;"",Input!AD227&lt;&gt;"")),"+","")&amp;Input!#REF!&amp;IF(AND(Input!#REF!&lt;&gt;"",OR(Input!#REF!&lt;&gt;"",Input!AD227&lt;&gt;"",Input!#REF!&lt;&gt;"")),"+","")&amp;Input!#REF!&amp;IF(AND(Input!#REF!&lt;&gt;"",OR(Input!#REF!&lt;&gt;"",Input!AD227&lt;&gt;"",Input!#REF!&lt;&gt;"",Input!#REF!&lt;&gt;"")),"+","")&amp;Input!#REF!,"")</f>
        <v/>
      </c>
      <c r="AK227" t="str">
        <f t="shared" si="51"/>
        <v/>
      </c>
    </row>
    <row r="228" spans="3:37" x14ac:dyDescent="0.35">
      <c r="C228" s="3"/>
      <c r="D228"/>
      <c r="E228"/>
      <c r="F228" s="3"/>
      <c r="I228" t="str">
        <f>IF(Input!A228&gt;0,Input!A228,"")</f>
        <v/>
      </c>
      <c r="J228" t="str">
        <f>IF(Input!B228&gt;0,Input!B228,"")</f>
        <v/>
      </c>
      <c r="K228" t="str">
        <f>IF(Input!C228&gt;0,Input!C228,"")</f>
        <v/>
      </c>
      <c r="L228" t="str">
        <f>IF(Input!D228&gt;0,Input!D228,"")</f>
        <v/>
      </c>
      <c r="M228" t="str">
        <f>IF(Input!E228&gt;0,Input!E228,"")</f>
        <v/>
      </c>
      <c r="N228" t="str">
        <f>IF(Input!F228&gt;0,Input!F228,"")</f>
        <v/>
      </c>
      <c r="O228" t="str">
        <f>IF($I228&lt;&gt;"",Input!I228&amp;IF(AND(Input!AG228&lt;&gt;"",Input!I228&lt;&gt;""),"+","")&amp;Input!AG228&amp;IF(AND(Input!#REF!&lt;&gt;"",OR(Input!AG228&lt;&gt;"",Input!I228&lt;&gt;"")),"+","")&amp;Input!#REF!&amp;IF(AND(Input!#REF!&lt;&gt;"",OR(Input!AG228&lt;&gt;"",Input!I228&lt;&gt;"",Input!#REF!&lt;&gt;"")),"+","")&amp;Input!#REF!&amp;IF(AND(Input!#REF!&lt;&gt;"",OR(Input!AG228&lt;&gt;"",Input!I228&lt;&gt;"",Input!#REF!&lt;&gt;"",Input!#REF!&lt;&gt;"")),"+","")&amp;Input!#REF!,"")</f>
        <v/>
      </c>
      <c r="P228" t="str">
        <f t="shared" si="44"/>
        <v/>
      </c>
      <c r="Q228" t="str">
        <f>IF($I228&lt;&gt;"",IF(ISNUMBER(Input!K228),ROUNDDOWN(Input!K228,0),0)+IF(ISNUMBER(Input!AI228),ROUNDDOWN(Input!AI228,0),0)+IF(ISNUMBER(Input!#REF!),ROUNDDOWN(Input!#REF!,0),0)+IF(ISNUMBER(Input!#REF!),ROUNDDOWN(Input!#REF!,0),0)+IF(ISNUMBER(Input!#REF!),ROUNDDOWN(Input!#REF!,0),0),"")</f>
        <v/>
      </c>
      <c r="R228" t="str">
        <f>IF($I228&lt;&gt;"",Input!L228&amp;IF(AND(Input!#REF!&lt;&gt;"",Input!L228&lt;&gt;""),"+","")&amp;Input!#REF!&amp;IF(AND(Input!#REF!&lt;&gt;"",OR(Input!#REF!&lt;&gt;"",Input!L228&lt;&gt;"")),"+","")&amp;Input!#REF!&amp;IF(AND(Input!#REF!&lt;&gt;"",OR(Input!#REF!&lt;&gt;"",Input!L228&lt;&gt;"",Input!#REF!&lt;&gt;"")),"+","")&amp;Input!#REF!&amp;IF(AND(Input!#REF!&lt;&gt;"",OR(Input!#REF!&lt;&gt;"",Input!L228&lt;&gt;"",Input!#REF!&lt;&gt;"",Input!#REF!&lt;&gt;"")),"+","")&amp;Input!#REF!,"")</f>
        <v/>
      </c>
      <c r="S228" t="str">
        <f t="shared" si="45"/>
        <v/>
      </c>
      <c r="T228" t="str">
        <f>IF($I228&lt;&gt;"",IF(ISNUMBER(Input!N228),ROUNDDOWN(Input!N228,0),0)+IF(ISNUMBER(Input!#REF!),ROUNDDOWN(Input!#REF!,0),0)+IF(ISNUMBER(Input!#REF!),ROUNDDOWN(Input!#REF!,0),0)+IF(ISNUMBER(Input!#REF!),ROUNDDOWN(Input!#REF!,0),0)+IF(ISNUMBER(Input!#REF!),ROUNDDOWN(Input!#REF!,0),0),"")</f>
        <v/>
      </c>
      <c r="U228" t="str">
        <f>IF($I228&lt;&gt;"",Input!O228&amp;IF(AND(Input!#REF!&lt;&gt;"",Input!O228&lt;&gt;""),"+","")&amp;Input!#REF!&amp;IF(AND(Input!#REF!&lt;&gt;"",OR(Input!#REF!&lt;&gt;"",Input!O228&lt;&gt;"")),"+","")&amp;Input!#REF!&amp;IF(AND(Input!#REF!&lt;&gt;"",OR(Input!#REF!&lt;&gt;"",Input!O228&lt;&gt;"",Input!#REF!&lt;&gt;"")),"+","")&amp;Input!#REF!&amp;IF(AND(Input!#REF!&lt;&gt;"",OR(Input!#REF!&lt;&gt;"",Input!O228&lt;&gt;"",Input!#REF!&lt;&gt;"",Input!#REF!&lt;&gt;"")),"+","")&amp;Input!#REF!,"")</f>
        <v/>
      </c>
      <c r="V228" t="str">
        <f t="shared" si="46"/>
        <v/>
      </c>
      <c r="W228" t="str">
        <f>IF($I228&lt;&gt;"",IF(ISNUMBER(Input!Q228),ROUNDDOWN(Input!Q228,0),0)+IF(ISNUMBER(Input!#REF!),ROUNDDOWN(Input!#REF!,0),0)+IF(ISNUMBER(Input!#REF!),ROUNDDOWN(Input!#REF!,0),0)+IF(ISNUMBER(Input!#REF!),ROUNDDOWN(Input!#REF!,0),0)+IF(ISNUMBER(Input!#REF!),ROUNDDOWN(Input!#REF!,0),0),"")</f>
        <v/>
      </c>
      <c r="X228" t="str">
        <f>IF($I228&lt;&gt;"",Input!R228&amp;IF(AND(Input!#REF!&lt;&gt;"",Input!R228&lt;&gt;""),"+","")&amp;Input!#REF!&amp;IF(AND(Input!#REF!&lt;&gt;"",OR(Input!#REF!&lt;&gt;"",Input!R228&lt;&gt;"")),"+","")&amp;Input!#REF!&amp;IF(AND(Input!#REF!&lt;&gt;"",OR(Input!#REF!&lt;&gt;"",Input!R228&lt;&gt;"",Input!#REF!&lt;&gt;"")),"+","")&amp;Input!#REF!&amp;IF(AND(Input!#REF!&lt;&gt;"",OR(Input!#REF!&lt;&gt;"",Input!R228&lt;&gt;"",Input!#REF!&lt;&gt;"",Input!#REF!&lt;&gt;"")),"+","")&amp;Input!#REF!,"")</f>
        <v/>
      </c>
      <c r="Y228" t="str">
        <f t="shared" si="47"/>
        <v/>
      </c>
      <c r="Z228" t="str">
        <f>IF($I228&lt;&gt;"",IF(ISNUMBER(Input!T228),ROUNDDOWN(Input!T228,0),0)+IF(ISNUMBER(Input!#REF!),ROUNDDOWN(Input!#REF!,0),0)+IF(ISNUMBER(Input!#REF!),ROUNDDOWN(Input!#REF!,0),0)+IF(ISNUMBER(Input!#REF!),ROUNDDOWN(Input!#REF!,0),0)+IF(ISNUMBER(Input!#REF!),ROUNDDOWN(Input!#REF!,0),0),"")</f>
        <v/>
      </c>
      <c r="AA228" t="str">
        <f>IF($I228&lt;&gt;"",Input!U228&amp;IF(AND(Input!#REF!&lt;&gt;"",Input!U228&lt;&gt;""),"+","")&amp;Input!#REF!&amp;IF(AND(Input!#REF!&lt;&gt;"",OR(Input!#REF!&lt;&gt;"",Input!U228&lt;&gt;"")),"+","")&amp;Input!#REF!&amp;IF(AND(Input!#REF!&lt;&gt;"",OR(Input!#REF!&lt;&gt;"",Input!U228&lt;&gt;"",Input!#REF!&lt;&gt;"")),"+","")&amp;Input!#REF!&amp;IF(AND(Input!#REF!&lt;&gt;"",OR(Input!#REF!&lt;&gt;"",Input!U228&lt;&gt;"",Input!#REF!&lt;&gt;"",Input!#REF!&lt;&gt;"")),"+","")&amp;Input!#REF!,"")</f>
        <v/>
      </c>
      <c r="AB228" t="str">
        <f t="shared" si="48"/>
        <v/>
      </c>
      <c r="AC228" t="str">
        <f>IF($I228&lt;&gt;"",IF(ISNUMBER(Input!W228),ROUNDDOWN(Input!W228,0),0)+IF(ISNUMBER(Input!#REF!),ROUNDDOWN(Input!#REF!,0),0)+IF(ISNUMBER(Input!#REF!),ROUNDDOWN(Input!#REF!,0),0)+IF(ISNUMBER(Input!#REF!),ROUNDDOWN(Input!#REF!,0),0)+IF(ISNUMBER(Input!#REF!),ROUNDDOWN(Input!#REF!,0),0),"")</f>
        <v/>
      </c>
      <c r="AD228" t="str">
        <f>IF($I228&lt;&gt;"",Input!X228&amp;IF(AND(Input!#REF!&lt;&gt;"",Input!X228&lt;&gt;""),"+","")&amp;Input!#REF!&amp;IF(AND(Input!#REF!&lt;&gt;"",OR(Input!#REF!&lt;&gt;"",Input!X228&lt;&gt;"")),"+","")&amp;Input!#REF!&amp;IF(AND(Input!#REF!&lt;&gt;"",OR(Input!#REF!&lt;&gt;"",Input!X228&lt;&gt;"",Input!#REF!&lt;&gt;"")),"+","")&amp;Input!#REF!&amp;IF(AND(Input!#REF!&lt;&gt;"",OR(Input!#REF!&lt;&gt;"",Input!X228&lt;&gt;"",Input!#REF!&lt;&gt;"",Input!#REF!&lt;&gt;"")),"+","")&amp;Input!#REF!,"")</f>
        <v/>
      </c>
      <c r="AE228" t="str">
        <f t="shared" si="49"/>
        <v/>
      </c>
      <c r="AF228" t="str">
        <f>IF($I228&lt;&gt;"",IF(ISNUMBER(Input!Z228),ROUNDDOWN(Input!Z228,0),0)+IF(ISNUMBER(Input!#REF!),ROUNDDOWN(Input!#REF!,0),0)+IF(ISNUMBER(Input!#REF!),ROUNDDOWN(Input!#REF!,0),0)+IF(ISNUMBER(Input!#REF!),ROUNDDOWN(Input!#REF!,0),0)+IF(ISNUMBER(Input!#REF!),ROUNDDOWN(Input!#REF!,0),0),"")</f>
        <v/>
      </c>
      <c r="AG228" t="str">
        <f>IF($I228&lt;&gt;"",Input!AA228&amp;IF(AND(Input!#REF!&lt;&gt;"",Input!AA228&lt;&gt;""),"+","")&amp;Input!#REF!&amp;IF(AND(Input!#REF!&lt;&gt;"",OR(Input!#REF!&lt;&gt;"",Input!AA228&lt;&gt;"")),"+","")&amp;Input!#REF!&amp;IF(AND(Input!#REF!&lt;&gt;"",OR(Input!#REF!&lt;&gt;"",Input!AA228&lt;&gt;"",Input!#REF!&lt;&gt;"")),"+","")&amp;Input!#REF!&amp;IF(AND(Input!#REF!&lt;&gt;"",OR(Input!#REF!&lt;&gt;"",Input!AA228&lt;&gt;"",Input!#REF!&lt;&gt;"",Input!#REF!&lt;&gt;"")),"+","")&amp;Input!#REF!,"")</f>
        <v/>
      </c>
      <c r="AH228" t="str">
        <f t="shared" si="50"/>
        <v/>
      </c>
      <c r="AI228" t="str">
        <f>IF($I228&lt;&gt;"",IF(ISNUMBER(Input!AC228),ROUNDDOWN(Input!AC228,0),0)+IF(ISNUMBER(Input!#REF!),ROUNDDOWN(Input!#REF!,0),0)+IF(ISNUMBER(Input!#REF!),ROUNDDOWN(Input!#REF!,0),0)+IF(ISNUMBER(Input!#REF!),ROUNDDOWN(Input!#REF!,0),0)+IF(ISNUMBER(Input!#REF!),ROUNDDOWN(Input!#REF!,0),0),"")</f>
        <v/>
      </c>
      <c r="AJ228" t="str">
        <f>IF($I228&lt;&gt;"",Input!AD228&amp;IF(AND(Input!#REF!&lt;&gt;"",Input!AD228&lt;&gt;""),"+","")&amp;Input!#REF!&amp;IF(AND(Input!#REF!&lt;&gt;"",OR(Input!#REF!&lt;&gt;"",Input!AD228&lt;&gt;"")),"+","")&amp;Input!#REF!&amp;IF(AND(Input!#REF!&lt;&gt;"",OR(Input!#REF!&lt;&gt;"",Input!AD228&lt;&gt;"",Input!#REF!&lt;&gt;"")),"+","")&amp;Input!#REF!&amp;IF(AND(Input!#REF!&lt;&gt;"",OR(Input!#REF!&lt;&gt;"",Input!AD228&lt;&gt;"",Input!#REF!&lt;&gt;"",Input!#REF!&lt;&gt;"")),"+","")&amp;Input!#REF!,"")</f>
        <v/>
      </c>
      <c r="AK228" t="str">
        <f t="shared" si="51"/>
        <v/>
      </c>
    </row>
    <row r="229" spans="3:37" x14ac:dyDescent="0.35">
      <c r="C229" s="3"/>
      <c r="D229"/>
      <c r="E229"/>
      <c r="F229" s="3"/>
      <c r="I229" t="str">
        <f>IF(Input!A229&gt;0,Input!A229,"")</f>
        <v/>
      </c>
      <c r="J229" t="str">
        <f>IF(Input!B229&gt;0,Input!B229,"")</f>
        <v/>
      </c>
      <c r="K229" t="str">
        <f>IF(Input!C229&gt;0,Input!C229,"")</f>
        <v/>
      </c>
      <c r="L229" t="str">
        <f>IF(Input!D229&gt;0,Input!D229,"")</f>
        <v/>
      </c>
      <c r="M229" t="str">
        <f>IF(Input!E229&gt;0,Input!E229,"")</f>
        <v/>
      </c>
      <c r="N229" t="str">
        <f>IF(Input!F229&gt;0,Input!F229,"")</f>
        <v/>
      </c>
      <c r="O229" t="str">
        <f>IF($I229&lt;&gt;"",Input!I229&amp;IF(AND(Input!AG229&lt;&gt;"",Input!I229&lt;&gt;""),"+","")&amp;Input!AG229&amp;IF(AND(Input!#REF!&lt;&gt;"",OR(Input!AG229&lt;&gt;"",Input!I229&lt;&gt;"")),"+","")&amp;Input!#REF!&amp;IF(AND(Input!#REF!&lt;&gt;"",OR(Input!AG229&lt;&gt;"",Input!I229&lt;&gt;"",Input!#REF!&lt;&gt;"")),"+","")&amp;Input!#REF!&amp;IF(AND(Input!#REF!&lt;&gt;"",OR(Input!AG229&lt;&gt;"",Input!I229&lt;&gt;"",Input!#REF!&lt;&gt;"",Input!#REF!&lt;&gt;"")),"+","")&amp;Input!#REF!,"")</f>
        <v/>
      </c>
      <c r="P229" t="str">
        <f t="shared" si="44"/>
        <v/>
      </c>
      <c r="Q229" t="str">
        <f>IF($I229&lt;&gt;"",IF(ISNUMBER(Input!K229),ROUNDDOWN(Input!K229,0),0)+IF(ISNUMBER(Input!AI229),ROUNDDOWN(Input!AI229,0),0)+IF(ISNUMBER(Input!#REF!),ROUNDDOWN(Input!#REF!,0),0)+IF(ISNUMBER(Input!#REF!),ROUNDDOWN(Input!#REF!,0),0)+IF(ISNUMBER(Input!#REF!),ROUNDDOWN(Input!#REF!,0),0),"")</f>
        <v/>
      </c>
      <c r="R229" t="str">
        <f>IF($I229&lt;&gt;"",Input!L229&amp;IF(AND(Input!#REF!&lt;&gt;"",Input!L229&lt;&gt;""),"+","")&amp;Input!#REF!&amp;IF(AND(Input!#REF!&lt;&gt;"",OR(Input!#REF!&lt;&gt;"",Input!L229&lt;&gt;"")),"+","")&amp;Input!#REF!&amp;IF(AND(Input!#REF!&lt;&gt;"",OR(Input!#REF!&lt;&gt;"",Input!L229&lt;&gt;"",Input!#REF!&lt;&gt;"")),"+","")&amp;Input!#REF!&amp;IF(AND(Input!#REF!&lt;&gt;"",OR(Input!#REF!&lt;&gt;"",Input!L229&lt;&gt;"",Input!#REF!&lt;&gt;"",Input!#REF!&lt;&gt;"")),"+","")&amp;Input!#REF!,"")</f>
        <v/>
      </c>
      <c r="S229" t="str">
        <f t="shared" si="45"/>
        <v/>
      </c>
      <c r="T229" t="str">
        <f>IF($I229&lt;&gt;"",IF(ISNUMBER(Input!N229),ROUNDDOWN(Input!N229,0),0)+IF(ISNUMBER(Input!#REF!),ROUNDDOWN(Input!#REF!,0),0)+IF(ISNUMBER(Input!#REF!),ROUNDDOWN(Input!#REF!,0),0)+IF(ISNUMBER(Input!#REF!),ROUNDDOWN(Input!#REF!,0),0)+IF(ISNUMBER(Input!#REF!),ROUNDDOWN(Input!#REF!,0),0),"")</f>
        <v/>
      </c>
      <c r="U229" t="str">
        <f>IF($I229&lt;&gt;"",Input!O229&amp;IF(AND(Input!#REF!&lt;&gt;"",Input!O229&lt;&gt;""),"+","")&amp;Input!#REF!&amp;IF(AND(Input!#REF!&lt;&gt;"",OR(Input!#REF!&lt;&gt;"",Input!O229&lt;&gt;"")),"+","")&amp;Input!#REF!&amp;IF(AND(Input!#REF!&lt;&gt;"",OR(Input!#REF!&lt;&gt;"",Input!O229&lt;&gt;"",Input!#REF!&lt;&gt;"")),"+","")&amp;Input!#REF!&amp;IF(AND(Input!#REF!&lt;&gt;"",OR(Input!#REF!&lt;&gt;"",Input!O229&lt;&gt;"",Input!#REF!&lt;&gt;"",Input!#REF!&lt;&gt;"")),"+","")&amp;Input!#REF!,"")</f>
        <v/>
      </c>
      <c r="V229" t="str">
        <f t="shared" si="46"/>
        <v/>
      </c>
      <c r="W229" t="str">
        <f>IF($I229&lt;&gt;"",IF(ISNUMBER(Input!Q229),ROUNDDOWN(Input!Q229,0),0)+IF(ISNUMBER(Input!#REF!),ROUNDDOWN(Input!#REF!,0),0)+IF(ISNUMBER(Input!#REF!),ROUNDDOWN(Input!#REF!,0),0)+IF(ISNUMBER(Input!#REF!),ROUNDDOWN(Input!#REF!,0),0)+IF(ISNUMBER(Input!#REF!),ROUNDDOWN(Input!#REF!,0),0),"")</f>
        <v/>
      </c>
      <c r="X229" t="str">
        <f>IF($I229&lt;&gt;"",Input!R229&amp;IF(AND(Input!#REF!&lt;&gt;"",Input!R229&lt;&gt;""),"+","")&amp;Input!#REF!&amp;IF(AND(Input!#REF!&lt;&gt;"",OR(Input!#REF!&lt;&gt;"",Input!R229&lt;&gt;"")),"+","")&amp;Input!#REF!&amp;IF(AND(Input!#REF!&lt;&gt;"",OR(Input!#REF!&lt;&gt;"",Input!R229&lt;&gt;"",Input!#REF!&lt;&gt;"")),"+","")&amp;Input!#REF!&amp;IF(AND(Input!#REF!&lt;&gt;"",OR(Input!#REF!&lt;&gt;"",Input!R229&lt;&gt;"",Input!#REF!&lt;&gt;"",Input!#REF!&lt;&gt;"")),"+","")&amp;Input!#REF!,"")</f>
        <v/>
      </c>
      <c r="Y229" t="str">
        <f t="shared" si="47"/>
        <v/>
      </c>
      <c r="Z229" t="str">
        <f>IF($I229&lt;&gt;"",IF(ISNUMBER(Input!T229),ROUNDDOWN(Input!T229,0),0)+IF(ISNUMBER(Input!#REF!),ROUNDDOWN(Input!#REF!,0),0)+IF(ISNUMBER(Input!#REF!),ROUNDDOWN(Input!#REF!,0),0)+IF(ISNUMBER(Input!#REF!),ROUNDDOWN(Input!#REF!,0),0)+IF(ISNUMBER(Input!#REF!),ROUNDDOWN(Input!#REF!,0),0),"")</f>
        <v/>
      </c>
      <c r="AA229" t="str">
        <f>IF($I229&lt;&gt;"",Input!U229&amp;IF(AND(Input!#REF!&lt;&gt;"",Input!U229&lt;&gt;""),"+","")&amp;Input!#REF!&amp;IF(AND(Input!#REF!&lt;&gt;"",OR(Input!#REF!&lt;&gt;"",Input!U229&lt;&gt;"")),"+","")&amp;Input!#REF!&amp;IF(AND(Input!#REF!&lt;&gt;"",OR(Input!#REF!&lt;&gt;"",Input!U229&lt;&gt;"",Input!#REF!&lt;&gt;"")),"+","")&amp;Input!#REF!&amp;IF(AND(Input!#REF!&lt;&gt;"",OR(Input!#REF!&lt;&gt;"",Input!U229&lt;&gt;"",Input!#REF!&lt;&gt;"",Input!#REF!&lt;&gt;"")),"+","")&amp;Input!#REF!,"")</f>
        <v/>
      </c>
      <c r="AB229" t="str">
        <f t="shared" si="48"/>
        <v/>
      </c>
      <c r="AC229" t="str">
        <f>IF($I229&lt;&gt;"",IF(ISNUMBER(Input!W229),ROUNDDOWN(Input!W229,0),0)+IF(ISNUMBER(Input!#REF!),ROUNDDOWN(Input!#REF!,0),0)+IF(ISNUMBER(Input!#REF!),ROUNDDOWN(Input!#REF!,0),0)+IF(ISNUMBER(Input!#REF!),ROUNDDOWN(Input!#REF!,0),0)+IF(ISNUMBER(Input!#REF!),ROUNDDOWN(Input!#REF!,0),0),"")</f>
        <v/>
      </c>
      <c r="AD229" t="str">
        <f>IF($I229&lt;&gt;"",Input!X229&amp;IF(AND(Input!#REF!&lt;&gt;"",Input!X229&lt;&gt;""),"+","")&amp;Input!#REF!&amp;IF(AND(Input!#REF!&lt;&gt;"",OR(Input!#REF!&lt;&gt;"",Input!X229&lt;&gt;"")),"+","")&amp;Input!#REF!&amp;IF(AND(Input!#REF!&lt;&gt;"",OR(Input!#REF!&lt;&gt;"",Input!X229&lt;&gt;"",Input!#REF!&lt;&gt;"")),"+","")&amp;Input!#REF!&amp;IF(AND(Input!#REF!&lt;&gt;"",OR(Input!#REF!&lt;&gt;"",Input!X229&lt;&gt;"",Input!#REF!&lt;&gt;"",Input!#REF!&lt;&gt;"")),"+","")&amp;Input!#REF!,"")</f>
        <v/>
      </c>
      <c r="AE229" t="str">
        <f t="shared" si="49"/>
        <v/>
      </c>
      <c r="AF229" t="str">
        <f>IF($I229&lt;&gt;"",IF(ISNUMBER(Input!Z229),ROUNDDOWN(Input!Z229,0),0)+IF(ISNUMBER(Input!#REF!),ROUNDDOWN(Input!#REF!,0),0)+IF(ISNUMBER(Input!#REF!),ROUNDDOWN(Input!#REF!,0),0)+IF(ISNUMBER(Input!#REF!),ROUNDDOWN(Input!#REF!,0),0)+IF(ISNUMBER(Input!#REF!),ROUNDDOWN(Input!#REF!,0),0),"")</f>
        <v/>
      </c>
      <c r="AG229" t="str">
        <f>IF($I229&lt;&gt;"",Input!AA229&amp;IF(AND(Input!#REF!&lt;&gt;"",Input!AA229&lt;&gt;""),"+","")&amp;Input!#REF!&amp;IF(AND(Input!#REF!&lt;&gt;"",OR(Input!#REF!&lt;&gt;"",Input!AA229&lt;&gt;"")),"+","")&amp;Input!#REF!&amp;IF(AND(Input!#REF!&lt;&gt;"",OR(Input!#REF!&lt;&gt;"",Input!AA229&lt;&gt;"",Input!#REF!&lt;&gt;"")),"+","")&amp;Input!#REF!&amp;IF(AND(Input!#REF!&lt;&gt;"",OR(Input!#REF!&lt;&gt;"",Input!AA229&lt;&gt;"",Input!#REF!&lt;&gt;"",Input!#REF!&lt;&gt;"")),"+","")&amp;Input!#REF!,"")</f>
        <v/>
      </c>
      <c r="AH229" t="str">
        <f t="shared" si="50"/>
        <v/>
      </c>
      <c r="AI229" t="str">
        <f>IF($I229&lt;&gt;"",IF(ISNUMBER(Input!AC229),ROUNDDOWN(Input!AC229,0),0)+IF(ISNUMBER(Input!#REF!),ROUNDDOWN(Input!#REF!,0),0)+IF(ISNUMBER(Input!#REF!),ROUNDDOWN(Input!#REF!,0),0)+IF(ISNUMBER(Input!#REF!),ROUNDDOWN(Input!#REF!,0),0)+IF(ISNUMBER(Input!#REF!),ROUNDDOWN(Input!#REF!,0),0),"")</f>
        <v/>
      </c>
      <c r="AJ229" t="str">
        <f>IF($I229&lt;&gt;"",Input!AD229&amp;IF(AND(Input!#REF!&lt;&gt;"",Input!AD229&lt;&gt;""),"+","")&amp;Input!#REF!&amp;IF(AND(Input!#REF!&lt;&gt;"",OR(Input!#REF!&lt;&gt;"",Input!AD229&lt;&gt;"")),"+","")&amp;Input!#REF!&amp;IF(AND(Input!#REF!&lt;&gt;"",OR(Input!#REF!&lt;&gt;"",Input!AD229&lt;&gt;"",Input!#REF!&lt;&gt;"")),"+","")&amp;Input!#REF!&amp;IF(AND(Input!#REF!&lt;&gt;"",OR(Input!#REF!&lt;&gt;"",Input!AD229&lt;&gt;"",Input!#REF!&lt;&gt;"",Input!#REF!&lt;&gt;"")),"+","")&amp;Input!#REF!,"")</f>
        <v/>
      </c>
      <c r="AK229" t="str">
        <f t="shared" si="51"/>
        <v/>
      </c>
    </row>
    <row r="230" spans="3:37" x14ac:dyDescent="0.35">
      <c r="C230" s="3"/>
      <c r="D230"/>
      <c r="E230"/>
      <c r="F230" s="3"/>
      <c r="I230" t="str">
        <f>IF(Input!A230&gt;0,Input!A230,"")</f>
        <v/>
      </c>
      <c r="J230" t="str">
        <f>IF(Input!B230&gt;0,Input!B230,"")</f>
        <v/>
      </c>
      <c r="K230" t="str">
        <f>IF(Input!C230&gt;0,Input!C230,"")</f>
        <v/>
      </c>
      <c r="L230" t="str">
        <f>IF(Input!D230&gt;0,Input!D230,"")</f>
        <v/>
      </c>
      <c r="M230" t="str">
        <f>IF(Input!E230&gt;0,Input!E230,"")</f>
        <v/>
      </c>
      <c r="N230" t="str">
        <f>IF(Input!F230&gt;0,Input!F230,"")</f>
        <v/>
      </c>
      <c r="O230" t="str">
        <f>IF($I230&lt;&gt;"",Input!I230&amp;IF(AND(Input!AG230&lt;&gt;"",Input!I230&lt;&gt;""),"+","")&amp;Input!AG230&amp;IF(AND(Input!#REF!&lt;&gt;"",OR(Input!AG230&lt;&gt;"",Input!I230&lt;&gt;"")),"+","")&amp;Input!#REF!&amp;IF(AND(Input!#REF!&lt;&gt;"",OR(Input!AG230&lt;&gt;"",Input!I230&lt;&gt;"",Input!#REF!&lt;&gt;"")),"+","")&amp;Input!#REF!&amp;IF(AND(Input!#REF!&lt;&gt;"",OR(Input!AG230&lt;&gt;"",Input!I230&lt;&gt;"",Input!#REF!&lt;&gt;"",Input!#REF!&lt;&gt;"")),"+","")&amp;Input!#REF!,"")</f>
        <v/>
      </c>
      <c r="P230" t="str">
        <f t="shared" si="44"/>
        <v/>
      </c>
      <c r="Q230" t="str">
        <f>IF($I230&lt;&gt;"",IF(ISNUMBER(Input!K230),ROUNDDOWN(Input!K230,0),0)+IF(ISNUMBER(Input!AI230),ROUNDDOWN(Input!AI230,0),0)+IF(ISNUMBER(Input!#REF!),ROUNDDOWN(Input!#REF!,0),0)+IF(ISNUMBER(Input!#REF!),ROUNDDOWN(Input!#REF!,0),0)+IF(ISNUMBER(Input!#REF!),ROUNDDOWN(Input!#REF!,0),0),"")</f>
        <v/>
      </c>
      <c r="R230" t="str">
        <f>IF($I230&lt;&gt;"",Input!L230&amp;IF(AND(Input!#REF!&lt;&gt;"",Input!L230&lt;&gt;""),"+","")&amp;Input!#REF!&amp;IF(AND(Input!#REF!&lt;&gt;"",OR(Input!#REF!&lt;&gt;"",Input!L230&lt;&gt;"")),"+","")&amp;Input!#REF!&amp;IF(AND(Input!#REF!&lt;&gt;"",OR(Input!#REF!&lt;&gt;"",Input!L230&lt;&gt;"",Input!#REF!&lt;&gt;"")),"+","")&amp;Input!#REF!&amp;IF(AND(Input!#REF!&lt;&gt;"",OR(Input!#REF!&lt;&gt;"",Input!L230&lt;&gt;"",Input!#REF!&lt;&gt;"",Input!#REF!&lt;&gt;"")),"+","")&amp;Input!#REF!,"")</f>
        <v/>
      </c>
      <c r="S230" t="str">
        <f t="shared" si="45"/>
        <v/>
      </c>
      <c r="T230" t="str">
        <f>IF($I230&lt;&gt;"",IF(ISNUMBER(Input!N230),ROUNDDOWN(Input!N230,0),0)+IF(ISNUMBER(Input!#REF!),ROUNDDOWN(Input!#REF!,0),0)+IF(ISNUMBER(Input!#REF!),ROUNDDOWN(Input!#REF!,0),0)+IF(ISNUMBER(Input!#REF!),ROUNDDOWN(Input!#REF!,0),0)+IF(ISNUMBER(Input!#REF!),ROUNDDOWN(Input!#REF!,0),0),"")</f>
        <v/>
      </c>
      <c r="U230" t="str">
        <f>IF($I230&lt;&gt;"",Input!O230&amp;IF(AND(Input!#REF!&lt;&gt;"",Input!O230&lt;&gt;""),"+","")&amp;Input!#REF!&amp;IF(AND(Input!#REF!&lt;&gt;"",OR(Input!#REF!&lt;&gt;"",Input!O230&lt;&gt;"")),"+","")&amp;Input!#REF!&amp;IF(AND(Input!#REF!&lt;&gt;"",OR(Input!#REF!&lt;&gt;"",Input!O230&lt;&gt;"",Input!#REF!&lt;&gt;"")),"+","")&amp;Input!#REF!&amp;IF(AND(Input!#REF!&lt;&gt;"",OR(Input!#REF!&lt;&gt;"",Input!O230&lt;&gt;"",Input!#REF!&lt;&gt;"",Input!#REF!&lt;&gt;"")),"+","")&amp;Input!#REF!,"")</f>
        <v/>
      </c>
      <c r="V230" t="str">
        <f t="shared" si="46"/>
        <v/>
      </c>
      <c r="W230" t="str">
        <f>IF($I230&lt;&gt;"",IF(ISNUMBER(Input!Q230),ROUNDDOWN(Input!Q230,0),0)+IF(ISNUMBER(Input!#REF!),ROUNDDOWN(Input!#REF!,0),0)+IF(ISNUMBER(Input!#REF!),ROUNDDOWN(Input!#REF!,0),0)+IF(ISNUMBER(Input!#REF!),ROUNDDOWN(Input!#REF!,0),0)+IF(ISNUMBER(Input!#REF!),ROUNDDOWN(Input!#REF!,0),0),"")</f>
        <v/>
      </c>
      <c r="X230" t="str">
        <f>IF($I230&lt;&gt;"",Input!R230&amp;IF(AND(Input!#REF!&lt;&gt;"",Input!R230&lt;&gt;""),"+","")&amp;Input!#REF!&amp;IF(AND(Input!#REF!&lt;&gt;"",OR(Input!#REF!&lt;&gt;"",Input!R230&lt;&gt;"")),"+","")&amp;Input!#REF!&amp;IF(AND(Input!#REF!&lt;&gt;"",OR(Input!#REF!&lt;&gt;"",Input!R230&lt;&gt;"",Input!#REF!&lt;&gt;"")),"+","")&amp;Input!#REF!&amp;IF(AND(Input!#REF!&lt;&gt;"",OR(Input!#REF!&lt;&gt;"",Input!R230&lt;&gt;"",Input!#REF!&lt;&gt;"",Input!#REF!&lt;&gt;"")),"+","")&amp;Input!#REF!,"")</f>
        <v/>
      </c>
      <c r="Y230" t="str">
        <f t="shared" si="47"/>
        <v/>
      </c>
      <c r="Z230" t="str">
        <f>IF($I230&lt;&gt;"",IF(ISNUMBER(Input!T230),ROUNDDOWN(Input!T230,0),0)+IF(ISNUMBER(Input!#REF!),ROUNDDOWN(Input!#REF!,0),0)+IF(ISNUMBER(Input!#REF!),ROUNDDOWN(Input!#REF!,0),0)+IF(ISNUMBER(Input!#REF!),ROUNDDOWN(Input!#REF!,0),0)+IF(ISNUMBER(Input!#REF!),ROUNDDOWN(Input!#REF!,0),0),"")</f>
        <v/>
      </c>
      <c r="AA230" t="str">
        <f>IF($I230&lt;&gt;"",Input!U230&amp;IF(AND(Input!#REF!&lt;&gt;"",Input!U230&lt;&gt;""),"+","")&amp;Input!#REF!&amp;IF(AND(Input!#REF!&lt;&gt;"",OR(Input!#REF!&lt;&gt;"",Input!U230&lt;&gt;"")),"+","")&amp;Input!#REF!&amp;IF(AND(Input!#REF!&lt;&gt;"",OR(Input!#REF!&lt;&gt;"",Input!U230&lt;&gt;"",Input!#REF!&lt;&gt;"")),"+","")&amp;Input!#REF!&amp;IF(AND(Input!#REF!&lt;&gt;"",OR(Input!#REF!&lt;&gt;"",Input!U230&lt;&gt;"",Input!#REF!&lt;&gt;"",Input!#REF!&lt;&gt;"")),"+","")&amp;Input!#REF!,"")</f>
        <v/>
      </c>
      <c r="AB230" t="str">
        <f t="shared" si="48"/>
        <v/>
      </c>
      <c r="AC230" t="str">
        <f>IF($I230&lt;&gt;"",IF(ISNUMBER(Input!W230),ROUNDDOWN(Input!W230,0),0)+IF(ISNUMBER(Input!#REF!),ROUNDDOWN(Input!#REF!,0),0)+IF(ISNUMBER(Input!#REF!),ROUNDDOWN(Input!#REF!,0),0)+IF(ISNUMBER(Input!#REF!),ROUNDDOWN(Input!#REF!,0),0)+IF(ISNUMBER(Input!#REF!),ROUNDDOWN(Input!#REF!,0),0),"")</f>
        <v/>
      </c>
      <c r="AD230" t="str">
        <f>IF($I230&lt;&gt;"",Input!X230&amp;IF(AND(Input!#REF!&lt;&gt;"",Input!X230&lt;&gt;""),"+","")&amp;Input!#REF!&amp;IF(AND(Input!#REF!&lt;&gt;"",OR(Input!#REF!&lt;&gt;"",Input!X230&lt;&gt;"")),"+","")&amp;Input!#REF!&amp;IF(AND(Input!#REF!&lt;&gt;"",OR(Input!#REF!&lt;&gt;"",Input!X230&lt;&gt;"",Input!#REF!&lt;&gt;"")),"+","")&amp;Input!#REF!&amp;IF(AND(Input!#REF!&lt;&gt;"",OR(Input!#REF!&lt;&gt;"",Input!X230&lt;&gt;"",Input!#REF!&lt;&gt;"",Input!#REF!&lt;&gt;"")),"+","")&amp;Input!#REF!,"")</f>
        <v/>
      </c>
      <c r="AE230" t="str">
        <f t="shared" si="49"/>
        <v/>
      </c>
      <c r="AF230" t="str">
        <f>IF($I230&lt;&gt;"",IF(ISNUMBER(Input!Z230),ROUNDDOWN(Input!Z230,0),0)+IF(ISNUMBER(Input!#REF!),ROUNDDOWN(Input!#REF!,0),0)+IF(ISNUMBER(Input!#REF!),ROUNDDOWN(Input!#REF!,0),0)+IF(ISNUMBER(Input!#REF!),ROUNDDOWN(Input!#REF!,0),0)+IF(ISNUMBER(Input!#REF!),ROUNDDOWN(Input!#REF!,0),0),"")</f>
        <v/>
      </c>
      <c r="AG230" t="str">
        <f>IF($I230&lt;&gt;"",Input!AA230&amp;IF(AND(Input!#REF!&lt;&gt;"",Input!AA230&lt;&gt;""),"+","")&amp;Input!#REF!&amp;IF(AND(Input!#REF!&lt;&gt;"",OR(Input!#REF!&lt;&gt;"",Input!AA230&lt;&gt;"")),"+","")&amp;Input!#REF!&amp;IF(AND(Input!#REF!&lt;&gt;"",OR(Input!#REF!&lt;&gt;"",Input!AA230&lt;&gt;"",Input!#REF!&lt;&gt;"")),"+","")&amp;Input!#REF!&amp;IF(AND(Input!#REF!&lt;&gt;"",OR(Input!#REF!&lt;&gt;"",Input!AA230&lt;&gt;"",Input!#REF!&lt;&gt;"",Input!#REF!&lt;&gt;"")),"+","")&amp;Input!#REF!,"")</f>
        <v/>
      </c>
      <c r="AH230" t="str">
        <f t="shared" si="50"/>
        <v/>
      </c>
      <c r="AI230" t="str">
        <f>IF($I230&lt;&gt;"",IF(ISNUMBER(Input!AC230),ROUNDDOWN(Input!AC230,0),0)+IF(ISNUMBER(Input!#REF!),ROUNDDOWN(Input!#REF!,0),0)+IF(ISNUMBER(Input!#REF!),ROUNDDOWN(Input!#REF!,0),0)+IF(ISNUMBER(Input!#REF!),ROUNDDOWN(Input!#REF!,0),0)+IF(ISNUMBER(Input!#REF!),ROUNDDOWN(Input!#REF!,0),0),"")</f>
        <v/>
      </c>
      <c r="AJ230" t="str">
        <f>IF($I230&lt;&gt;"",Input!AD230&amp;IF(AND(Input!#REF!&lt;&gt;"",Input!AD230&lt;&gt;""),"+","")&amp;Input!#REF!&amp;IF(AND(Input!#REF!&lt;&gt;"",OR(Input!#REF!&lt;&gt;"",Input!AD230&lt;&gt;"")),"+","")&amp;Input!#REF!&amp;IF(AND(Input!#REF!&lt;&gt;"",OR(Input!#REF!&lt;&gt;"",Input!AD230&lt;&gt;"",Input!#REF!&lt;&gt;"")),"+","")&amp;Input!#REF!&amp;IF(AND(Input!#REF!&lt;&gt;"",OR(Input!#REF!&lt;&gt;"",Input!AD230&lt;&gt;"",Input!#REF!&lt;&gt;"",Input!#REF!&lt;&gt;"")),"+","")&amp;Input!#REF!,"")</f>
        <v/>
      </c>
      <c r="AK230" t="str">
        <f t="shared" si="51"/>
        <v/>
      </c>
    </row>
    <row r="231" spans="3:37" x14ac:dyDescent="0.35">
      <c r="C231" s="3"/>
      <c r="D231"/>
      <c r="E231"/>
      <c r="F231" s="3"/>
      <c r="I231" t="str">
        <f>IF(Input!A231&gt;0,Input!A231,"")</f>
        <v/>
      </c>
      <c r="J231" t="str">
        <f>IF(Input!B231&gt;0,Input!B231,"")</f>
        <v/>
      </c>
      <c r="K231" t="str">
        <f>IF(Input!C231&gt;0,Input!C231,"")</f>
        <v/>
      </c>
      <c r="L231" t="str">
        <f>IF(Input!D231&gt;0,Input!D231,"")</f>
        <v/>
      </c>
      <c r="M231" t="str">
        <f>IF(Input!E231&gt;0,Input!E231,"")</f>
        <v/>
      </c>
      <c r="N231" t="str">
        <f>IF(Input!F231&gt;0,Input!F231,"")</f>
        <v/>
      </c>
      <c r="O231" t="str">
        <f>IF($I231&lt;&gt;"",Input!I231&amp;IF(AND(Input!AG231&lt;&gt;"",Input!I231&lt;&gt;""),"+","")&amp;Input!AG231&amp;IF(AND(Input!#REF!&lt;&gt;"",OR(Input!AG231&lt;&gt;"",Input!I231&lt;&gt;"")),"+","")&amp;Input!#REF!&amp;IF(AND(Input!#REF!&lt;&gt;"",OR(Input!AG231&lt;&gt;"",Input!I231&lt;&gt;"",Input!#REF!&lt;&gt;"")),"+","")&amp;Input!#REF!&amp;IF(AND(Input!#REF!&lt;&gt;"",OR(Input!AG231&lt;&gt;"",Input!I231&lt;&gt;"",Input!#REF!&lt;&gt;"",Input!#REF!&lt;&gt;"")),"+","")&amp;Input!#REF!,"")</f>
        <v/>
      </c>
      <c r="P231" t="str">
        <f t="shared" si="44"/>
        <v/>
      </c>
      <c r="Q231" t="str">
        <f>IF($I231&lt;&gt;"",IF(ISNUMBER(Input!K231),ROUNDDOWN(Input!K231,0),0)+IF(ISNUMBER(Input!AI231),ROUNDDOWN(Input!AI231,0),0)+IF(ISNUMBER(Input!#REF!),ROUNDDOWN(Input!#REF!,0),0)+IF(ISNUMBER(Input!#REF!),ROUNDDOWN(Input!#REF!,0),0)+IF(ISNUMBER(Input!#REF!),ROUNDDOWN(Input!#REF!,0),0),"")</f>
        <v/>
      </c>
      <c r="R231" t="str">
        <f>IF($I231&lt;&gt;"",Input!L231&amp;IF(AND(Input!#REF!&lt;&gt;"",Input!L231&lt;&gt;""),"+","")&amp;Input!#REF!&amp;IF(AND(Input!#REF!&lt;&gt;"",OR(Input!#REF!&lt;&gt;"",Input!L231&lt;&gt;"")),"+","")&amp;Input!#REF!&amp;IF(AND(Input!#REF!&lt;&gt;"",OR(Input!#REF!&lt;&gt;"",Input!L231&lt;&gt;"",Input!#REF!&lt;&gt;"")),"+","")&amp;Input!#REF!&amp;IF(AND(Input!#REF!&lt;&gt;"",OR(Input!#REF!&lt;&gt;"",Input!L231&lt;&gt;"",Input!#REF!&lt;&gt;"",Input!#REF!&lt;&gt;"")),"+","")&amp;Input!#REF!,"")</f>
        <v/>
      </c>
      <c r="S231" t="str">
        <f t="shared" si="45"/>
        <v/>
      </c>
      <c r="T231" t="str">
        <f>IF($I231&lt;&gt;"",IF(ISNUMBER(Input!N231),ROUNDDOWN(Input!N231,0),0)+IF(ISNUMBER(Input!#REF!),ROUNDDOWN(Input!#REF!,0),0)+IF(ISNUMBER(Input!#REF!),ROUNDDOWN(Input!#REF!,0),0)+IF(ISNUMBER(Input!#REF!),ROUNDDOWN(Input!#REF!,0),0)+IF(ISNUMBER(Input!#REF!),ROUNDDOWN(Input!#REF!,0),0),"")</f>
        <v/>
      </c>
      <c r="U231" t="str">
        <f>IF($I231&lt;&gt;"",Input!O231&amp;IF(AND(Input!#REF!&lt;&gt;"",Input!O231&lt;&gt;""),"+","")&amp;Input!#REF!&amp;IF(AND(Input!#REF!&lt;&gt;"",OR(Input!#REF!&lt;&gt;"",Input!O231&lt;&gt;"")),"+","")&amp;Input!#REF!&amp;IF(AND(Input!#REF!&lt;&gt;"",OR(Input!#REF!&lt;&gt;"",Input!O231&lt;&gt;"",Input!#REF!&lt;&gt;"")),"+","")&amp;Input!#REF!&amp;IF(AND(Input!#REF!&lt;&gt;"",OR(Input!#REF!&lt;&gt;"",Input!O231&lt;&gt;"",Input!#REF!&lt;&gt;"",Input!#REF!&lt;&gt;"")),"+","")&amp;Input!#REF!,"")</f>
        <v/>
      </c>
      <c r="V231" t="str">
        <f t="shared" si="46"/>
        <v/>
      </c>
      <c r="W231" t="str">
        <f>IF($I231&lt;&gt;"",IF(ISNUMBER(Input!Q231),ROUNDDOWN(Input!Q231,0),0)+IF(ISNUMBER(Input!#REF!),ROUNDDOWN(Input!#REF!,0),0)+IF(ISNUMBER(Input!#REF!),ROUNDDOWN(Input!#REF!,0),0)+IF(ISNUMBER(Input!#REF!),ROUNDDOWN(Input!#REF!,0),0)+IF(ISNUMBER(Input!#REF!),ROUNDDOWN(Input!#REF!,0),0),"")</f>
        <v/>
      </c>
      <c r="X231" t="str">
        <f>IF($I231&lt;&gt;"",Input!R231&amp;IF(AND(Input!#REF!&lt;&gt;"",Input!R231&lt;&gt;""),"+","")&amp;Input!#REF!&amp;IF(AND(Input!#REF!&lt;&gt;"",OR(Input!#REF!&lt;&gt;"",Input!R231&lt;&gt;"")),"+","")&amp;Input!#REF!&amp;IF(AND(Input!#REF!&lt;&gt;"",OR(Input!#REF!&lt;&gt;"",Input!R231&lt;&gt;"",Input!#REF!&lt;&gt;"")),"+","")&amp;Input!#REF!&amp;IF(AND(Input!#REF!&lt;&gt;"",OR(Input!#REF!&lt;&gt;"",Input!R231&lt;&gt;"",Input!#REF!&lt;&gt;"",Input!#REF!&lt;&gt;"")),"+","")&amp;Input!#REF!,"")</f>
        <v/>
      </c>
      <c r="Y231" t="str">
        <f t="shared" si="47"/>
        <v/>
      </c>
      <c r="Z231" t="str">
        <f>IF($I231&lt;&gt;"",IF(ISNUMBER(Input!T231),ROUNDDOWN(Input!T231,0),0)+IF(ISNUMBER(Input!#REF!),ROUNDDOWN(Input!#REF!,0),0)+IF(ISNUMBER(Input!#REF!),ROUNDDOWN(Input!#REF!,0),0)+IF(ISNUMBER(Input!#REF!),ROUNDDOWN(Input!#REF!,0),0)+IF(ISNUMBER(Input!#REF!),ROUNDDOWN(Input!#REF!,0),0),"")</f>
        <v/>
      </c>
      <c r="AA231" t="str">
        <f>IF($I231&lt;&gt;"",Input!U231&amp;IF(AND(Input!#REF!&lt;&gt;"",Input!U231&lt;&gt;""),"+","")&amp;Input!#REF!&amp;IF(AND(Input!#REF!&lt;&gt;"",OR(Input!#REF!&lt;&gt;"",Input!U231&lt;&gt;"")),"+","")&amp;Input!#REF!&amp;IF(AND(Input!#REF!&lt;&gt;"",OR(Input!#REF!&lt;&gt;"",Input!U231&lt;&gt;"",Input!#REF!&lt;&gt;"")),"+","")&amp;Input!#REF!&amp;IF(AND(Input!#REF!&lt;&gt;"",OR(Input!#REF!&lt;&gt;"",Input!U231&lt;&gt;"",Input!#REF!&lt;&gt;"",Input!#REF!&lt;&gt;"")),"+","")&amp;Input!#REF!,"")</f>
        <v/>
      </c>
      <c r="AB231" t="str">
        <f t="shared" si="48"/>
        <v/>
      </c>
      <c r="AC231" t="str">
        <f>IF($I231&lt;&gt;"",IF(ISNUMBER(Input!W231),ROUNDDOWN(Input!W231,0),0)+IF(ISNUMBER(Input!#REF!),ROUNDDOWN(Input!#REF!,0),0)+IF(ISNUMBER(Input!#REF!),ROUNDDOWN(Input!#REF!,0),0)+IF(ISNUMBER(Input!#REF!),ROUNDDOWN(Input!#REF!,0),0)+IF(ISNUMBER(Input!#REF!),ROUNDDOWN(Input!#REF!,0),0),"")</f>
        <v/>
      </c>
      <c r="AD231" t="str">
        <f>IF($I231&lt;&gt;"",Input!X231&amp;IF(AND(Input!#REF!&lt;&gt;"",Input!X231&lt;&gt;""),"+","")&amp;Input!#REF!&amp;IF(AND(Input!#REF!&lt;&gt;"",OR(Input!#REF!&lt;&gt;"",Input!X231&lt;&gt;"")),"+","")&amp;Input!#REF!&amp;IF(AND(Input!#REF!&lt;&gt;"",OR(Input!#REF!&lt;&gt;"",Input!X231&lt;&gt;"",Input!#REF!&lt;&gt;"")),"+","")&amp;Input!#REF!&amp;IF(AND(Input!#REF!&lt;&gt;"",OR(Input!#REF!&lt;&gt;"",Input!X231&lt;&gt;"",Input!#REF!&lt;&gt;"",Input!#REF!&lt;&gt;"")),"+","")&amp;Input!#REF!,"")</f>
        <v/>
      </c>
      <c r="AE231" t="str">
        <f t="shared" si="49"/>
        <v/>
      </c>
      <c r="AF231" t="str">
        <f>IF($I231&lt;&gt;"",IF(ISNUMBER(Input!Z231),ROUNDDOWN(Input!Z231,0),0)+IF(ISNUMBER(Input!#REF!),ROUNDDOWN(Input!#REF!,0),0)+IF(ISNUMBER(Input!#REF!),ROUNDDOWN(Input!#REF!,0),0)+IF(ISNUMBER(Input!#REF!),ROUNDDOWN(Input!#REF!,0),0)+IF(ISNUMBER(Input!#REF!),ROUNDDOWN(Input!#REF!,0),0),"")</f>
        <v/>
      </c>
      <c r="AG231" t="str">
        <f>IF($I231&lt;&gt;"",Input!AA231&amp;IF(AND(Input!#REF!&lt;&gt;"",Input!AA231&lt;&gt;""),"+","")&amp;Input!#REF!&amp;IF(AND(Input!#REF!&lt;&gt;"",OR(Input!#REF!&lt;&gt;"",Input!AA231&lt;&gt;"")),"+","")&amp;Input!#REF!&amp;IF(AND(Input!#REF!&lt;&gt;"",OR(Input!#REF!&lt;&gt;"",Input!AA231&lt;&gt;"",Input!#REF!&lt;&gt;"")),"+","")&amp;Input!#REF!&amp;IF(AND(Input!#REF!&lt;&gt;"",OR(Input!#REF!&lt;&gt;"",Input!AA231&lt;&gt;"",Input!#REF!&lt;&gt;"",Input!#REF!&lt;&gt;"")),"+","")&amp;Input!#REF!,"")</f>
        <v/>
      </c>
      <c r="AH231" t="str">
        <f t="shared" si="50"/>
        <v/>
      </c>
      <c r="AI231" t="str">
        <f>IF($I231&lt;&gt;"",IF(ISNUMBER(Input!AC231),ROUNDDOWN(Input!AC231,0),0)+IF(ISNUMBER(Input!#REF!),ROUNDDOWN(Input!#REF!,0),0)+IF(ISNUMBER(Input!#REF!),ROUNDDOWN(Input!#REF!,0),0)+IF(ISNUMBER(Input!#REF!),ROUNDDOWN(Input!#REF!,0),0)+IF(ISNUMBER(Input!#REF!),ROUNDDOWN(Input!#REF!,0),0),"")</f>
        <v/>
      </c>
      <c r="AJ231" t="str">
        <f>IF($I231&lt;&gt;"",Input!AD231&amp;IF(AND(Input!#REF!&lt;&gt;"",Input!AD231&lt;&gt;""),"+","")&amp;Input!#REF!&amp;IF(AND(Input!#REF!&lt;&gt;"",OR(Input!#REF!&lt;&gt;"",Input!AD231&lt;&gt;"")),"+","")&amp;Input!#REF!&amp;IF(AND(Input!#REF!&lt;&gt;"",OR(Input!#REF!&lt;&gt;"",Input!AD231&lt;&gt;"",Input!#REF!&lt;&gt;"")),"+","")&amp;Input!#REF!&amp;IF(AND(Input!#REF!&lt;&gt;"",OR(Input!#REF!&lt;&gt;"",Input!AD231&lt;&gt;"",Input!#REF!&lt;&gt;"",Input!#REF!&lt;&gt;"")),"+","")&amp;Input!#REF!,"")</f>
        <v/>
      </c>
      <c r="AK231" t="str">
        <f t="shared" si="51"/>
        <v/>
      </c>
    </row>
    <row r="232" spans="3:37" x14ac:dyDescent="0.35">
      <c r="C232" s="3"/>
      <c r="D232"/>
      <c r="E232"/>
      <c r="F232" s="3"/>
      <c r="I232" t="str">
        <f>IF(Input!A232&gt;0,Input!A232,"")</f>
        <v/>
      </c>
      <c r="J232" t="str">
        <f>IF(Input!B232&gt;0,Input!B232,"")</f>
        <v/>
      </c>
      <c r="K232" t="str">
        <f>IF(Input!C232&gt;0,Input!C232,"")</f>
        <v/>
      </c>
      <c r="L232" t="str">
        <f>IF(Input!D232&gt;0,Input!D232,"")</f>
        <v/>
      </c>
      <c r="M232" t="str">
        <f>IF(Input!E232&gt;0,Input!E232,"")</f>
        <v/>
      </c>
      <c r="N232" t="str">
        <f>IF(Input!F232&gt;0,Input!F232,"")</f>
        <v/>
      </c>
      <c r="O232" t="str">
        <f>IF($I232&lt;&gt;"",Input!I232&amp;IF(AND(Input!AG232&lt;&gt;"",Input!I232&lt;&gt;""),"+","")&amp;Input!AG232&amp;IF(AND(Input!#REF!&lt;&gt;"",OR(Input!AG232&lt;&gt;"",Input!I232&lt;&gt;"")),"+","")&amp;Input!#REF!&amp;IF(AND(Input!#REF!&lt;&gt;"",OR(Input!AG232&lt;&gt;"",Input!I232&lt;&gt;"",Input!#REF!&lt;&gt;"")),"+","")&amp;Input!#REF!&amp;IF(AND(Input!#REF!&lt;&gt;"",OR(Input!AG232&lt;&gt;"",Input!I232&lt;&gt;"",Input!#REF!&lt;&gt;"",Input!#REF!&lt;&gt;"")),"+","")&amp;Input!#REF!,"")</f>
        <v/>
      </c>
      <c r="P232" t="str">
        <f t="shared" si="44"/>
        <v/>
      </c>
      <c r="Q232" t="str">
        <f>IF($I232&lt;&gt;"",IF(ISNUMBER(Input!K232),ROUNDDOWN(Input!K232,0),0)+IF(ISNUMBER(Input!AI232),ROUNDDOWN(Input!AI232,0),0)+IF(ISNUMBER(Input!#REF!),ROUNDDOWN(Input!#REF!,0),0)+IF(ISNUMBER(Input!#REF!),ROUNDDOWN(Input!#REF!,0),0)+IF(ISNUMBER(Input!#REF!),ROUNDDOWN(Input!#REF!,0),0),"")</f>
        <v/>
      </c>
      <c r="R232" t="str">
        <f>IF($I232&lt;&gt;"",Input!L232&amp;IF(AND(Input!#REF!&lt;&gt;"",Input!L232&lt;&gt;""),"+","")&amp;Input!#REF!&amp;IF(AND(Input!#REF!&lt;&gt;"",OR(Input!#REF!&lt;&gt;"",Input!L232&lt;&gt;"")),"+","")&amp;Input!#REF!&amp;IF(AND(Input!#REF!&lt;&gt;"",OR(Input!#REF!&lt;&gt;"",Input!L232&lt;&gt;"",Input!#REF!&lt;&gt;"")),"+","")&amp;Input!#REF!&amp;IF(AND(Input!#REF!&lt;&gt;"",OR(Input!#REF!&lt;&gt;"",Input!L232&lt;&gt;"",Input!#REF!&lt;&gt;"",Input!#REF!&lt;&gt;"")),"+","")&amp;Input!#REF!,"")</f>
        <v/>
      </c>
      <c r="S232" t="str">
        <f t="shared" si="45"/>
        <v/>
      </c>
      <c r="T232" t="str">
        <f>IF($I232&lt;&gt;"",IF(ISNUMBER(Input!N232),ROUNDDOWN(Input!N232,0),0)+IF(ISNUMBER(Input!#REF!),ROUNDDOWN(Input!#REF!,0),0)+IF(ISNUMBER(Input!#REF!),ROUNDDOWN(Input!#REF!,0),0)+IF(ISNUMBER(Input!#REF!),ROUNDDOWN(Input!#REF!,0),0)+IF(ISNUMBER(Input!#REF!),ROUNDDOWN(Input!#REF!,0),0),"")</f>
        <v/>
      </c>
      <c r="U232" t="str">
        <f>IF($I232&lt;&gt;"",Input!O232&amp;IF(AND(Input!#REF!&lt;&gt;"",Input!O232&lt;&gt;""),"+","")&amp;Input!#REF!&amp;IF(AND(Input!#REF!&lt;&gt;"",OR(Input!#REF!&lt;&gt;"",Input!O232&lt;&gt;"")),"+","")&amp;Input!#REF!&amp;IF(AND(Input!#REF!&lt;&gt;"",OR(Input!#REF!&lt;&gt;"",Input!O232&lt;&gt;"",Input!#REF!&lt;&gt;"")),"+","")&amp;Input!#REF!&amp;IF(AND(Input!#REF!&lt;&gt;"",OR(Input!#REF!&lt;&gt;"",Input!O232&lt;&gt;"",Input!#REF!&lt;&gt;"",Input!#REF!&lt;&gt;"")),"+","")&amp;Input!#REF!,"")</f>
        <v/>
      </c>
      <c r="V232" t="str">
        <f t="shared" si="46"/>
        <v/>
      </c>
      <c r="W232" t="str">
        <f>IF($I232&lt;&gt;"",IF(ISNUMBER(Input!Q232),ROUNDDOWN(Input!Q232,0),0)+IF(ISNUMBER(Input!#REF!),ROUNDDOWN(Input!#REF!,0),0)+IF(ISNUMBER(Input!#REF!),ROUNDDOWN(Input!#REF!,0),0)+IF(ISNUMBER(Input!#REF!),ROUNDDOWN(Input!#REF!,0),0)+IF(ISNUMBER(Input!#REF!),ROUNDDOWN(Input!#REF!,0),0),"")</f>
        <v/>
      </c>
      <c r="X232" t="str">
        <f>IF($I232&lt;&gt;"",Input!R232&amp;IF(AND(Input!#REF!&lt;&gt;"",Input!R232&lt;&gt;""),"+","")&amp;Input!#REF!&amp;IF(AND(Input!#REF!&lt;&gt;"",OR(Input!#REF!&lt;&gt;"",Input!R232&lt;&gt;"")),"+","")&amp;Input!#REF!&amp;IF(AND(Input!#REF!&lt;&gt;"",OR(Input!#REF!&lt;&gt;"",Input!R232&lt;&gt;"",Input!#REF!&lt;&gt;"")),"+","")&amp;Input!#REF!&amp;IF(AND(Input!#REF!&lt;&gt;"",OR(Input!#REF!&lt;&gt;"",Input!R232&lt;&gt;"",Input!#REF!&lt;&gt;"",Input!#REF!&lt;&gt;"")),"+","")&amp;Input!#REF!,"")</f>
        <v/>
      </c>
      <c r="Y232" t="str">
        <f t="shared" si="47"/>
        <v/>
      </c>
      <c r="Z232" t="str">
        <f>IF($I232&lt;&gt;"",IF(ISNUMBER(Input!T232),ROUNDDOWN(Input!T232,0),0)+IF(ISNUMBER(Input!#REF!),ROUNDDOWN(Input!#REF!,0),0)+IF(ISNUMBER(Input!#REF!),ROUNDDOWN(Input!#REF!,0),0)+IF(ISNUMBER(Input!#REF!),ROUNDDOWN(Input!#REF!,0),0)+IF(ISNUMBER(Input!#REF!),ROUNDDOWN(Input!#REF!,0),0),"")</f>
        <v/>
      </c>
      <c r="AA232" t="str">
        <f>IF($I232&lt;&gt;"",Input!U232&amp;IF(AND(Input!#REF!&lt;&gt;"",Input!U232&lt;&gt;""),"+","")&amp;Input!#REF!&amp;IF(AND(Input!#REF!&lt;&gt;"",OR(Input!#REF!&lt;&gt;"",Input!U232&lt;&gt;"")),"+","")&amp;Input!#REF!&amp;IF(AND(Input!#REF!&lt;&gt;"",OR(Input!#REF!&lt;&gt;"",Input!U232&lt;&gt;"",Input!#REF!&lt;&gt;"")),"+","")&amp;Input!#REF!&amp;IF(AND(Input!#REF!&lt;&gt;"",OR(Input!#REF!&lt;&gt;"",Input!U232&lt;&gt;"",Input!#REF!&lt;&gt;"",Input!#REF!&lt;&gt;"")),"+","")&amp;Input!#REF!,"")</f>
        <v/>
      </c>
      <c r="AB232" t="str">
        <f t="shared" si="48"/>
        <v/>
      </c>
      <c r="AC232" t="str">
        <f>IF($I232&lt;&gt;"",IF(ISNUMBER(Input!W232),ROUNDDOWN(Input!W232,0),0)+IF(ISNUMBER(Input!#REF!),ROUNDDOWN(Input!#REF!,0),0)+IF(ISNUMBER(Input!#REF!),ROUNDDOWN(Input!#REF!,0),0)+IF(ISNUMBER(Input!#REF!),ROUNDDOWN(Input!#REF!,0),0)+IF(ISNUMBER(Input!#REF!),ROUNDDOWN(Input!#REF!,0),0),"")</f>
        <v/>
      </c>
      <c r="AD232" t="str">
        <f>IF($I232&lt;&gt;"",Input!X232&amp;IF(AND(Input!#REF!&lt;&gt;"",Input!X232&lt;&gt;""),"+","")&amp;Input!#REF!&amp;IF(AND(Input!#REF!&lt;&gt;"",OR(Input!#REF!&lt;&gt;"",Input!X232&lt;&gt;"")),"+","")&amp;Input!#REF!&amp;IF(AND(Input!#REF!&lt;&gt;"",OR(Input!#REF!&lt;&gt;"",Input!X232&lt;&gt;"",Input!#REF!&lt;&gt;"")),"+","")&amp;Input!#REF!&amp;IF(AND(Input!#REF!&lt;&gt;"",OR(Input!#REF!&lt;&gt;"",Input!X232&lt;&gt;"",Input!#REF!&lt;&gt;"",Input!#REF!&lt;&gt;"")),"+","")&amp;Input!#REF!,"")</f>
        <v/>
      </c>
      <c r="AE232" t="str">
        <f t="shared" si="49"/>
        <v/>
      </c>
      <c r="AF232" t="str">
        <f>IF($I232&lt;&gt;"",IF(ISNUMBER(Input!Z232),ROUNDDOWN(Input!Z232,0),0)+IF(ISNUMBER(Input!#REF!),ROUNDDOWN(Input!#REF!,0),0)+IF(ISNUMBER(Input!#REF!),ROUNDDOWN(Input!#REF!,0),0)+IF(ISNUMBER(Input!#REF!),ROUNDDOWN(Input!#REF!,0),0)+IF(ISNUMBER(Input!#REF!),ROUNDDOWN(Input!#REF!,0),0),"")</f>
        <v/>
      </c>
      <c r="AG232" t="str">
        <f>IF($I232&lt;&gt;"",Input!AA232&amp;IF(AND(Input!#REF!&lt;&gt;"",Input!AA232&lt;&gt;""),"+","")&amp;Input!#REF!&amp;IF(AND(Input!#REF!&lt;&gt;"",OR(Input!#REF!&lt;&gt;"",Input!AA232&lt;&gt;"")),"+","")&amp;Input!#REF!&amp;IF(AND(Input!#REF!&lt;&gt;"",OR(Input!#REF!&lt;&gt;"",Input!AA232&lt;&gt;"",Input!#REF!&lt;&gt;"")),"+","")&amp;Input!#REF!&amp;IF(AND(Input!#REF!&lt;&gt;"",OR(Input!#REF!&lt;&gt;"",Input!AA232&lt;&gt;"",Input!#REF!&lt;&gt;"",Input!#REF!&lt;&gt;"")),"+","")&amp;Input!#REF!,"")</f>
        <v/>
      </c>
      <c r="AH232" t="str">
        <f t="shared" si="50"/>
        <v/>
      </c>
      <c r="AI232" t="str">
        <f>IF($I232&lt;&gt;"",IF(ISNUMBER(Input!AC232),ROUNDDOWN(Input!AC232,0),0)+IF(ISNUMBER(Input!#REF!),ROUNDDOWN(Input!#REF!,0),0)+IF(ISNUMBER(Input!#REF!),ROUNDDOWN(Input!#REF!,0),0)+IF(ISNUMBER(Input!#REF!),ROUNDDOWN(Input!#REF!,0),0)+IF(ISNUMBER(Input!#REF!),ROUNDDOWN(Input!#REF!,0),0),"")</f>
        <v/>
      </c>
      <c r="AJ232" t="str">
        <f>IF($I232&lt;&gt;"",Input!AD232&amp;IF(AND(Input!#REF!&lt;&gt;"",Input!AD232&lt;&gt;""),"+","")&amp;Input!#REF!&amp;IF(AND(Input!#REF!&lt;&gt;"",OR(Input!#REF!&lt;&gt;"",Input!AD232&lt;&gt;"")),"+","")&amp;Input!#REF!&amp;IF(AND(Input!#REF!&lt;&gt;"",OR(Input!#REF!&lt;&gt;"",Input!AD232&lt;&gt;"",Input!#REF!&lt;&gt;"")),"+","")&amp;Input!#REF!&amp;IF(AND(Input!#REF!&lt;&gt;"",OR(Input!#REF!&lt;&gt;"",Input!AD232&lt;&gt;"",Input!#REF!&lt;&gt;"",Input!#REF!&lt;&gt;"")),"+","")&amp;Input!#REF!,"")</f>
        <v/>
      </c>
      <c r="AK232" t="str">
        <f t="shared" si="51"/>
        <v/>
      </c>
    </row>
    <row r="233" spans="3:37" x14ac:dyDescent="0.35">
      <c r="C233" s="3"/>
      <c r="D233"/>
      <c r="E233"/>
      <c r="F233" s="3"/>
      <c r="I233" t="str">
        <f>IF(Input!A233&gt;0,Input!A233,"")</f>
        <v/>
      </c>
      <c r="J233" t="str">
        <f>IF(Input!B233&gt;0,Input!B233,"")</f>
        <v/>
      </c>
      <c r="K233" t="str">
        <f>IF(Input!C233&gt;0,Input!C233,"")</f>
        <v/>
      </c>
      <c r="L233" t="str">
        <f>IF(Input!D233&gt;0,Input!D233,"")</f>
        <v/>
      </c>
      <c r="M233" t="str">
        <f>IF(Input!E233&gt;0,Input!E233,"")</f>
        <v/>
      </c>
      <c r="N233" t="str">
        <f>IF(Input!F233&gt;0,Input!F233,"")</f>
        <v/>
      </c>
      <c r="O233" t="str">
        <f>IF($I233&lt;&gt;"",Input!I233&amp;IF(AND(Input!AG233&lt;&gt;"",Input!I233&lt;&gt;""),"+","")&amp;Input!AG233&amp;IF(AND(Input!#REF!&lt;&gt;"",OR(Input!AG233&lt;&gt;"",Input!I233&lt;&gt;"")),"+","")&amp;Input!#REF!&amp;IF(AND(Input!#REF!&lt;&gt;"",OR(Input!AG233&lt;&gt;"",Input!I233&lt;&gt;"",Input!#REF!&lt;&gt;"")),"+","")&amp;Input!#REF!&amp;IF(AND(Input!#REF!&lt;&gt;"",OR(Input!AG233&lt;&gt;"",Input!I233&lt;&gt;"",Input!#REF!&lt;&gt;"",Input!#REF!&lt;&gt;"")),"+","")&amp;Input!#REF!,"")</f>
        <v/>
      </c>
      <c r="P233" t="str">
        <f t="shared" si="44"/>
        <v/>
      </c>
      <c r="Q233" t="str">
        <f>IF($I233&lt;&gt;"",IF(ISNUMBER(Input!K233),ROUNDDOWN(Input!K233,0),0)+IF(ISNUMBER(Input!AI233),ROUNDDOWN(Input!AI233,0),0)+IF(ISNUMBER(Input!#REF!),ROUNDDOWN(Input!#REF!,0),0)+IF(ISNUMBER(Input!#REF!),ROUNDDOWN(Input!#REF!,0),0)+IF(ISNUMBER(Input!#REF!),ROUNDDOWN(Input!#REF!,0),0),"")</f>
        <v/>
      </c>
      <c r="R233" t="str">
        <f>IF($I233&lt;&gt;"",Input!L233&amp;IF(AND(Input!#REF!&lt;&gt;"",Input!L233&lt;&gt;""),"+","")&amp;Input!#REF!&amp;IF(AND(Input!#REF!&lt;&gt;"",OR(Input!#REF!&lt;&gt;"",Input!L233&lt;&gt;"")),"+","")&amp;Input!#REF!&amp;IF(AND(Input!#REF!&lt;&gt;"",OR(Input!#REF!&lt;&gt;"",Input!L233&lt;&gt;"",Input!#REF!&lt;&gt;"")),"+","")&amp;Input!#REF!&amp;IF(AND(Input!#REF!&lt;&gt;"",OR(Input!#REF!&lt;&gt;"",Input!L233&lt;&gt;"",Input!#REF!&lt;&gt;"",Input!#REF!&lt;&gt;"")),"+","")&amp;Input!#REF!,"")</f>
        <v/>
      </c>
      <c r="S233" t="str">
        <f t="shared" si="45"/>
        <v/>
      </c>
      <c r="T233" t="str">
        <f>IF($I233&lt;&gt;"",IF(ISNUMBER(Input!N233),ROUNDDOWN(Input!N233,0),0)+IF(ISNUMBER(Input!#REF!),ROUNDDOWN(Input!#REF!,0),0)+IF(ISNUMBER(Input!#REF!),ROUNDDOWN(Input!#REF!,0),0)+IF(ISNUMBER(Input!#REF!),ROUNDDOWN(Input!#REF!,0),0)+IF(ISNUMBER(Input!#REF!),ROUNDDOWN(Input!#REF!,0),0),"")</f>
        <v/>
      </c>
      <c r="U233" t="str">
        <f>IF($I233&lt;&gt;"",Input!O233&amp;IF(AND(Input!#REF!&lt;&gt;"",Input!O233&lt;&gt;""),"+","")&amp;Input!#REF!&amp;IF(AND(Input!#REF!&lt;&gt;"",OR(Input!#REF!&lt;&gt;"",Input!O233&lt;&gt;"")),"+","")&amp;Input!#REF!&amp;IF(AND(Input!#REF!&lt;&gt;"",OR(Input!#REF!&lt;&gt;"",Input!O233&lt;&gt;"",Input!#REF!&lt;&gt;"")),"+","")&amp;Input!#REF!&amp;IF(AND(Input!#REF!&lt;&gt;"",OR(Input!#REF!&lt;&gt;"",Input!O233&lt;&gt;"",Input!#REF!&lt;&gt;"",Input!#REF!&lt;&gt;"")),"+","")&amp;Input!#REF!,"")</f>
        <v/>
      </c>
      <c r="V233" t="str">
        <f t="shared" si="46"/>
        <v/>
      </c>
      <c r="W233" t="str">
        <f>IF($I233&lt;&gt;"",IF(ISNUMBER(Input!Q233),ROUNDDOWN(Input!Q233,0),0)+IF(ISNUMBER(Input!#REF!),ROUNDDOWN(Input!#REF!,0),0)+IF(ISNUMBER(Input!#REF!),ROUNDDOWN(Input!#REF!,0),0)+IF(ISNUMBER(Input!#REF!),ROUNDDOWN(Input!#REF!,0),0)+IF(ISNUMBER(Input!#REF!),ROUNDDOWN(Input!#REF!,0),0),"")</f>
        <v/>
      </c>
      <c r="X233" t="str">
        <f>IF($I233&lt;&gt;"",Input!R233&amp;IF(AND(Input!#REF!&lt;&gt;"",Input!R233&lt;&gt;""),"+","")&amp;Input!#REF!&amp;IF(AND(Input!#REF!&lt;&gt;"",OR(Input!#REF!&lt;&gt;"",Input!R233&lt;&gt;"")),"+","")&amp;Input!#REF!&amp;IF(AND(Input!#REF!&lt;&gt;"",OR(Input!#REF!&lt;&gt;"",Input!R233&lt;&gt;"",Input!#REF!&lt;&gt;"")),"+","")&amp;Input!#REF!&amp;IF(AND(Input!#REF!&lt;&gt;"",OR(Input!#REF!&lt;&gt;"",Input!R233&lt;&gt;"",Input!#REF!&lt;&gt;"",Input!#REF!&lt;&gt;"")),"+","")&amp;Input!#REF!,"")</f>
        <v/>
      </c>
      <c r="Y233" t="str">
        <f t="shared" si="47"/>
        <v/>
      </c>
      <c r="Z233" t="str">
        <f>IF($I233&lt;&gt;"",IF(ISNUMBER(Input!T233),ROUNDDOWN(Input!T233,0),0)+IF(ISNUMBER(Input!#REF!),ROUNDDOWN(Input!#REF!,0),0)+IF(ISNUMBER(Input!#REF!),ROUNDDOWN(Input!#REF!,0),0)+IF(ISNUMBER(Input!#REF!),ROUNDDOWN(Input!#REF!,0),0)+IF(ISNUMBER(Input!#REF!),ROUNDDOWN(Input!#REF!,0),0),"")</f>
        <v/>
      </c>
      <c r="AA233" t="str">
        <f>IF($I233&lt;&gt;"",Input!U233&amp;IF(AND(Input!#REF!&lt;&gt;"",Input!U233&lt;&gt;""),"+","")&amp;Input!#REF!&amp;IF(AND(Input!#REF!&lt;&gt;"",OR(Input!#REF!&lt;&gt;"",Input!U233&lt;&gt;"")),"+","")&amp;Input!#REF!&amp;IF(AND(Input!#REF!&lt;&gt;"",OR(Input!#REF!&lt;&gt;"",Input!U233&lt;&gt;"",Input!#REF!&lt;&gt;"")),"+","")&amp;Input!#REF!&amp;IF(AND(Input!#REF!&lt;&gt;"",OR(Input!#REF!&lt;&gt;"",Input!U233&lt;&gt;"",Input!#REF!&lt;&gt;"",Input!#REF!&lt;&gt;"")),"+","")&amp;Input!#REF!,"")</f>
        <v/>
      </c>
      <c r="AB233" t="str">
        <f t="shared" si="48"/>
        <v/>
      </c>
      <c r="AC233" t="str">
        <f>IF($I233&lt;&gt;"",IF(ISNUMBER(Input!W233),ROUNDDOWN(Input!W233,0),0)+IF(ISNUMBER(Input!#REF!),ROUNDDOWN(Input!#REF!,0),0)+IF(ISNUMBER(Input!#REF!),ROUNDDOWN(Input!#REF!,0),0)+IF(ISNUMBER(Input!#REF!),ROUNDDOWN(Input!#REF!,0),0)+IF(ISNUMBER(Input!#REF!),ROUNDDOWN(Input!#REF!,0),0),"")</f>
        <v/>
      </c>
      <c r="AD233" t="str">
        <f>IF($I233&lt;&gt;"",Input!X233&amp;IF(AND(Input!#REF!&lt;&gt;"",Input!X233&lt;&gt;""),"+","")&amp;Input!#REF!&amp;IF(AND(Input!#REF!&lt;&gt;"",OR(Input!#REF!&lt;&gt;"",Input!X233&lt;&gt;"")),"+","")&amp;Input!#REF!&amp;IF(AND(Input!#REF!&lt;&gt;"",OR(Input!#REF!&lt;&gt;"",Input!X233&lt;&gt;"",Input!#REF!&lt;&gt;"")),"+","")&amp;Input!#REF!&amp;IF(AND(Input!#REF!&lt;&gt;"",OR(Input!#REF!&lt;&gt;"",Input!X233&lt;&gt;"",Input!#REF!&lt;&gt;"",Input!#REF!&lt;&gt;"")),"+","")&amp;Input!#REF!,"")</f>
        <v/>
      </c>
      <c r="AE233" t="str">
        <f t="shared" si="49"/>
        <v/>
      </c>
      <c r="AF233" t="str">
        <f>IF($I233&lt;&gt;"",IF(ISNUMBER(Input!Z233),ROUNDDOWN(Input!Z233,0),0)+IF(ISNUMBER(Input!#REF!),ROUNDDOWN(Input!#REF!,0),0)+IF(ISNUMBER(Input!#REF!),ROUNDDOWN(Input!#REF!,0),0)+IF(ISNUMBER(Input!#REF!),ROUNDDOWN(Input!#REF!,0),0)+IF(ISNUMBER(Input!#REF!),ROUNDDOWN(Input!#REF!,0),0),"")</f>
        <v/>
      </c>
      <c r="AG233" t="str">
        <f>IF($I233&lt;&gt;"",Input!AA233&amp;IF(AND(Input!#REF!&lt;&gt;"",Input!AA233&lt;&gt;""),"+","")&amp;Input!#REF!&amp;IF(AND(Input!#REF!&lt;&gt;"",OR(Input!#REF!&lt;&gt;"",Input!AA233&lt;&gt;"")),"+","")&amp;Input!#REF!&amp;IF(AND(Input!#REF!&lt;&gt;"",OR(Input!#REF!&lt;&gt;"",Input!AA233&lt;&gt;"",Input!#REF!&lt;&gt;"")),"+","")&amp;Input!#REF!&amp;IF(AND(Input!#REF!&lt;&gt;"",OR(Input!#REF!&lt;&gt;"",Input!AA233&lt;&gt;"",Input!#REF!&lt;&gt;"",Input!#REF!&lt;&gt;"")),"+","")&amp;Input!#REF!,"")</f>
        <v/>
      </c>
      <c r="AH233" t="str">
        <f t="shared" si="50"/>
        <v/>
      </c>
      <c r="AI233" t="str">
        <f>IF($I233&lt;&gt;"",IF(ISNUMBER(Input!AC233),ROUNDDOWN(Input!AC233,0),0)+IF(ISNUMBER(Input!#REF!),ROUNDDOWN(Input!#REF!,0),0)+IF(ISNUMBER(Input!#REF!),ROUNDDOWN(Input!#REF!,0),0)+IF(ISNUMBER(Input!#REF!),ROUNDDOWN(Input!#REF!,0),0)+IF(ISNUMBER(Input!#REF!),ROUNDDOWN(Input!#REF!,0),0),"")</f>
        <v/>
      </c>
      <c r="AJ233" t="str">
        <f>IF($I233&lt;&gt;"",Input!AD233&amp;IF(AND(Input!#REF!&lt;&gt;"",Input!AD233&lt;&gt;""),"+","")&amp;Input!#REF!&amp;IF(AND(Input!#REF!&lt;&gt;"",OR(Input!#REF!&lt;&gt;"",Input!AD233&lt;&gt;"")),"+","")&amp;Input!#REF!&amp;IF(AND(Input!#REF!&lt;&gt;"",OR(Input!#REF!&lt;&gt;"",Input!AD233&lt;&gt;"",Input!#REF!&lt;&gt;"")),"+","")&amp;Input!#REF!&amp;IF(AND(Input!#REF!&lt;&gt;"",OR(Input!#REF!&lt;&gt;"",Input!AD233&lt;&gt;"",Input!#REF!&lt;&gt;"",Input!#REF!&lt;&gt;"")),"+","")&amp;Input!#REF!,"")</f>
        <v/>
      </c>
      <c r="AK233" t="str">
        <f t="shared" si="51"/>
        <v/>
      </c>
    </row>
    <row r="234" spans="3:37" x14ac:dyDescent="0.35">
      <c r="C234" s="3"/>
      <c r="D234"/>
      <c r="E234"/>
      <c r="F234" s="3"/>
      <c r="I234" t="str">
        <f>IF(Input!A234&gt;0,Input!A234,"")</f>
        <v/>
      </c>
      <c r="J234" t="str">
        <f>IF(Input!B234&gt;0,Input!B234,"")</f>
        <v/>
      </c>
      <c r="K234" t="str">
        <f>IF(Input!C234&gt;0,Input!C234,"")</f>
        <v/>
      </c>
      <c r="L234" t="str">
        <f>IF(Input!D234&gt;0,Input!D234,"")</f>
        <v/>
      </c>
      <c r="M234" t="str">
        <f>IF(Input!E234&gt;0,Input!E234,"")</f>
        <v/>
      </c>
      <c r="N234" t="str">
        <f>IF(Input!F234&gt;0,Input!F234,"")</f>
        <v/>
      </c>
      <c r="O234" t="str">
        <f>IF($I234&lt;&gt;"",Input!I234&amp;IF(AND(Input!AG234&lt;&gt;"",Input!I234&lt;&gt;""),"+","")&amp;Input!AG234&amp;IF(AND(Input!#REF!&lt;&gt;"",OR(Input!AG234&lt;&gt;"",Input!I234&lt;&gt;"")),"+","")&amp;Input!#REF!&amp;IF(AND(Input!#REF!&lt;&gt;"",OR(Input!AG234&lt;&gt;"",Input!I234&lt;&gt;"",Input!#REF!&lt;&gt;"")),"+","")&amp;Input!#REF!&amp;IF(AND(Input!#REF!&lt;&gt;"",OR(Input!AG234&lt;&gt;"",Input!I234&lt;&gt;"",Input!#REF!&lt;&gt;"",Input!#REF!&lt;&gt;"")),"+","")&amp;Input!#REF!,"")</f>
        <v/>
      </c>
      <c r="P234" t="str">
        <f t="shared" si="44"/>
        <v/>
      </c>
      <c r="Q234" t="str">
        <f>IF($I234&lt;&gt;"",IF(ISNUMBER(Input!K234),ROUNDDOWN(Input!K234,0),0)+IF(ISNUMBER(Input!AI234),ROUNDDOWN(Input!AI234,0),0)+IF(ISNUMBER(Input!#REF!),ROUNDDOWN(Input!#REF!,0),0)+IF(ISNUMBER(Input!#REF!),ROUNDDOWN(Input!#REF!,0),0)+IF(ISNUMBER(Input!#REF!),ROUNDDOWN(Input!#REF!,0),0),"")</f>
        <v/>
      </c>
      <c r="R234" t="str">
        <f>IF($I234&lt;&gt;"",Input!L234&amp;IF(AND(Input!#REF!&lt;&gt;"",Input!L234&lt;&gt;""),"+","")&amp;Input!#REF!&amp;IF(AND(Input!#REF!&lt;&gt;"",OR(Input!#REF!&lt;&gt;"",Input!L234&lt;&gt;"")),"+","")&amp;Input!#REF!&amp;IF(AND(Input!#REF!&lt;&gt;"",OR(Input!#REF!&lt;&gt;"",Input!L234&lt;&gt;"",Input!#REF!&lt;&gt;"")),"+","")&amp;Input!#REF!&amp;IF(AND(Input!#REF!&lt;&gt;"",OR(Input!#REF!&lt;&gt;"",Input!L234&lt;&gt;"",Input!#REF!&lt;&gt;"",Input!#REF!&lt;&gt;"")),"+","")&amp;Input!#REF!,"")</f>
        <v/>
      </c>
      <c r="S234" t="str">
        <f t="shared" si="45"/>
        <v/>
      </c>
      <c r="T234" t="str">
        <f>IF($I234&lt;&gt;"",IF(ISNUMBER(Input!N234),ROUNDDOWN(Input!N234,0),0)+IF(ISNUMBER(Input!#REF!),ROUNDDOWN(Input!#REF!,0),0)+IF(ISNUMBER(Input!#REF!),ROUNDDOWN(Input!#REF!,0),0)+IF(ISNUMBER(Input!#REF!),ROUNDDOWN(Input!#REF!,0),0)+IF(ISNUMBER(Input!#REF!),ROUNDDOWN(Input!#REF!,0),0),"")</f>
        <v/>
      </c>
      <c r="U234" t="str">
        <f>IF($I234&lt;&gt;"",Input!O234&amp;IF(AND(Input!#REF!&lt;&gt;"",Input!O234&lt;&gt;""),"+","")&amp;Input!#REF!&amp;IF(AND(Input!#REF!&lt;&gt;"",OR(Input!#REF!&lt;&gt;"",Input!O234&lt;&gt;"")),"+","")&amp;Input!#REF!&amp;IF(AND(Input!#REF!&lt;&gt;"",OR(Input!#REF!&lt;&gt;"",Input!O234&lt;&gt;"",Input!#REF!&lt;&gt;"")),"+","")&amp;Input!#REF!&amp;IF(AND(Input!#REF!&lt;&gt;"",OR(Input!#REF!&lt;&gt;"",Input!O234&lt;&gt;"",Input!#REF!&lt;&gt;"",Input!#REF!&lt;&gt;"")),"+","")&amp;Input!#REF!,"")</f>
        <v/>
      </c>
      <c r="V234" t="str">
        <f t="shared" si="46"/>
        <v/>
      </c>
      <c r="W234" t="str">
        <f>IF($I234&lt;&gt;"",IF(ISNUMBER(Input!Q234),ROUNDDOWN(Input!Q234,0),0)+IF(ISNUMBER(Input!#REF!),ROUNDDOWN(Input!#REF!,0),0)+IF(ISNUMBER(Input!#REF!),ROUNDDOWN(Input!#REF!,0),0)+IF(ISNUMBER(Input!#REF!),ROUNDDOWN(Input!#REF!,0),0)+IF(ISNUMBER(Input!#REF!),ROUNDDOWN(Input!#REF!,0),0),"")</f>
        <v/>
      </c>
      <c r="X234" t="str">
        <f>IF($I234&lt;&gt;"",Input!R234&amp;IF(AND(Input!#REF!&lt;&gt;"",Input!R234&lt;&gt;""),"+","")&amp;Input!#REF!&amp;IF(AND(Input!#REF!&lt;&gt;"",OR(Input!#REF!&lt;&gt;"",Input!R234&lt;&gt;"")),"+","")&amp;Input!#REF!&amp;IF(AND(Input!#REF!&lt;&gt;"",OR(Input!#REF!&lt;&gt;"",Input!R234&lt;&gt;"",Input!#REF!&lt;&gt;"")),"+","")&amp;Input!#REF!&amp;IF(AND(Input!#REF!&lt;&gt;"",OR(Input!#REF!&lt;&gt;"",Input!R234&lt;&gt;"",Input!#REF!&lt;&gt;"",Input!#REF!&lt;&gt;"")),"+","")&amp;Input!#REF!,"")</f>
        <v/>
      </c>
      <c r="Y234" t="str">
        <f t="shared" si="47"/>
        <v/>
      </c>
      <c r="Z234" t="str">
        <f>IF($I234&lt;&gt;"",IF(ISNUMBER(Input!T234),ROUNDDOWN(Input!T234,0),0)+IF(ISNUMBER(Input!#REF!),ROUNDDOWN(Input!#REF!,0),0)+IF(ISNUMBER(Input!#REF!),ROUNDDOWN(Input!#REF!,0),0)+IF(ISNUMBER(Input!#REF!),ROUNDDOWN(Input!#REF!,0),0)+IF(ISNUMBER(Input!#REF!),ROUNDDOWN(Input!#REF!,0),0),"")</f>
        <v/>
      </c>
      <c r="AA234" t="str">
        <f>IF($I234&lt;&gt;"",Input!U234&amp;IF(AND(Input!#REF!&lt;&gt;"",Input!U234&lt;&gt;""),"+","")&amp;Input!#REF!&amp;IF(AND(Input!#REF!&lt;&gt;"",OR(Input!#REF!&lt;&gt;"",Input!U234&lt;&gt;"")),"+","")&amp;Input!#REF!&amp;IF(AND(Input!#REF!&lt;&gt;"",OR(Input!#REF!&lt;&gt;"",Input!U234&lt;&gt;"",Input!#REF!&lt;&gt;"")),"+","")&amp;Input!#REF!&amp;IF(AND(Input!#REF!&lt;&gt;"",OR(Input!#REF!&lt;&gt;"",Input!U234&lt;&gt;"",Input!#REF!&lt;&gt;"",Input!#REF!&lt;&gt;"")),"+","")&amp;Input!#REF!,"")</f>
        <v/>
      </c>
      <c r="AB234" t="str">
        <f t="shared" si="48"/>
        <v/>
      </c>
      <c r="AC234" t="str">
        <f>IF($I234&lt;&gt;"",IF(ISNUMBER(Input!W234),ROUNDDOWN(Input!W234,0),0)+IF(ISNUMBER(Input!#REF!),ROUNDDOWN(Input!#REF!,0),0)+IF(ISNUMBER(Input!#REF!),ROUNDDOWN(Input!#REF!,0),0)+IF(ISNUMBER(Input!#REF!),ROUNDDOWN(Input!#REF!,0),0)+IF(ISNUMBER(Input!#REF!),ROUNDDOWN(Input!#REF!,0),0),"")</f>
        <v/>
      </c>
      <c r="AD234" t="str">
        <f>IF($I234&lt;&gt;"",Input!X234&amp;IF(AND(Input!#REF!&lt;&gt;"",Input!X234&lt;&gt;""),"+","")&amp;Input!#REF!&amp;IF(AND(Input!#REF!&lt;&gt;"",OR(Input!#REF!&lt;&gt;"",Input!X234&lt;&gt;"")),"+","")&amp;Input!#REF!&amp;IF(AND(Input!#REF!&lt;&gt;"",OR(Input!#REF!&lt;&gt;"",Input!X234&lt;&gt;"",Input!#REF!&lt;&gt;"")),"+","")&amp;Input!#REF!&amp;IF(AND(Input!#REF!&lt;&gt;"",OR(Input!#REF!&lt;&gt;"",Input!X234&lt;&gt;"",Input!#REF!&lt;&gt;"",Input!#REF!&lt;&gt;"")),"+","")&amp;Input!#REF!,"")</f>
        <v/>
      </c>
      <c r="AE234" t="str">
        <f t="shared" si="49"/>
        <v/>
      </c>
      <c r="AF234" t="str">
        <f>IF($I234&lt;&gt;"",IF(ISNUMBER(Input!Z234),ROUNDDOWN(Input!Z234,0),0)+IF(ISNUMBER(Input!#REF!),ROUNDDOWN(Input!#REF!,0),0)+IF(ISNUMBER(Input!#REF!),ROUNDDOWN(Input!#REF!,0),0)+IF(ISNUMBER(Input!#REF!),ROUNDDOWN(Input!#REF!,0),0)+IF(ISNUMBER(Input!#REF!),ROUNDDOWN(Input!#REF!,0),0),"")</f>
        <v/>
      </c>
      <c r="AG234" t="str">
        <f>IF($I234&lt;&gt;"",Input!AA234&amp;IF(AND(Input!#REF!&lt;&gt;"",Input!AA234&lt;&gt;""),"+","")&amp;Input!#REF!&amp;IF(AND(Input!#REF!&lt;&gt;"",OR(Input!#REF!&lt;&gt;"",Input!AA234&lt;&gt;"")),"+","")&amp;Input!#REF!&amp;IF(AND(Input!#REF!&lt;&gt;"",OR(Input!#REF!&lt;&gt;"",Input!AA234&lt;&gt;"",Input!#REF!&lt;&gt;"")),"+","")&amp;Input!#REF!&amp;IF(AND(Input!#REF!&lt;&gt;"",OR(Input!#REF!&lt;&gt;"",Input!AA234&lt;&gt;"",Input!#REF!&lt;&gt;"",Input!#REF!&lt;&gt;"")),"+","")&amp;Input!#REF!,"")</f>
        <v/>
      </c>
      <c r="AH234" t="str">
        <f t="shared" si="50"/>
        <v/>
      </c>
      <c r="AI234" t="str">
        <f>IF($I234&lt;&gt;"",IF(ISNUMBER(Input!AC234),ROUNDDOWN(Input!AC234,0),0)+IF(ISNUMBER(Input!#REF!),ROUNDDOWN(Input!#REF!,0),0)+IF(ISNUMBER(Input!#REF!),ROUNDDOWN(Input!#REF!,0),0)+IF(ISNUMBER(Input!#REF!),ROUNDDOWN(Input!#REF!,0),0)+IF(ISNUMBER(Input!#REF!),ROUNDDOWN(Input!#REF!,0),0),"")</f>
        <v/>
      </c>
      <c r="AJ234" t="str">
        <f>IF($I234&lt;&gt;"",Input!AD234&amp;IF(AND(Input!#REF!&lt;&gt;"",Input!AD234&lt;&gt;""),"+","")&amp;Input!#REF!&amp;IF(AND(Input!#REF!&lt;&gt;"",OR(Input!#REF!&lt;&gt;"",Input!AD234&lt;&gt;"")),"+","")&amp;Input!#REF!&amp;IF(AND(Input!#REF!&lt;&gt;"",OR(Input!#REF!&lt;&gt;"",Input!AD234&lt;&gt;"",Input!#REF!&lt;&gt;"")),"+","")&amp;Input!#REF!&amp;IF(AND(Input!#REF!&lt;&gt;"",OR(Input!#REF!&lt;&gt;"",Input!AD234&lt;&gt;"",Input!#REF!&lt;&gt;"",Input!#REF!&lt;&gt;"")),"+","")&amp;Input!#REF!,"")</f>
        <v/>
      </c>
      <c r="AK234" t="str">
        <f t="shared" si="51"/>
        <v/>
      </c>
    </row>
    <row r="235" spans="3:37" x14ac:dyDescent="0.35">
      <c r="C235" s="3"/>
      <c r="D235"/>
      <c r="E235"/>
      <c r="F235" s="3"/>
      <c r="I235" t="str">
        <f>IF(Input!A235&gt;0,Input!A235,"")</f>
        <v/>
      </c>
      <c r="J235" t="str">
        <f>IF(Input!B235&gt;0,Input!B235,"")</f>
        <v/>
      </c>
      <c r="K235" t="str">
        <f>IF(Input!C235&gt;0,Input!C235,"")</f>
        <v/>
      </c>
      <c r="L235" t="str">
        <f>IF(Input!D235&gt;0,Input!D235,"")</f>
        <v/>
      </c>
      <c r="M235" t="str">
        <f>IF(Input!E235&gt;0,Input!E235,"")</f>
        <v/>
      </c>
      <c r="N235" t="str">
        <f>IF(Input!F235&gt;0,Input!F235,"")</f>
        <v/>
      </c>
      <c r="O235" t="str">
        <f>IF($I235&lt;&gt;"",Input!I235&amp;IF(AND(Input!AG235&lt;&gt;"",Input!I235&lt;&gt;""),"+","")&amp;Input!AG235&amp;IF(AND(Input!#REF!&lt;&gt;"",OR(Input!AG235&lt;&gt;"",Input!I235&lt;&gt;"")),"+","")&amp;Input!#REF!&amp;IF(AND(Input!#REF!&lt;&gt;"",OR(Input!AG235&lt;&gt;"",Input!I235&lt;&gt;"",Input!#REF!&lt;&gt;"")),"+","")&amp;Input!#REF!&amp;IF(AND(Input!#REF!&lt;&gt;"",OR(Input!AG235&lt;&gt;"",Input!I235&lt;&gt;"",Input!#REF!&lt;&gt;"",Input!#REF!&lt;&gt;"")),"+","")&amp;Input!#REF!,"")</f>
        <v/>
      </c>
      <c r="P235" t="str">
        <f t="shared" si="44"/>
        <v/>
      </c>
      <c r="Q235" t="str">
        <f>IF($I235&lt;&gt;"",IF(ISNUMBER(Input!K235),ROUNDDOWN(Input!K235,0),0)+IF(ISNUMBER(Input!AI235),ROUNDDOWN(Input!AI235,0),0)+IF(ISNUMBER(Input!#REF!),ROUNDDOWN(Input!#REF!,0),0)+IF(ISNUMBER(Input!#REF!),ROUNDDOWN(Input!#REF!,0),0)+IF(ISNUMBER(Input!#REF!),ROUNDDOWN(Input!#REF!,0),0),"")</f>
        <v/>
      </c>
      <c r="R235" t="str">
        <f>IF($I235&lt;&gt;"",Input!L235&amp;IF(AND(Input!#REF!&lt;&gt;"",Input!L235&lt;&gt;""),"+","")&amp;Input!#REF!&amp;IF(AND(Input!#REF!&lt;&gt;"",OR(Input!#REF!&lt;&gt;"",Input!L235&lt;&gt;"")),"+","")&amp;Input!#REF!&amp;IF(AND(Input!#REF!&lt;&gt;"",OR(Input!#REF!&lt;&gt;"",Input!L235&lt;&gt;"",Input!#REF!&lt;&gt;"")),"+","")&amp;Input!#REF!&amp;IF(AND(Input!#REF!&lt;&gt;"",OR(Input!#REF!&lt;&gt;"",Input!L235&lt;&gt;"",Input!#REF!&lt;&gt;"",Input!#REF!&lt;&gt;"")),"+","")&amp;Input!#REF!,"")</f>
        <v/>
      </c>
      <c r="S235" t="str">
        <f t="shared" si="45"/>
        <v/>
      </c>
      <c r="T235" t="str">
        <f>IF($I235&lt;&gt;"",IF(ISNUMBER(Input!N235),ROUNDDOWN(Input!N235,0),0)+IF(ISNUMBER(Input!#REF!),ROUNDDOWN(Input!#REF!,0),0)+IF(ISNUMBER(Input!#REF!),ROUNDDOWN(Input!#REF!,0),0)+IF(ISNUMBER(Input!#REF!),ROUNDDOWN(Input!#REF!,0),0)+IF(ISNUMBER(Input!#REF!),ROUNDDOWN(Input!#REF!,0),0),"")</f>
        <v/>
      </c>
      <c r="U235" t="str">
        <f>IF($I235&lt;&gt;"",Input!O235&amp;IF(AND(Input!#REF!&lt;&gt;"",Input!O235&lt;&gt;""),"+","")&amp;Input!#REF!&amp;IF(AND(Input!#REF!&lt;&gt;"",OR(Input!#REF!&lt;&gt;"",Input!O235&lt;&gt;"")),"+","")&amp;Input!#REF!&amp;IF(AND(Input!#REF!&lt;&gt;"",OR(Input!#REF!&lt;&gt;"",Input!O235&lt;&gt;"",Input!#REF!&lt;&gt;"")),"+","")&amp;Input!#REF!&amp;IF(AND(Input!#REF!&lt;&gt;"",OR(Input!#REF!&lt;&gt;"",Input!O235&lt;&gt;"",Input!#REF!&lt;&gt;"",Input!#REF!&lt;&gt;"")),"+","")&amp;Input!#REF!,"")</f>
        <v/>
      </c>
      <c r="V235" t="str">
        <f t="shared" si="46"/>
        <v/>
      </c>
      <c r="W235" t="str">
        <f>IF($I235&lt;&gt;"",IF(ISNUMBER(Input!Q235),ROUNDDOWN(Input!Q235,0),0)+IF(ISNUMBER(Input!#REF!),ROUNDDOWN(Input!#REF!,0),0)+IF(ISNUMBER(Input!#REF!),ROUNDDOWN(Input!#REF!,0),0)+IF(ISNUMBER(Input!#REF!),ROUNDDOWN(Input!#REF!,0),0)+IF(ISNUMBER(Input!#REF!),ROUNDDOWN(Input!#REF!,0),0),"")</f>
        <v/>
      </c>
      <c r="X235" t="str">
        <f>IF($I235&lt;&gt;"",Input!R235&amp;IF(AND(Input!#REF!&lt;&gt;"",Input!R235&lt;&gt;""),"+","")&amp;Input!#REF!&amp;IF(AND(Input!#REF!&lt;&gt;"",OR(Input!#REF!&lt;&gt;"",Input!R235&lt;&gt;"")),"+","")&amp;Input!#REF!&amp;IF(AND(Input!#REF!&lt;&gt;"",OR(Input!#REF!&lt;&gt;"",Input!R235&lt;&gt;"",Input!#REF!&lt;&gt;"")),"+","")&amp;Input!#REF!&amp;IF(AND(Input!#REF!&lt;&gt;"",OR(Input!#REF!&lt;&gt;"",Input!R235&lt;&gt;"",Input!#REF!&lt;&gt;"",Input!#REF!&lt;&gt;"")),"+","")&amp;Input!#REF!,"")</f>
        <v/>
      </c>
      <c r="Y235" t="str">
        <f t="shared" si="47"/>
        <v/>
      </c>
      <c r="Z235" t="str">
        <f>IF($I235&lt;&gt;"",IF(ISNUMBER(Input!T235),ROUNDDOWN(Input!T235,0),0)+IF(ISNUMBER(Input!#REF!),ROUNDDOWN(Input!#REF!,0),0)+IF(ISNUMBER(Input!#REF!),ROUNDDOWN(Input!#REF!,0),0)+IF(ISNUMBER(Input!#REF!),ROUNDDOWN(Input!#REF!,0),0)+IF(ISNUMBER(Input!#REF!),ROUNDDOWN(Input!#REF!,0),0),"")</f>
        <v/>
      </c>
      <c r="AA235" t="str">
        <f>IF($I235&lt;&gt;"",Input!U235&amp;IF(AND(Input!#REF!&lt;&gt;"",Input!U235&lt;&gt;""),"+","")&amp;Input!#REF!&amp;IF(AND(Input!#REF!&lt;&gt;"",OR(Input!#REF!&lt;&gt;"",Input!U235&lt;&gt;"")),"+","")&amp;Input!#REF!&amp;IF(AND(Input!#REF!&lt;&gt;"",OR(Input!#REF!&lt;&gt;"",Input!U235&lt;&gt;"",Input!#REF!&lt;&gt;"")),"+","")&amp;Input!#REF!&amp;IF(AND(Input!#REF!&lt;&gt;"",OR(Input!#REF!&lt;&gt;"",Input!U235&lt;&gt;"",Input!#REF!&lt;&gt;"",Input!#REF!&lt;&gt;"")),"+","")&amp;Input!#REF!,"")</f>
        <v/>
      </c>
      <c r="AB235" t="str">
        <f t="shared" si="48"/>
        <v/>
      </c>
      <c r="AC235" t="str">
        <f>IF($I235&lt;&gt;"",IF(ISNUMBER(Input!W235),ROUNDDOWN(Input!W235,0),0)+IF(ISNUMBER(Input!#REF!),ROUNDDOWN(Input!#REF!,0),0)+IF(ISNUMBER(Input!#REF!),ROUNDDOWN(Input!#REF!,0),0)+IF(ISNUMBER(Input!#REF!),ROUNDDOWN(Input!#REF!,0),0)+IF(ISNUMBER(Input!#REF!),ROUNDDOWN(Input!#REF!,0),0),"")</f>
        <v/>
      </c>
      <c r="AD235" t="str">
        <f>IF($I235&lt;&gt;"",Input!X235&amp;IF(AND(Input!#REF!&lt;&gt;"",Input!X235&lt;&gt;""),"+","")&amp;Input!#REF!&amp;IF(AND(Input!#REF!&lt;&gt;"",OR(Input!#REF!&lt;&gt;"",Input!X235&lt;&gt;"")),"+","")&amp;Input!#REF!&amp;IF(AND(Input!#REF!&lt;&gt;"",OR(Input!#REF!&lt;&gt;"",Input!X235&lt;&gt;"",Input!#REF!&lt;&gt;"")),"+","")&amp;Input!#REF!&amp;IF(AND(Input!#REF!&lt;&gt;"",OR(Input!#REF!&lt;&gt;"",Input!X235&lt;&gt;"",Input!#REF!&lt;&gt;"",Input!#REF!&lt;&gt;"")),"+","")&amp;Input!#REF!,"")</f>
        <v/>
      </c>
      <c r="AE235" t="str">
        <f t="shared" si="49"/>
        <v/>
      </c>
      <c r="AF235" t="str">
        <f>IF($I235&lt;&gt;"",IF(ISNUMBER(Input!Z235),ROUNDDOWN(Input!Z235,0),0)+IF(ISNUMBER(Input!#REF!),ROUNDDOWN(Input!#REF!,0),0)+IF(ISNUMBER(Input!#REF!),ROUNDDOWN(Input!#REF!,0),0)+IF(ISNUMBER(Input!#REF!),ROUNDDOWN(Input!#REF!,0),0)+IF(ISNUMBER(Input!#REF!),ROUNDDOWN(Input!#REF!,0),0),"")</f>
        <v/>
      </c>
      <c r="AG235" t="str">
        <f>IF($I235&lt;&gt;"",Input!AA235&amp;IF(AND(Input!#REF!&lt;&gt;"",Input!AA235&lt;&gt;""),"+","")&amp;Input!#REF!&amp;IF(AND(Input!#REF!&lt;&gt;"",OR(Input!#REF!&lt;&gt;"",Input!AA235&lt;&gt;"")),"+","")&amp;Input!#REF!&amp;IF(AND(Input!#REF!&lt;&gt;"",OR(Input!#REF!&lt;&gt;"",Input!AA235&lt;&gt;"",Input!#REF!&lt;&gt;"")),"+","")&amp;Input!#REF!&amp;IF(AND(Input!#REF!&lt;&gt;"",OR(Input!#REF!&lt;&gt;"",Input!AA235&lt;&gt;"",Input!#REF!&lt;&gt;"",Input!#REF!&lt;&gt;"")),"+","")&amp;Input!#REF!,"")</f>
        <v/>
      </c>
      <c r="AH235" t="str">
        <f t="shared" si="50"/>
        <v/>
      </c>
      <c r="AI235" t="str">
        <f>IF($I235&lt;&gt;"",IF(ISNUMBER(Input!AC235),ROUNDDOWN(Input!AC235,0),0)+IF(ISNUMBER(Input!#REF!),ROUNDDOWN(Input!#REF!,0),0)+IF(ISNUMBER(Input!#REF!),ROUNDDOWN(Input!#REF!,0),0)+IF(ISNUMBER(Input!#REF!),ROUNDDOWN(Input!#REF!,0),0)+IF(ISNUMBER(Input!#REF!),ROUNDDOWN(Input!#REF!,0),0),"")</f>
        <v/>
      </c>
      <c r="AJ235" t="str">
        <f>IF($I235&lt;&gt;"",Input!AD235&amp;IF(AND(Input!#REF!&lt;&gt;"",Input!AD235&lt;&gt;""),"+","")&amp;Input!#REF!&amp;IF(AND(Input!#REF!&lt;&gt;"",OR(Input!#REF!&lt;&gt;"",Input!AD235&lt;&gt;"")),"+","")&amp;Input!#REF!&amp;IF(AND(Input!#REF!&lt;&gt;"",OR(Input!#REF!&lt;&gt;"",Input!AD235&lt;&gt;"",Input!#REF!&lt;&gt;"")),"+","")&amp;Input!#REF!&amp;IF(AND(Input!#REF!&lt;&gt;"",OR(Input!#REF!&lt;&gt;"",Input!AD235&lt;&gt;"",Input!#REF!&lt;&gt;"",Input!#REF!&lt;&gt;"")),"+","")&amp;Input!#REF!,"")</f>
        <v/>
      </c>
      <c r="AK235" t="str">
        <f t="shared" si="51"/>
        <v/>
      </c>
    </row>
    <row r="236" spans="3:37" x14ac:dyDescent="0.35">
      <c r="C236" s="3"/>
      <c r="D236"/>
      <c r="E236"/>
      <c r="F236" s="3"/>
      <c r="I236" t="str">
        <f>IF(Input!A236&gt;0,Input!A236,"")</f>
        <v/>
      </c>
      <c r="J236" t="str">
        <f>IF(Input!B236&gt;0,Input!B236,"")</f>
        <v/>
      </c>
      <c r="K236" t="str">
        <f>IF(Input!C236&gt;0,Input!C236,"")</f>
        <v/>
      </c>
      <c r="L236" t="str">
        <f>IF(Input!D236&gt;0,Input!D236,"")</f>
        <v/>
      </c>
      <c r="M236" t="str">
        <f>IF(Input!E236&gt;0,Input!E236,"")</f>
        <v/>
      </c>
      <c r="N236" t="str">
        <f>IF(Input!F236&gt;0,Input!F236,"")</f>
        <v/>
      </c>
      <c r="O236" t="str">
        <f>IF($I236&lt;&gt;"",Input!I236&amp;IF(AND(Input!AG236&lt;&gt;"",Input!I236&lt;&gt;""),"+","")&amp;Input!AG236&amp;IF(AND(Input!#REF!&lt;&gt;"",OR(Input!AG236&lt;&gt;"",Input!I236&lt;&gt;"")),"+","")&amp;Input!#REF!&amp;IF(AND(Input!#REF!&lt;&gt;"",OR(Input!AG236&lt;&gt;"",Input!I236&lt;&gt;"",Input!#REF!&lt;&gt;"")),"+","")&amp;Input!#REF!&amp;IF(AND(Input!#REF!&lt;&gt;"",OR(Input!AG236&lt;&gt;"",Input!I236&lt;&gt;"",Input!#REF!&lt;&gt;"",Input!#REF!&lt;&gt;"")),"+","")&amp;Input!#REF!,"")</f>
        <v/>
      </c>
      <c r="P236" t="str">
        <f t="shared" si="44"/>
        <v/>
      </c>
      <c r="Q236" t="str">
        <f>IF($I236&lt;&gt;"",IF(ISNUMBER(Input!K236),ROUNDDOWN(Input!K236,0),0)+IF(ISNUMBER(Input!AI236),ROUNDDOWN(Input!AI236,0),0)+IF(ISNUMBER(Input!#REF!),ROUNDDOWN(Input!#REF!,0),0)+IF(ISNUMBER(Input!#REF!),ROUNDDOWN(Input!#REF!,0),0)+IF(ISNUMBER(Input!#REF!),ROUNDDOWN(Input!#REF!,0),0),"")</f>
        <v/>
      </c>
      <c r="R236" t="str">
        <f>IF($I236&lt;&gt;"",Input!L236&amp;IF(AND(Input!#REF!&lt;&gt;"",Input!L236&lt;&gt;""),"+","")&amp;Input!#REF!&amp;IF(AND(Input!#REF!&lt;&gt;"",OR(Input!#REF!&lt;&gt;"",Input!L236&lt;&gt;"")),"+","")&amp;Input!#REF!&amp;IF(AND(Input!#REF!&lt;&gt;"",OR(Input!#REF!&lt;&gt;"",Input!L236&lt;&gt;"",Input!#REF!&lt;&gt;"")),"+","")&amp;Input!#REF!&amp;IF(AND(Input!#REF!&lt;&gt;"",OR(Input!#REF!&lt;&gt;"",Input!L236&lt;&gt;"",Input!#REF!&lt;&gt;"",Input!#REF!&lt;&gt;"")),"+","")&amp;Input!#REF!,"")</f>
        <v/>
      </c>
      <c r="S236" t="str">
        <f t="shared" si="45"/>
        <v/>
      </c>
      <c r="T236" t="str">
        <f>IF($I236&lt;&gt;"",IF(ISNUMBER(Input!N236),ROUNDDOWN(Input!N236,0),0)+IF(ISNUMBER(Input!#REF!),ROUNDDOWN(Input!#REF!,0),0)+IF(ISNUMBER(Input!#REF!),ROUNDDOWN(Input!#REF!,0),0)+IF(ISNUMBER(Input!#REF!),ROUNDDOWN(Input!#REF!,0),0)+IF(ISNUMBER(Input!#REF!),ROUNDDOWN(Input!#REF!,0),0),"")</f>
        <v/>
      </c>
      <c r="U236" t="str">
        <f>IF($I236&lt;&gt;"",Input!O236&amp;IF(AND(Input!#REF!&lt;&gt;"",Input!O236&lt;&gt;""),"+","")&amp;Input!#REF!&amp;IF(AND(Input!#REF!&lt;&gt;"",OR(Input!#REF!&lt;&gt;"",Input!O236&lt;&gt;"")),"+","")&amp;Input!#REF!&amp;IF(AND(Input!#REF!&lt;&gt;"",OR(Input!#REF!&lt;&gt;"",Input!O236&lt;&gt;"",Input!#REF!&lt;&gt;"")),"+","")&amp;Input!#REF!&amp;IF(AND(Input!#REF!&lt;&gt;"",OR(Input!#REF!&lt;&gt;"",Input!O236&lt;&gt;"",Input!#REF!&lt;&gt;"",Input!#REF!&lt;&gt;"")),"+","")&amp;Input!#REF!,"")</f>
        <v/>
      </c>
      <c r="V236" t="str">
        <f t="shared" si="46"/>
        <v/>
      </c>
      <c r="W236" t="str">
        <f>IF($I236&lt;&gt;"",IF(ISNUMBER(Input!Q236),ROUNDDOWN(Input!Q236,0),0)+IF(ISNUMBER(Input!#REF!),ROUNDDOWN(Input!#REF!,0),0)+IF(ISNUMBER(Input!#REF!),ROUNDDOWN(Input!#REF!,0),0)+IF(ISNUMBER(Input!#REF!),ROUNDDOWN(Input!#REF!,0),0)+IF(ISNUMBER(Input!#REF!),ROUNDDOWN(Input!#REF!,0),0),"")</f>
        <v/>
      </c>
      <c r="X236" t="str">
        <f>IF($I236&lt;&gt;"",Input!R236&amp;IF(AND(Input!#REF!&lt;&gt;"",Input!R236&lt;&gt;""),"+","")&amp;Input!#REF!&amp;IF(AND(Input!#REF!&lt;&gt;"",OR(Input!#REF!&lt;&gt;"",Input!R236&lt;&gt;"")),"+","")&amp;Input!#REF!&amp;IF(AND(Input!#REF!&lt;&gt;"",OR(Input!#REF!&lt;&gt;"",Input!R236&lt;&gt;"",Input!#REF!&lt;&gt;"")),"+","")&amp;Input!#REF!&amp;IF(AND(Input!#REF!&lt;&gt;"",OR(Input!#REF!&lt;&gt;"",Input!R236&lt;&gt;"",Input!#REF!&lt;&gt;"",Input!#REF!&lt;&gt;"")),"+","")&amp;Input!#REF!,"")</f>
        <v/>
      </c>
      <c r="Y236" t="str">
        <f t="shared" si="47"/>
        <v/>
      </c>
      <c r="Z236" t="str">
        <f>IF($I236&lt;&gt;"",IF(ISNUMBER(Input!T236),ROUNDDOWN(Input!T236,0),0)+IF(ISNUMBER(Input!#REF!),ROUNDDOWN(Input!#REF!,0),0)+IF(ISNUMBER(Input!#REF!),ROUNDDOWN(Input!#REF!,0),0)+IF(ISNUMBER(Input!#REF!),ROUNDDOWN(Input!#REF!,0),0)+IF(ISNUMBER(Input!#REF!),ROUNDDOWN(Input!#REF!,0),0),"")</f>
        <v/>
      </c>
      <c r="AA236" t="str">
        <f>IF($I236&lt;&gt;"",Input!U236&amp;IF(AND(Input!#REF!&lt;&gt;"",Input!U236&lt;&gt;""),"+","")&amp;Input!#REF!&amp;IF(AND(Input!#REF!&lt;&gt;"",OR(Input!#REF!&lt;&gt;"",Input!U236&lt;&gt;"")),"+","")&amp;Input!#REF!&amp;IF(AND(Input!#REF!&lt;&gt;"",OR(Input!#REF!&lt;&gt;"",Input!U236&lt;&gt;"",Input!#REF!&lt;&gt;"")),"+","")&amp;Input!#REF!&amp;IF(AND(Input!#REF!&lt;&gt;"",OR(Input!#REF!&lt;&gt;"",Input!U236&lt;&gt;"",Input!#REF!&lt;&gt;"",Input!#REF!&lt;&gt;"")),"+","")&amp;Input!#REF!,"")</f>
        <v/>
      </c>
      <c r="AB236" t="str">
        <f t="shared" si="48"/>
        <v/>
      </c>
      <c r="AC236" t="str">
        <f>IF($I236&lt;&gt;"",IF(ISNUMBER(Input!W236),ROUNDDOWN(Input!W236,0),0)+IF(ISNUMBER(Input!#REF!),ROUNDDOWN(Input!#REF!,0),0)+IF(ISNUMBER(Input!#REF!),ROUNDDOWN(Input!#REF!,0),0)+IF(ISNUMBER(Input!#REF!),ROUNDDOWN(Input!#REF!,0),0)+IF(ISNUMBER(Input!#REF!),ROUNDDOWN(Input!#REF!,0),0),"")</f>
        <v/>
      </c>
      <c r="AD236" t="str">
        <f>IF($I236&lt;&gt;"",Input!X236&amp;IF(AND(Input!#REF!&lt;&gt;"",Input!X236&lt;&gt;""),"+","")&amp;Input!#REF!&amp;IF(AND(Input!#REF!&lt;&gt;"",OR(Input!#REF!&lt;&gt;"",Input!X236&lt;&gt;"")),"+","")&amp;Input!#REF!&amp;IF(AND(Input!#REF!&lt;&gt;"",OR(Input!#REF!&lt;&gt;"",Input!X236&lt;&gt;"",Input!#REF!&lt;&gt;"")),"+","")&amp;Input!#REF!&amp;IF(AND(Input!#REF!&lt;&gt;"",OR(Input!#REF!&lt;&gt;"",Input!X236&lt;&gt;"",Input!#REF!&lt;&gt;"",Input!#REF!&lt;&gt;"")),"+","")&amp;Input!#REF!,"")</f>
        <v/>
      </c>
      <c r="AE236" t="str">
        <f t="shared" si="49"/>
        <v/>
      </c>
      <c r="AF236" t="str">
        <f>IF($I236&lt;&gt;"",IF(ISNUMBER(Input!Z236),ROUNDDOWN(Input!Z236,0),0)+IF(ISNUMBER(Input!#REF!),ROUNDDOWN(Input!#REF!,0),0)+IF(ISNUMBER(Input!#REF!),ROUNDDOWN(Input!#REF!,0),0)+IF(ISNUMBER(Input!#REF!),ROUNDDOWN(Input!#REF!,0),0)+IF(ISNUMBER(Input!#REF!),ROUNDDOWN(Input!#REF!,0),0),"")</f>
        <v/>
      </c>
      <c r="AG236" t="str">
        <f>IF($I236&lt;&gt;"",Input!AA236&amp;IF(AND(Input!#REF!&lt;&gt;"",Input!AA236&lt;&gt;""),"+","")&amp;Input!#REF!&amp;IF(AND(Input!#REF!&lt;&gt;"",OR(Input!#REF!&lt;&gt;"",Input!AA236&lt;&gt;"")),"+","")&amp;Input!#REF!&amp;IF(AND(Input!#REF!&lt;&gt;"",OR(Input!#REF!&lt;&gt;"",Input!AA236&lt;&gt;"",Input!#REF!&lt;&gt;"")),"+","")&amp;Input!#REF!&amp;IF(AND(Input!#REF!&lt;&gt;"",OR(Input!#REF!&lt;&gt;"",Input!AA236&lt;&gt;"",Input!#REF!&lt;&gt;"",Input!#REF!&lt;&gt;"")),"+","")&amp;Input!#REF!,"")</f>
        <v/>
      </c>
      <c r="AH236" t="str">
        <f t="shared" si="50"/>
        <v/>
      </c>
      <c r="AI236" t="str">
        <f>IF($I236&lt;&gt;"",IF(ISNUMBER(Input!AC236),ROUNDDOWN(Input!AC236,0),0)+IF(ISNUMBER(Input!#REF!),ROUNDDOWN(Input!#REF!,0),0)+IF(ISNUMBER(Input!#REF!),ROUNDDOWN(Input!#REF!,0),0)+IF(ISNUMBER(Input!#REF!),ROUNDDOWN(Input!#REF!,0),0)+IF(ISNUMBER(Input!#REF!),ROUNDDOWN(Input!#REF!,0),0),"")</f>
        <v/>
      </c>
      <c r="AJ236" t="str">
        <f>IF($I236&lt;&gt;"",Input!AD236&amp;IF(AND(Input!#REF!&lt;&gt;"",Input!AD236&lt;&gt;""),"+","")&amp;Input!#REF!&amp;IF(AND(Input!#REF!&lt;&gt;"",OR(Input!#REF!&lt;&gt;"",Input!AD236&lt;&gt;"")),"+","")&amp;Input!#REF!&amp;IF(AND(Input!#REF!&lt;&gt;"",OR(Input!#REF!&lt;&gt;"",Input!AD236&lt;&gt;"",Input!#REF!&lt;&gt;"")),"+","")&amp;Input!#REF!&amp;IF(AND(Input!#REF!&lt;&gt;"",OR(Input!#REF!&lt;&gt;"",Input!AD236&lt;&gt;"",Input!#REF!&lt;&gt;"",Input!#REF!&lt;&gt;"")),"+","")&amp;Input!#REF!,"")</f>
        <v/>
      </c>
      <c r="AK236" t="str">
        <f t="shared" si="51"/>
        <v/>
      </c>
    </row>
    <row r="237" spans="3:37" x14ac:dyDescent="0.35">
      <c r="C237" s="3"/>
      <c r="D237"/>
      <c r="E237"/>
      <c r="F237" s="3"/>
      <c r="I237" t="str">
        <f>IF(Input!A237&gt;0,Input!A237,"")</f>
        <v/>
      </c>
      <c r="J237" t="str">
        <f>IF(Input!B237&gt;0,Input!B237,"")</f>
        <v/>
      </c>
      <c r="K237" t="str">
        <f>IF(Input!C237&gt;0,Input!C237,"")</f>
        <v/>
      </c>
      <c r="L237" t="str">
        <f>IF(Input!D237&gt;0,Input!D237,"")</f>
        <v/>
      </c>
      <c r="M237" t="str">
        <f>IF(Input!E237&gt;0,Input!E237,"")</f>
        <v/>
      </c>
      <c r="N237" t="str">
        <f>IF(Input!F237&gt;0,Input!F237,"")</f>
        <v/>
      </c>
      <c r="O237" t="str">
        <f>IF($I237&lt;&gt;"",Input!I237&amp;IF(AND(Input!AG237&lt;&gt;"",Input!I237&lt;&gt;""),"+","")&amp;Input!AG237&amp;IF(AND(Input!#REF!&lt;&gt;"",OR(Input!AG237&lt;&gt;"",Input!I237&lt;&gt;"")),"+","")&amp;Input!#REF!&amp;IF(AND(Input!#REF!&lt;&gt;"",OR(Input!AG237&lt;&gt;"",Input!I237&lt;&gt;"",Input!#REF!&lt;&gt;"")),"+","")&amp;Input!#REF!&amp;IF(AND(Input!#REF!&lt;&gt;"",OR(Input!AG237&lt;&gt;"",Input!I237&lt;&gt;"",Input!#REF!&lt;&gt;"",Input!#REF!&lt;&gt;"")),"+","")&amp;Input!#REF!,"")</f>
        <v/>
      </c>
      <c r="P237" t="str">
        <f t="shared" si="44"/>
        <v/>
      </c>
      <c r="Q237" t="str">
        <f>IF($I237&lt;&gt;"",IF(ISNUMBER(Input!K237),ROUNDDOWN(Input!K237,0),0)+IF(ISNUMBER(Input!AI237),ROUNDDOWN(Input!AI237,0),0)+IF(ISNUMBER(Input!#REF!),ROUNDDOWN(Input!#REF!,0),0)+IF(ISNUMBER(Input!#REF!),ROUNDDOWN(Input!#REF!,0),0)+IF(ISNUMBER(Input!#REF!),ROUNDDOWN(Input!#REF!,0),0),"")</f>
        <v/>
      </c>
      <c r="R237" t="str">
        <f>IF($I237&lt;&gt;"",Input!L237&amp;IF(AND(Input!#REF!&lt;&gt;"",Input!L237&lt;&gt;""),"+","")&amp;Input!#REF!&amp;IF(AND(Input!#REF!&lt;&gt;"",OR(Input!#REF!&lt;&gt;"",Input!L237&lt;&gt;"")),"+","")&amp;Input!#REF!&amp;IF(AND(Input!#REF!&lt;&gt;"",OR(Input!#REF!&lt;&gt;"",Input!L237&lt;&gt;"",Input!#REF!&lt;&gt;"")),"+","")&amp;Input!#REF!&amp;IF(AND(Input!#REF!&lt;&gt;"",OR(Input!#REF!&lt;&gt;"",Input!L237&lt;&gt;"",Input!#REF!&lt;&gt;"",Input!#REF!&lt;&gt;"")),"+","")&amp;Input!#REF!,"")</f>
        <v/>
      </c>
      <c r="S237" t="str">
        <f t="shared" si="45"/>
        <v/>
      </c>
      <c r="T237" t="str">
        <f>IF($I237&lt;&gt;"",IF(ISNUMBER(Input!N237),ROUNDDOWN(Input!N237,0),0)+IF(ISNUMBER(Input!#REF!),ROUNDDOWN(Input!#REF!,0),0)+IF(ISNUMBER(Input!#REF!),ROUNDDOWN(Input!#REF!,0),0)+IF(ISNUMBER(Input!#REF!),ROUNDDOWN(Input!#REF!,0),0)+IF(ISNUMBER(Input!#REF!),ROUNDDOWN(Input!#REF!,0),0),"")</f>
        <v/>
      </c>
      <c r="U237" t="str">
        <f>IF($I237&lt;&gt;"",Input!O237&amp;IF(AND(Input!#REF!&lt;&gt;"",Input!O237&lt;&gt;""),"+","")&amp;Input!#REF!&amp;IF(AND(Input!#REF!&lt;&gt;"",OR(Input!#REF!&lt;&gt;"",Input!O237&lt;&gt;"")),"+","")&amp;Input!#REF!&amp;IF(AND(Input!#REF!&lt;&gt;"",OR(Input!#REF!&lt;&gt;"",Input!O237&lt;&gt;"",Input!#REF!&lt;&gt;"")),"+","")&amp;Input!#REF!&amp;IF(AND(Input!#REF!&lt;&gt;"",OR(Input!#REF!&lt;&gt;"",Input!O237&lt;&gt;"",Input!#REF!&lt;&gt;"",Input!#REF!&lt;&gt;"")),"+","")&amp;Input!#REF!,"")</f>
        <v/>
      </c>
      <c r="V237" t="str">
        <f t="shared" si="46"/>
        <v/>
      </c>
      <c r="W237" t="str">
        <f>IF($I237&lt;&gt;"",IF(ISNUMBER(Input!Q237),ROUNDDOWN(Input!Q237,0),0)+IF(ISNUMBER(Input!#REF!),ROUNDDOWN(Input!#REF!,0),0)+IF(ISNUMBER(Input!#REF!),ROUNDDOWN(Input!#REF!,0),0)+IF(ISNUMBER(Input!#REF!),ROUNDDOWN(Input!#REF!,0),0)+IF(ISNUMBER(Input!#REF!),ROUNDDOWN(Input!#REF!,0),0),"")</f>
        <v/>
      </c>
      <c r="X237" t="str">
        <f>IF($I237&lt;&gt;"",Input!R237&amp;IF(AND(Input!#REF!&lt;&gt;"",Input!R237&lt;&gt;""),"+","")&amp;Input!#REF!&amp;IF(AND(Input!#REF!&lt;&gt;"",OR(Input!#REF!&lt;&gt;"",Input!R237&lt;&gt;"")),"+","")&amp;Input!#REF!&amp;IF(AND(Input!#REF!&lt;&gt;"",OR(Input!#REF!&lt;&gt;"",Input!R237&lt;&gt;"",Input!#REF!&lt;&gt;"")),"+","")&amp;Input!#REF!&amp;IF(AND(Input!#REF!&lt;&gt;"",OR(Input!#REF!&lt;&gt;"",Input!R237&lt;&gt;"",Input!#REF!&lt;&gt;"",Input!#REF!&lt;&gt;"")),"+","")&amp;Input!#REF!,"")</f>
        <v/>
      </c>
      <c r="Y237" t="str">
        <f t="shared" si="47"/>
        <v/>
      </c>
      <c r="Z237" t="str">
        <f>IF($I237&lt;&gt;"",IF(ISNUMBER(Input!T237),ROUNDDOWN(Input!T237,0),0)+IF(ISNUMBER(Input!#REF!),ROUNDDOWN(Input!#REF!,0),0)+IF(ISNUMBER(Input!#REF!),ROUNDDOWN(Input!#REF!,0),0)+IF(ISNUMBER(Input!#REF!),ROUNDDOWN(Input!#REF!,0),0)+IF(ISNUMBER(Input!#REF!),ROUNDDOWN(Input!#REF!,0),0),"")</f>
        <v/>
      </c>
      <c r="AA237" t="str">
        <f>IF($I237&lt;&gt;"",Input!U237&amp;IF(AND(Input!#REF!&lt;&gt;"",Input!U237&lt;&gt;""),"+","")&amp;Input!#REF!&amp;IF(AND(Input!#REF!&lt;&gt;"",OR(Input!#REF!&lt;&gt;"",Input!U237&lt;&gt;"")),"+","")&amp;Input!#REF!&amp;IF(AND(Input!#REF!&lt;&gt;"",OR(Input!#REF!&lt;&gt;"",Input!U237&lt;&gt;"",Input!#REF!&lt;&gt;"")),"+","")&amp;Input!#REF!&amp;IF(AND(Input!#REF!&lt;&gt;"",OR(Input!#REF!&lt;&gt;"",Input!U237&lt;&gt;"",Input!#REF!&lt;&gt;"",Input!#REF!&lt;&gt;"")),"+","")&amp;Input!#REF!,"")</f>
        <v/>
      </c>
      <c r="AB237" t="str">
        <f t="shared" si="48"/>
        <v/>
      </c>
      <c r="AC237" t="str">
        <f>IF($I237&lt;&gt;"",IF(ISNUMBER(Input!W237),ROUNDDOWN(Input!W237,0),0)+IF(ISNUMBER(Input!#REF!),ROUNDDOWN(Input!#REF!,0),0)+IF(ISNUMBER(Input!#REF!),ROUNDDOWN(Input!#REF!,0),0)+IF(ISNUMBER(Input!#REF!),ROUNDDOWN(Input!#REF!,0),0)+IF(ISNUMBER(Input!#REF!),ROUNDDOWN(Input!#REF!,0),0),"")</f>
        <v/>
      </c>
      <c r="AD237" t="str">
        <f>IF($I237&lt;&gt;"",Input!X237&amp;IF(AND(Input!#REF!&lt;&gt;"",Input!X237&lt;&gt;""),"+","")&amp;Input!#REF!&amp;IF(AND(Input!#REF!&lt;&gt;"",OR(Input!#REF!&lt;&gt;"",Input!X237&lt;&gt;"")),"+","")&amp;Input!#REF!&amp;IF(AND(Input!#REF!&lt;&gt;"",OR(Input!#REF!&lt;&gt;"",Input!X237&lt;&gt;"",Input!#REF!&lt;&gt;"")),"+","")&amp;Input!#REF!&amp;IF(AND(Input!#REF!&lt;&gt;"",OR(Input!#REF!&lt;&gt;"",Input!X237&lt;&gt;"",Input!#REF!&lt;&gt;"",Input!#REF!&lt;&gt;"")),"+","")&amp;Input!#REF!,"")</f>
        <v/>
      </c>
      <c r="AE237" t="str">
        <f t="shared" si="49"/>
        <v/>
      </c>
      <c r="AF237" t="str">
        <f>IF($I237&lt;&gt;"",IF(ISNUMBER(Input!Z237),ROUNDDOWN(Input!Z237,0),0)+IF(ISNUMBER(Input!#REF!),ROUNDDOWN(Input!#REF!,0),0)+IF(ISNUMBER(Input!#REF!),ROUNDDOWN(Input!#REF!,0),0)+IF(ISNUMBER(Input!#REF!),ROUNDDOWN(Input!#REF!,0),0)+IF(ISNUMBER(Input!#REF!),ROUNDDOWN(Input!#REF!,0),0),"")</f>
        <v/>
      </c>
      <c r="AG237" t="str">
        <f>IF($I237&lt;&gt;"",Input!AA237&amp;IF(AND(Input!#REF!&lt;&gt;"",Input!AA237&lt;&gt;""),"+","")&amp;Input!#REF!&amp;IF(AND(Input!#REF!&lt;&gt;"",OR(Input!#REF!&lt;&gt;"",Input!AA237&lt;&gt;"")),"+","")&amp;Input!#REF!&amp;IF(AND(Input!#REF!&lt;&gt;"",OR(Input!#REF!&lt;&gt;"",Input!AA237&lt;&gt;"",Input!#REF!&lt;&gt;"")),"+","")&amp;Input!#REF!&amp;IF(AND(Input!#REF!&lt;&gt;"",OR(Input!#REF!&lt;&gt;"",Input!AA237&lt;&gt;"",Input!#REF!&lt;&gt;"",Input!#REF!&lt;&gt;"")),"+","")&amp;Input!#REF!,"")</f>
        <v/>
      </c>
      <c r="AH237" t="str">
        <f t="shared" si="50"/>
        <v/>
      </c>
      <c r="AI237" t="str">
        <f>IF($I237&lt;&gt;"",IF(ISNUMBER(Input!AC237),ROUNDDOWN(Input!AC237,0),0)+IF(ISNUMBER(Input!#REF!),ROUNDDOWN(Input!#REF!,0),0)+IF(ISNUMBER(Input!#REF!),ROUNDDOWN(Input!#REF!,0),0)+IF(ISNUMBER(Input!#REF!),ROUNDDOWN(Input!#REF!,0),0)+IF(ISNUMBER(Input!#REF!),ROUNDDOWN(Input!#REF!,0),0),"")</f>
        <v/>
      </c>
      <c r="AJ237" t="str">
        <f>IF($I237&lt;&gt;"",Input!AD237&amp;IF(AND(Input!#REF!&lt;&gt;"",Input!AD237&lt;&gt;""),"+","")&amp;Input!#REF!&amp;IF(AND(Input!#REF!&lt;&gt;"",OR(Input!#REF!&lt;&gt;"",Input!AD237&lt;&gt;"")),"+","")&amp;Input!#REF!&amp;IF(AND(Input!#REF!&lt;&gt;"",OR(Input!#REF!&lt;&gt;"",Input!AD237&lt;&gt;"",Input!#REF!&lt;&gt;"")),"+","")&amp;Input!#REF!&amp;IF(AND(Input!#REF!&lt;&gt;"",OR(Input!#REF!&lt;&gt;"",Input!AD237&lt;&gt;"",Input!#REF!&lt;&gt;"",Input!#REF!&lt;&gt;"")),"+","")&amp;Input!#REF!,"")</f>
        <v/>
      </c>
      <c r="AK237" t="str">
        <f t="shared" si="51"/>
        <v/>
      </c>
    </row>
    <row r="238" spans="3:37" x14ac:dyDescent="0.35">
      <c r="C238" s="3"/>
      <c r="D238"/>
      <c r="E238"/>
      <c r="F238" s="3"/>
    </row>
    <row r="239" spans="3:37" x14ac:dyDescent="0.35">
      <c r="C239" s="3"/>
      <c r="D239"/>
      <c r="E239"/>
      <c r="F239" s="3"/>
    </row>
    <row r="240" spans="3:37" x14ac:dyDescent="0.35">
      <c r="C240" s="3"/>
      <c r="D240"/>
      <c r="E240"/>
      <c r="F240" s="3"/>
    </row>
    <row r="241" spans="3:6" x14ac:dyDescent="0.35">
      <c r="C241" s="3"/>
      <c r="D241"/>
      <c r="E241"/>
      <c r="F241" s="3"/>
    </row>
    <row r="242" spans="3:6" x14ac:dyDescent="0.35">
      <c r="C242" s="3"/>
      <c r="D242"/>
      <c r="E242"/>
      <c r="F242" s="3"/>
    </row>
    <row r="243" spans="3:6" x14ac:dyDescent="0.35">
      <c r="C243" s="3"/>
      <c r="D243"/>
      <c r="E243"/>
      <c r="F243" s="3"/>
    </row>
    <row r="244" spans="3:6" x14ac:dyDescent="0.35">
      <c r="C244" s="3"/>
      <c r="D244"/>
      <c r="E244"/>
      <c r="F244" s="3"/>
    </row>
    <row r="245" spans="3:6" x14ac:dyDescent="0.35">
      <c r="C245" s="3"/>
      <c r="D245"/>
      <c r="E245"/>
      <c r="F245" s="3"/>
    </row>
    <row r="246" spans="3:6" x14ac:dyDescent="0.35">
      <c r="C246" s="3"/>
      <c r="D246"/>
      <c r="E246"/>
      <c r="F246" s="3"/>
    </row>
    <row r="247" spans="3:6" x14ac:dyDescent="0.35">
      <c r="C247" s="3"/>
      <c r="D247"/>
      <c r="E247"/>
      <c r="F247" s="3"/>
    </row>
    <row r="248" spans="3:6" x14ac:dyDescent="0.35">
      <c r="C248" s="3"/>
      <c r="D248"/>
      <c r="E248"/>
      <c r="F248" s="3"/>
    </row>
    <row r="249" spans="3:6" x14ac:dyDescent="0.35">
      <c r="C249" s="3"/>
      <c r="D249"/>
      <c r="E249"/>
      <c r="F249" s="3"/>
    </row>
    <row r="250" spans="3:6" x14ac:dyDescent="0.35">
      <c r="C250" s="3"/>
      <c r="D250"/>
      <c r="E250"/>
      <c r="F250" s="3"/>
    </row>
    <row r="251" spans="3:6" x14ac:dyDescent="0.35">
      <c r="C251" s="3"/>
      <c r="D251"/>
      <c r="E251"/>
      <c r="F251" s="3"/>
    </row>
    <row r="252" spans="3:6" x14ac:dyDescent="0.35">
      <c r="C252" s="3"/>
      <c r="D252"/>
      <c r="E252"/>
      <c r="F252" s="3"/>
    </row>
    <row r="253" spans="3:6" x14ac:dyDescent="0.35">
      <c r="C253" s="3"/>
      <c r="D253"/>
      <c r="E253"/>
      <c r="F253" s="3"/>
    </row>
    <row r="254" spans="3:6" x14ac:dyDescent="0.35">
      <c r="C254" s="3"/>
      <c r="D254"/>
      <c r="E254"/>
      <c r="F254" s="3"/>
    </row>
    <row r="255" spans="3:6" x14ac:dyDescent="0.35">
      <c r="C255" s="3"/>
      <c r="D255"/>
      <c r="E255"/>
      <c r="F255" s="3"/>
    </row>
    <row r="256" spans="3:6" x14ac:dyDescent="0.35">
      <c r="C256" s="3"/>
      <c r="D256"/>
      <c r="E256"/>
      <c r="F256" s="3"/>
    </row>
    <row r="257" spans="3:6" x14ac:dyDescent="0.35">
      <c r="C257" s="3"/>
      <c r="D257"/>
      <c r="E257"/>
      <c r="F257" s="3"/>
    </row>
    <row r="258" spans="3:6" x14ac:dyDescent="0.35">
      <c r="C258" s="3"/>
      <c r="D258"/>
      <c r="E258"/>
      <c r="F258" s="3"/>
    </row>
    <row r="259" spans="3:6" x14ac:dyDescent="0.35">
      <c r="C259" s="3"/>
      <c r="D259"/>
      <c r="E259"/>
      <c r="F259" s="3"/>
    </row>
    <row r="260" spans="3:6" x14ac:dyDescent="0.35">
      <c r="C260" s="3"/>
      <c r="D260"/>
      <c r="E260"/>
      <c r="F260" s="3"/>
    </row>
    <row r="261" spans="3:6" x14ac:dyDescent="0.35">
      <c r="C261" s="3"/>
      <c r="D261"/>
      <c r="E261"/>
      <c r="F261" s="3"/>
    </row>
    <row r="262" spans="3:6" x14ac:dyDescent="0.35">
      <c r="C262" s="3"/>
      <c r="D262"/>
      <c r="E262"/>
      <c r="F262" s="3"/>
    </row>
    <row r="263" spans="3:6" x14ac:dyDescent="0.35">
      <c r="C263" s="3"/>
      <c r="D263"/>
      <c r="E263"/>
      <c r="F263" s="3"/>
    </row>
    <row r="264" spans="3:6" x14ac:dyDescent="0.35">
      <c r="C264" s="3"/>
      <c r="D264"/>
      <c r="E264"/>
      <c r="F264" s="3"/>
    </row>
    <row r="265" spans="3:6" x14ac:dyDescent="0.35">
      <c r="C265" s="3"/>
      <c r="D265"/>
      <c r="E265"/>
      <c r="F265" s="3"/>
    </row>
    <row r="266" spans="3:6" x14ac:dyDescent="0.35">
      <c r="C266" s="3"/>
      <c r="D266"/>
      <c r="E266"/>
      <c r="F266" s="3"/>
    </row>
    <row r="267" spans="3:6" x14ac:dyDescent="0.35">
      <c r="C267" s="3"/>
      <c r="D267"/>
      <c r="E267"/>
      <c r="F267" s="3"/>
    </row>
    <row r="268" spans="3:6" x14ac:dyDescent="0.35">
      <c r="C268" s="3"/>
      <c r="D268"/>
      <c r="E268"/>
      <c r="F268" s="3"/>
    </row>
    <row r="269" spans="3:6" x14ac:dyDescent="0.35">
      <c r="C269" s="3"/>
      <c r="D269"/>
      <c r="E269"/>
      <c r="F269" s="3"/>
    </row>
    <row r="270" spans="3:6" x14ac:dyDescent="0.35">
      <c r="C270" s="3"/>
      <c r="D270"/>
      <c r="E270"/>
      <c r="F270" s="3"/>
    </row>
    <row r="271" spans="3:6" x14ac:dyDescent="0.35">
      <c r="C271" s="3"/>
      <c r="D271"/>
      <c r="E271"/>
      <c r="F271" s="3"/>
    </row>
    <row r="272" spans="3:6" x14ac:dyDescent="0.35">
      <c r="C272" s="3"/>
      <c r="D272"/>
      <c r="E272"/>
      <c r="F272" s="3"/>
    </row>
    <row r="273" spans="3:6" x14ac:dyDescent="0.35">
      <c r="C273" s="3"/>
      <c r="D273"/>
      <c r="E273"/>
      <c r="F273" s="3"/>
    </row>
    <row r="274" spans="3:6" x14ac:dyDescent="0.35">
      <c r="C274" s="3"/>
      <c r="D274"/>
      <c r="E274"/>
      <c r="F274" s="3"/>
    </row>
    <row r="275" spans="3:6" x14ac:dyDescent="0.35">
      <c r="C275" s="3"/>
      <c r="D275"/>
      <c r="E275"/>
      <c r="F275" s="3"/>
    </row>
    <row r="276" spans="3:6" x14ac:dyDescent="0.35">
      <c r="C276" s="3"/>
      <c r="D276"/>
      <c r="E276"/>
      <c r="F276" s="3"/>
    </row>
    <row r="277" spans="3:6" x14ac:dyDescent="0.35">
      <c r="C277" s="3"/>
      <c r="D277"/>
      <c r="E277"/>
      <c r="F277" s="3"/>
    </row>
    <row r="278" spans="3:6" x14ac:dyDescent="0.35">
      <c r="C278" s="3"/>
      <c r="D278"/>
      <c r="E278"/>
      <c r="F278" s="3"/>
    </row>
    <row r="279" spans="3:6" x14ac:dyDescent="0.35">
      <c r="C279" s="3"/>
      <c r="D279"/>
      <c r="E279"/>
      <c r="F279" s="3"/>
    </row>
    <row r="280" spans="3:6" x14ac:dyDescent="0.35">
      <c r="C280" s="3"/>
      <c r="D280"/>
      <c r="E280"/>
      <c r="F280" s="3"/>
    </row>
    <row r="281" spans="3:6" x14ac:dyDescent="0.35">
      <c r="C281" s="3"/>
      <c r="D281"/>
      <c r="E281"/>
      <c r="F281" s="3"/>
    </row>
    <row r="282" spans="3:6" x14ac:dyDescent="0.35">
      <c r="C282" s="3"/>
      <c r="D282"/>
      <c r="E282"/>
      <c r="F282" s="3"/>
    </row>
    <row r="283" spans="3:6" x14ac:dyDescent="0.35">
      <c r="C283" s="3"/>
      <c r="D283"/>
      <c r="E283"/>
      <c r="F283" s="3"/>
    </row>
    <row r="284" spans="3:6" x14ac:dyDescent="0.35">
      <c r="C284" s="3"/>
      <c r="D284"/>
      <c r="E284"/>
      <c r="F284" s="3"/>
    </row>
    <row r="285" spans="3:6" x14ac:dyDescent="0.35">
      <c r="C285" s="3"/>
      <c r="D285"/>
      <c r="E285"/>
      <c r="F285" s="3"/>
    </row>
    <row r="286" spans="3:6" x14ac:dyDescent="0.35">
      <c r="C286" s="3"/>
      <c r="D286"/>
      <c r="E286"/>
      <c r="F286" s="3"/>
    </row>
    <row r="287" spans="3:6" x14ac:dyDescent="0.35">
      <c r="C287" s="3"/>
      <c r="D287"/>
      <c r="E287"/>
      <c r="F287" s="3"/>
    </row>
    <row r="288" spans="3:6" x14ac:dyDescent="0.35">
      <c r="C288" s="3"/>
      <c r="D288"/>
      <c r="E288"/>
      <c r="F288" s="3"/>
    </row>
    <row r="289" spans="3:6" x14ac:dyDescent="0.35">
      <c r="C289" s="3"/>
      <c r="D289"/>
      <c r="E289"/>
      <c r="F289" s="3"/>
    </row>
    <row r="290" spans="3:6" x14ac:dyDescent="0.35">
      <c r="C290" s="3"/>
      <c r="D290"/>
      <c r="E290"/>
      <c r="F290" s="3"/>
    </row>
    <row r="291" spans="3:6" x14ac:dyDescent="0.35">
      <c r="C291" s="3"/>
      <c r="D291"/>
      <c r="E291"/>
      <c r="F291" s="3"/>
    </row>
    <row r="292" spans="3:6" x14ac:dyDescent="0.35">
      <c r="C292" s="3"/>
      <c r="D292"/>
      <c r="E292"/>
      <c r="F292" s="3"/>
    </row>
    <row r="293" spans="3:6" x14ac:dyDescent="0.35">
      <c r="C293" s="3"/>
      <c r="D293"/>
      <c r="E293"/>
      <c r="F293" s="3"/>
    </row>
    <row r="294" spans="3:6" x14ac:dyDescent="0.35">
      <c r="C294" s="3"/>
      <c r="D294"/>
      <c r="E294"/>
      <c r="F294" s="3"/>
    </row>
    <row r="295" spans="3:6" x14ac:dyDescent="0.35">
      <c r="C295" s="3"/>
      <c r="D295"/>
      <c r="E295"/>
      <c r="F295" s="3"/>
    </row>
    <row r="296" spans="3:6" x14ac:dyDescent="0.35">
      <c r="C296" s="3"/>
      <c r="D296"/>
      <c r="E296"/>
      <c r="F296" s="3"/>
    </row>
    <row r="297" spans="3:6" x14ac:dyDescent="0.35">
      <c r="C297" s="3"/>
      <c r="D297"/>
      <c r="E297"/>
      <c r="F297" s="3"/>
    </row>
    <row r="298" spans="3:6" x14ac:dyDescent="0.35">
      <c r="C298" s="3"/>
      <c r="D298"/>
      <c r="E298"/>
      <c r="F298" s="3"/>
    </row>
    <row r="299" spans="3:6" x14ac:dyDescent="0.35">
      <c r="C299" s="3"/>
      <c r="D299"/>
      <c r="E299"/>
      <c r="F299" s="3"/>
    </row>
    <row r="300" spans="3:6" x14ac:dyDescent="0.35">
      <c r="C300" s="3"/>
      <c r="D300"/>
      <c r="E300"/>
      <c r="F300" s="3"/>
    </row>
    <row r="301" spans="3:6" x14ac:dyDescent="0.35">
      <c r="C301" s="3"/>
      <c r="D301"/>
      <c r="E301"/>
      <c r="F301" s="3"/>
    </row>
    <row r="302" spans="3:6" x14ac:dyDescent="0.35">
      <c r="C302" s="3"/>
      <c r="D302"/>
      <c r="E302"/>
      <c r="F302" s="3"/>
    </row>
    <row r="303" spans="3:6" x14ac:dyDescent="0.35">
      <c r="C303" s="3"/>
      <c r="D303"/>
      <c r="E303"/>
      <c r="F303" s="3"/>
    </row>
    <row r="304" spans="3:6" x14ac:dyDescent="0.35">
      <c r="C304" s="3"/>
      <c r="D304"/>
      <c r="E304"/>
      <c r="F304" s="3"/>
    </row>
    <row r="305" spans="3:6" x14ac:dyDescent="0.35">
      <c r="C305" s="3"/>
      <c r="D305"/>
      <c r="E305"/>
      <c r="F305" s="3"/>
    </row>
    <row r="306" spans="3:6" x14ac:dyDescent="0.35">
      <c r="C306" s="3"/>
      <c r="D306"/>
      <c r="E306"/>
      <c r="F306" s="3"/>
    </row>
    <row r="307" spans="3:6" x14ac:dyDescent="0.35">
      <c r="C307" s="3"/>
      <c r="D307"/>
      <c r="E307"/>
      <c r="F307" s="3"/>
    </row>
    <row r="308" spans="3:6" x14ac:dyDescent="0.35">
      <c r="C308" s="3"/>
      <c r="D308"/>
      <c r="E308"/>
      <c r="F308" s="3"/>
    </row>
    <row r="309" spans="3:6" x14ac:dyDescent="0.35">
      <c r="C309" s="3"/>
      <c r="D309"/>
      <c r="E309"/>
      <c r="F309" s="3"/>
    </row>
    <row r="310" spans="3:6" x14ac:dyDescent="0.35">
      <c r="C310" s="3"/>
      <c r="D310"/>
      <c r="E310"/>
      <c r="F310" s="3"/>
    </row>
    <row r="311" spans="3:6" x14ac:dyDescent="0.35">
      <c r="C311" s="3"/>
      <c r="D311"/>
      <c r="E311"/>
      <c r="F311" s="3"/>
    </row>
    <row r="312" spans="3:6" x14ac:dyDescent="0.35">
      <c r="C312" s="3"/>
      <c r="D312"/>
      <c r="E312"/>
      <c r="F312" s="3"/>
    </row>
    <row r="313" spans="3:6" x14ac:dyDescent="0.35">
      <c r="C313" s="3"/>
      <c r="D313"/>
      <c r="E313"/>
      <c r="F313" s="3"/>
    </row>
    <row r="314" spans="3:6" x14ac:dyDescent="0.35">
      <c r="C314" s="3"/>
      <c r="D314"/>
      <c r="E314"/>
      <c r="F314" s="3"/>
    </row>
    <row r="315" spans="3:6" x14ac:dyDescent="0.35">
      <c r="C315" s="3"/>
      <c r="D315"/>
      <c r="E315"/>
      <c r="F315" s="3"/>
    </row>
    <row r="316" spans="3:6" x14ac:dyDescent="0.35">
      <c r="C316" s="3"/>
      <c r="D316"/>
      <c r="E316"/>
      <c r="F316" s="3"/>
    </row>
    <row r="317" spans="3:6" x14ac:dyDescent="0.35">
      <c r="C317" s="3"/>
      <c r="D317"/>
      <c r="E317"/>
      <c r="F317" s="3"/>
    </row>
    <row r="318" spans="3:6" x14ac:dyDescent="0.35">
      <c r="C318" s="3"/>
      <c r="D318"/>
      <c r="E318"/>
      <c r="F318" s="3"/>
    </row>
    <row r="319" spans="3:6" x14ac:dyDescent="0.35">
      <c r="C319" s="3"/>
      <c r="D319"/>
      <c r="E319"/>
      <c r="F319" s="3"/>
    </row>
    <row r="320" spans="3:6" x14ac:dyDescent="0.35">
      <c r="C320" s="3"/>
      <c r="D320"/>
      <c r="E320"/>
      <c r="F320" s="3"/>
    </row>
    <row r="321" spans="3:6" x14ac:dyDescent="0.35">
      <c r="C321" s="3"/>
      <c r="D321"/>
      <c r="E321"/>
      <c r="F321" s="3"/>
    </row>
    <row r="322" spans="3:6" x14ac:dyDescent="0.35">
      <c r="C322" s="3"/>
      <c r="D322"/>
      <c r="E322"/>
      <c r="F322" s="3"/>
    </row>
    <row r="323" spans="3:6" x14ac:dyDescent="0.35">
      <c r="C323" s="3"/>
      <c r="D323"/>
      <c r="E323"/>
      <c r="F323" s="3"/>
    </row>
    <row r="324" spans="3:6" x14ac:dyDescent="0.35">
      <c r="C324" s="3"/>
      <c r="D324"/>
      <c r="E324"/>
      <c r="F324" s="3"/>
    </row>
    <row r="325" spans="3:6" x14ac:dyDescent="0.35">
      <c r="C325" s="3"/>
      <c r="D325"/>
      <c r="E325"/>
      <c r="F325" s="3"/>
    </row>
    <row r="326" spans="3:6" x14ac:dyDescent="0.35">
      <c r="C326" s="3"/>
      <c r="D326"/>
      <c r="E326"/>
      <c r="F326" s="3"/>
    </row>
    <row r="327" spans="3:6" x14ac:dyDescent="0.35">
      <c r="C327" s="3"/>
      <c r="D327"/>
      <c r="E327"/>
      <c r="F327" s="3"/>
    </row>
    <row r="328" spans="3:6" x14ac:dyDescent="0.35">
      <c r="C328" s="3"/>
      <c r="D328"/>
      <c r="E328"/>
      <c r="F328" s="3"/>
    </row>
    <row r="329" spans="3:6" x14ac:dyDescent="0.35">
      <c r="C329" s="3"/>
      <c r="D329"/>
      <c r="E329"/>
      <c r="F329" s="3"/>
    </row>
    <row r="330" spans="3:6" x14ac:dyDescent="0.35">
      <c r="C330" s="3"/>
      <c r="D330"/>
      <c r="E330"/>
      <c r="F330" s="3"/>
    </row>
    <row r="331" spans="3:6" x14ac:dyDescent="0.35">
      <c r="C331" s="3"/>
      <c r="D331"/>
      <c r="E331"/>
      <c r="F331" s="3"/>
    </row>
    <row r="332" spans="3:6" x14ac:dyDescent="0.35">
      <c r="C332" s="3"/>
      <c r="D332"/>
      <c r="E332"/>
      <c r="F332" s="3"/>
    </row>
    <row r="333" spans="3:6" x14ac:dyDescent="0.35">
      <c r="C333" s="3"/>
      <c r="D333"/>
      <c r="E333"/>
      <c r="F333" s="3"/>
    </row>
    <row r="334" spans="3:6" x14ac:dyDescent="0.35">
      <c r="C334" s="3"/>
      <c r="D334"/>
      <c r="E334"/>
      <c r="F334" s="3"/>
    </row>
    <row r="335" spans="3:6" x14ac:dyDescent="0.35">
      <c r="C335" s="3"/>
      <c r="D335"/>
      <c r="E335"/>
      <c r="F335" s="3"/>
    </row>
    <row r="336" spans="3:6" x14ac:dyDescent="0.35">
      <c r="C336" s="3"/>
      <c r="D336"/>
      <c r="E336"/>
      <c r="F336" s="3"/>
    </row>
    <row r="337" spans="3:6" x14ac:dyDescent="0.35">
      <c r="C337" s="3"/>
      <c r="D337"/>
      <c r="E337"/>
      <c r="F337" s="3"/>
    </row>
    <row r="338" spans="3:6" x14ac:dyDescent="0.35">
      <c r="C338" s="3"/>
      <c r="D338"/>
      <c r="E338"/>
      <c r="F338" s="3"/>
    </row>
    <row r="339" spans="3:6" x14ac:dyDescent="0.35">
      <c r="C339" s="3"/>
      <c r="D339"/>
      <c r="E339"/>
      <c r="F339" s="3"/>
    </row>
    <row r="340" spans="3:6" x14ac:dyDescent="0.35">
      <c r="C340" s="3"/>
      <c r="D340"/>
      <c r="E340"/>
      <c r="F340" s="3"/>
    </row>
    <row r="341" spans="3:6" x14ac:dyDescent="0.35">
      <c r="C341" s="3"/>
      <c r="D341"/>
      <c r="E341"/>
      <c r="F341" s="3"/>
    </row>
    <row r="342" spans="3:6" x14ac:dyDescent="0.35">
      <c r="C342" s="3"/>
      <c r="D342"/>
      <c r="E342"/>
      <c r="F342" s="3"/>
    </row>
    <row r="343" spans="3:6" x14ac:dyDescent="0.35">
      <c r="C343" s="3"/>
      <c r="D343"/>
      <c r="E343"/>
      <c r="F343" s="3"/>
    </row>
    <row r="344" spans="3:6" x14ac:dyDescent="0.35">
      <c r="C344" s="3"/>
      <c r="D344"/>
      <c r="E344"/>
      <c r="F344" s="3"/>
    </row>
    <row r="345" spans="3:6" x14ac:dyDescent="0.35">
      <c r="C345" s="3"/>
      <c r="D345"/>
      <c r="E345"/>
      <c r="F345" s="3"/>
    </row>
    <row r="346" spans="3:6" x14ac:dyDescent="0.35">
      <c r="C346" s="3"/>
      <c r="D346"/>
      <c r="E346"/>
      <c r="F346" s="3"/>
    </row>
    <row r="347" spans="3:6" x14ac:dyDescent="0.35">
      <c r="C347" s="3"/>
      <c r="D347"/>
      <c r="E347"/>
      <c r="F347" s="3"/>
    </row>
    <row r="348" spans="3:6" x14ac:dyDescent="0.35">
      <c r="C348" s="3"/>
      <c r="D348"/>
      <c r="E348"/>
      <c r="F348" s="3"/>
    </row>
    <row r="349" spans="3:6" x14ac:dyDescent="0.35">
      <c r="C349" s="3"/>
      <c r="D349"/>
      <c r="E349"/>
      <c r="F349" s="3"/>
    </row>
    <row r="350" spans="3:6" x14ac:dyDescent="0.35">
      <c r="C350" s="3"/>
      <c r="D350"/>
      <c r="E350"/>
      <c r="F350" s="3"/>
    </row>
    <row r="351" spans="3:6" x14ac:dyDescent="0.35">
      <c r="C351" s="3"/>
      <c r="D351"/>
      <c r="E351"/>
      <c r="F351" s="3"/>
    </row>
    <row r="352" spans="3:6" x14ac:dyDescent="0.35">
      <c r="C352" s="3"/>
      <c r="D352"/>
      <c r="E352"/>
      <c r="F352" s="3"/>
    </row>
    <row r="353" spans="3:6" x14ac:dyDescent="0.35">
      <c r="C353" s="3"/>
      <c r="D353"/>
      <c r="E353"/>
      <c r="F353" s="3"/>
    </row>
    <row r="354" spans="3:6" x14ac:dyDescent="0.35">
      <c r="C354" s="3"/>
      <c r="D354"/>
      <c r="E354"/>
      <c r="F354" s="3"/>
    </row>
    <row r="355" spans="3:6" x14ac:dyDescent="0.35">
      <c r="C355" s="3"/>
      <c r="D355"/>
      <c r="E355"/>
      <c r="F355" s="3"/>
    </row>
    <row r="356" spans="3:6" x14ac:dyDescent="0.35">
      <c r="C356" s="3"/>
      <c r="D356"/>
      <c r="E356"/>
      <c r="F356" s="3"/>
    </row>
    <row r="357" spans="3:6" x14ac:dyDescent="0.35">
      <c r="C357" s="3"/>
      <c r="D357"/>
      <c r="E357"/>
      <c r="F357" s="3"/>
    </row>
    <row r="358" spans="3:6" x14ac:dyDescent="0.35">
      <c r="C358" s="3"/>
      <c r="D358"/>
      <c r="E358"/>
      <c r="F358" s="3"/>
    </row>
    <row r="359" spans="3:6" x14ac:dyDescent="0.35">
      <c r="C359" s="3"/>
      <c r="D359"/>
      <c r="E359"/>
      <c r="F359" s="3"/>
    </row>
    <row r="360" spans="3:6" x14ac:dyDescent="0.35">
      <c r="C360" s="3"/>
      <c r="D360"/>
      <c r="E360"/>
      <c r="F360" s="3"/>
    </row>
    <row r="361" spans="3:6" x14ac:dyDescent="0.35">
      <c r="C361" s="3"/>
      <c r="D361"/>
      <c r="E361"/>
      <c r="F361" s="3"/>
    </row>
    <row r="362" spans="3:6" x14ac:dyDescent="0.35">
      <c r="C362" s="3"/>
      <c r="D362"/>
      <c r="E362"/>
      <c r="F362" s="3"/>
    </row>
    <row r="363" spans="3:6" x14ac:dyDescent="0.35">
      <c r="C363" s="3"/>
      <c r="D363"/>
      <c r="E363"/>
      <c r="F363" s="3"/>
    </row>
    <row r="364" spans="3:6" x14ac:dyDescent="0.35">
      <c r="C364" s="3"/>
      <c r="D364"/>
      <c r="E364"/>
      <c r="F364" s="3"/>
    </row>
    <row r="365" spans="3:6" x14ac:dyDescent="0.35">
      <c r="C365" s="3"/>
      <c r="D365"/>
      <c r="E365"/>
      <c r="F365" s="3"/>
    </row>
    <row r="366" spans="3:6" x14ac:dyDescent="0.35">
      <c r="C366" s="3"/>
      <c r="D366"/>
      <c r="E366"/>
      <c r="F366" s="3"/>
    </row>
    <row r="367" spans="3:6" x14ac:dyDescent="0.35">
      <c r="C367" s="3"/>
      <c r="D367"/>
      <c r="E367"/>
      <c r="F367" s="3"/>
    </row>
    <row r="368" spans="3:6" x14ac:dyDescent="0.35">
      <c r="C368" s="3"/>
      <c r="D368"/>
      <c r="E368"/>
      <c r="F368" s="3"/>
    </row>
    <row r="369" spans="3:6" x14ac:dyDescent="0.35">
      <c r="C369" s="3"/>
      <c r="D369"/>
      <c r="E369"/>
      <c r="F369" s="3"/>
    </row>
    <row r="370" spans="3:6" x14ac:dyDescent="0.35">
      <c r="C370" s="3"/>
      <c r="D370"/>
      <c r="E370"/>
      <c r="F370" s="3"/>
    </row>
    <row r="371" spans="3:6" x14ac:dyDescent="0.35">
      <c r="C371" s="3"/>
      <c r="D371"/>
      <c r="E371"/>
      <c r="F371" s="3"/>
    </row>
    <row r="372" spans="3:6" x14ac:dyDescent="0.35">
      <c r="C372" s="3"/>
      <c r="D372"/>
      <c r="E372"/>
      <c r="F372" s="3"/>
    </row>
    <row r="373" spans="3:6" x14ac:dyDescent="0.35">
      <c r="C373" s="3"/>
      <c r="D373"/>
      <c r="E373"/>
      <c r="F373" s="3"/>
    </row>
    <row r="374" spans="3:6" x14ac:dyDescent="0.35">
      <c r="C374" s="3"/>
      <c r="D374"/>
      <c r="E374"/>
      <c r="F374" s="3"/>
    </row>
    <row r="375" spans="3:6" x14ac:dyDescent="0.35">
      <c r="C375" s="3"/>
      <c r="D375"/>
      <c r="E375"/>
      <c r="F375" s="3"/>
    </row>
    <row r="376" spans="3:6" x14ac:dyDescent="0.35">
      <c r="C376" s="3"/>
      <c r="D376"/>
      <c r="E376"/>
      <c r="F376" s="3"/>
    </row>
    <row r="377" spans="3:6" x14ac:dyDescent="0.35">
      <c r="C377" s="3"/>
      <c r="D377"/>
      <c r="E377"/>
      <c r="F377" s="3"/>
    </row>
    <row r="378" spans="3:6" x14ac:dyDescent="0.35">
      <c r="C378" s="3"/>
      <c r="D378"/>
      <c r="E378"/>
      <c r="F378" s="3"/>
    </row>
    <row r="379" spans="3:6" x14ac:dyDescent="0.35">
      <c r="C379" s="3"/>
      <c r="D379"/>
      <c r="E379"/>
      <c r="F379" s="3"/>
    </row>
    <row r="380" spans="3:6" x14ac:dyDescent="0.35">
      <c r="C380" s="3"/>
      <c r="D380"/>
      <c r="E380"/>
      <c r="F380" s="3"/>
    </row>
    <row r="381" spans="3:6" x14ac:dyDescent="0.35">
      <c r="C381" s="3"/>
      <c r="D381"/>
      <c r="E381"/>
      <c r="F381" s="3"/>
    </row>
    <row r="382" spans="3:6" x14ac:dyDescent="0.35">
      <c r="C382" s="3"/>
      <c r="D382"/>
      <c r="E382"/>
      <c r="F382" s="3"/>
    </row>
    <row r="383" spans="3:6" x14ac:dyDescent="0.35">
      <c r="C383" s="3"/>
      <c r="D383"/>
      <c r="E383"/>
      <c r="F383" s="3"/>
    </row>
    <row r="384" spans="3:6" x14ac:dyDescent="0.35">
      <c r="C384" s="3"/>
      <c r="D384"/>
      <c r="E384"/>
      <c r="F384" s="3"/>
    </row>
    <row r="385" spans="3:6" x14ac:dyDescent="0.35">
      <c r="C385" s="3"/>
      <c r="D385"/>
      <c r="E385"/>
      <c r="F385" s="3"/>
    </row>
    <row r="386" spans="3:6" x14ac:dyDescent="0.35">
      <c r="C386" s="3"/>
      <c r="D386"/>
      <c r="E386"/>
      <c r="F386" s="3"/>
    </row>
    <row r="387" spans="3:6" x14ac:dyDescent="0.35">
      <c r="C387" s="3"/>
      <c r="D387"/>
      <c r="E387"/>
      <c r="F387" s="3"/>
    </row>
    <row r="388" spans="3:6" x14ac:dyDescent="0.35">
      <c r="C388" s="3"/>
      <c r="D388"/>
      <c r="E388"/>
      <c r="F388" s="3"/>
    </row>
    <row r="389" spans="3:6" x14ac:dyDescent="0.35">
      <c r="C389" s="3"/>
      <c r="D389"/>
      <c r="E389"/>
      <c r="F389" s="3"/>
    </row>
    <row r="390" spans="3:6" x14ac:dyDescent="0.35">
      <c r="C390" s="3"/>
      <c r="D390"/>
      <c r="E390"/>
      <c r="F390" s="3"/>
    </row>
    <row r="391" spans="3:6" x14ac:dyDescent="0.35">
      <c r="C391" s="3"/>
      <c r="D391"/>
      <c r="E391"/>
      <c r="F391" s="3"/>
    </row>
    <row r="392" spans="3:6" x14ac:dyDescent="0.35">
      <c r="C392" s="3"/>
      <c r="D392"/>
      <c r="E392"/>
      <c r="F392" s="3"/>
    </row>
    <row r="393" spans="3:6" x14ac:dyDescent="0.35">
      <c r="C393" s="3"/>
      <c r="D393"/>
      <c r="E393"/>
      <c r="F393" s="3"/>
    </row>
    <row r="394" spans="3:6" x14ac:dyDescent="0.35">
      <c r="C394" s="3"/>
      <c r="D394"/>
      <c r="E394"/>
      <c r="F394" s="3"/>
    </row>
    <row r="395" spans="3:6" x14ac:dyDescent="0.35">
      <c r="C395" s="3"/>
      <c r="D395"/>
      <c r="E395"/>
      <c r="F395" s="3"/>
    </row>
    <row r="396" spans="3:6" x14ac:dyDescent="0.35">
      <c r="C396" s="3"/>
      <c r="D396"/>
      <c r="E396"/>
      <c r="F396" s="3"/>
    </row>
    <row r="397" spans="3:6" x14ac:dyDescent="0.35">
      <c r="C397" s="3"/>
      <c r="D397"/>
      <c r="E397"/>
      <c r="F397" s="3"/>
    </row>
    <row r="398" spans="3:6" x14ac:dyDescent="0.35">
      <c r="C398" s="3"/>
      <c r="D398"/>
      <c r="E398"/>
      <c r="F398" s="3"/>
    </row>
    <row r="399" spans="3:6" x14ac:dyDescent="0.35">
      <c r="C399" s="3"/>
      <c r="D399"/>
      <c r="E399"/>
      <c r="F399" s="3"/>
    </row>
    <row r="400" spans="3:6" x14ac:dyDescent="0.35">
      <c r="C400" s="3"/>
      <c r="D400"/>
      <c r="E400"/>
      <c r="F400" s="3"/>
    </row>
    <row r="401" spans="3:6" x14ac:dyDescent="0.35">
      <c r="C401" s="3"/>
      <c r="D401"/>
      <c r="E401"/>
      <c r="F401" s="3"/>
    </row>
    <row r="402" spans="3:6" x14ac:dyDescent="0.35">
      <c r="C402" s="3"/>
      <c r="D402"/>
      <c r="E402"/>
      <c r="F402" s="3"/>
    </row>
    <row r="403" spans="3:6" x14ac:dyDescent="0.35">
      <c r="C403" s="3"/>
      <c r="D403"/>
      <c r="E403"/>
      <c r="F403" s="3"/>
    </row>
    <row r="404" spans="3:6" x14ac:dyDescent="0.35">
      <c r="C404" s="3"/>
      <c r="D404"/>
      <c r="E404"/>
      <c r="F404" s="3"/>
    </row>
    <row r="405" spans="3:6" x14ac:dyDescent="0.35">
      <c r="C405" s="3"/>
      <c r="D405"/>
      <c r="E405"/>
      <c r="F405" s="3"/>
    </row>
    <row r="406" spans="3:6" x14ac:dyDescent="0.35">
      <c r="C406" s="3"/>
      <c r="D406"/>
      <c r="E406"/>
      <c r="F406" s="3"/>
    </row>
    <row r="407" spans="3:6" x14ac:dyDescent="0.35">
      <c r="C407" s="3"/>
      <c r="D407"/>
      <c r="E407"/>
      <c r="F407" s="3"/>
    </row>
    <row r="408" spans="3:6" x14ac:dyDescent="0.35">
      <c r="C408" s="3"/>
      <c r="D408"/>
      <c r="E408"/>
      <c r="F408" s="3"/>
    </row>
    <row r="409" spans="3:6" x14ac:dyDescent="0.35">
      <c r="C409" s="3"/>
      <c r="D409"/>
      <c r="E409"/>
      <c r="F409" s="3"/>
    </row>
    <row r="410" spans="3:6" x14ac:dyDescent="0.35">
      <c r="C410" s="3"/>
      <c r="D410"/>
      <c r="E410"/>
      <c r="F410" s="3"/>
    </row>
    <row r="411" spans="3:6" x14ac:dyDescent="0.35">
      <c r="C411" s="3"/>
      <c r="D411"/>
      <c r="E411"/>
      <c r="F411" s="3"/>
    </row>
    <row r="412" spans="3:6" x14ac:dyDescent="0.35">
      <c r="C412" s="3"/>
      <c r="D412"/>
      <c r="E412"/>
      <c r="F412" s="3"/>
    </row>
    <row r="413" spans="3:6" x14ac:dyDescent="0.35">
      <c r="C413" s="3"/>
      <c r="D413"/>
      <c r="E413"/>
      <c r="F413" s="3"/>
    </row>
    <row r="414" spans="3:6" x14ac:dyDescent="0.35">
      <c r="C414" s="3"/>
      <c r="D414"/>
      <c r="E414"/>
      <c r="F414" s="3"/>
    </row>
    <row r="415" spans="3:6" x14ac:dyDescent="0.35">
      <c r="C415" s="3"/>
      <c r="D415"/>
      <c r="E415"/>
      <c r="F415" s="3"/>
    </row>
    <row r="416" spans="3:6" x14ac:dyDescent="0.35">
      <c r="C416" s="3"/>
      <c r="D416"/>
      <c r="E416"/>
      <c r="F416" s="3"/>
    </row>
    <row r="417" spans="3:6" x14ac:dyDescent="0.35">
      <c r="C417" s="3"/>
      <c r="D417"/>
      <c r="E417"/>
      <c r="F417" s="3"/>
    </row>
    <row r="418" spans="3:6" x14ac:dyDescent="0.35">
      <c r="C418" s="3"/>
      <c r="D418"/>
      <c r="E418"/>
      <c r="F418" s="3"/>
    </row>
    <row r="419" spans="3:6" x14ac:dyDescent="0.35">
      <c r="C419" s="3"/>
      <c r="D419"/>
      <c r="E419"/>
      <c r="F419" s="3"/>
    </row>
    <row r="420" spans="3:6" x14ac:dyDescent="0.35">
      <c r="C420" s="3"/>
      <c r="D420"/>
      <c r="E420"/>
      <c r="F420" s="3"/>
    </row>
    <row r="421" spans="3:6" x14ac:dyDescent="0.35">
      <c r="C421" s="3"/>
      <c r="D421"/>
      <c r="E421"/>
      <c r="F421" s="3"/>
    </row>
    <row r="422" spans="3:6" x14ac:dyDescent="0.35">
      <c r="C422" s="3"/>
      <c r="D422"/>
      <c r="E422"/>
      <c r="F422" s="3"/>
    </row>
    <row r="423" spans="3:6" x14ac:dyDescent="0.35">
      <c r="C423" s="3"/>
      <c r="D423"/>
      <c r="E423"/>
      <c r="F423" s="3"/>
    </row>
    <row r="424" spans="3:6" x14ac:dyDescent="0.35">
      <c r="C424" s="3"/>
      <c r="D424"/>
      <c r="E424"/>
      <c r="F424" s="3"/>
    </row>
    <row r="425" spans="3:6" x14ac:dyDescent="0.35">
      <c r="C425" s="3"/>
      <c r="D425"/>
      <c r="E425"/>
      <c r="F425" s="3"/>
    </row>
    <row r="426" spans="3:6" x14ac:dyDescent="0.35">
      <c r="C426" s="3"/>
      <c r="D426"/>
      <c r="E426"/>
      <c r="F426" s="3"/>
    </row>
    <row r="427" spans="3:6" x14ac:dyDescent="0.35">
      <c r="C427" s="3"/>
      <c r="D427"/>
      <c r="E427"/>
      <c r="F427" s="3"/>
    </row>
    <row r="428" spans="3:6" x14ac:dyDescent="0.35">
      <c r="C428" s="3"/>
      <c r="D428"/>
      <c r="E428"/>
      <c r="F428" s="3"/>
    </row>
    <row r="429" spans="3:6" x14ac:dyDescent="0.35">
      <c r="C429" s="3"/>
      <c r="D429"/>
      <c r="E429"/>
      <c r="F429" s="3"/>
    </row>
    <row r="430" spans="3:6" x14ac:dyDescent="0.35">
      <c r="C430" s="3"/>
      <c r="D430"/>
      <c r="E430"/>
      <c r="F430" s="3"/>
    </row>
    <row r="431" spans="3:6" x14ac:dyDescent="0.35">
      <c r="C431" s="3"/>
      <c r="D431"/>
      <c r="E431"/>
      <c r="F431" s="3"/>
    </row>
    <row r="432" spans="3:6" x14ac:dyDescent="0.35">
      <c r="C432" s="3"/>
      <c r="D432"/>
      <c r="E432"/>
      <c r="F432" s="3"/>
    </row>
    <row r="433" spans="3:6" x14ac:dyDescent="0.35">
      <c r="C433" s="3"/>
      <c r="D433"/>
      <c r="E433"/>
      <c r="F433" s="3"/>
    </row>
    <row r="434" spans="3:6" x14ac:dyDescent="0.35">
      <c r="C434" s="3"/>
      <c r="D434"/>
      <c r="E434"/>
      <c r="F434" s="3"/>
    </row>
    <row r="435" spans="3:6" x14ac:dyDescent="0.35">
      <c r="C435" s="3"/>
      <c r="D435"/>
      <c r="E435"/>
      <c r="F435" s="3"/>
    </row>
    <row r="436" spans="3:6" x14ac:dyDescent="0.35">
      <c r="C436" s="3"/>
      <c r="D436"/>
      <c r="E436"/>
      <c r="F436" s="3"/>
    </row>
    <row r="437" spans="3:6" x14ac:dyDescent="0.35">
      <c r="C437" s="3"/>
      <c r="D437"/>
      <c r="E437"/>
      <c r="F437" s="3"/>
    </row>
    <row r="438" spans="3:6" x14ac:dyDescent="0.35">
      <c r="C438" s="3"/>
      <c r="D438"/>
      <c r="E438"/>
      <c r="F438" s="3"/>
    </row>
    <row r="439" spans="3:6" x14ac:dyDescent="0.35">
      <c r="C439" s="3"/>
      <c r="D439"/>
      <c r="E439"/>
      <c r="F439" s="3"/>
    </row>
    <row r="440" spans="3:6" x14ac:dyDescent="0.35">
      <c r="C440" s="3"/>
      <c r="D440"/>
      <c r="E440"/>
      <c r="F440" s="3"/>
    </row>
    <row r="441" spans="3:6" x14ac:dyDescent="0.35">
      <c r="C441" s="3"/>
      <c r="D441"/>
      <c r="E441"/>
      <c r="F441" s="3"/>
    </row>
    <row r="442" spans="3:6" x14ac:dyDescent="0.35">
      <c r="C442" s="3"/>
      <c r="D442"/>
      <c r="E442"/>
      <c r="F442" s="3"/>
    </row>
    <row r="443" spans="3:6" x14ac:dyDescent="0.35">
      <c r="C443" s="3"/>
      <c r="D443"/>
      <c r="E443"/>
      <c r="F443" s="3"/>
    </row>
    <row r="444" spans="3:6" x14ac:dyDescent="0.35">
      <c r="C444" s="3"/>
      <c r="D444"/>
      <c r="E444"/>
      <c r="F444" s="3"/>
    </row>
    <row r="445" spans="3:6" x14ac:dyDescent="0.35">
      <c r="C445" s="3"/>
      <c r="D445"/>
      <c r="E445"/>
      <c r="F445" s="3"/>
    </row>
    <row r="446" spans="3:6" x14ac:dyDescent="0.35">
      <c r="C446" s="3"/>
      <c r="D446"/>
      <c r="E446"/>
      <c r="F446" s="3"/>
    </row>
    <row r="447" spans="3:6" x14ac:dyDescent="0.35">
      <c r="C447" s="3"/>
      <c r="D447"/>
      <c r="E447"/>
      <c r="F447" s="3"/>
    </row>
    <row r="448" spans="3:6" x14ac:dyDescent="0.35">
      <c r="C448" s="3"/>
      <c r="D448"/>
      <c r="E448"/>
      <c r="F448" s="3"/>
    </row>
    <row r="449" spans="3:6" x14ac:dyDescent="0.35">
      <c r="C449" s="3"/>
      <c r="D449"/>
      <c r="E449"/>
      <c r="F449" s="3"/>
    </row>
    <row r="450" spans="3:6" x14ac:dyDescent="0.35">
      <c r="C450" s="3"/>
      <c r="D450"/>
      <c r="E450"/>
      <c r="F450" s="3"/>
    </row>
    <row r="451" spans="3:6" x14ac:dyDescent="0.35">
      <c r="C451" s="3"/>
      <c r="D451"/>
      <c r="E451"/>
      <c r="F451" s="3"/>
    </row>
    <row r="452" spans="3:6" x14ac:dyDescent="0.35">
      <c r="C452" s="3"/>
      <c r="D452"/>
      <c r="E452"/>
      <c r="F452" s="3"/>
    </row>
    <row r="453" spans="3:6" x14ac:dyDescent="0.35">
      <c r="C453" s="3"/>
      <c r="D453"/>
      <c r="E453"/>
      <c r="F453" s="3"/>
    </row>
    <row r="454" spans="3:6" x14ac:dyDescent="0.35">
      <c r="C454" s="3"/>
      <c r="D454"/>
      <c r="E454"/>
      <c r="F454" s="3"/>
    </row>
    <row r="455" spans="3:6" x14ac:dyDescent="0.35">
      <c r="C455" s="3"/>
      <c r="D455"/>
      <c r="E455"/>
      <c r="F455" s="3"/>
    </row>
    <row r="456" spans="3:6" x14ac:dyDescent="0.35">
      <c r="C456" s="3"/>
      <c r="D456"/>
      <c r="E456"/>
      <c r="F456" s="3"/>
    </row>
    <row r="457" spans="3:6" x14ac:dyDescent="0.35">
      <c r="C457" s="3"/>
      <c r="D457"/>
      <c r="E457"/>
      <c r="F457" s="3"/>
    </row>
    <row r="458" spans="3:6" x14ac:dyDescent="0.35">
      <c r="C458" s="3"/>
      <c r="D458"/>
      <c r="E458"/>
      <c r="F458" s="3"/>
    </row>
    <row r="459" spans="3:6" x14ac:dyDescent="0.35">
      <c r="C459" s="3"/>
      <c r="D459"/>
      <c r="E459"/>
      <c r="F459" s="3"/>
    </row>
    <row r="460" spans="3:6" x14ac:dyDescent="0.35">
      <c r="C460" s="3"/>
      <c r="D460"/>
      <c r="E460"/>
      <c r="F460" s="3"/>
    </row>
    <row r="461" spans="3:6" x14ac:dyDescent="0.35">
      <c r="C461" s="3"/>
      <c r="D461"/>
      <c r="E461"/>
      <c r="F461" s="3"/>
    </row>
    <row r="462" spans="3:6" x14ac:dyDescent="0.35">
      <c r="C462" s="3"/>
      <c r="D462"/>
      <c r="E462"/>
      <c r="F462" s="3"/>
    </row>
    <row r="463" spans="3:6" x14ac:dyDescent="0.35">
      <c r="C463" s="3"/>
      <c r="D463"/>
      <c r="E463"/>
      <c r="F463" s="3"/>
    </row>
    <row r="464" spans="3:6" x14ac:dyDescent="0.35">
      <c r="C464" s="3"/>
      <c r="D464"/>
      <c r="E464"/>
      <c r="F464" s="3"/>
    </row>
    <row r="465" spans="3:6" x14ac:dyDescent="0.35">
      <c r="C465" s="3"/>
      <c r="D465"/>
      <c r="E465"/>
      <c r="F465" s="3"/>
    </row>
    <row r="466" spans="3:6" x14ac:dyDescent="0.35">
      <c r="C466" s="3"/>
      <c r="D466"/>
      <c r="E466"/>
      <c r="F466" s="3"/>
    </row>
    <row r="467" spans="3:6" x14ac:dyDescent="0.35">
      <c r="C467" s="3"/>
      <c r="D467"/>
      <c r="E467"/>
      <c r="F467" s="3"/>
    </row>
    <row r="468" spans="3:6" x14ac:dyDescent="0.35">
      <c r="C468" s="3"/>
      <c r="D468"/>
      <c r="E468"/>
      <c r="F468" s="3"/>
    </row>
    <row r="469" spans="3:6" x14ac:dyDescent="0.35">
      <c r="C469" s="3"/>
      <c r="D469"/>
      <c r="E469"/>
      <c r="F469" s="3"/>
    </row>
    <row r="470" spans="3:6" x14ac:dyDescent="0.35">
      <c r="C470" s="3"/>
      <c r="D470"/>
      <c r="E470"/>
      <c r="F470" s="3"/>
    </row>
    <row r="471" spans="3:6" x14ac:dyDescent="0.35">
      <c r="C471" s="3"/>
      <c r="D471"/>
      <c r="E471"/>
      <c r="F471" s="3"/>
    </row>
    <row r="472" spans="3:6" x14ac:dyDescent="0.35">
      <c r="C472" s="3"/>
      <c r="D472"/>
      <c r="E472"/>
      <c r="F472" s="3"/>
    </row>
    <row r="473" spans="3:6" x14ac:dyDescent="0.35">
      <c r="C473" s="3"/>
      <c r="D473"/>
      <c r="E473"/>
      <c r="F473" s="3"/>
    </row>
    <row r="474" spans="3:6" x14ac:dyDescent="0.35">
      <c r="C474" s="3"/>
      <c r="D474"/>
      <c r="E474"/>
      <c r="F474" s="3"/>
    </row>
    <row r="475" spans="3:6" x14ac:dyDescent="0.35">
      <c r="C475" s="3"/>
      <c r="D475"/>
      <c r="E475"/>
      <c r="F475" s="3"/>
    </row>
    <row r="476" spans="3:6" x14ac:dyDescent="0.35">
      <c r="C476" s="3"/>
      <c r="D476"/>
      <c r="E476"/>
      <c r="F476" s="3"/>
    </row>
    <row r="477" spans="3:6" x14ac:dyDescent="0.35">
      <c r="C477" s="3"/>
      <c r="D477"/>
      <c r="E477"/>
      <c r="F477" s="3"/>
    </row>
    <row r="478" spans="3:6" x14ac:dyDescent="0.35">
      <c r="C478" s="3"/>
      <c r="D478"/>
      <c r="E478"/>
      <c r="F478" s="3"/>
    </row>
    <row r="479" spans="3:6" x14ac:dyDescent="0.35">
      <c r="C479" s="3"/>
      <c r="D479"/>
      <c r="E479"/>
      <c r="F479" s="3"/>
    </row>
    <row r="480" spans="3:6" x14ac:dyDescent="0.35">
      <c r="C480" s="3"/>
      <c r="D480"/>
      <c r="E480"/>
      <c r="F480" s="3"/>
    </row>
    <row r="481" spans="3:6" x14ac:dyDescent="0.35">
      <c r="C481" s="3"/>
      <c r="D481"/>
      <c r="E481"/>
      <c r="F481" s="3"/>
    </row>
    <row r="482" spans="3:6" x14ac:dyDescent="0.35">
      <c r="C482" s="3"/>
      <c r="D482"/>
      <c r="E482"/>
      <c r="F482" s="3"/>
    </row>
    <row r="483" spans="3:6" x14ac:dyDescent="0.35">
      <c r="C483" s="3"/>
      <c r="D483"/>
      <c r="E483"/>
      <c r="F483" s="3"/>
    </row>
    <row r="484" spans="3:6" x14ac:dyDescent="0.35">
      <c r="C484" s="3"/>
      <c r="D484"/>
      <c r="E484"/>
      <c r="F484" s="3"/>
    </row>
    <row r="485" spans="3:6" x14ac:dyDescent="0.35">
      <c r="C485" s="3"/>
      <c r="D485"/>
      <c r="E485"/>
      <c r="F485" s="3"/>
    </row>
    <row r="486" spans="3:6" x14ac:dyDescent="0.35">
      <c r="C486" s="3"/>
      <c r="D486"/>
      <c r="E486"/>
      <c r="F486" s="3"/>
    </row>
    <row r="487" spans="3:6" x14ac:dyDescent="0.35">
      <c r="C487" s="3"/>
      <c r="D487"/>
      <c r="E487"/>
      <c r="F487" s="3"/>
    </row>
    <row r="488" spans="3:6" x14ac:dyDescent="0.35">
      <c r="C488" s="3"/>
      <c r="D488"/>
      <c r="E488"/>
      <c r="F488" s="3"/>
    </row>
    <row r="489" spans="3:6" x14ac:dyDescent="0.35">
      <c r="C489" s="3"/>
      <c r="D489"/>
      <c r="E489"/>
      <c r="F489" s="3"/>
    </row>
    <row r="490" spans="3:6" x14ac:dyDescent="0.35">
      <c r="C490" s="3"/>
      <c r="D490"/>
      <c r="E490"/>
      <c r="F490" s="3"/>
    </row>
    <row r="491" spans="3:6" x14ac:dyDescent="0.35">
      <c r="C491" s="3"/>
      <c r="D491"/>
      <c r="E491"/>
      <c r="F491" s="3"/>
    </row>
    <row r="492" spans="3:6" x14ac:dyDescent="0.35">
      <c r="C492" s="3"/>
      <c r="D492"/>
      <c r="E492"/>
      <c r="F492" s="3"/>
    </row>
    <row r="493" spans="3:6" x14ac:dyDescent="0.35">
      <c r="C493" s="3"/>
      <c r="D493"/>
      <c r="E493"/>
      <c r="F493" s="3"/>
    </row>
    <row r="494" spans="3:6" x14ac:dyDescent="0.35">
      <c r="C494" s="3"/>
      <c r="D494"/>
      <c r="E494"/>
      <c r="F494" s="3"/>
    </row>
    <row r="495" spans="3:6" x14ac:dyDescent="0.35">
      <c r="C495" s="3"/>
      <c r="D495"/>
      <c r="E495"/>
      <c r="F495" s="3"/>
    </row>
    <row r="496" spans="3:6" x14ac:dyDescent="0.35">
      <c r="C496" s="3"/>
      <c r="D496"/>
      <c r="E496"/>
      <c r="F496" s="3"/>
    </row>
    <row r="497" spans="3:6" x14ac:dyDescent="0.35">
      <c r="C497" s="3"/>
      <c r="D497"/>
      <c r="E497"/>
      <c r="F497" s="3"/>
    </row>
    <row r="498" spans="3:6" x14ac:dyDescent="0.35">
      <c r="C498" s="3"/>
      <c r="D498"/>
      <c r="E498"/>
      <c r="F498" s="3"/>
    </row>
    <row r="499" spans="3:6" x14ac:dyDescent="0.35">
      <c r="C499" s="3"/>
      <c r="D499"/>
      <c r="E499"/>
      <c r="F499" s="3"/>
    </row>
    <row r="500" spans="3:6" x14ac:dyDescent="0.35">
      <c r="C500" s="3"/>
      <c r="D500"/>
      <c r="E500"/>
      <c r="F500" s="3"/>
    </row>
    <row r="501" spans="3:6" x14ac:dyDescent="0.35">
      <c r="C501" s="3"/>
      <c r="D501"/>
      <c r="E501"/>
      <c r="F501" s="3"/>
    </row>
    <row r="502" spans="3:6" x14ac:dyDescent="0.35">
      <c r="C502" s="3"/>
      <c r="D502"/>
      <c r="E502"/>
      <c r="F502" s="3"/>
    </row>
    <row r="503" spans="3:6" x14ac:dyDescent="0.35">
      <c r="C503" s="3"/>
      <c r="D503"/>
      <c r="E503"/>
      <c r="F503" s="3"/>
    </row>
    <row r="504" spans="3:6" x14ac:dyDescent="0.35">
      <c r="C504" s="3"/>
      <c r="D504"/>
      <c r="E504"/>
      <c r="F504" s="3"/>
    </row>
    <row r="505" spans="3:6" x14ac:dyDescent="0.35">
      <c r="C505" s="3"/>
      <c r="D505"/>
      <c r="E505"/>
      <c r="F505" s="3"/>
    </row>
    <row r="506" spans="3:6" x14ac:dyDescent="0.35">
      <c r="C506" s="3"/>
      <c r="D506"/>
      <c r="E506"/>
      <c r="F506" s="3"/>
    </row>
    <row r="507" spans="3:6" x14ac:dyDescent="0.35">
      <c r="C507" s="3"/>
      <c r="D507"/>
      <c r="E507"/>
      <c r="F507" s="3"/>
    </row>
    <row r="508" spans="3:6" x14ac:dyDescent="0.35">
      <c r="C508" s="3"/>
      <c r="D508"/>
      <c r="E508"/>
      <c r="F508" s="3"/>
    </row>
    <row r="509" spans="3:6" x14ac:dyDescent="0.35">
      <c r="C509" s="3"/>
      <c r="D509"/>
      <c r="E509"/>
      <c r="F509" s="3"/>
    </row>
    <row r="510" spans="3:6" x14ac:dyDescent="0.35">
      <c r="C510" s="3"/>
      <c r="D510"/>
      <c r="E510"/>
      <c r="F510" s="3"/>
    </row>
    <row r="511" spans="3:6" x14ac:dyDescent="0.35">
      <c r="C511" s="3"/>
      <c r="D511"/>
      <c r="E511"/>
      <c r="F511" s="3"/>
    </row>
    <row r="512" spans="3:6" x14ac:dyDescent="0.35">
      <c r="C512" s="3"/>
      <c r="D512"/>
      <c r="E512"/>
      <c r="F512" s="3"/>
    </row>
    <row r="513" spans="3:6" x14ac:dyDescent="0.35">
      <c r="C513" s="3"/>
      <c r="D513"/>
      <c r="E513"/>
      <c r="F513" s="3"/>
    </row>
    <row r="514" spans="3:6" x14ac:dyDescent="0.35">
      <c r="C514" s="3"/>
      <c r="D514"/>
      <c r="E514"/>
      <c r="F514" s="3"/>
    </row>
    <row r="515" spans="3:6" x14ac:dyDescent="0.35">
      <c r="C515" s="3"/>
      <c r="D515"/>
      <c r="E515"/>
      <c r="F515" s="3"/>
    </row>
    <row r="516" spans="3:6" x14ac:dyDescent="0.35">
      <c r="C516" s="3"/>
      <c r="D516"/>
      <c r="E516"/>
      <c r="F516" s="3"/>
    </row>
    <row r="517" spans="3:6" x14ac:dyDescent="0.35">
      <c r="C517" s="3"/>
      <c r="D517"/>
      <c r="E517"/>
      <c r="F517" s="3"/>
    </row>
    <row r="518" spans="3:6" x14ac:dyDescent="0.35">
      <c r="C518" s="3"/>
      <c r="D518"/>
      <c r="E518"/>
      <c r="F518" s="3"/>
    </row>
    <row r="519" spans="3:6" x14ac:dyDescent="0.35">
      <c r="C519" s="3"/>
      <c r="D519"/>
      <c r="E519"/>
      <c r="F519" s="3"/>
    </row>
    <row r="520" spans="3:6" x14ac:dyDescent="0.35">
      <c r="C520" s="3"/>
      <c r="D520"/>
      <c r="E520"/>
      <c r="F520" s="3"/>
    </row>
    <row r="521" spans="3:6" x14ac:dyDescent="0.35">
      <c r="C521" s="3"/>
      <c r="D521"/>
      <c r="E521"/>
      <c r="F521" s="3"/>
    </row>
    <row r="522" spans="3:6" x14ac:dyDescent="0.35">
      <c r="C522" s="3"/>
      <c r="D522"/>
      <c r="E522"/>
      <c r="F522" s="3"/>
    </row>
    <row r="523" spans="3:6" x14ac:dyDescent="0.35">
      <c r="C523" s="3"/>
      <c r="D523"/>
      <c r="E523"/>
      <c r="F523" s="3"/>
    </row>
    <row r="524" spans="3:6" x14ac:dyDescent="0.35">
      <c r="C524" s="3"/>
      <c r="D524"/>
      <c r="E524"/>
      <c r="F524" s="3"/>
    </row>
    <row r="525" spans="3:6" x14ac:dyDescent="0.35">
      <c r="C525" s="3"/>
      <c r="D525"/>
      <c r="E525"/>
      <c r="F525" s="3"/>
    </row>
    <row r="526" spans="3:6" x14ac:dyDescent="0.35">
      <c r="C526" s="3"/>
      <c r="D526"/>
      <c r="E526"/>
      <c r="F526" s="3"/>
    </row>
    <row r="527" spans="3:6" x14ac:dyDescent="0.35">
      <c r="C527" s="3"/>
      <c r="D527"/>
      <c r="E527"/>
      <c r="F527" s="3"/>
    </row>
    <row r="528" spans="3:6" x14ac:dyDescent="0.35">
      <c r="C528" s="3"/>
      <c r="D528"/>
      <c r="E528"/>
      <c r="F528" s="3"/>
    </row>
    <row r="529" spans="3:6" x14ac:dyDescent="0.35">
      <c r="C529" s="3"/>
      <c r="D529"/>
      <c r="E529"/>
      <c r="F529" s="3"/>
    </row>
    <row r="530" spans="3:6" x14ac:dyDescent="0.35">
      <c r="C530" s="3"/>
      <c r="D530"/>
      <c r="E530"/>
      <c r="F530" s="3"/>
    </row>
    <row r="531" spans="3:6" x14ac:dyDescent="0.35">
      <c r="C531" s="3"/>
      <c r="D531"/>
      <c r="E531"/>
      <c r="F531" s="3"/>
    </row>
    <row r="532" spans="3:6" x14ac:dyDescent="0.35">
      <c r="C532" s="3"/>
      <c r="D532"/>
      <c r="E532"/>
      <c r="F532" s="3"/>
    </row>
    <row r="533" spans="3:6" x14ac:dyDescent="0.35">
      <c r="C533" s="3"/>
      <c r="D533"/>
      <c r="E533"/>
      <c r="F533" s="3"/>
    </row>
    <row r="534" spans="3:6" x14ac:dyDescent="0.35">
      <c r="C534" s="3"/>
      <c r="D534"/>
      <c r="E534"/>
      <c r="F534" s="3"/>
    </row>
    <row r="535" spans="3:6" x14ac:dyDescent="0.35">
      <c r="C535" s="3"/>
      <c r="D535"/>
      <c r="E535"/>
      <c r="F535" s="3"/>
    </row>
    <row r="536" spans="3:6" x14ac:dyDescent="0.35">
      <c r="C536" s="3"/>
      <c r="D536"/>
      <c r="E536"/>
      <c r="F536" s="3"/>
    </row>
    <row r="537" spans="3:6" x14ac:dyDescent="0.35">
      <c r="C537" s="3"/>
      <c r="D537"/>
      <c r="E537"/>
      <c r="F537" s="3"/>
    </row>
    <row r="538" spans="3:6" x14ac:dyDescent="0.35">
      <c r="C538" s="3"/>
      <c r="D538"/>
      <c r="E538"/>
      <c r="F538" s="3"/>
    </row>
    <row r="539" spans="3:6" x14ac:dyDescent="0.35">
      <c r="C539" s="3"/>
      <c r="D539"/>
      <c r="E539"/>
      <c r="F539" s="3"/>
    </row>
    <row r="540" spans="3:6" x14ac:dyDescent="0.35">
      <c r="C540" s="3"/>
      <c r="D540"/>
      <c r="E540"/>
      <c r="F540" s="3"/>
    </row>
    <row r="541" spans="3:6" x14ac:dyDescent="0.35">
      <c r="C541" s="3"/>
      <c r="D541"/>
      <c r="E541"/>
      <c r="F541" s="3"/>
    </row>
    <row r="542" spans="3:6" x14ac:dyDescent="0.35">
      <c r="C542" s="3"/>
      <c r="D542"/>
      <c r="E542"/>
      <c r="F542" s="3"/>
    </row>
    <row r="543" spans="3:6" x14ac:dyDescent="0.35">
      <c r="C543" s="3"/>
      <c r="D543"/>
      <c r="E543"/>
      <c r="F543" s="3"/>
    </row>
    <row r="544" spans="3:6" x14ac:dyDescent="0.35">
      <c r="C544" s="3"/>
      <c r="D544"/>
      <c r="E544"/>
      <c r="F544" s="3"/>
    </row>
    <row r="545" spans="3:6" x14ac:dyDescent="0.35">
      <c r="C545" s="3"/>
      <c r="D545"/>
      <c r="E545"/>
      <c r="F545" s="3"/>
    </row>
    <row r="546" spans="3:6" x14ac:dyDescent="0.35">
      <c r="C546" s="3"/>
      <c r="D546"/>
      <c r="E546"/>
      <c r="F546" s="3"/>
    </row>
    <row r="547" spans="3:6" x14ac:dyDescent="0.35">
      <c r="C547" s="3"/>
      <c r="D547"/>
      <c r="E547"/>
      <c r="F547" s="3"/>
    </row>
    <row r="548" spans="3:6" x14ac:dyDescent="0.35">
      <c r="C548" s="3"/>
      <c r="D548"/>
      <c r="E548"/>
      <c r="F548" s="3"/>
    </row>
    <row r="549" spans="3:6" x14ac:dyDescent="0.35">
      <c r="C549" s="3"/>
      <c r="D549"/>
      <c r="E549"/>
      <c r="F549" s="3"/>
    </row>
    <row r="550" spans="3:6" x14ac:dyDescent="0.35">
      <c r="C550" s="3"/>
      <c r="D550"/>
      <c r="E550"/>
      <c r="F550" s="3"/>
    </row>
    <row r="551" spans="3:6" x14ac:dyDescent="0.35">
      <c r="C551" s="3"/>
      <c r="D551"/>
      <c r="E551"/>
      <c r="F551" s="3"/>
    </row>
    <row r="552" spans="3:6" x14ac:dyDescent="0.35">
      <c r="C552" s="3"/>
      <c r="D552"/>
      <c r="E552"/>
      <c r="F552" s="3"/>
    </row>
    <row r="553" spans="3:6" x14ac:dyDescent="0.35">
      <c r="C553" s="3"/>
      <c r="D553"/>
      <c r="E553"/>
      <c r="F553" s="3"/>
    </row>
    <row r="554" spans="3:6" x14ac:dyDescent="0.35">
      <c r="C554" s="3"/>
      <c r="D554"/>
      <c r="E554"/>
      <c r="F554" s="3"/>
    </row>
    <row r="555" spans="3:6" x14ac:dyDescent="0.35">
      <c r="C555" s="3"/>
      <c r="D555"/>
      <c r="E555"/>
      <c r="F555" s="3"/>
    </row>
    <row r="556" spans="3:6" x14ac:dyDescent="0.35">
      <c r="C556" s="3"/>
      <c r="D556"/>
      <c r="E556"/>
      <c r="F556" s="3"/>
    </row>
    <row r="557" spans="3:6" x14ac:dyDescent="0.35">
      <c r="C557" s="3"/>
      <c r="D557"/>
      <c r="E557"/>
      <c r="F557" s="3"/>
    </row>
    <row r="558" spans="3:6" x14ac:dyDescent="0.35">
      <c r="C558" s="3"/>
      <c r="D558"/>
      <c r="E558"/>
      <c r="F558" s="3"/>
    </row>
    <row r="559" spans="3:6" x14ac:dyDescent="0.35">
      <c r="C559" s="3"/>
      <c r="D559"/>
      <c r="E559"/>
      <c r="F559" s="3"/>
    </row>
    <row r="560" spans="3:6" x14ac:dyDescent="0.35">
      <c r="C560" s="3"/>
      <c r="D560"/>
      <c r="E560"/>
      <c r="F560" s="3"/>
    </row>
    <row r="561" spans="3:6" x14ac:dyDescent="0.35">
      <c r="C561" s="3"/>
      <c r="D561"/>
      <c r="E561"/>
      <c r="F561" s="3"/>
    </row>
    <row r="562" spans="3:6" x14ac:dyDescent="0.35">
      <c r="C562" s="3"/>
      <c r="D562"/>
      <c r="E562"/>
      <c r="F562" s="3"/>
    </row>
    <row r="563" spans="3:6" x14ac:dyDescent="0.35">
      <c r="C563" s="3"/>
      <c r="D563"/>
      <c r="E563"/>
      <c r="F563" s="3"/>
    </row>
    <row r="564" spans="3:6" x14ac:dyDescent="0.35">
      <c r="C564" s="3"/>
      <c r="D564"/>
      <c r="E564"/>
      <c r="F564" s="3"/>
    </row>
    <row r="565" spans="3:6" x14ac:dyDescent="0.35">
      <c r="C565" s="3"/>
      <c r="D565"/>
      <c r="E565"/>
      <c r="F565" s="3"/>
    </row>
    <row r="566" spans="3:6" x14ac:dyDescent="0.35">
      <c r="C566" s="3"/>
      <c r="D566"/>
      <c r="E566"/>
      <c r="F566" s="3"/>
    </row>
    <row r="567" spans="3:6" x14ac:dyDescent="0.35">
      <c r="C567" s="3"/>
      <c r="D567"/>
      <c r="E567"/>
      <c r="F567" s="3"/>
    </row>
    <row r="568" spans="3:6" x14ac:dyDescent="0.35">
      <c r="C568" s="3"/>
      <c r="D568"/>
      <c r="E568"/>
      <c r="F568" s="3"/>
    </row>
    <row r="569" spans="3:6" x14ac:dyDescent="0.35">
      <c r="C569" s="3"/>
      <c r="D569"/>
      <c r="E569"/>
      <c r="F569" s="3"/>
    </row>
    <row r="570" spans="3:6" x14ac:dyDescent="0.35">
      <c r="C570" s="3"/>
      <c r="D570"/>
      <c r="E570"/>
      <c r="F570" s="3"/>
    </row>
    <row r="571" spans="3:6" x14ac:dyDescent="0.35">
      <c r="C571" s="3"/>
      <c r="D571"/>
      <c r="E571"/>
      <c r="F571" s="3"/>
    </row>
    <row r="572" spans="3:6" x14ac:dyDescent="0.35">
      <c r="C572" s="3"/>
      <c r="D572"/>
      <c r="E572"/>
      <c r="F572" s="3"/>
    </row>
    <row r="573" spans="3:6" x14ac:dyDescent="0.35">
      <c r="C573" s="3"/>
      <c r="D573"/>
      <c r="E573"/>
      <c r="F573" s="3"/>
    </row>
    <row r="574" spans="3:6" x14ac:dyDescent="0.35">
      <c r="C574" s="3"/>
      <c r="D574"/>
      <c r="E574"/>
      <c r="F574" s="3"/>
    </row>
    <row r="575" spans="3:6" x14ac:dyDescent="0.35">
      <c r="C575" s="3"/>
      <c r="D575"/>
      <c r="E575"/>
      <c r="F575" s="3"/>
    </row>
    <row r="576" spans="3:6" x14ac:dyDescent="0.35">
      <c r="C576" s="3"/>
      <c r="D576"/>
      <c r="E576"/>
      <c r="F576" s="3"/>
    </row>
    <row r="577" spans="3:6" x14ac:dyDescent="0.35">
      <c r="C577" s="3"/>
      <c r="D577"/>
      <c r="E577"/>
      <c r="F577" s="3"/>
    </row>
    <row r="578" spans="3:6" x14ac:dyDescent="0.35">
      <c r="C578" s="3"/>
      <c r="D578"/>
      <c r="E578"/>
      <c r="F578" s="3"/>
    </row>
    <row r="579" spans="3:6" x14ac:dyDescent="0.35">
      <c r="C579" s="3"/>
      <c r="D579"/>
      <c r="E579"/>
      <c r="F579" s="3"/>
    </row>
    <row r="580" spans="3:6" x14ac:dyDescent="0.35">
      <c r="C580" s="3"/>
      <c r="D580"/>
      <c r="E580"/>
      <c r="F580" s="3"/>
    </row>
    <row r="581" spans="3:6" x14ac:dyDescent="0.35">
      <c r="C581" s="3"/>
      <c r="D581"/>
      <c r="E581"/>
      <c r="F581" s="3"/>
    </row>
    <row r="582" spans="3:6" x14ac:dyDescent="0.35">
      <c r="C582" s="3"/>
      <c r="D582"/>
      <c r="E582"/>
      <c r="F582" s="3"/>
    </row>
    <row r="583" spans="3:6" x14ac:dyDescent="0.35">
      <c r="C583" s="3"/>
      <c r="D583"/>
      <c r="E583"/>
      <c r="F583" s="3"/>
    </row>
    <row r="584" spans="3:6" x14ac:dyDescent="0.35">
      <c r="C584" s="3"/>
      <c r="D584"/>
      <c r="E584"/>
      <c r="F584" s="3"/>
    </row>
    <row r="585" spans="3:6" x14ac:dyDescent="0.35">
      <c r="C585" s="3"/>
      <c r="D585"/>
      <c r="E585"/>
      <c r="F585" s="3"/>
    </row>
    <row r="586" spans="3:6" x14ac:dyDescent="0.35">
      <c r="C586" s="3"/>
      <c r="D586"/>
      <c r="E586"/>
      <c r="F586" s="3"/>
    </row>
    <row r="587" spans="3:6" x14ac:dyDescent="0.35">
      <c r="C587" s="3"/>
      <c r="D587"/>
      <c r="E587"/>
      <c r="F587" s="3"/>
    </row>
    <row r="588" spans="3:6" x14ac:dyDescent="0.35">
      <c r="C588" s="3"/>
      <c r="D588"/>
      <c r="E588"/>
      <c r="F588" s="3"/>
    </row>
    <row r="589" spans="3:6" x14ac:dyDescent="0.35">
      <c r="C589" s="3"/>
      <c r="D589"/>
      <c r="E589"/>
      <c r="F589" s="3"/>
    </row>
    <row r="590" spans="3:6" x14ac:dyDescent="0.35">
      <c r="C590" s="3"/>
      <c r="D590"/>
      <c r="E590"/>
      <c r="F590" s="3"/>
    </row>
    <row r="591" spans="3:6" x14ac:dyDescent="0.35">
      <c r="C591" s="3"/>
      <c r="D591"/>
      <c r="E591"/>
      <c r="F591" s="3"/>
    </row>
    <row r="592" spans="3:6" x14ac:dyDescent="0.35">
      <c r="C592" s="3"/>
      <c r="D592"/>
      <c r="E592"/>
      <c r="F592" s="3"/>
    </row>
    <row r="593" spans="3:6" x14ac:dyDescent="0.35">
      <c r="C593" s="3"/>
      <c r="D593"/>
      <c r="E593"/>
      <c r="F593" s="3"/>
    </row>
    <row r="594" spans="3:6" x14ac:dyDescent="0.35">
      <c r="C594" s="3"/>
      <c r="D594"/>
      <c r="E594"/>
      <c r="F594" s="3"/>
    </row>
    <row r="595" spans="3:6" x14ac:dyDescent="0.35">
      <c r="C595" s="3"/>
      <c r="D595"/>
      <c r="E595"/>
      <c r="F595" s="3"/>
    </row>
    <row r="596" spans="3:6" x14ac:dyDescent="0.35">
      <c r="C596" s="3"/>
      <c r="D596"/>
      <c r="E596"/>
      <c r="F596" s="3"/>
    </row>
    <row r="597" spans="3:6" x14ac:dyDescent="0.35">
      <c r="C597" s="3"/>
      <c r="D597"/>
      <c r="E597"/>
      <c r="F597" s="3"/>
    </row>
    <row r="598" spans="3:6" x14ac:dyDescent="0.35">
      <c r="C598" s="3"/>
      <c r="D598"/>
      <c r="E598"/>
      <c r="F598" s="3"/>
    </row>
    <row r="599" spans="3:6" x14ac:dyDescent="0.35">
      <c r="C599" s="3"/>
      <c r="D599"/>
      <c r="E599"/>
      <c r="F599" s="3"/>
    </row>
    <row r="600" spans="3:6" x14ac:dyDescent="0.35">
      <c r="C600" s="3"/>
      <c r="D600"/>
      <c r="E600"/>
      <c r="F600" s="3"/>
    </row>
    <row r="601" spans="3:6" x14ac:dyDescent="0.35">
      <c r="C601" s="3"/>
      <c r="D601"/>
      <c r="E601"/>
      <c r="F601" s="3"/>
    </row>
    <row r="602" spans="3:6" x14ac:dyDescent="0.35">
      <c r="C602" s="3"/>
      <c r="D602"/>
      <c r="E602"/>
      <c r="F602" s="3"/>
    </row>
    <row r="603" spans="3:6" x14ac:dyDescent="0.35">
      <c r="C603" s="3"/>
      <c r="D603"/>
      <c r="E603"/>
      <c r="F603" s="3"/>
    </row>
    <row r="604" spans="3:6" x14ac:dyDescent="0.35">
      <c r="C604" s="3"/>
      <c r="D604"/>
      <c r="E604"/>
      <c r="F604" s="3"/>
    </row>
    <row r="605" spans="3:6" x14ac:dyDescent="0.35">
      <c r="C605" s="3"/>
      <c r="D605"/>
      <c r="E605"/>
      <c r="F605" s="3"/>
    </row>
    <row r="606" spans="3:6" x14ac:dyDescent="0.35">
      <c r="C606" s="3"/>
      <c r="D606"/>
      <c r="E606"/>
      <c r="F606" s="3"/>
    </row>
    <row r="607" spans="3:6" x14ac:dyDescent="0.35">
      <c r="C607" s="3"/>
      <c r="D607"/>
      <c r="E607"/>
      <c r="F607" s="3"/>
    </row>
    <row r="608" spans="3:6" x14ac:dyDescent="0.35">
      <c r="C608" s="3"/>
      <c r="D608"/>
      <c r="E608"/>
      <c r="F608" s="3"/>
    </row>
    <row r="609" spans="3:6" x14ac:dyDescent="0.35">
      <c r="C609" s="3"/>
      <c r="D609"/>
      <c r="E609"/>
      <c r="F609" s="3"/>
    </row>
    <row r="610" spans="3:6" x14ac:dyDescent="0.35">
      <c r="C610" s="3"/>
      <c r="D610"/>
      <c r="E610"/>
      <c r="F610" s="3"/>
    </row>
    <row r="611" spans="3:6" x14ac:dyDescent="0.35">
      <c r="C611" s="3"/>
      <c r="D611"/>
      <c r="E611"/>
      <c r="F611" s="3"/>
    </row>
    <row r="612" spans="3:6" x14ac:dyDescent="0.35">
      <c r="C612" s="3"/>
      <c r="D612"/>
      <c r="E612"/>
      <c r="F612" s="3"/>
    </row>
    <row r="613" spans="3:6" x14ac:dyDescent="0.35">
      <c r="C613" s="3"/>
      <c r="D613"/>
      <c r="E613"/>
      <c r="F613" s="3"/>
    </row>
    <row r="614" spans="3:6" x14ac:dyDescent="0.35">
      <c r="C614" s="3"/>
      <c r="D614"/>
      <c r="E614"/>
      <c r="F614" s="3"/>
    </row>
    <row r="615" spans="3:6" x14ac:dyDescent="0.35">
      <c r="C615" s="3"/>
      <c r="D615"/>
      <c r="E615"/>
      <c r="F615" s="3"/>
    </row>
    <row r="616" spans="3:6" x14ac:dyDescent="0.35">
      <c r="C616" s="3"/>
      <c r="D616"/>
      <c r="E616"/>
      <c r="F616" s="3"/>
    </row>
    <row r="617" spans="3:6" x14ac:dyDescent="0.35">
      <c r="C617" s="3"/>
      <c r="D617"/>
      <c r="E617"/>
      <c r="F617" s="3"/>
    </row>
    <row r="618" spans="3:6" x14ac:dyDescent="0.35">
      <c r="C618" s="3"/>
      <c r="D618"/>
      <c r="E618"/>
      <c r="F618" s="3"/>
    </row>
    <row r="619" spans="3:6" x14ac:dyDescent="0.35">
      <c r="C619" s="3"/>
      <c r="D619"/>
      <c r="E619"/>
      <c r="F619" s="3"/>
    </row>
    <row r="620" spans="3:6" x14ac:dyDescent="0.35">
      <c r="C620" s="3"/>
      <c r="D620"/>
      <c r="E620"/>
      <c r="F620" s="3"/>
    </row>
    <row r="621" spans="3:6" x14ac:dyDescent="0.35">
      <c r="C621" s="3"/>
      <c r="D621"/>
      <c r="E621"/>
      <c r="F621" s="3"/>
    </row>
    <row r="622" spans="3:6" x14ac:dyDescent="0.35">
      <c r="C622" s="3"/>
      <c r="D622"/>
      <c r="E622"/>
      <c r="F622" s="3"/>
    </row>
    <row r="623" spans="3:6" x14ac:dyDescent="0.35">
      <c r="C623" s="3"/>
      <c r="D623"/>
      <c r="E623"/>
      <c r="F623" s="3"/>
    </row>
    <row r="624" spans="3:6" x14ac:dyDescent="0.35">
      <c r="C624" s="3"/>
      <c r="D624"/>
      <c r="E624"/>
      <c r="F624" s="3"/>
    </row>
    <row r="625" spans="3:6" x14ac:dyDescent="0.35">
      <c r="C625" s="3"/>
      <c r="D625"/>
      <c r="E625"/>
      <c r="F625" s="3"/>
    </row>
    <row r="626" spans="3:6" x14ac:dyDescent="0.35">
      <c r="C626" s="3"/>
      <c r="D626"/>
      <c r="E626"/>
      <c r="F626" s="3"/>
    </row>
    <row r="627" spans="3:6" x14ac:dyDescent="0.35">
      <c r="C627" s="3"/>
      <c r="D627"/>
      <c r="E627"/>
      <c r="F627" s="3"/>
    </row>
    <row r="628" spans="3:6" x14ac:dyDescent="0.35">
      <c r="C628" s="3"/>
      <c r="D628"/>
      <c r="E628"/>
      <c r="F628" s="3"/>
    </row>
    <row r="629" spans="3:6" x14ac:dyDescent="0.35">
      <c r="C629" s="3"/>
      <c r="D629"/>
      <c r="E629"/>
      <c r="F629" s="3"/>
    </row>
    <row r="630" spans="3:6" x14ac:dyDescent="0.35">
      <c r="C630" s="3"/>
      <c r="D630"/>
      <c r="E630"/>
      <c r="F630" s="3"/>
    </row>
    <row r="631" spans="3:6" x14ac:dyDescent="0.35">
      <c r="C631" s="3"/>
      <c r="D631"/>
      <c r="E631"/>
      <c r="F631" s="3"/>
    </row>
    <row r="632" spans="3:6" x14ac:dyDescent="0.35">
      <c r="C632" s="3"/>
      <c r="D632"/>
      <c r="E632"/>
      <c r="F632" s="3"/>
    </row>
    <row r="633" spans="3:6" x14ac:dyDescent="0.35">
      <c r="C633" s="3"/>
      <c r="D633"/>
      <c r="E633"/>
      <c r="F633" s="3"/>
    </row>
    <row r="634" spans="3:6" x14ac:dyDescent="0.35">
      <c r="C634" s="3"/>
      <c r="D634"/>
      <c r="E634"/>
      <c r="F634" s="3"/>
    </row>
    <row r="635" spans="3:6" x14ac:dyDescent="0.35">
      <c r="C635" s="3"/>
      <c r="D635"/>
      <c r="E635"/>
      <c r="F635" s="3"/>
    </row>
    <row r="636" spans="3:6" x14ac:dyDescent="0.35">
      <c r="C636" s="3"/>
      <c r="D636"/>
      <c r="E636"/>
      <c r="F636" s="3"/>
    </row>
    <row r="637" spans="3:6" x14ac:dyDescent="0.35">
      <c r="C637" s="3"/>
      <c r="D637"/>
      <c r="E637"/>
      <c r="F637" s="3"/>
    </row>
    <row r="638" spans="3:6" x14ac:dyDescent="0.35">
      <c r="C638" s="3"/>
      <c r="D638"/>
      <c r="E638"/>
      <c r="F638" s="3"/>
    </row>
    <row r="639" spans="3:6" x14ac:dyDescent="0.35">
      <c r="C639" s="3"/>
      <c r="D639"/>
      <c r="E639"/>
      <c r="F639" s="3"/>
    </row>
    <row r="640" spans="3:6" x14ac:dyDescent="0.35">
      <c r="C640" s="3"/>
      <c r="D640"/>
      <c r="E640"/>
      <c r="F640" s="3"/>
    </row>
    <row r="641" spans="3:6" x14ac:dyDescent="0.35">
      <c r="C641" s="3"/>
      <c r="D641"/>
      <c r="E641"/>
      <c r="F641" s="3"/>
    </row>
    <row r="642" spans="3:6" x14ac:dyDescent="0.35">
      <c r="C642" s="3"/>
      <c r="D642"/>
      <c r="E642"/>
      <c r="F642" s="3"/>
    </row>
    <row r="643" spans="3:6" x14ac:dyDescent="0.35">
      <c r="C643" s="3"/>
      <c r="D643"/>
      <c r="E643"/>
      <c r="F643" s="3"/>
    </row>
    <row r="644" spans="3:6" x14ac:dyDescent="0.35">
      <c r="C644" s="3"/>
      <c r="D644"/>
      <c r="E644"/>
      <c r="F644" s="3"/>
    </row>
    <row r="645" spans="3:6" x14ac:dyDescent="0.35">
      <c r="C645" s="3"/>
      <c r="D645"/>
      <c r="E645"/>
      <c r="F645" s="3"/>
    </row>
    <row r="646" spans="3:6" x14ac:dyDescent="0.35">
      <c r="C646" s="3"/>
      <c r="D646"/>
      <c r="E646"/>
      <c r="F646" s="3"/>
    </row>
    <row r="647" spans="3:6" x14ac:dyDescent="0.35">
      <c r="C647" s="3"/>
      <c r="D647"/>
      <c r="E647"/>
      <c r="F647" s="3"/>
    </row>
    <row r="648" spans="3:6" x14ac:dyDescent="0.35">
      <c r="C648" s="3"/>
      <c r="D648"/>
      <c r="E648"/>
      <c r="F648" s="3"/>
    </row>
    <row r="649" spans="3:6" x14ac:dyDescent="0.35">
      <c r="C649" s="3"/>
      <c r="D649"/>
      <c r="E649"/>
      <c r="F649" s="3"/>
    </row>
    <row r="650" spans="3:6" x14ac:dyDescent="0.35">
      <c r="C650" s="3"/>
      <c r="D650"/>
      <c r="E650"/>
      <c r="F650" s="3"/>
    </row>
    <row r="651" spans="3:6" x14ac:dyDescent="0.35">
      <c r="C651" s="3"/>
      <c r="D651"/>
      <c r="E651"/>
      <c r="F651" s="3"/>
    </row>
    <row r="652" spans="3:6" x14ac:dyDescent="0.35">
      <c r="C652" s="3"/>
      <c r="D652"/>
      <c r="E652"/>
      <c r="F652" s="3"/>
    </row>
    <row r="653" spans="3:6" x14ac:dyDescent="0.35">
      <c r="C653" s="3"/>
      <c r="D653"/>
      <c r="E653"/>
      <c r="F653" s="3"/>
    </row>
    <row r="654" spans="3:6" x14ac:dyDescent="0.35">
      <c r="C654" s="3"/>
      <c r="D654"/>
      <c r="E654"/>
      <c r="F654" s="3"/>
    </row>
    <row r="655" spans="3:6" x14ac:dyDescent="0.35">
      <c r="C655" s="3"/>
      <c r="D655"/>
      <c r="E655"/>
      <c r="F655" s="3"/>
    </row>
    <row r="656" spans="3:6" x14ac:dyDescent="0.35">
      <c r="C656" s="3"/>
      <c r="D656"/>
      <c r="E656"/>
      <c r="F656" s="3"/>
    </row>
    <row r="657" spans="3:6" x14ac:dyDescent="0.35">
      <c r="C657" s="3"/>
      <c r="D657"/>
      <c r="E657"/>
      <c r="F657" s="3"/>
    </row>
    <row r="658" spans="3:6" x14ac:dyDescent="0.35">
      <c r="C658" s="3"/>
      <c r="D658"/>
      <c r="E658"/>
      <c r="F658" s="3"/>
    </row>
    <row r="659" spans="3:6" x14ac:dyDescent="0.35">
      <c r="C659" s="3"/>
      <c r="D659"/>
      <c r="E659"/>
      <c r="F659" s="3"/>
    </row>
    <row r="660" spans="3:6" x14ac:dyDescent="0.35">
      <c r="C660" s="3"/>
      <c r="D660"/>
      <c r="E660"/>
      <c r="F660" s="3"/>
    </row>
    <row r="661" spans="3:6" x14ac:dyDescent="0.35">
      <c r="C661" s="3"/>
      <c r="D661"/>
      <c r="E661"/>
      <c r="F661" s="3"/>
    </row>
    <row r="662" spans="3:6" x14ac:dyDescent="0.35">
      <c r="C662" s="3"/>
      <c r="D662"/>
      <c r="E662"/>
      <c r="F662" s="3"/>
    </row>
    <row r="663" spans="3:6" x14ac:dyDescent="0.35">
      <c r="C663" s="3"/>
      <c r="D663"/>
      <c r="E663"/>
      <c r="F663" s="3"/>
    </row>
    <row r="664" spans="3:6" x14ac:dyDescent="0.35">
      <c r="C664" s="3"/>
      <c r="D664"/>
      <c r="E664"/>
      <c r="F664" s="3"/>
    </row>
    <row r="665" spans="3:6" x14ac:dyDescent="0.35">
      <c r="C665" s="3"/>
      <c r="D665"/>
      <c r="E665"/>
      <c r="F665" s="3"/>
    </row>
    <row r="666" spans="3:6" x14ac:dyDescent="0.35">
      <c r="C666" s="3"/>
      <c r="D666"/>
      <c r="E666"/>
      <c r="F666" s="3"/>
    </row>
    <row r="667" spans="3:6" x14ac:dyDescent="0.35">
      <c r="C667" s="3"/>
      <c r="D667"/>
      <c r="E667"/>
      <c r="F667" s="3"/>
    </row>
    <row r="668" spans="3:6" x14ac:dyDescent="0.35">
      <c r="C668" s="3"/>
      <c r="D668"/>
      <c r="E668"/>
      <c r="F668" s="3"/>
    </row>
    <row r="669" spans="3:6" x14ac:dyDescent="0.35">
      <c r="C669" s="3"/>
      <c r="D669"/>
      <c r="E669"/>
      <c r="F669" s="3"/>
    </row>
    <row r="670" spans="3:6" x14ac:dyDescent="0.35">
      <c r="C670" s="3"/>
      <c r="D670"/>
      <c r="E670"/>
      <c r="F670" s="3"/>
    </row>
    <row r="671" spans="3:6" x14ac:dyDescent="0.35">
      <c r="C671" s="3"/>
      <c r="D671"/>
      <c r="E671"/>
      <c r="F671" s="3"/>
    </row>
    <row r="672" spans="3:6" x14ac:dyDescent="0.35">
      <c r="C672" s="3"/>
      <c r="D672"/>
      <c r="E672"/>
      <c r="F672" s="3"/>
    </row>
    <row r="673" spans="3:6" x14ac:dyDescent="0.35">
      <c r="C673" s="3"/>
      <c r="D673"/>
      <c r="E673"/>
      <c r="F673" s="3"/>
    </row>
    <row r="674" spans="3:6" x14ac:dyDescent="0.35">
      <c r="C674" s="3"/>
      <c r="D674"/>
      <c r="E674"/>
      <c r="F674" s="3"/>
    </row>
    <row r="675" spans="3:6" x14ac:dyDescent="0.35">
      <c r="C675" s="3"/>
      <c r="D675"/>
      <c r="E675"/>
      <c r="F675" s="3"/>
    </row>
    <row r="676" spans="3:6" x14ac:dyDescent="0.35">
      <c r="C676" s="3"/>
      <c r="D676"/>
      <c r="E676"/>
      <c r="F676" s="3"/>
    </row>
    <row r="677" spans="3:6" x14ac:dyDescent="0.35">
      <c r="C677" s="3"/>
      <c r="D677"/>
      <c r="E677"/>
      <c r="F677" s="3"/>
    </row>
    <row r="678" spans="3:6" x14ac:dyDescent="0.35">
      <c r="C678" s="3"/>
      <c r="D678"/>
      <c r="E678"/>
      <c r="F678" s="3"/>
    </row>
    <row r="679" spans="3:6" x14ac:dyDescent="0.35">
      <c r="C679" s="3"/>
      <c r="D679"/>
      <c r="E679"/>
      <c r="F679" s="3"/>
    </row>
    <row r="680" spans="3:6" x14ac:dyDescent="0.35">
      <c r="C680" s="3"/>
      <c r="D680"/>
      <c r="E680"/>
      <c r="F680" s="3"/>
    </row>
    <row r="681" spans="3:6" x14ac:dyDescent="0.35">
      <c r="C681" s="3"/>
      <c r="D681"/>
      <c r="E681"/>
      <c r="F681" s="3"/>
    </row>
    <row r="682" spans="3:6" x14ac:dyDescent="0.35">
      <c r="C682" s="3"/>
      <c r="D682"/>
      <c r="E682"/>
      <c r="F682" s="3"/>
    </row>
    <row r="683" spans="3:6" x14ac:dyDescent="0.35">
      <c r="C683" s="3"/>
      <c r="D683"/>
      <c r="E683"/>
      <c r="F683" s="3"/>
    </row>
    <row r="684" spans="3:6" x14ac:dyDescent="0.35">
      <c r="C684" s="3"/>
      <c r="D684"/>
      <c r="E684"/>
      <c r="F684" s="3"/>
    </row>
    <row r="685" spans="3:6" x14ac:dyDescent="0.35">
      <c r="C685" s="3"/>
      <c r="D685"/>
      <c r="E685"/>
      <c r="F685" s="3"/>
    </row>
    <row r="686" spans="3:6" x14ac:dyDescent="0.35">
      <c r="C686" s="3"/>
      <c r="D686"/>
      <c r="E686"/>
      <c r="F686" s="3"/>
    </row>
    <row r="687" spans="3:6" x14ac:dyDescent="0.35">
      <c r="C687" s="3"/>
      <c r="D687"/>
      <c r="E687"/>
      <c r="F687" s="3"/>
    </row>
    <row r="688" spans="3:6" x14ac:dyDescent="0.35">
      <c r="C688" s="3"/>
      <c r="D688"/>
      <c r="E688"/>
      <c r="F688" s="3"/>
    </row>
    <row r="689" spans="3:6" x14ac:dyDescent="0.35">
      <c r="C689" s="3"/>
      <c r="D689"/>
      <c r="E689"/>
      <c r="F689" s="3"/>
    </row>
    <row r="690" spans="3:6" x14ac:dyDescent="0.35">
      <c r="C690" s="3"/>
      <c r="D690"/>
      <c r="E690"/>
      <c r="F690" s="3"/>
    </row>
    <row r="691" spans="3:6" x14ac:dyDescent="0.35">
      <c r="C691" s="3"/>
      <c r="D691"/>
      <c r="E691"/>
      <c r="F691" s="3"/>
    </row>
    <row r="692" spans="3:6" x14ac:dyDescent="0.35">
      <c r="C692" s="3"/>
      <c r="D692"/>
      <c r="E692"/>
      <c r="F692" s="3"/>
    </row>
    <row r="693" spans="3:6" x14ac:dyDescent="0.35">
      <c r="C693" s="3"/>
      <c r="D693"/>
      <c r="E693"/>
      <c r="F693" s="3"/>
    </row>
    <row r="694" spans="3:6" x14ac:dyDescent="0.35">
      <c r="C694" s="3"/>
      <c r="D694"/>
      <c r="E694"/>
      <c r="F694" s="3"/>
    </row>
    <row r="695" spans="3:6" x14ac:dyDescent="0.35">
      <c r="C695" s="3"/>
      <c r="D695"/>
      <c r="E695"/>
      <c r="F695" s="3"/>
    </row>
    <row r="696" spans="3:6" x14ac:dyDescent="0.35">
      <c r="C696" s="3"/>
      <c r="D696"/>
      <c r="E696"/>
      <c r="F696" s="3"/>
    </row>
    <row r="697" spans="3:6" x14ac:dyDescent="0.35">
      <c r="C697" s="3"/>
      <c r="D697"/>
      <c r="E697"/>
      <c r="F697" s="3"/>
    </row>
    <row r="698" spans="3:6" x14ac:dyDescent="0.35">
      <c r="C698" s="3"/>
      <c r="D698"/>
      <c r="E698"/>
      <c r="F698" s="3"/>
    </row>
    <row r="699" spans="3:6" x14ac:dyDescent="0.35">
      <c r="C699" s="3"/>
      <c r="D699"/>
      <c r="E699"/>
      <c r="F699" s="3"/>
    </row>
    <row r="700" spans="3:6" x14ac:dyDescent="0.35">
      <c r="C700" s="3"/>
      <c r="D700"/>
      <c r="E700"/>
      <c r="F700" s="3"/>
    </row>
    <row r="701" spans="3:6" x14ac:dyDescent="0.35">
      <c r="C701" s="3"/>
      <c r="D701"/>
      <c r="E701"/>
      <c r="F701" s="3"/>
    </row>
    <row r="702" spans="3:6" x14ac:dyDescent="0.35">
      <c r="C702" s="3"/>
      <c r="D702"/>
      <c r="E702"/>
      <c r="F702" s="3"/>
    </row>
    <row r="703" spans="3:6" x14ac:dyDescent="0.35">
      <c r="C703" s="3"/>
      <c r="D703"/>
      <c r="E703"/>
      <c r="F703" s="3"/>
    </row>
    <row r="704" spans="3:6" x14ac:dyDescent="0.35">
      <c r="C704" s="3"/>
      <c r="D704"/>
      <c r="E704"/>
      <c r="F704" s="3"/>
    </row>
    <row r="705" spans="3:6" x14ac:dyDescent="0.35">
      <c r="C705" s="3"/>
      <c r="D705"/>
      <c r="E705"/>
      <c r="F705" s="3"/>
    </row>
    <row r="706" spans="3:6" x14ac:dyDescent="0.35">
      <c r="C706" s="3"/>
      <c r="D706"/>
      <c r="E706"/>
      <c r="F706" s="3"/>
    </row>
    <row r="707" spans="3:6" x14ac:dyDescent="0.35">
      <c r="C707" s="3"/>
      <c r="D707"/>
      <c r="E707"/>
      <c r="F707" s="3"/>
    </row>
    <row r="708" spans="3:6" x14ac:dyDescent="0.35">
      <c r="C708" s="3"/>
      <c r="D708"/>
      <c r="E708"/>
      <c r="F708" s="3"/>
    </row>
    <row r="709" spans="3:6" x14ac:dyDescent="0.35">
      <c r="C709" s="3"/>
      <c r="D709"/>
      <c r="E709"/>
      <c r="F709" s="3"/>
    </row>
    <row r="710" spans="3:6" x14ac:dyDescent="0.35">
      <c r="C710" s="3"/>
      <c r="D710"/>
      <c r="E710"/>
      <c r="F710" s="3"/>
    </row>
    <row r="711" spans="3:6" x14ac:dyDescent="0.35">
      <c r="C711" s="3"/>
      <c r="D711"/>
      <c r="E711"/>
      <c r="F711" s="3"/>
    </row>
    <row r="712" spans="3:6" x14ac:dyDescent="0.35">
      <c r="C712" s="3"/>
      <c r="D712"/>
      <c r="E712"/>
      <c r="F712" s="3"/>
    </row>
    <row r="713" spans="3:6" x14ac:dyDescent="0.35">
      <c r="C713" s="3"/>
      <c r="D713"/>
      <c r="E713"/>
      <c r="F713" s="3"/>
    </row>
    <row r="714" spans="3:6" x14ac:dyDescent="0.35">
      <c r="C714" s="3"/>
      <c r="D714"/>
      <c r="E714"/>
      <c r="F714" s="3"/>
    </row>
    <row r="715" spans="3:6" x14ac:dyDescent="0.35">
      <c r="C715" s="3"/>
      <c r="D715"/>
      <c r="E715"/>
      <c r="F715" s="3"/>
    </row>
    <row r="716" spans="3:6" x14ac:dyDescent="0.35">
      <c r="C716" s="3"/>
      <c r="D716"/>
      <c r="E716"/>
      <c r="F716" s="3"/>
    </row>
    <row r="717" spans="3:6" x14ac:dyDescent="0.35">
      <c r="C717" s="3"/>
      <c r="D717"/>
      <c r="E717"/>
      <c r="F717" s="3"/>
    </row>
    <row r="718" spans="3:6" x14ac:dyDescent="0.35">
      <c r="C718" s="3"/>
      <c r="D718"/>
      <c r="E718"/>
      <c r="F718" s="3"/>
    </row>
    <row r="719" spans="3:6" x14ac:dyDescent="0.35">
      <c r="C719" s="3"/>
      <c r="D719"/>
      <c r="E719"/>
      <c r="F719" s="3"/>
    </row>
    <row r="720" spans="3:6" x14ac:dyDescent="0.35">
      <c r="C720" s="3"/>
      <c r="D720"/>
      <c r="E720"/>
      <c r="F720" s="3"/>
    </row>
    <row r="721" spans="3:6" x14ac:dyDescent="0.35">
      <c r="C721" s="3"/>
      <c r="D721"/>
      <c r="E721"/>
      <c r="F721" s="3"/>
    </row>
    <row r="722" spans="3:6" x14ac:dyDescent="0.35">
      <c r="C722" s="3"/>
      <c r="D722"/>
      <c r="E722"/>
      <c r="F722" s="3"/>
    </row>
    <row r="723" spans="3:6" x14ac:dyDescent="0.35">
      <c r="C723" s="3"/>
      <c r="D723"/>
      <c r="E723"/>
      <c r="F723" s="3"/>
    </row>
    <row r="724" spans="3:6" x14ac:dyDescent="0.35">
      <c r="C724" s="3"/>
      <c r="D724"/>
      <c r="E724"/>
      <c r="F724" s="3"/>
    </row>
    <row r="725" spans="3:6" x14ac:dyDescent="0.35">
      <c r="C725" s="3"/>
      <c r="D725"/>
      <c r="E725"/>
      <c r="F725" s="3"/>
    </row>
    <row r="726" spans="3:6" x14ac:dyDescent="0.35">
      <c r="C726" s="3"/>
      <c r="D726"/>
      <c r="E726"/>
      <c r="F726" s="3"/>
    </row>
    <row r="727" spans="3:6" x14ac:dyDescent="0.35">
      <c r="C727" s="3"/>
      <c r="D727"/>
      <c r="E727"/>
      <c r="F727" s="3"/>
    </row>
    <row r="728" spans="3:6" x14ac:dyDescent="0.35">
      <c r="C728" s="3"/>
      <c r="D728"/>
      <c r="E728"/>
      <c r="F728" s="3"/>
    </row>
    <row r="729" spans="3:6" x14ac:dyDescent="0.35">
      <c r="C729" s="3"/>
      <c r="D729"/>
      <c r="E729"/>
      <c r="F729" s="3"/>
    </row>
    <row r="730" spans="3:6" x14ac:dyDescent="0.35">
      <c r="C730" s="3"/>
      <c r="D730"/>
      <c r="E730"/>
      <c r="F730" s="3"/>
    </row>
    <row r="731" spans="3:6" x14ac:dyDescent="0.35">
      <c r="C731" s="3"/>
      <c r="D731"/>
      <c r="E731"/>
      <c r="F731" s="3"/>
    </row>
    <row r="732" spans="3:6" x14ac:dyDescent="0.35">
      <c r="C732" s="3"/>
      <c r="D732"/>
      <c r="E732"/>
      <c r="F732" s="3"/>
    </row>
    <row r="733" spans="3:6" x14ac:dyDescent="0.35">
      <c r="C733" s="3"/>
      <c r="D733"/>
      <c r="E733"/>
      <c r="F733" s="3"/>
    </row>
    <row r="734" spans="3:6" x14ac:dyDescent="0.35">
      <c r="C734" s="3"/>
      <c r="D734"/>
      <c r="E734"/>
      <c r="F734" s="3"/>
    </row>
    <row r="735" spans="3:6" x14ac:dyDescent="0.35">
      <c r="C735" s="3"/>
      <c r="D735"/>
      <c r="E735"/>
      <c r="F735" s="3"/>
    </row>
    <row r="736" spans="3:6" x14ac:dyDescent="0.35">
      <c r="C736" s="3"/>
      <c r="D736"/>
      <c r="E736"/>
      <c r="F736" s="3"/>
    </row>
    <row r="737" spans="3:6" x14ac:dyDescent="0.35">
      <c r="C737" s="3"/>
      <c r="D737"/>
      <c r="E737"/>
      <c r="F737" s="3"/>
    </row>
    <row r="738" spans="3:6" x14ac:dyDescent="0.35">
      <c r="C738" s="3"/>
      <c r="D738"/>
      <c r="E738"/>
      <c r="F738" s="3"/>
    </row>
    <row r="739" spans="3:6" x14ac:dyDescent="0.35">
      <c r="C739" s="3"/>
      <c r="D739"/>
      <c r="E739"/>
      <c r="F739" s="3"/>
    </row>
    <row r="740" spans="3:6" x14ac:dyDescent="0.35">
      <c r="C740" s="3"/>
      <c r="D740"/>
      <c r="E740"/>
      <c r="F740" s="3"/>
    </row>
    <row r="741" spans="3:6" x14ac:dyDescent="0.35">
      <c r="C741" s="3"/>
      <c r="D741"/>
      <c r="E741"/>
      <c r="F741" s="3"/>
    </row>
    <row r="742" spans="3:6" x14ac:dyDescent="0.35">
      <c r="C742" s="3"/>
      <c r="D742"/>
      <c r="E742"/>
      <c r="F742" s="3"/>
    </row>
    <row r="743" spans="3:6" x14ac:dyDescent="0.35">
      <c r="C743" s="3"/>
      <c r="D743"/>
      <c r="E743"/>
      <c r="F743" s="3"/>
    </row>
    <row r="744" spans="3:6" x14ac:dyDescent="0.35">
      <c r="C744" s="3"/>
      <c r="D744"/>
      <c r="E744"/>
      <c r="F744" s="3"/>
    </row>
    <row r="745" spans="3:6" x14ac:dyDescent="0.35">
      <c r="C745" s="3"/>
      <c r="D745"/>
      <c r="E745"/>
      <c r="F745" s="3"/>
    </row>
    <row r="746" spans="3:6" x14ac:dyDescent="0.35">
      <c r="C746" s="3"/>
      <c r="D746"/>
      <c r="E746"/>
      <c r="F746" s="3"/>
    </row>
    <row r="747" spans="3:6" x14ac:dyDescent="0.35">
      <c r="C747" s="3"/>
      <c r="D747"/>
      <c r="E747"/>
      <c r="F747" s="3"/>
    </row>
    <row r="748" spans="3:6" x14ac:dyDescent="0.35">
      <c r="C748" s="3"/>
      <c r="D748"/>
      <c r="E748"/>
      <c r="F748" s="3"/>
    </row>
    <row r="749" spans="3:6" x14ac:dyDescent="0.35">
      <c r="C749" s="3"/>
      <c r="D749"/>
      <c r="E749"/>
      <c r="F749" s="3"/>
    </row>
    <row r="750" spans="3:6" x14ac:dyDescent="0.35">
      <c r="C750" s="3"/>
      <c r="D750"/>
      <c r="E750"/>
      <c r="F750" s="3"/>
    </row>
    <row r="751" spans="3:6" x14ac:dyDescent="0.35">
      <c r="C751" s="3"/>
      <c r="D751"/>
      <c r="E751"/>
      <c r="F751" s="3"/>
    </row>
    <row r="752" spans="3:6" x14ac:dyDescent="0.35">
      <c r="C752" s="3"/>
      <c r="D752"/>
      <c r="E752"/>
      <c r="F752" s="3"/>
    </row>
    <row r="753" spans="3:6" x14ac:dyDescent="0.35">
      <c r="C753" s="3"/>
      <c r="D753"/>
      <c r="E753"/>
      <c r="F753" s="3"/>
    </row>
    <row r="754" spans="3:6" x14ac:dyDescent="0.35">
      <c r="C754" s="3"/>
      <c r="D754"/>
      <c r="E754"/>
      <c r="F754" s="3"/>
    </row>
    <row r="755" spans="3:6" x14ac:dyDescent="0.35">
      <c r="C755" s="3"/>
      <c r="D755"/>
      <c r="E755"/>
      <c r="F755" s="3"/>
    </row>
    <row r="756" spans="3:6" x14ac:dyDescent="0.35">
      <c r="C756" s="3"/>
      <c r="D756"/>
      <c r="E756"/>
      <c r="F756" s="3"/>
    </row>
    <row r="757" spans="3:6" x14ac:dyDescent="0.35">
      <c r="C757" s="3"/>
      <c r="D757"/>
      <c r="E757"/>
      <c r="F757" s="3"/>
    </row>
    <row r="758" spans="3:6" x14ac:dyDescent="0.35">
      <c r="C758" s="3"/>
      <c r="D758"/>
      <c r="E758"/>
      <c r="F758" s="3"/>
    </row>
    <row r="759" spans="3:6" x14ac:dyDescent="0.35">
      <c r="C759" s="3"/>
      <c r="D759"/>
      <c r="E759"/>
      <c r="F759" s="3"/>
    </row>
    <row r="760" spans="3:6" x14ac:dyDescent="0.35">
      <c r="C760" s="3"/>
      <c r="D760"/>
      <c r="E760"/>
      <c r="F760" s="3"/>
    </row>
    <row r="761" spans="3:6" x14ac:dyDescent="0.35">
      <c r="C761" s="3"/>
      <c r="D761"/>
      <c r="E761"/>
      <c r="F761" s="3"/>
    </row>
    <row r="762" spans="3:6" x14ac:dyDescent="0.35">
      <c r="C762" s="3"/>
      <c r="D762"/>
      <c r="E762"/>
      <c r="F762" s="3"/>
    </row>
    <row r="763" spans="3:6" x14ac:dyDescent="0.35">
      <c r="C763" s="3"/>
      <c r="D763"/>
      <c r="E763"/>
      <c r="F763" s="3"/>
    </row>
    <row r="764" spans="3:6" x14ac:dyDescent="0.35">
      <c r="C764" s="3"/>
      <c r="D764"/>
      <c r="E764"/>
      <c r="F764" s="3"/>
    </row>
    <row r="765" spans="3:6" x14ac:dyDescent="0.35">
      <c r="C765" s="3"/>
      <c r="D765"/>
      <c r="E765"/>
      <c r="F765" s="3"/>
    </row>
    <row r="766" spans="3:6" x14ac:dyDescent="0.35">
      <c r="C766" s="3"/>
      <c r="D766"/>
      <c r="E766"/>
      <c r="F766" s="3"/>
    </row>
    <row r="767" spans="3:6" x14ac:dyDescent="0.35">
      <c r="C767" s="3"/>
      <c r="D767"/>
      <c r="E767"/>
      <c r="F767" s="3"/>
    </row>
    <row r="768" spans="3:6" x14ac:dyDescent="0.35">
      <c r="C768" s="3"/>
      <c r="D768"/>
      <c r="E768"/>
      <c r="F768" s="3"/>
    </row>
    <row r="769" spans="3:6" x14ac:dyDescent="0.35">
      <c r="C769" s="3"/>
      <c r="D769"/>
      <c r="E769"/>
      <c r="F769" s="3"/>
    </row>
    <row r="770" spans="3:6" x14ac:dyDescent="0.35">
      <c r="C770" s="3"/>
      <c r="D770"/>
      <c r="E770"/>
      <c r="F770" s="3"/>
    </row>
    <row r="771" spans="3:6" x14ac:dyDescent="0.35">
      <c r="C771" s="3"/>
      <c r="D771"/>
      <c r="E771"/>
      <c r="F771" s="3"/>
    </row>
    <row r="772" spans="3:6" x14ac:dyDescent="0.35">
      <c r="C772" s="3"/>
      <c r="D772"/>
      <c r="E772"/>
      <c r="F772" s="3"/>
    </row>
    <row r="773" spans="3:6" x14ac:dyDescent="0.35">
      <c r="C773" s="3"/>
      <c r="D773"/>
      <c r="E773"/>
      <c r="F773" s="3"/>
    </row>
    <row r="774" spans="3:6" x14ac:dyDescent="0.35">
      <c r="C774" s="3"/>
      <c r="D774"/>
      <c r="E774"/>
      <c r="F774" s="3"/>
    </row>
    <row r="775" spans="3:6" x14ac:dyDescent="0.35">
      <c r="C775" s="3"/>
      <c r="D775"/>
      <c r="E775"/>
      <c r="F775" s="3"/>
    </row>
    <row r="776" spans="3:6" x14ac:dyDescent="0.35">
      <c r="C776" s="3"/>
      <c r="D776"/>
      <c r="E776"/>
      <c r="F776" s="3"/>
    </row>
    <row r="777" spans="3:6" x14ac:dyDescent="0.35">
      <c r="C777" s="3"/>
      <c r="D777"/>
      <c r="E777"/>
      <c r="F777" s="3"/>
    </row>
    <row r="778" spans="3:6" x14ac:dyDescent="0.35">
      <c r="C778" s="3"/>
      <c r="D778"/>
      <c r="E778"/>
      <c r="F778" s="3"/>
    </row>
    <row r="779" spans="3:6" x14ac:dyDescent="0.35">
      <c r="C779" s="3"/>
      <c r="D779"/>
      <c r="E779"/>
      <c r="F779" s="3"/>
    </row>
    <row r="780" spans="3:6" x14ac:dyDescent="0.35">
      <c r="C780" s="3"/>
      <c r="D780"/>
      <c r="E780"/>
      <c r="F780" s="3"/>
    </row>
    <row r="781" spans="3:6" x14ac:dyDescent="0.35">
      <c r="C781" s="3"/>
      <c r="D781"/>
      <c r="E781"/>
      <c r="F781" s="3"/>
    </row>
    <row r="782" spans="3:6" x14ac:dyDescent="0.35">
      <c r="C782" s="3"/>
      <c r="D782"/>
      <c r="E782"/>
      <c r="F782" s="3"/>
    </row>
    <row r="783" spans="3:6" x14ac:dyDescent="0.35">
      <c r="C783" s="3"/>
      <c r="D783"/>
      <c r="E783"/>
      <c r="F783" s="3"/>
    </row>
    <row r="784" spans="3:6" x14ac:dyDescent="0.35">
      <c r="C784" s="3"/>
      <c r="D784"/>
      <c r="E784"/>
      <c r="F784" s="3"/>
    </row>
    <row r="785" spans="3:6" x14ac:dyDescent="0.35">
      <c r="C785" s="3"/>
      <c r="D785"/>
      <c r="E785"/>
      <c r="F785" s="3"/>
    </row>
    <row r="786" spans="3:6" x14ac:dyDescent="0.35">
      <c r="C786" s="3"/>
      <c r="D786"/>
      <c r="E786"/>
      <c r="F786" s="3"/>
    </row>
    <row r="787" spans="3:6" x14ac:dyDescent="0.35">
      <c r="C787" s="3"/>
      <c r="D787"/>
      <c r="E787"/>
      <c r="F787" s="3"/>
    </row>
    <row r="788" spans="3:6" x14ac:dyDescent="0.35">
      <c r="C788" s="3"/>
      <c r="D788"/>
      <c r="E788"/>
      <c r="F788" s="3"/>
    </row>
    <row r="789" spans="3:6" x14ac:dyDescent="0.35">
      <c r="C789" s="3"/>
      <c r="D789"/>
      <c r="E789"/>
      <c r="F789" s="3"/>
    </row>
    <row r="790" spans="3:6" x14ac:dyDescent="0.35">
      <c r="C790" s="3"/>
      <c r="D790"/>
      <c r="E790"/>
      <c r="F790" s="3"/>
    </row>
    <row r="791" spans="3:6" x14ac:dyDescent="0.35">
      <c r="C791" s="3"/>
      <c r="D791"/>
      <c r="E791"/>
      <c r="F791" s="3"/>
    </row>
    <row r="792" spans="3:6" x14ac:dyDescent="0.35">
      <c r="C792" s="3"/>
      <c r="D792"/>
      <c r="E792"/>
      <c r="F792" s="3"/>
    </row>
    <row r="793" spans="3:6" x14ac:dyDescent="0.35">
      <c r="C793" s="3"/>
      <c r="D793"/>
      <c r="E793"/>
      <c r="F793" s="3"/>
    </row>
    <row r="794" spans="3:6" x14ac:dyDescent="0.35">
      <c r="C794" s="3"/>
      <c r="D794"/>
      <c r="E794"/>
      <c r="F794" s="3"/>
    </row>
    <row r="795" spans="3:6" x14ac:dyDescent="0.35">
      <c r="C795" s="3"/>
      <c r="D795"/>
      <c r="E795"/>
      <c r="F795" s="3"/>
    </row>
    <row r="796" spans="3:6" x14ac:dyDescent="0.35">
      <c r="C796" s="3"/>
      <c r="D796"/>
      <c r="E796"/>
      <c r="F796" s="3"/>
    </row>
    <row r="797" spans="3:6" x14ac:dyDescent="0.35">
      <c r="C797" s="3"/>
      <c r="D797"/>
      <c r="E797"/>
      <c r="F797" s="3"/>
    </row>
    <row r="798" spans="3:6" x14ac:dyDescent="0.35">
      <c r="C798" s="3"/>
      <c r="D798"/>
      <c r="E798"/>
      <c r="F798" s="3"/>
    </row>
    <row r="799" spans="3:6" x14ac:dyDescent="0.35">
      <c r="C799" s="3"/>
      <c r="D799"/>
      <c r="E799"/>
      <c r="F799" s="3"/>
    </row>
    <row r="800" spans="3:6" x14ac:dyDescent="0.35">
      <c r="C800" s="3"/>
      <c r="D800"/>
      <c r="E800"/>
      <c r="F800" s="3"/>
    </row>
    <row r="801" spans="3:6" x14ac:dyDescent="0.35">
      <c r="C801" s="3"/>
      <c r="D801"/>
      <c r="E801"/>
      <c r="F801" s="3"/>
    </row>
    <row r="802" spans="3:6" x14ac:dyDescent="0.35">
      <c r="C802" s="3"/>
      <c r="D802"/>
      <c r="E802"/>
      <c r="F802" s="3"/>
    </row>
    <row r="803" spans="3:6" x14ac:dyDescent="0.35">
      <c r="C803" s="3"/>
      <c r="D803"/>
      <c r="E803"/>
      <c r="F803" s="3"/>
    </row>
    <row r="804" spans="3:6" x14ac:dyDescent="0.35">
      <c r="C804" s="3"/>
      <c r="D804"/>
      <c r="E804"/>
      <c r="F804" s="3"/>
    </row>
    <row r="805" spans="3:6" x14ac:dyDescent="0.35">
      <c r="C805" s="3"/>
      <c r="D805"/>
      <c r="E805"/>
      <c r="F805" s="3"/>
    </row>
    <row r="806" spans="3:6" x14ac:dyDescent="0.35">
      <c r="C806" s="3"/>
      <c r="D806"/>
      <c r="E806"/>
      <c r="F806" s="3"/>
    </row>
    <row r="807" spans="3:6" x14ac:dyDescent="0.35">
      <c r="C807" s="3"/>
      <c r="D807"/>
      <c r="E807"/>
      <c r="F807" s="3"/>
    </row>
    <row r="808" spans="3:6" x14ac:dyDescent="0.35">
      <c r="C808" s="3"/>
      <c r="D808"/>
      <c r="E808"/>
      <c r="F808" s="3"/>
    </row>
    <row r="809" spans="3:6" x14ac:dyDescent="0.35">
      <c r="C809" s="3"/>
      <c r="D809"/>
      <c r="E809"/>
      <c r="F809" s="3"/>
    </row>
    <row r="810" spans="3:6" x14ac:dyDescent="0.35">
      <c r="C810" s="3"/>
      <c r="D810"/>
      <c r="E810"/>
      <c r="F810" s="3"/>
    </row>
    <row r="811" spans="3:6" x14ac:dyDescent="0.35">
      <c r="C811" s="3"/>
      <c r="D811"/>
      <c r="E811"/>
      <c r="F811" s="3"/>
    </row>
    <row r="812" spans="3:6" x14ac:dyDescent="0.35">
      <c r="C812" s="3"/>
      <c r="D812"/>
      <c r="E812"/>
      <c r="F812" s="3"/>
    </row>
    <row r="813" spans="3:6" x14ac:dyDescent="0.35">
      <c r="C813" s="3"/>
      <c r="D813"/>
      <c r="E813"/>
      <c r="F813" s="3"/>
    </row>
    <row r="814" spans="3:6" x14ac:dyDescent="0.35">
      <c r="C814" s="3"/>
      <c r="D814"/>
      <c r="E814"/>
      <c r="F814" s="3"/>
    </row>
    <row r="815" spans="3:6" x14ac:dyDescent="0.35">
      <c r="C815" s="3"/>
      <c r="D815"/>
      <c r="E815"/>
      <c r="F815" s="3"/>
    </row>
    <row r="816" spans="3:6" x14ac:dyDescent="0.35">
      <c r="C816" s="3"/>
      <c r="D816"/>
      <c r="E816"/>
      <c r="F816" s="3"/>
    </row>
    <row r="817" spans="3:6" x14ac:dyDescent="0.35">
      <c r="C817" s="3"/>
      <c r="D817"/>
      <c r="E817"/>
      <c r="F817" s="3"/>
    </row>
    <row r="818" spans="3:6" x14ac:dyDescent="0.35">
      <c r="C818" s="3"/>
      <c r="D818"/>
      <c r="E818"/>
      <c r="F818" s="3"/>
    </row>
    <row r="819" spans="3:6" x14ac:dyDescent="0.35">
      <c r="C819" s="3"/>
      <c r="D819"/>
      <c r="E819"/>
      <c r="F819" s="3"/>
    </row>
    <row r="820" spans="3:6" x14ac:dyDescent="0.35">
      <c r="C820" s="3"/>
      <c r="D820"/>
      <c r="E820"/>
      <c r="F820" s="3"/>
    </row>
    <row r="821" spans="3:6" x14ac:dyDescent="0.35">
      <c r="C821" s="3"/>
      <c r="D821"/>
      <c r="E821"/>
      <c r="F821" s="3"/>
    </row>
    <row r="822" spans="3:6" x14ac:dyDescent="0.35">
      <c r="C822" s="3"/>
      <c r="D822"/>
      <c r="E822"/>
      <c r="F822" s="3"/>
    </row>
    <row r="823" spans="3:6" x14ac:dyDescent="0.35">
      <c r="C823" s="3"/>
      <c r="D823"/>
      <c r="E823"/>
      <c r="F823" s="3"/>
    </row>
    <row r="824" spans="3:6" x14ac:dyDescent="0.35">
      <c r="C824" s="3"/>
      <c r="D824"/>
      <c r="E824"/>
      <c r="F824" s="3"/>
    </row>
    <row r="825" spans="3:6" x14ac:dyDescent="0.35">
      <c r="C825" s="3"/>
      <c r="D825"/>
      <c r="E825"/>
      <c r="F825" s="3"/>
    </row>
    <row r="826" spans="3:6" x14ac:dyDescent="0.35">
      <c r="C826" s="3"/>
      <c r="D826"/>
      <c r="E826"/>
      <c r="F826" s="3"/>
    </row>
    <row r="827" spans="3:6" x14ac:dyDescent="0.35">
      <c r="C827" s="3"/>
      <c r="D827"/>
      <c r="E827"/>
      <c r="F827" s="3"/>
    </row>
    <row r="828" spans="3:6" x14ac:dyDescent="0.35">
      <c r="C828" s="3"/>
      <c r="D828"/>
      <c r="E828"/>
      <c r="F828" s="3"/>
    </row>
    <row r="829" spans="3:6" x14ac:dyDescent="0.35">
      <c r="C829" s="3"/>
      <c r="D829"/>
      <c r="E829"/>
      <c r="F829" s="3"/>
    </row>
    <row r="830" spans="3:6" x14ac:dyDescent="0.35">
      <c r="C830" s="3"/>
      <c r="D830"/>
      <c r="E830"/>
      <c r="F830" s="3"/>
    </row>
    <row r="831" spans="3:6" x14ac:dyDescent="0.35">
      <c r="C831" s="3"/>
      <c r="D831"/>
      <c r="E831"/>
      <c r="F831" s="3"/>
    </row>
    <row r="832" spans="3:6" x14ac:dyDescent="0.35">
      <c r="C832" s="3"/>
      <c r="D832"/>
      <c r="E832"/>
      <c r="F832" s="3"/>
    </row>
    <row r="833" spans="3:6" x14ac:dyDescent="0.35">
      <c r="C833" s="3"/>
      <c r="D833"/>
      <c r="E833"/>
      <c r="F833" s="3"/>
    </row>
    <row r="834" spans="3:6" x14ac:dyDescent="0.35">
      <c r="C834" s="3"/>
      <c r="D834"/>
      <c r="E834"/>
      <c r="F834" s="3"/>
    </row>
    <row r="835" spans="3:6" x14ac:dyDescent="0.35">
      <c r="C835" s="3"/>
      <c r="D835"/>
      <c r="E835"/>
      <c r="F835" s="3"/>
    </row>
    <row r="836" spans="3:6" x14ac:dyDescent="0.35">
      <c r="C836" s="3"/>
      <c r="D836"/>
      <c r="E836"/>
      <c r="F836" s="3"/>
    </row>
    <row r="837" spans="3:6" x14ac:dyDescent="0.35">
      <c r="C837" s="3"/>
      <c r="D837"/>
      <c r="E837"/>
      <c r="F837" s="3"/>
    </row>
    <row r="838" spans="3:6" x14ac:dyDescent="0.35">
      <c r="C838" s="3"/>
      <c r="D838"/>
      <c r="E838"/>
      <c r="F838" s="3"/>
    </row>
    <row r="839" spans="3:6" x14ac:dyDescent="0.35">
      <c r="C839" s="3"/>
      <c r="D839"/>
      <c r="E839"/>
      <c r="F839" s="3"/>
    </row>
    <row r="840" spans="3:6" x14ac:dyDescent="0.35">
      <c r="C840" s="3"/>
      <c r="D840"/>
      <c r="E840"/>
      <c r="F840" s="3"/>
    </row>
    <row r="841" spans="3:6" x14ac:dyDescent="0.35">
      <c r="C841" s="3"/>
      <c r="D841"/>
      <c r="E841"/>
      <c r="F841" s="3"/>
    </row>
    <row r="842" spans="3:6" x14ac:dyDescent="0.35">
      <c r="C842" s="3"/>
      <c r="D842"/>
      <c r="E842"/>
      <c r="F842" s="3"/>
    </row>
    <row r="843" spans="3:6" x14ac:dyDescent="0.35">
      <c r="C843" s="3"/>
      <c r="D843"/>
      <c r="E843"/>
      <c r="F843" s="3"/>
    </row>
    <row r="844" spans="3:6" x14ac:dyDescent="0.35">
      <c r="C844" s="3"/>
      <c r="D844"/>
      <c r="E844"/>
      <c r="F844" s="3"/>
    </row>
    <row r="845" spans="3:6" x14ac:dyDescent="0.35">
      <c r="C845" s="3"/>
      <c r="D845"/>
      <c r="E845"/>
      <c r="F845" s="3"/>
    </row>
    <row r="846" spans="3:6" x14ac:dyDescent="0.35">
      <c r="C846" s="3"/>
      <c r="D846"/>
      <c r="E846"/>
      <c r="F846" s="3"/>
    </row>
    <row r="847" spans="3:6" x14ac:dyDescent="0.35">
      <c r="C847" s="3"/>
      <c r="D847"/>
      <c r="E847"/>
      <c r="F847" s="3"/>
    </row>
    <row r="848" spans="3:6" x14ac:dyDescent="0.35">
      <c r="C848" s="3"/>
      <c r="D848"/>
      <c r="E848"/>
      <c r="F848" s="3"/>
    </row>
    <row r="849" spans="3:6" x14ac:dyDescent="0.35">
      <c r="C849" s="3"/>
      <c r="D849"/>
      <c r="E849"/>
      <c r="F849" s="3"/>
    </row>
    <row r="850" spans="3:6" x14ac:dyDescent="0.35">
      <c r="C850" s="3"/>
      <c r="D850"/>
      <c r="E850"/>
      <c r="F850" s="3"/>
    </row>
    <row r="851" spans="3:6" x14ac:dyDescent="0.35">
      <c r="C851" s="3"/>
      <c r="D851"/>
      <c r="E851"/>
      <c r="F851" s="3"/>
    </row>
    <row r="852" spans="3:6" x14ac:dyDescent="0.35">
      <c r="C852" s="3"/>
      <c r="D852"/>
      <c r="E852"/>
      <c r="F852" s="3"/>
    </row>
    <row r="853" spans="3:6" x14ac:dyDescent="0.35">
      <c r="C853" s="3"/>
      <c r="D853"/>
      <c r="E853"/>
      <c r="F853" s="3"/>
    </row>
    <row r="854" spans="3:6" x14ac:dyDescent="0.35">
      <c r="C854" s="3"/>
      <c r="D854"/>
      <c r="E854"/>
      <c r="F854" s="3"/>
    </row>
    <row r="855" spans="3:6" x14ac:dyDescent="0.35">
      <c r="C855" s="3"/>
      <c r="D855"/>
      <c r="E855"/>
      <c r="F855" s="3"/>
    </row>
    <row r="856" spans="3:6" x14ac:dyDescent="0.35">
      <c r="C856" s="3"/>
      <c r="D856"/>
      <c r="E856"/>
      <c r="F856" s="3"/>
    </row>
    <row r="857" spans="3:6" x14ac:dyDescent="0.35">
      <c r="C857" s="3"/>
      <c r="D857"/>
      <c r="E857"/>
      <c r="F857" s="3"/>
    </row>
    <row r="858" spans="3:6" x14ac:dyDescent="0.35">
      <c r="C858" s="3"/>
      <c r="D858"/>
      <c r="E858"/>
      <c r="F858" s="3"/>
    </row>
    <row r="859" spans="3:6" x14ac:dyDescent="0.35">
      <c r="C859" s="3"/>
      <c r="D859"/>
      <c r="E859"/>
      <c r="F859" s="3"/>
    </row>
    <row r="860" spans="3:6" x14ac:dyDescent="0.35">
      <c r="C860" s="3"/>
      <c r="D860"/>
      <c r="E860"/>
      <c r="F860" s="3"/>
    </row>
    <row r="861" spans="3:6" x14ac:dyDescent="0.35">
      <c r="C861" s="3"/>
      <c r="D861"/>
      <c r="E861"/>
      <c r="F861" s="3"/>
    </row>
    <row r="862" spans="3:6" x14ac:dyDescent="0.35">
      <c r="C862" s="3"/>
      <c r="D862"/>
      <c r="E862"/>
      <c r="F862" s="3"/>
    </row>
    <row r="863" spans="3:6" x14ac:dyDescent="0.35">
      <c r="C863" s="3"/>
      <c r="D863"/>
      <c r="E863"/>
      <c r="F863" s="3"/>
    </row>
    <row r="864" spans="3:6" x14ac:dyDescent="0.35">
      <c r="C864" s="3"/>
      <c r="D864"/>
      <c r="E864"/>
      <c r="F864" s="3"/>
    </row>
    <row r="865" spans="3:6" x14ac:dyDescent="0.35">
      <c r="C865" s="3"/>
      <c r="D865"/>
      <c r="E865"/>
      <c r="F865" s="3"/>
    </row>
    <row r="866" spans="3:6" x14ac:dyDescent="0.35">
      <c r="C866" s="3"/>
      <c r="D866"/>
      <c r="E866"/>
      <c r="F866" s="3"/>
    </row>
    <row r="867" spans="3:6" x14ac:dyDescent="0.35">
      <c r="C867" s="3"/>
      <c r="D867"/>
      <c r="E867"/>
      <c r="F867" s="3"/>
    </row>
    <row r="868" spans="3:6" x14ac:dyDescent="0.35">
      <c r="C868" s="3"/>
      <c r="D868"/>
      <c r="E868"/>
      <c r="F868" s="3"/>
    </row>
    <row r="869" spans="3:6" x14ac:dyDescent="0.35">
      <c r="C869" s="3"/>
      <c r="D869"/>
      <c r="E869"/>
      <c r="F869" s="3"/>
    </row>
    <row r="870" spans="3:6" x14ac:dyDescent="0.35">
      <c r="C870" s="3"/>
      <c r="D870"/>
      <c r="E870"/>
      <c r="F870" s="3"/>
    </row>
    <row r="871" spans="3:6" x14ac:dyDescent="0.35">
      <c r="C871" s="3"/>
      <c r="D871"/>
      <c r="E871"/>
      <c r="F871" s="3"/>
    </row>
    <row r="872" spans="3:6" x14ac:dyDescent="0.35">
      <c r="C872" s="3"/>
      <c r="D872"/>
      <c r="E872"/>
      <c r="F872" s="3"/>
    </row>
    <row r="873" spans="3:6" x14ac:dyDescent="0.35">
      <c r="C873" s="3"/>
      <c r="D873"/>
      <c r="E873"/>
      <c r="F873" s="3"/>
    </row>
    <row r="874" spans="3:6" x14ac:dyDescent="0.35">
      <c r="C874" s="3"/>
      <c r="D874"/>
      <c r="E874"/>
      <c r="F874" s="3"/>
    </row>
    <row r="875" spans="3:6" x14ac:dyDescent="0.35">
      <c r="C875" s="3"/>
      <c r="D875"/>
      <c r="E875"/>
      <c r="F875" s="3"/>
    </row>
    <row r="876" spans="3:6" x14ac:dyDescent="0.35">
      <c r="C876" s="3"/>
      <c r="D876"/>
      <c r="E876"/>
      <c r="F876" s="3"/>
    </row>
    <row r="877" spans="3:6" x14ac:dyDescent="0.35">
      <c r="C877" s="3"/>
      <c r="D877"/>
      <c r="E877"/>
      <c r="F877" s="3"/>
    </row>
    <row r="878" spans="3:6" x14ac:dyDescent="0.35">
      <c r="C878" s="3"/>
      <c r="D878"/>
      <c r="E878"/>
      <c r="F878" s="3"/>
    </row>
    <row r="879" spans="3:6" x14ac:dyDescent="0.35">
      <c r="C879" s="3"/>
      <c r="D879"/>
      <c r="E879"/>
      <c r="F879" s="3"/>
    </row>
    <row r="880" spans="3:6" x14ac:dyDescent="0.35">
      <c r="C880" s="3"/>
      <c r="D880"/>
      <c r="E880"/>
      <c r="F880" s="3"/>
    </row>
    <row r="881" spans="3:6" x14ac:dyDescent="0.35">
      <c r="C881" s="3"/>
      <c r="D881"/>
      <c r="E881"/>
      <c r="F881" s="3"/>
    </row>
    <row r="882" spans="3:6" x14ac:dyDescent="0.35">
      <c r="C882" s="3"/>
      <c r="D882"/>
      <c r="E882"/>
      <c r="F882" s="3"/>
    </row>
    <row r="883" spans="3:6" x14ac:dyDescent="0.35">
      <c r="C883" s="3"/>
      <c r="D883"/>
      <c r="E883"/>
      <c r="F883" s="3"/>
    </row>
    <row r="884" spans="3:6" x14ac:dyDescent="0.35">
      <c r="C884" s="3"/>
      <c r="D884"/>
      <c r="E884"/>
      <c r="F884" s="3"/>
    </row>
    <row r="885" spans="3:6" x14ac:dyDescent="0.35">
      <c r="C885" s="3"/>
      <c r="D885"/>
      <c r="E885"/>
      <c r="F885" s="3"/>
    </row>
    <row r="886" spans="3:6" x14ac:dyDescent="0.35">
      <c r="C886" s="3"/>
      <c r="D886"/>
      <c r="E886"/>
      <c r="F886" s="3"/>
    </row>
    <row r="887" spans="3:6" x14ac:dyDescent="0.35">
      <c r="C887" s="3"/>
      <c r="D887"/>
      <c r="E887"/>
      <c r="F887" s="3"/>
    </row>
    <row r="888" spans="3:6" x14ac:dyDescent="0.35">
      <c r="C888" s="3"/>
      <c r="D888"/>
      <c r="E888"/>
      <c r="F888" s="3"/>
    </row>
    <row r="889" spans="3:6" x14ac:dyDescent="0.35">
      <c r="C889" s="3"/>
      <c r="D889"/>
      <c r="E889"/>
      <c r="F889" s="3"/>
    </row>
    <row r="890" spans="3:6" x14ac:dyDescent="0.35">
      <c r="C890" s="3"/>
      <c r="D890"/>
      <c r="E890"/>
      <c r="F890" s="3"/>
    </row>
    <row r="891" spans="3:6" x14ac:dyDescent="0.35">
      <c r="C891" s="3"/>
      <c r="D891"/>
      <c r="E891"/>
      <c r="F891" s="3"/>
    </row>
    <row r="892" spans="3:6" x14ac:dyDescent="0.35">
      <c r="C892" s="3"/>
      <c r="D892"/>
      <c r="E892"/>
      <c r="F892" s="3"/>
    </row>
    <row r="893" spans="3:6" x14ac:dyDescent="0.35">
      <c r="C893" s="3"/>
      <c r="D893"/>
      <c r="E893"/>
      <c r="F893" s="3"/>
    </row>
    <row r="894" spans="3:6" x14ac:dyDescent="0.35">
      <c r="C894" s="3"/>
      <c r="D894"/>
      <c r="E894"/>
      <c r="F894" s="3"/>
    </row>
    <row r="895" spans="3:6" x14ac:dyDescent="0.35">
      <c r="C895" s="3"/>
      <c r="D895"/>
      <c r="E895"/>
      <c r="F895" s="3"/>
    </row>
    <row r="896" spans="3:6" x14ac:dyDescent="0.35">
      <c r="C896" s="3"/>
      <c r="D896"/>
      <c r="E896"/>
      <c r="F896" s="3"/>
    </row>
    <row r="897" spans="3:6" x14ac:dyDescent="0.35">
      <c r="C897" s="3"/>
      <c r="D897"/>
      <c r="E897"/>
      <c r="F897" s="3"/>
    </row>
    <row r="898" spans="3:6" x14ac:dyDescent="0.35">
      <c r="C898" s="3"/>
      <c r="D898"/>
      <c r="E898"/>
      <c r="F898" s="3"/>
    </row>
    <row r="899" spans="3:6" x14ac:dyDescent="0.35">
      <c r="C899" s="3"/>
      <c r="D899"/>
      <c r="E899"/>
      <c r="F899" s="3"/>
    </row>
    <row r="900" spans="3:6" x14ac:dyDescent="0.35">
      <c r="C900" s="3"/>
      <c r="D900"/>
      <c r="E900"/>
      <c r="F900" s="3"/>
    </row>
    <row r="901" spans="3:6" x14ac:dyDescent="0.35">
      <c r="C901" s="3"/>
      <c r="D901"/>
      <c r="E901"/>
      <c r="F901" s="3"/>
    </row>
    <row r="902" spans="3:6" x14ac:dyDescent="0.35">
      <c r="C902" s="3"/>
      <c r="D902"/>
      <c r="E902"/>
      <c r="F902" s="3"/>
    </row>
    <row r="903" spans="3:6" x14ac:dyDescent="0.35">
      <c r="C903" s="3"/>
      <c r="D903"/>
      <c r="E903"/>
      <c r="F903" s="3"/>
    </row>
    <row r="904" spans="3:6" x14ac:dyDescent="0.35">
      <c r="C904" s="3"/>
      <c r="D904"/>
      <c r="E904"/>
      <c r="F904" s="3"/>
    </row>
    <row r="905" spans="3:6" x14ac:dyDescent="0.35">
      <c r="C905" s="3"/>
      <c r="D905"/>
      <c r="E905"/>
      <c r="F905" s="3"/>
    </row>
    <row r="906" spans="3:6" x14ac:dyDescent="0.35">
      <c r="C906" s="3"/>
      <c r="D906"/>
      <c r="E906"/>
      <c r="F906" s="3"/>
    </row>
    <row r="907" spans="3:6" x14ac:dyDescent="0.35">
      <c r="C907" s="3"/>
      <c r="D907"/>
      <c r="E907"/>
      <c r="F907" s="3"/>
    </row>
    <row r="908" spans="3:6" x14ac:dyDescent="0.35">
      <c r="C908" s="3"/>
      <c r="D908"/>
      <c r="E908"/>
      <c r="F908" s="3"/>
    </row>
    <row r="909" spans="3:6" x14ac:dyDescent="0.35">
      <c r="C909" s="3"/>
      <c r="D909"/>
      <c r="E909"/>
      <c r="F909" s="3"/>
    </row>
    <row r="910" spans="3:6" x14ac:dyDescent="0.35">
      <c r="C910" s="3"/>
      <c r="D910"/>
      <c r="E910"/>
      <c r="F910" s="3"/>
    </row>
    <row r="911" spans="3:6" x14ac:dyDescent="0.35">
      <c r="C911" s="3"/>
      <c r="D911"/>
      <c r="E911"/>
      <c r="F911" s="3"/>
    </row>
    <row r="912" spans="3:6" x14ac:dyDescent="0.35">
      <c r="C912" s="3"/>
      <c r="D912"/>
      <c r="E912"/>
      <c r="F912" s="3"/>
    </row>
    <row r="913" spans="3:6" x14ac:dyDescent="0.35">
      <c r="C913" s="3"/>
      <c r="D913"/>
      <c r="E913"/>
      <c r="F913" s="3"/>
    </row>
    <row r="914" spans="3:6" x14ac:dyDescent="0.35">
      <c r="C914" s="3"/>
      <c r="D914"/>
      <c r="E914"/>
      <c r="F914" s="3"/>
    </row>
    <row r="915" spans="3:6" x14ac:dyDescent="0.35">
      <c r="C915" s="3"/>
      <c r="D915"/>
      <c r="E915"/>
      <c r="F915" s="3"/>
    </row>
    <row r="916" spans="3:6" x14ac:dyDescent="0.35">
      <c r="C916" s="3"/>
      <c r="D916"/>
      <c r="E916"/>
      <c r="F916" s="3"/>
    </row>
    <row r="917" spans="3:6" x14ac:dyDescent="0.35">
      <c r="C917" s="3"/>
      <c r="D917"/>
      <c r="E917"/>
      <c r="F917" s="3"/>
    </row>
    <row r="918" spans="3:6" x14ac:dyDescent="0.35">
      <c r="C918" s="3"/>
      <c r="D918"/>
      <c r="E918"/>
      <c r="F918" s="3"/>
    </row>
    <row r="919" spans="3:6" x14ac:dyDescent="0.35">
      <c r="C919" s="3"/>
      <c r="D919"/>
      <c r="E919"/>
      <c r="F919" s="3"/>
    </row>
    <row r="920" spans="3:6" x14ac:dyDescent="0.35">
      <c r="C920" s="3"/>
      <c r="D920"/>
      <c r="E920"/>
      <c r="F920" s="3"/>
    </row>
    <row r="921" spans="3:6" x14ac:dyDescent="0.35">
      <c r="C921" s="3"/>
      <c r="D921"/>
      <c r="E921"/>
      <c r="F921" s="3"/>
    </row>
    <row r="922" spans="3:6" x14ac:dyDescent="0.35">
      <c r="C922" s="3"/>
      <c r="D922"/>
      <c r="E922"/>
      <c r="F922" s="3"/>
    </row>
    <row r="923" spans="3:6" x14ac:dyDescent="0.35">
      <c r="C923" s="3"/>
      <c r="D923"/>
      <c r="E923"/>
      <c r="F923" s="3"/>
    </row>
    <row r="924" spans="3:6" x14ac:dyDescent="0.35">
      <c r="C924" s="3"/>
      <c r="D924"/>
      <c r="E924"/>
      <c r="F924" s="3"/>
    </row>
    <row r="925" spans="3:6" x14ac:dyDescent="0.35">
      <c r="C925" s="3"/>
      <c r="D925"/>
      <c r="E925"/>
      <c r="F925" s="3"/>
    </row>
    <row r="926" spans="3:6" x14ac:dyDescent="0.35">
      <c r="C926" s="3"/>
      <c r="D926"/>
      <c r="E926"/>
      <c r="F926" s="3"/>
    </row>
    <row r="927" spans="3:6" x14ac:dyDescent="0.35">
      <c r="C927" s="3"/>
      <c r="D927"/>
      <c r="E927"/>
      <c r="F927" s="3"/>
    </row>
    <row r="928" spans="3:6" x14ac:dyDescent="0.35">
      <c r="C928" s="3"/>
      <c r="D928"/>
      <c r="E928"/>
      <c r="F928" s="3"/>
    </row>
    <row r="929" spans="3:6" x14ac:dyDescent="0.35">
      <c r="C929" s="3"/>
      <c r="D929"/>
      <c r="E929"/>
      <c r="F929" s="3"/>
    </row>
    <row r="930" spans="3:6" x14ac:dyDescent="0.35">
      <c r="C930" s="3"/>
      <c r="D930"/>
      <c r="E930"/>
      <c r="F930" s="3"/>
    </row>
    <row r="931" spans="3:6" x14ac:dyDescent="0.35">
      <c r="C931" s="3"/>
      <c r="D931"/>
      <c r="E931"/>
      <c r="F931" s="3"/>
    </row>
    <row r="932" spans="3:6" x14ac:dyDescent="0.35">
      <c r="C932" s="3"/>
      <c r="D932"/>
      <c r="E932"/>
      <c r="F932" s="3"/>
    </row>
    <row r="933" spans="3:6" x14ac:dyDescent="0.35">
      <c r="C933" s="3"/>
      <c r="D933"/>
      <c r="E933"/>
      <c r="F933" s="3"/>
    </row>
    <row r="934" spans="3:6" x14ac:dyDescent="0.35">
      <c r="C934" s="3"/>
      <c r="D934"/>
      <c r="E934"/>
      <c r="F934" s="3"/>
    </row>
    <row r="935" spans="3:6" x14ac:dyDescent="0.35">
      <c r="C935" s="3"/>
      <c r="D935"/>
      <c r="E935"/>
      <c r="F935" s="3"/>
    </row>
    <row r="936" spans="3:6" x14ac:dyDescent="0.35">
      <c r="C936" s="3"/>
      <c r="D936"/>
      <c r="E936"/>
      <c r="F936" s="3"/>
    </row>
    <row r="937" spans="3:6" x14ac:dyDescent="0.35">
      <c r="C937" s="3"/>
      <c r="D937"/>
      <c r="E937"/>
      <c r="F937" s="3"/>
    </row>
    <row r="938" spans="3:6" x14ac:dyDescent="0.35">
      <c r="C938" s="3"/>
      <c r="D938"/>
      <c r="E938"/>
      <c r="F938" s="3"/>
    </row>
    <row r="939" spans="3:6" x14ac:dyDescent="0.35">
      <c r="C939" s="3"/>
      <c r="D939"/>
      <c r="E939"/>
      <c r="F939" s="3"/>
    </row>
    <row r="940" spans="3:6" x14ac:dyDescent="0.35">
      <c r="C940" s="3"/>
      <c r="D940"/>
      <c r="E940"/>
      <c r="F940" s="3"/>
    </row>
    <row r="941" spans="3:6" x14ac:dyDescent="0.35">
      <c r="C941" s="3"/>
      <c r="D941"/>
      <c r="E941"/>
      <c r="F941" s="3"/>
    </row>
    <row r="942" spans="3:6" x14ac:dyDescent="0.35">
      <c r="C942" s="3"/>
      <c r="D942"/>
      <c r="E942"/>
      <c r="F942" s="3"/>
    </row>
    <row r="943" spans="3:6" x14ac:dyDescent="0.35">
      <c r="C943" s="3"/>
      <c r="D943"/>
      <c r="E943"/>
      <c r="F943" s="3"/>
    </row>
    <row r="944" spans="3:6" x14ac:dyDescent="0.35">
      <c r="C944" s="3"/>
      <c r="D944"/>
      <c r="E944"/>
      <c r="F944" s="3"/>
    </row>
    <row r="945" spans="3:6" x14ac:dyDescent="0.35">
      <c r="C945" s="3"/>
      <c r="D945"/>
      <c r="E945"/>
      <c r="F945" s="3"/>
    </row>
    <row r="946" spans="3:6" x14ac:dyDescent="0.35">
      <c r="C946" s="3"/>
      <c r="D946"/>
      <c r="E946"/>
      <c r="F946" s="3"/>
    </row>
    <row r="947" spans="3:6" x14ac:dyDescent="0.35">
      <c r="C947" s="3"/>
      <c r="D947"/>
      <c r="E947"/>
      <c r="F947" s="3"/>
    </row>
    <row r="948" spans="3:6" x14ac:dyDescent="0.35">
      <c r="C948" s="3"/>
      <c r="D948"/>
      <c r="E948"/>
      <c r="F948" s="3"/>
    </row>
    <row r="949" spans="3:6" x14ac:dyDescent="0.35">
      <c r="C949" s="3"/>
      <c r="D949"/>
      <c r="E949"/>
      <c r="F949" s="3"/>
    </row>
    <row r="950" spans="3:6" x14ac:dyDescent="0.35">
      <c r="C950" s="3"/>
      <c r="D950"/>
      <c r="E950"/>
      <c r="F950" s="3"/>
    </row>
    <row r="951" spans="3:6" x14ac:dyDescent="0.35">
      <c r="C951" s="3"/>
      <c r="D951"/>
      <c r="E951"/>
      <c r="F951" s="3"/>
    </row>
    <row r="952" spans="3:6" x14ac:dyDescent="0.35">
      <c r="C952" s="3"/>
      <c r="D952"/>
      <c r="E952"/>
      <c r="F952" s="3"/>
    </row>
    <row r="953" spans="3:6" x14ac:dyDescent="0.35">
      <c r="C953" s="3"/>
      <c r="D953"/>
      <c r="E953"/>
      <c r="F953" s="3"/>
    </row>
    <row r="954" spans="3:6" x14ac:dyDescent="0.35">
      <c r="C954" s="3"/>
      <c r="D954"/>
      <c r="E954"/>
      <c r="F954" s="3"/>
    </row>
    <row r="955" spans="3:6" x14ac:dyDescent="0.35">
      <c r="C955" s="3"/>
      <c r="D955"/>
      <c r="E955"/>
      <c r="F955" s="3"/>
    </row>
    <row r="956" spans="3:6" x14ac:dyDescent="0.35">
      <c r="C956" s="3"/>
      <c r="D956"/>
      <c r="E956"/>
      <c r="F956" s="3"/>
    </row>
    <row r="957" spans="3:6" x14ac:dyDescent="0.35">
      <c r="C957" s="3"/>
      <c r="D957"/>
      <c r="E957"/>
      <c r="F957" s="3"/>
    </row>
    <row r="958" spans="3:6" x14ac:dyDescent="0.35">
      <c r="C958" s="3"/>
      <c r="D958"/>
      <c r="E958"/>
      <c r="F958" s="3"/>
    </row>
    <row r="959" spans="3:6" x14ac:dyDescent="0.35">
      <c r="C959" s="3"/>
      <c r="D959"/>
      <c r="E959"/>
      <c r="F959" s="3"/>
    </row>
    <row r="960" spans="3:6" x14ac:dyDescent="0.35">
      <c r="C960" s="3"/>
      <c r="D960"/>
      <c r="E960"/>
      <c r="F960" s="3"/>
    </row>
    <row r="961" spans="3:6" x14ac:dyDescent="0.35">
      <c r="C961" s="3"/>
      <c r="D961"/>
      <c r="E961"/>
      <c r="F961" s="3"/>
    </row>
    <row r="962" spans="3:6" x14ac:dyDescent="0.35">
      <c r="C962" s="3"/>
      <c r="D962"/>
      <c r="E962"/>
      <c r="F962" s="3"/>
    </row>
    <row r="963" spans="3:6" x14ac:dyDescent="0.35">
      <c r="C963" s="3"/>
      <c r="D963"/>
      <c r="E963"/>
      <c r="F963" s="3"/>
    </row>
    <row r="964" spans="3:6" x14ac:dyDescent="0.35">
      <c r="C964" s="3"/>
      <c r="D964"/>
      <c r="E964"/>
      <c r="F964" s="3"/>
    </row>
    <row r="965" spans="3:6" x14ac:dyDescent="0.35">
      <c r="C965" s="3"/>
      <c r="D965"/>
      <c r="E965"/>
      <c r="F965" s="3"/>
    </row>
    <row r="966" spans="3:6" x14ac:dyDescent="0.35">
      <c r="C966" s="3"/>
      <c r="D966"/>
      <c r="E966"/>
      <c r="F966" s="3"/>
    </row>
    <row r="967" spans="3:6" x14ac:dyDescent="0.35">
      <c r="C967" s="3"/>
      <c r="D967"/>
      <c r="E967"/>
      <c r="F967" s="3"/>
    </row>
    <row r="968" spans="3:6" x14ac:dyDescent="0.35">
      <c r="C968" s="3"/>
      <c r="D968"/>
      <c r="E968"/>
      <c r="F968" s="3"/>
    </row>
    <row r="969" spans="3:6" x14ac:dyDescent="0.35">
      <c r="C969" s="3"/>
      <c r="D969"/>
      <c r="E969"/>
      <c r="F969" s="3"/>
    </row>
    <row r="970" spans="3:6" x14ac:dyDescent="0.35">
      <c r="C970" s="3"/>
      <c r="D970"/>
      <c r="E970"/>
      <c r="F970" s="3"/>
    </row>
    <row r="971" spans="3:6" x14ac:dyDescent="0.35">
      <c r="C971" s="3"/>
      <c r="D971"/>
      <c r="E971"/>
      <c r="F971" s="3"/>
    </row>
    <row r="972" spans="3:6" x14ac:dyDescent="0.35">
      <c r="C972" s="3"/>
      <c r="D972"/>
      <c r="E972"/>
      <c r="F972" s="3"/>
    </row>
    <row r="973" spans="3:6" x14ac:dyDescent="0.35">
      <c r="C973" s="3"/>
      <c r="D973"/>
      <c r="E973"/>
      <c r="F973" s="3"/>
    </row>
    <row r="974" spans="3:6" x14ac:dyDescent="0.35">
      <c r="C974" s="3"/>
      <c r="D974"/>
      <c r="E974"/>
      <c r="F974" s="3"/>
    </row>
    <row r="975" spans="3:6" x14ac:dyDescent="0.35">
      <c r="C975" s="3"/>
      <c r="D975"/>
      <c r="E975"/>
      <c r="F975" s="3"/>
    </row>
    <row r="976" spans="3:6" x14ac:dyDescent="0.35">
      <c r="C976" s="3"/>
      <c r="D976"/>
      <c r="E976"/>
      <c r="F976" s="3"/>
    </row>
    <row r="977" spans="3:6" x14ac:dyDescent="0.35">
      <c r="C977" s="3"/>
      <c r="D977"/>
      <c r="E977"/>
      <c r="F977" s="3"/>
    </row>
    <row r="978" spans="3:6" x14ac:dyDescent="0.35">
      <c r="C978" s="3"/>
      <c r="D978"/>
      <c r="E978"/>
      <c r="F978" s="3"/>
    </row>
    <row r="979" spans="3:6" x14ac:dyDescent="0.35">
      <c r="C979" s="3"/>
      <c r="D979"/>
      <c r="E979"/>
      <c r="F979" s="3"/>
    </row>
    <row r="980" spans="3:6" x14ac:dyDescent="0.35">
      <c r="C980" s="3"/>
      <c r="D980"/>
      <c r="E980"/>
      <c r="F980" s="3"/>
    </row>
    <row r="981" spans="3:6" x14ac:dyDescent="0.35">
      <c r="C981" s="3"/>
      <c r="D981"/>
      <c r="E981"/>
      <c r="F981" s="3"/>
    </row>
    <row r="982" spans="3:6" x14ac:dyDescent="0.35">
      <c r="C982" s="3"/>
      <c r="D982"/>
      <c r="E982"/>
      <c r="F982" s="3"/>
    </row>
    <row r="983" spans="3:6" x14ac:dyDescent="0.35">
      <c r="C983" s="3"/>
      <c r="D983"/>
      <c r="E983"/>
      <c r="F983" s="3"/>
    </row>
    <row r="984" spans="3:6" x14ac:dyDescent="0.35">
      <c r="C984" s="3"/>
      <c r="D984"/>
      <c r="E984"/>
      <c r="F984" s="3"/>
    </row>
    <row r="985" spans="3:6" x14ac:dyDescent="0.35">
      <c r="C985" s="3"/>
      <c r="D985"/>
      <c r="E985"/>
      <c r="F985" s="3"/>
    </row>
    <row r="986" spans="3:6" x14ac:dyDescent="0.35">
      <c r="C986" s="3"/>
      <c r="D986"/>
      <c r="E986"/>
      <c r="F986" s="3"/>
    </row>
    <row r="987" spans="3:6" x14ac:dyDescent="0.35">
      <c r="C987" s="3"/>
      <c r="D987"/>
      <c r="E987"/>
      <c r="F987" s="3"/>
    </row>
    <row r="988" spans="3:6" x14ac:dyDescent="0.35">
      <c r="C988" s="3"/>
      <c r="D988"/>
      <c r="E988"/>
      <c r="F988" s="3"/>
    </row>
    <row r="989" spans="3:6" x14ac:dyDescent="0.35">
      <c r="C989" s="3"/>
      <c r="D989"/>
      <c r="E989"/>
      <c r="F989" s="3"/>
    </row>
    <row r="990" spans="3:6" x14ac:dyDescent="0.35">
      <c r="C990" s="3"/>
      <c r="D990"/>
      <c r="E990"/>
      <c r="F990" s="3"/>
    </row>
    <row r="991" spans="3:6" x14ac:dyDescent="0.35">
      <c r="C991" s="3"/>
      <c r="D991"/>
      <c r="E991"/>
      <c r="F991" s="3"/>
    </row>
    <row r="992" spans="3:6" x14ac:dyDescent="0.35">
      <c r="C992" s="3"/>
      <c r="D992"/>
      <c r="E992"/>
      <c r="F992" s="3"/>
    </row>
    <row r="993" spans="3:6" x14ac:dyDescent="0.35">
      <c r="C993" s="3"/>
      <c r="D993"/>
      <c r="E993"/>
      <c r="F993" s="3"/>
    </row>
    <row r="994" spans="3:6" x14ac:dyDescent="0.35">
      <c r="C994" s="3"/>
      <c r="D994"/>
      <c r="E994"/>
      <c r="F994" s="3"/>
    </row>
    <row r="995" spans="3:6" x14ac:dyDescent="0.35">
      <c r="C995" s="3"/>
      <c r="D995"/>
      <c r="E995"/>
      <c r="F995" s="3"/>
    </row>
    <row r="996" spans="3:6" x14ac:dyDescent="0.35">
      <c r="C996" s="3"/>
      <c r="D996"/>
      <c r="E996"/>
      <c r="F996" s="3"/>
    </row>
    <row r="997" spans="3:6" x14ac:dyDescent="0.35">
      <c r="C997" s="3"/>
      <c r="D997"/>
      <c r="E997"/>
      <c r="F997" s="3"/>
    </row>
    <row r="998" spans="3:6" x14ac:dyDescent="0.35">
      <c r="C998" s="3"/>
      <c r="D998"/>
      <c r="E998"/>
      <c r="F998" s="3"/>
    </row>
    <row r="999" spans="3:6" x14ac:dyDescent="0.35">
      <c r="C999" s="3"/>
      <c r="D999"/>
      <c r="E999"/>
      <c r="F999" s="3"/>
    </row>
    <row r="1000" spans="3:6" x14ac:dyDescent="0.35">
      <c r="C1000" s="3"/>
      <c r="D1000"/>
      <c r="E1000"/>
      <c r="F1000" s="3"/>
    </row>
    <row r="1001" spans="3:6" x14ac:dyDescent="0.35">
      <c r="C1001" s="3"/>
      <c r="D1001"/>
      <c r="E1001"/>
      <c r="F1001" s="3"/>
    </row>
    <row r="1002" spans="3:6" x14ac:dyDescent="0.35">
      <c r="C1002" s="3"/>
      <c r="D1002"/>
      <c r="E1002"/>
      <c r="F1002" s="3"/>
    </row>
    <row r="1003" spans="3:6" x14ac:dyDescent="0.35">
      <c r="C1003" s="3"/>
      <c r="D1003"/>
      <c r="E1003"/>
      <c r="F1003" s="3"/>
    </row>
    <row r="1004" spans="3:6" x14ac:dyDescent="0.35">
      <c r="C1004" s="3"/>
      <c r="D1004"/>
      <c r="E1004"/>
      <c r="F1004" s="3"/>
    </row>
    <row r="1005" spans="3:6" x14ac:dyDescent="0.35">
      <c r="C1005" s="3"/>
      <c r="D1005"/>
      <c r="E1005"/>
      <c r="F1005" s="3"/>
    </row>
    <row r="1006" spans="3:6" x14ac:dyDescent="0.35">
      <c r="C1006" s="3"/>
      <c r="D1006"/>
      <c r="E1006"/>
      <c r="F1006" s="3"/>
    </row>
    <row r="1007" spans="3:6" x14ac:dyDescent="0.35">
      <c r="C1007" s="3"/>
      <c r="D1007"/>
      <c r="E1007"/>
      <c r="F1007" s="3"/>
    </row>
    <row r="1008" spans="3:6" x14ac:dyDescent="0.35">
      <c r="C1008" s="3"/>
      <c r="D1008"/>
      <c r="E1008"/>
      <c r="F1008" s="3"/>
    </row>
    <row r="1009" spans="3:6" x14ac:dyDescent="0.35">
      <c r="C1009" s="3"/>
      <c r="D1009"/>
      <c r="E1009"/>
      <c r="F1009" s="3"/>
    </row>
    <row r="1010" spans="3:6" x14ac:dyDescent="0.35">
      <c r="C1010" s="3"/>
      <c r="D1010"/>
      <c r="E1010"/>
      <c r="F1010" s="3"/>
    </row>
    <row r="1011" spans="3:6" x14ac:dyDescent="0.35">
      <c r="C1011" s="3"/>
      <c r="D1011"/>
      <c r="E1011"/>
      <c r="F1011" s="3"/>
    </row>
    <row r="1012" spans="3:6" x14ac:dyDescent="0.35">
      <c r="C1012" s="3"/>
      <c r="D1012"/>
      <c r="E1012"/>
      <c r="F1012" s="3"/>
    </row>
    <row r="1013" spans="3:6" x14ac:dyDescent="0.35">
      <c r="C1013" s="3"/>
      <c r="D1013"/>
      <c r="E1013"/>
      <c r="F1013" s="3"/>
    </row>
    <row r="1014" spans="3:6" x14ac:dyDescent="0.35">
      <c r="C1014" s="3"/>
      <c r="D1014"/>
      <c r="E1014"/>
      <c r="F1014" s="3"/>
    </row>
    <row r="1015" spans="3:6" x14ac:dyDescent="0.35">
      <c r="C1015" s="3"/>
      <c r="D1015"/>
      <c r="E1015"/>
      <c r="F1015" s="3"/>
    </row>
    <row r="1016" spans="3:6" x14ac:dyDescent="0.35">
      <c r="C1016" s="3"/>
      <c r="D1016"/>
      <c r="E1016"/>
      <c r="F1016" s="3"/>
    </row>
    <row r="1017" spans="3:6" x14ac:dyDescent="0.35">
      <c r="C1017" s="3"/>
      <c r="D1017"/>
      <c r="E1017"/>
      <c r="F1017" s="3"/>
    </row>
    <row r="1018" spans="3:6" x14ac:dyDescent="0.35">
      <c r="C1018" s="3"/>
      <c r="D1018"/>
      <c r="E1018"/>
      <c r="F1018" s="3"/>
    </row>
    <row r="1019" spans="3:6" x14ac:dyDescent="0.35">
      <c r="C1019" s="3"/>
      <c r="D1019"/>
      <c r="E1019"/>
      <c r="F1019" s="3"/>
    </row>
    <row r="1020" spans="3:6" x14ac:dyDescent="0.35">
      <c r="C1020" s="3"/>
      <c r="D1020"/>
      <c r="E1020"/>
      <c r="F1020" s="3"/>
    </row>
    <row r="1021" spans="3:6" x14ac:dyDescent="0.35">
      <c r="C1021" s="3"/>
      <c r="D1021"/>
      <c r="E1021"/>
      <c r="F1021" s="3"/>
    </row>
    <row r="1022" spans="3:6" x14ac:dyDescent="0.35">
      <c r="C1022" s="3"/>
      <c r="D1022"/>
      <c r="E1022"/>
      <c r="F1022" s="3"/>
    </row>
    <row r="1023" spans="3:6" x14ac:dyDescent="0.35">
      <c r="C1023" s="3"/>
      <c r="D1023"/>
      <c r="E1023"/>
      <c r="F1023" s="3"/>
    </row>
    <row r="1024" spans="3:6" x14ac:dyDescent="0.35">
      <c r="C1024" s="3"/>
      <c r="D1024"/>
      <c r="E1024"/>
      <c r="F1024" s="3"/>
    </row>
    <row r="1025" spans="3:6" x14ac:dyDescent="0.35">
      <c r="C1025" s="3"/>
      <c r="D1025"/>
      <c r="E1025"/>
      <c r="F1025" s="3"/>
    </row>
    <row r="1026" spans="3:6" x14ac:dyDescent="0.35">
      <c r="C1026" s="3"/>
      <c r="D1026"/>
      <c r="E1026"/>
      <c r="F1026" s="3"/>
    </row>
    <row r="1027" spans="3:6" x14ac:dyDescent="0.35">
      <c r="C1027" s="3"/>
      <c r="D1027"/>
      <c r="E1027"/>
      <c r="F1027" s="3"/>
    </row>
    <row r="1028" spans="3:6" x14ac:dyDescent="0.35">
      <c r="C1028" s="3"/>
      <c r="D1028"/>
      <c r="E1028"/>
      <c r="F1028" s="3"/>
    </row>
    <row r="1029" spans="3:6" x14ac:dyDescent="0.35">
      <c r="C1029" s="3"/>
      <c r="D1029"/>
      <c r="E1029"/>
      <c r="F1029" s="3"/>
    </row>
    <row r="1030" spans="3:6" x14ac:dyDescent="0.35">
      <c r="C1030" s="3"/>
      <c r="D1030"/>
      <c r="E1030"/>
      <c r="F1030" s="3"/>
    </row>
    <row r="1031" spans="3:6" x14ac:dyDescent="0.35">
      <c r="C1031" s="3"/>
      <c r="D1031"/>
      <c r="E1031"/>
      <c r="F1031" s="3"/>
    </row>
    <row r="1032" spans="3:6" x14ac:dyDescent="0.35">
      <c r="C1032" s="3"/>
      <c r="D1032"/>
      <c r="E1032"/>
      <c r="F1032" s="3"/>
    </row>
    <row r="1033" spans="3:6" x14ac:dyDescent="0.35">
      <c r="C1033" s="3"/>
      <c r="D1033"/>
      <c r="E1033"/>
      <c r="F1033" s="3"/>
    </row>
    <row r="1034" spans="3:6" x14ac:dyDescent="0.35">
      <c r="C1034" s="3"/>
      <c r="D1034"/>
      <c r="E1034"/>
      <c r="F1034" s="3"/>
    </row>
    <row r="1035" spans="3:6" x14ac:dyDescent="0.35">
      <c r="C1035" s="3"/>
      <c r="D1035"/>
      <c r="E1035"/>
      <c r="F1035" s="3"/>
    </row>
    <row r="1036" spans="3:6" x14ac:dyDescent="0.35">
      <c r="C1036" s="3"/>
      <c r="D1036"/>
      <c r="E1036"/>
      <c r="F1036" s="3"/>
    </row>
    <row r="1037" spans="3:6" x14ac:dyDescent="0.35">
      <c r="C1037" s="3"/>
      <c r="D1037"/>
      <c r="E1037"/>
      <c r="F1037" s="3"/>
    </row>
    <row r="1038" spans="3:6" x14ac:dyDescent="0.35">
      <c r="C1038" s="3"/>
      <c r="D1038"/>
      <c r="E1038"/>
      <c r="F1038" s="3"/>
    </row>
    <row r="1039" spans="3:6" x14ac:dyDescent="0.35">
      <c r="C1039" s="3"/>
      <c r="D1039"/>
      <c r="E1039"/>
      <c r="F1039" s="3"/>
    </row>
    <row r="1040" spans="3:6" x14ac:dyDescent="0.35">
      <c r="C1040" s="3"/>
      <c r="D1040"/>
      <c r="E1040"/>
      <c r="F1040" s="3"/>
    </row>
    <row r="1041" spans="3:6" x14ac:dyDescent="0.35">
      <c r="C1041" s="3"/>
      <c r="D1041"/>
      <c r="E1041"/>
      <c r="F1041" s="3"/>
    </row>
    <row r="1042" spans="3:6" x14ac:dyDescent="0.35">
      <c r="C1042" s="3"/>
      <c r="D1042"/>
      <c r="E1042"/>
      <c r="F1042" s="3"/>
    </row>
    <row r="1043" spans="3:6" x14ac:dyDescent="0.35">
      <c r="C1043" s="3"/>
      <c r="D1043"/>
      <c r="E1043"/>
      <c r="F1043" s="3"/>
    </row>
    <row r="1044" spans="3:6" x14ac:dyDescent="0.35">
      <c r="C1044" s="3"/>
      <c r="D1044"/>
      <c r="E1044"/>
      <c r="F1044" s="3"/>
    </row>
    <row r="1045" spans="3:6" x14ac:dyDescent="0.35">
      <c r="C1045" s="3"/>
      <c r="D1045"/>
      <c r="E1045"/>
      <c r="F1045" s="3"/>
    </row>
    <row r="1046" spans="3:6" x14ac:dyDescent="0.35">
      <c r="C1046" s="3"/>
      <c r="D1046"/>
      <c r="E1046"/>
      <c r="F1046" s="3"/>
    </row>
    <row r="1047" spans="3:6" x14ac:dyDescent="0.35">
      <c r="C1047" s="3"/>
      <c r="D1047"/>
      <c r="E1047"/>
      <c r="F1047" s="3"/>
    </row>
    <row r="1048" spans="3:6" x14ac:dyDescent="0.35">
      <c r="C1048" s="3"/>
      <c r="D1048"/>
      <c r="E1048"/>
      <c r="F1048" s="3"/>
    </row>
    <row r="1049" spans="3:6" x14ac:dyDescent="0.35">
      <c r="C1049" s="3"/>
      <c r="D1049"/>
      <c r="E1049"/>
      <c r="F1049" s="3"/>
    </row>
    <row r="1050" spans="3:6" x14ac:dyDescent="0.35">
      <c r="C1050" s="3"/>
      <c r="D1050"/>
      <c r="E1050"/>
      <c r="F1050" s="3"/>
    </row>
    <row r="1051" spans="3:6" x14ac:dyDescent="0.35">
      <c r="C1051" s="3"/>
      <c r="D1051"/>
      <c r="E1051"/>
      <c r="F1051" s="3"/>
    </row>
    <row r="1052" spans="3:6" x14ac:dyDescent="0.35">
      <c r="C1052" s="3"/>
      <c r="D1052"/>
      <c r="E1052"/>
      <c r="F1052" s="3"/>
    </row>
    <row r="1053" spans="3:6" x14ac:dyDescent="0.35">
      <c r="C1053" s="3"/>
      <c r="D1053"/>
      <c r="E1053"/>
      <c r="F1053" s="3"/>
    </row>
    <row r="1054" spans="3:6" x14ac:dyDescent="0.35">
      <c r="C1054" s="3"/>
      <c r="D1054"/>
      <c r="E1054"/>
      <c r="F1054" s="3"/>
    </row>
    <row r="1055" spans="3:6" x14ac:dyDescent="0.35">
      <c r="C1055" s="3"/>
      <c r="D1055"/>
      <c r="E1055"/>
      <c r="F1055" s="3"/>
    </row>
    <row r="1056" spans="3:6" x14ac:dyDescent="0.35">
      <c r="C1056" s="3"/>
      <c r="D1056"/>
      <c r="E1056"/>
      <c r="F1056" s="3"/>
    </row>
    <row r="1057" spans="3:6" x14ac:dyDescent="0.35">
      <c r="C1057" s="3"/>
      <c r="D1057"/>
      <c r="E1057"/>
      <c r="F1057" s="3"/>
    </row>
    <row r="1058" spans="3:6" x14ac:dyDescent="0.35">
      <c r="C1058" s="3"/>
      <c r="D1058"/>
      <c r="E1058"/>
      <c r="F1058" s="3"/>
    </row>
    <row r="1059" spans="3:6" x14ac:dyDescent="0.35">
      <c r="C1059" s="3"/>
      <c r="D1059"/>
      <c r="E1059"/>
      <c r="F1059" s="3"/>
    </row>
    <row r="1060" spans="3:6" x14ac:dyDescent="0.35">
      <c r="C1060" s="3"/>
      <c r="D1060"/>
      <c r="E1060"/>
      <c r="F1060" s="3"/>
    </row>
    <row r="1061" spans="3:6" x14ac:dyDescent="0.35">
      <c r="C1061" s="3"/>
      <c r="D1061"/>
      <c r="E1061"/>
      <c r="F1061" s="3"/>
    </row>
    <row r="1062" spans="3:6" x14ac:dyDescent="0.35">
      <c r="C1062" s="3"/>
      <c r="D1062"/>
      <c r="E1062"/>
      <c r="F1062" s="3"/>
    </row>
    <row r="1063" spans="3:6" x14ac:dyDescent="0.35">
      <c r="C1063" s="3"/>
      <c r="D1063"/>
      <c r="E1063"/>
      <c r="F1063" s="3"/>
    </row>
    <row r="1064" spans="3:6" x14ac:dyDescent="0.35">
      <c r="C1064" s="3"/>
      <c r="D1064"/>
      <c r="E1064"/>
      <c r="F1064" s="3"/>
    </row>
    <row r="1065" spans="3:6" x14ac:dyDescent="0.35">
      <c r="C1065" s="3"/>
      <c r="D1065"/>
      <c r="E1065"/>
      <c r="F1065" s="3"/>
    </row>
    <row r="1066" spans="3:6" x14ac:dyDescent="0.35">
      <c r="C1066" s="3"/>
      <c r="D1066"/>
      <c r="E1066"/>
      <c r="F1066" s="3"/>
    </row>
    <row r="1067" spans="3:6" x14ac:dyDescent="0.35">
      <c r="C1067" s="3"/>
      <c r="D1067"/>
      <c r="E1067"/>
      <c r="F1067" s="3"/>
    </row>
    <row r="1068" spans="3:6" x14ac:dyDescent="0.35">
      <c r="C1068" s="3"/>
      <c r="D1068"/>
      <c r="E1068"/>
      <c r="F1068" s="3"/>
    </row>
    <row r="1069" spans="3:6" x14ac:dyDescent="0.35">
      <c r="C1069" s="3"/>
      <c r="D1069"/>
      <c r="E1069"/>
      <c r="F1069" s="3"/>
    </row>
    <row r="1070" spans="3:6" x14ac:dyDescent="0.35">
      <c r="C1070" s="3"/>
      <c r="D1070"/>
      <c r="E1070"/>
      <c r="F1070" s="3"/>
    </row>
    <row r="1071" spans="3:6" x14ac:dyDescent="0.35">
      <c r="C1071" s="3"/>
      <c r="D1071"/>
      <c r="E1071"/>
      <c r="F1071" s="3"/>
    </row>
    <row r="1072" spans="3:6" x14ac:dyDescent="0.35">
      <c r="C1072" s="3"/>
      <c r="D1072"/>
      <c r="E1072"/>
      <c r="F1072" s="3"/>
    </row>
    <row r="1073" spans="3:6" x14ac:dyDescent="0.35">
      <c r="C1073" s="3"/>
      <c r="D1073"/>
      <c r="E1073"/>
      <c r="F1073" s="3"/>
    </row>
    <row r="1074" spans="3:6" x14ac:dyDescent="0.35">
      <c r="C1074" s="3"/>
      <c r="D1074"/>
      <c r="E1074"/>
      <c r="F1074" s="3"/>
    </row>
    <row r="1075" spans="3:6" x14ac:dyDescent="0.35">
      <c r="C1075" s="3"/>
      <c r="D1075"/>
      <c r="E1075"/>
      <c r="F1075" s="3"/>
    </row>
    <row r="1076" spans="3:6" x14ac:dyDescent="0.35">
      <c r="C1076" s="3"/>
      <c r="D1076"/>
      <c r="E1076"/>
      <c r="F1076" s="3"/>
    </row>
    <row r="1077" spans="3:6" x14ac:dyDescent="0.35">
      <c r="C1077" s="3"/>
      <c r="D1077"/>
      <c r="E1077"/>
      <c r="F1077" s="3"/>
    </row>
    <row r="1078" spans="3:6" x14ac:dyDescent="0.35">
      <c r="C1078" s="3"/>
      <c r="D1078"/>
      <c r="E1078"/>
      <c r="F1078" s="3"/>
    </row>
    <row r="1079" spans="3:6" x14ac:dyDescent="0.35">
      <c r="C1079" s="3"/>
      <c r="D1079"/>
      <c r="E1079"/>
      <c r="F1079" s="3"/>
    </row>
    <row r="1080" spans="3:6" x14ac:dyDescent="0.35">
      <c r="C1080" s="3"/>
      <c r="D1080"/>
      <c r="E1080"/>
      <c r="F1080" s="3"/>
    </row>
    <row r="1081" spans="3:6" x14ac:dyDescent="0.35">
      <c r="C1081" s="3"/>
      <c r="D1081"/>
      <c r="E1081"/>
      <c r="F1081" s="3"/>
    </row>
    <row r="1082" spans="3:6" x14ac:dyDescent="0.35">
      <c r="C1082" s="3"/>
      <c r="D1082"/>
      <c r="E1082"/>
      <c r="F1082" s="3"/>
    </row>
    <row r="1083" spans="3:6" x14ac:dyDescent="0.35">
      <c r="C1083" s="3"/>
      <c r="D1083"/>
      <c r="E1083"/>
      <c r="F1083" s="3"/>
    </row>
    <row r="1084" spans="3:6" x14ac:dyDescent="0.35">
      <c r="C1084" s="3"/>
      <c r="D1084"/>
      <c r="E1084"/>
      <c r="F1084" s="3"/>
    </row>
    <row r="1085" spans="3:6" x14ac:dyDescent="0.35">
      <c r="C1085" s="3"/>
      <c r="D1085"/>
      <c r="E1085"/>
      <c r="F1085" s="3"/>
    </row>
    <row r="1086" spans="3:6" x14ac:dyDescent="0.35">
      <c r="C1086" s="3"/>
      <c r="D1086"/>
      <c r="E1086"/>
      <c r="F1086" s="3"/>
    </row>
    <row r="1087" spans="3:6" x14ac:dyDescent="0.35">
      <c r="C1087" s="3"/>
      <c r="D1087"/>
      <c r="E1087"/>
      <c r="F1087" s="3"/>
    </row>
    <row r="1088" spans="3:6" x14ac:dyDescent="0.35">
      <c r="C1088" s="3"/>
      <c r="D1088"/>
      <c r="E1088"/>
      <c r="F1088" s="3"/>
    </row>
    <row r="1089" spans="3:6" x14ac:dyDescent="0.35">
      <c r="C1089" s="3"/>
      <c r="D1089"/>
      <c r="E1089"/>
      <c r="F1089" s="3"/>
    </row>
    <row r="1090" spans="3:6" x14ac:dyDescent="0.35">
      <c r="C1090" s="3"/>
      <c r="D1090"/>
      <c r="E1090"/>
      <c r="F1090" s="3"/>
    </row>
    <row r="1091" spans="3:6" x14ac:dyDescent="0.35">
      <c r="C1091" s="3"/>
      <c r="D1091"/>
      <c r="E1091"/>
      <c r="F1091" s="3"/>
    </row>
    <row r="1092" spans="3:6" x14ac:dyDescent="0.35">
      <c r="C1092" s="3"/>
      <c r="D1092"/>
      <c r="E1092"/>
      <c r="F1092" s="3"/>
    </row>
    <row r="1093" spans="3:6" x14ac:dyDescent="0.35">
      <c r="C1093" s="3"/>
      <c r="D1093"/>
      <c r="E1093"/>
      <c r="F1093" s="3"/>
    </row>
    <row r="1094" spans="3:6" x14ac:dyDescent="0.35">
      <c r="C1094" s="3"/>
      <c r="D1094"/>
      <c r="E1094"/>
      <c r="F1094" s="3"/>
    </row>
    <row r="1095" spans="3:6" x14ac:dyDescent="0.35">
      <c r="C1095" s="3"/>
      <c r="D1095"/>
      <c r="E1095"/>
      <c r="F1095" s="3"/>
    </row>
    <row r="1096" spans="3:6" x14ac:dyDescent="0.35">
      <c r="C1096" s="3"/>
      <c r="D1096"/>
      <c r="E1096"/>
      <c r="F1096" s="3"/>
    </row>
    <row r="1097" spans="3:6" x14ac:dyDescent="0.35">
      <c r="C1097" s="3"/>
      <c r="D1097"/>
      <c r="E1097"/>
      <c r="F1097" s="3"/>
    </row>
    <row r="1098" spans="3:6" x14ac:dyDescent="0.35">
      <c r="C1098" s="3"/>
      <c r="D1098"/>
      <c r="E1098"/>
      <c r="F1098" s="3"/>
    </row>
    <row r="1099" spans="3:6" x14ac:dyDescent="0.35">
      <c r="C1099" s="3"/>
      <c r="D1099"/>
      <c r="E1099"/>
      <c r="F1099" s="3"/>
    </row>
    <row r="1100" spans="3:6" x14ac:dyDescent="0.35">
      <c r="C1100" s="3"/>
      <c r="D1100"/>
      <c r="E1100"/>
      <c r="F1100" s="3"/>
    </row>
    <row r="1101" spans="3:6" x14ac:dyDescent="0.35">
      <c r="C1101" s="3"/>
      <c r="D1101"/>
      <c r="E1101"/>
      <c r="F1101" s="3"/>
    </row>
    <row r="1102" spans="3:6" x14ac:dyDescent="0.35">
      <c r="C1102" s="3"/>
      <c r="D1102"/>
      <c r="E1102"/>
      <c r="F1102" s="3"/>
    </row>
    <row r="1103" spans="3:6" x14ac:dyDescent="0.35">
      <c r="C1103" s="3"/>
      <c r="D1103"/>
      <c r="E1103"/>
      <c r="F1103" s="3"/>
    </row>
    <row r="1104" spans="3:6" x14ac:dyDescent="0.35">
      <c r="C1104" s="3"/>
      <c r="D1104"/>
      <c r="E1104"/>
      <c r="F1104" s="3"/>
    </row>
    <row r="1105" spans="3:6" x14ac:dyDescent="0.35">
      <c r="C1105" s="3"/>
      <c r="D1105"/>
      <c r="E1105"/>
      <c r="F1105" s="3"/>
    </row>
    <row r="1106" spans="3:6" x14ac:dyDescent="0.35">
      <c r="C1106" s="3"/>
      <c r="D1106"/>
      <c r="E1106"/>
      <c r="F1106" s="3"/>
    </row>
    <row r="1107" spans="3:6" x14ac:dyDescent="0.35">
      <c r="C1107" s="3"/>
      <c r="D1107"/>
      <c r="E1107"/>
      <c r="F1107" s="3"/>
    </row>
    <row r="1108" spans="3:6" x14ac:dyDescent="0.35">
      <c r="C1108" s="3"/>
      <c r="D1108"/>
      <c r="E1108"/>
      <c r="F1108" s="3"/>
    </row>
    <row r="1109" spans="3:6" x14ac:dyDescent="0.35">
      <c r="C1109" s="3"/>
      <c r="D1109"/>
      <c r="E1109"/>
      <c r="F1109" s="3"/>
    </row>
    <row r="1110" spans="3:6" x14ac:dyDescent="0.35">
      <c r="C1110" s="3"/>
      <c r="D1110"/>
      <c r="E1110"/>
      <c r="F1110" s="3"/>
    </row>
    <row r="1111" spans="3:6" x14ac:dyDescent="0.35">
      <c r="C1111" s="3"/>
      <c r="D1111"/>
      <c r="E1111"/>
      <c r="F1111" s="3"/>
    </row>
    <row r="1112" spans="3:6" x14ac:dyDescent="0.35">
      <c r="C1112" s="3"/>
      <c r="D1112"/>
      <c r="E1112"/>
      <c r="F1112" s="3"/>
    </row>
    <row r="1113" spans="3:6" x14ac:dyDescent="0.35">
      <c r="C1113" s="3"/>
      <c r="D1113"/>
      <c r="E1113"/>
      <c r="F1113" s="3"/>
    </row>
    <row r="1114" spans="3:6" x14ac:dyDescent="0.35">
      <c r="C1114" s="3"/>
      <c r="D1114"/>
      <c r="E1114"/>
      <c r="F1114" s="3"/>
    </row>
    <row r="1115" spans="3:6" x14ac:dyDescent="0.35">
      <c r="C1115" s="3"/>
      <c r="D1115"/>
      <c r="E1115"/>
      <c r="F1115" s="3"/>
    </row>
    <row r="1116" spans="3:6" x14ac:dyDescent="0.35">
      <c r="C1116" s="3"/>
      <c r="D1116"/>
      <c r="E1116"/>
      <c r="F1116" s="3"/>
    </row>
    <row r="1117" spans="3:6" x14ac:dyDescent="0.35">
      <c r="C1117" s="3"/>
      <c r="D1117"/>
      <c r="E1117"/>
      <c r="F1117" s="3"/>
    </row>
    <row r="1118" spans="3:6" x14ac:dyDescent="0.35">
      <c r="C1118" s="3"/>
      <c r="D1118"/>
      <c r="E1118"/>
      <c r="F1118" s="3"/>
    </row>
    <row r="1119" spans="3:6" x14ac:dyDescent="0.35">
      <c r="C1119" s="3"/>
      <c r="D1119"/>
      <c r="E1119"/>
      <c r="F1119" s="3"/>
    </row>
    <row r="1120" spans="3:6" x14ac:dyDescent="0.35">
      <c r="C1120" s="3"/>
      <c r="D1120"/>
      <c r="E1120"/>
      <c r="F1120" s="3"/>
    </row>
    <row r="1121" spans="3:6" x14ac:dyDescent="0.35">
      <c r="C1121" s="3"/>
      <c r="D1121"/>
      <c r="E1121"/>
      <c r="F1121" s="3"/>
    </row>
    <row r="1122" spans="3:6" x14ac:dyDescent="0.35">
      <c r="C1122" s="3"/>
      <c r="D1122"/>
      <c r="E1122"/>
      <c r="F1122" s="3"/>
    </row>
    <row r="1123" spans="3:6" x14ac:dyDescent="0.35">
      <c r="C1123" s="3"/>
      <c r="D1123"/>
      <c r="E1123"/>
      <c r="F1123" s="3"/>
    </row>
    <row r="1124" spans="3:6" x14ac:dyDescent="0.35">
      <c r="C1124" s="3"/>
      <c r="D1124"/>
      <c r="E1124"/>
      <c r="F1124" s="3"/>
    </row>
    <row r="1125" spans="3:6" x14ac:dyDescent="0.35">
      <c r="C1125" s="3"/>
      <c r="D1125"/>
      <c r="E1125"/>
      <c r="F1125" s="3"/>
    </row>
    <row r="1126" spans="3:6" x14ac:dyDescent="0.35">
      <c r="C1126" s="3"/>
      <c r="D1126"/>
      <c r="E1126"/>
      <c r="F1126" s="3"/>
    </row>
    <row r="1127" spans="3:6" x14ac:dyDescent="0.35">
      <c r="C1127" s="3"/>
      <c r="D1127"/>
      <c r="E1127"/>
      <c r="F1127" s="3"/>
    </row>
    <row r="1128" spans="3:6" x14ac:dyDescent="0.35">
      <c r="C1128" s="3"/>
      <c r="D1128"/>
      <c r="E1128"/>
      <c r="F1128" s="3"/>
    </row>
    <row r="1129" spans="3:6" x14ac:dyDescent="0.35">
      <c r="C1129" s="3"/>
      <c r="D1129"/>
      <c r="E1129"/>
      <c r="F1129" s="3"/>
    </row>
    <row r="1130" spans="3:6" x14ac:dyDescent="0.35">
      <c r="C1130" s="3"/>
      <c r="D1130"/>
      <c r="E1130"/>
      <c r="F1130" s="3"/>
    </row>
    <row r="1131" spans="3:6" x14ac:dyDescent="0.35">
      <c r="C1131" s="3"/>
      <c r="D1131"/>
      <c r="E1131"/>
      <c r="F1131" s="3"/>
    </row>
    <row r="1132" spans="3:6" x14ac:dyDescent="0.35">
      <c r="C1132" s="3"/>
      <c r="D1132"/>
      <c r="E1132"/>
      <c r="F1132" s="3"/>
    </row>
    <row r="1133" spans="3:6" x14ac:dyDescent="0.35">
      <c r="C1133" s="3"/>
      <c r="D1133"/>
      <c r="E1133"/>
      <c r="F1133" s="3"/>
    </row>
    <row r="1134" spans="3:6" x14ac:dyDescent="0.35">
      <c r="C1134" s="3"/>
      <c r="D1134"/>
      <c r="E1134"/>
      <c r="F1134" s="3"/>
    </row>
    <row r="1135" spans="3:6" x14ac:dyDescent="0.35">
      <c r="C1135" s="3"/>
      <c r="D1135"/>
      <c r="E1135"/>
      <c r="F1135" s="3"/>
    </row>
    <row r="1136" spans="3:6" x14ac:dyDescent="0.35">
      <c r="C1136" s="3"/>
      <c r="D1136"/>
      <c r="E1136"/>
      <c r="F1136" s="3"/>
    </row>
    <row r="1137" spans="3:6" x14ac:dyDescent="0.35">
      <c r="C1137" s="3"/>
      <c r="D1137"/>
      <c r="E1137"/>
      <c r="F1137" s="3"/>
    </row>
    <row r="1138" spans="3:6" x14ac:dyDescent="0.35">
      <c r="C1138" s="3"/>
      <c r="D1138"/>
      <c r="E1138"/>
      <c r="F1138" s="3"/>
    </row>
    <row r="1139" spans="3:6" x14ac:dyDescent="0.35">
      <c r="C1139" s="3"/>
      <c r="D1139"/>
      <c r="E1139"/>
      <c r="F1139" s="3"/>
    </row>
    <row r="1140" spans="3:6" x14ac:dyDescent="0.35">
      <c r="C1140" s="3"/>
      <c r="D1140"/>
      <c r="E1140"/>
      <c r="F1140" s="3"/>
    </row>
    <row r="1141" spans="3:6" x14ac:dyDescent="0.35">
      <c r="C1141" s="3"/>
      <c r="D1141"/>
      <c r="E1141"/>
      <c r="F1141" s="3"/>
    </row>
    <row r="1142" spans="3:6" x14ac:dyDescent="0.35">
      <c r="C1142" s="3"/>
      <c r="D1142"/>
      <c r="E1142"/>
      <c r="F1142" s="3"/>
    </row>
    <row r="1143" spans="3:6" x14ac:dyDescent="0.35">
      <c r="C1143" s="3"/>
      <c r="D1143"/>
      <c r="E1143"/>
      <c r="F1143" s="3"/>
    </row>
    <row r="1144" spans="3:6" x14ac:dyDescent="0.35">
      <c r="C1144" s="3"/>
      <c r="D1144"/>
      <c r="E1144"/>
      <c r="F1144" s="3"/>
    </row>
    <row r="1145" spans="3:6" x14ac:dyDescent="0.35">
      <c r="C1145" s="3"/>
      <c r="D1145"/>
      <c r="E1145"/>
      <c r="F1145" s="3"/>
    </row>
    <row r="1146" spans="3:6" x14ac:dyDescent="0.35">
      <c r="C1146" s="3"/>
      <c r="D1146"/>
      <c r="E1146"/>
      <c r="F1146" s="3"/>
    </row>
    <row r="1147" spans="3:6" x14ac:dyDescent="0.35">
      <c r="C1147" s="3"/>
      <c r="D1147"/>
      <c r="E1147"/>
      <c r="F1147" s="3"/>
    </row>
    <row r="1148" spans="3:6" x14ac:dyDescent="0.35">
      <c r="C1148" s="3"/>
      <c r="D1148"/>
      <c r="E1148"/>
      <c r="F1148" s="3"/>
    </row>
    <row r="1149" spans="3:6" x14ac:dyDescent="0.35">
      <c r="C1149" s="3"/>
      <c r="D1149"/>
      <c r="E1149"/>
      <c r="F1149" s="3"/>
    </row>
    <row r="1150" spans="3:6" x14ac:dyDescent="0.35">
      <c r="C1150" s="3"/>
      <c r="D1150"/>
      <c r="E1150"/>
      <c r="F1150" s="3"/>
    </row>
    <row r="1151" spans="3:6" x14ac:dyDescent="0.35">
      <c r="C1151" s="3"/>
      <c r="D1151"/>
      <c r="E1151"/>
      <c r="F1151" s="3"/>
    </row>
    <row r="1152" spans="3:6" x14ac:dyDescent="0.35">
      <c r="C1152" s="3"/>
      <c r="D1152"/>
      <c r="E1152"/>
      <c r="F1152" s="3"/>
    </row>
    <row r="1153" spans="3:6" x14ac:dyDescent="0.35">
      <c r="C1153" s="3"/>
      <c r="D1153"/>
      <c r="E1153"/>
      <c r="F1153" s="3"/>
    </row>
    <row r="1154" spans="3:6" x14ac:dyDescent="0.35">
      <c r="C1154" s="3"/>
      <c r="D1154"/>
      <c r="E1154"/>
      <c r="F1154" s="3"/>
    </row>
    <row r="1155" spans="3:6" x14ac:dyDescent="0.35">
      <c r="C1155" s="3"/>
      <c r="D1155"/>
      <c r="E1155"/>
      <c r="F1155" s="3"/>
    </row>
    <row r="1156" spans="3:6" x14ac:dyDescent="0.35">
      <c r="C1156" s="3"/>
      <c r="D1156"/>
      <c r="E1156"/>
      <c r="F1156" s="3"/>
    </row>
    <row r="1157" spans="3:6" x14ac:dyDescent="0.35">
      <c r="C1157" s="3"/>
      <c r="D1157"/>
      <c r="E1157"/>
      <c r="F1157" s="3"/>
    </row>
    <row r="1158" spans="3:6" x14ac:dyDescent="0.35">
      <c r="C1158" s="3"/>
      <c r="D1158"/>
      <c r="E1158"/>
      <c r="F1158" s="3"/>
    </row>
    <row r="1159" spans="3:6" x14ac:dyDescent="0.35">
      <c r="C1159" s="3"/>
      <c r="D1159"/>
      <c r="E1159"/>
      <c r="F1159" s="3"/>
    </row>
    <row r="1160" spans="3:6" x14ac:dyDescent="0.35">
      <c r="C1160" s="3"/>
      <c r="D1160"/>
      <c r="E1160"/>
      <c r="F1160" s="3"/>
    </row>
    <row r="1161" spans="3:6" x14ac:dyDescent="0.35">
      <c r="C1161" s="3"/>
      <c r="D1161"/>
      <c r="E1161"/>
      <c r="F1161" s="3"/>
    </row>
    <row r="1162" spans="3:6" x14ac:dyDescent="0.35">
      <c r="C1162" s="3"/>
      <c r="D1162"/>
      <c r="E1162"/>
      <c r="F1162" s="3"/>
    </row>
    <row r="1163" spans="3:6" x14ac:dyDescent="0.35">
      <c r="C1163" s="3"/>
      <c r="D1163"/>
      <c r="E1163"/>
      <c r="F1163" s="3"/>
    </row>
    <row r="1164" spans="3:6" x14ac:dyDescent="0.35">
      <c r="C1164" s="3"/>
      <c r="D1164"/>
      <c r="E1164"/>
      <c r="F1164" s="3"/>
    </row>
    <row r="1165" spans="3:6" x14ac:dyDescent="0.35">
      <c r="C1165" s="3"/>
      <c r="D1165"/>
      <c r="E1165"/>
      <c r="F1165" s="3"/>
    </row>
    <row r="1166" spans="3:6" x14ac:dyDescent="0.35">
      <c r="C1166" s="3"/>
      <c r="D1166"/>
      <c r="E1166"/>
      <c r="F1166" s="3"/>
    </row>
    <row r="1167" spans="3:6" x14ac:dyDescent="0.35">
      <c r="C1167" s="3"/>
      <c r="D1167"/>
      <c r="E1167"/>
      <c r="F1167" s="3"/>
    </row>
    <row r="1168" spans="3:6" x14ac:dyDescent="0.35">
      <c r="C1168" s="3"/>
      <c r="D1168"/>
      <c r="E1168"/>
      <c r="F1168" s="3"/>
    </row>
    <row r="1169" spans="3:6" x14ac:dyDescent="0.35">
      <c r="C1169" s="3"/>
      <c r="D1169"/>
      <c r="E1169"/>
      <c r="F1169" s="3"/>
    </row>
    <row r="1170" spans="3:6" x14ac:dyDescent="0.35">
      <c r="C1170" s="3"/>
      <c r="D1170"/>
      <c r="E1170"/>
      <c r="F1170" s="3"/>
    </row>
    <row r="1171" spans="3:6" x14ac:dyDescent="0.35">
      <c r="C1171" s="3"/>
      <c r="D1171"/>
      <c r="E1171"/>
      <c r="F1171" s="3"/>
    </row>
    <row r="1172" spans="3:6" x14ac:dyDescent="0.35">
      <c r="C1172" s="3"/>
      <c r="D1172"/>
      <c r="E1172"/>
      <c r="F1172" s="3"/>
    </row>
    <row r="1173" spans="3:6" x14ac:dyDescent="0.35">
      <c r="C1173" s="3"/>
      <c r="D1173"/>
      <c r="E1173"/>
      <c r="F1173" s="3"/>
    </row>
    <row r="1174" spans="3:6" x14ac:dyDescent="0.35">
      <c r="C1174" s="3"/>
      <c r="D1174"/>
      <c r="E1174"/>
      <c r="F1174" s="3"/>
    </row>
    <row r="1175" spans="3:6" x14ac:dyDescent="0.35">
      <c r="C1175" s="3"/>
      <c r="D1175"/>
      <c r="E1175"/>
      <c r="F1175" s="3"/>
    </row>
    <row r="1176" spans="3:6" x14ac:dyDescent="0.35">
      <c r="C1176" s="3"/>
      <c r="D1176"/>
      <c r="E1176"/>
      <c r="F1176" s="3"/>
    </row>
    <row r="1177" spans="3:6" x14ac:dyDescent="0.35">
      <c r="C1177" s="3"/>
      <c r="D1177"/>
      <c r="E1177"/>
      <c r="F1177" s="3"/>
    </row>
    <row r="1178" spans="3:6" x14ac:dyDescent="0.35">
      <c r="C1178" s="3"/>
      <c r="D1178"/>
      <c r="E1178"/>
      <c r="F1178" s="3"/>
    </row>
    <row r="1179" spans="3:6" x14ac:dyDescent="0.35">
      <c r="C1179" s="3"/>
      <c r="D1179"/>
      <c r="E1179"/>
      <c r="F1179" s="3"/>
    </row>
    <row r="1180" spans="3:6" x14ac:dyDescent="0.35">
      <c r="C1180" s="3"/>
      <c r="D1180"/>
      <c r="E1180"/>
      <c r="F1180" s="3"/>
    </row>
    <row r="1181" spans="3:6" x14ac:dyDescent="0.35">
      <c r="C1181" s="3"/>
      <c r="D1181"/>
      <c r="E1181"/>
      <c r="F1181" s="3"/>
    </row>
    <row r="1182" spans="3:6" x14ac:dyDescent="0.35">
      <c r="C1182" s="3"/>
      <c r="D1182"/>
      <c r="E1182"/>
      <c r="F1182" s="3"/>
    </row>
    <row r="1183" spans="3:6" x14ac:dyDescent="0.35">
      <c r="C1183" s="3"/>
      <c r="D1183"/>
      <c r="E1183"/>
      <c r="F1183" s="3"/>
    </row>
    <row r="1184" spans="3:6" x14ac:dyDescent="0.35">
      <c r="C1184" s="3"/>
      <c r="D1184"/>
      <c r="E1184"/>
      <c r="F1184" s="3"/>
    </row>
    <row r="1185" spans="3:6" x14ac:dyDescent="0.35">
      <c r="C1185" s="3"/>
      <c r="D1185"/>
      <c r="E1185"/>
      <c r="F1185" s="3"/>
    </row>
    <row r="1186" spans="3:6" x14ac:dyDescent="0.35">
      <c r="C1186" s="3"/>
      <c r="D1186"/>
      <c r="E1186"/>
      <c r="F1186" s="3"/>
    </row>
    <row r="1187" spans="3:6" x14ac:dyDescent="0.35">
      <c r="C1187" s="3"/>
      <c r="D1187"/>
      <c r="E1187"/>
      <c r="F1187" s="3"/>
    </row>
    <row r="1188" spans="3:6" x14ac:dyDescent="0.35">
      <c r="C1188" s="3"/>
      <c r="D1188"/>
      <c r="E1188"/>
      <c r="F1188" s="3"/>
    </row>
    <row r="1189" spans="3:6" x14ac:dyDescent="0.35">
      <c r="C1189" s="3"/>
      <c r="D1189"/>
      <c r="E1189"/>
      <c r="F1189" s="3"/>
    </row>
    <row r="1190" spans="3:6" x14ac:dyDescent="0.35">
      <c r="C1190" s="3"/>
      <c r="D1190"/>
      <c r="E1190"/>
      <c r="F1190" s="3"/>
    </row>
    <row r="1191" spans="3:6" x14ac:dyDescent="0.35">
      <c r="C1191" s="3"/>
      <c r="D1191"/>
      <c r="E1191"/>
      <c r="F1191" s="3"/>
    </row>
    <row r="1192" spans="3:6" x14ac:dyDescent="0.35">
      <c r="C1192" s="3"/>
      <c r="D1192"/>
      <c r="E1192"/>
      <c r="F1192" s="3"/>
    </row>
    <row r="1193" spans="3:6" x14ac:dyDescent="0.35">
      <c r="C1193" s="3"/>
      <c r="D1193"/>
      <c r="E1193"/>
      <c r="F1193" s="3"/>
    </row>
    <row r="1194" spans="3:6" x14ac:dyDescent="0.35">
      <c r="C1194" s="3"/>
      <c r="D1194"/>
      <c r="E1194"/>
      <c r="F1194" s="3"/>
    </row>
    <row r="1195" spans="3:6" x14ac:dyDescent="0.35">
      <c r="C1195" s="3"/>
      <c r="D1195"/>
      <c r="E1195"/>
      <c r="F1195" s="3"/>
    </row>
    <row r="1196" spans="3:6" x14ac:dyDescent="0.35">
      <c r="C1196" s="3"/>
      <c r="D1196"/>
      <c r="E1196"/>
      <c r="F1196" s="3"/>
    </row>
    <row r="1197" spans="3:6" x14ac:dyDescent="0.35">
      <c r="C1197" s="3"/>
      <c r="D1197"/>
      <c r="E1197"/>
      <c r="F1197" s="3"/>
    </row>
    <row r="1198" spans="3:6" x14ac:dyDescent="0.35">
      <c r="C1198" s="3"/>
      <c r="D1198"/>
      <c r="E1198"/>
      <c r="F1198" s="3"/>
    </row>
    <row r="1199" spans="3:6" x14ac:dyDescent="0.35">
      <c r="C1199" s="3"/>
      <c r="D1199"/>
      <c r="E1199"/>
      <c r="F1199" s="3"/>
    </row>
    <row r="1200" spans="3:6" x14ac:dyDescent="0.35">
      <c r="C1200" s="3"/>
      <c r="D1200"/>
      <c r="E1200"/>
      <c r="F1200" s="3"/>
    </row>
    <row r="1201" spans="3:6" x14ac:dyDescent="0.35">
      <c r="C1201" s="3"/>
      <c r="D1201"/>
      <c r="E1201"/>
      <c r="F1201" s="3"/>
    </row>
    <row r="1202" spans="3:6" x14ac:dyDescent="0.35">
      <c r="C1202" s="3"/>
      <c r="D1202"/>
      <c r="E1202"/>
      <c r="F1202" s="3"/>
    </row>
    <row r="1203" spans="3:6" x14ac:dyDescent="0.35">
      <c r="C1203" s="3"/>
      <c r="D1203"/>
      <c r="E1203"/>
      <c r="F1203" s="3"/>
    </row>
    <row r="1204" spans="3:6" x14ac:dyDescent="0.35">
      <c r="C1204" s="3"/>
      <c r="D1204"/>
      <c r="E1204"/>
      <c r="F1204" s="3"/>
    </row>
    <row r="1205" spans="3:6" x14ac:dyDescent="0.35">
      <c r="C1205" s="3"/>
      <c r="D1205"/>
      <c r="E1205"/>
      <c r="F1205" s="3"/>
    </row>
    <row r="1206" spans="3:6" x14ac:dyDescent="0.35">
      <c r="C1206" s="3"/>
      <c r="D1206"/>
      <c r="E1206"/>
      <c r="F1206" s="3"/>
    </row>
    <row r="1207" spans="3:6" x14ac:dyDescent="0.35">
      <c r="C1207" s="3"/>
      <c r="D1207"/>
      <c r="E1207"/>
      <c r="F1207" s="3"/>
    </row>
    <row r="1208" spans="3:6" x14ac:dyDescent="0.35">
      <c r="C1208" s="3"/>
      <c r="D1208"/>
      <c r="E1208"/>
      <c r="F1208" s="3"/>
    </row>
    <row r="1209" spans="3:6" x14ac:dyDescent="0.35">
      <c r="C1209" s="3"/>
      <c r="D1209"/>
      <c r="E1209"/>
      <c r="F1209" s="3"/>
    </row>
    <row r="1210" spans="3:6" x14ac:dyDescent="0.35">
      <c r="C1210" s="3"/>
      <c r="D1210"/>
      <c r="E1210"/>
      <c r="F1210" s="3"/>
    </row>
    <row r="1211" spans="3:6" x14ac:dyDescent="0.35">
      <c r="C1211" s="3"/>
      <c r="D1211"/>
      <c r="E1211"/>
      <c r="F1211" s="3"/>
    </row>
    <row r="1212" spans="3:6" x14ac:dyDescent="0.35">
      <c r="C1212" s="3"/>
      <c r="D1212"/>
      <c r="E1212"/>
      <c r="F1212" s="3"/>
    </row>
    <row r="1213" spans="3:6" x14ac:dyDescent="0.35">
      <c r="C1213" s="3"/>
      <c r="D1213"/>
      <c r="E1213"/>
      <c r="F1213" s="3"/>
    </row>
    <row r="1214" spans="3:6" x14ac:dyDescent="0.35">
      <c r="C1214" s="3"/>
      <c r="D1214"/>
      <c r="E1214"/>
      <c r="F1214" s="3"/>
    </row>
    <row r="1215" spans="3:6" x14ac:dyDescent="0.35">
      <c r="C1215" s="3"/>
      <c r="D1215"/>
      <c r="E1215"/>
      <c r="F1215" s="3"/>
    </row>
    <row r="1216" spans="3:6" x14ac:dyDescent="0.35">
      <c r="C1216" s="3"/>
      <c r="D1216"/>
      <c r="E1216"/>
      <c r="F1216" s="3"/>
    </row>
    <row r="1217" spans="3:6" x14ac:dyDescent="0.35">
      <c r="C1217" s="3"/>
      <c r="D1217"/>
      <c r="E1217"/>
      <c r="F1217" s="3"/>
    </row>
    <row r="1218" spans="3:6" x14ac:dyDescent="0.35">
      <c r="C1218" s="3"/>
      <c r="D1218"/>
      <c r="E1218"/>
      <c r="F1218" s="3"/>
    </row>
    <row r="1219" spans="3:6" x14ac:dyDescent="0.35">
      <c r="C1219" s="3"/>
      <c r="D1219"/>
      <c r="E1219"/>
      <c r="F1219" s="3"/>
    </row>
    <row r="1220" spans="3:6" x14ac:dyDescent="0.35">
      <c r="C1220" s="3"/>
      <c r="D1220"/>
      <c r="E1220"/>
      <c r="F1220" s="3"/>
    </row>
    <row r="1221" spans="3:6" x14ac:dyDescent="0.35">
      <c r="C1221" s="3"/>
      <c r="D1221"/>
      <c r="E1221"/>
      <c r="F1221" s="3"/>
    </row>
    <row r="1222" spans="3:6" x14ac:dyDescent="0.35">
      <c r="C1222" s="3"/>
      <c r="D1222"/>
      <c r="E1222"/>
      <c r="F1222" s="3"/>
    </row>
    <row r="1223" spans="3:6" x14ac:dyDescent="0.35">
      <c r="C1223" s="3"/>
      <c r="D1223"/>
      <c r="E1223"/>
      <c r="F1223" s="3"/>
    </row>
    <row r="1224" spans="3:6" x14ac:dyDescent="0.35">
      <c r="C1224" s="3"/>
      <c r="D1224"/>
      <c r="E1224"/>
      <c r="F1224" s="3"/>
    </row>
    <row r="1225" spans="3:6" x14ac:dyDescent="0.35">
      <c r="C1225" s="3"/>
      <c r="D1225"/>
      <c r="E1225"/>
      <c r="F1225" s="3"/>
    </row>
    <row r="1226" spans="3:6" x14ac:dyDescent="0.35">
      <c r="C1226" s="3"/>
      <c r="D1226"/>
      <c r="E1226"/>
      <c r="F1226" s="3"/>
    </row>
    <row r="1227" spans="3:6" x14ac:dyDescent="0.35">
      <c r="C1227" s="3"/>
      <c r="D1227"/>
      <c r="E1227"/>
      <c r="F1227" s="3"/>
    </row>
    <row r="1228" spans="3:6" x14ac:dyDescent="0.35">
      <c r="C1228" s="3"/>
      <c r="D1228"/>
      <c r="E1228"/>
      <c r="F1228" s="3"/>
    </row>
    <row r="1229" spans="3:6" x14ac:dyDescent="0.35">
      <c r="C1229" s="3"/>
      <c r="D1229"/>
      <c r="E1229"/>
      <c r="F1229" s="3"/>
    </row>
    <row r="1230" spans="3:6" x14ac:dyDescent="0.35">
      <c r="C1230" s="3"/>
      <c r="D1230"/>
      <c r="E1230"/>
      <c r="F1230" s="3"/>
    </row>
    <row r="1231" spans="3:6" x14ac:dyDescent="0.35">
      <c r="C1231" s="3"/>
      <c r="D1231"/>
      <c r="E1231"/>
      <c r="F1231" s="3"/>
    </row>
    <row r="1232" spans="3:6" x14ac:dyDescent="0.35">
      <c r="C1232" s="3"/>
      <c r="D1232"/>
      <c r="E1232"/>
      <c r="F1232" s="3"/>
    </row>
    <row r="1233" spans="3:6" x14ac:dyDescent="0.35">
      <c r="C1233" s="3"/>
      <c r="D1233"/>
      <c r="E1233"/>
      <c r="F1233" s="3"/>
    </row>
    <row r="1234" spans="3:6" x14ac:dyDescent="0.35">
      <c r="C1234" s="3"/>
      <c r="D1234"/>
      <c r="E1234"/>
      <c r="F1234" s="3"/>
    </row>
    <row r="1235" spans="3:6" x14ac:dyDescent="0.35">
      <c r="C1235" s="3"/>
      <c r="D1235"/>
      <c r="E1235"/>
      <c r="F1235" s="3"/>
    </row>
    <row r="1236" spans="3:6" x14ac:dyDescent="0.35">
      <c r="C1236" s="3"/>
      <c r="D1236"/>
      <c r="E1236"/>
      <c r="F1236" s="3"/>
    </row>
    <row r="1237" spans="3:6" x14ac:dyDescent="0.35">
      <c r="C1237" s="3"/>
      <c r="D1237"/>
      <c r="E1237"/>
      <c r="F1237" s="3"/>
    </row>
    <row r="1238" spans="3:6" x14ac:dyDescent="0.35">
      <c r="C1238" s="3"/>
      <c r="D1238"/>
      <c r="E1238"/>
      <c r="F1238" s="3"/>
    </row>
    <row r="1239" spans="3:6" x14ac:dyDescent="0.35">
      <c r="C1239" s="3"/>
      <c r="D1239"/>
      <c r="E1239"/>
      <c r="F1239" s="3"/>
    </row>
    <row r="1240" spans="3:6" x14ac:dyDescent="0.35">
      <c r="C1240" s="3"/>
      <c r="D1240"/>
      <c r="E1240"/>
      <c r="F1240" s="3"/>
    </row>
    <row r="1241" spans="3:6" x14ac:dyDescent="0.35">
      <c r="C1241" s="3"/>
      <c r="D1241"/>
      <c r="E1241"/>
      <c r="F1241" s="3"/>
    </row>
    <row r="1242" spans="3:6" x14ac:dyDescent="0.35">
      <c r="C1242" s="3"/>
      <c r="D1242"/>
      <c r="E1242"/>
      <c r="F1242" s="3"/>
    </row>
    <row r="1243" spans="3:6" x14ac:dyDescent="0.35">
      <c r="C1243" s="3"/>
      <c r="D1243"/>
      <c r="E1243"/>
      <c r="F1243" s="3"/>
    </row>
    <row r="1244" spans="3:6" x14ac:dyDescent="0.35">
      <c r="C1244" s="3"/>
      <c r="D1244"/>
      <c r="E1244"/>
      <c r="F1244" s="3"/>
    </row>
    <row r="1245" spans="3:6" x14ac:dyDescent="0.35">
      <c r="C1245" s="3"/>
      <c r="D1245"/>
      <c r="E1245"/>
      <c r="F1245" s="3"/>
    </row>
    <row r="1246" spans="3:6" x14ac:dyDescent="0.35">
      <c r="C1246" s="3"/>
      <c r="D1246"/>
      <c r="E1246"/>
      <c r="F1246" s="3"/>
    </row>
    <row r="1247" spans="3:6" x14ac:dyDescent="0.35">
      <c r="C1247" s="3"/>
      <c r="D1247"/>
      <c r="E1247"/>
      <c r="F1247" s="3"/>
    </row>
    <row r="1248" spans="3:6" x14ac:dyDescent="0.35">
      <c r="C1248" s="3"/>
      <c r="D1248"/>
      <c r="E1248"/>
      <c r="F1248" s="3"/>
    </row>
    <row r="1249" spans="3:6" x14ac:dyDescent="0.35">
      <c r="C1249" s="3"/>
      <c r="D1249"/>
      <c r="E1249"/>
      <c r="F1249" s="3"/>
    </row>
    <row r="1250" spans="3:6" x14ac:dyDescent="0.35">
      <c r="C1250" s="3"/>
      <c r="D1250"/>
      <c r="E1250"/>
      <c r="F1250" s="3"/>
    </row>
    <row r="1251" spans="3:6" x14ac:dyDescent="0.35">
      <c r="C1251" s="3"/>
      <c r="D1251"/>
      <c r="E1251"/>
      <c r="F1251" s="3"/>
    </row>
    <row r="1252" spans="3:6" x14ac:dyDescent="0.35">
      <c r="C1252" s="3"/>
      <c r="D1252"/>
      <c r="E1252"/>
      <c r="F1252" s="3"/>
    </row>
    <row r="1253" spans="3:6" x14ac:dyDescent="0.35">
      <c r="C1253" s="3"/>
      <c r="D1253"/>
      <c r="E1253"/>
      <c r="F1253" s="3"/>
    </row>
    <row r="1254" spans="3:6" x14ac:dyDescent="0.35">
      <c r="C1254" s="3"/>
      <c r="D1254"/>
      <c r="E1254"/>
      <c r="F1254" s="3"/>
    </row>
    <row r="1255" spans="3:6" x14ac:dyDescent="0.35">
      <c r="C1255" s="3"/>
      <c r="D1255"/>
      <c r="E1255"/>
      <c r="F1255" s="3"/>
    </row>
    <row r="1256" spans="3:6" x14ac:dyDescent="0.35">
      <c r="C1256" s="3"/>
      <c r="D1256"/>
      <c r="E1256"/>
      <c r="F1256" s="3"/>
    </row>
    <row r="1257" spans="3:6" x14ac:dyDescent="0.35">
      <c r="C1257" s="3"/>
      <c r="D1257"/>
      <c r="E1257"/>
      <c r="F1257" s="3"/>
    </row>
    <row r="1258" spans="3:6" x14ac:dyDescent="0.35">
      <c r="C1258" s="3"/>
      <c r="D1258"/>
      <c r="E1258"/>
      <c r="F1258" s="3"/>
    </row>
    <row r="1259" spans="3:6" x14ac:dyDescent="0.35">
      <c r="C1259" s="3"/>
      <c r="D1259"/>
      <c r="E1259"/>
      <c r="F1259" s="3"/>
    </row>
    <row r="1260" spans="3:6" x14ac:dyDescent="0.35">
      <c r="C1260" s="3"/>
      <c r="D1260"/>
      <c r="E1260"/>
      <c r="F1260" s="3"/>
    </row>
    <row r="1261" spans="3:6" x14ac:dyDescent="0.35">
      <c r="C1261" s="3"/>
      <c r="D1261"/>
      <c r="E1261"/>
      <c r="F1261" s="3"/>
    </row>
    <row r="1262" spans="3:6" x14ac:dyDescent="0.35">
      <c r="C1262" s="3"/>
      <c r="D1262"/>
      <c r="E1262"/>
      <c r="F1262" s="3"/>
    </row>
    <row r="1263" spans="3:6" x14ac:dyDescent="0.35">
      <c r="C1263" s="3"/>
      <c r="D1263"/>
      <c r="E1263"/>
      <c r="F1263" s="3"/>
    </row>
    <row r="1264" spans="3:6" x14ac:dyDescent="0.35">
      <c r="C1264" s="3"/>
      <c r="D1264"/>
      <c r="E1264"/>
      <c r="F1264" s="3"/>
    </row>
    <row r="1265" spans="3:6" x14ac:dyDescent="0.35">
      <c r="C1265" s="3"/>
      <c r="D1265"/>
      <c r="E1265"/>
      <c r="F1265" s="3"/>
    </row>
    <row r="1266" spans="3:6" x14ac:dyDescent="0.35">
      <c r="C1266" s="3"/>
      <c r="D1266"/>
      <c r="E1266"/>
      <c r="F1266" s="3"/>
    </row>
    <row r="1267" spans="3:6" x14ac:dyDescent="0.35">
      <c r="C1267" s="3"/>
      <c r="D1267"/>
      <c r="E1267"/>
      <c r="F1267" s="3"/>
    </row>
    <row r="1268" spans="3:6" x14ac:dyDescent="0.35">
      <c r="C1268" s="3"/>
      <c r="D1268"/>
      <c r="E1268"/>
      <c r="F1268" s="3"/>
    </row>
    <row r="1269" spans="3:6" x14ac:dyDescent="0.35">
      <c r="C1269" s="3"/>
      <c r="D1269"/>
      <c r="E1269"/>
      <c r="F1269" s="3"/>
    </row>
    <row r="1270" spans="3:6" x14ac:dyDescent="0.35">
      <c r="C1270" s="3"/>
      <c r="D1270"/>
      <c r="E1270"/>
      <c r="F1270" s="3"/>
    </row>
    <row r="1271" spans="3:6" x14ac:dyDescent="0.35">
      <c r="C1271" s="3"/>
      <c r="D1271"/>
      <c r="E1271"/>
      <c r="F1271" s="3"/>
    </row>
    <row r="1272" spans="3:6" x14ac:dyDescent="0.35">
      <c r="C1272" s="3"/>
      <c r="D1272"/>
      <c r="E1272"/>
      <c r="F1272" s="3"/>
    </row>
    <row r="1273" spans="3:6" x14ac:dyDescent="0.35">
      <c r="C1273" s="3"/>
      <c r="D1273"/>
      <c r="E1273"/>
      <c r="F1273" s="3"/>
    </row>
    <row r="1274" spans="3:6" x14ac:dyDescent="0.35">
      <c r="C1274" s="3"/>
      <c r="D1274"/>
      <c r="E1274"/>
      <c r="F1274" s="3"/>
    </row>
    <row r="1275" spans="3:6" x14ac:dyDescent="0.35">
      <c r="C1275" s="3"/>
      <c r="D1275"/>
      <c r="E1275"/>
      <c r="F1275" s="3"/>
    </row>
    <row r="1276" spans="3:6" x14ac:dyDescent="0.35">
      <c r="C1276" s="3"/>
      <c r="D1276"/>
      <c r="E1276"/>
      <c r="F1276" s="3"/>
    </row>
    <row r="1277" spans="3:6" x14ac:dyDescent="0.35">
      <c r="C1277" s="3"/>
      <c r="D1277"/>
      <c r="E1277"/>
      <c r="F1277" s="3"/>
    </row>
    <row r="1278" spans="3:6" x14ac:dyDescent="0.35">
      <c r="C1278" s="3"/>
      <c r="D1278"/>
      <c r="E1278"/>
      <c r="F1278" s="3"/>
    </row>
    <row r="1279" spans="3:6" x14ac:dyDescent="0.35">
      <c r="C1279" s="3"/>
      <c r="D1279"/>
      <c r="E1279"/>
      <c r="F1279" s="3"/>
    </row>
    <row r="1280" spans="3:6" x14ac:dyDescent="0.35">
      <c r="C1280" s="3"/>
      <c r="D1280"/>
      <c r="E1280"/>
      <c r="F1280" s="3"/>
    </row>
    <row r="1281" spans="3:6" x14ac:dyDescent="0.35">
      <c r="C1281" s="3"/>
      <c r="D1281"/>
      <c r="E1281"/>
      <c r="F1281" s="3"/>
    </row>
    <row r="1282" spans="3:6" x14ac:dyDescent="0.35">
      <c r="C1282" s="3"/>
      <c r="D1282"/>
      <c r="E1282"/>
      <c r="F1282" s="3"/>
    </row>
    <row r="1283" spans="3:6" x14ac:dyDescent="0.35">
      <c r="C1283" s="3"/>
      <c r="D1283"/>
      <c r="E1283"/>
      <c r="F1283" s="3"/>
    </row>
    <row r="1284" spans="3:6" x14ac:dyDescent="0.35">
      <c r="C1284" s="3"/>
      <c r="D1284"/>
      <c r="E1284"/>
      <c r="F1284" s="3"/>
    </row>
    <row r="1285" spans="3:6" x14ac:dyDescent="0.35">
      <c r="C1285" s="3"/>
      <c r="D1285"/>
      <c r="E1285"/>
      <c r="F1285" s="3"/>
    </row>
    <row r="1286" spans="3:6" x14ac:dyDescent="0.35">
      <c r="C1286" s="3"/>
      <c r="D1286"/>
      <c r="E1286"/>
      <c r="F1286" s="3"/>
    </row>
    <row r="1287" spans="3:6" x14ac:dyDescent="0.35">
      <c r="C1287" s="3"/>
      <c r="D1287"/>
      <c r="E1287"/>
      <c r="F1287" s="3"/>
    </row>
    <row r="1288" spans="3:6" x14ac:dyDescent="0.35">
      <c r="C1288" s="3"/>
      <c r="D1288"/>
      <c r="E1288"/>
      <c r="F1288" s="3"/>
    </row>
    <row r="1289" spans="3:6" x14ac:dyDescent="0.35">
      <c r="C1289" s="3"/>
      <c r="D1289"/>
      <c r="E1289"/>
      <c r="F1289" s="3"/>
    </row>
    <row r="1290" spans="3:6" x14ac:dyDescent="0.35">
      <c r="C1290" s="3"/>
      <c r="D1290"/>
      <c r="E1290"/>
      <c r="F1290" s="3"/>
    </row>
    <row r="1291" spans="3:6" x14ac:dyDescent="0.35">
      <c r="C1291" s="3"/>
      <c r="D1291"/>
      <c r="E1291"/>
      <c r="F1291" s="3"/>
    </row>
    <row r="1292" spans="3:6" x14ac:dyDescent="0.35">
      <c r="C1292" s="3"/>
      <c r="D1292"/>
      <c r="E1292"/>
      <c r="F1292" s="3"/>
    </row>
    <row r="1293" spans="3:6" x14ac:dyDescent="0.35">
      <c r="C1293" s="3"/>
      <c r="D1293"/>
      <c r="E1293"/>
      <c r="F1293" s="3"/>
    </row>
    <row r="1294" spans="3:6" x14ac:dyDescent="0.35">
      <c r="C1294" s="3"/>
      <c r="D1294"/>
      <c r="E1294"/>
      <c r="F1294" s="3"/>
    </row>
    <row r="1295" spans="3:6" x14ac:dyDescent="0.35">
      <c r="C1295" s="3"/>
      <c r="D1295"/>
      <c r="E1295"/>
      <c r="F1295" s="3"/>
    </row>
    <row r="1296" spans="3:6" x14ac:dyDescent="0.35">
      <c r="C1296" s="3"/>
      <c r="D1296"/>
      <c r="E1296"/>
      <c r="F1296" s="3"/>
    </row>
    <row r="1297" spans="3:6" x14ac:dyDescent="0.35">
      <c r="C1297" s="3"/>
      <c r="D1297"/>
      <c r="E1297"/>
      <c r="F1297" s="3"/>
    </row>
    <row r="1298" spans="3:6" x14ac:dyDescent="0.35">
      <c r="C1298" s="3"/>
      <c r="D1298"/>
      <c r="E1298"/>
      <c r="F1298" s="3"/>
    </row>
    <row r="1299" spans="3:6" x14ac:dyDescent="0.35">
      <c r="C1299" s="3"/>
      <c r="D1299"/>
      <c r="E1299"/>
      <c r="F1299" s="3"/>
    </row>
    <row r="1300" spans="3:6" x14ac:dyDescent="0.35">
      <c r="C1300" s="3"/>
      <c r="D1300"/>
      <c r="E1300"/>
      <c r="F1300" s="3"/>
    </row>
    <row r="1301" spans="3:6" x14ac:dyDescent="0.35">
      <c r="C1301" s="3"/>
      <c r="D1301"/>
      <c r="E1301"/>
      <c r="F1301" s="3"/>
    </row>
    <row r="1302" spans="3:6" x14ac:dyDescent="0.35">
      <c r="C1302" s="3"/>
      <c r="D1302"/>
      <c r="E1302"/>
      <c r="F1302" s="3"/>
    </row>
    <row r="1303" spans="3:6" x14ac:dyDescent="0.35">
      <c r="C1303" s="3"/>
      <c r="D1303"/>
      <c r="E1303"/>
      <c r="F1303" s="3"/>
    </row>
    <row r="1304" spans="3:6" x14ac:dyDescent="0.35">
      <c r="C1304" s="3"/>
      <c r="D1304"/>
      <c r="E1304"/>
      <c r="F1304" s="3"/>
    </row>
    <row r="1305" spans="3:6" x14ac:dyDescent="0.35">
      <c r="C1305" s="3"/>
      <c r="D1305"/>
      <c r="E1305"/>
      <c r="F1305" s="3"/>
    </row>
    <row r="1306" spans="3:6" x14ac:dyDescent="0.35">
      <c r="C1306" s="3"/>
      <c r="D1306"/>
      <c r="E1306"/>
      <c r="F1306" s="3"/>
    </row>
    <row r="1307" spans="3:6" x14ac:dyDescent="0.35">
      <c r="C1307" s="3"/>
      <c r="D1307"/>
      <c r="E1307"/>
      <c r="F1307" s="3"/>
    </row>
    <row r="1308" spans="3:6" x14ac:dyDescent="0.35">
      <c r="C1308" s="3"/>
      <c r="D1308"/>
      <c r="E1308"/>
      <c r="F1308" s="3"/>
    </row>
    <row r="1309" spans="3:6" x14ac:dyDescent="0.35">
      <c r="C1309" s="3"/>
      <c r="D1309"/>
      <c r="E1309"/>
      <c r="F1309" s="3"/>
    </row>
    <row r="1310" spans="3:6" x14ac:dyDescent="0.35">
      <c r="C1310" s="3"/>
      <c r="D1310"/>
      <c r="E1310"/>
      <c r="F1310" s="3"/>
    </row>
    <row r="1311" spans="3:6" x14ac:dyDescent="0.35">
      <c r="C1311" s="3"/>
      <c r="D1311"/>
      <c r="E1311"/>
      <c r="F1311" s="3"/>
    </row>
    <row r="1312" spans="3:6" x14ac:dyDescent="0.35">
      <c r="C1312" s="3"/>
      <c r="D1312"/>
      <c r="E1312"/>
      <c r="F1312" s="3"/>
    </row>
    <row r="1313" spans="3:6" x14ac:dyDescent="0.35">
      <c r="C1313" s="3"/>
      <c r="D1313"/>
      <c r="E1313"/>
      <c r="F1313" s="3"/>
    </row>
    <row r="1314" spans="3:6" x14ac:dyDescent="0.35">
      <c r="C1314" s="3"/>
      <c r="D1314"/>
      <c r="E1314"/>
      <c r="F1314" s="3"/>
    </row>
    <row r="1315" spans="3:6" x14ac:dyDescent="0.35">
      <c r="C1315" s="3"/>
      <c r="D1315"/>
      <c r="E1315"/>
      <c r="F1315" s="3"/>
    </row>
    <row r="1316" spans="3:6" x14ac:dyDescent="0.35">
      <c r="C1316" s="3"/>
      <c r="D1316"/>
      <c r="E1316"/>
      <c r="F1316" s="3"/>
    </row>
    <row r="1317" spans="3:6" x14ac:dyDescent="0.35">
      <c r="C1317" s="3"/>
      <c r="D1317"/>
      <c r="E1317"/>
      <c r="F1317" s="3"/>
    </row>
    <row r="1318" spans="3:6" x14ac:dyDescent="0.35">
      <c r="C1318" s="3"/>
      <c r="D1318"/>
      <c r="E1318"/>
      <c r="F1318" s="3"/>
    </row>
    <row r="1319" spans="3:6" x14ac:dyDescent="0.35">
      <c r="C1319" s="3"/>
      <c r="D1319"/>
      <c r="E1319"/>
      <c r="F1319" s="3"/>
    </row>
    <row r="1320" spans="3:6" x14ac:dyDescent="0.35">
      <c r="C1320" s="3"/>
      <c r="D1320"/>
      <c r="E1320"/>
      <c r="F1320" s="3"/>
    </row>
    <row r="1321" spans="3:6" x14ac:dyDescent="0.35">
      <c r="C1321" s="3"/>
      <c r="D1321"/>
      <c r="E1321"/>
      <c r="F1321" s="3"/>
    </row>
    <row r="1322" spans="3:6" x14ac:dyDescent="0.35">
      <c r="C1322" s="3"/>
      <c r="D1322"/>
      <c r="E1322"/>
      <c r="F1322" s="3"/>
    </row>
    <row r="1323" spans="3:6" x14ac:dyDescent="0.35">
      <c r="C1323" s="3"/>
      <c r="D1323"/>
      <c r="E1323"/>
      <c r="F1323" s="3"/>
    </row>
    <row r="1324" spans="3:6" x14ac:dyDescent="0.35">
      <c r="C1324" s="3"/>
      <c r="D1324"/>
      <c r="E1324"/>
      <c r="F1324" s="3"/>
    </row>
    <row r="1325" spans="3:6" x14ac:dyDescent="0.35">
      <c r="C1325" s="3"/>
      <c r="D1325"/>
      <c r="E1325"/>
      <c r="F1325" s="3"/>
    </row>
    <row r="1326" spans="3:6" x14ac:dyDescent="0.35">
      <c r="C1326" s="3"/>
      <c r="D1326"/>
      <c r="E1326"/>
      <c r="F1326" s="3"/>
    </row>
    <row r="1327" spans="3:6" x14ac:dyDescent="0.35">
      <c r="C1327" s="3"/>
      <c r="D1327"/>
      <c r="E1327"/>
      <c r="F1327" s="3"/>
    </row>
    <row r="1328" spans="3:6" x14ac:dyDescent="0.35">
      <c r="C1328" s="3"/>
      <c r="D1328"/>
      <c r="E1328"/>
      <c r="F1328" s="3"/>
    </row>
    <row r="1329" spans="3:6" x14ac:dyDescent="0.35">
      <c r="C1329" s="3"/>
      <c r="D1329"/>
      <c r="E1329"/>
      <c r="F1329" s="3"/>
    </row>
    <row r="1330" spans="3:6" x14ac:dyDescent="0.35">
      <c r="C1330" s="3"/>
      <c r="D1330"/>
      <c r="E1330"/>
      <c r="F1330" s="3"/>
    </row>
    <row r="1331" spans="3:6" x14ac:dyDescent="0.35">
      <c r="C1331" s="3"/>
      <c r="D1331"/>
      <c r="E1331"/>
      <c r="F1331" s="3"/>
    </row>
    <row r="1332" spans="3:6" x14ac:dyDescent="0.35">
      <c r="C1332" s="3"/>
      <c r="D1332"/>
      <c r="E1332"/>
      <c r="F1332" s="3"/>
    </row>
    <row r="1333" spans="3:6" x14ac:dyDescent="0.35">
      <c r="C1333" s="3"/>
      <c r="D1333"/>
      <c r="E1333"/>
      <c r="F1333" s="3"/>
    </row>
    <row r="1334" spans="3:6" x14ac:dyDescent="0.35">
      <c r="C1334" s="3"/>
      <c r="D1334"/>
      <c r="E1334"/>
      <c r="F1334" s="3"/>
    </row>
    <row r="1335" spans="3:6" x14ac:dyDescent="0.35">
      <c r="C1335" s="3"/>
      <c r="D1335"/>
      <c r="E1335"/>
      <c r="F1335" s="3"/>
    </row>
    <row r="1336" spans="3:6" x14ac:dyDescent="0.35">
      <c r="C1336" s="3"/>
      <c r="D1336"/>
      <c r="E1336"/>
      <c r="F1336" s="3"/>
    </row>
    <row r="1337" spans="3:6" x14ac:dyDescent="0.35">
      <c r="C1337" s="3"/>
      <c r="D1337"/>
      <c r="E1337"/>
      <c r="F1337" s="3"/>
    </row>
    <row r="1338" spans="3:6" x14ac:dyDescent="0.35">
      <c r="C1338" s="3"/>
      <c r="D1338"/>
      <c r="E1338"/>
      <c r="F1338" s="3"/>
    </row>
    <row r="1339" spans="3:6" x14ac:dyDescent="0.35">
      <c r="C1339" s="3"/>
      <c r="D1339"/>
      <c r="E1339"/>
      <c r="F1339" s="3"/>
    </row>
    <row r="1340" spans="3:6" x14ac:dyDescent="0.35">
      <c r="C1340" s="3"/>
      <c r="D1340"/>
      <c r="E1340"/>
      <c r="F1340" s="3"/>
    </row>
    <row r="1341" spans="3:6" x14ac:dyDescent="0.35">
      <c r="C1341" s="3"/>
      <c r="D1341"/>
      <c r="E1341"/>
      <c r="F1341" s="3"/>
    </row>
    <row r="1342" spans="3:6" x14ac:dyDescent="0.35">
      <c r="C1342" s="3"/>
      <c r="D1342"/>
      <c r="E1342"/>
      <c r="F1342" s="3"/>
    </row>
    <row r="1343" spans="3:6" x14ac:dyDescent="0.35">
      <c r="C1343" s="3"/>
      <c r="D1343"/>
      <c r="E1343"/>
      <c r="F1343" s="3"/>
    </row>
    <row r="1344" spans="3:6" x14ac:dyDescent="0.35">
      <c r="C1344" s="3"/>
      <c r="D1344"/>
      <c r="E1344"/>
      <c r="F1344" s="3"/>
    </row>
    <row r="1345" spans="3:6" x14ac:dyDescent="0.35">
      <c r="C1345" s="3"/>
      <c r="D1345"/>
      <c r="E1345"/>
      <c r="F1345" s="3"/>
    </row>
    <row r="1346" spans="3:6" x14ac:dyDescent="0.35">
      <c r="C1346" s="3"/>
      <c r="D1346"/>
      <c r="E1346"/>
      <c r="F1346" s="3"/>
    </row>
    <row r="1347" spans="3:6" x14ac:dyDescent="0.35">
      <c r="C1347" s="3"/>
      <c r="D1347"/>
      <c r="E1347"/>
      <c r="F1347" s="3"/>
    </row>
    <row r="1348" spans="3:6" x14ac:dyDescent="0.35">
      <c r="C1348" s="3"/>
      <c r="D1348"/>
      <c r="E1348"/>
      <c r="F1348" s="3"/>
    </row>
    <row r="1349" spans="3:6" x14ac:dyDescent="0.35">
      <c r="C1349" s="3"/>
      <c r="D1349"/>
      <c r="E1349"/>
      <c r="F1349" s="3"/>
    </row>
    <row r="1350" spans="3:6" x14ac:dyDescent="0.35">
      <c r="C1350" s="3"/>
      <c r="D1350"/>
      <c r="E1350"/>
      <c r="F1350" s="3"/>
    </row>
    <row r="1351" spans="3:6" x14ac:dyDescent="0.35">
      <c r="C1351" s="3"/>
      <c r="D1351"/>
      <c r="E1351"/>
      <c r="F1351" s="3"/>
    </row>
    <row r="1352" spans="3:6" x14ac:dyDescent="0.35">
      <c r="C1352" s="3"/>
      <c r="D1352"/>
      <c r="E1352"/>
      <c r="F1352" s="3"/>
    </row>
    <row r="1353" spans="3:6" x14ac:dyDescent="0.35">
      <c r="C1353" s="3"/>
      <c r="D1353"/>
      <c r="E1353"/>
      <c r="F1353" s="3"/>
    </row>
    <row r="1354" spans="3:6" x14ac:dyDescent="0.35">
      <c r="C1354" s="3"/>
      <c r="D1354"/>
      <c r="E1354"/>
      <c r="F1354" s="3"/>
    </row>
    <row r="1355" spans="3:6" x14ac:dyDescent="0.35">
      <c r="C1355" s="3"/>
      <c r="D1355"/>
      <c r="E1355"/>
      <c r="F1355" s="3"/>
    </row>
    <row r="1356" spans="3:6" x14ac:dyDescent="0.35">
      <c r="C1356" s="3"/>
      <c r="D1356"/>
      <c r="E1356"/>
      <c r="F1356" s="3"/>
    </row>
    <row r="1357" spans="3:6" x14ac:dyDescent="0.35">
      <c r="C1357" s="3"/>
      <c r="D1357"/>
      <c r="E1357"/>
      <c r="F1357" s="3"/>
    </row>
    <row r="1358" spans="3:6" x14ac:dyDescent="0.35">
      <c r="C1358" s="3"/>
      <c r="D1358"/>
      <c r="E1358"/>
      <c r="F1358" s="3"/>
    </row>
    <row r="1359" spans="3:6" x14ac:dyDescent="0.35">
      <c r="C1359" s="3"/>
      <c r="D1359"/>
      <c r="E1359"/>
      <c r="F1359" s="3"/>
    </row>
    <row r="1360" spans="3:6" x14ac:dyDescent="0.35">
      <c r="C1360" s="3"/>
      <c r="D1360"/>
      <c r="E1360"/>
      <c r="F1360" s="3"/>
    </row>
    <row r="1361" spans="3:6" x14ac:dyDescent="0.35">
      <c r="C1361" s="3"/>
      <c r="D1361"/>
      <c r="E1361"/>
      <c r="F1361" s="3"/>
    </row>
    <row r="1362" spans="3:6" x14ac:dyDescent="0.35">
      <c r="C1362" s="3"/>
      <c r="D1362"/>
      <c r="E1362"/>
      <c r="F1362" s="3"/>
    </row>
    <row r="1363" spans="3:6" x14ac:dyDescent="0.35">
      <c r="C1363" s="3"/>
      <c r="D1363"/>
      <c r="E1363"/>
      <c r="F1363" s="3"/>
    </row>
    <row r="1364" spans="3:6" x14ac:dyDescent="0.35">
      <c r="C1364" s="3"/>
      <c r="D1364"/>
      <c r="E1364"/>
      <c r="F1364" s="3"/>
    </row>
    <row r="1365" spans="3:6" x14ac:dyDescent="0.35">
      <c r="C1365" s="3"/>
      <c r="D1365"/>
      <c r="E1365"/>
      <c r="F1365" s="3"/>
    </row>
    <row r="1366" spans="3:6" x14ac:dyDescent="0.35">
      <c r="C1366" s="3"/>
      <c r="D1366"/>
      <c r="E1366"/>
      <c r="F1366" s="3"/>
    </row>
    <row r="1367" spans="3:6" x14ac:dyDescent="0.35">
      <c r="C1367" s="3"/>
      <c r="D1367"/>
      <c r="E1367"/>
      <c r="F1367" s="3"/>
    </row>
    <row r="1368" spans="3:6" x14ac:dyDescent="0.35">
      <c r="C1368" s="3"/>
      <c r="D1368"/>
      <c r="E1368"/>
      <c r="F1368" s="3"/>
    </row>
    <row r="1369" spans="3:6" x14ac:dyDescent="0.35">
      <c r="C1369" s="3"/>
      <c r="D1369"/>
      <c r="E1369"/>
      <c r="F1369" s="3"/>
    </row>
    <row r="1370" spans="3:6" x14ac:dyDescent="0.35">
      <c r="C1370" s="3"/>
      <c r="D1370"/>
      <c r="E1370"/>
      <c r="F1370" s="3"/>
    </row>
    <row r="1371" spans="3:6" x14ac:dyDescent="0.35">
      <c r="C1371" s="3"/>
      <c r="D1371"/>
      <c r="E1371"/>
      <c r="F1371" s="3"/>
    </row>
    <row r="1372" spans="3:6" x14ac:dyDescent="0.35">
      <c r="C1372" s="3"/>
      <c r="D1372"/>
      <c r="E1372"/>
      <c r="F1372" s="3"/>
    </row>
    <row r="1373" spans="3:6" x14ac:dyDescent="0.35">
      <c r="C1373" s="3"/>
      <c r="D1373"/>
      <c r="E1373"/>
      <c r="F1373" s="3"/>
    </row>
    <row r="1374" spans="3:6" x14ac:dyDescent="0.35">
      <c r="C1374" s="3"/>
      <c r="D1374"/>
      <c r="E1374"/>
      <c r="F1374" s="3"/>
    </row>
    <row r="1375" spans="3:6" x14ac:dyDescent="0.35">
      <c r="C1375" s="3"/>
      <c r="D1375"/>
      <c r="E1375"/>
      <c r="F1375" s="3"/>
    </row>
    <row r="1376" spans="3:6" x14ac:dyDescent="0.35">
      <c r="C1376" s="3"/>
      <c r="D1376"/>
      <c r="E1376"/>
      <c r="F1376" s="3"/>
    </row>
    <row r="1377" spans="3:6" x14ac:dyDescent="0.35">
      <c r="C1377" s="3"/>
      <c r="D1377"/>
      <c r="E1377"/>
      <c r="F1377" s="3"/>
    </row>
    <row r="1378" spans="3:6" x14ac:dyDescent="0.35">
      <c r="C1378" s="3"/>
      <c r="D1378"/>
      <c r="E1378"/>
      <c r="F1378" s="3"/>
    </row>
    <row r="1379" spans="3:6" x14ac:dyDescent="0.35">
      <c r="C1379" s="3"/>
      <c r="D1379"/>
      <c r="E1379"/>
      <c r="F1379" s="3"/>
    </row>
    <row r="1380" spans="3:6" x14ac:dyDescent="0.35">
      <c r="C1380" s="3"/>
      <c r="D1380"/>
      <c r="E1380"/>
      <c r="F1380" s="3"/>
    </row>
    <row r="1381" spans="3:6" x14ac:dyDescent="0.35">
      <c r="C1381" s="3"/>
      <c r="D1381"/>
      <c r="E1381"/>
      <c r="F1381" s="3"/>
    </row>
    <row r="1382" spans="3:6" x14ac:dyDescent="0.35">
      <c r="C1382" s="3"/>
      <c r="D1382"/>
      <c r="E1382"/>
      <c r="F1382" s="3"/>
    </row>
    <row r="1383" spans="3:6" x14ac:dyDescent="0.35">
      <c r="C1383" s="3"/>
      <c r="D1383"/>
      <c r="E1383"/>
      <c r="F1383" s="3"/>
    </row>
    <row r="1384" spans="3:6" x14ac:dyDescent="0.35">
      <c r="C1384" s="3"/>
      <c r="D1384"/>
      <c r="E1384"/>
      <c r="F1384" s="3"/>
    </row>
    <row r="1385" spans="3:6" x14ac:dyDescent="0.35">
      <c r="C1385" s="3"/>
      <c r="D1385"/>
      <c r="E1385"/>
      <c r="F1385" s="3"/>
    </row>
    <row r="1386" spans="3:6" x14ac:dyDescent="0.35">
      <c r="C1386" s="3"/>
      <c r="D1386"/>
      <c r="E1386"/>
      <c r="F1386" s="3"/>
    </row>
    <row r="1387" spans="3:6" x14ac:dyDescent="0.35">
      <c r="C1387" s="3"/>
      <c r="D1387"/>
      <c r="E1387"/>
      <c r="F1387" s="3"/>
    </row>
    <row r="1388" spans="3:6" x14ac:dyDescent="0.35">
      <c r="C1388" s="3"/>
      <c r="D1388"/>
      <c r="E1388"/>
      <c r="F1388" s="3"/>
    </row>
    <row r="1389" spans="3:6" x14ac:dyDescent="0.35">
      <c r="C1389" s="3"/>
      <c r="D1389"/>
      <c r="E1389"/>
      <c r="F1389" s="3"/>
    </row>
    <row r="1390" spans="3:6" x14ac:dyDescent="0.35">
      <c r="C1390" s="3"/>
      <c r="D1390"/>
      <c r="E1390"/>
      <c r="F1390" s="3"/>
    </row>
    <row r="1391" spans="3:6" x14ac:dyDescent="0.35">
      <c r="C1391" s="3"/>
      <c r="D1391"/>
      <c r="E1391"/>
      <c r="F1391" s="3"/>
    </row>
    <row r="1392" spans="3:6" x14ac:dyDescent="0.35">
      <c r="C1392" s="3"/>
      <c r="D1392"/>
      <c r="E1392"/>
      <c r="F1392" s="3"/>
    </row>
    <row r="1393" spans="3:6" x14ac:dyDescent="0.35">
      <c r="C1393" s="3"/>
      <c r="D1393"/>
      <c r="E1393"/>
      <c r="F1393" s="3"/>
    </row>
    <row r="1394" spans="3:6" x14ac:dyDescent="0.35">
      <c r="C1394" s="3"/>
      <c r="D1394"/>
      <c r="E1394"/>
      <c r="F1394" s="3"/>
    </row>
    <row r="1395" spans="3:6" x14ac:dyDescent="0.35">
      <c r="C1395" s="3"/>
      <c r="D1395"/>
      <c r="E1395"/>
      <c r="F1395" s="3"/>
    </row>
    <row r="1396" spans="3:6" x14ac:dyDescent="0.35">
      <c r="C1396" s="3"/>
      <c r="D1396"/>
      <c r="E1396"/>
      <c r="F1396" s="3"/>
    </row>
    <row r="1397" spans="3:6" x14ac:dyDescent="0.35">
      <c r="C1397" s="3"/>
      <c r="D1397"/>
      <c r="E1397"/>
      <c r="F1397" s="3"/>
    </row>
    <row r="1398" spans="3:6" x14ac:dyDescent="0.35">
      <c r="C1398" s="3"/>
      <c r="D1398"/>
      <c r="E1398"/>
      <c r="F1398" s="3"/>
    </row>
    <row r="1399" spans="3:6" x14ac:dyDescent="0.35">
      <c r="C1399" s="3"/>
      <c r="D1399"/>
      <c r="E1399"/>
      <c r="F1399" s="3"/>
    </row>
    <row r="1400" spans="3:6" x14ac:dyDescent="0.35">
      <c r="C1400" s="3"/>
      <c r="D1400"/>
      <c r="E1400"/>
      <c r="F1400" s="3"/>
    </row>
    <row r="1401" spans="3:6" x14ac:dyDescent="0.35">
      <c r="C1401" s="3"/>
      <c r="D1401"/>
      <c r="E1401"/>
      <c r="F1401" s="3"/>
    </row>
    <row r="1402" spans="3:6" x14ac:dyDescent="0.35">
      <c r="C1402" s="3"/>
      <c r="D1402"/>
      <c r="E1402"/>
      <c r="F1402" s="3"/>
    </row>
    <row r="1403" spans="3:6" x14ac:dyDescent="0.35">
      <c r="C1403" s="3"/>
      <c r="D1403"/>
      <c r="E1403"/>
      <c r="F1403" s="3"/>
    </row>
    <row r="1404" spans="3:6" x14ac:dyDescent="0.35">
      <c r="C1404" s="3"/>
      <c r="D1404"/>
      <c r="E1404"/>
      <c r="F1404" s="3"/>
    </row>
    <row r="1405" spans="3:6" x14ac:dyDescent="0.35">
      <c r="C1405" s="3"/>
      <c r="D1405"/>
      <c r="E1405"/>
      <c r="F1405" s="3"/>
    </row>
    <row r="1406" spans="3:6" x14ac:dyDescent="0.35">
      <c r="C1406" s="3"/>
      <c r="D1406"/>
      <c r="E1406"/>
      <c r="F1406" s="3"/>
    </row>
    <row r="1407" spans="3:6" x14ac:dyDescent="0.35">
      <c r="C1407" s="3"/>
      <c r="D1407"/>
      <c r="E1407"/>
      <c r="F1407" s="3"/>
    </row>
    <row r="1408" spans="3:6" x14ac:dyDescent="0.35">
      <c r="C1408" s="3"/>
      <c r="D1408"/>
      <c r="E1408"/>
      <c r="F1408" s="3"/>
    </row>
    <row r="1409" spans="3:6" x14ac:dyDescent="0.35">
      <c r="C1409" s="3"/>
      <c r="D1409"/>
      <c r="E1409"/>
      <c r="F1409" s="3"/>
    </row>
    <row r="1410" spans="3:6" x14ac:dyDescent="0.35">
      <c r="C1410" s="3"/>
      <c r="D1410"/>
      <c r="E1410"/>
      <c r="F1410" s="3"/>
    </row>
    <row r="1411" spans="3:6" x14ac:dyDescent="0.35">
      <c r="C1411" s="3"/>
      <c r="D1411"/>
      <c r="E1411"/>
      <c r="F1411" s="3"/>
    </row>
    <row r="1412" spans="3:6" x14ac:dyDescent="0.35">
      <c r="C1412" s="3"/>
      <c r="D1412"/>
      <c r="E1412"/>
      <c r="F1412" s="3"/>
    </row>
    <row r="1413" spans="3:6" x14ac:dyDescent="0.35">
      <c r="C1413" s="3"/>
      <c r="D1413"/>
      <c r="E1413"/>
      <c r="F1413" s="3"/>
    </row>
    <row r="1414" spans="3:6" x14ac:dyDescent="0.35">
      <c r="C1414" s="3"/>
      <c r="D1414"/>
      <c r="E1414"/>
      <c r="F1414" s="3"/>
    </row>
    <row r="1415" spans="3:6" x14ac:dyDescent="0.35">
      <c r="C1415" s="3"/>
      <c r="D1415"/>
      <c r="E1415"/>
      <c r="F1415" s="3"/>
    </row>
    <row r="1416" spans="3:6" x14ac:dyDescent="0.35">
      <c r="C1416" s="3"/>
      <c r="D1416"/>
      <c r="E1416"/>
      <c r="F1416" s="3"/>
    </row>
    <row r="1417" spans="3:6" x14ac:dyDescent="0.35">
      <c r="C1417" s="3"/>
      <c r="D1417"/>
      <c r="E1417"/>
      <c r="F1417" s="3"/>
    </row>
    <row r="1418" spans="3:6" x14ac:dyDescent="0.35">
      <c r="C1418" s="3"/>
      <c r="D1418"/>
      <c r="E1418"/>
      <c r="F1418" s="3"/>
    </row>
    <row r="1419" spans="3:6" x14ac:dyDescent="0.35">
      <c r="C1419" s="3"/>
      <c r="D1419"/>
      <c r="E1419"/>
      <c r="F1419" s="3"/>
    </row>
    <row r="1420" spans="3:6" x14ac:dyDescent="0.35">
      <c r="C1420" s="3"/>
      <c r="D1420"/>
      <c r="E1420"/>
      <c r="F1420" s="3"/>
    </row>
    <row r="1421" spans="3:6" x14ac:dyDescent="0.35">
      <c r="C1421" s="3"/>
      <c r="D1421"/>
      <c r="E1421"/>
      <c r="F1421" s="3"/>
    </row>
    <row r="1422" spans="3:6" x14ac:dyDescent="0.35">
      <c r="C1422" s="3"/>
      <c r="D1422"/>
      <c r="E1422"/>
      <c r="F1422" s="3"/>
    </row>
    <row r="1423" spans="3:6" x14ac:dyDescent="0.35">
      <c r="C1423" s="3"/>
      <c r="D1423"/>
      <c r="E1423"/>
      <c r="F1423" s="3"/>
    </row>
    <row r="1424" spans="3:6" x14ac:dyDescent="0.35">
      <c r="C1424" s="3"/>
      <c r="D1424"/>
      <c r="E1424"/>
      <c r="F1424" s="3"/>
    </row>
    <row r="1425" spans="3:6" x14ac:dyDescent="0.35">
      <c r="C1425" s="3"/>
      <c r="D1425"/>
      <c r="E1425"/>
      <c r="F1425" s="3"/>
    </row>
    <row r="1426" spans="3:6" x14ac:dyDescent="0.35">
      <c r="C1426" s="3"/>
      <c r="D1426"/>
      <c r="E1426"/>
      <c r="F1426" s="3"/>
    </row>
    <row r="1427" spans="3:6" x14ac:dyDescent="0.35">
      <c r="C1427" s="3"/>
      <c r="D1427"/>
      <c r="E1427"/>
      <c r="F1427" s="3"/>
    </row>
    <row r="1428" spans="3:6" x14ac:dyDescent="0.35">
      <c r="C1428" s="3"/>
      <c r="D1428"/>
      <c r="E1428"/>
      <c r="F1428" s="3"/>
    </row>
    <row r="1429" spans="3:6" x14ac:dyDescent="0.35">
      <c r="C1429" s="3"/>
      <c r="D1429"/>
      <c r="E1429"/>
      <c r="F1429" s="3"/>
    </row>
    <row r="1430" spans="3:6" x14ac:dyDescent="0.35">
      <c r="C1430" s="3"/>
      <c r="D1430"/>
      <c r="E1430"/>
      <c r="F1430" s="3"/>
    </row>
    <row r="1431" spans="3:6" x14ac:dyDescent="0.35">
      <c r="C1431" s="3"/>
      <c r="D1431"/>
      <c r="E1431"/>
      <c r="F1431" s="3"/>
    </row>
    <row r="1432" spans="3:6" x14ac:dyDescent="0.35">
      <c r="C1432" s="3"/>
      <c r="D1432"/>
      <c r="E1432"/>
      <c r="F1432" s="3"/>
    </row>
    <row r="1433" spans="3:6" x14ac:dyDescent="0.35">
      <c r="C1433" s="3"/>
      <c r="D1433"/>
      <c r="E1433"/>
      <c r="F1433" s="3"/>
    </row>
    <row r="1434" spans="3:6" x14ac:dyDescent="0.35">
      <c r="C1434" s="3"/>
      <c r="D1434"/>
      <c r="E1434"/>
      <c r="F1434" s="3"/>
    </row>
    <row r="1435" spans="3:6" x14ac:dyDescent="0.35">
      <c r="C1435" s="3"/>
      <c r="D1435"/>
      <c r="E1435"/>
      <c r="F1435" s="3"/>
    </row>
    <row r="1436" spans="3:6" x14ac:dyDescent="0.35">
      <c r="C1436" s="3"/>
      <c r="D1436"/>
      <c r="E1436"/>
      <c r="F1436" s="3"/>
    </row>
    <row r="1437" spans="3:6" x14ac:dyDescent="0.35">
      <c r="C1437" s="3"/>
      <c r="D1437"/>
      <c r="E1437"/>
      <c r="F1437" s="3"/>
    </row>
    <row r="1438" spans="3:6" x14ac:dyDescent="0.35">
      <c r="C1438" s="3"/>
      <c r="D1438"/>
      <c r="E1438"/>
      <c r="F1438" s="3"/>
    </row>
    <row r="1439" spans="3:6" x14ac:dyDescent="0.35">
      <c r="C1439" s="3"/>
      <c r="D1439"/>
      <c r="E1439"/>
      <c r="F1439" s="3"/>
    </row>
    <row r="1440" spans="3:6" x14ac:dyDescent="0.35">
      <c r="C1440" s="3"/>
      <c r="D1440"/>
      <c r="E1440"/>
      <c r="F1440" s="3"/>
    </row>
    <row r="1441" spans="3:6" x14ac:dyDescent="0.35">
      <c r="C1441" s="3"/>
      <c r="D1441"/>
      <c r="E1441"/>
      <c r="F1441" s="3"/>
    </row>
    <row r="1442" spans="3:6" x14ac:dyDescent="0.35">
      <c r="C1442" s="3"/>
      <c r="D1442"/>
      <c r="E1442"/>
      <c r="F1442" s="3"/>
    </row>
    <row r="1443" spans="3:6" x14ac:dyDescent="0.35">
      <c r="C1443" s="3"/>
      <c r="D1443"/>
      <c r="E1443"/>
      <c r="F1443" s="3"/>
    </row>
    <row r="1444" spans="3:6" x14ac:dyDescent="0.35">
      <c r="C1444" s="3"/>
      <c r="D1444"/>
      <c r="E1444"/>
      <c r="F1444" s="3"/>
    </row>
    <row r="1445" spans="3:6" x14ac:dyDescent="0.35">
      <c r="C1445" s="3"/>
      <c r="D1445"/>
      <c r="E1445"/>
      <c r="F1445" s="3"/>
    </row>
    <row r="1446" spans="3:6" x14ac:dyDescent="0.35">
      <c r="C1446" s="3"/>
      <c r="D1446"/>
      <c r="E1446"/>
      <c r="F1446" s="3"/>
    </row>
    <row r="1447" spans="3:6" x14ac:dyDescent="0.35">
      <c r="C1447" s="3"/>
      <c r="D1447"/>
      <c r="E1447"/>
      <c r="F1447" s="3"/>
    </row>
    <row r="1448" spans="3:6" x14ac:dyDescent="0.35">
      <c r="C1448" s="3"/>
      <c r="D1448"/>
      <c r="E1448"/>
      <c r="F1448" s="3"/>
    </row>
    <row r="1449" spans="3:6" x14ac:dyDescent="0.35">
      <c r="C1449" s="3"/>
      <c r="D1449"/>
      <c r="E1449"/>
      <c r="F1449" s="3"/>
    </row>
    <row r="1450" spans="3:6" x14ac:dyDescent="0.35">
      <c r="C1450" s="3"/>
      <c r="D1450"/>
      <c r="E1450"/>
      <c r="F1450" s="3"/>
    </row>
    <row r="1451" spans="3:6" x14ac:dyDescent="0.35">
      <c r="C1451" s="3"/>
      <c r="D1451"/>
      <c r="E1451"/>
      <c r="F1451" s="3"/>
    </row>
    <row r="1452" spans="3:6" x14ac:dyDescent="0.35">
      <c r="C1452" s="3"/>
      <c r="D1452"/>
      <c r="E1452"/>
      <c r="F1452" s="3"/>
    </row>
    <row r="1453" spans="3:6" x14ac:dyDescent="0.35">
      <c r="C1453" s="3"/>
      <c r="D1453"/>
      <c r="E1453"/>
      <c r="F1453" s="3"/>
    </row>
    <row r="1454" spans="3:6" x14ac:dyDescent="0.35">
      <c r="C1454" s="3"/>
      <c r="D1454"/>
      <c r="E1454"/>
      <c r="F1454" s="3"/>
    </row>
    <row r="1455" spans="3:6" x14ac:dyDescent="0.35">
      <c r="C1455" s="3"/>
      <c r="D1455"/>
      <c r="E1455"/>
      <c r="F1455" s="3"/>
    </row>
    <row r="1456" spans="3:6" x14ac:dyDescent="0.35">
      <c r="C1456" s="3"/>
      <c r="D1456"/>
      <c r="E1456"/>
      <c r="F1456" s="3"/>
    </row>
    <row r="1457" spans="3:6" x14ac:dyDescent="0.35">
      <c r="C1457" s="3"/>
      <c r="D1457"/>
      <c r="E1457"/>
      <c r="F1457" s="3"/>
    </row>
    <row r="1458" spans="3:6" x14ac:dyDescent="0.35">
      <c r="C1458" s="3"/>
      <c r="D1458"/>
      <c r="E1458"/>
      <c r="F1458" s="3"/>
    </row>
    <row r="1459" spans="3:6" x14ac:dyDescent="0.35">
      <c r="C1459" s="3"/>
      <c r="D1459"/>
      <c r="E1459"/>
      <c r="F1459" s="3"/>
    </row>
    <row r="1460" spans="3:6" x14ac:dyDescent="0.35">
      <c r="C1460" s="3"/>
      <c r="D1460"/>
      <c r="E1460"/>
      <c r="F1460" s="3"/>
    </row>
    <row r="1461" spans="3:6" x14ac:dyDescent="0.35">
      <c r="C1461" s="3"/>
      <c r="D1461"/>
      <c r="E1461"/>
      <c r="F1461" s="3"/>
    </row>
    <row r="1462" spans="3:6" x14ac:dyDescent="0.35">
      <c r="C1462" s="3"/>
      <c r="D1462"/>
      <c r="E1462"/>
      <c r="F1462" s="3"/>
    </row>
    <row r="1463" spans="3:6" x14ac:dyDescent="0.35">
      <c r="C1463" s="3"/>
      <c r="D1463"/>
      <c r="E1463"/>
      <c r="F1463" s="3"/>
    </row>
    <row r="1464" spans="3:6" x14ac:dyDescent="0.35">
      <c r="C1464" s="3"/>
      <c r="D1464"/>
      <c r="E1464"/>
      <c r="F1464" s="3"/>
    </row>
    <row r="1465" spans="3:6" x14ac:dyDescent="0.35">
      <c r="C1465" s="3"/>
      <c r="D1465"/>
      <c r="E1465"/>
      <c r="F1465" s="3"/>
    </row>
    <row r="1466" spans="3:6" x14ac:dyDescent="0.35">
      <c r="C1466" s="3"/>
      <c r="D1466"/>
      <c r="E1466"/>
      <c r="F1466" s="3"/>
    </row>
    <row r="1467" spans="3:6" x14ac:dyDescent="0.35">
      <c r="C1467" s="3"/>
      <c r="D1467"/>
      <c r="E1467"/>
      <c r="F1467" s="3"/>
    </row>
    <row r="1468" spans="3:6" x14ac:dyDescent="0.35">
      <c r="C1468" s="3"/>
      <c r="D1468"/>
      <c r="E1468"/>
      <c r="F1468" s="3"/>
    </row>
    <row r="1469" spans="3:6" x14ac:dyDescent="0.35">
      <c r="C1469" s="3"/>
      <c r="D1469"/>
      <c r="E1469"/>
      <c r="F1469" s="3"/>
    </row>
    <row r="1470" spans="3:6" x14ac:dyDescent="0.35">
      <c r="C1470" s="3"/>
      <c r="D1470"/>
      <c r="E1470"/>
      <c r="F1470" s="3"/>
    </row>
    <row r="1471" spans="3:6" x14ac:dyDescent="0.35">
      <c r="C1471" s="3"/>
      <c r="D1471"/>
      <c r="E1471"/>
      <c r="F1471" s="3"/>
    </row>
    <row r="1472" spans="3:6" x14ac:dyDescent="0.35">
      <c r="C1472" s="3"/>
      <c r="D1472"/>
      <c r="E1472"/>
      <c r="F1472" s="3"/>
    </row>
    <row r="1473" spans="3:6" x14ac:dyDescent="0.35">
      <c r="C1473" s="3"/>
      <c r="D1473"/>
      <c r="E1473"/>
      <c r="F1473" s="3"/>
    </row>
    <row r="1474" spans="3:6" x14ac:dyDescent="0.35">
      <c r="C1474" s="3"/>
      <c r="D1474"/>
      <c r="E1474"/>
      <c r="F1474" s="3"/>
    </row>
    <row r="1475" spans="3:6" x14ac:dyDescent="0.35">
      <c r="C1475" s="3"/>
      <c r="D1475"/>
      <c r="E1475"/>
      <c r="F1475" s="3"/>
    </row>
    <row r="1476" spans="3:6" x14ac:dyDescent="0.35">
      <c r="C1476" s="3"/>
      <c r="D1476"/>
      <c r="E1476"/>
      <c r="F1476" s="3"/>
    </row>
    <row r="1477" spans="3:6" x14ac:dyDescent="0.35">
      <c r="C1477" s="3"/>
      <c r="D1477"/>
      <c r="E1477"/>
      <c r="F1477" s="3"/>
    </row>
    <row r="1478" spans="3:6" x14ac:dyDescent="0.35">
      <c r="C1478" s="3"/>
      <c r="D1478"/>
      <c r="E1478"/>
      <c r="F1478" s="3"/>
    </row>
    <row r="1479" spans="3:6" x14ac:dyDescent="0.35">
      <c r="C1479" s="3"/>
      <c r="D1479"/>
      <c r="E1479"/>
      <c r="F1479" s="3"/>
    </row>
    <row r="1480" spans="3:6" x14ac:dyDescent="0.35">
      <c r="C1480" s="3"/>
      <c r="D1480"/>
      <c r="E1480"/>
      <c r="F1480" s="3"/>
    </row>
    <row r="1481" spans="3:6" x14ac:dyDescent="0.35">
      <c r="C1481" s="3"/>
      <c r="D1481"/>
      <c r="E1481"/>
      <c r="F1481" s="3"/>
    </row>
    <row r="1482" spans="3:6" x14ac:dyDescent="0.35">
      <c r="C1482" s="3"/>
      <c r="D1482"/>
      <c r="E1482"/>
      <c r="F1482" s="3"/>
    </row>
    <row r="1483" spans="3:6" x14ac:dyDescent="0.35">
      <c r="C1483" s="3"/>
      <c r="D1483"/>
      <c r="E1483"/>
      <c r="F1483" s="3"/>
    </row>
    <row r="1484" spans="3:6" x14ac:dyDescent="0.35">
      <c r="C1484" s="3"/>
      <c r="D1484"/>
      <c r="E1484"/>
      <c r="F1484" s="3"/>
    </row>
    <row r="1485" spans="3:6" x14ac:dyDescent="0.35">
      <c r="C1485" s="3"/>
      <c r="D1485"/>
      <c r="E1485"/>
      <c r="F1485" s="3"/>
    </row>
    <row r="1486" spans="3:6" x14ac:dyDescent="0.35">
      <c r="C1486" s="3"/>
      <c r="D1486"/>
      <c r="E1486"/>
      <c r="F1486" s="3"/>
    </row>
    <row r="1487" spans="3:6" x14ac:dyDescent="0.35">
      <c r="C1487" s="3"/>
      <c r="D1487"/>
      <c r="E1487"/>
      <c r="F1487" s="3"/>
    </row>
    <row r="1488" spans="3:6" x14ac:dyDescent="0.35">
      <c r="C1488" s="3"/>
      <c r="D1488"/>
      <c r="E1488"/>
      <c r="F1488" s="3"/>
    </row>
    <row r="1489" spans="3:6" x14ac:dyDescent="0.35">
      <c r="C1489" s="3"/>
      <c r="D1489"/>
      <c r="E1489"/>
      <c r="F1489" s="3"/>
    </row>
    <row r="1490" spans="3:6" x14ac:dyDescent="0.35">
      <c r="C1490" s="3"/>
      <c r="D1490"/>
      <c r="E1490"/>
      <c r="F1490" s="3"/>
    </row>
    <row r="1491" spans="3:6" x14ac:dyDescent="0.35">
      <c r="C1491" s="3"/>
      <c r="D1491"/>
      <c r="E1491"/>
      <c r="F1491" s="3"/>
    </row>
    <row r="1492" spans="3:6" x14ac:dyDescent="0.35">
      <c r="C1492" s="3"/>
      <c r="D1492"/>
      <c r="E1492"/>
      <c r="F1492" s="3"/>
    </row>
    <row r="1493" spans="3:6" x14ac:dyDescent="0.35">
      <c r="C1493" s="3"/>
      <c r="D1493"/>
      <c r="E1493"/>
      <c r="F1493" s="3"/>
    </row>
    <row r="1494" spans="3:6" x14ac:dyDescent="0.35">
      <c r="C1494" s="3"/>
      <c r="D1494"/>
      <c r="E1494"/>
      <c r="F1494" s="3"/>
    </row>
    <row r="1495" spans="3:6" x14ac:dyDescent="0.35">
      <c r="C1495" s="3"/>
      <c r="D1495"/>
      <c r="E1495"/>
      <c r="F1495" s="3"/>
    </row>
    <row r="1496" spans="3:6" x14ac:dyDescent="0.35">
      <c r="C1496" s="3"/>
      <c r="D1496"/>
      <c r="E1496"/>
      <c r="F1496" s="3"/>
    </row>
    <row r="1497" spans="3:6" x14ac:dyDescent="0.35">
      <c r="C1497" s="3"/>
      <c r="D1497"/>
      <c r="E1497"/>
      <c r="F1497" s="3"/>
    </row>
    <row r="1498" spans="3:6" x14ac:dyDescent="0.35">
      <c r="C1498" s="3"/>
      <c r="D1498"/>
      <c r="E1498"/>
      <c r="F1498" s="3"/>
    </row>
    <row r="1499" spans="3:6" x14ac:dyDescent="0.35">
      <c r="C1499" s="3"/>
      <c r="D1499"/>
      <c r="E1499"/>
      <c r="F1499" s="3"/>
    </row>
    <row r="1500" spans="3:6" x14ac:dyDescent="0.35">
      <c r="C1500" s="3"/>
      <c r="D1500"/>
      <c r="E1500"/>
      <c r="F1500" s="3"/>
    </row>
    <row r="1501" spans="3:6" x14ac:dyDescent="0.35">
      <c r="C1501" s="3"/>
      <c r="D1501"/>
      <c r="E1501"/>
      <c r="F1501" s="3"/>
    </row>
    <row r="1502" spans="3:6" x14ac:dyDescent="0.35">
      <c r="C1502" s="3"/>
      <c r="D1502"/>
      <c r="E1502"/>
      <c r="F1502" s="3"/>
    </row>
    <row r="1503" spans="3:6" x14ac:dyDescent="0.35">
      <c r="C1503" s="3"/>
      <c r="D1503"/>
      <c r="E1503"/>
      <c r="F1503" s="3"/>
    </row>
    <row r="1504" spans="3:6" x14ac:dyDescent="0.35">
      <c r="C1504" s="3"/>
      <c r="D1504"/>
      <c r="E1504"/>
      <c r="F1504" s="3"/>
    </row>
    <row r="1505" spans="3:6" x14ac:dyDescent="0.35">
      <c r="C1505" s="3"/>
      <c r="D1505"/>
      <c r="E1505"/>
      <c r="F1505" s="3"/>
    </row>
    <row r="1506" spans="3:6" x14ac:dyDescent="0.35">
      <c r="C1506" s="3"/>
      <c r="D1506"/>
      <c r="E1506"/>
      <c r="F1506" s="3"/>
    </row>
    <row r="1507" spans="3:6" x14ac:dyDescent="0.35">
      <c r="C1507" s="3"/>
      <c r="D1507"/>
      <c r="E1507"/>
      <c r="F1507" s="3"/>
    </row>
    <row r="1508" spans="3:6" x14ac:dyDescent="0.35">
      <c r="C1508" s="3"/>
      <c r="D1508"/>
      <c r="E1508"/>
      <c r="F1508" s="3"/>
    </row>
    <row r="1509" spans="3:6" x14ac:dyDescent="0.35">
      <c r="C1509" s="3"/>
      <c r="D1509"/>
      <c r="E1509"/>
      <c r="F1509" s="3"/>
    </row>
    <row r="1510" spans="3:6" x14ac:dyDescent="0.35">
      <c r="C1510" s="3"/>
      <c r="D1510"/>
      <c r="E1510"/>
      <c r="F1510" s="3"/>
    </row>
    <row r="1511" spans="3:6" x14ac:dyDescent="0.35">
      <c r="C1511" s="3"/>
      <c r="D1511"/>
      <c r="E1511"/>
      <c r="F1511" s="3"/>
    </row>
    <row r="1512" spans="3:6" x14ac:dyDescent="0.35">
      <c r="C1512" s="3"/>
      <c r="D1512"/>
      <c r="E1512"/>
      <c r="F1512" s="3"/>
    </row>
    <row r="1513" spans="3:6" x14ac:dyDescent="0.35">
      <c r="C1513" s="3"/>
      <c r="D1513"/>
      <c r="E1513"/>
      <c r="F1513" s="3"/>
    </row>
    <row r="1514" spans="3:6" x14ac:dyDescent="0.35">
      <c r="C1514" s="3"/>
      <c r="D1514"/>
      <c r="E1514"/>
      <c r="F1514" s="3"/>
    </row>
    <row r="1515" spans="3:6" x14ac:dyDescent="0.35">
      <c r="C1515" s="3"/>
      <c r="D1515"/>
      <c r="E1515"/>
      <c r="F1515" s="3"/>
    </row>
    <row r="1516" spans="3:6" x14ac:dyDescent="0.35">
      <c r="C1516" s="3"/>
      <c r="D1516"/>
      <c r="E1516"/>
      <c r="F1516" s="3"/>
    </row>
    <row r="1517" spans="3:6" x14ac:dyDescent="0.35">
      <c r="C1517" s="3"/>
      <c r="D1517"/>
      <c r="E1517"/>
      <c r="F1517" s="3"/>
    </row>
    <row r="1518" spans="3:6" x14ac:dyDescent="0.35">
      <c r="C1518" s="3"/>
      <c r="D1518"/>
      <c r="E1518"/>
      <c r="F1518" s="3"/>
    </row>
    <row r="1519" spans="3:6" x14ac:dyDescent="0.35">
      <c r="C1519" s="3"/>
      <c r="D1519"/>
      <c r="E1519"/>
      <c r="F1519" s="3"/>
    </row>
    <row r="1520" spans="3:6" x14ac:dyDescent="0.35">
      <c r="C1520" s="3"/>
      <c r="D1520"/>
      <c r="E1520"/>
      <c r="F1520" s="3"/>
    </row>
    <row r="1521" spans="3:6" x14ac:dyDescent="0.35">
      <c r="C1521" s="3"/>
      <c r="D1521"/>
      <c r="E1521"/>
      <c r="F1521" s="3"/>
    </row>
    <row r="1522" spans="3:6" x14ac:dyDescent="0.35">
      <c r="C1522" s="3"/>
      <c r="D1522"/>
      <c r="E1522"/>
      <c r="F1522" s="3"/>
    </row>
    <row r="1523" spans="3:6" x14ac:dyDescent="0.35">
      <c r="C1523" s="3"/>
      <c r="D1523"/>
      <c r="E1523"/>
      <c r="F1523" s="3"/>
    </row>
    <row r="1524" spans="3:6" x14ac:dyDescent="0.35">
      <c r="C1524" s="3"/>
      <c r="D1524"/>
      <c r="E1524"/>
      <c r="F1524" s="3"/>
    </row>
    <row r="1525" spans="3:6" x14ac:dyDescent="0.35">
      <c r="C1525" s="3"/>
      <c r="D1525"/>
      <c r="E1525"/>
      <c r="F1525" s="3"/>
    </row>
    <row r="1526" spans="3:6" x14ac:dyDescent="0.35">
      <c r="C1526" s="3"/>
      <c r="D1526"/>
      <c r="E1526"/>
      <c r="F1526" s="3"/>
    </row>
    <row r="1527" spans="3:6" x14ac:dyDescent="0.35">
      <c r="C1527" s="3"/>
      <c r="D1527"/>
      <c r="E1527"/>
      <c r="F1527" s="3"/>
    </row>
    <row r="1528" spans="3:6" x14ac:dyDescent="0.35">
      <c r="C1528" s="3"/>
      <c r="D1528"/>
      <c r="E1528"/>
      <c r="F1528" s="3"/>
    </row>
    <row r="1529" spans="3:6" x14ac:dyDescent="0.35">
      <c r="C1529" s="3"/>
      <c r="D1529"/>
      <c r="E1529"/>
      <c r="F1529" s="3"/>
    </row>
    <row r="1530" spans="3:6" x14ac:dyDescent="0.35">
      <c r="C1530" s="3"/>
      <c r="D1530"/>
      <c r="E1530"/>
      <c r="F1530" s="3"/>
    </row>
    <row r="1531" spans="3:6" x14ac:dyDescent="0.35">
      <c r="C1531" s="3"/>
      <c r="D1531"/>
      <c r="E1531"/>
      <c r="F1531" s="3"/>
    </row>
    <row r="1532" spans="3:6" x14ac:dyDescent="0.35">
      <c r="C1532" s="3"/>
      <c r="D1532"/>
      <c r="E1532"/>
      <c r="F1532" s="3"/>
    </row>
    <row r="1533" spans="3:6" x14ac:dyDescent="0.35">
      <c r="C1533" s="3"/>
      <c r="D1533"/>
      <c r="E1533"/>
      <c r="F1533" s="3"/>
    </row>
    <row r="1534" spans="3:6" x14ac:dyDescent="0.35">
      <c r="C1534" s="3"/>
      <c r="D1534"/>
      <c r="E1534"/>
      <c r="F1534" s="3"/>
    </row>
    <row r="1535" spans="3:6" x14ac:dyDescent="0.35">
      <c r="C1535" s="3"/>
      <c r="D1535"/>
      <c r="E1535"/>
      <c r="F1535" s="3"/>
    </row>
    <row r="1536" spans="3:6" x14ac:dyDescent="0.35">
      <c r="C1536" s="3"/>
      <c r="D1536"/>
      <c r="E1536"/>
      <c r="F1536" s="3"/>
    </row>
    <row r="1537" spans="3:6" x14ac:dyDescent="0.35">
      <c r="C1537" s="3"/>
      <c r="D1537"/>
      <c r="E1537"/>
      <c r="F1537" s="3"/>
    </row>
    <row r="1538" spans="3:6" x14ac:dyDescent="0.35">
      <c r="C1538" s="3"/>
      <c r="D1538"/>
      <c r="E1538"/>
      <c r="F1538" s="3"/>
    </row>
    <row r="1539" spans="3:6" x14ac:dyDescent="0.35">
      <c r="C1539" s="3"/>
      <c r="D1539"/>
      <c r="E1539"/>
      <c r="F1539" s="3"/>
    </row>
    <row r="1540" spans="3:6" x14ac:dyDescent="0.35">
      <c r="C1540" s="3"/>
      <c r="D1540"/>
      <c r="E1540"/>
      <c r="F1540" s="3"/>
    </row>
    <row r="1541" spans="3:6" x14ac:dyDescent="0.35">
      <c r="C1541" s="3"/>
      <c r="D1541"/>
      <c r="E1541"/>
      <c r="F1541" s="3"/>
    </row>
    <row r="1542" spans="3:6" x14ac:dyDescent="0.35">
      <c r="C1542" s="3"/>
      <c r="D1542"/>
      <c r="E1542"/>
      <c r="F1542" s="3"/>
    </row>
    <row r="1543" spans="3:6" x14ac:dyDescent="0.35">
      <c r="C1543" s="3"/>
      <c r="D1543"/>
      <c r="E1543"/>
      <c r="F1543" s="3"/>
    </row>
    <row r="1544" spans="3:6" x14ac:dyDescent="0.35">
      <c r="C1544" s="3"/>
      <c r="D1544"/>
      <c r="E1544"/>
      <c r="F1544" s="3"/>
    </row>
    <row r="1545" spans="3:6" x14ac:dyDescent="0.35">
      <c r="C1545" s="3"/>
      <c r="D1545"/>
      <c r="E1545"/>
      <c r="F1545" s="3"/>
    </row>
    <row r="1546" spans="3:6" x14ac:dyDescent="0.35">
      <c r="C1546" s="3"/>
      <c r="D1546"/>
      <c r="E1546"/>
      <c r="F1546" s="3"/>
    </row>
    <row r="1547" spans="3:6" x14ac:dyDescent="0.35">
      <c r="C1547" s="3"/>
      <c r="D1547"/>
      <c r="E1547"/>
      <c r="F1547" s="3"/>
    </row>
    <row r="1548" spans="3:6" x14ac:dyDescent="0.35">
      <c r="C1548" s="3"/>
      <c r="D1548"/>
      <c r="E1548"/>
      <c r="F1548" s="3"/>
    </row>
    <row r="1549" spans="3:6" x14ac:dyDescent="0.35">
      <c r="C1549" s="3"/>
      <c r="D1549"/>
      <c r="E1549"/>
      <c r="F1549" s="3"/>
    </row>
    <row r="1550" spans="3:6" x14ac:dyDescent="0.35">
      <c r="C1550" s="3"/>
      <c r="D1550"/>
      <c r="E1550"/>
      <c r="F1550" s="3"/>
    </row>
    <row r="1551" spans="3:6" x14ac:dyDescent="0.35">
      <c r="C1551" s="3"/>
      <c r="D1551"/>
      <c r="E1551"/>
      <c r="F1551" s="3"/>
    </row>
    <row r="1552" spans="3:6" x14ac:dyDescent="0.35">
      <c r="C1552" s="3"/>
      <c r="D1552"/>
      <c r="E1552"/>
      <c r="F1552" s="3"/>
    </row>
    <row r="1553" spans="3:6" x14ac:dyDescent="0.35">
      <c r="C1553" s="3"/>
      <c r="D1553"/>
      <c r="E1553"/>
      <c r="F1553" s="3"/>
    </row>
    <row r="1554" spans="3:6" x14ac:dyDescent="0.35">
      <c r="C1554" s="3"/>
      <c r="D1554"/>
      <c r="E1554"/>
      <c r="F1554" s="3"/>
    </row>
    <row r="1555" spans="3:6" x14ac:dyDescent="0.35">
      <c r="C1555" s="3"/>
      <c r="D1555"/>
      <c r="E1555"/>
      <c r="F1555" s="3"/>
    </row>
    <row r="1556" spans="3:6" x14ac:dyDescent="0.35">
      <c r="C1556" s="3"/>
      <c r="D1556"/>
      <c r="E1556"/>
      <c r="F1556" s="3"/>
    </row>
    <row r="1557" spans="3:6" x14ac:dyDescent="0.35">
      <c r="C1557" s="3"/>
      <c r="D1557"/>
      <c r="E1557"/>
      <c r="F1557" s="3"/>
    </row>
    <row r="1558" spans="3:6" x14ac:dyDescent="0.35">
      <c r="C1558" s="3"/>
      <c r="D1558"/>
      <c r="E1558"/>
      <c r="F1558" s="3"/>
    </row>
    <row r="1559" spans="3:6" x14ac:dyDescent="0.35">
      <c r="C1559" s="3"/>
      <c r="D1559"/>
      <c r="E1559"/>
      <c r="F1559" s="3"/>
    </row>
    <row r="1560" spans="3:6" x14ac:dyDescent="0.35">
      <c r="C1560" s="3"/>
      <c r="D1560"/>
      <c r="E1560"/>
      <c r="F1560" s="3"/>
    </row>
    <row r="1561" spans="3:6" x14ac:dyDescent="0.35">
      <c r="C1561" s="3"/>
      <c r="D1561"/>
      <c r="E1561"/>
      <c r="F1561" s="3"/>
    </row>
    <row r="1562" spans="3:6" x14ac:dyDescent="0.35">
      <c r="C1562" s="3"/>
      <c r="D1562"/>
      <c r="E1562"/>
      <c r="F1562" s="3"/>
    </row>
    <row r="1563" spans="3:6" x14ac:dyDescent="0.35">
      <c r="C1563" s="3"/>
      <c r="D1563"/>
      <c r="E1563"/>
      <c r="F1563" s="3"/>
    </row>
    <row r="1564" spans="3:6" x14ac:dyDescent="0.35">
      <c r="C1564" s="3"/>
      <c r="D1564"/>
      <c r="E1564"/>
      <c r="F1564" s="3"/>
    </row>
    <row r="1565" spans="3:6" x14ac:dyDescent="0.35">
      <c r="C1565" s="3"/>
      <c r="D1565"/>
      <c r="E1565"/>
      <c r="F1565" s="3"/>
    </row>
    <row r="1566" spans="3:6" x14ac:dyDescent="0.35">
      <c r="C1566" s="3"/>
      <c r="D1566"/>
      <c r="E1566"/>
      <c r="F1566" s="3"/>
    </row>
    <row r="1567" spans="3:6" x14ac:dyDescent="0.35">
      <c r="C1567" s="3"/>
      <c r="D1567"/>
      <c r="E1567"/>
      <c r="F1567" s="3"/>
    </row>
    <row r="1568" spans="3:6" x14ac:dyDescent="0.35">
      <c r="C1568" s="3"/>
      <c r="D1568"/>
      <c r="E1568"/>
      <c r="F1568" s="3"/>
    </row>
    <row r="1569" spans="3:6" x14ac:dyDescent="0.35">
      <c r="C1569" s="3"/>
      <c r="D1569"/>
      <c r="E1569"/>
      <c r="F1569" s="3"/>
    </row>
    <row r="1570" spans="3:6" x14ac:dyDescent="0.35">
      <c r="C1570" s="3"/>
      <c r="D1570"/>
      <c r="E1570"/>
      <c r="F1570" s="3"/>
    </row>
    <row r="1571" spans="3:6" x14ac:dyDescent="0.35">
      <c r="C1571" s="3"/>
      <c r="D1571"/>
      <c r="E1571"/>
      <c r="F1571" s="3"/>
    </row>
    <row r="1572" spans="3:6" x14ac:dyDescent="0.35">
      <c r="C1572" s="3"/>
      <c r="D1572"/>
      <c r="E1572"/>
      <c r="F1572" s="3"/>
    </row>
    <row r="1573" spans="3:6" x14ac:dyDescent="0.35">
      <c r="C1573" s="3"/>
      <c r="D1573"/>
      <c r="E1573"/>
      <c r="F1573" s="3"/>
    </row>
    <row r="1574" spans="3:6" x14ac:dyDescent="0.35">
      <c r="C1574" s="3"/>
      <c r="D1574"/>
      <c r="E1574"/>
      <c r="F1574" s="3"/>
    </row>
    <row r="1575" spans="3:6" x14ac:dyDescent="0.35">
      <c r="C1575" s="3"/>
      <c r="D1575"/>
      <c r="E1575"/>
      <c r="F1575" s="3"/>
    </row>
    <row r="1576" spans="3:6" x14ac:dyDescent="0.35">
      <c r="C1576" s="3"/>
      <c r="D1576"/>
      <c r="E1576"/>
      <c r="F1576" s="3"/>
    </row>
    <row r="1577" spans="3:6" x14ac:dyDescent="0.35">
      <c r="C1577" s="3"/>
      <c r="D1577"/>
      <c r="E1577"/>
      <c r="F1577" s="3"/>
    </row>
    <row r="1578" spans="3:6" x14ac:dyDescent="0.35">
      <c r="C1578" s="3"/>
      <c r="D1578"/>
      <c r="E1578"/>
      <c r="F1578" s="3"/>
    </row>
    <row r="1579" spans="3:6" x14ac:dyDescent="0.35">
      <c r="C1579" s="3"/>
      <c r="D1579"/>
      <c r="E1579"/>
      <c r="F1579" s="3"/>
    </row>
    <row r="1580" spans="3:6" x14ac:dyDescent="0.35">
      <c r="C1580" s="3"/>
      <c r="D1580"/>
      <c r="E1580"/>
      <c r="F1580" s="3"/>
    </row>
    <row r="1581" spans="3:6" x14ac:dyDescent="0.35">
      <c r="C1581" s="3"/>
      <c r="D1581"/>
      <c r="E1581"/>
      <c r="F1581" s="3"/>
    </row>
    <row r="1582" spans="3:6" x14ac:dyDescent="0.35">
      <c r="C1582" s="3"/>
      <c r="D1582"/>
      <c r="E1582"/>
      <c r="F1582" s="3"/>
    </row>
    <row r="1583" spans="3:6" x14ac:dyDescent="0.35">
      <c r="C1583" s="3"/>
      <c r="D1583"/>
      <c r="E1583"/>
      <c r="F1583" s="3"/>
    </row>
    <row r="1584" spans="3:6" x14ac:dyDescent="0.35">
      <c r="C1584" s="3"/>
      <c r="D1584"/>
      <c r="E1584"/>
      <c r="F1584" s="3"/>
    </row>
    <row r="1585" spans="3:6" x14ac:dyDescent="0.35">
      <c r="C1585" s="3"/>
      <c r="D1585"/>
      <c r="E1585"/>
      <c r="F1585" s="3"/>
    </row>
    <row r="1586" spans="3:6" x14ac:dyDescent="0.35">
      <c r="C1586" s="3"/>
      <c r="D1586"/>
      <c r="E1586"/>
      <c r="F1586" s="3"/>
    </row>
    <row r="1587" spans="3:6" x14ac:dyDescent="0.35">
      <c r="C1587" s="3"/>
      <c r="D1587"/>
      <c r="E1587"/>
      <c r="F1587" s="3"/>
    </row>
    <row r="1588" spans="3:6" x14ac:dyDescent="0.35">
      <c r="C1588" s="3"/>
      <c r="D1588"/>
      <c r="E1588"/>
      <c r="F1588" s="3"/>
    </row>
    <row r="1589" spans="3:6" x14ac:dyDescent="0.35">
      <c r="C1589" s="3"/>
      <c r="D1589"/>
      <c r="E1589"/>
      <c r="F1589" s="3"/>
    </row>
    <row r="1590" spans="3:6" x14ac:dyDescent="0.35">
      <c r="C1590" s="3"/>
      <c r="D1590"/>
      <c r="E1590"/>
      <c r="F1590" s="3"/>
    </row>
    <row r="1591" spans="3:6" x14ac:dyDescent="0.35">
      <c r="C1591" s="3"/>
      <c r="D1591"/>
      <c r="E1591"/>
      <c r="F1591" s="3"/>
    </row>
    <row r="1592" spans="3:6" x14ac:dyDescent="0.35">
      <c r="C1592" s="3"/>
      <c r="D1592"/>
      <c r="E1592"/>
      <c r="F1592" s="3"/>
    </row>
    <row r="1593" spans="3:6" x14ac:dyDescent="0.35">
      <c r="C1593" s="3"/>
      <c r="D1593"/>
      <c r="E1593"/>
      <c r="F1593" s="3"/>
    </row>
    <row r="1594" spans="3:6" x14ac:dyDescent="0.35">
      <c r="C1594" s="3"/>
      <c r="D1594"/>
      <c r="E1594"/>
      <c r="F1594" s="3"/>
    </row>
    <row r="1595" spans="3:6" x14ac:dyDescent="0.35">
      <c r="C1595" s="3"/>
      <c r="D1595"/>
      <c r="E1595"/>
      <c r="F1595" s="3"/>
    </row>
    <row r="1596" spans="3:6" x14ac:dyDescent="0.35">
      <c r="C1596" s="3"/>
      <c r="D1596"/>
      <c r="E1596"/>
      <c r="F1596" s="3"/>
    </row>
    <row r="1597" spans="3:6" x14ac:dyDescent="0.35">
      <c r="C1597" s="3"/>
      <c r="D1597"/>
      <c r="E1597"/>
      <c r="F1597" s="3"/>
    </row>
    <row r="1598" spans="3:6" x14ac:dyDescent="0.35">
      <c r="C1598" s="3"/>
      <c r="D1598"/>
      <c r="E1598"/>
      <c r="F1598" s="3"/>
    </row>
    <row r="1599" spans="3:6" x14ac:dyDescent="0.35">
      <c r="C1599" s="3"/>
      <c r="D1599"/>
      <c r="E1599"/>
      <c r="F1599" s="3"/>
    </row>
    <row r="1600" spans="3:6" x14ac:dyDescent="0.35">
      <c r="C1600" s="3"/>
      <c r="D1600"/>
      <c r="E1600"/>
      <c r="F1600" s="3"/>
    </row>
    <row r="1601" spans="3:6" x14ac:dyDescent="0.35">
      <c r="C1601" s="3"/>
      <c r="D1601"/>
      <c r="E1601"/>
      <c r="F1601" s="3"/>
    </row>
    <row r="1602" spans="3:6" x14ac:dyDescent="0.35">
      <c r="C1602" s="3"/>
      <c r="D1602"/>
      <c r="E1602"/>
      <c r="F1602" s="3"/>
    </row>
    <row r="1603" spans="3:6" x14ac:dyDescent="0.35">
      <c r="C1603" s="3"/>
      <c r="D1603"/>
      <c r="E1603"/>
      <c r="F1603" s="3"/>
    </row>
    <row r="1604" spans="3:6" x14ac:dyDescent="0.35">
      <c r="C1604" s="3"/>
      <c r="D1604"/>
      <c r="E1604"/>
      <c r="F1604" s="3"/>
    </row>
    <row r="1605" spans="3:6" x14ac:dyDescent="0.35">
      <c r="C1605" s="3"/>
      <c r="D1605"/>
      <c r="E1605"/>
      <c r="F1605" s="3"/>
    </row>
    <row r="1606" spans="3:6" x14ac:dyDescent="0.35">
      <c r="C1606" s="3"/>
      <c r="D1606"/>
      <c r="E1606"/>
      <c r="F1606" s="3"/>
    </row>
    <row r="1607" spans="3:6" x14ac:dyDescent="0.35">
      <c r="C1607" s="3"/>
      <c r="D1607"/>
      <c r="E1607"/>
      <c r="F1607" s="3"/>
    </row>
    <row r="1608" spans="3:6" x14ac:dyDescent="0.35">
      <c r="C1608" s="3"/>
      <c r="D1608"/>
      <c r="E1608"/>
      <c r="F1608" s="3"/>
    </row>
    <row r="1609" spans="3:6" x14ac:dyDescent="0.35">
      <c r="C1609" s="3"/>
      <c r="D1609"/>
      <c r="E1609"/>
      <c r="F1609" s="3"/>
    </row>
    <row r="1610" spans="3:6" x14ac:dyDescent="0.35">
      <c r="C1610" s="3"/>
      <c r="D1610"/>
      <c r="E1610"/>
      <c r="F1610" s="3"/>
    </row>
    <row r="1611" spans="3:6" x14ac:dyDescent="0.35">
      <c r="C1611" s="3"/>
      <c r="D1611"/>
      <c r="E1611"/>
      <c r="F1611" s="3"/>
    </row>
    <row r="1612" spans="3:6" x14ac:dyDescent="0.35">
      <c r="C1612" s="3"/>
      <c r="D1612"/>
      <c r="E1612"/>
      <c r="F1612" s="3"/>
    </row>
    <row r="1613" spans="3:6" x14ac:dyDescent="0.35">
      <c r="C1613" s="3"/>
      <c r="D1613"/>
      <c r="E1613"/>
      <c r="F1613" s="3"/>
    </row>
    <row r="1614" spans="3:6" x14ac:dyDescent="0.35">
      <c r="C1614" s="3"/>
      <c r="D1614"/>
      <c r="E1614"/>
      <c r="F1614" s="3"/>
    </row>
    <row r="1615" spans="3:6" x14ac:dyDescent="0.35">
      <c r="C1615" s="3"/>
      <c r="D1615"/>
      <c r="E1615"/>
      <c r="F1615" s="3"/>
    </row>
    <row r="1616" spans="3:6" x14ac:dyDescent="0.35">
      <c r="C1616" s="3"/>
      <c r="D1616"/>
      <c r="E1616"/>
      <c r="F1616" s="3"/>
    </row>
    <row r="1617" spans="3:6" x14ac:dyDescent="0.35">
      <c r="C1617" s="3"/>
      <c r="D1617"/>
      <c r="E1617"/>
      <c r="F1617" s="3"/>
    </row>
    <row r="1618" spans="3:6" x14ac:dyDescent="0.35">
      <c r="C1618" s="3"/>
      <c r="D1618"/>
      <c r="E1618"/>
      <c r="F1618" s="3"/>
    </row>
    <row r="1619" spans="3:6" x14ac:dyDescent="0.35">
      <c r="C1619" s="3"/>
      <c r="D1619"/>
      <c r="E1619"/>
      <c r="F1619" s="3"/>
    </row>
    <row r="1620" spans="3:6" x14ac:dyDescent="0.35">
      <c r="C1620" s="3"/>
      <c r="D1620"/>
      <c r="E1620"/>
      <c r="F1620" s="3"/>
    </row>
    <row r="1621" spans="3:6" x14ac:dyDescent="0.35">
      <c r="C1621" s="3"/>
      <c r="D1621"/>
      <c r="E1621"/>
      <c r="F1621" s="3"/>
    </row>
    <row r="1622" spans="3:6" x14ac:dyDescent="0.35">
      <c r="C1622" s="3"/>
      <c r="D1622"/>
      <c r="E1622"/>
      <c r="F1622" s="3"/>
    </row>
    <row r="1623" spans="3:6" x14ac:dyDescent="0.35">
      <c r="C1623" s="3"/>
      <c r="D1623"/>
      <c r="E1623"/>
      <c r="F1623" s="3"/>
    </row>
    <row r="1624" spans="3:6" x14ac:dyDescent="0.35">
      <c r="C1624" s="3"/>
      <c r="D1624"/>
      <c r="E1624"/>
      <c r="F1624" s="3"/>
    </row>
    <row r="1625" spans="3:6" x14ac:dyDescent="0.35">
      <c r="C1625" s="3"/>
      <c r="D1625"/>
      <c r="E1625"/>
      <c r="F1625" s="3"/>
    </row>
    <row r="1626" spans="3:6" x14ac:dyDescent="0.35">
      <c r="C1626" s="3"/>
      <c r="D1626"/>
      <c r="E1626"/>
      <c r="F1626" s="3"/>
    </row>
    <row r="1627" spans="3:6" x14ac:dyDescent="0.35">
      <c r="C1627" s="3"/>
      <c r="D1627"/>
      <c r="E1627"/>
      <c r="F1627" s="3"/>
    </row>
    <row r="1628" spans="3:6" x14ac:dyDescent="0.35">
      <c r="C1628" s="3"/>
      <c r="D1628"/>
      <c r="E1628"/>
      <c r="F1628" s="3"/>
    </row>
    <row r="1629" spans="3:6" x14ac:dyDescent="0.35">
      <c r="C1629" s="3"/>
      <c r="D1629"/>
      <c r="E1629"/>
      <c r="F1629" s="3"/>
    </row>
    <row r="1630" spans="3:6" x14ac:dyDescent="0.35">
      <c r="C1630" s="3"/>
      <c r="D1630"/>
      <c r="E1630"/>
      <c r="F1630" s="3"/>
    </row>
    <row r="1631" spans="3:6" x14ac:dyDescent="0.35">
      <c r="C1631" s="3"/>
      <c r="D1631"/>
      <c r="E1631"/>
      <c r="F1631" s="3"/>
    </row>
    <row r="1632" spans="3:6" x14ac:dyDescent="0.35">
      <c r="C1632" s="3"/>
      <c r="D1632"/>
      <c r="E1632"/>
      <c r="F1632" s="3"/>
    </row>
    <row r="1633" spans="3:6" x14ac:dyDescent="0.35">
      <c r="C1633" s="3"/>
      <c r="D1633"/>
      <c r="E1633"/>
      <c r="F1633" s="3"/>
    </row>
    <row r="1634" spans="3:6" x14ac:dyDescent="0.35">
      <c r="C1634" s="3"/>
      <c r="D1634"/>
      <c r="E1634"/>
      <c r="F1634" s="3"/>
    </row>
    <row r="1635" spans="3:6" x14ac:dyDescent="0.35">
      <c r="C1635" s="3"/>
      <c r="D1635"/>
      <c r="E1635"/>
      <c r="F1635" s="3"/>
    </row>
    <row r="1636" spans="3:6" x14ac:dyDescent="0.35">
      <c r="C1636" s="3"/>
      <c r="D1636"/>
      <c r="E1636"/>
      <c r="F1636" s="3"/>
    </row>
    <row r="1637" spans="3:6" x14ac:dyDescent="0.35">
      <c r="C1637" s="3"/>
      <c r="D1637"/>
      <c r="E1637"/>
      <c r="F1637" s="3"/>
    </row>
    <row r="1638" spans="3:6" x14ac:dyDescent="0.35">
      <c r="C1638" s="3"/>
      <c r="D1638"/>
      <c r="E1638"/>
      <c r="F1638" s="3"/>
    </row>
    <row r="1639" spans="3:6" x14ac:dyDescent="0.35">
      <c r="C1639" s="3"/>
      <c r="D1639"/>
      <c r="E1639"/>
      <c r="F1639" s="3"/>
    </row>
    <row r="1640" spans="3:6" x14ac:dyDescent="0.35">
      <c r="C1640" s="3"/>
      <c r="D1640"/>
      <c r="E1640"/>
      <c r="F1640" s="3"/>
    </row>
    <row r="1641" spans="3:6" x14ac:dyDescent="0.35">
      <c r="C1641" s="3"/>
      <c r="D1641"/>
      <c r="E1641"/>
      <c r="F1641" s="3"/>
    </row>
    <row r="1642" spans="3:6" x14ac:dyDescent="0.35">
      <c r="C1642" s="3"/>
      <c r="D1642"/>
      <c r="E1642"/>
      <c r="F1642" s="3"/>
    </row>
    <row r="1643" spans="3:6" x14ac:dyDescent="0.35">
      <c r="C1643" s="3"/>
      <c r="D1643"/>
      <c r="E1643"/>
      <c r="F1643" s="3"/>
    </row>
    <row r="1644" spans="3:6" x14ac:dyDescent="0.35">
      <c r="C1644" s="3"/>
      <c r="D1644"/>
      <c r="E1644"/>
      <c r="F1644" s="3"/>
    </row>
    <row r="1645" spans="3:6" x14ac:dyDescent="0.35">
      <c r="C1645" s="3"/>
      <c r="D1645"/>
      <c r="E1645"/>
      <c r="F1645" s="3"/>
    </row>
    <row r="1646" spans="3:6" x14ac:dyDescent="0.35">
      <c r="C1646" s="3"/>
      <c r="D1646"/>
      <c r="E1646"/>
      <c r="F1646" s="3"/>
    </row>
    <row r="1647" spans="3:6" x14ac:dyDescent="0.35">
      <c r="C1647" s="3"/>
      <c r="D1647"/>
      <c r="E1647"/>
      <c r="F1647" s="3"/>
    </row>
    <row r="1648" spans="3:6" x14ac:dyDescent="0.35">
      <c r="C1648" s="3"/>
      <c r="D1648"/>
      <c r="E1648"/>
      <c r="F1648" s="3"/>
    </row>
    <row r="1649" spans="3:6" x14ac:dyDescent="0.35">
      <c r="C1649" s="3"/>
      <c r="D1649"/>
      <c r="E1649"/>
      <c r="F1649" s="3"/>
    </row>
    <row r="1650" spans="3:6" x14ac:dyDescent="0.35">
      <c r="C1650" s="3"/>
      <c r="D1650"/>
      <c r="E1650"/>
      <c r="F1650" s="3"/>
    </row>
    <row r="1651" spans="3:6" x14ac:dyDescent="0.35">
      <c r="C1651" s="3"/>
      <c r="D1651"/>
      <c r="E1651"/>
      <c r="F1651" s="3"/>
    </row>
    <row r="1652" spans="3:6" x14ac:dyDescent="0.35">
      <c r="C1652" s="3"/>
      <c r="D1652"/>
      <c r="E1652"/>
      <c r="F1652" s="3"/>
    </row>
    <row r="1653" spans="3:6" x14ac:dyDescent="0.35">
      <c r="C1653" s="3"/>
      <c r="D1653"/>
      <c r="E1653"/>
      <c r="F1653" s="3"/>
    </row>
    <row r="1654" spans="3:6" x14ac:dyDescent="0.35">
      <c r="C1654" s="3"/>
      <c r="D1654"/>
      <c r="E1654"/>
      <c r="F1654" s="3"/>
    </row>
    <row r="1655" spans="3:6" x14ac:dyDescent="0.35">
      <c r="C1655" s="3"/>
      <c r="D1655"/>
      <c r="E1655"/>
      <c r="F1655" s="3"/>
    </row>
    <row r="1656" spans="3:6" x14ac:dyDescent="0.35">
      <c r="C1656" s="3"/>
      <c r="D1656"/>
      <c r="E1656"/>
      <c r="F1656" s="3"/>
    </row>
    <row r="1657" spans="3:6" x14ac:dyDescent="0.35">
      <c r="C1657" s="3"/>
      <c r="D1657"/>
      <c r="E1657"/>
      <c r="F1657" s="3"/>
    </row>
    <row r="1658" spans="3:6" x14ac:dyDescent="0.35">
      <c r="C1658" s="3"/>
      <c r="D1658"/>
      <c r="E1658"/>
      <c r="F1658" s="3"/>
    </row>
    <row r="1659" spans="3:6" x14ac:dyDescent="0.35">
      <c r="C1659" s="3"/>
      <c r="D1659"/>
      <c r="E1659"/>
      <c r="F1659" s="3"/>
    </row>
    <row r="1660" spans="3:6" x14ac:dyDescent="0.35">
      <c r="C1660" s="3"/>
      <c r="D1660"/>
      <c r="E1660"/>
      <c r="F1660" s="3"/>
    </row>
    <row r="1661" spans="3:6" x14ac:dyDescent="0.35">
      <c r="C1661" s="3"/>
      <c r="D1661"/>
      <c r="E1661"/>
      <c r="F1661" s="3"/>
    </row>
    <row r="1662" spans="3:6" x14ac:dyDescent="0.35">
      <c r="C1662" s="3"/>
      <c r="D1662"/>
      <c r="E1662"/>
      <c r="F1662" s="3"/>
    </row>
    <row r="1663" spans="3:6" x14ac:dyDescent="0.35">
      <c r="C1663" s="3"/>
      <c r="D1663"/>
      <c r="E1663"/>
      <c r="F1663" s="3"/>
    </row>
    <row r="1664" spans="3:6" x14ac:dyDescent="0.35">
      <c r="C1664" s="3"/>
      <c r="D1664"/>
      <c r="E1664"/>
      <c r="F1664" s="3"/>
    </row>
    <row r="1665" spans="3:6" x14ac:dyDescent="0.35">
      <c r="C1665" s="3"/>
      <c r="D1665"/>
      <c r="E1665"/>
      <c r="F1665" s="3"/>
    </row>
    <row r="1666" spans="3:6" x14ac:dyDescent="0.35">
      <c r="C1666" s="3"/>
      <c r="D1666"/>
      <c r="E1666"/>
      <c r="F1666" s="3"/>
    </row>
    <row r="1667" spans="3:6" x14ac:dyDescent="0.35">
      <c r="C1667" s="3"/>
      <c r="D1667"/>
      <c r="E1667"/>
      <c r="F1667" s="3"/>
    </row>
    <row r="1668" spans="3:6" x14ac:dyDescent="0.35">
      <c r="C1668" s="3"/>
      <c r="D1668"/>
      <c r="E1668"/>
      <c r="F1668" s="3"/>
    </row>
    <row r="1669" spans="3:6" x14ac:dyDescent="0.35">
      <c r="C1669" s="3"/>
      <c r="D1669"/>
      <c r="E1669"/>
      <c r="F1669" s="3"/>
    </row>
    <row r="1670" spans="3:6" x14ac:dyDescent="0.35">
      <c r="C1670" s="3"/>
      <c r="D1670"/>
      <c r="E1670"/>
      <c r="F1670" s="3"/>
    </row>
    <row r="1671" spans="3:6" x14ac:dyDescent="0.35">
      <c r="C1671" s="3"/>
      <c r="D1671"/>
      <c r="E1671"/>
      <c r="F1671" s="3"/>
    </row>
    <row r="1672" spans="3:6" x14ac:dyDescent="0.35">
      <c r="C1672" s="3"/>
      <c r="D1672"/>
      <c r="E1672"/>
      <c r="F1672" s="3"/>
    </row>
    <row r="1673" spans="3:6" x14ac:dyDescent="0.35">
      <c r="C1673" s="3"/>
      <c r="D1673"/>
      <c r="E1673"/>
      <c r="F1673" s="3"/>
    </row>
    <row r="1674" spans="3:6" x14ac:dyDescent="0.35">
      <c r="C1674" s="3"/>
      <c r="D1674"/>
      <c r="E1674"/>
      <c r="F1674" s="3"/>
    </row>
    <row r="1675" spans="3:6" x14ac:dyDescent="0.35">
      <c r="C1675" s="3"/>
      <c r="D1675"/>
      <c r="E1675"/>
      <c r="F1675" s="3"/>
    </row>
    <row r="1676" spans="3:6" x14ac:dyDescent="0.35">
      <c r="C1676" s="3"/>
      <c r="D1676"/>
      <c r="E1676"/>
      <c r="F1676" s="3"/>
    </row>
    <row r="1677" spans="3:6" x14ac:dyDescent="0.35">
      <c r="C1677" s="3"/>
      <c r="D1677"/>
      <c r="E1677"/>
      <c r="F1677" s="3"/>
    </row>
    <row r="1678" spans="3:6" x14ac:dyDescent="0.35">
      <c r="C1678" s="3"/>
      <c r="D1678"/>
      <c r="E1678"/>
      <c r="F1678" s="3"/>
    </row>
    <row r="1679" spans="3:6" x14ac:dyDescent="0.35">
      <c r="C1679" s="3"/>
      <c r="D1679"/>
      <c r="E1679"/>
      <c r="F1679" s="3"/>
    </row>
    <row r="1680" spans="3:6" x14ac:dyDescent="0.35">
      <c r="C1680" s="3"/>
      <c r="D1680"/>
      <c r="E1680"/>
      <c r="F1680" s="3"/>
    </row>
    <row r="1681" spans="3:6" x14ac:dyDescent="0.35">
      <c r="C1681" s="3"/>
      <c r="D1681"/>
      <c r="E1681"/>
      <c r="F1681" s="3"/>
    </row>
    <row r="1682" spans="3:6" x14ac:dyDescent="0.35">
      <c r="C1682" s="3"/>
      <c r="D1682"/>
      <c r="E1682"/>
      <c r="F1682" s="3"/>
    </row>
    <row r="1683" spans="3:6" x14ac:dyDescent="0.35">
      <c r="C1683" s="3"/>
      <c r="D1683"/>
      <c r="E1683"/>
      <c r="F1683" s="3"/>
    </row>
    <row r="1684" spans="3:6" x14ac:dyDescent="0.35">
      <c r="C1684" s="3"/>
      <c r="D1684"/>
      <c r="E1684"/>
      <c r="F1684" s="3"/>
    </row>
    <row r="1685" spans="3:6" x14ac:dyDescent="0.35">
      <c r="C1685" s="3"/>
      <c r="D1685"/>
      <c r="E1685"/>
      <c r="F1685" s="3"/>
    </row>
    <row r="1686" spans="3:6" x14ac:dyDescent="0.35">
      <c r="C1686" s="3"/>
      <c r="D1686"/>
      <c r="E1686"/>
      <c r="F1686" s="3"/>
    </row>
    <row r="1687" spans="3:6" x14ac:dyDescent="0.35">
      <c r="C1687" s="3"/>
      <c r="D1687"/>
      <c r="E1687"/>
      <c r="F1687" s="3"/>
    </row>
    <row r="1688" spans="3:6" x14ac:dyDescent="0.35">
      <c r="C1688" s="3"/>
      <c r="D1688"/>
      <c r="E1688"/>
      <c r="F1688" s="3"/>
    </row>
    <row r="1689" spans="3:6" x14ac:dyDescent="0.35">
      <c r="C1689" s="3"/>
      <c r="D1689"/>
      <c r="E1689"/>
      <c r="F1689" s="3"/>
    </row>
    <row r="1690" spans="3:6" x14ac:dyDescent="0.35">
      <c r="C1690" s="3"/>
      <c r="D1690"/>
      <c r="E1690"/>
      <c r="F1690" s="3"/>
    </row>
    <row r="1691" spans="3:6" x14ac:dyDescent="0.35">
      <c r="C1691" s="3"/>
      <c r="D1691"/>
      <c r="E1691"/>
      <c r="F1691" s="3"/>
    </row>
    <row r="1692" spans="3:6" x14ac:dyDescent="0.35">
      <c r="C1692" s="3"/>
      <c r="D1692"/>
      <c r="E1692"/>
      <c r="F1692" s="3"/>
    </row>
    <row r="1693" spans="3:6" x14ac:dyDescent="0.35">
      <c r="C1693" s="3"/>
      <c r="D1693"/>
      <c r="E1693"/>
      <c r="F1693" s="3"/>
    </row>
    <row r="1694" spans="3:6" x14ac:dyDescent="0.35">
      <c r="C1694" s="3"/>
      <c r="D1694"/>
      <c r="E1694"/>
      <c r="F1694" s="3"/>
    </row>
    <row r="1695" spans="3:6" x14ac:dyDescent="0.35">
      <c r="C1695" s="3"/>
      <c r="D1695"/>
      <c r="E1695"/>
      <c r="F1695" s="3"/>
    </row>
    <row r="1696" spans="3:6" x14ac:dyDescent="0.35">
      <c r="C1696" s="3"/>
      <c r="D1696"/>
      <c r="E1696"/>
      <c r="F1696" s="3"/>
    </row>
    <row r="1697" spans="3:6" x14ac:dyDescent="0.35">
      <c r="C1697" s="3"/>
      <c r="D1697"/>
      <c r="E1697"/>
      <c r="F1697" s="3"/>
    </row>
    <row r="1698" spans="3:6" x14ac:dyDescent="0.35">
      <c r="C1698" s="3"/>
      <c r="D1698"/>
      <c r="E1698"/>
      <c r="F1698" s="3"/>
    </row>
    <row r="1699" spans="3:6" x14ac:dyDescent="0.35">
      <c r="C1699" s="3"/>
      <c r="D1699"/>
      <c r="E1699"/>
      <c r="F1699" s="3"/>
    </row>
    <row r="1700" spans="3:6" x14ac:dyDescent="0.35">
      <c r="C1700" s="3"/>
      <c r="D1700"/>
      <c r="E1700"/>
      <c r="F1700" s="3"/>
    </row>
    <row r="1701" spans="3:6" x14ac:dyDescent="0.35">
      <c r="C1701" s="3"/>
      <c r="D1701"/>
      <c r="E1701"/>
      <c r="F1701" s="3"/>
    </row>
    <row r="1702" spans="3:6" x14ac:dyDescent="0.35">
      <c r="C1702" s="3"/>
      <c r="D1702"/>
      <c r="E1702"/>
      <c r="F1702" s="3"/>
    </row>
    <row r="1703" spans="3:6" x14ac:dyDescent="0.35">
      <c r="C1703" s="3"/>
      <c r="D1703"/>
      <c r="E1703"/>
      <c r="F1703" s="3"/>
    </row>
    <row r="1704" spans="3:6" x14ac:dyDescent="0.35">
      <c r="C1704" s="3"/>
      <c r="D1704"/>
      <c r="E1704"/>
      <c r="F1704" s="3"/>
    </row>
    <row r="1705" spans="3:6" x14ac:dyDescent="0.35">
      <c r="C1705" s="3"/>
      <c r="D1705"/>
      <c r="E1705"/>
      <c r="F1705" s="3"/>
    </row>
    <row r="1706" spans="3:6" x14ac:dyDescent="0.35">
      <c r="C1706" s="3"/>
      <c r="D1706"/>
      <c r="E1706"/>
      <c r="F1706" s="3"/>
    </row>
    <row r="1707" spans="3:6" x14ac:dyDescent="0.35">
      <c r="C1707" s="3"/>
      <c r="D1707"/>
      <c r="E1707"/>
      <c r="F1707" s="3"/>
    </row>
    <row r="1708" spans="3:6" x14ac:dyDescent="0.35">
      <c r="C1708" s="3"/>
      <c r="D1708"/>
      <c r="E1708"/>
      <c r="F1708" s="3"/>
    </row>
    <row r="1709" spans="3:6" x14ac:dyDescent="0.35">
      <c r="C1709" s="3"/>
      <c r="D1709"/>
      <c r="E1709"/>
      <c r="F1709" s="3"/>
    </row>
    <row r="1710" spans="3:6" x14ac:dyDescent="0.35">
      <c r="C1710" s="3"/>
      <c r="D1710"/>
      <c r="E1710"/>
      <c r="F1710" s="3"/>
    </row>
    <row r="1711" spans="3:6" x14ac:dyDescent="0.35">
      <c r="C1711" s="3"/>
      <c r="D1711"/>
      <c r="E1711"/>
      <c r="F1711" s="3"/>
    </row>
    <row r="1712" spans="3:6" x14ac:dyDescent="0.35">
      <c r="C1712" s="3"/>
      <c r="D1712"/>
      <c r="E1712"/>
      <c r="F1712" s="3"/>
    </row>
    <row r="1713" spans="3:6" x14ac:dyDescent="0.35">
      <c r="C1713" s="3"/>
      <c r="D1713"/>
      <c r="E1713"/>
      <c r="F1713" s="3"/>
    </row>
    <row r="1714" spans="3:6" x14ac:dyDescent="0.35">
      <c r="C1714" s="3"/>
      <c r="D1714"/>
      <c r="E1714"/>
      <c r="F1714" s="3"/>
    </row>
    <row r="1715" spans="3:6" x14ac:dyDescent="0.35">
      <c r="C1715" s="3"/>
      <c r="D1715"/>
      <c r="E1715"/>
      <c r="F1715" s="3"/>
    </row>
    <row r="1716" spans="3:6" x14ac:dyDescent="0.35">
      <c r="C1716" s="3"/>
      <c r="D1716"/>
      <c r="E1716"/>
      <c r="F1716" s="3"/>
    </row>
    <row r="1717" spans="3:6" x14ac:dyDescent="0.35">
      <c r="C1717" s="3"/>
      <c r="D1717"/>
      <c r="E1717"/>
      <c r="F1717" s="3"/>
    </row>
    <row r="1718" spans="3:6" x14ac:dyDescent="0.35">
      <c r="C1718" s="3"/>
      <c r="D1718"/>
      <c r="E1718"/>
      <c r="F1718" s="3"/>
    </row>
    <row r="1719" spans="3:6" x14ac:dyDescent="0.35">
      <c r="C1719" s="3"/>
      <c r="D1719"/>
      <c r="E1719"/>
      <c r="F1719" s="3"/>
    </row>
    <row r="1720" spans="3:6" x14ac:dyDescent="0.35">
      <c r="C1720" s="3"/>
      <c r="D1720"/>
      <c r="E1720"/>
      <c r="F1720" s="3"/>
    </row>
  </sheetData>
  <sheetProtection sheet="1" objects="1" scenarios="1"/>
  <customSheetViews>
    <customSheetView guid="{A9C4060D-48A6-4A71-A108-B3947866F802}">
      <selection activeCell="T17" sqref="T17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3C33-F13F-4E4C-9E29-FBBD2EDB5668}">
  <sheetPr codeName="Tabelle6">
    <tabColor theme="3" tint="0.59999389629810485"/>
  </sheetPr>
  <dimension ref="A1:AO1720"/>
  <sheetViews>
    <sheetView topLeftCell="M1" workbookViewId="0">
      <selection activeCell="S3" sqref="S3"/>
    </sheetView>
  </sheetViews>
  <sheetFormatPr baseColWidth="10" defaultRowHeight="15.5" outlineLevelCol="1" x14ac:dyDescent="0.35"/>
  <cols>
    <col min="1" max="1" width="8.75" style="36" customWidth="1" outlineLevel="1"/>
    <col min="2" max="2" width="9.33203125" style="33" customWidth="1" outlineLevel="1"/>
    <col min="3" max="3" width="8.33203125" style="4" customWidth="1" outlineLevel="1"/>
    <col min="4" max="4" width="7.5" style="99" customWidth="1" outlineLevel="1"/>
    <col min="5" max="5" width="8.75" style="99" customWidth="1"/>
    <col min="6" max="6" width="8.08203125" style="4" customWidth="1" outlineLevel="1"/>
    <col min="14" max="14" width="16.25" customWidth="1"/>
    <col min="15" max="15" width="9.75" customWidth="1"/>
    <col min="42" max="60" width="2.08203125" customWidth="1"/>
  </cols>
  <sheetData>
    <row r="1" spans="1:41" s="22" customFormat="1" ht="31.5" thickBot="1" x14ac:dyDescent="0.4">
      <c r="A1" s="46" t="s">
        <v>57</v>
      </c>
      <c r="B1" s="34" t="s">
        <v>57</v>
      </c>
      <c r="C1" s="47" t="s">
        <v>58</v>
      </c>
      <c r="D1" s="25" t="s">
        <v>59</v>
      </c>
      <c r="E1" s="25" t="s">
        <v>59</v>
      </c>
      <c r="F1" s="47" t="s">
        <v>58</v>
      </c>
      <c r="G1" s="19"/>
      <c r="I1" s="22" t="str">
        <f>IF(Input!A1&gt;0,Input!A1,"")</f>
        <v>Name</v>
      </c>
      <c r="J1" s="22" t="str">
        <f>IF(Input!B1&gt;0,Input!B1,"")</f>
        <v>First Name</v>
      </c>
      <c r="K1" s="22" t="str">
        <f>IF(Input!C1&gt;0,Input!C1,"")</f>
        <v>Nat</v>
      </c>
      <c r="L1" s="22" t="str">
        <f>IF(Input!D1&gt;0,Input!D1,"")</f>
        <v>Category</v>
      </c>
      <c r="M1" t="str">
        <f>IF(Input!G1&gt;0,Input!G1,"")</f>
        <v>Rank RRS</v>
      </c>
      <c r="N1" t="str">
        <f>IF(Input!H1&gt;0,Input!H1,"")</f>
        <v>Overall Points RRS</v>
      </c>
      <c r="O1" s="22" t="str">
        <f>IF(Input!I1&gt;0,Input!I1,"")</f>
        <v>ACC score</v>
      </c>
      <c r="P1" s="22" t="s">
        <v>87</v>
      </c>
      <c r="Q1" s="22" t="s">
        <v>88</v>
      </c>
      <c r="R1" s="22" t="str">
        <f>IF(Input!L1&gt;0,Input!L1,"")</f>
        <v>AR score</v>
      </c>
      <c r="S1" s="22" t="s">
        <v>89</v>
      </c>
      <c r="T1" s="22" t="s">
        <v>90</v>
      </c>
      <c r="U1" s="22" t="str">
        <f>IF(Input!O1&gt;0,Input!O1,"")</f>
        <v>MTA  score</v>
      </c>
      <c r="V1" s="22" t="s">
        <v>91</v>
      </c>
      <c r="W1" s="22" t="s">
        <v>92</v>
      </c>
      <c r="X1" s="22" t="str">
        <f>IF(Input!R1&gt;0,Input!R1,"")</f>
        <v>FC score</v>
      </c>
      <c r="Y1" s="22" t="s">
        <v>235</v>
      </c>
      <c r="Z1" s="22" t="s">
        <v>236</v>
      </c>
      <c r="AA1" s="22" t="str">
        <f>IF(Input!U1&gt;0,Input!U1,"")</f>
        <v>END score</v>
      </c>
      <c r="AB1" s="22" t="s">
        <v>95</v>
      </c>
      <c r="AC1" s="22" t="s">
        <v>96</v>
      </c>
      <c r="AD1" s="22" t="str">
        <f>IF(Input!X1&gt;0,Input!X1,"")</f>
        <v>TCD score</v>
      </c>
      <c r="AE1" s="22" t="s">
        <v>97</v>
      </c>
      <c r="AF1" s="22" t="s">
        <v>98</v>
      </c>
      <c r="AG1" s="22" t="str">
        <f>IF(Input!AA1&gt;0,Input!AA1,"")</f>
        <v>Tapir score</v>
      </c>
      <c r="AH1" s="22" t="s">
        <v>99</v>
      </c>
      <c r="AI1" s="22" t="s">
        <v>100</v>
      </c>
      <c r="AJ1" s="22" t="str">
        <f>IF(Input!AD1&gt;0,Input!AD1,"")</f>
        <v>Extra event score</v>
      </c>
      <c r="AK1" s="22" t="s">
        <v>237</v>
      </c>
      <c r="AL1" s="22" t="s">
        <v>238</v>
      </c>
      <c r="AM1" s="22" t="str">
        <f>IF(Input!AG1&gt;0,Input!AG1,"")</f>
        <v>Extra timed event score</v>
      </c>
      <c r="AN1" s="22" t="s">
        <v>237</v>
      </c>
      <c r="AO1" s="22" t="s">
        <v>238</v>
      </c>
    </row>
    <row r="2" spans="1:41" ht="16.5" thickTop="1" thickBot="1" x14ac:dyDescent="0.4">
      <c r="A2" s="35">
        <f>IF(ISBLANK(Input!A2),1000,IF(Input!E2&gt;0,Input!E2+F2,1000))</f>
        <v>6.0010000000000003</v>
      </c>
      <c r="B2" s="32">
        <f>SMALL($A$2:$A$202,C2)</f>
        <v>1.006</v>
      </c>
      <c r="C2" s="96">
        <v>1</v>
      </c>
      <c r="D2" s="97">
        <f>IF(ISBLANK(Input!A2),1000,IF(Input!G2&gt;0,Input!G2+F2,1000))</f>
        <v>6.0010000000000003</v>
      </c>
      <c r="E2" s="97">
        <f>SMALL($D$2:$D$202,C2)</f>
        <v>1.0049999999999999</v>
      </c>
      <c r="F2" s="96">
        <v>1E-3</v>
      </c>
      <c r="G2" s="21"/>
      <c r="I2" t="str">
        <f>IF(Input!A2&gt;0,Input!A2,"")</f>
        <v>test</v>
      </c>
      <c r="J2" t="str">
        <f>IF(Input!B2&gt;0,Input!B2,"")</f>
        <v>a</v>
      </c>
      <c r="K2" t="str">
        <f>IF(Input!C2&gt;0,Input!C2,"")</f>
        <v>b</v>
      </c>
      <c r="L2" t="str">
        <f>IF(Input!D2&gt;0,Input!D2,"")</f>
        <v>j</v>
      </c>
      <c r="M2">
        <f>IF(Input!G2&gt;0,Input!G2,"")</f>
        <v>6</v>
      </c>
      <c r="N2">
        <f>IF(Input!H2&gt;0,Input!H2,"")</f>
        <v>887</v>
      </c>
      <c r="O2">
        <f>IF(Input!I2&lt;&gt;"",Input!I2,"")</f>
        <v>6</v>
      </c>
      <c r="P2">
        <f t="shared" ref="P2" si="0">IF(Q2&lt;&gt;"",  RANK(Q2,Q$2:Q$202,0)+((COUNTIF(Q$2:Q$202,Q2)-1)*0.5),"" )</f>
        <v>1</v>
      </c>
      <c r="Q2">
        <f>IF(Input!I2&lt;&gt;"",IF(ISNUMBER(Input!J2),(Input!J2),0),"")</f>
        <v>420.67973522742744</v>
      </c>
      <c r="R2">
        <f>IF(Input!L2&lt;&gt;"",Input!L2,"")</f>
        <v>1</v>
      </c>
      <c r="S2">
        <f>IF(T2&lt;&gt;"",  RANK(T2,T$2:T$202,0)+((COUNTIF(T$2:T$202,T2)-1)*0.5),"" )</f>
        <v>6</v>
      </c>
      <c r="T2">
        <f>IF(Input!L2&lt;&gt;"",IF(ISNUMBER(Input!M2),Input!M2,0),"")</f>
        <v>149.42653820485333</v>
      </c>
      <c r="U2">
        <f>IF(Input!O2&lt;&gt;"",Input!O2,"")</f>
        <v>5</v>
      </c>
      <c r="V2">
        <f t="shared" ref="V2" si="1">IF(W2&lt;&gt;"",  RANK(W2,W$2:W$202,0)+((COUNTIF(W$2:W$202,W2)-1)*0.5),"" )</f>
        <v>6</v>
      </c>
      <c r="W2">
        <f>IF(Input!O2&lt;&gt;"",IF(ISNUMBER(Input!P2),(Input!P2),0),"")</f>
        <v>518.71324897031184</v>
      </c>
      <c r="X2" t="str">
        <f>IF(Input!R2&lt;&gt;"",Input!R2,"")</f>
        <v>np</v>
      </c>
      <c r="Y2">
        <f t="shared" ref="Y2" si="2">IF(Z2&lt;&gt;"",  RANK(Z2,Z$2:Z$202,0)+((COUNTIF(Z$2:Z$202,Z2)-1)*0.5),"" )</f>
        <v>6</v>
      </c>
      <c r="Z2">
        <f>IF(Input!R2&lt;&gt;"",IF(ISNUMBER(Input!S2),ROUNDDOWN(Input!S2,0),0),"")</f>
        <v>-200</v>
      </c>
      <c r="AA2" t="str">
        <f>IF(Input!U2&lt;&gt;"",Input!U2,"")</f>
        <v/>
      </c>
      <c r="AB2" t="str">
        <f t="shared" ref="AB2" si="3">IF(AC2&lt;&gt;"",  RANK(AC2,AC$2:AC$202,0)+((COUNTIF(AC$2:AC$202,AC2)-1)*0.5),"" )</f>
        <v/>
      </c>
      <c r="AC2" t="str">
        <f>IF(Input!U2&lt;&gt;"",IF(ISNUMBER(Input!V2),ROUNDDOWN(Input!V2,0),0),"")</f>
        <v/>
      </c>
      <c r="AD2" t="str">
        <f>IF(Input!X2&lt;&gt;"",Input!X2,"")</f>
        <v/>
      </c>
      <c r="AE2" t="str">
        <f t="shared" ref="AE2" si="4">IF(AF2&lt;&gt;"",  RANK(AF2,AF$2:AF$202,0)+((COUNTIF(AF$2:AF$202,AF2)-1)*0.5),"" )</f>
        <v/>
      </c>
      <c r="AF2" t="str">
        <f>IF(Input!X2&lt;&gt;"",IF(ISNUMBER(Input!Y2),(Input!Y2),0),"")</f>
        <v/>
      </c>
      <c r="AG2" t="str">
        <f>IF(Input!AA2&lt;&gt;"",Input!AA2,"")</f>
        <v/>
      </c>
      <c r="AH2" t="str">
        <f t="shared" ref="AH2" si="5">IF(AI2&lt;&gt;"",  RANK(AI2,AI$2:AI$202,0)+((COUNTIF(AI$2:AI$202,AI2)-1)*0.5),"" )</f>
        <v/>
      </c>
      <c r="AI2" t="str">
        <f>IF(Input!AA2&lt;&gt;"",IF(ISNUMBER(Input!AB2),ROUNDDOWN(Input!AB2,0),0),"")</f>
        <v/>
      </c>
      <c r="AJ2" t="str">
        <f>IF(Input!AD2&lt;&gt;"",Input!AD2,"")</f>
        <v/>
      </c>
      <c r="AK2" t="str">
        <f t="shared" ref="AK2" si="6">IF(AL2&lt;&gt;"",  RANK(AL2,AL$2:AL$202,0)+((COUNTIF(AL$2:AL$202,AL2)-1)*0.5),"" )</f>
        <v/>
      </c>
      <c r="AL2" t="str">
        <f>IF(Input!AD2&lt;&gt;"",IF(ISNUMBER(Input!AE2),(Input!AE2),0),"")</f>
        <v/>
      </c>
      <c r="AM2" t="str">
        <f>IF(Input!AG2&lt;&gt;"",Input!AG2,"")</f>
        <v/>
      </c>
      <c r="AN2" t="str">
        <f t="shared" ref="AN2:AN65" si="7">IF(AO2&lt;&gt;"",  RANK(AO2,AO$2:AO$202,0)+((COUNTIF(AO$2:AO$202,AO2)-1)*0.5),"" )</f>
        <v/>
      </c>
      <c r="AO2" t="str">
        <f>IF(Input!AG2&lt;&gt;"",IF(ISNUMBER(Input!AH2),(Input!AH2),0),"")</f>
        <v/>
      </c>
    </row>
    <row r="3" spans="1:41" ht="16.5" thickTop="1" thickBot="1" x14ac:dyDescent="0.4">
      <c r="A3" s="35">
        <f>IF(ISBLANK(Input!A3),1000,IF(Input!E3&gt;0,Input!E3+F3,1000))</f>
        <v>5.0019999999999998</v>
      </c>
      <c r="B3" s="32">
        <f t="shared" ref="B3:B66" si="8">SMALL($A$2:$A$202,C3)</f>
        <v>2.0049999999999999</v>
      </c>
      <c r="C3" s="4">
        <v>2</v>
      </c>
      <c r="D3" s="97">
        <f>IF(ISBLANK(Input!A3),1000,IF(Input!G3&gt;0,Input!G3+F3,1000))</f>
        <v>5.0019999999999998</v>
      </c>
      <c r="E3" s="97">
        <f t="shared" ref="E3:E66" si="9">SMALL($D$2:$D$202,C3)</f>
        <v>2.0059999999999998</v>
      </c>
      <c r="F3" s="4">
        <v>2E-3</v>
      </c>
      <c r="I3" t="str">
        <f>IF(Input!A3&gt;0,Input!A3,"")</f>
        <v>test1</v>
      </c>
      <c r="J3" t="str">
        <f>IF(Input!B3&gt;0,Input!B3,"")</f>
        <v>a1</v>
      </c>
      <c r="K3" t="str">
        <f>IF(Input!C3&gt;0,Input!C3,"")</f>
        <v>b1</v>
      </c>
      <c r="L3" t="str">
        <f>IF(Input!D3&gt;0,Input!D3,"")</f>
        <v>j</v>
      </c>
      <c r="M3">
        <f>IF(Input!G3&gt;0,Input!G3,"")</f>
        <v>5</v>
      </c>
      <c r="N3">
        <f>IF(Input!H3&gt;0,Input!H3,"")</f>
        <v>1178</v>
      </c>
      <c r="O3">
        <f>IF(Input!I3&lt;&gt;"",Input!I3,"")</f>
        <v>5</v>
      </c>
      <c r="P3">
        <f t="shared" ref="P3:P66" si="10">IF(Q3&lt;&gt;"",  RANK(Q3,Q$2:Q$202,0)+((COUNTIF(Q$2:Q$202,Q3)-1)*0.5),"" )</f>
        <v>2</v>
      </c>
      <c r="Q3">
        <f>IF(Input!I3&lt;&gt;"",IF(ISNUMBER(Input!J3),(Input!J3),0),"")</f>
        <v>387.25848286427475</v>
      </c>
      <c r="R3">
        <f>IF(Input!L3&lt;&gt;"",Input!L3,"")</f>
        <v>2</v>
      </c>
      <c r="S3">
        <f t="shared" ref="S3:S66" si="11">IF(T3&lt;&gt;"",  RANK(T3,T$2:T$202,0)+((COUNTIF(T$2:T$202,T3)-1)*0.5),"" )</f>
        <v>5</v>
      </c>
      <c r="T3">
        <f>IF(Input!L3&lt;&gt;"",IF(ISNUMBER(Input!M3),Input!M3,0),"")</f>
        <v>237.10813203812762</v>
      </c>
      <c r="U3">
        <f>IF(Input!O3&lt;&gt;"",Input!O3,"")</f>
        <v>6</v>
      </c>
      <c r="V3">
        <f t="shared" ref="V3:V66" si="12">IF(W3&lt;&gt;"",  RANK(W3,W$2:W$202,0)+((COUNTIF(W$2:W$202,W3)-1)*0.5),"" )</f>
        <v>5</v>
      </c>
      <c r="W3">
        <f>IF(Input!O3&lt;&gt;"",IF(ISNUMBER(Input!P3),(Input!P3),0),"")</f>
        <v>554.95793151189662</v>
      </c>
      <c r="X3">
        <f>IF(Input!R3&lt;&gt;"",Input!R3,"")</f>
        <v>0</v>
      </c>
      <c r="Y3">
        <f t="shared" ref="Y3:Y66" si="13">IF(Z3&lt;&gt;"",  RANK(Z3,Z$2:Z$202,0)+((COUNTIF(Z$2:Z$202,Z3)-1)*0.5),"" )</f>
        <v>5</v>
      </c>
      <c r="Z3">
        <f>IF(Input!R3&lt;&gt;"",IF(ISNUMBER(Input!S3),ROUNDDOWN(Input!S3,0),0),"")</f>
        <v>0</v>
      </c>
      <c r="AA3" t="str">
        <f>IF(Input!U3&lt;&gt;"",Input!U3,"")</f>
        <v/>
      </c>
      <c r="AB3" t="str">
        <f t="shared" ref="AB3:AB66" si="14">IF(AC3&lt;&gt;"",  RANK(AC3,AC$2:AC$202,0)+((COUNTIF(AC$2:AC$202,AC3)-1)*0.5),"" )</f>
        <v/>
      </c>
      <c r="AC3" t="str">
        <f>IF(Input!U3&lt;&gt;"",IF(ISNUMBER(Input!V3),ROUNDDOWN(Input!V3,0),0),"")</f>
        <v/>
      </c>
      <c r="AD3" t="str">
        <f>IF(Input!X3&lt;&gt;"",Input!X3,"")</f>
        <v/>
      </c>
      <c r="AE3" t="str">
        <f t="shared" ref="AE3:AE66" si="15">IF(AF3&lt;&gt;"",  RANK(AF3,AF$2:AF$202,0)+((COUNTIF(AF$2:AF$202,AF3)-1)*0.5),"" )</f>
        <v/>
      </c>
      <c r="AF3" t="str">
        <f>IF(Input!X3&lt;&gt;"",IF(ISNUMBER(Input!Y3),(Input!Y3),0),"")</f>
        <v/>
      </c>
      <c r="AG3" t="str">
        <f>IF(Input!AA3&lt;&gt;"",Input!AA3,"")</f>
        <v/>
      </c>
      <c r="AH3" t="str">
        <f t="shared" ref="AH3:AH66" si="16">IF(AI3&lt;&gt;"",  RANK(AI3,AI$2:AI$202,0)+((COUNTIF(AI$2:AI$202,AI3)-1)*0.5),"" )</f>
        <v/>
      </c>
      <c r="AI3" t="str">
        <f>IF(Input!AA3&lt;&gt;"",IF(ISNUMBER(Input!AB3),ROUNDDOWN(Input!AB3,0),0),"")</f>
        <v/>
      </c>
      <c r="AJ3" t="str">
        <f>IF(Input!AD3&lt;&gt;"",Input!AD3,"")</f>
        <v/>
      </c>
      <c r="AK3" t="str">
        <f t="shared" ref="AK3:AK66" si="17">IF(AL3&lt;&gt;"",  RANK(AL3,AL$2:AL$202,0)+((COUNTIF(AL$2:AL$202,AL3)-1)*0.5),"" )</f>
        <v/>
      </c>
      <c r="AL3" t="str">
        <f>IF(Input!AD3&lt;&gt;"",IF(ISNUMBER(Input!AE3),(Input!AE3),0),"")</f>
        <v/>
      </c>
      <c r="AM3" t="str">
        <f>IF(Input!AG3&lt;&gt;"",Input!AG3,"")</f>
        <v/>
      </c>
      <c r="AN3" t="str">
        <f t="shared" si="7"/>
        <v/>
      </c>
      <c r="AO3" t="str">
        <f>IF(Input!AG3&lt;&gt;"",IF(ISNUMBER(Input!AH3),(Input!AH3),0),"")</f>
        <v/>
      </c>
    </row>
    <row r="4" spans="1:41" ht="16.5" thickTop="1" thickBot="1" x14ac:dyDescent="0.4">
      <c r="A4" s="35">
        <f>IF(ISBLANK(Input!A4),1000,IF(Input!E4&gt;0,Input!E4+F4,1000))</f>
        <v>4.0030000000000001</v>
      </c>
      <c r="B4" s="32">
        <f t="shared" si="8"/>
        <v>3.004</v>
      </c>
      <c r="C4" s="4">
        <v>3</v>
      </c>
      <c r="D4" s="97">
        <f>IF(ISBLANK(Input!A4),1000,IF(Input!G4&gt;0,Input!G4+F4,1000))</f>
        <v>4.0030000000000001</v>
      </c>
      <c r="E4" s="97">
        <f t="shared" si="9"/>
        <v>3.004</v>
      </c>
      <c r="F4" s="4">
        <v>3.0000000000000001E-3</v>
      </c>
      <c r="I4" t="str">
        <f>IF(Input!A4&gt;0,Input!A4,"")</f>
        <v>test2</v>
      </c>
      <c r="J4" t="str">
        <f>IF(Input!B4&gt;0,Input!B4,"")</f>
        <v>a2</v>
      </c>
      <c r="K4" t="str">
        <f>IF(Input!C4&gt;0,Input!C4,"")</f>
        <v>b2</v>
      </c>
      <c r="L4" t="str">
        <f>IF(Input!D4&gt;0,Input!D4,"")</f>
        <v>j</v>
      </c>
      <c r="M4">
        <f>IF(Input!G4&gt;0,Input!G4,"")</f>
        <v>4</v>
      </c>
      <c r="N4">
        <f>IF(Input!H4&gt;0,Input!H4,"")</f>
        <v>1619</v>
      </c>
      <c r="O4">
        <f>IF(Input!I4&lt;&gt;"",Input!I4,"")</f>
        <v>4</v>
      </c>
      <c r="P4">
        <f t="shared" si="10"/>
        <v>3</v>
      </c>
      <c r="Q4">
        <f>IF(Input!I4&lt;&gt;"",IF(ISNUMBER(Input!J4),(Input!J4),0),"")</f>
        <v>347.7408382450987</v>
      </c>
      <c r="R4">
        <f>IF(Input!L4&lt;&gt;"",Input!L4,"")</f>
        <v>3</v>
      </c>
      <c r="S4">
        <f t="shared" si="11"/>
        <v>4</v>
      </c>
      <c r="T4">
        <f>IF(Input!L4&lt;&gt;"",IF(ISNUMBER(Input!M4),Input!M4,0),"")</f>
        <v>299.39525338155755</v>
      </c>
      <c r="U4">
        <f>IF(Input!O4&lt;&gt;"",Input!O4,"")</f>
        <v>7</v>
      </c>
      <c r="V4">
        <f t="shared" si="12"/>
        <v>4</v>
      </c>
      <c r="W4">
        <f>IF(Input!O4&lt;&gt;"",IF(ISNUMBER(Input!P4),(Input!P4),0),"")</f>
        <v>586.0094047122783</v>
      </c>
      <c r="X4">
        <f>IF(Input!R4&lt;&gt;"",Input!R4,"")</f>
        <v>1</v>
      </c>
      <c r="Y4">
        <f t="shared" si="13"/>
        <v>4</v>
      </c>
      <c r="Z4">
        <f>IF(Input!R4&lt;&gt;"",IF(ISNUMBER(Input!S4),ROUNDDOWN(Input!S4,0),0),"")</f>
        <v>387</v>
      </c>
      <c r="AA4" t="str">
        <f>IF(Input!U4&lt;&gt;"",Input!U4,"")</f>
        <v/>
      </c>
      <c r="AB4" t="str">
        <f t="shared" si="14"/>
        <v/>
      </c>
      <c r="AC4" t="str">
        <f>IF(Input!U4&lt;&gt;"",IF(ISNUMBER(Input!V4),ROUNDDOWN(Input!V4,0),0),"")</f>
        <v/>
      </c>
      <c r="AD4" t="str">
        <f>IF(Input!X4&lt;&gt;"",Input!X4,"")</f>
        <v/>
      </c>
      <c r="AE4" t="str">
        <f t="shared" si="15"/>
        <v/>
      </c>
      <c r="AF4" t="str">
        <f>IF(Input!X4&lt;&gt;"",IF(ISNUMBER(Input!Y4),(Input!Y4),0),"")</f>
        <v/>
      </c>
      <c r="AG4" t="str">
        <f>IF(Input!AA4&lt;&gt;"",Input!AA4,"")</f>
        <v/>
      </c>
      <c r="AH4" t="str">
        <f t="shared" si="16"/>
        <v/>
      </c>
      <c r="AI4" t="str">
        <f>IF(Input!AA4&lt;&gt;"",IF(ISNUMBER(Input!AB4),ROUNDDOWN(Input!AB4,0),0),"")</f>
        <v/>
      </c>
      <c r="AJ4" t="str">
        <f>IF(Input!AD4&lt;&gt;"",Input!AD4,"")</f>
        <v/>
      </c>
      <c r="AK4" t="str">
        <f t="shared" si="17"/>
        <v/>
      </c>
      <c r="AL4" t="str">
        <f>IF(Input!AD4&lt;&gt;"",IF(ISNUMBER(Input!AE4),(Input!AE4),0),"")</f>
        <v/>
      </c>
      <c r="AM4" t="str">
        <f>IF(Input!AG4&lt;&gt;"",Input!AG4,"")</f>
        <v/>
      </c>
      <c r="AN4" t="str">
        <f t="shared" si="7"/>
        <v/>
      </c>
      <c r="AO4" t="str">
        <f>IF(Input!AG4&lt;&gt;"",IF(ISNUMBER(Input!AH4),(Input!AH4),0),"")</f>
        <v/>
      </c>
    </row>
    <row r="5" spans="1:41" ht="16.5" thickTop="1" thickBot="1" x14ac:dyDescent="0.4">
      <c r="A5" s="35">
        <f>IF(ISBLANK(Input!A5),1000,IF(Input!E5&gt;0,Input!E5+F5,1000))</f>
        <v>3.004</v>
      </c>
      <c r="B5" s="32">
        <f t="shared" si="8"/>
        <v>4.0030000000000001</v>
      </c>
      <c r="C5" s="4">
        <v>4</v>
      </c>
      <c r="D5" s="97">
        <f>IF(ISBLANK(Input!A5),1000,IF(Input!G5&gt;0,Input!G5+F5,1000))</f>
        <v>3.004</v>
      </c>
      <c r="E5" s="97">
        <f t="shared" si="9"/>
        <v>4.0030000000000001</v>
      </c>
      <c r="F5" s="4">
        <v>4.0000000000000001E-3</v>
      </c>
      <c r="I5" t="str">
        <f>IF(Input!A5&gt;0,Input!A5,"")</f>
        <v>test3</v>
      </c>
      <c r="J5" t="str">
        <f>IF(Input!B5&gt;0,Input!B5,"")</f>
        <v>a3</v>
      </c>
      <c r="K5" t="str">
        <f>IF(Input!C5&gt;0,Input!C5,"")</f>
        <v>b3</v>
      </c>
      <c r="L5" t="str">
        <f>IF(Input!D5&gt;0,Input!D5,"")</f>
        <v>j</v>
      </c>
      <c r="M5">
        <f>IF(Input!G5&gt;0,Input!G5,"")</f>
        <v>3</v>
      </c>
      <c r="N5">
        <f>IF(Input!H5&gt;0,Input!H5,"")</f>
        <v>1777</v>
      </c>
      <c r="O5">
        <f>IF(Input!I5&lt;&gt;"",Input!I5,"")</f>
        <v>3</v>
      </c>
      <c r="P5">
        <f t="shared" si="10"/>
        <v>4</v>
      </c>
      <c r="Q5">
        <f>IF(Input!I5&lt;&gt;"",IF(ISNUMBER(Input!J5),(Input!J5),0),"")</f>
        <v>299.39525338155755</v>
      </c>
      <c r="R5">
        <f>IF(Input!L5&lt;&gt;"",Input!L5,"")</f>
        <v>4</v>
      </c>
      <c r="S5">
        <f t="shared" si="11"/>
        <v>3</v>
      </c>
      <c r="T5">
        <f>IF(Input!L5&lt;&gt;"",IF(ISNUMBER(Input!M5),Input!M5,0),"")</f>
        <v>347.7408382450987</v>
      </c>
      <c r="U5">
        <f>IF(Input!O5&lt;&gt;"",Input!O5,"")</f>
        <v>8</v>
      </c>
      <c r="V5">
        <f t="shared" si="12"/>
        <v>3</v>
      </c>
      <c r="W5">
        <f>IF(Input!O5&lt;&gt;"",IF(ISNUMBER(Input!P5),(Input!P5),0),"")</f>
        <v>613.17104358181541</v>
      </c>
      <c r="X5">
        <f>IF(Input!R5&lt;&gt;"",Input!R5,"")</f>
        <v>2</v>
      </c>
      <c r="Y5">
        <f t="shared" si="13"/>
        <v>3</v>
      </c>
      <c r="Z5">
        <f>IF(Input!R5&lt;&gt;"",IF(ISNUMBER(Input!S5),ROUNDDOWN(Input!S5,0),0),"")</f>
        <v>518</v>
      </c>
      <c r="AA5" t="str">
        <f>IF(Input!U5&lt;&gt;"",Input!U5,"")</f>
        <v/>
      </c>
      <c r="AB5" t="str">
        <f t="shared" si="14"/>
        <v/>
      </c>
      <c r="AC5" t="str">
        <f>IF(Input!U5&lt;&gt;"",IF(ISNUMBER(Input!V5),ROUNDDOWN(Input!V5,0),0),"")</f>
        <v/>
      </c>
      <c r="AD5" t="str">
        <f>IF(Input!X5&lt;&gt;"",Input!X5,"")</f>
        <v/>
      </c>
      <c r="AE5" t="str">
        <f t="shared" si="15"/>
        <v/>
      </c>
      <c r="AF5" t="str">
        <f>IF(Input!X5&lt;&gt;"",IF(ISNUMBER(Input!Y5),(Input!Y5),0),"")</f>
        <v/>
      </c>
      <c r="AG5" t="str">
        <f>IF(Input!AA5&lt;&gt;"",Input!AA5,"")</f>
        <v/>
      </c>
      <c r="AH5" t="str">
        <f t="shared" si="16"/>
        <v/>
      </c>
      <c r="AI5" t="str">
        <f>IF(Input!AA5&lt;&gt;"",IF(ISNUMBER(Input!AB5),ROUNDDOWN(Input!AB5,0),0),"")</f>
        <v/>
      </c>
      <c r="AJ5" t="str">
        <f>IF(Input!AD5&lt;&gt;"",Input!AD5,"")</f>
        <v/>
      </c>
      <c r="AK5" t="str">
        <f t="shared" si="17"/>
        <v/>
      </c>
      <c r="AL5" t="str">
        <f>IF(Input!AD5&lt;&gt;"",IF(ISNUMBER(Input!AE5),(Input!AE5),0),"")</f>
        <v/>
      </c>
      <c r="AM5" t="str">
        <f>IF(Input!AG5&lt;&gt;"",Input!AG5,"")</f>
        <v/>
      </c>
      <c r="AN5" t="str">
        <f t="shared" si="7"/>
        <v/>
      </c>
      <c r="AO5" t="str">
        <f>IF(Input!AG5&lt;&gt;"",IF(ISNUMBER(Input!AH5),(Input!AH5),0),"")</f>
        <v/>
      </c>
    </row>
    <row r="6" spans="1:41" ht="16.5" thickTop="1" thickBot="1" x14ac:dyDescent="0.4">
      <c r="A6" s="35">
        <f>IF(ISBLANK(Input!A6),1000,IF(Input!E6&gt;0,Input!E6+F6,1000))</f>
        <v>2.0049999999999999</v>
      </c>
      <c r="B6" s="32">
        <f t="shared" si="8"/>
        <v>5.0019999999999998</v>
      </c>
      <c r="C6" s="4">
        <v>5</v>
      </c>
      <c r="D6" s="97">
        <f>IF(ISBLANK(Input!A6),1000,IF(Input!G6&gt;0,Input!G6+F6,1000))</f>
        <v>1.0049999999999999</v>
      </c>
      <c r="E6" s="97">
        <f t="shared" si="9"/>
        <v>5.0019999999999998</v>
      </c>
      <c r="F6" s="4">
        <v>5.0000000000000001E-3</v>
      </c>
      <c r="I6" t="str">
        <f>IF(Input!A6&gt;0,Input!A6,"")</f>
        <v>test4</v>
      </c>
      <c r="J6" t="str">
        <f>IF(Input!B6&gt;0,Input!B6,"")</f>
        <v>a4</v>
      </c>
      <c r="K6" t="str">
        <f>IF(Input!C6&gt;0,Input!C6,"")</f>
        <v>b4</v>
      </c>
      <c r="L6" t="str">
        <f>IF(Input!D6&gt;0,Input!D6,"")</f>
        <v>j</v>
      </c>
      <c r="M6">
        <f>IF(Input!G6&gt;0,Input!G6,"")</f>
        <v>1</v>
      </c>
      <c r="N6">
        <f>IF(Input!H6&gt;0,Input!H6,"")</f>
        <v>1920</v>
      </c>
      <c r="O6">
        <f>IF(Input!I6&lt;&gt;"",Input!I6,"")</f>
        <v>2</v>
      </c>
      <c r="P6">
        <f t="shared" si="10"/>
        <v>5</v>
      </c>
      <c r="Q6">
        <f>IF(Input!I6&lt;&gt;"",IF(ISNUMBER(Input!J6),(Input!J6),0),"")</f>
        <v>237.10813203812762</v>
      </c>
      <c r="R6">
        <f>IF(Input!L6&lt;&gt;"",Input!L6,"")</f>
        <v>5</v>
      </c>
      <c r="S6">
        <f t="shared" si="11"/>
        <v>2</v>
      </c>
      <c r="T6">
        <f>IF(Input!L6&lt;&gt;"",IF(ISNUMBER(Input!M6),Input!M6,0),"")</f>
        <v>387.25848286427475</v>
      </c>
      <c r="U6">
        <f>IF(Input!O6&lt;&gt;"",Input!O6,"")</f>
        <v>9</v>
      </c>
      <c r="V6">
        <f t="shared" si="12"/>
        <v>2</v>
      </c>
      <c r="W6">
        <f>IF(Input!O6&lt;&gt;"",IF(ISNUMBER(Input!P6),(Input!P6),0),"")</f>
        <v>637.30980954561915</v>
      </c>
      <c r="X6">
        <f>IF(Input!R6&lt;&gt;"",Input!R6,"")</f>
        <v>4</v>
      </c>
      <c r="Y6">
        <f t="shared" si="13"/>
        <v>2</v>
      </c>
      <c r="Z6">
        <f>IF(Input!R6&lt;&gt;"",IF(ISNUMBER(Input!S6),ROUNDDOWN(Input!S6,0),0),"")</f>
        <v>659</v>
      </c>
      <c r="AA6" t="str">
        <f>IF(Input!U6&lt;&gt;"",Input!U6,"")</f>
        <v/>
      </c>
      <c r="AB6" t="str">
        <f t="shared" si="14"/>
        <v/>
      </c>
      <c r="AC6" t="str">
        <f>IF(Input!U6&lt;&gt;"",IF(ISNUMBER(Input!V6),ROUNDDOWN(Input!V6,0),0),"")</f>
        <v/>
      </c>
      <c r="AD6" t="str">
        <f>IF(Input!X6&lt;&gt;"",Input!X6,"")</f>
        <v/>
      </c>
      <c r="AE6" t="str">
        <f t="shared" si="15"/>
        <v/>
      </c>
      <c r="AF6" t="str">
        <f>IF(Input!X6&lt;&gt;"",IF(ISNUMBER(Input!Y6),(Input!Y6),0),"")</f>
        <v/>
      </c>
      <c r="AG6" t="str">
        <f>IF(Input!AA6&lt;&gt;"",Input!AA6,"")</f>
        <v/>
      </c>
      <c r="AH6" t="str">
        <f t="shared" si="16"/>
        <v/>
      </c>
      <c r="AI6" t="str">
        <f>IF(Input!AA6&lt;&gt;"",IF(ISNUMBER(Input!AB6),ROUNDDOWN(Input!AB6,0),0),"")</f>
        <v/>
      </c>
      <c r="AJ6" t="str">
        <f>IF(Input!AD6&lt;&gt;"",Input!AD6,"")</f>
        <v/>
      </c>
      <c r="AK6" t="str">
        <f t="shared" si="17"/>
        <v/>
      </c>
      <c r="AL6" t="str">
        <f>IF(Input!AD6&lt;&gt;"",IF(ISNUMBER(Input!AE6),(Input!AE6),0),"")</f>
        <v/>
      </c>
      <c r="AM6" t="str">
        <f>IF(Input!AG6&lt;&gt;"",Input!AG6,"")</f>
        <v/>
      </c>
      <c r="AN6" t="str">
        <f t="shared" si="7"/>
        <v/>
      </c>
      <c r="AO6" t="str">
        <f>IF(Input!AG6&lt;&gt;"",IF(ISNUMBER(Input!AH6),(Input!AH6),0),"")</f>
        <v/>
      </c>
    </row>
    <row r="7" spans="1:41" ht="16.5" thickTop="1" thickBot="1" x14ac:dyDescent="0.4">
      <c r="A7" s="35">
        <f>IF(ISBLANK(Input!A7),1000,IF(Input!E7&gt;0,Input!E7+F7,1000))</f>
        <v>1.006</v>
      </c>
      <c r="B7" s="32">
        <f t="shared" si="8"/>
        <v>6.0010000000000003</v>
      </c>
      <c r="C7" s="4">
        <v>6</v>
      </c>
      <c r="D7" s="97">
        <f>IF(ISBLANK(Input!A7),1000,IF(Input!G7&gt;0,Input!G7+F7,1000))</f>
        <v>2.0059999999999998</v>
      </c>
      <c r="E7" s="97">
        <f t="shared" si="9"/>
        <v>6.0010000000000003</v>
      </c>
      <c r="F7" s="4">
        <v>6.0000000000000001E-3</v>
      </c>
      <c r="I7" t="str">
        <f>IF(Input!A7&gt;0,Input!A7,"")</f>
        <v>test5</v>
      </c>
      <c r="J7" t="str">
        <f>IF(Input!B7&gt;0,Input!B7,"")</f>
        <v>a5</v>
      </c>
      <c r="K7" t="str">
        <f>IF(Input!C7&gt;0,Input!C7,"")</f>
        <v>b5</v>
      </c>
      <c r="L7" t="str">
        <f>IF(Input!D7&gt;0,Input!D7,"")</f>
        <v>j</v>
      </c>
      <c r="M7">
        <f>IF(Input!G7&gt;0,Input!G7,"")</f>
        <v>2</v>
      </c>
      <c r="N7">
        <f>IF(Input!H7&gt;0,Input!H7,"")</f>
        <v>1889</v>
      </c>
      <c r="O7">
        <f>IF(Input!I7&lt;&gt;"",Input!I7,"")</f>
        <v>1</v>
      </c>
      <c r="P7">
        <f t="shared" si="10"/>
        <v>6</v>
      </c>
      <c r="Q7">
        <f>IF(Input!I7&lt;&gt;"",IF(ISNUMBER(Input!J7),(Input!J7),0),"")</f>
        <v>149.42653820485333</v>
      </c>
      <c r="R7">
        <f>IF(Input!L7&lt;&gt;"",Input!L7,"")</f>
        <v>6</v>
      </c>
      <c r="S7">
        <f t="shared" si="11"/>
        <v>1</v>
      </c>
      <c r="T7">
        <f>IF(Input!L7&lt;&gt;"",IF(ISNUMBER(Input!M7),Input!M7,0),"")</f>
        <v>420.67973522742744</v>
      </c>
      <c r="U7">
        <f>IF(Input!O7&lt;&gt;"",Input!O7,"")</f>
        <v>10</v>
      </c>
      <c r="V7">
        <f t="shared" si="12"/>
        <v>1</v>
      </c>
      <c r="W7">
        <f>IF(Input!O7&lt;&gt;"",IF(ISNUMBER(Input!P7),(Input!P7),0),"")</f>
        <v>659.03166748138074</v>
      </c>
      <c r="X7">
        <f>IF(Input!R7&lt;&gt;"",Input!R7,"")</f>
        <v>74</v>
      </c>
      <c r="Y7">
        <f t="shared" si="13"/>
        <v>1</v>
      </c>
      <c r="Z7">
        <f>IF(Input!R7&lt;&gt;"",IF(ISNUMBER(Input!S7),ROUNDDOWN(Input!S7,0),0),"")</f>
        <v>661</v>
      </c>
      <c r="AA7" t="str">
        <f>IF(Input!U7&lt;&gt;"",Input!U7,"")</f>
        <v/>
      </c>
      <c r="AB7" t="str">
        <f t="shared" si="14"/>
        <v/>
      </c>
      <c r="AC7" t="str">
        <f>IF(Input!U7&lt;&gt;"",IF(ISNUMBER(Input!V7),ROUNDDOWN(Input!V7,0),0),"")</f>
        <v/>
      </c>
      <c r="AD7" t="str">
        <f>IF(Input!X7&lt;&gt;"",Input!X7,"")</f>
        <v/>
      </c>
      <c r="AE7" t="str">
        <f t="shared" si="15"/>
        <v/>
      </c>
      <c r="AF7" t="str">
        <f>IF(Input!X7&lt;&gt;"",IF(ISNUMBER(Input!Y7),(Input!Y7),0),"")</f>
        <v/>
      </c>
      <c r="AG7" t="str">
        <f>IF(Input!AA7&lt;&gt;"",Input!AA7,"")</f>
        <v/>
      </c>
      <c r="AH7" t="str">
        <f t="shared" si="16"/>
        <v/>
      </c>
      <c r="AI7" t="str">
        <f>IF(Input!AA7&lt;&gt;"",IF(ISNUMBER(Input!AB7),ROUNDDOWN(Input!AB7,0),0),"")</f>
        <v/>
      </c>
      <c r="AJ7" t="str">
        <f>IF(Input!AD7&lt;&gt;"",Input!AD7,"")</f>
        <v/>
      </c>
      <c r="AK7" t="str">
        <f t="shared" si="17"/>
        <v/>
      </c>
      <c r="AL7" t="str">
        <f>IF(Input!AD7&lt;&gt;"",IF(ISNUMBER(Input!AE7),(Input!AE7),0),"")</f>
        <v/>
      </c>
      <c r="AM7" t="str">
        <f>IF(Input!AG7&lt;&gt;"",Input!AG7,"")</f>
        <v/>
      </c>
      <c r="AN7" t="str">
        <f t="shared" si="7"/>
        <v/>
      </c>
      <c r="AO7" t="str">
        <f>IF(Input!AG7&lt;&gt;"",IF(ISNUMBER(Input!AH7),(Input!AH7),0),"")</f>
        <v/>
      </c>
    </row>
    <row r="8" spans="1:41" ht="16.5" thickTop="1" thickBot="1" x14ac:dyDescent="0.4">
      <c r="A8" s="35">
        <f>IF(ISBLANK(Input!A8),1000,IF(Input!E8&gt;0,Input!E8+F8,1000))</f>
        <v>1000</v>
      </c>
      <c r="B8" s="32">
        <f t="shared" si="8"/>
        <v>1000</v>
      </c>
      <c r="C8" s="4">
        <v>7</v>
      </c>
      <c r="D8" s="97">
        <f>IF(ISBLANK(Input!A8),1000,IF(Input!G8&gt;0,Input!G8+F8,1000))</f>
        <v>1000</v>
      </c>
      <c r="E8" s="97">
        <f t="shared" si="9"/>
        <v>1000</v>
      </c>
      <c r="F8" s="4">
        <v>7.0000000000000001E-3</v>
      </c>
      <c r="I8" t="str">
        <f>IF(Input!A8&gt;0,Input!A8,"")</f>
        <v/>
      </c>
      <c r="J8" t="str">
        <f>IF(Input!B8&gt;0,Input!B8,"")</f>
        <v/>
      </c>
      <c r="K8" t="str">
        <f>IF(Input!C8&gt;0,Input!C8,"")</f>
        <v/>
      </c>
      <c r="L8" t="str">
        <f>IF(Input!D8&gt;0,Input!D8,"")</f>
        <v/>
      </c>
      <c r="M8" t="str">
        <f>IF(Input!G8&gt;0,Input!G8,"")</f>
        <v xml:space="preserve"> </v>
      </c>
      <c r="N8" t="str">
        <f>IF(Input!H8&gt;0,Input!H8,"")</f>
        <v xml:space="preserve"> </v>
      </c>
      <c r="O8" t="str">
        <f>IF(Input!I8&lt;&gt;"",Input!I8,"")</f>
        <v/>
      </c>
      <c r="P8" t="str">
        <f t="shared" si="10"/>
        <v/>
      </c>
      <c r="Q8" t="str">
        <f>IF(Input!I8&lt;&gt;"",IF(ISNUMBER(Input!J8),(Input!J8),0),"")</f>
        <v/>
      </c>
      <c r="R8" t="str">
        <f>IF(Input!L8&lt;&gt;"",Input!L8,"")</f>
        <v/>
      </c>
      <c r="S8" t="str">
        <f t="shared" si="11"/>
        <v/>
      </c>
      <c r="T8" t="str">
        <f>IF(Input!L8&lt;&gt;"",IF(ISNUMBER(Input!M8),Input!M8,0),"")</f>
        <v/>
      </c>
      <c r="U8" t="str">
        <f>IF(Input!O8&lt;&gt;"",Input!O8,"")</f>
        <v/>
      </c>
      <c r="V8" t="str">
        <f t="shared" si="12"/>
        <v/>
      </c>
      <c r="W8" t="str">
        <f>IF(Input!O8&lt;&gt;"",IF(ISNUMBER(Input!P8),(Input!P8),0),"")</f>
        <v/>
      </c>
      <c r="X8" t="str">
        <f>IF(Input!R8&lt;&gt;"",Input!R8,"")</f>
        <v/>
      </c>
      <c r="Y8" t="str">
        <f t="shared" si="13"/>
        <v/>
      </c>
      <c r="Z8" t="str">
        <f>IF(Input!R8&lt;&gt;"",IF(ISNUMBER(Input!S8),ROUNDDOWN(Input!S8,0),0),"")</f>
        <v/>
      </c>
      <c r="AA8" t="str">
        <f>IF(Input!U8&lt;&gt;"",Input!U8,"")</f>
        <v/>
      </c>
      <c r="AB8" t="str">
        <f t="shared" si="14"/>
        <v/>
      </c>
      <c r="AC8" t="str">
        <f>IF(Input!U8&lt;&gt;"",IF(ISNUMBER(Input!V8),ROUNDDOWN(Input!V8,0),0),"")</f>
        <v/>
      </c>
      <c r="AD8" t="str">
        <f>IF(Input!X8&lt;&gt;"",Input!X8,"")</f>
        <v/>
      </c>
      <c r="AE8" t="str">
        <f t="shared" si="15"/>
        <v/>
      </c>
      <c r="AF8" t="str">
        <f>IF(Input!X8&lt;&gt;"",IF(ISNUMBER(Input!Y8),(Input!Y8),0),"")</f>
        <v/>
      </c>
      <c r="AG8" t="str">
        <f>IF(Input!AA8&lt;&gt;"",Input!AA8,"")</f>
        <v/>
      </c>
      <c r="AH8" t="str">
        <f t="shared" si="16"/>
        <v/>
      </c>
      <c r="AI8" t="str">
        <f>IF(Input!AA8&lt;&gt;"",IF(ISNUMBER(Input!AB8),ROUNDDOWN(Input!AB8,0),0),"")</f>
        <v/>
      </c>
      <c r="AJ8" t="str">
        <f>IF(Input!AD8&lt;&gt;"",Input!AD8,"")</f>
        <v/>
      </c>
      <c r="AK8" t="str">
        <f t="shared" si="17"/>
        <v/>
      </c>
      <c r="AL8" t="str">
        <f>IF(Input!AD8&lt;&gt;"",IF(ISNUMBER(Input!AE8),(Input!AE8),0),"")</f>
        <v/>
      </c>
      <c r="AM8" t="str">
        <f>IF(Input!AG8&lt;&gt;"",Input!AG8,"")</f>
        <v/>
      </c>
      <c r="AN8" t="str">
        <f t="shared" si="7"/>
        <v/>
      </c>
      <c r="AO8" t="str">
        <f>IF(Input!AG8&lt;&gt;"",IF(ISNUMBER(Input!AH8),(Input!AH8),0),"")</f>
        <v/>
      </c>
    </row>
    <row r="9" spans="1:41" ht="16.5" thickTop="1" thickBot="1" x14ac:dyDescent="0.4">
      <c r="A9" s="35">
        <f>IF(ISBLANK(Input!A9),1000,IF(Input!E9&gt;0,Input!E9+F9,1000))</f>
        <v>1000</v>
      </c>
      <c r="B9" s="32">
        <f t="shared" si="8"/>
        <v>1000</v>
      </c>
      <c r="C9" s="4">
        <v>8</v>
      </c>
      <c r="D9" s="97">
        <f>IF(ISBLANK(Input!A9),1000,IF(Input!G9&gt;0,Input!G9+F9,1000))</f>
        <v>1000</v>
      </c>
      <c r="E9" s="97">
        <f t="shared" si="9"/>
        <v>1000</v>
      </c>
      <c r="F9" s="4">
        <v>8.0000000000000002E-3</v>
      </c>
      <c r="I9" t="str">
        <f>IF(Input!A9&gt;0,Input!A9,"")</f>
        <v/>
      </c>
      <c r="J9" t="str">
        <f>IF(Input!B9&gt;0,Input!B9,"")</f>
        <v/>
      </c>
      <c r="K9" t="str">
        <f>IF(Input!C9&gt;0,Input!C9,"")</f>
        <v/>
      </c>
      <c r="L9" t="str">
        <f>IF(Input!D9&gt;0,Input!D9,"")</f>
        <v/>
      </c>
      <c r="M9" t="str">
        <f>IF(Input!G9&gt;0,Input!G9,"")</f>
        <v xml:space="preserve"> </v>
      </c>
      <c r="N9" t="str">
        <f>IF(Input!H9&gt;0,Input!H9,"")</f>
        <v xml:space="preserve"> </v>
      </c>
      <c r="O9" t="str">
        <f>IF(Input!I9&lt;&gt;"",Input!I9,"")</f>
        <v/>
      </c>
      <c r="P9" t="str">
        <f t="shared" si="10"/>
        <v/>
      </c>
      <c r="Q9" t="str">
        <f>IF(Input!I9&lt;&gt;"",IF(ISNUMBER(Input!J9),(Input!J9),0),"")</f>
        <v/>
      </c>
      <c r="R9" t="str">
        <f>IF(Input!L9&lt;&gt;"",Input!L9,"")</f>
        <v/>
      </c>
      <c r="S9" t="str">
        <f t="shared" si="11"/>
        <v/>
      </c>
      <c r="T9" t="str">
        <f>IF(Input!L9&lt;&gt;"",IF(ISNUMBER(Input!M9),Input!M9,0),"")</f>
        <v/>
      </c>
      <c r="U9" t="str">
        <f>IF(Input!O9&lt;&gt;"",Input!O9,"")</f>
        <v/>
      </c>
      <c r="V9" t="str">
        <f t="shared" si="12"/>
        <v/>
      </c>
      <c r="W9" t="str">
        <f>IF(Input!O9&lt;&gt;"",IF(ISNUMBER(Input!P9),(Input!P9),0),"")</f>
        <v/>
      </c>
      <c r="X9" t="str">
        <f>IF(Input!R9&lt;&gt;"",Input!R9,"")</f>
        <v/>
      </c>
      <c r="Y9" t="str">
        <f t="shared" si="13"/>
        <v/>
      </c>
      <c r="Z9" t="str">
        <f>IF(Input!R9&lt;&gt;"",IF(ISNUMBER(Input!S9),ROUNDDOWN(Input!S9,0),0),"")</f>
        <v/>
      </c>
      <c r="AA9" t="str">
        <f>IF(Input!U9&lt;&gt;"",Input!U9,"")</f>
        <v/>
      </c>
      <c r="AB9" t="str">
        <f t="shared" si="14"/>
        <v/>
      </c>
      <c r="AC9" t="str">
        <f>IF(Input!U9&lt;&gt;"",IF(ISNUMBER(Input!V9),ROUNDDOWN(Input!V9,0),0),"")</f>
        <v/>
      </c>
      <c r="AD9" t="str">
        <f>IF(Input!X9&lt;&gt;"",Input!X9,"")</f>
        <v/>
      </c>
      <c r="AE9" t="str">
        <f t="shared" si="15"/>
        <v/>
      </c>
      <c r="AF9" t="str">
        <f>IF(Input!X9&lt;&gt;"",IF(ISNUMBER(Input!Y9),(Input!Y9),0),"")</f>
        <v/>
      </c>
      <c r="AG9" t="str">
        <f>IF(Input!AA9&lt;&gt;"",Input!AA9,"")</f>
        <v/>
      </c>
      <c r="AH9" t="str">
        <f t="shared" si="16"/>
        <v/>
      </c>
      <c r="AI9" t="str">
        <f>IF(Input!AA9&lt;&gt;"",IF(ISNUMBER(Input!AB9),ROUNDDOWN(Input!AB9,0),0),"")</f>
        <v/>
      </c>
      <c r="AJ9" t="str">
        <f>IF(Input!AD9&lt;&gt;"",Input!AD9,"")</f>
        <v/>
      </c>
      <c r="AK9" t="str">
        <f t="shared" si="17"/>
        <v/>
      </c>
      <c r="AL9" t="str">
        <f>IF(Input!AD9&lt;&gt;"",IF(ISNUMBER(Input!AE9),(Input!AE9),0),"")</f>
        <v/>
      </c>
      <c r="AM9" t="str">
        <f>IF(Input!AG9&lt;&gt;"",Input!AG9,"")</f>
        <v/>
      </c>
      <c r="AN9" t="str">
        <f t="shared" si="7"/>
        <v/>
      </c>
      <c r="AO9" t="str">
        <f>IF(Input!AG9&lt;&gt;"",IF(ISNUMBER(Input!AH9),(Input!AH9),0),"")</f>
        <v/>
      </c>
    </row>
    <row r="10" spans="1:41" ht="16.5" thickTop="1" thickBot="1" x14ac:dyDescent="0.4">
      <c r="A10" s="35">
        <f>IF(ISBLANK(Input!A10),1000,IF(Input!E10&gt;0,Input!E10+F10,1000))</f>
        <v>1000</v>
      </c>
      <c r="B10" s="32">
        <f t="shared" si="8"/>
        <v>1000</v>
      </c>
      <c r="C10" s="4">
        <v>9</v>
      </c>
      <c r="D10" s="97">
        <f>IF(ISBLANK(Input!A10),1000,IF(Input!G10&gt;0,Input!G10+F10,1000))</f>
        <v>1000</v>
      </c>
      <c r="E10" s="97">
        <f t="shared" si="9"/>
        <v>1000</v>
      </c>
      <c r="F10" s="4">
        <v>8.9999999999999993E-3</v>
      </c>
      <c r="I10" t="str">
        <f>IF(Input!A10&gt;0,Input!A10,"")</f>
        <v/>
      </c>
      <c r="J10" t="str">
        <f>IF(Input!B10&gt;0,Input!B10,"")</f>
        <v/>
      </c>
      <c r="K10" t="str">
        <f>IF(Input!C10&gt;0,Input!C10,"")</f>
        <v/>
      </c>
      <c r="L10" t="str">
        <f>IF(Input!D10&gt;0,Input!D10,"")</f>
        <v/>
      </c>
      <c r="M10" t="str">
        <f>IF(Input!G10&gt;0,Input!G10,"")</f>
        <v xml:space="preserve"> </v>
      </c>
      <c r="N10" t="str">
        <f>IF(Input!H10&gt;0,Input!H10,"")</f>
        <v xml:space="preserve"> </v>
      </c>
      <c r="O10" t="str">
        <f>IF(Input!I10&lt;&gt;"",Input!I10,"")</f>
        <v/>
      </c>
      <c r="P10" t="str">
        <f t="shared" si="10"/>
        <v/>
      </c>
      <c r="Q10" t="str">
        <f>IF(Input!I10&lt;&gt;"",IF(ISNUMBER(Input!J10),(Input!J10),0),"")</f>
        <v/>
      </c>
      <c r="R10" t="str">
        <f>IF(Input!L10&lt;&gt;"",Input!L10,"")</f>
        <v/>
      </c>
      <c r="S10" t="str">
        <f t="shared" si="11"/>
        <v/>
      </c>
      <c r="T10" t="str">
        <f>IF(Input!L10&lt;&gt;"",IF(ISNUMBER(Input!M10),Input!M10,0),"")</f>
        <v/>
      </c>
      <c r="U10" t="str">
        <f>IF(Input!O10&lt;&gt;"",Input!O10,"")</f>
        <v/>
      </c>
      <c r="V10" t="str">
        <f t="shared" si="12"/>
        <v/>
      </c>
      <c r="W10" t="str">
        <f>IF(Input!O10&lt;&gt;"",IF(ISNUMBER(Input!P10),(Input!P10),0),"")</f>
        <v/>
      </c>
      <c r="X10" t="str">
        <f>IF(Input!R10&lt;&gt;"",Input!R10,"")</f>
        <v/>
      </c>
      <c r="Y10" t="str">
        <f t="shared" si="13"/>
        <v/>
      </c>
      <c r="Z10" t="str">
        <f>IF(Input!R10&lt;&gt;"",IF(ISNUMBER(Input!S10),ROUNDDOWN(Input!S10,0),0),"")</f>
        <v/>
      </c>
      <c r="AA10" t="str">
        <f>IF(Input!U10&lt;&gt;"",Input!U10,"")</f>
        <v/>
      </c>
      <c r="AB10" t="str">
        <f t="shared" si="14"/>
        <v/>
      </c>
      <c r="AC10" t="str">
        <f>IF(Input!U10&lt;&gt;"",IF(ISNUMBER(Input!V10),ROUNDDOWN(Input!V10,0),0),"")</f>
        <v/>
      </c>
      <c r="AD10" t="str">
        <f>IF(Input!X10&lt;&gt;"",Input!X10,"")</f>
        <v/>
      </c>
      <c r="AE10" t="str">
        <f t="shared" si="15"/>
        <v/>
      </c>
      <c r="AF10" t="str">
        <f>IF(Input!X10&lt;&gt;"",IF(ISNUMBER(Input!Y10),(Input!Y10),0),"")</f>
        <v/>
      </c>
      <c r="AG10" t="str">
        <f>IF(Input!AA10&lt;&gt;"",Input!AA10,"")</f>
        <v/>
      </c>
      <c r="AH10" t="str">
        <f t="shared" si="16"/>
        <v/>
      </c>
      <c r="AI10" t="str">
        <f>IF(Input!AA10&lt;&gt;"",IF(ISNUMBER(Input!AB10),ROUNDDOWN(Input!AB10,0),0),"")</f>
        <v/>
      </c>
      <c r="AJ10" t="str">
        <f>IF(Input!AD10&lt;&gt;"",Input!AD10,"")</f>
        <v/>
      </c>
      <c r="AK10" t="str">
        <f t="shared" si="17"/>
        <v/>
      </c>
      <c r="AL10" t="str">
        <f>IF(Input!AD10&lt;&gt;"",IF(ISNUMBER(Input!AE10),(Input!AE10),0),"")</f>
        <v/>
      </c>
      <c r="AM10" t="str">
        <f>IF(Input!AG10&lt;&gt;"",Input!AG10,"")</f>
        <v/>
      </c>
      <c r="AN10" t="str">
        <f t="shared" si="7"/>
        <v/>
      </c>
      <c r="AO10" t="str">
        <f>IF(Input!AG10&lt;&gt;"",IF(ISNUMBER(Input!AH10),(Input!AH10),0),"")</f>
        <v/>
      </c>
    </row>
    <row r="11" spans="1:41" ht="16.5" thickTop="1" thickBot="1" x14ac:dyDescent="0.4">
      <c r="A11" s="35">
        <f>IF(ISBLANK(Input!A11),1000,IF(Input!E11&gt;0,Input!E11+F11,1000))</f>
        <v>1000</v>
      </c>
      <c r="B11" s="32">
        <f t="shared" si="8"/>
        <v>1000</v>
      </c>
      <c r="C11" s="4">
        <v>10</v>
      </c>
      <c r="D11" s="97">
        <f>IF(ISBLANK(Input!A11),1000,IF(Input!G11&gt;0,Input!G11+F11,1000))</f>
        <v>1000</v>
      </c>
      <c r="E11" s="97">
        <f t="shared" si="9"/>
        <v>1000</v>
      </c>
      <c r="F11" s="4">
        <v>0.01</v>
      </c>
      <c r="I11" t="str">
        <f>IF(Input!A11&gt;0,Input!A11,"")</f>
        <v/>
      </c>
      <c r="J11" t="str">
        <f>IF(Input!B11&gt;0,Input!B11,"")</f>
        <v/>
      </c>
      <c r="K11" t="str">
        <f>IF(Input!C11&gt;0,Input!C11,"")</f>
        <v/>
      </c>
      <c r="L11" t="str">
        <f>IF(Input!D11&gt;0,Input!D11,"")</f>
        <v/>
      </c>
      <c r="M11" t="str">
        <f>IF(Input!G11&gt;0,Input!G11,"")</f>
        <v xml:space="preserve"> </v>
      </c>
      <c r="N11" t="str">
        <f>IF(Input!H11&gt;0,Input!H11,"")</f>
        <v xml:space="preserve"> </v>
      </c>
      <c r="O11" t="str">
        <f>IF(Input!I11&lt;&gt;"",Input!I11,"")</f>
        <v/>
      </c>
      <c r="P11" t="str">
        <f t="shared" si="10"/>
        <v/>
      </c>
      <c r="Q11" t="str">
        <f>IF(Input!I11&lt;&gt;"",IF(ISNUMBER(Input!J11),(Input!J11),0),"")</f>
        <v/>
      </c>
      <c r="R11" t="str">
        <f>IF(Input!L11&lt;&gt;"",Input!L11,"")</f>
        <v/>
      </c>
      <c r="S11" t="str">
        <f t="shared" si="11"/>
        <v/>
      </c>
      <c r="T11" t="str">
        <f>IF(Input!L11&lt;&gt;"",IF(ISNUMBER(Input!M11),Input!M11,0),"")</f>
        <v/>
      </c>
      <c r="U11" t="str">
        <f>IF(Input!O11&lt;&gt;"",Input!O11,"")</f>
        <v/>
      </c>
      <c r="V11" t="str">
        <f t="shared" si="12"/>
        <v/>
      </c>
      <c r="W11" t="str">
        <f>IF(Input!O11&lt;&gt;"",IF(ISNUMBER(Input!P11),(Input!P11),0),"")</f>
        <v/>
      </c>
      <c r="X11" t="str">
        <f>IF(Input!R11&lt;&gt;"",Input!R11,"")</f>
        <v/>
      </c>
      <c r="Y11" t="str">
        <f t="shared" si="13"/>
        <v/>
      </c>
      <c r="Z11" t="str">
        <f>IF(Input!R11&lt;&gt;"",IF(ISNUMBER(Input!S11),ROUNDDOWN(Input!S11,0),0),"")</f>
        <v/>
      </c>
      <c r="AA11" t="str">
        <f>IF(Input!U11&lt;&gt;"",Input!U11,"")</f>
        <v/>
      </c>
      <c r="AB11" t="str">
        <f t="shared" si="14"/>
        <v/>
      </c>
      <c r="AC11" t="str">
        <f>IF(Input!U11&lt;&gt;"",IF(ISNUMBER(Input!V11),ROUNDDOWN(Input!V11,0),0),"")</f>
        <v/>
      </c>
      <c r="AD11" t="str">
        <f>IF(Input!X11&lt;&gt;"",Input!X11,"")</f>
        <v/>
      </c>
      <c r="AE11" t="str">
        <f t="shared" si="15"/>
        <v/>
      </c>
      <c r="AF11" t="str">
        <f>IF(Input!X11&lt;&gt;"",IF(ISNUMBER(Input!Y11),(Input!Y11),0),"")</f>
        <v/>
      </c>
      <c r="AG11" t="str">
        <f>IF(Input!AA11&lt;&gt;"",Input!AA11,"")</f>
        <v/>
      </c>
      <c r="AH11" t="str">
        <f t="shared" si="16"/>
        <v/>
      </c>
      <c r="AI11" t="str">
        <f>IF(Input!AA11&lt;&gt;"",IF(ISNUMBER(Input!AB11),ROUNDDOWN(Input!AB11,0),0),"")</f>
        <v/>
      </c>
      <c r="AJ11" t="str">
        <f>IF(Input!AD11&lt;&gt;"",Input!AD11,"")</f>
        <v/>
      </c>
      <c r="AK11" t="str">
        <f t="shared" si="17"/>
        <v/>
      </c>
      <c r="AL11" t="str">
        <f>IF(Input!AD11&lt;&gt;"",IF(ISNUMBER(Input!AE11),(Input!AE11),0),"")</f>
        <v/>
      </c>
      <c r="AM11" t="str">
        <f>IF(Input!AG11&lt;&gt;"",Input!AG11,"")</f>
        <v/>
      </c>
      <c r="AN11" t="str">
        <f t="shared" si="7"/>
        <v/>
      </c>
      <c r="AO11" t="str">
        <f>IF(Input!AG11&lt;&gt;"",IF(ISNUMBER(Input!AH11),(Input!AH11),0),"")</f>
        <v/>
      </c>
    </row>
    <row r="12" spans="1:41" ht="16.5" thickTop="1" thickBot="1" x14ac:dyDescent="0.4">
      <c r="A12" s="35">
        <f>IF(ISBLANK(Input!A12),1000,IF(Input!E12&gt;0,Input!E12+F12,1000))</f>
        <v>1000</v>
      </c>
      <c r="B12" s="32">
        <f t="shared" si="8"/>
        <v>1000</v>
      </c>
      <c r="C12" s="4">
        <v>11</v>
      </c>
      <c r="D12" s="97">
        <f>IF(ISBLANK(Input!A12),1000,IF(Input!G12&gt;0,Input!G12+F12,1000))</f>
        <v>1000</v>
      </c>
      <c r="E12" s="97">
        <f t="shared" si="9"/>
        <v>1000</v>
      </c>
      <c r="F12" s="4">
        <v>1.0999999999999999E-2</v>
      </c>
      <c r="I12" t="str">
        <f>IF(Input!A12&gt;0,Input!A12,"")</f>
        <v/>
      </c>
      <c r="J12" t="str">
        <f>IF(Input!B12&gt;0,Input!B12,"")</f>
        <v/>
      </c>
      <c r="K12" t="str">
        <f>IF(Input!C12&gt;0,Input!C12,"")</f>
        <v/>
      </c>
      <c r="L12" t="str">
        <f>IF(Input!D12&gt;0,Input!D12,"")</f>
        <v/>
      </c>
      <c r="M12" t="str">
        <f>IF(Input!G12&gt;0,Input!G12,"")</f>
        <v xml:space="preserve"> </v>
      </c>
      <c r="N12" t="str">
        <f>IF(Input!H12&gt;0,Input!H12,"")</f>
        <v xml:space="preserve"> </v>
      </c>
      <c r="O12" t="str">
        <f>IF(Input!I12&lt;&gt;"",Input!I12,"")</f>
        <v/>
      </c>
      <c r="P12" t="str">
        <f t="shared" si="10"/>
        <v/>
      </c>
      <c r="Q12" t="str">
        <f>IF(Input!I12&lt;&gt;"",IF(ISNUMBER(Input!J12),(Input!J12),0),"")</f>
        <v/>
      </c>
      <c r="R12" t="str">
        <f>IF(Input!L12&lt;&gt;"",Input!L12,"")</f>
        <v/>
      </c>
      <c r="S12" t="str">
        <f t="shared" si="11"/>
        <v/>
      </c>
      <c r="T12" t="str">
        <f>IF(Input!L12&lt;&gt;"",IF(ISNUMBER(Input!M12),Input!M12,0),"")</f>
        <v/>
      </c>
      <c r="U12" t="str">
        <f>IF(Input!O12&lt;&gt;"",Input!O12,"")</f>
        <v/>
      </c>
      <c r="V12" t="str">
        <f t="shared" si="12"/>
        <v/>
      </c>
      <c r="W12" t="str">
        <f>IF(Input!O12&lt;&gt;"",IF(ISNUMBER(Input!P12),(Input!P12),0),"")</f>
        <v/>
      </c>
      <c r="X12" t="str">
        <f>IF(Input!R12&lt;&gt;"",Input!R12,"")</f>
        <v/>
      </c>
      <c r="Y12" t="str">
        <f t="shared" si="13"/>
        <v/>
      </c>
      <c r="Z12" t="str">
        <f>IF(Input!R12&lt;&gt;"",IF(ISNUMBER(Input!S12),ROUNDDOWN(Input!S12,0),0),"")</f>
        <v/>
      </c>
      <c r="AA12" t="str">
        <f>IF(Input!U12&lt;&gt;"",Input!U12,"")</f>
        <v/>
      </c>
      <c r="AB12" t="str">
        <f t="shared" si="14"/>
        <v/>
      </c>
      <c r="AC12" t="str">
        <f>IF(Input!U12&lt;&gt;"",IF(ISNUMBER(Input!V12),ROUNDDOWN(Input!V12,0),0),"")</f>
        <v/>
      </c>
      <c r="AD12" t="str">
        <f>IF(Input!X12&lt;&gt;"",Input!X12,"")</f>
        <v/>
      </c>
      <c r="AE12" t="str">
        <f t="shared" si="15"/>
        <v/>
      </c>
      <c r="AF12" t="str">
        <f>IF(Input!X12&lt;&gt;"",IF(ISNUMBER(Input!Y12),(Input!Y12),0),"")</f>
        <v/>
      </c>
      <c r="AG12" t="str">
        <f>IF(Input!AA12&lt;&gt;"",Input!AA12,"")</f>
        <v/>
      </c>
      <c r="AH12" t="str">
        <f t="shared" si="16"/>
        <v/>
      </c>
      <c r="AI12" t="str">
        <f>IF(Input!AA12&lt;&gt;"",IF(ISNUMBER(Input!AB12),ROUNDDOWN(Input!AB12,0),0),"")</f>
        <v/>
      </c>
      <c r="AJ12" t="str">
        <f>IF(Input!AD12&lt;&gt;"",Input!AD12,"")</f>
        <v/>
      </c>
      <c r="AK12" t="str">
        <f t="shared" si="17"/>
        <v/>
      </c>
      <c r="AL12" t="str">
        <f>IF(Input!AD12&lt;&gt;"",IF(ISNUMBER(Input!AE12),(Input!AE12),0),"")</f>
        <v/>
      </c>
      <c r="AM12" t="str">
        <f>IF(Input!AG12&lt;&gt;"",Input!AG12,"")</f>
        <v/>
      </c>
      <c r="AN12" t="str">
        <f t="shared" si="7"/>
        <v/>
      </c>
      <c r="AO12" t="str">
        <f>IF(Input!AG12&lt;&gt;"",IF(ISNUMBER(Input!AH12),(Input!AH12),0),"")</f>
        <v/>
      </c>
    </row>
    <row r="13" spans="1:41" ht="16.5" thickTop="1" thickBot="1" x14ac:dyDescent="0.4">
      <c r="A13" s="35">
        <f>IF(ISBLANK(Input!A13),1000,IF(Input!E13&gt;0,Input!E13+F13,1000))</f>
        <v>1000</v>
      </c>
      <c r="B13" s="32">
        <f t="shared" si="8"/>
        <v>1000</v>
      </c>
      <c r="C13" s="4">
        <v>12</v>
      </c>
      <c r="D13" s="97">
        <f>IF(ISBLANK(Input!A13),1000,IF(Input!G13&gt;0,Input!G13+F13,1000))</f>
        <v>1000</v>
      </c>
      <c r="E13" s="97">
        <f t="shared" si="9"/>
        <v>1000</v>
      </c>
      <c r="F13" s="4">
        <v>1.2E-2</v>
      </c>
      <c r="I13" t="str">
        <f>IF(Input!A13&gt;0,Input!A13,"")</f>
        <v/>
      </c>
      <c r="J13" t="str">
        <f>IF(Input!B13&gt;0,Input!B13,"")</f>
        <v/>
      </c>
      <c r="K13" t="str">
        <f>IF(Input!C13&gt;0,Input!C13,"")</f>
        <v/>
      </c>
      <c r="L13" t="str">
        <f>IF(Input!D13&gt;0,Input!D13,"")</f>
        <v/>
      </c>
      <c r="M13" t="str">
        <f>IF(Input!G13&gt;0,Input!G13,"")</f>
        <v xml:space="preserve"> </v>
      </c>
      <c r="N13" t="str">
        <f>IF(Input!H13&gt;0,Input!H13,"")</f>
        <v xml:space="preserve"> </v>
      </c>
      <c r="O13" t="str">
        <f>IF(Input!I13&lt;&gt;"",Input!I13,"")</f>
        <v/>
      </c>
      <c r="P13" t="str">
        <f t="shared" si="10"/>
        <v/>
      </c>
      <c r="Q13" t="str">
        <f>IF(Input!I13&lt;&gt;"",IF(ISNUMBER(Input!J13),(Input!J13),0),"")</f>
        <v/>
      </c>
      <c r="R13" t="str">
        <f>IF(Input!L13&lt;&gt;"",Input!L13,"")</f>
        <v/>
      </c>
      <c r="S13" t="str">
        <f t="shared" si="11"/>
        <v/>
      </c>
      <c r="T13" t="str">
        <f>IF(Input!L13&lt;&gt;"",IF(ISNUMBER(Input!M13),Input!M13,0),"")</f>
        <v/>
      </c>
      <c r="U13" t="str">
        <f>IF(Input!O13&lt;&gt;"",Input!O13,"")</f>
        <v/>
      </c>
      <c r="V13" t="str">
        <f t="shared" si="12"/>
        <v/>
      </c>
      <c r="W13" t="str">
        <f>IF(Input!O13&lt;&gt;"",IF(ISNUMBER(Input!P13),(Input!P13),0),"")</f>
        <v/>
      </c>
      <c r="X13" t="str">
        <f>IF(Input!R13&lt;&gt;"",Input!R13,"")</f>
        <v/>
      </c>
      <c r="Y13" t="str">
        <f t="shared" si="13"/>
        <v/>
      </c>
      <c r="Z13" t="str">
        <f>IF(Input!R13&lt;&gt;"",IF(ISNUMBER(Input!S13),ROUNDDOWN(Input!S13,0),0),"")</f>
        <v/>
      </c>
      <c r="AA13" t="str">
        <f>IF(Input!U13&lt;&gt;"",Input!U13,"")</f>
        <v/>
      </c>
      <c r="AB13" t="str">
        <f t="shared" si="14"/>
        <v/>
      </c>
      <c r="AC13" t="str">
        <f>IF(Input!U13&lt;&gt;"",IF(ISNUMBER(Input!V13),ROUNDDOWN(Input!V13,0),0),"")</f>
        <v/>
      </c>
      <c r="AD13" t="str">
        <f>IF(Input!X13&lt;&gt;"",Input!X13,"")</f>
        <v/>
      </c>
      <c r="AE13" t="str">
        <f t="shared" si="15"/>
        <v/>
      </c>
      <c r="AF13" t="str">
        <f>IF(Input!X13&lt;&gt;"",IF(ISNUMBER(Input!Y13),(Input!Y13),0),"")</f>
        <v/>
      </c>
      <c r="AG13" t="str">
        <f>IF(Input!AA13&lt;&gt;"",Input!AA13,"")</f>
        <v/>
      </c>
      <c r="AH13" t="str">
        <f t="shared" si="16"/>
        <v/>
      </c>
      <c r="AI13" t="str">
        <f>IF(Input!AA13&lt;&gt;"",IF(ISNUMBER(Input!AB13),ROUNDDOWN(Input!AB13,0),0),"")</f>
        <v/>
      </c>
      <c r="AJ13" t="str">
        <f>IF(Input!AD13&lt;&gt;"",Input!AD13,"")</f>
        <v/>
      </c>
      <c r="AK13" t="str">
        <f t="shared" si="17"/>
        <v/>
      </c>
      <c r="AL13" t="str">
        <f>IF(Input!AD13&lt;&gt;"",IF(ISNUMBER(Input!AE13),(Input!AE13),0),"")</f>
        <v/>
      </c>
      <c r="AM13" t="str">
        <f>IF(Input!AG13&lt;&gt;"",Input!AG13,"")</f>
        <v/>
      </c>
      <c r="AN13" t="str">
        <f t="shared" si="7"/>
        <v/>
      </c>
      <c r="AO13" t="str">
        <f>IF(Input!AG13&lt;&gt;"",IF(ISNUMBER(Input!AH13),(Input!AH13),0),"")</f>
        <v/>
      </c>
    </row>
    <row r="14" spans="1:41" ht="16.5" thickTop="1" thickBot="1" x14ac:dyDescent="0.4">
      <c r="A14" s="35">
        <f>IF(ISBLANK(Input!A14),1000,IF(Input!E14&gt;0,Input!E14+F14,1000))</f>
        <v>1000</v>
      </c>
      <c r="B14" s="32">
        <f t="shared" si="8"/>
        <v>1000</v>
      </c>
      <c r="C14" s="4">
        <v>13</v>
      </c>
      <c r="D14" s="97">
        <f>IF(ISBLANK(Input!A14),1000,IF(Input!G14&gt;0,Input!G14+F14,1000))</f>
        <v>1000</v>
      </c>
      <c r="E14" s="97">
        <f t="shared" si="9"/>
        <v>1000</v>
      </c>
      <c r="F14" s="4">
        <v>1.2999999999999999E-2</v>
      </c>
      <c r="I14" t="str">
        <f>IF(Input!A14&gt;0,Input!A14,"")</f>
        <v/>
      </c>
      <c r="J14" t="str">
        <f>IF(Input!B14&gt;0,Input!B14,"")</f>
        <v/>
      </c>
      <c r="K14" t="str">
        <f>IF(Input!C14&gt;0,Input!C14,"")</f>
        <v/>
      </c>
      <c r="L14" t="str">
        <f>IF(Input!D14&gt;0,Input!D14,"")</f>
        <v/>
      </c>
      <c r="M14" t="str">
        <f>IF(Input!G14&gt;0,Input!G14,"")</f>
        <v xml:space="preserve"> </v>
      </c>
      <c r="N14" t="str">
        <f>IF(Input!H14&gt;0,Input!H14,"")</f>
        <v xml:space="preserve"> </v>
      </c>
      <c r="O14" t="str">
        <f>IF(Input!I14&lt;&gt;"",Input!I14,"")</f>
        <v/>
      </c>
      <c r="P14" t="str">
        <f t="shared" si="10"/>
        <v/>
      </c>
      <c r="Q14" t="str">
        <f>IF(Input!I14&lt;&gt;"",IF(ISNUMBER(Input!J14),(Input!J14),0),"")</f>
        <v/>
      </c>
      <c r="R14" t="str">
        <f>IF(Input!L14&lt;&gt;"",Input!L14,"")</f>
        <v/>
      </c>
      <c r="S14" t="str">
        <f t="shared" si="11"/>
        <v/>
      </c>
      <c r="T14" t="str">
        <f>IF(Input!L14&lt;&gt;"",IF(ISNUMBER(Input!M14),Input!M14,0),"")</f>
        <v/>
      </c>
      <c r="U14" t="str">
        <f>IF(Input!O14&lt;&gt;"",Input!O14,"")</f>
        <v/>
      </c>
      <c r="V14" t="str">
        <f t="shared" si="12"/>
        <v/>
      </c>
      <c r="W14" t="str">
        <f>IF(Input!O14&lt;&gt;"",IF(ISNUMBER(Input!P14),(Input!P14),0),"")</f>
        <v/>
      </c>
      <c r="X14" t="str">
        <f>IF(Input!R14&lt;&gt;"",Input!R14,"")</f>
        <v/>
      </c>
      <c r="Y14" t="str">
        <f t="shared" si="13"/>
        <v/>
      </c>
      <c r="Z14" t="str">
        <f>IF(Input!R14&lt;&gt;"",IF(ISNUMBER(Input!S14),ROUNDDOWN(Input!S14,0),0),"")</f>
        <v/>
      </c>
      <c r="AA14" t="str">
        <f>IF(Input!U14&lt;&gt;"",Input!U14,"")</f>
        <v/>
      </c>
      <c r="AB14" t="str">
        <f t="shared" si="14"/>
        <v/>
      </c>
      <c r="AC14" t="str">
        <f>IF(Input!U14&lt;&gt;"",IF(ISNUMBER(Input!V14),ROUNDDOWN(Input!V14,0),0),"")</f>
        <v/>
      </c>
      <c r="AD14" t="str">
        <f>IF(Input!X14&lt;&gt;"",Input!X14,"")</f>
        <v/>
      </c>
      <c r="AE14" t="str">
        <f t="shared" si="15"/>
        <v/>
      </c>
      <c r="AF14" t="str">
        <f>IF(Input!X14&lt;&gt;"",IF(ISNUMBER(Input!Y14),(Input!Y14),0),"")</f>
        <v/>
      </c>
      <c r="AG14" t="str">
        <f>IF(Input!AA14&lt;&gt;"",Input!AA14,"")</f>
        <v/>
      </c>
      <c r="AH14" t="str">
        <f t="shared" si="16"/>
        <v/>
      </c>
      <c r="AI14" t="str">
        <f>IF(Input!AA14&lt;&gt;"",IF(ISNUMBER(Input!AB14),ROUNDDOWN(Input!AB14,0),0),"")</f>
        <v/>
      </c>
      <c r="AJ14" t="str">
        <f>IF(Input!AD14&lt;&gt;"",Input!AD14,"")</f>
        <v/>
      </c>
      <c r="AK14" t="str">
        <f t="shared" si="17"/>
        <v/>
      </c>
      <c r="AL14" t="str">
        <f>IF(Input!AD14&lt;&gt;"",IF(ISNUMBER(Input!AE14),(Input!AE14),0),"")</f>
        <v/>
      </c>
      <c r="AM14" t="str">
        <f>IF(Input!AG14&lt;&gt;"",Input!AG14,"")</f>
        <v/>
      </c>
      <c r="AN14" t="str">
        <f t="shared" si="7"/>
        <v/>
      </c>
      <c r="AO14" t="str">
        <f>IF(Input!AG14&lt;&gt;"",IF(ISNUMBER(Input!AH14),(Input!AH14),0),"")</f>
        <v/>
      </c>
    </row>
    <row r="15" spans="1:41" ht="16.5" thickTop="1" thickBot="1" x14ac:dyDescent="0.4">
      <c r="A15" s="35">
        <f>IF(ISBLANK(Input!A15),1000,IF(Input!E15&gt;0,Input!E15+F15,1000))</f>
        <v>1000</v>
      </c>
      <c r="B15" s="32">
        <f t="shared" si="8"/>
        <v>1000</v>
      </c>
      <c r="C15" s="4">
        <v>14</v>
      </c>
      <c r="D15" s="97">
        <f>IF(ISBLANK(Input!A15),1000,IF(Input!G15&gt;0,Input!G15+F15,1000))</f>
        <v>1000</v>
      </c>
      <c r="E15" s="97">
        <f t="shared" si="9"/>
        <v>1000</v>
      </c>
      <c r="F15" s="4">
        <v>1.4E-2</v>
      </c>
      <c r="I15" t="str">
        <f>IF(Input!A15&gt;0,Input!A15,"")</f>
        <v/>
      </c>
      <c r="J15" t="str">
        <f>IF(Input!B15&gt;0,Input!B15,"")</f>
        <v/>
      </c>
      <c r="K15" t="str">
        <f>IF(Input!C15&gt;0,Input!C15,"")</f>
        <v/>
      </c>
      <c r="L15" t="str">
        <f>IF(Input!D15&gt;0,Input!D15,"")</f>
        <v/>
      </c>
      <c r="M15" t="str">
        <f>IF(Input!G15&gt;0,Input!G15,"")</f>
        <v xml:space="preserve"> </v>
      </c>
      <c r="N15" t="str">
        <f>IF(Input!H15&gt;0,Input!H15,"")</f>
        <v xml:space="preserve"> </v>
      </c>
      <c r="O15" t="str">
        <f>IF(Input!I15&lt;&gt;"",Input!I15,"")</f>
        <v/>
      </c>
      <c r="P15" t="str">
        <f t="shared" si="10"/>
        <v/>
      </c>
      <c r="Q15" t="str">
        <f>IF(Input!I15&lt;&gt;"",IF(ISNUMBER(Input!J15),ROUNDDOWN(Input!J15,0),0),"")</f>
        <v/>
      </c>
      <c r="R15" t="str">
        <f>IF(Input!L15&lt;&gt;"",Input!L15,"")</f>
        <v/>
      </c>
      <c r="S15" t="str">
        <f t="shared" si="11"/>
        <v/>
      </c>
      <c r="T15" t="str">
        <f>IF(Input!L15&lt;&gt;"",IF(ISNUMBER(Input!M15),Input!M15,0),"")</f>
        <v/>
      </c>
      <c r="U15" t="str">
        <f>IF(Input!O15&lt;&gt;"",Input!O15,"")</f>
        <v/>
      </c>
      <c r="V15" t="str">
        <f t="shared" si="12"/>
        <v/>
      </c>
      <c r="W15" t="str">
        <f>IF(Input!O15&lt;&gt;"",IF(ISNUMBER(Input!P15),(Input!P15),0),"")</f>
        <v/>
      </c>
      <c r="X15" t="str">
        <f>IF(Input!R15&lt;&gt;"",Input!R15,"")</f>
        <v/>
      </c>
      <c r="Y15" t="str">
        <f t="shared" si="13"/>
        <v/>
      </c>
      <c r="Z15" t="str">
        <f>IF(Input!R15&lt;&gt;"",IF(ISNUMBER(Input!S15),ROUNDDOWN(Input!S15,0),0),"")</f>
        <v/>
      </c>
      <c r="AA15" t="str">
        <f>IF(Input!U15&lt;&gt;"",Input!U15,"")</f>
        <v/>
      </c>
      <c r="AB15" t="str">
        <f t="shared" si="14"/>
        <v/>
      </c>
      <c r="AC15" t="str">
        <f>IF(Input!U15&lt;&gt;"",IF(ISNUMBER(Input!V15),ROUNDDOWN(Input!V15,0),0),"")</f>
        <v/>
      </c>
      <c r="AD15" t="str">
        <f>IF(Input!X15&lt;&gt;"",Input!X15,"")</f>
        <v/>
      </c>
      <c r="AE15" t="str">
        <f t="shared" si="15"/>
        <v/>
      </c>
      <c r="AF15" t="str">
        <f>IF(Input!X15&lt;&gt;"",IF(ISNUMBER(Input!Y15),(Input!Y15),0),"")</f>
        <v/>
      </c>
      <c r="AG15" t="str">
        <f>IF(Input!AA15&lt;&gt;"",Input!AA15,"")</f>
        <v/>
      </c>
      <c r="AH15" t="str">
        <f t="shared" si="16"/>
        <v/>
      </c>
      <c r="AI15" t="str">
        <f>IF(Input!AA15&lt;&gt;"",IF(ISNUMBER(Input!AB15),ROUNDDOWN(Input!AB15,0),0),"")</f>
        <v/>
      </c>
      <c r="AJ15" t="str">
        <f>IF(Input!AD15&lt;&gt;"",Input!AD15,"")</f>
        <v/>
      </c>
      <c r="AK15" t="str">
        <f t="shared" si="17"/>
        <v/>
      </c>
      <c r="AL15" t="str">
        <f>IF(Input!AD15&lt;&gt;"",IF(ISNUMBER(Input!AE15),(Input!AE15),0),"")</f>
        <v/>
      </c>
      <c r="AM15" t="str">
        <f>IF(Input!AG15&lt;&gt;"",Input!AG15,"")</f>
        <v/>
      </c>
      <c r="AN15" t="str">
        <f t="shared" si="7"/>
        <v/>
      </c>
      <c r="AO15" t="str">
        <f>IF(Input!AG15&lt;&gt;"",IF(ISNUMBER(Input!AH15),(Input!AH15),0),"")</f>
        <v/>
      </c>
    </row>
    <row r="16" spans="1:41" ht="16.5" thickTop="1" thickBot="1" x14ac:dyDescent="0.4">
      <c r="A16" s="35">
        <f>IF(ISBLANK(Input!A16),1000,IF(Input!E16&gt;0,Input!E16+F16,1000))</f>
        <v>1000</v>
      </c>
      <c r="B16" s="32">
        <f t="shared" si="8"/>
        <v>1000</v>
      </c>
      <c r="C16" s="4">
        <v>15</v>
      </c>
      <c r="D16" s="97">
        <f>IF(ISBLANK(Input!A16),1000,IF(Input!G16&gt;0,Input!G16+F16,1000))</f>
        <v>1000</v>
      </c>
      <c r="E16" s="97">
        <f t="shared" si="9"/>
        <v>1000</v>
      </c>
      <c r="F16" s="4">
        <v>1.4999999999999999E-2</v>
      </c>
      <c r="I16" t="str">
        <f>IF(Input!A16&gt;0,Input!A16,"")</f>
        <v/>
      </c>
      <c r="J16" t="str">
        <f>IF(Input!B16&gt;0,Input!B16,"")</f>
        <v/>
      </c>
      <c r="K16" t="str">
        <f>IF(Input!C16&gt;0,Input!C16,"")</f>
        <v/>
      </c>
      <c r="L16" t="str">
        <f>IF(Input!D16&gt;0,Input!D16,"")</f>
        <v/>
      </c>
      <c r="M16" t="str">
        <f>IF(Input!G16&gt;0,Input!G16,"")</f>
        <v xml:space="preserve"> </v>
      </c>
      <c r="N16" t="str">
        <f>IF(Input!H16&gt;0,Input!H16,"")</f>
        <v xml:space="preserve"> </v>
      </c>
      <c r="O16" t="str">
        <f>IF(Input!I16&lt;&gt;"",Input!I16,"")</f>
        <v/>
      </c>
      <c r="P16" t="str">
        <f t="shared" si="10"/>
        <v/>
      </c>
      <c r="Q16" t="str">
        <f>IF(Input!I16&lt;&gt;"",IF(ISNUMBER(Input!J16),ROUNDDOWN(Input!J16,0),0),"")</f>
        <v/>
      </c>
      <c r="R16" t="str">
        <f>IF(Input!L16&lt;&gt;"",Input!L16,"")</f>
        <v/>
      </c>
      <c r="S16" t="str">
        <f t="shared" si="11"/>
        <v/>
      </c>
      <c r="T16" t="str">
        <f>IF(Input!L16&lt;&gt;"",IF(ISNUMBER(Input!M16),Input!M16,0),"")</f>
        <v/>
      </c>
      <c r="U16" t="str">
        <f>IF(Input!O16&lt;&gt;"",Input!O16,"")</f>
        <v/>
      </c>
      <c r="V16" t="str">
        <f t="shared" si="12"/>
        <v/>
      </c>
      <c r="W16" t="str">
        <f>IF(Input!O16&lt;&gt;"",IF(ISNUMBER(Input!P16),(Input!P16),0),"")</f>
        <v/>
      </c>
      <c r="X16" t="str">
        <f>IF(Input!R16&lt;&gt;"",Input!R16,"")</f>
        <v/>
      </c>
      <c r="Y16" t="str">
        <f t="shared" si="13"/>
        <v/>
      </c>
      <c r="Z16" t="str">
        <f>IF(Input!R16&lt;&gt;"",IF(ISNUMBER(Input!S16),ROUNDDOWN(Input!S16,0),0),"")</f>
        <v/>
      </c>
      <c r="AA16" t="str">
        <f>IF(Input!U16&lt;&gt;"",Input!U16,"")</f>
        <v/>
      </c>
      <c r="AB16" t="str">
        <f t="shared" si="14"/>
        <v/>
      </c>
      <c r="AC16" t="str">
        <f>IF(Input!U16&lt;&gt;"",IF(ISNUMBER(Input!V16),ROUNDDOWN(Input!V16,0),0),"")</f>
        <v/>
      </c>
      <c r="AD16" t="str">
        <f>IF(Input!X16&lt;&gt;"",Input!X16,"")</f>
        <v/>
      </c>
      <c r="AE16" t="str">
        <f t="shared" si="15"/>
        <v/>
      </c>
      <c r="AF16" t="str">
        <f>IF(Input!X16&lt;&gt;"",IF(ISNUMBER(Input!Y16),(Input!Y16),0),"")</f>
        <v/>
      </c>
      <c r="AG16" t="str">
        <f>IF(Input!AA16&lt;&gt;"",Input!AA16,"")</f>
        <v/>
      </c>
      <c r="AH16" t="str">
        <f t="shared" si="16"/>
        <v/>
      </c>
      <c r="AI16" t="str">
        <f>IF(Input!AA16&lt;&gt;"",IF(ISNUMBER(Input!AB16),ROUNDDOWN(Input!AB16,0),0),"")</f>
        <v/>
      </c>
      <c r="AJ16" t="str">
        <f>IF(Input!AD16&lt;&gt;"",Input!AD16,"")</f>
        <v/>
      </c>
      <c r="AK16" t="str">
        <f t="shared" si="17"/>
        <v/>
      </c>
      <c r="AL16" t="str">
        <f>IF(Input!AD16&lt;&gt;"",IF(ISNUMBER(Input!AE16),(Input!AE16),0),"")</f>
        <v/>
      </c>
      <c r="AM16" t="str">
        <f>IF(Input!AG16&lt;&gt;"",Input!AG16,"")</f>
        <v/>
      </c>
      <c r="AN16" t="str">
        <f t="shared" si="7"/>
        <v/>
      </c>
      <c r="AO16" t="str">
        <f>IF(Input!AG16&lt;&gt;"",IF(ISNUMBER(Input!AH16),(Input!AH16),0),"")</f>
        <v/>
      </c>
    </row>
    <row r="17" spans="1:41" ht="16.5" thickTop="1" thickBot="1" x14ac:dyDescent="0.4">
      <c r="A17" s="35">
        <f>IF(ISBLANK(Input!A17),1000,IF(Input!E17&gt;0,Input!E17+F17,1000))</f>
        <v>1000</v>
      </c>
      <c r="B17" s="32">
        <f t="shared" si="8"/>
        <v>1000</v>
      </c>
      <c r="C17" s="4">
        <v>16</v>
      </c>
      <c r="D17" s="97">
        <f>IF(ISBLANK(Input!A17),1000,IF(Input!G17&gt;0,Input!G17+F17,1000))</f>
        <v>1000</v>
      </c>
      <c r="E17" s="97">
        <f t="shared" si="9"/>
        <v>1000</v>
      </c>
      <c r="F17" s="4">
        <v>1.6E-2</v>
      </c>
      <c r="I17" t="str">
        <f>IF(Input!A17&gt;0,Input!A17,"")</f>
        <v/>
      </c>
      <c r="J17" t="str">
        <f>IF(Input!B17&gt;0,Input!B17,"")</f>
        <v/>
      </c>
      <c r="K17" t="str">
        <f>IF(Input!C17&gt;0,Input!C17,"")</f>
        <v/>
      </c>
      <c r="L17" t="str">
        <f>IF(Input!D17&gt;0,Input!D17,"")</f>
        <v/>
      </c>
      <c r="M17" t="str">
        <f>IF(Input!G17&gt;0,Input!G17,"")</f>
        <v xml:space="preserve"> </v>
      </c>
      <c r="N17" t="str">
        <f>IF(Input!H17&gt;0,Input!H17,"")</f>
        <v xml:space="preserve"> </v>
      </c>
      <c r="O17" t="str">
        <f>IF(Input!I17&lt;&gt;"",Input!I17,"")</f>
        <v/>
      </c>
      <c r="P17" t="str">
        <f t="shared" si="10"/>
        <v/>
      </c>
      <c r="Q17" t="str">
        <f>IF(Input!I17&lt;&gt;"",IF(ISNUMBER(Input!J17),ROUNDDOWN(Input!J17,0),0),"")</f>
        <v/>
      </c>
      <c r="R17" t="str">
        <f>IF(Input!L17&lt;&gt;"",Input!L17,"")</f>
        <v/>
      </c>
      <c r="S17" t="str">
        <f t="shared" si="11"/>
        <v/>
      </c>
      <c r="T17" t="str">
        <f>IF(Input!L17&lt;&gt;"",IF(ISNUMBER(Input!M17),Input!M17,0),"")</f>
        <v/>
      </c>
      <c r="U17" t="str">
        <f>IF(Input!O17&lt;&gt;"",Input!O17,"")</f>
        <v/>
      </c>
      <c r="V17" t="str">
        <f t="shared" si="12"/>
        <v/>
      </c>
      <c r="W17" t="str">
        <f>IF(Input!O17&lt;&gt;"",IF(ISNUMBER(Input!P17),(Input!P17),0),"")</f>
        <v/>
      </c>
      <c r="X17" t="str">
        <f>IF(Input!R17&lt;&gt;"",Input!R17,"")</f>
        <v/>
      </c>
      <c r="Y17" t="str">
        <f t="shared" si="13"/>
        <v/>
      </c>
      <c r="Z17" t="str">
        <f>IF(Input!R17&lt;&gt;"",IF(ISNUMBER(Input!S17),ROUNDDOWN(Input!S17,0),0),"")</f>
        <v/>
      </c>
      <c r="AA17" t="str">
        <f>IF(Input!U17&lt;&gt;"",Input!U17,"")</f>
        <v/>
      </c>
      <c r="AB17" t="str">
        <f t="shared" si="14"/>
        <v/>
      </c>
      <c r="AC17" t="str">
        <f>IF(Input!U17&lt;&gt;"",IF(ISNUMBER(Input!V17),ROUNDDOWN(Input!V17,0),0),"")</f>
        <v/>
      </c>
      <c r="AD17" t="str">
        <f>IF(Input!X17&lt;&gt;"",Input!X17,"")</f>
        <v/>
      </c>
      <c r="AE17" t="str">
        <f t="shared" si="15"/>
        <v/>
      </c>
      <c r="AF17" t="str">
        <f>IF(Input!X17&lt;&gt;"",IF(ISNUMBER(Input!Y17),(Input!Y17),0),"")</f>
        <v/>
      </c>
      <c r="AG17" t="str">
        <f>IF(Input!AA17&lt;&gt;"",Input!AA17,"")</f>
        <v/>
      </c>
      <c r="AH17" t="str">
        <f t="shared" si="16"/>
        <v/>
      </c>
      <c r="AI17" t="str">
        <f>IF(Input!AA17&lt;&gt;"",IF(ISNUMBER(Input!AB17),ROUNDDOWN(Input!AB17,0),0),"")</f>
        <v/>
      </c>
      <c r="AJ17" t="str">
        <f>IF(Input!AD17&lt;&gt;"",Input!AD17,"")</f>
        <v/>
      </c>
      <c r="AK17" t="str">
        <f t="shared" si="17"/>
        <v/>
      </c>
      <c r="AL17" t="str">
        <f>IF(Input!AD17&lt;&gt;"",IF(ISNUMBER(Input!AE17),(Input!AE17),0),"")</f>
        <v/>
      </c>
      <c r="AM17" t="str">
        <f>IF(Input!AG17&lt;&gt;"",Input!AG17,"")</f>
        <v/>
      </c>
      <c r="AN17" t="str">
        <f t="shared" si="7"/>
        <v/>
      </c>
      <c r="AO17" t="str">
        <f>IF(Input!AG17&lt;&gt;"",IF(ISNUMBER(Input!AH17),(Input!AH17),0),"")</f>
        <v/>
      </c>
    </row>
    <row r="18" spans="1:41" ht="16.5" thickTop="1" thickBot="1" x14ac:dyDescent="0.4">
      <c r="A18" s="35">
        <f>IF(ISBLANK(Input!A18),1000,IF(Input!E18&gt;0,Input!E18+F18,1000))</f>
        <v>1000</v>
      </c>
      <c r="B18" s="32">
        <f t="shared" si="8"/>
        <v>1000</v>
      </c>
      <c r="C18" s="4">
        <v>17</v>
      </c>
      <c r="D18" s="97">
        <f>IF(ISBLANK(Input!A18),1000,IF(Input!G18&gt;0,Input!G18+F18,1000))</f>
        <v>1000</v>
      </c>
      <c r="E18" s="97">
        <f t="shared" si="9"/>
        <v>1000</v>
      </c>
      <c r="F18" s="4">
        <v>1.7000000000000001E-2</v>
      </c>
      <c r="I18" t="str">
        <f>IF(Input!A18&gt;0,Input!A18,"")</f>
        <v/>
      </c>
      <c r="J18" t="str">
        <f>IF(Input!B18&gt;0,Input!B18,"")</f>
        <v/>
      </c>
      <c r="K18" t="str">
        <f>IF(Input!C18&gt;0,Input!C18,"")</f>
        <v/>
      </c>
      <c r="L18" t="str">
        <f>IF(Input!D18&gt;0,Input!D18,"")</f>
        <v/>
      </c>
      <c r="M18" t="str">
        <f>IF(Input!G18&gt;0,Input!G18,"")</f>
        <v xml:space="preserve"> </v>
      </c>
      <c r="N18" t="str">
        <f>IF(Input!H18&gt;0,Input!H18,"")</f>
        <v xml:space="preserve"> </v>
      </c>
      <c r="O18" t="str">
        <f>IF(Input!I18&lt;&gt;"",Input!I18,"")</f>
        <v/>
      </c>
      <c r="P18" t="str">
        <f t="shared" si="10"/>
        <v/>
      </c>
      <c r="Q18" t="str">
        <f>IF(Input!I18&lt;&gt;"",IF(ISNUMBER(Input!J18),ROUNDDOWN(Input!J18,0),0),"")</f>
        <v/>
      </c>
      <c r="R18" t="str">
        <f>IF(Input!L18&lt;&gt;"",Input!L18,"")</f>
        <v/>
      </c>
      <c r="S18" t="str">
        <f t="shared" si="11"/>
        <v/>
      </c>
      <c r="T18" t="str">
        <f>IF(Input!L18&lt;&gt;"",IF(ISNUMBER(Input!M18),Input!M18,0),"")</f>
        <v/>
      </c>
      <c r="U18" t="str">
        <f>IF(Input!O18&lt;&gt;"",Input!O18,"")</f>
        <v/>
      </c>
      <c r="V18" t="str">
        <f t="shared" si="12"/>
        <v/>
      </c>
      <c r="W18" t="str">
        <f>IF(Input!O18&lt;&gt;"",IF(ISNUMBER(Input!P18),(Input!P18),0),"")</f>
        <v/>
      </c>
      <c r="X18" t="str">
        <f>IF(Input!R18&lt;&gt;"",Input!R18,"")</f>
        <v/>
      </c>
      <c r="Y18" t="str">
        <f t="shared" si="13"/>
        <v/>
      </c>
      <c r="Z18" t="str">
        <f>IF(Input!R18&lt;&gt;"",IF(ISNUMBER(Input!S18),ROUNDDOWN(Input!S18,0),0),"")</f>
        <v/>
      </c>
      <c r="AA18" t="str">
        <f>IF(Input!U18&lt;&gt;"",Input!U18,"")</f>
        <v/>
      </c>
      <c r="AB18" t="str">
        <f t="shared" si="14"/>
        <v/>
      </c>
      <c r="AC18" t="str">
        <f>IF(Input!U18&lt;&gt;"",IF(ISNUMBER(Input!V18),ROUNDDOWN(Input!V18,0),0),"")</f>
        <v/>
      </c>
      <c r="AD18" t="str">
        <f>IF(Input!X18&lt;&gt;"",Input!X18,"")</f>
        <v/>
      </c>
      <c r="AE18" t="str">
        <f t="shared" si="15"/>
        <v/>
      </c>
      <c r="AF18" t="str">
        <f>IF(Input!X18&lt;&gt;"",IF(ISNUMBER(Input!Y18),(Input!Y18),0),"")</f>
        <v/>
      </c>
      <c r="AG18" t="str">
        <f>IF(Input!AA18&lt;&gt;"",Input!AA18,"")</f>
        <v/>
      </c>
      <c r="AH18" t="str">
        <f t="shared" si="16"/>
        <v/>
      </c>
      <c r="AI18" t="str">
        <f>IF(Input!AA18&lt;&gt;"",IF(ISNUMBER(Input!AB18),ROUNDDOWN(Input!AB18,0),0),"")</f>
        <v/>
      </c>
      <c r="AJ18" t="str">
        <f>IF(Input!AD18&lt;&gt;"",Input!AD18,"")</f>
        <v/>
      </c>
      <c r="AK18" t="str">
        <f t="shared" si="17"/>
        <v/>
      </c>
      <c r="AL18" t="str">
        <f>IF(Input!AD18&lt;&gt;"",IF(ISNUMBER(Input!AE18),(Input!AE18),0),"")</f>
        <v/>
      </c>
      <c r="AM18" t="str">
        <f>IF(Input!AG18&lt;&gt;"",Input!AG18,"")</f>
        <v/>
      </c>
      <c r="AN18" t="str">
        <f t="shared" si="7"/>
        <v/>
      </c>
      <c r="AO18" t="str">
        <f>IF(Input!AG18&lt;&gt;"",IF(ISNUMBER(Input!AH18),(Input!AH18),0),"")</f>
        <v/>
      </c>
    </row>
    <row r="19" spans="1:41" ht="16.5" thickTop="1" thickBot="1" x14ac:dyDescent="0.4">
      <c r="A19" s="35">
        <f>IF(ISBLANK(Input!A19),1000,IF(Input!E19&gt;0,Input!E19+F19,1000))</f>
        <v>1000</v>
      </c>
      <c r="B19" s="32">
        <f t="shared" si="8"/>
        <v>1000</v>
      </c>
      <c r="C19" s="4">
        <v>18</v>
      </c>
      <c r="D19" s="97">
        <f>IF(ISBLANK(Input!A19),1000,IF(Input!G19&gt;0,Input!G19+F19,1000))</f>
        <v>1000</v>
      </c>
      <c r="E19" s="97">
        <f t="shared" si="9"/>
        <v>1000</v>
      </c>
      <c r="F19" s="4">
        <v>1.7999999999999999E-2</v>
      </c>
      <c r="I19" t="str">
        <f>IF(Input!A19&gt;0,Input!A19,"")</f>
        <v/>
      </c>
      <c r="J19" t="str">
        <f>IF(Input!B19&gt;0,Input!B19,"")</f>
        <v/>
      </c>
      <c r="K19" t="str">
        <f>IF(Input!C19&gt;0,Input!C19,"")</f>
        <v/>
      </c>
      <c r="L19" t="str">
        <f>IF(Input!D19&gt;0,Input!D19,"")</f>
        <v/>
      </c>
      <c r="M19" t="str">
        <f>IF(Input!G19&gt;0,Input!G19,"")</f>
        <v xml:space="preserve"> </v>
      </c>
      <c r="N19" t="str">
        <f>IF(Input!H19&gt;0,Input!H19,"")</f>
        <v xml:space="preserve"> </v>
      </c>
      <c r="O19" t="str">
        <f>IF(Input!I19&lt;&gt;"",Input!I19,"")</f>
        <v/>
      </c>
      <c r="P19" t="str">
        <f t="shared" si="10"/>
        <v/>
      </c>
      <c r="Q19" t="str">
        <f>IF(Input!I19&lt;&gt;"",IF(ISNUMBER(Input!J19),ROUNDDOWN(Input!J19,0),0),"")</f>
        <v/>
      </c>
      <c r="R19" t="str">
        <f>IF(Input!L19&lt;&gt;"",Input!L19,"")</f>
        <v/>
      </c>
      <c r="S19" t="str">
        <f t="shared" si="11"/>
        <v/>
      </c>
      <c r="T19" t="str">
        <f>IF(Input!L19&lt;&gt;"",IF(ISNUMBER(Input!M19),Input!M19,0),"")</f>
        <v/>
      </c>
      <c r="U19" t="str">
        <f>IF(Input!O19&lt;&gt;"",Input!O19,"")</f>
        <v/>
      </c>
      <c r="V19" t="str">
        <f t="shared" si="12"/>
        <v/>
      </c>
      <c r="W19" t="str">
        <f>IF(Input!O19&lt;&gt;"",IF(ISNUMBER(Input!P19),(Input!P19),0),"")</f>
        <v/>
      </c>
      <c r="X19" t="str">
        <f>IF(Input!R19&lt;&gt;"",Input!R19,"")</f>
        <v/>
      </c>
      <c r="Y19" t="str">
        <f t="shared" si="13"/>
        <v/>
      </c>
      <c r="Z19" t="str">
        <f>IF(Input!R19&lt;&gt;"",IF(ISNUMBER(Input!S19),ROUNDDOWN(Input!S19,0),0),"")</f>
        <v/>
      </c>
      <c r="AA19" t="str">
        <f>IF(Input!U19&lt;&gt;"",Input!U19,"")</f>
        <v/>
      </c>
      <c r="AB19" t="str">
        <f t="shared" si="14"/>
        <v/>
      </c>
      <c r="AC19" t="str">
        <f>IF(Input!U19&lt;&gt;"",IF(ISNUMBER(Input!V19),ROUNDDOWN(Input!V19,0),0),"")</f>
        <v/>
      </c>
      <c r="AD19" t="str">
        <f>IF(Input!X19&lt;&gt;"",Input!X19,"")</f>
        <v/>
      </c>
      <c r="AE19" t="str">
        <f t="shared" si="15"/>
        <v/>
      </c>
      <c r="AF19" t="str">
        <f>IF(Input!X19&lt;&gt;"",IF(ISNUMBER(Input!Y19),(Input!Y19),0),"")</f>
        <v/>
      </c>
      <c r="AG19" t="str">
        <f>IF(Input!AA19&lt;&gt;"",Input!AA19,"")</f>
        <v/>
      </c>
      <c r="AH19" t="str">
        <f t="shared" si="16"/>
        <v/>
      </c>
      <c r="AI19" t="str">
        <f>IF(Input!AA19&lt;&gt;"",IF(ISNUMBER(Input!AB19),ROUNDDOWN(Input!AB19,0),0),"")</f>
        <v/>
      </c>
      <c r="AJ19" t="str">
        <f>IF(Input!AD19&lt;&gt;"",Input!AD19,"")</f>
        <v/>
      </c>
      <c r="AK19" t="str">
        <f t="shared" si="17"/>
        <v/>
      </c>
      <c r="AL19" t="str">
        <f>IF(Input!AD19&lt;&gt;"",IF(ISNUMBER(Input!AE19),(Input!AE19),0),"")</f>
        <v/>
      </c>
      <c r="AM19" t="str">
        <f>IF(Input!AG19&lt;&gt;"",Input!AG19,"")</f>
        <v/>
      </c>
      <c r="AN19" t="str">
        <f t="shared" si="7"/>
        <v/>
      </c>
      <c r="AO19" t="str">
        <f>IF(Input!AG19&lt;&gt;"",IF(ISNUMBER(Input!AH19),(Input!AH19),0),"")</f>
        <v/>
      </c>
    </row>
    <row r="20" spans="1:41" ht="16.5" thickTop="1" thickBot="1" x14ac:dyDescent="0.4">
      <c r="A20" s="35">
        <f>IF(ISBLANK(Input!A20),1000,IF(Input!E20&gt;0,Input!E20+F20,1000))</f>
        <v>1000</v>
      </c>
      <c r="B20" s="32">
        <f t="shared" si="8"/>
        <v>1000</v>
      </c>
      <c r="C20" s="4">
        <v>19</v>
      </c>
      <c r="D20" s="97">
        <f>IF(ISBLANK(Input!A20),1000,IF(Input!G20&gt;0,Input!G20+F20,1000))</f>
        <v>1000</v>
      </c>
      <c r="E20" s="97">
        <f t="shared" si="9"/>
        <v>1000</v>
      </c>
      <c r="F20" s="4">
        <v>1.9E-2</v>
      </c>
      <c r="I20" t="str">
        <f>IF(Input!A20&gt;0,Input!A20,"")</f>
        <v/>
      </c>
      <c r="J20" t="str">
        <f>IF(Input!B20&gt;0,Input!B20,"")</f>
        <v/>
      </c>
      <c r="K20" t="str">
        <f>IF(Input!C20&gt;0,Input!C20,"")</f>
        <v/>
      </c>
      <c r="L20" t="str">
        <f>IF(Input!D20&gt;0,Input!D20,"")</f>
        <v/>
      </c>
      <c r="M20" t="str">
        <f>IF(Input!G20&gt;0,Input!G20,"")</f>
        <v xml:space="preserve"> </v>
      </c>
      <c r="N20" t="str">
        <f>IF(Input!H20&gt;0,Input!H20,"")</f>
        <v xml:space="preserve"> </v>
      </c>
      <c r="O20" t="str">
        <f>IF(Input!I20&lt;&gt;"",Input!I20,"")</f>
        <v/>
      </c>
      <c r="P20" t="str">
        <f t="shared" si="10"/>
        <v/>
      </c>
      <c r="Q20" t="str">
        <f>IF(Input!I20&lt;&gt;"",IF(ISNUMBER(Input!J20),ROUNDDOWN(Input!J20,0),0),"")</f>
        <v/>
      </c>
      <c r="R20" t="str">
        <f>IF(Input!L20&lt;&gt;"",Input!L20,"")</f>
        <v/>
      </c>
      <c r="S20" t="str">
        <f t="shared" si="11"/>
        <v/>
      </c>
      <c r="T20" t="str">
        <f>IF(Input!L20&lt;&gt;"",IF(ISNUMBER(Input!M20),Input!M20,0),"")</f>
        <v/>
      </c>
      <c r="U20" t="str">
        <f>IF(Input!O20&lt;&gt;"",Input!O20,"")</f>
        <v/>
      </c>
      <c r="V20" t="str">
        <f t="shared" si="12"/>
        <v/>
      </c>
      <c r="W20" t="str">
        <f>IF(Input!O20&lt;&gt;"",IF(ISNUMBER(Input!P20),(Input!P20),0),"")</f>
        <v/>
      </c>
      <c r="X20" t="str">
        <f>IF(Input!R20&lt;&gt;"",Input!R20,"")</f>
        <v/>
      </c>
      <c r="Y20" t="str">
        <f t="shared" si="13"/>
        <v/>
      </c>
      <c r="Z20" t="str">
        <f>IF(Input!R20&lt;&gt;"",IF(ISNUMBER(Input!S20),ROUNDDOWN(Input!S20,0),0),"")</f>
        <v/>
      </c>
      <c r="AA20" t="str">
        <f>IF(Input!U20&lt;&gt;"",Input!U20,"")</f>
        <v/>
      </c>
      <c r="AB20" t="str">
        <f t="shared" si="14"/>
        <v/>
      </c>
      <c r="AC20" t="str">
        <f>IF(Input!U20&lt;&gt;"",IF(ISNUMBER(Input!V20),ROUNDDOWN(Input!V20,0),0),"")</f>
        <v/>
      </c>
      <c r="AD20" t="str">
        <f>IF(Input!X20&lt;&gt;"",Input!X20,"")</f>
        <v/>
      </c>
      <c r="AE20" t="str">
        <f t="shared" si="15"/>
        <v/>
      </c>
      <c r="AF20" t="str">
        <f>IF(Input!X20&lt;&gt;"",IF(ISNUMBER(Input!Y20),(Input!Y20),0),"")</f>
        <v/>
      </c>
      <c r="AG20" t="str">
        <f>IF(Input!AA20&lt;&gt;"",Input!AA20,"")</f>
        <v/>
      </c>
      <c r="AH20" t="str">
        <f t="shared" si="16"/>
        <v/>
      </c>
      <c r="AI20" t="str">
        <f>IF(Input!AA20&lt;&gt;"",IF(ISNUMBER(Input!AB20),ROUNDDOWN(Input!AB20,0),0),"")</f>
        <v/>
      </c>
      <c r="AJ20" t="str">
        <f>IF(Input!AD20&lt;&gt;"",Input!AD20,"")</f>
        <v/>
      </c>
      <c r="AK20" t="str">
        <f t="shared" si="17"/>
        <v/>
      </c>
      <c r="AL20" t="str">
        <f>IF(Input!AD20&lt;&gt;"",IF(ISNUMBER(Input!AE20),(Input!AE20),0),"")</f>
        <v/>
      </c>
      <c r="AM20" t="str">
        <f>IF(Input!AG20&lt;&gt;"",Input!AG20,"")</f>
        <v/>
      </c>
      <c r="AN20" t="str">
        <f t="shared" si="7"/>
        <v/>
      </c>
      <c r="AO20" t="str">
        <f>IF(Input!AG20&lt;&gt;"",IF(ISNUMBER(Input!AH20),(Input!AH20),0),"")</f>
        <v/>
      </c>
    </row>
    <row r="21" spans="1:41" ht="16.5" thickTop="1" thickBot="1" x14ac:dyDescent="0.4">
      <c r="A21" s="35">
        <f>IF(ISBLANK(Input!A21),1000,IF(Input!E21&gt;0,Input!E21+F21,1000))</f>
        <v>1000</v>
      </c>
      <c r="B21" s="32">
        <f t="shared" si="8"/>
        <v>1000</v>
      </c>
      <c r="C21" s="4">
        <v>20</v>
      </c>
      <c r="D21" s="97">
        <f>IF(ISBLANK(Input!A21),1000,IF(Input!G21&gt;0,Input!G21+F21,1000))</f>
        <v>1000</v>
      </c>
      <c r="E21" s="97">
        <f t="shared" si="9"/>
        <v>1000</v>
      </c>
      <c r="F21" s="4">
        <v>0.02</v>
      </c>
      <c r="I21" t="str">
        <f>IF(Input!A21&gt;0,Input!A21,"")</f>
        <v/>
      </c>
      <c r="J21" t="str">
        <f>IF(Input!B21&gt;0,Input!B21,"")</f>
        <v/>
      </c>
      <c r="K21" t="str">
        <f>IF(Input!C21&gt;0,Input!C21,"")</f>
        <v/>
      </c>
      <c r="L21" t="str">
        <f>IF(Input!D21&gt;0,Input!D21,"")</f>
        <v/>
      </c>
      <c r="M21" t="str">
        <f>IF(Input!G21&gt;0,Input!G21,"")</f>
        <v xml:space="preserve"> </v>
      </c>
      <c r="N21" t="str">
        <f>IF(Input!H21&gt;0,Input!H21,"")</f>
        <v xml:space="preserve"> </v>
      </c>
      <c r="O21" t="str">
        <f>IF(Input!I21&lt;&gt;"",Input!I21,"")</f>
        <v/>
      </c>
      <c r="P21" t="str">
        <f t="shared" si="10"/>
        <v/>
      </c>
      <c r="Q21" t="str">
        <f>IF(Input!I21&lt;&gt;"",IF(ISNUMBER(Input!J21),ROUNDDOWN(Input!J21,0),0),"")</f>
        <v/>
      </c>
      <c r="R21" t="str">
        <f>IF(Input!L21&lt;&gt;"",Input!L21,"")</f>
        <v/>
      </c>
      <c r="S21" t="str">
        <f t="shared" si="11"/>
        <v/>
      </c>
      <c r="T21" t="str">
        <f>IF(Input!L21&lt;&gt;"",IF(ISNUMBER(Input!M21),Input!M21,0),"")</f>
        <v/>
      </c>
      <c r="U21" t="str">
        <f>IF(Input!O21&lt;&gt;"",Input!O21,"")</f>
        <v/>
      </c>
      <c r="V21" t="str">
        <f t="shared" si="12"/>
        <v/>
      </c>
      <c r="W21" t="str">
        <f>IF(Input!O21&lt;&gt;"",IF(ISNUMBER(Input!P21),(Input!P21),0),"")</f>
        <v/>
      </c>
      <c r="X21" t="str">
        <f>IF(Input!R21&lt;&gt;"",Input!R21,"")</f>
        <v/>
      </c>
      <c r="Y21" t="str">
        <f t="shared" si="13"/>
        <v/>
      </c>
      <c r="Z21" t="str">
        <f>IF(Input!R21&lt;&gt;"",IF(ISNUMBER(Input!S21),ROUNDDOWN(Input!S21,0),0),"")</f>
        <v/>
      </c>
      <c r="AA21" t="str">
        <f>IF(Input!U21&lt;&gt;"",Input!U21,"")</f>
        <v/>
      </c>
      <c r="AB21" t="str">
        <f t="shared" si="14"/>
        <v/>
      </c>
      <c r="AC21" t="str">
        <f>IF(Input!U21&lt;&gt;"",IF(ISNUMBER(Input!V21),ROUNDDOWN(Input!V21,0),0),"")</f>
        <v/>
      </c>
      <c r="AD21" t="str">
        <f>IF(Input!X21&lt;&gt;"",Input!X21,"")</f>
        <v/>
      </c>
      <c r="AE21" t="str">
        <f t="shared" si="15"/>
        <v/>
      </c>
      <c r="AF21" t="str">
        <f>IF(Input!X21&lt;&gt;"",IF(ISNUMBER(Input!Y21),(Input!Y21),0),"")</f>
        <v/>
      </c>
      <c r="AG21" t="str">
        <f>IF(Input!AA21&lt;&gt;"",Input!AA21,"")</f>
        <v/>
      </c>
      <c r="AH21" t="str">
        <f t="shared" si="16"/>
        <v/>
      </c>
      <c r="AI21" t="str">
        <f>IF(Input!AA21&lt;&gt;"",IF(ISNUMBER(Input!AB21),ROUNDDOWN(Input!AB21,0),0),"")</f>
        <v/>
      </c>
      <c r="AJ21" t="str">
        <f>IF(Input!AD21&lt;&gt;"",Input!AD21,"")</f>
        <v/>
      </c>
      <c r="AK21" t="str">
        <f t="shared" si="17"/>
        <v/>
      </c>
      <c r="AL21" t="str">
        <f>IF(Input!AD21&lt;&gt;"",IF(ISNUMBER(Input!AE21),(Input!AE21),0),"")</f>
        <v/>
      </c>
      <c r="AM21" t="str">
        <f>IF(Input!AG21&lt;&gt;"",Input!AG21,"")</f>
        <v/>
      </c>
      <c r="AN21" t="str">
        <f t="shared" si="7"/>
        <v/>
      </c>
      <c r="AO21" t="str">
        <f>IF(Input!AG21&lt;&gt;"",IF(ISNUMBER(Input!AH21),(Input!AH21),0),"")</f>
        <v/>
      </c>
    </row>
    <row r="22" spans="1:41" ht="16.5" thickTop="1" thickBot="1" x14ac:dyDescent="0.4">
      <c r="A22" s="35">
        <f>IF(ISBLANK(Input!A22),1000,IF(Input!E22&gt;0,Input!E22+F22,1000))</f>
        <v>1000</v>
      </c>
      <c r="B22" s="32">
        <f t="shared" si="8"/>
        <v>1000</v>
      </c>
      <c r="C22" s="4">
        <v>21</v>
      </c>
      <c r="D22" s="97">
        <f>IF(ISBLANK(Input!A22),1000,IF(Input!G22&gt;0,Input!G22+F22,1000))</f>
        <v>1000</v>
      </c>
      <c r="E22" s="97">
        <f t="shared" si="9"/>
        <v>1000</v>
      </c>
      <c r="F22" s="4">
        <v>2.1000000000000001E-2</v>
      </c>
      <c r="I22" t="str">
        <f>IF(Input!A22&gt;0,Input!A22,"")</f>
        <v/>
      </c>
      <c r="J22" t="str">
        <f>IF(Input!B22&gt;0,Input!B22,"")</f>
        <v/>
      </c>
      <c r="K22" t="str">
        <f>IF(Input!C22&gt;0,Input!C22,"")</f>
        <v/>
      </c>
      <c r="L22" t="str">
        <f>IF(Input!D22&gt;0,Input!D22,"")</f>
        <v/>
      </c>
      <c r="M22" t="str">
        <f>IF(Input!G22&gt;0,Input!G22,"")</f>
        <v xml:space="preserve"> </v>
      </c>
      <c r="N22" t="str">
        <f>IF(Input!H22&gt;0,Input!H22,"")</f>
        <v xml:space="preserve"> </v>
      </c>
      <c r="O22" t="str">
        <f>IF(Input!I22&lt;&gt;"",Input!I22,"")</f>
        <v/>
      </c>
      <c r="P22" t="str">
        <f t="shared" si="10"/>
        <v/>
      </c>
      <c r="Q22" t="str">
        <f>IF(Input!I22&lt;&gt;"",IF(ISNUMBER(Input!J22),ROUNDDOWN(Input!J22,0),0),"")</f>
        <v/>
      </c>
      <c r="R22" t="str">
        <f>IF(Input!L22&lt;&gt;"",Input!L22,"")</f>
        <v/>
      </c>
      <c r="S22" t="str">
        <f t="shared" si="11"/>
        <v/>
      </c>
      <c r="T22" t="str">
        <f>IF(Input!L22&lt;&gt;"",IF(ISNUMBER(Input!M22),Input!M22,0),"")</f>
        <v/>
      </c>
      <c r="U22" t="str">
        <f>IF(Input!O22&lt;&gt;"",Input!O22,"")</f>
        <v/>
      </c>
      <c r="V22" t="str">
        <f t="shared" si="12"/>
        <v/>
      </c>
      <c r="W22" t="str">
        <f>IF(Input!O22&lt;&gt;"",IF(ISNUMBER(Input!P22),(Input!P22),0),"")</f>
        <v/>
      </c>
      <c r="X22" t="str">
        <f>IF(Input!R22&lt;&gt;"",Input!R22,"")</f>
        <v/>
      </c>
      <c r="Y22" t="str">
        <f t="shared" si="13"/>
        <v/>
      </c>
      <c r="Z22" t="str">
        <f>IF(Input!R22&lt;&gt;"",IF(ISNUMBER(Input!S22),ROUNDDOWN(Input!S22,0),0),"")</f>
        <v/>
      </c>
      <c r="AA22" t="str">
        <f>IF(Input!U22&lt;&gt;"",Input!U22,"")</f>
        <v/>
      </c>
      <c r="AB22" t="str">
        <f t="shared" si="14"/>
        <v/>
      </c>
      <c r="AC22" t="str">
        <f>IF(Input!U22&lt;&gt;"",IF(ISNUMBER(Input!V22),ROUNDDOWN(Input!V22,0),0),"")</f>
        <v/>
      </c>
      <c r="AD22" t="str">
        <f>IF(Input!X22&lt;&gt;"",Input!X22,"")</f>
        <v/>
      </c>
      <c r="AE22" t="str">
        <f t="shared" si="15"/>
        <v/>
      </c>
      <c r="AF22" t="str">
        <f>IF(Input!X22&lt;&gt;"",IF(ISNUMBER(Input!Y22),(Input!Y22),0),"")</f>
        <v/>
      </c>
      <c r="AG22" t="str">
        <f>IF(Input!AA22&lt;&gt;"",Input!AA22,"")</f>
        <v/>
      </c>
      <c r="AH22" t="str">
        <f t="shared" si="16"/>
        <v/>
      </c>
      <c r="AI22" t="str">
        <f>IF(Input!AA22&lt;&gt;"",IF(ISNUMBER(Input!AB22),ROUNDDOWN(Input!AB22,0),0),"")</f>
        <v/>
      </c>
      <c r="AJ22" t="str">
        <f>IF(Input!AD22&lt;&gt;"",Input!AD22,"")</f>
        <v/>
      </c>
      <c r="AK22" t="str">
        <f t="shared" si="17"/>
        <v/>
      </c>
      <c r="AL22" t="str">
        <f>IF(Input!AD22&lt;&gt;"",IF(ISNUMBER(Input!AE22),(Input!AE22),0),"")</f>
        <v/>
      </c>
      <c r="AM22" t="str">
        <f>IF(Input!AG22&lt;&gt;"",Input!AG22,"")</f>
        <v/>
      </c>
      <c r="AN22" t="str">
        <f t="shared" si="7"/>
        <v/>
      </c>
      <c r="AO22" t="str">
        <f>IF(Input!AG22&lt;&gt;"",IF(ISNUMBER(Input!AH22),(Input!AH22),0),"")</f>
        <v/>
      </c>
    </row>
    <row r="23" spans="1:41" ht="16.5" thickTop="1" thickBot="1" x14ac:dyDescent="0.4">
      <c r="A23" s="35">
        <f>IF(ISBLANK(Input!A23),1000,IF(Input!E23&gt;0,Input!E23+F23,1000))</f>
        <v>1000</v>
      </c>
      <c r="B23" s="32">
        <f t="shared" si="8"/>
        <v>1000</v>
      </c>
      <c r="C23" s="4">
        <v>22</v>
      </c>
      <c r="D23" s="97">
        <f>IF(ISBLANK(Input!A23),1000,IF(Input!G23&gt;0,Input!G23+F23,1000))</f>
        <v>1000</v>
      </c>
      <c r="E23" s="97">
        <f t="shared" si="9"/>
        <v>1000</v>
      </c>
      <c r="F23" s="4">
        <v>2.1999999999999999E-2</v>
      </c>
      <c r="I23" t="str">
        <f>IF(Input!A23&gt;0,Input!A23,"")</f>
        <v/>
      </c>
      <c r="J23" t="str">
        <f>IF(Input!B23&gt;0,Input!B23,"")</f>
        <v/>
      </c>
      <c r="K23" t="str">
        <f>IF(Input!C23&gt;0,Input!C23,"")</f>
        <v/>
      </c>
      <c r="L23" t="str">
        <f>IF(Input!D23&gt;0,Input!D23,"")</f>
        <v/>
      </c>
      <c r="M23" t="str">
        <f>IF(Input!G23&gt;0,Input!G23,"")</f>
        <v xml:space="preserve"> </v>
      </c>
      <c r="N23" t="str">
        <f>IF(Input!H23&gt;0,Input!H23,"")</f>
        <v xml:space="preserve"> </v>
      </c>
      <c r="O23" t="str">
        <f>IF(Input!I23&lt;&gt;"",Input!I23,"")</f>
        <v/>
      </c>
      <c r="P23" t="str">
        <f t="shared" si="10"/>
        <v/>
      </c>
      <c r="Q23" t="str">
        <f>IF(Input!I23&lt;&gt;"",IF(ISNUMBER(Input!J23),ROUNDDOWN(Input!J23,0),0),"")</f>
        <v/>
      </c>
      <c r="R23" t="str">
        <f>IF(Input!L23&lt;&gt;"",Input!L23,"")</f>
        <v/>
      </c>
      <c r="S23" t="str">
        <f t="shared" si="11"/>
        <v/>
      </c>
      <c r="T23" t="str">
        <f>IF(Input!L23&lt;&gt;"",IF(ISNUMBER(Input!M23),Input!M23,0),"")</f>
        <v/>
      </c>
      <c r="U23" t="str">
        <f>IF(Input!O23&lt;&gt;"",Input!O23,"")</f>
        <v/>
      </c>
      <c r="V23" t="str">
        <f t="shared" si="12"/>
        <v/>
      </c>
      <c r="W23" t="str">
        <f>IF(Input!O23&lt;&gt;"",IF(ISNUMBER(Input!P23),(Input!P23),0),"")</f>
        <v/>
      </c>
      <c r="X23" t="str">
        <f>IF(Input!R23&lt;&gt;"",Input!R23,"")</f>
        <v/>
      </c>
      <c r="Y23" t="str">
        <f t="shared" si="13"/>
        <v/>
      </c>
      <c r="Z23" t="str">
        <f>IF(Input!R23&lt;&gt;"",IF(ISNUMBER(Input!S23),ROUNDDOWN(Input!S23,0),0),"")</f>
        <v/>
      </c>
      <c r="AA23" t="str">
        <f>IF(Input!U23&lt;&gt;"",Input!U23,"")</f>
        <v/>
      </c>
      <c r="AB23" t="str">
        <f t="shared" si="14"/>
        <v/>
      </c>
      <c r="AC23" t="str">
        <f>IF(Input!U23&lt;&gt;"",IF(ISNUMBER(Input!V23),ROUNDDOWN(Input!V23,0),0),"")</f>
        <v/>
      </c>
      <c r="AD23" t="str">
        <f>IF(Input!X23&lt;&gt;"",Input!X23,"")</f>
        <v/>
      </c>
      <c r="AE23" t="str">
        <f t="shared" si="15"/>
        <v/>
      </c>
      <c r="AF23" t="str">
        <f>IF(Input!X23&lt;&gt;"",IF(ISNUMBER(Input!Y23),(Input!Y23),0),"")</f>
        <v/>
      </c>
      <c r="AG23" t="str">
        <f>IF(Input!AA23&lt;&gt;"",Input!AA23,"")</f>
        <v/>
      </c>
      <c r="AH23" t="str">
        <f t="shared" si="16"/>
        <v/>
      </c>
      <c r="AI23" t="str">
        <f>IF(Input!AA23&lt;&gt;"",IF(ISNUMBER(Input!AB23),ROUNDDOWN(Input!AB23,0),0),"")</f>
        <v/>
      </c>
      <c r="AJ23" t="str">
        <f>IF(Input!AD23&lt;&gt;"",Input!AD23,"")</f>
        <v/>
      </c>
      <c r="AK23" t="str">
        <f t="shared" si="17"/>
        <v/>
      </c>
      <c r="AL23" t="str">
        <f>IF(Input!AD23&lt;&gt;"",IF(ISNUMBER(Input!AE23),(Input!AE23),0),"")</f>
        <v/>
      </c>
      <c r="AM23" t="str">
        <f>IF(Input!AG23&lt;&gt;"",Input!AG23,"")</f>
        <v/>
      </c>
      <c r="AN23" t="str">
        <f t="shared" si="7"/>
        <v/>
      </c>
      <c r="AO23" t="str">
        <f>IF(Input!AG23&lt;&gt;"",IF(ISNUMBER(Input!AH23),(Input!AH23),0),"")</f>
        <v/>
      </c>
    </row>
    <row r="24" spans="1:41" ht="16.5" thickTop="1" thickBot="1" x14ac:dyDescent="0.4">
      <c r="A24" s="35">
        <f>IF(ISBLANK(Input!A24),1000,IF(Input!E24&gt;0,Input!E24+F24,1000))</f>
        <v>1000</v>
      </c>
      <c r="B24" s="32">
        <f t="shared" si="8"/>
        <v>1000</v>
      </c>
      <c r="C24" s="4">
        <v>23</v>
      </c>
      <c r="D24" s="97">
        <f>IF(ISBLANK(Input!A24),1000,IF(Input!G24&gt;0,Input!G24+F24,1000))</f>
        <v>1000</v>
      </c>
      <c r="E24" s="97">
        <f t="shared" si="9"/>
        <v>1000</v>
      </c>
      <c r="F24" s="4">
        <v>2.3E-2</v>
      </c>
      <c r="I24" t="str">
        <f>IF(Input!A24&gt;0,Input!A24,"")</f>
        <v/>
      </c>
      <c r="J24" t="str">
        <f>IF(Input!B24&gt;0,Input!B24,"")</f>
        <v/>
      </c>
      <c r="K24" t="str">
        <f>IF(Input!C24&gt;0,Input!C24,"")</f>
        <v/>
      </c>
      <c r="L24" t="str">
        <f>IF(Input!D24&gt;0,Input!D24,"")</f>
        <v/>
      </c>
      <c r="M24" t="str">
        <f>IF(Input!G24&gt;0,Input!G24,"")</f>
        <v xml:space="preserve"> </v>
      </c>
      <c r="N24" t="str">
        <f>IF(Input!H24&gt;0,Input!H24,"")</f>
        <v xml:space="preserve"> </v>
      </c>
      <c r="O24" t="str">
        <f>IF(Input!I24&lt;&gt;"",Input!I24,"")</f>
        <v/>
      </c>
      <c r="P24" t="str">
        <f t="shared" si="10"/>
        <v/>
      </c>
      <c r="Q24" t="str">
        <f>IF(Input!I24&lt;&gt;"",IF(ISNUMBER(Input!J24),ROUNDDOWN(Input!J24,0),0),"")</f>
        <v/>
      </c>
      <c r="R24" t="str">
        <f>IF(Input!L24&lt;&gt;"",Input!L24,"")</f>
        <v/>
      </c>
      <c r="S24" t="str">
        <f t="shared" si="11"/>
        <v/>
      </c>
      <c r="T24" t="str">
        <f>IF(Input!L24&lt;&gt;"",IF(ISNUMBER(Input!M24),Input!M24,0),"")</f>
        <v/>
      </c>
      <c r="U24" t="str">
        <f>IF(Input!O24&lt;&gt;"",Input!O24,"")</f>
        <v/>
      </c>
      <c r="V24" t="str">
        <f t="shared" si="12"/>
        <v/>
      </c>
      <c r="W24" t="str">
        <f>IF(Input!O24&lt;&gt;"",IF(ISNUMBER(Input!P24),(Input!P24),0),"")</f>
        <v/>
      </c>
      <c r="X24" t="str">
        <f>IF(Input!R24&lt;&gt;"",Input!R24,"")</f>
        <v/>
      </c>
      <c r="Y24" t="str">
        <f t="shared" si="13"/>
        <v/>
      </c>
      <c r="Z24" t="str">
        <f>IF(Input!R24&lt;&gt;"",IF(ISNUMBER(Input!S24),ROUNDDOWN(Input!S24,0),0),"")</f>
        <v/>
      </c>
      <c r="AA24" t="str">
        <f>IF(Input!U24&lt;&gt;"",Input!U24,"")</f>
        <v/>
      </c>
      <c r="AB24" t="str">
        <f t="shared" si="14"/>
        <v/>
      </c>
      <c r="AC24" t="str">
        <f>IF(Input!U24&lt;&gt;"",IF(ISNUMBER(Input!V24),ROUNDDOWN(Input!V24,0),0),"")</f>
        <v/>
      </c>
      <c r="AD24" t="str">
        <f>IF(Input!X24&lt;&gt;"",Input!X24,"")</f>
        <v/>
      </c>
      <c r="AE24" t="str">
        <f t="shared" si="15"/>
        <v/>
      </c>
      <c r="AF24" t="str">
        <f>IF(Input!X24&lt;&gt;"",IF(ISNUMBER(Input!Y24),(Input!Y24),0),"")</f>
        <v/>
      </c>
      <c r="AG24" t="str">
        <f>IF(Input!AA24&lt;&gt;"",Input!AA24,"")</f>
        <v/>
      </c>
      <c r="AH24" t="str">
        <f t="shared" si="16"/>
        <v/>
      </c>
      <c r="AI24" t="str">
        <f>IF(Input!AA24&lt;&gt;"",IF(ISNUMBER(Input!AB24),ROUNDDOWN(Input!AB24,0),0),"")</f>
        <v/>
      </c>
      <c r="AJ24" t="str">
        <f>IF(Input!AD24&lt;&gt;"",Input!AD24,"")</f>
        <v/>
      </c>
      <c r="AK24" t="str">
        <f t="shared" si="17"/>
        <v/>
      </c>
      <c r="AL24" t="str">
        <f>IF(Input!AD24&lt;&gt;"",IF(ISNUMBER(Input!AE24),(Input!AE24),0),"")</f>
        <v/>
      </c>
      <c r="AM24" t="str">
        <f>IF(Input!AG24&lt;&gt;"",Input!AG24,"")</f>
        <v/>
      </c>
      <c r="AN24" t="str">
        <f t="shared" si="7"/>
        <v/>
      </c>
      <c r="AO24" t="str">
        <f>IF(Input!AG24&lt;&gt;"",IF(ISNUMBER(Input!AH24),(Input!AH24),0),"")</f>
        <v/>
      </c>
    </row>
    <row r="25" spans="1:41" ht="16.5" thickTop="1" thickBot="1" x14ac:dyDescent="0.4">
      <c r="A25" s="35">
        <f>IF(ISBLANK(Input!A25),1000,IF(Input!E25&gt;0,Input!E25+F25,1000))</f>
        <v>1000</v>
      </c>
      <c r="B25" s="32">
        <f t="shared" si="8"/>
        <v>1000</v>
      </c>
      <c r="C25" s="4">
        <v>24</v>
      </c>
      <c r="D25" s="97">
        <f>IF(ISBLANK(Input!A25),1000,IF(Input!G25&gt;0,Input!G25+F25,1000))</f>
        <v>1000</v>
      </c>
      <c r="E25" s="97">
        <f t="shared" si="9"/>
        <v>1000</v>
      </c>
      <c r="F25" s="4">
        <v>2.4E-2</v>
      </c>
      <c r="I25" t="str">
        <f>IF(Input!A25&gt;0,Input!A25,"")</f>
        <v/>
      </c>
      <c r="J25" t="str">
        <f>IF(Input!B25&gt;0,Input!B25,"")</f>
        <v/>
      </c>
      <c r="K25" t="str">
        <f>IF(Input!C25&gt;0,Input!C25,"")</f>
        <v/>
      </c>
      <c r="L25" t="str">
        <f>IF(Input!D25&gt;0,Input!D25,"")</f>
        <v/>
      </c>
      <c r="M25" t="str">
        <f>IF(Input!G25&gt;0,Input!G25,"")</f>
        <v xml:space="preserve"> </v>
      </c>
      <c r="N25" t="str">
        <f>IF(Input!H25&gt;0,Input!H25,"")</f>
        <v xml:space="preserve"> </v>
      </c>
      <c r="O25" t="str">
        <f>IF(Input!I25&lt;&gt;"",Input!I25,"")</f>
        <v/>
      </c>
      <c r="P25" t="str">
        <f t="shared" si="10"/>
        <v/>
      </c>
      <c r="Q25" t="str">
        <f>IF(Input!I25&lt;&gt;"",IF(ISNUMBER(Input!J25),ROUNDDOWN(Input!J25,0),0),"")</f>
        <v/>
      </c>
      <c r="R25" t="str">
        <f>IF(Input!L25&lt;&gt;"",Input!L25,"")</f>
        <v/>
      </c>
      <c r="S25" t="str">
        <f t="shared" si="11"/>
        <v/>
      </c>
      <c r="T25" t="str">
        <f>IF(Input!L25&lt;&gt;"",IF(ISNUMBER(Input!M25),Input!M25,0),"")</f>
        <v/>
      </c>
      <c r="U25" t="str">
        <f>IF(Input!O25&lt;&gt;"",Input!O25,"")</f>
        <v/>
      </c>
      <c r="V25" t="str">
        <f t="shared" si="12"/>
        <v/>
      </c>
      <c r="W25" t="str">
        <f>IF(Input!O25&lt;&gt;"",IF(ISNUMBER(Input!P25),(Input!P25),0),"")</f>
        <v/>
      </c>
      <c r="X25" t="str">
        <f>IF(Input!R25&lt;&gt;"",Input!R25,"")</f>
        <v/>
      </c>
      <c r="Y25" t="str">
        <f t="shared" si="13"/>
        <v/>
      </c>
      <c r="Z25" t="str">
        <f>IF(Input!R25&lt;&gt;"",IF(ISNUMBER(Input!S25),ROUNDDOWN(Input!S25,0),0),"")</f>
        <v/>
      </c>
      <c r="AA25" t="str">
        <f>IF(Input!U25&lt;&gt;"",Input!U25,"")</f>
        <v/>
      </c>
      <c r="AB25" t="str">
        <f t="shared" si="14"/>
        <v/>
      </c>
      <c r="AC25" t="str">
        <f>IF(Input!U25&lt;&gt;"",IF(ISNUMBER(Input!V25),ROUNDDOWN(Input!V25,0),0),"")</f>
        <v/>
      </c>
      <c r="AD25" t="str">
        <f>IF(Input!X25&lt;&gt;"",Input!X25,"")</f>
        <v/>
      </c>
      <c r="AE25" t="str">
        <f t="shared" si="15"/>
        <v/>
      </c>
      <c r="AF25" t="str">
        <f>IF(Input!X25&lt;&gt;"",IF(ISNUMBER(Input!Y25),(Input!Y25),0),"")</f>
        <v/>
      </c>
      <c r="AG25" t="str">
        <f>IF(Input!AA25&lt;&gt;"",Input!AA25,"")</f>
        <v/>
      </c>
      <c r="AH25" t="str">
        <f t="shared" si="16"/>
        <v/>
      </c>
      <c r="AI25" t="str">
        <f>IF(Input!AA25&lt;&gt;"",IF(ISNUMBER(Input!AB25),ROUNDDOWN(Input!AB25,0),0),"")</f>
        <v/>
      </c>
      <c r="AJ25" t="str">
        <f>IF(Input!AD25&lt;&gt;"",Input!AD25,"")</f>
        <v/>
      </c>
      <c r="AK25" t="str">
        <f t="shared" si="17"/>
        <v/>
      </c>
      <c r="AL25" t="str">
        <f>IF(Input!AD25&lt;&gt;"",IF(ISNUMBER(Input!AE25),(Input!AE25),0),"")</f>
        <v/>
      </c>
      <c r="AM25" t="str">
        <f>IF(Input!AG25&lt;&gt;"",Input!AG25,"")</f>
        <v/>
      </c>
      <c r="AN25" t="str">
        <f t="shared" si="7"/>
        <v/>
      </c>
      <c r="AO25" t="str">
        <f>IF(Input!AG25&lt;&gt;"",IF(ISNUMBER(Input!AH25),(Input!AH25),0),"")</f>
        <v/>
      </c>
    </row>
    <row r="26" spans="1:41" ht="16.5" thickTop="1" thickBot="1" x14ac:dyDescent="0.4">
      <c r="A26" s="35">
        <f>IF(ISBLANK(Input!A26),1000,IF(Input!E26&gt;0,Input!E26+F26,1000))</f>
        <v>1000</v>
      </c>
      <c r="B26" s="32">
        <f t="shared" si="8"/>
        <v>1000</v>
      </c>
      <c r="C26" s="4">
        <v>25</v>
      </c>
      <c r="D26" s="97">
        <f>IF(ISBLANK(Input!A26),1000,IF(Input!G26&gt;0,Input!G26+F26,1000))</f>
        <v>1000</v>
      </c>
      <c r="E26" s="97">
        <f t="shared" si="9"/>
        <v>1000</v>
      </c>
      <c r="F26" s="4">
        <v>2.5000000000000001E-2</v>
      </c>
      <c r="I26" t="str">
        <f>IF(Input!A26&gt;0,Input!A26,"")</f>
        <v/>
      </c>
      <c r="J26" t="str">
        <f>IF(Input!B26&gt;0,Input!B26,"")</f>
        <v/>
      </c>
      <c r="K26" t="str">
        <f>IF(Input!C26&gt;0,Input!C26,"")</f>
        <v/>
      </c>
      <c r="L26" t="str">
        <f>IF(Input!D26&gt;0,Input!D26,"")</f>
        <v/>
      </c>
      <c r="M26" t="str">
        <f>IF(Input!G26&gt;0,Input!G26,"")</f>
        <v xml:space="preserve"> </v>
      </c>
      <c r="N26" t="str">
        <f>IF(Input!H26&gt;0,Input!H26,"")</f>
        <v xml:space="preserve"> </v>
      </c>
      <c r="O26" t="str">
        <f>IF(Input!I26&lt;&gt;"",Input!I26,"")</f>
        <v/>
      </c>
      <c r="P26" t="str">
        <f t="shared" si="10"/>
        <v/>
      </c>
      <c r="Q26" t="str">
        <f>IF(Input!I26&lt;&gt;"",IF(ISNUMBER(Input!J26),ROUNDDOWN(Input!J26,0),0),"")</f>
        <v/>
      </c>
      <c r="R26" t="str">
        <f>IF(Input!L26&lt;&gt;"",Input!L26,"")</f>
        <v/>
      </c>
      <c r="S26" t="str">
        <f t="shared" si="11"/>
        <v/>
      </c>
      <c r="T26" t="str">
        <f>IF(Input!L26&lt;&gt;"",IF(ISNUMBER(Input!M26),Input!M26,0),"")</f>
        <v/>
      </c>
      <c r="U26" t="str">
        <f>IF(Input!O26&lt;&gt;"",Input!O26,"")</f>
        <v/>
      </c>
      <c r="V26" t="str">
        <f t="shared" si="12"/>
        <v/>
      </c>
      <c r="W26" t="str">
        <f>IF(Input!O26&lt;&gt;"",IF(ISNUMBER(Input!P26),(Input!P26),0),"")</f>
        <v/>
      </c>
      <c r="X26" t="str">
        <f>IF(Input!R26&lt;&gt;"",Input!R26,"")</f>
        <v/>
      </c>
      <c r="Y26" t="str">
        <f t="shared" si="13"/>
        <v/>
      </c>
      <c r="Z26" t="str">
        <f>IF(Input!R26&lt;&gt;"",IF(ISNUMBER(Input!S26),ROUNDDOWN(Input!S26,0),0),"")</f>
        <v/>
      </c>
      <c r="AA26" t="str">
        <f>IF(Input!U26&lt;&gt;"",Input!U26,"")</f>
        <v/>
      </c>
      <c r="AB26" t="str">
        <f t="shared" si="14"/>
        <v/>
      </c>
      <c r="AC26" t="str">
        <f>IF(Input!U26&lt;&gt;"",IF(ISNUMBER(Input!V26),ROUNDDOWN(Input!V26,0),0),"")</f>
        <v/>
      </c>
      <c r="AD26" t="str">
        <f>IF(Input!X26&lt;&gt;"",Input!X26,"")</f>
        <v/>
      </c>
      <c r="AE26" t="str">
        <f t="shared" si="15"/>
        <v/>
      </c>
      <c r="AF26" t="str">
        <f>IF(Input!X26&lt;&gt;"",IF(ISNUMBER(Input!Y26),(Input!Y26),0),"")</f>
        <v/>
      </c>
      <c r="AG26" t="str">
        <f>IF(Input!AA26&lt;&gt;"",Input!AA26,"")</f>
        <v/>
      </c>
      <c r="AH26" t="str">
        <f t="shared" si="16"/>
        <v/>
      </c>
      <c r="AI26" t="str">
        <f>IF(Input!AA26&lt;&gt;"",IF(ISNUMBER(Input!AB26),ROUNDDOWN(Input!AB26,0),0),"")</f>
        <v/>
      </c>
      <c r="AJ26" t="str">
        <f>IF(Input!AD26&lt;&gt;"",Input!AD26,"")</f>
        <v/>
      </c>
      <c r="AK26" t="str">
        <f t="shared" si="17"/>
        <v/>
      </c>
      <c r="AL26" t="str">
        <f>IF(Input!AD26&lt;&gt;"",IF(ISNUMBER(Input!AE26),(Input!AE26),0),"")</f>
        <v/>
      </c>
      <c r="AM26" t="str">
        <f>IF(Input!AG26&lt;&gt;"",Input!AG26,"")</f>
        <v/>
      </c>
      <c r="AN26" t="str">
        <f t="shared" si="7"/>
        <v/>
      </c>
      <c r="AO26" t="str">
        <f>IF(Input!AG26&lt;&gt;"",IF(ISNUMBER(Input!AH26),(Input!AH26),0),"")</f>
        <v/>
      </c>
    </row>
    <row r="27" spans="1:41" ht="16.5" thickTop="1" thickBot="1" x14ac:dyDescent="0.4">
      <c r="A27" s="35">
        <f>IF(ISBLANK(Input!A27),1000,IF(Input!E27&gt;0,Input!E27+F27,1000))</f>
        <v>1000</v>
      </c>
      <c r="B27" s="32">
        <f t="shared" si="8"/>
        <v>1000</v>
      </c>
      <c r="C27" s="4">
        <v>26</v>
      </c>
      <c r="D27" s="97">
        <f>IF(ISBLANK(Input!A27),1000,IF(Input!G27&gt;0,Input!G27+F27,1000))</f>
        <v>1000</v>
      </c>
      <c r="E27" s="97">
        <f t="shared" si="9"/>
        <v>1000</v>
      </c>
      <c r="F27" s="4">
        <v>2.5999999999999999E-2</v>
      </c>
      <c r="I27" t="str">
        <f>IF(Input!A27&gt;0,Input!A27,"")</f>
        <v/>
      </c>
      <c r="J27" t="str">
        <f>IF(Input!B27&gt;0,Input!B27,"")</f>
        <v/>
      </c>
      <c r="K27" t="str">
        <f>IF(Input!C27&gt;0,Input!C27,"")</f>
        <v/>
      </c>
      <c r="L27" t="str">
        <f>IF(Input!D27&gt;0,Input!D27,"")</f>
        <v/>
      </c>
      <c r="M27" t="str">
        <f>IF(Input!G27&gt;0,Input!G27,"")</f>
        <v xml:space="preserve"> </v>
      </c>
      <c r="N27" t="str">
        <f>IF(Input!H27&gt;0,Input!H27,"")</f>
        <v xml:space="preserve"> </v>
      </c>
      <c r="O27" t="str">
        <f>IF(Input!I27&lt;&gt;"",Input!I27,"")</f>
        <v/>
      </c>
      <c r="P27" t="str">
        <f t="shared" si="10"/>
        <v/>
      </c>
      <c r="Q27" t="str">
        <f>IF(Input!I27&lt;&gt;"",IF(ISNUMBER(Input!J27),ROUNDDOWN(Input!J27,0),0),"")</f>
        <v/>
      </c>
      <c r="R27" t="str">
        <f>IF(Input!L27&lt;&gt;"",Input!L27,"")</f>
        <v/>
      </c>
      <c r="S27" t="str">
        <f t="shared" si="11"/>
        <v/>
      </c>
      <c r="T27" t="str">
        <f>IF(Input!L27&lt;&gt;"",IF(ISNUMBER(Input!M27),Input!M27,0),"")</f>
        <v/>
      </c>
      <c r="U27" t="str">
        <f>IF(Input!O27&lt;&gt;"",Input!O27,"")</f>
        <v/>
      </c>
      <c r="V27" t="str">
        <f t="shared" si="12"/>
        <v/>
      </c>
      <c r="W27" t="str">
        <f>IF(Input!O27&lt;&gt;"",IF(ISNUMBER(Input!P27),(Input!P27),0),"")</f>
        <v/>
      </c>
      <c r="X27" t="str">
        <f>IF(Input!R27&lt;&gt;"",Input!R27,"")</f>
        <v/>
      </c>
      <c r="Y27" t="str">
        <f t="shared" si="13"/>
        <v/>
      </c>
      <c r="Z27" t="str">
        <f>IF(Input!R27&lt;&gt;"",IF(ISNUMBER(Input!S27),ROUNDDOWN(Input!S27,0),0),"")</f>
        <v/>
      </c>
      <c r="AA27" t="str">
        <f>IF(Input!U27&lt;&gt;"",Input!U27,"")</f>
        <v/>
      </c>
      <c r="AB27" t="str">
        <f t="shared" si="14"/>
        <v/>
      </c>
      <c r="AC27" t="str">
        <f>IF(Input!U27&lt;&gt;"",IF(ISNUMBER(Input!V27),ROUNDDOWN(Input!V27,0),0),"")</f>
        <v/>
      </c>
      <c r="AD27" t="str">
        <f>IF(Input!X27&lt;&gt;"",Input!X27,"")</f>
        <v/>
      </c>
      <c r="AE27" t="str">
        <f t="shared" si="15"/>
        <v/>
      </c>
      <c r="AF27" t="str">
        <f>IF(Input!X27&lt;&gt;"",IF(ISNUMBER(Input!Y27),(Input!Y27),0),"")</f>
        <v/>
      </c>
      <c r="AG27" t="str">
        <f>IF(Input!AA27&lt;&gt;"",Input!AA27,"")</f>
        <v/>
      </c>
      <c r="AH27" t="str">
        <f t="shared" si="16"/>
        <v/>
      </c>
      <c r="AI27" t="str">
        <f>IF(Input!AA27&lt;&gt;"",IF(ISNUMBER(Input!AB27),ROUNDDOWN(Input!AB27,0),0),"")</f>
        <v/>
      </c>
      <c r="AJ27" t="str">
        <f>IF(Input!AD27&lt;&gt;"",Input!AD27,"")</f>
        <v/>
      </c>
      <c r="AK27" t="str">
        <f t="shared" si="17"/>
        <v/>
      </c>
      <c r="AL27" t="str">
        <f>IF(Input!AD27&lt;&gt;"",IF(ISNUMBER(Input!AE27),(Input!AE27),0),"")</f>
        <v/>
      </c>
      <c r="AM27" t="str">
        <f>IF(Input!AG27&lt;&gt;"",Input!AG27,"")</f>
        <v/>
      </c>
      <c r="AN27" t="str">
        <f t="shared" si="7"/>
        <v/>
      </c>
      <c r="AO27" t="str">
        <f>IF(Input!AG27&lt;&gt;"",IF(ISNUMBER(Input!AH27),(Input!AH27),0),"")</f>
        <v/>
      </c>
    </row>
    <row r="28" spans="1:41" ht="16.5" thickTop="1" thickBot="1" x14ac:dyDescent="0.4">
      <c r="A28" s="35">
        <f>IF(ISBLANK(Input!A28),1000,IF(Input!E28&gt;0,Input!E28+F28,1000))</f>
        <v>1000</v>
      </c>
      <c r="B28" s="32">
        <f t="shared" si="8"/>
        <v>1000</v>
      </c>
      <c r="C28" s="4">
        <v>27</v>
      </c>
      <c r="D28" s="97">
        <f>IF(ISBLANK(Input!A28),1000,IF(Input!G28&gt;0,Input!G28+F28,1000))</f>
        <v>1000</v>
      </c>
      <c r="E28" s="97">
        <f t="shared" si="9"/>
        <v>1000</v>
      </c>
      <c r="F28" s="4">
        <v>2.7E-2</v>
      </c>
      <c r="I28" t="str">
        <f>IF(Input!A28&gt;0,Input!A28,"")</f>
        <v/>
      </c>
      <c r="J28" t="str">
        <f>IF(Input!B28&gt;0,Input!B28,"")</f>
        <v/>
      </c>
      <c r="K28" t="str">
        <f>IF(Input!C28&gt;0,Input!C28,"")</f>
        <v/>
      </c>
      <c r="L28" t="str">
        <f>IF(Input!D28&gt;0,Input!D28,"")</f>
        <v/>
      </c>
      <c r="M28" t="str">
        <f>IF(Input!G28&gt;0,Input!G28,"")</f>
        <v xml:space="preserve"> </v>
      </c>
      <c r="N28" t="str">
        <f>IF(Input!H28&gt;0,Input!H28,"")</f>
        <v xml:space="preserve"> </v>
      </c>
      <c r="O28" t="str">
        <f>IF(Input!I28&lt;&gt;"",Input!I28,"")</f>
        <v/>
      </c>
      <c r="P28" t="str">
        <f t="shared" si="10"/>
        <v/>
      </c>
      <c r="Q28" t="str">
        <f>IF(Input!I28&lt;&gt;"",IF(ISNUMBER(Input!J28),ROUNDDOWN(Input!J28,0),0),"")</f>
        <v/>
      </c>
      <c r="R28" t="str">
        <f>IF(Input!L28&lt;&gt;"",Input!L28,"")</f>
        <v/>
      </c>
      <c r="S28" t="str">
        <f t="shared" si="11"/>
        <v/>
      </c>
      <c r="T28" t="str">
        <f>IF(Input!L28&lt;&gt;"",IF(ISNUMBER(Input!M28),Input!M28,0),"")</f>
        <v/>
      </c>
      <c r="U28" t="str">
        <f>IF(Input!O28&lt;&gt;"",Input!O28,"")</f>
        <v/>
      </c>
      <c r="V28" t="str">
        <f t="shared" si="12"/>
        <v/>
      </c>
      <c r="W28" t="str">
        <f>IF(Input!O28&lt;&gt;"",IF(ISNUMBER(Input!P28),(Input!P28),0),"")</f>
        <v/>
      </c>
      <c r="X28" t="str">
        <f>IF(Input!R28&lt;&gt;"",Input!R28,"")</f>
        <v/>
      </c>
      <c r="Y28" t="str">
        <f t="shared" si="13"/>
        <v/>
      </c>
      <c r="Z28" t="str">
        <f>IF(Input!R28&lt;&gt;"",IF(ISNUMBER(Input!S28),ROUNDDOWN(Input!S28,0),0),"")</f>
        <v/>
      </c>
      <c r="AA28" t="str">
        <f>IF(Input!U28&lt;&gt;"",Input!U28,"")</f>
        <v/>
      </c>
      <c r="AB28" t="str">
        <f t="shared" si="14"/>
        <v/>
      </c>
      <c r="AC28" t="str">
        <f>IF(Input!U28&lt;&gt;"",IF(ISNUMBER(Input!V28),ROUNDDOWN(Input!V28,0),0),"")</f>
        <v/>
      </c>
      <c r="AD28" t="str">
        <f>IF(Input!X28&lt;&gt;"",Input!X28,"")</f>
        <v/>
      </c>
      <c r="AE28" t="str">
        <f t="shared" si="15"/>
        <v/>
      </c>
      <c r="AF28" t="str">
        <f>IF(Input!X28&lt;&gt;"",IF(ISNUMBER(Input!Y28),(Input!Y28),0),"")</f>
        <v/>
      </c>
      <c r="AG28" t="str">
        <f>IF(Input!AA28&lt;&gt;"",Input!AA28,"")</f>
        <v/>
      </c>
      <c r="AH28" t="str">
        <f t="shared" si="16"/>
        <v/>
      </c>
      <c r="AI28" t="str">
        <f>IF(Input!AA28&lt;&gt;"",IF(ISNUMBER(Input!AB28),ROUNDDOWN(Input!AB28,0),0),"")</f>
        <v/>
      </c>
      <c r="AJ28" t="str">
        <f>IF(Input!AD28&lt;&gt;"",Input!AD28,"")</f>
        <v/>
      </c>
      <c r="AK28" t="str">
        <f t="shared" si="17"/>
        <v/>
      </c>
      <c r="AL28" t="str">
        <f>IF(Input!AD28&lt;&gt;"",IF(ISNUMBER(Input!AE28),(Input!AE28),0),"")</f>
        <v/>
      </c>
      <c r="AM28" t="str">
        <f>IF(Input!AG28&lt;&gt;"",Input!AG28,"")</f>
        <v/>
      </c>
      <c r="AN28" t="str">
        <f t="shared" si="7"/>
        <v/>
      </c>
      <c r="AO28" t="str">
        <f>IF(Input!AG28&lt;&gt;"",IF(ISNUMBER(Input!AH28),(Input!AH28),0),"")</f>
        <v/>
      </c>
    </row>
    <row r="29" spans="1:41" ht="16.5" thickTop="1" thickBot="1" x14ac:dyDescent="0.4">
      <c r="A29" s="35">
        <f>IF(ISBLANK(Input!A29),1000,IF(Input!E29&gt;0,Input!E29+F29,1000))</f>
        <v>1000</v>
      </c>
      <c r="B29" s="32">
        <f t="shared" si="8"/>
        <v>1000</v>
      </c>
      <c r="C29" s="4">
        <v>28</v>
      </c>
      <c r="D29" s="97">
        <f>IF(ISBLANK(Input!A29),1000,IF(Input!G29&gt;0,Input!G29+F29,1000))</f>
        <v>1000</v>
      </c>
      <c r="E29" s="97">
        <f t="shared" si="9"/>
        <v>1000</v>
      </c>
      <c r="F29" s="4">
        <v>2.8000000000000001E-2</v>
      </c>
      <c r="I29" t="str">
        <f>IF(Input!A29&gt;0,Input!A29,"")</f>
        <v/>
      </c>
      <c r="J29" t="str">
        <f>IF(Input!B29&gt;0,Input!B29,"")</f>
        <v/>
      </c>
      <c r="K29" t="str">
        <f>IF(Input!C29&gt;0,Input!C29,"")</f>
        <v/>
      </c>
      <c r="L29" t="str">
        <f>IF(Input!D29&gt;0,Input!D29,"")</f>
        <v/>
      </c>
      <c r="M29" t="str">
        <f>IF(Input!G29&gt;0,Input!G29,"")</f>
        <v xml:space="preserve"> </v>
      </c>
      <c r="N29" t="str">
        <f>IF(Input!H29&gt;0,Input!H29,"")</f>
        <v xml:space="preserve"> </v>
      </c>
      <c r="O29" t="str">
        <f>IF(Input!I29&lt;&gt;"",Input!I29,"")</f>
        <v/>
      </c>
      <c r="P29" t="str">
        <f t="shared" si="10"/>
        <v/>
      </c>
      <c r="Q29" t="str">
        <f>IF(Input!I29&lt;&gt;"",IF(ISNUMBER(Input!J29),ROUNDDOWN(Input!J29,0),0),"")</f>
        <v/>
      </c>
      <c r="R29" t="str">
        <f>IF(Input!L29&lt;&gt;"",Input!L29,"")</f>
        <v/>
      </c>
      <c r="S29" t="str">
        <f t="shared" si="11"/>
        <v/>
      </c>
      <c r="T29" t="str">
        <f>IF(Input!L29&lt;&gt;"",IF(ISNUMBER(Input!M29),Input!M29,0),"")</f>
        <v/>
      </c>
      <c r="U29" t="str">
        <f>IF(Input!O29&lt;&gt;"",Input!O29,"")</f>
        <v/>
      </c>
      <c r="V29" t="str">
        <f t="shared" si="12"/>
        <v/>
      </c>
      <c r="W29" t="str">
        <f>IF(Input!O29&lt;&gt;"",IF(ISNUMBER(Input!P29),(Input!P29),0),"")</f>
        <v/>
      </c>
      <c r="X29" t="str">
        <f>IF(Input!R29&lt;&gt;"",Input!R29,"")</f>
        <v/>
      </c>
      <c r="Y29" t="str">
        <f t="shared" si="13"/>
        <v/>
      </c>
      <c r="Z29" t="str">
        <f>IF(Input!R29&lt;&gt;"",IF(ISNUMBER(Input!S29),ROUNDDOWN(Input!S29,0),0),"")</f>
        <v/>
      </c>
      <c r="AA29" t="str">
        <f>IF(Input!U29&lt;&gt;"",Input!U29,"")</f>
        <v/>
      </c>
      <c r="AB29" t="str">
        <f t="shared" si="14"/>
        <v/>
      </c>
      <c r="AC29" t="str">
        <f>IF(Input!U29&lt;&gt;"",IF(ISNUMBER(Input!V29),ROUNDDOWN(Input!V29,0),0),"")</f>
        <v/>
      </c>
      <c r="AD29" t="str">
        <f>IF(Input!X29&lt;&gt;"",Input!X29,"")</f>
        <v/>
      </c>
      <c r="AE29" t="str">
        <f t="shared" si="15"/>
        <v/>
      </c>
      <c r="AF29" t="str">
        <f>IF(Input!X29&lt;&gt;"",IF(ISNUMBER(Input!Y29),(Input!Y29),0),"")</f>
        <v/>
      </c>
      <c r="AG29" t="str">
        <f>IF(Input!AA29&lt;&gt;"",Input!AA29,"")</f>
        <v/>
      </c>
      <c r="AH29" t="str">
        <f t="shared" si="16"/>
        <v/>
      </c>
      <c r="AI29" t="str">
        <f>IF(Input!AA29&lt;&gt;"",IF(ISNUMBER(Input!AB29),ROUNDDOWN(Input!AB29,0),0),"")</f>
        <v/>
      </c>
      <c r="AJ29" t="str">
        <f>IF(Input!AD29&lt;&gt;"",Input!AD29,"")</f>
        <v/>
      </c>
      <c r="AK29" t="str">
        <f t="shared" si="17"/>
        <v/>
      </c>
      <c r="AL29" t="str">
        <f>IF(Input!AD29&lt;&gt;"",IF(ISNUMBER(Input!AE29),(Input!AE29),0),"")</f>
        <v/>
      </c>
      <c r="AM29" t="str">
        <f>IF(Input!AG29&lt;&gt;"",Input!AG29,"")</f>
        <v/>
      </c>
      <c r="AN29" t="str">
        <f t="shared" si="7"/>
        <v/>
      </c>
      <c r="AO29" t="str">
        <f>IF(Input!AG29&lt;&gt;"",IF(ISNUMBER(Input!AH29),(Input!AH29),0),"")</f>
        <v/>
      </c>
    </row>
    <row r="30" spans="1:41" ht="16.5" thickTop="1" thickBot="1" x14ac:dyDescent="0.4">
      <c r="A30" s="35">
        <f>IF(ISBLANK(Input!A30),1000,IF(Input!E30&gt;0,Input!E30+F30,1000))</f>
        <v>1000</v>
      </c>
      <c r="B30" s="32">
        <f t="shared" si="8"/>
        <v>1000</v>
      </c>
      <c r="C30" s="4">
        <v>29</v>
      </c>
      <c r="D30" s="97">
        <f>IF(ISBLANK(Input!A30),1000,IF(Input!G30&gt;0,Input!G30+F30,1000))</f>
        <v>1000</v>
      </c>
      <c r="E30" s="97">
        <f t="shared" si="9"/>
        <v>1000</v>
      </c>
      <c r="F30" s="4">
        <v>2.9000000000000001E-2</v>
      </c>
      <c r="I30" t="str">
        <f>IF(Input!A30&gt;0,Input!A30,"")</f>
        <v/>
      </c>
      <c r="J30" t="str">
        <f>IF(Input!B30&gt;0,Input!B30,"")</f>
        <v/>
      </c>
      <c r="K30" t="str">
        <f>IF(Input!C30&gt;0,Input!C30,"")</f>
        <v/>
      </c>
      <c r="L30" t="str">
        <f>IF(Input!D30&gt;0,Input!D30,"")</f>
        <v/>
      </c>
      <c r="M30" t="str">
        <f>IF(Input!G30&gt;0,Input!G30,"")</f>
        <v xml:space="preserve"> </v>
      </c>
      <c r="N30" t="str">
        <f>IF(Input!H30&gt;0,Input!H30,"")</f>
        <v xml:space="preserve"> </v>
      </c>
      <c r="O30" t="str">
        <f>IF(Input!I30&lt;&gt;"",Input!I30,"")</f>
        <v/>
      </c>
      <c r="P30" t="str">
        <f t="shared" si="10"/>
        <v/>
      </c>
      <c r="Q30" t="str">
        <f>IF(Input!I30&lt;&gt;"",IF(ISNUMBER(Input!J30),ROUNDDOWN(Input!J30,0),0),"")</f>
        <v/>
      </c>
      <c r="R30" t="str">
        <f>IF(Input!L30&lt;&gt;"",Input!L30,"")</f>
        <v/>
      </c>
      <c r="S30" t="str">
        <f t="shared" si="11"/>
        <v/>
      </c>
      <c r="T30" t="str">
        <f>IF(Input!L30&lt;&gt;"",IF(ISNUMBER(Input!M30),Input!M30,0),"")</f>
        <v/>
      </c>
      <c r="U30" t="str">
        <f>IF(Input!O30&lt;&gt;"",Input!O30,"")</f>
        <v/>
      </c>
      <c r="V30" t="str">
        <f t="shared" si="12"/>
        <v/>
      </c>
      <c r="W30" t="str">
        <f>IF(Input!O30&lt;&gt;"",IF(ISNUMBER(Input!P30),(Input!P30),0),"")</f>
        <v/>
      </c>
      <c r="X30" t="str">
        <f>IF(Input!R30&lt;&gt;"",Input!R30,"")</f>
        <v/>
      </c>
      <c r="Y30" t="str">
        <f t="shared" si="13"/>
        <v/>
      </c>
      <c r="Z30" t="str">
        <f>IF(Input!R30&lt;&gt;"",IF(ISNUMBER(Input!S30),ROUNDDOWN(Input!S30,0),0),"")</f>
        <v/>
      </c>
      <c r="AA30" t="str">
        <f>IF(Input!U30&lt;&gt;"",Input!U30,"")</f>
        <v/>
      </c>
      <c r="AB30" t="str">
        <f t="shared" si="14"/>
        <v/>
      </c>
      <c r="AC30" t="str">
        <f>IF(Input!U30&lt;&gt;"",IF(ISNUMBER(Input!V30),ROUNDDOWN(Input!V30,0),0),"")</f>
        <v/>
      </c>
      <c r="AD30" t="str">
        <f>IF(Input!X30&lt;&gt;"",Input!X30,"")</f>
        <v/>
      </c>
      <c r="AE30" t="str">
        <f t="shared" si="15"/>
        <v/>
      </c>
      <c r="AF30" t="str">
        <f>IF(Input!X30&lt;&gt;"",IF(ISNUMBER(Input!Y30),(Input!Y30),0),"")</f>
        <v/>
      </c>
      <c r="AG30" t="str">
        <f>IF(Input!AA30&lt;&gt;"",Input!AA30,"")</f>
        <v/>
      </c>
      <c r="AH30" t="str">
        <f t="shared" si="16"/>
        <v/>
      </c>
      <c r="AI30" t="str">
        <f>IF(Input!AA30&lt;&gt;"",IF(ISNUMBER(Input!AB30),ROUNDDOWN(Input!AB30,0),0),"")</f>
        <v/>
      </c>
      <c r="AJ30" t="str">
        <f>IF(Input!AD30&lt;&gt;"",Input!AD30,"")</f>
        <v/>
      </c>
      <c r="AK30" t="str">
        <f t="shared" si="17"/>
        <v/>
      </c>
      <c r="AL30" t="str">
        <f>IF(Input!AD30&lt;&gt;"",IF(ISNUMBER(Input!AE30),(Input!AE30),0),"")</f>
        <v/>
      </c>
      <c r="AM30" t="str">
        <f>IF(Input!AG30&lt;&gt;"",Input!AG30,"")</f>
        <v/>
      </c>
      <c r="AN30" t="str">
        <f t="shared" si="7"/>
        <v/>
      </c>
      <c r="AO30" t="str">
        <f>IF(Input!AG30&lt;&gt;"",IF(ISNUMBER(Input!AH30),(Input!AH30),0),"")</f>
        <v/>
      </c>
    </row>
    <row r="31" spans="1:41" ht="16.5" thickTop="1" thickBot="1" x14ac:dyDescent="0.4">
      <c r="A31" s="35">
        <f>IF(ISBLANK(Input!A31),1000,IF(Input!E31&gt;0,Input!E31+F31,1000))</f>
        <v>1000</v>
      </c>
      <c r="B31" s="32">
        <f t="shared" si="8"/>
        <v>1000</v>
      </c>
      <c r="C31" s="4">
        <v>30</v>
      </c>
      <c r="D31" s="97">
        <f>IF(ISBLANK(Input!A31),1000,IF(Input!G31&gt;0,Input!G31+F31,1000))</f>
        <v>1000</v>
      </c>
      <c r="E31" s="97">
        <f t="shared" si="9"/>
        <v>1000</v>
      </c>
      <c r="F31" s="4">
        <v>0.03</v>
      </c>
      <c r="I31" t="str">
        <f>IF(Input!A31&gt;0,Input!A31,"")</f>
        <v/>
      </c>
      <c r="J31" t="str">
        <f>IF(Input!B31&gt;0,Input!B31,"")</f>
        <v/>
      </c>
      <c r="K31" t="str">
        <f>IF(Input!C31&gt;0,Input!C31,"")</f>
        <v/>
      </c>
      <c r="L31" t="str">
        <f>IF(Input!D31&gt;0,Input!D31,"")</f>
        <v/>
      </c>
      <c r="M31" t="str">
        <f>IF(Input!G31&gt;0,Input!G31,"")</f>
        <v xml:space="preserve"> </v>
      </c>
      <c r="N31" t="str">
        <f>IF(Input!H31&gt;0,Input!H31,"")</f>
        <v xml:space="preserve"> </v>
      </c>
      <c r="O31" t="str">
        <f>IF(Input!I31&lt;&gt;"",Input!I31,"")</f>
        <v/>
      </c>
      <c r="P31" t="str">
        <f t="shared" si="10"/>
        <v/>
      </c>
      <c r="Q31" t="str">
        <f>IF(Input!I31&lt;&gt;"",IF(ISNUMBER(Input!J31),ROUNDDOWN(Input!J31,0),0),"")</f>
        <v/>
      </c>
      <c r="R31" t="str">
        <f>IF(Input!L31&lt;&gt;"",Input!L31,"")</f>
        <v/>
      </c>
      <c r="S31" t="str">
        <f t="shared" si="11"/>
        <v/>
      </c>
      <c r="T31" t="str">
        <f>IF(Input!L31&lt;&gt;"",IF(ISNUMBER(Input!M31),Input!M31,0),"")</f>
        <v/>
      </c>
      <c r="U31" t="str">
        <f>IF(Input!O31&lt;&gt;"",Input!O31,"")</f>
        <v/>
      </c>
      <c r="V31" t="str">
        <f t="shared" si="12"/>
        <v/>
      </c>
      <c r="W31" t="str">
        <f>IF(Input!O31&lt;&gt;"",IF(ISNUMBER(Input!P31),(Input!P31),0),"")</f>
        <v/>
      </c>
      <c r="X31" t="str">
        <f>IF(Input!R31&lt;&gt;"",Input!R31,"")</f>
        <v/>
      </c>
      <c r="Y31" t="str">
        <f t="shared" si="13"/>
        <v/>
      </c>
      <c r="Z31" t="str">
        <f>IF(Input!R31&lt;&gt;"",IF(ISNUMBER(Input!S31),ROUNDDOWN(Input!S31,0),0),"")</f>
        <v/>
      </c>
      <c r="AA31" t="str">
        <f>IF(Input!U31&lt;&gt;"",Input!U31,"")</f>
        <v/>
      </c>
      <c r="AB31" t="str">
        <f t="shared" si="14"/>
        <v/>
      </c>
      <c r="AC31" t="str">
        <f>IF(Input!U31&lt;&gt;"",IF(ISNUMBER(Input!V31),ROUNDDOWN(Input!V31,0),0),"")</f>
        <v/>
      </c>
      <c r="AD31" t="str">
        <f>IF(Input!X31&lt;&gt;"",Input!X31,"")</f>
        <v/>
      </c>
      <c r="AE31" t="str">
        <f t="shared" si="15"/>
        <v/>
      </c>
      <c r="AF31" t="str">
        <f>IF(Input!X31&lt;&gt;"",IF(ISNUMBER(Input!Y31),(Input!Y31),0),"")</f>
        <v/>
      </c>
      <c r="AG31" t="str">
        <f>IF(Input!AA31&lt;&gt;"",Input!AA31,"")</f>
        <v/>
      </c>
      <c r="AH31" t="str">
        <f t="shared" si="16"/>
        <v/>
      </c>
      <c r="AI31" t="str">
        <f>IF(Input!AA31&lt;&gt;"",IF(ISNUMBER(Input!AB31),ROUNDDOWN(Input!AB31,0),0),"")</f>
        <v/>
      </c>
      <c r="AJ31" t="str">
        <f>IF(Input!AD31&lt;&gt;"",Input!AD31,"")</f>
        <v/>
      </c>
      <c r="AK31" t="str">
        <f t="shared" si="17"/>
        <v/>
      </c>
      <c r="AL31" t="str">
        <f>IF(Input!AD31&lt;&gt;"",IF(ISNUMBER(Input!AE31),(Input!AE31),0),"")</f>
        <v/>
      </c>
      <c r="AM31" t="str">
        <f>IF(Input!AG31&lt;&gt;"",Input!AG31,"")</f>
        <v/>
      </c>
      <c r="AN31" t="str">
        <f t="shared" si="7"/>
        <v/>
      </c>
      <c r="AO31" t="str">
        <f>IF(Input!AG31&lt;&gt;"",IF(ISNUMBER(Input!AH31),(Input!AH31),0),"")</f>
        <v/>
      </c>
    </row>
    <row r="32" spans="1:41" ht="16.5" thickTop="1" thickBot="1" x14ac:dyDescent="0.4">
      <c r="A32" s="35">
        <f>IF(ISBLANK(Input!A32),1000,IF(Input!E32&gt;0,Input!E32+F32,1000))</f>
        <v>1000</v>
      </c>
      <c r="B32" s="32">
        <f t="shared" si="8"/>
        <v>1000</v>
      </c>
      <c r="C32" s="4">
        <v>31</v>
      </c>
      <c r="D32" s="97">
        <f>IF(ISBLANK(Input!A32),1000,IF(Input!G32&gt;0,Input!G32+F32,1000))</f>
        <v>1000</v>
      </c>
      <c r="E32" s="97">
        <f t="shared" si="9"/>
        <v>1000</v>
      </c>
      <c r="F32" s="4">
        <v>3.1E-2</v>
      </c>
      <c r="I32" t="str">
        <f>IF(Input!A32&gt;0,Input!A32,"")</f>
        <v/>
      </c>
      <c r="J32" t="str">
        <f>IF(Input!B32&gt;0,Input!B32,"")</f>
        <v/>
      </c>
      <c r="K32" t="str">
        <f>IF(Input!C32&gt;0,Input!C32,"")</f>
        <v/>
      </c>
      <c r="L32" t="str">
        <f>IF(Input!D32&gt;0,Input!D32,"")</f>
        <v/>
      </c>
      <c r="M32" t="str">
        <f>IF(Input!G32&gt;0,Input!G32,"")</f>
        <v xml:space="preserve"> </v>
      </c>
      <c r="N32" t="str">
        <f>IF(Input!H32&gt;0,Input!H32,"")</f>
        <v xml:space="preserve"> </v>
      </c>
      <c r="O32" t="str">
        <f>IF(Input!I32&lt;&gt;"",Input!I32,"")</f>
        <v/>
      </c>
      <c r="P32" t="str">
        <f t="shared" si="10"/>
        <v/>
      </c>
      <c r="Q32" t="str">
        <f>IF(Input!I32&lt;&gt;"",IF(ISNUMBER(Input!J32),ROUNDDOWN(Input!J32,0),0),"")</f>
        <v/>
      </c>
      <c r="R32" t="str">
        <f>IF(Input!L32&lt;&gt;"",Input!L32,"")</f>
        <v/>
      </c>
      <c r="S32" t="str">
        <f t="shared" si="11"/>
        <v/>
      </c>
      <c r="T32" t="str">
        <f>IF(Input!L32&lt;&gt;"",IF(ISNUMBER(Input!M32),Input!M32,0),"")</f>
        <v/>
      </c>
      <c r="U32" t="str">
        <f>IF(Input!O32&lt;&gt;"",Input!O32,"")</f>
        <v/>
      </c>
      <c r="V32" t="str">
        <f t="shared" si="12"/>
        <v/>
      </c>
      <c r="W32" t="str">
        <f>IF(Input!O32&lt;&gt;"",IF(ISNUMBER(Input!P32),(Input!P32),0),"")</f>
        <v/>
      </c>
      <c r="X32" t="str">
        <f>IF(Input!R32&lt;&gt;"",Input!R32,"")</f>
        <v/>
      </c>
      <c r="Y32" t="str">
        <f t="shared" si="13"/>
        <v/>
      </c>
      <c r="Z32" t="str">
        <f>IF(Input!R32&lt;&gt;"",IF(ISNUMBER(Input!S32),ROUNDDOWN(Input!S32,0),0),"")</f>
        <v/>
      </c>
      <c r="AA32" t="str">
        <f>IF(Input!U32&lt;&gt;"",Input!U32,"")</f>
        <v/>
      </c>
      <c r="AB32" t="str">
        <f t="shared" si="14"/>
        <v/>
      </c>
      <c r="AC32" t="str">
        <f>IF(Input!U32&lt;&gt;"",IF(ISNUMBER(Input!V32),ROUNDDOWN(Input!V32,0),0),"")</f>
        <v/>
      </c>
      <c r="AD32" t="str">
        <f>IF(Input!X32&lt;&gt;"",Input!X32,"")</f>
        <v/>
      </c>
      <c r="AE32" t="str">
        <f t="shared" si="15"/>
        <v/>
      </c>
      <c r="AF32" t="str">
        <f>IF(Input!X32&lt;&gt;"",IF(ISNUMBER(Input!Y32),(Input!Y32),0),"")</f>
        <v/>
      </c>
      <c r="AG32" t="str">
        <f>IF(Input!AA32&lt;&gt;"",Input!AA32,"")</f>
        <v/>
      </c>
      <c r="AH32" t="str">
        <f t="shared" si="16"/>
        <v/>
      </c>
      <c r="AI32" t="str">
        <f>IF(Input!AA32&lt;&gt;"",IF(ISNUMBER(Input!AB32),ROUNDDOWN(Input!AB32,0),0),"")</f>
        <v/>
      </c>
      <c r="AJ32" t="str">
        <f>IF(Input!AD32&lt;&gt;"",Input!AD32,"")</f>
        <v/>
      </c>
      <c r="AK32" t="str">
        <f t="shared" si="17"/>
        <v/>
      </c>
      <c r="AL32" t="str">
        <f>IF(Input!AD32&lt;&gt;"",IF(ISNUMBER(Input!AE32),(Input!AE32),0),"")</f>
        <v/>
      </c>
      <c r="AM32" t="str">
        <f>IF(Input!AG32&lt;&gt;"",Input!AG32,"")</f>
        <v/>
      </c>
      <c r="AN32" t="str">
        <f t="shared" si="7"/>
        <v/>
      </c>
      <c r="AO32" t="str">
        <f>IF(Input!AG32&lt;&gt;"",IF(ISNUMBER(Input!AH32),(Input!AH32),0),"")</f>
        <v/>
      </c>
    </row>
    <row r="33" spans="1:41" ht="16.5" thickTop="1" thickBot="1" x14ac:dyDescent="0.4">
      <c r="A33" s="35">
        <f>IF(ISBLANK(Input!A33),1000,IF(Input!E33&gt;0,Input!E33+F33,1000))</f>
        <v>1000</v>
      </c>
      <c r="B33" s="32">
        <f t="shared" si="8"/>
        <v>1000</v>
      </c>
      <c r="C33" s="4">
        <v>32</v>
      </c>
      <c r="D33" s="97">
        <f>IF(ISBLANK(Input!A33),1000,IF(Input!G33&gt;0,Input!G33+F33,1000))</f>
        <v>1000</v>
      </c>
      <c r="E33" s="97">
        <f t="shared" si="9"/>
        <v>1000</v>
      </c>
      <c r="F33" s="4">
        <v>3.2000000000000001E-2</v>
      </c>
      <c r="I33" t="str">
        <f>IF(Input!A33&gt;0,Input!A33,"")</f>
        <v/>
      </c>
      <c r="J33" t="str">
        <f>IF(Input!B33&gt;0,Input!B33,"")</f>
        <v/>
      </c>
      <c r="K33" t="str">
        <f>IF(Input!C33&gt;0,Input!C33,"")</f>
        <v/>
      </c>
      <c r="L33" t="str">
        <f>IF(Input!D33&gt;0,Input!D33,"")</f>
        <v/>
      </c>
      <c r="M33" t="str">
        <f>IF(Input!G33&gt;0,Input!G33,"")</f>
        <v xml:space="preserve"> </v>
      </c>
      <c r="N33" t="str">
        <f>IF(Input!H33&gt;0,Input!H33,"")</f>
        <v xml:space="preserve"> </v>
      </c>
      <c r="O33" t="str">
        <f>IF(Input!I33&lt;&gt;"",Input!I33,"")</f>
        <v/>
      </c>
      <c r="P33" t="str">
        <f t="shared" si="10"/>
        <v/>
      </c>
      <c r="Q33" t="str">
        <f>IF(Input!I33&lt;&gt;"",IF(ISNUMBER(Input!J33),ROUNDDOWN(Input!J33,0),0),"")</f>
        <v/>
      </c>
      <c r="R33" t="str">
        <f>IF(Input!L33&lt;&gt;"",Input!L33,"")</f>
        <v/>
      </c>
      <c r="S33" t="str">
        <f t="shared" si="11"/>
        <v/>
      </c>
      <c r="T33" t="str">
        <f>IF(Input!L33&lt;&gt;"",IF(ISNUMBER(Input!M33),Input!M33,0),"")</f>
        <v/>
      </c>
      <c r="U33" t="str">
        <f>IF(Input!O33&lt;&gt;"",Input!O33,"")</f>
        <v/>
      </c>
      <c r="V33" t="str">
        <f t="shared" si="12"/>
        <v/>
      </c>
      <c r="W33" t="str">
        <f>IF(Input!O33&lt;&gt;"",IF(ISNUMBER(Input!P33),(Input!P33),0),"")</f>
        <v/>
      </c>
      <c r="X33" t="str">
        <f>IF(Input!R33&lt;&gt;"",Input!R33,"")</f>
        <v/>
      </c>
      <c r="Y33" t="str">
        <f t="shared" si="13"/>
        <v/>
      </c>
      <c r="Z33" t="str">
        <f>IF(Input!R33&lt;&gt;"",IF(ISNUMBER(Input!S33),ROUNDDOWN(Input!S33,0),0),"")</f>
        <v/>
      </c>
      <c r="AA33" t="str">
        <f>IF(Input!U33&lt;&gt;"",Input!U33,"")</f>
        <v/>
      </c>
      <c r="AB33" t="str">
        <f t="shared" si="14"/>
        <v/>
      </c>
      <c r="AC33" t="str">
        <f>IF(Input!U33&lt;&gt;"",IF(ISNUMBER(Input!V33),ROUNDDOWN(Input!V33,0),0),"")</f>
        <v/>
      </c>
      <c r="AD33" t="str">
        <f>IF(Input!X33&lt;&gt;"",Input!X33,"")</f>
        <v/>
      </c>
      <c r="AE33" t="str">
        <f t="shared" si="15"/>
        <v/>
      </c>
      <c r="AF33" t="str">
        <f>IF(Input!X33&lt;&gt;"",IF(ISNUMBER(Input!Y33),(Input!Y33),0),"")</f>
        <v/>
      </c>
      <c r="AG33" t="str">
        <f>IF(Input!AA33&lt;&gt;"",Input!AA33,"")</f>
        <v/>
      </c>
      <c r="AH33" t="str">
        <f t="shared" si="16"/>
        <v/>
      </c>
      <c r="AI33" t="str">
        <f>IF(Input!AA33&lt;&gt;"",IF(ISNUMBER(Input!AB33),ROUNDDOWN(Input!AB33,0),0),"")</f>
        <v/>
      </c>
      <c r="AJ33" t="str">
        <f>IF(Input!AD33&lt;&gt;"",Input!AD33,"")</f>
        <v/>
      </c>
      <c r="AK33" t="str">
        <f t="shared" si="17"/>
        <v/>
      </c>
      <c r="AL33" t="str">
        <f>IF(Input!AD33&lt;&gt;"",IF(ISNUMBER(Input!AE33),(Input!AE33),0),"")</f>
        <v/>
      </c>
      <c r="AM33" t="str">
        <f>IF(Input!AG33&lt;&gt;"",Input!AG33,"")</f>
        <v/>
      </c>
      <c r="AN33" t="str">
        <f t="shared" si="7"/>
        <v/>
      </c>
      <c r="AO33" t="str">
        <f>IF(Input!AG33&lt;&gt;"",IF(ISNUMBER(Input!AH33),(Input!AH33),0),"")</f>
        <v/>
      </c>
    </row>
    <row r="34" spans="1:41" ht="16.5" thickTop="1" thickBot="1" x14ac:dyDescent="0.4">
      <c r="A34" s="35">
        <f>IF(ISBLANK(Input!A34),1000,IF(Input!E34&gt;0,Input!E34+F34,1000))</f>
        <v>1000</v>
      </c>
      <c r="B34" s="32">
        <f t="shared" si="8"/>
        <v>1000</v>
      </c>
      <c r="C34" s="4">
        <v>33</v>
      </c>
      <c r="D34" s="97">
        <f>IF(ISBLANK(Input!A34),1000,IF(Input!G34&gt;0,Input!G34+F34,1000))</f>
        <v>1000</v>
      </c>
      <c r="E34" s="97">
        <f t="shared" si="9"/>
        <v>1000</v>
      </c>
      <c r="F34" s="4">
        <v>3.3000000000000002E-2</v>
      </c>
      <c r="I34" t="str">
        <f>IF(Input!A34&gt;0,Input!A34,"")</f>
        <v/>
      </c>
      <c r="J34" t="str">
        <f>IF(Input!B34&gt;0,Input!B34,"")</f>
        <v/>
      </c>
      <c r="K34" t="str">
        <f>IF(Input!C34&gt;0,Input!C34,"")</f>
        <v/>
      </c>
      <c r="L34" t="str">
        <f>IF(Input!D34&gt;0,Input!D34,"")</f>
        <v/>
      </c>
      <c r="M34" t="str">
        <f>IF(Input!G34&gt;0,Input!G34,"")</f>
        <v xml:space="preserve"> </v>
      </c>
      <c r="N34" t="str">
        <f>IF(Input!H34&gt;0,Input!H34,"")</f>
        <v xml:space="preserve"> </v>
      </c>
      <c r="O34" t="str">
        <f>IF(Input!I34&lt;&gt;"",Input!I34,"")</f>
        <v/>
      </c>
      <c r="P34" t="str">
        <f t="shared" si="10"/>
        <v/>
      </c>
      <c r="Q34" t="str">
        <f>IF(Input!I34&lt;&gt;"",IF(ISNUMBER(Input!J34),ROUNDDOWN(Input!J34,0),0),"")</f>
        <v/>
      </c>
      <c r="R34" t="str">
        <f>IF(Input!L34&lt;&gt;"",Input!L34,"")</f>
        <v/>
      </c>
      <c r="S34" t="str">
        <f t="shared" si="11"/>
        <v/>
      </c>
      <c r="T34" t="str">
        <f>IF(Input!L34&lt;&gt;"",IF(ISNUMBER(Input!M34),Input!M34,0),"")</f>
        <v/>
      </c>
      <c r="U34" t="str">
        <f>IF(Input!O34&lt;&gt;"",Input!O34,"")</f>
        <v/>
      </c>
      <c r="V34" t="str">
        <f t="shared" si="12"/>
        <v/>
      </c>
      <c r="W34" t="str">
        <f>IF(Input!O34&lt;&gt;"",IF(ISNUMBER(Input!P34),(Input!P34),0),"")</f>
        <v/>
      </c>
      <c r="X34" t="str">
        <f>IF(Input!R34&lt;&gt;"",Input!R34,"")</f>
        <v/>
      </c>
      <c r="Y34" t="str">
        <f t="shared" si="13"/>
        <v/>
      </c>
      <c r="Z34" t="str">
        <f>IF(Input!R34&lt;&gt;"",IF(ISNUMBER(Input!S34),ROUNDDOWN(Input!S34,0),0),"")</f>
        <v/>
      </c>
      <c r="AA34" t="str">
        <f>IF(Input!U34&lt;&gt;"",Input!U34,"")</f>
        <v/>
      </c>
      <c r="AB34" t="str">
        <f t="shared" si="14"/>
        <v/>
      </c>
      <c r="AC34" t="str">
        <f>IF(Input!U34&lt;&gt;"",IF(ISNUMBER(Input!V34),ROUNDDOWN(Input!V34,0),0),"")</f>
        <v/>
      </c>
      <c r="AD34" t="str">
        <f>IF(Input!X34&lt;&gt;"",Input!X34,"")</f>
        <v/>
      </c>
      <c r="AE34" t="str">
        <f t="shared" si="15"/>
        <v/>
      </c>
      <c r="AF34" t="str">
        <f>IF(Input!X34&lt;&gt;"",IF(ISNUMBER(Input!Y34),(Input!Y34),0),"")</f>
        <v/>
      </c>
      <c r="AG34" t="str">
        <f>IF(Input!AA34&lt;&gt;"",Input!AA34,"")</f>
        <v/>
      </c>
      <c r="AH34" t="str">
        <f t="shared" si="16"/>
        <v/>
      </c>
      <c r="AI34" t="str">
        <f>IF(Input!AA34&lt;&gt;"",IF(ISNUMBER(Input!AB34),ROUNDDOWN(Input!AB34,0),0),"")</f>
        <v/>
      </c>
      <c r="AJ34" t="str">
        <f>IF(Input!AD34&lt;&gt;"",Input!AD34,"")</f>
        <v/>
      </c>
      <c r="AK34" t="str">
        <f t="shared" si="17"/>
        <v/>
      </c>
      <c r="AL34" t="str">
        <f>IF(Input!AD34&lt;&gt;"",IF(ISNUMBER(Input!AE34),(Input!AE34),0),"")</f>
        <v/>
      </c>
      <c r="AM34" t="str">
        <f>IF(Input!AG34&lt;&gt;"",Input!AG34,"")</f>
        <v/>
      </c>
      <c r="AN34" t="str">
        <f t="shared" si="7"/>
        <v/>
      </c>
      <c r="AO34" t="str">
        <f>IF(Input!AG34&lt;&gt;"",IF(ISNUMBER(Input!AH34),(Input!AH34),0),"")</f>
        <v/>
      </c>
    </row>
    <row r="35" spans="1:41" ht="16.5" thickTop="1" thickBot="1" x14ac:dyDescent="0.4">
      <c r="A35" s="35">
        <f>IF(ISBLANK(Input!A35),1000,IF(Input!E35&gt;0,Input!E35+F35,1000))</f>
        <v>1000</v>
      </c>
      <c r="B35" s="32">
        <f t="shared" si="8"/>
        <v>1000</v>
      </c>
      <c r="C35" s="4">
        <v>34</v>
      </c>
      <c r="D35" s="97">
        <f>IF(ISBLANK(Input!A35),1000,IF(Input!G35&gt;0,Input!G35+F35,1000))</f>
        <v>1000</v>
      </c>
      <c r="E35" s="97">
        <f t="shared" si="9"/>
        <v>1000</v>
      </c>
      <c r="F35" s="4">
        <v>3.4000000000000002E-2</v>
      </c>
      <c r="I35" t="str">
        <f>IF(Input!A35&gt;0,Input!A35,"")</f>
        <v/>
      </c>
      <c r="J35" t="str">
        <f>IF(Input!B35&gt;0,Input!B35,"")</f>
        <v/>
      </c>
      <c r="K35" t="str">
        <f>IF(Input!C35&gt;0,Input!C35,"")</f>
        <v/>
      </c>
      <c r="L35" t="str">
        <f>IF(Input!D35&gt;0,Input!D35,"")</f>
        <v/>
      </c>
      <c r="M35" t="str">
        <f>IF(Input!G35&gt;0,Input!G35,"")</f>
        <v xml:space="preserve"> </v>
      </c>
      <c r="N35" t="str">
        <f>IF(Input!H35&gt;0,Input!H35,"")</f>
        <v xml:space="preserve"> </v>
      </c>
      <c r="O35" t="str">
        <f>IF(Input!I35&lt;&gt;"",Input!I35,"")</f>
        <v/>
      </c>
      <c r="P35" t="str">
        <f t="shared" si="10"/>
        <v/>
      </c>
      <c r="Q35" t="str">
        <f>IF(Input!I35&lt;&gt;"",IF(ISNUMBER(Input!J35),ROUNDDOWN(Input!J35,0),0),"")</f>
        <v/>
      </c>
      <c r="R35" t="str">
        <f>IF(Input!L35&lt;&gt;"",Input!L35,"")</f>
        <v/>
      </c>
      <c r="S35" t="str">
        <f t="shared" si="11"/>
        <v/>
      </c>
      <c r="T35" t="str">
        <f>IF(Input!L35&lt;&gt;"",IF(ISNUMBER(Input!M35),Input!M35,0),"")</f>
        <v/>
      </c>
      <c r="U35" t="str">
        <f>IF(Input!O35&lt;&gt;"",Input!O35,"")</f>
        <v/>
      </c>
      <c r="V35" t="str">
        <f t="shared" si="12"/>
        <v/>
      </c>
      <c r="W35" t="str">
        <f>IF(Input!O35&lt;&gt;"",IF(ISNUMBER(Input!P35),(Input!P35),0),"")</f>
        <v/>
      </c>
      <c r="X35" t="str">
        <f>IF(Input!R35&lt;&gt;"",Input!R35,"")</f>
        <v/>
      </c>
      <c r="Y35" t="str">
        <f t="shared" si="13"/>
        <v/>
      </c>
      <c r="Z35" t="str">
        <f>IF(Input!R35&lt;&gt;"",IF(ISNUMBER(Input!S35),ROUNDDOWN(Input!S35,0),0),"")</f>
        <v/>
      </c>
      <c r="AA35" t="str">
        <f>IF(Input!U35&lt;&gt;"",Input!U35,"")</f>
        <v/>
      </c>
      <c r="AB35" t="str">
        <f t="shared" si="14"/>
        <v/>
      </c>
      <c r="AC35" t="str">
        <f>IF(Input!U35&lt;&gt;"",IF(ISNUMBER(Input!V35),ROUNDDOWN(Input!V35,0),0),"")</f>
        <v/>
      </c>
      <c r="AD35" t="str">
        <f>IF(Input!X35&lt;&gt;"",Input!X35,"")</f>
        <v/>
      </c>
      <c r="AE35" t="str">
        <f t="shared" si="15"/>
        <v/>
      </c>
      <c r="AF35" t="str">
        <f>IF(Input!X35&lt;&gt;"",IF(ISNUMBER(Input!Y35),(Input!Y35),0),"")</f>
        <v/>
      </c>
      <c r="AG35" t="str">
        <f>IF(Input!AA35&lt;&gt;"",Input!AA35,"")</f>
        <v/>
      </c>
      <c r="AH35" t="str">
        <f t="shared" si="16"/>
        <v/>
      </c>
      <c r="AI35" t="str">
        <f>IF(Input!AA35&lt;&gt;"",IF(ISNUMBER(Input!AB35),ROUNDDOWN(Input!AB35,0),0),"")</f>
        <v/>
      </c>
      <c r="AJ35" t="str">
        <f>IF(Input!AD35&lt;&gt;"",Input!AD35,"")</f>
        <v/>
      </c>
      <c r="AK35" t="str">
        <f t="shared" si="17"/>
        <v/>
      </c>
      <c r="AL35" t="str">
        <f>IF(Input!AD35&lt;&gt;"",IF(ISNUMBER(Input!AE35),(Input!AE35),0),"")</f>
        <v/>
      </c>
      <c r="AM35" t="str">
        <f>IF(Input!AG35&lt;&gt;"",Input!AG35,"")</f>
        <v/>
      </c>
      <c r="AN35" t="str">
        <f t="shared" si="7"/>
        <v/>
      </c>
      <c r="AO35" t="str">
        <f>IF(Input!AG35&lt;&gt;"",IF(ISNUMBER(Input!AH35),(Input!AH35),0),"")</f>
        <v/>
      </c>
    </row>
    <row r="36" spans="1:41" ht="16.5" thickTop="1" thickBot="1" x14ac:dyDescent="0.4">
      <c r="A36" s="35">
        <f>IF(ISBLANK(Input!A36),1000,IF(Input!E36&gt;0,Input!E36+F36,1000))</f>
        <v>1000</v>
      </c>
      <c r="B36" s="32">
        <f t="shared" si="8"/>
        <v>1000</v>
      </c>
      <c r="C36" s="4">
        <v>35</v>
      </c>
      <c r="D36" s="97">
        <f>IF(ISBLANK(Input!A36),1000,IF(Input!G36&gt;0,Input!G36+F36,1000))</f>
        <v>1000</v>
      </c>
      <c r="E36" s="97">
        <f t="shared" si="9"/>
        <v>1000</v>
      </c>
      <c r="F36" s="4">
        <v>3.5000000000000003E-2</v>
      </c>
      <c r="I36" t="str">
        <f>IF(Input!A36&gt;0,Input!A36,"")</f>
        <v/>
      </c>
      <c r="J36" t="str">
        <f>IF(Input!B36&gt;0,Input!B36,"")</f>
        <v/>
      </c>
      <c r="K36" t="str">
        <f>IF(Input!C36&gt;0,Input!C36,"")</f>
        <v/>
      </c>
      <c r="L36" t="str">
        <f>IF(Input!D36&gt;0,Input!D36,"")</f>
        <v/>
      </c>
      <c r="M36" t="str">
        <f>IF(Input!G36&gt;0,Input!G36,"")</f>
        <v xml:space="preserve"> </v>
      </c>
      <c r="N36" t="str">
        <f>IF(Input!H36&gt;0,Input!H36,"")</f>
        <v xml:space="preserve"> </v>
      </c>
      <c r="O36" t="str">
        <f>IF(Input!I36&lt;&gt;"",Input!I36,"")</f>
        <v/>
      </c>
      <c r="P36" t="str">
        <f t="shared" si="10"/>
        <v/>
      </c>
      <c r="Q36" t="str">
        <f>IF(Input!I36&lt;&gt;"",IF(ISNUMBER(Input!J36),ROUNDDOWN(Input!J36,0),0),"")</f>
        <v/>
      </c>
      <c r="R36" t="str">
        <f>IF(Input!L36&lt;&gt;"",Input!L36,"")</f>
        <v/>
      </c>
      <c r="S36" t="str">
        <f t="shared" si="11"/>
        <v/>
      </c>
      <c r="T36" t="str">
        <f>IF(Input!L36&lt;&gt;"",IF(ISNUMBER(Input!M36),Input!M36,0),"")</f>
        <v/>
      </c>
      <c r="U36" t="str">
        <f>IF(Input!O36&lt;&gt;"",Input!O36,"")</f>
        <v/>
      </c>
      <c r="V36" t="str">
        <f t="shared" si="12"/>
        <v/>
      </c>
      <c r="W36" t="str">
        <f>IF(Input!O36&lt;&gt;"",IF(ISNUMBER(Input!P36),(Input!P36),0),"")</f>
        <v/>
      </c>
      <c r="X36" t="str">
        <f>IF(Input!R36&lt;&gt;"",Input!R36,"")</f>
        <v/>
      </c>
      <c r="Y36" t="str">
        <f t="shared" si="13"/>
        <v/>
      </c>
      <c r="Z36" t="str">
        <f>IF(Input!R36&lt;&gt;"",IF(ISNUMBER(Input!S36),ROUNDDOWN(Input!S36,0),0),"")</f>
        <v/>
      </c>
      <c r="AA36" t="str">
        <f>IF(Input!U36&lt;&gt;"",Input!U36,"")</f>
        <v/>
      </c>
      <c r="AB36" t="str">
        <f t="shared" si="14"/>
        <v/>
      </c>
      <c r="AC36" t="str">
        <f>IF(Input!U36&lt;&gt;"",IF(ISNUMBER(Input!V36),ROUNDDOWN(Input!V36,0),0),"")</f>
        <v/>
      </c>
      <c r="AD36" t="str">
        <f>IF(Input!X36&lt;&gt;"",Input!X36,"")</f>
        <v/>
      </c>
      <c r="AE36" t="str">
        <f t="shared" si="15"/>
        <v/>
      </c>
      <c r="AF36" t="str">
        <f>IF(Input!X36&lt;&gt;"",IF(ISNUMBER(Input!Y36),(Input!Y36),0),"")</f>
        <v/>
      </c>
      <c r="AG36" t="str">
        <f>IF(Input!AA36&lt;&gt;"",Input!AA36,"")</f>
        <v/>
      </c>
      <c r="AH36" t="str">
        <f t="shared" si="16"/>
        <v/>
      </c>
      <c r="AI36" t="str">
        <f>IF(Input!AA36&lt;&gt;"",IF(ISNUMBER(Input!AB36),ROUNDDOWN(Input!AB36,0),0),"")</f>
        <v/>
      </c>
      <c r="AJ36" t="str">
        <f>IF(Input!AD36&lt;&gt;"",Input!AD36,"")</f>
        <v/>
      </c>
      <c r="AK36" t="str">
        <f t="shared" si="17"/>
        <v/>
      </c>
      <c r="AL36" t="str">
        <f>IF(Input!AD36&lt;&gt;"",IF(ISNUMBER(Input!AE36),(Input!AE36),0),"")</f>
        <v/>
      </c>
      <c r="AM36" t="str">
        <f>IF(Input!AG36&lt;&gt;"",Input!AG36,"")</f>
        <v/>
      </c>
      <c r="AN36" t="str">
        <f t="shared" si="7"/>
        <v/>
      </c>
      <c r="AO36" t="str">
        <f>IF(Input!AG36&lt;&gt;"",IF(ISNUMBER(Input!AH36),(Input!AH36),0),"")</f>
        <v/>
      </c>
    </row>
    <row r="37" spans="1:41" ht="16.5" thickTop="1" thickBot="1" x14ac:dyDescent="0.4">
      <c r="A37" s="35">
        <f>IF(ISBLANK(Input!A37),1000,IF(Input!E37&gt;0,Input!E37+F37,1000))</f>
        <v>1000</v>
      </c>
      <c r="B37" s="32">
        <f t="shared" si="8"/>
        <v>1000</v>
      </c>
      <c r="C37" s="4">
        <v>36</v>
      </c>
      <c r="D37" s="97">
        <f>IF(ISBLANK(Input!A37),1000,IF(Input!G37&gt;0,Input!G37+F37,1000))</f>
        <v>1000</v>
      </c>
      <c r="E37" s="97">
        <f t="shared" si="9"/>
        <v>1000</v>
      </c>
      <c r="F37" s="4">
        <v>3.5999999999999997E-2</v>
      </c>
      <c r="I37" t="str">
        <f>IF(Input!A37&gt;0,Input!A37,"")</f>
        <v/>
      </c>
      <c r="J37" t="str">
        <f>IF(Input!B37&gt;0,Input!B37,"")</f>
        <v/>
      </c>
      <c r="K37" t="str">
        <f>IF(Input!C37&gt;0,Input!C37,"")</f>
        <v/>
      </c>
      <c r="L37" t="str">
        <f>IF(Input!D37&gt;0,Input!D37,"")</f>
        <v/>
      </c>
      <c r="M37" t="str">
        <f>IF(Input!G37&gt;0,Input!G37,"")</f>
        <v xml:space="preserve"> </v>
      </c>
      <c r="N37" t="str">
        <f>IF(Input!H37&gt;0,Input!H37,"")</f>
        <v xml:space="preserve"> </v>
      </c>
      <c r="O37" t="str">
        <f>IF(Input!I37&lt;&gt;"",Input!I37,"")</f>
        <v/>
      </c>
      <c r="P37" t="str">
        <f t="shared" si="10"/>
        <v/>
      </c>
      <c r="Q37" t="str">
        <f>IF(Input!I37&lt;&gt;"",IF(ISNUMBER(Input!J37),ROUNDDOWN(Input!J37,0),0),"")</f>
        <v/>
      </c>
      <c r="R37" t="str">
        <f>IF(Input!L37&lt;&gt;"",Input!L37,"")</f>
        <v/>
      </c>
      <c r="S37" t="str">
        <f t="shared" si="11"/>
        <v/>
      </c>
      <c r="T37" t="str">
        <f>IF(Input!L37&lt;&gt;"",IF(ISNUMBER(Input!M37),Input!M37,0),"")</f>
        <v/>
      </c>
      <c r="U37" t="str">
        <f>IF(Input!O37&lt;&gt;"",Input!O37,"")</f>
        <v/>
      </c>
      <c r="V37" t="str">
        <f t="shared" si="12"/>
        <v/>
      </c>
      <c r="W37" t="str">
        <f>IF(Input!O37&lt;&gt;"",IF(ISNUMBER(Input!P37),(Input!P37),0),"")</f>
        <v/>
      </c>
      <c r="X37" t="str">
        <f>IF(Input!R37&lt;&gt;"",Input!R37,"")</f>
        <v/>
      </c>
      <c r="Y37" t="str">
        <f t="shared" si="13"/>
        <v/>
      </c>
      <c r="Z37" t="str">
        <f>IF(Input!R37&lt;&gt;"",IF(ISNUMBER(Input!S37),ROUNDDOWN(Input!S37,0),0),"")</f>
        <v/>
      </c>
      <c r="AA37" t="str">
        <f>IF(Input!U37&lt;&gt;"",Input!U37,"")</f>
        <v/>
      </c>
      <c r="AB37" t="str">
        <f t="shared" si="14"/>
        <v/>
      </c>
      <c r="AC37" t="str">
        <f>IF(Input!U37&lt;&gt;"",IF(ISNUMBER(Input!V37),ROUNDDOWN(Input!V37,0),0),"")</f>
        <v/>
      </c>
      <c r="AD37" t="str">
        <f>IF(Input!X37&lt;&gt;"",Input!X37,"")</f>
        <v/>
      </c>
      <c r="AE37" t="str">
        <f t="shared" si="15"/>
        <v/>
      </c>
      <c r="AF37" t="str">
        <f>IF(Input!X37&lt;&gt;"",IF(ISNUMBER(Input!Y37),(Input!Y37),0),"")</f>
        <v/>
      </c>
      <c r="AG37" t="str">
        <f>IF(Input!AA37&lt;&gt;"",Input!AA37,"")</f>
        <v/>
      </c>
      <c r="AH37" t="str">
        <f t="shared" si="16"/>
        <v/>
      </c>
      <c r="AI37" t="str">
        <f>IF(Input!AA37&lt;&gt;"",IF(ISNUMBER(Input!AB37),ROUNDDOWN(Input!AB37,0),0),"")</f>
        <v/>
      </c>
      <c r="AJ37" t="str">
        <f>IF(Input!AD37&lt;&gt;"",Input!AD37,"")</f>
        <v/>
      </c>
      <c r="AK37" t="str">
        <f t="shared" si="17"/>
        <v/>
      </c>
      <c r="AL37" t="str">
        <f>IF(Input!AD37&lt;&gt;"",IF(ISNUMBER(Input!AE37),(Input!AE37),0),"")</f>
        <v/>
      </c>
      <c r="AM37" t="str">
        <f>IF(Input!AG37&lt;&gt;"",Input!AG37,"")</f>
        <v/>
      </c>
      <c r="AN37" t="str">
        <f t="shared" si="7"/>
        <v/>
      </c>
      <c r="AO37" t="str">
        <f>IF(Input!AG37&lt;&gt;"",IF(ISNUMBER(Input!AH37),(Input!AH37),0),"")</f>
        <v/>
      </c>
    </row>
    <row r="38" spans="1:41" ht="16.5" thickTop="1" thickBot="1" x14ac:dyDescent="0.4">
      <c r="A38" s="35">
        <f>IF(ISBLANK(Input!A38),1000,IF(Input!E38&gt;0,Input!E38+F38,1000))</f>
        <v>1000</v>
      </c>
      <c r="B38" s="32">
        <f t="shared" si="8"/>
        <v>1000</v>
      </c>
      <c r="C38" s="4">
        <v>37</v>
      </c>
      <c r="D38" s="97">
        <f>IF(ISBLANK(Input!A38),1000,IF(Input!G38&gt;0,Input!G38+F38,1000))</f>
        <v>1000</v>
      </c>
      <c r="E38" s="97">
        <f t="shared" si="9"/>
        <v>1000</v>
      </c>
      <c r="F38" s="4">
        <v>3.6999999999999998E-2</v>
      </c>
      <c r="I38" t="str">
        <f>IF(Input!A38&gt;0,Input!A38,"")</f>
        <v/>
      </c>
      <c r="J38" t="str">
        <f>IF(Input!B38&gt;0,Input!B38,"")</f>
        <v/>
      </c>
      <c r="K38" t="str">
        <f>IF(Input!C38&gt;0,Input!C38,"")</f>
        <v/>
      </c>
      <c r="L38" t="str">
        <f>IF(Input!D38&gt;0,Input!D38,"")</f>
        <v/>
      </c>
      <c r="M38" t="str">
        <f>IF(Input!G38&gt;0,Input!G38,"")</f>
        <v xml:space="preserve"> </v>
      </c>
      <c r="N38" t="str">
        <f>IF(Input!H38&gt;0,Input!H38,"")</f>
        <v xml:space="preserve"> </v>
      </c>
      <c r="O38" t="str">
        <f>IF(Input!I38&lt;&gt;"",Input!I38,"")</f>
        <v/>
      </c>
      <c r="P38" t="str">
        <f t="shared" si="10"/>
        <v/>
      </c>
      <c r="Q38" t="str">
        <f>IF(Input!I38&lt;&gt;"",IF(ISNUMBER(Input!J38),ROUNDDOWN(Input!J38,0),0),"")</f>
        <v/>
      </c>
      <c r="R38" t="str">
        <f>IF(Input!L38&lt;&gt;"",Input!L38,"")</f>
        <v/>
      </c>
      <c r="S38" t="str">
        <f t="shared" si="11"/>
        <v/>
      </c>
      <c r="T38" t="str">
        <f>IF(Input!L38&lt;&gt;"",IF(ISNUMBER(Input!M38),Input!M38,0),"")</f>
        <v/>
      </c>
      <c r="U38" t="str">
        <f>IF(Input!O38&lt;&gt;"",Input!O38,"")</f>
        <v/>
      </c>
      <c r="V38" t="str">
        <f t="shared" si="12"/>
        <v/>
      </c>
      <c r="W38" t="str">
        <f>IF(Input!O38&lt;&gt;"",IF(ISNUMBER(Input!P38),(Input!P38),0),"")</f>
        <v/>
      </c>
      <c r="X38" t="str">
        <f>IF(Input!R38&lt;&gt;"",Input!R38,"")</f>
        <v/>
      </c>
      <c r="Y38" t="str">
        <f t="shared" si="13"/>
        <v/>
      </c>
      <c r="Z38" t="str">
        <f>IF(Input!R38&lt;&gt;"",IF(ISNUMBER(Input!S38),ROUNDDOWN(Input!S38,0),0),"")</f>
        <v/>
      </c>
      <c r="AA38" t="str">
        <f>IF(Input!U38&lt;&gt;"",Input!U38,"")</f>
        <v/>
      </c>
      <c r="AB38" t="str">
        <f t="shared" si="14"/>
        <v/>
      </c>
      <c r="AC38" t="str">
        <f>IF(Input!U38&lt;&gt;"",IF(ISNUMBER(Input!V38),ROUNDDOWN(Input!V38,0),0),"")</f>
        <v/>
      </c>
      <c r="AD38" t="str">
        <f>IF(Input!X38&lt;&gt;"",Input!X38,"")</f>
        <v/>
      </c>
      <c r="AE38" t="str">
        <f t="shared" si="15"/>
        <v/>
      </c>
      <c r="AF38" t="str">
        <f>IF(Input!X38&lt;&gt;"",IF(ISNUMBER(Input!Y38),(Input!Y38),0),"")</f>
        <v/>
      </c>
      <c r="AG38" t="str">
        <f>IF(Input!AA38&lt;&gt;"",Input!AA38,"")</f>
        <v/>
      </c>
      <c r="AH38" t="str">
        <f t="shared" si="16"/>
        <v/>
      </c>
      <c r="AI38" t="str">
        <f>IF(Input!AA38&lt;&gt;"",IF(ISNUMBER(Input!AB38),ROUNDDOWN(Input!AB38,0),0),"")</f>
        <v/>
      </c>
      <c r="AJ38" t="str">
        <f>IF(Input!AD38&lt;&gt;"",Input!AD38,"")</f>
        <v/>
      </c>
      <c r="AK38" t="str">
        <f t="shared" si="17"/>
        <v/>
      </c>
      <c r="AL38" t="str">
        <f>IF(Input!AD38&lt;&gt;"",IF(ISNUMBER(Input!AE38),(Input!AE38),0),"")</f>
        <v/>
      </c>
      <c r="AM38" t="str">
        <f>IF(Input!AG38&lt;&gt;"",Input!AG38,"")</f>
        <v/>
      </c>
      <c r="AN38" t="str">
        <f t="shared" si="7"/>
        <v/>
      </c>
      <c r="AO38" t="str">
        <f>IF(Input!AG38&lt;&gt;"",IF(ISNUMBER(Input!AH38),(Input!AH38),0),"")</f>
        <v/>
      </c>
    </row>
    <row r="39" spans="1:41" ht="16.5" thickTop="1" thickBot="1" x14ac:dyDescent="0.4">
      <c r="A39" s="35">
        <f>IF(ISBLANK(Input!A39),1000,IF(Input!E39&gt;0,Input!E39+F39,1000))</f>
        <v>1000</v>
      </c>
      <c r="B39" s="32">
        <f t="shared" si="8"/>
        <v>1000</v>
      </c>
      <c r="C39" s="4">
        <v>38</v>
      </c>
      <c r="D39" s="97">
        <f>IF(ISBLANK(Input!A39),1000,IF(Input!G39&gt;0,Input!G39+F39,1000))</f>
        <v>1000</v>
      </c>
      <c r="E39" s="97">
        <f t="shared" si="9"/>
        <v>1000</v>
      </c>
      <c r="F39" s="4">
        <v>3.7999999999999999E-2</v>
      </c>
      <c r="I39" t="str">
        <f>IF(Input!A39&gt;0,Input!A39,"")</f>
        <v/>
      </c>
      <c r="J39" t="str">
        <f>IF(Input!B39&gt;0,Input!B39,"")</f>
        <v/>
      </c>
      <c r="K39" t="str">
        <f>IF(Input!C39&gt;0,Input!C39,"")</f>
        <v/>
      </c>
      <c r="L39" t="str">
        <f>IF(Input!D39&gt;0,Input!D39,"")</f>
        <v/>
      </c>
      <c r="M39" t="str">
        <f>IF(Input!G39&gt;0,Input!G39,"")</f>
        <v xml:space="preserve"> </v>
      </c>
      <c r="N39" t="str">
        <f>IF(Input!H39&gt;0,Input!H39,"")</f>
        <v xml:space="preserve"> </v>
      </c>
      <c r="O39" t="str">
        <f>IF(Input!I39&lt;&gt;"",Input!I39,"")</f>
        <v/>
      </c>
      <c r="P39" t="str">
        <f t="shared" si="10"/>
        <v/>
      </c>
      <c r="Q39" t="str">
        <f>IF(Input!I39&lt;&gt;"",IF(ISNUMBER(Input!J39),ROUNDDOWN(Input!J39,0),0),"")</f>
        <v/>
      </c>
      <c r="R39" t="str">
        <f>IF(Input!L39&lt;&gt;"",Input!L39,"")</f>
        <v/>
      </c>
      <c r="S39" t="str">
        <f t="shared" si="11"/>
        <v/>
      </c>
      <c r="T39" t="str">
        <f>IF(Input!L39&lt;&gt;"",IF(ISNUMBER(Input!M39),Input!M39,0),"")</f>
        <v/>
      </c>
      <c r="U39" t="str">
        <f>IF(Input!O39&lt;&gt;"",Input!O39,"")</f>
        <v/>
      </c>
      <c r="V39" t="str">
        <f t="shared" si="12"/>
        <v/>
      </c>
      <c r="W39" t="str">
        <f>IF(Input!O39&lt;&gt;"",IF(ISNUMBER(Input!P39),(Input!P39),0),"")</f>
        <v/>
      </c>
      <c r="X39" t="str">
        <f>IF(Input!R39&lt;&gt;"",Input!R39,"")</f>
        <v/>
      </c>
      <c r="Y39" t="str">
        <f t="shared" si="13"/>
        <v/>
      </c>
      <c r="Z39" t="str">
        <f>IF(Input!R39&lt;&gt;"",IF(ISNUMBER(Input!S39),ROUNDDOWN(Input!S39,0),0),"")</f>
        <v/>
      </c>
      <c r="AA39" t="str">
        <f>IF(Input!U39&lt;&gt;"",Input!U39,"")</f>
        <v/>
      </c>
      <c r="AB39" t="str">
        <f t="shared" si="14"/>
        <v/>
      </c>
      <c r="AC39" t="str">
        <f>IF(Input!U39&lt;&gt;"",IF(ISNUMBER(Input!V39),ROUNDDOWN(Input!V39,0),0),"")</f>
        <v/>
      </c>
      <c r="AD39" t="str">
        <f>IF(Input!X39&lt;&gt;"",Input!X39,"")</f>
        <v/>
      </c>
      <c r="AE39" t="str">
        <f t="shared" si="15"/>
        <v/>
      </c>
      <c r="AF39" t="str">
        <f>IF(Input!X39&lt;&gt;"",IF(ISNUMBER(Input!Y39),(Input!Y39),0),"")</f>
        <v/>
      </c>
      <c r="AG39" t="str">
        <f>IF(Input!AA39&lt;&gt;"",Input!AA39,"")</f>
        <v/>
      </c>
      <c r="AH39" t="str">
        <f t="shared" si="16"/>
        <v/>
      </c>
      <c r="AI39" t="str">
        <f>IF(Input!AA39&lt;&gt;"",IF(ISNUMBER(Input!AB39),ROUNDDOWN(Input!AB39,0),0),"")</f>
        <v/>
      </c>
      <c r="AJ39" t="str">
        <f>IF(Input!AD39&lt;&gt;"",Input!AD39,"")</f>
        <v/>
      </c>
      <c r="AK39" t="str">
        <f t="shared" si="17"/>
        <v/>
      </c>
      <c r="AL39" t="str">
        <f>IF(Input!AD39&lt;&gt;"",IF(ISNUMBER(Input!AE39),(Input!AE39),0),"")</f>
        <v/>
      </c>
      <c r="AM39" t="str">
        <f>IF(Input!AG39&lt;&gt;"",Input!AG39,"")</f>
        <v/>
      </c>
      <c r="AN39" t="str">
        <f t="shared" si="7"/>
        <v/>
      </c>
      <c r="AO39" t="str">
        <f>IF(Input!AG39&lt;&gt;"",IF(ISNUMBER(Input!AH39),(Input!AH39),0),"")</f>
        <v/>
      </c>
    </row>
    <row r="40" spans="1:41" ht="16.5" thickTop="1" thickBot="1" x14ac:dyDescent="0.4">
      <c r="A40" s="35">
        <f>IF(ISBLANK(Input!A40),1000,IF(Input!E40&gt;0,Input!E40+F40,1000))</f>
        <v>1000</v>
      </c>
      <c r="B40" s="32">
        <f t="shared" si="8"/>
        <v>1000</v>
      </c>
      <c r="C40" s="4">
        <v>39</v>
      </c>
      <c r="D40" s="97">
        <f>IF(ISBLANK(Input!A40),1000,IF(Input!G40&gt;0,Input!G40+F40,1000))</f>
        <v>1000</v>
      </c>
      <c r="E40" s="97">
        <f t="shared" si="9"/>
        <v>1000</v>
      </c>
      <c r="F40" s="4">
        <v>3.9E-2</v>
      </c>
      <c r="I40" t="str">
        <f>IF(Input!A40&gt;0,Input!A40,"")</f>
        <v/>
      </c>
      <c r="J40" t="str">
        <f>IF(Input!B40&gt;0,Input!B40,"")</f>
        <v/>
      </c>
      <c r="K40" t="str">
        <f>IF(Input!C40&gt;0,Input!C40,"")</f>
        <v/>
      </c>
      <c r="L40" t="str">
        <f>IF(Input!D40&gt;0,Input!D40,"")</f>
        <v/>
      </c>
      <c r="M40" t="str">
        <f>IF(Input!G40&gt;0,Input!G40,"")</f>
        <v xml:space="preserve"> </v>
      </c>
      <c r="N40" t="str">
        <f>IF(Input!H40&gt;0,Input!H40,"")</f>
        <v xml:space="preserve"> </v>
      </c>
      <c r="O40" t="str">
        <f>IF(Input!I40&lt;&gt;"",Input!I40,"")</f>
        <v/>
      </c>
      <c r="P40" t="str">
        <f t="shared" si="10"/>
        <v/>
      </c>
      <c r="Q40" t="str">
        <f>IF(Input!I40&lt;&gt;"",IF(ISNUMBER(Input!J40),ROUNDDOWN(Input!J40,0),0),"")</f>
        <v/>
      </c>
      <c r="R40" t="str">
        <f>IF(Input!L40&lt;&gt;"",Input!L40,"")</f>
        <v/>
      </c>
      <c r="S40" t="str">
        <f t="shared" si="11"/>
        <v/>
      </c>
      <c r="T40" t="str">
        <f>IF(Input!L40&lt;&gt;"",IF(ISNUMBER(Input!M40),Input!M40,0),"")</f>
        <v/>
      </c>
      <c r="U40" t="str">
        <f>IF(Input!O40&lt;&gt;"",Input!O40,"")</f>
        <v/>
      </c>
      <c r="V40" t="str">
        <f t="shared" si="12"/>
        <v/>
      </c>
      <c r="W40" t="str">
        <f>IF(Input!O40&lt;&gt;"",IF(ISNUMBER(Input!P40),(Input!P40),0),"")</f>
        <v/>
      </c>
      <c r="X40" t="str">
        <f>IF(Input!R40&lt;&gt;"",Input!R40,"")</f>
        <v/>
      </c>
      <c r="Y40" t="str">
        <f t="shared" si="13"/>
        <v/>
      </c>
      <c r="Z40" t="str">
        <f>IF(Input!R40&lt;&gt;"",IF(ISNUMBER(Input!S40),ROUNDDOWN(Input!S40,0),0),"")</f>
        <v/>
      </c>
      <c r="AA40" t="str">
        <f>IF(Input!U40&lt;&gt;"",Input!U40,"")</f>
        <v/>
      </c>
      <c r="AB40" t="str">
        <f t="shared" si="14"/>
        <v/>
      </c>
      <c r="AC40" t="str">
        <f>IF(Input!U40&lt;&gt;"",IF(ISNUMBER(Input!V40),ROUNDDOWN(Input!V40,0),0),"")</f>
        <v/>
      </c>
      <c r="AD40" t="str">
        <f>IF(Input!X40&lt;&gt;"",Input!X40,"")</f>
        <v/>
      </c>
      <c r="AE40" t="str">
        <f t="shared" si="15"/>
        <v/>
      </c>
      <c r="AF40" t="str">
        <f>IF(Input!X40&lt;&gt;"",IF(ISNUMBER(Input!Y40),(Input!Y40),0),"")</f>
        <v/>
      </c>
      <c r="AG40" t="str">
        <f>IF(Input!AA40&lt;&gt;"",Input!AA40,"")</f>
        <v/>
      </c>
      <c r="AH40" t="str">
        <f t="shared" si="16"/>
        <v/>
      </c>
      <c r="AI40" t="str">
        <f>IF(Input!AA40&lt;&gt;"",IF(ISNUMBER(Input!AB40),ROUNDDOWN(Input!AB40,0),0),"")</f>
        <v/>
      </c>
      <c r="AJ40" t="str">
        <f>IF(Input!AD40&lt;&gt;"",Input!AD40,"")</f>
        <v/>
      </c>
      <c r="AK40" t="str">
        <f t="shared" si="17"/>
        <v/>
      </c>
      <c r="AL40" t="str">
        <f>IF(Input!AD40&lt;&gt;"",IF(ISNUMBER(Input!AE40),(Input!AE40),0),"")</f>
        <v/>
      </c>
      <c r="AM40" t="str">
        <f>IF(Input!AG40&lt;&gt;"",Input!AG40,"")</f>
        <v/>
      </c>
      <c r="AN40" t="str">
        <f t="shared" si="7"/>
        <v/>
      </c>
      <c r="AO40" t="str">
        <f>IF(Input!AG40&lt;&gt;"",IF(ISNUMBER(Input!AH40),(Input!AH40),0),"")</f>
        <v/>
      </c>
    </row>
    <row r="41" spans="1:41" ht="16.5" thickTop="1" thickBot="1" x14ac:dyDescent="0.4">
      <c r="A41" s="35">
        <f>IF(ISBLANK(Input!A41),1000,IF(Input!E41&gt;0,Input!E41+F41,1000))</f>
        <v>1000</v>
      </c>
      <c r="B41" s="32">
        <f t="shared" si="8"/>
        <v>1000</v>
      </c>
      <c r="C41" s="4">
        <v>40</v>
      </c>
      <c r="D41" s="97">
        <f>IF(ISBLANK(Input!A41),1000,IF(Input!G41&gt;0,Input!G41+F41,1000))</f>
        <v>1000</v>
      </c>
      <c r="E41" s="97">
        <f t="shared" si="9"/>
        <v>1000</v>
      </c>
      <c r="F41" s="4">
        <v>0.04</v>
      </c>
      <c r="I41" t="str">
        <f>IF(Input!A41&gt;0,Input!A41,"")</f>
        <v/>
      </c>
      <c r="J41" t="str">
        <f>IF(Input!B41&gt;0,Input!B41,"")</f>
        <v/>
      </c>
      <c r="K41" t="str">
        <f>IF(Input!C41&gt;0,Input!C41,"")</f>
        <v/>
      </c>
      <c r="L41" t="str">
        <f>IF(Input!D41&gt;0,Input!D41,"")</f>
        <v/>
      </c>
      <c r="M41" t="str">
        <f>IF(Input!G41&gt;0,Input!G41,"")</f>
        <v xml:space="preserve"> </v>
      </c>
      <c r="N41" t="str">
        <f>IF(Input!H41&gt;0,Input!H41,"")</f>
        <v xml:space="preserve"> </v>
      </c>
      <c r="O41" t="str">
        <f>IF(Input!I41&lt;&gt;"",Input!I41,"")</f>
        <v/>
      </c>
      <c r="P41" t="str">
        <f t="shared" si="10"/>
        <v/>
      </c>
      <c r="Q41" t="str">
        <f>IF(Input!I41&lt;&gt;"",IF(ISNUMBER(Input!J41),ROUNDDOWN(Input!J41,0),0),"")</f>
        <v/>
      </c>
      <c r="R41" t="str">
        <f>IF(Input!L41&lt;&gt;"",Input!L41,"")</f>
        <v/>
      </c>
      <c r="S41" t="str">
        <f t="shared" si="11"/>
        <v/>
      </c>
      <c r="T41" t="str">
        <f>IF(Input!L41&lt;&gt;"",IF(ISNUMBER(Input!M41),Input!M41,0),"")</f>
        <v/>
      </c>
      <c r="U41" t="str">
        <f>IF(Input!O41&lt;&gt;"",Input!O41,"")</f>
        <v/>
      </c>
      <c r="V41" t="str">
        <f t="shared" si="12"/>
        <v/>
      </c>
      <c r="W41" t="str">
        <f>IF(Input!O41&lt;&gt;"",IF(ISNUMBER(Input!P41),(Input!P41),0),"")</f>
        <v/>
      </c>
      <c r="X41" t="str">
        <f>IF(Input!R41&lt;&gt;"",Input!R41,"")</f>
        <v/>
      </c>
      <c r="Y41" t="str">
        <f t="shared" si="13"/>
        <v/>
      </c>
      <c r="Z41" t="str">
        <f>IF(Input!R41&lt;&gt;"",IF(ISNUMBER(Input!S41),ROUNDDOWN(Input!S41,0),0),"")</f>
        <v/>
      </c>
      <c r="AA41" t="str">
        <f>IF(Input!U41&lt;&gt;"",Input!U41,"")</f>
        <v/>
      </c>
      <c r="AB41" t="str">
        <f t="shared" si="14"/>
        <v/>
      </c>
      <c r="AC41" t="str">
        <f>IF(Input!U41&lt;&gt;"",IF(ISNUMBER(Input!V41),ROUNDDOWN(Input!V41,0),0),"")</f>
        <v/>
      </c>
      <c r="AD41" t="str">
        <f>IF(Input!X41&lt;&gt;"",Input!X41,"")</f>
        <v/>
      </c>
      <c r="AE41" t="str">
        <f t="shared" si="15"/>
        <v/>
      </c>
      <c r="AF41" t="str">
        <f>IF(Input!X41&lt;&gt;"",IF(ISNUMBER(Input!Y41),(Input!Y41),0),"")</f>
        <v/>
      </c>
      <c r="AG41" t="str">
        <f>IF(Input!AA41&lt;&gt;"",Input!AA41,"")</f>
        <v/>
      </c>
      <c r="AH41" t="str">
        <f t="shared" si="16"/>
        <v/>
      </c>
      <c r="AI41" t="str">
        <f>IF(Input!AA41&lt;&gt;"",IF(ISNUMBER(Input!AB41),ROUNDDOWN(Input!AB41,0),0),"")</f>
        <v/>
      </c>
      <c r="AJ41" t="str">
        <f>IF(Input!AD41&lt;&gt;"",Input!AD41,"")</f>
        <v/>
      </c>
      <c r="AK41" t="str">
        <f t="shared" si="17"/>
        <v/>
      </c>
      <c r="AL41" t="str">
        <f>IF(Input!AD41&lt;&gt;"",IF(ISNUMBER(Input!AE41),(Input!AE41),0),"")</f>
        <v/>
      </c>
      <c r="AM41" t="str">
        <f>IF(Input!AG41&lt;&gt;"",Input!AG41,"")</f>
        <v/>
      </c>
      <c r="AN41" t="str">
        <f t="shared" si="7"/>
        <v/>
      </c>
      <c r="AO41" t="str">
        <f>IF(Input!AG41&lt;&gt;"",IF(ISNUMBER(Input!AH41),(Input!AH41),0),"")</f>
        <v/>
      </c>
    </row>
    <row r="42" spans="1:41" ht="16.5" thickTop="1" thickBot="1" x14ac:dyDescent="0.4">
      <c r="A42" s="35">
        <f>IF(ISBLANK(Input!A42),1000,IF(Input!E42&gt;0,Input!E42+F42,1000))</f>
        <v>1000</v>
      </c>
      <c r="B42" s="32">
        <f t="shared" si="8"/>
        <v>1000</v>
      </c>
      <c r="C42" s="4">
        <v>41</v>
      </c>
      <c r="D42" s="97">
        <f>IF(ISBLANK(Input!A42),1000,IF(Input!G42&gt;0,Input!G42+F42,1000))</f>
        <v>1000</v>
      </c>
      <c r="E42" s="97">
        <f t="shared" si="9"/>
        <v>1000</v>
      </c>
      <c r="F42" s="4">
        <v>4.1000000000000002E-2</v>
      </c>
      <c r="I42" t="str">
        <f>IF(Input!A42&gt;0,Input!A42,"")</f>
        <v/>
      </c>
      <c r="J42" t="str">
        <f>IF(Input!B42&gt;0,Input!B42,"")</f>
        <v/>
      </c>
      <c r="K42" t="str">
        <f>IF(Input!C42&gt;0,Input!C42,"")</f>
        <v/>
      </c>
      <c r="L42" t="str">
        <f>IF(Input!D42&gt;0,Input!D42,"")</f>
        <v/>
      </c>
      <c r="M42" t="str">
        <f>IF(Input!G42&gt;0,Input!G42,"")</f>
        <v xml:space="preserve"> </v>
      </c>
      <c r="N42" t="str">
        <f>IF(Input!H42&gt;0,Input!H42,"")</f>
        <v xml:space="preserve"> </v>
      </c>
      <c r="O42" t="str">
        <f>IF(Input!I42&lt;&gt;"",Input!I42,"")</f>
        <v/>
      </c>
      <c r="P42" t="str">
        <f t="shared" si="10"/>
        <v/>
      </c>
      <c r="Q42" t="str">
        <f>IF(Input!I42&lt;&gt;"",IF(ISNUMBER(Input!J42),ROUNDDOWN(Input!J42,0),0),"")</f>
        <v/>
      </c>
      <c r="R42" t="str">
        <f>IF(Input!L42&lt;&gt;"",Input!L42,"")</f>
        <v/>
      </c>
      <c r="S42" t="str">
        <f t="shared" si="11"/>
        <v/>
      </c>
      <c r="T42" t="str">
        <f>IF(Input!L42&lt;&gt;"",IF(ISNUMBER(Input!M42),Input!M42,0),"")</f>
        <v/>
      </c>
      <c r="U42" t="str">
        <f>IF(Input!O42&lt;&gt;"",Input!O42,"")</f>
        <v/>
      </c>
      <c r="V42" t="str">
        <f t="shared" si="12"/>
        <v/>
      </c>
      <c r="W42" t="str">
        <f>IF(Input!O42&lt;&gt;"",IF(ISNUMBER(Input!P42),(Input!P42),0),"")</f>
        <v/>
      </c>
      <c r="X42" t="str">
        <f>IF(Input!R42&lt;&gt;"",Input!R42,"")</f>
        <v/>
      </c>
      <c r="Y42" t="str">
        <f t="shared" si="13"/>
        <v/>
      </c>
      <c r="Z42" t="str">
        <f>IF(Input!R42&lt;&gt;"",IF(ISNUMBER(Input!S42),ROUNDDOWN(Input!S42,0),0),"")</f>
        <v/>
      </c>
      <c r="AA42" t="str">
        <f>IF(Input!U42&lt;&gt;"",Input!U42,"")</f>
        <v/>
      </c>
      <c r="AB42" t="str">
        <f t="shared" si="14"/>
        <v/>
      </c>
      <c r="AC42" t="str">
        <f>IF(Input!U42&lt;&gt;"",IF(ISNUMBER(Input!V42),ROUNDDOWN(Input!V42,0),0),"")</f>
        <v/>
      </c>
      <c r="AD42" t="str">
        <f>IF(Input!X42&lt;&gt;"",Input!X42,"")</f>
        <v/>
      </c>
      <c r="AE42" t="str">
        <f t="shared" si="15"/>
        <v/>
      </c>
      <c r="AF42" t="str">
        <f>IF(Input!X42&lt;&gt;"",IF(ISNUMBER(Input!Y42),(Input!Y42),0),"")</f>
        <v/>
      </c>
      <c r="AG42" t="str">
        <f>IF(Input!AA42&lt;&gt;"",Input!AA42,"")</f>
        <v/>
      </c>
      <c r="AH42" t="str">
        <f t="shared" si="16"/>
        <v/>
      </c>
      <c r="AI42" t="str">
        <f>IF(Input!AA42&lt;&gt;"",IF(ISNUMBER(Input!AB42),ROUNDDOWN(Input!AB42,0),0),"")</f>
        <v/>
      </c>
      <c r="AJ42" t="str">
        <f>IF(Input!AD42&lt;&gt;"",Input!AD42,"")</f>
        <v/>
      </c>
      <c r="AK42" t="str">
        <f t="shared" si="17"/>
        <v/>
      </c>
      <c r="AL42" t="str">
        <f>IF(Input!AD42&lt;&gt;"",IF(ISNUMBER(Input!AE42),(Input!AE42),0),"")</f>
        <v/>
      </c>
      <c r="AM42" t="str">
        <f>IF(Input!AG42&lt;&gt;"",Input!AG42,"")</f>
        <v/>
      </c>
      <c r="AN42" t="str">
        <f t="shared" si="7"/>
        <v/>
      </c>
      <c r="AO42" t="str">
        <f>IF(Input!AG42&lt;&gt;"",IF(ISNUMBER(Input!AH42),(Input!AH42),0),"")</f>
        <v/>
      </c>
    </row>
    <row r="43" spans="1:41" ht="16.5" thickTop="1" thickBot="1" x14ac:dyDescent="0.4">
      <c r="A43" s="35">
        <f>IF(ISBLANK(Input!A43),1000,IF(Input!E43&gt;0,Input!E43+F43,1000))</f>
        <v>1000</v>
      </c>
      <c r="B43" s="32">
        <f t="shared" si="8"/>
        <v>1000</v>
      </c>
      <c r="C43" s="4">
        <v>42</v>
      </c>
      <c r="D43" s="97">
        <f>IF(ISBLANK(Input!A43),1000,IF(Input!G43&gt;0,Input!G43+F43,1000))</f>
        <v>1000</v>
      </c>
      <c r="E43" s="97">
        <f t="shared" si="9"/>
        <v>1000</v>
      </c>
      <c r="F43" s="4">
        <v>4.2000000000000003E-2</v>
      </c>
      <c r="I43" t="str">
        <f>IF(Input!A43&gt;0,Input!A43,"")</f>
        <v/>
      </c>
      <c r="J43" t="str">
        <f>IF(Input!B43&gt;0,Input!B43,"")</f>
        <v/>
      </c>
      <c r="K43" t="str">
        <f>IF(Input!C43&gt;0,Input!C43,"")</f>
        <v/>
      </c>
      <c r="L43" t="str">
        <f>IF(Input!D43&gt;0,Input!D43,"")</f>
        <v/>
      </c>
      <c r="M43" t="str">
        <f>IF(Input!G43&gt;0,Input!G43,"")</f>
        <v xml:space="preserve"> </v>
      </c>
      <c r="N43" t="str">
        <f>IF(Input!H43&gt;0,Input!H43,"")</f>
        <v xml:space="preserve"> </v>
      </c>
      <c r="O43" t="str">
        <f>IF(Input!I43&lt;&gt;"",Input!I43,"")</f>
        <v/>
      </c>
      <c r="P43" t="str">
        <f t="shared" si="10"/>
        <v/>
      </c>
      <c r="Q43" t="str">
        <f>IF(Input!I43&lt;&gt;"",IF(ISNUMBER(Input!J43),ROUNDDOWN(Input!J43,0),0),"")</f>
        <v/>
      </c>
      <c r="R43" t="str">
        <f>IF(Input!L43&lt;&gt;"",Input!L43,"")</f>
        <v/>
      </c>
      <c r="S43" t="str">
        <f t="shared" si="11"/>
        <v/>
      </c>
      <c r="T43" t="str">
        <f>IF(Input!L43&lt;&gt;"",IF(ISNUMBER(Input!M43),Input!M43,0),"")</f>
        <v/>
      </c>
      <c r="U43" t="str">
        <f>IF(Input!O43&lt;&gt;"",Input!O43,"")</f>
        <v/>
      </c>
      <c r="V43" t="str">
        <f t="shared" si="12"/>
        <v/>
      </c>
      <c r="W43" t="str">
        <f>IF(Input!O43&lt;&gt;"",IF(ISNUMBER(Input!P43),(Input!P43),0),"")</f>
        <v/>
      </c>
      <c r="X43" t="str">
        <f>IF(Input!R43&lt;&gt;"",Input!R43,"")</f>
        <v/>
      </c>
      <c r="Y43" t="str">
        <f t="shared" si="13"/>
        <v/>
      </c>
      <c r="Z43" t="str">
        <f>IF(Input!R43&lt;&gt;"",IF(ISNUMBER(Input!S43),ROUNDDOWN(Input!S43,0),0),"")</f>
        <v/>
      </c>
      <c r="AA43" t="str">
        <f>IF(Input!U43&lt;&gt;"",Input!U43,"")</f>
        <v/>
      </c>
      <c r="AB43" t="str">
        <f t="shared" si="14"/>
        <v/>
      </c>
      <c r="AC43" t="str">
        <f>IF(Input!U43&lt;&gt;"",IF(ISNUMBER(Input!V43),ROUNDDOWN(Input!V43,0),0),"")</f>
        <v/>
      </c>
      <c r="AD43" t="str">
        <f>IF(Input!X43&lt;&gt;"",Input!X43,"")</f>
        <v/>
      </c>
      <c r="AE43" t="str">
        <f t="shared" si="15"/>
        <v/>
      </c>
      <c r="AF43" t="str">
        <f>IF(Input!X43&lt;&gt;"",IF(ISNUMBER(Input!Y43),(Input!Y43),0),"")</f>
        <v/>
      </c>
      <c r="AG43" t="str">
        <f>IF(Input!AA43&lt;&gt;"",Input!AA43,"")</f>
        <v/>
      </c>
      <c r="AH43" t="str">
        <f t="shared" si="16"/>
        <v/>
      </c>
      <c r="AI43" t="str">
        <f>IF(Input!AA43&lt;&gt;"",IF(ISNUMBER(Input!AB43),ROUNDDOWN(Input!AB43,0),0),"")</f>
        <v/>
      </c>
      <c r="AJ43" t="str">
        <f>IF(Input!AD43&lt;&gt;"",Input!AD43,"")</f>
        <v/>
      </c>
      <c r="AK43" t="str">
        <f t="shared" si="17"/>
        <v/>
      </c>
      <c r="AL43" t="str">
        <f>IF(Input!AD43&lt;&gt;"",IF(ISNUMBER(Input!AE43),(Input!AE43),0),"")</f>
        <v/>
      </c>
      <c r="AM43" t="str">
        <f>IF(Input!AG43&lt;&gt;"",Input!AG43,"")</f>
        <v/>
      </c>
      <c r="AN43" t="str">
        <f t="shared" si="7"/>
        <v/>
      </c>
      <c r="AO43" t="str">
        <f>IF(Input!AG43&lt;&gt;"",IF(ISNUMBER(Input!AH43),(Input!AH43),0),"")</f>
        <v/>
      </c>
    </row>
    <row r="44" spans="1:41" ht="16.5" thickTop="1" thickBot="1" x14ac:dyDescent="0.4">
      <c r="A44" s="35">
        <f>IF(ISBLANK(Input!A44),1000,IF(Input!E44&gt;0,Input!E44+F44,1000))</f>
        <v>1000</v>
      </c>
      <c r="B44" s="32">
        <f t="shared" si="8"/>
        <v>1000</v>
      </c>
      <c r="C44" s="4">
        <v>43</v>
      </c>
      <c r="D44" s="97">
        <f>IF(ISBLANK(Input!A44),1000,IF(Input!G44&gt;0,Input!G44+F44,1000))</f>
        <v>1000</v>
      </c>
      <c r="E44" s="97">
        <f t="shared" si="9"/>
        <v>1000</v>
      </c>
      <c r="F44" s="4">
        <v>4.2999999999999997E-2</v>
      </c>
      <c r="I44" t="str">
        <f>IF(Input!A44&gt;0,Input!A44,"")</f>
        <v/>
      </c>
      <c r="J44" t="str">
        <f>IF(Input!B44&gt;0,Input!B44,"")</f>
        <v/>
      </c>
      <c r="K44" t="str">
        <f>IF(Input!C44&gt;0,Input!C44,"")</f>
        <v/>
      </c>
      <c r="L44" t="str">
        <f>IF(Input!D44&gt;0,Input!D44,"")</f>
        <v/>
      </c>
      <c r="M44" t="str">
        <f>IF(Input!G44&gt;0,Input!G44,"")</f>
        <v xml:space="preserve"> </v>
      </c>
      <c r="N44" t="str">
        <f>IF(Input!H44&gt;0,Input!H44,"")</f>
        <v xml:space="preserve"> </v>
      </c>
      <c r="O44" t="str">
        <f>IF(Input!I44&lt;&gt;"",Input!I44,"")</f>
        <v/>
      </c>
      <c r="P44" t="str">
        <f t="shared" si="10"/>
        <v/>
      </c>
      <c r="Q44" t="str">
        <f>IF(Input!I44&lt;&gt;"",IF(ISNUMBER(Input!J44),ROUNDDOWN(Input!J44,0),0),"")</f>
        <v/>
      </c>
      <c r="R44" t="str">
        <f>IF(Input!L44&lt;&gt;"",Input!L44,"")</f>
        <v/>
      </c>
      <c r="S44" t="str">
        <f t="shared" si="11"/>
        <v/>
      </c>
      <c r="T44" t="str">
        <f>IF(Input!L44&lt;&gt;"",IF(ISNUMBER(Input!M44),Input!M44,0),"")</f>
        <v/>
      </c>
      <c r="U44" t="str">
        <f>IF(Input!O44&lt;&gt;"",Input!O44,"")</f>
        <v/>
      </c>
      <c r="V44" t="str">
        <f t="shared" si="12"/>
        <v/>
      </c>
      <c r="W44" t="str">
        <f>IF(Input!O44&lt;&gt;"",IF(ISNUMBER(Input!P44),(Input!P44),0),"")</f>
        <v/>
      </c>
      <c r="X44" t="str">
        <f>IF(Input!R44&lt;&gt;"",Input!R44,"")</f>
        <v/>
      </c>
      <c r="Y44" t="str">
        <f t="shared" si="13"/>
        <v/>
      </c>
      <c r="Z44" t="str">
        <f>IF(Input!R44&lt;&gt;"",IF(ISNUMBER(Input!S44),ROUNDDOWN(Input!S44,0),0),"")</f>
        <v/>
      </c>
      <c r="AA44" t="str">
        <f>IF(Input!U44&lt;&gt;"",Input!U44,"")</f>
        <v/>
      </c>
      <c r="AB44" t="str">
        <f t="shared" si="14"/>
        <v/>
      </c>
      <c r="AC44" t="str">
        <f>IF(Input!U44&lt;&gt;"",IF(ISNUMBER(Input!V44),ROUNDDOWN(Input!V44,0),0),"")</f>
        <v/>
      </c>
      <c r="AD44" t="str">
        <f>IF(Input!X44&lt;&gt;"",Input!X44,"")</f>
        <v/>
      </c>
      <c r="AE44" t="str">
        <f t="shared" si="15"/>
        <v/>
      </c>
      <c r="AF44" t="str">
        <f>IF(Input!X44&lt;&gt;"",IF(ISNUMBER(Input!Y44),(Input!Y44),0),"")</f>
        <v/>
      </c>
      <c r="AG44" t="str">
        <f>IF(Input!AA44&lt;&gt;"",Input!AA44,"")</f>
        <v/>
      </c>
      <c r="AH44" t="str">
        <f t="shared" si="16"/>
        <v/>
      </c>
      <c r="AI44" t="str">
        <f>IF(Input!AA44&lt;&gt;"",IF(ISNUMBER(Input!AB44),ROUNDDOWN(Input!AB44,0),0),"")</f>
        <v/>
      </c>
      <c r="AJ44" t="str">
        <f>IF(Input!AD44&lt;&gt;"",Input!AD44,"")</f>
        <v/>
      </c>
      <c r="AK44" t="str">
        <f t="shared" si="17"/>
        <v/>
      </c>
      <c r="AL44" t="str">
        <f>IF(Input!AD44&lt;&gt;"",IF(ISNUMBER(Input!AE44),(Input!AE44),0),"")</f>
        <v/>
      </c>
      <c r="AM44" t="str">
        <f>IF(Input!AG44&lt;&gt;"",Input!AG44,"")</f>
        <v/>
      </c>
      <c r="AN44" t="str">
        <f t="shared" si="7"/>
        <v/>
      </c>
      <c r="AO44" t="str">
        <f>IF(Input!AG44&lt;&gt;"",IF(ISNUMBER(Input!AH44),(Input!AH44),0),"")</f>
        <v/>
      </c>
    </row>
    <row r="45" spans="1:41" ht="16.5" thickTop="1" thickBot="1" x14ac:dyDescent="0.4">
      <c r="A45" s="35">
        <f>IF(ISBLANK(Input!A45),1000,IF(Input!E45&gt;0,Input!E45+F45,1000))</f>
        <v>1000</v>
      </c>
      <c r="B45" s="32">
        <f t="shared" si="8"/>
        <v>1000</v>
      </c>
      <c r="C45" s="4">
        <v>44</v>
      </c>
      <c r="D45" s="97">
        <f>IF(ISBLANK(Input!A45),1000,IF(Input!G45&gt;0,Input!G45+F45,1000))</f>
        <v>1000</v>
      </c>
      <c r="E45" s="97">
        <f t="shared" si="9"/>
        <v>1000</v>
      </c>
      <c r="F45" s="4">
        <v>4.3999999999999997E-2</v>
      </c>
      <c r="I45" t="str">
        <f>IF(Input!A45&gt;0,Input!A45,"")</f>
        <v/>
      </c>
      <c r="J45" t="str">
        <f>IF(Input!B45&gt;0,Input!B45,"")</f>
        <v/>
      </c>
      <c r="K45" t="str">
        <f>IF(Input!C45&gt;0,Input!C45,"")</f>
        <v/>
      </c>
      <c r="L45" t="str">
        <f>IF(Input!D45&gt;0,Input!D45,"")</f>
        <v/>
      </c>
      <c r="M45" t="str">
        <f>IF(Input!G45&gt;0,Input!G45,"")</f>
        <v xml:space="preserve"> </v>
      </c>
      <c r="N45" t="str">
        <f>IF(Input!H45&gt;0,Input!H45,"")</f>
        <v xml:space="preserve"> </v>
      </c>
      <c r="O45" t="str">
        <f>IF(Input!I45&lt;&gt;"",Input!I45,"")</f>
        <v/>
      </c>
      <c r="P45" t="str">
        <f t="shared" si="10"/>
        <v/>
      </c>
      <c r="Q45" t="str">
        <f>IF(Input!I45&lt;&gt;"",IF(ISNUMBER(Input!J45),ROUNDDOWN(Input!J45,0),0),"")</f>
        <v/>
      </c>
      <c r="R45" t="str">
        <f>IF(Input!L45&lt;&gt;"",Input!L45,"")</f>
        <v/>
      </c>
      <c r="S45" t="str">
        <f t="shared" si="11"/>
        <v/>
      </c>
      <c r="T45" t="str">
        <f>IF(Input!L45&lt;&gt;"",IF(ISNUMBER(Input!M45),Input!M45,0),"")</f>
        <v/>
      </c>
      <c r="U45" t="str">
        <f>IF(Input!O45&lt;&gt;"",Input!O45,"")</f>
        <v/>
      </c>
      <c r="V45" t="str">
        <f t="shared" si="12"/>
        <v/>
      </c>
      <c r="W45" t="str">
        <f>IF(Input!O45&lt;&gt;"",IF(ISNUMBER(Input!P45),(Input!P45),0),"")</f>
        <v/>
      </c>
      <c r="X45" t="str">
        <f>IF(Input!R45&lt;&gt;"",Input!R45,"")</f>
        <v/>
      </c>
      <c r="Y45" t="str">
        <f t="shared" si="13"/>
        <v/>
      </c>
      <c r="Z45" t="str">
        <f>IF(Input!R45&lt;&gt;"",IF(ISNUMBER(Input!S45),ROUNDDOWN(Input!S45,0),0),"")</f>
        <v/>
      </c>
      <c r="AA45" t="str">
        <f>IF(Input!U45&lt;&gt;"",Input!U45,"")</f>
        <v/>
      </c>
      <c r="AB45" t="str">
        <f t="shared" si="14"/>
        <v/>
      </c>
      <c r="AC45" t="str">
        <f>IF(Input!U45&lt;&gt;"",IF(ISNUMBER(Input!V45),ROUNDDOWN(Input!V45,0),0),"")</f>
        <v/>
      </c>
      <c r="AD45" t="str">
        <f>IF(Input!X45&lt;&gt;"",Input!X45,"")</f>
        <v/>
      </c>
      <c r="AE45" t="str">
        <f t="shared" si="15"/>
        <v/>
      </c>
      <c r="AF45" t="str">
        <f>IF(Input!X45&lt;&gt;"",IF(ISNUMBER(Input!Y45),(Input!Y45),0),"")</f>
        <v/>
      </c>
      <c r="AG45" t="str">
        <f>IF(Input!AA45&lt;&gt;"",Input!AA45,"")</f>
        <v/>
      </c>
      <c r="AH45" t="str">
        <f t="shared" si="16"/>
        <v/>
      </c>
      <c r="AI45" t="str">
        <f>IF(Input!AA45&lt;&gt;"",IF(ISNUMBER(Input!AB45),ROUNDDOWN(Input!AB45,0),0),"")</f>
        <v/>
      </c>
      <c r="AJ45" t="str">
        <f>IF(Input!AD45&lt;&gt;"",Input!AD45,"")</f>
        <v/>
      </c>
      <c r="AK45" t="str">
        <f t="shared" si="17"/>
        <v/>
      </c>
      <c r="AL45" t="str">
        <f>IF(Input!AD45&lt;&gt;"",IF(ISNUMBER(Input!AE45),(Input!AE45),0),"")</f>
        <v/>
      </c>
      <c r="AM45" t="str">
        <f>IF(Input!AG45&lt;&gt;"",Input!AG45,"")</f>
        <v/>
      </c>
      <c r="AN45" t="str">
        <f t="shared" si="7"/>
        <v/>
      </c>
      <c r="AO45" t="str">
        <f>IF(Input!AG45&lt;&gt;"",IF(ISNUMBER(Input!AH45),(Input!AH45),0),"")</f>
        <v/>
      </c>
    </row>
    <row r="46" spans="1:41" ht="16.5" thickTop="1" thickBot="1" x14ac:dyDescent="0.4">
      <c r="A46" s="35">
        <f>IF(ISBLANK(Input!A46),1000,IF(Input!E46&gt;0,Input!E46+F46,1000))</f>
        <v>1000</v>
      </c>
      <c r="B46" s="32">
        <f t="shared" si="8"/>
        <v>1000</v>
      </c>
      <c r="C46" s="4">
        <v>45</v>
      </c>
      <c r="D46" s="97">
        <f>IF(ISBLANK(Input!A46),1000,IF(Input!G46&gt;0,Input!G46+F46,1000))</f>
        <v>1000</v>
      </c>
      <c r="E46" s="97">
        <f t="shared" si="9"/>
        <v>1000</v>
      </c>
      <c r="F46" s="4">
        <v>4.4999999999999998E-2</v>
      </c>
      <c r="I46" t="str">
        <f>IF(Input!A46&gt;0,Input!A46,"")</f>
        <v/>
      </c>
      <c r="J46" t="str">
        <f>IF(Input!B46&gt;0,Input!B46,"")</f>
        <v/>
      </c>
      <c r="K46" t="str">
        <f>IF(Input!C46&gt;0,Input!C46,"")</f>
        <v/>
      </c>
      <c r="L46" t="str">
        <f>IF(Input!D46&gt;0,Input!D46,"")</f>
        <v/>
      </c>
      <c r="M46" t="str">
        <f>IF(Input!G46&gt;0,Input!G46,"")</f>
        <v xml:space="preserve"> </v>
      </c>
      <c r="N46" t="str">
        <f>IF(Input!H46&gt;0,Input!H46,"")</f>
        <v xml:space="preserve"> </v>
      </c>
      <c r="O46" t="str">
        <f>IF(Input!I46&lt;&gt;"",Input!I46,"")</f>
        <v/>
      </c>
      <c r="P46" t="str">
        <f t="shared" si="10"/>
        <v/>
      </c>
      <c r="Q46" t="str">
        <f>IF(Input!I46&lt;&gt;"",IF(ISNUMBER(Input!J46),ROUNDDOWN(Input!J46,0),0),"")</f>
        <v/>
      </c>
      <c r="R46" t="str">
        <f>IF(Input!L46&lt;&gt;"",Input!L46,"")</f>
        <v/>
      </c>
      <c r="S46" t="str">
        <f t="shared" si="11"/>
        <v/>
      </c>
      <c r="T46" t="str">
        <f>IF(Input!L46&lt;&gt;"",IF(ISNUMBER(Input!M46),Input!M46,0),"")</f>
        <v/>
      </c>
      <c r="U46" t="str">
        <f>IF(Input!O46&lt;&gt;"",Input!O46,"")</f>
        <v/>
      </c>
      <c r="V46" t="str">
        <f t="shared" si="12"/>
        <v/>
      </c>
      <c r="W46" t="str">
        <f>IF(Input!O46&lt;&gt;"",IF(ISNUMBER(Input!P46),(Input!P46),0),"")</f>
        <v/>
      </c>
      <c r="X46" t="str">
        <f>IF(Input!R46&lt;&gt;"",Input!R46,"")</f>
        <v/>
      </c>
      <c r="Y46" t="str">
        <f t="shared" si="13"/>
        <v/>
      </c>
      <c r="Z46" t="str">
        <f>IF(Input!R46&lt;&gt;"",IF(ISNUMBER(Input!S46),ROUNDDOWN(Input!S46,0),0),"")</f>
        <v/>
      </c>
      <c r="AA46" t="str">
        <f>IF(Input!U46&lt;&gt;"",Input!U46,"")</f>
        <v/>
      </c>
      <c r="AB46" t="str">
        <f t="shared" si="14"/>
        <v/>
      </c>
      <c r="AC46" t="str">
        <f>IF(Input!U46&lt;&gt;"",IF(ISNUMBER(Input!V46),ROUNDDOWN(Input!V46,0),0),"")</f>
        <v/>
      </c>
      <c r="AD46" t="str">
        <f>IF(Input!X46&lt;&gt;"",Input!X46,"")</f>
        <v/>
      </c>
      <c r="AE46" t="str">
        <f t="shared" si="15"/>
        <v/>
      </c>
      <c r="AF46" t="str">
        <f>IF(Input!X46&lt;&gt;"",IF(ISNUMBER(Input!Y46),(Input!Y46),0),"")</f>
        <v/>
      </c>
      <c r="AG46" t="str">
        <f>IF(Input!AA46&lt;&gt;"",Input!AA46,"")</f>
        <v/>
      </c>
      <c r="AH46" t="str">
        <f t="shared" si="16"/>
        <v/>
      </c>
      <c r="AI46" t="str">
        <f>IF(Input!AA46&lt;&gt;"",IF(ISNUMBER(Input!AB46),ROUNDDOWN(Input!AB46,0),0),"")</f>
        <v/>
      </c>
      <c r="AJ46" t="str">
        <f>IF(Input!AD46&lt;&gt;"",Input!AD46,"")</f>
        <v/>
      </c>
      <c r="AK46" t="str">
        <f t="shared" si="17"/>
        <v/>
      </c>
      <c r="AL46" t="str">
        <f>IF(Input!AD46&lt;&gt;"",IF(ISNUMBER(Input!AE46),(Input!AE46),0),"")</f>
        <v/>
      </c>
      <c r="AM46" t="str">
        <f>IF(Input!AG46&lt;&gt;"",Input!AG46,"")</f>
        <v/>
      </c>
      <c r="AN46" t="str">
        <f t="shared" si="7"/>
        <v/>
      </c>
      <c r="AO46" t="str">
        <f>IF(Input!AG46&lt;&gt;"",IF(ISNUMBER(Input!AH46),(Input!AH46),0),"")</f>
        <v/>
      </c>
    </row>
    <row r="47" spans="1:41" ht="16.5" thickTop="1" thickBot="1" x14ac:dyDescent="0.4">
      <c r="A47" s="35">
        <f>IF(ISBLANK(Input!A47),1000,IF(Input!E47&gt;0,Input!E47+F47,1000))</f>
        <v>1000</v>
      </c>
      <c r="B47" s="32">
        <f t="shared" si="8"/>
        <v>1000</v>
      </c>
      <c r="C47" s="4">
        <v>46</v>
      </c>
      <c r="D47" s="97">
        <f>IF(ISBLANK(Input!A47),1000,IF(Input!G47&gt;0,Input!G47+F47,1000))</f>
        <v>1000</v>
      </c>
      <c r="E47" s="97">
        <f t="shared" si="9"/>
        <v>1000</v>
      </c>
      <c r="F47" s="4">
        <v>4.5999999999999999E-2</v>
      </c>
      <c r="I47" t="str">
        <f>IF(Input!A47&gt;0,Input!A47,"")</f>
        <v/>
      </c>
      <c r="J47" t="str">
        <f>IF(Input!B47&gt;0,Input!B47,"")</f>
        <v/>
      </c>
      <c r="K47" t="str">
        <f>IF(Input!C47&gt;0,Input!C47,"")</f>
        <v/>
      </c>
      <c r="L47" t="str">
        <f>IF(Input!D47&gt;0,Input!D47,"")</f>
        <v/>
      </c>
      <c r="M47" t="str">
        <f>IF(Input!G47&gt;0,Input!G47,"")</f>
        <v xml:space="preserve"> </v>
      </c>
      <c r="N47" t="str">
        <f>IF(Input!H47&gt;0,Input!H47,"")</f>
        <v xml:space="preserve"> </v>
      </c>
      <c r="O47" t="str">
        <f>IF(Input!I47&lt;&gt;"",Input!I47,"")</f>
        <v/>
      </c>
      <c r="P47" t="str">
        <f t="shared" si="10"/>
        <v/>
      </c>
      <c r="Q47" t="str">
        <f>IF(Input!I47&lt;&gt;"",IF(ISNUMBER(Input!J47),ROUNDDOWN(Input!J47,0),0),"")</f>
        <v/>
      </c>
      <c r="R47" t="str">
        <f>IF(Input!L47&lt;&gt;"",Input!L47,"")</f>
        <v/>
      </c>
      <c r="S47" t="str">
        <f t="shared" si="11"/>
        <v/>
      </c>
      <c r="T47" t="str">
        <f>IF(Input!L47&lt;&gt;"",IF(ISNUMBER(Input!M47),Input!M47,0),"")</f>
        <v/>
      </c>
      <c r="U47" t="str">
        <f>IF(Input!O47&lt;&gt;"",Input!O47,"")</f>
        <v/>
      </c>
      <c r="V47" t="str">
        <f t="shared" si="12"/>
        <v/>
      </c>
      <c r="W47" t="str">
        <f>IF(Input!O47&lt;&gt;"",IF(ISNUMBER(Input!P47),(Input!P47),0),"")</f>
        <v/>
      </c>
      <c r="X47" t="str">
        <f>IF(Input!R47&lt;&gt;"",Input!R47,"")</f>
        <v/>
      </c>
      <c r="Y47" t="str">
        <f t="shared" si="13"/>
        <v/>
      </c>
      <c r="Z47" t="str">
        <f>IF(Input!R47&lt;&gt;"",IF(ISNUMBER(Input!S47),ROUNDDOWN(Input!S47,0),0),"")</f>
        <v/>
      </c>
      <c r="AA47" t="str">
        <f>IF(Input!U47&lt;&gt;"",Input!U47,"")</f>
        <v/>
      </c>
      <c r="AB47" t="str">
        <f t="shared" si="14"/>
        <v/>
      </c>
      <c r="AC47" t="str">
        <f>IF(Input!U47&lt;&gt;"",IF(ISNUMBER(Input!V47),ROUNDDOWN(Input!V47,0),0),"")</f>
        <v/>
      </c>
      <c r="AD47" t="str">
        <f>IF(Input!X47&lt;&gt;"",Input!X47,"")</f>
        <v/>
      </c>
      <c r="AE47" t="str">
        <f t="shared" si="15"/>
        <v/>
      </c>
      <c r="AF47" t="str">
        <f>IF(Input!X47&lt;&gt;"",IF(ISNUMBER(Input!Y47),(Input!Y47),0),"")</f>
        <v/>
      </c>
      <c r="AG47" t="str">
        <f>IF(Input!AA47&lt;&gt;"",Input!AA47,"")</f>
        <v/>
      </c>
      <c r="AH47" t="str">
        <f t="shared" si="16"/>
        <v/>
      </c>
      <c r="AI47" t="str">
        <f>IF(Input!AA47&lt;&gt;"",IF(ISNUMBER(Input!AB47),ROUNDDOWN(Input!AB47,0),0),"")</f>
        <v/>
      </c>
      <c r="AJ47" t="str">
        <f>IF(Input!AD47&lt;&gt;"",Input!AD47,"")</f>
        <v/>
      </c>
      <c r="AK47" t="str">
        <f t="shared" si="17"/>
        <v/>
      </c>
      <c r="AL47" t="str">
        <f>IF(Input!AD47&lt;&gt;"",IF(ISNUMBER(Input!AE47),(Input!AE47),0),"")</f>
        <v/>
      </c>
      <c r="AM47" t="str">
        <f>IF(Input!AG47&lt;&gt;"",Input!AG47,"")</f>
        <v/>
      </c>
      <c r="AN47" t="str">
        <f t="shared" si="7"/>
        <v/>
      </c>
      <c r="AO47" t="str">
        <f>IF(Input!AG47&lt;&gt;"",IF(ISNUMBER(Input!AH47),(Input!AH47),0),"")</f>
        <v/>
      </c>
    </row>
    <row r="48" spans="1:41" ht="16.5" thickTop="1" thickBot="1" x14ac:dyDescent="0.4">
      <c r="A48" s="35">
        <f>IF(ISBLANK(Input!A48),1000,IF(Input!E48&gt;0,Input!E48+F48,1000))</f>
        <v>1000</v>
      </c>
      <c r="B48" s="32">
        <f t="shared" si="8"/>
        <v>1000</v>
      </c>
      <c r="C48" s="4">
        <v>47</v>
      </c>
      <c r="D48" s="97">
        <f>IF(ISBLANK(Input!A48),1000,IF(Input!G48&gt;0,Input!G48+F48,1000))</f>
        <v>1000</v>
      </c>
      <c r="E48" s="97">
        <f t="shared" si="9"/>
        <v>1000</v>
      </c>
      <c r="F48" s="4">
        <v>4.7E-2</v>
      </c>
      <c r="I48" t="str">
        <f>IF(Input!A48&gt;0,Input!A48,"")</f>
        <v/>
      </c>
      <c r="J48" t="str">
        <f>IF(Input!B48&gt;0,Input!B48,"")</f>
        <v/>
      </c>
      <c r="K48" t="str">
        <f>IF(Input!C48&gt;0,Input!C48,"")</f>
        <v/>
      </c>
      <c r="L48" t="str">
        <f>IF(Input!D48&gt;0,Input!D48,"")</f>
        <v/>
      </c>
      <c r="M48" t="str">
        <f>IF(Input!G48&gt;0,Input!G48,"")</f>
        <v xml:space="preserve"> </v>
      </c>
      <c r="N48" t="str">
        <f>IF(Input!H48&gt;0,Input!H48,"")</f>
        <v xml:space="preserve"> </v>
      </c>
      <c r="O48" t="str">
        <f>IF(Input!I48&lt;&gt;"",Input!I48,"")</f>
        <v/>
      </c>
      <c r="P48" t="str">
        <f t="shared" si="10"/>
        <v/>
      </c>
      <c r="Q48" t="str">
        <f>IF(Input!I48&lt;&gt;"",IF(ISNUMBER(Input!J48),ROUNDDOWN(Input!J48,0),0),"")</f>
        <v/>
      </c>
      <c r="R48" t="str">
        <f>IF(Input!L48&lt;&gt;"",Input!L48,"")</f>
        <v/>
      </c>
      <c r="S48" t="str">
        <f t="shared" si="11"/>
        <v/>
      </c>
      <c r="T48" t="str">
        <f>IF(Input!L48&lt;&gt;"",IF(ISNUMBER(Input!M48),Input!M48,0),"")</f>
        <v/>
      </c>
      <c r="U48" t="str">
        <f>IF(Input!O48&lt;&gt;"",Input!O48,"")</f>
        <v/>
      </c>
      <c r="V48" t="str">
        <f t="shared" si="12"/>
        <v/>
      </c>
      <c r="W48" t="str">
        <f>IF(Input!O48&lt;&gt;"",IF(ISNUMBER(Input!P48),(Input!P48),0),"")</f>
        <v/>
      </c>
      <c r="X48" t="str">
        <f>IF(Input!R48&lt;&gt;"",Input!R48,"")</f>
        <v/>
      </c>
      <c r="Y48" t="str">
        <f t="shared" si="13"/>
        <v/>
      </c>
      <c r="Z48" t="str">
        <f>IF(Input!R48&lt;&gt;"",IF(ISNUMBER(Input!S48),ROUNDDOWN(Input!S48,0),0),"")</f>
        <v/>
      </c>
      <c r="AA48" t="str">
        <f>IF(Input!U48&lt;&gt;"",Input!U48,"")</f>
        <v/>
      </c>
      <c r="AB48" t="str">
        <f t="shared" si="14"/>
        <v/>
      </c>
      <c r="AC48" t="str">
        <f>IF(Input!U48&lt;&gt;"",IF(ISNUMBER(Input!V48),ROUNDDOWN(Input!V48,0),0),"")</f>
        <v/>
      </c>
      <c r="AD48" t="str">
        <f>IF(Input!X48&lt;&gt;"",Input!X48,"")</f>
        <v/>
      </c>
      <c r="AE48" t="str">
        <f t="shared" si="15"/>
        <v/>
      </c>
      <c r="AF48" t="str">
        <f>IF(Input!X48&lt;&gt;"",IF(ISNUMBER(Input!Y48),(Input!Y48),0),"")</f>
        <v/>
      </c>
      <c r="AG48" t="str">
        <f>IF(Input!AA48&lt;&gt;"",Input!AA48,"")</f>
        <v/>
      </c>
      <c r="AH48" t="str">
        <f t="shared" si="16"/>
        <v/>
      </c>
      <c r="AI48" t="str">
        <f>IF(Input!AA48&lt;&gt;"",IF(ISNUMBER(Input!AB48),ROUNDDOWN(Input!AB48,0),0),"")</f>
        <v/>
      </c>
      <c r="AJ48" t="str">
        <f>IF(Input!AD48&lt;&gt;"",Input!AD48,"")</f>
        <v/>
      </c>
      <c r="AK48" t="str">
        <f t="shared" si="17"/>
        <v/>
      </c>
      <c r="AL48" t="str">
        <f>IF(Input!AD48&lt;&gt;"",IF(ISNUMBER(Input!AE48),(Input!AE48),0),"")</f>
        <v/>
      </c>
      <c r="AM48" t="str">
        <f>IF(Input!AG48&lt;&gt;"",Input!AG48,"")</f>
        <v/>
      </c>
      <c r="AN48" t="str">
        <f t="shared" si="7"/>
        <v/>
      </c>
      <c r="AO48" t="str">
        <f>IF(Input!AG48&lt;&gt;"",IF(ISNUMBER(Input!AH48),(Input!AH48),0),"")</f>
        <v/>
      </c>
    </row>
    <row r="49" spans="1:41" ht="16.5" thickTop="1" thickBot="1" x14ac:dyDescent="0.4">
      <c r="A49" s="35">
        <f>IF(ISBLANK(Input!A49),1000,IF(Input!E49&gt;0,Input!E49+F49,1000))</f>
        <v>1000</v>
      </c>
      <c r="B49" s="32">
        <f t="shared" si="8"/>
        <v>1000</v>
      </c>
      <c r="C49" s="4">
        <v>48</v>
      </c>
      <c r="D49" s="97">
        <f>IF(ISBLANK(Input!A49),1000,IF(Input!G49&gt;0,Input!G49+F49,1000))</f>
        <v>1000</v>
      </c>
      <c r="E49" s="97">
        <f t="shared" si="9"/>
        <v>1000</v>
      </c>
      <c r="F49" s="4">
        <v>4.8000000000000001E-2</v>
      </c>
      <c r="I49" t="str">
        <f>IF(Input!A49&gt;0,Input!A49,"")</f>
        <v/>
      </c>
      <c r="J49" t="str">
        <f>IF(Input!B49&gt;0,Input!B49,"")</f>
        <v/>
      </c>
      <c r="K49" t="str">
        <f>IF(Input!C49&gt;0,Input!C49,"")</f>
        <v/>
      </c>
      <c r="L49" t="str">
        <f>IF(Input!D49&gt;0,Input!D49,"")</f>
        <v/>
      </c>
      <c r="M49" t="str">
        <f>IF(Input!G49&gt;0,Input!G49,"")</f>
        <v xml:space="preserve"> </v>
      </c>
      <c r="N49" t="str">
        <f>IF(Input!H49&gt;0,Input!H49,"")</f>
        <v xml:space="preserve"> </v>
      </c>
      <c r="O49" t="str">
        <f>IF(Input!I49&lt;&gt;"",Input!I49,"")</f>
        <v/>
      </c>
      <c r="P49" t="str">
        <f t="shared" si="10"/>
        <v/>
      </c>
      <c r="Q49" t="str">
        <f>IF(Input!I49&lt;&gt;"",IF(ISNUMBER(Input!J49),ROUNDDOWN(Input!J49,0),0),"")</f>
        <v/>
      </c>
      <c r="R49" t="str">
        <f>IF(Input!L49&lt;&gt;"",Input!L49,"")</f>
        <v/>
      </c>
      <c r="S49" t="str">
        <f t="shared" si="11"/>
        <v/>
      </c>
      <c r="T49" t="str">
        <f>IF(Input!L49&lt;&gt;"",IF(ISNUMBER(Input!M49),Input!M49,0),"")</f>
        <v/>
      </c>
      <c r="U49" t="str">
        <f>IF(Input!O49&lt;&gt;"",Input!O49,"")</f>
        <v/>
      </c>
      <c r="V49" t="str">
        <f t="shared" si="12"/>
        <v/>
      </c>
      <c r="W49" t="str">
        <f>IF(Input!O49&lt;&gt;"",IF(ISNUMBER(Input!P49),(Input!P49),0),"")</f>
        <v/>
      </c>
      <c r="X49" t="str">
        <f>IF(Input!R49&lt;&gt;"",Input!R49,"")</f>
        <v/>
      </c>
      <c r="Y49" t="str">
        <f t="shared" si="13"/>
        <v/>
      </c>
      <c r="Z49" t="str">
        <f>IF(Input!R49&lt;&gt;"",IF(ISNUMBER(Input!S49),ROUNDDOWN(Input!S49,0),0),"")</f>
        <v/>
      </c>
      <c r="AA49" t="str">
        <f>IF(Input!U49&lt;&gt;"",Input!U49,"")</f>
        <v/>
      </c>
      <c r="AB49" t="str">
        <f t="shared" si="14"/>
        <v/>
      </c>
      <c r="AC49" t="str">
        <f>IF(Input!U49&lt;&gt;"",IF(ISNUMBER(Input!V49),ROUNDDOWN(Input!V49,0),0),"")</f>
        <v/>
      </c>
      <c r="AD49" t="str">
        <f>IF(Input!X49&lt;&gt;"",Input!X49,"")</f>
        <v/>
      </c>
      <c r="AE49" t="str">
        <f t="shared" si="15"/>
        <v/>
      </c>
      <c r="AF49" t="str">
        <f>IF(Input!X49&lt;&gt;"",IF(ISNUMBER(Input!Y49),(Input!Y49),0),"")</f>
        <v/>
      </c>
      <c r="AG49" t="str">
        <f>IF(Input!AA49&lt;&gt;"",Input!AA49,"")</f>
        <v/>
      </c>
      <c r="AH49" t="str">
        <f t="shared" si="16"/>
        <v/>
      </c>
      <c r="AI49" t="str">
        <f>IF(Input!AA49&lt;&gt;"",IF(ISNUMBER(Input!AB49),ROUNDDOWN(Input!AB49,0),0),"")</f>
        <v/>
      </c>
      <c r="AJ49" t="str">
        <f>IF(Input!AD49&lt;&gt;"",Input!AD49,"")</f>
        <v/>
      </c>
      <c r="AK49" t="str">
        <f t="shared" si="17"/>
        <v/>
      </c>
      <c r="AL49" t="str">
        <f>IF(Input!AD49&lt;&gt;"",IF(ISNUMBER(Input!AE49),(Input!AE49),0),"")</f>
        <v/>
      </c>
      <c r="AM49" t="str">
        <f>IF(Input!AG49&lt;&gt;"",Input!AG49,"")</f>
        <v/>
      </c>
      <c r="AN49" t="str">
        <f t="shared" si="7"/>
        <v/>
      </c>
      <c r="AO49" t="str">
        <f>IF(Input!AG49&lt;&gt;"",IF(ISNUMBER(Input!AH49),(Input!AH49),0),"")</f>
        <v/>
      </c>
    </row>
    <row r="50" spans="1:41" ht="16.5" thickTop="1" thickBot="1" x14ac:dyDescent="0.4">
      <c r="A50" s="35">
        <f>IF(ISBLANK(Input!A50),1000,IF(Input!E50&gt;0,Input!E50+F50,1000))</f>
        <v>1000</v>
      </c>
      <c r="B50" s="32">
        <f t="shared" si="8"/>
        <v>1000</v>
      </c>
      <c r="C50" s="4">
        <v>49</v>
      </c>
      <c r="D50" s="97">
        <f>IF(ISBLANK(Input!A50),1000,IF(Input!G50&gt;0,Input!G50+F50,1000))</f>
        <v>1000</v>
      </c>
      <c r="E50" s="97">
        <f t="shared" si="9"/>
        <v>1000</v>
      </c>
      <c r="F50" s="4">
        <v>4.9000000000000002E-2</v>
      </c>
      <c r="I50" t="str">
        <f>IF(Input!A50&gt;0,Input!A50,"")</f>
        <v/>
      </c>
      <c r="J50" t="str">
        <f>IF(Input!B50&gt;0,Input!B50,"")</f>
        <v/>
      </c>
      <c r="K50" t="str">
        <f>IF(Input!C50&gt;0,Input!C50,"")</f>
        <v/>
      </c>
      <c r="L50" t="str">
        <f>IF(Input!D50&gt;0,Input!D50,"")</f>
        <v/>
      </c>
      <c r="M50" t="str">
        <f>IF(Input!G50&gt;0,Input!G50,"")</f>
        <v xml:space="preserve"> </v>
      </c>
      <c r="N50" t="str">
        <f>IF(Input!H50&gt;0,Input!H50,"")</f>
        <v xml:space="preserve"> </v>
      </c>
      <c r="O50" t="str">
        <f>IF(Input!I50&lt;&gt;"",Input!I50,"")</f>
        <v/>
      </c>
      <c r="P50" t="str">
        <f t="shared" si="10"/>
        <v/>
      </c>
      <c r="Q50" t="str">
        <f>IF(Input!I50&lt;&gt;"",IF(ISNUMBER(Input!J50),ROUNDDOWN(Input!J50,0),0),"")</f>
        <v/>
      </c>
      <c r="R50" t="str">
        <f>IF(Input!L50&lt;&gt;"",Input!L50,"")</f>
        <v/>
      </c>
      <c r="S50" t="str">
        <f t="shared" si="11"/>
        <v/>
      </c>
      <c r="T50" t="str">
        <f>IF(Input!L50&lt;&gt;"",IF(ISNUMBER(Input!M50),Input!M50,0),"")</f>
        <v/>
      </c>
      <c r="U50" t="str">
        <f>IF(Input!O50&lt;&gt;"",Input!O50,"")</f>
        <v/>
      </c>
      <c r="V50" t="str">
        <f t="shared" si="12"/>
        <v/>
      </c>
      <c r="W50" t="str">
        <f>IF(Input!O50&lt;&gt;"",IF(ISNUMBER(Input!P50),(Input!P50),0),"")</f>
        <v/>
      </c>
      <c r="X50" t="str">
        <f>IF(Input!R50&lt;&gt;"",Input!R50,"")</f>
        <v/>
      </c>
      <c r="Y50" t="str">
        <f t="shared" si="13"/>
        <v/>
      </c>
      <c r="Z50" t="str">
        <f>IF(Input!R50&lt;&gt;"",IF(ISNUMBER(Input!S50),ROUNDDOWN(Input!S50,0),0),"")</f>
        <v/>
      </c>
      <c r="AA50" t="str">
        <f>IF(Input!U50&lt;&gt;"",Input!U50,"")</f>
        <v/>
      </c>
      <c r="AB50" t="str">
        <f t="shared" si="14"/>
        <v/>
      </c>
      <c r="AC50" t="str">
        <f>IF(Input!U50&lt;&gt;"",IF(ISNUMBER(Input!V50),ROUNDDOWN(Input!V50,0),0),"")</f>
        <v/>
      </c>
      <c r="AD50" t="str">
        <f>IF(Input!X50&lt;&gt;"",Input!X50,"")</f>
        <v/>
      </c>
      <c r="AE50" t="str">
        <f t="shared" si="15"/>
        <v/>
      </c>
      <c r="AF50" t="str">
        <f>IF(Input!X50&lt;&gt;"",IF(ISNUMBER(Input!Y50),(Input!Y50),0),"")</f>
        <v/>
      </c>
      <c r="AG50" t="str">
        <f>IF(Input!AA50&lt;&gt;"",Input!AA50,"")</f>
        <v/>
      </c>
      <c r="AH50" t="str">
        <f t="shared" si="16"/>
        <v/>
      </c>
      <c r="AI50" t="str">
        <f>IF(Input!AA50&lt;&gt;"",IF(ISNUMBER(Input!AB50),ROUNDDOWN(Input!AB50,0),0),"")</f>
        <v/>
      </c>
      <c r="AJ50" t="str">
        <f>IF(Input!AD50&lt;&gt;"",Input!AD50,"")</f>
        <v/>
      </c>
      <c r="AK50" t="str">
        <f t="shared" si="17"/>
        <v/>
      </c>
      <c r="AL50" t="str">
        <f>IF(Input!AD50&lt;&gt;"",IF(ISNUMBER(Input!AE50),(Input!AE50),0),"")</f>
        <v/>
      </c>
      <c r="AM50" t="str">
        <f>IF(Input!AG50&lt;&gt;"",Input!AG50,"")</f>
        <v/>
      </c>
      <c r="AN50" t="str">
        <f t="shared" si="7"/>
        <v/>
      </c>
      <c r="AO50" t="str">
        <f>IF(Input!AG50&lt;&gt;"",IF(ISNUMBER(Input!AH50),(Input!AH50),0),"")</f>
        <v/>
      </c>
    </row>
    <row r="51" spans="1:41" ht="16.5" thickTop="1" thickBot="1" x14ac:dyDescent="0.4">
      <c r="A51" s="35">
        <f>IF(ISBLANK(Input!A51),1000,IF(Input!E51&gt;0,Input!E51+F51,1000))</f>
        <v>1000</v>
      </c>
      <c r="B51" s="32">
        <f t="shared" si="8"/>
        <v>1000</v>
      </c>
      <c r="C51" s="4">
        <v>50</v>
      </c>
      <c r="D51" s="97">
        <f>IF(ISBLANK(Input!A51),1000,IF(Input!G51&gt;0,Input!G51+F51,1000))</f>
        <v>1000</v>
      </c>
      <c r="E51" s="97">
        <f t="shared" si="9"/>
        <v>1000</v>
      </c>
      <c r="F51" s="4">
        <v>0.05</v>
      </c>
      <c r="I51" t="str">
        <f>IF(Input!A51&gt;0,Input!A51,"")</f>
        <v/>
      </c>
      <c r="J51" t="str">
        <f>IF(Input!B51&gt;0,Input!B51,"")</f>
        <v/>
      </c>
      <c r="K51" t="str">
        <f>IF(Input!C51&gt;0,Input!C51,"")</f>
        <v/>
      </c>
      <c r="L51" t="str">
        <f>IF(Input!D51&gt;0,Input!D51,"")</f>
        <v/>
      </c>
      <c r="M51" t="str">
        <f>IF(Input!G51&gt;0,Input!G51,"")</f>
        <v xml:space="preserve"> </v>
      </c>
      <c r="N51" t="str">
        <f>IF(Input!H51&gt;0,Input!H51,"")</f>
        <v xml:space="preserve"> </v>
      </c>
      <c r="O51" t="str">
        <f>IF(Input!I51&lt;&gt;"",Input!I51,"")</f>
        <v/>
      </c>
      <c r="P51" t="str">
        <f t="shared" si="10"/>
        <v/>
      </c>
      <c r="Q51" t="str">
        <f>IF(Input!I51&lt;&gt;"",IF(ISNUMBER(Input!J51),ROUNDDOWN(Input!J51,0),0),"")</f>
        <v/>
      </c>
      <c r="R51" t="str">
        <f>IF(Input!L51&lt;&gt;"",Input!L51,"")</f>
        <v/>
      </c>
      <c r="S51" t="str">
        <f t="shared" si="11"/>
        <v/>
      </c>
      <c r="T51" t="str">
        <f>IF(Input!L51&lt;&gt;"",IF(ISNUMBER(Input!M51),Input!M51,0),"")</f>
        <v/>
      </c>
      <c r="U51" t="str">
        <f>IF(Input!O51&lt;&gt;"",Input!O51,"")</f>
        <v/>
      </c>
      <c r="V51" t="str">
        <f t="shared" si="12"/>
        <v/>
      </c>
      <c r="W51" t="str">
        <f>IF(Input!O51&lt;&gt;"",IF(ISNUMBER(Input!P51),(Input!P51),0),"")</f>
        <v/>
      </c>
      <c r="X51" t="str">
        <f>IF(Input!R51&lt;&gt;"",Input!R51,"")</f>
        <v/>
      </c>
      <c r="Y51" t="str">
        <f t="shared" si="13"/>
        <v/>
      </c>
      <c r="Z51" t="str">
        <f>IF(Input!R51&lt;&gt;"",IF(ISNUMBER(Input!S51),ROUNDDOWN(Input!S51,0),0),"")</f>
        <v/>
      </c>
      <c r="AA51" t="str">
        <f>IF(Input!U51&lt;&gt;"",Input!U51,"")</f>
        <v/>
      </c>
      <c r="AB51" t="str">
        <f t="shared" si="14"/>
        <v/>
      </c>
      <c r="AC51" t="str">
        <f>IF(Input!U51&lt;&gt;"",IF(ISNUMBER(Input!V51),ROUNDDOWN(Input!V51,0),0),"")</f>
        <v/>
      </c>
      <c r="AD51" t="str">
        <f>IF(Input!X51&lt;&gt;"",Input!X51,"")</f>
        <v/>
      </c>
      <c r="AE51" t="str">
        <f t="shared" si="15"/>
        <v/>
      </c>
      <c r="AF51" t="str">
        <f>IF(Input!X51&lt;&gt;"",IF(ISNUMBER(Input!Y51),(Input!Y51),0),"")</f>
        <v/>
      </c>
      <c r="AG51" t="str">
        <f>IF(Input!AA51&lt;&gt;"",Input!AA51,"")</f>
        <v/>
      </c>
      <c r="AH51" t="str">
        <f t="shared" si="16"/>
        <v/>
      </c>
      <c r="AI51" t="str">
        <f>IF(Input!AA51&lt;&gt;"",IF(ISNUMBER(Input!AB51),ROUNDDOWN(Input!AB51,0),0),"")</f>
        <v/>
      </c>
      <c r="AJ51" t="str">
        <f>IF(Input!AD51&lt;&gt;"",Input!AD51,"")</f>
        <v/>
      </c>
      <c r="AK51" t="str">
        <f t="shared" si="17"/>
        <v/>
      </c>
      <c r="AL51" t="str">
        <f>IF(Input!AD51&lt;&gt;"",IF(ISNUMBER(Input!AE51),(Input!AE51),0),"")</f>
        <v/>
      </c>
      <c r="AM51" t="str">
        <f>IF(Input!AG51&lt;&gt;"",Input!AG51,"")</f>
        <v/>
      </c>
      <c r="AN51" t="str">
        <f t="shared" si="7"/>
        <v/>
      </c>
      <c r="AO51" t="str">
        <f>IF(Input!AG51&lt;&gt;"",IF(ISNUMBER(Input!AH51),(Input!AH51),0),"")</f>
        <v/>
      </c>
    </row>
    <row r="52" spans="1:41" ht="16.5" thickTop="1" thickBot="1" x14ac:dyDescent="0.4">
      <c r="A52" s="35">
        <f>IF(ISBLANK(Input!A52),1000,IF(Input!E52&gt;0,Input!E52+F52,1000))</f>
        <v>1000</v>
      </c>
      <c r="B52" s="32">
        <f t="shared" si="8"/>
        <v>1000</v>
      </c>
      <c r="C52" s="4">
        <v>51</v>
      </c>
      <c r="D52" s="97">
        <f>IF(ISBLANK(Input!A52),1000,IF(Input!G52&gt;0,Input!G52+F52,1000))</f>
        <v>1000</v>
      </c>
      <c r="E52" s="97">
        <f t="shared" si="9"/>
        <v>1000</v>
      </c>
      <c r="F52" s="4">
        <v>5.0999999999999997E-2</v>
      </c>
      <c r="I52" t="str">
        <f>IF(Input!A52&gt;0,Input!A52,"")</f>
        <v/>
      </c>
      <c r="J52" t="str">
        <f>IF(Input!B52&gt;0,Input!B52,"")</f>
        <v/>
      </c>
      <c r="K52" t="str">
        <f>IF(Input!C52&gt;0,Input!C52,"")</f>
        <v/>
      </c>
      <c r="L52" t="str">
        <f>IF(Input!D52&gt;0,Input!D52,"")</f>
        <v/>
      </c>
      <c r="M52" t="str">
        <f>IF(Input!G52&gt;0,Input!G52,"")</f>
        <v xml:space="preserve"> </v>
      </c>
      <c r="N52" t="str">
        <f>IF(Input!H52&gt;0,Input!H52,"")</f>
        <v xml:space="preserve"> </v>
      </c>
      <c r="O52" t="str">
        <f>IF(Input!I52&lt;&gt;"",Input!I52,"")</f>
        <v/>
      </c>
      <c r="P52" t="str">
        <f t="shared" si="10"/>
        <v/>
      </c>
      <c r="Q52" t="str">
        <f>IF(Input!I52&lt;&gt;"",IF(ISNUMBER(Input!J52),ROUNDDOWN(Input!J52,0),0),"")</f>
        <v/>
      </c>
      <c r="R52" t="str">
        <f>IF(Input!L52&lt;&gt;"",Input!L52,"")</f>
        <v/>
      </c>
      <c r="S52" t="str">
        <f t="shared" si="11"/>
        <v/>
      </c>
      <c r="T52" t="str">
        <f>IF(Input!L52&lt;&gt;"",IF(ISNUMBER(Input!M52),Input!M52,0),"")</f>
        <v/>
      </c>
      <c r="U52" t="str">
        <f>IF(Input!O52&lt;&gt;"",Input!O52,"")</f>
        <v/>
      </c>
      <c r="V52" t="str">
        <f t="shared" si="12"/>
        <v/>
      </c>
      <c r="W52" t="str">
        <f>IF(Input!O52&lt;&gt;"",IF(ISNUMBER(Input!P52),(Input!P52),0),"")</f>
        <v/>
      </c>
      <c r="X52" t="str">
        <f>IF(Input!R52&lt;&gt;"",Input!R52,"")</f>
        <v/>
      </c>
      <c r="Y52" t="str">
        <f t="shared" si="13"/>
        <v/>
      </c>
      <c r="Z52" t="str">
        <f>IF(Input!R52&lt;&gt;"",IF(ISNUMBER(Input!S52),ROUNDDOWN(Input!S52,0),0),"")</f>
        <v/>
      </c>
      <c r="AA52" t="str">
        <f>IF(Input!U52&lt;&gt;"",Input!U52,"")</f>
        <v/>
      </c>
      <c r="AB52" t="str">
        <f t="shared" si="14"/>
        <v/>
      </c>
      <c r="AC52" t="str">
        <f>IF(Input!U52&lt;&gt;"",IF(ISNUMBER(Input!V52),ROUNDDOWN(Input!V52,0),0),"")</f>
        <v/>
      </c>
      <c r="AD52" t="str">
        <f>IF(Input!X52&lt;&gt;"",Input!X52,"")</f>
        <v/>
      </c>
      <c r="AE52" t="str">
        <f t="shared" si="15"/>
        <v/>
      </c>
      <c r="AF52" t="str">
        <f>IF(Input!X52&lt;&gt;"",IF(ISNUMBER(Input!Y52),(Input!Y52),0),"")</f>
        <v/>
      </c>
      <c r="AG52" t="str">
        <f>IF(Input!AA52&lt;&gt;"",Input!AA52,"")</f>
        <v/>
      </c>
      <c r="AH52" t="str">
        <f t="shared" si="16"/>
        <v/>
      </c>
      <c r="AI52" t="str">
        <f>IF(Input!AA52&lt;&gt;"",IF(ISNUMBER(Input!AB52),ROUNDDOWN(Input!AB52,0),0),"")</f>
        <v/>
      </c>
      <c r="AJ52" t="str">
        <f>IF(Input!AD52&lt;&gt;"",Input!AD52,"")</f>
        <v/>
      </c>
      <c r="AK52" t="str">
        <f t="shared" si="17"/>
        <v/>
      </c>
      <c r="AL52" t="str">
        <f>IF(Input!AD52&lt;&gt;"",IF(ISNUMBER(Input!AE52),(Input!AE52),0),"")</f>
        <v/>
      </c>
      <c r="AM52" t="str">
        <f>IF(Input!AG52&lt;&gt;"",Input!AG52,"")</f>
        <v/>
      </c>
      <c r="AN52" t="str">
        <f t="shared" si="7"/>
        <v/>
      </c>
      <c r="AO52" t="str">
        <f>IF(Input!AG52&lt;&gt;"",IF(ISNUMBER(Input!AH52),(Input!AH52),0),"")</f>
        <v/>
      </c>
    </row>
    <row r="53" spans="1:41" ht="16.5" thickTop="1" thickBot="1" x14ac:dyDescent="0.4">
      <c r="A53" s="35">
        <f>IF(ISBLANK(Input!A53),1000,IF(Input!E53&gt;0,Input!E53+F53,1000))</f>
        <v>1000</v>
      </c>
      <c r="B53" s="32">
        <f t="shared" si="8"/>
        <v>1000</v>
      </c>
      <c r="C53" s="4">
        <v>52</v>
      </c>
      <c r="D53" s="97">
        <f>IF(ISBLANK(Input!A53),1000,IF(Input!G53&gt;0,Input!G53+F53,1000))</f>
        <v>1000</v>
      </c>
      <c r="E53" s="97">
        <f t="shared" si="9"/>
        <v>1000</v>
      </c>
      <c r="F53" s="4">
        <v>5.1999999999999998E-2</v>
      </c>
      <c r="I53" t="str">
        <f>IF(Input!A53&gt;0,Input!A53,"")</f>
        <v/>
      </c>
      <c r="J53" t="str">
        <f>IF(Input!B53&gt;0,Input!B53,"")</f>
        <v/>
      </c>
      <c r="K53" t="str">
        <f>IF(Input!C53&gt;0,Input!C53,"")</f>
        <v/>
      </c>
      <c r="L53" t="str">
        <f>IF(Input!D53&gt;0,Input!D53,"")</f>
        <v/>
      </c>
      <c r="M53" t="str">
        <f>IF(Input!G53&gt;0,Input!G53,"")</f>
        <v xml:space="preserve"> </v>
      </c>
      <c r="N53" t="str">
        <f>IF(Input!H53&gt;0,Input!H53,"")</f>
        <v xml:space="preserve"> </v>
      </c>
      <c r="O53" t="str">
        <f>IF(Input!I53&lt;&gt;"",Input!I53,"")</f>
        <v/>
      </c>
      <c r="P53" t="str">
        <f t="shared" si="10"/>
        <v/>
      </c>
      <c r="Q53" t="str">
        <f>IF(Input!I53&lt;&gt;"",IF(ISNUMBER(Input!J53),ROUNDDOWN(Input!J53,0),0),"")</f>
        <v/>
      </c>
      <c r="R53" t="str">
        <f>IF(Input!L53&lt;&gt;"",Input!L53,"")</f>
        <v/>
      </c>
      <c r="S53" t="str">
        <f t="shared" si="11"/>
        <v/>
      </c>
      <c r="T53" t="str">
        <f>IF(Input!L53&lt;&gt;"",IF(ISNUMBER(Input!M53),Input!M53,0),"")</f>
        <v/>
      </c>
      <c r="U53" t="str">
        <f>IF(Input!O53&lt;&gt;"",Input!O53,"")</f>
        <v/>
      </c>
      <c r="V53" t="str">
        <f t="shared" si="12"/>
        <v/>
      </c>
      <c r="W53" t="str">
        <f>IF(Input!O53&lt;&gt;"",IF(ISNUMBER(Input!P53),(Input!P53),0),"")</f>
        <v/>
      </c>
      <c r="X53" t="str">
        <f>IF(Input!R53&lt;&gt;"",Input!R53,"")</f>
        <v/>
      </c>
      <c r="Y53" t="str">
        <f t="shared" si="13"/>
        <v/>
      </c>
      <c r="Z53" t="str">
        <f>IF(Input!R53&lt;&gt;"",IF(ISNUMBER(Input!S53),ROUNDDOWN(Input!S53,0),0),"")</f>
        <v/>
      </c>
      <c r="AA53" t="str">
        <f>IF(Input!U53&lt;&gt;"",Input!U53,"")</f>
        <v/>
      </c>
      <c r="AB53" t="str">
        <f t="shared" si="14"/>
        <v/>
      </c>
      <c r="AC53" t="str">
        <f>IF(Input!U53&lt;&gt;"",IF(ISNUMBER(Input!V53),ROUNDDOWN(Input!V53,0),0),"")</f>
        <v/>
      </c>
      <c r="AD53" t="str">
        <f>IF(Input!X53&lt;&gt;"",Input!X53,"")</f>
        <v/>
      </c>
      <c r="AE53" t="str">
        <f t="shared" si="15"/>
        <v/>
      </c>
      <c r="AF53" t="str">
        <f>IF(Input!X53&lt;&gt;"",IF(ISNUMBER(Input!Y53),(Input!Y53),0),"")</f>
        <v/>
      </c>
      <c r="AG53" t="str">
        <f>IF(Input!AA53&lt;&gt;"",Input!AA53,"")</f>
        <v/>
      </c>
      <c r="AH53" t="str">
        <f t="shared" si="16"/>
        <v/>
      </c>
      <c r="AI53" t="str">
        <f>IF(Input!AA53&lt;&gt;"",IF(ISNUMBER(Input!AB53),ROUNDDOWN(Input!AB53,0),0),"")</f>
        <v/>
      </c>
      <c r="AJ53" t="str">
        <f>IF(Input!AD53&lt;&gt;"",Input!AD53,"")</f>
        <v/>
      </c>
      <c r="AK53" t="str">
        <f t="shared" si="17"/>
        <v/>
      </c>
      <c r="AL53" t="str">
        <f>IF(Input!AD53&lt;&gt;"",IF(ISNUMBER(Input!AE53),(Input!AE53),0),"")</f>
        <v/>
      </c>
      <c r="AM53" t="str">
        <f>IF(Input!AG53&lt;&gt;"",Input!AG53,"")</f>
        <v/>
      </c>
      <c r="AN53" t="str">
        <f t="shared" si="7"/>
        <v/>
      </c>
      <c r="AO53" t="str">
        <f>IF(Input!AG53&lt;&gt;"",IF(ISNUMBER(Input!AH53),(Input!AH53),0),"")</f>
        <v/>
      </c>
    </row>
    <row r="54" spans="1:41" ht="16.5" thickTop="1" thickBot="1" x14ac:dyDescent="0.4">
      <c r="A54" s="35">
        <f>IF(ISBLANK(Input!A54),1000,IF(Input!E54&gt;0,Input!E54+F54,1000))</f>
        <v>1000</v>
      </c>
      <c r="B54" s="32">
        <f t="shared" si="8"/>
        <v>1000</v>
      </c>
      <c r="C54" s="4">
        <v>53</v>
      </c>
      <c r="D54" s="97">
        <f>IF(ISBLANK(Input!A54),1000,IF(Input!G54&gt;0,Input!G54+F54,1000))</f>
        <v>1000</v>
      </c>
      <c r="E54" s="97">
        <f t="shared" si="9"/>
        <v>1000</v>
      </c>
      <c r="F54" s="4">
        <v>5.2999999999999999E-2</v>
      </c>
      <c r="I54" t="str">
        <f>IF(Input!A54&gt;0,Input!A54,"")</f>
        <v/>
      </c>
      <c r="J54" t="str">
        <f>IF(Input!B54&gt;0,Input!B54,"")</f>
        <v/>
      </c>
      <c r="K54" t="str">
        <f>IF(Input!C54&gt;0,Input!C54,"")</f>
        <v/>
      </c>
      <c r="L54" t="str">
        <f>IF(Input!D54&gt;0,Input!D54,"")</f>
        <v/>
      </c>
      <c r="M54" t="str">
        <f>IF(Input!G54&gt;0,Input!G54,"")</f>
        <v xml:space="preserve"> </v>
      </c>
      <c r="N54" t="str">
        <f>IF(Input!H54&gt;0,Input!H54,"")</f>
        <v xml:space="preserve"> </v>
      </c>
      <c r="O54" t="str">
        <f>IF(Input!I54&lt;&gt;"",Input!I54,"")</f>
        <v/>
      </c>
      <c r="P54" t="str">
        <f t="shared" si="10"/>
        <v/>
      </c>
      <c r="Q54" t="str">
        <f>IF(Input!I54&lt;&gt;"",IF(ISNUMBER(Input!J54),ROUNDDOWN(Input!J54,0),0),"")</f>
        <v/>
      </c>
      <c r="R54" t="str">
        <f>IF(Input!L54&lt;&gt;"",Input!L54,"")</f>
        <v/>
      </c>
      <c r="S54" t="str">
        <f t="shared" si="11"/>
        <v/>
      </c>
      <c r="T54" t="str">
        <f>IF(Input!L54&lt;&gt;"",IF(ISNUMBER(Input!M54),Input!M54,0),"")</f>
        <v/>
      </c>
      <c r="U54" t="str">
        <f>IF(Input!O54&lt;&gt;"",Input!O54,"")</f>
        <v/>
      </c>
      <c r="V54" t="str">
        <f t="shared" si="12"/>
        <v/>
      </c>
      <c r="W54" t="str">
        <f>IF(Input!O54&lt;&gt;"",IF(ISNUMBER(Input!P54),(Input!P54),0),"")</f>
        <v/>
      </c>
      <c r="X54" t="str">
        <f>IF(Input!R54&lt;&gt;"",Input!R54,"")</f>
        <v/>
      </c>
      <c r="Y54" t="str">
        <f t="shared" si="13"/>
        <v/>
      </c>
      <c r="Z54" t="str">
        <f>IF(Input!R54&lt;&gt;"",IF(ISNUMBER(Input!S54),ROUNDDOWN(Input!S54,0),0),"")</f>
        <v/>
      </c>
      <c r="AA54" t="str">
        <f>IF(Input!U54&lt;&gt;"",Input!U54,"")</f>
        <v/>
      </c>
      <c r="AB54" t="str">
        <f t="shared" si="14"/>
        <v/>
      </c>
      <c r="AC54" t="str">
        <f>IF(Input!U54&lt;&gt;"",IF(ISNUMBER(Input!V54),ROUNDDOWN(Input!V54,0),0),"")</f>
        <v/>
      </c>
      <c r="AD54" t="str">
        <f>IF(Input!X54&lt;&gt;"",Input!X54,"")</f>
        <v/>
      </c>
      <c r="AE54" t="str">
        <f t="shared" si="15"/>
        <v/>
      </c>
      <c r="AF54" t="str">
        <f>IF(Input!X54&lt;&gt;"",IF(ISNUMBER(Input!Y54),(Input!Y54),0),"")</f>
        <v/>
      </c>
      <c r="AG54" t="str">
        <f>IF(Input!AA54&lt;&gt;"",Input!AA54,"")</f>
        <v/>
      </c>
      <c r="AH54" t="str">
        <f t="shared" si="16"/>
        <v/>
      </c>
      <c r="AI54" t="str">
        <f>IF(Input!AA54&lt;&gt;"",IF(ISNUMBER(Input!AB54),ROUNDDOWN(Input!AB54,0),0),"")</f>
        <v/>
      </c>
      <c r="AJ54" t="str">
        <f>IF(Input!AD54&lt;&gt;"",Input!AD54,"")</f>
        <v/>
      </c>
      <c r="AK54" t="str">
        <f t="shared" si="17"/>
        <v/>
      </c>
      <c r="AL54" t="str">
        <f>IF(Input!AD54&lt;&gt;"",IF(ISNUMBER(Input!AE54),(Input!AE54),0),"")</f>
        <v/>
      </c>
      <c r="AM54" t="str">
        <f>IF(Input!AG54&lt;&gt;"",Input!AG54,"")</f>
        <v/>
      </c>
      <c r="AN54" t="str">
        <f t="shared" si="7"/>
        <v/>
      </c>
      <c r="AO54" t="str">
        <f>IF(Input!AG54&lt;&gt;"",IF(ISNUMBER(Input!AH54),(Input!AH54),0),"")</f>
        <v/>
      </c>
    </row>
    <row r="55" spans="1:41" ht="16.5" thickTop="1" thickBot="1" x14ac:dyDescent="0.4">
      <c r="A55" s="35">
        <f>IF(ISBLANK(Input!A55),1000,IF(Input!E55&gt;0,Input!E55+F55,1000))</f>
        <v>1000</v>
      </c>
      <c r="B55" s="32">
        <f t="shared" si="8"/>
        <v>1000</v>
      </c>
      <c r="C55" s="4">
        <v>54</v>
      </c>
      <c r="D55" s="97">
        <f>IF(ISBLANK(Input!A55),1000,IF(Input!G55&gt;0,Input!G55+F55,1000))</f>
        <v>1000</v>
      </c>
      <c r="E55" s="97">
        <f t="shared" si="9"/>
        <v>1000</v>
      </c>
      <c r="F55" s="4">
        <v>5.3999999999999999E-2</v>
      </c>
      <c r="I55" t="str">
        <f>IF(Input!A55&gt;0,Input!A55,"")</f>
        <v/>
      </c>
      <c r="J55" t="str">
        <f>IF(Input!B55&gt;0,Input!B55,"")</f>
        <v/>
      </c>
      <c r="K55" t="str">
        <f>IF(Input!C55&gt;0,Input!C55,"")</f>
        <v/>
      </c>
      <c r="L55" t="str">
        <f>IF(Input!D55&gt;0,Input!D55,"")</f>
        <v/>
      </c>
      <c r="M55" t="str">
        <f>IF(Input!G55&gt;0,Input!G55,"")</f>
        <v xml:space="preserve"> </v>
      </c>
      <c r="N55" t="str">
        <f>IF(Input!H55&gt;0,Input!H55,"")</f>
        <v xml:space="preserve"> </v>
      </c>
      <c r="O55" t="str">
        <f>IF(Input!I55&lt;&gt;"",Input!I55,"")</f>
        <v/>
      </c>
      <c r="P55" t="str">
        <f t="shared" si="10"/>
        <v/>
      </c>
      <c r="Q55" t="str">
        <f>IF(Input!I55&lt;&gt;"",IF(ISNUMBER(Input!J55),ROUNDDOWN(Input!J55,0),0),"")</f>
        <v/>
      </c>
      <c r="R55" t="str">
        <f>IF(Input!L55&lt;&gt;"",Input!L55,"")</f>
        <v/>
      </c>
      <c r="S55" t="str">
        <f t="shared" si="11"/>
        <v/>
      </c>
      <c r="T55" t="str">
        <f>IF(Input!L55&lt;&gt;"",IF(ISNUMBER(Input!M55),Input!M55,0),"")</f>
        <v/>
      </c>
      <c r="U55" t="str">
        <f>IF(Input!O55&lt;&gt;"",Input!O55,"")</f>
        <v/>
      </c>
      <c r="V55" t="str">
        <f t="shared" si="12"/>
        <v/>
      </c>
      <c r="W55" t="str">
        <f>IF(Input!O55&lt;&gt;"",IF(ISNUMBER(Input!P55),(Input!P55),0),"")</f>
        <v/>
      </c>
      <c r="X55" t="str">
        <f>IF(Input!R55&lt;&gt;"",Input!R55,"")</f>
        <v/>
      </c>
      <c r="Y55" t="str">
        <f t="shared" si="13"/>
        <v/>
      </c>
      <c r="Z55" t="str">
        <f>IF(Input!R55&lt;&gt;"",IF(ISNUMBER(Input!S55),ROUNDDOWN(Input!S55,0),0),"")</f>
        <v/>
      </c>
      <c r="AA55" t="str">
        <f>IF(Input!U55&lt;&gt;"",Input!U55,"")</f>
        <v/>
      </c>
      <c r="AB55" t="str">
        <f t="shared" si="14"/>
        <v/>
      </c>
      <c r="AC55" t="str">
        <f>IF(Input!U55&lt;&gt;"",IF(ISNUMBER(Input!V55),ROUNDDOWN(Input!V55,0),0),"")</f>
        <v/>
      </c>
      <c r="AD55" t="str">
        <f>IF(Input!X55&lt;&gt;"",Input!X55,"")</f>
        <v/>
      </c>
      <c r="AE55" t="str">
        <f t="shared" si="15"/>
        <v/>
      </c>
      <c r="AF55" t="str">
        <f>IF(Input!X55&lt;&gt;"",IF(ISNUMBER(Input!Y55),(Input!Y55),0),"")</f>
        <v/>
      </c>
      <c r="AG55" t="str">
        <f>IF(Input!AA55&lt;&gt;"",Input!AA55,"")</f>
        <v/>
      </c>
      <c r="AH55" t="str">
        <f t="shared" si="16"/>
        <v/>
      </c>
      <c r="AI55" t="str">
        <f>IF(Input!AA55&lt;&gt;"",IF(ISNUMBER(Input!AB55),ROUNDDOWN(Input!AB55,0),0),"")</f>
        <v/>
      </c>
      <c r="AJ55" t="str">
        <f>IF(Input!AD55&lt;&gt;"",Input!AD55,"")</f>
        <v/>
      </c>
      <c r="AK55" t="str">
        <f t="shared" si="17"/>
        <v/>
      </c>
      <c r="AL55" t="str">
        <f>IF(Input!AD55&lt;&gt;"",IF(ISNUMBER(Input!AE55),(Input!AE55),0),"")</f>
        <v/>
      </c>
      <c r="AM55" t="str">
        <f>IF(Input!AG55&lt;&gt;"",Input!AG55,"")</f>
        <v/>
      </c>
      <c r="AN55" t="str">
        <f t="shared" si="7"/>
        <v/>
      </c>
      <c r="AO55" t="str">
        <f>IF(Input!AG55&lt;&gt;"",IF(ISNUMBER(Input!AH55),(Input!AH55),0),"")</f>
        <v/>
      </c>
    </row>
    <row r="56" spans="1:41" ht="16.5" thickTop="1" thickBot="1" x14ac:dyDescent="0.4">
      <c r="A56" s="35">
        <f>IF(ISBLANK(Input!A56),1000,IF(Input!E56&gt;0,Input!E56+F56,1000))</f>
        <v>1000</v>
      </c>
      <c r="B56" s="32">
        <f t="shared" si="8"/>
        <v>1000</v>
      </c>
      <c r="C56" s="4">
        <v>55</v>
      </c>
      <c r="D56" s="97">
        <f>IF(ISBLANK(Input!A56),1000,IF(Input!G56&gt;0,Input!G56+F56,1000))</f>
        <v>1000</v>
      </c>
      <c r="E56" s="97">
        <f t="shared" si="9"/>
        <v>1000</v>
      </c>
      <c r="F56" s="4">
        <v>5.5E-2</v>
      </c>
      <c r="I56" t="str">
        <f>IF(Input!A56&gt;0,Input!A56,"")</f>
        <v/>
      </c>
      <c r="J56" t="str">
        <f>IF(Input!B56&gt;0,Input!B56,"")</f>
        <v/>
      </c>
      <c r="K56" t="str">
        <f>IF(Input!C56&gt;0,Input!C56,"")</f>
        <v/>
      </c>
      <c r="L56" t="str">
        <f>IF(Input!D56&gt;0,Input!D56,"")</f>
        <v/>
      </c>
      <c r="M56" t="str">
        <f>IF(Input!G56&gt;0,Input!G56,"")</f>
        <v xml:space="preserve"> </v>
      </c>
      <c r="N56" t="str">
        <f>IF(Input!H56&gt;0,Input!H56,"")</f>
        <v xml:space="preserve"> </v>
      </c>
      <c r="O56" t="str">
        <f>IF(Input!I56&lt;&gt;"",Input!I56,"")</f>
        <v/>
      </c>
      <c r="P56" t="str">
        <f t="shared" si="10"/>
        <v/>
      </c>
      <c r="Q56" t="str">
        <f>IF(Input!I56&lt;&gt;"",IF(ISNUMBER(Input!J56),ROUNDDOWN(Input!J56,0),0),"")</f>
        <v/>
      </c>
      <c r="R56" t="str">
        <f>IF(Input!L56&lt;&gt;"",Input!L56,"")</f>
        <v/>
      </c>
      <c r="S56" t="str">
        <f t="shared" si="11"/>
        <v/>
      </c>
      <c r="T56" t="str">
        <f>IF(Input!L56&lt;&gt;"",IF(ISNUMBER(Input!M56),Input!M56,0),"")</f>
        <v/>
      </c>
      <c r="U56" t="str">
        <f>IF(Input!O56&lt;&gt;"",Input!O56,"")</f>
        <v/>
      </c>
      <c r="V56" t="str">
        <f t="shared" si="12"/>
        <v/>
      </c>
      <c r="W56" t="str">
        <f>IF(Input!O56&lt;&gt;"",IF(ISNUMBER(Input!P56),(Input!P56),0),"")</f>
        <v/>
      </c>
      <c r="X56" t="str">
        <f>IF(Input!R56&lt;&gt;"",Input!R56,"")</f>
        <v/>
      </c>
      <c r="Y56" t="str">
        <f t="shared" si="13"/>
        <v/>
      </c>
      <c r="Z56" t="str">
        <f>IF(Input!R56&lt;&gt;"",IF(ISNUMBER(Input!S56),ROUNDDOWN(Input!S56,0),0),"")</f>
        <v/>
      </c>
      <c r="AA56" t="str">
        <f>IF(Input!U56&lt;&gt;"",Input!U56,"")</f>
        <v/>
      </c>
      <c r="AB56" t="str">
        <f t="shared" si="14"/>
        <v/>
      </c>
      <c r="AC56" t="str">
        <f>IF(Input!U56&lt;&gt;"",IF(ISNUMBER(Input!V56),ROUNDDOWN(Input!V56,0),0),"")</f>
        <v/>
      </c>
      <c r="AD56" t="str">
        <f>IF(Input!X56&lt;&gt;"",Input!X56,"")</f>
        <v/>
      </c>
      <c r="AE56" t="str">
        <f t="shared" si="15"/>
        <v/>
      </c>
      <c r="AF56" t="str">
        <f>IF(Input!X56&lt;&gt;"",IF(ISNUMBER(Input!Y56),(Input!Y56),0),"")</f>
        <v/>
      </c>
      <c r="AG56" t="str">
        <f>IF(Input!AA56&lt;&gt;"",Input!AA56,"")</f>
        <v/>
      </c>
      <c r="AH56" t="str">
        <f t="shared" si="16"/>
        <v/>
      </c>
      <c r="AI56" t="str">
        <f>IF(Input!AA56&lt;&gt;"",IF(ISNUMBER(Input!AB56),ROUNDDOWN(Input!AB56,0),0),"")</f>
        <v/>
      </c>
      <c r="AJ56" t="str">
        <f>IF(Input!AD56&lt;&gt;"",Input!AD56,"")</f>
        <v/>
      </c>
      <c r="AK56" t="str">
        <f t="shared" si="17"/>
        <v/>
      </c>
      <c r="AL56" t="str">
        <f>IF(Input!AD56&lt;&gt;"",IF(ISNUMBER(Input!AE56),(Input!AE56),0),"")</f>
        <v/>
      </c>
      <c r="AM56" t="str">
        <f>IF(Input!AG56&lt;&gt;"",Input!AG56,"")</f>
        <v/>
      </c>
      <c r="AN56" t="str">
        <f t="shared" si="7"/>
        <v/>
      </c>
      <c r="AO56" t="str">
        <f>IF(Input!AG56&lt;&gt;"",IF(ISNUMBER(Input!AH56),(Input!AH56),0),"")</f>
        <v/>
      </c>
    </row>
    <row r="57" spans="1:41" ht="16.5" thickTop="1" thickBot="1" x14ac:dyDescent="0.4">
      <c r="A57" s="35">
        <f>IF(ISBLANK(Input!A57),1000,IF(Input!E57&gt;0,Input!E57+F57,1000))</f>
        <v>1000</v>
      </c>
      <c r="B57" s="32">
        <f t="shared" si="8"/>
        <v>1000</v>
      </c>
      <c r="C57" s="4">
        <v>56</v>
      </c>
      <c r="D57" s="97">
        <f>IF(ISBLANK(Input!A57),1000,IF(Input!G57&gt;0,Input!G57+F57,1000))</f>
        <v>1000</v>
      </c>
      <c r="E57" s="97">
        <f t="shared" si="9"/>
        <v>1000</v>
      </c>
      <c r="F57" s="4">
        <v>5.6000000000000001E-2</v>
      </c>
      <c r="I57" t="str">
        <f>IF(Input!A57&gt;0,Input!A57,"")</f>
        <v/>
      </c>
      <c r="J57" t="str">
        <f>IF(Input!B57&gt;0,Input!B57,"")</f>
        <v/>
      </c>
      <c r="K57" t="str">
        <f>IF(Input!C57&gt;0,Input!C57,"")</f>
        <v/>
      </c>
      <c r="L57" t="str">
        <f>IF(Input!D57&gt;0,Input!D57,"")</f>
        <v/>
      </c>
      <c r="M57" t="str">
        <f>IF(Input!G57&gt;0,Input!G57,"")</f>
        <v xml:space="preserve"> </v>
      </c>
      <c r="N57" t="str">
        <f>IF(Input!H57&gt;0,Input!H57,"")</f>
        <v xml:space="preserve"> </v>
      </c>
      <c r="O57" t="str">
        <f>IF(Input!I57&lt;&gt;"",Input!I57,"")</f>
        <v/>
      </c>
      <c r="P57" t="str">
        <f t="shared" si="10"/>
        <v/>
      </c>
      <c r="Q57" t="str">
        <f>IF(Input!I57&lt;&gt;"",IF(ISNUMBER(Input!J57),ROUNDDOWN(Input!J57,0),0),"")</f>
        <v/>
      </c>
      <c r="R57" t="str">
        <f>IF(Input!L57&lt;&gt;"",Input!L57,"")</f>
        <v/>
      </c>
      <c r="S57" t="str">
        <f t="shared" si="11"/>
        <v/>
      </c>
      <c r="T57" t="str">
        <f>IF(Input!L57&lt;&gt;"",IF(ISNUMBER(Input!M57),Input!M57,0),"")</f>
        <v/>
      </c>
      <c r="U57" t="str">
        <f>IF(Input!O57&lt;&gt;"",Input!O57,"")</f>
        <v/>
      </c>
      <c r="V57" t="str">
        <f t="shared" si="12"/>
        <v/>
      </c>
      <c r="W57" t="str">
        <f>IF(Input!O57&lt;&gt;"",IF(ISNUMBER(Input!P57),(Input!P57),0),"")</f>
        <v/>
      </c>
      <c r="X57" t="str">
        <f>IF(Input!R57&lt;&gt;"",Input!R57,"")</f>
        <v/>
      </c>
      <c r="Y57" t="str">
        <f t="shared" si="13"/>
        <v/>
      </c>
      <c r="Z57" t="str">
        <f>IF(Input!R57&lt;&gt;"",IF(ISNUMBER(Input!S57),ROUNDDOWN(Input!S57,0),0),"")</f>
        <v/>
      </c>
      <c r="AA57" t="str">
        <f>IF(Input!U57&lt;&gt;"",Input!U57,"")</f>
        <v/>
      </c>
      <c r="AB57" t="str">
        <f t="shared" si="14"/>
        <v/>
      </c>
      <c r="AC57" t="str">
        <f>IF(Input!U57&lt;&gt;"",IF(ISNUMBER(Input!V57),ROUNDDOWN(Input!V57,0),0),"")</f>
        <v/>
      </c>
      <c r="AD57" t="str">
        <f>IF(Input!X57&lt;&gt;"",Input!X57,"")</f>
        <v/>
      </c>
      <c r="AE57" t="str">
        <f t="shared" si="15"/>
        <v/>
      </c>
      <c r="AF57" t="str">
        <f>IF(Input!X57&lt;&gt;"",IF(ISNUMBER(Input!Y57),(Input!Y57),0),"")</f>
        <v/>
      </c>
      <c r="AG57" t="str">
        <f>IF(Input!AA57&lt;&gt;"",Input!AA57,"")</f>
        <v/>
      </c>
      <c r="AH57" t="str">
        <f t="shared" si="16"/>
        <v/>
      </c>
      <c r="AI57" t="str">
        <f>IF(Input!AA57&lt;&gt;"",IF(ISNUMBER(Input!AB57),ROUNDDOWN(Input!AB57,0),0),"")</f>
        <v/>
      </c>
      <c r="AJ57" t="str">
        <f>IF(Input!AD57&lt;&gt;"",Input!AD57,"")</f>
        <v/>
      </c>
      <c r="AK57" t="str">
        <f t="shared" si="17"/>
        <v/>
      </c>
      <c r="AL57" t="str">
        <f>IF(Input!AD57&lt;&gt;"",IF(ISNUMBER(Input!AE57),(Input!AE57),0),"")</f>
        <v/>
      </c>
      <c r="AM57" t="str">
        <f>IF(Input!AG57&lt;&gt;"",Input!AG57,"")</f>
        <v/>
      </c>
      <c r="AN57" t="str">
        <f t="shared" si="7"/>
        <v/>
      </c>
      <c r="AO57" t="str">
        <f>IF(Input!AG57&lt;&gt;"",IF(ISNUMBER(Input!AH57),(Input!AH57),0),"")</f>
        <v/>
      </c>
    </row>
    <row r="58" spans="1:41" ht="16.5" thickTop="1" thickBot="1" x14ac:dyDescent="0.4">
      <c r="A58" s="35">
        <f>IF(ISBLANK(Input!A58),1000,IF(Input!E58&gt;0,Input!E58+F58,1000))</f>
        <v>1000</v>
      </c>
      <c r="B58" s="32">
        <f t="shared" si="8"/>
        <v>1000</v>
      </c>
      <c r="C58" s="4">
        <v>57</v>
      </c>
      <c r="D58" s="97">
        <f>IF(ISBLANK(Input!A58),1000,IF(Input!G58&gt;0,Input!G58+F58,1000))</f>
        <v>1000</v>
      </c>
      <c r="E58" s="97">
        <f t="shared" si="9"/>
        <v>1000</v>
      </c>
      <c r="F58" s="4">
        <v>5.7000000000000002E-2</v>
      </c>
      <c r="I58" t="str">
        <f>IF(Input!A58&gt;0,Input!A58,"")</f>
        <v/>
      </c>
      <c r="J58" t="str">
        <f>IF(Input!B58&gt;0,Input!B58,"")</f>
        <v/>
      </c>
      <c r="K58" t="str">
        <f>IF(Input!C58&gt;0,Input!C58,"")</f>
        <v/>
      </c>
      <c r="L58" t="str">
        <f>IF(Input!D58&gt;0,Input!D58,"")</f>
        <v/>
      </c>
      <c r="M58" t="str">
        <f>IF(Input!G58&gt;0,Input!G58,"")</f>
        <v xml:space="preserve"> </v>
      </c>
      <c r="N58" t="str">
        <f>IF(Input!H58&gt;0,Input!H58,"")</f>
        <v xml:space="preserve"> </v>
      </c>
      <c r="O58" t="str">
        <f>IF(Input!I58&lt;&gt;"",Input!I58,"")</f>
        <v/>
      </c>
      <c r="P58" t="str">
        <f t="shared" si="10"/>
        <v/>
      </c>
      <c r="Q58" t="str">
        <f>IF(Input!I58&lt;&gt;"",IF(ISNUMBER(Input!J58),ROUNDDOWN(Input!J58,0),0),"")</f>
        <v/>
      </c>
      <c r="R58" t="str">
        <f>IF(Input!L58&lt;&gt;"",Input!L58,"")</f>
        <v/>
      </c>
      <c r="S58" t="str">
        <f t="shared" si="11"/>
        <v/>
      </c>
      <c r="T58" t="str">
        <f>IF(Input!L58&lt;&gt;"",IF(ISNUMBER(Input!M58),Input!M58,0),"")</f>
        <v/>
      </c>
      <c r="U58" t="str">
        <f>IF(Input!O58&lt;&gt;"",Input!O58,"")</f>
        <v/>
      </c>
      <c r="V58" t="str">
        <f t="shared" si="12"/>
        <v/>
      </c>
      <c r="W58" t="str">
        <f>IF(Input!O58&lt;&gt;"",IF(ISNUMBER(Input!P58),(Input!P58),0),"")</f>
        <v/>
      </c>
      <c r="X58" t="str">
        <f>IF(Input!R58&lt;&gt;"",Input!R58,"")</f>
        <v/>
      </c>
      <c r="Y58" t="str">
        <f t="shared" si="13"/>
        <v/>
      </c>
      <c r="Z58" t="str">
        <f>IF(Input!R58&lt;&gt;"",IF(ISNUMBER(Input!S58),ROUNDDOWN(Input!S58,0),0),"")</f>
        <v/>
      </c>
      <c r="AA58" t="str">
        <f>IF(Input!U58&lt;&gt;"",Input!U58,"")</f>
        <v/>
      </c>
      <c r="AB58" t="str">
        <f t="shared" si="14"/>
        <v/>
      </c>
      <c r="AC58" t="str">
        <f>IF(Input!U58&lt;&gt;"",IF(ISNUMBER(Input!V58),ROUNDDOWN(Input!V58,0),0),"")</f>
        <v/>
      </c>
      <c r="AD58" t="str">
        <f>IF(Input!X58&lt;&gt;"",Input!X58,"")</f>
        <v/>
      </c>
      <c r="AE58" t="str">
        <f t="shared" si="15"/>
        <v/>
      </c>
      <c r="AF58" t="str">
        <f>IF(Input!X58&lt;&gt;"",IF(ISNUMBER(Input!Y58),(Input!Y58),0),"")</f>
        <v/>
      </c>
      <c r="AG58" t="str">
        <f>IF(Input!AA58&lt;&gt;"",Input!AA58,"")</f>
        <v/>
      </c>
      <c r="AH58" t="str">
        <f t="shared" si="16"/>
        <v/>
      </c>
      <c r="AI58" t="str">
        <f>IF(Input!AA58&lt;&gt;"",IF(ISNUMBER(Input!AB58),ROUNDDOWN(Input!AB58,0),0),"")</f>
        <v/>
      </c>
      <c r="AJ58" t="str">
        <f>IF(Input!AD58&lt;&gt;"",Input!AD58,"")</f>
        <v/>
      </c>
      <c r="AK58" t="str">
        <f t="shared" si="17"/>
        <v/>
      </c>
      <c r="AL58" t="str">
        <f>IF(Input!AD58&lt;&gt;"",IF(ISNUMBER(Input!AE58),(Input!AE58),0),"")</f>
        <v/>
      </c>
      <c r="AM58" t="str">
        <f>IF(Input!AG58&lt;&gt;"",Input!AG58,"")</f>
        <v/>
      </c>
      <c r="AN58" t="str">
        <f t="shared" si="7"/>
        <v/>
      </c>
      <c r="AO58" t="str">
        <f>IF(Input!AG58&lt;&gt;"",IF(ISNUMBER(Input!AH58),(Input!AH58),0),"")</f>
        <v/>
      </c>
    </row>
    <row r="59" spans="1:41" ht="16.5" thickTop="1" thickBot="1" x14ac:dyDescent="0.4">
      <c r="A59" s="35">
        <f>IF(ISBLANK(Input!A59),1000,IF(Input!E59&gt;0,Input!E59+F59,1000))</f>
        <v>1000</v>
      </c>
      <c r="B59" s="32">
        <f t="shared" si="8"/>
        <v>1000</v>
      </c>
      <c r="C59" s="4">
        <v>58</v>
      </c>
      <c r="D59" s="97">
        <f>IF(ISBLANK(Input!A59),1000,IF(Input!G59&gt;0,Input!G59+F59,1000))</f>
        <v>1000</v>
      </c>
      <c r="E59" s="97">
        <f t="shared" si="9"/>
        <v>1000</v>
      </c>
      <c r="F59" s="4">
        <v>5.8000000000000003E-2</v>
      </c>
      <c r="I59" t="str">
        <f>IF(Input!A59&gt;0,Input!A59,"")</f>
        <v/>
      </c>
      <c r="J59" t="str">
        <f>IF(Input!B59&gt;0,Input!B59,"")</f>
        <v/>
      </c>
      <c r="K59" t="str">
        <f>IF(Input!C59&gt;0,Input!C59,"")</f>
        <v/>
      </c>
      <c r="L59" t="str">
        <f>IF(Input!D59&gt;0,Input!D59,"")</f>
        <v/>
      </c>
      <c r="M59" t="str">
        <f>IF(Input!G59&gt;0,Input!G59,"")</f>
        <v xml:space="preserve"> </v>
      </c>
      <c r="N59" t="str">
        <f>IF(Input!H59&gt;0,Input!H59,"")</f>
        <v xml:space="preserve"> </v>
      </c>
      <c r="O59" t="str">
        <f>IF(Input!I59&lt;&gt;"",Input!I59,"")</f>
        <v/>
      </c>
      <c r="P59" t="str">
        <f t="shared" si="10"/>
        <v/>
      </c>
      <c r="Q59" t="str">
        <f>IF(Input!I59&lt;&gt;"",IF(ISNUMBER(Input!J59),ROUNDDOWN(Input!J59,0),0),"")</f>
        <v/>
      </c>
      <c r="R59" t="str">
        <f>IF(Input!L59&lt;&gt;"",Input!L59,"")</f>
        <v/>
      </c>
      <c r="S59" t="str">
        <f t="shared" si="11"/>
        <v/>
      </c>
      <c r="T59" t="str">
        <f>IF(Input!L59&lt;&gt;"",IF(ISNUMBER(Input!M59),Input!M59,0),"")</f>
        <v/>
      </c>
      <c r="U59" t="str">
        <f>IF(Input!O59&lt;&gt;"",Input!O59,"")</f>
        <v/>
      </c>
      <c r="V59" t="str">
        <f t="shared" si="12"/>
        <v/>
      </c>
      <c r="W59" t="str">
        <f>IF(Input!O59&lt;&gt;"",IF(ISNUMBER(Input!P59),(Input!P59),0),"")</f>
        <v/>
      </c>
      <c r="X59" t="str">
        <f>IF(Input!R59&lt;&gt;"",Input!R59,"")</f>
        <v/>
      </c>
      <c r="Y59" t="str">
        <f t="shared" si="13"/>
        <v/>
      </c>
      <c r="Z59" t="str">
        <f>IF(Input!R59&lt;&gt;"",IF(ISNUMBER(Input!S59),ROUNDDOWN(Input!S59,0),0),"")</f>
        <v/>
      </c>
      <c r="AA59" t="str">
        <f>IF(Input!U59&lt;&gt;"",Input!U59,"")</f>
        <v/>
      </c>
      <c r="AB59" t="str">
        <f t="shared" si="14"/>
        <v/>
      </c>
      <c r="AC59" t="str">
        <f>IF(Input!U59&lt;&gt;"",IF(ISNUMBER(Input!V59),ROUNDDOWN(Input!V59,0),0),"")</f>
        <v/>
      </c>
      <c r="AD59" t="str">
        <f>IF(Input!X59&lt;&gt;"",Input!X59,"")</f>
        <v/>
      </c>
      <c r="AE59" t="str">
        <f t="shared" si="15"/>
        <v/>
      </c>
      <c r="AF59" t="str">
        <f>IF(Input!X59&lt;&gt;"",IF(ISNUMBER(Input!Y59),(Input!Y59),0),"")</f>
        <v/>
      </c>
      <c r="AG59" t="str">
        <f>IF(Input!AA59&lt;&gt;"",Input!AA59,"")</f>
        <v/>
      </c>
      <c r="AH59" t="str">
        <f t="shared" si="16"/>
        <v/>
      </c>
      <c r="AI59" t="str">
        <f>IF(Input!AA59&lt;&gt;"",IF(ISNUMBER(Input!AB59),ROUNDDOWN(Input!AB59,0),0),"")</f>
        <v/>
      </c>
      <c r="AJ59" t="str">
        <f>IF(Input!AD59&lt;&gt;"",Input!AD59,"")</f>
        <v/>
      </c>
      <c r="AK59" t="str">
        <f t="shared" si="17"/>
        <v/>
      </c>
      <c r="AL59" t="str">
        <f>IF(Input!AD59&lt;&gt;"",IF(ISNUMBER(Input!AE59),(Input!AE59),0),"")</f>
        <v/>
      </c>
      <c r="AM59" t="str">
        <f>IF(Input!AG59&lt;&gt;"",Input!AG59,"")</f>
        <v/>
      </c>
      <c r="AN59" t="str">
        <f t="shared" si="7"/>
        <v/>
      </c>
      <c r="AO59" t="str">
        <f>IF(Input!AG59&lt;&gt;"",IF(ISNUMBER(Input!AH59),(Input!AH59),0),"")</f>
        <v/>
      </c>
    </row>
    <row r="60" spans="1:41" ht="16.5" thickTop="1" thickBot="1" x14ac:dyDescent="0.4">
      <c r="A60" s="35">
        <f>IF(ISBLANK(Input!A60),1000,IF(Input!E60&gt;0,Input!E60+F60,1000))</f>
        <v>1000</v>
      </c>
      <c r="B60" s="32">
        <f t="shared" si="8"/>
        <v>1000</v>
      </c>
      <c r="C60" s="4">
        <v>59</v>
      </c>
      <c r="D60" s="97">
        <f>IF(ISBLANK(Input!A60),1000,IF(Input!G60&gt;0,Input!G60+F60,1000))</f>
        <v>1000</v>
      </c>
      <c r="E60" s="97">
        <f t="shared" si="9"/>
        <v>1000</v>
      </c>
      <c r="F60" s="4">
        <v>5.8999999999999997E-2</v>
      </c>
      <c r="I60" t="str">
        <f>IF(Input!A60&gt;0,Input!A60,"")</f>
        <v/>
      </c>
      <c r="J60" t="str">
        <f>IF(Input!B60&gt;0,Input!B60,"")</f>
        <v/>
      </c>
      <c r="K60" t="str">
        <f>IF(Input!C60&gt;0,Input!C60,"")</f>
        <v/>
      </c>
      <c r="L60" t="str">
        <f>IF(Input!D60&gt;0,Input!D60,"")</f>
        <v/>
      </c>
      <c r="M60" t="str">
        <f>IF(Input!G60&gt;0,Input!G60,"")</f>
        <v xml:space="preserve"> </v>
      </c>
      <c r="N60" t="str">
        <f>IF(Input!H60&gt;0,Input!H60,"")</f>
        <v xml:space="preserve"> </v>
      </c>
      <c r="O60" t="str">
        <f>IF(Input!I60&lt;&gt;"",Input!I60,"")</f>
        <v/>
      </c>
      <c r="P60" t="str">
        <f t="shared" si="10"/>
        <v/>
      </c>
      <c r="Q60" t="str">
        <f>IF(Input!I60&lt;&gt;"",IF(ISNUMBER(Input!J60),ROUNDDOWN(Input!J60,0),0),"")</f>
        <v/>
      </c>
      <c r="R60" t="str">
        <f>IF(Input!L60&lt;&gt;"",Input!L60,"")</f>
        <v/>
      </c>
      <c r="S60" t="str">
        <f t="shared" si="11"/>
        <v/>
      </c>
      <c r="T60" t="str">
        <f>IF(Input!L60&lt;&gt;"",IF(ISNUMBER(Input!M60),Input!M60,0),"")</f>
        <v/>
      </c>
      <c r="U60" t="str">
        <f>IF(Input!O60&lt;&gt;"",Input!O60,"")</f>
        <v/>
      </c>
      <c r="V60" t="str">
        <f t="shared" si="12"/>
        <v/>
      </c>
      <c r="W60" t="str">
        <f>IF(Input!O60&lt;&gt;"",IF(ISNUMBER(Input!P60),(Input!P60),0),"")</f>
        <v/>
      </c>
      <c r="X60" t="str">
        <f>IF(Input!R60&lt;&gt;"",Input!R60,"")</f>
        <v/>
      </c>
      <c r="Y60" t="str">
        <f t="shared" si="13"/>
        <v/>
      </c>
      <c r="Z60" t="str">
        <f>IF(Input!R60&lt;&gt;"",IF(ISNUMBER(Input!S60),ROUNDDOWN(Input!S60,0),0),"")</f>
        <v/>
      </c>
      <c r="AA60" t="str">
        <f>IF(Input!U60&lt;&gt;"",Input!U60,"")</f>
        <v/>
      </c>
      <c r="AB60" t="str">
        <f t="shared" si="14"/>
        <v/>
      </c>
      <c r="AC60" t="str">
        <f>IF(Input!U60&lt;&gt;"",IF(ISNUMBER(Input!V60),ROUNDDOWN(Input!V60,0),0),"")</f>
        <v/>
      </c>
      <c r="AD60" t="str">
        <f>IF(Input!X60&lt;&gt;"",Input!X60,"")</f>
        <v/>
      </c>
      <c r="AE60" t="str">
        <f t="shared" si="15"/>
        <v/>
      </c>
      <c r="AF60" t="str">
        <f>IF(Input!X60&lt;&gt;"",IF(ISNUMBER(Input!Y60),(Input!Y60),0),"")</f>
        <v/>
      </c>
      <c r="AG60" t="str">
        <f>IF(Input!AA60&lt;&gt;"",Input!AA60,"")</f>
        <v/>
      </c>
      <c r="AH60" t="str">
        <f t="shared" si="16"/>
        <v/>
      </c>
      <c r="AI60" t="str">
        <f>IF(Input!AA60&lt;&gt;"",IF(ISNUMBER(Input!AB60),ROUNDDOWN(Input!AB60,0),0),"")</f>
        <v/>
      </c>
      <c r="AJ60" t="str">
        <f>IF(Input!AD60&lt;&gt;"",Input!AD60,"")</f>
        <v/>
      </c>
      <c r="AK60" t="str">
        <f t="shared" si="17"/>
        <v/>
      </c>
      <c r="AL60" t="str">
        <f>IF(Input!AD60&lt;&gt;"",IF(ISNUMBER(Input!AE60),(Input!AE60),0),"")</f>
        <v/>
      </c>
      <c r="AM60" t="str">
        <f>IF(Input!AG60&lt;&gt;"",Input!AG60,"")</f>
        <v/>
      </c>
      <c r="AN60" t="str">
        <f t="shared" si="7"/>
        <v/>
      </c>
      <c r="AO60" t="str">
        <f>IF(Input!AG60&lt;&gt;"",IF(ISNUMBER(Input!AH60),(Input!AH60),0),"")</f>
        <v/>
      </c>
    </row>
    <row r="61" spans="1:41" ht="16.5" thickTop="1" thickBot="1" x14ac:dyDescent="0.4">
      <c r="A61" s="35">
        <f>IF(ISBLANK(Input!A61),1000,IF(Input!E61&gt;0,Input!E61+F61,1000))</f>
        <v>1000</v>
      </c>
      <c r="B61" s="32">
        <f t="shared" si="8"/>
        <v>1000</v>
      </c>
      <c r="C61" s="4">
        <v>60</v>
      </c>
      <c r="D61" s="97">
        <f>IF(ISBLANK(Input!A61),1000,IF(Input!G61&gt;0,Input!G61+F61,1000))</f>
        <v>1000</v>
      </c>
      <c r="E61" s="97">
        <f t="shared" si="9"/>
        <v>1000</v>
      </c>
      <c r="F61" s="4">
        <v>0.06</v>
      </c>
      <c r="I61" t="str">
        <f>IF(Input!A61&gt;0,Input!A61,"")</f>
        <v/>
      </c>
      <c r="J61" t="str">
        <f>IF(Input!B61&gt;0,Input!B61,"")</f>
        <v/>
      </c>
      <c r="K61" t="str">
        <f>IF(Input!C61&gt;0,Input!C61,"")</f>
        <v/>
      </c>
      <c r="L61" t="str">
        <f>IF(Input!D61&gt;0,Input!D61,"")</f>
        <v/>
      </c>
      <c r="M61" t="str">
        <f>IF(Input!G61&gt;0,Input!G61,"")</f>
        <v xml:space="preserve"> </v>
      </c>
      <c r="N61" t="str">
        <f>IF(Input!H61&gt;0,Input!H61,"")</f>
        <v xml:space="preserve"> </v>
      </c>
      <c r="O61" t="str">
        <f>IF(Input!I61&lt;&gt;"",Input!I61,"")</f>
        <v/>
      </c>
      <c r="P61" t="str">
        <f t="shared" si="10"/>
        <v/>
      </c>
      <c r="Q61" t="str">
        <f>IF(Input!I61&lt;&gt;"",IF(ISNUMBER(Input!J61),ROUNDDOWN(Input!J61,0),0),"")</f>
        <v/>
      </c>
      <c r="R61" t="str">
        <f>IF(Input!L61&lt;&gt;"",Input!L61,"")</f>
        <v/>
      </c>
      <c r="S61" t="str">
        <f t="shared" si="11"/>
        <v/>
      </c>
      <c r="T61" t="str">
        <f>IF(Input!L61&lt;&gt;"",IF(ISNUMBER(Input!M61),Input!M61,0),"")</f>
        <v/>
      </c>
      <c r="U61" t="str">
        <f>IF(Input!O61&lt;&gt;"",Input!O61,"")</f>
        <v/>
      </c>
      <c r="V61" t="str">
        <f t="shared" si="12"/>
        <v/>
      </c>
      <c r="W61" t="str">
        <f>IF(Input!O61&lt;&gt;"",IF(ISNUMBER(Input!P61),(Input!P61),0),"")</f>
        <v/>
      </c>
      <c r="X61" t="str">
        <f>IF(Input!R61&lt;&gt;"",Input!R61,"")</f>
        <v/>
      </c>
      <c r="Y61" t="str">
        <f t="shared" si="13"/>
        <v/>
      </c>
      <c r="Z61" t="str">
        <f>IF(Input!R61&lt;&gt;"",IF(ISNUMBER(Input!S61),ROUNDDOWN(Input!S61,0),0),"")</f>
        <v/>
      </c>
      <c r="AA61" t="str">
        <f>IF(Input!U61&lt;&gt;"",Input!U61,"")</f>
        <v/>
      </c>
      <c r="AB61" t="str">
        <f t="shared" si="14"/>
        <v/>
      </c>
      <c r="AC61" t="str">
        <f>IF(Input!U61&lt;&gt;"",IF(ISNUMBER(Input!V61),ROUNDDOWN(Input!V61,0),0),"")</f>
        <v/>
      </c>
      <c r="AD61" t="str">
        <f>IF(Input!X61&lt;&gt;"",Input!X61,"")</f>
        <v/>
      </c>
      <c r="AE61" t="str">
        <f t="shared" si="15"/>
        <v/>
      </c>
      <c r="AF61" t="str">
        <f>IF(Input!X61&lt;&gt;"",IF(ISNUMBER(Input!Y61),(Input!Y61),0),"")</f>
        <v/>
      </c>
      <c r="AG61" t="str">
        <f>IF(Input!AA61&lt;&gt;"",Input!AA61,"")</f>
        <v/>
      </c>
      <c r="AH61" t="str">
        <f t="shared" si="16"/>
        <v/>
      </c>
      <c r="AI61" t="str">
        <f>IF(Input!AA61&lt;&gt;"",IF(ISNUMBER(Input!AB61),ROUNDDOWN(Input!AB61,0),0),"")</f>
        <v/>
      </c>
      <c r="AJ61" t="str">
        <f>IF(Input!AD61&lt;&gt;"",Input!AD61,"")</f>
        <v/>
      </c>
      <c r="AK61" t="str">
        <f t="shared" si="17"/>
        <v/>
      </c>
      <c r="AL61" t="str">
        <f>IF(Input!AD61&lt;&gt;"",IF(ISNUMBER(Input!AE61),(Input!AE61),0),"")</f>
        <v/>
      </c>
      <c r="AM61" t="str">
        <f>IF(Input!AG61&lt;&gt;"",Input!AG61,"")</f>
        <v/>
      </c>
      <c r="AN61" t="str">
        <f t="shared" si="7"/>
        <v/>
      </c>
      <c r="AO61" t="str">
        <f>IF(Input!AG61&lt;&gt;"",IF(ISNUMBER(Input!AH61),(Input!AH61),0),"")</f>
        <v/>
      </c>
    </row>
    <row r="62" spans="1:41" ht="16.5" thickTop="1" thickBot="1" x14ac:dyDescent="0.4">
      <c r="A62" s="35">
        <f>IF(ISBLANK(Input!A62),1000,IF(Input!E62&gt;0,Input!E62+F62,1000))</f>
        <v>1000</v>
      </c>
      <c r="B62" s="32">
        <f t="shared" si="8"/>
        <v>1000</v>
      </c>
      <c r="C62" s="4">
        <v>61</v>
      </c>
      <c r="D62" s="97">
        <f>IF(ISBLANK(Input!A62),1000,IF(Input!G62&gt;0,Input!G62+F62,1000))</f>
        <v>1000</v>
      </c>
      <c r="E62" s="97">
        <f t="shared" si="9"/>
        <v>1000</v>
      </c>
      <c r="F62" s="4">
        <v>6.0999999999999999E-2</v>
      </c>
      <c r="I62" t="str">
        <f>IF(Input!A62&gt;0,Input!A62,"")</f>
        <v/>
      </c>
      <c r="J62" t="str">
        <f>IF(Input!B62&gt;0,Input!B62,"")</f>
        <v/>
      </c>
      <c r="K62" t="str">
        <f>IF(Input!C62&gt;0,Input!C62,"")</f>
        <v/>
      </c>
      <c r="L62" t="str">
        <f>IF(Input!D62&gt;0,Input!D62,"")</f>
        <v/>
      </c>
      <c r="M62" t="str">
        <f>IF(Input!G62&gt;0,Input!G62,"")</f>
        <v xml:space="preserve"> </v>
      </c>
      <c r="N62" t="str">
        <f>IF(Input!H62&gt;0,Input!H62,"")</f>
        <v xml:space="preserve"> </v>
      </c>
      <c r="O62" t="str">
        <f>IF(Input!I62&lt;&gt;"",Input!I62,"")</f>
        <v/>
      </c>
      <c r="P62" t="str">
        <f t="shared" si="10"/>
        <v/>
      </c>
      <c r="Q62" t="str">
        <f>IF(Input!I62&lt;&gt;"",IF(ISNUMBER(Input!J62),ROUNDDOWN(Input!J62,0),0),"")</f>
        <v/>
      </c>
      <c r="R62" t="str">
        <f>IF(Input!L62&lt;&gt;"",Input!L62,"")</f>
        <v/>
      </c>
      <c r="S62" t="str">
        <f t="shared" si="11"/>
        <v/>
      </c>
      <c r="T62" t="str">
        <f>IF(Input!L62&lt;&gt;"",IF(ISNUMBER(Input!M62),Input!M62,0),"")</f>
        <v/>
      </c>
      <c r="U62" t="str">
        <f>IF(Input!O62&lt;&gt;"",Input!O62,"")</f>
        <v/>
      </c>
      <c r="V62" t="str">
        <f t="shared" si="12"/>
        <v/>
      </c>
      <c r="W62" t="str">
        <f>IF(Input!O62&lt;&gt;"",IF(ISNUMBER(Input!P62),(Input!P62),0),"")</f>
        <v/>
      </c>
      <c r="X62" t="str">
        <f>IF(Input!R62&lt;&gt;"",Input!R62,"")</f>
        <v/>
      </c>
      <c r="Y62" t="str">
        <f t="shared" si="13"/>
        <v/>
      </c>
      <c r="Z62" t="str">
        <f>IF(Input!R62&lt;&gt;"",IF(ISNUMBER(Input!S62),ROUNDDOWN(Input!S62,0),0),"")</f>
        <v/>
      </c>
      <c r="AA62" t="str">
        <f>IF(Input!U62&lt;&gt;"",Input!U62,"")</f>
        <v/>
      </c>
      <c r="AB62" t="str">
        <f t="shared" si="14"/>
        <v/>
      </c>
      <c r="AC62" t="str">
        <f>IF(Input!U62&lt;&gt;"",IF(ISNUMBER(Input!V62),ROUNDDOWN(Input!V62,0),0),"")</f>
        <v/>
      </c>
      <c r="AD62" t="str">
        <f>IF(Input!X62&lt;&gt;"",Input!X62,"")</f>
        <v/>
      </c>
      <c r="AE62" t="str">
        <f t="shared" si="15"/>
        <v/>
      </c>
      <c r="AF62" t="str">
        <f>IF(Input!X62&lt;&gt;"",IF(ISNUMBER(Input!Y62),(Input!Y62),0),"")</f>
        <v/>
      </c>
      <c r="AG62" t="str">
        <f>IF(Input!AA62&lt;&gt;"",Input!AA62,"")</f>
        <v/>
      </c>
      <c r="AH62" t="str">
        <f t="shared" si="16"/>
        <v/>
      </c>
      <c r="AI62" t="str">
        <f>IF(Input!AA62&lt;&gt;"",IF(ISNUMBER(Input!AB62),ROUNDDOWN(Input!AB62,0),0),"")</f>
        <v/>
      </c>
      <c r="AJ62" t="str">
        <f>IF(Input!AD62&lt;&gt;"",Input!AD62,"")</f>
        <v/>
      </c>
      <c r="AK62" t="str">
        <f t="shared" si="17"/>
        <v/>
      </c>
      <c r="AL62" t="str">
        <f>IF(Input!AD62&lt;&gt;"",IF(ISNUMBER(Input!AE62),(Input!AE62),0),"")</f>
        <v/>
      </c>
      <c r="AM62" t="str">
        <f>IF(Input!AG62&lt;&gt;"",Input!AG62,"")</f>
        <v/>
      </c>
      <c r="AN62" t="str">
        <f t="shared" si="7"/>
        <v/>
      </c>
      <c r="AO62" t="str">
        <f>IF(Input!AG62&lt;&gt;"",IF(ISNUMBER(Input!AH62),(Input!AH62),0),"")</f>
        <v/>
      </c>
    </row>
    <row r="63" spans="1:41" ht="16.5" thickTop="1" thickBot="1" x14ac:dyDescent="0.4">
      <c r="A63" s="35">
        <f>IF(ISBLANK(Input!A63),1000,IF(Input!E63&gt;0,Input!E63+F63,1000))</f>
        <v>1000</v>
      </c>
      <c r="B63" s="32">
        <f t="shared" si="8"/>
        <v>1000</v>
      </c>
      <c r="C63" s="4">
        <v>62</v>
      </c>
      <c r="D63" s="97">
        <f>IF(ISBLANK(Input!A63),1000,IF(Input!G63&gt;0,Input!G63+F63,1000))</f>
        <v>1000</v>
      </c>
      <c r="E63" s="97">
        <f t="shared" si="9"/>
        <v>1000</v>
      </c>
      <c r="F63" s="4">
        <v>6.2E-2</v>
      </c>
      <c r="I63" t="str">
        <f>IF(Input!A63&gt;0,Input!A63,"")</f>
        <v/>
      </c>
      <c r="J63" t="str">
        <f>IF(Input!B63&gt;0,Input!B63,"")</f>
        <v/>
      </c>
      <c r="K63" t="str">
        <f>IF(Input!C63&gt;0,Input!C63,"")</f>
        <v/>
      </c>
      <c r="L63" t="str">
        <f>IF(Input!D63&gt;0,Input!D63,"")</f>
        <v/>
      </c>
      <c r="M63" t="str">
        <f>IF(Input!G63&gt;0,Input!G63,"")</f>
        <v xml:space="preserve"> </v>
      </c>
      <c r="N63" t="str">
        <f>IF(Input!H63&gt;0,Input!H63,"")</f>
        <v xml:space="preserve"> </v>
      </c>
      <c r="O63" t="str">
        <f>IF(Input!I63&lt;&gt;"",Input!I63,"")</f>
        <v/>
      </c>
      <c r="P63" t="str">
        <f t="shared" si="10"/>
        <v/>
      </c>
      <c r="Q63" t="str">
        <f>IF(Input!I63&lt;&gt;"",IF(ISNUMBER(Input!J63),ROUNDDOWN(Input!J63,0),0),"")</f>
        <v/>
      </c>
      <c r="R63" t="str">
        <f>IF(Input!L63&lt;&gt;"",Input!L63,"")</f>
        <v/>
      </c>
      <c r="S63" t="str">
        <f t="shared" si="11"/>
        <v/>
      </c>
      <c r="T63" t="str">
        <f>IF(Input!L63&lt;&gt;"",IF(ISNUMBER(Input!M63),Input!M63,0),"")</f>
        <v/>
      </c>
      <c r="U63" t="str">
        <f>IF(Input!O63&lt;&gt;"",Input!O63,"")</f>
        <v/>
      </c>
      <c r="V63" t="str">
        <f t="shared" si="12"/>
        <v/>
      </c>
      <c r="W63" t="str">
        <f>IF(Input!O63&lt;&gt;"",IF(ISNUMBER(Input!P63),(Input!P63),0),"")</f>
        <v/>
      </c>
      <c r="X63" t="str">
        <f>IF(Input!R63&lt;&gt;"",Input!R63,"")</f>
        <v/>
      </c>
      <c r="Y63" t="str">
        <f t="shared" si="13"/>
        <v/>
      </c>
      <c r="Z63" t="str">
        <f>IF(Input!R63&lt;&gt;"",IF(ISNUMBER(Input!S63),ROUNDDOWN(Input!S63,0),0),"")</f>
        <v/>
      </c>
      <c r="AA63" t="str">
        <f>IF(Input!U63&lt;&gt;"",Input!U63,"")</f>
        <v/>
      </c>
      <c r="AB63" t="str">
        <f t="shared" si="14"/>
        <v/>
      </c>
      <c r="AC63" t="str">
        <f>IF(Input!U63&lt;&gt;"",IF(ISNUMBER(Input!V63),ROUNDDOWN(Input!V63,0),0),"")</f>
        <v/>
      </c>
      <c r="AD63" t="str">
        <f>IF(Input!X63&lt;&gt;"",Input!X63,"")</f>
        <v/>
      </c>
      <c r="AE63" t="str">
        <f t="shared" si="15"/>
        <v/>
      </c>
      <c r="AF63" t="str">
        <f>IF(Input!X63&lt;&gt;"",IF(ISNUMBER(Input!Y63),(Input!Y63),0),"")</f>
        <v/>
      </c>
      <c r="AG63" t="str">
        <f>IF(Input!AA63&lt;&gt;"",Input!AA63,"")</f>
        <v/>
      </c>
      <c r="AH63" t="str">
        <f t="shared" si="16"/>
        <v/>
      </c>
      <c r="AI63" t="str">
        <f>IF(Input!AA63&lt;&gt;"",IF(ISNUMBER(Input!AB63),ROUNDDOWN(Input!AB63,0),0),"")</f>
        <v/>
      </c>
      <c r="AJ63" t="str">
        <f>IF(Input!AD63&lt;&gt;"",Input!AD63,"")</f>
        <v/>
      </c>
      <c r="AK63" t="str">
        <f t="shared" si="17"/>
        <v/>
      </c>
      <c r="AL63" t="str">
        <f>IF(Input!AD63&lt;&gt;"",IF(ISNUMBER(Input!AE63),(Input!AE63),0),"")</f>
        <v/>
      </c>
      <c r="AM63" t="str">
        <f>IF(Input!AG63&lt;&gt;"",Input!AG63,"")</f>
        <v/>
      </c>
      <c r="AN63" t="str">
        <f t="shared" si="7"/>
        <v/>
      </c>
      <c r="AO63" t="str">
        <f>IF(Input!AG63&lt;&gt;"",IF(ISNUMBER(Input!AH63),(Input!AH63),0),"")</f>
        <v/>
      </c>
    </row>
    <row r="64" spans="1:41" ht="16.5" thickTop="1" thickBot="1" x14ac:dyDescent="0.4">
      <c r="A64" s="35">
        <f>IF(ISBLANK(Input!A64),1000,IF(Input!E64&gt;0,Input!E64+F64,1000))</f>
        <v>1000</v>
      </c>
      <c r="B64" s="32">
        <f t="shared" si="8"/>
        <v>1000</v>
      </c>
      <c r="C64" s="4">
        <v>63</v>
      </c>
      <c r="D64" s="97">
        <f>IF(ISBLANK(Input!A64),1000,IF(Input!G64&gt;0,Input!G64+F64,1000))</f>
        <v>1000</v>
      </c>
      <c r="E64" s="97">
        <f t="shared" si="9"/>
        <v>1000</v>
      </c>
      <c r="F64" s="4">
        <v>6.3E-2</v>
      </c>
      <c r="I64" t="str">
        <f>IF(Input!A64&gt;0,Input!A64,"")</f>
        <v/>
      </c>
      <c r="J64" t="str">
        <f>IF(Input!B64&gt;0,Input!B64,"")</f>
        <v/>
      </c>
      <c r="K64" t="str">
        <f>IF(Input!C64&gt;0,Input!C64,"")</f>
        <v/>
      </c>
      <c r="L64" t="str">
        <f>IF(Input!D64&gt;0,Input!D64,"")</f>
        <v/>
      </c>
      <c r="M64" t="str">
        <f>IF(Input!G64&gt;0,Input!G64,"")</f>
        <v xml:space="preserve"> </v>
      </c>
      <c r="N64" t="str">
        <f>IF(Input!H64&gt;0,Input!H64,"")</f>
        <v xml:space="preserve"> </v>
      </c>
      <c r="O64" t="str">
        <f>IF(Input!I64&lt;&gt;"",Input!I64,"")</f>
        <v/>
      </c>
      <c r="P64" t="str">
        <f t="shared" si="10"/>
        <v/>
      </c>
      <c r="Q64" t="str">
        <f>IF(Input!I64&lt;&gt;"",IF(ISNUMBER(Input!J64),ROUNDDOWN(Input!J64,0),0),"")</f>
        <v/>
      </c>
      <c r="R64" t="str">
        <f>IF(Input!L64&lt;&gt;"",Input!L64,"")</f>
        <v/>
      </c>
      <c r="S64" t="str">
        <f t="shared" si="11"/>
        <v/>
      </c>
      <c r="T64" t="str">
        <f>IF(Input!L64&lt;&gt;"",IF(ISNUMBER(Input!M64),Input!M64,0),"")</f>
        <v/>
      </c>
      <c r="U64" t="str">
        <f>IF(Input!O64&lt;&gt;"",Input!O64,"")</f>
        <v/>
      </c>
      <c r="V64" t="str">
        <f t="shared" si="12"/>
        <v/>
      </c>
      <c r="W64" t="str">
        <f>IF(Input!O64&lt;&gt;"",IF(ISNUMBER(Input!P64),(Input!P64),0),"")</f>
        <v/>
      </c>
      <c r="X64" t="str">
        <f>IF(Input!R64&lt;&gt;"",Input!R64,"")</f>
        <v/>
      </c>
      <c r="Y64" t="str">
        <f t="shared" si="13"/>
        <v/>
      </c>
      <c r="Z64" t="str">
        <f>IF(Input!R64&lt;&gt;"",IF(ISNUMBER(Input!S64),ROUNDDOWN(Input!S64,0),0),"")</f>
        <v/>
      </c>
      <c r="AA64" t="str">
        <f>IF(Input!U64&lt;&gt;"",Input!U64,"")</f>
        <v/>
      </c>
      <c r="AB64" t="str">
        <f t="shared" si="14"/>
        <v/>
      </c>
      <c r="AC64" t="str">
        <f>IF(Input!U64&lt;&gt;"",IF(ISNUMBER(Input!V64),ROUNDDOWN(Input!V64,0),0),"")</f>
        <v/>
      </c>
      <c r="AD64" t="str">
        <f>IF(Input!X64&lt;&gt;"",Input!X64,"")</f>
        <v/>
      </c>
      <c r="AE64" t="str">
        <f t="shared" si="15"/>
        <v/>
      </c>
      <c r="AF64" t="str">
        <f>IF(Input!X64&lt;&gt;"",IF(ISNUMBER(Input!Y64),(Input!Y64),0),"")</f>
        <v/>
      </c>
      <c r="AG64" t="str">
        <f>IF(Input!AA64&lt;&gt;"",Input!AA64,"")</f>
        <v/>
      </c>
      <c r="AH64" t="str">
        <f t="shared" si="16"/>
        <v/>
      </c>
      <c r="AI64" t="str">
        <f>IF(Input!AA64&lt;&gt;"",IF(ISNUMBER(Input!AB64),ROUNDDOWN(Input!AB64,0),0),"")</f>
        <v/>
      </c>
      <c r="AJ64" t="str">
        <f>IF(Input!AD64&lt;&gt;"",Input!AD64,"")</f>
        <v/>
      </c>
      <c r="AK64" t="str">
        <f t="shared" si="17"/>
        <v/>
      </c>
      <c r="AL64" t="str">
        <f>IF(Input!AD64&lt;&gt;"",IF(ISNUMBER(Input!AE64),(Input!AE64),0),"")</f>
        <v/>
      </c>
      <c r="AM64" t="str">
        <f>IF(Input!AG64&lt;&gt;"",Input!AG64,"")</f>
        <v/>
      </c>
      <c r="AN64" t="str">
        <f t="shared" si="7"/>
        <v/>
      </c>
      <c r="AO64" t="str">
        <f>IF(Input!AG64&lt;&gt;"",IF(ISNUMBER(Input!AH64),(Input!AH64),0),"")</f>
        <v/>
      </c>
    </row>
    <row r="65" spans="1:41" ht="16.5" thickTop="1" thickBot="1" x14ac:dyDescent="0.4">
      <c r="A65" s="35">
        <f>IF(ISBLANK(Input!A65),1000,IF(Input!E65&gt;0,Input!E65+F65,1000))</f>
        <v>1000</v>
      </c>
      <c r="B65" s="32">
        <f t="shared" si="8"/>
        <v>1000</v>
      </c>
      <c r="C65" s="4">
        <v>64</v>
      </c>
      <c r="D65" s="97">
        <f>IF(ISBLANK(Input!A65),1000,IF(Input!G65&gt;0,Input!G65+F65,1000))</f>
        <v>1000</v>
      </c>
      <c r="E65" s="97">
        <f t="shared" si="9"/>
        <v>1000</v>
      </c>
      <c r="F65" s="4">
        <v>6.4000000000000001E-2</v>
      </c>
      <c r="I65" t="str">
        <f>IF(Input!A65&gt;0,Input!A65,"")</f>
        <v/>
      </c>
      <c r="J65" t="str">
        <f>IF(Input!B65&gt;0,Input!B65,"")</f>
        <v/>
      </c>
      <c r="K65" t="str">
        <f>IF(Input!C65&gt;0,Input!C65,"")</f>
        <v/>
      </c>
      <c r="L65" t="str">
        <f>IF(Input!D65&gt;0,Input!D65,"")</f>
        <v/>
      </c>
      <c r="M65" t="str">
        <f>IF(Input!G65&gt;0,Input!G65,"")</f>
        <v xml:space="preserve"> </v>
      </c>
      <c r="N65" t="str">
        <f>IF(Input!H65&gt;0,Input!H65,"")</f>
        <v xml:space="preserve"> </v>
      </c>
      <c r="O65" t="str">
        <f>IF(Input!I65&lt;&gt;"",Input!I65,"")</f>
        <v/>
      </c>
      <c r="P65" t="str">
        <f t="shared" si="10"/>
        <v/>
      </c>
      <c r="Q65" t="str">
        <f>IF(Input!I65&lt;&gt;"",IF(ISNUMBER(Input!J65),ROUNDDOWN(Input!J65,0),0),"")</f>
        <v/>
      </c>
      <c r="R65" t="str">
        <f>IF(Input!L65&lt;&gt;"",Input!L65,"")</f>
        <v/>
      </c>
      <c r="S65" t="str">
        <f t="shared" si="11"/>
        <v/>
      </c>
      <c r="T65" t="str">
        <f>IF(Input!L65&lt;&gt;"",IF(ISNUMBER(Input!M65),Input!M65,0),"")</f>
        <v/>
      </c>
      <c r="U65" t="str">
        <f>IF(Input!O65&lt;&gt;"",Input!O65,"")</f>
        <v/>
      </c>
      <c r="V65" t="str">
        <f t="shared" si="12"/>
        <v/>
      </c>
      <c r="W65" t="str">
        <f>IF(Input!O65&lt;&gt;"",IF(ISNUMBER(Input!P65),(Input!P65),0),"")</f>
        <v/>
      </c>
      <c r="X65" t="str">
        <f>IF(Input!R65&lt;&gt;"",Input!R65,"")</f>
        <v/>
      </c>
      <c r="Y65" t="str">
        <f t="shared" si="13"/>
        <v/>
      </c>
      <c r="Z65" t="str">
        <f>IF(Input!R65&lt;&gt;"",IF(ISNUMBER(Input!S65),ROUNDDOWN(Input!S65,0),0),"")</f>
        <v/>
      </c>
      <c r="AA65" t="str">
        <f>IF(Input!U65&lt;&gt;"",Input!U65,"")</f>
        <v/>
      </c>
      <c r="AB65" t="str">
        <f t="shared" si="14"/>
        <v/>
      </c>
      <c r="AC65" t="str">
        <f>IF(Input!U65&lt;&gt;"",IF(ISNUMBER(Input!V65),ROUNDDOWN(Input!V65,0),0),"")</f>
        <v/>
      </c>
      <c r="AD65" t="str">
        <f>IF(Input!X65&lt;&gt;"",Input!X65,"")</f>
        <v/>
      </c>
      <c r="AE65" t="str">
        <f t="shared" si="15"/>
        <v/>
      </c>
      <c r="AF65" t="str">
        <f>IF(Input!X65&lt;&gt;"",IF(ISNUMBER(Input!Y65),(Input!Y65),0),"")</f>
        <v/>
      </c>
      <c r="AG65" t="str">
        <f>IF(Input!AA65&lt;&gt;"",Input!AA65,"")</f>
        <v/>
      </c>
      <c r="AH65" t="str">
        <f t="shared" si="16"/>
        <v/>
      </c>
      <c r="AI65" t="str">
        <f>IF(Input!AA65&lt;&gt;"",IF(ISNUMBER(Input!AB65),ROUNDDOWN(Input!AB65,0),0),"")</f>
        <v/>
      </c>
      <c r="AJ65" t="str">
        <f>IF(Input!AD65&lt;&gt;"",Input!AD65,"")</f>
        <v/>
      </c>
      <c r="AK65" t="str">
        <f t="shared" si="17"/>
        <v/>
      </c>
      <c r="AL65" t="str">
        <f>IF(Input!AD65&lt;&gt;"",IF(ISNUMBER(Input!AE65),(Input!AE65),0),"")</f>
        <v/>
      </c>
      <c r="AM65" t="str">
        <f>IF(Input!AG65&lt;&gt;"",Input!AG65,"")</f>
        <v/>
      </c>
      <c r="AN65" t="str">
        <f t="shared" si="7"/>
        <v/>
      </c>
      <c r="AO65" t="str">
        <f>IF(Input!AG65&lt;&gt;"",IF(ISNUMBER(Input!AH65),(Input!AH65),0),"")</f>
        <v/>
      </c>
    </row>
    <row r="66" spans="1:41" ht="16.5" thickTop="1" thickBot="1" x14ac:dyDescent="0.4">
      <c r="A66" s="35">
        <f>IF(ISBLANK(Input!A66),1000,IF(Input!E66&gt;0,Input!E66+F66,1000))</f>
        <v>1000</v>
      </c>
      <c r="B66" s="32">
        <f t="shared" si="8"/>
        <v>1000</v>
      </c>
      <c r="C66" s="4">
        <v>65</v>
      </c>
      <c r="D66" s="97">
        <f>IF(ISBLANK(Input!A66),1000,IF(Input!G66&gt;0,Input!G66+F66,1000))</f>
        <v>1000</v>
      </c>
      <c r="E66" s="97">
        <f t="shared" si="9"/>
        <v>1000</v>
      </c>
      <c r="F66" s="4">
        <v>6.5000000000000002E-2</v>
      </c>
      <c r="I66" t="str">
        <f>IF(Input!A66&gt;0,Input!A66,"")</f>
        <v/>
      </c>
      <c r="J66" t="str">
        <f>IF(Input!B66&gt;0,Input!B66,"")</f>
        <v/>
      </c>
      <c r="K66" t="str">
        <f>IF(Input!C66&gt;0,Input!C66,"")</f>
        <v/>
      </c>
      <c r="L66" t="str">
        <f>IF(Input!D66&gt;0,Input!D66,"")</f>
        <v/>
      </c>
      <c r="M66" t="str">
        <f>IF(Input!G66&gt;0,Input!G66,"")</f>
        <v xml:space="preserve"> </v>
      </c>
      <c r="N66" t="str">
        <f>IF(Input!H66&gt;0,Input!H66,"")</f>
        <v xml:space="preserve"> </v>
      </c>
      <c r="O66" t="str">
        <f>IF(Input!I66&lt;&gt;"",Input!I66,"")</f>
        <v/>
      </c>
      <c r="P66" t="str">
        <f t="shared" si="10"/>
        <v/>
      </c>
      <c r="Q66" t="str">
        <f>IF(Input!I66&lt;&gt;"",IF(ISNUMBER(Input!J66),ROUNDDOWN(Input!J66,0),0),"")</f>
        <v/>
      </c>
      <c r="R66" t="str">
        <f>IF(Input!L66&lt;&gt;"",Input!L66,"")</f>
        <v/>
      </c>
      <c r="S66" t="str">
        <f t="shared" si="11"/>
        <v/>
      </c>
      <c r="T66" t="str">
        <f>IF(Input!L66&lt;&gt;"",IF(ISNUMBER(Input!M66),Input!M66,0),"")</f>
        <v/>
      </c>
      <c r="U66" t="str">
        <f>IF(Input!O66&lt;&gt;"",Input!O66,"")</f>
        <v/>
      </c>
      <c r="V66" t="str">
        <f t="shared" si="12"/>
        <v/>
      </c>
      <c r="W66" t="str">
        <f>IF(Input!O66&lt;&gt;"",IF(ISNUMBER(Input!P66),(Input!P66),0),"")</f>
        <v/>
      </c>
      <c r="X66" t="str">
        <f>IF(Input!R66&lt;&gt;"",Input!R66,"")</f>
        <v/>
      </c>
      <c r="Y66" t="str">
        <f t="shared" si="13"/>
        <v/>
      </c>
      <c r="Z66" t="str">
        <f>IF(Input!R66&lt;&gt;"",IF(ISNUMBER(Input!S66),ROUNDDOWN(Input!S66,0),0),"")</f>
        <v/>
      </c>
      <c r="AA66" t="str">
        <f>IF(Input!U66&lt;&gt;"",Input!U66,"")</f>
        <v/>
      </c>
      <c r="AB66" t="str">
        <f t="shared" si="14"/>
        <v/>
      </c>
      <c r="AC66" t="str">
        <f>IF(Input!U66&lt;&gt;"",IF(ISNUMBER(Input!V66),ROUNDDOWN(Input!V66,0),0),"")</f>
        <v/>
      </c>
      <c r="AD66" t="str">
        <f>IF(Input!X66&lt;&gt;"",Input!X66,"")</f>
        <v/>
      </c>
      <c r="AE66" t="str">
        <f t="shared" si="15"/>
        <v/>
      </c>
      <c r="AF66" t="str">
        <f>IF(Input!X66&lt;&gt;"",IF(ISNUMBER(Input!Y66),(Input!Y66),0),"")</f>
        <v/>
      </c>
      <c r="AG66" t="str">
        <f>IF(Input!AA66&lt;&gt;"",Input!AA66,"")</f>
        <v/>
      </c>
      <c r="AH66" t="str">
        <f t="shared" si="16"/>
        <v/>
      </c>
      <c r="AI66" t="str">
        <f>IF(Input!AA66&lt;&gt;"",IF(ISNUMBER(Input!AB66),ROUNDDOWN(Input!AB66,0),0),"")</f>
        <v/>
      </c>
      <c r="AJ66" t="str">
        <f>IF(Input!AD66&lt;&gt;"",Input!AD66,"")</f>
        <v/>
      </c>
      <c r="AK66" t="str">
        <f t="shared" si="17"/>
        <v/>
      </c>
      <c r="AL66" t="str">
        <f>IF(Input!AD66&lt;&gt;"",IF(ISNUMBER(Input!AE66),(Input!AE66),0),"")</f>
        <v/>
      </c>
      <c r="AM66" t="str">
        <f>IF(Input!AG66&lt;&gt;"",Input!AG66,"")</f>
        <v/>
      </c>
      <c r="AN66" t="str">
        <f t="shared" ref="AN66:AN129" si="18">IF(AO66&lt;&gt;"",  RANK(AO66,AO$2:AO$202,0)+((COUNTIF(AO$2:AO$202,AO66)-1)*0.5),"" )</f>
        <v/>
      </c>
      <c r="AO66" t="str">
        <f>IF(Input!AG66&lt;&gt;"",IF(ISNUMBER(Input!AH66),(Input!AH66),0),"")</f>
        <v/>
      </c>
    </row>
    <row r="67" spans="1:41" ht="16.5" thickTop="1" thickBot="1" x14ac:dyDescent="0.4">
      <c r="A67" s="35">
        <f>IF(ISBLANK(Input!A67),1000,IF(Input!E67&gt;0,Input!E67+F67,1000))</f>
        <v>1000</v>
      </c>
      <c r="B67" s="32">
        <f t="shared" ref="B67:B130" si="19">SMALL($A$2:$A$202,C67)</f>
        <v>1000</v>
      </c>
      <c r="C67" s="4">
        <v>66</v>
      </c>
      <c r="D67" s="97">
        <f>IF(ISBLANK(Input!A67),1000,IF(Input!G67&gt;0,Input!G67+F67,1000))</f>
        <v>1000</v>
      </c>
      <c r="E67" s="97">
        <f t="shared" ref="E67:E130" si="20">SMALL($D$2:$D$202,C67)</f>
        <v>1000</v>
      </c>
      <c r="F67" s="4">
        <v>6.6000000000000003E-2</v>
      </c>
      <c r="I67" t="str">
        <f>IF(Input!A67&gt;0,Input!A67,"")</f>
        <v/>
      </c>
      <c r="J67" t="str">
        <f>IF(Input!B67&gt;0,Input!B67,"")</f>
        <v/>
      </c>
      <c r="K67" t="str">
        <f>IF(Input!C67&gt;0,Input!C67,"")</f>
        <v/>
      </c>
      <c r="L67" t="str">
        <f>IF(Input!D67&gt;0,Input!D67,"")</f>
        <v/>
      </c>
      <c r="M67" t="str">
        <f>IF(Input!G67&gt;0,Input!G67,"")</f>
        <v xml:space="preserve"> </v>
      </c>
      <c r="N67" t="str">
        <f>IF(Input!H67&gt;0,Input!H67,"")</f>
        <v xml:space="preserve"> </v>
      </c>
      <c r="O67" t="str">
        <f>IF(Input!I67&lt;&gt;"",Input!I67,"")</f>
        <v/>
      </c>
      <c r="P67" t="str">
        <f t="shared" ref="P67:P130" si="21">IF(Q67&lt;&gt;"",  RANK(Q67,Q$2:Q$202,0)+((COUNTIF(Q$2:Q$202,Q67)-1)*0.5),"" )</f>
        <v/>
      </c>
      <c r="Q67" t="str">
        <f>IF(Input!I67&lt;&gt;"",IF(ISNUMBER(Input!J67),ROUNDDOWN(Input!J67,0),0),"")</f>
        <v/>
      </c>
      <c r="R67" t="str">
        <f>IF(Input!L67&lt;&gt;"",Input!L67,"")</f>
        <v/>
      </c>
      <c r="S67" t="str">
        <f t="shared" ref="S67:S130" si="22">IF(T67&lt;&gt;"",  RANK(T67,T$2:T$202,0)+((COUNTIF(T$2:T$202,T67)-1)*0.5),"" )</f>
        <v/>
      </c>
      <c r="T67" t="str">
        <f>IF(Input!L67&lt;&gt;"",IF(ISNUMBER(Input!M67),Input!M67,0),"")</f>
        <v/>
      </c>
      <c r="U67" t="str">
        <f>IF(Input!O67&lt;&gt;"",Input!O67,"")</f>
        <v/>
      </c>
      <c r="V67" t="str">
        <f t="shared" ref="V67:V130" si="23">IF(W67&lt;&gt;"",  RANK(W67,W$2:W$202,0)+((COUNTIF(W$2:W$202,W67)-1)*0.5),"" )</f>
        <v/>
      </c>
      <c r="W67" t="str">
        <f>IF(Input!O67&lt;&gt;"",IF(ISNUMBER(Input!P67),(Input!P67),0),"")</f>
        <v/>
      </c>
      <c r="X67" t="str">
        <f>IF(Input!R67&lt;&gt;"",Input!R67,"")</f>
        <v/>
      </c>
      <c r="Y67" t="str">
        <f t="shared" ref="Y67:Y130" si="24">IF(Z67&lt;&gt;"",  RANK(Z67,Z$2:Z$202,0)+((COUNTIF(Z$2:Z$202,Z67)-1)*0.5),"" )</f>
        <v/>
      </c>
      <c r="Z67" t="str">
        <f>IF(Input!R67&lt;&gt;"",IF(ISNUMBER(Input!S67),ROUNDDOWN(Input!S67,0),0),"")</f>
        <v/>
      </c>
      <c r="AA67" t="str">
        <f>IF(Input!U67&lt;&gt;"",Input!U67,"")</f>
        <v/>
      </c>
      <c r="AB67" t="str">
        <f t="shared" ref="AB67:AB130" si="25">IF(AC67&lt;&gt;"",  RANK(AC67,AC$2:AC$202,0)+((COUNTIF(AC$2:AC$202,AC67)-1)*0.5),"" )</f>
        <v/>
      </c>
      <c r="AC67" t="str">
        <f>IF(Input!U67&lt;&gt;"",IF(ISNUMBER(Input!V67),ROUNDDOWN(Input!V67,0),0),"")</f>
        <v/>
      </c>
      <c r="AD67" t="str">
        <f>IF(Input!X67&lt;&gt;"",Input!X67,"")</f>
        <v/>
      </c>
      <c r="AE67" t="str">
        <f t="shared" ref="AE67:AE130" si="26">IF(AF67&lt;&gt;"",  RANK(AF67,AF$2:AF$202,0)+((COUNTIF(AF$2:AF$202,AF67)-1)*0.5),"" )</f>
        <v/>
      </c>
      <c r="AF67" t="str">
        <f>IF(Input!X67&lt;&gt;"",IF(ISNUMBER(Input!Y67),(Input!Y67),0),"")</f>
        <v/>
      </c>
      <c r="AG67" t="str">
        <f>IF(Input!AA67&lt;&gt;"",Input!AA67,"")</f>
        <v/>
      </c>
      <c r="AH67" t="str">
        <f t="shared" ref="AH67:AH130" si="27">IF(AI67&lt;&gt;"",  RANK(AI67,AI$2:AI$202,0)+((COUNTIF(AI$2:AI$202,AI67)-1)*0.5),"" )</f>
        <v/>
      </c>
      <c r="AI67" t="str">
        <f>IF(Input!AA67&lt;&gt;"",IF(ISNUMBER(Input!AB67),ROUNDDOWN(Input!AB67,0),0),"")</f>
        <v/>
      </c>
      <c r="AJ67" t="str">
        <f>IF(Input!AD67&lt;&gt;"",Input!AD67,"")</f>
        <v/>
      </c>
      <c r="AK67" t="str">
        <f t="shared" ref="AK67:AK130" si="28">IF(AL67&lt;&gt;"",  RANK(AL67,AL$2:AL$202,0)+((COUNTIF(AL$2:AL$202,AL67)-1)*0.5),"" )</f>
        <v/>
      </c>
      <c r="AL67" t="str">
        <f>IF(Input!AD67&lt;&gt;"",IF(ISNUMBER(Input!AE67),(Input!AE67),0),"")</f>
        <v/>
      </c>
      <c r="AM67" t="str">
        <f>IF(Input!AG67&lt;&gt;"",Input!AG67,"")</f>
        <v/>
      </c>
      <c r="AN67" t="str">
        <f t="shared" si="18"/>
        <v/>
      </c>
      <c r="AO67" t="str">
        <f>IF(Input!AG67&lt;&gt;"",IF(ISNUMBER(Input!AH67),(Input!AH67),0),"")</f>
        <v/>
      </c>
    </row>
    <row r="68" spans="1:41" ht="16.5" thickTop="1" thickBot="1" x14ac:dyDescent="0.4">
      <c r="A68" s="35">
        <f>IF(ISBLANK(Input!A68),1000,IF(Input!E68&gt;0,Input!E68+F68,1000))</f>
        <v>1000</v>
      </c>
      <c r="B68" s="32">
        <f t="shared" si="19"/>
        <v>1000</v>
      </c>
      <c r="C68" s="4">
        <v>67</v>
      </c>
      <c r="D68" s="97">
        <f>IF(ISBLANK(Input!A68),1000,IF(Input!G68&gt;0,Input!G68+F68,1000))</f>
        <v>1000</v>
      </c>
      <c r="E68" s="97">
        <f t="shared" si="20"/>
        <v>1000</v>
      </c>
      <c r="F68" s="4">
        <v>6.7000000000000004E-2</v>
      </c>
      <c r="I68" t="str">
        <f>IF(Input!A68&gt;0,Input!A68,"")</f>
        <v/>
      </c>
      <c r="J68" t="str">
        <f>IF(Input!B68&gt;0,Input!B68,"")</f>
        <v/>
      </c>
      <c r="K68" t="str">
        <f>IF(Input!C68&gt;0,Input!C68,"")</f>
        <v/>
      </c>
      <c r="L68" t="str">
        <f>IF(Input!D68&gt;0,Input!D68,"")</f>
        <v/>
      </c>
      <c r="M68" t="str">
        <f>IF(Input!G68&gt;0,Input!G68,"")</f>
        <v xml:space="preserve"> </v>
      </c>
      <c r="N68" t="str">
        <f>IF(Input!H68&gt;0,Input!H68,"")</f>
        <v xml:space="preserve"> </v>
      </c>
      <c r="O68" t="str">
        <f>IF(Input!I68&lt;&gt;"",Input!I68,"")</f>
        <v/>
      </c>
      <c r="P68" t="str">
        <f t="shared" si="21"/>
        <v/>
      </c>
      <c r="Q68" t="str">
        <f>IF(Input!I68&lt;&gt;"",IF(ISNUMBER(Input!J68),ROUNDDOWN(Input!J68,0),0),"")</f>
        <v/>
      </c>
      <c r="R68" t="str">
        <f>IF(Input!L68&lt;&gt;"",Input!L68,"")</f>
        <v/>
      </c>
      <c r="S68" t="str">
        <f t="shared" si="22"/>
        <v/>
      </c>
      <c r="T68" t="str">
        <f>IF(Input!L68&lt;&gt;"",IF(ISNUMBER(Input!M68),Input!M68,0),"")</f>
        <v/>
      </c>
      <c r="U68" t="str">
        <f>IF(Input!O68&lt;&gt;"",Input!O68,"")</f>
        <v/>
      </c>
      <c r="V68" t="str">
        <f t="shared" si="23"/>
        <v/>
      </c>
      <c r="W68" t="str">
        <f>IF(Input!O68&lt;&gt;"",IF(ISNUMBER(Input!P68),(Input!P68),0),"")</f>
        <v/>
      </c>
      <c r="X68" t="str">
        <f>IF(Input!R68&lt;&gt;"",Input!R68,"")</f>
        <v/>
      </c>
      <c r="Y68" t="str">
        <f t="shared" si="24"/>
        <v/>
      </c>
      <c r="Z68" t="str">
        <f>IF(Input!R68&lt;&gt;"",IF(ISNUMBER(Input!S68),ROUNDDOWN(Input!S68,0),0),"")</f>
        <v/>
      </c>
      <c r="AA68" t="str">
        <f>IF(Input!U68&lt;&gt;"",Input!U68,"")</f>
        <v/>
      </c>
      <c r="AB68" t="str">
        <f t="shared" si="25"/>
        <v/>
      </c>
      <c r="AC68" t="str">
        <f>IF(Input!U68&lt;&gt;"",IF(ISNUMBER(Input!V68),ROUNDDOWN(Input!V68,0),0),"")</f>
        <v/>
      </c>
      <c r="AD68" t="str">
        <f>IF(Input!X68&lt;&gt;"",Input!X68,"")</f>
        <v/>
      </c>
      <c r="AE68" t="str">
        <f t="shared" si="26"/>
        <v/>
      </c>
      <c r="AF68" t="str">
        <f>IF(Input!X68&lt;&gt;"",IF(ISNUMBER(Input!Y68),(Input!Y68),0),"")</f>
        <v/>
      </c>
      <c r="AG68" t="str">
        <f>IF(Input!AA68&lt;&gt;"",Input!AA68,"")</f>
        <v/>
      </c>
      <c r="AH68" t="str">
        <f t="shared" si="27"/>
        <v/>
      </c>
      <c r="AI68" t="str">
        <f>IF(Input!AA68&lt;&gt;"",IF(ISNUMBER(Input!AB68),ROUNDDOWN(Input!AB68,0),0),"")</f>
        <v/>
      </c>
      <c r="AJ68" t="str">
        <f>IF(Input!AD68&lt;&gt;"",Input!AD68,"")</f>
        <v/>
      </c>
      <c r="AK68" t="str">
        <f t="shared" si="28"/>
        <v/>
      </c>
      <c r="AL68" t="str">
        <f>IF(Input!AD68&lt;&gt;"",IF(ISNUMBER(Input!AE68),(Input!AE68),0),"")</f>
        <v/>
      </c>
      <c r="AM68" t="str">
        <f>IF(Input!AG68&lt;&gt;"",Input!AG68,"")</f>
        <v/>
      </c>
      <c r="AN68" t="str">
        <f t="shared" si="18"/>
        <v/>
      </c>
      <c r="AO68" t="str">
        <f>IF(Input!AG68&lt;&gt;"",IF(ISNUMBER(Input!AH68),(Input!AH68),0),"")</f>
        <v/>
      </c>
    </row>
    <row r="69" spans="1:41" ht="16.5" thickTop="1" thickBot="1" x14ac:dyDescent="0.4">
      <c r="A69" s="35">
        <f>IF(ISBLANK(Input!A69),1000,IF(Input!E69&gt;0,Input!E69+F69,1000))</f>
        <v>1000</v>
      </c>
      <c r="B69" s="32">
        <f t="shared" si="19"/>
        <v>1000</v>
      </c>
      <c r="C69" s="4">
        <v>68</v>
      </c>
      <c r="D69" s="97">
        <f>IF(ISBLANK(Input!A69),1000,IF(Input!G69&gt;0,Input!G69+F69,1000))</f>
        <v>1000</v>
      </c>
      <c r="E69" s="97">
        <f t="shared" si="20"/>
        <v>1000</v>
      </c>
      <c r="F69" s="4">
        <v>6.8000000000000005E-2</v>
      </c>
      <c r="I69" t="str">
        <f>IF(Input!A69&gt;0,Input!A69,"")</f>
        <v/>
      </c>
      <c r="J69" t="str">
        <f>IF(Input!B69&gt;0,Input!B69,"")</f>
        <v/>
      </c>
      <c r="K69" t="str">
        <f>IF(Input!C69&gt;0,Input!C69,"")</f>
        <v/>
      </c>
      <c r="L69" t="str">
        <f>IF(Input!D69&gt;0,Input!D69,"")</f>
        <v/>
      </c>
      <c r="M69" t="str">
        <f>IF(Input!G69&gt;0,Input!G69,"")</f>
        <v xml:space="preserve"> </v>
      </c>
      <c r="N69" t="str">
        <f>IF(Input!H69&gt;0,Input!H69,"")</f>
        <v xml:space="preserve"> </v>
      </c>
      <c r="O69" t="str">
        <f>IF(Input!I69&lt;&gt;"",Input!I69,"")</f>
        <v/>
      </c>
      <c r="P69" t="str">
        <f t="shared" si="21"/>
        <v/>
      </c>
      <c r="Q69" t="str">
        <f>IF(Input!I69&lt;&gt;"",IF(ISNUMBER(Input!J69),ROUNDDOWN(Input!J69,0),0),"")</f>
        <v/>
      </c>
      <c r="R69" t="str">
        <f>IF(Input!L69&lt;&gt;"",Input!L69,"")</f>
        <v/>
      </c>
      <c r="S69" t="str">
        <f t="shared" si="22"/>
        <v/>
      </c>
      <c r="T69" t="str">
        <f>IF(Input!L69&lt;&gt;"",IF(ISNUMBER(Input!M69),Input!M69,0),"")</f>
        <v/>
      </c>
      <c r="U69" t="str">
        <f>IF(Input!O69&lt;&gt;"",Input!O69,"")</f>
        <v/>
      </c>
      <c r="V69" t="str">
        <f t="shared" si="23"/>
        <v/>
      </c>
      <c r="W69" t="str">
        <f>IF(Input!O69&lt;&gt;"",IF(ISNUMBER(Input!P69),(Input!P69),0),"")</f>
        <v/>
      </c>
      <c r="X69" t="str">
        <f>IF(Input!R69&lt;&gt;"",Input!R69,"")</f>
        <v/>
      </c>
      <c r="Y69" t="str">
        <f t="shared" si="24"/>
        <v/>
      </c>
      <c r="Z69" t="str">
        <f>IF(Input!R69&lt;&gt;"",IF(ISNUMBER(Input!S69),ROUNDDOWN(Input!S69,0),0),"")</f>
        <v/>
      </c>
      <c r="AA69" t="str">
        <f>IF(Input!U69&lt;&gt;"",Input!U69,"")</f>
        <v/>
      </c>
      <c r="AB69" t="str">
        <f t="shared" si="25"/>
        <v/>
      </c>
      <c r="AC69" t="str">
        <f>IF(Input!U69&lt;&gt;"",IF(ISNUMBER(Input!V69),ROUNDDOWN(Input!V69,0),0),"")</f>
        <v/>
      </c>
      <c r="AD69" t="str">
        <f>IF(Input!X69&lt;&gt;"",Input!X69,"")</f>
        <v/>
      </c>
      <c r="AE69" t="str">
        <f t="shared" si="26"/>
        <v/>
      </c>
      <c r="AF69" t="str">
        <f>IF(Input!X69&lt;&gt;"",IF(ISNUMBER(Input!Y69),(Input!Y69),0),"")</f>
        <v/>
      </c>
      <c r="AG69" t="str">
        <f>IF(Input!AA69&lt;&gt;"",Input!AA69,"")</f>
        <v/>
      </c>
      <c r="AH69" t="str">
        <f t="shared" si="27"/>
        <v/>
      </c>
      <c r="AI69" t="str">
        <f>IF(Input!AA69&lt;&gt;"",IF(ISNUMBER(Input!AB69),ROUNDDOWN(Input!AB69,0),0),"")</f>
        <v/>
      </c>
      <c r="AJ69" t="str">
        <f>IF(Input!AD69&lt;&gt;"",Input!AD69,"")</f>
        <v/>
      </c>
      <c r="AK69" t="str">
        <f t="shared" si="28"/>
        <v/>
      </c>
      <c r="AL69" t="str">
        <f>IF(Input!AD69&lt;&gt;"",IF(ISNUMBER(Input!AE69),(Input!AE69),0),"")</f>
        <v/>
      </c>
      <c r="AM69" t="str">
        <f>IF(Input!AG69&lt;&gt;"",Input!AG69,"")</f>
        <v/>
      </c>
      <c r="AN69" t="str">
        <f t="shared" si="18"/>
        <v/>
      </c>
      <c r="AO69" t="str">
        <f>IF(Input!AG69&lt;&gt;"",IF(ISNUMBER(Input!AH69),(Input!AH69),0),"")</f>
        <v/>
      </c>
    </row>
    <row r="70" spans="1:41" ht="16.5" thickTop="1" thickBot="1" x14ac:dyDescent="0.4">
      <c r="A70" s="35">
        <f>IF(ISBLANK(Input!A70),1000,IF(Input!E70&gt;0,Input!E70+F70,1000))</f>
        <v>1000</v>
      </c>
      <c r="B70" s="32">
        <f t="shared" si="19"/>
        <v>1000</v>
      </c>
      <c r="C70" s="4">
        <v>69</v>
      </c>
      <c r="D70" s="97">
        <f>IF(ISBLANK(Input!A70),1000,IF(Input!G70&gt;0,Input!G70+F70,1000))</f>
        <v>1000</v>
      </c>
      <c r="E70" s="97">
        <f t="shared" si="20"/>
        <v>1000</v>
      </c>
      <c r="F70" s="4">
        <v>6.9000000000000006E-2</v>
      </c>
      <c r="I70" t="str">
        <f>IF(Input!A70&gt;0,Input!A70,"")</f>
        <v/>
      </c>
      <c r="J70" t="str">
        <f>IF(Input!B70&gt;0,Input!B70,"")</f>
        <v/>
      </c>
      <c r="K70" t="str">
        <f>IF(Input!C70&gt;0,Input!C70,"")</f>
        <v/>
      </c>
      <c r="L70" t="str">
        <f>IF(Input!D70&gt;0,Input!D70,"")</f>
        <v/>
      </c>
      <c r="M70" t="str">
        <f>IF(Input!G70&gt;0,Input!G70,"")</f>
        <v xml:space="preserve"> </v>
      </c>
      <c r="N70" t="str">
        <f>IF(Input!H70&gt;0,Input!H70,"")</f>
        <v xml:space="preserve"> </v>
      </c>
      <c r="O70" t="str">
        <f>IF(Input!I70&lt;&gt;"",Input!I70,"")</f>
        <v/>
      </c>
      <c r="P70" t="str">
        <f t="shared" si="21"/>
        <v/>
      </c>
      <c r="Q70" t="str">
        <f>IF(Input!I70&lt;&gt;"",IF(ISNUMBER(Input!J70),ROUNDDOWN(Input!J70,0),0),"")</f>
        <v/>
      </c>
      <c r="R70" t="str">
        <f>IF(Input!L70&lt;&gt;"",Input!L70,"")</f>
        <v/>
      </c>
      <c r="S70" t="str">
        <f t="shared" si="22"/>
        <v/>
      </c>
      <c r="T70" t="str">
        <f>IF(Input!L70&lt;&gt;"",IF(ISNUMBER(Input!M70),Input!M70,0),"")</f>
        <v/>
      </c>
      <c r="U70" t="str">
        <f>IF(Input!O70&lt;&gt;"",Input!O70,"")</f>
        <v/>
      </c>
      <c r="V70" t="str">
        <f t="shared" si="23"/>
        <v/>
      </c>
      <c r="W70" t="str">
        <f>IF(Input!O70&lt;&gt;"",IF(ISNUMBER(Input!P70),(Input!P70),0),"")</f>
        <v/>
      </c>
      <c r="X70" t="str">
        <f>IF(Input!R70&lt;&gt;"",Input!R70,"")</f>
        <v/>
      </c>
      <c r="Y70" t="str">
        <f t="shared" si="24"/>
        <v/>
      </c>
      <c r="Z70" t="str">
        <f>IF(Input!R70&lt;&gt;"",IF(ISNUMBER(Input!S70),ROUNDDOWN(Input!S70,0),0),"")</f>
        <v/>
      </c>
      <c r="AA70" t="str">
        <f>IF(Input!U70&lt;&gt;"",Input!U70,"")</f>
        <v/>
      </c>
      <c r="AB70" t="str">
        <f t="shared" si="25"/>
        <v/>
      </c>
      <c r="AC70" t="str">
        <f>IF(Input!U70&lt;&gt;"",IF(ISNUMBER(Input!V70),ROUNDDOWN(Input!V70,0),0),"")</f>
        <v/>
      </c>
      <c r="AD70" t="str">
        <f>IF(Input!X70&lt;&gt;"",Input!X70,"")</f>
        <v/>
      </c>
      <c r="AE70" t="str">
        <f t="shared" si="26"/>
        <v/>
      </c>
      <c r="AF70" t="str">
        <f>IF(Input!X70&lt;&gt;"",IF(ISNUMBER(Input!Y70),(Input!Y70),0),"")</f>
        <v/>
      </c>
      <c r="AG70" t="str">
        <f>IF(Input!AA70&lt;&gt;"",Input!AA70,"")</f>
        <v/>
      </c>
      <c r="AH70" t="str">
        <f t="shared" si="27"/>
        <v/>
      </c>
      <c r="AI70" t="str">
        <f>IF(Input!AA70&lt;&gt;"",IF(ISNUMBER(Input!AB70),ROUNDDOWN(Input!AB70,0),0),"")</f>
        <v/>
      </c>
      <c r="AJ70" t="str">
        <f>IF(Input!AD70&lt;&gt;"",Input!AD70,"")</f>
        <v/>
      </c>
      <c r="AK70" t="str">
        <f t="shared" si="28"/>
        <v/>
      </c>
      <c r="AL70" t="str">
        <f>IF(Input!AD70&lt;&gt;"",IF(ISNUMBER(Input!AE70),(Input!AE70),0),"")</f>
        <v/>
      </c>
      <c r="AM70" t="str">
        <f>IF(Input!AG70&lt;&gt;"",Input!AG70,"")</f>
        <v/>
      </c>
      <c r="AN70" t="str">
        <f t="shared" si="18"/>
        <v/>
      </c>
      <c r="AO70" t="str">
        <f>IF(Input!AG70&lt;&gt;"",IF(ISNUMBER(Input!AH70),(Input!AH70),0),"")</f>
        <v/>
      </c>
    </row>
    <row r="71" spans="1:41" ht="16.5" thickTop="1" thickBot="1" x14ac:dyDescent="0.4">
      <c r="A71" s="35">
        <f>IF(ISBLANK(Input!A71),1000,IF(Input!E71&gt;0,Input!E71+F71,1000))</f>
        <v>1000</v>
      </c>
      <c r="B71" s="32">
        <f t="shared" si="19"/>
        <v>1000</v>
      </c>
      <c r="C71" s="4">
        <v>70</v>
      </c>
      <c r="D71" s="97">
        <f>IF(ISBLANK(Input!A71),1000,IF(Input!G71&gt;0,Input!G71+F71,1000))</f>
        <v>1000</v>
      </c>
      <c r="E71" s="97">
        <f t="shared" si="20"/>
        <v>1000</v>
      </c>
      <c r="F71" s="4">
        <v>7.0000000000000007E-2</v>
      </c>
      <c r="I71" t="str">
        <f>IF(Input!A71&gt;0,Input!A71,"")</f>
        <v/>
      </c>
      <c r="J71" t="str">
        <f>IF(Input!B71&gt;0,Input!B71,"")</f>
        <v/>
      </c>
      <c r="K71" t="str">
        <f>IF(Input!C71&gt;0,Input!C71,"")</f>
        <v/>
      </c>
      <c r="L71" t="str">
        <f>IF(Input!D71&gt;0,Input!D71,"")</f>
        <v/>
      </c>
      <c r="M71" t="str">
        <f>IF(Input!G71&gt;0,Input!G71,"")</f>
        <v xml:space="preserve"> </v>
      </c>
      <c r="N71" t="str">
        <f>IF(Input!H71&gt;0,Input!H71,"")</f>
        <v xml:space="preserve"> </v>
      </c>
      <c r="O71" t="str">
        <f>IF(Input!I71&lt;&gt;"",Input!I71,"")</f>
        <v/>
      </c>
      <c r="P71" t="str">
        <f t="shared" si="21"/>
        <v/>
      </c>
      <c r="Q71" t="str">
        <f>IF(Input!I71&lt;&gt;"",IF(ISNUMBER(Input!J71),ROUNDDOWN(Input!J71,0),0),"")</f>
        <v/>
      </c>
      <c r="R71" t="str">
        <f>IF(Input!L71&lt;&gt;"",Input!L71,"")</f>
        <v/>
      </c>
      <c r="S71" t="str">
        <f t="shared" si="22"/>
        <v/>
      </c>
      <c r="T71" t="str">
        <f>IF(Input!L71&lt;&gt;"",IF(ISNUMBER(Input!M71),Input!M71,0),"")</f>
        <v/>
      </c>
      <c r="U71" t="str">
        <f>IF(Input!O71&lt;&gt;"",Input!O71,"")</f>
        <v/>
      </c>
      <c r="V71" t="str">
        <f t="shared" si="23"/>
        <v/>
      </c>
      <c r="W71" t="str">
        <f>IF(Input!O71&lt;&gt;"",IF(ISNUMBER(Input!P71),(Input!P71),0),"")</f>
        <v/>
      </c>
      <c r="X71" t="str">
        <f>IF(Input!R71&lt;&gt;"",Input!R71,"")</f>
        <v/>
      </c>
      <c r="Y71" t="str">
        <f t="shared" si="24"/>
        <v/>
      </c>
      <c r="Z71" t="str">
        <f>IF(Input!R71&lt;&gt;"",IF(ISNUMBER(Input!S71),ROUNDDOWN(Input!S71,0),0),"")</f>
        <v/>
      </c>
      <c r="AA71" t="str">
        <f>IF(Input!U71&lt;&gt;"",Input!U71,"")</f>
        <v/>
      </c>
      <c r="AB71" t="str">
        <f t="shared" si="25"/>
        <v/>
      </c>
      <c r="AC71" t="str">
        <f>IF(Input!U71&lt;&gt;"",IF(ISNUMBER(Input!V71),ROUNDDOWN(Input!V71,0),0),"")</f>
        <v/>
      </c>
      <c r="AD71" t="str">
        <f>IF(Input!X71&lt;&gt;"",Input!X71,"")</f>
        <v/>
      </c>
      <c r="AE71" t="str">
        <f t="shared" si="26"/>
        <v/>
      </c>
      <c r="AF71" t="str">
        <f>IF(Input!X71&lt;&gt;"",IF(ISNUMBER(Input!Y71),(Input!Y71),0),"")</f>
        <v/>
      </c>
      <c r="AG71" t="str">
        <f>IF(Input!AA71&lt;&gt;"",Input!AA71,"")</f>
        <v/>
      </c>
      <c r="AH71" t="str">
        <f t="shared" si="27"/>
        <v/>
      </c>
      <c r="AI71" t="str">
        <f>IF(Input!AA71&lt;&gt;"",IF(ISNUMBER(Input!AB71),ROUNDDOWN(Input!AB71,0),0),"")</f>
        <v/>
      </c>
      <c r="AJ71" t="str">
        <f>IF(Input!AD71&lt;&gt;"",Input!AD71,"")</f>
        <v/>
      </c>
      <c r="AK71" t="str">
        <f t="shared" si="28"/>
        <v/>
      </c>
      <c r="AL71" t="str">
        <f>IF(Input!AD71&lt;&gt;"",IF(ISNUMBER(Input!AE71),(Input!AE71),0),"")</f>
        <v/>
      </c>
      <c r="AM71" t="str">
        <f>IF(Input!AG71&lt;&gt;"",Input!AG71,"")</f>
        <v/>
      </c>
      <c r="AN71" t="str">
        <f t="shared" si="18"/>
        <v/>
      </c>
      <c r="AO71" t="str">
        <f>IF(Input!AG71&lt;&gt;"",IF(ISNUMBER(Input!AH71),(Input!AH71),0),"")</f>
        <v/>
      </c>
    </row>
    <row r="72" spans="1:41" ht="16.5" thickTop="1" thickBot="1" x14ac:dyDescent="0.4">
      <c r="A72" s="35">
        <f>IF(ISBLANK(Input!A72),1000,IF(Input!E72&gt;0,Input!E72+F72,1000))</f>
        <v>1000</v>
      </c>
      <c r="B72" s="32">
        <f t="shared" si="19"/>
        <v>1000</v>
      </c>
      <c r="C72" s="4">
        <v>71</v>
      </c>
      <c r="D72" s="97">
        <f>IF(ISBLANK(Input!A72),1000,IF(Input!G72&gt;0,Input!G72+F72,1000))</f>
        <v>1000</v>
      </c>
      <c r="E72" s="97">
        <f t="shared" si="20"/>
        <v>1000</v>
      </c>
      <c r="F72" s="4">
        <v>7.0999999999999897E-2</v>
      </c>
      <c r="I72" t="str">
        <f>IF(Input!A72&gt;0,Input!A72,"")</f>
        <v/>
      </c>
      <c r="J72" t="str">
        <f>IF(Input!B72&gt;0,Input!B72,"")</f>
        <v/>
      </c>
      <c r="K72" t="str">
        <f>IF(Input!C72&gt;0,Input!C72,"")</f>
        <v/>
      </c>
      <c r="L72" t="str">
        <f>IF(Input!D72&gt;0,Input!D72,"")</f>
        <v/>
      </c>
      <c r="M72" t="str">
        <f>IF(Input!G72&gt;0,Input!G72,"")</f>
        <v xml:space="preserve"> </v>
      </c>
      <c r="N72" t="str">
        <f>IF(Input!H72&gt;0,Input!H72,"")</f>
        <v xml:space="preserve"> </v>
      </c>
      <c r="O72" t="str">
        <f>IF(Input!I72&lt;&gt;"",Input!I72,"")</f>
        <v/>
      </c>
      <c r="P72" t="str">
        <f t="shared" si="21"/>
        <v/>
      </c>
      <c r="Q72" t="str">
        <f>IF(Input!I72&lt;&gt;"",IF(ISNUMBER(Input!J72),ROUNDDOWN(Input!J72,0),0),"")</f>
        <v/>
      </c>
      <c r="R72" t="str">
        <f>IF(Input!L72&lt;&gt;"",Input!L72,"")</f>
        <v/>
      </c>
      <c r="S72" t="str">
        <f t="shared" si="22"/>
        <v/>
      </c>
      <c r="T72" t="str">
        <f>IF(Input!L72&lt;&gt;"",IF(ISNUMBER(Input!M72),Input!M72,0),"")</f>
        <v/>
      </c>
      <c r="U72" t="str">
        <f>IF(Input!O72&lt;&gt;"",Input!O72,"")</f>
        <v/>
      </c>
      <c r="V72" t="str">
        <f t="shared" si="23"/>
        <v/>
      </c>
      <c r="W72" t="str">
        <f>IF(Input!O72&lt;&gt;"",IF(ISNUMBER(Input!P72),(Input!P72),0),"")</f>
        <v/>
      </c>
      <c r="X72" t="str">
        <f>IF(Input!R72&lt;&gt;"",Input!R72,"")</f>
        <v/>
      </c>
      <c r="Y72" t="str">
        <f t="shared" si="24"/>
        <v/>
      </c>
      <c r="Z72" t="str">
        <f>IF(Input!R72&lt;&gt;"",IF(ISNUMBER(Input!S72),ROUNDDOWN(Input!S72,0),0),"")</f>
        <v/>
      </c>
      <c r="AA72" t="str">
        <f>IF(Input!U72&lt;&gt;"",Input!U72,"")</f>
        <v/>
      </c>
      <c r="AB72" t="str">
        <f t="shared" si="25"/>
        <v/>
      </c>
      <c r="AC72" t="str">
        <f>IF(Input!U72&lt;&gt;"",IF(ISNUMBER(Input!V72),ROUNDDOWN(Input!V72,0),0),"")</f>
        <v/>
      </c>
      <c r="AD72" t="str">
        <f>IF(Input!X72&lt;&gt;"",Input!X72,"")</f>
        <v/>
      </c>
      <c r="AE72" t="str">
        <f t="shared" si="26"/>
        <v/>
      </c>
      <c r="AF72" t="str">
        <f>IF(Input!X72&lt;&gt;"",IF(ISNUMBER(Input!Y72),(Input!Y72),0),"")</f>
        <v/>
      </c>
      <c r="AG72" t="str">
        <f>IF(Input!AA72&lt;&gt;"",Input!AA72,"")</f>
        <v/>
      </c>
      <c r="AH72" t="str">
        <f t="shared" si="27"/>
        <v/>
      </c>
      <c r="AI72" t="str">
        <f>IF(Input!AA72&lt;&gt;"",IF(ISNUMBER(Input!AB72),ROUNDDOWN(Input!AB72,0),0),"")</f>
        <v/>
      </c>
      <c r="AJ72" t="str">
        <f>IF(Input!AD72&lt;&gt;"",Input!AD72,"")</f>
        <v/>
      </c>
      <c r="AK72" t="str">
        <f t="shared" si="28"/>
        <v/>
      </c>
      <c r="AL72" t="str">
        <f>IF(Input!AD72&lt;&gt;"",IF(ISNUMBER(Input!AE72),(Input!AE72),0),"")</f>
        <v/>
      </c>
      <c r="AM72" t="str">
        <f>IF(Input!AG72&lt;&gt;"",Input!AG72,"")</f>
        <v/>
      </c>
      <c r="AN72" t="str">
        <f t="shared" si="18"/>
        <v/>
      </c>
      <c r="AO72" t="str">
        <f>IF(Input!AG72&lt;&gt;"",IF(ISNUMBER(Input!AH72),(Input!AH72),0),"")</f>
        <v/>
      </c>
    </row>
    <row r="73" spans="1:41" ht="16.5" thickTop="1" thickBot="1" x14ac:dyDescent="0.4">
      <c r="A73" s="35">
        <f>IF(ISBLANK(Input!A73),1000,IF(Input!E73&gt;0,Input!E73+F73,1000))</f>
        <v>1000</v>
      </c>
      <c r="B73" s="32">
        <f t="shared" si="19"/>
        <v>1000</v>
      </c>
      <c r="C73" s="4">
        <v>72</v>
      </c>
      <c r="D73" s="97">
        <f>IF(ISBLANK(Input!A73),1000,IF(Input!G73&gt;0,Input!G73+F73,1000))</f>
        <v>1000</v>
      </c>
      <c r="E73" s="97">
        <f t="shared" si="20"/>
        <v>1000</v>
      </c>
      <c r="F73" s="4">
        <v>7.1999999999999897E-2</v>
      </c>
      <c r="I73" t="str">
        <f>IF(Input!A73&gt;0,Input!A73,"")</f>
        <v/>
      </c>
      <c r="J73" t="str">
        <f>IF(Input!B73&gt;0,Input!B73,"")</f>
        <v/>
      </c>
      <c r="K73" t="str">
        <f>IF(Input!C73&gt;0,Input!C73,"")</f>
        <v/>
      </c>
      <c r="L73" t="str">
        <f>IF(Input!D73&gt;0,Input!D73,"")</f>
        <v/>
      </c>
      <c r="M73" t="str">
        <f>IF(Input!G73&gt;0,Input!G73,"")</f>
        <v xml:space="preserve"> </v>
      </c>
      <c r="N73" t="str">
        <f>IF(Input!H73&gt;0,Input!H73,"")</f>
        <v xml:space="preserve"> </v>
      </c>
      <c r="O73" t="str">
        <f>IF(Input!I73&lt;&gt;"",Input!I73,"")</f>
        <v/>
      </c>
      <c r="P73" t="str">
        <f t="shared" si="21"/>
        <v/>
      </c>
      <c r="Q73" t="str">
        <f>IF(Input!I73&lt;&gt;"",IF(ISNUMBER(Input!J73),ROUNDDOWN(Input!J73,0),0),"")</f>
        <v/>
      </c>
      <c r="R73" t="str">
        <f>IF(Input!L73&lt;&gt;"",Input!L73,"")</f>
        <v/>
      </c>
      <c r="S73" t="str">
        <f t="shared" si="22"/>
        <v/>
      </c>
      <c r="T73" t="str">
        <f>IF(Input!L73&lt;&gt;"",IF(ISNUMBER(Input!M73),Input!M73,0),"")</f>
        <v/>
      </c>
      <c r="U73" t="str">
        <f>IF(Input!O73&lt;&gt;"",Input!O73,"")</f>
        <v/>
      </c>
      <c r="V73" t="str">
        <f t="shared" si="23"/>
        <v/>
      </c>
      <c r="W73" t="str">
        <f>IF(Input!O73&lt;&gt;"",IF(ISNUMBER(Input!P73),(Input!P73),0),"")</f>
        <v/>
      </c>
      <c r="X73" t="str">
        <f>IF(Input!R73&lt;&gt;"",Input!R73,"")</f>
        <v/>
      </c>
      <c r="Y73" t="str">
        <f t="shared" si="24"/>
        <v/>
      </c>
      <c r="Z73" t="str">
        <f>IF(Input!R73&lt;&gt;"",IF(ISNUMBER(Input!S73),ROUNDDOWN(Input!S73,0),0),"")</f>
        <v/>
      </c>
      <c r="AA73" t="str">
        <f>IF(Input!U73&lt;&gt;"",Input!U73,"")</f>
        <v/>
      </c>
      <c r="AB73" t="str">
        <f t="shared" si="25"/>
        <v/>
      </c>
      <c r="AC73" t="str">
        <f>IF(Input!U73&lt;&gt;"",IF(ISNUMBER(Input!V73),ROUNDDOWN(Input!V73,0),0),"")</f>
        <v/>
      </c>
      <c r="AD73" t="str">
        <f>IF(Input!X73&lt;&gt;"",Input!X73,"")</f>
        <v/>
      </c>
      <c r="AE73" t="str">
        <f t="shared" si="26"/>
        <v/>
      </c>
      <c r="AF73" t="str">
        <f>IF(Input!X73&lt;&gt;"",IF(ISNUMBER(Input!Y73),(Input!Y73),0),"")</f>
        <v/>
      </c>
      <c r="AG73" t="str">
        <f>IF(Input!AA73&lt;&gt;"",Input!AA73,"")</f>
        <v/>
      </c>
      <c r="AH73" t="str">
        <f t="shared" si="27"/>
        <v/>
      </c>
      <c r="AI73" t="str">
        <f>IF(Input!AA73&lt;&gt;"",IF(ISNUMBER(Input!AB73),ROUNDDOWN(Input!AB73,0),0),"")</f>
        <v/>
      </c>
      <c r="AJ73" t="str">
        <f>IF(Input!AD73&lt;&gt;"",Input!AD73,"")</f>
        <v/>
      </c>
      <c r="AK73" t="str">
        <f t="shared" si="28"/>
        <v/>
      </c>
      <c r="AL73" t="str">
        <f>IF(Input!AD73&lt;&gt;"",IF(ISNUMBER(Input!AE73),(Input!AE73),0),"")</f>
        <v/>
      </c>
      <c r="AM73" t="str">
        <f>IF(Input!AG73&lt;&gt;"",Input!AG73,"")</f>
        <v/>
      </c>
      <c r="AN73" t="str">
        <f t="shared" si="18"/>
        <v/>
      </c>
      <c r="AO73" t="str">
        <f>IF(Input!AG73&lt;&gt;"",IF(ISNUMBER(Input!AH73),(Input!AH73),0),"")</f>
        <v/>
      </c>
    </row>
    <row r="74" spans="1:41" ht="16.5" thickTop="1" thickBot="1" x14ac:dyDescent="0.4">
      <c r="A74" s="35">
        <f>IF(ISBLANK(Input!A74),1000,IF(Input!E74&gt;0,Input!E74+F74,1000))</f>
        <v>1000</v>
      </c>
      <c r="B74" s="32">
        <f t="shared" si="19"/>
        <v>1000</v>
      </c>
      <c r="C74" s="4">
        <v>73</v>
      </c>
      <c r="D74" s="97">
        <f>IF(ISBLANK(Input!A74),1000,IF(Input!G74&gt;0,Input!G74+F74,1000))</f>
        <v>1000</v>
      </c>
      <c r="E74" s="97">
        <f t="shared" si="20"/>
        <v>1000</v>
      </c>
      <c r="F74" s="4">
        <v>7.2999999999999995E-2</v>
      </c>
      <c r="I74" t="str">
        <f>IF(Input!A74&gt;0,Input!A74,"")</f>
        <v/>
      </c>
      <c r="J74" t="str">
        <f>IF(Input!B74&gt;0,Input!B74,"")</f>
        <v/>
      </c>
      <c r="K74" t="str">
        <f>IF(Input!C74&gt;0,Input!C74,"")</f>
        <v/>
      </c>
      <c r="L74" t="str">
        <f>IF(Input!D74&gt;0,Input!D74,"")</f>
        <v/>
      </c>
      <c r="M74" t="str">
        <f>IF(Input!G74&gt;0,Input!G74,"")</f>
        <v xml:space="preserve"> </v>
      </c>
      <c r="N74" t="str">
        <f>IF(Input!H74&gt;0,Input!H74,"")</f>
        <v xml:space="preserve"> </v>
      </c>
      <c r="O74" t="str">
        <f>IF(Input!I74&lt;&gt;"",Input!I74,"")</f>
        <v/>
      </c>
      <c r="P74" t="str">
        <f t="shared" si="21"/>
        <v/>
      </c>
      <c r="Q74" t="str">
        <f>IF(Input!I74&lt;&gt;"",IF(ISNUMBER(Input!J74),ROUNDDOWN(Input!J74,0),0),"")</f>
        <v/>
      </c>
      <c r="R74" t="str">
        <f>IF(Input!L74&lt;&gt;"",Input!L74,"")</f>
        <v/>
      </c>
      <c r="S74" t="str">
        <f t="shared" si="22"/>
        <v/>
      </c>
      <c r="T74" t="str">
        <f>IF(Input!L74&lt;&gt;"",IF(ISNUMBER(Input!M74),Input!M74,0),"")</f>
        <v/>
      </c>
      <c r="U74" t="str">
        <f>IF(Input!O74&lt;&gt;"",Input!O74,"")</f>
        <v/>
      </c>
      <c r="V74" t="str">
        <f t="shared" si="23"/>
        <v/>
      </c>
      <c r="W74" t="str">
        <f>IF(Input!O74&lt;&gt;"",IF(ISNUMBER(Input!P74),(Input!P74),0),"")</f>
        <v/>
      </c>
      <c r="X74" t="str">
        <f>IF(Input!R74&lt;&gt;"",Input!R74,"")</f>
        <v/>
      </c>
      <c r="Y74" t="str">
        <f t="shared" si="24"/>
        <v/>
      </c>
      <c r="Z74" t="str">
        <f>IF(Input!R74&lt;&gt;"",IF(ISNUMBER(Input!S74),ROUNDDOWN(Input!S74,0),0),"")</f>
        <v/>
      </c>
      <c r="AA74" t="str">
        <f>IF(Input!U74&lt;&gt;"",Input!U74,"")</f>
        <v/>
      </c>
      <c r="AB74" t="str">
        <f t="shared" si="25"/>
        <v/>
      </c>
      <c r="AC74" t="str">
        <f>IF(Input!U74&lt;&gt;"",IF(ISNUMBER(Input!V74),ROUNDDOWN(Input!V74,0),0),"")</f>
        <v/>
      </c>
      <c r="AD74" t="str">
        <f>IF(Input!X74&lt;&gt;"",Input!X74,"")</f>
        <v/>
      </c>
      <c r="AE74" t="str">
        <f t="shared" si="26"/>
        <v/>
      </c>
      <c r="AF74" t="str">
        <f>IF(Input!X74&lt;&gt;"",IF(ISNUMBER(Input!Y74),(Input!Y74),0),"")</f>
        <v/>
      </c>
      <c r="AG74" t="str">
        <f>IF(Input!AA74&lt;&gt;"",Input!AA74,"")</f>
        <v/>
      </c>
      <c r="AH74" t="str">
        <f t="shared" si="27"/>
        <v/>
      </c>
      <c r="AI74" t="str">
        <f>IF(Input!AA74&lt;&gt;"",IF(ISNUMBER(Input!AB74),ROUNDDOWN(Input!AB74,0),0),"")</f>
        <v/>
      </c>
      <c r="AJ74" t="str">
        <f>IF(Input!AD74&lt;&gt;"",Input!AD74,"")</f>
        <v/>
      </c>
      <c r="AK74" t="str">
        <f t="shared" si="28"/>
        <v/>
      </c>
      <c r="AL74" t="str">
        <f>IF(Input!AD74&lt;&gt;"",IF(ISNUMBER(Input!AE74),(Input!AE74),0),"")</f>
        <v/>
      </c>
      <c r="AM74" t="str">
        <f>IF(Input!AG74&lt;&gt;"",Input!AG74,"")</f>
        <v/>
      </c>
      <c r="AN74" t="str">
        <f t="shared" si="18"/>
        <v/>
      </c>
      <c r="AO74" t="str">
        <f>IF(Input!AG74&lt;&gt;"",IF(ISNUMBER(Input!AH74),(Input!AH74),0),"")</f>
        <v/>
      </c>
    </row>
    <row r="75" spans="1:41" ht="16.5" thickTop="1" thickBot="1" x14ac:dyDescent="0.4">
      <c r="A75" s="35">
        <f>IF(ISBLANK(Input!A75),1000,IF(Input!E75&gt;0,Input!E75+F75,1000))</f>
        <v>1000</v>
      </c>
      <c r="B75" s="32">
        <f t="shared" si="19"/>
        <v>1000</v>
      </c>
      <c r="C75" s="4">
        <v>74</v>
      </c>
      <c r="D75" s="97">
        <f>IF(ISBLANK(Input!A75),1000,IF(Input!G75&gt;0,Input!G75+F75,1000))</f>
        <v>1000</v>
      </c>
      <c r="E75" s="97">
        <f t="shared" si="20"/>
        <v>1000</v>
      </c>
      <c r="F75" s="4">
        <v>7.3999999999999899E-2</v>
      </c>
      <c r="I75" t="str">
        <f>IF(Input!A75&gt;0,Input!A75,"")</f>
        <v/>
      </c>
      <c r="J75" t="str">
        <f>IF(Input!B75&gt;0,Input!B75,"")</f>
        <v/>
      </c>
      <c r="K75" t="str">
        <f>IF(Input!C75&gt;0,Input!C75,"")</f>
        <v/>
      </c>
      <c r="L75" t="str">
        <f>IF(Input!D75&gt;0,Input!D75,"")</f>
        <v/>
      </c>
      <c r="M75" t="str">
        <f>IF(Input!G75&gt;0,Input!G75,"")</f>
        <v xml:space="preserve"> </v>
      </c>
      <c r="N75" t="str">
        <f>IF(Input!H75&gt;0,Input!H75,"")</f>
        <v xml:space="preserve"> </v>
      </c>
      <c r="O75" t="str">
        <f>IF(Input!I75&lt;&gt;"",Input!I75,"")</f>
        <v/>
      </c>
      <c r="P75" t="str">
        <f t="shared" si="21"/>
        <v/>
      </c>
      <c r="Q75" t="str">
        <f>IF(Input!I75&lt;&gt;"",IF(ISNUMBER(Input!J75),ROUNDDOWN(Input!J75,0),0),"")</f>
        <v/>
      </c>
      <c r="R75" t="str">
        <f>IF(Input!L75&lt;&gt;"",Input!L75,"")</f>
        <v/>
      </c>
      <c r="S75" t="str">
        <f t="shared" si="22"/>
        <v/>
      </c>
      <c r="T75" t="str">
        <f>IF(Input!L75&lt;&gt;"",IF(ISNUMBER(Input!M75),Input!M75,0),"")</f>
        <v/>
      </c>
      <c r="U75" t="str">
        <f>IF(Input!O75&lt;&gt;"",Input!O75,"")</f>
        <v/>
      </c>
      <c r="V75" t="str">
        <f t="shared" si="23"/>
        <v/>
      </c>
      <c r="W75" t="str">
        <f>IF(Input!O75&lt;&gt;"",IF(ISNUMBER(Input!P75),(Input!P75),0),"")</f>
        <v/>
      </c>
      <c r="X75" t="str">
        <f>IF(Input!R75&lt;&gt;"",Input!R75,"")</f>
        <v/>
      </c>
      <c r="Y75" t="str">
        <f t="shared" si="24"/>
        <v/>
      </c>
      <c r="Z75" t="str">
        <f>IF(Input!R75&lt;&gt;"",IF(ISNUMBER(Input!S75),ROUNDDOWN(Input!S75,0),0),"")</f>
        <v/>
      </c>
      <c r="AA75" t="str">
        <f>IF(Input!U75&lt;&gt;"",Input!U75,"")</f>
        <v/>
      </c>
      <c r="AB75" t="str">
        <f t="shared" si="25"/>
        <v/>
      </c>
      <c r="AC75" t="str">
        <f>IF(Input!U75&lt;&gt;"",IF(ISNUMBER(Input!V75),ROUNDDOWN(Input!V75,0),0),"")</f>
        <v/>
      </c>
      <c r="AD75" t="str">
        <f>IF(Input!X75&lt;&gt;"",Input!X75,"")</f>
        <v/>
      </c>
      <c r="AE75" t="str">
        <f t="shared" si="26"/>
        <v/>
      </c>
      <c r="AF75" t="str">
        <f>IF(Input!X75&lt;&gt;"",IF(ISNUMBER(Input!Y75),(Input!Y75),0),"")</f>
        <v/>
      </c>
      <c r="AG75" t="str">
        <f>IF(Input!AA75&lt;&gt;"",Input!AA75,"")</f>
        <v/>
      </c>
      <c r="AH75" t="str">
        <f t="shared" si="27"/>
        <v/>
      </c>
      <c r="AI75" t="str">
        <f>IF(Input!AA75&lt;&gt;"",IF(ISNUMBER(Input!AB75),ROUNDDOWN(Input!AB75,0),0),"")</f>
        <v/>
      </c>
      <c r="AJ75" t="str">
        <f>IF(Input!AD75&lt;&gt;"",Input!AD75,"")</f>
        <v/>
      </c>
      <c r="AK75" t="str">
        <f t="shared" si="28"/>
        <v/>
      </c>
      <c r="AL75" t="str">
        <f>IF(Input!AD75&lt;&gt;"",IF(ISNUMBER(Input!AE75),(Input!AE75),0),"")</f>
        <v/>
      </c>
      <c r="AM75" t="str">
        <f>IF(Input!AG75&lt;&gt;"",Input!AG75,"")</f>
        <v/>
      </c>
      <c r="AN75" t="str">
        <f t="shared" si="18"/>
        <v/>
      </c>
      <c r="AO75" t="str">
        <f>IF(Input!AG75&lt;&gt;"",IF(ISNUMBER(Input!AH75),(Input!AH75),0),"")</f>
        <v/>
      </c>
    </row>
    <row r="76" spans="1:41" ht="16.5" thickTop="1" thickBot="1" x14ac:dyDescent="0.4">
      <c r="A76" s="35">
        <f>IF(ISBLANK(Input!A76),1000,IF(Input!E76&gt;0,Input!E76+F76,1000))</f>
        <v>1000</v>
      </c>
      <c r="B76" s="32">
        <f t="shared" si="19"/>
        <v>1000</v>
      </c>
      <c r="C76" s="4">
        <v>75</v>
      </c>
      <c r="D76" s="97">
        <f>IF(ISBLANK(Input!A76),1000,IF(Input!G76&gt;0,Input!G76+F76,1000))</f>
        <v>1000</v>
      </c>
      <c r="E76" s="97">
        <f t="shared" si="20"/>
        <v>1000</v>
      </c>
      <c r="F76" s="4">
        <v>7.49999999999999E-2</v>
      </c>
      <c r="I76" t="str">
        <f>IF(Input!A76&gt;0,Input!A76,"")</f>
        <v/>
      </c>
      <c r="J76" t="str">
        <f>IF(Input!B76&gt;0,Input!B76,"")</f>
        <v/>
      </c>
      <c r="K76" t="str">
        <f>IF(Input!C76&gt;0,Input!C76,"")</f>
        <v/>
      </c>
      <c r="L76" t="str">
        <f>IF(Input!D76&gt;0,Input!D76,"")</f>
        <v/>
      </c>
      <c r="M76" t="str">
        <f>IF(Input!G76&gt;0,Input!G76,"")</f>
        <v xml:space="preserve"> </v>
      </c>
      <c r="N76" t="str">
        <f>IF(Input!H76&gt;0,Input!H76,"")</f>
        <v xml:space="preserve"> </v>
      </c>
      <c r="O76" t="str">
        <f>IF(Input!I76&lt;&gt;"",Input!I76,"")</f>
        <v/>
      </c>
      <c r="P76" t="str">
        <f t="shared" si="21"/>
        <v/>
      </c>
      <c r="Q76" t="str">
        <f>IF(Input!I76&lt;&gt;"",IF(ISNUMBER(Input!J76),ROUNDDOWN(Input!J76,0),0),"")</f>
        <v/>
      </c>
      <c r="R76" t="str">
        <f>IF(Input!L76&lt;&gt;"",Input!L76,"")</f>
        <v/>
      </c>
      <c r="S76" t="str">
        <f t="shared" si="22"/>
        <v/>
      </c>
      <c r="T76" t="str">
        <f>IF(Input!L76&lt;&gt;"",IF(ISNUMBER(Input!M76),Input!M76,0),"")</f>
        <v/>
      </c>
      <c r="U76" t="str">
        <f>IF(Input!O76&lt;&gt;"",Input!O76,"")</f>
        <v/>
      </c>
      <c r="V76" t="str">
        <f t="shared" si="23"/>
        <v/>
      </c>
      <c r="W76" t="str">
        <f>IF(Input!O76&lt;&gt;"",IF(ISNUMBER(Input!P76),(Input!P76),0),"")</f>
        <v/>
      </c>
      <c r="X76" t="str">
        <f>IF(Input!R76&lt;&gt;"",Input!R76,"")</f>
        <v/>
      </c>
      <c r="Y76" t="str">
        <f t="shared" si="24"/>
        <v/>
      </c>
      <c r="Z76" t="str">
        <f>IF(Input!R76&lt;&gt;"",IF(ISNUMBER(Input!S76),ROUNDDOWN(Input!S76,0),0),"")</f>
        <v/>
      </c>
      <c r="AA76" t="str">
        <f>IF(Input!U76&lt;&gt;"",Input!U76,"")</f>
        <v/>
      </c>
      <c r="AB76" t="str">
        <f t="shared" si="25"/>
        <v/>
      </c>
      <c r="AC76" t="str">
        <f>IF(Input!U76&lt;&gt;"",IF(ISNUMBER(Input!V76),ROUNDDOWN(Input!V76,0),0),"")</f>
        <v/>
      </c>
      <c r="AD76" t="str">
        <f>IF(Input!X76&lt;&gt;"",Input!X76,"")</f>
        <v/>
      </c>
      <c r="AE76" t="str">
        <f t="shared" si="26"/>
        <v/>
      </c>
      <c r="AF76" t="str">
        <f>IF(Input!X76&lt;&gt;"",IF(ISNUMBER(Input!Y76),(Input!Y76),0),"")</f>
        <v/>
      </c>
      <c r="AG76" t="str">
        <f>IF(Input!AA76&lt;&gt;"",Input!AA76,"")</f>
        <v/>
      </c>
      <c r="AH76" t="str">
        <f t="shared" si="27"/>
        <v/>
      </c>
      <c r="AI76" t="str">
        <f>IF(Input!AA76&lt;&gt;"",IF(ISNUMBER(Input!AB76),ROUNDDOWN(Input!AB76,0),0),"")</f>
        <v/>
      </c>
      <c r="AJ76" t="str">
        <f>IF(Input!AD76&lt;&gt;"",Input!AD76,"")</f>
        <v/>
      </c>
      <c r="AK76" t="str">
        <f t="shared" si="28"/>
        <v/>
      </c>
      <c r="AL76" t="str">
        <f>IF(Input!AD76&lt;&gt;"",IF(ISNUMBER(Input!AE76),(Input!AE76),0),"")</f>
        <v/>
      </c>
      <c r="AM76" t="str">
        <f>IF(Input!AG76&lt;&gt;"",Input!AG76,"")</f>
        <v/>
      </c>
      <c r="AN76" t="str">
        <f t="shared" si="18"/>
        <v/>
      </c>
      <c r="AO76" t="str">
        <f>IF(Input!AG76&lt;&gt;"",IF(ISNUMBER(Input!AH76),(Input!AH76),0),"")</f>
        <v/>
      </c>
    </row>
    <row r="77" spans="1:41" ht="16.5" thickTop="1" thickBot="1" x14ac:dyDescent="0.4">
      <c r="A77" s="35">
        <f>IF(ISBLANK(Input!A77),1000,IF(Input!E77&gt;0,Input!E77+F77,1000))</f>
        <v>1000</v>
      </c>
      <c r="B77" s="32">
        <f t="shared" si="19"/>
        <v>1000</v>
      </c>
      <c r="C77" s="4">
        <v>76</v>
      </c>
      <c r="D77" s="97">
        <f>IF(ISBLANK(Input!A77),1000,IF(Input!G77&gt;0,Input!G77+F77,1000))</f>
        <v>1000</v>
      </c>
      <c r="E77" s="97">
        <f t="shared" si="20"/>
        <v>1000</v>
      </c>
      <c r="F77" s="4">
        <v>7.5999999999999901E-2</v>
      </c>
      <c r="I77" t="str">
        <f>IF(Input!A77&gt;0,Input!A77,"")</f>
        <v/>
      </c>
      <c r="J77" t="str">
        <f>IF(Input!B77&gt;0,Input!B77,"")</f>
        <v/>
      </c>
      <c r="K77" t="str">
        <f>IF(Input!C77&gt;0,Input!C77,"")</f>
        <v/>
      </c>
      <c r="L77" t="str">
        <f>IF(Input!D77&gt;0,Input!D77,"")</f>
        <v/>
      </c>
      <c r="M77" t="str">
        <f>IF(Input!G77&gt;0,Input!G77,"")</f>
        <v xml:space="preserve"> </v>
      </c>
      <c r="N77" t="str">
        <f>IF(Input!H77&gt;0,Input!H77,"")</f>
        <v xml:space="preserve"> </v>
      </c>
      <c r="O77" t="str">
        <f>IF(Input!I77&lt;&gt;"",Input!I77,"")</f>
        <v/>
      </c>
      <c r="P77" t="str">
        <f t="shared" si="21"/>
        <v/>
      </c>
      <c r="Q77" t="str">
        <f>IF(Input!I77&lt;&gt;"",IF(ISNUMBER(Input!J77),ROUNDDOWN(Input!J77,0),0),"")</f>
        <v/>
      </c>
      <c r="R77" t="str">
        <f>IF(Input!L77&lt;&gt;"",Input!L77,"")</f>
        <v/>
      </c>
      <c r="S77" t="str">
        <f t="shared" si="22"/>
        <v/>
      </c>
      <c r="T77" t="str">
        <f>IF(Input!L77&lt;&gt;"",IF(ISNUMBER(Input!M77),Input!M77,0),"")</f>
        <v/>
      </c>
      <c r="U77" t="str">
        <f>IF(Input!O77&lt;&gt;"",Input!O77,"")</f>
        <v/>
      </c>
      <c r="V77" t="str">
        <f t="shared" si="23"/>
        <v/>
      </c>
      <c r="W77" t="str">
        <f>IF(Input!O77&lt;&gt;"",IF(ISNUMBER(Input!P77),(Input!P77),0),"")</f>
        <v/>
      </c>
      <c r="X77" t="str">
        <f>IF(Input!R77&lt;&gt;"",Input!R77,"")</f>
        <v/>
      </c>
      <c r="Y77" t="str">
        <f t="shared" si="24"/>
        <v/>
      </c>
      <c r="Z77" t="str">
        <f>IF(Input!R77&lt;&gt;"",IF(ISNUMBER(Input!S77),ROUNDDOWN(Input!S77,0),0),"")</f>
        <v/>
      </c>
      <c r="AA77" t="str">
        <f>IF(Input!U77&lt;&gt;"",Input!U77,"")</f>
        <v/>
      </c>
      <c r="AB77" t="str">
        <f t="shared" si="25"/>
        <v/>
      </c>
      <c r="AC77" t="str">
        <f>IF(Input!U77&lt;&gt;"",IF(ISNUMBER(Input!V77),ROUNDDOWN(Input!V77,0),0),"")</f>
        <v/>
      </c>
      <c r="AD77" t="str">
        <f>IF(Input!X77&lt;&gt;"",Input!X77,"")</f>
        <v/>
      </c>
      <c r="AE77" t="str">
        <f t="shared" si="26"/>
        <v/>
      </c>
      <c r="AF77" t="str">
        <f>IF(Input!X77&lt;&gt;"",IF(ISNUMBER(Input!Y77),(Input!Y77),0),"")</f>
        <v/>
      </c>
      <c r="AG77" t="str">
        <f>IF(Input!AA77&lt;&gt;"",Input!AA77,"")</f>
        <v/>
      </c>
      <c r="AH77" t="str">
        <f t="shared" si="27"/>
        <v/>
      </c>
      <c r="AI77" t="str">
        <f>IF(Input!AA77&lt;&gt;"",IF(ISNUMBER(Input!AB77),ROUNDDOWN(Input!AB77,0),0),"")</f>
        <v/>
      </c>
      <c r="AJ77" t="str">
        <f>IF(Input!AD77&lt;&gt;"",Input!AD77,"")</f>
        <v/>
      </c>
      <c r="AK77" t="str">
        <f t="shared" si="28"/>
        <v/>
      </c>
      <c r="AL77" t="str">
        <f>IF(Input!AD77&lt;&gt;"",IF(ISNUMBER(Input!AE77),(Input!AE77),0),"")</f>
        <v/>
      </c>
      <c r="AM77" t="str">
        <f>IF(Input!AG77&lt;&gt;"",Input!AG77,"")</f>
        <v/>
      </c>
      <c r="AN77" t="str">
        <f t="shared" si="18"/>
        <v/>
      </c>
      <c r="AO77" t="str">
        <f>IF(Input!AG77&lt;&gt;"",IF(ISNUMBER(Input!AH77),(Input!AH77),0),"")</f>
        <v/>
      </c>
    </row>
    <row r="78" spans="1:41" ht="16.5" thickTop="1" thickBot="1" x14ac:dyDescent="0.4">
      <c r="A78" s="35">
        <f>IF(ISBLANK(Input!A78),1000,IF(Input!E78&gt;0,Input!E78+F78,1000))</f>
        <v>1000</v>
      </c>
      <c r="B78" s="32">
        <f t="shared" si="19"/>
        <v>1000</v>
      </c>
      <c r="C78" s="4">
        <v>77</v>
      </c>
      <c r="D78" s="97">
        <f>IF(ISBLANK(Input!A78),1000,IF(Input!G78&gt;0,Input!G78+F78,1000))</f>
        <v>1000</v>
      </c>
      <c r="E78" s="97">
        <f t="shared" si="20"/>
        <v>1000</v>
      </c>
      <c r="F78" s="4">
        <v>7.6999999999999902E-2</v>
      </c>
      <c r="I78" t="str">
        <f>IF(Input!A78&gt;0,Input!A78,"")</f>
        <v/>
      </c>
      <c r="J78" t="str">
        <f>IF(Input!B78&gt;0,Input!B78,"")</f>
        <v/>
      </c>
      <c r="K78" t="str">
        <f>IF(Input!C78&gt;0,Input!C78,"")</f>
        <v/>
      </c>
      <c r="L78" t="str">
        <f>IF(Input!D78&gt;0,Input!D78,"")</f>
        <v/>
      </c>
      <c r="M78" t="str">
        <f>IF(Input!G78&gt;0,Input!G78,"")</f>
        <v xml:space="preserve"> </v>
      </c>
      <c r="N78" t="str">
        <f>IF(Input!H78&gt;0,Input!H78,"")</f>
        <v xml:space="preserve"> </v>
      </c>
      <c r="O78" t="str">
        <f>IF(Input!I78&lt;&gt;"",Input!I78,"")</f>
        <v/>
      </c>
      <c r="P78" t="str">
        <f t="shared" si="21"/>
        <v/>
      </c>
      <c r="Q78" t="str">
        <f>IF(Input!I78&lt;&gt;"",IF(ISNUMBER(Input!J78),ROUNDDOWN(Input!J78,0),0),"")</f>
        <v/>
      </c>
      <c r="R78" t="str">
        <f>IF(Input!L78&lt;&gt;"",Input!L78,"")</f>
        <v/>
      </c>
      <c r="S78" t="str">
        <f t="shared" si="22"/>
        <v/>
      </c>
      <c r="T78" t="str">
        <f>IF(Input!L78&lt;&gt;"",IF(ISNUMBER(Input!M78),Input!M78,0),"")</f>
        <v/>
      </c>
      <c r="U78" t="str">
        <f>IF(Input!O78&lt;&gt;"",Input!O78,"")</f>
        <v/>
      </c>
      <c r="V78" t="str">
        <f t="shared" si="23"/>
        <v/>
      </c>
      <c r="W78" t="str">
        <f>IF(Input!O78&lt;&gt;"",IF(ISNUMBER(Input!P78),(Input!P78),0),"")</f>
        <v/>
      </c>
      <c r="X78" t="str">
        <f>IF(Input!R78&lt;&gt;"",Input!R78,"")</f>
        <v/>
      </c>
      <c r="Y78" t="str">
        <f t="shared" si="24"/>
        <v/>
      </c>
      <c r="Z78" t="str">
        <f>IF(Input!R78&lt;&gt;"",IF(ISNUMBER(Input!S78),ROUNDDOWN(Input!S78,0),0),"")</f>
        <v/>
      </c>
      <c r="AA78" t="str">
        <f>IF(Input!U78&lt;&gt;"",Input!U78,"")</f>
        <v/>
      </c>
      <c r="AB78" t="str">
        <f t="shared" si="25"/>
        <v/>
      </c>
      <c r="AC78" t="str">
        <f>IF(Input!U78&lt;&gt;"",IF(ISNUMBER(Input!V78),ROUNDDOWN(Input!V78,0),0),"")</f>
        <v/>
      </c>
      <c r="AD78" t="str">
        <f>IF(Input!X78&lt;&gt;"",Input!X78,"")</f>
        <v/>
      </c>
      <c r="AE78" t="str">
        <f t="shared" si="26"/>
        <v/>
      </c>
      <c r="AF78" t="str">
        <f>IF(Input!X78&lt;&gt;"",IF(ISNUMBER(Input!Y78),(Input!Y78),0),"")</f>
        <v/>
      </c>
      <c r="AG78" t="str">
        <f>IF(Input!AA78&lt;&gt;"",Input!AA78,"")</f>
        <v/>
      </c>
      <c r="AH78" t="str">
        <f t="shared" si="27"/>
        <v/>
      </c>
      <c r="AI78" t="str">
        <f>IF(Input!AA78&lt;&gt;"",IF(ISNUMBER(Input!AB78),ROUNDDOWN(Input!AB78,0),0),"")</f>
        <v/>
      </c>
      <c r="AJ78" t="str">
        <f>IF(Input!AD78&lt;&gt;"",Input!AD78,"")</f>
        <v/>
      </c>
      <c r="AK78" t="str">
        <f t="shared" si="28"/>
        <v/>
      </c>
      <c r="AL78" t="str">
        <f>IF(Input!AD78&lt;&gt;"",IF(ISNUMBER(Input!AE78),(Input!AE78),0),"")</f>
        <v/>
      </c>
      <c r="AM78" t="str">
        <f>IF(Input!AG78&lt;&gt;"",Input!AG78,"")</f>
        <v/>
      </c>
      <c r="AN78" t="str">
        <f t="shared" si="18"/>
        <v/>
      </c>
      <c r="AO78" t="str">
        <f>IF(Input!AG78&lt;&gt;"",IF(ISNUMBER(Input!AH78),(Input!AH78),0),"")</f>
        <v/>
      </c>
    </row>
    <row r="79" spans="1:41" ht="16.5" thickTop="1" thickBot="1" x14ac:dyDescent="0.4">
      <c r="A79" s="35">
        <f>IF(ISBLANK(Input!A79),1000,IF(Input!E79&gt;0,Input!E79+F79,1000))</f>
        <v>1000</v>
      </c>
      <c r="B79" s="32">
        <f t="shared" si="19"/>
        <v>1000</v>
      </c>
      <c r="C79" s="4">
        <v>78</v>
      </c>
      <c r="D79" s="97">
        <f>IF(ISBLANK(Input!A79),1000,IF(Input!G79&gt;0,Input!G79+F79,1000))</f>
        <v>1000</v>
      </c>
      <c r="E79" s="97">
        <f t="shared" si="20"/>
        <v>1000</v>
      </c>
      <c r="F79" s="4">
        <v>7.7999999999999903E-2</v>
      </c>
      <c r="I79" t="str">
        <f>IF(Input!A79&gt;0,Input!A79,"")</f>
        <v/>
      </c>
      <c r="J79" t="str">
        <f>IF(Input!B79&gt;0,Input!B79,"")</f>
        <v/>
      </c>
      <c r="K79" t="str">
        <f>IF(Input!C79&gt;0,Input!C79,"")</f>
        <v/>
      </c>
      <c r="L79" t="str">
        <f>IF(Input!D79&gt;0,Input!D79,"")</f>
        <v/>
      </c>
      <c r="M79" t="str">
        <f>IF(Input!G79&gt;0,Input!G79,"")</f>
        <v xml:space="preserve"> </v>
      </c>
      <c r="N79" t="str">
        <f>IF(Input!H79&gt;0,Input!H79,"")</f>
        <v xml:space="preserve"> </v>
      </c>
      <c r="O79" t="str">
        <f>IF(Input!I79&lt;&gt;"",Input!I79,"")</f>
        <v/>
      </c>
      <c r="P79" t="str">
        <f t="shared" si="21"/>
        <v/>
      </c>
      <c r="Q79" t="str">
        <f>IF(Input!I79&lt;&gt;"",IF(ISNUMBER(Input!J79),ROUNDDOWN(Input!J79,0),0),"")</f>
        <v/>
      </c>
      <c r="R79" t="str">
        <f>IF(Input!L79&lt;&gt;"",Input!L79,"")</f>
        <v/>
      </c>
      <c r="S79" t="str">
        <f t="shared" si="22"/>
        <v/>
      </c>
      <c r="T79" t="str">
        <f>IF(Input!L79&lt;&gt;"",IF(ISNUMBER(Input!M79),Input!M79,0),"")</f>
        <v/>
      </c>
      <c r="U79" t="str">
        <f>IF(Input!O79&lt;&gt;"",Input!O79,"")</f>
        <v/>
      </c>
      <c r="V79" t="str">
        <f t="shared" si="23"/>
        <v/>
      </c>
      <c r="W79" t="str">
        <f>IF(Input!O79&lt;&gt;"",IF(ISNUMBER(Input!P79),(Input!P79),0),"")</f>
        <v/>
      </c>
      <c r="X79" t="str">
        <f>IF(Input!R79&lt;&gt;"",Input!R79,"")</f>
        <v/>
      </c>
      <c r="Y79" t="str">
        <f t="shared" si="24"/>
        <v/>
      </c>
      <c r="Z79" t="str">
        <f>IF(Input!R79&lt;&gt;"",IF(ISNUMBER(Input!S79),ROUNDDOWN(Input!S79,0),0),"")</f>
        <v/>
      </c>
      <c r="AA79" t="str">
        <f>IF(Input!U79&lt;&gt;"",Input!U79,"")</f>
        <v/>
      </c>
      <c r="AB79" t="str">
        <f t="shared" si="25"/>
        <v/>
      </c>
      <c r="AC79" t="str">
        <f>IF(Input!U79&lt;&gt;"",IF(ISNUMBER(Input!V79),ROUNDDOWN(Input!V79,0),0),"")</f>
        <v/>
      </c>
      <c r="AD79" t="str">
        <f>IF(Input!X79&lt;&gt;"",Input!X79,"")</f>
        <v/>
      </c>
      <c r="AE79" t="str">
        <f t="shared" si="26"/>
        <v/>
      </c>
      <c r="AF79" t="str">
        <f>IF(Input!X79&lt;&gt;"",IF(ISNUMBER(Input!Y79),(Input!Y79),0),"")</f>
        <v/>
      </c>
      <c r="AG79" t="str">
        <f>IF(Input!AA79&lt;&gt;"",Input!AA79,"")</f>
        <v/>
      </c>
      <c r="AH79" t="str">
        <f t="shared" si="27"/>
        <v/>
      </c>
      <c r="AI79" t="str">
        <f>IF(Input!AA79&lt;&gt;"",IF(ISNUMBER(Input!AB79),ROUNDDOWN(Input!AB79,0),0),"")</f>
        <v/>
      </c>
      <c r="AJ79" t="str">
        <f>IF(Input!AD79&lt;&gt;"",Input!AD79,"")</f>
        <v/>
      </c>
      <c r="AK79" t="str">
        <f t="shared" si="28"/>
        <v/>
      </c>
      <c r="AL79" t="str">
        <f>IF(Input!AD79&lt;&gt;"",IF(ISNUMBER(Input!AE79),(Input!AE79),0),"")</f>
        <v/>
      </c>
      <c r="AM79" t="str">
        <f>IF(Input!AG79&lt;&gt;"",Input!AG79,"")</f>
        <v/>
      </c>
      <c r="AN79" t="str">
        <f t="shared" si="18"/>
        <v/>
      </c>
      <c r="AO79" t="str">
        <f>IF(Input!AG79&lt;&gt;"",IF(ISNUMBER(Input!AH79),(Input!AH79),0),"")</f>
        <v/>
      </c>
    </row>
    <row r="80" spans="1:41" ht="16.5" thickTop="1" thickBot="1" x14ac:dyDescent="0.4">
      <c r="A80" s="35">
        <f>IF(ISBLANK(Input!A80),1000,IF(Input!E80&gt;0,Input!E80+F80,1000))</f>
        <v>1000</v>
      </c>
      <c r="B80" s="32">
        <f t="shared" si="19"/>
        <v>1000</v>
      </c>
      <c r="C80" s="4">
        <v>79</v>
      </c>
      <c r="D80" s="97">
        <f>IF(ISBLANK(Input!A80),1000,IF(Input!G80&gt;0,Input!G80+F80,1000))</f>
        <v>1000</v>
      </c>
      <c r="E80" s="97">
        <f t="shared" si="20"/>
        <v>1000</v>
      </c>
      <c r="F80" s="4">
        <v>7.8999999999999904E-2</v>
      </c>
      <c r="I80" t="str">
        <f>IF(Input!A80&gt;0,Input!A80,"")</f>
        <v/>
      </c>
      <c r="J80" t="str">
        <f>IF(Input!B80&gt;0,Input!B80,"")</f>
        <v/>
      </c>
      <c r="K80" t="str">
        <f>IF(Input!C80&gt;0,Input!C80,"")</f>
        <v/>
      </c>
      <c r="L80" t="str">
        <f>IF(Input!D80&gt;0,Input!D80,"")</f>
        <v/>
      </c>
      <c r="M80" t="str">
        <f>IF(Input!G80&gt;0,Input!G80,"")</f>
        <v xml:space="preserve"> </v>
      </c>
      <c r="N80" t="str">
        <f>IF(Input!H80&gt;0,Input!H80,"")</f>
        <v xml:space="preserve"> </v>
      </c>
      <c r="O80" t="str">
        <f>IF(Input!I80&lt;&gt;"",Input!I80,"")</f>
        <v/>
      </c>
      <c r="P80" t="str">
        <f t="shared" si="21"/>
        <v/>
      </c>
      <c r="Q80" t="str">
        <f>IF(Input!I80&lt;&gt;"",IF(ISNUMBER(Input!J80),ROUNDDOWN(Input!J80,0),0),"")</f>
        <v/>
      </c>
      <c r="R80" t="str">
        <f>IF(Input!L80&lt;&gt;"",Input!L80,"")</f>
        <v/>
      </c>
      <c r="S80" t="str">
        <f t="shared" si="22"/>
        <v/>
      </c>
      <c r="T80" t="str">
        <f>IF(Input!L80&lt;&gt;"",IF(ISNUMBER(Input!M80),Input!M80,0),"")</f>
        <v/>
      </c>
      <c r="U80" t="str">
        <f>IF(Input!O80&lt;&gt;"",Input!O80,"")</f>
        <v/>
      </c>
      <c r="V80" t="str">
        <f t="shared" si="23"/>
        <v/>
      </c>
      <c r="W80" t="str">
        <f>IF(Input!O80&lt;&gt;"",IF(ISNUMBER(Input!P80),(Input!P80),0),"")</f>
        <v/>
      </c>
      <c r="X80" t="str">
        <f>IF(Input!R80&lt;&gt;"",Input!R80,"")</f>
        <v/>
      </c>
      <c r="Y80" t="str">
        <f t="shared" si="24"/>
        <v/>
      </c>
      <c r="Z80" t="str">
        <f>IF(Input!R80&lt;&gt;"",IF(ISNUMBER(Input!S80),ROUNDDOWN(Input!S80,0),0),"")</f>
        <v/>
      </c>
      <c r="AA80" t="str">
        <f>IF(Input!U80&lt;&gt;"",Input!U80,"")</f>
        <v/>
      </c>
      <c r="AB80" t="str">
        <f t="shared" si="25"/>
        <v/>
      </c>
      <c r="AC80" t="str">
        <f>IF(Input!U80&lt;&gt;"",IF(ISNUMBER(Input!V80),ROUNDDOWN(Input!V80,0),0),"")</f>
        <v/>
      </c>
      <c r="AD80" t="str">
        <f>IF(Input!X80&lt;&gt;"",Input!X80,"")</f>
        <v/>
      </c>
      <c r="AE80" t="str">
        <f t="shared" si="26"/>
        <v/>
      </c>
      <c r="AF80" t="str">
        <f>IF(Input!X80&lt;&gt;"",IF(ISNUMBER(Input!Y80),(Input!Y80),0),"")</f>
        <v/>
      </c>
      <c r="AG80" t="str">
        <f>IF(Input!AA80&lt;&gt;"",Input!AA80,"")</f>
        <v/>
      </c>
      <c r="AH80" t="str">
        <f t="shared" si="27"/>
        <v/>
      </c>
      <c r="AI80" t="str">
        <f>IF(Input!AA80&lt;&gt;"",IF(ISNUMBER(Input!AB80),ROUNDDOWN(Input!AB80,0),0),"")</f>
        <v/>
      </c>
      <c r="AJ80" t="str">
        <f>IF(Input!AD80&lt;&gt;"",Input!AD80,"")</f>
        <v/>
      </c>
      <c r="AK80" t="str">
        <f t="shared" si="28"/>
        <v/>
      </c>
      <c r="AL80" t="str">
        <f>IF(Input!AD80&lt;&gt;"",IF(ISNUMBER(Input!AE80),(Input!AE80),0),"")</f>
        <v/>
      </c>
      <c r="AM80" t="str">
        <f>IF(Input!AG80&lt;&gt;"",Input!AG80,"")</f>
        <v/>
      </c>
      <c r="AN80" t="str">
        <f t="shared" si="18"/>
        <v/>
      </c>
      <c r="AO80" t="str">
        <f>IF(Input!AG80&lt;&gt;"",IF(ISNUMBER(Input!AH80),(Input!AH80),0),"")</f>
        <v/>
      </c>
    </row>
    <row r="81" spans="1:41" ht="16.5" thickTop="1" thickBot="1" x14ac:dyDescent="0.4">
      <c r="A81" s="35">
        <f>IF(ISBLANK(Input!A81),1000,IF(Input!E81&gt;0,Input!E81+F81,1000))</f>
        <v>1000</v>
      </c>
      <c r="B81" s="32">
        <f t="shared" si="19"/>
        <v>1000</v>
      </c>
      <c r="C81" s="4">
        <v>80</v>
      </c>
      <c r="D81" s="97">
        <f>IF(ISBLANK(Input!A81),1000,IF(Input!G81&gt;0,Input!G81+F81,1000))</f>
        <v>1000</v>
      </c>
      <c r="E81" s="97">
        <f t="shared" si="20"/>
        <v>1000</v>
      </c>
      <c r="F81" s="4">
        <v>7.9999999999999905E-2</v>
      </c>
      <c r="I81" t="str">
        <f>IF(Input!A81&gt;0,Input!A81,"")</f>
        <v/>
      </c>
      <c r="J81" t="str">
        <f>IF(Input!B81&gt;0,Input!B81,"")</f>
        <v/>
      </c>
      <c r="K81" t="str">
        <f>IF(Input!C81&gt;0,Input!C81,"")</f>
        <v/>
      </c>
      <c r="L81" t="str">
        <f>IF(Input!D81&gt;0,Input!D81,"")</f>
        <v/>
      </c>
      <c r="M81" t="str">
        <f>IF(Input!G81&gt;0,Input!G81,"")</f>
        <v xml:space="preserve"> </v>
      </c>
      <c r="N81" t="str">
        <f>IF(Input!H81&gt;0,Input!H81,"")</f>
        <v xml:space="preserve"> </v>
      </c>
      <c r="O81" t="str">
        <f>IF(Input!I81&lt;&gt;"",Input!I81,"")</f>
        <v/>
      </c>
      <c r="P81" t="str">
        <f t="shared" si="21"/>
        <v/>
      </c>
      <c r="Q81" t="str">
        <f>IF(Input!I81&lt;&gt;"",IF(ISNUMBER(Input!J81),ROUNDDOWN(Input!J81,0),0),"")</f>
        <v/>
      </c>
      <c r="R81" t="str">
        <f>IF(Input!L81&lt;&gt;"",Input!L81,"")</f>
        <v/>
      </c>
      <c r="S81" t="str">
        <f t="shared" si="22"/>
        <v/>
      </c>
      <c r="T81" t="str">
        <f>IF(Input!L81&lt;&gt;"",IF(ISNUMBER(Input!M81),Input!M81,0),"")</f>
        <v/>
      </c>
      <c r="U81" t="str">
        <f>IF(Input!O81&lt;&gt;"",Input!O81,"")</f>
        <v/>
      </c>
      <c r="V81" t="str">
        <f t="shared" si="23"/>
        <v/>
      </c>
      <c r="W81" t="str">
        <f>IF(Input!O81&lt;&gt;"",IF(ISNUMBER(Input!P81),(Input!P81),0),"")</f>
        <v/>
      </c>
      <c r="X81" t="str">
        <f>IF(Input!R81&lt;&gt;"",Input!R81,"")</f>
        <v/>
      </c>
      <c r="Y81" t="str">
        <f t="shared" si="24"/>
        <v/>
      </c>
      <c r="Z81" t="str">
        <f>IF(Input!R81&lt;&gt;"",IF(ISNUMBER(Input!S81),ROUNDDOWN(Input!S81,0),0),"")</f>
        <v/>
      </c>
      <c r="AA81" t="str">
        <f>IF(Input!U81&lt;&gt;"",Input!U81,"")</f>
        <v/>
      </c>
      <c r="AB81" t="str">
        <f t="shared" si="25"/>
        <v/>
      </c>
      <c r="AC81" t="str">
        <f>IF(Input!U81&lt;&gt;"",IF(ISNUMBER(Input!V81),ROUNDDOWN(Input!V81,0),0),"")</f>
        <v/>
      </c>
      <c r="AD81" t="str">
        <f>IF(Input!X81&lt;&gt;"",Input!X81,"")</f>
        <v/>
      </c>
      <c r="AE81" t="str">
        <f t="shared" si="26"/>
        <v/>
      </c>
      <c r="AF81" t="str">
        <f>IF(Input!X81&lt;&gt;"",IF(ISNUMBER(Input!Y81),(Input!Y81),0),"")</f>
        <v/>
      </c>
      <c r="AG81" t="str">
        <f>IF(Input!AA81&lt;&gt;"",Input!AA81,"")</f>
        <v/>
      </c>
      <c r="AH81" t="str">
        <f t="shared" si="27"/>
        <v/>
      </c>
      <c r="AI81" t="str">
        <f>IF(Input!AA81&lt;&gt;"",IF(ISNUMBER(Input!AB81),ROUNDDOWN(Input!AB81,0),0),"")</f>
        <v/>
      </c>
      <c r="AJ81" t="str">
        <f>IF(Input!AD81&lt;&gt;"",Input!AD81,"")</f>
        <v/>
      </c>
      <c r="AK81" t="str">
        <f t="shared" si="28"/>
        <v/>
      </c>
      <c r="AL81" t="str">
        <f>IF(Input!AD81&lt;&gt;"",IF(ISNUMBER(Input!AE81),(Input!AE81),0),"")</f>
        <v/>
      </c>
      <c r="AM81" t="str">
        <f>IF(Input!AG81&lt;&gt;"",Input!AG81,"")</f>
        <v/>
      </c>
      <c r="AN81" t="str">
        <f t="shared" si="18"/>
        <v/>
      </c>
      <c r="AO81" t="str">
        <f>IF(Input!AG81&lt;&gt;"",IF(ISNUMBER(Input!AH81),(Input!AH81),0),"")</f>
        <v/>
      </c>
    </row>
    <row r="82" spans="1:41" ht="16.5" thickTop="1" thickBot="1" x14ac:dyDescent="0.4">
      <c r="A82" s="35">
        <f>IF(ISBLANK(Input!A82),1000,IF(Input!E82&gt;0,Input!E82+F82,1000))</f>
        <v>1000</v>
      </c>
      <c r="B82" s="32">
        <f t="shared" si="19"/>
        <v>1000</v>
      </c>
      <c r="C82" s="4">
        <v>81</v>
      </c>
      <c r="D82" s="97">
        <f>IF(ISBLANK(Input!A82),1000,IF(Input!G82&gt;0,Input!G82+F82,1000))</f>
        <v>1000</v>
      </c>
      <c r="E82" s="97">
        <f t="shared" si="20"/>
        <v>1000</v>
      </c>
      <c r="F82" s="4">
        <v>8.0999999999999905E-2</v>
      </c>
      <c r="I82" t="str">
        <f>IF(Input!A82&gt;0,Input!A82,"")</f>
        <v/>
      </c>
      <c r="J82" t="str">
        <f>IF(Input!B82&gt;0,Input!B82,"")</f>
        <v/>
      </c>
      <c r="K82" t="str">
        <f>IF(Input!C82&gt;0,Input!C82,"")</f>
        <v/>
      </c>
      <c r="L82" t="str">
        <f>IF(Input!D82&gt;0,Input!D82,"")</f>
        <v/>
      </c>
      <c r="M82" t="str">
        <f>IF(Input!G82&gt;0,Input!G82,"")</f>
        <v xml:space="preserve"> </v>
      </c>
      <c r="N82" t="str">
        <f>IF(Input!H82&gt;0,Input!H82,"")</f>
        <v xml:space="preserve"> </v>
      </c>
      <c r="O82" t="str">
        <f>IF(Input!I82&lt;&gt;"",Input!I82,"")</f>
        <v/>
      </c>
      <c r="P82" t="str">
        <f t="shared" si="21"/>
        <v/>
      </c>
      <c r="Q82" t="str">
        <f>IF(Input!I82&lt;&gt;"",IF(ISNUMBER(Input!J82),ROUNDDOWN(Input!J82,0),0),"")</f>
        <v/>
      </c>
      <c r="R82" t="str">
        <f>IF(Input!L82&lt;&gt;"",Input!L82,"")</f>
        <v/>
      </c>
      <c r="S82" t="str">
        <f t="shared" si="22"/>
        <v/>
      </c>
      <c r="T82" t="str">
        <f>IF(Input!L82&lt;&gt;"",IF(ISNUMBER(Input!M82),Input!M82,0),"")</f>
        <v/>
      </c>
      <c r="U82" t="str">
        <f>IF(Input!O82&lt;&gt;"",Input!O82,"")</f>
        <v/>
      </c>
      <c r="V82" t="str">
        <f t="shared" si="23"/>
        <v/>
      </c>
      <c r="W82" t="str">
        <f>IF(Input!O82&lt;&gt;"",IF(ISNUMBER(Input!P82),(Input!P82),0),"")</f>
        <v/>
      </c>
      <c r="X82" t="str">
        <f>IF(Input!R82&lt;&gt;"",Input!R82,"")</f>
        <v/>
      </c>
      <c r="Y82" t="str">
        <f t="shared" si="24"/>
        <v/>
      </c>
      <c r="Z82" t="str">
        <f>IF(Input!R82&lt;&gt;"",IF(ISNUMBER(Input!S82),ROUNDDOWN(Input!S82,0),0),"")</f>
        <v/>
      </c>
      <c r="AA82" t="str">
        <f>IF(Input!U82&lt;&gt;"",Input!U82,"")</f>
        <v/>
      </c>
      <c r="AB82" t="str">
        <f t="shared" si="25"/>
        <v/>
      </c>
      <c r="AC82" t="str">
        <f>IF(Input!U82&lt;&gt;"",IF(ISNUMBER(Input!V82),ROUNDDOWN(Input!V82,0),0),"")</f>
        <v/>
      </c>
      <c r="AD82" t="str">
        <f>IF(Input!X82&lt;&gt;"",Input!X82,"")</f>
        <v/>
      </c>
      <c r="AE82" t="str">
        <f t="shared" si="26"/>
        <v/>
      </c>
      <c r="AF82" t="str">
        <f>IF(Input!X82&lt;&gt;"",IF(ISNUMBER(Input!Y82),(Input!Y82),0),"")</f>
        <v/>
      </c>
      <c r="AG82" t="str">
        <f>IF(Input!AA82&lt;&gt;"",Input!AA82,"")</f>
        <v/>
      </c>
      <c r="AH82" t="str">
        <f t="shared" si="27"/>
        <v/>
      </c>
      <c r="AI82" t="str">
        <f>IF(Input!AA82&lt;&gt;"",IF(ISNUMBER(Input!AB82),ROUNDDOWN(Input!AB82,0),0),"")</f>
        <v/>
      </c>
      <c r="AJ82" t="str">
        <f>IF(Input!AD82&lt;&gt;"",Input!AD82,"")</f>
        <v/>
      </c>
      <c r="AK82" t="str">
        <f t="shared" si="28"/>
        <v/>
      </c>
      <c r="AL82" t="str">
        <f>IF(Input!AD82&lt;&gt;"",IF(ISNUMBER(Input!AE82),(Input!AE82),0),"")</f>
        <v/>
      </c>
      <c r="AM82" t="str">
        <f>IF(Input!AG82&lt;&gt;"",Input!AG82,"")</f>
        <v/>
      </c>
      <c r="AN82" t="str">
        <f t="shared" si="18"/>
        <v/>
      </c>
      <c r="AO82" t="str">
        <f>IF(Input!AG82&lt;&gt;"",IF(ISNUMBER(Input!AH82),(Input!AH82),0),"")</f>
        <v/>
      </c>
    </row>
    <row r="83" spans="1:41" ht="16.5" thickTop="1" thickBot="1" x14ac:dyDescent="0.4">
      <c r="A83" s="35">
        <f>IF(ISBLANK(Input!A83),1000,IF(Input!E83&gt;0,Input!E83+F83,1000))</f>
        <v>1000</v>
      </c>
      <c r="B83" s="32">
        <f t="shared" si="19"/>
        <v>1000</v>
      </c>
      <c r="C83" s="4">
        <v>82</v>
      </c>
      <c r="D83" s="97">
        <f>IF(ISBLANK(Input!A83),1000,IF(Input!G83&gt;0,Input!G83+F83,1000))</f>
        <v>1000</v>
      </c>
      <c r="E83" s="97">
        <f t="shared" si="20"/>
        <v>1000</v>
      </c>
      <c r="F83" s="4">
        <v>8.1999999999999906E-2</v>
      </c>
      <c r="I83" t="str">
        <f>IF(Input!A83&gt;0,Input!A83,"")</f>
        <v/>
      </c>
      <c r="J83" t="str">
        <f>IF(Input!B83&gt;0,Input!B83,"")</f>
        <v/>
      </c>
      <c r="K83" t="str">
        <f>IF(Input!C83&gt;0,Input!C83,"")</f>
        <v/>
      </c>
      <c r="L83" t="str">
        <f>IF(Input!D83&gt;0,Input!D83,"")</f>
        <v/>
      </c>
      <c r="M83" t="str">
        <f>IF(Input!G83&gt;0,Input!G83,"")</f>
        <v xml:space="preserve"> </v>
      </c>
      <c r="N83" t="str">
        <f>IF(Input!H83&gt;0,Input!H83,"")</f>
        <v xml:space="preserve"> </v>
      </c>
      <c r="O83" t="str">
        <f>IF(Input!I83&lt;&gt;"",Input!I83,"")</f>
        <v/>
      </c>
      <c r="P83" t="str">
        <f t="shared" si="21"/>
        <v/>
      </c>
      <c r="Q83" t="str">
        <f>IF(Input!I83&lt;&gt;"",IF(ISNUMBER(Input!J83),ROUNDDOWN(Input!J83,0),0),"")</f>
        <v/>
      </c>
      <c r="R83" t="str">
        <f>IF(Input!L83&lt;&gt;"",Input!L83,"")</f>
        <v/>
      </c>
      <c r="S83" t="str">
        <f t="shared" si="22"/>
        <v/>
      </c>
      <c r="T83" t="str">
        <f>IF(Input!L83&lt;&gt;"",IF(ISNUMBER(Input!M83),Input!M83,0),"")</f>
        <v/>
      </c>
      <c r="U83" t="str">
        <f>IF(Input!O83&lt;&gt;"",Input!O83,"")</f>
        <v/>
      </c>
      <c r="V83" t="str">
        <f t="shared" si="23"/>
        <v/>
      </c>
      <c r="W83" t="str">
        <f>IF(Input!O83&lt;&gt;"",IF(ISNUMBER(Input!P83),(Input!P83),0),"")</f>
        <v/>
      </c>
      <c r="X83" t="str">
        <f>IF(Input!R83&lt;&gt;"",Input!R83,"")</f>
        <v/>
      </c>
      <c r="Y83" t="str">
        <f t="shared" si="24"/>
        <v/>
      </c>
      <c r="Z83" t="str">
        <f>IF(Input!R83&lt;&gt;"",IF(ISNUMBER(Input!S83),ROUNDDOWN(Input!S83,0),0),"")</f>
        <v/>
      </c>
      <c r="AA83" t="str">
        <f>IF(Input!U83&lt;&gt;"",Input!U83,"")</f>
        <v/>
      </c>
      <c r="AB83" t="str">
        <f t="shared" si="25"/>
        <v/>
      </c>
      <c r="AC83" t="str">
        <f>IF(Input!U83&lt;&gt;"",IF(ISNUMBER(Input!V83),ROUNDDOWN(Input!V83,0),0),"")</f>
        <v/>
      </c>
      <c r="AD83" t="str">
        <f>IF(Input!X83&lt;&gt;"",Input!X83,"")</f>
        <v/>
      </c>
      <c r="AE83" t="str">
        <f t="shared" si="26"/>
        <v/>
      </c>
      <c r="AF83" t="str">
        <f>IF(Input!X83&lt;&gt;"",IF(ISNUMBER(Input!Y83),(Input!Y83),0),"")</f>
        <v/>
      </c>
      <c r="AG83" t="str">
        <f>IF(Input!AA83&lt;&gt;"",Input!AA83,"")</f>
        <v/>
      </c>
      <c r="AH83" t="str">
        <f t="shared" si="27"/>
        <v/>
      </c>
      <c r="AI83" t="str">
        <f>IF(Input!AA83&lt;&gt;"",IF(ISNUMBER(Input!AB83),ROUNDDOWN(Input!AB83,0),0),"")</f>
        <v/>
      </c>
      <c r="AJ83" t="str">
        <f>IF(Input!AD83&lt;&gt;"",Input!AD83,"")</f>
        <v/>
      </c>
      <c r="AK83" t="str">
        <f t="shared" si="28"/>
        <v/>
      </c>
      <c r="AL83" t="str">
        <f>IF(Input!AD83&lt;&gt;"",IF(ISNUMBER(Input!AE83),(Input!AE83),0),"")</f>
        <v/>
      </c>
      <c r="AM83" t="str">
        <f>IF(Input!AG83&lt;&gt;"",Input!AG83,"")</f>
        <v/>
      </c>
      <c r="AN83" t="str">
        <f t="shared" si="18"/>
        <v/>
      </c>
      <c r="AO83" t="str">
        <f>IF(Input!AG83&lt;&gt;"",IF(ISNUMBER(Input!AH83),(Input!AH83),0),"")</f>
        <v/>
      </c>
    </row>
    <row r="84" spans="1:41" ht="16.5" thickTop="1" thickBot="1" x14ac:dyDescent="0.4">
      <c r="A84" s="35">
        <f>IF(ISBLANK(Input!A84),1000,IF(Input!E84&gt;0,Input!E84+F84,1000))</f>
        <v>1000</v>
      </c>
      <c r="B84" s="32">
        <f t="shared" si="19"/>
        <v>1000</v>
      </c>
      <c r="C84" s="4">
        <v>83</v>
      </c>
      <c r="D84" s="97">
        <f>IF(ISBLANK(Input!A84),1000,IF(Input!G84&gt;0,Input!G84+F84,1000))</f>
        <v>1000</v>
      </c>
      <c r="E84" s="97">
        <f t="shared" si="20"/>
        <v>1000</v>
      </c>
      <c r="F84" s="4">
        <v>8.2999999999999893E-2</v>
      </c>
      <c r="I84" t="str">
        <f>IF(Input!A84&gt;0,Input!A84,"")</f>
        <v/>
      </c>
      <c r="J84" t="str">
        <f>IF(Input!B84&gt;0,Input!B84,"")</f>
        <v/>
      </c>
      <c r="K84" t="str">
        <f>IF(Input!C84&gt;0,Input!C84,"")</f>
        <v/>
      </c>
      <c r="L84" t="str">
        <f>IF(Input!D84&gt;0,Input!D84,"")</f>
        <v/>
      </c>
      <c r="M84" t="str">
        <f>IF(Input!G84&gt;0,Input!G84,"")</f>
        <v xml:space="preserve"> </v>
      </c>
      <c r="N84" t="str">
        <f>IF(Input!H84&gt;0,Input!H84,"")</f>
        <v xml:space="preserve"> </v>
      </c>
      <c r="O84" t="str">
        <f>IF(Input!I84&lt;&gt;"",Input!I84,"")</f>
        <v/>
      </c>
      <c r="P84" t="str">
        <f t="shared" si="21"/>
        <v/>
      </c>
      <c r="Q84" t="str">
        <f>IF(Input!I84&lt;&gt;"",IF(ISNUMBER(Input!J84),ROUNDDOWN(Input!J84,0),0),"")</f>
        <v/>
      </c>
      <c r="R84" t="str">
        <f>IF(Input!L84&lt;&gt;"",Input!L84,"")</f>
        <v/>
      </c>
      <c r="S84" t="str">
        <f t="shared" si="22"/>
        <v/>
      </c>
      <c r="T84" t="str">
        <f>IF(Input!L84&lt;&gt;"",IF(ISNUMBER(Input!M84),Input!M84,0),"")</f>
        <v/>
      </c>
      <c r="U84" t="str">
        <f>IF(Input!O84&lt;&gt;"",Input!O84,"")</f>
        <v/>
      </c>
      <c r="V84" t="str">
        <f t="shared" si="23"/>
        <v/>
      </c>
      <c r="W84" t="str">
        <f>IF(Input!O84&lt;&gt;"",IF(ISNUMBER(Input!P84),(Input!P84),0),"")</f>
        <v/>
      </c>
      <c r="X84" t="str">
        <f>IF(Input!R84&lt;&gt;"",Input!R84,"")</f>
        <v/>
      </c>
      <c r="Y84" t="str">
        <f t="shared" si="24"/>
        <v/>
      </c>
      <c r="Z84" t="str">
        <f>IF(Input!R84&lt;&gt;"",IF(ISNUMBER(Input!S84),ROUNDDOWN(Input!S84,0),0),"")</f>
        <v/>
      </c>
      <c r="AA84" t="str">
        <f>IF(Input!U84&lt;&gt;"",Input!U84,"")</f>
        <v/>
      </c>
      <c r="AB84" t="str">
        <f t="shared" si="25"/>
        <v/>
      </c>
      <c r="AC84" t="str">
        <f>IF(Input!U84&lt;&gt;"",IF(ISNUMBER(Input!V84),ROUNDDOWN(Input!V84,0),0),"")</f>
        <v/>
      </c>
      <c r="AD84" t="str">
        <f>IF(Input!X84&lt;&gt;"",Input!X84,"")</f>
        <v/>
      </c>
      <c r="AE84" t="str">
        <f t="shared" si="26"/>
        <v/>
      </c>
      <c r="AF84" t="str">
        <f>IF(Input!X84&lt;&gt;"",IF(ISNUMBER(Input!Y84),(Input!Y84),0),"")</f>
        <v/>
      </c>
      <c r="AG84" t="str">
        <f>IF(Input!AA84&lt;&gt;"",Input!AA84,"")</f>
        <v/>
      </c>
      <c r="AH84" t="str">
        <f t="shared" si="27"/>
        <v/>
      </c>
      <c r="AI84" t="str">
        <f>IF(Input!AA84&lt;&gt;"",IF(ISNUMBER(Input!AB84),ROUNDDOWN(Input!AB84,0),0),"")</f>
        <v/>
      </c>
      <c r="AJ84" t="str">
        <f>IF(Input!AD84&lt;&gt;"",Input!AD84,"")</f>
        <v/>
      </c>
      <c r="AK84" t="str">
        <f t="shared" si="28"/>
        <v/>
      </c>
      <c r="AL84" t="str">
        <f>IF(Input!AD84&lt;&gt;"",IF(ISNUMBER(Input!AE84),(Input!AE84),0),"")</f>
        <v/>
      </c>
      <c r="AM84" t="str">
        <f>IF(Input!AG84&lt;&gt;"",Input!AG84,"")</f>
        <v/>
      </c>
      <c r="AN84" t="str">
        <f t="shared" si="18"/>
        <v/>
      </c>
      <c r="AO84" t="str">
        <f>IF(Input!AG84&lt;&gt;"",IF(ISNUMBER(Input!AH84),(Input!AH84),0),"")</f>
        <v/>
      </c>
    </row>
    <row r="85" spans="1:41" ht="16.5" thickTop="1" thickBot="1" x14ac:dyDescent="0.4">
      <c r="A85" s="35">
        <f>IF(ISBLANK(Input!A85),1000,IF(Input!E85&gt;0,Input!E85+F85,1000))</f>
        <v>1000</v>
      </c>
      <c r="B85" s="32">
        <f t="shared" si="19"/>
        <v>1000</v>
      </c>
      <c r="C85" s="4">
        <v>84</v>
      </c>
      <c r="D85" s="97">
        <f>IF(ISBLANK(Input!A85),1000,IF(Input!G85&gt;0,Input!G85+F85,1000))</f>
        <v>1000</v>
      </c>
      <c r="E85" s="97">
        <f t="shared" si="20"/>
        <v>1000</v>
      </c>
      <c r="F85" s="4">
        <v>8.3999999999999894E-2</v>
      </c>
      <c r="I85" t="str">
        <f>IF(Input!A85&gt;0,Input!A85,"")</f>
        <v/>
      </c>
      <c r="J85" t="str">
        <f>IF(Input!B85&gt;0,Input!B85,"")</f>
        <v/>
      </c>
      <c r="K85" t="str">
        <f>IF(Input!C85&gt;0,Input!C85,"")</f>
        <v/>
      </c>
      <c r="L85" t="str">
        <f>IF(Input!D85&gt;0,Input!D85,"")</f>
        <v/>
      </c>
      <c r="M85" t="str">
        <f>IF(Input!G85&gt;0,Input!G85,"")</f>
        <v xml:space="preserve"> </v>
      </c>
      <c r="N85" t="str">
        <f>IF(Input!H85&gt;0,Input!H85,"")</f>
        <v xml:space="preserve"> </v>
      </c>
      <c r="O85" t="str">
        <f>IF(Input!I85&lt;&gt;"",Input!I85,"")</f>
        <v/>
      </c>
      <c r="P85" t="str">
        <f t="shared" si="21"/>
        <v/>
      </c>
      <c r="Q85" t="str">
        <f>IF(Input!I85&lt;&gt;"",IF(ISNUMBER(Input!J85),ROUNDDOWN(Input!J85,0),0),"")</f>
        <v/>
      </c>
      <c r="R85" t="str">
        <f>IF(Input!L85&lt;&gt;"",Input!L85,"")</f>
        <v/>
      </c>
      <c r="S85" t="str">
        <f t="shared" si="22"/>
        <v/>
      </c>
      <c r="T85" t="str">
        <f>IF(Input!L85&lt;&gt;"",IF(ISNUMBER(Input!M85),Input!M85,0),"")</f>
        <v/>
      </c>
      <c r="U85" t="str">
        <f>IF(Input!O85&lt;&gt;"",Input!O85,"")</f>
        <v/>
      </c>
      <c r="V85" t="str">
        <f t="shared" si="23"/>
        <v/>
      </c>
      <c r="W85" t="str">
        <f>IF(Input!O85&lt;&gt;"",IF(ISNUMBER(Input!P85),(Input!P85),0),"")</f>
        <v/>
      </c>
      <c r="X85" t="str">
        <f>IF(Input!R85&lt;&gt;"",Input!R85,"")</f>
        <v/>
      </c>
      <c r="Y85" t="str">
        <f t="shared" si="24"/>
        <v/>
      </c>
      <c r="Z85" t="str">
        <f>IF(Input!R85&lt;&gt;"",IF(ISNUMBER(Input!S85),ROUNDDOWN(Input!S85,0),0),"")</f>
        <v/>
      </c>
      <c r="AA85" t="str">
        <f>IF(Input!U85&lt;&gt;"",Input!U85,"")</f>
        <v/>
      </c>
      <c r="AB85" t="str">
        <f t="shared" si="25"/>
        <v/>
      </c>
      <c r="AC85" t="str">
        <f>IF(Input!U85&lt;&gt;"",IF(ISNUMBER(Input!V85),ROUNDDOWN(Input!V85,0),0),"")</f>
        <v/>
      </c>
      <c r="AD85" t="str">
        <f>IF(Input!X85&lt;&gt;"",Input!X85,"")</f>
        <v/>
      </c>
      <c r="AE85" t="str">
        <f t="shared" si="26"/>
        <v/>
      </c>
      <c r="AF85" t="str">
        <f>IF(Input!X85&lt;&gt;"",IF(ISNUMBER(Input!Y85),(Input!Y85),0),"")</f>
        <v/>
      </c>
      <c r="AG85" t="str">
        <f>IF(Input!AA85&lt;&gt;"",Input!AA85,"")</f>
        <v/>
      </c>
      <c r="AH85" t="str">
        <f t="shared" si="27"/>
        <v/>
      </c>
      <c r="AI85" t="str">
        <f>IF(Input!AA85&lt;&gt;"",IF(ISNUMBER(Input!AB85),ROUNDDOWN(Input!AB85,0),0),"")</f>
        <v/>
      </c>
      <c r="AJ85" t="str">
        <f>IF(Input!AD85&lt;&gt;"",Input!AD85,"")</f>
        <v/>
      </c>
      <c r="AK85" t="str">
        <f t="shared" si="28"/>
        <v/>
      </c>
      <c r="AL85" t="str">
        <f>IF(Input!AD85&lt;&gt;"",IF(ISNUMBER(Input!AE85),(Input!AE85),0),"")</f>
        <v/>
      </c>
      <c r="AM85" t="str">
        <f>IF(Input!AG85&lt;&gt;"",Input!AG85,"")</f>
        <v/>
      </c>
      <c r="AN85" t="str">
        <f t="shared" si="18"/>
        <v/>
      </c>
      <c r="AO85" t="str">
        <f>IF(Input!AG85&lt;&gt;"",IF(ISNUMBER(Input!AH85),(Input!AH85),0),"")</f>
        <v/>
      </c>
    </row>
    <row r="86" spans="1:41" ht="16.5" thickTop="1" thickBot="1" x14ac:dyDescent="0.4">
      <c r="A86" s="35">
        <f>IF(ISBLANK(Input!A86),1000,IF(Input!E86&gt;0,Input!E86+F86,1000))</f>
        <v>1000</v>
      </c>
      <c r="B86" s="32">
        <f t="shared" si="19"/>
        <v>1000</v>
      </c>
      <c r="C86" s="4">
        <v>85</v>
      </c>
      <c r="D86" s="97">
        <f>IF(ISBLANK(Input!A86),1000,IF(Input!G86&gt;0,Input!G86+F86,1000))</f>
        <v>1000</v>
      </c>
      <c r="E86" s="97">
        <f t="shared" si="20"/>
        <v>1000</v>
      </c>
      <c r="F86" s="4">
        <v>8.4999999999999895E-2</v>
      </c>
      <c r="I86" t="str">
        <f>IF(Input!A86&gt;0,Input!A86,"")</f>
        <v/>
      </c>
      <c r="J86" t="str">
        <f>IF(Input!B86&gt;0,Input!B86,"")</f>
        <v/>
      </c>
      <c r="K86" t="str">
        <f>IF(Input!C86&gt;0,Input!C86,"")</f>
        <v/>
      </c>
      <c r="L86" t="str">
        <f>IF(Input!D86&gt;0,Input!D86,"")</f>
        <v/>
      </c>
      <c r="M86" t="str">
        <f>IF(Input!G86&gt;0,Input!G86,"")</f>
        <v xml:space="preserve"> </v>
      </c>
      <c r="N86" t="str">
        <f>IF(Input!H86&gt;0,Input!H86,"")</f>
        <v xml:space="preserve"> </v>
      </c>
      <c r="O86" t="str">
        <f>IF(Input!I86&lt;&gt;"",Input!I86,"")</f>
        <v/>
      </c>
      <c r="P86" t="str">
        <f t="shared" si="21"/>
        <v/>
      </c>
      <c r="Q86" t="str">
        <f>IF(Input!I86&lt;&gt;"",IF(ISNUMBER(Input!J86),ROUNDDOWN(Input!J86,0),0),"")</f>
        <v/>
      </c>
      <c r="R86" t="str">
        <f>IF(Input!L86&lt;&gt;"",Input!L86,"")</f>
        <v/>
      </c>
      <c r="S86" t="str">
        <f t="shared" si="22"/>
        <v/>
      </c>
      <c r="T86" t="str">
        <f>IF(Input!L86&lt;&gt;"",IF(ISNUMBER(Input!M86),Input!M86,0),"")</f>
        <v/>
      </c>
      <c r="U86" t="str">
        <f>IF(Input!O86&lt;&gt;"",Input!O86,"")</f>
        <v/>
      </c>
      <c r="V86" t="str">
        <f t="shared" si="23"/>
        <v/>
      </c>
      <c r="W86" t="str">
        <f>IF(Input!O86&lt;&gt;"",IF(ISNUMBER(Input!P86),(Input!P86),0),"")</f>
        <v/>
      </c>
      <c r="X86" t="str">
        <f>IF(Input!R86&lt;&gt;"",Input!R86,"")</f>
        <v/>
      </c>
      <c r="Y86" t="str">
        <f t="shared" si="24"/>
        <v/>
      </c>
      <c r="Z86" t="str">
        <f>IF(Input!R86&lt;&gt;"",IF(ISNUMBER(Input!S86),ROUNDDOWN(Input!S86,0),0),"")</f>
        <v/>
      </c>
      <c r="AA86" t="str">
        <f>IF(Input!U86&lt;&gt;"",Input!U86,"")</f>
        <v/>
      </c>
      <c r="AB86" t="str">
        <f t="shared" si="25"/>
        <v/>
      </c>
      <c r="AC86" t="str">
        <f>IF(Input!U86&lt;&gt;"",IF(ISNUMBER(Input!V86),ROUNDDOWN(Input!V86,0),0),"")</f>
        <v/>
      </c>
      <c r="AD86" t="str">
        <f>IF(Input!X86&lt;&gt;"",Input!X86,"")</f>
        <v/>
      </c>
      <c r="AE86" t="str">
        <f t="shared" si="26"/>
        <v/>
      </c>
      <c r="AF86" t="str">
        <f>IF(Input!X86&lt;&gt;"",IF(ISNUMBER(Input!Y86),(Input!Y86),0),"")</f>
        <v/>
      </c>
      <c r="AG86" t="str">
        <f>IF(Input!AA86&lt;&gt;"",Input!AA86,"")</f>
        <v/>
      </c>
      <c r="AH86" t="str">
        <f t="shared" si="27"/>
        <v/>
      </c>
      <c r="AI86" t="str">
        <f>IF(Input!AA86&lt;&gt;"",IF(ISNUMBER(Input!AB86),ROUNDDOWN(Input!AB86,0),0),"")</f>
        <v/>
      </c>
      <c r="AJ86" t="str">
        <f>IF(Input!AD86&lt;&gt;"",Input!AD86,"")</f>
        <v/>
      </c>
      <c r="AK86" t="str">
        <f t="shared" si="28"/>
        <v/>
      </c>
      <c r="AL86" t="str">
        <f>IF(Input!AD86&lt;&gt;"",IF(ISNUMBER(Input!AE86),(Input!AE86),0),"")</f>
        <v/>
      </c>
      <c r="AM86" t="str">
        <f>IF(Input!AG86&lt;&gt;"",Input!AG86,"")</f>
        <v/>
      </c>
      <c r="AN86" t="str">
        <f t="shared" si="18"/>
        <v/>
      </c>
      <c r="AO86" t="str">
        <f>IF(Input!AG86&lt;&gt;"",IF(ISNUMBER(Input!AH86),(Input!AH86),0),"")</f>
        <v/>
      </c>
    </row>
    <row r="87" spans="1:41" ht="16.5" thickTop="1" thickBot="1" x14ac:dyDescent="0.4">
      <c r="A87" s="35">
        <f>IF(ISBLANK(Input!A87),1000,IF(Input!E87&gt;0,Input!E87+F87,1000))</f>
        <v>1000</v>
      </c>
      <c r="B87" s="32">
        <f t="shared" si="19"/>
        <v>1000</v>
      </c>
      <c r="C87" s="4">
        <v>86</v>
      </c>
      <c r="D87" s="97">
        <f>IF(ISBLANK(Input!A87),1000,IF(Input!G87&gt;0,Input!G87+F87,1000))</f>
        <v>1000</v>
      </c>
      <c r="E87" s="97">
        <f t="shared" si="20"/>
        <v>1000</v>
      </c>
      <c r="F87" s="4">
        <v>8.5999999999999896E-2</v>
      </c>
      <c r="I87" t="str">
        <f>IF(Input!A87&gt;0,Input!A87,"")</f>
        <v/>
      </c>
      <c r="J87" t="str">
        <f>IF(Input!B87&gt;0,Input!B87,"")</f>
        <v/>
      </c>
      <c r="K87" t="str">
        <f>IF(Input!C87&gt;0,Input!C87,"")</f>
        <v/>
      </c>
      <c r="L87" t="str">
        <f>IF(Input!D87&gt;0,Input!D87,"")</f>
        <v/>
      </c>
      <c r="M87" t="str">
        <f>IF(Input!G87&gt;0,Input!G87,"")</f>
        <v xml:space="preserve"> </v>
      </c>
      <c r="N87" t="str">
        <f>IF(Input!H87&gt;0,Input!H87,"")</f>
        <v xml:space="preserve"> </v>
      </c>
      <c r="O87" t="str">
        <f>IF(Input!I87&lt;&gt;"",Input!I87,"")</f>
        <v/>
      </c>
      <c r="P87" t="str">
        <f t="shared" si="21"/>
        <v/>
      </c>
      <c r="Q87" t="str">
        <f>IF(Input!I87&lt;&gt;"",IF(ISNUMBER(Input!J87),ROUNDDOWN(Input!J87,0),0),"")</f>
        <v/>
      </c>
      <c r="R87" t="str">
        <f>IF(Input!L87&lt;&gt;"",Input!L87,"")</f>
        <v/>
      </c>
      <c r="S87" t="str">
        <f t="shared" si="22"/>
        <v/>
      </c>
      <c r="T87" t="str">
        <f>IF(Input!L87&lt;&gt;"",IF(ISNUMBER(Input!M87),Input!M87,0),"")</f>
        <v/>
      </c>
      <c r="U87" t="str">
        <f>IF(Input!O87&lt;&gt;"",Input!O87,"")</f>
        <v/>
      </c>
      <c r="V87" t="str">
        <f t="shared" si="23"/>
        <v/>
      </c>
      <c r="W87" t="str">
        <f>IF(Input!O87&lt;&gt;"",IF(ISNUMBER(Input!P87),(Input!P87),0),"")</f>
        <v/>
      </c>
      <c r="X87" t="str">
        <f>IF(Input!R87&lt;&gt;"",Input!R87,"")</f>
        <v/>
      </c>
      <c r="Y87" t="str">
        <f t="shared" si="24"/>
        <v/>
      </c>
      <c r="Z87" t="str">
        <f>IF(Input!R87&lt;&gt;"",IF(ISNUMBER(Input!S87),ROUNDDOWN(Input!S87,0),0),"")</f>
        <v/>
      </c>
      <c r="AA87" t="str">
        <f>IF(Input!U87&lt;&gt;"",Input!U87,"")</f>
        <v/>
      </c>
      <c r="AB87" t="str">
        <f t="shared" si="25"/>
        <v/>
      </c>
      <c r="AC87" t="str">
        <f>IF(Input!U87&lt;&gt;"",IF(ISNUMBER(Input!V87),ROUNDDOWN(Input!V87,0),0),"")</f>
        <v/>
      </c>
      <c r="AD87" t="str">
        <f>IF(Input!X87&lt;&gt;"",Input!X87,"")</f>
        <v/>
      </c>
      <c r="AE87" t="str">
        <f t="shared" si="26"/>
        <v/>
      </c>
      <c r="AF87" t="str">
        <f>IF(Input!X87&lt;&gt;"",IF(ISNUMBER(Input!Y87),(Input!Y87),0),"")</f>
        <v/>
      </c>
      <c r="AG87" t="str">
        <f>IF(Input!AA87&lt;&gt;"",Input!AA87,"")</f>
        <v/>
      </c>
      <c r="AH87" t="str">
        <f t="shared" si="27"/>
        <v/>
      </c>
      <c r="AI87" t="str">
        <f>IF(Input!AA87&lt;&gt;"",IF(ISNUMBER(Input!AB87),ROUNDDOWN(Input!AB87,0),0),"")</f>
        <v/>
      </c>
      <c r="AJ87" t="str">
        <f>IF(Input!AD87&lt;&gt;"",Input!AD87,"")</f>
        <v/>
      </c>
      <c r="AK87" t="str">
        <f t="shared" si="28"/>
        <v/>
      </c>
      <c r="AL87" t="str">
        <f>IF(Input!AD87&lt;&gt;"",IF(ISNUMBER(Input!AE87),(Input!AE87),0),"")</f>
        <v/>
      </c>
      <c r="AM87" t="str">
        <f>IF(Input!AG87&lt;&gt;"",Input!AG87,"")</f>
        <v/>
      </c>
      <c r="AN87" t="str">
        <f t="shared" si="18"/>
        <v/>
      </c>
      <c r="AO87" t="str">
        <f>IF(Input!AG87&lt;&gt;"",IF(ISNUMBER(Input!AH87),(Input!AH87),0),"")</f>
        <v/>
      </c>
    </row>
    <row r="88" spans="1:41" ht="16.5" thickTop="1" thickBot="1" x14ac:dyDescent="0.4">
      <c r="A88" s="35">
        <f>IF(ISBLANK(Input!A88),1000,IF(Input!E88&gt;0,Input!E88+F88,1000))</f>
        <v>1000</v>
      </c>
      <c r="B88" s="32">
        <f t="shared" si="19"/>
        <v>1000</v>
      </c>
      <c r="C88" s="4">
        <v>87</v>
      </c>
      <c r="D88" s="97">
        <f>IF(ISBLANK(Input!A88),1000,IF(Input!G88&gt;0,Input!G88+F88,1000))</f>
        <v>1000</v>
      </c>
      <c r="E88" s="97">
        <f t="shared" si="20"/>
        <v>1000</v>
      </c>
      <c r="F88" s="4">
        <v>8.6999999999999897E-2</v>
      </c>
      <c r="I88" t="str">
        <f>IF(Input!A88&gt;0,Input!A88,"")</f>
        <v/>
      </c>
      <c r="J88" t="str">
        <f>IF(Input!B88&gt;0,Input!B88,"")</f>
        <v/>
      </c>
      <c r="K88" t="str">
        <f>IF(Input!C88&gt;0,Input!C88,"")</f>
        <v/>
      </c>
      <c r="L88" t="str">
        <f>IF(Input!D88&gt;0,Input!D88,"")</f>
        <v/>
      </c>
      <c r="M88" t="str">
        <f>IF(Input!G88&gt;0,Input!G88,"")</f>
        <v xml:space="preserve"> </v>
      </c>
      <c r="N88" t="str">
        <f>IF(Input!H88&gt;0,Input!H88,"")</f>
        <v xml:space="preserve"> </v>
      </c>
      <c r="O88" t="str">
        <f>IF(Input!I88&lt;&gt;"",Input!I88,"")</f>
        <v/>
      </c>
      <c r="P88" t="str">
        <f t="shared" si="21"/>
        <v/>
      </c>
      <c r="Q88" t="str">
        <f>IF(Input!I88&lt;&gt;"",IF(ISNUMBER(Input!J88),ROUNDDOWN(Input!J88,0),0),"")</f>
        <v/>
      </c>
      <c r="R88" t="str">
        <f>IF(Input!L88&lt;&gt;"",Input!L88,"")</f>
        <v/>
      </c>
      <c r="S88" t="str">
        <f t="shared" si="22"/>
        <v/>
      </c>
      <c r="T88" t="str">
        <f>IF(Input!L88&lt;&gt;"",IF(ISNUMBER(Input!M88),Input!M88,0),"")</f>
        <v/>
      </c>
      <c r="U88" t="str">
        <f>IF(Input!O88&lt;&gt;"",Input!O88,"")</f>
        <v/>
      </c>
      <c r="V88" t="str">
        <f t="shared" si="23"/>
        <v/>
      </c>
      <c r="W88" t="str">
        <f>IF(Input!O88&lt;&gt;"",IF(ISNUMBER(Input!P88),(Input!P88),0),"")</f>
        <v/>
      </c>
      <c r="X88" t="str">
        <f>IF(Input!R88&lt;&gt;"",Input!R88,"")</f>
        <v/>
      </c>
      <c r="Y88" t="str">
        <f t="shared" si="24"/>
        <v/>
      </c>
      <c r="Z88" t="str">
        <f>IF(Input!R88&lt;&gt;"",IF(ISNUMBER(Input!S88),ROUNDDOWN(Input!S88,0),0),"")</f>
        <v/>
      </c>
      <c r="AA88" t="str">
        <f>IF(Input!U88&lt;&gt;"",Input!U88,"")</f>
        <v/>
      </c>
      <c r="AB88" t="str">
        <f t="shared" si="25"/>
        <v/>
      </c>
      <c r="AC88" t="str">
        <f>IF(Input!U88&lt;&gt;"",IF(ISNUMBER(Input!V88),ROUNDDOWN(Input!V88,0),0),"")</f>
        <v/>
      </c>
      <c r="AD88" t="str">
        <f>IF(Input!X88&lt;&gt;"",Input!X88,"")</f>
        <v/>
      </c>
      <c r="AE88" t="str">
        <f t="shared" si="26"/>
        <v/>
      </c>
      <c r="AF88" t="str">
        <f>IF(Input!X88&lt;&gt;"",IF(ISNUMBER(Input!Y88),(Input!Y88),0),"")</f>
        <v/>
      </c>
      <c r="AG88" t="str">
        <f>IF(Input!AA88&lt;&gt;"",Input!AA88,"")</f>
        <v/>
      </c>
      <c r="AH88" t="str">
        <f t="shared" si="27"/>
        <v/>
      </c>
      <c r="AI88" t="str">
        <f>IF(Input!AA88&lt;&gt;"",IF(ISNUMBER(Input!AB88),ROUNDDOWN(Input!AB88,0),0),"")</f>
        <v/>
      </c>
      <c r="AJ88" t="str">
        <f>IF(Input!AD88&lt;&gt;"",Input!AD88,"")</f>
        <v/>
      </c>
      <c r="AK88" t="str">
        <f t="shared" si="28"/>
        <v/>
      </c>
      <c r="AL88" t="str">
        <f>IF(Input!AD88&lt;&gt;"",IF(ISNUMBER(Input!AE88),(Input!AE88),0),"")</f>
        <v/>
      </c>
      <c r="AM88" t="str">
        <f>IF(Input!AG88&lt;&gt;"",Input!AG88,"")</f>
        <v/>
      </c>
      <c r="AN88" t="str">
        <f t="shared" si="18"/>
        <v/>
      </c>
      <c r="AO88" t="str">
        <f>IF(Input!AG88&lt;&gt;"",IF(ISNUMBER(Input!AH88),(Input!AH88),0),"")</f>
        <v/>
      </c>
    </row>
    <row r="89" spans="1:41" ht="16.5" thickTop="1" thickBot="1" x14ac:dyDescent="0.4">
      <c r="A89" s="35">
        <f>IF(ISBLANK(Input!A89),1000,IF(Input!E89&gt;0,Input!E89+F89,1000))</f>
        <v>1000</v>
      </c>
      <c r="B89" s="32">
        <f t="shared" si="19"/>
        <v>1000</v>
      </c>
      <c r="C89" s="4">
        <v>88</v>
      </c>
      <c r="D89" s="97">
        <f>IF(ISBLANK(Input!A89),1000,IF(Input!G89&gt;0,Input!G89+F89,1000))</f>
        <v>1000</v>
      </c>
      <c r="E89" s="97">
        <f t="shared" si="20"/>
        <v>1000</v>
      </c>
      <c r="F89" s="4">
        <v>8.7999999999999898E-2</v>
      </c>
      <c r="I89" t="str">
        <f>IF(Input!A89&gt;0,Input!A89,"")</f>
        <v/>
      </c>
      <c r="J89" t="str">
        <f>IF(Input!B89&gt;0,Input!B89,"")</f>
        <v/>
      </c>
      <c r="K89" t="str">
        <f>IF(Input!C89&gt;0,Input!C89,"")</f>
        <v/>
      </c>
      <c r="L89" t="str">
        <f>IF(Input!D89&gt;0,Input!D89,"")</f>
        <v/>
      </c>
      <c r="M89" t="str">
        <f>IF(Input!G89&gt;0,Input!G89,"")</f>
        <v xml:space="preserve"> </v>
      </c>
      <c r="N89" t="str">
        <f>IF(Input!H89&gt;0,Input!H89,"")</f>
        <v xml:space="preserve"> </v>
      </c>
      <c r="O89" t="str">
        <f>IF(Input!I89&lt;&gt;"",Input!I89,"")</f>
        <v/>
      </c>
      <c r="P89" t="str">
        <f t="shared" si="21"/>
        <v/>
      </c>
      <c r="Q89" t="str">
        <f>IF(Input!I89&lt;&gt;"",IF(ISNUMBER(Input!J89),ROUNDDOWN(Input!J89,0),0),"")</f>
        <v/>
      </c>
      <c r="R89" t="str">
        <f>IF(Input!L89&lt;&gt;"",Input!L89,"")</f>
        <v/>
      </c>
      <c r="S89" t="str">
        <f t="shared" si="22"/>
        <v/>
      </c>
      <c r="T89" t="str">
        <f>IF(Input!L89&lt;&gt;"",IF(ISNUMBER(Input!M89),Input!M89,0),"")</f>
        <v/>
      </c>
      <c r="U89" t="str">
        <f>IF(Input!O89&lt;&gt;"",Input!O89,"")</f>
        <v/>
      </c>
      <c r="V89" t="str">
        <f t="shared" si="23"/>
        <v/>
      </c>
      <c r="W89" t="str">
        <f>IF(Input!O89&lt;&gt;"",IF(ISNUMBER(Input!P89),(Input!P89),0),"")</f>
        <v/>
      </c>
      <c r="X89" t="str">
        <f>IF(Input!R89&lt;&gt;"",Input!R89,"")</f>
        <v/>
      </c>
      <c r="Y89" t="str">
        <f t="shared" si="24"/>
        <v/>
      </c>
      <c r="Z89" t="str">
        <f>IF(Input!R89&lt;&gt;"",IF(ISNUMBER(Input!S89),ROUNDDOWN(Input!S89,0),0),"")</f>
        <v/>
      </c>
      <c r="AA89" t="str">
        <f>IF(Input!U89&lt;&gt;"",Input!U89,"")</f>
        <v/>
      </c>
      <c r="AB89" t="str">
        <f t="shared" si="25"/>
        <v/>
      </c>
      <c r="AC89" t="str">
        <f>IF(Input!U89&lt;&gt;"",IF(ISNUMBER(Input!V89),ROUNDDOWN(Input!V89,0),0),"")</f>
        <v/>
      </c>
      <c r="AD89" t="str">
        <f>IF(Input!X89&lt;&gt;"",Input!X89,"")</f>
        <v/>
      </c>
      <c r="AE89" t="str">
        <f t="shared" si="26"/>
        <v/>
      </c>
      <c r="AF89" t="str">
        <f>IF(Input!X89&lt;&gt;"",IF(ISNUMBER(Input!Y89),(Input!Y89),0),"")</f>
        <v/>
      </c>
      <c r="AG89" t="str">
        <f>IF(Input!AA89&lt;&gt;"",Input!AA89,"")</f>
        <v/>
      </c>
      <c r="AH89" t="str">
        <f t="shared" si="27"/>
        <v/>
      </c>
      <c r="AI89" t="str">
        <f>IF(Input!AA89&lt;&gt;"",IF(ISNUMBER(Input!AB89),ROUNDDOWN(Input!AB89,0),0),"")</f>
        <v/>
      </c>
      <c r="AJ89" t="str">
        <f>IF(Input!AD89&lt;&gt;"",Input!AD89,"")</f>
        <v/>
      </c>
      <c r="AK89" t="str">
        <f t="shared" si="28"/>
        <v/>
      </c>
      <c r="AL89" t="str">
        <f>IF(Input!AD89&lt;&gt;"",IF(ISNUMBER(Input!AE89),(Input!AE89),0),"")</f>
        <v/>
      </c>
      <c r="AM89" t="str">
        <f>IF(Input!AG89&lt;&gt;"",Input!AG89,"")</f>
        <v/>
      </c>
      <c r="AN89" t="str">
        <f t="shared" si="18"/>
        <v/>
      </c>
      <c r="AO89" t="str">
        <f>IF(Input!AG89&lt;&gt;"",IF(ISNUMBER(Input!AH89),(Input!AH89),0),"")</f>
        <v/>
      </c>
    </row>
    <row r="90" spans="1:41" ht="16.5" thickTop="1" thickBot="1" x14ac:dyDescent="0.4">
      <c r="A90" s="35">
        <f>IF(ISBLANK(Input!A90),1000,IF(Input!E90&gt;0,Input!E90+F90,1000))</f>
        <v>1000</v>
      </c>
      <c r="B90" s="32">
        <f t="shared" si="19"/>
        <v>1000</v>
      </c>
      <c r="C90" s="4">
        <v>89</v>
      </c>
      <c r="D90" s="97">
        <f>IF(ISBLANK(Input!A90),1000,IF(Input!G90&gt;0,Input!G90+F90,1000))</f>
        <v>1000</v>
      </c>
      <c r="E90" s="97">
        <f t="shared" si="20"/>
        <v>1000</v>
      </c>
      <c r="F90" s="4">
        <v>8.8999999999999899E-2</v>
      </c>
      <c r="I90" t="str">
        <f>IF(Input!A90&gt;0,Input!A90,"")</f>
        <v/>
      </c>
      <c r="J90" t="str">
        <f>IF(Input!B90&gt;0,Input!B90,"")</f>
        <v/>
      </c>
      <c r="K90" t="str">
        <f>IF(Input!C90&gt;0,Input!C90,"")</f>
        <v/>
      </c>
      <c r="L90" t="str">
        <f>IF(Input!D90&gt;0,Input!D90,"")</f>
        <v/>
      </c>
      <c r="M90" t="str">
        <f>IF(Input!G90&gt;0,Input!G90,"")</f>
        <v xml:space="preserve"> </v>
      </c>
      <c r="N90" t="str">
        <f>IF(Input!H90&gt;0,Input!H90,"")</f>
        <v xml:space="preserve"> </v>
      </c>
      <c r="O90" t="str">
        <f>IF(Input!I90&lt;&gt;"",Input!I90,"")</f>
        <v/>
      </c>
      <c r="P90" t="str">
        <f t="shared" si="21"/>
        <v/>
      </c>
      <c r="Q90" t="str">
        <f>IF(Input!I90&lt;&gt;"",IF(ISNUMBER(Input!J90),ROUNDDOWN(Input!J90,0),0),"")</f>
        <v/>
      </c>
      <c r="R90" t="str">
        <f>IF(Input!L90&lt;&gt;"",Input!L90,"")</f>
        <v/>
      </c>
      <c r="S90" t="str">
        <f t="shared" si="22"/>
        <v/>
      </c>
      <c r="T90" t="str">
        <f>IF(Input!L90&lt;&gt;"",IF(ISNUMBER(Input!M90),Input!M90,0),"")</f>
        <v/>
      </c>
      <c r="U90" t="str">
        <f>IF(Input!O90&lt;&gt;"",Input!O90,"")</f>
        <v/>
      </c>
      <c r="V90" t="str">
        <f t="shared" si="23"/>
        <v/>
      </c>
      <c r="W90" t="str">
        <f>IF(Input!O90&lt;&gt;"",IF(ISNUMBER(Input!P90),(Input!P90),0),"")</f>
        <v/>
      </c>
      <c r="X90" t="str">
        <f>IF(Input!R90&lt;&gt;"",Input!R90,"")</f>
        <v/>
      </c>
      <c r="Y90" t="str">
        <f t="shared" si="24"/>
        <v/>
      </c>
      <c r="Z90" t="str">
        <f>IF(Input!R90&lt;&gt;"",IF(ISNUMBER(Input!S90),ROUNDDOWN(Input!S90,0),0),"")</f>
        <v/>
      </c>
      <c r="AA90" t="str">
        <f>IF(Input!U90&lt;&gt;"",Input!U90,"")</f>
        <v/>
      </c>
      <c r="AB90" t="str">
        <f t="shared" si="25"/>
        <v/>
      </c>
      <c r="AC90" t="str">
        <f>IF(Input!U90&lt;&gt;"",IF(ISNUMBER(Input!V90),ROUNDDOWN(Input!V90,0),0),"")</f>
        <v/>
      </c>
      <c r="AD90" t="str">
        <f>IF(Input!X90&lt;&gt;"",Input!X90,"")</f>
        <v/>
      </c>
      <c r="AE90" t="str">
        <f t="shared" si="26"/>
        <v/>
      </c>
      <c r="AF90" t="str">
        <f>IF(Input!X90&lt;&gt;"",IF(ISNUMBER(Input!Y90),(Input!Y90),0),"")</f>
        <v/>
      </c>
      <c r="AG90" t="str">
        <f>IF(Input!AA90&lt;&gt;"",Input!AA90,"")</f>
        <v/>
      </c>
      <c r="AH90" t="str">
        <f t="shared" si="27"/>
        <v/>
      </c>
      <c r="AI90" t="str">
        <f>IF(Input!AA90&lt;&gt;"",IF(ISNUMBER(Input!AB90),ROUNDDOWN(Input!AB90,0),0),"")</f>
        <v/>
      </c>
      <c r="AJ90" t="str">
        <f>IF(Input!AD90&lt;&gt;"",Input!AD90,"")</f>
        <v/>
      </c>
      <c r="AK90" t="str">
        <f t="shared" si="28"/>
        <v/>
      </c>
      <c r="AL90" t="str">
        <f>IF(Input!AD90&lt;&gt;"",IF(ISNUMBER(Input!AE90),(Input!AE90),0),"")</f>
        <v/>
      </c>
      <c r="AM90" t="str">
        <f>IF(Input!AG90&lt;&gt;"",Input!AG90,"")</f>
        <v/>
      </c>
      <c r="AN90" t="str">
        <f t="shared" si="18"/>
        <v/>
      </c>
      <c r="AO90" t="str">
        <f>IF(Input!AG90&lt;&gt;"",IF(ISNUMBER(Input!AH90),(Input!AH90),0),"")</f>
        <v/>
      </c>
    </row>
    <row r="91" spans="1:41" ht="16.5" thickTop="1" thickBot="1" x14ac:dyDescent="0.4">
      <c r="A91" s="35">
        <f>IF(ISBLANK(Input!A91),1000,IF(Input!E91&gt;0,Input!E91+F91,1000))</f>
        <v>1000</v>
      </c>
      <c r="B91" s="32">
        <f t="shared" si="19"/>
        <v>1000</v>
      </c>
      <c r="C91" s="4">
        <v>90</v>
      </c>
      <c r="D91" s="97">
        <f>IF(ISBLANK(Input!A91),1000,IF(Input!G91&gt;0,Input!G91+F91,1000))</f>
        <v>1000</v>
      </c>
      <c r="E91" s="97">
        <f t="shared" si="20"/>
        <v>1000</v>
      </c>
      <c r="F91" s="4">
        <v>8.99999999999999E-2</v>
      </c>
      <c r="I91" t="str">
        <f>IF(Input!A91&gt;0,Input!A91,"")</f>
        <v/>
      </c>
      <c r="J91" t="str">
        <f>IF(Input!B91&gt;0,Input!B91,"")</f>
        <v/>
      </c>
      <c r="K91" t="str">
        <f>IF(Input!C91&gt;0,Input!C91,"")</f>
        <v/>
      </c>
      <c r="L91" t="str">
        <f>IF(Input!D91&gt;0,Input!D91,"")</f>
        <v/>
      </c>
      <c r="M91" t="str">
        <f>IF(Input!G91&gt;0,Input!G91,"")</f>
        <v xml:space="preserve"> </v>
      </c>
      <c r="N91" t="str">
        <f>IF(Input!H91&gt;0,Input!H91,"")</f>
        <v xml:space="preserve"> </v>
      </c>
      <c r="O91" t="str">
        <f>IF(Input!I91&lt;&gt;"",Input!I91,"")</f>
        <v/>
      </c>
      <c r="P91" t="str">
        <f t="shared" si="21"/>
        <v/>
      </c>
      <c r="Q91" t="str">
        <f>IF(Input!I91&lt;&gt;"",IF(ISNUMBER(Input!J91),ROUNDDOWN(Input!J91,0),0),"")</f>
        <v/>
      </c>
      <c r="R91" t="str">
        <f>IF(Input!L91&lt;&gt;"",Input!L91,"")</f>
        <v/>
      </c>
      <c r="S91" t="str">
        <f t="shared" si="22"/>
        <v/>
      </c>
      <c r="T91" t="str">
        <f>IF(Input!L91&lt;&gt;"",IF(ISNUMBER(Input!M91),Input!M91,0),"")</f>
        <v/>
      </c>
      <c r="U91" t="str">
        <f>IF(Input!O91&lt;&gt;"",Input!O91,"")</f>
        <v/>
      </c>
      <c r="V91" t="str">
        <f t="shared" si="23"/>
        <v/>
      </c>
      <c r="W91" t="str">
        <f>IF(Input!O91&lt;&gt;"",IF(ISNUMBER(Input!P91),(Input!P91),0),"")</f>
        <v/>
      </c>
      <c r="X91" t="str">
        <f>IF(Input!R91&lt;&gt;"",Input!R91,"")</f>
        <v/>
      </c>
      <c r="Y91" t="str">
        <f t="shared" si="24"/>
        <v/>
      </c>
      <c r="Z91" t="str">
        <f>IF(Input!R91&lt;&gt;"",IF(ISNUMBER(Input!S91),ROUNDDOWN(Input!S91,0),0),"")</f>
        <v/>
      </c>
      <c r="AA91" t="str">
        <f>IF(Input!U91&lt;&gt;"",Input!U91,"")</f>
        <v/>
      </c>
      <c r="AB91" t="str">
        <f t="shared" si="25"/>
        <v/>
      </c>
      <c r="AC91" t="str">
        <f>IF(Input!U91&lt;&gt;"",IF(ISNUMBER(Input!V91),ROUNDDOWN(Input!V91,0),0),"")</f>
        <v/>
      </c>
      <c r="AD91" t="str">
        <f>IF(Input!X91&lt;&gt;"",Input!X91,"")</f>
        <v/>
      </c>
      <c r="AE91" t="str">
        <f t="shared" si="26"/>
        <v/>
      </c>
      <c r="AF91" t="str">
        <f>IF(Input!X91&lt;&gt;"",IF(ISNUMBER(Input!Y91),(Input!Y91),0),"")</f>
        <v/>
      </c>
      <c r="AG91" t="str">
        <f>IF(Input!AA91&lt;&gt;"",Input!AA91,"")</f>
        <v/>
      </c>
      <c r="AH91" t="str">
        <f t="shared" si="27"/>
        <v/>
      </c>
      <c r="AI91" t="str">
        <f>IF(Input!AA91&lt;&gt;"",IF(ISNUMBER(Input!AB91),ROUNDDOWN(Input!AB91,0),0),"")</f>
        <v/>
      </c>
      <c r="AJ91" t="str">
        <f>IF(Input!AD91&lt;&gt;"",Input!AD91,"")</f>
        <v/>
      </c>
      <c r="AK91" t="str">
        <f t="shared" si="28"/>
        <v/>
      </c>
      <c r="AL91" t="str">
        <f>IF(Input!AD91&lt;&gt;"",IF(ISNUMBER(Input!AE91),(Input!AE91),0),"")</f>
        <v/>
      </c>
      <c r="AM91" t="str">
        <f>IF(Input!AG91&lt;&gt;"",Input!AG91,"")</f>
        <v/>
      </c>
      <c r="AN91" t="str">
        <f t="shared" si="18"/>
        <v/>
      </c>
      <c r="AO91" t="str">
        <f>IF(Input!AG91&lt;&gt;"",IF(ISNUMBER(Input!AH91),(Input!AH91),0),"")</f>
        <v/>
      </c>
    </row>
    <row r="92" spans="1:41" ht="16.5" thickTop="1" thickBot="1" x14ac:dyDescent="0.4">
      <c r="A92" s="35">
        <f>IF(ISBLANK(Input!A92),1000,IF(Input!E92&gt;0,Input!E92+F92,1000))</f>
        <v>1000</v>
      </c>
      <c r="B92" s="32">
        <f t="shared" si="19"/>
        <v>1000</v>
      </c>
      <c r="C92" s="4">
        <v>91</v>
      </c>
      <c r="D92" s="97">
        <f>IF(ISBLANK(Input!A92),1000,IF(Input!G92&gt;0,Input!G92+F92,1000))</f>
        <v>1000</v>
      </c>
      <c r="E92" s="97">
        <f t="shared" si="20"/>
        <v>1000</v>
      </c>
      <c r="F92" s="4">
        <v>9.09999999999999E-2</v>
      </c>
      <c r="I92" t="str">
        <f>IF(Input!A92&gt;0,Input!A92,"")</f>
        <v/>
      </c>
      <c r="J92" t="str">
        <f>IF(Input!B92&gt;0,Input!B92,"")</f>
        <v/>
      </c>
      <c r="K92" t="str">
        <f>IF(Input!C92&gt;0,Input!C92,"")</f>
        <v/>
      </c>
      <c r="L92" t="str">
        <f>IF(Input!D92&gt;0,Input!D92,"")</f>
        <v/>
      </c>
      <c r="M92" t="str">
        <f>IF(Input!G92&gt;0,Input!G92,"")</f>
        <v xml:space="preserve"> </v>
      </c>
      <c r="N92" t="str">
        <f>IF(Input!H92&gt;0,Input!H92,"")</f>
        <v xml:space="preserve"> </v>
      </c>
      <c r="O92" t="str">
        <f>IF(Input!I92&lt;&gt;"",Input!I92,"")</f>
        <v/>
      </c>
      <c r="P92" t="str">
        <f t="shared" si="21"/>
        <v/>
      </c>
      <c r="Q92" t="str">
        <f>IF(Input!I92&lt;&gt;"",IF(ISNUMBER(Input!J92),ROUNDDOWN(Input!J92,0),0),"")</f>
        <v/>
      </c>
      <c r="R92" t="str">
        <f>IF(Input!L92&lt;&gt;"",Input!L92,"")</f>
        <v/>
      </c>
      <c r="S92" t="str">
        <f t="shared" si="22"/>
        <v/>
      </c>
      <c r="T92" t="str">
        <f>IF(Input!L92&lt;&gt;"",IF(ISNUMBER(Input!M92),Input!M92,0),"")</f>
        <v/>
      </c>
      <c r="U92" t="str">
        <f>IF(Input!O92&lt;&gt;"",Input!O92,"")</f>
        <v/>
      </c>
      <c r="V92" t="str">
        <f t="shared" si="23"/>
        <v/>
      </c>
      <c r="W92" t="str">
        <f>IF(Input!O92&lt;&gt;"",IF(ISNUMBER(Input!P92),(Input!P92),0),"")</f>
        <v/>
      </c>
      <c r="X92" t="str">
        <f>IF(Input!R92&lt;&gt;"",Input!R92,"")</f>
        <v/>
      </c>
      <c r="Y92" t="str">
        <f t="shared" si="24"/>
        <v/>
      </c>
      <c r="Z92" t="str">
        <f>IF(Input!R92&lt;&gt;"",IF(ISNUMBER(Input!S92),ROUNDDOWN(Input!S92,0),0),"")</f>
        <v/>
      </c>
      <c r="AA92" t="str">
        <f>IF(Input!U92&lt;&gt;"",Input!U92,"")</f>
        <v/>
      </c>
      <c r="AB92" t="str">
        <f t="shared" si="25"/>
        <v/>
      </c>
      <c r="AC92" t="str">
        <f>IF(Input!U92&lt;&gt;"",IF(ISNUMBER(Input!V92),ROUNDDOWN(Input!V92,0),0),"")</f>
        <v/>
      </c>
      <c r="AD92" t="str">
        <f>IF(Input!X92&lt;&gt;"",Input!X92,"")</f>
        <v/>
      </c>
      <c r="AE92" t="str">
        <f t="shared" si="26"/>
        <v/>
      </c>
      <c r="AF92" t="str">
        <f>IF(Input!X92&lt;&gt;"",IF(ISNUMBER(Input!Y92),(Input!Y92),0),"")</f>
        <v/>
      </c>
      <c r="AG92" t="str">
        <f>IF(Input!AA92&lt;&gt;"",Input!AA92,"")</f>
        <v/>
      </c>
      <c r="AH92" t="str">
        <f t="shared" si="27"/>
        <v/>
      </c>
      <c r="AI92" t="str">
        <f>IF(Input!AA92&lt;&gt;"",IF(ISNUMBER(Input!AB92),ROUNDDOWN(Input!AB92,0),0),"")</f>
        <v/>
      </c>
      <c r="AJ92" t="str">
        <f>IF(Input!AD92&lt;&gt;"",Input!AD92,"")</f>
        <v/>
      </c>
      <c r="AK92" t="str">
        <f t="shared" si="28"/>
        <v/>
      </c>
      <c r="AL92" t="str">
        <f>IF(Input!AD92&lt;&gt;"",IF(ISNUMBER(Input!AE92),(Input!AE92),0),"")</f>
        <v/>
      </c>
      <c r="AM92" t="str">
        <f>IF(Input!AG92&lt;&gt;"",Input!AG92,"")</f>
        <v/>
      </c>
      <c r="AN92" t="str">
        <f t="shared" si="18"/>
        <v/>
      </c>
      <c r="AO92" t="str">
        <f>IF(Input!AG92&lt;&gt;"",IF(ISNUMBER(Input!AH92),(Input!AH92),0),"")</f>
        <v/>
      </c>
    </row>
    <row r="93" spans="1:41" ht="16.5" thickTop="1" thickBot="1" x14ac:dyDescent="0.4">
      <c r="A93" s="35">
        <f>IF(ISBLANK(Input!A93),1000,IF(Input!E93&gt;0,Input!E93+F93,1000))</f>
        <v>1000</v>
      </c>
      <c r="B93" s="32">
        <f t="shared" si="19"/>
        <v>1000</v>
      </c>
      <c r="C93" s="4">
        <v>92</v>
      </c>
      <c r="D93" s="97">
        <f>IF(ISBLANK(Input!A93),1000,IF(Input!G93&gt;0,Input!G93+F93,1000))</f>
        <v>1000</v>
      </c>
      <c r="E93" s="97">
        <f t="shared" si="20"/>
        <v>1000</v>
      </c>
      <c r="F93" s="4">
        <v>9.1999999999999901E-2</v>
      </c>
      <c r="I93" t="str">
        <f>IF(Input!A93&gt;0,Input!A93,"")</f>
        <v/>
      </c>
      <c r="J93" t="str">
        <f>IF(Input!B93&gt;0,Input!B93,"")</f>
        <v/>
      </c>
      <c r="K93" t="str">
        <f>IF(Input!C93&gt;0,Input!C93,"")</f>
        <v/>
      </c>
      <c r="L93" t="str">
        <f>IF(Input!D93&gt;0,Input!D93,"")</f>
        <v/>
      </c>
      <c r="M93" t="str">
        <f>IF(Input!G93&gt;0,Input!G93,"")</f>
        <v xml:space="preserve"> </v>
      </c>
      <c r="N93" t="str">
        <f>IF(Input!H93&gt;0,Input!H93,"")</f>
        <v xml:space="preserve"> </v>
      </c>
      <c r="O93" t="str">
        <f>IF(Input!I93&lt;&gt;"",Input!I93,"")</f>
        <v/>
      </c>
      <c r="P93" t="str">
        <f t="shared" si="21"/>
        <v/>
      </c>
      <c r="Q93" t="str">
        <f>IF(Input!I93&lt;&gt;"",IF(ISNUMBER(Input!J93),ROUNDDOWN(Input!J93,0),0),"")</f>
        <v/>
      </c>
      <c r="R93" t="str">
        <f>IF(Input!L93&lt;&gt;"",Input!L93,"")</f>
        <v/>
      </c>
      <c r="S93" t="str">
        <f t="shared" si="22"/>
        <v/>
      </c>
      <c r="T93" t="str">
        <f>IF(Input!L93&lt;&gt;"",IF(ISNUMBER(Input!M93),Input!M93,0),"")</f>
        <v/>
      </c>
      <c r="U93" t="str">
        <f>IF(Input!O93&lt;&gt;"",Input!O93,"")</f>
        <v/>
      </c>
      <c r="V93" t="str">
        <f t="shared" si="23"/>
        <v/>
      </c>
      <c r="W93" t="str">
        <f>IF(Input!O93&lt;&gt;"",IF(ISNUMBER(Input!P93),(Input!P93),0),"")</f>
        <v/>
      </c>
      <c r="X93" t="str">
        <f>IF(Input!R93&lt;&gt;"",Input!R93,"")</f>
        <v/>
      </c>
      <c r="Y93" t="str">
        <f t="shared" si="24"/>
        <v/>
      </c>
      <c r="Z93" t="str">
        <f>IF(Input!R93&lt;&gt;"",IF(ISNUMBER(Input!S93),ROUNDDOWN(Input!S93,0),0),"")</f>
        <v/>
      </c>
      <c r="AA93" t="str">
        <f>IF(Input!U93&lt;&gt;"",Input!U93,"")</f>
        <v/>
      </c>
      <c r="AB93" t="str">
        <f t="shared" si="25"/>
        <v/>
      </c>
      <c r="AC93" t="str">
        <f>IF(Input!U93&lt;&gt;"",IF(ISNUMBER(Input!V93),ROUNDDOWN(Input!V93,0),0),"")</f>
        <v/>
      </c>
      <c r="AD93" t="str">
        <f>IF(Input!X93&lt;&gt;"",Input!X93,"")</f>
        <v/>
      </c>
      <c r="AE93" t="str">
        <f t="shared" si="26"/>
        <v/>
      </c>
      <c r="AF93" t="str">
        <f>IF(Input!X93&lt;&gt;"",IF(ISNUMBER(Input!Y93),(Input!Y93),0),"")</f>
        <v/>
      </c>
      <c r="AG93" t="str">
        <f>IF(Input!AA93&lt;&gt;"",Input!AA93,"")</f>
        <v/>
      </c>
      <c r="AH93" t="str">
        <f t="shared" si="27"/>
        <v/>
      </c>
      <c r="AI93" t="str">
        <f>IF(Input!AA93&lt;&gt;"",IF(ISNUMBER(Input!AB93),ROUNDDOWN(Input!AB93,0),0),"")</f>
        <v/>
      </c>
      <c r="AJ93" t="str">
        <f>IF(Input!AD93&lt;&gt;"",Input!AD93,"")</f>
        <v/>
      </c>
      <c r="AK93" t="str">
        <f t="shared" si="28"/>
        <v/>
      </c>
      <c r="AL93" t="str">
        <f>IF(Input!AD93&lt;&gt;"",IF(ISNUMBER(Input!AE93),(Input!AE93),0),"")</f>
        <v/>
      </c>
      <c r="AM93" t="str">
        <f>IF(Input!AG93&lt;&gt;"",Input!AG93,"")</f>
        <v/>
      </c>
      <c r="AN93" t="str">
        <f t="shared" si="18"/>
        <v/>
      </c>
      <c r="AO93" t="str">
        <f>IF(Input!AG93&lt;&gt;"",IF(ISNUMBER(Input!AH93),(Input!AH93),0),"")</f>
        <v/>
      </c>
    </row>
    <row r="94" spans="1:41" ht="16.5" thickTop="1" thickBot="1" x14ac:dyDescent="0.4">
      <c r="A94" s="35">
        <f>IF(ISBLANK(Input!A94),1000,IF(Input!E94&gt;0,Input!E94+F94,1000))</f>
        <v>1000</v>
      </c>
      <c r="B94" s="32">
        <f t="shared" si="19"/>
        <v>1000</v>
      </c>
      <c r="C94" s="4">
        <v>93</v>
      </c>
      <c r="D94" s="97">
        <f>IF(ISBLANK(Input!A94),1000,IF(Input!G94&gt;0,Input!G94+F94,1000))</f>
        <v>1000</v>
      </c>
      <c r="E94" s="97">
        <f t="shared" si="20"/>
        <v>1000</v>
      </c>
      <c r="F94" s="4">
        <v>9.2999999999999902E-2</v>
      </c>
      <c r="I94" t="str">
        <f>IF(Input!A94&gt;0,Input!A94,"")</f>
        <v/>
      </c>
      <c r="J94" t="str">
        <f>IF(Input!B94&gt;0,Input!B94,"")</f>
        <v/>
      </c>
      <c r="K94" t="str">
        <f>IF(Input!C94&gt;0,Input!C94,"")</f>
        <v/>
      </c>
      <c r="L94" t="str">
        <f>IF(Input!D94&gt;0,Input!D94,"")</f>
        <v/>
      </c>
      <c r="M94" t="str">
        <f>IF(Input!G94&gt;0,Input!G94,"")</f>
        <v xml:space="preserve"> </v>
      </c>
      <c r="N94" t="str">
        <f>IF(Input!H94&gt;0,Input!H94,"")</f>
        <v xml:space="preserve"> </v>
      </c>
      <c r="O94" t="str">
        <f>IF(Input!I94&lt;&gt;"",Input!I94,"")</f>
        <v/>
      </c>
      <c r="P94" t="str">
        <f t="shared" si="21"/>
        <v/>
      </c>
      <c r="Q94" t="str">
        <f>IF(Input!I94&lt;&gt;"",IF(ISNUMBER(Input!J94),ROUNDDOWN(Input!J94,0),0),"")</f>
        <v/>
      </c>
      <c r="R94" t="str">
        <f>IF(Input!L94&lt;&gt;"",Input!L94,"")</f>
        <v/>
      </c>
      <c r="S94" t="str">
        <f t="shared" si="22"/>
        <v/>
      </c>
      <c r="T94" t="str">
        <f>IF(Input!L94&lt;&gt;"",IF(ISNUMBER(Input!M94),Input!M94,0),"")</f>
        <v/>
      </c>
      <c r="U94" t="str">
        <f>IF(Input!O94&lt;&gt;"",Input!O94,"")</f>
        <v/>
      </c>
      <c r="V94" t="str">
        <f t="shared" si="23"/>
        <v/>
      </c>
      <c r="W94" t="str">
        <f>IF(Input!O94&lt;&gt;"",IF(ISNUMBER(Input!P94),(Input!P94),0),"")</f>
        <v/>
      </c>
      <c r="X94" t="str">
        <f>IF(Input!R94&lt;&gt;"",Input!R94,"")</f>
        <v/>
      </c>
      <c r="Y94" t="str">
        <f t="shared" si="24"/>
        <v/>
      </c>
      <c r="Z94" t="str">
        <f>IF(Input!R94&lt;&gt;"",IF(ISNUMBER(Input!S94),ROUNDDOWN(Input!S94,0),0),"")</f>
        <v/>
      </c>
      <c r="AA94" t="str">
        <f>IF(Input!U94&lt;&gt;"",Input!U94,"")</f>
        <v/>
      </c>
      <c r="AB94" t="str">
        <f t="shared" si="25"/>
        <v/>
      </c>
      <c r="AC94" t="str">
        <f>IF(Input!U94&lt;&gt;"",IF(ISNUMBER(Input!V94),ROUNDDOWN(Input!V94,0),0),"")</f>
        <v/>
      </c>
      <c r="AD94" t="str">
        <f>IF(Input!X94&lt;&gt;"",Input!X94,"")</f>
        <v/>
      </c>
      <c r="AE94" t="str">
        <f t="shared" si="26"/>
        <v/>
      </c>
      <c r="AF94" t="str">
        <f>IF(Input!X94&lt;&gt;"",IF(ISNUMBER(Input!Y94),(Input!Y94),0),"")</f>
        <v/>
      </c>
      <c r="AG94" t="str">
        <f>IF(Input!AA94&lt;&gt;"",Input!AA94,"")</f>
        <v/>
      </c>
      <c r="AH94" t="str">
        <f t="shared" si="27"/>
        <v/>
      </c>
      <c r="AI94" t="str">
        <f>IF(Input!AA94&lt;&gt;"",IF(ISNUMBER(Input!AB94),ROUNDDOWN(Input!AB94,0),0),"")</f>
        <v/>
      </c>
      <c r="AJ94" t="str">
        <f>IF(Input!AD94&lt;&gt;"",Input!AD94,"")</f>
        <v/>
      </c>
      <c r="AK94" t="str">
        <f t="shared" si="28"/>
        <v/>
      </c>
      <c r="AL94" t="str">
        <f>IF(Input!AD94&lt;&gt;"",IF(ISNUMBER(Input!AE94),(Input!AE94),0),"")</f>
        <v/>
      </c>
      <c r="AM94" t="str">
        <f>IF(Input!AG94&lt;&gt;"",Input!AG94,"")</f>
        <v/>
      </c>
      <c r="AN94" t="str">
        <f t="shared" si="18"/>
        <v/>
      </c>
      <c r="AO94" t="str">
        <f>IF(Input!AG94&lt;&gt;"",IF(ISNUMBER(Input!AH94),(Input!AH94),0),"")</f>
        <v/>
      </c>
    </row>
    <row r="95" spans="1:41" ht="16.5" thickTop="1" thickBot="1" x14ac:dyDescent="0.4">
      <c r="A95" s="35">
        <f>IF(ISBLANK(Input!A95),1000,IF(Input!E95&gt;0,Input!E95+F95,1000))</f>
        <v>1000</v>
      </c>
      <c r="B95" s="32">
        <f t="shared" si="19"/>
        <v>1000</v>
      </c>
      <c r="C95" s="4">
        <v>94</v>
      </c>
      <c r="D95" s="97">
        <f>IF(ISBLANK(Input!A95),1000,IF(Input!G95&gt;0,Input!G95+F95,1000))</f>
        <v>1000</v>
      </c>
      <c r="E95" s="97">
        <f t="shared" si="20"/>
        <v>1000</v>
      </c>
      <c r="F95" s="4">
        <v>9.3999999999999903E-2</v>
      </c>
      <c r="I95" t="str">
        <f>IF(Input!A95&gt;0,Input!A95,"")</f>
        <v/>
      </c>
      <c r="J95" t="str">
        <f>IF(Input!B95&gt;0,Input!B95,"")</f>
        <v/>
      </c>
      <c r="K95" t="str">
        <f>IF(Input!C95&gt;0,Input!C95,"")</f>
        <v/>
      </c>
      <c r="L95" t="str">
        <f>IF(Input!D95&gt;0,Input!D95,"")</f>
        <v/>
      </c>
      <c r="M95" t="str">
        <f>IF(Input!G95&gt;0,Input!G95,"")</f>
        <v xml:space="preserve"> </v>
      </c>
      <c r="N95" t="str">
        <f>IF(Input!H95&gt;0,Input!H95,"")</f>
        <v xml:space="preserve"> </v>
      </c>
      <c r="O95" t="str">
        <f>IF(Input!I95&lt;&gt;"",Input!I95,"")</f>
        <v/>
      </c>
      <c r="P95" t="str">
        <f t="shared" si="21"/>
        <v/>
      </c>
      <c r="Q95" t="str">
        <f>IF(Input!I95&lt;&gt;"",IF(ISNUMBER(Input!J95),ROUNDDOWN(Input!J95,0),0),"")</f>
        <v/>
      </c>
      <c r="R95" t="str">
        <f>IF(Input!L95&lt;&gt;"",Input!L95,"")</f>
        <v/>
      </c>
      <c r="S95" t="str">
        <f t="shared" si="22"/>
        <v/>
      </c>
      <c r="T95" t="str">
        <f>IF(Input!L95&lt;&gt;"",IF(ISNUMBER(Input!M95),Input!M95,0),"")</f>
        <v/>
      </c>
      <c r="U95" t="str">
        <f>IF(Input!O95&lt;&gt;"",Input!O95,"")</f>
        <v/>
      </c>
      <c r="V95" t="str">
        <f t="shared" si="23"/>
        <v/>
      </c>
      <c r="W95" t="str">
        <f>IF(Input!O95&lt;&gt;"",IF(ISNUMBER(Input!P95),(Input!P95),0),"")</f>
        <v/>
      </c>
      <c r="X95" t="str">
        <f>IF(Input!R95&lt;&gt;"",Input!R95,"")</f>
        <v/>
      </c>
      <c r="Y95" t="str">
        <f t="shared" si="24"/>
        <v/>
      </c>
      <c r="Z95" t="str">
        <f>IF(Input!R95&lt;&gt;"",IF(ISNUMBER(Input!S95),ROUNDDOWN(Input!S95,0),0),"")</f>
        <v/>
      </c>
      <c r="AA95" t="str">
        <f>IF(Input!U95&lt;&gt;"",Input!U95,"")</f>
        <v/>
      </c>
      <c r="AB95" t="str">
        <f t="shared" si="25"/>
        <v/>
      </c>
      <c r="AC95" t="str">
        <f>IF(Input!U95&lt;&gt;"",IF(ISNUMBER(Input!V95),ROUNDDOWN(Input!V95,0),0),"")</f>
        <v/>
      </c>
      <c r="AD95" t="str">
        <f>IF(Input!X95&lt;&gt;"",Input!X95,"")</f>
        <v/>
      </c>
      <c r="AE95" t="str">
        <f t="shared" si="26"/>
        <v/>
      </c>
      <c r="AF95" t="str">
        <f>IF(Input!X95&lt;&gt;"",IF(ISNUMBER(Input!Y95),(Input!Y95),0),"")</f>
        <v/>
      </c>
      <c r="AG95" t="str">
        <f>IF(Input!AA95&lt;&gt;"",Input!AA95,"")</f>
        <v/>
      </c>
      <c r="AH95" t="str">
        <f t="shared" si="27"/>
        <v/>
      </c>
      <c r="AI95" t="str">
        <f>IF(Input!AA95&lt;&gt;"",IF(ISNUMBER(Input!AB95),ROUNDDOWN(Input!AB95,0),0),"")</f>
        <v/>
      </c>
      <c r="AJ95" t="str">
        <f>IF(Input!AD95&lt;&gt;"",Input!AD95,"")</f>
        <v/>
      </c>
      <c r="AK95" t="str">
        <f t="shared" si="28"/>
        <v/>
      </c>
      <c r="AL95" t="str">
        <f>IF(Input!AD95&lt;&gt;"",IF(ISNUMBER(Input!AE95),(Input!AE95),0),"")</f>
        <v/>
      </c>
      <c r="AM95" t="str">
        <f>IF(Input!AG95&lt;&gt;"",Input!AG95,"")</f>
        <v/>
      </c>
      <c r="AN95" t="str">
        <f t="shared" si="18"/>
        <v/>
      </c>
      <c r="AO95" t="str">
        <f>IF(Input!AG95&lt;&gt;"",IF(ISNUMBER(Input!AH95),(Input!AH95),0),"")</f>
        <v/>
      </c>
    </row>
    <row r="96" spans="1:41" ht="16.5" thickTop="1" thickBot="1" x14ac:dyDescent="0.4">
      <c r="A96" s="35">
        <f>IF(ISBLANK(Input!A96),1000,IF(Input!E96&gt;0,Input!E96+F96,1000))</f>
        <v>1000</v>
      </c>
      <c r="B96" s="32">
        <f t="shared" si="19"/>
        <v>1000</v>
      </c>
      <c r="C96" s="4">
        <v>95</v>
      </c>
      <c r="D96" s="97">
        <f>IF(ISBLANK(Input!A96),1000,IF(Input!G96&gt;0,Input!G96+F96,1000))</f>
        <v>1000</v>
      </c>
      <c r="E96" s="97">
        <f t="shared" si="20"/>
        <v>1000</v>
      </c>
      <c r="F96" s="4">
        <v>9.4999999999999904E-2</v>
      </c>
      <c r="I96" t="str">
        <f>IF(Input!A96&gt;0,Input!A96,"")</f>
        <v/>
      </c>
      <c r="J96" t="str">
        <f>IF(Input!B96&gt;0,Input!B96,"")</f>
        <v/>
      </c>
      <c r="K96" t="str">
        <f>IF(Input!C96&gt;0,Input!C96,"")</f>
        <v/>
      </c>
      <c r="L96" t="str">
        <f>IF(Input!D96&gt;0,Input!D96,"")</f>
        <v/>
      </c>
      <c r="M96" t="str">
        <f>IF(Input!G96&gt;0,Input!G96,"")</f>
        <v xml:space="preserve"> </v>
      </c>
      <c r="N96" t="str">
        <f>IF(Input!H96&gt;0,Input!H96,"")</f>
        <v xml:space="preserve"> </v>
      </c>
      <c r="O96" t="str">
        <f>IF(Input!I96&lt;&gt;"",Input!I96,"")</f>
        <v/>
      </c>
      <c r="P96" t="str">
        <f t="shared" si="21"/>
        <v/>
      </c>
      <c r="Q96" t="str">
        <f>IF(Input!I96&lt;&gt;"",IF(ISNUMBER(Input!J96),ROUNDDOWN(Input!J96,0),0),"")</f>
        <v/>
      </c>
      <c r="R96" t="str">
        <f>IF(Input!L96&lt;&gt;"",Input!L96,"")</f>
        <v/>
      </c>
      <c r="S96" t="str">
        <f t="shared" si="22"/>
        <v/>
      </c>
      <c r="T96" t="str">
        <f>IF(Input!L96&lt;&gt;"",IF(ISNUMBER(Input!M96),Input!M96,0),"")</f>
        <v/>
      </c>
      <c r="U96" t="str">
        <f>IF(Input!O96&lt;&gt;"",Input!O96,"")</f>
        <v/>
      </c>
      <c r="V96" t="str">
        <f t="shared" si="23"/>
        <v/>
      </c>
      <c r="W96" t="str">
        <f>IF(Input!O96&lt;&gt;"",IF(ISNUMBER(Input!P96),(Input!P96),0),"")</f>
        <v/>
      </c>
      <c r="X96" t="str">
        <f>IF(Input!R96&lt;&gt;"",Input!R96,"")</f>
        <v/>
      </c>
      <c r="Y96" t="str">
        <f t="shared" si="24"/>
        <v/>
      </c>
      <c r="Z96" t="str">
        <f>IF(Input!R96&lt;&gt;"",IF(ISNUMBER(Input!S96),ROUNDDOWN(Input!S96,0),0),"")</f>
        <v/>
      </c>
      <c r="AA96" t="str">
        <f>IF(Input!U96&lt;&gt;"",Input!U96,"")</f>
        <v/>
      </c>
      <c r="AB96" t="str">
        <f t="shared" si="25"/>
        <v/>
      </c>
      <c r="AC96" t="str">
        <f>IF(Input!U96&lt;&gt;"",IF(ISNUMBER(Input!V96),ROUNDDOWN(Input!V96,0),0),"")</f>
        <v/>
      </c>
      <c r="AD96" t="str">
        <f>IF(Input!X96&lt;&gt;"",Input!X96,"")</f>
        <v/>
      </c>
      <c r="AE96" t="str">
        <f t="shared" si="26"/>
        <v/>
      </c>
      <c r="AF96" t="str">
        <f>IF(Input!X96&lt;&gt;"",IF(ISNUMBER(Input!Y96),(Input!Y96),0),"")</f>
        <v/>
      </c>
      <c r="AG96" t="str">
        <f>IF(Input!AA96&lt;&gt;"",Input!AA96,"")</f>
        <v/>
      </c>
      <c r="AH96" t="str">
        <f t="shared" si="27"/>
        <v/>
      </c>
      <c r="AI96" t="str">
        <f>IF(Input!AA96&lt;&gt;"",IF(ISNUMBER(Input!AB96),ROUNDDOWN(Input!AB96,0),0),"")</f>
        <v/>
      </c>
      <c r="AJ96" t="str">
        <f>IF(Input!AD96&lt;&gt;"",Input!AD96,"")</f>
        <v/>
      </c>
      <c r="AK96" t="str">
        <f t="shared" si="28"/>
        <v/>
      </c>
      <c r="AL96" t="str">
        <f>IF(Input!AD96&lt;&gt;"",IF(ISNUMBER(Input!AE96),(Input!AE96),0),"")</f>
        <v/>
      </c>
      <c r="AM96" t="str">
        <f>IF(Input!AG96&lt;&gt;"",Input!AG96,"")</f>
        <v/>
      </c>
      <c r="AN96" t="str">
        <f t="shared" si="18"/>
        <v/>
      </c>
      <c r="AO96" t="str">
        <f>IF(Input!AG96&lt;&gt;"",IF(ISNUMBER(Input!AH96),(Input!AH96),0),"")</f>
        <v/>
      </c>
    </row>
    <row r="97" spans="1:41" ht="16.5" thickTop="1" thickBot="1" x14ac:dyDescent="0.4">
      <c r="A97" s="35">
        <f>IF(ISBLANK(Input!A97),1000,IF(Input!E97&gt;0,Input!E97+F97,1000))</f>
        <v>1000</v>
      </c>
      <c r="B97" s="32">
        <f t="shared" si="19"/>
        <v>1000</v>
      </c>
      <c r="C97" s="4">
        <v>96</v>
      </c>
      <c r="D97" s="97">
        <f>IF(ISBLANK(Input!A97),1000,IF(Input!G97&gt;0,Input!G97+F97,1000))</f>
        <v>1000</v>
      </c>
      <c r="E97" s="97">
        <f t="shared" si="20"/>
        <v>1000</v>
      </c>
      <c r="F97" s="4">
        <v>9.5999999999999905E-2</v>
      </c>
      <c r="I97" t="str">
        <f>IF(Input!A97&gt;0,Input!A97,"")</f>
        <v/>
      </c>
      <c r="J97" t="str">
        <f>IF(Input!B97&gt;0,Input!B97,"")</f>
        <v/>
      </c>
      <c r="K97" t="str">
        <f>IF(Input!C97&gt;0,Input!C97,"")</f>
        <v/>
      </c>
      <c r="L97" t="str">
        <f>IF(Input!D97&gt;0,Input!D97,"")</f>
        <v/>
      </c>
      <c r="M97" t="str">
        <f>IF(Input!G97&gt;0,Input!G97,"")</f>
        <v xml:space="preserve"> </v>
      </c>
      <c r="N97" t="str">
        <f>IF(Input!H97&gt;0,Input!H97,"")</f>
        <v xml:space="preserve"> </v>
      </c>
      <c r="O97" t="str">
        <f>IF(Input!I97&lt;&gt;"",Input!I97,"")</f>
        <v/>
      </c>
      <c r="P97" t="str">
        <f t="shared" si="21"/>
        <v/>
      </c>
      <c r="Q97" t="str">
        <f>IF(Input!I97&lt;&gt;"",IF(ISNUMBER(Input!J97),ROUNDDOWN(Input!J97,0),0),"")</f>
        <v/>
      </c>
      <c r="R97" t="str">
        <f>IF(Input!L97&lt;&gt;"",Input!L97,"")</f>
        <v/>
      </c>
      <c r="S97" t="str">
        <f t="shared" si="22"/>
        <v/>
      </c>
      <c r="T97" t="str">
        <f>IF(Input!L97&lt;&gt;"",IF(ISNUMBER(Input!M97),Input!M97,0),"")</f>
        <v/>
      </c>
      <c r="U97" t="str">
        <f>IF(Input!O97&lt;&gt;"",Input!O97,"")</f>
        <v/>
      </c>
      <c r="V97" t="str">
        <f t="shared" si="23"/>
        <v/>
      </c>
      <c r="W97" t="str">
        <f>IF(Input!O97&lt;&gt;"",IF(ISNUMBER(Input!P97),(Input!P97),0),"")</f>
        <v/>
      </c>
      <c r="X97" t="str">
        <f>IF(Input!R97&lt;&gt;"",Input!R97,"")</f>
        <v/>
      </c>
      <c r="Y97" t="str">
        <f t="shared" si="24"/>
        <v/>
      </c>
      <c r="Z97" t="str">
        <f>IF(Input!R97&lt;&gt;"",IF(ISNUMBER(Input!S97),ROUNDDOWN(Input!S97,0),0),"")</f>
        <v/>
      </c>
      <c r="AA97" t="str">
        <f>IF(Input!U97&lt;&gt;"",Input!U97,"")</f>
        <v/>
      </c>
      <c r="AB97" t="str">
        <f t="shared" si="25"/>
        <v/>
      </c>
      <c r="AC97" t="str">
        <f>IF(Input!U97&lt;&gt;"",IF(ISNUMBER(Input!V97),ROUNDDOWN(Input!V97,0),0),"")</f>
        <v/>
      </c>
      <c r="AD97" t="str">
        <f>IF(Input!X97&lt;&gt;"",Input!X97,"")</f>
        <v/>
      </c>
      <c r="AE97" t="str">
        <f t="shared" si="26"/>
        <v/>
      </c>
      <c r="AF97" t="str">
        <f>IF(Input!X97&lt;&gt;"",IF(ISNUMBER(Input!Y97),(Input!Y97),0),"")</f>
        <v/>
      </c>
      <c r="AG97" t="str">
        <f>IF(Input!AA97&lt;&gt;"",Input!AA97,"")</f>
        <v/>
      </c>
      <c r="AH97" t="str">
        <f t="shared" si="27"/>
        <v/>
      </c>
      <c r="AI97" t="str">
        <f>IF(Input!AA97&lt;&gt;"",IF(ISNUMBER(Input!AB97),ROUNDDOWN(Input!AB97,0),0),"")</f>
        <v/>
      </c>
      <c r="AJ97" t="str">
        <f>IF(Input!AD97&lt;&gt;"",Input!AD97,"")</f>
        <v/>
      </c>
      <c r="AK97" t="str">
        <f t="shared" si="28"/>
        <v/>
      </c>
      <c r="AL97" t="str">
        <f>IF(Input!AD97&lt;&gt;"",IF(ISNUMBER(Input!AE97),(Input!AE97),0),"")</f>
        <v/>
      </c>
      <c r="AM97" t="str">
        <f>IF(Input!AG97&lt;&gt;"",Input!AG97,"")</f>
        <v/>
      </c>
      <c r="AN97" t="str">
        <f t="shared" si="18"/>
        <v/>
      </c>
      <c r="AO97" t="str">
        <f>IF(Input!AG97&lt;&gt;"",IF(ISNUMBER(Input!AH97),(Input!AH97),0),"")</f>
        <v/>
      </c>
    </row>
    <row r="98" spans="1:41" ht="16.5" thickTop="1" thickBot="1" x14ac:dyDescent="0.4">
      <c r="A98" s="35">
        <f>IF(ISBLANK(Input!A98),1000,IF(Input!E98&gt;0,Input!E98+F98,1000))</f>
        <v>1000</v>
      </c>
      <c r="B98" s="32">
        <f t="shared" si="19"/>
        <v>1000</v>
      </c>
      <c r="C98" s="4">
        <v>97</v>
      </c>
      <c r="D98" s="97">
        <f>IF(ISBLANK(Input!A98),1000,IF(Input!G98&gt;0,Input!G98+F98,1000))</f>
        <v>1000</v>
      </c>
      <c r="E98" s="97">
        <f t="shared" si="20"/>
        <v>1000</v>
      </c>
      <c r="F98" s="4">
        <v>9.6999999999999906E-2</v>
      </c>
      <c r="I98" t="str">
        <f>IF(Input!A98&gt;0,Input!A98,"")</f>
        <v/>
      </c>
      <c r="J98" t="str">
        <f>IF(Input!B98&gt;0,Input!B98,"")</f>
        <v/>
      </c>
      <c r="K98" t="str">
        <f>IF(Input!C98&gt;0,Input!C98,"")</f>
        <v/>
      </c>
      <c r="L98" t="str">
        <f>IF(Input!D98&gt;0,Input!D98,"")</f>
        <v/>
      </c>
      <c r="M98" t="str">
        <f>IF(Input!G98&gt;0,Input!G98,"")</f>
        <v xml:space="preserve"> </v>
      </c>
      <c r="N98" t="str">
        <f>IF(Input!H98&gt;0,Input!H98,"")</f>
        <v xml:space="preserve"> </v>
      </c>
      <c r="O98" t="str">
        <f>IF(Input!I98&lt;&gt;"",Input!I98,"")</f>
        <v/>
      </c>
      <c r="P98" t="str">
        <f t="shared" si="21"/>
        <v/>
      </c>
      <c r="Q98" t="str">
        <f>IF(Input!I98&lt;&gt;"",IF(ISNUMBER(Input!J98),ROUNDDOWN(Input!J98,0),0),"")</f>
        <v/>
      </c>
      <c r="R98" t="str">
        <f>IF(Input!L98&lt;&gt;"",Input!L98,"")</f>
        <v/>
      </c>
      <c r="S98" t="str">
        <f t="shared" si="22"/>
        <v/>
      </c>
      <c r="T98" t="str">
        <f>IF(Input!L98&lt;&gt;"",IF(ISNUMBER(Input!M98),Input!M98,0),"")</f>
        <v/>
      </c>
      <c r="U98" t="str">
        <f>IF(Input!O98&lt;&gt;"",Input!O98,"")</f>
        <v/>
      </c>
      <c r="V98" t="str">
        <f t="shared" si="23"/>
        <v/>
      </c>
      <c r="W98" t="str">
        <f>IF(Input!O98&lt;&gt;"",IF(ISNUMBER(Input!P98),(Input!P98),0),"")</f>
        <v/>
      </c>
      <c r="X98" t="str">
        <f>IF(Input!R98&lt;&gt;"",Input!R98,"")</f>
        <v/>
      </c>
      <c r="Y98" t="str">
        <f t="shared" si="24"/>
        <v/>
      </c>
      <c r="Z98" t="str">
        <f>IF(Input!R98&lt;&gt;"",IF(ISNUMBER(Input!S98),ROUNDDOWN(Input!S98,0),0),"")</f>
        <v/>
      </c>
      <c r="AA98" t="str">
        <f>IF(Input!U98&lt;&gt;"",Input!U98,"")</f>
        <v/>
      </c>
      <c r="AB98" t="str">
        <f t="shared" si="25"/>
        <v/>
      </c>
      <c r="AC98" t="str">
        <f>IF(Input!U98&lt;&gt;"",IF(ISNUMBER(Input!V98),ROUNDDOWN(Input!V98,0),0),"")</f>
        <v/>
      </c>
      <c r="AD98" t="str">
        <f>IF(Input!X98&lt;&gt;"",Input!X98,"")</f>
        <v/>
      </c>
      <c r="AE98" t="str">
        <f t="shared" si="26"/>
        <v/>
      </c>
      <c r="AF98" t="str">
        <f>IF(Input!X98&lt;&gt;"",IF(ISNUMBER(Input!Y98),(Input!Y98),0),"")</f>
        <v/>
      </c>
      <c r="AG98" t="str">
        <f>IF(Input!AA98&lt;&gt;"",Input!AA98,"")</f>
        <v/>
      </c>
      <c r="AH98" t="str">
        <f t="shared" si="27"/>
        <v/>
      </c>
      <c r="AI98" t="str">
        <f>IF(Input!AA98&lt;&gt;"",IF(ISNUMBER(Input!AB98),ROUNDDOWN(Input!AB98,0),0),"")</f>
        <v/>
      </c>
      <c r="AJ98" t="str">
        <f>IF(Input!AD98&lt;&gt;"",Input!AD98,"")</f>
        <v/>
      </c>
      <c r="AK98" t="str">
        <f t="shared" si="28"/>
        <v/>
      </c>
      <c r="AL98" t="str">
        <f>IF(Input!AD98&lt;&gt;"",IF(ISNUMBER(Input!AE98),(Input!AE98),0),"")</f>
        <v/>
      </c>
      <c r="AM98" t="str">
        <f>IF(Input!AG98&lt;&gt;"",Input!AG98,"")</f>
        <v/>
      </c>
      <c r="AN98" t="str">
        <f t="shared" si="18"/>
        <v/>
      </c>
      <c r="AO98" t="str">
        <f>IF(Input!AG98&lt;&gt;"",IF(ISNUMBER(Input!AH98),(Input!AH98),0),"")</f>
        <v/>
      </c>
    </row>
    <row r="99" spans="1:41" ht="16.5" thickTop="1" thickBot="1" x14ac:dyDescent="0.4">
      <c r="A99" s="35">
        <f>IF(ISBLANK(Input!A99),1000,IF(Input!E99&gt;0,Input!E99+F99,1000))</f>
        <v>1000</v>
      </c>
      <c r="B99" s="32">
        <f t="shared" si="19"/>
        <v>1000</v>
      </c>
      <c r="C99" s="4">
        <v>98</v>
      </c>
      <c r="D99" s="97">
        <f>IF(ISBLANK(Input!A99),1000,IF(Input!G99&gt;0,Input!G99+F99,1000))</f>
        <v>1000</v>
      </c>
      <c r="E99" s="97">
        <f t="shared" si="20"/>
        <v>1000</v>
      </c>
      <c r="F99" s="4">
        <v>9.7999999999999907E-2</v>
      </c>
      <c r="I99" t="str">
        <f>IF(Input!A99&gt;0,Input!A99,"")</f>
        <v/>
      </c>
      <c r="J99" t="str">
        <f>IF(Input!B99&gt;0,Input!B99,"")</f>
        <v/>
      </c>
      <c r="K99" t="str">
        <f>IF(Input!C99&gt;0,Input!C99,"")</f>
        <v/>
      </c>
      <c r="L99" t="str">
        <f>IF(Input!D99&gt;0,Input!D99,"")</f>
        <v/>
      </c>
      <c r="M99" t="str">
        <f>IF(Input!G99&gt;0,Input!G99,"")</f>
        <v xml:space="preserve"> </v>
      </c>
      <c r="N99" t="str">
        <f>IF(Input!H99&gt;0,Input!H99,"")</f>
        <v xml:space="preserve"> </v>
      </c>
      <c r="O99" t="str">
        <f>IF(Input!I99&lt;&gt;"",Input!I99,"")</f>
        <v/>
      </c>
      <c r="P99" t="str">
        <f t="shared" si="21"/>
        <v/>
      </c>
      <c r="Q99" t="str">
        <f>IF(Input!I99&lt;&gt;"",IF(ISNUMBER(Input!J99),ROUNDDOWN(Input!J99,0),0),"")</f>
        <v/>
      </c>
      <c r="R99" t="str">
        <f>IF(Input!L99&lt;&gt;"",Input!L99,"")</f>
        <v/>
      </c>
      <c r="S99" t="str">
        <f t="shared" si="22"/>
        <v/>
      </c>
      <c r="T99" t="str">
        <f>IF(Input!L99&lt;&gt;"",IF(ISNUMBER(Input!M99),Input!M99,0),"")</f>
        <v/>
      </c>
      <c r="U99" t="str">
        <f>IF(Input!O99&lt;&gt;"",Input!O99,"")</f>
        <v/>
      </c>
      <c r="V99" t="str">
        <f t="shared" si="23"/>
        <v/>
      </c>
      <c r="W99" t="str">
        <f>IF(Input!O99&lt;&gt;"",IF(ISNUMBER(Input!P99),(Input!P99),0),"")</f>
        <v/>
      </c>
      <c r="X99" t="str">
        <f>IF(Input!R99&lt;&gt;"",Input!R99,"")</f>
        <v/>
      </c>
      <c r="Y99" t="str">
        <f t="shared" si="24"/>
        <v/>
      </c>
      <c r="Z99" t="str">
        <f>IF(Input!R99&lt;&gt;"",IF(ISNUMBER(Input!S99),ROUNDDOWN(Input!S99,0),0),"")</f>
        <v/>
      </c>
      <c r="AA99" t="str">
        <f>IF(Input!U99&lt;&gt;"",Input!U99,"")</f>
        <v/>
      </c>
      <c r="AB99" t="str">
        <f t="shared" si="25"/>
        <v/>
      </c>
      <c r="AC99" t="str">
        <f>IF(Input!U99&lt;&gt;"",IF(ISNUMBER(Input!V99),ROUNDDOWN(Input!V99,0),0),"")</f>
        <v/>
      </c>
      <c r="AD99" t="str">
        <f>IF(Input!X99&lt;&gt;"",Input!X99,"")</f>
        <v/>
      </c>
      <c r="AE99" t="str">
        <f t="shared" si="26"/>
        <v/>
      </c>
      <c r="AF99" t="str">
        <f>IF(Input!X99&lt;&gt;"",IF(ISNUMBER(Input!Y99),(Input!Y99),0),"")</f>
        <v/>
      </c>
      <c r="AG99" t="str">
        <f>IF(Input!AA99&lt;&gt;"",Input!AA99,"")</f>
        <v/>
      </c>
      <c r="AH99" t="str">
        <f t="shared" si="27"/>
        <v/>
      </c>
      <c r="AI99" t="str">
        <f>IF(Input!AA99&lt;&gt;"",IF(ISNUMBER(Input!AB99),ROUNDDOWN(Input!AB99,0),0),"")</f>
        <v/>
      </c>
      <c r="AJ99" t="str">
        <f>IF(Input!AD99&lt;&gt;"",Input!AD99,"")</f>
        <v/>
      </c>
      <c r="AK99" t="str">
        <f t="shared" si="28"/>
        <v/>
      </c>
      <c r="AL99" t="str">
        <f>IF(Input!AD99&lt;&gt;"",IF(ISNUMBER(Input!AE99),(Input!AE99),0),"")</f>
        <v/>
      </c>
      <c r="AM99" t="str">
        <f>IF(Input!AG99&lt;&gt;"",Input!AG99,"")</f>
        <v/>
      </c>
      <c r="AN99" t="str">
        <f t="shared" si="18"/>
        <v/>
      </c>
      <c r="AO99" t="str">
        <f>IF(Input!AG99&lt;&gt;"",IF(ISNUMBER(Input!AH99),(Input!AH99),0),"")</f>
        <v/>
      </c>
    </row>
    <row r="100" spans="1:41" ht="16.5" thickTop="1" thickBot="1" x14ac:dyDescent="0.4">
      <c r="A100" s="35">
        <f>IF(ISBLANK(Input!A100),1000,IF(Input!E100&gt;0,Input!E100+F100,1000))</f>
        <v>1000</v>
      </c>
      <c r="B100" s="32">
        <f t="shared" si="19"/>
        <v>1000</v>
      </c>
      <c r="C100" s="4">
        <v>99</v>
      </c>
      <c r="D100" s="97">
        <f>IF(ISBLANK(Input!A100),1000,IF(Input!G100&gt;0,Input!G100+F100,1000))</f>
        <v>1000</v>
      </c>
      <c r="E100" s="97">
        <f t="shared" si="20"/>
        <v>1000</v>
      </c>
      <c r="F100" s="4">
        <v>9.8999999999999894E-2</v>
      </c>
      <c r="I100" t="str">
        <f>IF(Input!A100&gt;0,Input!A100,"")</f>
        <v/>
      </c>
      <c r="J100" t="str">
        <f>IF(Input!B100&gt;0,Input!B100,"")</f>
        <v/>
      </c>
      <c r="K100" t="str">
        <f>IF(Input!C100&gt;0,Input!C100,"")</f>
        <v/>
      </c>
      <c r="L100" t="str">
        <f>IF(Input!D100&gt;0,Input!D100,"")</f>
        <v/>
      </c>
      <c r="M100" t="str">
        <f>IF(Input!G100&gt;0,Input!G100,"")</f>
        <v xml:space="preserve"> </v>
      </c>
      <c r="N100" t="str">
        <f>IF(Input!H100&gt;0,Input!H100,"")</f>
        <v xml:space="preserve"> </v>
      </c>
      <c r="O100" t="str">
        <f>IF(Input!I100&lt;&gt;"",Input!I100,"")</f>
        <v/>
      </c>
      <c r="P100" t="str">
        <f t="shared" si="21"/>
        <v/>
      </c>
      <c r="Q100" t="str">
        <f>IF(Input!I100&lt;&gt;"",IF(ISNUMBER(Input!J100),ROUNDDOWN(Input!J100,0),0),"")</f>
        <v/>
      </c>
      <c r="R100" t="str">
        <f>IF(Input!L100&lt;&gt;"",Input!L100,"")</f>
        <v/>
      </c>
      <c r="S100" t="str">
        <f t="shared" si="22"/>
        <v/>
      </c>
      <c r="T100" t="str">
        <f>IF(Input!L100&lt;&gt;"",IF(ISNUMBER(Input!M100),Input!M100,0),"")</f>
        <v/>
      </c>
      <c r="U100" t="str">
        <f>IF(Input!O100&lt;&gt;"",Input!O100,"")</f>
        <v/>
      </c>
      <c r="V100" t="str">
        <f t="shared" si="23"/>
        <v/>
      </c>
      <c r="W100" t="str">
        <f>IF(Input!O100&lt;&gt;"",IF(ISNUMBER(Input!P100),(Input!P100),0),"")</f>
        <v/>
      </c>
      <c r="X100" t="str">
        <f>IF(Input!R100&lt;&gt;"",Input!R100,"")</f>
        <v/>
      </c>
      <c r="Y100" t="str">
        <f t="shared" si="24"/>
        <v/>
      </c>
      <c r="Z100" t="str">
        <f>IF(Input!R100&lt;&gt;"",IF(ISNUMBER(Input!S100),ROUNDDOWN(Input!S100,0),0),"")</f>
        <v/>
      </c>
      <c r="AA100" t="str">
        <f>IF(Input!U100&lt;&gt;"",Input!U100,"")</f>
        <v/>
      </c>
      <c r="AB100" t="str">
        <f t="shared" si="25"/>
        <v/>
      </c>
      <c r="AC100" t="str">
        <f>IF(Input!U100&lt;&gt;"",IF(ISNUMBER(Input!V100),ROUNDDOWN(Input!V100,0),0),"")</f>
        <v/>
      </c>
      <c r="AD100" t="str">
        <f>IF(Input!X100&lt;&gt;"",Input!X100,"")</f>
        <v/>
      </c>
      <c r="AE100" t="str">
        <f t="shared" si="26"/>
        <v/>
      </c>
      <c r="AF100" t="str">
        <f>IF(Input!X100&lt;&gt;"",IF(ISNUMBER(Input!Y100),(Input!Y100),0),"")</f>
        <v/>
      </c>
      <c r="AG100" t="str">
        <f>IF(Input!AA100&lt;&gt;"",Input!AA100,"")</f>
        <v/>
      </c>
      <c r="AH100" t="str">
        <f t="shared" si="27"/>
        <v/>
      </c>
      <c r="AI100" t="str">
        <f>IF(Input!AA100&lt;&gt;"",IF(ISNUMBER(Input!AB100),ROUNDDOWN(Input!AB100,0),0),"")</f>
        <v/>
      </c>
      <c r="AJ100" t="str">
        <f>IF(Input!AD100&lt;&gt;"",Input!AD100,"")</f>
        <v/>
      </c>
      <c r="AK100" t="str">
        <f t="shared" si="28"/>
        <v/>
      </c>
      <c r="AL100" t="str">
        <f>IF(Input!AD100&lt;&gt;"",IF(ISNUMBER(Input!AE100),(Input!AE100),0),"")</f>
        <v/>
      </c>
      <c r="AM100" t="str">
        <f>IF(Input!AG100&lt;&gt;"",Input!AG100,"")</f>
        <v/>
      </c>
      <c r="AN100" t="str">
        <f t="shared" si="18"/>
        <v/>
      </c>
      <c r="AO100" t="str">
        <f>IF(Input!AG100&lt;&gt;"",IF(ISNUMBER(Input!AH100),(Input!AH100),0),"")</f>
        <v/>
      </c>
    </row>
    <row r="101" spans="1:41" ht="16.5" thickTop="1" thickBot="1" x14ac:dyDescent="0.4">
      <c r="A101" s="35">
        <f>IF(ISBLANK(Input!A101),1000,IF(Input!E101&gt;0,Input!E101+F101,1000))</f>
        <v>1000</v>
      </c>
      <c r="B101" s="32">
        <f t="shared" si="19"/>
        <v>1000</v>
      </c>
      <c r="C101" s="4">
        <v>100</v>
      </c>
      <c r="D101" s="97">
        <f>IF(ISBLANK(Input!A101),1000,IF(Input!G101&gt;0,Input!G101+F101,1000))</f>
        <v>1000</v>
      </c>
      <c r="E101" s="97">
        <f t="shared" si="20"/>
        <v>1000</v>
      </c>
      <c r="F101" s="4">
        <v>9.9999999999999895E-2</v>
      </c>
      <c r="I101" t="str">
        <f>IF(Input!A101&gt;0,Input!A101,"")</f>
        <v/>
      </c>
      <c r="J101" t="str">
        <f>IF(Input!B101&gt;0,Input!B101,"")</f>
        <v/>
      </c>
      <c r="K101" t="str">
        <f>IF(Input!C101&gt;0,Input!C101,"")</f>
        <v/>
      </c>
      <c r="L101" t="str">
        <f>IF(Input!D101&gt;0,Input!D101,"")</f>
        <v/>
      </c>
      <c r="M101" t="str">
        <f>IF(Input!G101&gt;0,Input!G101,"")</f>
        <v xml:space="preserve"> </v>
      </c>
      <c r="N101" t="str">
        <f>IF(Input!H101&gt;0,Input!H101,"")</f>
        <v xml:space="preserve"> </v>
      </c>
      <c r="O101" t="str">
        <f>IF(Input!I101&lt;&gt;"",Input!I101,"")</f>
        <v/>
      </c>
      <c r="P101" t="str">
        <f t="shared" si="21"/>
        <v/>
      </c>
      <c r="Q101" t="str">
        <f>IF(Input!I101&lt;&gt;"",IF(ISNUMBER(Input!J101),ROUNDDOWN(Input!J101,0),0),"")</f>
        <v/>
      </c>
      <c r="R101" t="str">
        <f>IF(Input!L101&lt;&gt;"",Input!L101,"")</f>
        <v/>
      </c>
      <c r="S101" t="str">
        <f t="shared" si="22"/>
        <v/>
      </c>
      <c r="T101" t="str">
        <f>IF(Input!L101&lt;&gt;"",IF(ISNUMBER(Input!M101),Input!M101,0),"")</f>
        <v/>
      </c>
      <c r="U101" t="str">
        <f>IF(Input!O101&lt;&gt;"",Input!O101,"")</f>
        <v/>
      </c>
      <c r="V101" t="str">
        <f t="shared" si="23"/>
        <v/>
      </c>
      <c r="W101" t="str">
        <f>IF(Input!O101&lt;&gt;"",IF(ISNUMBER(Input!P101),(Input!P101),0),"")</f>
        <v/>
      </c>
      <c r="X101" t="str">
        <f>IF(Input!R101&lt;&gt;"",Input!R101,"")</f>
        <v/>
      </c>
      <c r="Y101" t="str">
        <f t="shared" si="24"/>
        <v/>
      </c>
      <c r="Z101" t="str">
        <f>IF(Input!R101&lt;&gt;"",IF(ISNUMBER(Input!S101),ROUNDDOWN(Input!S101,0),0),"")</f>
        <v/>
      </c>
      <c r="AA101" t="str">
        <f>IF(Input!U101&lt;&gt;"",Input!U101,"")</f>
        <v/>
      </c>
      <c r="AB101" t="str">
        <f t="shared" si="25"/>
        <v/>
      </c>
      <c r="AC101" t="str">
        <f>IF(Input!U101&lt;&gt;"",IF(ISNUMBER(Input!V101),ROUNDDOWN(Input!V101,0),0),"")</f>
        <v/>
      </c>
      <c r="AD101" t="str">
        <f>IF(Input!X101&lt;&gt;"",Input!X101,"")</f>
        <v/>
      </c>
      <c r="AE101" t="str">
        <f t="shared" si="26"/>
        <v/>
      </c>
      <c r="AF101" t="str">
        <f>IF(Input!X101&lt;&gt;"",IF(ISNUMBER(Input!Y101),(Input!Y101),0),"")</f>
        <v/>
      </c>
      <c r="AG101" t="str">
        <f>IF(Input!AA101&lt;&gt;"",Input!AA101,"")</f>
        <v/>
      </c>
      <c r="AH101" t="str">
        <f t="shared" si="27"/>
        <v/>
      </c>
      <c r="AI101" t="str">
        <f>IF(Input!AA101&lt;&gt;"",IF(ISNUMBER(Input!AB101),ROUNDDOWN(Input!AB101,0),0),"")</f>
        <v/>
      </c>
      <c r="AJ101" t="str">
        <f>IF(Input!AD101&lt;&gt;"",Input!AD101,"")</f>
        <v/>
      </c>
      <c r="AK101" t="str">
        <f t="shared" si="28"/>
        <v/>
      </c>
      <c r="AL101" t="str">
        <f>IF(Input!AD101&lt;&gt;"",IF(ISNUMBER(Input!AE101),(Input!AE101),0),"")</f>
        <v/>
      </c>
      <c r="AM101" t="str">
        <f>IF(Input!AG101&lt;&gt;"",Input!AG101,"")</f>
        <v/>
      </c>
      <c r="AN101" t="str">
        <f t="shared" si="18"/>
        <v/>
      </c>
      <c r="AO101" t="str">
        <f>IF(Input!AG101&lt;&gt;"",IF(ISNUMBER(Input!AH101),(Input!AH101),0),"")</f>
        <v/>
      </c>
    </row>
    <row r="102" spans="1:41" ht="16.5" thickTop="1" thickBot="1" x14ac:dyDescent="0.4">
      <c r="A102" s="35">
        <f>IF(ISBLANK(Input!A102),1000,IF(Input!E102&gt;0,Input!E102+F102,1000))</f>
        <v>1000</v>
      </c>
      <c r="B102" s="32">
        <f t="shared" si="19"/>
        <v>1000</v>
      </c>
      <c r="C102" s="4">
        <v>101</v>
      </c>
      <c r="D102" s="97">
        <f>IF(ISBLANK(Input!A102),1000,IF(Input!G102&gt;0,Input!G102+F102,1000))</f>
        <v>1000</v>
      </c>
      <c r="E102" s="97">
        <f t="shared" si="20"/>
        <v>1000</v>
      </c>
      <c r="F102" s="4">
        <v>0.10100000000000001</v>
      </c>
      <c r="I102" t="str">
        <f>IF(Input!A102&gt;0,Input!A102,"")</f>
        <v/>
      </c>
      <c r="J102" t="str">
        <f>IF(Input!B102&gt;0,Input!B102,"")</f>
        <v/>
      </c>
      <c r="K102" t="str">
        <f>IF(Input!C102&gt;0,Input!C102,"")</f>
        <v/>
      </c>
      <c r="L102" t="str">
        <f>IF(Input!D102&gt;0,Input!D102,"")</f>
        <v/>
      </c>
      <c r="M102" t="str">
        <f>IF(Input!G102&gt;0,Input!G102,"")</f>
        <v xml:space="preserve"> </v>
      </c>
      <c r="N102" t="str">
        <f>IF(Input!H102&gt;0,Input!H102,"")</f>
        <v xml:space="preserve"> </v>
      </c>
      <c r="O102" t="str">
        <f>IF(Input!I102&lt;&gt;"",Input!I102,"")</f>
        <v/>
      </c>
      <c r="P102" t="str">
        <f t="shared" si="21"/>
        <v/>
      </c>
      <c r="Q102" t="str">
        <f>IF(Input!I102&lt;&gt;"",IF(ISNUMBER(Input!J102),ROUNDDOWN(Input!J102,0),0),"")</f>
        <v/>
      </c>
      <c r="R102" t="str">
        <f>IF(Input!L102&lt;&gt;"",Input!L102,"")</f>
        <v/>
      </c>
      <c r="S102" t="str">
        <f t="shared" si="22"/>
        <v/>
      </c>
      <c r="T102" t="str">
        <f>IF(Input!L102&lt;&gt;"",IF(ISNUMBER(Input!M102),Input!M102,0),"")</f>
        <v/>
      </c>
      <c r="U102" t="str">
        <f>IF(Input!O102&lt;&gt;"",Input!O102,"")</f>
        <v/>
      </c>
      <c r="V102" t="str">
        <f t="shared" si="23"/>
        <v/>
      </c>
      <c r="W102" t="str">
        <f>IF(Input!O102&lt;&gt;"",IF(ISNUMBER(Input!P102),(Input!P102),0),"")</f>
        <v/>
      </c>
      <c r="X102" t="str">
        <f>IF(Input!R102&lt;&gt;"",Input!R102,"")</f>
        <v/>
      </c>
      <c r="Y102" t="str">
        <f t="shared" si="24"/>
        <v/>
      </c>
      <c r="Z102" t="str">
        <f>IF(Input!R102&lt;&gt;"",IF(ISNUMBER(Input!S102),ROUNDDOWN(Input!S102,0),0),"")</f>
        <v/>
      </c>
      <c r="AA102" t="str">
        <f>IF(Input!U102&lt;&gt;"",Input!U102,"")</f>
        <v/>
      </c>
      <c r="AB102" t="str">
        <f t="shared" si="25"/>
        <v/>
      </c>
      <c r="AC102" t="str">
        <f>IF(Input!U102&lt;&gt;"",IF(ISNUMBER(Input!V102),ROUNDDOWN(Input!V102,0),0),"")</f>
        <v/>
      </c>
      <c r="AD102" t="str">
        <f>IF(Input!X102&lt;&gt;"",Input!X102,"")</f>
        <v/>
      </c>
      <c r="AE102" t="str">
        <f t="shared" si="26"/>
        <v/>
      </c>
      <c r="AF102" t="str">
        <f>IF(Input!X102&lt;&gt;"",IF(ISNUMBER(Input!Y102),(Input!Y102),0),"")</f>
        <v/>
      </c>
      <c r="AG102" t="str">
        <f>IF(Input!AA102&lt;&gt;"",Input!AA102,"")</f>
        <v/>
      </c>
      <c r="AH102" t="str">
        <f t="shared" si="27"/>
        <v/>
      </c>
      <c r="AI102" t="str">
        <f>IF(Input!AA102&lt;&gt;"",IF(ISNUMBER(Input!AB102),ROUNDDOWN(Input!AB102,0),0),"")</f>
        <v/>
      </c>
      <c r="AJ102" t="str">
        <f>IF(Input!AD102&lt;&gt;"",Input!AD102,"")</f>
        <v/>
      </c>
      <c r="AK102" t="str">
        <f t="shared" si="28"/>
        <v/>
      </c>
      <c r="AL102" t="str">
        <f>IF(Input!AD102&lt;&gt;"",IF(ISNUMBER(Input!AE102),(Input!AE102),0),"")</f>
        <v/>
      </c>
      <c r="AM102" t="str">
        <f>IF(Input!AG102&lt;&gt;"",Input!AG102,"")</f>
        <v/>
      </c>
      <c r="AN102" t="str">
        <f t="shared" si="18"/>
        <v/>
      </c>
      <c r="AO102" t="str">
        <f>IF(Input!AG102&lt;&gt;"",IF(ISNUMBER(Input!AH102),(Input!AH102),0),"")</f>
        <v/>
      </c>
    </row>
    <row r="103" spans="1:41" ht="16.5" thickTop="1" thickBot="1" x14ac:dyDescent="0.4">
      <c r="A103" s="35">
        <f>IF(ISBLANK(Input!A103),1000,IF(Input!E103&gt;0,Input!E103+F103,1000))</f>
        <v>1000</v>
      </c>
      <c r="B103" s="32">
        <f t="shared" si="19"/>
        <v>1000</v>
      </c>
      <c r="C103" s="4">
        <v>102</v>
      </c>
      <c r="D103" s="97">
        <f>IF(ISBLANK(Input!A103),1000,IF(Input!G103&gt;0,Input!G103+F103,1000))</f>
        <v>1000</v>
      </c>
      <c r="E103" s="97">
        <f t="shared" si="20"/>
        <v>1000</v>
      </c>
      <c r="F103" s="4">
        <v>0.10199999999999999</v>
      </c>
      <c r="I103" t="str">
        <f>IF(Input!A103&gt;0,Input!A103,"")</f>
        <v/>
      </c>
      <c r="J103" t="str">
        <f>IF(Input!B103&gt;0,Input!B103,"")</f>
        <v/>
      </c>
      <c r="K103" t="str">
        <f>IF(Input!C103&gt;0,Input!C103,"")</f>
        <v/>
      </c>
      <c r="L103" t="str">
        <f>IF(Input!D103&gt;0,Input!D103,"")</f>
        <v/>
      </c>
      <c r="M103" t="str">
        <f>IF(Input!G103&gt;0,Input!G103,"")</f>
        <v xml:space="preserve"> </v>
      </c>
      <c r="N103" t="str">
        <f>IF(Input!H103&gt;0,Input!H103,"")</f>
        <v xml:space="preserve"> </v>
      </c>
      <c r="O103" t="str">
        <f>IF(Input!I103&lt;&gt;"",Input!I103,"")</f>
        <v/>
      </c>
      <c r="P103" t="str">
        <f t="shared" si="21"/>
        <v/>
      </c>
      <c r="Q103" t="str">
        <f>IF(Input!I103&lt;&gt;"",IF(ISNUMBER(Input!J103),ROUNDDOWN(Input!J103,0),0),"")</f>
        <v/>
      </c>
      <c r="R103" t="str">
        <f>IF(Input!L103&lt;&gt;"",Input!L103,"")</f>
        <v/>
      </c>
      <c r="S103" t="str">
        <f t="shared" si="22"/>
        <v/>
      </c>
      <c r="T103" t="str">
        <f>IF(Input!L103&lt;&gt;"",IF(ISNUMBER(Input!M103),Input!M103,0),"")</f>
        <v/>
      </c>
      <c r="U103" t="str">
        <f>IF(Input!O103&lt;&gt;"",Input!O103,"")</f>
        <v/>
      </c>
      <c r="V103" t="str">
        <f t="shared" si="23"/>
        <v/>
      </c>
      <c r="W103" t="str">
        <f>IF(Input!O103&lt;&gt;"",IF(ISNUMBER(Input!P103),(Input!P103),0),"")</f>
        <v/>
      </c>
      <c r="X103" t="str">
        <f>IF(Input!R103&lt;&gt;"",Input!R103,"")</f>
        <v/>
      </c>
      <c r="Y103" t="str">
        <f t="shared" si="24"/>
        <v/>
      </c>
      <c r="Z103" t="str">
        <f>IF(Input!R103&lt;&gt;"",IF(ISNUMBER(Input!S103),ROUNDDOWN(Input!S103,0),0),"")</f>
        <v/>
      </c>
      <c r="AA103" t="str">
        <f>IF(Input!U103&lt;&gt;"",Input!U103,"")</f>
        <v/>
      </c>
      <c r="AB103" t="str">
        <f t="shared" si="25"/>
        <v/>
      </c>
      <c r="AC103" t="str">
        <f>IF(Input!U103&lt;&gt;"",IF(ISNUMBER(Input!V103),ROUNDDOWN(Input!V103,0),0),"")</f>
        <v/>
      </c>
      <c r="AD103" t="str">
        <f>IF(Input!X103&lt;&gt;"",Input!X103,"")</f>
        <v/>
      </c>
      <c r="AE103" t="str">
        <f t="shared" si="26"/>
        <v/>
      </c>
      <c r="AF103" t="str">
        <f>IF(Input!X103&lt;&gt;"",IF(ISNUMBER(Input!Y103),(Input!Y103),0),"")</f>
        <v/>
      </c>
      <c r="AG103" t="str">
        <f>IF(Input!AA103&lt;&gt;"",Input!AA103,"")</f>
        <v/>
      </c>
      <c r="AH103" t="str">
        <f t="shared" si="27"/>
        <v/>
      </c>
      <c r="AI103" t="str">
        <f>IF(Input!AA103&lt;&gt;"",IF(ISNUMBER(Input!AB103),ROUNDDOWN(Input!AB103,0),0),"")</f>
        <v/>
      </c>
      <c r="AJ103" t="str">
        <f>IF(Input!AD103&lt;&gt;"",Input!AD103,"")</f>
        <v/>
      </c>
      <c r="AK103" t="str">
        <f t="shared" si="28"/>
        <v/>
      </c>
      <c r="AL103" t="str">
        <f>IF(Input!AD103&lt;&gt;"",IF(ISNUMBER(Input!AE103),(Input!AE103),0),"")</f>
        <v/>
      </c>
      <c r="AM103" t="str">
        <f>IF(Input!AG103&lt;&gt;"",Input!AG103,"")</f>
        <v/>
      </c>
      <c r="AN103" t="str">
        <f t="shared" si="18"/>
        <v/>
      </c>
      <c r="AO103" t="str">
        <f>IF(Input!AG103&lt;&gt;"",IF(ISNUMBER(Input!AH103),(Input!AH103),0),"")</f>
        <v/>
      </c>
    </row>
    <row r="104" spans="1:41" ht="16.5" thickTop="1" thickBot="1" x14ac:dyDescent="0.4">
      <c r="A104" s="35">
        <f>IF(ISBLANK(Input!A104),1000,IF(Input!E104&gt;0,Input!E104+F104,1000))</f>
        <v>1000</v>
      </c>
      <c r="B104" s="32">
        <f t="shared" si="19"/>
        <v>1000</v>
      </c>
      <c r="C104" s="4">
        <v>103</v>
      </c>
      <c r="D104" s="97">
        <f>IF(ISBLANK(Input!A104),1000,IF(Input!G104&gt;0,Input!G104+F104,1000))</f>
        <v>1000</v>
      </c>
      <c r="E104" s="97">
        <f t="shared" si="20"/>
        <v>1000</v>
      </c>
      <c r="F104" s="4">
        <v>0.10299999999999999</v>
      </c>
      <c r="I104" t="str">
        <f>IF(Input!A104&gt;0,Input!A104,"")</f>
        <v/>
      </c>
      <c r="J104" t="str">
        <f>IF(Input!B104&gt;0,Input!B104,"")</f>
        <v/>
      </c>
      <c r="K104" t="str">
        <f>IF(Input!C104&gt;0,Input!C104,"")</f>
        <v/>
      </c>
      <c r="L104" t="str">
        <f>IF(Input!D104&gt;0,Input!D104,"")</f>
        <v/>
      </c>
      <c r="M104" t="str">
        <f>IF(Input!G104&gt;0,Input!G104,"")</f>
        <v xml:space="preserve"> </v>
      </c>
      <c r="N104" t="str">
        <f>IF(Input!H104&gt;0,Input!H104,"")</f>
        <v xml:space="preserve"> </v>
      </c>
      <c r="O104" t="str">
        <f>IF(Input!I104&lt;&gt;"",Input!I104,"")</f>
        <v/>
      </c>
      <c r="P104" t="str">
        <f t="shared" si="21"/>
        <v/>
      </c>
      <c r="Q104" t="str">
        <f>IF(Input!I104&lt;&gt;"",IF(ISNUMBER(Input!J104),ROUNDDOWN(Input!J104,0),0),"")</f>
        <v/>
      </c>
      <c r="R104" t="str">
        <f>IF(Input!L104&lt;&gt;"",Input!L104,"")</f>
        <v/>
      </c>
      <c r="S104" t="str">
        <f t="shared" si="22"/>
        <v/>
      </c>
      <c r="T104" t="str">
        <f>IF(Input!L104&lt;&gt;"",IF(ISNUMBER(Input!M104),Input!M104,0),"")</f>
        <v/>
      </c>
      <c r="U104" t="str">
        <f>IF(Input!O104&lt;&gt;"",Input!O104,"")</f>
        <v/>
      </c>
      <c r="V104" t="str">
        <f t="shared" si="23"/>
        <v/>
      </c>
      <c r="W104" t="str">
        <f>IF(Input!O104&lt;&gt;"",IF(ISNUMBER(Input!P104),(Input!P104),0),"")</f>
        <v/>
      </c>
      <c r="X104" t="str">
        <f>IF(Input!R104&lt;&gt;"",Input!R104,"")</f>
        <v/>
      </c>
      <c r="Y104" t="str">
        <f t="shared" si="24"/>
        <v/>
      </c>
      <c r="Z104" t="str">
        <f>IF(Input!R104&lt;&gt;"",IF(ISNUMBER(Input!S104),ROUNDDOWN(Input!S104,0),0),"")</f>
        <v/>
      </c>
      <c r="AA104" t="str">
        <f>IF(Input!U104&lt;&gt;"",Input!U104,"")</f>
        <v/>
      </c>
      <c r="AB104" t="str">
        <f t="shared" si="25"/>
        <v/>
      </c>
      <c r="AC104" t="str">
        <f>IF(Input!U104&lt;&gt;"",IF(ISNUMBER(Input!V104),ROUNDDOWN(Input!V104,0),0),"")</f>
        <v/>
      </c>
      <c r="AD104" t="str">
        <f>IF(Input!X104&lt;&gt;"",Input!X104,"")</f>
        <v/>
      </c>
      <c r="AE104" t="str">
        <f t="shared" si="26"/>
        <v/>
      </c>
      <c r="AF104" t="str">
        <f>IF(Input!X104&lt;&gt;"",IF(ISNUMBER(Input!Y104),(Input!Y104),0),"")</f>
        <v/>
      </c>
      <c r="AG104" t="str">
        <f>IF(Input!AA104&lt;&gt;"",Input!AA104,"")</f>
        <v/>
      </c>
      <c r="AH104" t="str">
        <f t="shared" si="27"/>
        <v/>
      </c>
      <c r="AI104" t="str">
        <f>IF(Input!AA104&lt;&gt;"",IF(ISNUMBER(Input!AB104),ROUNDDOWN(Input!AB104,0),0),"")</f>
        <v/>
      </c>
      <c r="AJ104" t="str">
        <f>IF(Input!AD104&lt;&gt;"",Input!AD104,"")</f>
        <v/>
      </c>
      <c r="AK104" t="str">
        <f t="shared" si="28"/>
        <v/>
      </c>
      <c r="AL104" t="str">
        <f>IF(Input!AD104&lt;&gt;"",IF(ISNUMBER(Input!AE104),(Input!AE104),0),"")</f>
        <v/>
      </c>
      <c r="AM104" t="str">
        <f>IF(Input!AG104&lt;&gt;"",Input!AG104,"")</f>
        <v/>
      </c>
      <c r="AN104" t="str">
        <f t="shared" si="18"/>
        <v/>
      </c>
      <c r="AO104" t="str">
        <f>IF(Input!AG104&lt;&gt;"",IF(ISNUMBER(Input!AH104),(Input!AH104),0),"")</f>
        <v/>
      </c>
    </row>
    <row r="105" spans="1:41" ht="16.5" thickTop="1" thickBot="1" x14ac:dyDescent="0.4">
      <c r="A105" s="35">
        <f>IF(ISBLANK(Input!A105),1000,IF(Input!E105&gt;0,Input!E105+F105,1000))</f>
        <v>1000</v>
      </c>
      <c r="B105" s="32">
        <f t="shared" si="19"/>
        <v>1000</v>
      </c>
      <c r="C105" s="4">
        <v>104</v>
      </c>
      <c r="D105" s="97">
        <f>IF(ISBLANK(Input!A105),1000,IF(Input!G105&gt;0,Input!G105+F105,1000))</f>
        <v>1000</v>
      </c>
      <c r="E105" s="97">
        <f t="shared" si="20"/>
        <v>1000</v>
      </c>
      <c r="F105" s="4">
        <v>0.104</v>
      </c>
      <c r="I105" t="str">
        <f>IF(Input!A105&gt;0,Input!A105,"")</f>
        <v/>
      </c>
      <c r="J105" t="str">
        <f>IF(Input!B105&gt;0,Input!B105,"")</f>
        <v/>
      </c>
      <c r="K105" t="str">
        <f>IF(Input!C105&gt;0,Input!C105,"")</f>
        <v/>
      </c>
      <c r="L105" t="str">
        <f>IF(Input!D105&gt;0,Input!D105,"")</f>
        <v/>
      </c>
      <c r="M105" t="str">
        <f>IF(Input!G105&gt;0,Input!G105,"")</f>
        <v xml:space="preserve"> </v>
      </c>
      <c r="N105" t="str">
        <f>IF(Input!H105&gt;0,Input!H105,"")</f>
        <v xml:space="preserve"> </v>
      </c>
      <c r="O105" t="str">
        <f>IF(Input!I105&lt;&gt;"",Input!I105,"")</f>
        <v/>
      </c>
      <c r="P105" t="str">
        <f t="shared" si="21"/>
        <v/>
      </c>
      <c r="Q105" t="str">
        <f>IF(Input!I105&lt;&gt;"",IF(ISNUMBER(Input!J105),ROUNDDOWN(Input!J105,0),0),"")</f>
        <v/>
      </c>
      <c r="R105" t="str">
        <f>IF(Input!L105&lt;&gt;"",Input!L105,"")</f>
        <v/>
      </c>
      <c r="S105" t="str">
        <f t="shared" si="22"/>
        <v/>
      </c>
      <c r="T105" t="str">
        <f>IF(Input!L105&lt;&gt;"",IF(ISNUMBER(Input!M105),Input!M105,0),"")</f>
        <v/>
      </c>
      <c r="U105" t="str">
        <f>IF(Input!O105&lt;&gt;"",Input!O105,"")</f>
        <v/>
      </c>
      <c r="V105" t="str">
        <f t="shared" si="23"/>
        <v/>
      </c>
      <c r="W105" t="str">
        <f>IF(Input!O105&lt;&gt;"",IF(ISNUMBER(Input!P105),(Input!P105),0),"")</f>
        <v/>
      </c>
      <c r="X105" t="str">
        <f>IF(Input!R105&lt;&gt;"",Input!R105,"")</f>
        <v/>
      </c>
      <c r="Y105" t="str">
        <f t="shared" si="24"/>
        <v/>
      </c>
      <c r="Z105" t="str">
        <f>IF(Input!R105&lt;&gt;"",IF(ISNUMBER(Input!S105),ROUNDDOWN(Input!S105,0),0),"")</f>
        <v/>
      </c>
      <c r="AA105" t="str">
        <f>IF(Input!U105&lt;&gt;"",Input!U105,"")</f>
        <v/>
      </c>
      <c r="AB105" t="str">
        <f t="shared" si="25"/>
        <v/>
      </c>
      <c r="AC105" t="str">
        <f>IF(Input!U105&lt;&gt;"",IF(ISNUMBER(Input!V105),ROUNDDOWN(Input!V105,0),0),"")</f>
        <v/>
      </c>
      <c r="AD105" t="str">
        <f>IF(Input!X105&lt;&gt;"",Input!X105,"")</f>
        <v/>
      </c>
      <c r="AE105" t="str">
        <f t="shared" si="26"/>
        <v/>
      </c>
      <c r="AF105" t="str">
        <f>IF(Input!X105&lt;&gt;"",IF(ISNUMBER(Input!Y105),(Input!Y105),0),"")</f>
        <v/>
      </c>
      <c r="AG105" t="str">
        <f>IF(Input!AA105&lt;&gt;"",Input!AA105,"")</f>
        <v/>
      </c>
      <c r="AH105" t="str">
        <f t="shared" si="27"/>
        <v/>
      </c>
      <c r="AI105" t="str">
        <f>IF(Input!AA105&lt;&gt;"",IF(ISNUMBER(Input!AB105),ROUNDDOWN(Input!AB105,0),0),"")</f>
        <v/>
      </c>
      <c r="AJ105" t="str">
        <f>IF(Input!AD105&lt;&gt;"",Input!AD105,"")</f>
        <v/>
      </c>
      <c r="AK105" t="str">
        <f t="shared" si="28"/>
        <v/>
      </c>
      <c r="AL105" t="str">
        <f>IF(Input!AD105&lt;&gt;"",IF(ISNUMBER(Input!AE105),(Input!AE105),0),"")</f>
        <v/>
      </c>
      <c r="AM105" t="str">
        <f>IF(Input!AG105&lt;&gt;"",Input!AG105,"")</f>
        <v/>
      </c>
      <c r="AN105" t="str">
        <f t="shared" si="18"/>
        <v/>
      </c>
      <c r="AO105" t="str">
        <f>IF(Input!AG105&lt;&gt;"",IF(ISNUMBER(Input!AH105),(Input!AH105),0),"")</f>
        <v/>
      </c>
    </row>
    <row r="106" spans="1:41" ht="16.5" thickTop="1" thickBot="1" x14ac:dyDescent="0.4">
      <c r="A106" s="35">
        <f>IF(ISBLANK(Input!A106),1000,IF(Input!E106&gt;0,Input!E106+F106,1000))</f>
        <v>1000</v>
      </c>
      <c r="B106" s="32">
        <f t="shared" si="19"/>
        <v>1000</v>
      </c>
      <c r="C106" s="4">
        <v>105</v>
      </c>
      <c r="D106" s="97">
        <f>IF(ISBLANK(Input!A106),1000,IF(Input!G106&gt;0,Input!G106+F106,1000))</f>
        <v>1000</v>
      </c>
      <c r="E106" s="97">
        <f t="shared" si="20"/>
        <v>1000</v>
      </c>
      <c r="F106" s="4">
        <v>0.105</v>
      </c>
      <c r="I106" t="str">
        <f>IF(Input!A106&gt;0,Input!A106,"")</f>
        <v/>
      </c>
      <c r="J106" t="str">
        <f>IF(Input!B106&gt;0,Input!B106,"")</f>
        <v/>
      </c>
      <c r="K106" t="str">
        <f>IF(Input!C106&gt;0,Input!C106,"")</f>
        <v/>
      </c>
      <c r="L106" t="str">
        <f>IF(Input!D106&gt;0,Input!D106,"")</f>
        <v/>
      </c>
      <c r="M106" t="str">
        <f>IF(Input!G106&gt;0,Input!G106,"")</f>
        <v xml:space="preserve"> </v>
      </c>
      <c r="N106" t="str">
        <f>IF(Input!H106&gt;0,Input!H106,"")</f>
        <v xml:space="preserve"> </v>
      </c>
      <c r="O106" t="str">
        <f>IF(Input!I106&lt;&gt;"",Input!I106,"")</f>
        <v/>
      </c>
      <c r="P106" t="str">
        <f t="shared" si="21"/>
        <v/>
      </c>
      <c r="Q106" t="str">
        <f>IF(Input!I106&lt;&gt;"",IF(ISNUMBER(Input!J106),ROUNDDOWN(Input!J106,0),0),"")</f>
        <v/>
      </c>
      <c r="R106" t="str">
        <f>IF(Input!L106&lt;&gt;"",Input!L106,"")</f>
        <v/>
      </c>
      <c r="S106" t="str">
        <f t="shared" si="22"/>
        <v/>
      </c>
      <c r="T106" t="str">
        <f>IF(Input!L106&lt;&gt;"",IF(ISNUMBER(Input!M106),Input!M106,0),"")</f>
        <v/>
      </c>
      <c r="U106" t="str">
        <f>IF(Input!O106&lt;&gt;"",Input!O106,"")</f>
        <v/>
      </c>
      <c r="V106" t="str">
        <f t="shared" si="23"/>
        <v/>
      </c>
      <c r="W106" t="str">
        <f>IF(Input!O106&lt;&gt;"",IF(ISNUMBER(Input!P106),(Input!P106),0),"")</f>
        <v/>
      </c>
      <c r="X106" t="str">
        <f>IF(Input!R106&lt;&gt;"",Input!R106,"")</f>
        <v/>
      </c>
      <c r="Y106" t="str">
        <f t="shared" si="24"/>
        <v/>
      </c>
      <c r="Z106" t="str">
        <f>IF(Input!R106&lt;&gt;"",IF(ISNUMBER(Input!S106),ROUNDDOWN(Input!S106,0),0),"")</f>
        <v/>
      </c>
      <c r="AA106" t="str">
        <f>IF(Input!U106&lt;&gt;"",Input!U106,"")</f>
        <v/>
      </c>
      <c r="AB106" t="str">
        <f t="shared" si="25"/>
        <v/>
      </c>
      <c r="AC106" t="str">
        <f>IF(Input!U106&lt;&gt;"",IF(ISNUMBER(Input!V106),ROUNDDOWN(Input!V106,0),0),"")</f>
        <v/>
      </c>
      <c r="AD106" t="str">
        <f>IF(Input!X106&lt;&gt;"",Input!X106,"")</f>
        <v/>
      </c>
      <c r="AE106" t="str">
        <f t="shared" si="26"/>
        <v/>
      </c>
      <c r="AF106" t="str">
        <f>IF(Input!X106&lt;&gt;"",IF(ISNUMBER(Input!Y106),(Input!Y106),0),"")</f>
        <v/>
      </c>
      <c r="AG106" t="str">
        <f>IF(Input!AA106&lt;&gt;"",Input!AA106,"")</f>
        <v/>
      </c>
      <c r="AH106" t="str">
        <f t="shared" si="27"/>
        <v/>
      </c>
      <c r="AI106" t="str">
        <f>IF(Input!AA106&lt;&gt;"",IF(ISNUMBER(Input!AB106),ROUNDDOWN(Input!AB106,0),0),"")</f>
        <v/>
      </c>
      <c r="AJ106" t="str">
        <f>IF(Input!AD106&lt;&gt;"",Input!AD106,"")</f>
        <v/>
      </c>
      <c r="AK106" t="str">
        <f t="shared" si="28"/>
        <v/>
      </c>
      <c r="AL106" t="str">
        <f>IF(Input!AD106&lt;&gt;"",IF(ISNUMBER(Input!AE106),(Input!AE106),0),"")</f>
        <v/>
      </c>
      <c r="AM106" t="str">
        <f>IF(Input!AG106&lt;&gt;"",Input!AG106,"")</f>
        <v/>
      </c>
      <c r="AN106" t="str">
        <f t="shared" si="18"/>
        <v/>
      </c>
      <c r="AO106" t="str">
        <f>IF(Input!AG106&lt;&gt;"",IF(ISNUMBER(Input!AH106),(Input!AH106),0),"")</f>
        <v/>
      </c>
    </row>
    <row r="107" spans="1:41" ht="16.5" thickTop="1" thickBot="1" x14ac:dyDescent="0.4">
      <c r="A107" s="35">
        <f>IF(ISBLANK(Input!A107),1000,IF(Input!E107&gt;0,Input!E107+F107,1000))</f>
        <v>1000</v>
      </c>
      <c r="B107" s="32">
        <f t="shared" si="19"/>
        <v>1000</v>
      </c>
      <c r="C107" s="4">
        <v>106</v>
      </c>
      <c r="D107" s="97">
        <f>IF(ISBLANK(Input!A107),1000,IF(Input!G107&gt;0,Input!G107+F107,1000))</f>
        <v>1000</v>
      </c>
      <c r="E107" s="97">
        <f t="shared" si="20"/>
        <v>1000</v>
      </c>
      <c r="F107" s="4">
        <v>0.106</v>
      </c>
      <c r="I107" t="str">
        <f>IF(Input!A107&gt;0,Input!A107,"")</f>
        <v/>
      </c>
      <c r="J107" t="str">
        <f>IF(Input!B107&gt;0,Input!B107,"")</f>
        <v/>
      </c>
      <c r="K107" t="str">
        <f>IF(Input!C107&gt;0,Input!C107,"")</f>
        <v/>
      </c>
      <c r="L107" t="str">
        <f>IF(Input!D107&gt;0,Input!D107,"")</f>
        <v/>
      </c>
      <c r="M107" t="str">
        <f>IF(Input!G107&gt;0,Input!G107,"")</f>
        <v xml:space="preserve"> </v>
      </c>
      <c r="N107" t="str">
        <f>IF(Input!H107&gt;0,Input!H107,"")</f>
        <v xml:space="preserve"> </v>
      </c>
      <c r="O107" t="str">
        <f>IF(Input!I107&lt;&gt;"",Input!I107,"")</f>
        <v/>
      </c>
      <c r="P107" t="str">
        <f t="shared" si="21"/>
        <v/>
      </c>
      <c r="Q107" t="str">
        <f>IF(Input!I107&lt;&gt;"",IF(ISNUMBER(Input!J107),ROUNDDOWN(Input!J107,0),0),"")</f>
        <v/>
      </c>
      <c r="R107" t="str">
        <f>IF(Input!L107&lt;&gt;"",Input!L107,"")</f>
        <v/>
      </c>
      <c r="S107" t="str">
        <f t="shared" si="22"/>
        <v/>
      </c>
      <c r="T107" t="str">
        <f>IF(Input!L107&lt;&gt;"",IF(ISNUMBER(Input!M107),Input!M107,0),"")</f>
        <v/>
      </c>
      <c r="U107" t="str">
        <f>IF(Input!O107&lt;&gt;"",Input!O107,"")</f>
        <v/>
      </c>
      <c r="V107" t="str">
        <f t="shared" si="23"/>
        <v/>
      </c>
      <c r="W107" t="str">
        <f>IF(Input!O107&lt;&gt;"",IF(ISNUMBER(Input!P107),(Input!P107),0),"")</f>
        <v/>
      </c>
      <c r="X107" t="str">
        <f>IF(Input!R107&lt;&gt;"",Input!R107,"")</f>
        <v/>
      </c>
      <c r="Y107" t="str">
        <f t="shared" si="24"/>
        <v/>
      </c>
      <c r="Z107" t="str">
        <f>IF(Input!R107&lt;&gt;"",IF(ISNUMBER(Input!S107),ROUNDDOWN(Input!S107,0),0),"")</f>
        <v/>
      </c>
      <c r="AA107" t="str">
        <f>IF(Input!U107&lt;&gt;"",Input!U107,"")</f>
        <v/>
      </c>
      <c r="AB107" t="str">
        <f t="shared" si="25"/>
        <v/>
      </c>
      <c r="AC107" t="str">
        <f>IF(Input!U107&lt;&gt;"",IF(ISNUMBER(Input!V107),ROUNDDOWN(Input!V107,0),0),"")</f>
        <v/>
      </c>
      <c r="AD107" t="str">
        <f>IF(Input!X107&lt;&gt;"",Input!X107,"")</f>
        <v/>
      </c>
      <c r="AE107" t="str">
        <f t="shared" si="26"/>
        <v/>
      </c>
      <c r="AF107" t="str">
        <f>IF(Input!X107&lt;&gt;"",IF(ISNUMBER(Input!Y107),(Input!Y107),0),"")</f>
        <v/>
      </c>
      <c r="AG107" t="str">
        <f>IF(Input!AA107&lt;&gt;"",Input!AA107,"")</f>
        <v/>
      </c>
      <c r="AH107" t="str">
        <f t="shared" si="27"/>
        <v/>
      </c>
      <c r="AI107" t="str">
        <f>IF(Input!AA107&lt;&gt;"",IF(ISNUMBER(Input!AB107),ROUNDDOWN(Input!AB107,0),0),"")</f>
        <v/>
      </c>
      <c r="AJ107" t="str">
        <f>IF(Input!AD107&lt;&gt;"",Input!AD107,"")</f>
        <v/>
      </c>
      <c r="AK107" t="str">
        <f t="shared" si="28"/>
        <v/>
      </c>
      <c r="AL107" t="str">
        <f>IF(Input!AD107&lt;&gt;"",IF(ISNUMBER(Input!AE107),(Input!AE107),0),"")</f>
        <v/>
      </c>
      <c r="AM107" t="str">
        <f>IF(Input!AG107&lt;&gt;"",Input!AG107,"")</f>
        <v/>
      </c>
      <c r="AN107" t="str">
        <f t="shared" si="18"/>
        <v/>
      </c>
      <c r="AO107" t="str">
        <f>IF(Input!AG107&lt;&gt;"",IF(ISNUMBER(Input!AH107),(Input!AH107),0),"")</f>
        <v/>
      </c>
    </row>
    <row r="108" spans="1:41" ht="16.5" thickTop="1" thickBot="1" x14ac:dyDescent="0.4">
      <c r="A108" s="35">
        <f>IF(ISBLANK(Input!A108),1000,IF(Input!E108&gt;0,Input!E108+F108,1000))</f>
        <v>1000</v>
      </c>
      <c r="B108" s="32">
        <f t="shared" si="19"/>
        <v>1000</v>
      </c>
      <c r="C108" s="4">
        <v>107</v>
      </c>
      <c r="D108" s="97">
        <f>IF(ISBLANK(Input!A108),1000,IF(Input!G108&gt;0,Input!G108+F108,1000))</f>
        <v>1000</v>
      </c>
      <c r="E108" s="97">
        <f t="shared" si="20"/>
        <v>1000</v>
      </c>
      <c r="F108" s="4">
        <v>0.107</v>
      </c>
      <c r="I108" t="str">
        <f>IF(Input!A108&gt;0,Input!A108,"")</f>
        <v/>
      </c>
      <c r="J108" t="str">
        <f>IF(Input!B108&gt;0,Input!B108,"")</f>
        <v/>
      </c>
      <c r="K108" t="str">
        <f>IF(Input!C108&gt;0,Input!C108,"")</f>
        <v/>
      </c>
      <c r="L108" t="str">
        <f>IF(Input!D108&gt;0,Input!D108,"")</f>
        <v/>
      </c>
      <c r="M108" t="str">
        <f>IF(Input!G108&gt;0,Input!G108,"")</f>
        <v xml:space="preserve"> </v>
      </c>
      <c r="N108" t="str">
        <f>IF(Input!H108&gt;0,Input!H108,"")</f>
        <v xml:space="preserve"> </v>
      </c>
      <c r="O108" t="str">
        <f>IF(Input!I108&lt;&gt;"",Input!I108,"")</f>
        <v/>
      </c>
      <c r="P108" t="str">
        <f t="shared" si="21"/>
        <v/>
      </c>
      <c r="Q108" t="str">
        <f>IF(Input!I108&lt;&gt;"",IF(ISNUMBER(Input!J108),ROUNDDOWN(Input!J108,0),0),"")</f>
        <v/>
      </c>
      <c r="R108" t="str">
        <f>IF(Input!L108&lt;&gt;"",Input!L108,"")</f>
        <v/>
      </c>
      <c r="S108" t="str">
        <f t="shared" si="22"/>
        <v/>
      </c>
      <c r="T108" t="str">
        <f>IF(Input!L108&lt;&gt;"",IF(ISNUMBER(Input!M108),Input!M108,0),"")</f>
        <v/>
      </c>
      <c r="U108" t="str">
        <f>IF(Input!O108&lt;&gt;"",Input!O108,"")</f>
        <v/>
      </c>
      <c r="V108" t="str">
        <f t="shared" si="23"/>
        <v/>
      </c>
      <c r="W108" t="str">
        <f>IF(Input!O108&lt;&gt;"",IF(ISNUMBER(Input!P108),(Input!P108),0),"")</f>
        <v/>
      </c>
      <c r="X108" t="str">
        <f>IF(Input!R108&lt;&gt;"",Input!R108,"")</f>
        <v/>
      </c>
      <c r="Y108" t="str">
        <f t="shared" si="24"/>
        <v/>
      </c>
      <c r="Z108" t="str">
        <f>IF(Input!R108&lt;&gt;"",IF(ISNUMBER(Input!S108),ROUNDDOWN(Input!S108,0),0),"")</f>
        <v/>
      </c>
      <c r="AA108" t="str">
        <f>IF(Input!U108&lt;&gt;"",Input!U108,"")</f>
        <v/>
      </c>
      <c r="AB108" t="str">
        <f t="shared" si="25"/>
        <v/>
      </c>
      <c r="AC108" t="str">
        <f>IF(Input!U108&lt;&gt;"",IF(ISNUMBER(Input!V108),ROUNDDOWN(Input!V108,0),0),"")</f>
        <v/>
      </c>
      <c r="AD108" t="str">
        <f>IF(Input!X108&lt;&gt;"",Input!X108,"")</f>
        <v/>
      </c>
      <c r="AE108" t="str">
        <f t="shared" si="26"/>
        <v/>
      </c>
      <c r="AF108" t="str">
        <f>IF(Input!X108&lt;&gt;"",IF(ISNUMBER(Input!Y108),(Input!Y108),0),"")</f>
        <v/>
      </c>
      <c r="AG108" t="str">
        <f>IF(Input!AA108&lt;&gt;"",Input!AA108,"")</f>
        <v/>
      </c>
      <c r="AH108" t="str">
        <f t="shared" si="27"/>
        <v/>
      </c>
      <c r="AI108" t="str">
        <f>IF(Input!AA108&lt;&gt;"",IF(ISNUMBER(Input!AB108),ROUNDDOWN(Input!AB108,0),0),"")</f>
        <v/>
      </c>
      <c r="AJ108" t="str">
        <f>IF(Input!AD108&lt;&gt;"",Input!AD108,"")</f>
        <v/>
      </c>
      <c r="AK108" t="str">
        <f t="shared" si="28"/>
        <v/>
      </c>
      <c r="AL108" t="str">
        <f>IF(Input!AD108&lt;&gt;"",IF(ISNUMBER(Input!AE108),(Input!AE108),0),"")</f>
        <v/>
      </c>
      <c r="AM108" t="str">
        <f>IF(Input!AG108&lt;&gt;"",Input!AG108,"")</f>
        <v/>
      </c>
      <c r="AN108" t="str">
        <f t="shared" si="18"/>
        <v/>
      </c>
      <c r="AO108" t="str">
        <f>IF(Input!AG108&lt;&gt;"",IF(ISNUMBER(Input!AH108),(Input!AH108),0),"")</f>
        <v/>
      </c>
    </row>
    <row r="109" spans="1:41" ht="16.5" thickTop="1" thickBot="1" x14ac:dyDescent="0.4">
      <c r="A109" s="35">
        <f>IF(ISBLANK(Input!A109),1000,IF(Input!E109&gt;0,Input!E109+F109,1000))</f>
        <v>1000</v>
      </c>
      <c r="B109" s="32">
        <f t="shared" si="19"/>
        <v>1000</v>
      </c>
      <c r="C109" s="4">
        <v>108</v>
      </c>
      <c r="D109" s="97">
        <f>IF(ISBLANK(Input!A109),1000,IF(Input!G109&gt;0,Input!G109+F109,1000))</f>
        <v>1000</v>
      </c>
      <c r="E109" s="97">
        <f t="shared" si="20"/>
        <v>1000</v>
      </c>
      <c r="F109" s="4">
        <v>0.108</v>
      </c>
      <c r="I109" t="str">
        <f>IF(Input!A109&gt;0,Input!A109,"")</f>
        <v/>
      </c>
      <c r="J109" t="str">
        <f>IF(Input!B109&gt;0,Input!B109,"")</f>
        <v/>
      </c>
      <c r="K109" t="str">
        <f>IF(Input!C109&gt;0,Input!C109,"")</f>
        <v/>
      </c>
      <c r="L109" t="str">
        <f>IF(Input!D109&gt;0,Input!D109,"")</f>
        <v/>
      </c>
      <c r="M109" t="str">
        <f>IF(Input!G109&gt;0,Input!G109,"")</f>
        <v xml:space="preserve"> </v>
      </c>
      <c r="N109" t="str">
        <f>IF(Input!H109&gt;0,Input!H109,"")</f>
        <v xml:space="preserve"> </v>
      </c>
      <c r="O109" t="str">
        <f>IF(Input!I109&lt;&gt;"",Input!I109,"")</f>
        <v/>
      </c>
      <c r="P109" t="str">
        <f t="shared" si="21"/>
        <v/>
      </c>
      <c r="Q109" t="str">
        <f>IF(Input!I109&lt;&gt;"",IF(ISNUMBER(Input!J109),ROUNDDOWN(Input!J109,0),0),"")</f>
        <v/>
      </c>
      <c r="R109" t="str">
        <f>IF(Input!L109&lt;&gt;"",Input!L109,"")</f>
        <v/>
      </c>
      <c r="S109" t="str">
        <f t="shared" si="22"/>
        <v/>
      </c>
      <c r="T109" t="str">
        <f>IF(Input!L109&lt;&gt;"",IF(ISNUMBER(Input!M109),Input!M109,0),"")</f>
        <v/>
      </c>
      <c r="U109" t="str">
        <f>IF(Input!O109&lt;&gt;"",Input!O109,"")</f>
        <v/>
      </c>
      <c r="V109" t="str">
        <f t="shared" si="23"/>
        <v/>
      </c>
      <c r="W109" t="str">
        <f>IF(Input!O109&lt;&gt;"",IF(ISNUMBER(Input!P109),(Input!P109),0),"")</f>
        <v/>
      </c>
      <c r="X109" t="str">
        <f>IF(Input!R109&lt;&gt;"",Input!R109,"")</f>
        <v/>
      </c>
      <c r="Y109" t="str">
        <f t="shared" si="24"/>
        <v/>
      </c>
      <c r="Z109" t="str">
        <f>IF(Input!R109&lt;&gt;"",IF(ISNUMBER(Input!S109),ROUNDDOWN(Input!S109,0),0),"")</f>
        <v/>
      </c>
      <c r="AA109" t="str">
        <f>IF(Input!U109&lt;&gt;"",Input!U109,"")</f>
        <v/>
      </c>
      <c r="AB109" t="str">
        <f t="shared" si="25"/>
        <v/>
      </c>
      <c r="AC109" t="str">
        <f>IF(Input!U109&lt;&gt;"",IF(ISNUMBER(Input!V109),ROUNDDOWN(Input!V109,0),0),"")</f>
        <v/>
      </c>
      <c r="AD109" t="str">
        <f>IF(Input!X109&lt;&gt;"",Input!X109,"")</f>
        <v/>
      </c>
      <c r="AE109" t="str">
        <f t="shared" si="26"/>
        <v/>
      </c>
      <c r="AF109" t="str">
        <f>IF(Input!X109&lt;&gt;"",IF(ISNUMBER(Input!Y109),(Input!Y109),0),"")</f>
        <v/>
      </c>
      <c r="AG109" t="str">
        <f>IF(Input!AA109&lt;&gt;"",Input!AA109,"")</f>
        <v/>
      </c>
      <c r="AH109" t="str">
        <f t="shared" si="27"/>
        <v/>
      </c>
      <c r="AI109" t="str">
        <f>IF(Input!AA109&lt;&gt;"",IF(ISNUMBER(Input!AB109),ROUNDDOWN(Input!AB109,0),0),"")</f>
        <v/>
      </c>
      <c r="AJ109" t="str">
        <f>IF(Input!AD109&lt;&gt;"",Input!AD109,"")</f>
        <v/>
      </c>
      <c r="AK109" t="str">
        <f t="shared" si="28"/>
        <v/>
      </c>
      <c r="AL109" t="str">
        <f>IF(Input!AD109&lt;&gt;"",IF(ISNUMBER(Input!AE109),(Input!AE109),0),"")</f>
        <v/>
      </c>
      <c r="AM109" t="str">
        <f>IF(Input!AG109&lt;&gt;"",Input!AG109,"")</f>
        <v/>
      </c>
      <c r="AN109" t="str">
        <f t="shared" si="18"/>
        <v/>
      </c>
      <c r="AO109" t="str">
        <f>IF(Input!AG109&lt;&gt;"",IF(ISNUMBER(Input!AH109),(Input!AH109),0),"")</f>
        <v/>
      </c>
    </row>
    <row r="110" spans="1:41" ht="16.5" thickTop="1" thickBot="1" x14ac:dyDescent="0.4">
      <c r="A110" s="35">
        <f>IF(ISBLANK(Input!A110),1000,IF(Input!E110&gt;0,Input!E110+F110,1000))</f>
        <v>1000</v>
      </c>
      <c r="B110" s="32">
        <f t="shared" si="19"/>
        <v>1000</v>
      </c>
      <c r="C110" s="4">
        <v>109</v>
      </c>
      <c r="D110" s="97">
        <f>IF(ISBLANK(Input!A110),1000,IF(Input!G110&gt;0,Input!G110+F110,1000))</f>
        <v>1000</v>
      </c>
      <c r="E110" s="97">
        <f t="shared" si="20"/>
        <v>1000</v>
      </c>
      <c r="F110" s="4">
        <v>0.109</v>
      </c>
      <c r="I110" t="str">
        <f>IF(Input!A110&gt;0,Input!A110,"")</f>
        <v/>
      </c>
      <c r="J110" t="str">
        <f>IF(Input!B110&gt;0,Input!B110,"")</f>
        <v/>
      </c>
      <c r="K110" t="str">
        <f>IF(Input!C110&gt;0,Input!C110,"")</f>
        <v/>
      </c>
      <c r="L110" t="str">
        <f>IF(Input!D110&gt;0,Input!D110,"")</f>
        <v/>
      </c>
      <c r="M110" t="str">
        <f>IF(Input!G110&gt;0,Input!G110,"")</f>
        <v xml:space="preserve"> </v>
      </c>
      <c r="N110" t="str">
        <f>IF(Input!H110&gt;0,Input!H110,"")</f>
        <v xml:space="preserve"> </v>
      </c>
      <c r="O110" t="str">
        <f>IF(Input!I110&lt;&gt;"",Input!I110,"")</f>
        <v/>
      </c>
      <c r="P110" t="str">
        <f t="shared" si="21"/>
        <v/>
      </c>
      <c r="Q110" t="str">
        <f>IF(Input!I110&lt;&gt;"",IF(ISNUMBER(Input!J110),ROUNDDOWN(Input!J110,0),0),"")</f>
        <v/>
      </c>
      <c r="R110" t="str">
        <f>IF(Input!L110&lt;&gt;"",Input!L110,"")</f>
        <v/>
      </c>
      <c r="S110" t="str">
        <f t="shared" si="22"/>
        <v/>
      </c>
      <c r="T110" t="str">
        <f>IF(Input!L110&lt;&gt;"",IF(ISNUMBER(Input!M110),Input!M110,0),"")</f>
        <v/>
      </c>
      <c r="U110" t="str">
        <f>IF(Input!O110&lt;&gt;"",Input!O110,"")</f>
        <v/>
      </c>
      <c r="V110" t="str">
        <f t="shared" si="23"/>
        <v/>
      </c>
      <c r="W110" t="str">
        <f>IF(Input!O110&lt;&gt;"",IF(ISNUMBER(Input!P110),(Input!P110),0),"")</f>
        <v/>
      </c>
      <c r="X110" t="str">
        <f>IF(Input!R110&lt;&gt;"",Input!R110,"")</f>
        <v/>
      </c>
      <c r="Y110" t="str">
        <f t="shared" si="24"/>
        <v/>
      </c>
      <c r="Z110" t="str">
        <f>IF(Input!R110&lt;&gt;"",IF(ISNUMBER(Input!S110),ROUNDDOWN(Input!S110,0),0),"")</f>
        <v/>
      </c>
      <c r="AA110" t="str">
        <f>IF(Input!U110&lt;&gt;"",Input!U110,"")</f>
        <v/>
      </c>
      <c r="AB110" t="str">
        <f t="shared" si="25"/>
        <v/>
      </c>
      <c r="AC110" t="str">
        <f>IF(Input!U110&lt;&gt;"",IF(ISNUMBER(Input!V110),ROUNDDOWN(Input!V110,0),0),"")</f>
        <v/>
      </c>
      <c r="AD110" t="str">
        <f>IF(Input!X110&lt;&gt;"",Input!X110,"")</f>
        <v/>
      </c>
      <c r="AE110" t="str">
        <f t="shared" si="26"/>
        <v/>
      </c>
      <c r="AF110" t="str">
        <f>IF(Input!X110&lt;&gt;"",IF(ISNUMBER(Input!Y110),(Input!Y110),0),"")</f>
        <v/>
      </c>
      <c r="AG110" t="str">
        <f>IF(Input!AA110&lt;&gt;"",Input!AA110,"")</f>
        <v/>
      </c>
      <c r="AH110" t="str">
        <f t="shared" si="27"/>
        <v/>
      </c>
      <c r="AI110" t="str">
        <f>IF(Input!AA110&lt;&gt;"",IF(ISNUMBER(Input!AB110),ROUNDDOWN(Input!AB110,0),0),"")</f>
        <v/>
      </c>
      <c r="AJ110" t="str">
        <f>IF(Input!AD110&lt;&gt;"",Input!AD110,"")</f>
        <v/>
      </c>
      <c r="AK110" t="str">
        <f t="shared" si="28"/>
        <v/>
      </c>
      <c r="AL110" t="str">
        <f>IF(Input!AD110&lt;&gt;"",IF(ISNUMBER(Input!AE110),(Input!AE110),0),"")</f>
        <v/>
      </c>
      <c r="AM110" t="str">
        <f>IF(Input!AG110&lt;&gt;"",Input!AG110,"")</f>
        <v/>
      </c>
      <c r="AN110" t="str">
        <f t="shared" si="18"/>
        <v/>
      </c>
      <c r="AO110" t="str">
        <f>IF(Input!AG110&lt;&gt;"",IF(ISNUMBER(Input!AH110),(Input!AH110),0),"")</f>
        <v/>
      </c>
    </row>
    <row r="111" spans="1:41" ht="16.5" thickTop="1" thickBot="1" x14ac:dyDescent="0.4">
      <c r="A111" s="35">
        <f>IF(ISBLANK(Input!A111),1000,IF(Input!E111&gt;0,Input!E111+F111,1000))</f>
        <v>1000</v>
      </c>
      <c r="B111" s="32">
        <f t="shared" si="19"/>
        <v>1000</v>
      </c>
      <c r="C111" s="4">
        <v>110</v>
      </c>
      <c r="D111" s="97">
        <f>IF(ISBLANK(Input!A111),1000,IF(Input!G111&gt;0,Input!G111+F111,1000))</f>
        <v>1000</v>
      </c>
      <c r="E111" s="97">
        <f t="shared" si="20"/>
        <v>1000</v>
      </c>
      <c r="F111" s="4">
        <v>0.11</v>
      </c>
      <c r="I111" t="str">
        <f>IF(Input!A111&gt;0,Input!A111,"")</f>
        <v/>
      </c>
      <c r="J111" t="str">
        <f>IF(Input!B111&gt;0,Input!B111,"")</f>
        <v/>
      </c>
      <c r="K111" t="str">
        <f>IF(Input!C111&gt;0,Input!C111,"")</f>
        <v/>
      </c>
      <c r="L111" t="str">
        <f>IF(Input!D111&gt;0,Input!D111,"")</f>
        <v/>
      </c>
      <c r="M111" t="str">
        <f>IF(Input!G111&gt;0,Input!G111,"")</f>
        <v xml:space="preserve"> </v>
      </c>
      <c r="N111" t="str">
        <f>IF(Input!H111&gt;0,Input!H111,"")</f>
        <v xml:space="preserve"> </v>
      </c>
      <c r="O111" t="str">
        <f>IF(Input!I111&lt;&gt;"",Input!I111,"")</f>
        <v/>
      </c>
      <c r="P111" t="str">
        <f t="shared" si="21"/>
        <v/>
      </c>
      <c r="Q111" t="str">
        <f>IF(Input!I111&lt;&gt;"",IF(ISNUMBER(Input!J111),ROUNDDOWN(Input!J111,0),0),"")</f>
        <v/>
      </c>
      <c r="R111" t="str">
        <f>IF(Input!L111&lt;&gt;"",Input!L111,"")</f>
        <v/>
      </c>
      <c r="S111" t="str">
        <f t="shared" si="22"/>
        <v/>
      </c>
      <c r="T111" t="str">
        <f>IF(Input!L111&lt;&gt;"",IF(ISNUMBER(Input!M111),Input!M111,0),"")</f>
        <v/>
      </c>
      <c r="U111" t="str">
        <f>IF(Input!O111&lt;&gt;"",Input!O111,"")</f>
        <v/>
      </c>
      <c r="V111" t="str">
        <f t="shared" si="23"/>
        <v/>
      </c>
      <c r="W111" t="str">
        <f>IF(Input!O111&lt;&gt;"",IF(ISNUMBER(Input!P111),(Input!P111),0),"")</f>
        <v/>
      </c>
      <c r="X111" t="str">
        <f>IF(Input!R111&lt;&gt;"",Input!R111,"")</f>
        <v/>
      </c>
      <c r="Y111" t="str">
        <f t="shared" si="24"/>
        <v/>
      </c>
      <c r="Z111" t="str">
        <f>IF(Input!R111&lt;&gt;"",IF(ISNUMBER(Input!S111),ROUNDDOWN(Input!S111,0),0),"")</f>
        <v/>
      </c>
      <c r="AA111" t="str">
        <f>IF(Input!U111&lt;&gt;"",Input!U111,"")</f>
        <v/>
      </c>
      <c r="AB111" t="str">
        <f t="shared" si="25"/>
        <v/>
      </c>
      <c r="AC111" t="str">
        <f>IF(Input!U111&lt;&gt;"",IF(ISNUMBER(Input!V111),ROUNDDOWN(Input!V111,0),0),"")</f>
        <v/>
      </c>
      <c r="AD111" t="str">
        <f>IF(Input!X111&lt;&gt;"",Input!X111,"")</f>
        <v/>
      </c>
      <c r="AE111" t="str">
        <f t="shared" si="26"/>
        <v/>
      </c>
      <c r="AF111" t="str">
        <f>IF(Input!X111&lt;&gt;"",IF(ISNUMBER(Input!Y111),(Input!Y111),0),"")</f>
        <v/>
      </c>
      <c r="AG111" t="str">
        <f>IF(Input!AA111&lt;&gt;"",Input!AA111,"")</f>
        <v/>
      </c>
      <c r="AH111" t="str">
        <f t="shared" si="27"/>
        <v/>
      </c>
      <c r="AI111" t="str">
        <f>IF(Input!AA111&lt;&gt;"",IF(ISNUMBER(Input!AB111),ROUNDDOWN(Input!AB111,0),0),"")</f>
        <v/>
      </c>
      <c r="AJ111" t="str">
        <f>IF(Input!AD111&lt;&gt;"",Input!AD111,"")</f>
        <v/>
      </c>
      <c r="AK111" t="str">
        <f t="shared" si="28"/>
        <v/>
      </c>
      <c r="AL111" t="str">
        <f>IF(Input!AD111&lt;&gt;"",IF(ISNUMBER(Input!AE111),(Input!AE111),0),"")</f>
        <v/>
      </c>
      <c r="AM111" t="str">
        <f>IF(Input!AG111&lt;&gt;"",Input!AG111,"")</f>
        <v/>
      </c>
      <c r="AN111" t="str">
        <f t="shared" si="18"/>
        <v/>
      </c>
      <c r="AO111" t="str">
        <f>IF(Input!AG111&lt;&gt;"",IF(ISNUMBER(Input!AH111),(Input!AH111),0),"")</f>
        <v/>
      </c>
    </row>
    <row r="112" spans="1:41" ht="16.5" thickTop="1" thickBot="1" x14ac:dyDescent="0.4">
      <c r="A112" s="35">
        <f>IF(ISBLANK(Input!A112),1000,IF(Input!E112&gt;0,Input!E112+F112,1000))</f>
        <v>1000</v>
      </c>
      <c r="B112" s="32">
        <f t="shared" si="19"/>
        <v>1000</v>
      </c>
      <c r="C112" s="4">
        <v>111</v>
      </c>
      <c r="D112" s="97">
        <f>IF(ISBLANK(Input!A112),1000,IF(Input!G112&gt;0,Input!G112+F112,1000))</f>
        <v>1000</v>
      </c>
      <c r="E112" s="97">
        <f t="shared" si="20"/>
        <v>1000</v>
      </c>
      <c r="F112" s="4">
        <v>0.111</v>
      </c>
      <c r="I112" t="str">
        <f>IF(Input!A112&gt;0,Input!A112,"")</f>
        <v/>
      </c>
      <c r="J112" t="str">
        <f>IF(Input!B112&gt;0,Input!B112,"")</f>
        <v/>
      </c>
      <c r="K112" t="str">
        <f>IF(Input!C112&gt;0,Input!C112,"")</f>
        <v/>
      </c>
      <c r="L112" t="str">
        <f>IF(Input!D112&gt;0,Input!D112,"")</f>
        <v/>
      </c>
      <c r="M112" t="str">
        <f>IF(Input!G112&gt;0,Input!G112,"")</f>
        <v xml:space="preserve"> </v>
      </c>
      <c r="N112" t="str">
        <f>IF(Input!H112&gt;0,Input!H112,"")</f>
        <v xml:space="preserve"> </v>
      </c>
      <c r="O112" t="str">
        <f>IF(Input!I112&lt;&gt;"",Input!I112,"")</f>
        <v/>
      </c>
      <c r="P112" t="str">
        <f t="shared" si="21"/>
        <v/>
      </c>
      <c r="Q112" t="str">
        <f>IF(Input!I112&lt;&gt;"",IF(ISNUMBER(Input!J112),ROUNDDOWN(Input!J112,0),0),"")</f>
        <v/>
      </c>
      <c r="R112" t="str">
        <f>IF(Input!L112&lt;&gt;"",Input!L112,"")</f>
        <v/>
      </c>
      <c r="S112" t="str">
        <f t="shared" si="22"/>
        <v/>
      </c>
      <c r="T112" t="str">
        <f>IF(Input!L112&lt;&gt;"",IF(ISNUMBER(Input!M112),Input!M112,0),"")</f>
        <v/>
      </c>
      <c r="U112" t="str">
        <f>IF(Input!O112&lt;&gt;"",Input!O112,"")</f>
        <v/>
      </c>
      <c r="V112" t="str">
        <f t="shared" si="23"/>
        <v/>
      </c>
      <c r="W112" t="str">
        <f>IF(Input!O112&lt;&gt;"",IF(ISNUMBER(Input!P112),(Input!P112),0),"")</f>
        <v/>
      </c>
      <c r="X112" t="str">
        <f>IF(Input!R112&lt;&gt;"",Input!R112,"")</f>
        <v/>
      </c>
      <c r="Y112" t="str">
        <f t="shared" si="24"/>
        <v/>
      </c>
      <c r="Z112" t="str">
        <f>IF(Input!R112&lt;&gt;"",IF(ISNUMBER(Input!S112),ROUNDDOWN(Input!S112,0),0),"")</f>
        <v/>
      </c>
      <c r="AA112" t="str">
        <f>IF(Input!U112&lt;&gt;"",Input!U112,"")</f>
        <v/>
      </c>
      <c r="AB112" t="str">
        <f t="shared" si="25"/>
        <v/>
      </c>
      <c r="AC112" t="str">
        <f>IF(Input!U112&lt;&gt;"",IF(ISNUMBER(Input!V112),ROUNDDOWN(Input!V112,0),0),"")</f>
        <v/>
      </c>
      <c r="AD112" t="str">
        <f>IF(Input!X112&lt;&gt;"",Input!X112,"")</f>
        <v/>
      </c>
      <c r="AE112" t="str">
        <f t="shared" si="26"/>
        <v/>
      </c>
      <c r="AF112" t="str">
        <f>IF(Input!X112&lt;&gt;"",IF(ISNUMBER(Input!Y112),(Input!Y112),0),"")</f>
        <v/>
      </c>
      <c r="AG112" t="str">
        <f>IF(Input!AA112&lt;&gt;"",Input!AA112,"")</f>
        <v/>
      </c>
      <c r="AH112" t="str">
        <f t="shared" si="27"/>
        <v/>
      </c>
      <c r="AI112" t="str">
        <f>IF(Input!AA112&lt;&gt;"",IF(ISNUMBER(Input!AB112),ROUNDDOWN(Input!AB112,0),0),"")</f>
        <v/>
      </c>
      <c r="AJ112" t="str">
        <f>IF(Input!AD112&lt;&gt;"",Input!AD112,"")</f>
        <v/>
      </c>
      <c r="AK112" t="str">
        <f t="shared" si="28"/>
        <v/>
      </c>
      <c r="AL112" t="str">
        <f>IF(Input!AD112&lt;&gt;"",IF(ISNUMBER(Input!AE112),(Input!AE112),0),"")</f>
        <v/>
      </c>
      <c r="AM112" t="str">
        <f>IF(Input!AG112&lt;&gt;"",Input!AG112,"")</f>
        <v/>
      </c>
      <c r="AN112" t="str">
        <f t="shared" si="18"/>
        <v/>
      </c>
      <c r="AO112" t="str">
        <f>IF(Input!AG112&lt;&gt;"",IF(ISNUMBER(Input!AH112),(Input!AH112),0),"")</f>
        <v/>
      </c>
    </row>
    <row r="113" spans="1:41" ht="16.5" thickTop="1" thickBot="1" x14ac:dyDescent="0.4">
      <c r="A113" s="35">
        <f>IF(ISBLANK(Input!A113),1000,IF(Input!E113&gt;0,Input!E113+F113,1000))</f>
        <v>1000</v>
      </c>
      <c r="B113" s="32">
        <f t="shared" si="19"/>
        <v>1000</v>
      </c>
      <c r="C113" s="4">
        <v>112</v>
      </c>
      <c r="D113" s="97">
        <f>IF(ISBLANK(Input!A113),1000,IF(Input!G113&gt;0,Input!G113+F113,1000))</f>
        <v>1000</v>
      </c>
      <c r="E113" s="97">
        <f t="shared" si="20"/>
        <v>1000</v>
      </c>
      <c r="F113" s="4">
        <v>0.112</v>
      </c>
      <c r="I113" t="str">
        <f>IF(Input!A113&gt;0,Input!A113,"")</f>
        <v/>
      </c>
      <c r="J113" t="str">
        <f>IF(Input!B113&gt;0,Input!B113,"")</f>
        <v/>
      </c>
      <c r="K113" t="str">
        <f>IF(Input!C113&gt;0,Input!C113,"")</f>
        <v/>
      </c>
      <c r="L113" t="str">
        <f>IF(Input!D113&gt;0,Input!D113,"")</f>
        <v/>
      </c>
      <c r="M113" t="str">
        <f>IF(Input!G113&gt;0,Input!G113,"")</f>
        <v xml:space="preserve"> </v>
      </c>
      <c r="N113" t="str">
        <f>IF(Input!H113&gt;0,Input!H113,"")</f>
        <v xml:space="preserve"> </v>
      </c>
      <c r="O113" t="str">
        <f>IF(Input!I113&lt;&gt;"",Input!I113,"")</f>
        <v/>
      </c>
      <c r="P113" t="str">
        <f t="shared" si="21"/>
        <v/>
      </c>
      <c r="Q113" t="str">
        <f>IF(Input!I113&lt;&gt;"",IF(ISNUMBER(Input!J113),ROUNDDOWN(Input!J113,0),0),"")</f>
        <v/>
      </c>
      <c r="R113" t="str">
        <f>IF(Input!L113&lt;&gt;"",Input!L113,"")</f>
        <v/>
      </c>
      <c r="S113" t="str">
        <f t="shared" si="22"/>
        <v/>
      </c>
      <c r="T113" t="str">
        <f>IF(Input!L113&lt;&gt;"",IF(ISNUMBER(Input!M113),Input!M113,0),"")</f>
        <v/>
      </c>
      <c r="U113" t="str">
        <f>IF(Input!O113&lt;&gt;"",Input!O113,"")</f>
        <v/>
      </c>
      <c r="V113" t="str">
        <f t="shared" si="23"/>
        <v/>
      </c>
      <c r="W113" t="str">
        <f>IF(Input!O113&lt;&gt;"",IF(ISNUMBER(Input!P113),(Input!P113),0),"")</f>
        <v/>
      </c>
      <c r="X113" t="str">
        <f>IF(Input!R113&lt;&gt;"",Input!R113,"")</f>
        <v/>
      </c>
      <c r="Y113" t="str">
        <f t="shared" si="24"/>
        <v/>
      </c>
      <c r="Z113" t="str">
        <f>IF(Input!R113&lt;&gt;"",IF(ISNUMBER(Input!S113),ROUNDDOWN(Input!S113,0),0),"")</f>
        <v/>
      </c>
      <c r="AA113" t="str">
        <f>IF(Input!U113&lt;&gt;"",Input!U113,"")</f>
        <v/>
      </c>
      <c r="AB113" t="str">
        <f t="shared" si="25"/>
        <v/>
      </c>
      <c r="AC113" t="str">
        <f>IF(Input!U113&lt;&gt;"",IF(ISNUMBER(Input!V113),ROUNDDOWN(Input!V113,0),0),"")</f>
        <v/>
      </c>
      <c r="AD113" t="str">
        <f>IF(Input!X113&lt;&gt;"",Input!X113,"")</f>
        <v/>
      </c>
      <c r="AE113" t="str">
        <f t="shared" si="26"/>
        <v/>
      </c>
      <c r="AF113" t="str">
        <f>IF(Input!X113&lt;&gt;"",IF(ISNUMBER(Input!Y113),(Input!Y113),0),"")</f>
        <v/>
      </c>
      <c r="AG113" t="str">
        <f>IF(Input!AA113&lt;&gt;"",Input!AA113,"")</f>
        <v/>
      </c>
      <c r="AH113" t="str">
        <f t="shared" si="27"/>
        <v/>
      </c>
      <c r="AI113" t="str">
        <f>IF(Input!AA113&lt;&gt;"",IF(ISNUMBER(Input!AB113),ROUNDDOWN(Input!AB113,0),0),"")</f>
        <v/>
      </c>
      <c r="AJ113" t="str">
        <f>IF(Input!AD113&lt;&gt;"",Input!AD113,"")</f>
        <v/>
      </c>
      <c r="AK113" t="str">
        <f t="shared" si="28"/>
        <v/>
      </c>
      <c r="AL113" t="str">
        <f>IF(Input!AD113&lt;&gt;"",IF(ISNUMBER(Input!AE113),(Input!AE113),0),"")</f>
        <v/>
      </c>
      <c r="AM113" t="str">
        <f>IF(Input!AG113&lt;&gt;"",Input!AG113,"")</f>
        <v/>
      </c>
      <c r="AN113" t="str">
        <f t="shared" si="18"/>
        <v/>
      </c>
      <c r="AO113" t="str">
        <f>IF(Input!AG113&lt;&gt;"",IF(ISNUMBER(Input!AH113),(Input!AH113),0),"")</f>
        <v/>
      </c>
    </row>
    <row r="114" spans="1:41" ht="16.5" thickTop="1" thickBot="1" x14ac:dyDescent="0.4">
      <c r="A114" s="35">
        <f>IF(ISBLANK(Input!A114),1000,IF(Input!E114&gt;0,Input!E114+F114,1000))</f>
        <v>1000</v>
      </c>
      <c r="B114" s="32">
        <f t="shared" si="19"/>
        <v>1000</v>
      </c>
      <c r="C114" s="4">
        <v>113</v>
      </c>
      <c r="D114" s="97">
        <f>IF(ISBLANK(Input!A114),1000,IF(Input!G114&gt;0,Input!G114+F114,1000))</f>
        <v>1000</v>
      </c>
      <c r="E114" s="97">
        <f t="shared" si="20"/>
        <v>1000</v>
      </c>
      <c r="F114" s="4">
        <v>0.113</v>
      </c>
      <c r="I114" t="str">
        <f>IF(Input!A114&gt;0,Input!A114,"")</f>
        <v/>
      </c>
      <c r="J114" t="str">
        <f>IF(Input!B114&gt;0,Input!B114,"")</f>
        <v/>
      </c>
      <c r="K114" t="str">
        <f>IF(Input!C114&gt;0,Input!C114,"")</f>
        <v/>
      </c>
      <c r="L114" t="str">
        <f>IF(Input!D114&gt;0,Input!D114,"")</f>
        <v/>
      </c>
      <c r="M114" t="str">
        <f>IF(Input!G114&gt;0,Input!G114,"")</f>
        <v xml:space="preserve"> </v>
      </c>
      <c r="N114" t="str">
        <f>IF(Input!H114&gt;0,Input!H114,"")</f>
        <v xml:space="preserve"> </v>
      </c>
      <c r="O114" t="str">
        <f>IF(Input!I114&lt;&gt;"",Input!I114,"")</f>
        <v/>
      </c>
      <c r="P114" t="str">
        <f t="shared" si="21"/>
        <v/>
      </c>
      <c r="Q114" t="str">
        <f>IF(Input!I114&lt;&gt;"",IF(ISNUMBER(Input!J114),ROUNDDOWN(Input!J114,0),0),"")</f>
        <v/>
      </c>
      <c r="R114" t="str">
        <f>IF(Input!L114&lt;&gt;"",Input!L114,"")</f>
        <v/>
      </c>
      <c r="S114" t="str">
        <f t="shared" si="22"/>
        <v/>
      </c>
      <c r="T114" t="str">
        <f>IF(Input!L114&lt;&gt;"",IF(ISNUMBER(Input!M114),Input!M114,0),"")</f>
        <v/>
      </c>
      <c r="U114" t="str">
        <f>IF(Input!O114&lt;&gt;"",Input!O114,"")</f>
        <v/>
      </c>
      <c r="V114" t="str">
        <f t="shared" si="23"/>
        <v/>
      </c>
      <c r="W114" t="str">
        <f>IF(Input!O114&lt;&gt;"",IF(ISNUMBER(Input!P114),(Input!P114),0),"")</f>
        <v/>
      </c>
      <c r="X114" t="str">
        <f>IF(Input!R114&lt;&gt;"",Input!R114,"")</f>
        <v/>
      </c>
      <c r="Y114" t="str">
        <f t="shared" si="24"/>
        <v/>
      </c>
      <c r="Z114" t="str">
        <f>IF(Input!R114&lt;&gt;"",IF(ISNUMBER(Input!S114),ROUNDDOWN(Input!S114,0),0),"")</f>
        <v/>
      </c>
      <c r="AA114" t="str">
        <f>IF(Input!U114&lt;&gt;"",Input!U114,"")</f>
        <v/>
      </c>
      <c r="AB114" t="str">
        <f t="shared" si="25"/>
        <v/>
      </c>
      <c r="AC114" t="str">
        <f>IF(Input!U114&lt;&gt;"",IF(ISNUMBER(Input!V114),ROUNDDOWN(Input!V114,0),0),"")</f>
        <v/>
      </c>
      <c r="AD114" t="str">
        <f>IF(Input!X114&lt;&gt;"",Input!X114,"")</f>
        <v/>
      </c>
      <c r="AE114" t="str">
        <f t="shared" si="26"/>
        <v/>
      </c>
      <c r="AF114" t="str">
        <f>IF(Input!X114&lt;&gt;"",IF(ISNUMBER(Input!Y114),(Input!Y114),0),"")</f>
        <v/>
      </c>
      <c r="AG114" t="str">
        <f>IF(Input!AA114&lt;&gt;"",Input!AA114,"")</f>
        <v/>
      </c>
      <c r="AH114" t="str">
        <f t="shared" si="27"/>
        <v/>
      </c>
      <c r="AI114" t="str">
        <f>IF(Input!AA114&lt;&gt;"",IF(ISNUMBER(Input!AB114),ROUNDDOWN(Input!AB114,0),0),"")</f>
        <v/>
      </c>
      <c r="AJ114" t="str">
        <f>IF(Input!AD114&lt;&gt;"",Input!AD114,"")</f>
        <v/>
      </c>
      <c r="AK114" t="str">
        <f t="shared" si="28"/>
        <v/>
      </c>
      <c r="AL114" t="str">
        <f>IF(Input!AD114&lt;&gt;"",IF(ISNUMBER(Input!AE114),(Input!AE114),0),"")</f>
        <v/>
      </c>
      <c r="AM114" t="str">
        <f>IF(Input!AG114&lt;&gt;"",Input!AG114,"")</f>
        <v/>
      </c>
      <c r="AN114" t="str">
        <f t="shared" si="18"/>
        <v/>
      </c>
      <c r="AO114" t="str">
        <f>IF(Input!AG114&lt;&gt;"",IF(ISNUMBER(Input!AH114),(Input!AH114),0),"")</f>
        <v/>
      </c>
    </row>
    <row r="115" spans="1:41" ht="16.5" thickTop="1" thickBot="1" x14ac:dyDescent="0.4">
      <c r="A115" s="35">
        <f>IF(ISBLANK(Input!A115),1000,IF(Input!E115&gt;0,Input!E115+F115,1000))</f>
        <v>1000</v>
      </c>
      <c r="B115" s="32">
        <f t="shared" si="19"/>
        <v>1000</v>
      </c>
      <c r="C115" s="4">
        <v>114</v>
      </c>
      <c r="D115" s="97">
        <f>IF(ISBLANK(Input!A115),1000,IF(Input!G115&gt;0,Input!G115+F115,1000))</f>
        <v>1000</v>
      </c>
      <c r="E115" s="97">
        <f t="shared" si="20"/>
        <v>1000</v>
      </c>
      <c r="F115" s="4">
        <v>0.114</v>
      </c>
      <c r="I115" t="str">
        <f>IF(Input!A115&gt;0,Input!A115,"")</f>
        <v/>
      </c>
      <c r="J115" t="str">
        <f>IF(Input!B115&gt;0,Input!B115,"")</f>
        <v/>
      </c>
      <c r="K115" t="str">
        <f>IF(Input!C115&gt;0,Input!C115,"")</f>
        <v/>
      </c>
      <c r="L115" t="str">
        <f>IF(Input!D115&gt;0,Input!D115,"")</f>
        <v/>
      </c>
      <c r="M115" t="str">
        <f>IF(Input!G115&gt;0,Input!G115,"")</f>
        <v xml:space="preserve"> </v>
      </c>
      <c r="N115" t="str">
        <f>IF(Input!H115&gt;0,Input!H115,"")</f>
        <v xml:space="preserve"> </v>
      </c>
      <c r="O115" t="str">
        <f>IF(Input!I115&lt;&gt;"",Input!I115,"")</f>
        <v/>
      </c>
      <c r="P115" t="str">
        <f t="shared" si="21"/>
        <v/>
      </c>
      <c r="Q115" t="str">
        <f>IF(Input!I115&lt;&gt;"",IF(ISNUMBER(Input!J115),ROUNDDOWN(Input!J115,0),0),"")</f>
        <v/>
      </c>
      <c r="R115" t="str">
        <f>IF(Input!L115&lt;&gt;"",Input!L115,"")</f>
        <v/>
      </c>
      <c r="S115" t="str">
        <f t="shared" si="22"/>
        <v/>
      </c>
      <c r="T115" t="str">
        <f>IF(Input!L115&lt;&gt;"",IF(ISNUMBER(Input!M115),Input!M115,0),"")</f>
        <v/>
      </c>
      <c r="U115" t="str">
        <f>IF(Input!O115&lt;&gt;"",Input!O115,"")</f>
        <v/>
      </c>
      <c r="V115" t="str">
        <f t="shared" si="23"/>
        <v/>
      </c>
      <c r="W115" t="str">
        <f>IF(Input!O115&lt;&gt;"",IF(ISNUMBER(Input!P115),(Input!P115),0),"")</f>
        <v/>
      </c>
      <c r="X115" t="str">
        <f>IF(Input!R115&lt;&gt;"",Input!R115,"")</f>
        <v/>
      </c>
      <c r="Y115" t="str">
        <f t="shared" si="24"/>
        <v/>
      </c>
      <c r="Z115" t="str">
        <f>IF(Input!R115&lt;&gt;"",IF(ISNUMBER(Input!S115),ROUNDDOWN(Input!S115,0),0),"")</f>
        <v/>
      </c>
      <c r="AA115" t="str">
        <f>IF(Input!U115&lt;&gt;"",Input!U115,"")</f>
        <v/>
      </c>
      <c r="AB115" t="str">
        <f t="shared" si="25"/>
        <v/>
      </c>
      <c r="AC115" t="str">
        <f>IF(Input!U115&lt;&gt;"",IF(ISNUMBER(Input!V115),ROUNDDOWN(Input!V115,0),0),"")</f>
        <v/>
      </c>
      <c r="AD115" t="str">
        <f>IF(Input!X115&lt;&gt;"",Input!X115,"")</f>
        <v/>
      </c>
      <c r="AE115" t="str">
        <f t="shared" si="26"/>
        <v/>
      </c>
      <c r="AF115" t="str">
        <f>IF(Input!X115&lt;&gt;"",IF(ISNUMBER(Input!Y115),(Input!Y115),0),"")</f>
        <v/>
      </c>
      <c r="AG115" t="str">
        <f>IF(Input!AA115&lt;&gt;"",Input!AA115,"")</f>
        <v/>
      </c>
      <c r="AH115" t="str">
        <f t="shared" si="27"/>
        <v/>
      </c>
      <c r="AI115" t="str">
        <f>IF(Input!AA115&lt;&gt;"",IF(ISNUMBER(Input!AB115),ROUNDDOWN(Input!AB115,0),0),"")</f>
        <v/>
      </c>
      <c r="AJ115" t="str">
        <f>IF(Input!AD115&lt;&gt;"",Input!AD115,"")</f>
        <v/>
      </c>
      <c r="AK115" t="str">
        <f t="shared" si="28"/>
        <v/>
      </c>
      <c r="AL115" t="str">
        <f>IF(Input!AD115&lt;&gt;"",IF(ISNUMBER(Input!AE115),(Input!AE115),0),"")</f>
        <v/>
      </c>
      <c r="AM115" t="str">
        <f>IF(Input!AG115&lt;&gt;"",Input!AG115,"")</f>
        <v/>
      </c>
      <c r="AN115" t="str">
        <f t="shared" si="18"/>
        <v/>
      </c>
      <c r="AO115" t="str">
        <f>IF(Input!AG115&lt;&gt;"",IF(ISNUMBER(Input!AH115),(Input!AH115),0),"")</f>
        <v/>
      </c>
    </row>
    <row r="116" spans="1:41" ht="16.5" thickTop="1" thickBot="1" x14ac:dyDescent="0.4">
      <c r="A116" s="35">
        <f>IF(ISBLANK(Input!A116),1000,IF(Input!E116&gt;0,Input!E116+F116,1000))</f>
        <v>1000</v>
      </c>
      <c r="B116" s="32">
        <f t="shared" si="19"/>
        <v>1000</v>
      </c>
      <c r="C116" s="4">
        <v>115</v>
      </c>
      <c r="D116" s="97">
        <f>IF(ISBLANK(Input!A116),1000,IF(Input!G116&gt;0,Input!G116+F116,1000))</f>
        <v>1000</v>
      </c>
      <c r="E116" s="97">
        <f t="shared" si="20"/>
        <v>1000</v>
      </c>
      <c r="F116" s="4">
        <v>0.115</v>
      </c>
      <c r="I116" t="str">
        <f>IF(Input!A116&gt;0,Input!A116,"")</f>
        <v/>
      </c>
      <c r="J116" t="str">
        <f>IF(Input!B116&gt;0,Input!B116,"")</f>
        <v/>
      </c>
      <c r="K116" t="str">
        <f>IF(Input!C116&gt;0,Input!C116,"")</f>
        <v/>
      </c>
      <c r="L116" t="str">
        <f>IF(Input!D116&gt;0,Input!D116,"")</f>
        <v/>
      </c>
      <c r="M116" t="str">
        <f>IF(Input!G116&gt;0,Input!G116,"")</f>
        <v xml:space="preserve"> </v>
      </c>
      <c r="N116" t="str">
        <f>IF(Input!H116&gt;0,Input!H116,"")</f>
        <v xml:space="preserve"> </v>
      </c>
      <c r="O116" t="str">
        <f>IF(Input!I116&lt;&gt;"",Input!I116,"")</f>
        <v/>
      </c>
      <c r="P116" t="str">
        <f t="shared" si="21"/>
        <v/>
      </c>
      <c r="Q116" t="str">
        <f>IF(Input!I116&lt;&gt;"",IF(ISNUMBER(Input!J116),ROUNDDOWN(Input!J116,0),0),"")</f>
        <v/>
      </c>
      <c r="R116" t="str">
        <f>IF(Input!L116&lt;&gt;"",Input!L116,"")</f>
        <v/>
      </c>
      <c r="S116" t="str">
        <f t="shared" si="22"/>
        <v/>
      </c>
      <c r="T116" t="str">
        <f>IF(Input!L116&lt;&gt;"",IF(ISNUMBER(Input!M116),Input!M116,0),"")</f>
        <v/>
      </c>
      <c r="U116" t="str">
        <f>IF(Input!O116&lt;&gt;"",Input!O116,"")</f>
        <v/>
      </c>
      <c r="V116" t="str">
        <f t="shared" si="23"/>
        <v/>
      </c>
      <c r="W116" t="str">
        <f>IF(Input!O116&lt;&gt;"",IF(ISNUMBER(Input!P116),(Input!P116),0),"")</f>
        <v/>
      </c>
      <c r="X116" t="str">
        <f>IF(Input!R116&lt;&gt;"",Input!R116,"")</f>
        <v/>
      </c>
      <c r="Y116" t="str">
        <f t="shared" si="24"/>
        <v/>
      </c>
      <c r="Z116" t="str">
        <f>IF(Input!R116&lt;&gt;"",IF(ISNUMBER(Input!S116),ROUNDDOWN(Input!S116,0),0),"")</f>
        <v/>
      </c>
      <c r="AA116" t="str">
        <f>IF(Input!U116&lt;&gt;"",Input!U116,"")</f>
        <v/>
      </c>
      <c r="AB116" t="str">
        <f t="shared" si="25"/>
        <v/>
      </c>
      <c r="AC116" t="str">
        <f>IF(Input!U116&lt;&gt;"",IF(ISNUMBER(Input!V116),ROUNDDOWN(Input!V116,0),0),"")</f>
        <v/>
      </c>
      <c r="AD116" t="str">
        <f>IF(Input!X116&lt;&gt;"",Input!X116,"")</f>
        <v/>
      </c>
      <c r="AE116" t="str">
        <f t="shared" si="26"/>
        <v/>
      </c>
      <c r="AF116" t="str">
        <f>IF(Input!X116&lt;&gt;"",IF(ISNUMBER(Input!Y116),(Input!Y116),0),"")</f>
        <v/>
      </c>
      <c r="AG116" t="str">
        <f>IF(Input!AA116&lt;&gt;"",Input!AA116,"")</f>
        <v/>
      </c>
      <c r="AH116" t="str">
        <f t="shared" si="27"/>
        <v/>
      </c>
      <c r="AI116" t="str">
        <f>IF(Input!AA116&lt;&gt;"",IF(ISNUMBER(Input!AB116),ROUNDDOWN(Input!AB116,0),0),"")</f>
        <v/>
      </c>
      <c r="AJ116" t="str">
        <f>IF(Input!AD116&lt;&gt;"",Input!AD116,"")</f>
        <v/>
      </c>
      <c r="AK116" t="str">
        <f t="shared" si="28"/>
        <v/>
      </c>
      <c r="AL116" t="str">
        <f>IF(Input!AD116&lt;&gt;"",IF(ISNUMBER(Input!AE116),(Input!AE116),0),"")</f>
        <v/>
      </c>
      <c r="AM116" t="str">
        <f>IF(Input!AG116&lt;&gt;"",Input!AG116,"")</f>
        <v/>
      </c>
      <c r="AN116" t="str">
        <f t="shared" si="18"/>
        <v/>
      </c>
      <c r="AO116" t="str">
        <f>IF(Input!AG116&lt;&gt;"",IF(ISNUMBER(Input!AH116),(Input!AH116),0),"")</f>
        <v/>
      </c>
    </row>
    <row r="117" spans="1:41" ht="16.5" thickTop="1" thickBot="1" x14ac:dyDescent="0.4">
      <c r="A117" s="35">
        <f>IF(ISBLANK(Input!A117),1000,IF(Input!E117&gt;0,Input!E117+F117,1000))</f>
        <v>1000</v>
      </c>
      <c r="B117" s="32">
        <f t="shared" si="19"/>
        <v>1000</v>
      </c>
      <c r="C117" s="4">
        <v>116</v>
      </c>
      <c r="D117" s="97">
        <f>IF(ISBLANK(Input!A117),1000,IF(Input!G117&gt;0,Input!G117+F117,1000))</f>
        <v>1000</v>
      </c>
      <c r="E117" s="97">
        <f t="shared" si="20"/>
        <v>1000</v>
      </c>
      <c r="F117" s="4">
        <v>0.11600000000000001</v>
      </c>
      <c r="I117" t="str">
        <f>IF(Input!A117&gt;0,Input!A117,"")</f>
        <v/>
      </c>
      <c r="J117" t="str">
        <f>IF(Input!B117&gt;0,Input!B117,"")</f>
        <v/>
      </c>
      <c r="K117" t="str">
        <f>IF(Input!C117&gt;0,Input!C117,"")</f>
        <v/>
      </c>
      <c r="L117" t="str">
        <f>IF(Input!D117&gt;0,Input!D117,"")</f>
        <v/>
      </c>
      <c r="M117" t="str">
        <f>IF(Input!G117&gt;0,Input!G117,"")</f>
        <v xml:space="preserve"> </v>
      </c>
      <c r="N117" t="str">
        <f>IF(Input!H117&gt;0,Input!H117,"")</f>
        <v xml:space="preserve"> </v>
      </c>
      <c r="O117" t="str">
        <f>IF(Input!I117&lt;&gt;"",Input!I117,"")</f>
        <v/>
      </c>
      <c r="P117" t="str">
        <f t="shared" si="21"/>
        <v/>
      </c>
      <c r="Q117" t="str">
        <f>IF(Input!I117&lt;&gt;"",IF(ISNUMBER(Input!J117),ROUNDDOWN(Input!J117,0),0),"")</f>
        <v/>
      </c>
      <c r="R117" t="str">
        <f>IF(Input!L117&lt;&gt;"",Input!L117,"")</f>
        <v/>
      </c>
      <c r="S117" t="str">
        <f t="shared" si="22"/>
        <v/>
      </c>
      <c r="T117" t="str">
        <f>IF(Input!L117&lt;&gt;"",IF(ISNUMBER(Input!M117),Input!M117,0),"")</f>
        <v/>
      </c>
      <c r="U117" t="str">
        <f>IF(Input!O117&lt;&gt;"",Input!O117,"")</f>
        <v/>
      </c>
      <c r="V117" t="str">
        <f t="shared" si="23"/>
        <v/>
      </c>
      <c r="W117" t="str">
        <f>IF(Input!O117&lt;&gt;"",IF(ISNUMBER(Input!P117),(Input!P117),0),"")</f>
        <v/>
      </c>
      <c r="X117" t="str">
        <f>IF(Input!R117&lt;&gt;"",Input!R117,"")</f>
        <v/>
      </c>
      <c r="Y117" t="str">
        <f t="shared" si="24"/>
        <v/>
      </c>
      <c r="Z117" t="str">
        <f>IF(Input!R117&lt;&gt;"",IF(ISNUMBER(Input!S117),ROUNDDOWN(Input!S117,0),0),"")</f>
        <v/>
      </c>
      <c r="AA117" t="str">
        <f>IF(Input!U117&lt;&gt;"",Input!U117,"")</f>
        <v/>
      </c>
      <c r="AB117" t="str">
        <f t="shared" si="25"/>
        <v/>
      </c>
      <c r="AC117" t="str">
        <f>IF(Input!U117&lt;&gt;"",IF(ISNUMBER(Input!V117),ROUNDDOWN(Input!V117,0),0),"")</f>
        <v/>
      </c>
      <c r="AD117" t="str">
        <f>IF(Input!X117&lt;&gt;"",Input!X117,"")</f>
        <v/>
      </c>
      <c r="AE117" t="str">
        <f t="shared" si="26"/>
        <v/>
      </c>
      <c r="AF117" t="str">
        <f>IF(Input!X117&lt;&gt;"",IF(ISNUMBER(Input!Y117),(Input!Y117),0),"")</f>
        <v/>
      </c>
      <c r="AG117" t="str">
        <f>IF(Input!AA117&lt;&gt;"",Input!AA117,"")</f>
        <v/>
      </c>
      <c r="AH117" t="str">
        <f t="shared" si="27"/>
        <v/>
      </c>
      <c r="AI117" t="str">
        <f>IF(Input!AA117&lt;&gt;"",IF(ISNUMBER(Input!AB117),ROUNDDOWN(Input!AB117,0),0),"")</f>
        <v/>
      </c>
      <c r="AJ117" t="str">
        <f>IF(Input!AD117&lt;&gt;"",Input!AD117,"")</f>
        <v/>
      </c>
      <c r="AK117" t="str">
        <f t="shared" si="28"/>
        <v/>
      </c>
      <c r="AL117" t="str">
        <f>IF(Input!AD117&lt;&gt;"",IF(ISNUMBER(Input!AE117),(Input!AE117),0),"")</f>
        <v/>
      </c>
      <c r="AM117" t="str">
        <f>IF(Input!AG117&lt;&gt;"",Input!AG117,"")</f>
        <v/>
      </c>
      <c r="AN117" t="str">
        <f t="shared" si="18"/>
        <v/>
      </c>
      <c r="AO117" t="str">
        <f>IF(Input!AG117&lt;&gt;"",IF(ISNUMBER(Input!AH117),(Input!AH117),0),"")</f>
        <v/>
      </c>
    </row>
    <row r="118" spans="1:41" ht="16.5" thickTop="1" thickBot="1" x14ac:dyDescent="0.4">
      <c r="A118" s="35">
        <f>IF(ISBLANK(Input!A118),1000,IF(Input!E118&gt;0,Input!E118+F118,1000))</f>
        <v>1000</v>
      </c>
      <c r="B118" s="32">
        <f t="shared" si="19"/>
        <v>1000</v>
      </c>
      <c r="C118" s="4">
        <v>117</v>
      </c>
      <c r="D118" s="97">
        <f>IF(ISBLANK(Input!A118),1000,IF(Input!G118&gt;0,Input!G118+F118,1000))</f>
        <v>1000</v>
      </c>
      <c r="E118" s="97">
        <f t="shared" si="20"/>
        <v>1000</v>
      </c>
      <c r="F118" s="4">
        <v>0.11700000000000001</v>
      </c>
      <c r="I118" t="str">
        <f>IF(Input!A118&gt;0,Input!A118,"")</f>
        <v/>
      </c>
      <c r="J118" t="str">
        <f>IF(Input!B118&gt;0,Input!B118,"")</f>
        <v/>
      </c>
      <c r="K118" t="str">
        <f>IF(Input!C118&gt;0,Input!C118,"")</f>
        <v/>
      </c>
      <c r="L118" t="str">
        <f>IF(Input!D118&gt;0,Input!D118,"")</f>
        <v/>
      </c>
      <c r="M118" t="str">
        <f>IF(Input!G118&gt;0,Input!G118,"")</f>
        <v xml:space="preserve"> </v>
      </c>
      <c r="N118" t="str">
        <f>IF(Input!H118&gt;0,Input!H118,"")</f>
        <v xml:space="preserve"> </v>
      </c>
      <c r="O118" t="str">
        <f>IF(Input!I118&lt;&gt;"",Input!I118,"")</f>
        <v/>
      </c>
      <c r="P118" t="str">
        <f t="shared" si="21"/>
        <v/>
      </c>
      <c r="Q118" t="str">
        <f>IF(Input!I118&lt;&gt;"",IF(ISNUMBER(Input!J118),ROUNDDOWN(Input!J118,0),0),"")</f>
        <v/>
      </c>
      <c r="R118" t="str">
        <f>IF(Input!L118&lt;&gt;"",Input!L118,"")</f>
        <v/>
      </c>
      <c r="S118" t="str">
        <f t="shared" si="22"/>
        <v/>
      </c>
      <c r="T118" t="str">
        <f>IF(Input!L118&lt;&gt;"",IF(ISNUMBER(Input!M118),Input!M118,0),"")</f>
        <v/>
      </c>
      <c r="U118" t="str">
        <f>IF(Input!O118&lt;&gt;"",Input!O118,"")</f>
        <v/>
      </c>
      <c r="V118" t="str">
        <f t="shared" si="23"/>
        <v/>
      </c>
      <c r="W118" t="str">
        <f>IF(Input!O118&lt;&gt;"",IF(ISNUMBER(Input!P118),(Input!P118),0),"")</f>
        <v/>
      </c>
      <c r="X118" t="str">
        <f>IF(Input!R118&lt;&gt;"",Input!R118,"")</f>
        <v/>
      </c>
      <c r="Y118" t="str">
        <f t="shared" si="24"/>
        <v/>
      </c>
      <c r="Z118" t="str">
        <f>IF(Input!R118&lt;&gt;"",IF(ISNUMBER(Input!S118),ROUNDDOWN(Input!S118,0),0),"")</f>
        <v/>
      </c>
      <c r="AA118" t="str">
        <f>IF(Input!U118&lt;&gt;"",Input!U118,"")</f>
        <v/>
      </c>
      <c r="AB118" t="str">
        <f t="shared" si="25"/>
        <v/>
      </c>
      <c r="AC118" t="str">
        <f>IF(Input!U118&lt;&gt;"",IF(ISNUMBER(Input!V118),ROUNDDOWN(Input!V118,0),0),"")</f>
        <v/>
      </c>
      <c r="AD118" t="str">
        <f>IF(Input!X118&lt;&gt;"",Input!X118,"")</f>
        <v/>
      </c>
      <c r="AE118" t="str">
        <f t="shared" si="26"/>
        <v/>
      </c>
      <c r="AF118" t="str">
        <f>IF(Input!X118&lt;&gt;"",IF(ISNUMBER(Input!Y118),(Input!Y118),0),"")</f>
        <v/>
      </c>
      <c r="AG118" t="str">
        <f>IF(Input!AA118&lt;&gt;"",Input!AA118,"")</f>
        <v/>
      </c>
      <c r="AH118" t="str">
        <f t="shared" si="27"/>
        <v/>
      </c>
      <c r="AI118" t="str">
        <f>IF(Input!AA118&lt;&gt;"",IF(ISNUMBER(Input!AB118),ROUNDDOWN(Input!AB118,0),0),"")</f>
        <v/>
      </c>
      <c r="AJ118" t="str">
        <f>IF(Input!AD118&lt;&gt;"",Input!AD118,"")</f>
        <v/>
      </c>
      <c r="AK118" t="str">
        <f t="shared" si="28"/>
        <v/>
      </c>
      <c r="AL118" t="str">
        <f>IF(Input!AD118&lt;&gt;"",IF(ISNUMBER(Input!AE118),(Input!AE118),0),"")</f>
        <v/>
      </c>
      <c r="AM118" t="str">
        <f>IF(Input!AG118&lt;&gt;"",Input!AG118,"")</f>
        <v/>
      </c>
      <c r="AN118" t="str">
        <f t="shared" si="18"/>
        <v/>
      </c>
      <c r="AO118" t="str">
        <f>IF(Input!AG118&lt;&gt;"",IF(ISNUMBER(Input!AH118),(Input!AH118),0),"")</f>
        <v/>
      </c>
    </row>
    <row r="119" spans="1:41" ht="16.5" thickTop="1" thickBot="1" x14ac:dyDescent="0.4">
      <c r="A119" s="35">
        <f>IF(ISBLANK(Input!A119),1000,IF(Input!E119&gt;0,Input!E119+F119,1000))</f>
        <v>1000</v>
      </c>
      <c r="B119" s="32">
        <f t="shared" si="19"/>
        <v>1000</v>
      </c>
      <c r="C119" s="4">
        <v>118</v>
      </c>
      <c r="D119" s="97">
        <f>IF(ISBLANK(Input!A119),1000,IF(Input!G119&gt;0,Input!G119+F119,1000))</f>
        <v>1000</v>
      </c>
      <c r="E119" s="97">
        <f t="shared" si="20"/>
        <v>1000</v>
      </c>
      <c r="F119" s="4">
        <v>0.11799999999999999</v>
      </c>
      <c r="I119" t="str">
        <f>IF(Input!A119&gt;0,Input!A119,"")</f>
        <v/>
      </c>
      <c r="J119" t="str">
        <f>IF(Input!B119&gt;0,Input!B119,"")</f>
        <v/>
      </c>
      <c r="K119" t="str">
        <f>IF(Input!C119&gt;0,Input!C119,"")</f>
        <v/>
      </c>
      <c r="L119" t="str">
        <f>IF(Input!D119&gt;0,Input!D119,"")</f>
        <v/>
      </c>
      <c r="M119" t="str">
        <f>IF(Input!G119&gt;0,Input!G119,"")</f>
        <v xml:space="preserve"> </v>
      </c>
      <c r="N119" t="str">
        <f>IF(Input!H119&gt;0,Input!H119,"")</f>
        <v xml:space="preserve"> </v>
      </c>
      <c r="O119" t="str">
        <f>IF(Input!I119&lt;&gt;"",Input!I119,"")</f>
        <v/>
      </c>
      <c r="P119" t="str">
        <f t="shared" si="21"/>
        <v/>
      </c>
      <c r="Q119" t="str">
        <f>IF(Input!I119&lt;&gt;"",IF(ISNUMBER(Input!J119),ROUNDDOWN(Input!J119,0),0),"")</f>
        <v/>
      </c>
      <c r="R119" t="str">
        <f>IF(Input!L119&lt;&gt;"",Input!L119,"")</f>
        <v/>
      </c>
      <c r="S119" t="str">
        <f t="shared" si="22"/>
        <v/>
      </c>
      <c r="T119" t="str">
        <f>IF(Input!L119&lt;&gt;"",IF(ISNUMBER(Input!M119),Input!M119,0),"")</f>
        <v/>
      </c>
      <c r="U119" t="str">
        <f>IF(Input!O119&lt;&gt;"",Input!O119,"")</f>
        <v/>
      </c>
      <c r="V119" t="str">
        <f t="shared" si="23"/>
        <v/>
      </c>
      <c r="W119" t="str">
        <f>IF(Input!O119&lt;&gt;"",IF(ISNUMBER(Input!P119),(Input!P119),0),"")</f>
        <v/>
      </c>
      <c r="X119" t="str">
        <f>IF(Input!R119&lt;&gt;"",Input!R119,"")</f>
        <v/>
      </c>
      <c r="Y119" t="str">
        <f t="shared" si="24"/>
        <v/>
      </c>
      <c r="Z119" t="str">
        <f>IF(Input!R119&lt;&gt;"",IF(ISNUMBER(Input!S119),ROUNDDOWN(Input!S119,0),0),"")</f>
        <v/>
      </c>
      <c r="AA119" t="str">
        <f>IF(Input!U119&lt;&gt;"",Input!U119,"")</f>
        <v/>
      </c>
      <c r="AB119" t="str">
        <f t="shared" si="25"/>
        <v/>
      </c>
      <c r="AC119" t="str">
        <f>IF(Input!U119&lt;&gt;"",IF(ISNUMBER(Input!V119),ROUNDDOWN(Input!V119,0),0),"")</f>
        <v/>
      </c>
      <c r="AD119" t="str">
        <f>IF(Input!X119&lt;&gt;"",Input!X119,"")</f>
        <v/>
      </c>
      <c r="AE119" t="str">
        <f t="shared" si="26"/>
        <v/>
      </c>
      <c r="AF119" t="str">
        <f>IF(Input!X119&lt;&gt;"",IF(ISNUMBER(Input!Y119),(Input!Y119),0),"")</f>
        <v/>
      </c>
      <c r="AG119" t="str">
        <f>IF(Input!AA119&lt;&gt;"",Input!AA119,"")</f>
        <v/>
      </c>
      <c r="AH119" t="str">
        <f t="shared" si="27"/>
        <v/>
      </c>
      <c r="AI119" t="str">
        <f>IF(Input!AA119&lt;&gt;"",IF(ISNUMBER(Input!AB119),ROUNDDOWN(Input!AB119,0),0),"")</f>
        <v/>
      </c>
      <c r="AJ119" t="str">
        <f>IF(Input!AD119&lt;&gt;"",Input!AD119,"")</f>
        <v/>
      </c>
      <c r="AK119" t="str">
        <f t="shared" si="28"/>
        <v/>
      </c>
      <c r="AL119" t="str">
        <f>IF(Input!AD119&lt;&gt;"",IF(ISNUMBER(Input!AE119),(Input!AE119),0),"")</f>
        <v/>
      </c>
      <c r="AM119" t="str">
        <f>IF(Input!AG119&lt;&gt;"",Input!AG119,"")</f>
        <v/>
      </c>
      <c r="AN119" t="str">
        <f t="shared" si="18"/>
        <v/>
      </c>
      <c r="AO119" t="str">
        <f>IF(Input!AG119&lt;&gt;"",IF(ISNUMBER(Input!AH119),(Input!AH119),0),"")</f>
        <v/>
      </c>
    </row>
    <row r="120" spans="1:41" ht="16.5" thickTop="1" thickBot="1" x14ac:dyDescent="0.4">
      <c r="A120" s="35">
        <f>IF(ISBLANK(Input!A120),1000,IF(Input!E120&gt;0,Input!E120+F120,1000))</f>
        <v>1000</v>
      </c>
      <c r="B120" s="32">
        <f t="shared" si="19"/>
        <v>1000</v>
      </c>
      <c r="C120" s="4">
        <v>119</v>
      </c>
      <c r="D120" s="97">
        <f>IF(ISBLANK(Input!A120),1000,IF(Input!G120&gt;0,Input!G120+F120,1000))</f>
        <v>1000</v>
      </c>
      <c r="E120" s="97">
        <f t="shared" si="20"/>
        <v>1000</v>
      </c>
      <c r="F120" s="4">
        <v>0.11899999999999999</v>
      </c>
      <c r="I120" t="str">
        <f>IF(Input!A120&gt;0,Input!A120,"")</f>
        <v/>
      </c>
      <c r="J120" t="str">
        <f>IF(Input!B120&gt;0,Input!B120,"")</f>
        <v/>
      </c>
      <c r="K120" t="str">
        <f>IF(Input!C120&gt;0,Input!C120,"")</f>
        <v/>
      </c>
      <c r="L120" t="str">
        <f>IF(Input!D120&gt;0,Input!D120,"")</f>
        <v/>
      </c>
      <c r="M120" t="str">
        <f>IF(Input!G120&gt;0,Input!G120,"")</f>
        <v xml:space="preserve"> </v>
      </c>
      <c r="N120" t="str">
        <f>IF(Input!H120&gt;0,Input!H120,"")</f>
        <v xml:space="preserve"> </v>
      </c>
      <c r="O120" t="str">
        <f>IF(Input!I120&lt;&gt;"",Input!I120,"")</f>
        <v/>
      </c>
      <c r="P120" t="str">
        <f t="shared" si="21"/>
        <v/>
      </c>
      <c r="Q120" t="str">
        <f>IF(Input!I120&lt;&gt;"",IF(ISNUMBER(Input!J120),ROUNDDOWN(Input!J120,0),0),"")</f>
        <v/>
      </c>
      <c r="R120" t="str">
        <f>IF(Input!L120&lt;&gt;"",Input!L120,"")</f>
        <v/>
      </c>
      <c r="S120" t="str">
        <f t="shared" si="22"/>
        <v/>
      </c>
      <c r="T120" t="str">
        <f>IF(Input!L120&lt;&gt;"",IF(ISNUMBER(Input!M120),Input!M120,0),"")</f>
        <v/>
      </c>
      <c r="U120" t="str">
        <f>IF(Input!O120&lt;&gt;"",Input!O120,"")</f>
        <v/>
      </c>
      <c r="V120" t="str">
        <f t="shared" si="23"/>
        <v/>
      </c>
      <c r="W120" t="str">
        <f>IF(Input!O120&lt;&gt;"",IF(ISNUMBER(Input!P120),(Input!P120),0),"")</f>
        <v/>
      </c>
      <c r="X120" t="str">
        <f>IF(Input!R120&lt;&gt;"",Input!R120,"")</f>
        <v/>
      </c>
      <c r="Y120" t="str">
        <f t="shared" si="24"/>
        <v/>
      </c>
      <c r="Z120" t="str">
        <f>IF(Input!R120&lt;&gt;"",IF(ISNUMBER(Input!S120),ROUNDDOWN(Input!S120,0),0),"")</f>
        <v/>
      </c>
      <c r="AA120" t="str">
        <f>IF(Input!U120&lt;&gt;"",Input!U120,"")</f>
        <v/>
      </c>
      <c r="AB120" t="str">
        <f t="shared" si="25"/>
        <v/>
      </c>
      <c r="AC120" t="str">
        <f>IF(Input!U120&lt;&gt;"",IF(ISNUMBER(Input!V120),ROUNDDOWN(Input!V120,0),0),"")</f>
        <v/>
      </c>
      <c r="AD120" t="str">
        <f>IF(Input!X120&lt;&gt;"",Input!X120,"")</f>
        <v/>
      </c>
      <c r="AE120" t="str">
        <f t="shared" si="26"/>
        <v/>
      </c>
      <c r="AF120" t="str">
        <f>IF(Input!X120&lt;&gt;"",IF(ISNUMBER(Input!Y120),(Input!Y120),0),"")</f>
        <v/>
      </c>
      <c r="AG120" t="str">
        <f>IF(Input!AA120&lt;&gt;"",Input!AA120,"")</f>
        <v/>
      </c>
      <c r="AH120" t="str">
        <f t="shared" si="27"/>
        <v/>
      </c>
      <c r="AI120" t="str">
        <f>IF(Input!AA120&lt;&gt;"",IF(ISNUMBER(Input!AB120),ROUNDDOWN(Input!AB120,0),0),"")</f>
        <v/>
      </c>
      <c r="AJ120" t="str">
        <f>IF(Input!AD120&lt;&gt;"",Input!AD120,"")</f>
        <v/>
      </c>
      <c r="AK120" t="str">
        <f t="shared" si="28"/>
        <v/>
      </c>
      <c r="AL120" t="str">
        <f>IF(Input!AD120&lt;&gt;"",IF(ISNUMBER(Input!AE120),(Input!AE120),0),"")</f>
        <v/>
      </c>
      <c r="AM120" t="str">
        <f>IF(Input!AG120&lt;&gt;"",Input!AG120,"")</f>
        <v/>
      </c>
      <c r="AN120" t="str">
        <f t="shared" si="18"/>
        <v/>
      </c>
      <c r="AO120" t="str">
        <f>IF(Input!AG120&lt;&gt;"",IF(ISNUMBER(Input!AH120),(Input!AH120),0),"")</f>
        <v/>
      </c>
    </row>
    <row r="121" spans="1:41" ht="16.5" thickTop="1" thickBot="1" x14ac:dyDescent="0.4">
      <c r="A121" s="35">
        <f>IF(ISBLANK(Input!A121),1000,IF(Input!E121&gt;0,Input!E121+F121,1000))</f>
        <v>1000</v>
      </c>
      <c r="B121" s="32">
        <f t="shared" si="19"/>
        <v>1000</v>
      </c>
      <c r="C121" s="4">
        <v>120</v>
      </c>
      <c r="D121" s="97">
        <f>IF(ISBLANK(Input!A121),1000,IF(Input!G121&gt;0,Input!G121+F121,1000))</f>
        <v>1000</v>
      </c>
      <c r="E121" s="97">
        <f t="shared" si="20"/>
        <v>1000</v>
      </c>
      <c r="F121" s="4">
        <v>0.12</v>
      </c>
      <c r="I121" t="str">
        <f>IF(Input!A121&gt;0,Input!A121,"")</f>
        <v/>
      </c>
      <c r="J121" t="str">
        <f>IF(Input!B121&gt;0,Input!B121,"")</f>
        <v/>
      </c>
      <c r="K121" t="str">
        <f>IF(Input!C121&gt;0,Input!C121,"")</f>
        <v/>
      </c>
      <c r="L121" t="str">
        <f>IF(Input!D121&gt;0,Input!D121,"")</f>
        <v/>
      </c>
      <c r="M121" t="str">
        <f>IF(Input!G121&gt;0,Input!G121,"")</f>
        <v xml:space="preserve"> </v>
      </c>
      <c r="N121" t="str">
        <f>IF(Input!H121&gt;0,Input!H121,"")</f>
        <v xml:space="preserve"> </v>
      </c>
      <c r="O121" t="str">
        <f>IF(Input!I121&lt;&gt;"",Input!I121,"")</f>
        <v/>
      </c>
      <c r="P121" t="str">
        <f t="shared" si="21"/>
        <v/>
      </c>
      <c r="Q121" t="str">
        <f>IF(Input!I121&lt;&gt;"",IF(ISNUMBER(Input!J121),ROUNDDOWN(Input!J121,0),0),"")</f>
        <v/>
      </c>
      <c r="R121" t="str">
        <f>IF(Input!L121&lt;&gt;"",Input!L121,"")</f>
        <v/>
      </c>
      <c r="S121" t="str">
        <f t="shared" si="22"/>
        <v/>
      </c>
      <c r="T121" t="str">
        <f>IF(Input!L121&lt;&gt;"",IF(ISNUMBER(Input!M121),Input!M121,0),"")</f>
        <v/>
      </c>
      <c r="U121" t="str">
        <f>IF(Input!O121&lt;&gt;"",Input!O121,"")</f>
        <v/>
      </c>
      <c r="V121" t="str">
        <f t="shared" si="23"/>
        <v/>
      </c>
      <c r="W121" t="str">
        <f>IF(Input!O121&lt;&gt;"",IF(ISNUMBER(Input!P121),(Input!P121),0),"")</f>
        <v/>
      </c>
      <c r="X121" t="str">
        <f>IF(Input!R121&lt;&gt;"",Input!R121,"")</f>
        <v/>
      </c>
      <c r="Y121" t="str">
        <f t="shared" si="24"/>
        <v/>
      </c>
      <c r="Z121" t="str">
        <f>IF(Input!R121&lt;&gt;"",IF(ISNUMBER(Input!S121),ROUNDDOWN(Input!S121,0),0),"")</f>
        <v/>
      </c>
      <c r="AA121" t="str">
        <f>IF(Input!U121&lt;&gt;"",Input!U121,"")</f>
        <v/>
      </c>
      <c r="AB121" t="str">
        <f t="shared" si="25"/>
        <v/>
      </c>
      <c r="AC121" t="str">
        <f>IF(Input!U121&lt;&gt;"",IF(ISNUMBER(Input!V121),ROUNDDOWN(Input!V121,0),0),"")</f>
        <v/>
      </c>
      <c r="AD121" t="str">
        <f>IF(Input!X121&lt;&gt;"",Input!X121,"")</f>
        <v/>
      </c>
      <c r="AE121" t="str">
        <f t="shared" si="26"/>
        <v/>
      </c>
      <c r="AF121" t="str">
        <f>IF(Input!X121&lt;&gt;"",IF(ISNUMBER(Input!Y121),(Input!Y121),0),"")</f>
        <v/>
      </c>
      <c r="AG121" t="str">
        <f>IF(Input!AA121&lt;&gt;"",Input!AA121,"")</f>
        <v/>
      </c>
      <c r="AH121" t="str">
        <f t="shared" si="27"/>
        <v/>
      </c>
      <c r="AI121" t="str">
        <f>IF(Input!AA121&lt;&gt;"",IF(ISNUMBER(Input!AB121),ROUNDDOWN(Input!AB121,0),0),"")</f>
        <v/>
      </c>
      <c r="AJ121" t="str">
        <f>IF(Input!AD121&lt;&gt;"",Input!AD121,"")</f>
        <v/>
      </c>
      <c r="AK121" t="str">
        <f t="shared" si="28"/>
        <v/>
      </c>
      <c r="AL121" t="str">
        <f>IF(Input!AD121&lt;&gt;"",IF(ISNUMBER(Input!AE121),(Input!AE121),0),"")</f>
        <v/>
      </c>
      <c r="AM121" t="str">
        <f>IF(Input!AG121&lt;&gt;"",Input!AG121,"")</f>
        <v/>
      </c>
      <c r="AN121" t="str">
        <f t="shared" si="18"/>
        <v/>
      </c>
      <c r="AO121" t="str">
        <f>IF(Input!AG121&lt;&gt;"",IF(ISNUMBER(Input!AH121),(Input!AH121),0),"")</f>
        <v/>
      </c>
    </row>
    <row r="122" spans="1:41" ht="16.5" thickTop="1" thickBot="1" x14ac:dyDescent="0.4">
      <c r="A122" s="35">
        <f>IF(ISBLANK(Input!A122),1000,IF(Input!E122&gt;0,Input!E122+F122,1000))</f>
        <v>1000</v>
      </c>
      <c r="B122" s="32">
        <f t="shared" si="19"/>
        <v>1000</v>
      </c>
      <c r="C122" s="4">
        <v>121</v>
      </c>
      <c r="D122" s="97">
        <f>IF(ISBLANK(Input!A122),1000,IF(Input!G122&gt;0,Input!G122+F122,1000))</f>
        <v>1000</v>
      </c>
      <c r="E122" s="97">
        <f t="shared" si="20"/>
        <v>1000</v>
      </c>
      <c r="F122" s="4">
        <v>0.121</v>
      </c>
      <c r="I122" t="str">
        <f>IF(Input!A122&gt;0,Input!A122,"")</f>
        <v/>
      </c>
      <c r="J122" t="str">
        <f>IF(Input!B122&gt;0,Input!B122,"")</f>
        <v/>
      </c>
      <c r="K122" t="str">
        <f>IF(Input!C122&gt;0,Input!C122,"")</f>
        <v/>
      </c>
      <c r="L122" t="str">
        <f>IF(Input!D122&gt;0,Input!D122,"")</f>
        <v/>
      </c>
      <c r="M122" t="str">
        <f>IF(Input!G122&gt;0,Input!G122,"")</f>
        <v xml:space="preserve"> </v>
      </c>
      <c r="N122" t="str">
        <f>IF(Input!H122&gt;0,Input!H122,"")</f>
        <v xml:space="preserve"> </v>
      </c>
      <c r="O122" t="str">
        <f>IF(Input!I122&lt;&gt;"",Input!I122,"")</f>
        <v/>
      </c>
      <c r="P122" t="str">
        <f t="shared" si="21"/>
        <v/>
      </c>
      <c r="Q122" t="str">
        <f>IF(Input!I122&lt;&gt;"",IF(ISNUMBER(Input!J122),ROUNDDOWN(Input!J122,0),0),"")</f>
        <v/>
      </c>
      <c r="R122" t="str">
        <f>IF(Input!L122&lt;&gt;"",Input!L122,"")</f>
        <v/>
      </c>
      <c r="S122" t="str">
        <f t="shared" si="22"/>
        <v/>
      </c>
      <c r="T122" t="str">
        <f>IF(Input!L122&lt;&gt;"",IF(ISNUMBER(Input!M122),Input!M122,0),"")</f>
        <v/>
      </c>
      <c r="U122" t="str">
        <f>IF(Input!O122&lt;&gt;"",Input!O122,"")</f>
        <v/>
      </c>
      <c r="V122" t="str">
        <f t="shared" si="23"/>
        <v/>
      </c>
      <c r="W122" t="str">
        <f>IF(Input!O122&lt;&gt;"",IF(ISNUMBER(Input!P122),(Input!P122),0),"")</f>
        <v/>
      </c>
      <c r="X122" t="str">
        <f>IF(Input!R122&lt;&gt;"",Input!R122,"")</f>
        <v/>
      </c>
      <c r="Y122" t="str">
        <f t="shared" si="24"/>
        <v/>
      </c>
      <c r="Z122" t="str">
        <f>IF(Input!R122&lt;&gt;"",IF(ISNUMBER(Input!S122),ROUNDDOWN(Input!S122,0),0),"")</f>
        <v/>
      </c>
      <c r="AA122" t="str">
        <f>IF(Input!U122&lt;&gt;"",Input!U122,"")</f>
        <v/>
      </c>
      <c r="AB122" t="str">
        <f t="shared" si="25"/>
        <v/>
      </c>
      <c r="AC122" t="str">
        <f>IF(Input!U122&lt;&gt;"",IF(ISNUMBER(Input!V122),ROUNDDOWN(Input!V122,0),0),"")</f>
        <v/>
      </c>
      <c r="AD122" t="str">
        <f>IF(Input!X122&lt;&gt;"",Input!X122,"")</f>
        <v/>
      </c>
      <c r="AE122" t="str">
        <f t="shared" si="26"/>
        <v/>
      </c>
      <c r="AF122" t="str">
        <f>IF(Input!X122&lt;&gt;"",IF(ISNUMBER(Input!Y122),(Input!Y122),0),"")</f>
        <v/>
      </c>
      <c r="AG122" t="str">
        <f>IF(Input!AA122&lt;&gt;"",Input!AA122,"")</f>
        <v/>
      </c>
      <c r="AH122" t="str">
        <f t="shared" si="27"/>
        <v/>
      </c>
      <c r="AI122" t="str">
        <f>IF(Input!AA122&lt;&gt;"",IF(ISNUMBER(Input!AB122),ROUNDDOWN(Input!AB122,0),0),"")</f>
        <v/>
      </c>
      <c r="AJ122" t="str">
        <f>IF(Input!AD122&lt;&gt;"",Input!AD122,"")</f>
        <v/>
      </c>
      <c r="AK122" t="str">
        <f t="shared" si="28"/>
        <v/>
      </c>
      <c r="AL122" t="str">
        <f>IF(Input!AD122&lt;&gt;"",IF(ISNUMBER(Input!AE122),(Input!AE122),0),"")</f>
        <v/>
      </c>
      <c r="AM122" t="str">
        <f>IF(Input!AG122&lt;&gt;"",Input!AG122,"")</f>
        <v/>
      </c>
      <c r="AN122" t="str">
        <f t="shared" si="18"/>
        <v/>
      </c>
      <c r="AO122" t="str">
        <f>IF(Input!AG122&lt;&gt;"",IF(ISNUMBER(Input!AH122),(Input!AH122),0),"")</f>
        <v/>
      </c>
    </row>
    <row r="123" spans="1:41" ht="16.5" thickTop="1" thickBot="1" x14ac:dyDescent="0.4">
      <c r="A123" s="35">
        <f>IF(ISBLANK(Input!A123),1000,IF(Input!E123&gt;0,Input!E123+F123,1000))</f>
        <v>1000</v>
      </c>
      <c r="B123" s="32">
        <f t="shared" si="19"/>
        <v>1000</v>
      </c>
      <c r="C123" s="4">
        <v>122</v>
      </c>
      <c r="D123" s="97">
        <f>IF(ISBLANK(Input!A123),1000,IF(Input!G123&gt;0,Input!G123+F123,1000))</f>
        <v>1000</v>
      </c>
      <c r="E123" s="97">
        <f t="shared" si="20"/>
        <v>1000</v>
      </c>
      <c r="F123" s="4">
        <v>0.122</v>
      </c>
      <c r="I123" t="str">
        <f>IF(Input!A123&gt;0,Input!A123,"")</f>
        <v/>
      </c>
      <c r="J123" t="str">
        <f>IF(Input!B123&gt;0,Input!B123,"")</f>
        <v/>
      </c>
      <c r="K123" t="str">
        <f>IF(Input!C123&gt;0,Input!C123,"")</f>
        <v/>
      </c>
      <c r="L123" t="str">
        <f>IF(Input!D123&gt;0,Input!D123,"")</f>
        <v/>
      </c>
      <c r="M123" t="str">
        <f>IF(Input!G123&gt;0,Input!G123,"")</f>
        <v xml:space="preserve"> </v>
      </c>
      <c r="N123" t="str">
        <f>IF(Input!H123&gt;0,Input!H123,"")</f>
        <v xml:space="preserve"> </v>
      </c>
      <c r="O123" t="str">
        <f>IF(Input!I123&lt;&gt;"",Input!I123,"")</f>
        <v/>
      </c>
      <c r="P123" t="str">
        <f t="shared" si="21"/>
        <v/>
      </c>
      <c r="Q123" t="str">
        <f>IF(Input!I123&lt;&gt;"",IF(ISNUMBER(Input!J123),ROUNDDOWN(Input!J123,0),0),"")</f>
        <v/>
      </c>
      <c r="R123" t="str">
        <f>IF(Input!L123&lt;&gt;"",Input!L123,"")</f>
        <v/>
      </c>
      <c r="S123" t="str">
        <f t="shared" si="22"/>
        <v/>
      </c>
      <c r="T123" t="str">
        <f>IF(Input!L123&lt;&gt;"",IF(ISNUMBER(Input!M123),Input!M123,0),"")</f>
        <v/>
      </c>
      <c r="U123" t="str">
        <f>IF(Input!O123&lt;&gt;"",Input!O123,"")</f>
        <v/>
      </c>
      <c r="V123" t="str">
        <f t="shared" si="23"/>
        <v/>
      </c>
      <c r="W123" t="str">
        <f>IF(Input!O123&lt;&gt;"",IF(ISNUMBER(Input!P123),(Input!P123),0),"")</f>
        <v/>
      </c>
      <c r="X123" t="str">
        <f>IF(Input!R123&lt;&gt;"",Input!R123,"")</f>
        <v/>
      </c>
      <c r="Y123" t="str">
        <f t="shared" si="24"/>
        <v/>
      </c>
      <c r="Z123" t="str">
        <f>IF(Input!R123&lt;&gt;"",IF(ISNUMBER(Input!S123),ROUNDDOWN(Input!S123,0),0),"")</f>
        <v/>
      </c>
      <c r="AA123" t="str">
        <f>IF(Input!U123&lt;&gt;"",Input!U123,"")</f>
        <v/>
      </c>
      <c r="AB123" t="str">
        <f t="shared" si="25"/>
        <v/>
      </c>
      <c r="AC123" t="str">
        <f>IF(Input!U123&lt;&gt;"",IF(ISNUMBER(Input!V123),ROUNDDOWN(Input!V123,0),0),"")</f>
        <v/>
      </c>
      <c r="AD123" t="str">
        <f>IF(Input!X123&lt;&gt;"",Input!X123,"")</f>
        <v/>
      </c>
      <c r="AE123" t="str">
        <f t="shared" si="26"/>
        <v/>
      </c>
      <c r="AF123" t="str">
        <f>IF(Input!X123&lt;&gt;"",IF(ISNUMBER(Input!Y123),(Input!Y123),0),"")</f>
        <v/>
      </c>
      <c r="AG123" t="str">
        <f>IF(Input!AA123&lt;&gt;"",Input!AA123,"")</f>
        <v/>
      </c>
      <c r="AH123" t="str">
        <f t="shared" si="27"/>
        <v/>
      </c>
      <c r="AI123" t="str">
        <f>IF(Input!AA123&lt;&gt;"",IF(ISNUMBER(Input!AB123),ROUNDDOWN(Input!AB123,0),0),"")</f>
        <v/>
      </c>
      <c r="AJ123" t="str">
        <f>IF(Input!AD123&lt;&gt;"",Input!AD123,"")</f>
        <v/>
      </c>
      <c r="AK123" t="str">
        <f t="shared" si="28"/>
        <v/>
      </c>
      <c r="AL123" t="str">
        <f>IF(Input!AD123&lt;&gt;"",IF(ISNUMBER(Input!AE123),(Input!AE123),0),"")</f>
        <v/>
      </c>
      <c r="AM123" t="str">
        <f>IF(Input!AG123&lt;&gt;"",Input!AG123,"")</f>
        <v/>
      </c>
      <c r="AN123" t="str">
        <f t="shared" si="18"/>
        <v/>
      </c>
      <c r="AO123" t="str">
        <f>IF(Input!AG123&lt;&gt;"",IF(ISNUMBER(Input!AH123),(Input!AH123),0),"")</f>
        <v/>
      </c>
    </row>
    <row r="124" spans="1:41" ht="16.5" thickTop="1" thickBot="1" x14ac:dyDescent="0.4">
      <c r="A124" s="35">
        <f>IF(ISBLANK(Input!A124),1000,IF(Input!E124&gt;0,Input!E124+F124,1000))</f>
        <v>1000</v>
      </c>
      <c r="B124" s="32">
        <f t="shared" si="19"/>
        <v>1000</v>
      </c>
      <c r="C124" s="4">
        <v>123</v>
      </c>
      <c r="D124" s="97">
        <f>IF(ISBLANK(Input!A124),1000,IF(Input!G124&gt;0,Input!G124+F124,1000))</f>
        <v>1000</v>
      </c>
      <c r="E124" s="97">
        <f t="shared" si="20"/>
        <v>1000</v>
      </c>
      <c r="F124" s="4">
        <v>0.123</v>
      </c>
      <c r="I124" t="str">
        <f>IF(Input!A124&gt;0,Input!A124,"")</f>
        <v/>
      </c>
      <c r="J124" t="str">
        <f>IF(Input!B124&gt;0,Input!B124,"")</f>
        <v/>
      </c>
      <c r="K124" t="str">
        <f>IF(Input!C124&gt;0,Input!C124,"")</f>
        <v/>
      </c>
      <c r="L124" t="str">
        <f>IF(Input!D124&gt;0,Input!D124,"")</f>
        <v/>
      </c>
      <c r="M124" t="str">
        <f>IF(Input!G124&gt;0,Input!G124,"")</f>
        <v xml:space="preserve"> </v>
      </c>
      <c r="N124" t="str">
        <f>IF(Input!H124&gt;0,Input!H124,"")</f>
        <v xml:space="preserve"> </v>
      </c>
      <c r="O124" t="str">
        <f>IF(Input!I124&lt;&gt;"",Input!I124,"")</f>
        <v/>
      </c>
      <c r="P124" t="str">
        <f t="shared" si="21"/>
        <v/>
      </c>
      <c r="Q124" t="str">
        <f>IF(Input!I124&lt;&gt;"",IF(ISNUMBER(Input!J124),ROUNDDOWN(Input!J124,0),0),"")</f>
        <v/>
      </c>
      <c r="R124" t="str">
        <f>IF(Input!L124&lt;&gt;"",Input!L124,"")</f>
        <v/>
      </c>
      <c r="S124" t="str">
        <f t="shared" si="22"/>
        <v/>
      </c>
      <c r="T124" t="str">
        <f>IF(Input!L124&lt;&gt;"",IF(ISNUMBER(Input!M124),Input!M124,0),"")</f>
        <v/>
      </c>
      <c r="U124" t="str">
        <f>IF(Input!O124&lt;&gt;"",Input!O124,"")</f>
        <v/>
      </c>
      <c r="V124" t="str">
        <f t="shared" si="23"/>
        <v/>
      </c>
      <c r="W124" t="str">
        <f>IF(Input!O124&lt;&gt;"",IF(ISNUMBER(Input!P124),(Input!P124),0),"")</f>
        <v/>
      </c>
      <c r="X124" t="str">
        <f>IF(Input!R124&lt;&gt;"",Input!R124,"")</f>
        <v/>
      </c>
      <c r="Y124" t="str">
        <f t="shared" si="24"/>
        <v/>
      </c>
      <c r="Z124" t="str">
        <f>IF(Input!R124&lt;&gt;"",IF(ISNUMBER(Input!S124),ROUNDDOWN(Input!S124,0),0),"")</f>
        <v/>
      </c>
      <c r="AA124" t="str">
        <f>IF(Input!U124&lt;&gt;"",Input!U124,"")</f>
        <v/>
      </c>
      <c r="AB124" t="str">
        <f t="shared" si="25"/>
        <v/>
      </c>
      <c r="AC124" t="str">
        <f>IF(Input!U124&lt;&gt;"",IF(ISNUMBER(Input!V124),ROUNDDOWN(Input!V124,0),0),"")</f>
        <v/>
      </c>
      <c r="AD124" t="str">
        <f>IF(Input!X124&lt;&gt;"",Input!X124,"")</f>
        <v/>
      </c>
      <c r="AE124" t="str">
        <f t="shared" si="26"/>
        <v/>
      </c>
      <c r="AF124" t="str">
        <f>IF(Input!X124&lt;&gt;"",IF(ISNUMBER(Input!Y124),(Input!Y124),0),"")</f>
        <v/>
      </c>
      <c r="AG124" t="str">
        <f>IF(Input!AA124&lt;&gt;"",Input!AA124,"")</f>
        <v/>
      </c>
      <c r="AH124" t="str">
        <f t="shared" si="27"/>
        <v/>
      </c>
      <c r="AI124" t="str">
        <f>IF(Input!AA124&lt;&gt;"",IF(ISNUMBER(Input!AB124),ROUNDDOWN(Input!AB124,0),0),"")</f>
        <v/>
      </c>
      <c r="AJ124" t="str">
        <f>IF(Input!AD124&lt;&gt;"",Input!AD124,"")</f>
        <v/>
      </c>
      <c r="AK124" t="str">
        <f t="shared" si="28"/>
        <v/>
      </c>
      <c r="AL124" t="str">
        <f>IF(Input!AD124&lt;&gt;"",IF(ISNUMBER(Input!AE124),(Input!AE124),0),"")</f>
        <v/>
      </c>
      <c r="AM124" t="str">
        <f>IF(Input!AG124&lt;&gt;"",Input!AG124,"")</f>
        <v/>
      </c>
      <c r="AN124" t="str">
        <f t="shared" si="18"/>
        <v/>
      </c>
      <c r="AO124" t="str">
        <f>IF(Input!AG124&lt;&gt;"",IF(ISNUMBER(Input!AH124),(Input!AH124),0),"")</f>
        <v/>
      </c>
    </row>
    <row r="125" spans="1:41" ht="16.5" thickTop="1" thickBot="1" x14ac:dyDescent="0.4">
      <c r="A125" s="35">
        <f>IF(ISBLANK(Input!A125),1000,IF(Input!E125&gt;0,Input!E125+F125,1000))</f>
        <v>1000</v>
      </c>
      <c r="B125" s="32">
        <f t="shared" si="19"/>
        <v>1000</v>
      </c>
      <c r="C125" s="4">
        <v>124</v>
      </c>
      <c r="D125" s="97">
        <f>IF(ISBLANK(Input!A125),1000,IF(Input!G125&gt;0,Input!G125+F125,1000))</f>
        <v>1000</v>
      </c>
      <c r="E125" s="97">
        <f t="shared" si="20"/>
        <v>1000</v>
      </c>
      <c r="F125" s="4">
        <v>0.124</v>
      </c>
      <c r="I125" t="str">
        <f>IF(Input!A125&gt;0,Input!A125,"")</f>
        <v/>
      </c>
      <c r="J125" t="str">
        <f>IF(Input!B125&gt;0,Input!B125,"")</f>
        <v/>
      </c>
      <c r="K125" t="str">
        <f>IF(Input!C125&gt;0,Input!C125,"")</f>
        <v/>
      </c>
      <c r="L125" t="str">
        <f>IF(Input!D125&gt;0,Input!D125,"")</f>
        <v/>
      </c>
      <c r="M125" t="str">
        <f>IF(Input!G125&gt;0,Input!G125,"")</f>
        <v xml:space="preserve"> </v>
      </c>
      <c r="N125" t="str">
        <f>IF(Input!H125&gt;0,Input!H125,"")</f>
        <v xml:space="preserve"> </v>
      </c>
      <c r="O125" t="str">
        <f>IF(Input!I125&lt;&gt;"",Input!I125,"")</f>
        <v/>
      </c>
      <c r="P125" t="str">
        <f t="shared" si="21"/>
        <v/>
      </c>
      <c r="Q125" t="str">
        <f>IF(Input!I125&lt;&gt;"",IF(ISNUMBER(Input!J125),ROUNDDOWN(Input!J125,0),0),"")</f>
        <v/>
      </c>
      <c r="R125" t="str">
        <f>IF(Input!L125&lt;&gt;"",Input!L125,"")</f>
        <v/>
      </c>
      <c r="S125" t="str">
        <f t="shared" si="22"/>
        <v/>
      </c>
      <c r="T125" t="str">
        <f>IF(Input!L125&lt;&gt;"",IF(ISNUMBER(Input!M125),Input!M125,0),"")</f>
        <v/>
      </c>
      <c r="U125" t="str">
        <f>IF(Input!O125&lt;&gt;"",Input!O125,"")</f>
        <v/>
      </c>
      <c r="V125" t="str">
        <f t="shared" si="23"/>
        <v/>
      </c>
      <c r="W125" t="str">
        <f>IF(Input!O125&lt;&gt;"",IF(ISNUMBER(Input!P125),(Input!P125),0),"")</f>
        <v/>
      </c>
      <c r="X125" t="str">
        <f>IF(Input!R125&lt;&gt;"",Input!R125,"")</f>
        <v/>
      </c>
      <c r="Y125" t="str">
        <f t="shared" si="24"/>
        <v/>
      </c>
      <c r="Z125" t="str">
        <f>IF(Input!R125&lt;&gt;"",IF(ISNUMBER(Input!S125),ROUNDDOWN(Input!S125,0),0),"")</f>
        <v/>
      </c>
      <c r="AA125" t="str">
        <f>IF(Input!U125&lt;&gt;"",Input!U125,"")</f>
        <v/>
      </c>
      <c r="AB125" t="str">
        <f t="shared" si="25"/>
        <v/>
      </c>
      <c r="AC125" t="str">
        <f>IF(Input!U125&lt;&gt;"",IF(ISNUMBER(Input!V125),ROUNDDOWN(Input!V125,0),0),"")</f>
        <v/>
      </c>
      <c r="AD125" t="str">
        <f>IF(Input!X125&lt;&gt;"",Input!X125,"")</f>
        <v/>
      </c>
      <c r="AE125" t="str">
        <f t="shared" si="26"/>
        <v/>
      </c>
      <c r="AF125" t="str">
        <f>IF(Input!X125&lt;&gt;"",IF(ISNUMBER(Input!Y125),(Input!Y125),0),"")</f>
        <v/>
      </c>
      <c r="AG125" t="str">
        <f>IF(Input!AA125&lt;&gt;"",Input!AA125,"")</f>
        <v/>
      </c>
      <c r="AH125" t="str">
        <f t="shared" si="27"/>
        <v/>
      </c>
      <c r="AI125" t="str">
        <f>IF(Input!AA125&lt;&gt;"",IF(ISNUMBER(Input!AB125),ROUNDDOWN(Input!AB125,0),0),"")</f>
        <v/>
      </c>
      <c r="AJ125" t="str">
        <f>IF(Input!AD125&lt;&gt;"",Input!AD125,"")</f>
        <v/>
      </c>
      <c r="AK125" t="str">
        <f t="shared" si="28"/>
        <v/>
      </c>
      <c r="AL125" t="str">
        <f>IF(Input!AD125&lt;&gt;"",IF(ISNUMBER(Input!AE125),(Input!AE125),0),"")</f>
        <v/>
      </c>
      <c r="AM125" t="str">
        <f>IF(Input!AG125&lt;&gt;"",Input!AG125,"")</f>
        <v/>
      </c>
      <c r="AN125" t="str">
        <f t="shared" si="18"/>
        <v/>
      </c>
      <c r="AO125" t="str">
        <f>IF(Input!AG125&lt;&gt;"",IF(ISNUMBER(Input!AH125),(Input!AH125),0),"")</f>
        <v/>
      </c>
    </row>
    <row r="126" spans="1:41" ht="16.5" thickTop="1" thickBot="1" x14ac:dyDescent="0.4">
      <c r="A126" s="35">
        <f>IF(ISBLANK(Input!A126),1000,IF(Input!E126&gt;0,Input!E126+F126,1000))</f>
        <v>1000</v>
      </c>
      <c r="B126" s="32">
        <f t="shared" si="19"/>
        <v>1000</v>
      </c>
      <c r="C126" s="4">
        <v>125</v>
      </c>
      <c r="D126" s="97">
        <f>IF(ISBLANK(Input!A126),1000,IF(Input!G126&gt;0,Input!G126+F126,1000))</f>
        <v>1000</v>
      </c>
      <c r="E126" s="97">
        <f t="shared" si="20"/>
        <v>1000</v>
      </c>
      <c r="F126" s="4">
        <v>0.125</v>
      </c>
      <c r="I126" t="str">
        <f>IF(Input!A126&gt;0,Input!A126,"")</f>
        <v/>
      </c>
      <c r="J126" t="str">
        <f>IF(Input!B126&gt;0,Input!B126,"")</f>
        <v/>
      </c>
      <c r="K126" t="str">
        <f>IF(Input!C126&gt;0,Input!C126,"")</f>
        <v/>
      </c>
      <c r="L126" t="str">
        <f>IF(Input!D126&gt;0,Input!D126,"")</f>
        <v/>
      </c>
      <c r="M126" t="str">
        <f>IF(Input!G126&gt;0,Input!G126,"")</f>
        <v xml:space="preserve"> </v>
      </c>
      <c r="N126" t="str">
        <f>IF(Input!H126&gt;0,Input!H126,"")</f>
        <v xml:space="preserve"> </v>
      </c>
      <c r="O126" t="str">
        <f>IF(Input!I126&lt;&gt;"",Input!I126,"")</f>
        <v/>
      </c>
      <c r="P126" t="str">
        <f t="shared" si="21"/>
        <v/>
      </c>
      <c r="Q126" t="str">
        <f>IF(Input!I126&lt;&gt;"",IF(ISNUMBER(Input!J126),ROUNDDOWN(Input!J126,0),0),"")</f>
        <v/>
      </c>
      <c r="R126" t="str">
        <f>IF(Input!L126&lt;&gt;"",Input!L126,"")</f>
        <v/>
      </c>
      <c r="S126" t="str">
        <f t="shared" si="22"/>
        <v/>
      </c>
      <c r="T126" t="str">
        <f>IF(Input!L126&lt;&gt;"",IF(ISNUMBER(Input!M126),Input!M126,0),"")</f>
        <v/>
      </c>
      <c r="U126" t="str">
        <f>IF(Input!O126&lt;&gt;"",Input!O126,"")</f>
        <v/>
      </c>
      <c r="V126" t="str">
        <f t="shared" si="23"/>
        <v/>
      </c>
      <c r="W126" t="str">
        <f>IF(Input!O126&lt;&gt;"",IF(ISNUMBER(Input!P126),(Input!P126),0),"")</f>
        <v/>
      </c>
      <c r="X126" t="str">
        <f>IF(Input!R126&lt;&gt;"",Input!R126,"")</f>
        <v/>
      </c>
      <c r="Y126" t="str">
        <f t="shared" si="24"/>
        <v/>
      </c>
      <c r="Z126" t="str">
        <f>IF(Input!R126&lt;&gt;"",IF(ISNUMBER(Input!S126),ROUNDDOWN(Input!S126,0),0),"")</f>
        <v/>
      </c>
      <c r="AA126" t="str">
        <f>IF(Input!U126&lt;&gt;"",Input!U126,"")</f>
        <v/>
      </c>
      <c r="AB126" t="str">
        <f t="shared" si="25"/>
        <v/>
      </c>
      <c r="AC126" t="str">
        <f>IF(Input!U126&lt;&gt;"",IF(ISNUMBER(Input!V126),ROUNDDOWN(Input!V126,0),0),"")</f>
        <v/>
      </c>
      <c r="AD126" t="str">
        <f>IF(Input!X126&lt;&gt;"",Input!X126,"")</f>
        <v/>
      </c>
      <c r="AE126" t="str">
        <f t="shared" si="26"/>
        <v/>
      </c>
      <c r="AF126" t="str">
        <f>IF(Input!X126&lt;&gt;"",IF(ISNUMBER(Input!Y126),(Input!Y126),0),"")</f>
        <v/>
      </c>
      <c r="AG126" t="str">
        <f>IF(Input!AA126&lt;&gt;"",Input!AA126,"")</f>
        <v/>
      </c>
      <c r="AH126" t="str">
        <f t="shared" si="27"/>
        <v/>
      </c>
      <c r="AI126" t="str">
        <f>IF(Input!AA126&lt;&gt;"",IF(ISNUMBER(Input!AB126),ROUNDDOWN(Input!AB126,0),0),"")</f>
        <v/>
      </c>
      <c r="AJ126" t="str">
        <f>IF(Input!AD126&lt;&gt;"",Input!AD126,"")</f>
        <v/>
      </c>
      <c r="AK126" t="str">
        <f t="shared" si="28"/>
        <v/>
      </c>
      <c r="AL126" t="str">
        <f>IF(Input!AD126&lt;&gt;"",IF(ISNUMBER(Input!AE126),(Input!AE126),0),"")</f>
        <v/>
      </c>
      <c r="AM126" t="str">
        <f>IF(Input!AG126&lt;&gt;"",Input!AG126,"")</f>
        <v/>
      </c>
      <c r="AN126" t="str">
        <f t="shared" si="18"/>
        <v/>
      </c>
      <c r="AO126" t="str">
        <f>IF(Input!AG126&lt;&gt;"",IF(ISNUMBER(Input!AH126),(Input!AH126),0),"")</f>
        <v/>
      </c>
    </row>
    <row r="127" spans="1:41" ht="16.5" thickTop="1" thickBot="1" x14ac:dyDescent="0.4">
      <c r="A127" s="35">
        <f>IF(ISBLANK(Input!A127),1000,IF(Input!E127&gt;0,Input!E127+F127,1000))</f>
        <v>1000</v>
      </c>
      <c r="B127" s="32">
        <f t="shared" si="19"/>
        <v>1000</v>
      </c>
      <c r="C127" s="4">
        <v>126</v>
      </c>
      <c r="D127" s="97">
        <f>IF(ISBLANK(Input!A127),1000,IF(Input!G127&gt;0,Input!G127+F127,1000))</f>
        <v>1000</v>
      </c>
      <c r="E127" s="97">
        <f t="shared" si="20"/>
        <v>1000</v>
      </c>
      <c r="F127" s="4">
        <v>0.126</v>
      </c>
      <c r="I127" t="str">
        <f>IF(Input!A127&gt;0,Input!A127,"")</f>
        <v/>
      </c>
      <c r="J127" t="str">
        <f>IF(Input!B127&gt;0,Input!B127,"")</f>
        <v/>
      </c>
      <c r="K127" t="str">
        <f>IF(Input!C127&gt;0,Input!C127,"")</f>
        <v/>
      </c>
      <c r="L127" t="str">
        <f>IF(Input!D127&gt;0,Input!D127,"")</f>
        <v/>
      </c>
      <c r="M127" t="str">
        <f>IF(Input!G127&gt;0,Input!G127,"")</f>
        <v xml:space="preserve"> </v>
      </c>
      <c r="N127" t="str">
        <f>IF(Input!H127&gt;0,Input!H127,"")</f>
        <v xml:space="preserve"> </v>
      </c>
      <c r="O127" t="str">
        <f>IF(Input!I127&lt;&gt;"",Input!I127,"")</f>
        <v/>
      </c>
      <c r="P127" t="str">
        <f t="shared" si="21"/>
        <v/>
      </c>
      <c r="Q127" t="str">
        <f>IF(Input!I127&lt;&gt;"",IF(ISNUMBER(Input!J127),ROUNDDOWN(Input!J127,0),0),"")</f>
        <v/>
      </c>
      <c r="R127" t="str">
        <f>IF(Input!L127&lt;&gt;"",Input!L127,"")</f>
        <v/>
      </c>
      <c r="S127" t="str">
        <f t="shared" si="22"/>
        <v/>
      </c>
      <c r="T127" t="str">
        <f>IF(Input!L127&lt;&gt;"",IF(ISNUMBER(Input!M127),Input!M127,0),"")</f>
        <v/>
      </c>
      <c r="U127" t="str">
        <f>IF(Input!O127&lt;&gt;"",Input!O127,"")</f>
        <v/>
      </c>
      <c r="V127" t="str">
        <f t="shared" si="23"/>
        <v/>
      </c>
      <c r="W127" t="str">
        <f>IF(Input!O127&lt;&gt;"",IF(ISNUMBER(Input!P127),(Input!P127),0),"")</f>
        <v/>
      </c>
      <c r="X127" t="str">
        <f>IF(Input!R127&lt;&gt;"",Input!R127,"")</f>
        <v/>
      </c>
      <c r="Y127" t="str">
        <f t="shared" si="24"/>
        <v/>
      </c>
      <c r="Z127" t="str">
        <f>IF(Input!R127&lt;&gt;"",IF(ISNUMBER(Input!S127),ROUNDDOWN(Input!S127,0),0),"")</f>
        <v/>
      </c>
      <c r="AA127" t="str">
        <f>IF(Input!U127&lt;&gt;"",Input!U127,"")</f>
        <v/>
      </c>
      <c r="AB127" t="str">
        <f t="shared" si="25"/>
        <v/>
      </c>
      <c r="AC127" t="str">
        <f>IF(Input!U127&lt;&gt;"",IF(ISNUMBER(Input!V127),ROUNDDOWN(Input!V127,0),0),"")</f>
        <v/>
      </c>
      <c r="AD127" t="str">
        <f>IF(Input!X127&lt;&gt;"",Input!X127,"")</f>
        <v/>
      </c>
      <c r="AE127" t="str">
        <f t="shared" si="26"/>
        <v/>
      </c>
      <c r="AF127" t="str">
        <f>IF(Input!X127&lt;&gt;"",IF(ISNUMBER(Input!Y127),(Input!Y127),0),"")</f>
        <v/>
      </c>
      <c r="AG127" t="str">
        <f>IF(Input!AA127&lt;&gt;"",Input!AA127,"")</f>
        <v/>
      </c>
      <c r="AH127" t="str">
        <f t="shared" si="27"/>
        <v/>
      </c>
      <c r="AI127" t="str">
        <f>IF(Input!AA127&lt;&gt;"",IF(ISNUMBER(Input!AB127),ROUNDDOWN(Input!AB127,0),0),"")</f>
        <v/>
      </c>
      <c r="AJ127" t="str">
        <f>IF(Input!AD127&lt;&gt;"",Input!AD127,"")</f>
        <v/>
      </c>
      <c r="AK127" t="str">
        <f t="shared" si="28"/>
        <v/>
      </c>
      <c r="AL127" t="str">
        <f>IF(Input!AD127&lt;&gt;"",IF(ISNUMBER(Input!AE127),(Input!AE127),0),"")</f>
        <v/>
      </c>
      <c r="AM127" t="str">
        <f>IF(Input!AG127&lt;&gt;"",Input!AG127,"")</f>
        <v/>
      </c>
      <c r="AN127" t="str">
        <f t="shared" si="18"/>
        <v/>
      </c>
      <c r="AO127" t="str">
        <f>IF(Input!AG127&lt;&gt;"",IF(ISNUMBER(Input!AH127),(Input!AH127),0),"")</f>
        <v/>
      </c>
    </row>
    <row r="128" spans="1:41" ht="16.5" thickTop="1" thickBot="1" x14ac:dyDescent="0.4">
      <c r="A128" s="35">
        <f>IF(ISBLANK(Input!A128),1000,IF(Input!E128&gt;0,Input!E128+F128,1000))</f>
        <v>1000</v>
      </c>
      <c r="B128" s="32">
        <f t="shared" si="19"/>
        <v>1000</v>
      </c>
      <c r="C128" s="4">
        <v>127</v>
      </c>
      <c r="D128" s="97">
        <f>IF(ISBLANK(Input!A128),1000,IF(Input!G128&gt;0,Input!G128+F128,1000))</f>
        <v>1000</v>
      </c>
      <c r="E128" s="97">
        <f t="shared" si="20"/>
        <v>1000</v>
      </c>
      <c r="F128" s="4">
        <v>0.127</v>
      </c>
      <c r="I128" t="str">
        <f>IF(Input!A128&gt;0,Input!A128,"")</f>
        <v/>
      </c>
      <c r="J128" t="str">
        <f>IF(Input!B128&gt;0,Input!B128,"")</f>
        <v/>
      </c>
      <c r="K128" t="str">
        <f>IF(Input!C128&gt;0,Input!C128,"")</f>
        <v/>
      </c>
      <c r="L128" t="str">
        <f>IF(Input!D128&gt;0,Input!D128,"")</f>
        <v/>
      </c>
      <c r="M128" t="str">
        <f>IF(Input!G128&gt;0,Input!G128,"")</f>
        <v xml:space="preserve"> </v>
      </c>
      <c r="N128" t="str">
        <f>IF(Input!H128&gt;0,Input!H128,"")</f>
        <v xml:space="preserve"> </v>
      </c>
      <c r="O128" t="str">
        <f>IF(Input!I128&lt;&gt;"",Input!I128,"")</f>
        <v/>
      </c>
      <c r="P128" t="str">
        <f t="shared" si="21"/>
        <v/>
      </c>
      <c r="Q128" t="str">
        <f>IF(Input!I128&lt;&gt;"",IF(ISNUMBER(Input!J128),ROUNDDOWN(Input!J128,0),0),"")</f>
        <v/>
      </c>
      <c r="R128" t="str">
        <f>IF(Input!L128&lt;&gt;"",Input!L128,"")</f>
        <v/>
      </c>
      <c r="S128" t="str">
        <f t="shared" si="22"/>
        <v/>
      </c>
      <c r="T128" t="str">
        <f>IF(Input!L128&lt;&gt;"",IF(ISNUMBER(Input!M128),Input!M128,0),"")</f>
        <v/>
      </c>
      <c r="U128" t="str">
        <f>IF(Input!O128&lt;&gt;"",Input!O128,"")</f>
        <v/>
      </c>
      <c r="V128" t="str">
        <f t="shared" si="23"/>
        <v/>
      </c>
      <c r="W128" t="str">
        <f>IF(Input!O128&lt;&gt;"",IF(ISNUMBER(Input!P128),(Input!P128),0),"")</f>
        <v/>
      </c>
      <c r="X128" t="str">
        <f>IF(Input!R128&lt;&gt;"",Input!R128,"")</f>
        <v/>
      </c>
      <c r="Y128" t="str">
        <f t="shared" si="24"/>
        <v/>
      </c>
      <c r="Z128" t="str">
        <f>IF(Input!R128&lt;&gt;"",IF(ISNUMBER(Input!S128),ROUNDDOWN(Input!S128,0),0),"")</f>
        <v/>
      </c>
      <c r="AA128" t="str">
        <f>IF(Input!U128&lt;&gt;"",Input!U128,"")</f>
        <v/>
      </c>
      <c r="AB128" t="str">
        <f t="shared" si="25"/>
        <v/>
      </c>
      <c r="AC128" t="str">
        <f>IF(Input!U128&lt;&gt;"",IF(ISNUMBER(Input!V128),ROUNDDOWN(Input!V128,0),0),"")</f>
        <v/>
      </c>
      <c r="AD128" t="str">
        <f>IF(Input!X128&lt;&gt;"",Input!X128,"")</f>
        <v/>
      </c>
      <c r="AE128" t="str">
        <f t="shared" si="26"/>
        <v/>
      </c>
      <c r="AF128" t="str">
        <f>IF(Input!X128&lt;&gt;"",IF(ISNUMBER(Input!Y128),(Input!Y128),0),"")</f>
        <v/>
      </c>
      <c r="AG128" t="str">
        <f>IF(Input!AA128&lt;&gt;"",Input!AA128,"")</f>
        <v/>
      </c>
      <c r="AH128" t="str">
        <f t="shared" si="27"/>
        <v/>
      </c>
      <c r="AI128" t="str">
        <f>IF(Input!AA128&lt;&gt;"",IF(ISNUMBER(Input!AB128),ROUNDDOWN(Input!AB128,0),0),"")</f>
        <v/>
      </c>
      <c r="AJ128" t="str">
        <f>IF(Input!AD128&lt;&gt;"",Input!AD128,"")</f>
        <v/>
      </c>
      <c r="AK128" t="str">
        <f t="shared" si="28"/>
        <v/>
      </c>
      <c r="AL128" t="str">
        <f>IF(Input!AD128&lt;&gt;"",IF(ISNUMBER(Input!AE128),(Input!AE128),0),"")</f>
        <v/>
      </c>
      <c r="AM128" t="str">
        <f>IF(Input!AG128&lt;&gt;"",Input!AG128,"")</f>
        <v/>
      </c>
      <c r="AN128" t="str">
        <f t="shared" si="18"/>
        <v/>
      </c>
      <c r="AO128" t="str">
        <f>IF(Input!AG128&lt;&gt;"",IF(ISNUMBER(Input!AH128),(Input!AH128),0),"")</f>
        <v/>
      </c>
    </row>
    <row r="129" spans="1:41" ht="16.5" thickTop="1" thickBot="1" x14ac:dyDescent="0.4">
      <c r="A129" s="35">
        <f>IF(ISBLANK(Input!A129),1000,IF(Input!E129&gt;0,Input!E129+F129,1000))</f>
        <v>1000</v>
      </c>
      <c r="B129" s="32">
        <f t="shared" si="19"/>
        <v>1000</v>
      </c>
      <c r="C129" s="4">
        <v>128</v>
      </c>
      <c r="D129" s="97">
        <f>IF(ISBLANK(Input!A129),1000,IF(Input!G129&gt;0,Input!G129+F129,1000))</f>
        <v>1000</v>
      </c>
      <c r="E129" s="97">
        <f t="shared" si="20"/>
        <v>1000</v>
      </c>
      <c r="F129" s="4">
        <v>0.128</v>
      </c>
      <c r="I129" t="str">
        <f>IF(Input!A129&gt;0,Input!A129,"")</f>
        <v/>
      </c>
      <c r="J129" t="str">
        <f>IF(Input!B129&gt;0,Input!B129,"")</f>
        <v/>
      </c>
      <c r="K129" t="str">
        <f>IF(Input!C129&gt;0,Input!C129,"")</f>
        <v/>
      </c>
      <c r="L129" t="str">
        <f>IF(Input!D129&gt;0,Input!D129,"")</f>
        <v/>
      </c>
      <c r="M129" t="str">
        <f>IF(Input!G129&gt;0,Input!G129,"")</f>
        <v xml:space="preserve"> </v>
      </c>
      <c r="N129" t="str">
        <f>IF(Input!H129&gt;0,Input!H129,"")</f>
        <v xml:space="preserve"> </v>
      </c>
      <c r="O129" t="str">
        <f>IF(Input!I129&lt;&gt;"",Input!I129,"")</f>
        <v/>
      </c>
      <c r="P129" t="str">
        <f t="shared" si="21"/>
        <v/>
      </c>
      <c r="Q129" t="str">
        <f>IF(Input!I129&lt;&gt;"",IF(ISNUMBER(Input!J129),ROUNDDOWN(Input!J129,0),0),"")</f>
        <v/>
      </c>
      <c r="R129" t="str">
        <f>IF(Input!L129&lt;&gt;"",Input!L129,"")</f>
        <v/>
      </c>
      <c r="S129" t="str">
        <f t="shared" si="22"/>
        <v/>
      </c>
      <c r="T129" t="str">
        <f>IF(Input!L129&lt;&gt;"",IF(ISNUMBER(Input!M129),Input!M129,0),"")</f>
        <v/>
      </c>
      <c r="U129" t="str">
        <f>IF(Input!O129&lt;&gt;"",Input!O129,"")</f>
        <v/>
      </c>
      <c r="V129" t="str">
        <f t="shared" si="23"/>
        <v/>
      </c>
      <c r="W129" t="str">
        <f>IF(Input!O129&lt;&gt;"",IF(ISNUMBER(Input!P129),(Input!P129),0),"")</f>
        <v/>
      </c>
      <c r="X129" t="str">
        <f>IF(Input!R129&lt;&gt;"",Input!R129,"")</f>
        <v/>
      </c>
      <c r="Y129" t="str">
        <f t="shared" si="24"/>
        <v/>
      </c>
      <c r="Z129" t="str">
        <f>IF(Input!R129&lt;&gt;"",IF(ISNUMBER(Input!S129),ROUNDDOWN(Input!S129,0),0),"")</f>
        <v/>
      </c>
      <c r="AA129" t="str">
        <f>IF(Input!U129&lt;&gt;"",Input!U129,"")</f>
        <v/>
      </c>
      <c r="AB129" t="str">
        <f t="shared" si="25"/>
        <v/>
      </c>
      <c r="AC129" t="str">
        <f>IF(Input!U129&lt;&gt;"",IF(ISNUMBER(Input!V129),ROUNDDOWN(Input!V129,0),0),"")</f>
        <v/>
      </c>
      <c r="AD129" t="str">
        <f>IF(Input!X129&lt;&gt;"",Input!X129,"")</f>
        <v/>
      </c>
      <c r="AE129" t="str">
        <f t="shared" si="26"/>
        <v/>
      </c>
      <c r="AF129" t="str">
        <f>IF(Input!X129&lt;&gt;"",IF(ISNUMBER(Input!Y129),(Input!Y129),0),"")</f>
        <v/>
      </c>
      <c r="AG129" t="str">
        <f>IF(Input!AA129&lt;&gt;"",Input!AA129,"")</f>
        <v/>
      </c>
      <c r="AH129" t="str">
        <f t="shared" si="27"/>
        <v/>
      </c>
      <c r="AI129" t="str">
        <f>IF(Input!AA129&lt;&gt;"",IF(ISNUMBER(Input!AB129),ROUNDDOWN(Input!AB129,0),0),"")</f>
        <v/>
      </c>
      <c r="AJ129" t="str">
        <f>IF(Input!AD129&lt;&gt;"",Input!AD129,"")</f>
        <v/>
      </c>
      <c r="AK129" t="str">
        <f t="shared" si="28"/>
        <v/>
      </c>
      <c r="AL129" t="str">
        <f>IF(Input!AD129&lt;&gt;"",IF(ISNUMBER(Input!AE129),(Input!AE129),0),"")</f>
        <v/>
      </c>
      <c r="AM129" t="str">
        <f>IF(Input!AG129&lt;&gt;"",Input!AG129,"")</f>
        <v/>
      </c>
      <c r="AN129" t="str">
        <f t="shared" si="18"/>
        <v/>
      </c>
      <c r="AO129" t="str">
        <f>IF(Input!AG129&lt;&gt;"",IF(ISNUMBER(Input!AH129),(Input!AH129),0),"")</f>
        <v/>
      </c>
    </row>
    <row r="130" spans="1:41" ht="16.5" thickTop="1" thickBot="1" x14ac:dyDescent="0.4">
      <c r="A130" s="35">
        <f>IF(ISBLANK(Input!A130),1000,IF(Input!E130&gt;0,Input!E130+F130,1000))</f>
        <v>1000</v>
      </c>
      <c r="B130" s="32">
        <f t="shared" si="19"/>
        <v>1000</v>
      </c>
      <c r="C130" s="4">
        <v>129</v>
      </c>
      <c r="D130" s="97">
        <f>IF(ISBLANK(Input!A130),1000,IF(Input!G130&gt;0,Input!G130+F130,1000))</f>
        <v>1000</v>
      </c>
      <c r="E130" s="97">
        <f t="shared" si="20"/>
        <v>1000</v>
      </c>
      <c r="F130" s="4">
        <v>0.129</v>
      </c>
      <c r="I130" t="str">
        <f>IF(Input!A130&gt;0,Input!A130,"")</f>
        <v/>
      </c>
      <c r="J130" t="str">
        <f>IF(Input!B130&gt;0,Input!B130,"")</f>
        <v/>
      </c>
      <c r="K130" t="str">
        <f>IF(Input!C130&gt;0,Input!C130,"")</f>
        <v/>
      </c>
      <c r="L130" t="str">
        <f>IF(Input!D130&gt;0,Input!D130,"")</f>
        <v/>
      </c>
      <c r="M130" t="str">
        <f>IF(Input!G130&gt;0,Input!G130,"")</f>
        <v xml:space="preserve"> </v>
      </c>
      <c r="N130" t="str">
        <f>IF(Input!H130&gt;0,Input!H130,"")</f>
        <v xml:space="preserve"> </v>
      </c>
      <c r="O130" t="str">
        <f>IF(Input!I130&lt;&gt;"",Input!I130,"")</f>
        <v/>
      </c>
      <c r="P130" t="str">
        <f t="shared" si="21"/>
        <v/>
      </c>
      <c r="Q130" t="str">
        <f>IF(Input!I130&lt;&gt;"",IF(ISNUMBER(Input!J130),ROUNDDOWN(Input!J130,0),0),"")</f>
        <v/>
      </c>
      <c r="R130" t="str">
        <f>IF(Input!L130&lt;&gt;"",Input!L130,"")</f>
        <v/>
      </c>
      <c r="S130" t="str">
        <f t="shared" si="22"/>
        <v/>
      </c>
      <c r="T130" t="str">
        <f>IF(Input!L130&lt;&gt;"",IF(ISNUMBER(Input!M130),Input!M130,0),"")</f>
        <v/>
      </c>
      <c r="U130" t="str">
        <f>IF(Input!O130&lt;&gt;"",Input!O130,"")</f>
        <v/>
      </c>
      <c r="V130" t="str">
        <f t="shared" si="23"/>
        <v/>
      </c>
      <c r="W130" t="str">
        <f>IF(Input!O130&lt;&gt;"",IF(ISNUMBER(Input!P130),(Input!P130),0),"")</f>
        <v/>
      </c>
      <c r="X130" t="str">
        <f>IF(Input!R130&lt;&gt;"",Input!R130,"")</f>
        <v/>
      </c>
      <c r="Y130" t="str">
        <f t="shared" si="24"/>
        <v/>
      </c>
      <c r="Z130" t="str">
        <f>IF(Input!R130&lt;&gt;"",IF(ISNUMBER(Input!S130),ROUNDDOWN(Input!S130,0),0),"")</f>
        <v/>
      </c>
      <c r="AA130" t="str">
        <f>IF(Input!U130&lt;&gt;"",Input!U130,"")</f>
        <v/>
      </c>
      <c r="AB130" t="str">
        <f t="shared" si="25"/>
        <v/>
      </c>
      <c r="AC130" t="str">
        <f>IF(Input!U130&lt;&gt;"",IF(ISNUMBER(Input!V130),ROUNDDOWN(Input!V130,0),0),"")</f>
        <v/>
      </c>
      <c r="AD130" t="str">
        <f>IF(Input!X130&lt;&gt;"",Input!X130,"")</f>
        <v/>
      </c>
      <c r="AE130" t="str">
        <f t="shared" si="26"/>
        <v/>
      </c>
      <c r="AF130" t="str">
        <f>IF(Input!X130&lt;&gt;"",IF(ISNUMBER(Input!Y130),(Input!Y130),0),"")</f>
        <v/>
      </c>
      <c r="AG130" t="str">
        <f>IF(Input!AA130&lt;&gt;"",Input!AA130,"")</f>
        <v/>
      </c>
      <c r="AH130" t="str">
        <f t="shared" si="27"/>
        <v/>
      </c>
      <c r="AI130" t="str">
        <f>IF(Input!AA130&lt;&gt;"",IF(ISNUMBER(Input!AB130),ROUNDDOWN(Input!AB130,0),0),"")</f>
        <v/>
      </c>
      <c r="AJ130" t="str">
        <f>IF(Input!AD130&lt;&gt;"",Input!AD130,"")</f>
        <v/>
      </c>
      <c r="AK130" t="str">
        <f t="shared" si="28"/>
        <v/>
      </c>
      <c r="AL130" t="str">
        <f>IF(Input!AD130&lt;&gt;"",IF(ISNUMBER(Input!AE130),(Input!AE130),0),"")</f>
        <v/>
      </c>
      <c r="AM130" t="str">
        <f>IF(Input!AG130&lt;&gt;"",Input!AG130,"")</f>
        <v/>
      </c>
      <c r="AN130" t="str">
        <f t="shared" ref="AN130:AN193" si="29">IF(AO130&lt;&gt;"",  RANK(AO130,AO$2:AO$202,0)+((COUNTIF(AO$2:AO$202,AO130)-1)*0.5),"" )</f>
        <v/>
      </c>
      <c r="AO130" t="str">
        <f>IF(Input!AG130&lt;&gt;"",IF(ISNUMBER(Input!AH130),(Input!AH130),0),"")</f>
        <v/>
      </c>
    </row>
    <row r="131" spans="1:41" ht="16.5" thickTop="1" thickBot="1" x14ac:dyDescent="0.4">
      <c r="A131" s="35">
        <f>IF(ISBLANK(Input!A131),1000,IF(Input!E131&gt;0,Input!E131+F131,1000))</f>
        <v>1000</v>
      </c>
      <c r="B131" s="32">
        <f t="shared" ref="B131:B194" si="30">SMALL($A$2:$A$202,C131)</f>
        <v>1000</v>
      </c>
      <c r="C131" s="4">
        <v>130</v>
      </c>
      <c r="D131" s="97">
        <f>IF(ISBLANK(Input!A131),1000,IF(Input!G131&gt;0,Input!G131+F131,1000))</f>
        <v>1000</v>
      </c>
      <c r="E131" s="97">
        <f t="shared" ref="E131:E194" si="31">SMALL($D$2:$D$202,C131)</f>
        <v>1000</v>
      </c>
      <c r="F131" s="4">
        <v>0.13</v>
      </c>
      <c r="I131" t="str">
        <f>IF(Input!A131&gt;0,Input!A131,"")</f>
        <v/>
      </c>
      <c r="J131" t="str">
        <f>IF(Input!B131&gt;0,Input!B131,"")</f>
        <v/>
      </c>
      <c r="K131" t="str">
        <f>IF(Input!C131&gt;0,Input!C131,"")</f>
        <v/>
      </c>
      <c r="L131" t="str">
        <f>IF(Input!D131&gt;0,Input!D131,"")</f>
        <v/>
      </c>
      <c r="M131" t="str">
        <f>IF(Input!G131&gt;0,Input!G131,"")</f>
        <v xml:space="preserve"> </v>
      </c>
      <c r="N131" t="str">
        <f>IF(Input!H131&gt;0,Input!H131,"")</f>
        <v xml:space="preserve"> </v>
      </c>
      <c r="O131" t="str">
        <f>IF(Input!I131&lt;&gt;"",Input!I131,"")</f>
        <v/>
      </c>
      <c r="P131" t="str">
        <f t="shared" ref="P131:P194" si="32">IF(Q131&lt;&gt;"",  RANK(Q131,Q$2:Q$202,0)+((COUNTIF(Q$2:Q$202,Q131)-1)*0.5),"" )</f>
        <v/>
      </c>
      <c r="Q131" t="str">
        <f>IF(Input!I131&lt;&gt;"",IF(ISNUMBER(Input!J131),ROUNDDOWN(Input!J131,0),0),"")</f>
        <v/>
      </c>
      <c r="R131" t="str">
        <f>IF(Input!L131&lt;&gt;"",Input!L131,"")</f>
        <v/>
      </c>
      <c r="S131" t="str">
        <f t="shared" ref="S131:S194" si="33">IF(T131&lt;&gt;"",  RANK(T131,T$2:T$202,0)+((COUNTIF(T$2:T$202,T131)-1)*0.5),"" )</f>
        <v/>
      </c>
      <c r="T131" t="str">
        <f>IF(Input!L131&lt;&gt;"",IF(ISNUMBER(Input!M131),Input!M131,0),"")</f>
        <v/>
      </c>
      <c r="U131" t="str">
        <f>IF(Input!O131&lt;&gt;"",Input!O131,"")</f>
        <v/>
      </c>
      <c r="V131" t="str">
        <f t="shared" ref="V131:V194" si="34">IF(W131&lt;&gt;"",  RANK(W131,W$2:W$202,0)+((COUNTIF(W$2:W$202,W131)-1)*0.5),"" )</f>
        <v/>
      </c>
      <c r="W131" t="str">
        <f>IF(Input!O131&lt;&gt;"",IF(ISNUMBER(Input!P131),(Input!P131),0),"")</f>
        <v/>
      </c>
      <c r="X131" t="str">
        <f>IF(Input!R131&lt;&gt;"",Input!R131,"")</f>
        <v/>
      </c>
      <c r="Y131" t="str">
        <f t="shared" ref="Y131:Y194" si="35">IF(Z131&lt;&gt;"",  RANK(Z131,Z$2:Z$202,0)+((COUNTIF(Z$2:Z$202,Z131)-1)*0.5),"" )</f>
        <v/>
      </c>
      <c r="Z131" t="str">
        <f>IF(Input!R131&lt;&gt;"",IF(ISNUMBER(Input!S131),ROUNDDOWN(Input!S131,0),0),"")</f>
        <v/>
      </c>
      <c r="AA131" t="str">
        <f>IF(Input!U131&lt;&gt;"",Input!U131,"")</f>
        <v/>
      </c>
      <c r="AB131" t="str">
        <f t="shared" ref="AB131:AB194" si="36">IF(AC131&lt;&gt;"",  RANK(AC131,AC$2:AC$202,0)+((COUNTIF(AC$2:AC$202,AC131)-1)*0.5),"" )</f>
        <v/>
      </c>
      <c r="AC131" t="str">
        <f>IF(Input!U131&lt;&gt;"",IF(ISNUMBER(Input!V131),ROUNDDOWN(Input!V131,0),0),"")</f>
        <v/>
      </c>
      <c r="AD131" t="str">
        <f>IF(Input!X131&lt;&gt;"",Input!X131,"")</f>
        <v/>
      </c>
      <c r="AE131" t="str">
        <f t="shared" ref="AE131:AE194" si="37">IF(AF131&lt;&gt;"",  RANK(AF131,AF$2:AF$202,0)+((COUNTIF(AF$2:AF$202,AF131)-1)*0.5),"" )</f>
        <v/>
      </c>
      <c r="AF131" t="str">
        <f>IF(Input!X131&lt;&gt;"",IF(ISNUMBER(Input!Y131),(Input!Y131),0),"")</f>
        <v/>
      </c>
      <c r="AG131" t="str">
        <f>IF(Input!AA131&lt;&gt;"",Input!AA131,"")</f>
        <v/>
      </c>
      <c r="AH131" t="str">
        <f t="shared" ref="AH131:AH194" si="38">IF(AI131&lt;&gt;"",  RANK(AI131,AI$2:AI$202,0)+((COUNTIF(AI$2:AI$202,AI131)-1)*0.5),"" )</f>
        <v/>
      </c>
      <c r="AI131" t="str">
        <f>IF(Input!AA131&lt;&gt;"",IF(ISNUMBER(Input!AB131),ROUNDDOWN(Input!AB131,0),0),"")</f>
        <v/>
      </c>
      <c r="AJ131" t="str">
        <f>IF(Input!AD131&lt;&gt;"",Input!AD131,"")</f>
        <v/>
      </c>
      <c r="AK131" t="str">
        <f t="shared" ref="AK131:AK194" si="39">IF(AL131&lt;&gt;"",  RANK(AL131,AL$2:AL$202,0)+((COUNTIF(AL$2:AL$202,AL131)-1)*0.5),"" )</f>
        <v/>
      </c>
      <c r="AL131" t="str">
        <f>IF(Input!AD131&lt;&gt;"",IF(ISNUMBER(Input!AE131),(Input!AE131),0),"")</f>
        <v/>
      </c>
      <c r="AM131" t="str">
        <f>IF(Input!AG131&lt;&gt;"",Input!AG131,"")</f>
        <v/>
      </c>
      <c r="AN131" t="str">
        <f t="shared" si="29"/>
        <v/>
      </c>
      <c r="AO131" t="str">
        <f>IF(Input!AG131&lt;&gt;"",IF(ISNUMBER(Input!AH131),(Input!AH131),0),"")</f>
        <v/>
      </c>
    </row>
    <row r="132" spans="1:41" ht="16.5" thickTop="1" thickBot="1" x14ac:dyDescent="0.4">
      <c r="A132" s="35">
        <f>IF(ISBLANK(Input!A132),1000,IF(Input!E132&gt;0,Input!E132+F132,1000))</f>
        <v>1000</v>
      </c>
      <c r="B132" s="32">
        <f t="shared" si="30"/>
        <v>1000</v>
      </c>
      <c r="C132" s="4">
        <v>131</v>
      </c>
      <c r="D132" s="97">
        <f>IF(ISBLANK(Input!A132),1000,IF(Input!G132&gt;0,Input!G132+F132,1000))</f>
        <v>1000</v>
      </c>
      <c r="E132" s="97">
        <f t="shared" si="31"/>
        <v>1000</v>
      </c>
      <c r="F132" s="4">
        <v>0.13100000000000001</v>
      </c>
      <c r="I132" t="str">
        <f>IF(Input!A132&gt;0,Input!A132,"")</f>
        <v/>
      </c>
      <c r="J132" t="str">
        <f>IF(Input!B132&gt;0,Input!B132,"")</f>
        <v/>
      </c>
      <c r="K132" t="str">
        <f>IF(Input!C132&gt;0,Input!C132,"")</f>
        <v/>
      </c>
      <c r="L132" t="str">
        <f>IF(Input!D132&gt;0,Input!D132,"")</f>
        <v/>
      </c>
      <c r="M132" t="str">
        <f>IF(Input!G132&gt;0,Input!G132,"")</f>
        <v xml:space="preserve"> </v>
      </c>
      <c r="N132" t="str">
        <f>IF(Input!H132&gt;0,Input!H132,"")</f>
        <v xml:space="preserve"> </v>
      </c>
      <c r="O132" t="str">
        <f>IF(Input!I132&lt;&gt;"",Input!I132,"")</f>
        <v/>
      </c>
      <c r="P132" t="str">
        <f t="shared" si="32"/>
        <v/>
      </c>
      <c r="Q132" t="str">
        <f>IF(Input!I132&lt;&gt;"",IF(ISNUMBER(Input!J132),ROUNDDOWN(Input!J132,0),0),"")</f>
        <v/>
      </c>
      <c r="R132" t="str">
        <f>IF(Input!L132&lt;&gt;"",Input!L132,"")</f>
        <v/>
      </c>
      <c r="S132" t="str">
        <f t="shared" si="33"/>
        <v/>
      </c>
      <c r="T132" t="str">
        <f>IF(Input!L132&lt;&gt;"",IF(ISNUMBER(Input!M132),Input!M132,0),"")</f>
        <v/>
      </c>
      <c r="U132" t="str">
        <f>IF(Input!O132&lt;&gt;"",Input!O132,"")</f>
        <v/>
      </c>
      <c r="V132" t="str">
        <f t="shared" si="34"/>
        <v/>
      </c>
      <c r="W132" t="str">
        <f>IF(Input!O132&lt;&gt;"",IF(ISNUMBER(Input!P132),(Input!P132),0),"")</f>
        <v/>
      </c>
      <c r="X132" t="str">
        <f>IF(Input!R132&lt;&gt;"",Input!R132,"")</f>
        <v/>
      </c>
      <c r="Y132" t="str">
        <f t="shared" si="35"/>
        <v/>
      </c>
      <c r="Z132" t="str">
        <f>IF(Input!R132&lt;&gt;"",IF(ISNUMBER(Input!S132),ROUNDDOWN(Input!S132,0),0),"")</f>
        <v/>
      </c>
      <c r="AA132" t="str">
        <f>IF(Input!U132&lt;&gt;"",Input!U132,"")</f>
        <v/>
      </c>
      <c r="AB132" t="str">
        <f t="shared" si="36"/>
        <v/>
      </c>
      <c r="AC132" t="str">
        <f>IF(Input!U132&lt;&gt;"",IF(ISNUMBER(Input!V132),ROUNDDOWN(Input!V132,0),0),"")</f>
        <v/>
      </c>
      <c r="AD132" t="str">
        <f>IF(Input!X132&lt;&gt;"",Input!X132,"")</f>
        <v/>
      </c>
      <c r="AE132" t="str">
        <f t="shared" si="37"/>
        <v/>
      </c>
      <c r="AF132" t="str">
        <f>IF(Input!X132&lt;&gt;"",IF(ISNUMBER(Input!Y132),(Input!Y132),0),"")</f>
        <v/>
      </c>
      <c r="AG132" t="str">
        <f>IF(Input!AA132&lt;&gt;"",Input!AA132,"")</f>
        <v/>
      </c>
      <c r="AH132" t="str">
        <f t="shared" si="38"/>
        <v/>
      </c>
      <c r="AI132" t="str">
        <f>IF(Input!AA132&lt;&gt;"",IF(ISNUMBER(Input!AB132),ROUNDDOWN(Input!AB132,0),0),"")</f>
        <v/>
      </c>
      <c r="AJ132" t="str">
        <f>IF(Input!AD132&lt;&gt;"",Input!AD132,"")</f>
        <v/>
      </c>
      <c r="AK132" t="str">
        <f t="shared" si="39"/>
        <v/>
      </c>
      <c r="AL132" t="str">
        <f>IF(Input!AD132&lt;&gt;"",IF(ISNUMBER(Input!AE132),(Input!AE132),0),"")</f>
        <v/>
      </c>
      <c r="AM132" t="str">
        <f>IF(Input!AG132&lt;&gt;"",Input!AG132,"")</f>
        <v/>
      </c>
      <c r="AN132" t="str">
        <f t="shared" si="29"/>
        <v/>
      </c>
      <c r="AO132" t="str">
        <f>IF(Input!AG132&lt;&gt;"",IF(ISNUMBER(Input!AH132),(Input!AH132),0),"")</f>
        <v/>
      </c>
    </row>
    <row r="133" spans="1:41" ht="16.5" thickTop="1" thickBot="1" x14ac:dyDescent="0.4">
      <c r="A133" s="35">
        <f>IF(ISBLANK(Input!A133),1000,IF(Input!E133&gt;0,Input!E133+F133,1000))</f>
        <v>1000</v>
      </c>
      <c r="B133" s="32">
        <f t="shared" si="30"/>
        <v>1000</v>
      </c>
      <c r="C133" s="4">
        <v>132</v>
      </c>
      <c r="D133" s="97">
        <f>IF(ISBLANK(Input!A133),1000,IF(Input!G133&gt;0,Input!G133+F133,1000))</f>
        <v>1000</v>
      </c>
      <c r="E133" s="97">
        <f t="shared" si="31"/>
        <v>1000</v>
      </c>
      <c r="F133" s="4">
        <v>0.13200000000000001</v>
      </c>
      <c r="I133" t="str">
        <f>IF(Input!A133&gt;0,Input!A133,"")</f>
        <v/>
      </c>
      <c r="J133" t="str">
        <f>IF(Input!B133&gt;0,Input!B133,"")</f>
        <v/>
      </c>
      <c r="K133" t="str">
        <f>IF(Input!C133&gt;0,Input!C133,"")</f>
        <v/>
      </c>
      <c r="L133" t="str">
        <f>IF(Input!D133&gt;0,Input!D133,"")</f>
        <v/>
      </c>
      <c r="M133" t="str">
        <f>IF(Input!G133&gt;0,Input!G133,"")</f>
        <v xml:space="preserve"> </v>
      </c>
      <c r="N133" t="str">
        <f>IF(Input!H133&gt;0,Input!H133,"")</f>
        <v xml:space="preserve"> </v>
      </c>
      <c r="O133" t="str">
        <f>IF(Input!I133&lt;&gt;"",Input!I133,"")</f>
        <v/>
      </c>
      <c r="P133" t="str">
        <f t="shared" si="32"/>
        <v/>
      </c>
      <c r="Q133" t="str">
        <f>IF(Input!I133&lt;&gt;"",IF(ISNUMBER(Input!J133),ROUNDDOWN(Input!J133,0),0),"")</f>
        <v/>
      </c>
      <c r="R133" t="str">
        <f>IF(Input!L133&lt;&gt;"",Input!L133,"")</f>
        <v/>
      </c>
      <c r="S133" t="str">
        <f t="shared" si="33"/>
        <v/>
      </c>
      <c r="T133" t="str">
        <f>IF(Input!L133&lt;&gt;"",IF(ISNUMBER(Input!M133),Input!M133,0),"")</f>
        <v/>
      </c>
      <c r="U133" t="str">
        <f>IF(Input!O133&lt;&gt;"",Input!O133,"")</f>
        <v/>
      </c>
      <c r="V133" t="str">
        <f t="shared" si="34"/>
        <v/>
      </c>
      <c r="W133" t="str">
        <f>IF(Input!O133&lt;&gt;"",IF(ISNUMBER(Input!P133),(Input!P133),0),"")</f>
        <v/>
      </c>
      <c r="X133" t="str">
        <f>IF(Input!R133&lt;&gt;"",Input!R133,"")</f>
        <v/>
      </c>
      <c r="Y133" t="str">
        <f t="shared" si="35"/>
        <v/>
      </c>
      <c r="Z133" t="str">
        <f>IF(Input!R133&lt;&gt;"",IF(ISNUMBER(Input!S133),ROUNDDOWN(Input!S133,0),0),"")</f>
        <v/>
      </c>
      <c r="AA133" t="str">
        <f>IF(Input!U133&lt;&gt;"",Input!U133,"")</f>
        <v/>
      </c>
      <c r="AB133" t="str">
        <f t="shared" si="36"/>
        <v/>
      </c>
      <c r="AC133" t="str">
        <f>IF(Input!U133&lt;&gt;"",IF(ISNUMBER(Input!V133),ROUNDDOWN(Input!V133,0),0),"")</f>
        <v/>
      </c>
      <c r="AD133" t="str">
        <f>IF(Input!X133&lt;&gt;"",Input!X133,"")</f>
        <v/>
      </c>
      <c r="AE133" t="str">
        <f t="shared" si="37"/>
        <v/>
      </c>
      <c r="AF133" t="str">
        <f>IF(Input!X133&lt;&gt;"",IF(ISNUMBER(Input!Y133),(Input!Y133),0),"")</f>
        <v/>
      </c>
      <c r="AG133" t="str">
        <f>IF(Input!AA133&lt;&gt;"",Input!AA133,"")</f>
        <v/>
      </c>
      <c r="AH133" t="str">
        <f t="shared" si="38"/>
        <v/>
      </c>
      <c r="AI133" t="str">
        <f>IF(Input!AA133&lt;&gt;"",IF(ISNUMBER(Input!AB133),ROUNDDOWN(Input!AB133,0),0),"")</f>
        <v/>
      </c>
      <c r="AJ133" t="str">
        <f>IF(Input!AD133&lt;&gt;"",Input!AD133,"")</f>
        <v/>
      </c>
      <c r="AK133" t="str">
        <f t="shared" si="39"/>
        <v/>
      </c>
      <c r="AL133" t="str">
        <f>IF(Input!AD133&lt;&gt;"",IF(ISNUMBER(Input!AE133),(Input!AE133),0),"")</f>
        <v/>
      </c>
      <c r="AM133" t="str">
        <f>IF(Input!AG133&lt;&gt;"",Input!AG133,"")</f>
        <v/>
      </c>
      <c r="AN133" t="str">
        <f t="shared" si="29"/>
        <v/>
      </c>
      <c r="AO133" t="str">
        <f>IF(Input!AG133&lt;&gt;"",IF(ISNUMBER(Input!AH133),(Input!AH133),0),"")</f>
        <v/>
      </c>
    </row>
    <row r="134" spans="1:41" ht="16.5" thickTop="1" thickBot="1" x14ac:dyDescent="0.4">
      <c r="A134" s="35">
        <f>IF(ISBLANK(Input!A134),1000,IF(Input!E134&gt;0,Input!E134+F134,1000))</f>
        <v>1000</v>
      </c>
      <c r="B134" s="32">
        <f t="shared" si="30"/>
        <v>1000</v>
      </c>
      <c r="C134" s="4">
        <v>133</v>
      </c>
      <c r="D134" s="97">
        <f>IF(ISBLANK(Input!A134),1000,IF(Input!G134&gt;0,Input!G134+F134,1000))</f>
        <v>1000</v>
      </c>
      <c r="E134" s="97">
        <f t="shared" si="31"/>
        <v>1000</v>
      </c>
      <c r="F134" s="4">
        <v>0.13300000000000001</v>
      </c>
      <c r="I134" t="str">
        <f>IF(Input!A134&gt;0,Input!A134,"")</f>
        <v/>
      </c>
      <c r="J134" t="str">
        <f>IF(Input!B134&gt;0,Input!B134,"")</f>
        <v/>
      </c>
      <c r="K134" t="str">
        <f>IF(Input!C134&gt;0,Input!C134,"")</f>
        <v/>
      </c>
      <c r="L134" t="str">
        <f>IF(Input!D134&gt;0,Input!D134,"")</f>
        <v/>
      </c>
      <c r="M134" t="str">
        <f>IF(Input!G134&gt;0,Input!G134,"")</f>
        <v xml:space="preserve"> </v>
      </c>
      <c r="N134" t="str">
        <f>IF(Input!H134&gt;0,Input!H134,"")</f>
        <v xml:space="preserve"> </v>
      </c>
      <c r="O134" t="str">
        <f>IF(Input!I134&lt;&gt;"",Input!I134,"")</f>
        <v/>
      </c>
      <c r="P134" t="str">
        <f t="shared" si="32"/>
        <v/>
      </c>
      <c r="Q134" t="str">
        <f>IF(Input!I134&lt;&gt;"",IF(ISNUMBER(Input!J134),ROUNDDOWN(Input!J134,0),0),"")</f>
        <v/>
      </c>
      <c r="R134" t="str">
        <f>IF(Input!L134&lt;&gt;"",Input!L134,"")</f>
        <v/>
      </c>
      <c r="S134" t="str">
        <f t="shared" si="33"/>
        <v/>
      </c>
      <c r="T134" t="str">
        <f>IF(Input!L134&lt;&gt;"",IF(ISNUMBER(Input!M134),Input!M134,0),"")</f>
        <v/>
      </c>
      <c r="U134" t="str">
        <f>IF(Input!O134&lt;&gt;"",Input!O134,"")</f>
        <v/>
      </c>
      <c r="V134" t="str">
        <f t="shared" si="34"/>
        <v/>
      </c>
      <c r="W134" t="str">
        <f>IF(Input!O134&lt;&gt;"",IF(ISNUMBER(Input!P134),(Input!P134),0),"")</f>
        <v/>
      </c>
      <c r="X134" t="str">
        <f>IF(Input!R134&lt;&gt;"",Input!R134,"")</f>
        <v/>
      </c>
      <c r="Y134" t="str">
        <f t="shared" si="35"/>
        <v/>
      </c>
      <c r="Z134" t="str">
        <f>IF(Input!R134&lt;&gt;"",IF(ISNUMBER(Input!S134),ROUNDDOWN(Input!S134,0),0),"")</f>
        <v/>
      </c>
      <c r="AA134" t="str">
        <f>IF(Input!U134&lt;&gt;"",Input!U134,"")</f>
        <v/>
      </c>
      <c r="AB134" t="str">
        <f t="shared" si="36"/>
        <v/>
      </c>
      <c r="AC134" t="str">
        <f>IF(Input!U134&lt;&gt;"",IF(ISNUMBER(Input!V134),ROUNDDOWN(Input!V134,0),0),"")</f>
        <v/>
      </c>
      <c r="AD134" t="str">
        <f>IF(Input!X134&lt;&gt;"",Input!X134,"")</f>
        <v/>
      </c>
      <c r="AE134" t="str">
        <f t="shared" si="37"/>
        <v/>
      </c>
      <c r="AF134" t="str">
        <f>IF(Input!X134&lt;&gt;"",IF(ISNUMBER(Input!Y134),(Input!Y134),0),"")</f>
        <v/>
      </c>
      <c r="AG134" t="str">
        <f>IF(Input!AA134&lt;&gt;"",Input!AA134,"")</f>
        <v/>
      </c>
      <c r="AH134" t="str">
        <f t="shared" si="38"/>
        <v/>
      </c>
      <c r="AI134" t="str">
        <f>IF(Input!AA134&lt;&gt;"",IF(ISNUMBER(Input!AB134),ROUNDDOWN(Input!AB134,0),0),"")</f>
        <v/>
      </c>
      <c r="AJ134" t="str">
        <f>IF(Input!AD134&lt;&gt;"",Input!AD134,"")</f>
        <v/>
      </c>
      <c r="AK134" t="str">
        <f t="shared" si="39"/>
        <v/>
      </c>
      <c r="AL134" t="str">
        <f>IF(Input!AD134&lt;&gt;"",IF(ISNUMBER(Input!AE134),(Input!AE134),0),"")</f>
        <v/>
      </c>
      <c r="AM134" t="str">
        <f>IF(Input!AG134&lt;&gt;"",Input!AG134,"")</f>
        <v/>
      </c>
      <c r="AN134" t="str">
        <f t="shared" si="29"/>
        <v/>
      </c>
      <c r="AO134" t="str">
        <f>IF(Input!AG134&lt;&gt;"",IF(ISNUMBER(Input!AH134),(Input!AH134),0),"")</f>
        <v/>
      </c>
    </row>
    <row r="135" spans="1:41" ht="16.5" thickTop="1" thickBot="1" x14ac:dyDescent="0.4">
      <c r="A135" s="35">
        <f>IF(ISBLANK(Input!A135),1000,IF(Input!E135&gt;0,Input!E135+F135,1000))</f>
        <v>1000</v>
      </c>
      <c r="B135" s="32">
        <f t="shared" si="30"/>
        <v>1000</v>
      </c>
      <c r="C135" s="4">
        <v>134</v>
      </c>
      <c r="D135" s="97">
        <f>IF(ISBLANK(Input!A135),1000,IF(Input!G135&gt;0,Input!G135+F135,1000))</f>
        <v>1000</v>
      </c>
      <c r="E135" s="97">
        <f t="shared" si="31"/>
        <v>1000</v>
      </c>
      <c r="F135" s="4">
        <v>0.13400000000000001</v>
      </c>
      <c r="I135" t="str">
        <f>IF(Input!A135&gt;0,Input!A135,"")</f>
        <v/>
      </c>
      <c r="J135" t="str">
        <f>IF(Input!B135&gt;0,Input!B135,"")</f>
        <v/>
      </c>
      <c r="K135" t="str">
        <f>IF(Input!C135&gt;0,Input!C135,"")</f>
        <v/>
      </c>
      <c r="L135" t="str">
        <f>IF(Input!D135&gt;0,Input!D135,"")</f>
        <v/>
      </c>
      <c r="M135" t="str">
        <f>IF(Input!G135&gt;0,Input!G135,"")</f>
        <v xml:space="preserve"> </v>
      </c>
      <c r="N135" t="str">
        <f>IF(Input!H135&gt;0,Input!H135,"")</f>
        <v xml:space="preserve"> </v>
      </c>
      <c r="O135" t="str">
        <f>IF(Input!I135&lt;&gt;"",Input!I135,"")</f>
        <v/>
      </c>
      <c r="P135" t="str">
        <f t="shared" si="32"/>
        <v/>
      </c>
      <c r="Q135" t="str">
        <f>IF(Input!I135&lt;&gt;"",IF(ISNUMBER(Input!J135),ROUNDDOWN(Input!J135,0),0),"")</f>
        <v/>
      </c>
      <c r="R135" t="str">
        <f>IF(Input!L135&lt;&gt;"",Input!L135,"")</f>
        <v/>
      </c>
      <c r="S135" t="str">
        <f t="shared" si="33"/>
        <v/>
      </c>
      <c r="T135" t="str">
        <f>IF(Input!L135&lt;&gt;"",IF(ISNUMBER(Input!M135),Input!M135,0),"")</f>
        <v/>
      </c>
      <c r="U135" t="str">
        <f>IF(Input!O135&lt;&gt;"",Input!O135,"")</f>
        <v/>
      </c>
      <c r="V135" t="str">
        <f t="shared" si="34"/>
        <v/>
      </c>
      <c r="W135" t="str">
        <f>IF(Input!O135&lt;&gt;"",IF(ISNUMBER(Input!P135),(Input!P135),0),"")</f>
        <v/>
      </c>
      <c r="X135" t="str">
        <f>IF(Input!R135&lt;&gt;"",Input!R135,"")</f>
        <v/>
      </c>
      <c r="Y135" t="str">
        <f t="shared" si="35"/>
        <v/>
      </c>
      <c r="Z135" t="str">
        <f>IF(Input!R135&lt;&gt;"",IF(ISNUMBER(Input!S135),ROUNDDOWN(Input!S135,0),0),"")</f>
        <v/>
      </c>
      <c r="AA135" t="str">
        <f>IF(Input!U135&lt;&gt;"",Input!U135,"")</f>
        <v/>
      </c>
      <c r="AB135" t="str">
        <f t="shared" si="36"/>
        <v/>
      </c>
      <c r="AC135" t="str">
        <f>IF(Input!U135&lt;&gt;"",IF(ISNUMBER(Input!V135),ROUNDDOWN(Input!V135,0),0),"")</f>
        <v/>
      </c>
      <c r="AD135" t="str">
        <f>IF(Input!X135&lt;&gt;"",Input!X135,"")</f>
        <v/>
      </c>
      <c r="AE135" t="str">
        <f t="shared" si="37"/>
        <v/>
      </c>
      <c r="AF135" t="str">
        <f>IF(Input!X135&lt;&gt;"",IF(ISNUMBER(Input!Y135),(Input!Y135),0),"")</f>
        <v/>
      </c>
      <c r="AG135" t="str">
        <f>IF(Input!AA135&lt;&gt;"",Input!AA135,"")</f>
        <v/>
      </c>
      <c r="AH135" t="str">
        <f t="shared" si="38"/>
        <v/>
      </c>
      <c r="AI135" t="str">
        <f>IF(Input!AA135&lt;&gt;"",IF(ISNUMBER(Input!AB135),ROUNDDOWN(Input!AB135,0),0),"")</f>
        <v/>
      </c>
      <c r="AJ135" t="str">
        <f>IF(Input!AD135&lt;&gt;"",Input!AD135,"")</f>
        <v/>
      </c>
      <c r="AK135" t="str">
        <f t="shared" si="39"/>
        <v/>
      </c>
      <c r="AL135" t="str">
        <f>IF(Input!AD135&lt;&gt;"",IF(ISNUMBER(Input!AE135),(Input!AE135),0),"")</f>
        <v/>
      </c>
      <c r="AM135" t="str">
        <f>IF(Input!AG135&lt;&gt;"",Input!AG135,"")</f>
        <v/>
      </c>
      <c r="AN135" t="str">
        <f t="shared" si="29"/>
        <v/>
      </c>
      <c r="AO135" t="str">
        <f>IF(Input!AG135&lt;&gt;"",IF(ISNUMBER(Input!AH135),(Input!AH135),0),"")</f>
        <v/>
      </c>
    </row>
    <row r="136" spans="1:41" ht="16.5" thickTop="1" thickBot="1" x14ac:dyDescent="0.4">
      <c r="A136" s="35">
        <f>IF(ISBLANK(Input!A136),1000,IF(Input!E136&gt;0,Input!E136+F136,1000))</f>
        <v>1000</v>
      </c>
      <c r="B136" s="32">
        <f t="shared" si="30"/>
        <v>1000</v>
      </c>
      <c r="C136" s="4">
        <v>135</v>
      </c>
      <c r="D136" s="97">
        <f>IF(ISBLANK(Input!A136),1000,IF(Input!G136&gt;0,Input!G136+F136,1000))</f>
        <v>1000</v>
      </c>
      <c r="E136" s="97">
        <f t="shared" si="31"/>
        <v>1000</v>
      </c>
      <c r="F136" s="4">
        <v>0.13500000000000001</v>
      </c>
      <c r="I136" t="str">
        <f>IF(Input!A136&gt;0,Input!A136,"")</f>
        <v/>
      </c>
      <c r="J136" t="str">
        <f>IF(Input!B136&gt;0,Input!B136,"")</f>
        <v/>
      </c>
      <c r="K136" t="str">
        <f>IF(Input!C136&gt;0,Input!C136,"")</f>
        <v/>
      </c>
      <c r="L136" t="str">
        <f>IF(Input!D136&gt;0,Input!D136,"")</f>
        <v/>
      </c>
      <c r="M136" t="str">
        <f>IF(Input!G136&gt;0,Input!G136,"")</f>
        <v xml:space="preserve"> </v>
      </c>
      <c r="N136" t="str">
        <f>IF(Input!H136&gt;0,Input!H136,"")</f>
        <v xml:space="preserve"> </v>
      </c>
      <c r="O136" t="str">
        <f>IF(Input!I136&lt;&gt;"",Input!I136,"")</f>
        <v/>
      </c>
      <c r="P136" t="str">
        <f t="shared" si="32"/>
        <v/>
      </c>
      <c r="Q136" t="str">
        <f>IF(Input!I136&lt;&gt;"",IF(ISNUMBER(Input!J136),ROUNDDOWN(Input!J136,0),0),"")</f>
        <v/>
      </c>
      <c r="R136" t="str">
        <f>IF(Input!L136&lt;&gt;"",Input!L136,"")</f>
        <v/>
      </c>
      <c r="S136" t="str">
        <f t="shared" si="33"/>
        <v/>
      </c>
      <c r="T136" t="str">
        <f>IF(Input!L136&lt;&gt;"",IF(ISNUMBER(Input!M136),Input!M136,0),"")</f>
        <v/>
      </c>
      <c r="U136" t="str">
        <f>IF(Input!O136&lt;&gt;"",Input!O136,"")</f>
        <v/>
      </c>
      <c r="V136" t="str">
        <f t="shared" si="34"/>
        <v/>
      </c>
      <c r="W136" t="str">
        <f>IF(Input!O136&lt;&gt;"",IF(ISNUMBER(Input!P136),(Input!P136),0),"")</f>
        <v/>
      </c>
      <c r="X136" t="str">
        <f>IF(Input!R136&lt;&gt;"",Input!R136,"")</f>
        <v/>
      </c>
      <c r="Y136" t="str">
        <f t="shared" si="35"/>
        <v/>
      </c>
      <c r="Z136" t="str">
        <f>IF(Input!R136&lt;&gt;"",IF(ISNUMBER(Input!S136),ROUNDDOWN(Input!S136,0),0),"")</f>
        <v/>
      </c>
      <c r="AA136" t="str">
        <f>IF(Input!U136&lt;&gt;"",Input!U136,"")</f>
        <v/>
      </c>
      <c r="AB136" t="str">
        <f t="shared" si="36"/>
        <v/>
      </c>
      <c r="AC136" t="str">
        <f>IF(Input!U136&lt;&gt;"",IF(ISNUMBER(Input!V136),ROUNDDOWN(Input!V136,0),0),"")</f>
        <v/>
      </c>
      <c r="AD136" t="str">
        <f>IF(Input!X136&lt;&gt;"",Input!X136,"")</f>
        <v/>
      </c>
      <c r="AE136" t="str">
        <f t="shared" si="37"/>
        <v/>
      </c>
      <c r="AF136" t="str">
        <f>IF(Input!X136&lt;&gt;"",IF(ISNUMBER(Input!Y136),(Input!Y136),0),"")</f>
        <v/>
      </c>
      <c r="AG136" t="str">
        <f>IF(Input!AA136&lt;&gt;"",Input!AA136,"")</f>
        <v/>
      </c>
      <c r="AH136" t="str">
        <f t="shared" si="38"/>
        <v/>
      </c>
      <c r="AI136" t="str">
        <f>IF(Input!AA136&lt;&gt;"",IF(ISNUMBER(Input!AB136),ROUNDDOWN(Input!AB136,0),0),"")</f>
        <v/>
      </c>
      <c r="AJ136" t="str">
        <f>IF(Input!AD136&lt;&gt;"",Input!AD136,"")</f>
        <v/>
      </c>
      <c r="AK136" t="str">
        <f t="shared" si="39"/>
        <v/>
      </c>
      <c r="AL136" t="str">
        <f>IF(Input!AD136&lt;&gt;"",IF(ISNUMBER(Input!AE136),(Input!AE136),0),"")</f>
        <v/>
      </c>
      <c r="AM136" t="str">
        <f>IF(Input!AG136&lt;&gt;"",Input!AG136,"")</f>
        <v/>
      </c>
      <c r="AN136" t="str">
        <f t="shared" si="29"/>
        <v/>
      </c>
      <c r="AO136" t="str">
        <f>IF(Input!AG136&lt;&gt;"",IF(ISNUMBER(Input!AH136),(Input!AH136),0),"")</f>
        <v/>
      </c>
    </row>
    <row r="137" spans="1:41" ht="16.5" thickTop="1" thickBot="1" x14ac:dyDescent="0.4">
      <c r="A137" s="35">
        <f>IF(ISBLANK(Input!A137),1000,IF(Input!E137&gt;0,Input!E137+F137,1000))</f>
        <v>1000</v>
      </c>
      <c r="B137" s="32">
        <f t="shared" si="30"/>
        <v>1000</v>
      </c>
      <c r="C137" s="4">
        <v>136</v>
      </c>
      <c r="D137" s="97">
        <f>IF(ISBLANK(Input!A137),1000,IF(Input!G137&gt;0,Input!G137+F137,1000))</f>
        <v>1000</v>
      </c>
      <c r="E137" s="97">
        <f t="shared" si="31"/>
        <v>1000</v>
      </c>
      <c r="F137" s="4">
        <v>0.13600000000000001</v>
      </c>
      <c r="I137" t="str">
        <f>IF(Input!A137&gt;0,Input!A137,"")</f>
        <v/>
      </c>
      <c r="J137" t="str">
        <f>IF(Input!B137&gt;0,Input!B137,"")</f>
        <v/>
      </c>
      <c r="K137" t="str">
        <f>IF(Input!C137&gt;0,Input!C137,"")</f>
        <v/>
      </c>
      <c r="L137" t="str">
        <f>IF(Input!D137&gt;0,Input!D137,"")</f>
        <v/>
      </c>
      <c r="M137" t="str">
        <f>IF(Input!G137&gt;0,Input!G137,"")</f>
        <v xml:space="preserve"> </v>
      </c>
      <c r="N137" t="str">
        <f>IF(Input!H137&gt;0,Input!H137,"")</f>
        <v xml:space="preserve"> </v>
      </c>
      <c r="O137" t="str">
        <f>IF(Input!I137&lt;&gt;"",Input!I137,"")</f>
        <v/>
      </c>
      <c r="P137" t="str">
        <f t="shared" si="32"/>
        <v/>
      </c>
      <c r="Q137" t="str">
        <f>IF(Input!I137&lt;&gt;"",IF(ISNUMBER(Input!J137),ROUNDDOWN(Input!J137,0),0),"")</f>
        <v/>
      </c>
      <c r="R137" t="str">
        <f>IF(Input!L137&lt;&gt;"",Input!L137,"")</f>
        <v/>
      </c>
      <c r="S137" t="str">
        <f t="shared" si="33"/>
        <v/>
      </c>
      <c r="T137" t="str">
        <f>IF(Input!L137&lt;&gt;"",IF(ISNUMBER(Input!M137),Input!M137,0),"")</f>
        <v/>
      </c>
      <c r="U137" t="str">
        <f>IF(Input!O137&lt;&gt;"",Input!O137,"")</f>
        <v/>
      </c>
      <c r="V137" t="str">
        <f t="shared" si="34"/>
        <v/>
      </c>
      <c r="W137" t="str">
        <f>IF(Input!O137&lt;&gt;"",IF(ISNUMBER(Input!P137),(Input!P137),0),"")</f>
        <v/>
      </c>
      <c r="X137" t="str">
        <f>IF(Input!R137&lt;&gt;"",Input!R137,"")</f>
        <v/>
      </c>
      <c r="Y137" t="str">
        <f t="shared" si="35"/>
        <v/>
      </c>
      <c r="Z137" t="str">
        <f>IF(Input!R137&lt;&gt;"",IF(ISNUMBER(Input!S137),ROUNDDOWN(Input!S137,0),0),"")</f>
        <v/>
      </c>
      <c r="AA137" t="str">
        <f>IF(Input!U137&lt;&gt;"",Input!U137,"")</f>
        <v/>
      </c>
      <c r="AB137" t="str">
        <f t="shared" si="36"/>
        <v/>
      </c>
      <c r="AC137" t="str">
        <f>IF(Input!U137&lt;&gt;"",IF(ISNUMBER(Input!V137),ROUNDDOWN(Input!V137,0),0),"")</f>
        <v/>
      </c>
      <c r="AD137" t="str">
        <f>IF(Input!X137&lt;&gt;"",Input!X137,"")</f>
        <v/>
      </c>
      <c r="AE137" t="str">
        <f t="shared" si="37"/>
        <v/>
      </c>
      <c r="AF137" t="str">
        <f>IF(Input!X137&lt;&gt;"",IF(ISNUMBER(Input!Y137),(Input!Y137),0),"")</f>
        <v/>
      </c>
      <c r="AG137" t="str">
        <f>IF(Input!AA137&lt;&gt;"",Input!AA137,"")</f>
        <v/>
      </c>
      <c r="AH137" t="str">
        <f t="shared" si="38"/>
        <v/>
      </c>
      <c r="AI137" t="str">
        <f>IF(Input!AA137&lt;&gt;"",IF(ISNUMBER(Input!AB137),ROUNDDOWN(Input!AB137,0),0),"")</f>
        <v/>
      </c>
      <c r="AJ137" t="str">
        <f>IF(Input!AD137&lt;&gt;"",Input!AD137,"")</f>
        <v/>
      </c>
      <c r="AK137" t="str">
        <f t="shared" si="39"/>
        <v/>
      </c>
      <c r="AL137" t="str">
        <f>IF(Input!AD137&lt;&gt;"",IF(ISNUMBER(Input!AE137),(Input!AE137),0),"")</f>
        <v/>
      </c>
      <c r="AM137" t="str">
        <f>IF(Input!AG137&lt;&gt;"",Input!AG137,"")</f>
        <v/>
      </c>
      <c r="AN137" t="str">
        <f t="shared" si="29"/>
        <v/>
      </c>
      <c r="AO137" t="str">
        <f>IF(Input!AG137&lt;&gt;"",IF(ISNUMBER(Input!AH137),(Input!AH137),0),"")</f>
        <v/>
      </c>
    </row>
    <row r="138" spans="1:41" ht="16.5" thickTop="1" thickBot="1" x14ac:dyDescent="0.4">
      <c r="A138" s="35">
        <f>IF(ISBLANK(Input!A138),1000,IF(Input!E138&gt;0,Input!E138+F138,1000))</f>
        <v>1000</v>
      </c>
      <c r="B138" s="32">
        <f t="shared" si="30"/>
        <v>1000</v>
      </c>
      <c r="C138" s="4">
        <v>137</v>
      </c>
      <c r="D138" s="97">
        <f>IF(ISBLANK(Input!A138),1000,IF(Input!G138&gt;0,Input!G138+F138,1000))</f>
        <v>1000</v>
      </c>
      <c r="E138" s="97">
        <f t="shared" si="31"/>
        <v>1000</v>
      </c>
      <c r="F138" s="4">
        <v>0.13700000000000001</v>
      </c>
      <c r="I138" t="str">
        <f>IF(Input!A138&gt;0,Input!A138,"")</f>
        <v/>
      </c>
      <c r="J138" t="str">
        <f>IF(Input!B138&gt;0,Input!B138,"")</f>
        <v/>
      </c>
      <c r="K138" t="str">
        <f>IF(Input!C138&gt;0,Input!C138,"")</f>
        <v/>
      </c>
      <c r="L138" t="str">
        <f>IF(Input!D138&gt;0,Input!D138,"")</f>
        <v/>
      </c>
      <c r="M138" t="str">
        <f>IF(Input!G138&gt;0,Input!G138,"")</f>
        <v xml:space="preserve"> </v>
      </c>
      <c r="N138" t="str">
        <f>IF(Input!H138&gt;0,Input!H138,"")</f>
        <v xml:space="preserve"> </v>
      </c>
      <c r="O138" t="str">
        <f>IF(Input!I138&lt;&gt;"",Input!I138,"")</f>
        <v/>
      </c>
      <c r="P138" t="str">
        <f t="shared" si="32"/>
        <v/>
      </c>
      <c r="Q138" t="str">
        <f>IF(Input!I138&lt;&gt;"",IF(ISNUMBER(Input!J138),ROUNDDOWN(Input!J138,0),0),"")</f>
        <v/>
      </c>
      <c r="R138" t="str">
        <f>IF(Input!L138&lt;&gt;"",Input!L138,"")</f>
        <v/>
      </c>
      <c r="S138" t="str">
        <f t="shared" si="33"/>
        <v/>
      </c>
      <c r="T138" t="str">
        <f>IF(Input!L138&lt;&gt;"",IF(ISNUMBER(Input!M138),Input!M138,0),"")</f>
        <v/>
      </c>
      <c r="U138" t="str">
        <f>IF(Input!O138&lt;&gt;"",Input!O138,"")</f>
        <v/>
      </c>
      <c r="V138" t="str">
        <f t="shared" si="34"/>
        <v/>
      </c>
      <c r="W138" t="str">
        <f>IF(Input!O138&lt;&gt;"",IF(ISNUMBER(Input!P138),(Input!P138),0),"")</f>
        <v/>
      </c>
      <c r="X138" t="str">
        <f>IF(Input!R138&lt;&gt;"",Input!R138,"")</f>
        <v/>
      </c>
      <c r="Y138" t="str">
        <f t="shared" si="35"/>
        <v/>
      </c>
      <c r="Z138" t="str">
        <f>IF(Input!R138&lt;&gt;"",IF(ISNUMBER(Input!S138),ROUNDDOWN(Input!S138,0),0),"")</f>
        <v/>
      </c>
      <c r="AA138" t="str">
        <f>IF(Input!U138&lt;&gt;"",Input!U138,"")</f>
        <v/>
      </c>
      <c r="AB138" t="str">
        <f t="shared" si="36"/>
        <v/>
      </c>
      <c r="AC138" t="str">
        <f>IF(Input!U138&lt;&gt;"",IF(ISNUMBER(Input!V138),ROUNDDOWN(Input!V138,0),0),"")</f>
        <v/>
      </c>
      <c r="AD138" t="str">
        <f>IF(Input!X138&lt;&gt;"",Input!X138,"")</f>
        <v/>
      </c>
      <c r="AE138" t="str">
        <f t="shared" si="37"/>
        <v/>
      </c>
      <c r="AF138" t="str">
        <f>IF(Input!X138&lt;&gt;"",IF(ISNUMBER(Input!Y138),(Input!Y138),0),"")</f>
        <v/>
      </c>
      <c r="AG138" t="str">
        <f>IF(Input!AA138&lt;&gt;"",Input!AA138,"")</f>
        <v/>
      </c>
      <c r="AH138" t="str">
        <f t="shared" si="38"/>
        <v/>
      </c>
      <c r="AI138" t="str">
        <f>IF(Input!AA138&lt;&gt;"",IF(ISNUMBER(Input!AB138),ROUNDDOWN(Input!AB138,0),0),"")</f>
        <v/>
      </c>
      <c r="AJ138" t="str">
        <f>IF(Input!AD138&lt;&gt;"",Input!AD138,"")</f>
        <v/>
      </c>
      <c r="AK138" t="str">
        <f t="shared" si="39"/>
        <v/>
      </c>
      <c r="AL138" t="str">
        <f>IF(Input!AD138&lt;&gt;"",IF(ISNUMBER(Input!AE138),(Input!AE138),0),"")</f>
        <v/>
      </c>
      <c r="AM138" t="str">
        <f>IF(Input!AG138&lt;&gt;"",Input!AG138,"")</f>
        <v/>
      </c>
      <c r="AN138" t="str">
        <f t="shared" si="29"/>
        <v/>
      </c>
      <c r="AO138" t="str">
        <f>IF(Input!AG138&lt;&gt;"",IF(ISNUMBER(Input!AH138),(Input!AH138),0),"")</f>
        <v/>
      </c>
    </row>
    <row r="139" spans="1:41" ht="16.5" thickTop="1" thickBot="1" x14ac:dyDescent="0.4">
      <c r="A139" s="35">
        <f>IF(ISBLANK(Input!A139),1000,IF(Input!E139&gt;0,Input!E139+F139,1000))</f>
        <v>1000</v>
      </c>
      <c r="B139" s="32">
        <f t="shared" si="30"/>
        <v>1000</v>
      </c>
      <c r="C139" s="4">
        <v>138</v>
      </c>
      <c r="D139" s="97">
        <f>IF(ISBLANK(Input!A139),1000,IF(Input!G139&gt;0,Input!G139+F139,1000))</f>
        <v>1000</v>
      </c>
      <c r="E139" s="97">
        <f t="shared" si="31"/>
        <v>1000</v>
      </c>
      <c r="F139" s="4">
        <v>0.13800000000000001</v>
      </c>
      <c r="I139" t="str">
        <f>IF(Input!A139&gt;0,Input!A139,"")</f>
        <v/>
      </c>
      <c r="J139" t="str">
        <f>IF(Input!B139&gt;0,Input!B139,"")</f>
        <v/>
      </c>
      <c r="K139" t="str">
        <f>IF(Input!C139&gt;0,Input!C139,"")</f>
        <v/>
      </c>
      <c r="L139" t="str">
        <f>IF(Input!D139&gt;0,Input!D139,"")</f>
        <v/>
      </c>
      <c r="M139" t="str">
        <f>IF(Input!G139&gt;0,Input!G139,"")</f>
        <v xml:space="preserve"> </v>
      </c>
      <c r="N139" t="str">
        <f>IF(Input!H139&gt;0,Input!H139,"")</f>
        <v xml:space="preserve"> </v>
      </c>
      <c r="O139" t="str">
        <f>IF(Input!I139&lt;&gt;"",Input!I139,"")</f>
        <v/>
      </c>
      <c r="P139" t="str">
        <f t="shared" si="32"/>
        <v/>
      </c>
      <c r="Q139" t="str">
        <f>IF(Input!I139&lt;&gt;"",IF(ISNUMBER(Input!J139),ROUNDDOWN(Input!J139,0),0),"")</f>
        <v/>
      </c>
      <c r="R139" t="str">
        <f>IF(Input!L139&lt;&gt;"",Input!L139,"")</f>
        <v/>
      </c>
      <c r="S139" t="str">
        <f t="shared" si="33"/>
        <v/>
      </c>
      <c r="T139" t="str">
        <f>IF(Input!L139&lt;&gt;"",IF(ISNUMBER(Input!M139),Input!M139,0),"")</f>
        <v/>
      </c>
      <c r="U139" t="str">
        <f>IF(Input!O139&lt;&gt;"",Input!O139,"")</f>
        <v/>
      </c>
      <c r="V139" t="str">
        <f t="shared" si="34"/>
        <v/>
      </c>
      <c r="W139" t="str">
        <f>IF(Input!O139&lt;&gt;"",IF(ISNUMBER(Input!P139),(Input!P139),0),"")</f>
        <v/>
      </c>
      <c r="X139" t="str">
        <f>IF(Input!R139&lt;&gt;"",Input!R139,"")</f>
        <v/>
      </c>
      <c r="Y139" t="str">
        <f t="shared" si="35"/>
        <v/>
      </c>
      <c r="Z139" t="str">
        <f>IF(Input!R139&lt;&gt;"",IF(ISNUMBER(Input!S139),ROUNDDOWN(Input!S139,0),0),"")</f>
        <v/>
      </c>
      <c r="AA139" t="str">
        <f>IF(Input!U139&lt;&gt;"",Input!U139,"")</f>
        <v/>
      </c>
      <c r="AB139" t="str">
        <f t="shared" si="36"/>
        <v/>
      </c>
      <c r="AC139" t="str">
        <f>IF(Input!U139&lt;&gt;"",IF(ISNUMBER(Input!V139),ROUNDDOWN(Input!V139,0),0),"")</f>
        <v/>
      </c>
      <c r="AD139" t="str">
        <f>IF(Input!X139&lt;&gt;"",Input!X139,"")</f>
        <v/>
      </c>
      <c r="AE139" t="str">
        <f t="shared" si="37"/>
        <v/>
      </c>
      <c r="AF139" t="str">
        <f>IF(Input!X139&lt;&gt;"",IF(ISNUMBER(Input!Y139),(Input!Y139),0),"")</f>
        <v/>
      </c>
      <c r="AG139" t="str">
        <f>IF(Input!AA139&lt;&gt;"",Input!AA139,"")</f>
        <v/>
      </c>
      <c r="AH139" t="str">
        <f t="shared" si="38"/>
        <v/>
      </c>
      <c r="AI139" t="str">
        <f>IF(Input!AA139&lt;&gt;"",IF(ISNUMBER(Input!AB139),ROUNDDOWN(Input!AB139,0),0),"")</f>
        <v/>
      </c>
      <c r="AJ139" t="str">
        <f>IF(Input!AD139&lt;&gt;"",Input!AD139,"")</f>
        <v/>
      </c>
      <c r="AK139" t="str">
        <f t="shared" si="39"/>
        <v/>
      </c>
      <c r="AL139" t="str">
        <f>IF(Input!AD139&lt;&gt;"",IF(ISNUMBER(Input!AE139),(Input!AE139),0),"")</f>
        <v/>
      </c>
      <c r="AM139" t="str">
        <f>IF(Input!AG139&lt;&gt;"",Input!AG139,"")</f>
        <v/>
      </c>
      <c r="AN139" t="str">
        <f t="shared" si="29"/>
        <v/>
      </c>
      <c r="AO139" t="str">
        <f>IF(Input!AG139&lt;&gt;"",IF(ISNUMBER(Input!AH139),(Input!AH139),0),"")</f>
        <v/>
      </c>
    </row>
    <row r="140" spans="1:41" ht="16.5" thickTop="1" thickBot="1" x14ac:dyDescent="0.4">
      <c r="A140" s="35">
        <f>IF(ISBLANK(Input!A140),1000,IF(Input!E140&gt;0,Input!E140+F140,1000))</f>
        <v>1000</v>
      </c>
      <c r="B140" s="32">
        <f t="shared" si="30"/>
        <v>1000</v>
      </c>
      <c r="C140" s="4">
        <v>139</v>
      </c>
      <c r="D140" s="97">
        <f>IF(ISBLANK(Input!A140),1000,IF(Input!G140&gt;0,Input!G140+F140,1000))</f>
        <v>1000</v>
      </c>
      <c r="E140" s="97">
        <f t="shared" si="31"/>
        <v>1000</v>
      </c>
      <c r="F140" s="4">
        <v>0.13900000000000001</v>
      </c>
      <c r="I140" t="str">
        <f>IF(Input!A140&gt;0,Input!A140,"")</f>
        <v/>
      </c>
      <c r="J140" t="str">
        <f>IF(Input!B140&gt;0,Input!B140,"")</f>
        <v/>
      </c>
      <c r="K140" t="str">
        <f>IF(Input!C140&gt;0,Input!C140,"")</f>
        <v/>
      </c>
      <c r="L140" t="str">
        <f>IF(Input!D140&gt;0,Input!D140,"")</f>
        <v/>
      </c>
      <c r="M140" t="str">
        <f>IF(Input!G140&gt;0,Input!G140,"")</f>
        <v xml:space="preserve"> </v>
      </c>
      <c r="N140" t="str">
        <f>IF(Input!H140&gt;0,Input!H140,"")</f>
        <v xml:space="preserve"> </v>
      </c>
      <c r="O140" t="str">
        <f>IF(Input!I140&lt;&gt;"",Input!I140,"")</f>
        <v/>
      </c>
      <c r="P140" t="str">
        <f t="shared" si="32"/>
        <v/>
      </c>
      <c r="Q140" t="str">
        <f>IF(Input!I140&lt;&gt;"",IF(ISNUMBER(Input!J140),ROUNDDOWN(Input!J140,0),0),"")</f>
        <v/>
      </c>
      <c r="R140" t="str">
        <f>IF(Input!L140&lt;&gt;"",Input!L140,"")</f>
        <v/>
      </c>
      <c r="S140" t="str">
        <f t="shared" si="33"/>
        <v/>
      </c>
      <c r="T140" t="str">
        <f>IF(Input!L140&lt;&gt;"",IF(ISNUMBER(Input!M140),Input!M140,0),"")</f>
        <v/>
      </c>
      <c r="U140" t="str">
        <f>IF(Input!O140&lt;&gt;"",Input!O140,"")</f>
        <v/>
      </c>
      <c r="V140" t="str">
        <f t="shared" si="34"/>
        <v/>
      </c>
      <c r="W140" t="str">
        <f>IF(Input!O140&lt;&gt;"",IF(ISNUMBER(Input!P140),(Input!P140),0),"")</f>
        <v/>
      </c>
      <c r="X140" t="str">
        <f>IF(Input!R140&lt;&gt;"",Input!R140,"")</f>
        <v/>
      </c>
      <c r="Y140" t="str">
        <f t="shared" si="35"/>
        <v/>
      </c>
      <c r="Z140" t="str">
        <f>IF(Input!R140&lt;&gt;"",IF(ISNUMBER(Input!S140),ROUNDDOWN(Input!S140,0),0),"")</f>
        <v/>
      </c>
      <c r="AA140" t="str">
        <f>IF(Input!U140&lt;&gt;"",Input!U140,"")</f>
        <v/>
      </c>
      <c r="AB140" t="str">
        <f t="shared" si="36"/>
        <v/>
      </c>
      <c r="AC140" t="str">
        <f>IF(Input!U140&lt;&gt;"",IF(ISNUMBER(Input!V140),ROUNDDOWN(Input!V140,0),0),"")</f>
        <v/>
      </c>
      <c r="AD140" t="str">
        <f>IF(Input!X140&lt;&gt;"",Input!X140,"")</f>
        <v/>
      </c>
      <c r="AE140" t="str">
        <f t="shared" si="37"/>
        <v/>
      </c>
      <c r="AF140" t="str">
        <f>IF(Input!X140&lt;&gt;"",IF(ISNUMBER(Input!Y140),(Input!Y140),0),"")</f>
        <v/>
      </c>
      <c r="AG140" t="str">
        <f>IF(Input!AA140&lt;&gt;"",Input!AA140,"")</f>
        <v/>
      </c>
      <c r="AH140" t="str">
        <f t="shared" si="38"/>
        <v/>
      </c>
      <c r="AI140" t="str">
        <f>IF(Input!AA140&lt;&gt;"",IF(ISNUMBER(Input!AB140),ROUNDDOWN(Input!AB140,0),0),"")</f>
        <v/>
      </c>
      <c r="AJ140" t="str">
        <f>IF(Input!AD140&lt;&gt;"",Input!AD140,"")</f>
        <v/>
      </c>
      <c r="AK140" t="str">
        <f t="shared" si="39"/>
        <v/>
      </c>
      <c r="AL140" t="str">
        <f>IF(Input!AD140&lt;&gt;"",IF(ISNUMBER(Input!AE140),(Input!AE140),0),"")</f>
        <v/>
      </c>
      <c r="AM140" t="str">
        <f>IF(Input!AG140&lt;&gt;"",Input!AG140,"")</f>
        <v/>
      </c>
      <c r="AN140" t="str">
        <f t="shared" si="29"/>
        <v/>
      </c>
      <c r="AO140" t="str">
        <f>IF(Input!AG140&lt;&gt;"",IF(ISNUMBER(Input!AH140),(Input!AH140),0),"")</f>
        <v/>
      </c>
    </row>
    <row r="141" spans="1:41" ht="16.5" thickTop="1" thickBot="1" x14ac:dyDescent="0.4">
      <c r="A141" s="35">
        <f>IF(ISBLANK(Input!A141),1000,IF(Input!E141&gt;0,Input!E141+F141,1000))</f>
        <v>1000</v>
      </c>
      <c r="B141" s="32">
        <f t="shared" si="30"/>
        <v>1000</v>
      </c>
      <c r="C141" s="4">
        <v>140</v>
      </c>
      <c r="D141" s="97">
        <f>IF(ISBLANK(Input!A141),1000,IF(Input!G141&gt;0,Input!G141+F141,1000))</f>
        <v>1000</v>
      </c>
      <c r="E141" s="97">
        <f t="shared" si="31"/>
        <v>1000</v>
      </c>
      <c r="F141" s="4">
        <v>0.14000000000000001</v>
      </c>
      <c r="I141" t="str">
        <f>IF(Input!A141&gt;0,Input!A141,"")</f>
        <v/>
      </c>
      <c r="J141" t="str">
        <f>IF(Input!B141&gt;0,Input!B141,"")</f>
        <v/>
      </c>
      <c r="K141" t="str">
        <f>IF(Input!C141&gt;0,Input!C141,"")</f>
        <v/>
      </c>
      <c r="L141" t="str">
        <f>IF(Input!D141&gt;0,Input!D141,"")</f>
        <v/>
      </c>
      <c r="M141" t="str">
        <f>IF(Input!G141&gt;0,Input!G141,"")</f>
        <v xml:space="preserve"> </v>
      </c>
      <c r="N141" t="str">
        <f>IF(Input!H141&gt;0,Input!H141,"")</f>
        <v xml:space="preserve"> </v>
      </c>
      <c r="O141" t="str">
        <f>IF(Input!I141&lt;&gt;"",Input!I141,"")</f>
        <v/>
      </c>
      <c r="P141" t="str">
        <f t="shared" si="32"/>
        <v/>
      </c>
      <c r="Q141" t="str">
        <f>IF(Input!I141&lt;&gt;"",IF(ISNUMBER(Input!J141),ROUNDDOWN(Input!J141,0),0),"")</f>
        <v/>
      </c>
      <c r="R141" t="str">
        <f>IF(Input!L141&lt;&gt;"",Input!L141,"")</f>
        <v/>
      </c>
      <c r="S141" t="str">
        <f t="shared" si="33"/>
        <v/>
      </c>
      <c r="T141" t="str">
        <f>IF(Input!L141&lt;&gt;"",IF(ISNUMBER(Input!M141),Input!M141,0),"")</f>
        <v/>
      </c>
      <c r="U141" t="str">
        <f>IF(Input!O141&lt;&gt;"",Input!O141,"")</f>
        <v/>
      </c>
      <c r="V141" t="str">
        <f t="shared" si="34"/>
        <v/>
      </c>
      <c r="W141" t="str">
        <f>IF(Input!O141&lt;&gt;"",IF(ISNUMBER(Input!P141),(Input!P141),0),"")</f>
        <v/>
      </c>
      <c r="X141" t="str">
        <f>IF(Input!R141&lt;&gt;"",Input!R141,"")</f>
        <v/>
      </c>
      <c r="Y141" t="str">
        <f t="shared" si="35"/>
        <v/>
      </c>
      <c r="Z141" t="str">
        <f>IF(Input!R141&lt;&gt;"",IF(ISNUMBER(Input!S141),ROUNDDOWN(Input!S141,0),0),"")</f>
        <v/>
      </c>
      <c r="AA141" t="str">
        <f>IF(Input!U141&lt;&gt;"",Input!U141,"")</f>
        <v/>
      </c>
      <c r="AB141" t="str">
        <f t="shared" si="36"/>
        <v/>
      </c>
      <c r="AC141" t="str">
        <f>IF(Input!U141&lt;&gt;"",IF(ISNUMBER(Input!V141),ROUNDDOWN(Input!V141,0),0),"")</f>
        <v/>
      </c>
      <c r="AD141" t="str">
        <f>IF(Input!X141&lt;&gt;"",Input!X141,"")</f>
        <v/>
      </c>
      <c r="AE141" t="str">
        <f t="shared" si="37"/>
        <v/>
      </c>
      <c r="AF141" t="str">
        <f>IF(Input!X141&lt;&gt;"",IF(ISNUMBER(Input!Y141),(Input!Y141),0),"")</f>
        <v/>
      </c>
      <c r="AG141" t="str">
        <f>IF(Input!AA141&lt;&gt;"",Input!AA141,"")</f>
        <v/>
      </c>
      <c r="AH141" t="str">
        <f t="shared" si="38"/>
        <v/>
      </c>
      <c r="AI141" t="str">
        <f>IF(Input!AA141&lt;&gt;"",IF(ISNUMBER(Input!AB141),ROUNDDOWN(Input!AB141,0),0),"")</f>
        <v/>
      </c>
      <c r="AJ141" t="str">
        <f>IF(Input!AD141&lt;&gt;"",Input!AD141,"")</f>
        <v/>
      </c>
      <c r="AK141" t="str">
        <f t="shared" si="39"/>
        <v/>
      </c>
      <c r="AL141" t="str">
        <f>IF(Input!AD141&lt;&gt;"",IF(ISNUMBER(Input!AE141),(Input!AE141),0),"")</f>
        <v/>
      </c>
      <c r="AM141" t="str">
        <f>IF(Input!AG141&lt;&gt;"",Input!AG141,"")</f>
        <v/>
      </c>
      <c r="AN141" t="str">
        <f t="shared" si="29"/>
        <v/>
      </c>
      <c r="AO141" t="str">
        <f>IF(Input!AG141&lt;&gt;"",IF(ISNUMBER(Input!AH141),(Input!AH141),0),"")</f>
        <v/>
      </c>
    </row>
    <row r="142" spans="1:41" ht="16.5" thickTop="1" thickBot="1" x14ac:dyDescent="0.4">
      <c r="A142" s="35">
        <f>IF(ISBLANK(Input!A142),1000,IF(Input!E142&gt;0,Input!E142+F142,1000))</f>
        <v>1000</v>
      </c>
      <c r="B142" s="32">
        <f t="shared" si="30"/>
        <v>1000</v>
      </c>
      <c r="C142" s="4">
        <v>141</v>
      </c>
      <c r="D142" s="97">
        <f>IF(ISBLANK(Input!A142),1000,IF(Input!G142&gt;0,Input!G142+F142,1000))</f>
        <v>1000</v>
      </c>
      <c r="E142" s="97">
        <f t="shared" si="31"/>
        <v>1000</v>
      </c>
      <c r="F142" s="4">
        <v>0.14099999999999999</v>
      </c>
      <c r="I142" t="str">
        <f>IF(Input!A142&gt;0,Input!A142,"")</f>
        <v/>
      </c>
      <c r="J142" t="str">
        <f>IF(Input!B142&gt;0,Input!B142,"")</f>
        <v/>
      </c>
      <c r="K142" t="str">
        <f>IF(Input!C142&gt;0,Input!C142,"")</f>
        <v/>
      </c>
      <c r="L142" t="str">
        <f>IF(Input!D142&gt;0,Input!D142,"")</f>
        <v/>
      </c>
      <c r="M142" t="str">
        <f>IF(Input!G142&gt;0,Input!G142,"")</f>
        <v xml:space="preserve"> </v>
      </c>
      <c r="N142" t="str">
        <f>IF(Input!H142&gt;0,Input!H142,"")</f>
        <v xml:space="preserve"> </v>
      </c>
      <c r="O142" t="str">
        <f>IF(Input!I142&lt;&gt;"",Input!I142,"")</f>
        <v/>
      </c>
      <c r="P142" t="str">
        <f t="shared" si="32"/>
        <v/>
      </c>
      <c r="Q142" t="str">
        <f>IF(Input!I142&lt;&gt;"",IF(ISNUMBER(Input!J142),ROUNDDOWN(Input!J142,0),0),"")</f>
        <v/>
      </c>
      <c r="R142" t="str">
        <f>IF(Input!L142&lt;&gt;"",Input!L142,"")</f>
        <v/>
      </c>
      <c r="S142" t="str">
        <f t="shared" si="33"/>
        <v/>
      </c>
      <c r="T142" t="str">
        <f>IF(Input!L142&lt;&gt;"",IF(ISNUMBER(Input!M142),Input!M142,0),"")</f>
        <v/>
      </c>
      <c r="U142" t="str">
        <f>IF(Input!O142&lt;&gt;"",Input!O142,"")</f>
        <v/>
      </c>
      <c r="V142" t="str">
        <f t="shared" si="34"/>
        <v/>
      </c>
      <c r="W142" t="str">
        <f>IF(Input!O142&lt;&gt;"",IF(ISNUMBER(Input!P142),(Input!P142),0),"")</f>
        <v/>
      </c>
      <c r="X142" t="str">
        <f>IF(Input!R142&lt;&gt;"",Input!R142,"")</f>
        <v/>
      </c>
      <c r="Y142" t="str">
        <f t="shared" si="35"/>
        <v/>
      </c>
      <c r="Z142" t="str">
        <f>IF(Input!R142&lt;&gt;"",IF(ISNUMBER(Input!S142),ROUNDDOWN(Input!S142,0),0),"")</f>
        <v/>
      </c>
      <c r="AA142" t="str">
        <f>IF(Input!U142&lt;&gt;"",Input!U142,"")</f>
        <v/>
      </c>
      <c r="AB142" t="str">
        <f t="shared" si="36"/>
        <v/>
      </c>
      <c r="AC142" t="str">
        <f>IF(Input!U142&lt;&gt;"",IF(ISNUMBER(Input!V142),ROUNDDOWN(Input!V142,0),0),"")</f>
        <v/>
      </c>
      <c r="AD142" t="str">
        <f>IF(Input!X142&lt;&gt;"",Input!X142,"")</f>
        <v/>
      </c>
      <c r="AE142" t="str">
        <f t="shared" si="37"/>
        <v/>
      </c>
      <c r="AF142" t="str">
        <f>IF(Input!X142&lt;&gt;"",IF(ISNUMBER(Input!Y142),(Input!Y142),0),"")</f>
        <v/>
      </c>
      <c r="AG142" t="str">
        <f>IF(Input!AA142&lt;&gt;"",Input!AA142,"")</f>
        <v/>
      </c>
      <c r="AH142" t="str">
        <f t="shared" si="38"/>
        <v/>
      </c>
      <c r="AI142" t="str">
        <f>IF(Input!AA142&lt;&gt;"",IF(ISNUMBER(Input!AB142),ROUNDDOWN(Input!AB142,0),0),"")</f>
        <v/>
      </c>
      <c r="AJ142" t="str">
        <f>IF(Input!AD142&lt;&gt;"",Input!AD142,"")</f>
        <v/>
      </c>
      <c r="AK142" t="str">
        <f t="shared" si="39"/>
        <v/>
      </c>
      <c r="AL142" t="str">
        <f>IF(Input!AD142&lt;&gt;"",IF(ISNUMBER(Input!AE142),(Input!AE142),0),"")</f>
        <v/>
      </c>
      <c r="AM142" t="str">
        <f>IF(Input!AG142&lt;&gt;"",Input!AG142,"")</f>
        <v/>
      </c>
      <c r="AN142" t="str">
        <f t="shared" si="29"/>
        <v/>
      </c>
      <c r="AO142" t="str">
        <f>IF(Input!AG142&lt;&gt;"",IF(ISNUMBER(Input!AH142),(Input!AH142),0),"")</f>
        <v/>
      </c>
    </row>
    <row r="143" spans="1:41" ht="16.5" thickTop="1" thickBot="1" x14ac:dyDescent="0.4">
      <c r="A143" s="35">
        <f>IF(ISBLANK(Input!A143),1000,IF(Input!E143&gt;0,Input!E143+F143,1000))</f>
        <v>1000</v>
      </c>
      <c r="B143" s="32">
        <f t="shared" si="30"/>
        <v>1000</v>
      </c>
      <c r="C143" s="4">
        <v>142</v>
      </c>
      <c r="D143" s="97">
        <f>IF(ISBLANK(Input!A143),1000,IF(Input!G143&gt;0,Input!G143+F143,1000))</f>
        <v>1000</v>
      </c>
      <c r="E143" s="97">
        <f t="shared" si="31"/>
        <v>1000</v>
      </c>
      <c r="F143" s="4">
        <v>0.14199999999999999</v>
      </c>
      <c r="I143" t="str">
        <f>IF(Input!A143&gt;0,Input!A143,"")</f>
        <v/>
      </c>
      <c r="J143" t="str">
        <f>IF(Input!B143&gt;0,Input!B143,"")</f>
        <v/>
      </c>
      <c r="K143" t="str">
        <f>IF(Input!C143&gt;0,Input!C143,"")</f>
        <v/>
      </c>
      <c r="L143" t="str">
        <f>IF(Input!D143&gt;0,Input!D143,"")</f>
        <v/>
      </c>
      <c r="M143" t="str">
        <f>IF(Input!G143&gt;0,Input!G143,"")</f>
        <v xml:space="preserve"> </v>
      </c>
      <c r="N143" t="str">
        <f>IF(Input!H143&gt;0,Input!H143,"")</f>
        <v xml:space="preserve"> </v>
      </c>
      <c r="O143" t="str">
        <f>IF(Input!I143&lt;&gt;"",Input!I143,"")</f>
        <v/>
      </c>
      <c r="P143" t="str">
        <f t="shared" si="32"/>
        <v/>
      </c>
      <c r="Q143" t="str">
        <f>IF(Input!I143&lt;&gt;"",IF(ISNUMBER(Input!J143),ROUNDDOWN(Input!J143,0),0),"")</f>
        <v/>
      </c>
      <c r="R143" t="str">
        <f>IF(Input!L143&lt;&gt;"",Input!L143,"")</f>
        <v/>
      </c>
      <c r="S143" t="str">
        <f t="shared" si="33"/>
        <v/>
      </c>
      <c r="T143" t="str">
        <f>IF(Input!L143&lt;&gt;"",IF(ISNUMBER(Input!M143),Input!M143,0),"")</f>
        <v/>
      </c>
      <c r="U143" t="str">
        <f>IF(Input!O143&lt;&gt;"",Input!O143,"")</f>
        <v/>
      </c>
      <c r="V143" t="str">
        <f t="shared" si="34"/>
        <v/>
      </c>
      <c r="W143" t="str">
        <f>IF(Input!O143&lt;&gt;"",IF(ISNUMBER(Input!P143),(Input!P143),0),"")</f>
        <v/>
      </c>
      <c r="X143" t="str">
        <f>IF(Input!R143&lt;&gt;"",Input!R143,"")</f>
        <v/>
      </c>
      <c r="Y143" t="str">
        <f t="shared" si="35"/>
        <v/>
      </c>
      <c r="Z143" t="str">
        <f>IF(Input!R143&lt;&gt;"",IF(ISNUMBER(Input!S143),ROUNDDOWN(Input!S143,0),0),"")</f>
        <v/>
      </c>
      <c r="AA143" t="str">
        <f>IF(Input!U143&lt;&gt;"",Input!U143,"")</f>
        <v/>
      </c>
      <c r="AB143" t="str">
        <f t="shared" si="36"/>
        <v/>
      </c>
      <c r="AC143" t="str">
        <f>IF(Input!U143&lt;&gt;"",IF(ISNUMBER(Input!V143),ROUNDDOWN(Input!V143,0),0),"")</f>
        <v/>
      </c>
      <c r="AD143" t="str">
        <f>IF(Input!X143&lt;&gt;"",Input!X143,"")</f>
        <v/>
      </c>
      <c r="AE143" t="str">
        <f t="shared" si="37"/>
        <v/>
      </c>
      <c r="AF143" t="str">
        <f>IF(Input!X143&lt;&gt;"",IF(ISNUMBER(Input!Y143),(Input!Y143),0),"")</f>
        <v/>
      </c>
      <c r="AG143" t="str">
        <f>IF(Input!AA143&lt;&gt;"",Input!AA143,"")</f>
        <v/>
      </c>
      <c r="AH143" t="str">
        <f t="shared" si="38"/>
        <v/>
      </c>
      <c r="AI143" t="str">
        <f>IF(Input!AA143&lt;&gt;"",IF(ISNUMBER(Input!AB143),ROUNDDOWN(Input!AB143,0),0),"")</f>
        <v/>
      </c>
      <c r="AJ143" t="str">
        <f>IF(Input!AD143&lt;&gt;"",Input!AD143,"")</f>
        <v/>
      </c>
      <c r="AK143" t="str">
        <f t="shared" si="39"/>
        <v/>
      </c>
      <c r="AL143" t="str">
        <f>IF(Input!AD143&lt;&gt;"",IF(ISNUMBER(Input!AE143),(Input!AE143),0),"")</f>
        <v/>
      </c>
      <c r="AM143" t="str">
        <f>IF(Input!AG143&lt;&gt;"",Input!AG143,"")</f>
        <v/>
      </c>
      <c r="AN143" t="str">
        <f t="shared" si="29"/>
        <v/>
      </c>
      <c r="AO143" t="str">
        <f>IF(Input!AG143&lt;&gt;"",IF(ISNUMBER(Input!AH143),(Input!AH143),0),"")</f>
        <v/>
      </c>
    </row>
    <row r="144" spans="1:41" ht="16.5" thickTop="1" thickBot="1" x14ac:dyDescent="0.4">
      <c r="A144" s="35">
        <f>IF(ISBLANK(Input!A144),1000,IF(Input!E144&gt;0,Input!E144+F144,1000))</f>
        <v>1000</v>
      </c>
      <c r="B144" s="32">
        <f t="shared" si="30"/>
        <v>1000</v>
      </c>
      <c r="C144" s="4">
        <v>143</v>
      </c>
      <c r="D144" s="97">
        <f>IF(ISBLANK(Input!A144),1000,IF(Input!G144&gt;0,Input!G144+F144,1000))</f>
        <v>1000</v>
      </c>
      <c r="E144" s="97">
        <f t="shared" si="31"/>
        <v>1000</v>
      </c>
      <c r="F144" s="4">
        <v>0.14299999999999999</v>
      </c>
      <c r="I144" t="str">
        <f>IF(Input!A144&gt;0,Input!A144,"")</f>
        <v/>
      </c>
      <c r="J144" t="str">
        <f>IF(Input!B144&gt;0,Input!B144,"")</f>
        <v/>
      </c>
      <c r="K144" t="str">
        <f>IF(Input!C144&gt;0,Input!C144,"")</f>
        <v/>
      </c>
      <c r="L144" t="str">
        <f>IF(Input!D144&gt;0,Input!D144,"")</f>
        <v/>
      </c>
      <c r="M144" t="str">
        <f>IF(Input!G144&gt;0,Input!G144,"")</f>
        <v xml:space="preserve"> </v>
      </c>
      <c r="N144" t="str">
        <f>IF(Input!H144&gt;0,Input!H144,"")</f>
        <v xml:space="preserve"> </v>
      </c>
      <c r="O144" t="str">
        <f>IF(Input!I144&lt;&gt;"",Input!I144,"")</f>
        <v/>
      </c>
      <c r="P144" t="str">
        <f t="shared" si="32"/>
        <v/>
      </c>
      <c r="Q144" t="str">
        <f>IF(Input!I144&lt;&gt;"",IF(ISNUMBER(Input!J144),ROUNDDOWN(Input!J144,0),0),"")</f>
        <v/>
      </c>
      <c r="R144" t="str">
        <f>IF(Input!L144&lt;&gt;"",Input!L144,"")</f>
        <v/>
      </c>
      <c r="S144" t="str">
        <f t="shared" si="33"/>
        <v/>
      </c>
      <c r="T144" t="str">
        <f>IF(Input!L144&lt;&gt;"",IF(ISNUMBER(Input!M144),Input!M144,0),"")</f>
        <v/>
      </c>
      <c r="U144" t="str">
        <f>IF(Input!O144&lt;&gt;"",Input!O144,"")</f>
        <v/>
      </c>
      <c r="V144" t="str">
        <f t="shared" si="34"/>
        <v/>
      </c>
      <c r="W144" t="str">
        <f>IF(Input!O144&lt;&gt;"",IF(ISNUMBER(Input!P144),(Input!P144),0),"")</f>
        <v/>
      </c>
      <c r="X144" t="str">
        <f>IF(Input!R144&lt;&gt;"",Input!R144,"")</f>
        <v/>
      </c>
      <c r="Y144" t="str">
        <f t="shared" si="35"/>
        <v/>
      </c>
      <c r="Z144" t="str">
        <f>IF(Input!R144&lt;&gt;"",IF(ISNUMBER(Input!S144),ROUNDDOWN(Input!S144,0),0),"")</f>
        <v/>
      </c>
      <c r="AA144" t="str">
        <f>IF(Input!U144&lt;&gt;"",Input!U144,"")</f>
        <v/>
      </c>
      <c r="AB144" t="str">
        <f t="shared" si="36"/>
        <v/>
      </c>
      <c r="AC144" t="str">
        <f>IF(Input!U144&lt;&gt;"",IF(ISNUMBER(Input!V144),ROUNDDOWN(Input!V144,0),0),"")</f>
        <v/>
      </c>
      <c r="AD144" t="str">
        <f>IF(Input!X144&lt;&gt;"",Input!X144,"")</f>
        <v/>
      </c>
      <c r="AE144" t="str">
        <f t="shared" si="37"/>
        <v/>
      </c>
      <c r="AF144" t="str">
        <f>IF(Input!X144&lt;&gt;"",IF(ISNUMBER(Input!Y144),(Input!Y144),0),"")</f>
        <v/>
      </c>
      <c r="AG144" t="str">
        <f>IF(Input!AA144&lt;&gt;"",Input!AA144,"")</f>
        <v/>
      </c>
      <c r="AH144" t="str">
        <f t="shared" si="38"/>
        <v/>
      </c>
      <c r="AI144" t="str">
        <f>IF(Input!AA144&lt;&gt;"",IF(ISNUMBER(Input!AB144),ROUNDDOWN(Input!AB144,0),0),"")</f>
        <v/>
      </c>
      <c r="AJ144" t="str">
        <f>IF(Input!AD144&lt;&gt;"",Input!AD144,"")</f>
        <v/>
      </c>
      <c r="AK144" t="str">
        <f t="shared" si="39"/>
        <v/>
      </c>
      <c r="AL144" t="str">
        <f>IF(Input!AD144&lt;&gt;"",IF(ISNUMBER(Input!AE144),(Input!AE144),0),"")</f>
        <v/>
      </c>
      <c r="AM144" t="str">
        <f>IF(Input!AG144&lt;&gt;"",Input!AG144,"")</f>
        <v/>
      </c>
      <c r="AN144" t="str">
        <f t="shared" si="29"/>
        <v/>
      </c>
      <c r="AO144" t="str">
        <f>IF(Input!AG144&lt;&gt;"",IF(ISNUMBER(Input!AH144),(Input!AH144),0),"")</f>
        <v/>
      </c>
    </row>
    <row r="145" spans="1:41" ht="16.5" thickTop="1" thickBot="1" x14ac:dyDescent="0.4">
      <c r="A145" s="35">
        <f>IF(ISBLANK(Input!A145),1000,IF(Input!E145&gt;0,Input!E145+F145,1000))</f>
        <v>1000</v>
      </c>
      <c r="B145" s="32">
        <f t="shared" si="30"/>
        <v>1000</v>
      </c>
      <c r="C145" s="4">
        <v>144</v>
      </c>
      <c r="D145" s="97">
        <f>IF(ISBLANK(Input!A145),1000,IF(Input!G145&gt;0,Input!G145+F145,1000))</f>
        <v>1000</v>
      </c>
      <c r="E145" s="97">
        <f t="shared" si="31"/>
        <v>1000</v>
      </c>
      <c r="F145" s="4">
        <v>0.14399999999999999</v>
      </c>
      <c r="I145" t="str">
        <f>IF(Input!A145&gt;0,Input!A145,"")</f>
        <v/>
      </c>
      <c r="J145" t="str">
        <f>IF(Input!B145&gt;0,Input!B145,"")</f>
        <v/>
      </c>
      <c r="K145" t="str">
        <f>IF(Input!C145&gt;0,Input!C145,"")</f>
        <v/>
      </c>
      <c r="L145" t="str">
        <f>IF(Input!D145&gt;0,Input!D145,"")</f>
        <v/>
      </c>
      <c r="M145" t="str">
        <f>IF(Input!G145&gt;0,Input!G145,"")</f>
        <v xml:space="preserve"> </v>
      </c>
      <c r="N145" t="str">
        <f>IF(Input!H145&gt;0,Input!H145,"")</f>
        <v xml:space="preserve"> </v>
      </c>
      <c r="O145" t="str">
        <f>IF(Input!I145&lt;&gt;"",Input!I145,"")</f>
        <v/>
      </c>
      <c r="P145" t="str">
        <f t="shared" si="32"/>
        <v/>
      </c>
      <c r="Q145" t="str">
        <f>IF(Input!I145&lt;&gt;"",IF(ISNUMBER(Input!J145),ROUNDDOWN(Input!J145,0),0),"")</f>
        <v/>
      </c>
      <c r="R145" t="str">
        <f>IF(Input!L145&lt;&gt;"",Input!L145,"")</f>
        <v/>
      </c>
      <c r="S145" t="str">
        <f t="shared" si="33"/>
        <v/>
      </c>
      <c r="T145" t="str">
        <f>IF(Input!L145&lt;&gt;"",IF(ISNUMBER(Input!M145),Input!M145,0),"")</f>
        <v/>
      </c>
      <c r="U145" t="str">
        <f>IF(Input!O145&lt;&gt;"",Input!O145,"")</f>
        <v/>
      </c>
      <c r="V145" t="str">
        <f t="shared" si="34"/>
        <v/>
      </c>
      <c r="W145" t="str">
        <f>IF(Input!O145&lt;&gt;"",IF(ISNUMBER(Input!P145),(Input!P145),0),"")</f>
        <v/>
      </c>
      <c r="X145" t="str">
        <f>IF(Input!R145&lt;&gt;"",Input!R145,"")</f>
        <v/>
      </c>
      <c r="Y145" t="str">
        <f t="shared" si="35"/>
        <v/>
      </c>
      <c r="Z145" t="str">
        <f>IF(Input!R145&lt;&gt;"",IF(ISNUMBER(Input!S145),ROUNDDOWN(Input!S145,0),0),"")</f>
        <v/>
      </c>
      <c r="AA145" t="str">
        <f>IF(Input!U145&lt;&gt;"",Input!U145,"")</f>
        <v/>
      </c>
      <c r="AB145" t="str">
        <f t="shared" si="36"/>
        <v/>
      </c>
      <c r="AC145" t="str">
        <f>IF(Input!U145&lt;&gt;"",IF(ISNUMBER(Input!V145),ROUNDDOWN(Input!V145,0),0),"")</f>
        <v/>
      </c>
      <c r="AD145" t="str">
        <f>IF(Input!X145&lt;&gt;"",Input!X145,"")</f>
        <v/>
      </c>
      <c r="AE145" t="str">
        <f t="shared" si="37"/>
        <v/>
      </c>
      <c r="AF145" t="str">
        <f>IF(Input!X145&lt;&gt;"",IF(ISNUMBER(Input!Y145),(Input!Y145),0),"")</f>
        <v/>
      </c>
      <c r="AG145" t="str">
        <f>IF(Input!AA145&lt;&gt;"",Input!AA145,"")</f>
        <v/>
      </c>
      <c r="AH145" t="str">
        <f t="shared" si="38"/>
        <v/>
      </c>
      <c r="AI145" t="str">
        <f>IF(Input!AA145&lt;&gt;"",IF(ISNUMBER(Input!AB145),ROUNDDOWN(Input!AB145,0),0),"")</f>
        <v/>
      </c>
      <c r="AJ145" t="str">
        <f>IF(Input!AD145&lt;&gt;"",Input!AD145,"")</f>
        <v/>
      </c>
      <c r="AK145" t="str">
        <f t="shared" si="39"/>
        <v/>
      </c>
      <c r="AL145" t="str">
        <f>IF(Input!AD145&lt;&gt;"",IF(ISNUMBER(Input!AE145),(Input!AE145),0),"")</f>
        <v/>
      </c>
      <c r="AM145" t="str">
        <f>IF(Input!AG145&lt;&gt;"",Input!AG145,"")</f>
        <v/>
      </c>
      <c r="AN145" t="str">
        <f t="shared" si="29"/>
        <v/>
      </c>
      <c r="AO145" t="str">
        <f>IF(Input!AG145&lt;&gt;"",IF(ISNUMBER(Input!AH145),(Input!AH145),0),"")</f>
        <v/>
      </c>
    </row>
    <row r="146" spans="1:41" ht="16.5" thickTop="1" thickBot="1" x14ac:dyDescent="0.4">
      <c r="A146" s="35">
        <f>IF(ISBLANK(Input!A146),1000,IF(Input!E146&gt;0,Input!E146+F146,1000))</f>
        <v>1000</v>
      </c>
      <c r="B146" s="32">
        <f t="shared" si="30"/>
        <v>1000</v>
      </c>
      <c r="C146" s="4">
        <v>145</v>
      </c>
      <c r="D146" s="97">
        <f>IF(ISBLANK(Input!A146),1000,IF(Input!G146&gt;0,Input!G146+F146,1000))</f>
        <v>1000</v>
      </c>
      <c r="E146" s="97">
        <f t="shared" si="31"/>
        <v>1000</v>
      </c>
      <c r="F146" s="4">
        <v>0.14499999999999999</v>
      </c>
      <c r="I146" t="str">
        <f>IF(Input!A146&gt;0,Input!A146,"")</f>
        <v/>
      </c>
      <c r="J146" t="str">
        <f>IF(Input!B146&gt;0,Input!B146,"")</f>
        <v/>
      </c>
      <c r="K146" t="str">
        <f>IF(Input!C146&gt;0,Input!C146,"")</f>
        <v/>
      </c>
      <c r="L146" t="str">
        <f>IF(Input!D146&gt;0,Input!D146,"")</f>
        <v/>
      </c>
      <c r="M146" t="str">
        <f>IF(Input!G146&gt;0,Input!G146,"")</f>
        <v xml:space="preserve"> </v>
      </c>
      <c r="N146" t="str">
        <f>IF(Input!H146&gt;0,Input!H146,"")</f>
        <v xml:space="preserve"> </v>
      </c>
      <c r="O146" t="str">
        <f>IF(Input!I146&lt;&gt;"",Input!I146,"")</f>
        <v/>
      </c>
      <c r="P146" t="str">
        <f t="shared" si="32"/>
        <v/>
      </c>
      <c r="Q146" t="str">
        <f>IF(Input!I146&lt;&gt;"",IF(ISNUMBER(Input!J146),ROUNDDOWN(Input!J146,0),0),"")</f>
        <v/>
      </c>
      <c r="R146" t="str">
        <f>IF(Input!L146&lt;&gt;"",Input!L146,"")</f>
        <v/>
      </c>
      <c r="S146" t="str">
        <f t="shared" si="33"/>
        <v/>
      </c>
      <c r="T146" t="str">
        <f>IF(Input!L146&lt;&gt;"",IF(ISNUMBER(Input!M146),Input!M146,0),"")</f>
        <v/>
      </c>
      <c r="U146" t="str">
        <f>IF(Input!O146&lt;&gt;"",Input!O146,"")</f>
        <v/>
      </c>
      <c r="V146" t="str">
        <f t="shared" si="34"/>
        <v/>
      </c>
      <c r="W146" t="str">
        <f>IF(Input!O146&lt;&gt;"",IF(ISNUMBER(Input!P146),(Input!P146),0),"")</f>
        <v/>
      </c>
      <c r="X146" t="str">
        <f>IF(Input!R146&lt;&gt;"",Input!R146,"")</f>
        <v/>
      </c>
      <c r="Y146" t="str">
        <f t="shared" si="35"/>
        <v/>
      </c>
      <c r="Z146" t="str">
        <f>IF(Input!R146&lt;&gt;"",IF(ISNUMBER(Input!S146),ROUNDDOWN(Input!S146,0),0),"")</f>
        <v/>
      </c>
      <c r="AA146" t="str">
        <f>IF(Input!U146&lt;&gt;"",Input!U146,"")</f>
        <v/>
      </c>
      <c r="AB146" t="str">
        <f t="shared" si="36"/>
        <v/>
      </c>
      <c r="AC146" t="str">
        <f>IF(Input!U146&lt;&gt;"",IF(ISNUMBER(Input!V146),ROUNDDOWN(Input!V146,0),0),"")</f>
        <v/>
      </c>
      <c r="AD146" t="str">
        <f>IF(Input!X146&lt;&gt;"",Input!X146,"")</f>
        <v/>
      </c>
      <c r="AE146" t="str">
        <f t="shared" si="37"/>
        <v/>
      </c>
      <c r="AF146" t="str">
        <f>IF(Input!X146&lt;&gt;"",IF(ISNUMBER(Input!Y146),(Input!Y146),0),"")</f>
        <v/>
      </c>
      <c r="AG146" t="str">
        <f>IF(Input!AA146&lt;&gt;"",Input!AA146,"")</f>
        <v/>
      </c>
      <c r="AH146" t="str">
        <f t="shared" si="38"/>
        <v/>
      </c>
      <c r="AI146" t="str">
        <f>IF(Input!AA146&lt;&gt;"",IF(ISNUMBER(Input!AB146),ROUNDDOWN(Input!AB146,0),0),"")</f>
        <v/>
      </c>
      <c r="AJ146" t="str">
        <f>IF(Input!AD146&lt;&gt;"",Input!AD146,"")</f>
        <v/>
      </c>
      <c r="AK146" t="str">
        <f t="shared" si="39"/>
        <v/>
      </c>
      <c r="AL146" t="str">
        <f>IF(Input!AD146&lt;&gt;"",IF(ISNUMBER(Input!AE146),(Input!AE146),0),"")</f>
        <v/>
      </c>
      <c r="AM146" t="str">
        <f>IF(Input!AG146&lt;&gt;"",Input!AG146,"")</f>
        <v/>
      </c>
      <c r="AN146" t="str">
        <f t="shared" si="29"/>
        <v/>
      </c>
      <c r="AO146" t="str">
        <f>IF(Input!AG146&lt;&gt;"",IF(ISNUMBER(Input!AH146),(Input!AH146),0),"")</f>
        <v/>
      </c>
    </row>
    <row r="147" spans="1:41" ht="16.5" thickTop="1" thickBot="1" x14ac:dyDescent="0.4">
      <c r="A147" s="35">
        <f>IF(ISBLANK(Input!A147),1000,IF(Input!E147&gt;0,Input!E147+F147,1000))</f>
        <v>1000</v>
      </c>
      <c r="B147" s="32">
        <f t="shared" si="30"/>
        <v>1000</v>
      </c>
      <c r="C147" s="4">
        <v>146</v>
      </c>
      <c r="D147" s="97">
        <f>IF(ISBLANK(Input!A147),1000,IF(Input!G147&gt;0,Input!G147+F147,1000))</f>
        <v>1000</v>
      </c>
      <c r="E147" s="97">
        <f t="shared" si="31"/>
        <v>1000</v>
      </c>
      <c r="F147" s="4">
        <v>0.14599999999999999</v>
      </c>
      <c r="I147" t="str">
        <f>IF(Input!A147&gt;0,Input!A147,"")</f>
        <v/>
      </c>
      <c r="J147" t="str">
        <f>IF(Input!B147&gt;0,Input!B147,"")</f>
        <v/>
      </c>
      <c r="K147" t="str">
        <f>IF(Input!C147&gt;0,Input!C147,"")</f>
        <v/>
      </c>
      <c r="L147" t="str">
        <f>IF(Input!D147&gt;0,Input!D147,"")</f>
        <v/>
      </c>
      <c r="M147" t="str">
        <f>IF(Input!G147&gt;0,Input!G147,"")</f>
        <v xml:space="preserve"> </v>
      </c>
      <c r="N147" t="str">
        <f>IF(Input!H147&gt;0,Input!H147,"")</f>
        <v xml:space="preserve"> </v>
      </c>
      <c r="O147" t="str">
        <f>IF(Input!I147&lt;&gt;"",Input!I147,"")</f>
        <v/>
      </c>
      <c r="P147" t="str">
        <f t="shared" si="32"/>
        <v/>
      </c>
      <c r="Q147" t="str">
        <f>IF(Input!I147&lt;&gt;"",IF(ISNUMBER(Input!J147),ROUNDDOWN(Input!J147,0),0),"")</f>
        <v/>
      </c>
      <c r="R147" t="str">
        <f>IF(Input!L147&lt;&gt;"",Input!L147,"")</f>
        <v/>
      </c>
      <c r="S147" t="str">
        <f t="shared" si="33"/>
        <v/>
      </c>
      <c r="T147" t="str">
        <f>IF(Input!L147&lt;&gt;"",IF(ISNUMBER(Input!M147),Input!M147,0),"")</f>
        <v/>
      </c>
      <c r="U147" t="str">
        <f>IF(Input!O147&lt;&gt;"",Input!O147,"")</f>
        <v/>
      </c>
      <c r="V147" t="str">
        <f t="shared" si="34"/>
        <v/>
      </c>
      <c r="W147" t="str">
        <f>IF(Input!O147&lt;&gt;"",IF(ISNUMBER(Input!P147),(Input!P147),0),"")</f>
        <v/>
      </c>
      <c r="X147" t="str">
        <f>IF(Input!R147&lt;&gt;"",Input!R147,"")</f>
        <v/>
      </c>
      <c r="Y147" t="str">
        <f t="shared" si="35"/>
        <v/>
      </c>
      <c r="Z147" t="str">
        <f>IF(Input!R147&lt;&gt;"",IF(ISNUMBER(Input!S147),ROUNDDOWN(Input!S147,0),0),"")</f>
        <v/>
      </c>
      <c r="AA147" t="str">
        <f>IF(Input!U147&lt;&gt;"",Input!U147,"")</f>
        <v/>
      </c>
      <c r="AB147" t="str">
        <f t="shared" si="36"/>
        <v/>
      </c>
      <c r="AC147" t="str">
        <f>IF(Input!U147&lt;&gt;"",IF(ISNUMBER(Input!V147),ROUNDDOWN(Input!V147,0),0),"")</f>
        <v/>
      </c>
      <c r="AD147" t="str">
        <f>IF(Input!X147&lt;&gt;"",Input!X147,"")</f>
        <v/>
      </c>
      <c r="AE147" t="str">
        <f t="shared" si="37"/>
        <v/>
      </c>
      <c r="AF147" t="str">
        <f>IF(Input!X147&lt;&gt;"",IF(ISNUMBER(Input!Y147),(Input!Y147),0),"")</f>
        <v/>
      </c>
      <c r="AG147" t="str">
        <f>IF(Input!AA147&lt;&gt;"",Input!AA147,"")</f>
        <v/>
      </c>
      <c r="AH147" t="str">
        <f t="shared" si="38"/>
        <v/>
      </c>
      <c r="AI147" t="str">
        <f>IF(Input!AA147&lt;&gt;"",IF(ISNUMBER(Input!AB147),ROUNDDOWN(Input!AB147,0),0),"")</f>
        <v/>
      </c>
      <c r="AJ147" t="str">
        <f>IF(Input!AD147&lt;&gt;"",Input!AD147,"")</f>
        <v/>
      </c>
      <c r="AK147" t="str">
        <f t="shared" si="39"/>
        <v/>
      </c>
      <c r="AL147" t="str">
        <f>IF(Input!AD147&lt;&gt;"",IF(ISNUMBER(Input!AE147),(Input!AE147),0),"")</f>
        <v/>
      </c>
      <c r="AM147" t="str">
        <f>IF(Input!AG147&lt;&gt;"",Input!AG147,"")</f>
        <v/>
      </c>
      <c r="AN147" t="str">
        <f t="shared" si="29"/>
        <v/>
      </c>
      <c r="AO147" t="str">
        <f>IF(Input!AG147&lt;&gt;"",IF(ISNUMBER(Input!AH147),(Input!AH147),0),"")</f>
        <v/>
      </c>
    </row>
    <row r="148" spans="1:41" ht="16.5" thickTop="1" thickBot="1" x14ac:dyDescent="0.4">
      <c r="A148" s="35">
        <f>IF(ISBLANK(Input!A148),1000,IF(Input!E148&gt;0,Input!E148+F148,1000))</f>
        <v>1000</v>
      </c>
      <c r="B148" s="32">
        <f t="shared" si="30"/>
        <v>1000</v>
      </c>
      <c r="C148" s="4">
        <v>147</v>
      </c>
      <c r="D148" s="97">
        <f>IF(ISBLANK(Input!A148),1000,IF(Input!G148&gt;0,Input!G148+F148,1000))</f>
        <v>1000</v>
      </c>
      <c r="E148" s="97">
        <f t="shared" si="31"/>
        <v>1000</v>
      </c>
      <c r="F148" s="4">
        <v>0.14699999999999999</v>
      </c>
      <c r="I148" t="str">
        <f>IF(Input!A148&gt;0,Input!A148,"")</f>
        <v/>
      </c>
      <c r="J148" t="str">
        <f>IF(Input!B148&gt;0,Input!B148,"")</f>
        <v/>
      </c>
      <c r="K148" t="str">
        <f>IF(Input!C148&gt;0,Input!C148,"")</f>
        <v/>
      </c>
      <c r="L148" t="str">
        <f>IF(Input!D148&gt;0,Input!D148,"")</f>
        <v/>
      </c>
      <c r="M148" t="str">
        <f>IF(Input!G148&gt;0,Input!G148,"")</f>
        <v xml:space="preserve"> </v>
      </c>
      <c r="N148" t="str">
        <f>IF(Input!H148&gt;0,Input!H148,"")</f>
        <v xml:space="preserve"> </v>
      </c>
      <c r="O148" t="str">
        <f>IF(Input!I148&lt;&gt;"",Input!I148,"")</f>
        <v/>
      </c>
      <c r="P148" t="str">
        <f t="shared" si="32"/>
        <v/>
      </c>
      <c r="Q148" t="str">
        <f>IF(Input!I148&lt;&gt;"",IF(ISNUMBER(Input!J148),ROUNDDOWN(Input!J148,0),0),"")</f>
        <v/>
      </c>
      <c r="R148" t="str">
        <f>IF(Input!L148&lt;&gt;"",Input!L148,"")</f>
        <v/>
      </c>
      <c r="S148" t="str">
        <f t="shared" si="33"/>
        <v/>
      </c>
      <c r="T148" t="str">
        <f>IF(Input!L148&lt;&gt;"",IF(ISNUMBER(Input!M148),Input!M148,0),"")</f>
        <v/>
      </c>
      <c r="U148" t="str">
        <f>IF(Input!O148&lt;&gt;"",Input!O148,"")</f>
        <v/>
      </c>
      <c r="V148" t="str">
        <f t="shared" si="34"/>
        <v/>
      </c>
      <c r="W148" t="str">
        <f>IF(Input!O148&lt;&gt;"",IF(ISNUMBER(Input!P148),(Input!P148),0),"")</f>
        <v/>
      </c>
      <c r="X148" t="str">
        <f>IF(Input!R148&lt;&gt;"",Input!R148,"")</f>
        <v/>
      </c>
      <c r="Y148" t="str">
        <f t="shared" si="35"/>
        <v/>
      </c>
      <c r="Z148" t="str">
        <f>IF(Input!R148&lt;&gt;"",IF(ISNUMBER(Input!S148),ROUNDDOWN(Input!S148,0),0),"")</f>
        <v/>
      </c>
      <c r="AA148" t="str">
        <f>IF(Input!U148&lt;&gt;"",Input!U148,"")</f>
        <v/>
      </c>
      <c r="AB148" t="str">
        <f t="shared" si="36"/>
        <v/>
      </c>
      <c r="AC148" t="str">
        <f>IF(Input!U148&lt;&gt;"",IF(ISNUMBER(Input!V148),ROUNDDOWN(Input!V148,0),0),"")</f>
        <v/>
      </c>
      <c r="AD148" t="str">
        <f>IF(Input!X148&lt;&gt;"",Input!X148,"")</f>
        <v/>
      </c>
      <c r="AE148" t="str">
        <f t="shared" si="37"/>
        <v/>
      </c>
      <c r="AF148" t="str">
        <f>IF(Input!X148&lt;&gt;"",IF(ISNUMBER(Input!Y148),(Input!Y148),0),"")</f>
        <v/>
      </c>
      <c r="AG148" t="str">
        <f>IF(Input!AA148&lt;&gt;"",Input!AA148,"")</f>
        <v/>
      </c>
      <c r="AH148" t="str">
        <f t="shared" si="38"/>
        <v/>
      </c>
      <c r="AI148" t="str">
        <f>IF(Input!AA148&lt;&gt;"",IF(ISNUMBER(Input!AB148),ROUNDDOWN(Input!AB148,0),0),"")</f>
        <v/>
      </c>
      <c r="AJ148" t="str">
        <f>IF(Input!AD148&lt;&gt;"",Input!AD148,"")</f>
        <v/>
      </c>
      <c r="AK148" t="str">
        <f t="shared" si="39"/>
        <v/>
      </c>
      <c r="AL148" t="str">
        <f>IF(Input!AD148&lt;&gt;"",IF(ISNUMBER(Input!AE148),(Input!AE148),0),"")</f>
        <v/>
      </c>
      <c r="AM148" t="str">
        <f>IF(Input!AG148&lt;&gt;"",Input!AG148,"")</f>
        <v/>
      </c>
      <c r="AN148" t="str">
        <f t="shared" si="29"/>
        <v/>
      </c>
      <c r="AO148" t="str">
        <f>IF(Input!AG148&lt;&gt;"",IF(ISNUMBER(Input!AH148),(Input!AH148),0),"")</f>
        <v/>
      </c>
    </row>
    <row r="149" spans="1:41" ht="16.5" thickTop="1" thickBot="1" x14ac:dyDescent="0.4">
      <c r="A149" s="35">
        <f>IF(ISBLANK(Input!A149),1000,IF(Input!E149&gt;0,Input!E149+F149,1000))</f>
        <v>1000</v>
      </c>
      <c r="B149" s="32">
        <f t="shared" si="30"/>
        <v>1000</v>
      </c>
      <c r="C149" s="4">
        <v>148</v>
      </c>
      <c r="D149" s="97">
        <f>IF(ISBLANK(Input!A149),1000,IF(Input!G149&gt;0,Input!G149+F149,1000))</f>
        <v>1000</v>
      </c>
      <c r="E149" s="97">
        <f t="shared" si="31"/>
        <v>1000</v>
      </c>
      <c r="F149" s="4">
        <v>0.14799999999999999</v>
      </c>
      <c r="I149" t="str">
        <f>IF(Input!A149&gt;0,Input!A149,"")</f>
        <v/>
      </c>
      <c r="J149" t="str">
        <f>IF(Input!B149&gt;0,Input!B149,"")</f>
        <v/>
      </c>
      <c r="K149" t="str">
        <f>IF(Input!C149&gt;0,Input!C149,"")</f>
        <v/>
      </c>
      <c r="L149" t="str">
        <f>IF(Input!D149&gt;0,Input!D149,"")</f>
        <v/>
      </c>
      <c r="M149" t="str">
        <f>IF(Input!G149&gt;0,Input!G149,"")</f>
        <v xml:space="preserve"> </v>
      </c>
      <c r="N149" t="str">
        <f>IF(Input!H149&gt;0,Input!H149,"")</f>
        <v xml:space="preserve"> </v>
      </c>
      <c r="O149" t="str">
        <f>IF(Input!I149&lt;&gt;"",Input!I149,"")</f>
        <v/>
      </c>
      <c r="P149" t="str">
        <f t="shared" si="32"/>
        <v/>
      </c>
      <c r="Q149" t="str">
        <f>IF(Input!I149&lt;&gt;"",IF(ISNUMBER(Input!J149),ROUNDDOWN(Input!J149,0),0),"")</f>
        <v/>
      </c>
      <c r="R149" t="str">
        <f>IF(Input!L149&lt;&gt;"",Input!L149,"")</f>
        <v/>
      </c>
      <c r="S149" t="str">
        <f t="shared" si="33"/>
        <v/>
      </c>
      <c r="T149" t="str">
        <f>IF(Input!L149&lt;&gt;"",IF(ISNUMBER(Input!M149),Input!M149,0),"")</f>
        <v/>
      </c>
      <c r="U149" t="str">
        <f>IF(Input!O149&lt;&gt;"",Input!O149,"")</f>
        <v/>
      </c>
      <c r="V149" t="str">
        <f t="shared" si="34"/>
        <v/>
      </c>
      <c r="W149" t="str">
        <f>IF(Input!O149&lt;&gt;"",IF(ISNUMBER(Input!P149),(Input!P149),0),"")</f>
        <v/>
      </c>
      <c r="X149" t="str">
        <f>IF(Input!R149&lt;&gt;"",Input!R149,"")</f>
        <v/>
      </c>
      <c r="Y149" t="str">
        <f t="shared" si="35"/>
        <v/>
      </c>
      <c r="Z149" t="str">
        <f>IF(Input!R149&lt;&gt;"",IF(ISNUMBER(Input!S149),ROUNDDOWN(Input!S149,0),0),"")</f>
        <v/>
      </c>
      <c r="AA149" t="str">
        <f>IF(Input!U149&lt;&gt;"",Input!U149,"")</f>
        <v/>
      </c>
      <c r="AB149" t="str">
        <f t="shared" si="36"/>
        <v/>
      </c>
      <c r="AC149" t="str">
        <f>IF(Input!U149&lt;&gt;"",IF(ISNUMBER(Input!V149),ROUNDDOWN(Input!V149,0),0),"")</f>
        <v/>
      </c>
      <c r="AD149" t="str">
        <f>IF(Input!X149&lt;&gt;"",Input!X149,"")</f>
        <v/>
      </c>
      <c r="AE149" t="str">
        <f t="shared" si="37"/>
        <v/>
      </c>
      <c r="AF149" t="str">
        <f>IF(Input!X149&lt;&gt;"",IF(ISNUMBER(Input!Y149),(Input!Y149),0),"")</f>
        <v/>
      </c>
      <c r="AG149" t="str">
        <f>IF(Input!AA149&lt;&gt;"",Input!AA149,"")</f>
        <v/>
      </c>
      <c r="AH149" t="str">
        <f t="shared" si="38"/>
        <v/>
      </c>
      <c r="AI149" t="str">
        <f>IF(Input!AA149&lt;&gt;"",IF(ISNUMBER(Input!AB149),ROUNDDOWN(Input!AB149,0),0),"")</f>
        <v/>
      </c>
      <c r="AJ149" t="str">
        <f>IF(Input!AD149&lt;&gt;"",Input!AD149,"")</f>
        <v/>
      </c>
      <c r="AK149" t="str">
        <f t="shared" si="39"/>
        <v/>
      </c>
      <c r="AL149" t="str">
        <f>IF(Input!AD149&lt;&gt;"",IF(ISNUMBER(Input!AE149),(Input!AE149),0),"")</f>
        <v/>
      </c>
      <c r="AM149" t="str">
        <f>IF(Input!AG149&lt;&gt;"",Input!AG149,"")</f>
        <v/>
      </c>
      <c r="AN149" t="str">
        <f t="shared" si="29"/>
        <v/>
      </c>
      <c r="AO149" t="str">
        <f>IF(Input!AG149&lt;&gt;"",IF(ISNUMBER(Input!AH149),(Input!AH149),0),"")</f>
        <v/>
      </c>
    </row>
    <row r="150" spans="1:41" ht="16.5" thickTop="1" thickBot="1" x14ac:dyDescent="0.4">
      <c r="A150" s="35">
        <f>IF(ISBLANK(Input!A150),1000,IF(Input!E150&gt;0,Input!E150+F150,1000))</f>
        <v>1000</v>
      </c>
      <c r="B150" s="32">
        <f t="shared" si="30"/>
        <v>1000</v>
      </c>
      <c r="C150" s="4">
        <v>149</v>
      </c>
      <c r="D150" s="97">
        <f>IF(ISBLANK(Input!A150),1000,IF(Input!G150&gt;0,Input!G150+F150,1000))</f>
        <v>1000</v>
      </c>
      <c r="E150" s="97">
        <f t="shared" si="31"/>
        <v>1000</v>
      </c>
      <c r="F150" s="4">
        <v>0.14899999999999999</v>
      </c>
      <c r="I150" t="str">
        <f>IF(Input!A150&gt;0,Input!A150,"")</f>
        <v/>
      </c>
      <c r="J150" t="str">
        <f>IF(Input!B150&gt;0,Input!B150,"")</f>
        <v/>
      </c>
      <c r="K150" t="str">
        <f>IF(Input!C150&gt;0,Input!C150,"")</f>
        <v/>
      </c>
      <c r="L150" t="str">
        <f>IF(Input!D150&gt;0,Input!D150,"")</f>
        <v/>
      </c>
      <c r="M150" t="str">
        <f>IF(Input!G150&gt;0,Input!G150,"")</f>
        <v xml:space="preserve"> </v>
      </c>
      <c r="N150" t="str">
        <f>IF(Input!H150&gt;0,Input!H150,"")</f>
        <v xml:space="preserve"> </v>
      </c>
      <c r="O150" t="str">
        <f>IF(Input!I150&lt;&gt;"",Input!I150,"")</f>
        <v/>
      </c>
      <c r="P150" t="str">
        <f t="shared" si="32"/>
        <v/>
      </c>
      <c r="Q150" t="str">
        <f>IF(Input!I150&lt;&gt;"",IF(ISNUMBER(Input!J150),ROUNDDOWN(Input!J150,0),0),"")</f>
        <v/>
      </c>
      <c r="R150" t="str">
        <f>IF(Input!L150&lt;&gt;"",Input!L150,"")</f>
        <v/>
      </c>
      <c r="S150" t="str">
        <f t="shared" si="33"/>
        <v/>
      </c>
      <c r="T150" t="str">
        <f>IF(Input!L150&lt;&gt;"",IF(ISNUMBER(Input!M150),Input!M150,0),"")</f>
        <v/>
      </c>
      <c r="U150" t="str">
        <f>IF(Input!O150&lt;&gt;"",Input!O150,"")</f>
        <v/>
      </c>
      <c r="V150" t="str">
        <f t="shared" si="34"/>
        <v/>
      </c>
      <c r="W150" t="str">
        <f>IF(Input!O150&lt;&gt;"",IF(ISNUMBER(Input!P150),(Input!P150),0),"")</f>
        <v/>
      </c>
      <c r="X150" t="str">
        <f>IF(Input!R150&lt;&gt;"",Input!R150,"")</f>
        <v/>
      </c>
      <c r="Y150" t="str">
        <f t="shared" si="35"/>
        <v/>
      </c>
      <c r="Z150" t="str">
        <f>IF(Input!R150&lt;&gt;"",IF(ISNUMBER(Input!S150),ROUNDDOWN(Input!S150,0),0),"")</f>
        <v/>
      </c>
      <c r="AA150" t="str">
        <f>IF(Input!U150&lt;&gt;"",Input!U150,"")</f>
        <v/>
      </c>
      <c r="AB150" t="str">
        <f t="shared" si="36"/>
        <v/>
      </c>
      <c r="AC150" t="str">
        <f>IF(Input!U150&lt;&gt;"",IF(ISNUMBER(Input!V150),ROUNDDOWN(Input!V150,0),0),"")</f>
        <v/>
      </c>
      <c r="AD150" t="str">
        <f>IF(Input!X150&lt;&gt;"",Input!X150,"")</f>
        <v/>
      </c>
      <c r="AE150" t="str">
        <f t="shared" si="37"/>
        <v/>
      </c>
      <c r="AF150" t="str">
        <f>IF(Input!X150&lt;&gt;"",IF(ISNUMBER(Input!Y150),(Input!Y150),0),"")</f>
        <v/>
      </c>
      <c r="AG150" t="str">
        <f>IF(Input!AA150&lt;&gt;"",Input!AA150,"")</f>
        <v/>
      </c>
      <c r="AH150" t="str">
        <f t="shared" si="38"/>
        <v/>
      </c>
      <c r="AI150" t="str">
        <f>IF(Input!AA150&lt;&gt;"",IF(ISNUMBER(Input!AB150),ROUNDDOWN(Input!AB150,0),0),"")</f>
        <v/>
      </c>
      <c r="AJ150" t="str">
        <f>IF(Input!AD150&lt;&gt;"",Input!AD150,"")</f>
        <v/>
      </c>
      <c r="AK150" t="str">
        <f t="shared" si="39"/>
        <v/>
      </c>
      <c r="AL150" t="str">
        <f>IF(Input!AD150&lt;&gt;"",IF(ISNUMBER(Input!AE150),(Input!AE150),0),"")</f>
        <v/>
      </c>
      <c r="AM150" t="str">
        <f>IF(Input!AG150&lt;&gt;"",Input!AG150,"")</f>
        <v/>
      </c>
      <c r="AN150" t="str">
        <f t="shared" si="29"/>
        <v/>
      </c>
      <c r="AO150" t="str">
        <f>IF(Input!AG150&lt;&gt;"",IF(ISNUMBER(Input!AH150),(Input!AH150),0),"")</f>
        <v/>
      </c>
    </row>
    <row r="151" spans="1:41" ht="16.5" thickTop="1" thickBot="1" x14ac:dyDescent="0.4">
      <c r="A151" s="35">
        <f>IF(ISBLANK(Input!A151),1000,IF(Input!E151&gt;0,Input!E151+F151,1000))</f>
        <v>1000</v>
      </c>
      <c r="B151" s="32">
        <f t="shared" si="30"/>
        <v>1000</v>
      </c>
      <c r="C151" s="4">
        <v>150</v>
      </c>
      <c r="D151" s="97">
        <f>IF(ISBLANK(Input!A151),1000,IF(Input!G151&gt;0,Input!G151+F151,1000))</f>
        <v>1000</v>
      </c>
      <c r="E151" s="97">
        <f t="shared" si="31"/>
        <v>1000</v>
      </c>
      <c r="F151" s="4">
        <v>0.15</v>
      </c>
      <c r="I151" t="str">
        <f>IF(Input!A151&gt;0,Input!A151,"")</f>
        <v/>
      </c>
      <c r="J151" t="str">
        <f>IF(Input!B151&gt;0,Input!B151,"")</f>
        <v/>
      </c>
      <c r="K151" t="str">
        <f>IF(Input!C151&gt;0,Input!C151,"")</f>
        <v/>
      </c>
      <c r="L151" t="str">
        <f>IF(Input!D151&gt;0,Input!D151,"")</f>
        <v/>
      </c>
      <c r="M151" t="str">
        <f>IF(Input!G151&gt;0,Input!G151,"")</f>
        <v xml:space="preserve"> </v>
      </c>
      <c r="N151" t="str">
        <f>IF(Input!H151&gt;0,Input!H151,"")</f>
        <v xml:space="preserve"> </v>
      </c>
      <c r="O151" t="str">
        <f>IF(Input!I151&lt;&gt;"",Input!I151,"")</f>
        <v/>
      </c>
      <c r="P151" t="str">
        <f t="shared" si="32"/>
        <v/>
      </c>
      <c r="Q151" t="str">
        <f>IF(Input!I151&lt;&gt;"",IF(ISNUMBER(Input!J151),ROUNDDOWN(Input!J151,0),0),"")</f>
        <v/>
      </c>
      <c r="R151" t="str">
        <f>IF(Input!L151&lt;&gt;"",Input!L151,"")</f>
        <v/>
      </c>
      <c r="S151" t="str">
        <f t="shared" si="33"/>
        <v/>
      </c>
      <c r="T151" t="str">
        <f>IF(Input!L151&lt;&gt;"",IF(ISNUMBER(Input!M151),Input!M151,0),"")</f>
        <v/>
      </c>
      <c r="U151" t="str">
        <f>IF(Input!O151&lt;&gt;"",Input!O151,"")</f>
        <v/>
      </c>
      <c r="V151" t="str">
        <f t="shared" si="34"/>
        <v/>
      </c>
      <c r="W151" t="str">
        <f>IF(Input!O151&lt;&gt;"",IF(ISNUMBER(Input!P151),(Input!P151),0),"")</f>
        <v/>
      </c>
      <c r="X151" t="str">
        <f>IF(Input!R151&lt;&gt;"",Input!R151,"")</f>
        <v/>
      </c>
      <c r="Y151" t="str">
        <f t="shared" si="35"/>
        <v/>
      </c>
      <c r="Z151" t="str">
        <f>IF(Input!R151&lt;&gt;"",IF(ISNUMBER(Input!S151),ROUNDDOWN(Input!S151,0),0),"")</f>
        <v/>
      </c>
      <c r="AA151" t="str">
        <f>IF(Input!U151&lt;&gt;"",Input!U151,"")</f>
        <v/>
      </c>
      <c r="AB151" t="str">
        <f t="shared" si="36"/>
        <v/>
      </c>
      <c r="AC151" t="str">
        <f>IF(Input!U151&lt;&gt;"",IF(ISNUMBER(Input!V151),ROUNDDOWN(Input!V151,0),0),"")</f>
        <v/>
      </c>
      <c r="AD151" t="str">
        <f>IF(Input!X151&lt;&gt;"",Input!X151,"")</f>
        <v/>
      </c>
      <c r="AE151" t="str">
        <f t="shared" si="37"/>
        <v/>
      </c>
      <c r="AF151" t="str">
        <f>IF(Input!X151&lt;&gt;"",IF(ISNUMBER(Input!Y151),(Input!Y151),0),"")</f>
        <v/>
      </c>
      <c r="AG151" t="str">
        <f>IF(Input!AA151&lt;&gt;"",Input!AA151,"")</f>
        <v/>
      </c>
      <c r="AH151" t="str">
        <f t="shared" si="38"/>
        <v/>
      </c>
      <c r="AI151" t="str">
        <f>IF(Input!AA151&lt;&gt;"",IF(ISNUMBER(Input!AB151),ROUNDDOWN(Input!AB151,0),0),"")</f>
        <v/>
      </c>
      <c r="AJ151" t="str">
        <f>IF(Input!AD151&lt;&gt;"",Input!AD151,"")</f>
        <v/>
      </c>
      <c r="AK151" t="str">
        <f t="shared" si="39"/>
        <v/>
      </c>
      <c r="AL151" t="str">
        <f>IF(Input!AD151&lt;&gt;"",IF(ISNUMBER(Input!AE151),(Input!AE151),0),"")</f>
        <v/>
      </c>
      <c r="AM151" t="str">
        <f>IF(Input!AG151&lt;&gt;"",Input!AG151,"")</f>
        <v/>
      </c>
      <c r="AN151" t="str">
        <f t="shared" si="29"/>
        <v/>
      </c>
      <c r="AO151" t="str">
        <f>IF(Input!AG151&lt;&gt;"",IF(ISNUMBER(Input!AH151),(Input!AH151),0),"")</f>
        <v/>
      </c>
    </row>
    <row r="152" spans="1:41" ht="16.5" thickTop="1" thickBot="1" x14ac:dyDescent="0.4">
      <c r="A152" s="35">
        <f>IF(ISBLANK(Input!A152),1000,IF(Input!E152&gt;0,Input!E152+F152,1000))</f>
        <v>1000</v>
      </c>
      <c r="B152" s="32">
        <f t="shared" si="30"/>
        <v>1000</v>
      </c>
      <c r="C152" s="4">
        <v>151</v>
      </c>
      <c r="D152" s="97">
        <f>IF(ISBLANK(Input!A152),1000,IF(Input!G152&gt;0,Input!G152+F152,1000))</f>
        <v>1000</v>
      </c>
      <c r="E152" s="97">
        <f t="shared" si="31"/>
        <v>1000</v>
      </c>
      <c r="F152" s="4">
        <v>0.151</v>
      </c>
      <c r="I152" t="str">
        <f>IF(Input!A152&gt;0,Input!A152,"")</f>
        <v/>
      </c>
      <c r="J152" t="str">
        <f>IF(Input!B152&gt;0,Input!B152,"")</f>
        <v/>
      </c>
      <c r="K152" t="str">
        <f>IF(Input!C152&gt;0,Input!C152,"")</f>
        <v/>
      </c>
      <c r="L152" t="str">
        <f>IF(Input!D152&gt;0,Input!D152,"")</f>
        <v/>
      </c>
      <c r="M152" t="str">
        <f>IF(Input!G152&gt;0,Input!G152,"")</f>
        <v xml:space="preserve"> </v>
      </c>
      <c r="N152" t="str">
        <f>IF(Input!H152&gt;0,Input!H152,"")</f>
        <v xml:space="preserve"> </v>
      </c>
      <c r="O152" t="str">
        <f>IF(Input!I152&lt;&gt;"",Input!I152,"")</f>
        <v/>
      </c>
      <c r="P152" t="str">
        <f t="shared" si="32"/>
        <v/>
      </c>
      <c r="Q152" t="str">
        <f>IF(Input!I152&lt;&gt;"",IF(ISNUMBER(Input!J152),ROUNDDOWN(Input!J152,0),0),"")</f>
        <v/>
      </c>
      <c r="R152" t="str">
        <f>IF(Input!L152&lt;&gt;"",Input!L152,"")</f>
        <v/>
      </c>
      <c r="S152" t="str">
        <f t="shared" si="33"/>
        <v/>
      </c>
      <c r="T152" t="str">
        <f>IF(Input!L152&lt;&gt;"",IF(ISNUMBER(Input!M152),Input!M152,0),"")</f>
        <v/>
      </c>
      <c r="U152" t="str">
        <f>IF(Input!O152&lt;&gt;"",Input!O152,"")</f>
        <v/>
      </c>
      <c r="V152" t="str">
        <f t="shared" si="34"/>
        <v/>
      </c>
      <c r="W152" t="str">
        <f>IF(Input!O152&lt;&gt;"",IF(ISNUMBER(Input!P152),(Input!P152),0),"")</f>
        <v/>
      </c>
      <c r="X152" t="str">
        <f>IF(Input!R152&lt;&gt;"",Input!R152,"")</f>
        <v/>
      </c>
      <c r="Y152" t="str">
        <f t="shared" si="35"/>
        <v/>
      </c>
      <c r="Z152" t="str">
        <f>IF(Input!R152&lt;&gt;"",IF(ISNUMBER(Input!S152),ROUNDDOWN(Input!S152,0),0),"")</f>
        <v/>
      </c>
      <c r="AA152" t="str">
        <f>IF(Input!U152&lt;&gt;"",Input!U152,"")</f>
        <v/>
      </c>
      <c r="AB152" t="str">
        <f t="shared" si="36"/>
        <v/>
      </c>
      <c r="AC152" t="str">
        <f>IF(Input!U152&lt;&gt;"",IF(ISNUMBER(Input!V152),ROUNDDOWN(Input!V152,0),0),"")</f>
        <v/>
      </c>
      <c r="AD152" t="str">
        <f>IF(Input!X152&lt;&gt;"",Input!X152,"")</f>
        <v/>
      </c>
      <c r="AE152" t="str">
        <f t="shared" si="37"/>
        <v/>
      </c>
      <c r="AF152" t="str">
        <f>IF(Input!X152&lt;&gt;"",IF(ISNUMBER(Input!Y152),(Input!Y152),0),"")</f>
        <v/>
      </c>
      <c r="AG152" t="str">
        <f>IF(Input!AA152&lt;&gt;"",Input!AA152,"")</f>
        <v/>
      </c>
      <c r="AH152" t="str">
        <f t="shared" si="38"/>
        <v/>
      </c>
      <c r="AI152" t="str">
        <f>IF(Input!AA152&lt;&gt;"",IF(ISNUMBER(Input!AB152),ROUNDDOWN(Input!AB152,0),0),"")</f>
        <v/>
      </c>
      <c r="AJ152" t="str">
        <f>IF(Input!AD152&lt;&gt;"",Input!AD152,"")</f>
        <v/>
      </c>
      <c r="AK152" t="str">
        <f t="shared" si="39"/>
        <v/>
      </c>
      <c r="AL152" t="str">
        <f>IF(Input!AD152&lt;&gt;"",IF(ISNUMBER(Input!AE152),(Input!AE152),0),"")</f>
        <v/>
      </c>
      <c r="AM152" t="str">
        <f>IF(Input!AG152&lt;&gt;"",Input!AG152,"")</f>
        <v/>
      </c>
      <c r="AN152" t="str">
        <f t="shared" si="29"/>
        <v/>
      </c>
      <c r="AO152" t="str">
        <f>IF(Input!AG152&lt;&gt;"",IF(ISNUMBER(Input!AH152),(Input!AH152),0),"")</f>
        <v/>
      </c>
    </row>
    <row r="153" spans="1:41" ht="16.5" thickTop="1" thickBot="1" x14ac:dyDescent="0.4">
      <c r="A153" s="35">
        <f>IF(ISBLANK(Input!A153),1000,IF(Input!E153&gt;0,Input!E153+F153,1000))</f>
        <v>1000</v>
      </c>
      <c r="B153" s="32">
        <f t="shared" si="30"/>
        <v>1000</v>
      </c>
      <c r="C153" s="4">
        <v>152</v>
      </c>
      <c r="D153" s="97">
        <f>IF(ISBLANK(Input!A153),1000,IF(Input!G153&gt;0,Input!G153+F153,1000))</f>
        <v>1000</v>
      </c>
      <c r="E153" s="97">
        <f t="shared" si="31"/>
        <v>1000</v>
      </c>
      <c r="F153" s="4">
        <v>0.152</v>
      </c>
      <c r="I153" t="str">
        <f>IF(Input!A153&gt;0,Input!A153,"")</f>
        <v/>
      </c>
      <c r="J153" t="str">
        <f>IF(Input!B153&gt;0,Input!B153,"")</f>
        <v/>
      </c>
      <c r="K153" t="str">
        <f>IF(Input!C153&gt;0,Input!C153,"")</f>
        <v/>
      </c>
      <c r="L153" t="str">
        <f>IF(Input!D153&gt;0,Input!D153,"")</f>
        <v/>
      </c>
      <c r="M153" t="str">
        <f>IF(Input!G153&gt;0,Input!G153,"")</f>
        <v xml:space="preserve"> </v>
      </c>
      <c r="N153" t="str">
        <f>IF(Input!H153&gt;0,Input!H153,"")</f>
        <v xml:space="preserve"> </v>
      </c>
      <c r="O153" t="str">
        <f>IF(Input!I153&lt;&gt;"",Input!I153,"")</f>
        <v/>
      </c>
      <c r="P153" t="str">
        <f t="shared" si="32"/>
        <v/>
      </c>
      <c r="Q153" t="str">
        <f>IF(Input!I153&lt;&gt;"",IF(ISNUMBER(Input!J153),ROUNDDOWN(Input!J153,0),0),"")</f>
        <v/>
      </c>
      <c r="R153" t="str">
        <f>IF(Input!L153&lt;&gt;"",Input!L153,"")</f>
        <v/>
      </c>
      <c r="S153" t="str">
        <f t="shared" si="33"/>
        <v/>
      </c>
      <c r="T153" t="str">
        <f>IF(Input!L153&lt;&gt;"",IF(ISNUMBER(Input!M153),Input!M153,0),"")</f>
        <v/>
      </c>
      <c r="U153" t="str">
        <f>IF(Input!O153&lt;&gt;"",Input!O153,"")</f>
        <v/>
      </c>
      <c r="V153" t="str">
        <f t="shared" si="34"/>
        <v/>
      </c>
      <c r="W153" t="str">
        <f>IF(Input!O153&lt;&gt;"",IF(ISNUMBER(Input!P153),(Input!P153),0),"")</f>
        <v/>
      </c>
      <c r="X153" t="str">
        <f>IF(Input!R153&lt;&gt;"",Input!R153,"")</f>
        <v/>
      </c>
      <c r="Y153" t="str">
        <f t="shared" si="35"/>
        <v/>
      </c>
      <c r="Z153" t="str">
        <f>IF(Input!R153&lt;&gt;"",IF(ISNUMBER(Input!S153),ROUNDDOWN(Input!S153,0),0),"")</f>
        <v/>
      </c>
      <c r="AA153" t="str">
        <f>IF(Input!U153&lt;&gt;"",Input!U153,"")</f>
        <v/>
      </c>
      <c r="AB153" t="str">
        <f t="shared" si="36"/>
        <v/>
      </c>
      <c r="AC153" t="str">
        <f>IF(Input!U153&lt;&gt;"",IF(ISNUMBER(Input!V153),ROUNDDOWN(Input!V153,0),0),"")</f>
        <v/>
      </c>
      <c r="AD153" t="str">
        <f>IF(Input!X153&lt;&gt;"",Input!X153,"")</f>
        <v/>
      </c>
      <c r="AE153" t="str">
        <f t="shared" si="37"/>
        <v/>
      </c>
      <c r="AF153" t="str">
        <f>IF(Input!X153&lt;&gt;"",IF(ISNUMBER(Input!Y153),(Input!Y153),0),"")</f>
        <v/>
      </c>
      <c r="AG153" t="str">
        <f>IF(Input!AA153&lt;&gt;"",Input!AA153,"")</f>
        <v/>
      </c>
      <c r="AH153" t="str">
        <f t="shared" si="38"/>
        <v/>
      </c>
      <c r="AI153" t="str">
        <f>IF(Input!AA153&lt;&gt;"",IF(ISNUMBER(Input!AB153),ROUNDDOWN(Input!AB153,0),0),"")</f>
        <v/>
      </c>
      <c r="AJ153" t="str">
        <f>IF(Input!AD153&lt;&gt;"",Input!AD153,"")</f>
        <v/>
      </c>
      <c r="AK153" t="str">
        <f t="shared" si="39"/>
        <v/>
      </c>
      <c r="AL153" t="str">
        <f>IF(Input!AD153&lt;&gt;"",IF(ISNUMBER(Input!AE153),(Input!AE153),0),"")</f>
        <v/>
      </c>
      <c r="AM153" t="str">
        <f>IF(Input!AG153&lt;&gt;"",Input!AG153,"")</f>
        <v/>
      </c>
      <c r="AN153" t="str">
        <f t="shared" si="29"/>
        <v/>
      </c>
      <c r="AO153" t="str">
        <f>IF(Input!AG153&lt;&gt;"",IF(ISNUMBER(Input!AH153),(Input!AH153),0),"")</f>
        <v/>
      </c>
    </row>
    <row r="154" spans="1:41" ht="16.5" thickTop="1" thickBot="1" x14ac:dyDescent="0.4">
      <c r="A154" s="35">
        <f>IF(ISBLANK(Input!A154),1000,IF(Input!E154&gt;0,Input!E154+F154,1000))</f>
        <v>1000</v>
      </c>
      <c r="B154" s="32">
        <f t="shared" si="30"/>
        <v>1000</v>
      </c>
      <c r="C154" s="4">
        <v>153</v>
      </c>
      <c r="D154" s="97">
        <f>IF(ISBLANK(Input!A154),1000,IF(Input!G154&gt;0,Input!G154+F154,1000))</f>
        <v>1000</v>
      </c>
      <c r="E154" s="97">
        <f t="shared" si="31"/>
        <v>1000</v>
      </c>
      <c r="F154" s="4">
        <v>0.153</v>
      </c>
      <c r="I154" t="str">
        <f>IF(Input!A154&gt;0,Input!A154,"")</f>
        <v/>
      </c>
      <c r="J154" t="str">
        <f>IF(Input!B154&gt;0,Input!B154,"")</f>
        <v/>
      </c>
      <c r="K154" t="str">
        <f>IF(Input!C154&gt;0,Input!C154,"")</f>
        <v/>
      </c>
      <c r="L154" t="str">
        <f>IF(Input!D154&gt;0,Input!D154,"")</f>
        <v/>
      </c>
      <c r="M154" t="str">
        <f>IF(Input!G154&gt;0,Input!G154,"")</f>
        <v xml:space="preserve"> </v>
      </c>
      <c r="N154" t="str">
        <f>IF(Input!H154&gt;0,Input!H154,"")</f>
        <v xml:space="preserve"> </v>
      </c>
      <c r="O154" t="str">
        <f>IF(Input!I154&lt;&gt;"",Input!I154,"")</f>
        <v/>
      </c>
      <c r="P154" t="str">
        <f t="shared" si="32"/>
        <v/>
      </c>
      <c r="Q154" t="str">
        <f>IF(Input!I154&lt;&gt;"",IF(ISNUMBER(Input!J154),ROUNDDOWN(Input!J154,0),0),"")</f>
        <v/>
      </c>
      <c r="R154" t="str">
        <f>IF(Input!L154&lt;&gt;"",Input!L154,"")</f>
        <v/>
      </c>
      <c r="S154" t="str">
        <f t="shared" si="33"/>
        <v/>
      </c>
      <c r="T154" t="str">
        <f>IF(Input!L154&lt;&gt;"",IF(ISNUMBER(Input!M154),Input!M154,0),"")</f>
        <v/>
      </c>
      <c r="U154" t="str">
        <f>IF(Input!O154&lt;&gt;"",Input!O154,"")</f>
        <v/>
      </c>
      <c r="V154" t="str">
        <f t="shared" si="34"/>
        <v/>
      </c>
      <c r="W154" t="str">
        <f>IF(Input!O154&lt;&gt;"",IF(ISNUMBER(Input!P154),(Input!P154),0),"")</f>
        <v/>
      </c>
      <c r="X154" t="str">
        <f>IF(Input!R154&lt;&gt;"",Input!R154,"")</f>
        <v/>
      </c>
      <c r="Y154" t="str">
        <f t="shared" si="35"/>
        <v/>
      </c>
      <c r="Z154" t="str">
        <f>IF(Input!R154&lt;&gt;"",IF(ISNUMBER(Input!S154),ROUNDDOWN(Input!S154,0),0),"")</f>
        <v/>
      </c>
      <c r="AA154" t="str">
        <f>IF(Input!U154&lt;&gt;"",Input!U154,"")</f>
        <v/>
      </c>
      <c r="AB154" t="str">
        <f t="shared" si="36"/>
        <v/>
      </c>
      <c r="AC154" t="str">
        <f>IF(Input!U154&lt;&gt;"",IF(ISNUMBER(Input!V154),ROUNDDOWN(Input!V154,0),0),"")</f>
        <v/>
      </c>
      <c r="AD154" t="str">
        <f>IF(Input!X154&lt;&gt;"",Input!X154,"")</f>
        <v/>
      </c>
      <c r="AE154" t="str">
        <f t="shared" si="37"/>
        <v/>
      </c>
      <c r="AF154" t="str">
        <f>IF(Input!X154&lt;&gt;"",IF(ISNUMBER(Input!Y154),(Input!Y154),0),"")</f>
        <v/>
      </c>
      <c r="AG154" t="str">
        <f>IF(Input!AA154&lt;&gt;"",Input!AA154,"")</f>
        <v/>
      </c>
      <c r="AH154" t="str">
        <f t="shared" si="38"/>
        <v/>
      </c>
      <c r="AI154" t="str">
        <f>IF(Input!AA154&lt;&gt;"",IF(ISNUMBER(Input!AB154),ROUNDDOWN(Input!AB154,0),0),"")</f>
        <v/>
      </c>
      <c r="AJ154" t="str">
        <f>IF(Input!AD154&lt;&gt;"",Input!AD154,"")</f>
        <v/>
      </c>
      <c r="AK154" t="str">
        <f t="shared" si="39"/>
        <v/>
      </c>
      <c r="AL154" t="str">
        <f>IF(Input!AD154&lt;&gt;"",IF(ISNUMBER(Input!AE154),(Input!AE154),0),"")</f>
        <v/>
      </c>
      <c r="AM154" t="str">
        <f>IF(Input!AG154&lt;&gt;"",Input!AG154,"")</f>
        <v/>
      </c>
      <c r="AN154" t="str">
        <f t="shared" si="29"/>
        <v/>
      </c>
      <c r="AO154" t="str">
        <f>IF(Input!AG154&lt;&gt;"",IF(ISNUMBER(Input!AH154),(Input!AH154),0),"")</f>
        <v/>
      </c>
    </row>
    <row r="155" spans="1:41" ht="16.5" thickTop="1" thickBot="1" x14ac:dyDescent="0.4">
      <c r="A155" s="35">
        <f>IF(ISBLANK(Input!A155),1000,IF(Input!E155&gt;0,Input!E155+F155,1000))</f>
        <v>1000</v>
      </c>
      <c r="B155" s="32">
        <f t="shared" si="30"/>
        <v>1000</v>
      </c>
      <c r="C155" s="4">
        <v>154</v>
      </c>
      <c r="D155" s="97">
        <f>IF(ISBLANK(Input!A155),1000,IF(Input!G155&gt;0,Input!G155+F155,1000))</f>
        <v>1000</v>
      </c>
      <c r="E155" s="97">
        <f t="shared" si="31"/>
        <v>1000</v>
      </c>
      <c r="F155" s="4">
        <v>0.154</v>
      </c>
      <c r="I155" t="str">
        <f>IF(Input!A155&gt;0,Input!A155,"")</f>
        <v/>
      </c>
      <c r="J155" t="str">
        <f>IF(Input!B155&gt;0,Input!B155,"")</f>
        <v/>
      </c>
      <c r="K155" t="str">
        <f>IF(Input!C155&gt;0,Input!C155,"")</f>
        <v/>
      </c>
      <c r="L155" t="str">
        <f>IF(Input!D155&gt;0,Input!D155,"")</f>
        <v/>
      </c>
      <c r="M155" t="str">
        <f>IF(Input!G155&gt;0,Input!G155,"")</f>
        <v xml:space="preserve"> </v>
      </c>
      <c r="N155" t="str">
        <f>IF(Input!H155&gt;0,Input!H155,"")</f>
        <v xml:space="preserve"> </v>
      </c>
      <c r="O155" t="str">
        <f>IF(Input!I155&lt;&gt;"",Input!I155,"")</f>
        <v/>
      </c>
      <c r="P155" t="str">
        <f t="shared" si="32"/>
        <v/>
      </c>
      <c r="Q155" t="str">
        <f>IF(Input!I155&lt;&gt;"",IF(ISNUMBER(Input!J155),ROUNDDOWN(Input!J155,0),0),"")</f>
        <v/>
      </c>
      <c r="R155" t="str">
        <f>IF(Input!L155&lt;&gt;"",Input!L155,"")</f>
        <v/>
      </c>
      <c r="S155" t="str">
        <f t="shared" si="33"/>
        <v/>
      </c>
      <c r="T155" t="str">
        <f>IF(Input!L155&lt;&gt;"",IF(ISNUMBER(Input!M155),Input!M155,0),"")</f>
        <v/>
      </c>
      <c r="U155" t="str">
        <f>IF(Input!O155&lt;&gt;"",Input!O155,"")</f>
        <v/>
      </c>
      <c r="V155" t="str">
        <f t="shared" si="34"/>
        <v/>
      </c>
      <c r="W155" t="str">
        <f>IF(Input!O155&lt;&gt;"",IF(ISNUMBER(Input!P155),(Input!P155),0),"")</f>
        <v/>
      </c>
      <c r="X155" t="str">
        <f>IF(Input!R155&lt;&gt;"",Input!R155,"")</f>
        <v/>
      </c>
      <c r="Y155" t="str">
        <f t="shared" si="35"/>
        <v/>
      </c>
      <c r="Z155" t="str">
        <f>IF(Input!R155&lt;&gt;"",IF(ISNUMBER(Input!S155),ROUNDDOWN(Input!S155,0),0),"")</f>
        <v/>
      </c>
      <c r="AA155" t="str">
        <f>IF(Input!U155&lt;&gt;"",Input!U155,"")</f>
        <v/>
      </c>
      <c r="AB155" t="str">
        <f t="shared" si="36"/>
        <v/>
      </c>
      <c r="AC155" t="str">
        <f>IF(Input!U155&lt;&gt;"",IF(ISNUMBER(Input!V155),ROUNDDOWN(Input!V155,0),0),"")</f>
        <v/>
      </c>
      <c r="AD155" t="str">
        <f>IF(Input!X155&lt;&gt;"",Input!X155,"")</f>
        <v/>
      </c>
      <c r="AE155" t="str">
        <f t="shared" si="37"/>
        <v/>
      </c>
      <c r="AF155" t="str">
        <f>IF(Input!X155&lt;&gt;"",IF(ISNUMBER(Input!Y155),(Input!Y155),0),"")</f>
        <v/>
      </c>
      <c r="AG155" t="str">
        <f>IF(Input!AA155&lt;&gt;"",Input!AA155,"")</f>
        <v/>
      </c>
      <c r="AH155" t="str">
        <f t="shared" si="38"/>
        <v/>
      </c>
      <c r="AI155" t="str">
        <f>IF(Input!AA155&lt;&gt;"",IF(ISNUMBER(Input!AB155),ROUNDDOWN(Input!AB155,0),0),"")</f>
        <v/>
      </c>
      <c r="AJ155" t="str">
        <f>IF(Input!AD155&lt;&gt;"",Input!AD155,"")</f>
        <v/>
      </c>
      <c r="AK155" t="str">
        <f t="shared" si="39"/>
        <v/>
      </c>
      <c r="AL155" t="str">
        <f>IF(Input!AD155&lt;&gt;"",IF(ISNUMBER(Input!AE155),(Input!AE155),0),"")</f>
        <v/>
      </c>
      <c r="AM155" t="str">
        <f>IF(Input!AG155&lt;&gt;"",Input!AG155,"")</f>
        <v/>
      </c>
      <c r="AN155" t="str">
        <f t="shared" si="29"/>
        <v/>
      </c>
      <c r="AO155" t="str">
        <f>IF(Input!AG155&lt;&gt;"",IF(ISNUMBER(Input!AH155),(Input!AH155),0),"")</f>
        <v/>
      </c>
    </row>
    <row r="156" spans="1:41" ht="16.5" thickTop="1" thickBot="1" x14ac:dyDescent="0.4">
      <c r="A156" s="35">
        <f>IF(ISBLANK(Input!A156),1000,IF(Input!E156&gt;0,Input!E156+F156,1000))</f>
        <v>1000</v>
      </c>
      <c r="B156" s="32">
        <f t="shared" si="30"/>
        <v>1000</v>
      </c>
      <c r="C156" s="4">
        <v>155</v>
      </c>
      <c r="D156" s="97">
        <f>IF(ISBLANK(Input!A156),1000,IF(Input!G156&gt;0,Input!G156+F156,1000))</f>
        <v>1000</v>
      </c>
      <c r="E156" s="97">
        <f t="shared" si="31"/>
        <v>1000</v>
      </c>
      <c r="F156" s="4">
        <v>0.155</v>
      </c>
      <c r="I156" t="str">
        <f>IF(Input!A156&gt;0,Input!A156,"")</f>
        <v/>
      </c>
      <c r="J156" t="str">
        <f>IF(Input!B156&gt;0,Input!B156,"")</f>
        <v/>
      </c>
      <c r="K156" t="str">
        <f>IF(Input!C156&gt;0,Input!C156,"")</f>
        <v/>
      </c>
      <c r="L156" t="str">
        <f>IF(Input!D156&gt;0,Input!D156,"")</f>
        <v/>
      </c>
      <c r="M156" t="str">
        <f>IF(Input!G156&gt;0,Input!G156,"")</f>
        <v xml:space="preserve"> </v>
      </c>
      <c r="N156" t="str">
        <f>IF(Input!H156&gt;0,Input!H156,"")</f>
        <v xml:space="preserve"> </v>
      </c>
      <c r="O156" t="str">
        <f>IF(Input!I156&lt;&gt;"",Input!I156,"")</f>
        <v/>
      </c>
      <c r="P156" t="str">
        <f t="shared" si="32"/>
        <v/>
      </c>
      <c r="Q156" t="str">
        <f>IF(Input!I156&lt;&gt;"",IF(ISNUMBER(Input!J156),ROUNDDOWN(Input!J156,0),0),"")</f>
        <v/>
      </c>
      <c r="R156" t="str">
        <f>IF(Input!L156&lt;&gt;"",Input!L156,"")</f>
        <v/>
      </c>
      <c r="S156" t="str">
        <f t="shared" si="33"/>
        <v/>
      </c>
      <c r="T156" t="str">
        <f>IF(Input!L156&lt;&gt;"",IF(ISNUMBER(Input!M156),Input!M156,0),"")</f>
        <v/>
      </c>
      <c r="U156" t="str">
        <f>IF(Input!O156&lt;&gt;"",Input!O156,"")</f>
        <v/>
      </c>
      <c r="V156" t="str">
        <f t="shared" si="34"/>
        <v/>
      </c>
      <c r="W156" t="str">
        <f>IF(Input!O156&lt;&gt;"",IF(ISNUMBER(Input!P156),(Input!P156),0),"")</f>
        <v/>
      </c>
      <c r="X156" t="str">
        <f>IF(Input!R156&lt;&gt;"",Input!R156,"")</f>
        <v/>
      </c>
      <c r="Y156" t="str">
        <f t="shared" si="35"/>
        <v/>
      </c>
      <c r="Z156" t="str">
        <f>IF(Input!R156&lt;&gt;"",IF(ISNUMBER(Input!S156),ROUNDDOWN(Input!S156,0),0),"")</f>
        <v/>
      </c>
      <c r="AA156" t="str">
        <f>IF(Input!U156&lt;&gt;"",Input!U156,"")</f>
        <v/>
      </c>
      <c r="AB156" t="str">
        <f t="shared" si="36"/>
        <v/>
      </c>
      <c r="AC156" t="str">
        <f>IF(Input!U156&lt;&gt;"",IF(ISNUMBER(Input!V156),ROUNDDOWN(Input!V156,0),0),"")</f>
        <v/>
      </c>
      <c r="AD156" t="str">
        <f>IF(Input!X156&lt;&gt;"",Input!X156,"")</f>
        <v/>
      </c>
      <c r="AE156" t="str">
        <f t="shared" si="37"/>
        <v/>
      </c>
      <c r="AF156" t="str">
        <f>IF(Input!X156&lt;&gt;"",IF(ISNUMBER(Input!Y156),(Input!Y156),0),"")</f>
        <v/>
      </c>
      <c r="AG156" t="str">
        <f>IF(Input!AA156&lt;&gt;"",Input!AA156,"")</f>
        <v/>
      </c>
      <c r="AH156" t="str">
        <f t="shared" si="38"/>
        <v/>
      </c>
      <c r="AI156" t="str">
        <f>IF(Input!AA156&lt;&gt;"",IF(ISNUMBER(Input!AB156),ROUNDDOWN(Input!AB156,0),0),"")</f>
        <v/>
      </c>
      <c r="AJ156" t="str">
        <f>IF(Input!AD156&lt;&gt;"",Input!AD156,"")</f>
        <v/>
      </c>
      <c r="AK156" t="str">
        <f t="shared" si="39"/>
        <v/>
      </c>
      <c r="AL156" t="str">
        <f>IF(Input!AD156&lt;&gt;"",IF(ISNUMBER(Input!AE156),(Input!AE156),0),"")</f>
        <v/>
      </c>
      <c r="AM156" t="str">
        <f>IF(Input!AG156&lt;&gt;"",Input!AG156,"")</f>
        <v/>
      </c>
      <c r="AN156" t="str">
        <f t="shared" si="29"/>
        <v/>
      </c>
      <c r="AO156" t="str">
        <f>IF(Input!AG156&lt;&gt;"",IF(ISNUMBER(Input!AH156),(Input!AH156),0),"")</f>
        <v/>
      </c>
    </row>
    <row r="157" spans="1:41" ht="16.5" thickTop="1" thickBot="1" x14ac:dyDescent="0.4">
      <c r="A157" s="35">
        <f>IF(ISBLANK(Input!A157),1000,IF(Input!E157&gt;0,Input!E157+F157,1000))</f>
        <v>1000</v>
      </c>
      <c r="B157" s="32">
        <f t="shared" si="30"/>
        <v>1000</v>
      </c>
      <c r="C157" s="4">
        <v>156</v>
      </c>
      <c r="D157" s="97">
        <f>IF(ISBLANK(Input!A157),1000,IF(Input!G157&gt;0,Input!G157+F157,1000))</f>
        <v>1000</v>
      </c>
      <c r="E157" s="97">
        <f t="shared" si="31"/>
        <v>1000</v>
      </c>
      <c r="F157" s="4">
        <v>0.156</v>
      </c>
      <c r="I157" t="str">
        <f>IF(Input!A157&gt;0,Input!A157,"")</f>
        <v/>
      </c>
      <c r="J157" t="str">
        <f>IF(Input!B157&gt;0,Input!B157,"")</f>
        <v/>
      </c>
      <c r="K157" t="str">
        <f>IF(Input!C157&gt;0,Input!C157,"")</f>
        <v/>
      </c>
      <c r="L157" t="str">
        <f>IF(Input!D157&gt;0,Input!D157,"")</f>
        <v/>
      </c>
      <c r="M157" t="str">
        <f>IF(Input!G157&gt;0,Input!G157,"")</f>
        <v xml:space="preserve"> </v>
      </c>
      <c r="N157" t="str">
        <f>IF(Input!H157&gt;0,Input!H157,"")</f>
        <v xml:space="preserve"> </v>
      </c>
      <c r="O157" t="str">
        <f>IF(Input!I157&lt;&gt;"",Input!I157,"")</f>
        <v/>
      </c>
      <c r="P157" t="str">
        <f t="shared" si="32"/>
        <v/>
      </c>
      <c r="Q157" t="str">
        <f>IF(Input!I157&lt;&gt;"",IF(ISNUMBER(Input!J157),ROUNDDOWN(Input!J157,0),0),"")</f>
        <v/>
      </c>
      <c r="R157" t="str">
        <f>IF(Input!L157&lt;&gt;"",Input!L157,"")</f>
        <v/>
      </c>
      <c r="S157" t="str">
        <f t="shared" si="33"/>
        <v/>
      </c>
      <c r="T157" t="str">
        <f>IF(Input!L157&lt;&gt;"",IF(ISNUMBER(Input!M157),Input!M157,0),"")</f>
        <v/>
      </c>
      <c r="U157" t="str">
        <f>IF(Input!O157&lt;&gt;"",Input!O157,"")</f>
        <v/>
      </c>
      <c r="V157" t="str">
        <f t="shared" si="34"/>
        <v/>
      </c>
      <c r="W157" t="str">
        <f>IF(Input!O157&lt;&gt;"",IF(ISNUMBER(Input!P157),(Input!P157),0),"")</f>
        <v/>
      </c>
      <c r="X157" t="str">
        <f>IF(Input!R157&lt;&gt;"",Input!R157,"")</f>
        <v/>
      </c>
      <c r="Y157" t="str">
        <f t="shared" si="35"/>
        <v/>
      </c>
      <c r="Z157" t="str">
        <f>IF(Input!R157&lt;&gt;"",IF(ISNUMBER(Input!S157),ROUNDDOWN(Input!S157,0),0),"")</f>
        <v/>
      </c>
      <c r="AA157" t="str">
        <f>IF(Input!U157&lt;&gt;"",Input!U157,"")</f>
        <v/>
      </c>
      <c r="AB157" t="str">
        <f t="shared" si="36"/>
        <v/>
      </c>
      <c r="AC157" t="str">
        <f>IF(Input!U157&lt;&gt;"",IF(ISNUMBER(Input!V157),ROUNDDOWN(Input!V157,0),0),"")</f>
        <v/>
      </c>
      <c r="AD157" t="str">
        <f>IF(Input!X157&lt;&gt;"",Input!X157,"")</f>
        <v/>
      </c>
      <c r="AE157" t="str">
        <f t="shared" si="37"/>
        <v/>
      </c>
      <c r="AF157" t="str">
        <f>IF(Input!X157&lt;&gt;"",IF(ISNUMBER(Input!Y157),(Input!Y157),0),"")</f>
        <v/>
      </c>
      <c r="AG157" t="str">
        <f>IF(Input!AA157&lt;&gt;"",Input!AA157,"")</f>
        <v/>
      </c>
      <c r="AH157" t="str">
        <f t="shared" si="38"/>
        <v/>
      </c>
      <c r="AI157" t="str">
        <f>IF(Input!AA157&lt;&gt;"",IF(ISNUMBER(Input!AB157),ROUNDDOWN(Input!AB157,0),0),"")</f>
        <v/>
      </c>
      <c r="AJ157" t="str">
        <f>IF(Input!AD157&lt;&gt;"",Input!AD157,"")</f>
        <v/>
      </c>
      <c r="AK157" t="str">
        <f t="shared" si="39"/>
        <v/>
      </c>
      <c r="AL157" t="str">
        <f>IF(Input!AD157&lt;&gt;"",IF(ISNUMBER(Input!AE157),(Input!AE157),0),"")</f>
        <v/>
      </c>
      <c r="AM157" t="str">
        <f>IF(Input!AG157&lt;&gt;"",Input!AG157,"")</f>
        <v/>
      </c>
      <c r="AN157" t="str">
        <f t="shared" si="29"/>
        <v/>
      </c>
      <c r="AO157" t="str">
        <f>IF(Input!AG157&lt;&gt;"",IF(ISNUMBER(Input!AH157),(Input!AH157),0),"")</f>
        <v/>
      </c>
    </row>
    <row r="158" spans="1:41" ht="16.5" thickTop="1" thickBot="1" x14ac:dyDescent="0.4">
      <c r="A158" s="35">
        <f>IF(ISBLANK(Input!A158),1000,IF(Input!E158&gt;0,Input!E158+F158,1000))</f>
        <v>1000</v>
      </c>
      <c r="B158" s="32">
        <f t="shared" si="30"/>
        <v>1000</v>
      </c>
      <c r="C158" s="4">
        <v>157</v>
      </c>
      <c r="D158" s="97">
        <f>IF(ISBLANK(Input!A158),1000,IF(Input!G158&gt;0,Input!G158+F158,1000))</f>
        <v>1000</v>
      </c>
      <c r="E158" s="97">
        <f t="shared" si="31"/>
        <v>1000</v>
      </c>
      <c r="F158" s="4">
        <v>0.157</v>
      </c>
      <c r="I158" t="str">
        <f>IF(Input!A158&gt;0,Input!A158,"")</f>
        <v/>
      </c>
      <c r="J158" t="str">
        <f>IF(Input!B158&gt;0,Input!B158,"")</f>
        <v/>
      </c>
      <c r="K158" t="str">
        <f>IF(Input!C158&gt;0,Input!C158,"")</f>
        <v/>
      </c>
      <c r="L158" t="str">
        <f>IF(Input!D158&gt;0,Input!D158,"")</f>
        <v/>
      </c>
      <c r="M158" t="str">
        <f>IF(Input!G158&gt;0,Input!G158,"")</f>
        <v xml:space="preserve"> </v>
      </c>
      <c r="N158" t="str">
        <f>IF(Input!H158&gt;0,Input!H158,"")</f>
        <v xml:space="preserve"> </v>
      </c>
      <c r="O158" t="str">
        <f>IF(Input!I158&lt;&gt;"",Input!I158,"")</f>
        <v/>
      </c>
      <c r="P158" t="str">
        <f t="shared" si="32"/>
        <v/>
      </c>
      <c r="Q158" t="str">
        <f>IF(Input!I158&lt;&gt;"",IF(ISNUMBER(Input!J158),ROUNDDOWN(Input!J158,0),0),"")</f>
        <v/>
      </c>
      <c r="R158" t="str">
        <f>IF(Input!L158&lt;&gt;"",Input!L158,"")</f>
        <v/>
      </c>
      <c r="S158" t="str">
        <f t="shared" si="33"/>
        <v/>
      </c>
      <c r="T158" t="str">
        <f>IF(Input!L158&lt;&gt;"",IF(ISNUMBER(Input!M158),Input!M158,0),"")</f>
        <v/>
      </c>
      <c r="U158" t="str">
        <f>IF(Input!O158&lt;&gt;"",Input!O158,"")</f>
        <v/>
      </c>
      <c r="V158" t="str">
        <f t="shared" si="34"/>
        <v/>
      </c>
      <c r="W158" t="str">
        <f>IF(Input!O158&lt;&gt;"",IF(ISNUMBER(Input!P158),(Input!P158),0),"")</f>
        <v/>
      </c>
      <c r="X158" t="str">
        <f>IF(Input!R158&lt;&gt;"",Input!R158,"")</f>
        <v/>
      </c>
      <c r="Y158" t="str">
        <f t="shared" si="35"/>
        <v/>
      </c>
      <c r="Z158" t="str">
        <f>IF(Input!R158&lt;&gt;"",IF(ISNUMBER(Input!S158),ROUNDDOWN(Input!S158,0),0),"")</f>
        <v/>
      </c>
      <c r="AA158" t="str">
        <f>IF(Input!U158&lt;&gt;"",Input!U158,"")</f>
        <v/>
      </c>
      <c r="AB158" t="str">
        <f t="shared" si="36"/>
        <v/>
      </c>
      <c r="AC158" t="str">
        <f>IF(Input!U158&lt;&gt;"",IF(ISNUMBER(Input!V158),ROUNDDOWN(Input!V158,0),0),"")</f>
        <v/>
      </c>
      <c r="AD158" t="str">
        <f>IF(Input!X158&lt;&gt;"",Input!X158,"")</f>
        <v/>
      </c>
      <c r="AE158" t="str">
        <f t="shared" si="37"/>
        <v/>
      </c>
      <c r="AF158" t="str">
        <f>IF(Input!X158&lt;&gt;"",IF(ISNUMBER(Input!Y158),(Input!Y158),0),"")</f>
        <v/>
      </c>
      <c r="AG158" t="str">
        <f>IF(Input!AA158&lt;&gt;"",Input!AA158,"")</f>
        <v/>
      </c>
      <c r="AH158" t="str">
        <f t="shared" si="38"/>
        <v/>
      </c>
      <c r="AI158" t="str">
        <f>IF(Input!AA158&lt;&gt;"",IF(ISNUMBER(Input!AB158),ROUNDDOWN(Input!AB158,0),0),"")</f>
        <v/>
      </c>
      <c r="AJ158" t="str">
        <f>IF(Input!AD158&lt;&gt;"",Input!AD158,"")</f>
        <v/>
      </c>
      <c r="AK158" t="str">
        <f t="shared" si="39"/>
        <v/>
      </c>
      <c r="AL158" t="str">
        <f>IF(Input!AD158&lt;&gt;"",IF(ISNUMBER(Input!AE158),(Input!AE158),0),"")</f>
        <v/>
      </c>
      <c r="AM158" t="str">
        <f>IF(Input!AG158&lt;&gt;"",Input!AG158,"")</f>
        <v/>
      </c>
      <c r="AN158" t="str">
        <f t="shared" si="29"/>
        <v/>
      </c>
      <c r="AO158" t="str">
        <f>IF(Input!AG158&lt;&gt;"",IF(ISNUMBER(Input!AH158),(Input!AH158),0),"")</f>
        <v/>
      </c>
    </row>
    <row r="159" spans="1:41" ht="16.5" thickTop="1" thickBot="1" x14ac:dyDescent="0.4">
      <c r="A159" s="35">
        <f>IF(ISBLANK(Input!A159),1000,IF(Input!E159&gt;0,Input!E159+F159,1000))</f>
        <v>1000</v>
      </c>
      <c r="B159" s="32">
        <f t="shared" si="30"/>
        <v>1000</v>
      </c>
      <c r="C159" s="4">
        <v>158</v>
      </c>
      <c r="D159" s="97">
        <f>IF(ISBLANK(Input!A159),1000,IF(Input!G159&gt;0,Input!G159+F159,1000))</f>
        <v>1000</v>
      </c>
      <c r="E159" s="97">
        <f t="shared" si="31"/>
        <v>1000</v>
      </c>
      <c r="F159" s="4">
        <v>0.158</v>
      </c>
      <c r="I159" t="str">
        <f>IF(Input!A159&gt;0,Input!A159,"")</f>
        <v/>
      </c>
      <c r="J159" t="str">
        <f>IF(Input!B159&gt;0,Input!B159,"")</f>
        <v/>
      </c>
      <c r="K159" t="str">
        <f>IF(Input!C159&gt;0,Input!C159,"")</f>
        <v/>
      </c>
      <c r="L159" t="str">
        <f>IF(Input!D159&gt;0,Input!D159,"")</f>
        <v/>
      </c>
      <c r="M159" t="str">
        <f>IF(Input!G159&gt;0,Input!G159,"")</f>
        <v xml:space="preserve"> </v>
      </c>
      <c r="N159" t="str">
        <f>IF(Input!H159&gt;0,Input!H159,"")</f>
        <v xml:space="preserve"> </v>
      </c>
      <c r="O159" t="str">
        <f>IF(Input!I159&lt;&gt;"",Input!I159,"")</f>
        <v/>
      </c>
      <c r="P159" t="str">
        <f t="shared" si="32"/>
        <v/>
      </c>
      <c r="Q159" t="str">
        <f>IF(Input!I159&lt;&gt;"",IF(ISNUMBER(Input!J159),ROUNDDOWN(Input!J159,0),0),"")</f>
        <v/>
      </c>
      <c r="R159" t="str">
        <f>IF(Input!L159&lt;&gt;"",Input!L159,"")</f>
        <v/>
      </c>
      <c r="S159" t="str">
        <f t="shared" si="33"/>
        <v/>
      </c>
      <c r="T159" t="str">
        <f>IF(Input!L159&lt;&gt;"",IF(ISNUMBER(Input!M159),Input!M159,0),"")</f>
        <v/>
      </c>
      <c r="U159" t="str">
        <f>IF(Input!O159&lt;&gt;"",Input!O159,"")</f>
        <v/>
      </c>
      <c r="V159" t="str">
        <f t="shared" si="34"/>
        <v/>
      </c>
      <c r="W159" t="str">
        <f>IF(Input!O159&lt;&gt;"",IF(ISNUMBER(Input!P159),(Input!P159),0),"")</f>
        <v/>
      </c>
      <c r="X159" t="str">
        <f>IF(Input!R159&lt;&gt;"",Input!R159,"")</f>
        <v/>
      </c>
      <c r="Y159" t="str">
        <f t="shared" si="35"/>
        <v/>
      </c>
      <c r="Z159" t="str">
        <f>IF(Input!R159&lt;&gt;"",IF(ISNUMBER(Input!S159),ROUNDDOWN(Input!S159,0),0),"")</f>
        <v/>
      </c>
      <c r="AA159" t="str">
        <f>IF(Input!U159&lt;&gt;"",Input!U159,"")</f>
        <v/>
      </c>
      <c r="AB159" t="str">
        <f t="shared" si="36"/>
        <v/>
      </c>
      <c r="AC159" t="str">
        <f>IF(Input!U159&lt;&gt;"",IF(ISNUMBER(Input!V159),ROUNDDOWN(Input!V159,0),0),"")</f>
        <v/>
      </c>
      <c r="AD159" t="str">
        <f>IF(Input!X159&lt;&gt;"",Input!X159,"")</f>
        <v/>
      </c>
      <c r="AE159" t="str">
        <f t="shared" si="37"/>
        <v/>
      </c>
      <c r="AF159" t="str">
        <f>IF(Input!X159&lt;&gt;"",IF(ISNUMBER(Input!Y159),(Input!Y159),0),"")</f>
        <v/>
      </c>
      <c r="AG159" t="str">
        <f>IF(Input!AA159&lt;&gt;"",Input!AA159,"")</f>
        <v/>
      </c>
      <c r="AH159" t="str">
        <f t="shared" si="38"/>
        <v/>
      </c>
      <c r="AI159" t="str">
        <f>IF(Input!AA159&lt;&gt;"",IF(ISNUMBER(Input!AB159),ROUNDDOWN(Input!AB159,0),0),"")</f>
        <v/>
      </c>
      <c r="AJ159" t="str">
        <f>IF(Input!AD159&lt;&gt;"",Input!AD159,"")</f>
        <v/>
      </c>
      <c r="AK159" t="str">
        <f t="shared" si="39"/>
        <v/>
      </c>
      <c r="AL159" t="str">
        <f>IF(Input!AD159&lt;&gt;"",IF(ISNUMBER(Input!AE159),(Input!AE159),0),"")</f>
        <v/>
      </c>
      <c r="AM159" t="str">
        <f>IF(Input!AG159&lt;&gt;"",Input!AG159,"")</f>
        <v/>
      </c>
      <c r="AN159" t="str">
        <f t="shared" si="29"/>
        <v/>
      </c>
      <c r="AO159" t="str">
        <f>IF(Input!AG159&lt;&gt;"",IF(ISNUMBER(Input!AH159),(Input!AH159),0),"")</f>
        <v/>
      </c>
    </row>
    <row r="160" spans="1:41" ht="16.5" thickTop="1" thickBot="1" x14ac:dyDescent="0.4">
      <c r="A160" s="35">
        <f>IF(ISBLANK(Input!A160),1000,IF(Input!E160&gt;0,Input!E160+F160,1000))</f>
        <v>1000</v>
      </c>
      <c r="B160" s="32">
        <f t="shared" si="30"/>
        <v>1000</v>
      </c>
      <c r="C160" s="4">
        <v>159</v>
      </c>
      <c r="D160" s="97">
        <f>IF(ISBLANK(Input!A160),1000,IF(Input!G160&gt;0,Input!G160+F160,1000))</f>
        <v>1000</v>
      </c>
      <c r="E160" s="97">
        <f t="shared" si="31"/>
        <v>1000</v>
      </c>
      <c r="F160" s="4">
        <v>0.159</v>
      </c>
      <c r="I160" t="str">
        <f>IF(Input!A160&gt;0,Input!A160,"")</f>
        <v/>
      </c>
      <c r="J160" t="str">
        <f>IF(Input!B160&gt;0,Input!B160,"")</f>
        <v/>
      </c>
      <c r="K160" t="str">
        <f>IF(Input!C160&gt;0,Input!C160,"")</f>
        <v/>
      </c>
      <c r="L160" t="str">
        <f>IF(Input!D160&gt;0,Input!D160,"")</f>
        <v/>
      </c>
      <c r="M160" t="str">
        <f>IF(Input!G160&gt;0,Input!G160,"")</f>
        <v xml:space="preserve"> </v>
      </c>
      <c r="N160" t="str">
        <f>IF(Input!H160&gt;0,Input!H160,"")</f>
        <v xml:space="preserve"> </v>
      </c>
      <c r="O160" t="str">
        <f>IF(Input!I160&lt;&gt;"",Input!I160,"")</f>
        <v/>
      </c>
      <c r="P160" t="str">
        <f t="shared" si="32"/>
        <v/>
      </c>
      <c r="Q160" t="str">
        <f>IF(Input!I160&lt;&gt;"",IF(ISNUMBER(Input!J160),ROUNDDOWN(Input!J160,0),0),"")</f>
        <v/>
      </c>
      <c r="R160" t="str">
        <f>IF(Input!L160&lt;&gt;"",Input!L160,"")</f>
        <v/>
      </c>
      <c r="S160" t="str">
        <f t="shared" si="33"/>
        <v/>
      </c>
      <c r="T160" t="str">
        <f>IF(Input!L160&lt;&gt;"",IF(ISNUMBER(Input!M160),Input!M160,0),"")</f>
        <v/>
      </c>
      <c r="U160" t="str">
        <f>IF(Input!O160&lt;&gt;"",Input!O160,"")</f>
        <v/>
      </c>
      <c r="V160" t="str">
        <f t="shared" si="34"/>
        <v/>
      </c>
      <c r="W160" t="str">
        <f>IF(Input!O160&lt;&gt;"",IF(ISNUMBER(Input!P160),(Input!P160),0),"")</f>
        <v/>
      </c>
      <c r="X160" t="str">
        <f>IF(Input!R160&lt;&gt;"",Input!R160,"")</f>
        <v/>
      </c>
      <c r="Y160" t="str">
        <f t="shared" si="35"/>
        <v/>
      </c>
      <c r="Z160" t="str">
        <f>IF(Input!R160&lt;&gt;"",IF(ISNUMBER(Input!S160),ROUNDDOWN(Input!S160,0),0),"")</f>
        <v/>
      </c>
      <c r="AA160" t="str">
        <f>IF(Input!U160&lt;&gt;"",Input!U160,"")</f>
        <v/>
      </c>
      <c r="AB160" t="str">
        <f t="shared" si="36"/>
        <v/>
      </c>
      <c r="AC160" t="str">
        <f>IF(Input!U160&lt;&gt;"",IF(ISNUMBER(Input!V160),ROUNDDOWN(Input!V160,0),0),"")</f>
        <v/>
      </c>
      <c r="AD160" t="str">
        <f>IF(Input!X160&lt;&gt;"",Input!X160,"")</f>
        <v/>
      </c>
      <c r="AE160" t="str">
        <f t="shared" si="37"/>
        <v/>
      </c>
      <c r="AF160" t="str">
        <f>IF(Input!X160&lt;&gt;"",IF(ISNUMBER(Input!Y160),(Input!Y160),0),"")</f>
        <v/>
      </c>
      <c r="AG160" t="str">
        <f>IF(Input!AA160&lt;&gt;"",Input!AA160,"")</f>
        <v/>
      </c>
      <c r="AH160" t="str">
        <f t="shared" si="38"/>
        <v/>
      </c>
      <c r="AI160" t="str">
        <f>IF(Input!AA160&lt;&gt;"",IF(ISNUMBER(Input!AB160),ROUNDDOWN(Input!AB160,0),0),"")</f>
        <v/>
      </c>
      <c r="AJ160" t="str">
        <f>IF(Input!AD160&lt;&gt;"",Input!AD160,"")</f>
        <v/>
      </c>
      <c r="AK160" t="str">
        <f t="shared" si="39"/>
        <v/>
      </c>
      <c r="AL160" t="str">
        <f>IF(Input!AD160&lt;&gt;"",IF(ISNUMBER(Input!AE160),(Input!AE160),0),"")</f>
        <v/>
      </c>
      <c r="AM160" t="str">
        <f>IF(Input!AG160&lt;&gt;"",Input!AG160,"")</f>
        <v/>
      </c>
      <c r="AN160" t="str">
        <f t="shared" si="29"/>
        <v/>
      </c>
      <c r="AO160" t="str">
        <f>IF(Input!AG160&lt;&gt;"",IF(ISNUMBER(Input!AH160),(Input!AH160),0),"")</f>
        <v/>
      </c>
    </row>
    <row r="161" spans="1:41" ht="16.5" thickTop="1" thickBot="1" x14ac:dyDescent="0.4">
      <c r="A161" s="35">
        <f>IF(ISBLANK(Input!A161),1000,IF(Input!E161&gt;0,Input!E161+F161,1000))</f>
        <v>1000</v>
      </c>
      <c r="B161" s="32">
        <f t="shared" si="30"/>
        <v>1000</v>
      </c>
      <c r="C161" s="4">
        <v>160</v>
      </c>
      <c r="D161" s="97">
        <f>IF(ISBLANK(Input!A161),1000,IF(Input!G161&gt;0,Input!G161+F161,1000))</f>
        <v>1000</v>
      </c>
      <c r="E161" s="97">
        <f t="shared" si="31"/>
        <v>1000</v>
      </c>
      <c r="F161" s="4">
        <v>0.16</v>
      </c>
      <c r="I161" t="str">
        <f>IF(Input!A161&gt;0,Input!A161,"")</f>
        <v/>
      </c>
      <c r="J161" t="str">
        <f>IF(Input!B161&gt;0,Input!B161,"")</f>
        <v/>
      </c>
      <c r="K161" t="str">
        <f>IF(Input!C161&gt;0,Input!C161,"")</f>
        <v/>
      </c>
      <c r="L161" t="str">
        <f>IF(Input!D161&gt;0,Input!D161,"")</f>
        <v/>
      </c>
      <c r="M161" t="str">
        <f>IF(Input!G161&gt;0,Input!G161,"")</f>
        <v xml:space="preserve"> </v>
      </c>
      <c r="N161" t="str">
        <f>IF(Input!H161&gt;0,Input!H161,"")</f>
        <v xml:space="preserve"> </v>
      </c>
      <c r="O161" t="str">
        <f>IF(Input!I161&lt;&gt;"",Input!I161,"")</f>
        <v/>
      </c>
      <c r="P161" t="str">
        <f t="shared" si="32"/>
        <v/>
      </c>
      <c r="Q161" t="str">
        <f>IF(Input!I161&lt;&gt;"",IF(ISNUMBER(Input!J161),ROUNDDOWN(Input!J161,0),0),"")</f>
        <v/>
      </c>
      <c r="R161" t="str">
        <f>IF(Input!L161&lt;&gt;"",Input!L161,"")</f>
        <v/>
      </c>
      <c r="S161" t="str">
        <f t="shared" si="33"/>
        <v/>
      </c>
      <c r="T161" t="str">
        <f>IF(Input!L161&lt;&gt;"",IF(ISNUMBER(Input!M161),Input!M161,0),"")</f>
        <v/>
      </c>
      <c r="U161" t="str">
        <f>IF(Input!O161&lt;&gt;"",Input!O161,"")</f>
        <v/>
      </c>
      <c r="V161" t="str">
        <f t="shared" si="34"/>
        <v/>
      </c>
      <c r="W161" t="str">
        <f>IF(Input!O161&lt;&gt;"",IF(ISNUMBER(Input!P161),(Input!P161),0),"")</f>
        <v/>
      </c>
      <c r="X161" t="str">
        <f>IF(Input!R161&lt;&gt;"",Input!R161,"")</f>
        <v/>
      </c>
      <c r="Y161" t="str">
        <f t="shared" si="35"/>
        <v/>
      </c>
      <c r="Z161" t="str">
        <f>IF(Input!R161&lt;&gt;"",IF(ISNUMBER(Input!S161),ROUNDDOWN(Input!S161,0),0),"")</f>
        <v/>
      </c>
      <c r="AA161" t="str">
        <f>IF(Input!U161&lt;&gt;"",Input!U161,"")</f>
        <v/>
      </c>
      <c r="AB161" t="str">
        <f t="shared" si="36"/>
        <v/>
      </c>
      <c r="AC161" t="str">
        <f>IF(Input!U161&lt;&gt;"",IF(ISNUMBER(Input!V161),ROUNDDOWN(Input!V161,0),0),"")</f>
        <v/>
      </c>
      <c r="AD161" t="str">
        <f>IF(Input!X161&lt;&gt;"",Input!X161,"")</f>
        <v/>
      </c>
      <c r="AE161" t="str">
        <f t="shared" si="37"/>
        <v/>
      </c>
      <c r="AF161" t="str">
        <f>IF(Input!X161&lt;&gt;"",IF(ISNUMBER(Input!Y161),(Input!Y161),0),"")</f>
        <v/>
      </c>
      <c r="AG161" t="str">
        <f>IF(Input!AA161&lt;&gt;"",Input!AA161,"")</f>
        <v/>
      </c>
      <c r="AH161" t="str">
        <f t="shared" si="38"/>
        <v/>
      </c>
      <c r="AI161" t="str">
        <f>IF(Input!AA161&lt;&gt;"",IF(ISNUMBER(Input!AB161),ROUNDDOWN(Input!AB161,0),0),"")</f>
        <v/>
      </c>
      <c r="AJ161" t="str">
        <f>IF(Input!AD161&lt;&gt;"",Input!AD161,"")</f>
        <v/>
      </c>
      <c r="AK161" t="str">
        <f t="shared" si="39"/>
        <v/>
      </c>
      <c r="AL161" t="str">
        <f>IF(Input!AD161&lt;&gt;"",IF(ISNUMBER(Input!AE161),(Input!AE161),0),"")</f>
        <v/>
      </c>
      <c r="AM161" t="str">
        <f>IF(Input!AG161&lt;&gt;"",Input!AG161,"")</f>
        <v/>
      </c>
      <c r="AN161" t="str">
        <f t="shared" si="29"/>
        <v/>
      </c>
      <c r="AO161" t="str">
        <f>IF(Input!AG161&lt;&gt;"",IF(ISNUMBER(Input!AH161),(Input!AH161),0),"")</f>
        <v/>
      </c>
    </row>
    <row r="162" spans="1:41" ht="16.5" thickTop="1" thickBot="1" x14ac:dyDescent="0.4">
      <c r="A162" s="35">
        <f>IF(ISBLANK(Input!A162),1000,IF(Input!E162&gt;0,Input!E162+F162,1000))</f>
        <v>1000</v>
      </c>
      <c r="B162" s="32">
        <f t="shared" si="30"/>
        <v>1000</v>
      </c>
      <c r="C162" s="4">
        <v>161</v>
      </c>
      <c r="D162" s="97">
        <f>IF(ISBLANK(Input!A162),1000,IF(Input!G162&gt;0,Input!G162+F162,1000))</f>
        <v>1000</v>
      </c>
      <c r="E162" s="97">
        <f t="shared" si="31"/>
        <v>1000</v>
      </c>
      <c r="F162" s="4">
        <v>0.161</v>
      </c>
      <c r="I162" t="str">
        <f>IF(Input!A162&gt;0,Input!A162,"")</f>
        <v/>
      </c>
      <c r="J162" t="str">
        <f>IF(Input!B162&gt;0,Input!B162,"")</f>
        <v/>
      </c>
      <c r="K162" t="str">
        <f>IF(Input!C162&gt;0,Input!C162,"")</f>
        <v/>
      </c>
      <c r="L162" t="str">
        <f>IF(Input!D162&gt;0,Input!D162,"")</f>
        <v/>
      </c>
      <c r="M162" t="str">
        <f>IF(Input!G162&gt;0,Input!G162,"")</f>
        <v xml:space="preserve"> </v>
      </c>
      <c r="N162" t="str">
        <f>IF(Input!H162&gt;0,Input!H162,"")</f>
        <v xml:space="preserve"> </v>
      </c>
      <c r="O162" t="str">
        <f>IF(Input!I162&lt;&gt;"",Input!I162,"")</f>
        <v/>
      </c>
      <c r="P162" t="str">
        <f t="shared" si="32"/>
        <v/>
      </c>
      <c r="Q162" t="str">
        <f>IF(Input!I162&lt;&gt;"",IF(ISNUMBER(Input!J162),ROUNDDOWN(Input!J162,0),0),"")</f>
        <v/>
      </c>
      <c r="R162" t="str">
        <f>IF(Input!L162&lt;&gt;"",Input!L162,"")</f>
        <v/>
      </c>
      <c r="S162" t="str">
        <f t="shared" si="33"/>
        <v/>
      </c>
      <c r="T162" t="str">
        <f>IF(Input!L162&lt;&gt;"",IF(ISNUMBER(Input!M162),Input!M162,0),"")</f>
        <v/>
      </c>
      <c r="U162" t="str">
        <f>IF(Input!O162&lt;&gt;"",Input!O162,"")</f>
        <v/>
      </c>
      <c r="V162" t="str">
        <f t="shared" si="34"/>
        <v/>
      </c>
      <c r="W162" t="str">
        <f>IF(Input!O162&lt;&gt;"",IF(ISNUMBER(Input!P162),(Input!P162),0),"")</f>
        <v/>
      </c>
      <c r="X162" t="str">
        <f>IF(Input!R162&lt;&gt;"",Input!R162,"")</f>
        <v/>
      </c>
      <c r="Y162" t="str">
        <f t="shared" si="35"/>
        <v/>
      </c>
      <c r="Z162" t="str">
        <f>IF(Input!R162&lt;&gt;"",IF(ISNUMBER(Input!S162),ROUNDDOWN(Input!S162,0),0),"")</f>
        <v/>
      </c>
      <c r="AA162" t="str">
        <f>IF(Input!U162&lt;&gt;"",Input!U162,"")</f>
        <v/>
      </c>
      <c r="AB162" t="str">
        <f t="shared" si="36"/>
        <v/>
      </c>
      <c r="AC162" t="str">
        <f>IF(Input!U162&lt;&gt;"",IF(ISNUMBER(Input!V162),ROUNDDOWN(Input!V162,0),0),"")</f>
        <v/>
      </c>
      <c r="AD162" t="str">
        <f>IF(Input!X162&lt;&gt;"",Input!X162,"")</f>
        <v/>
      </c>
      <c r="AE162" t="str">
        <f t="shared" si="37"/>
        <v/>
      </c>
      <c r="AF162" t="str">
        <f>IF(Input!X162&lt;&gt;"",IF(ISNUMBER(Input!Y162),(Input!Y162),0),"")</f>
        <v/>
      </c>
      <c r="AG162" t="str">
        <f>IF(Input!AA162&lt;&gt;"",Input!AA162,"")</f>
        <v/>
      </c>
      <c r="AH162" t="str">
        <f t="shared" si="38"/>
        <v/>
      </c>
      <c r="AI162" t="str">
        <f>IF(Input!AA162&lt;&gt;"",IF(ISNUMBER(Input!AB162),ROUNDDOWN(Input!AB162,0),0),"")</f>
        <v/>
      </c>
      <c r="AJ162" t="str">
        <f>IF(Input!AD162&lt;&gt;"",Input!AD162,"")</f>
        <v/>
      </c>
      <c r="AK162" t="str">
        <f t="shared" si="39"/>
        <v/>
      </c>
      <c r="AL162" t="str">
        <f>IF(Input!AD162&lt;&gt;"",IF(ISNUMBER(Input!AE162),(Input!AE162),0),"")</f>
        <v/>
      </c>
      <c r="AM162" t="str">
        <f>IF(Input!AG162&lt;&gt;"",Input!AG162,"")</f>
        <v/>
      </c>
      <c r="AN162" t="str">
        <f t="shared" si="29"/>
        <v/>
      </c>
      <c r="AO162" t="str">
        <f>IF(Input!AG162&lt;&gt;"",IF(ISNUMBER(Input!AH162),(Input!AH162),0),"")</f>
        <v/>
      </c>
    </row>
    <row r="163" spans="1:41" ht="16.5" thickTop="1" thickBot="1" x14ac:dyDescent="0.4">
      <c r="A163" s="35">
        <f>IF(ISBLANK(Input!A163),1000,IF(Input!E163&gt;0,Input!E163+F163,1000))</f>
        <v>1000</v>
      </c>
      <c r="B163" s="32">
        <f t="shared" si="30"/>
        <v>1000</v>
      </c>
      <c r="C163" s="4">
        <v>162</v>
      </c>
      <c r="D163" s="97">
        <f>IF(ISBLANK(Input!A163),1000,IF(Input!G163&gt;0,Input!G163+F163,1000))</f>
        <v>1000</v>
      </c>
      <c r="E163" s="97">
        <f t="shared" si="31"/>
        <v>1000</v>
      </c>
      <c r="F163" s="4">
        <v>0.16200000000000001</v>
      </c>
      <c r="I163" t="str">
        <f>IF(Input!A163&gt;0,Input!A163,"")</f>
        <v/>
      </c>
      <c r="J163" t="str">
        <f>IF(Input!B163&gt;0,Input!B163,"")</f>
        <v/>
      </c>
      <c r="K163" t="str">
        <f>IF(Input!C163&gt;0,Input!C163,"")</f>
        <v/>
      </c>
      <c r="L163" t="str">
        <f>IF(Input!D163&gt;0,Input!D163,"")</f>
        <v/>
      </c>
      <c r="M163" t="str">
        <f>IF(Input!G163&gt;0,Input!G163,"")</f>
        <v xml:space="preserve"> </v>
      </c>
      <c r="N163" t="str">
        <f>IF(Input!H163&gt;0,Input!H163,"")</f>
        <v xml:space="preserve"> </v>
      </c>
      <c r="O163" t="str">
        <f>IF(Input!I163&lt;&gt;"",Input!I163,"")</f>
        <v/>
      </c>
      <c r="P163" t="str">
        <f t="shared" si="32"/>
        <v/>
      </c>
      <c r="Q163" t="str">
        <f>IF(Input!I163&lt;&gt;"",IF(ISNUMBER(Input!J163),ROUNDDOWN(Input!J163,0),0),"")</f>
        <v/>
      </c>
      <c r="R163" t="str">
        <f>IF(Input!L163&lt;&gt;"",Input!L163,"")</f>
        <v/>
      </c>
      <c r="S163" t="str">
        <f t="shared" si="33"/>
        <v/>
      </c>
      <c r="T163" t="str">
        <f>IF(Input!L163&lt;&gt;"",IF(ISNUMBER(Input!M163),Input!M163,0),"")</f>
        <v/>
      </c>
      <c r="U163" t="str">
        <f>IF(Input!O163&lt;&gt;"",Input!O163,"")</f>
        <v/>
      </c>
      <c r="V163" t="str">
        <f t="shared" si="34"/>
        <v/>
      </c>
      <c r="W163" t="str">
        <f>IF(Input!O163&lt;&gt;"",IF(ISNUMBER(Input!P163),(Input!P163),0),"")</f>
        <v/>
      </c>
      <c r="X163" t="str">
        <f>IF(Input!R163&lt;&gt;"",Input!R163,"")</f>
        <v/>
      </c>
      <c r="Y163" t="str">
        <f t="shared" si="35"/>
        <v/>
      </c>
      <c r="Z163" t="str">
        <f>IF(Input!R163&lt;&gt;"",IF(ISNUMBER(Input!S163),ROUNDDOWN(Input!S163,0),0),"")</f>
        <v/>
      </c>
      <c r="AA163" t="str">
        <f>IF(Input!U163&lt;&gt;"",Input!U163,"")</f>
        <v/>
      </c>
      <c r="AB163" t="str">
        <f t="shared" si="36"/>
        <v/>
      </c>
      <c r="AC163" t="str">
        <f>IF(Input!U163&lt;&gt;"",IF(ISNUMBER(Input!V163),ROUNDDOWN(Input!V163,0),0),"")</f>
        <v/>
      </c>
      <c r="AD163" t="str">
        <f>IF(Input!X163&lt;&gt;"",Input!X163,"")</f>
        <v/>
      </c>
      <c r="AE163" t="str">
        <f t="shared" si="37"/>
        <v/>
      </c>
      <c r="AF163" t="str">
        <f>IF(Input!X163&lt;&gt;"",IF(ISNUMBER(Input!Y163),(Input!Y163),0),"")</f>
        <v/>
      </c>
      <c r="AG163" t="str">
        <f>IF(Input!AA163&lt;&gt;"",Input!AA163,"")</f>
        <v/>
      </c>
      <c r="AH163" t="str">
        <f t="shared" si="38"/>
        <v/>
      </c>
      <c r="AI163" t="str">
        <f>IF(Input!AA163&lt;&gt;"",IF(ISNUMBER(Input!AB163),ROUNDDOWN(Input!AB163,0),0),"")</f>
        <v/>
      </c>
      <c r="AJ163" t="str">
        <f>IF(Input!AD163&lt;&gt;"",Input!AD163,"")</f>
        <v/>
      </c>
      <c r="AK163" t="str">
        <f t="shared" si="39"/>
        <v/>
      </c>
      <c r="AL163" t="str">
        <f>IF(Input!AD163&lt;&gt;"",IF(ISNUMBER(Input!AE163),(Input!AE163),0),"")</f>
        <v/>
      </c>
      <c r="AM163" t="str">
        <f>IF(Input!AG163&lt;&gt;"",Input!AG163,"")</f>
        <v/>
      </c>
      <c r="AN163" t="str">
        <f t="shared" si="29"/>
        <v/>
      </c>
      <c r="AO163" t="str">
        <f>IF(Input!AG163&lt;&gt;"",IF(ISNUMBER(Input!AH163),(Input!AH163),0),"")</f>
        <v/>
      </c>
    </row>
    <row r="164" spans="1:41" ht="16.5" thickTop="1" thickBot="1" x14ac:dyDescent="0.4">
      <c r="A164" s="35">
        <f>IF(ISBLANK(Input!A164),1000,IF(Input!E164&gt;0,Input!E164+F164,1000))</f>
        <v>1000</v>
      </c>
      <c r="B164" s="32">
        <f t="shared" si="30"/>
        <v>1000</v>
      </c>
      <c r="C164" s="4">
        <v>163</v>
      </c>
      <c r="D164" s="97">
        <f>IF(ISBLANK(Input!A164),1000,IF(Input!G164&gt;0,Input!G164+F164,1000))</f>
        <v>1000</v>
      </c>
      <c r="E164" s="97">
        <f t="shared" si="31"/>
        <v>1000</v>
      </c>
      <c r="F164" s="4">
        <v>0.16300000000000001</v>
      </c>
      <c r="I164" t="str">
        <f>IF(Input!A164&gt;0,Input!A164,"")</f>
        <v/>
      </c>
      <c r="J164" t="str">
        <f>IF(Input!B164&gt;0,Input!B164,"")</f>
        <v/>
      </c>
      <c r="K164" t="str">
        <f>IF(Input!C164&gt;0,Input!C164,"")</f>
        <v/>
      </c>
      <c r="L164" t="str">
        <f>IF(Input!D164&gt;0,Input!D164,"")</f>
        <v/>
      </c>
      <c r="M164" t="str">
        <f>IF(Input!G164&gt;0,Input!G164,"")</f>
        <v xml:space="preserve"> </v>
      </c>
      <c r="N164" t="str">
        <f>IF(Input!H164&gt;0,Input!H164,"")</f>
        <v xml:space="preserve"> </v>
      </c>
      <c r="O164" t="str">
        <f>IF(Input!I164&lt;&gt;"",Input!I164,"")</f>
        <v/>
      </c>
      <c r="P164" t="str">
        <f t="shared" si="32"/>
        <v/>
      </c>
      <c r="Q164" t="str">
        <f>IF(Input!I164&lt;&gt;"",IF(ISNUMBER(Input!J164),ROUNDDOWN(Input!J164,0),0),"")</f>
        <v/>
      </c>
      <c r="R164" t="str">
        <f>IF(Input!L164&lt;&gt;"",Input!L164,"")</f>
        <v/>
      </c>
      <c r="S164" t="str">
        <f t="shared" si="33"/>
        <v/>
      </c>
      <c r="T164" t="str">
        <f>IF(Input!L164&lt;&gt;"",IF(ISNUMBER(Input!M164),Input!M164,0),"")</f>
        <v/>
      </c>
      <c r="U164" t="str">
        <f>IF(Input!O164&lt;&gt;"",Input!O164,"")</f>
        <v/>
      </c>
      <c r="V164" t="str">
        <f t="shared" si="34"/>
        <v/>
      </c>
      <c r="W164" t="str">
        <f>IF(Input!O164&lt;&gt;"",IF(ISNUMBER(Input!P164),(Input!P164),0),"")</f>
        <v/>
      </c>
      <c r="X164" t="str">
        <f>IF(Input!R164&lt;&gt;"",Input!R164,"")</f>
        <v/>
      </c>
      <c r="Y164" t="str">
        <f t="shared" si="35"/>
        <v/>
      </c>
      <c r="Z164" t="str">
        <f>IF(Input!R164&lt;&gt;"",IF(ISNUMBER(Input!S164),ROUNDDOWN(Input!S164,0),0),"")</f>
        <v/>
      </c>
      <c r="AA164" t="str">
        <f>IF(Input!U164&lt;&gt;"",Input!U164,"")</f>
        <v/>
      </c>
      <c r="AB164" t="str">
        <f t="shared" si="36"/>
        <v/>
      </c>
      <c r="AC164" t="str">
        <f>IF(Input!U164&lt;&gt;"",IF(ISNUMBER(Input!V164),ROUNDDOWN(Input!V164,0),0),"")</f>
        <v/>
      </c>
      <c r="AD164" t="str">
        <f>IF(Input!X164&lt;&gt;"",Input!X164,"")</f>
        <v/>
      </c>
      <c r="AE164" t="str">
        <f t="shared" si="37"/>
        <v/>
      </c>
      <c r="AF164" t="str">
        <f>IF(Input!X164&lt;&gt;"",IF(ISNUMBER(Input!Y164),(Input!Y164),0),"")</f>
        <v/>
      </c>
      <c r="AG164" t="str">
        <f>IF(Input!AA164&lt;&gt;"",Input!AA164,"")</f>
        <v/>
      </c>
      <c r="AH164" t="str">
        <f t="shared" si="38"/>
        <v/>
      </c>
      <c r="AI164" t="str">
        <f>IF(Input!AA164&lt;&gt;"",IF(ISNUMBER(Input!AB164),ROUNDDOWN(Input!AB164,0),0),"")</f>
        <v/>
      </c>
      <c r="AJ164" t="str">
        <f>IF(Input!AD164&lt;&gt;"",Input!AD164,"")</f>
        <v/>
      </c>
      <c r="AK164" t="str">
        <f t="shared" si="39"/>
        <v/>
      </c>
      <c r="AL164" t="str">
        <f>IF(Input!AD164&lt;&gt;"",IF(ISNUMBER(Input!AE164),(Input!AE164),0),"")</f>
        <v/>
      </c>
      <c r="AM164" t="str">
        <f>IF(Input!AG164&lt;&gt;"",Input!AG164,"")</f>
        <v/>
      </c>
      <c r="AN164" t="str">
        <f t="shared" si="29"/>
        <v/>
      </c>
      <c r="AO164" t="str">
        <f>IF(Input!AG164&lt;&gt;"",IF(ISNUMBER(Input!AH164),(Input!AH164),0),"")</f>
        <v/>
      </c>
    </row>
    <row r="165" spans="1:41" ht="16.5" thickTop="1" thickBot="1" x14ac:dyDescent="0.4">
      <c r="A165" s="35">
        <f>IF(ISBLANK(Input!A165),1000,IF(Input!E165&gt;0,Input!E165+F165,1000))</f>
        <v>1000</v>
      </c>
      <c r="B165" s="32">
        <f t="shared" si="30"/>
        <v>1000</v>
      </c>
      <c r="C165" s="4">
        <v>164</v>
      </c>
      <c r="D165" s="97">
        <f>IF(ISBLANK(Input!A165),1000,IF(Input!G165&gt;0,Input!G165+F165,1000))</f>
        <v>1000</v>
      </c>
      <c r="E165" s="97">
        <f t="shared" si="31"/>
        <v>1000</v>
      </c>
      <c r="F165" s="4">
        <v>0.16400000000000001</v>
      </c>
      <c r="I165" t="str">
        <f>IF(Input!A165&gt;0,Input!A165,"")</f>
        <v/>
      </c>
      <c r="J165" t="str">
        <f>IF(Input!B165&gt;0,Input!B165,"")</f>
        <v/>
      </c>
      <c r="K165" t="str">
        <f>IF(Input!C165&gt;0,Input!C165,"")</f>
        <v/>
      </c>
      <c r="L165" t="str">
        <f>IF(Input!D165&gt;0,Input!D165,"")</f>
        <v/>
      </c>
      <c r="M165" t="str">
        <f>IF(Input!G165&gt;0,Input!G165,"")</f>
        <v xml:space="preserve"> </v>
      </c>
      <c r="N165" t="str">
        <f>IF(Input!H165&gt;0,Input!H165,"")</f>
        <v xml:space="preserve"> </v>
      </c>
      <c r="O165" t="str">
        <f>IF(Input!I165&lt;&gt;"",Input!I165,"")</f>
        <v/>
      </c>
      <c r="P165" t="str">
        <f t="shared" si="32"/>
        <v/>
      </c>
      <c r="Q165" t="str">
        <f>IF(Input!I165&lt;&gt;"",IF(ISNUMBER(Input!J165),ROUNDDOWN(Input!J165,0),0),"")</f>
        <v/>
      </c>
      <c r="R165" t="str">
        <f>IF(Input!L165&lt;&gt;"",Input!L165,"")</f>
        <v/>
      </c>
      <c r="S165" t="str">
        <f t="shared" si="33"/>
        <v/>
      </c>
      <c r="T165" t="str">
        <f>IF(Input!L165&lt;&gt;"",IF(ISNUMBER(Input!M165),Input!M165,0),"")</f>
        <v/>
      </c>
      <c r="U165" t="str">
        <f>IF(Input!O165&lt;&gt;"",Input!O165,"")</f>
        <v/>
      </c>
      <c r="V165" t="str">
        <f t="shared" si="34"/>
        <v/>
      </c>
      <c r="W165" t="str">
        <f>IF(Input!O165&lt;&gt;"",IF(ISNUMBER(Input!P165),(Input!P165),0),"")</f>
        <v/>
      </c>
      <c r="X165" t="str">
        <f>IF(Input!R165&lt;&gt;"",Input!R165,"")</f>
        <v/>
      </c>
      <c r="Y165" t="str">
        <f t="shared" si="35"/>
        <v/>
      </c>
      <c r="Z165" t="str">
        <f>IF(Input!R165&lt;&gt;"",IF(ISNUMBER(Input!S165),ROUNDDOWN(Input!S165,0),0),"")</f>
        <v/>
      </c>
      <c r="AA165" t="str">
        <f>IF(Input!U165&lt;&gt;"",Input!U165,"")</f>
        <v/>
      </c>
      <c r="AB165" t="str">
        <f t="shared" si="36"/>
        <v/>
      </c>
      <c r="AC165" t="str">
        <f>IF(Input!U165&lt;&gt;"",IF(ISNUMBER(Input!V165),ROUNDDOWN(Input!V165,0),0),"")</f>
        <v/>
      </c>
      <c r="AD165" t="str">
        <f>IF(Input!X165&lt;&gt;"",Input!X165,"")</f>
        <v/>
      </c>
      <c r="AE165" t="str">
        <f t="shared" si="37"/>
        <v/>
      </c>
      <c r="AF165" t="str">
        <f>IF(Input!X165&lt;&gt;"",IF(ISNUMBER(Input!Y165),(Input!Y165),0),"")</f>
        <v/>
      </c>
      <c r="AG165" t="str">
        <f>IF(Input!AA165&lt;&gt;"",Input!AA165,"")</f>
        <v/>
      </c>
      <c r="AH165" t="str">
        <f t="shared" si="38"/>
        <v/>
      </c>
      <c r="AI165" t="str">
        <f>IF(Input!AA165&lt;&gt;"",IF(ISNUMBER(Input!AB165),ROUNDDOWN(Input!AB165,0),0),"")</f>
        <v/>
      </c>
      <c r="AJ165" t="str">
        <f>IF(Input!AD165&lt;&gt;"",Input!AD165,"")</f>
        <v/>
      </c>
      <c r="AK165" t="str">
        <f t="shared" si="39"/>
        <v/>
      </c>
      <c r="AL165" t="str">
        <f>IF(Input!AD165&lt;&gt;"",IF(ISNUMBER(Input!AE165),(Input!AE165),0),"")</f>
        <v/>
      </c>
      <c r="AM165" t="str">
        <f>IF(Input!AG165&lt;&gt;"",Input!AG165,"")</f>
        <v/>
      </c>
      <c r="AN165" t="str">
        <f t="shared" si="29"/>
        <v/>
      </c>
      <c r="AO165" t="str">
        <f>IF(Input!AG165&lt;&gt;"",IF(ISNUMBER(Input!AH165),(Input!AH165),0),"")</f>
        <v/>
      </c>
    </row>
    <row r="166" spans="1:41" ht="16.5" thickTop="1" thickBot="1" x14ac:dyDescent="0.4">
      <c r="A166" s="35">
        <f>IF(ISBLANK(Input!A166),1000,IF(Input!E166&gt;0,Input!E166+F166,1000))</f>
        <v>1000</v>
      </c>
      <c r="B166" s="32">
        <f t="shared" si="30"/>
        <v>1000</v>
      </c>
      <c r="C166" s="4">
        <v>165</v>
      </c>
      <c r="D166" s="97">
        <f>IF(ISBLANK(Input!A166),1000,IF(Input!G166&gt;0,Input!G166+F166,1000))</f>
        <v>1000</v>
      </c>
      <c r="E166" s="97">
        <f t="shared" si="31"/>
        <v>1000</v>
      </c>
      <c r="F166" s="4">
        <v>0.16500000000000001</v>
      </c>
      <c r="I166" t="str">
        <f>IF(Input!A166&gt;0,Input!A166,"")</f>
        <v/>
      </c>
      <c r="J166" t="str">
        <f>IF(Input!B166&gt;0,Input!B166,"")</f>
        <v/>
      </c>
      <c r="K166" t="str">
        <f>IF(Input!C166&gt;0,Input!C166,"")</f>
        <v/>
      </c>
      <c r="L166" t="str">
        <f>IF(Input!D166&gt;0,Input!D166,"")</f>
        <v/>
      </c>
      <c r="M166" t="str">
        <f>IF(Input!G166&gt;0,Input!G166,"")</f>
        <v xml:space="preserve"> </v>
      </c>
      <c r="N166" t="str">
        <f>IF(Input!H166&gt;0,Input!H166,"")</f>
        <v xml:space="preserve"> </v>
      </c>
      <c r="O166" t="str">
        <f>IF(Input!I166&lt;&gt;"",Input!I166,"")</f>
        <v/>
      </c>
      <c r="P166" t="str">
        <f t="shared" si="32"/>
        <v/>
      </c>
      <c r="Q166" t="str">
        <f>IF(Input!I166&lt;&gt;"",IF(ISNUMBER(Input!J166),ROUNDDOWN(Input!J166,0),0),"")</f>
        <v/>
      </c>
      <c r="R166" t="str">
        <f>IF(Input!L166&lt;&gt;"",Input!L166,"")</f>
        <v/>
      </c>
      <c r="S166" t="str">
        <f t="shared" si="33"/>
        <v/>
      </c>
      <c r="T166" t="str">
        <f>IF(Input!L166&lt;&gt;"",IF(ISNUMBER(Input!M166),Input!M166,0),"")</f>
        <v/>
      </c>
      <c r="U166" t="str">
        <f>IF(Input!O166&lt;&gt;"",Input!O166,"")</f>
        <v/>
      </c>
      <c r="V166" t="str">
        <f t="shared" si="34"/>
        <v/>
      </c>
      <c r="W166" t="str">
        <f>IF(Input!O166&lt;&gt;"",IF(ISNUMBER(Input!P166),(Input!P166),0),"")</f>
        <v/>
      </c>
      <c r="X166" t="str">
        <f>IF(Input!R166&lt;&gt;"",Input!R166,"")</f>
        <v/>
      </c>
      <c r="Y166" t="str">
        <f t="shared" si="35"/>
        <v/>
      </c>
      <c r="Z166" t="str">
        <f>IF(Input!R166&lt;&gt;"",IF(ISNUMBER(Input!S166),ROUNDDOWN(Input!S166,0),0),"")</f>
        <v/>
      </c>
      <c r="AA166" t="str">
        <f>IF(Input!U166&lt;&gt;"",Input!U166,"")</f>
        <v/>
      </c>
      <c r="AB166" t="str">
        <f t="shared" si="36"/>
        <v/>
      </c>
      <c r="AC166" t="str">
        <f>IF(Input!U166&lt;&gt;"",IF(ISNUMBER(Input!V166),ROUNDDOWN(Input!V166,0),0),"")</f>
        <v/>
      </c>
      <c r="AD166" t="str">
        <f>IF(Input!X166&lt;&gt;"",Input!X166,"")</f>
        <v/>
      </c>
      <c r="AE166" t="str">
        <f t="shared" si="37"/>
        <v/>
      </c>
      <c r="AF166" t="str">
        <f>IF(Input!X166&lt;&gt;"",IF(ISNUMBER(Input!Y166),(Input!Y166),0),"")</f>
        <v/>
      </c>
      <c r="AG166" t="str">
        <f>IF(Input!AA166&lt;&gt;"",Input!AA166,"")</f>
        <v/>
      </c>
      <c r="AH166" t="str">
        <f t="shared" si="38"/>
        <v/>
      </c>
      <c r="AI166" t="str">
        <f>IF(Input!AA166&lt;&gt;"",IF(ISNUMBER(Input!AB166),ROUNDDOWN(Input!AB166,0),0),"")</f>
        <v/>
      </c>
      <c r="AJ166" t="str">
        <f>IF(Input!AD166&lt;&gt;"",Input!AD166,"")</f>
        <v/>
      </c>
      <c r="AK166" t="str">
        <f t="shared" si="39"/>
        <v/>
      </c>
      <c r="AL166" t="str">
        <f>IF(Input!AD166&lt;&gt;"",IF(ISNUMBER(Input!AE166),(Input!AE166),0),"")</f>
        <v/>
      </c>
      <c r="AM166" t="str">
        <f>IF(Input!AG166&lt;&gt;"",Input!AG166,"")</f>
        <v/>
      </c>
      <c r="AN166" t="str">
        <f t="shared" si="29"/>
        <v/>
      </c>
      <c r="AO166" t="str">
        <f>IF(Input!AG166&lt;&gt;"",IF(ISNUMBER(Input!AH166),(Input!AH166),0),"")</f>
        <v/>
      </c>
    </row>
    <row r="167" spans="1:41" ht="16.5" thickTop="1" thickBot="1" x14ac:dyDescent="0.4">
      <c r="A167" s="35">
        <f>IF(ISBLANK(Input!A167),1000,IF(Input!E167&gt;0,Input!E167+F167,1000))</f>
        <v>1000</v>
      </c>
      <c r="B167" s="32">
        <f t="shared" si="30"/>
        <v>1000</v>
      </c>
      <c r="C167" s="4">
        <v>166</v>
      </c>
      <c r="D167" s="97">
        <f>IF(ISBLANK(Input!A167),1000,IF(Input!G167&gt;0,Input!G167+F167,1000))</f>
        <v>1000</v>
      </c>
      <c r="E167" s="97">
        <f t="shared" si="31"/>
        <v>1000</v>
      </c>
      <c r="F167" s="4">
        <v>0.16600000000000001</v>
      </c>
      <c r="I167" t="str">
        <f>IF(Input!A167&gt;0,Input!A167,"")</f>
        <v/>
      </c>
      <c r="J167" t="str">
        <f>IF(Input!B167&gt;0,Input!B167,"")</f>
        <v/>
      </c>
      <c r="K167" t="str">
        <f>IF(Input!C167&gt;0,Input!C167,"")</f>
        <v/>
      </c>
      <c r="L167" t="str">
        <f>IF(Input!D167&gt;0,Input!D167,"")</f>
        <v/>
      </c>
      <c r="M167" t="str">
        <f>IF(Input!G167&gt;0,Input!G167,"")</f>
        <v xml:space="preserve"> </v>
      </c>
      <c r="N167" t="str">
        <f>IF(Input!H167&gt;0,Input!H167,"")</f>
        <v xml:space="preserve"> </v>
      </c>
      <c r="O167" t="str">
        <f>IF(Input!I167&lt;&gt;"",Input!I167,"")</f>
        <v/>
      </c>
      <c r="P167" t="str">
        <f t="shared" si="32"/>
        <v/>
      </c>
      <c r="Q167" t="str">
        <f>IF(Input!I167&lt;&gt;"",IF(ISNUMBER(Input!J167),ROUNDDOWN(Input!J167,0),0),"")</f>
        <v/>
      </c>
      <c r="R167" t="str">
        <f>IF(Input!L167&lt;&gt;"",Input!L167,"")</f>
        <v/>
      </c>
      <c r="S167" t="str">
        <f t="shared" si="33"/>
        <v/>
      </c>
      <c r="T167" t="str">
        <f>IF(Input!L167&lt;&gt;"",IF(ISNUMBER(Input!M167),Input!M167,0),"")</f>
        <v/>
      </c>
      <c r="U167" t="str">
        <f>IF(Input!O167&lt;&gt;"",Input!O167,"")</f>
        <v/>
      </c>
      <c r="V167" t="str">
        <f t="shared" si="34"/>
        <v/>
      </c>
      <c r="W167" t="str">
        <f>IF(Input!O167&lt;&gt;"",IF(ISNUMBER(Input!P167),(Input!P167),0),"")</f>
        <v/>
      </c>
      <c r="X167" t="str">
        <f>IF(Input!R167&lt;&gt;"",Input!R167,"")</f>
        <v/>
      </c>
      <c r="Y167" t="str">
        <f t="shared" si="35"/>
        <v/>
      </c>
      <c r="Z167" t="str">
        <f>IF(Input!R167&lt;&gt;"",IF(ISNUMBER(Input!S167),ROUNDDOWN(Input!S167,0),0),"")</f>
        <v/>
      </c>
      <c r="AA167" t="str">
        <f>IF(Input!U167&lt;&gt;"",Input!U167,"")</f>
        <v/>
      </c>
      <c r="AB167" t="str">
        <f t="shared" si="36"/>
        <v/>
      </c>
      <c r="AC167" t="str">
        <f>IF(Input!U167&lt;&gt;"",IF(ISNUMBER(Input!V167),ROUNDDOWN(Input!V167,0),0),"")</f>
        <v/>
      </c>
      <c r="AD167" t="str">
        <f>IF(Input!X167&lt;&gt;"",Input!X167,"")</f>
        <v/>
      </c>
      <c r="AE167" t="str">
        <f t="shared" si="37"/>
        <v/>
      </c>
      <c r="AF167" t="str">
        <f>IF(Input!X167&lt;&gt;"",IF(ISNUMBER(Input!Y167),(Input!Y167),0),"")</f>
        <v/>
      </c>
      <c r="AG167" t="str">
        <f>IF(Input!AA167&lt;&gt;"",Input!AA167,"")</f>
        <v/>
      </c>
      <c r="AH167" t="str">
        <f t="shared" si="38"/>
        <v/>
      </c>
      <c r="AI167" t="str">
        <f>IF(Input!AA167&lt;&gt;"",IF(ISNUMBER(Input!AB167),ROUNDDOWN(Input!AB167,0),0),"")</f>
        <v/>
      </c>
      <c r="AJ167" t="str">
        <f>IF(Input!AD167&lt;&gt;"",Input!AD167,"")</f>
        <v/>
      </c>
      <c r="AK167" t="str">
        <f t="shared" si="39"/>
        <v/>
      </c>
      <c r="AL167" t="str">
        <f>IF(Input!AD167&lt;&gt;"",IF(ISNUMBER(Input!AE167),(Input!AE167),0),"")</f>
        <v/>
      </c>
      <c r="AM167" t="str">
        <f>IF(Input!AG167&lt;&gt;"",Input!AG167,"")</f>
        <v/>
      </c>
      <c r="AN167" t="str">
        <f t="shared" si="29"/>
        <v/>
      </c>
      <c r="AO167" t="str">
        <f>IF(Input!AG167&lt;&gt;"",IF(ISNUMBER(Input!AH167),(Input!AH167),0),"")</f>
        <v/>
      </c>
    </row>
    <row r="168" spans="1:41" ht="16.5" thickTop="1" thickBot="1" x14ac:dyDescent="0.4">
      <c r="A168" s="35">
        <f>IF(ISBLANK(Input!A168),1000,IF(Input!E168&gt;0,Input!E168+F168,1000))</f>
        <v>1000</v>
      </c>
      <c r="B168" s="32">
        <f t="shared" si="30"/>
        <v>1000</v>
      </c>
      <c r="C168" s="4">
        <v>167</v>
      </c>
      <c r="D168" s="97">
        <f>IF(ISBLANK(Input!A168),1000,IF(Input!G168&gt;0,Input!G168+F168,1000))</f>
        <v>1000</v>
      </c>
      <c r="E168" s="97">
        <f t="shared" si="31"/>
        <v>1000</v>
      </c>
      <c r="F168" s="4">
        <v>0.16700000000000001</v>
      </c>
      <c r="I168" t="str">
        <f>IF(Input!A168&gt;0,Input!A168,"")</f>
        <v/>
      </c>
      <c r="J168" t="str">
        <f>IF(Input!B168&gt;0,Input!B168,"")</f>
        <v/>
      </c>
      <c r="K168" t="str">
        <f>IF(Input!C168&gt;0,Input!C168,"")</f>
        <v/>
      </c>
      <c r="L168" t="str">
        <f>IF(Input!D168&gt;0,Input!D168,"")</f>
        <v/>
      </c>
      <c r="M168" t="str">
        <f>IF(Input!G168&gt;0,Input!G168,"")</f>
        <v xml:space="preserve"> </v>
      </c>
      <c r="N168" t="str">
        <f>IF(Input!H168&gt;0,Input!H168,"")</f>
        <v xml:space="preserve"> </v>
      </c>
      <c r="O168" t="str">
        <f>IF(Input!I168&lt;&gt;"",Input!I168,"")</f>
        <v/>
      </c>
      <c r="P168" t="str">
        <f t="shared" si="32"/>
        <v/>
      </c>
      <c r="Q168" t="str">
        <f>IF(Input!I168&lt;&gt;"",IF(ISNUMBER(Input!J168),ROUNDDOWN(Input!J168,0),0),"")</f>
        <v/>
      </c>
      <c r="R168" t="str">
        <f>IF(Input!L168&lt;&gt;"",Input!L168,"")</f>
        <v/>
      </c>
      <c r="S168" t="str">
        <f t="shared" si="33"/>
        <v/>
      </c>
      <c r="T168" t="str">
        <f>IF(Input!L168&lt;&gt;"",IF(ISNUMBER(Input!M168),Input!M168,0),"")</f>
        <v/>
      </c>
      <c r="U168" t="str">
        <f>IF(Input!O168&lt;&gt;"",Input!O168,"")</f>
        <v/>
      </c>
      <c r="V168" t="str">
        <f t="shared" si="34"/>
        <v/>
      </c>
      <c r="W168" t="str">
        <f>IF(Input!O168&lt;&gt;"",IF(ISNUMBER(Input!P168),(Input!P168),0),"")</f>
        <v/>
      </c>
      <c r="X168" t="str">
        <f>IF(Input!R168&lt;&gt;"",Input!R168,"")</f>
        <v/>
      </c>
      <c r="Y168" t="str">
        <f t="shared" si="35"/>
        <v/>
      </c>
      <c r="Z168" t="str">
        <f>IF(Input!R168&lt;&gt;"",IF(ISNUMBER(Input!S168),ROUNDDOWN(Input!S168,0),0),"")</f>
        <v/>
      </c>
      <c r="AA168" t="str">
        <f>IF(Input!U168&lt;&gt;"",Input!U168,"")</f>
        <v/>
      </c>
      <c r="AB168" t="str">
        <f t="shared" si="36"/>
        <v/>
      </c>
      <c r="AC168" t="str">
        <f>IF(Input!U168&lt;&gt;"",IF(ISNUMBER(Input!V168),ROUNDDOWN(Input!V168,0),0),"")</f>
        <v/>
      </c>
      <c r="AD168" t="str">
        <f>IF(Input!X168&lt;&gt;"",Input!X168,"")</f>
        <v/>
      </c>
      <c r="AE168" t="str">
        <f t="shared" si="37"/>
        <v/>
      </c>
      <c r="AF168" t="str">
        <f>IF(Input!X168&lt;&gt;"",IF(ISNUMBER(Input!Y168),(Input!Y168),0),"")</f>
        <v/>
      </c>
      <c r="AG168" t="str">
        <f>IF(Input!AA168&lt;&gt;"",Input!AA168,"")</f>
        <v/>
      </c>
      <c r="AH168" t="str">
        <f t="shared" si="38"/>
        <v/>
      </c>
      <c r="AI168" t="str">
        <f>IF(Input!AA168&lt;&gt;"",IF(ISNUMBER(Input!AB168),ROUNDDOWN(Input!AB168,0),0),"")</f>
        <v/>
      </c>
      <c r="AJ168" t="str">
        <f>IF(Input!AD168&lt;&gt;"",Input!AD168,"")</f>
        <v/>
      </c>
      <c r="AK168" t="str">
        <f t="shared" si="39"/>
        <v/>
      </c>
      <c r="AL168" t="str">
        <f>IF(Input!AD168&lt;&gt;"",IF(ISNUMBER(Input!AE168),(Input!AE168),0),"")</f>
        <v/>
      </c>
      <c r="AM168" t="str">
        <f>IF(Input!AG168&lt;&gt;"",Input!AG168,"")</f>
        <v/>
      </c>
      <c r="AN168" t="str">
        <f t="shared" si="29"/>
        <v/>
      </c>
      <c r="AO168" t="str">
        <f>IF(Input!AG168&lt;&gt;"",IF(ISNUMBER(Input!AH168),(Input!AH168),0),"")</f>
        <v/>
      </c>
    </row>
    <row r="169" spans="1:41" ht="16.5" thickTop="1" thickBot="1" x14ac:dyDescent="0.4">
      <c r="A169" s="35">
        <f>IF(ISBLANK(Input!A169),1000,IF(Input!E169&gt;0,Input!E169+F169,1000))</f>
        <v>1000</v>
      </c>
      <c r="B169" s="32">
        <f t="shared" si="30"/>
        <v>1000</v>
      </c>
      <c r="C169" s="4">
        <v>168</v>
      </c>
      <c r="D169" s="97">
        <f>IF(ISBLANK(Input!A169),1000,IF(Input!G169&gt;0,Input!G169+F169,1000))</f>
        <v>1000</v>
      </c>
      <c r="E169" s="97">
        <f t="shared" si="31"/>
        <v>1000</v>
      </c>
      <c r="F169" s="4">
        <v>0.16800000000000001</v>
      </c>
      <c r="I169" t="str">
        <f>IF(Input!A169&gt;0,Input!A169,"")</f>
        <v/>
      </c>
      <c r="J169" t="str">
        <f>IF(Input!B169&gt;0,Input!B169,"")</f>
        <v/>
      </c>
      <c r="K169" t="str">
        <f>IF(Input!C169&gt;0,Input!C169,"")</f>
        <v/>
      </c>
      <c r="L169" t="str">
        <f>IF(Input!D169&gt;0,Input!D169,"")</f>
        <v/>
      </c>
      <c r="M169" t="str">
        <f>IF(Input!G169&gt;0,Input!G169,"")</f>
        <v xml:space="preserve"> </v>
      </c>
      <c r="N169" t="str">
        <f>IF(Input!H169&gt;0,Input!H169,"")</f>
        <v xml:space="preserve"> </v>
      </c>
      <c r="O169" t="str">
        <f>IF(Input!I169&lt;&gt;"",Input!I169,"")</f>
        <v/>
      </c>
      <c r="P169" t="str">
        <f t="shared" si="32"/>
        <v/>
      </c>
      <c r="Q169" t="str">
        <f>IF(Input!I169&lt;&gt;"",IF(ISNUMBER(Input!J169),ROUNDDOWN(Input!J169,0),0),"")</f>
        <v/>
      </c>
      <c r="R169" t="str">
        <f>IF(Input!L169&lt;&gt;"",Input!L169,"")</f>
        <v/>
      </c>
      <c r="S169" t="str">
        <f t="shared" si="33"/>
        <v/>
      </c>
      <c r="T169" t="str">
        <f>IF(Input!L169&lt;&gt;"",IF(ISNUMBER(Input!M169),Input!M169,0),"")</f>
        <v/>
      </c>
      <c r="U169" t="str">
        <f>IF(Input!O169&lt;&gt;"",Input!O169,"")</f>
        <v/>
      </c>
      <c r="V169" t="str">
        <f t="shared" si="34"/>
        <v/>
      </c>
      <c r="W169" t="str">
        <f>IF(Input!O169&lt;&gt;"",IF(ISNUMBER(Input!P169),(Input!P169),0),"")</f>
        <v/>
      </c>
      <c r="X169" t="str">
        <f>IF(Input!R169&lt;&gt;"",Input!R169,"")</f>
        <v/>
      </c>
      <c r="Y169" t="str">
        <f t="shared" si="35"/>
        <v/>
      </c>
      <c r="Z169" t="str">
        <f>IF(Input!R169&lt;&gt;"",IF(ISNUMBER(Input!S169),ROUNDDOWN(Input!S169,0),0),"")</f>
        <v/>
      </c>
      <c r="AA169" t="str">
        <f>IF(Input!U169&lt;&gt;"",Input!U169,"")</f>
        <v/>
      </c>
      <c r="AB169" t="str">
        <f t="shared" si="36"/>
        <v/>
      </c>
      <c r="AC169" t="str">
        <f>IF(Input!U169&lt;&gt;"",IF(ISNUMBER(Input!V169),ROUNDDOWN(Input!V169,0),0),"")</f>
        <v/>
      </c>
      <c r="AD169" t="str">
        <f>IF(Input!X169&lt;&gt;"",Input!X169,"")</f>
        <v/>
      </c>
      <c r="AE169" t="str">
        <f t="shared" si="37"/>
        <v/>
      </c>
      <c r="AF169" t="str">
        <f>IF(Input!X169&lt;&gt;"",IF(ISNUMBER(Input!Y169),(Input!Y169),0),"")</f>
        <v/>
      </c>
      <c r="AG169" t="str">
        <f>IF(Input!AA169&lt;&gt;"",Input!AA169,"")</f>
        <v/>
      </c>
      <c r="AH169" t="str">
        <f t="shared" si="38"/>
        <v/>
      </c>
      <c r="AI169" t="str">
        <f>IF(Input!AA169&lt;&gt;"",IF(ISNUMBER(Input!AB169),ROUNDDOWN(Input!AB169,0),0),"")</f>
        <v/>
      </c>
      <c r="AJ169" t="str">
        <f>IF(Input!AD169&lt;&gt;"",Input!AD169,"")</f>
        <v/>
      </c>
      <c r="AK169" t="str">
        <f t="shared" si="39"/>
        <v/>
      </c>
      <c r="AL169" t="str">
        <f>IF(Input!AD169&lt;&gt;"",IF(ISNUMBER(Input!AE169),(Input!AE169),0),"")</f>
        <v/>
      </c>
      <c r="AM169" t="str">
        <f>IF(Input!AG169&lt;&gt;"",Input!AG169,"")</f>
        <v/>
      </c>
      <c r="AN169" t="str">
        <f t="shared" si="29"/>
        <v/>
      </c>
      <c r="AO169" t="str">
        <f>IF(Input!AG169&lt;&gt;"",IF(ISNUMBER(Input!AH169),(Input!AH169),0),"")</f>
        <v/>
      </c>
    </row>
    <row r="170" spans="1:41" ht="16.5" thickTop="1" thickBot="1" x14ac:dyDescent="0.4">
      <c r="A170" s="35">
        <f>IF(ISBLANK(Input!A170),1000,IF(Input!E170&gt;0,Input!E170+F170,1000))</f>
        <v>1000</v>
      </c>
      <c r="B170" s="32">
        <f t="shared" si="30"/>
        <v>1000</v>
      </c>
      <c r="C170" s="4">
        <v>169</v>
      </c>
      <c r="D170" s="97">
        <f>IF(ISBLANK(Input!A170),1000,IF(Input!G170&gt;0,Input!G170+F170,1000))</f>
        <v>1000</v>
      </c>
      <c r="E170" s="97">
        <f t="shared" si="31"/>
        <v>1000</v>
      </c>
      <c r="F170" s="4">
        <v>0.16900000000000001</v>
      </c>
      <c r="I170" t="str">
        <f>IF(Input!A170&gt;0,Input!A170,"")</f>
        <v/>
      </c>
      <c r="J170" t="str">
        <f>IF(Input!B170&gt;0,Input!B170,"")</f>
        <v/>
      </c>
      <c r="K170" t="str">
        <f>IF(Input!C170&gt;0,Input!C170,"")</f>
        <v/>
      </c>
      <c r="L170" t="str">
        <f>IF(Input!D170&gt;0,Input!D170,"")</f>
        <v/>
      </c>
      <c r="M170" t="str">
        <f>IF(Input!G170&gt;0,Input!G170,"")</f>
        <v xml:space="preserve"> </v>
      </c>
      <c r="N170" t="str">
        <f>IF(Input!H170&gt;0,Input!H170,"")</f>
        <v xml:space="preserve"> </v>
      </c>
      <c r="O170" t="str">
        <f>IF(Input!I170&lt;&gt;"",Input!I170,"")</f>
        <v/>
      </c>
      <c r="P170" t="str">
        <f t="shared" si="32"/>
        <v/>
      </c>
      <c r="Q170" t="str">
        <f>IF(Input!I170&lt;&gt;"",IF(ISNUMBER(Input!J170),ROUNDDOWN(Input!J170,0),0),"")</f>
        <v/>
      </c>
      <c r="R170" t="str">
        <f>IF(Input!L170&lt;&gt;"",Input!L170,"")</f>
        <v/>
      </c>
      <c r="S170" t="str">
        <f t="shared" si="33"/>
        <v/>
      </c>
      <c r="T170" t="str">
        <f>IF(Input!L170&lt;&gt;"",IF(ISNUMBER(Input!M170),Input!M170,0),"")</f>
        <v/>
      </c>
      <c r="U170" t="str">
        <f>IF(Input!O170&lt;&gt;"",Input!O170,"")</f>
        <v/>
      </c>
      <c r="V170" t="str">
        <f t="shared" si="34"/>
        <v/>
      </c>
      <c r="W170" t="str">
        <f>IF(Input!O170&lt;&gt;"",IF(ISNUMBER(Input!P170),(Input!P170),0),"")</f>
        <v/>
      </c>
      <c r="X170" t="str">
        <f>IF(Input!R170&lt;&gt;"",Input!R170,"")</f>
        <v/>
      </c>
      <c r="Y170" t="str">
        <f t="shared" si="35"/>
        <v/>
      </c>
      <c r="Z170" t="str">
        <f>IF(Input!R170&lt;&gt;"",IF(ISNUMBER(Input!S170),ROUNDDOWN(Input!S170,0),0),"")</f>
        <v/>
      </c>
      <c r="AA170" t="str">
        <f>IF(Input!U170&lt;&gt;"",Input!U170,"")</f>
        <v/>
      </c>
      <c r="AB170" t="str">
        <f t="shared" si="36"/>
        <v/>
      </c>
      <c r="AC170" t="str">
        <f>IF(Input!U170&lt;&gt;"",IF(ISNUMBER(Input!V170),ROUNDDOWN(Input!V170,0),0),"")</f>
        <v/>
      </c>
      <c r="AD170" t="str">
        <f>IF(Input!X170&lt;&gt;"",Input!X170,"")</f>
        <v/>
      </c>
      <c r="AE170" t="str">
        <f t="shared" si="37"/>
        <v/>
      </c>
      <c r="AF170" t="str">
        <f>IF(Input!X170&lt;&gt;"",IF(ISNUMBER(Input!Y170),(Input!Y170),0),"")</f>
        <v/>
      </c>
      <c r="AG170" t="str">
        <f>IF(Input!AA170&lt;&gt;"",Input!AA170,"")</f>
        <v/>
      </c>
      <c r="AH170" t="str">
        <f t="shared" si="38"/>
        <v/>
      </c>
      <c r="AI170" t="str">
        <f>IF(Input!AA170&lt;&gt;"",IF(ISNUMBER(Input!AB170),ROUNDDOWN(Input!AB170,0),0),"")</f>
        <v/>
      </c>
      <c r="AJ170" t="str">
        <f>IF(Input!AD170&lt;&gt;"",Input!AD170,"")</f>
        <v/>
      </c>
      <c r="AK170" t="str">
        <f t="shared" si="39"/>
        <v/>
      </c>
      <c r="AL170" t="str">
        <f>IF(Input!AD170&lt;&gt;"",IF(ISNUMBER(Input!AE170),(Input!AE170),0),"")</f>
        <v/>
      </c>
      <c r="AM170" t="str">
        <f>IF(Input!AG170&lt;&gt;"",Input!AG170,"")</f>
        <v/>
      </c>
      <c r="AN170" t="str">
        <f t="shared" si="29"/>
        <v/>
      </c>
      <c r="AO170" t="str">
        <f>IF(Input!AG170&lt;&gt;"",IF(ISNUMBER(Input!AH170),(Input!AH170),0),"")</f>
        <v/>
      </c>
    </row>
    <row r="171" spans="1:41" ht="16.5" thickTop="1" thickBot="1" x14ac:dyDescent="0.4">
      <c r="A171" s="35">
        <f>IF(ISBLANK(Input!A171),1000,IF(Input!E171&gt;0,Input!E171+F171,1000))</f>
        <v>1000</v>
      </c>
      <c r="B171" s="32">
        <f t="shared" si="30"/>
        <v>1000</v>
      </c>
      <c r="C171" s="4">
        <v>170</v>
      </c>
      <c r="D171" s="97">
        <f>IF(ISBLANK(Input!A171),1000,IF(Input!G171&gt;0,Input!G171+F171,1000))</f>
        <v>1000</v>
      </c>
      <c r="E171" s="97">
        <f t="shared" si="31"/>
        <v>1000</v>
      </c>
      <c r="F171" s="4">
        <v>0.17</v>
      </c>
      <c r="I171" t="str">
        <f>IF(Input!A171&gt;0,Input!A171,"")</f>
        <v/>
      </c>
      <c r="J171" t="str">
        <f>IF(Input!B171&gt;0,Input!B171,"")</f>
        <v/>
      </c>
      <c r="K171" t="str">
        <f>IF(Input!C171&gt;0,Input!C171,"")</f>
        <v/>
      </c>
      <c r="L171" t="str">
        <f>IF(Input!D171&gt;0,Input!D171,"")</f>
        <v/>
      </c>
      <c r="M171" t="str">
        <f>IF(Input!G171&gt;0,Input!G171,"")</f>
        <v xml:space="preserve"> </v>
      </c>
      <c r="N171" t="str">
        <f>IF(Input!H171&gt;0,Input!H171,"")</f>
        <v xml:space="preserve"> </v>
      </c>
      <c r="O171" t="str">
        <f>IF(Input!I171&lt;&gt;"",Input!I171,"")</f>
        <v/>
      </c>
      <c r="P171" t="str">
        <f t="shared" si="32"/>
        <v/>
      </c>
      <c r="Q171" t="str">
        <f>IF(Input!I171&lt;&gt;"",IF(ISNUMBER(Input!J171),ROUNDDOWN(Input!J171,0),0),"")</f>
        <v/>
      </c>
      <c r="R171" t="str">
        <f>IF(Input!L171&lt;&gt;"",Input!L171,"")</f>
        <v/>
      </c>
      <c r="S171" t="str">
        <f t="shared" si="33"/>
        <v/>
      </c>
      <c r="T171" t="str">
        <f>IF(Input!L171&lt;&gt;"",IF(ISNUMBER(Input!M171),Input!M171,0),"")</f>
        <v/>
      </c>
      <c r="U171" t="str">
        <f>IF(Input!O171&lt;&gt;"",Input!O171,"")</f>
        <v/>
      </c>
      <c r="V171" t="str">
        <f t="shared" si="34"/>
        <v/>
      </c>
      <c r="W171" t="str">
        <f>IF(Input!O171&lt;&gt;"",IF(ISNUMBER(Input!P171),(Input!P171),0),"")</f>
        <v/>
      </c>
      <c r="X171" t="str">
        <f>IF(Input!R171&lt;&gt;"",Input!R171,"")</f>
        <v/>
      </c>
      <c r="Y171" t="str">
        <f t="shared" si="35"/>
        <v/>
      </c>
      <c r="Z171" t="str">
        <f>IF(Input!R171&lt;&gt;"",IF(ISNUMBER(Input!S171),ROUNDDOWN(Input!S171,0),0),"")</f>
        <v/>
      </c>
      <c r="AA171" t="str">
        <f>IF(Input!U171&lt;&gt;"",Input!U171,"")</f>
        <v/>
      </c>
      <c r="AB171" t="str">
        <f t="shared" si="36"/>
        <v/>
      </c>
      <c r="AC171" t="str">
        <f>IF(Input!U171&lt;&gt;"",IF(ISNUMBER(Input!V171),ROUNDDOWN(Input!V171,0),0),"")</f>
        <v/>
      </c>
      <c r="AD171" t="str">
        <f>IF(Input!X171&lt;&gt;"",Input!X171,"")</f>
        <v/>
      </c>
      <c r="AE171" t="str">
        <f t="shared" si="37"/>
        <v/>
      </c>
      <c r="AF171" t="str">
        <f>IF(Input!X171&lt;&gt;"",IF(ISNUMBER(Input!Y171),(Input!Y171),0),"")</f>
        <v/>
      </c>
      <c r="AG171" t="str">
        <f>IF(Input!AA171&lt;&gt;"",Input!AA171,"")</f>
        <v/>
      </c>
      <c r="AH171" t="str">
        <f t="shared" si="38"/>
        <v/>
      </c>
      <c r="AI171" t="str">
        <f>IF(Input!AA171&lt;&gt;"",IF(ISNUMBER(Input!AB171),ROUNDDOWN(Input!AB171,0),0),"")</f>
        <v/>
      </c>
      <c r="AJ171" t="str">
        <f>IF(Input!AD171&lt;&gt;"",Input!AD171,"")</f>
        <v/>
      </c>
      <c r="AK171" t="str">
        <f t="shared" si="39"/>
        <v/>
      </c>
      <c r="AL171" t="str">
        <f>IF(Input!AD171&lt;&gt;"",IF(ISNUMBER(Input!AE171),(Input!AE171),0),"")</f>
        <v/>
      </c>
      <c r="AM171" t="str">
        <f>IF(Input!AG171&lt;&gt;"",Input!AG171,"")</f>
        <v/>
      </c>
      <c r="AN171" t="str">
        <f t="shared" si="29"/>
        <v/>
      </c>
      <c r="AO171" t="str">
        <f>IF(Input!AG171&lt;&gt;"",IF(ISNUMBER(Input!AH171),(Input!AH171),0),"")</f>
        <v/>
      </c>
    </row>
    <row r="172" spans="1:41" ht="16.5" thickTop="1" thickBot="1" x14ac:dyDescent="0.4">
      <c r="A172" s="35">
        <f>IF(ISBLANK(Input!A172),1000,IF(Input!E172&gt;0,Input!E172+F172,1000))</f>
        <v>1000</v>
      </c>
      <c r="B172" s="32">
        <f t="shared" si="30"/>
        <v>1000</v>
      </c>
      <c r="C172" s="4">
        <v>171</v>
      </c>
      <c r="D172" s="97">
        <f>IF(ISBLANK(Input!A172),1000,IF(Input!G172&gt;0,Input!G172+F172,1000))</f>
        <v>1000</v>
      </c>
      <c r="E172" s="97">
        <f t="shared" si="31"/>
        <v>1000</v>
      </c>
      <c r="F172" s="4">
        <v>0.17100000000000001</v>
      </c>
      <c r="I172" t="str">
        <f>IF(Input!A172&gt;0,Input!A172,"")</f>
        <v/>
      </c>
      <c r="J172" t="str">
        <f>IF(Input!B172&gt;0,Input!B172,"")</f>
        <v/>
      </c>
      <c r="K172" t="str">
        <f>IF(Input!C172&gt;0,Input!C172,"")</f>
        <v/>
      </c>
      <c r="L172" t="str">
        <f>IF(Input!D172&gt;0,Input!D172,"")</f>
        <v/>
      </c>
      <c r="M172" t="str">
        <f>IF(Input!G172&gt;0,Input!G172,"")</f>
        <v xml:space="preserve"> </v>
      </c>
      <c r="N172" t="str">
        <f>IF(Input!H172&gt;0,Input!H172,"")</f>
        <v xml:space="preserve"> </v>
      </c>
      <c r="O172" t="str">
        <f>IF(Input!I172&lt;&gt;"",Input!I172,"")</f>
        <v/>
      </c>
      <c r="P172" t="str">
        <f t="shared" si="32"/>
        <v/>
      </c>
      <c r="Q172" t="str">
        <f>IF(Input!I172&lt;&gt;"",IF(ISNUMBER(Input!J172),ROUNDDOWN(Input!J172,0),0),"")</f>
        <v/>
      </c>
      <c r="R172" t="str">
        <f>IF(Input!L172&lt;&gt;"",Input!L172,"")</f>
        <v/>
      </c>
      <c r="S172" t="str">
        <f t="shared" si="33"/>
        <v/>
      </c>
      <c r="T172" t="str">
        <f>IF(Input!L172&lt;&gt;"",IF(ISNUMBER(Input!M172),Input!M172,0),"")</f>
        <v/>
      </c>
      <c r="U172" t="str">
        <f>IF(Input!O172&lt;&gt;"",Input!O172,"")</f>
        <v/>
      </c>
      <c r="V172" t="str">
        <f t="shared" si="34"/>
        <v/>
      </c>
      <c r="W172" t="str">
        <f>IF(Input!O172&lt;&gt;"",IF(ISNUMBER(Input!P172),(Input!P172),0),"")</f>
        <v/>
      </c>
      <c r="X172" t="str">
        <f>IF(Input!R172&lt;&gt;"",Input!R172,"")</f>
        <v/>
      </c>
      <c r="Y172" t="str">
        <f t="shared" si="35"/>
        <v/>
      </c>
      <c r="Z172" t="str">
        <f>IF(Input!R172&lt;&gt;"",IF(ISNUMBER(Input!S172),ROUNDDOWN(Input!S172,0),0),"")</f>
        <v/>
      </c>
      <c r="AA172" t="str">
        <f>IF(Input!U172&lt;&gt;"",Input!U172,"")</f>
        <v/>
      </c>
      <c r="AB172" t="str">
        <f t="shared" si="36"/>
        <v/>
      </c>
      <c r="AC172" t="str">
        <f>IF(Input!U172&lt;&gt;"",IF(ISNUMBER(Input!V172),ROUNDDOWN(Input!V172,0),0),"")</f>
        <v/>
      </c>
      <c r="AD172" t="str">
        <f>IF(Input!X172&lt;&gt;"",Input!X172,"")</f>
        <v/>
      </c>
      <c r="AE172" t="str">
        <f t="shared" si="37"/>
        <v/>
      </c>
      <c r="AF172" t="str">
        <f>IF(Input!X172&lt;&gt;"",IF(ISNUMBER(Input!Y172),(Input!Y172),0),"")</f>
        <v/>
      </c>
      <c r="AG172" t="str">
        <f>IF(Input!AA172&lt;&gt;"",Input!AA172,"")</f>
        <v/>
      </c>
      <c r="AH172" t="str">
        <f t="shared" si="38"/>
        <v/>
      </c>
      <c r="AI172" t="str">
        <f>IF(Input!AA172&lt;&gt;"",IF(ISNUMBER(Input!AB172),ROUNDDOWN(Input!AB172,0),0),"")</f>
        <v/>
      </c>
      <c r="AJ172" t="str">
        <f>IF(Input!AD172&lt;&gt;"",Input!AD172,"")</f>
        <v/>
      </c>
      <c r="AK172" t="str">
        <f t="shared" si="39"/>
        <v/>
      </c>
      <c r="AL172" t="str">
        <f>IF(Input!AD172&lt;&gt;"",IF(ISNUMBER(Input!AE172),(Input!AE172),0),"")</f>
        <v/>
      </c>
      <c r="AM172" t="str">
        <f>IF(Input!AG172&lt;&gt;"",Input!AG172,"")</f>
        <v/>
      </c>
      <c r="AN172" t="str">
        <f t="shared" si="29"/>
        <v/>
      </c>
      <c r="AO172" t="str">
        <f>IF(Input!AG172&lt;&gt;"",IF(ISNUMBER(Input!AH172),(Input!AH172),0),"")</f>
        <v/>
      </c>
    </row>
    <row r="173" spans="1:41" ht="16.5" thickTop="1" thickBot="1" x14ac:dyDescent="0.4">
      <c r="A173" s="35">
        <f>IF(ISBLANK(Input!A173),1000,IF(Input!E173&gt;0,Input!E173+F173,1000))</f>
        <v>1000</v>
      </c>
      <c r="B173" s="32">
        <f t="shared" si="30"/>
        <v>1000</v>
      </c>
      <c r="C173" s="4">
        <v>172</v>
      </c>
      <c r="D173" s="97">
        <f>IF(ISBLANK(Input!A173),1000,IF(Input!G173&gt;0,Input!G173+F173,1000))</f>
        <v>1000</v>
      </c>
      <c r="E173" s="97">
        <f t="shared" si="31"/>
        <v>1000</v>
      </c>
      <c r="F173" s="4">
        <v>0.17199999999999999</v>
      </c>
      <c r="I173" t="str">
        <f>IF(Input!A173&gt;0,Input!A173,"")</f>
        <v/>
      </c>
      <c r="J173" t="str">
        <f>IF(Input!B173&gt;0,Input!B173,"")</f>
        <v/>
      </c>
      <c r="K173" t="str">
        <f>IF(Input!C173&gt;0,Input!C173,"")</f>
        <v/>
      </c>
      <c r="L173" t="str">
        <f>IF(Input!D173&gt;0,Input!D173,"")</f>
        <v/>
      </c>
      <c r="M173" t="str">
        <f>IF(Input!G173&gt;0,Input!G173,"")</f>
        <v xml:space="preserve"> </v>
      </c>
      <c r="N173" t="str">
        <f>IF(Input!H173&gt;0,Input!H173,"")</f>
        <v xml:space="preserve"> </v>
      </c>
      <c r="O173" t="str">
        <f>IF(Input!I173&lt;&gt;"",Input!I173,"")</f>
        <v/>
      </c>
      <c r="P173" t="str">
        <f t="shared" si="32"/>
        <v/>
      </c>
      <c r="Q173" t="str">
        <f>IF(Input!I173&lt;&gt;"",IF(ISNUMBER(Input!J173),ROUNDDOWN(Input!J173,0),0),"")</f>
        <v/>
      </c>
      <c r="R173" t="str">
        <f>IF(Input!L173&lt;&gt;"",Input!L173,"")</f>
        <v/>
      </c>
      <c r="S173" t="str">
        <f t="shared" si="33"/>
        <v/>
      </c>
      <c r="T173" t="str">
        <f>IF(Input!L173&lt;&gt;"",IF(ISNUMBER(Input!M173),Input!M173,0),"")</f>
        <v/>
      </c>
      <c r="U173" t="str">
        <f>IF(Input!O173&lt;&gt;"",Input!O173,"")</f>
        <v/>
      </c>
      <c r="V173" t="str">
        <f t="shared" si="34"/>
        <v/>
      </c>
      <c r="W173" t="str">
        <f>IF(Input!O173&lt;&gt;"",IF(ISNUMBER(Input!P173),(Input!P173),0),"")</f>
        <v/>
      </c>
      <c r="X173" t="str">
        <f>IF(Input!R173&lt;&gt;"",Input!R173,"")</f>
        <v/>
      </c>
      <c r="Y173" t="str">
        <f t="shared" si="35"/>
        <v/>
      </c>
      <c r="Z173" t="str">
        <f>IF(Input!R173&lt;&gt;"",IF(ISNUMBER(Input!S173),ROUNDDOWN(Input!S173,0),0),"")</f>
        <v/>
      </c>
      <c r="AA173" t="str">
        <f>IF(Input!U173&lt;&gt;"",Input!U173,"")</f>
        <v/>
      </c>
      <c r="AB173" t="str">
        <f t="shared" si="36"/>
        <v/>
      </c>
      <c r="AC173" t="str">
        <f>IF(Input!U173&lt;&gt;"",IF(ISNUMBER(Input!V173),ROUNDDOWN(Input!V173,0),0),"")</f>
        <v/>
      </c>
      <c r="AD173" t="str">
        <f>IF(Input!X173&lt;&gt;"",Input!X173,"")</f>
        <v/>
      </c>
      <c r="AE173" t="str">
        <f t="shared" si="37"/>
        <v/>
      </c>
      <c r="AF173" t="str">
        <f>IF(Input!X173&lt;&gt;"",IF(ISNUMBER(Input!Y173),(Input!Y173),0),"")</f>
        <v/>
      </c>
      <c r="AG173" t="str">
        <f>IF(Input!AA173&lt;&gt;"",Input!AA173,"")</f>
        <v/>
      </c>
      <c r="AH173" t="str">
        <f t="shared" si="38"/>
        <v/>
      </c>
      <c r="AI173" t="str">
        <f>IF(Input!AA173&lt;&gt;"",IF(ISNUMBER(Input!AB173),ROUNDDOWN(Input!AB173,0),0),"")</f>
        <v/>
      </c>
      <c r="AJ173" t="str">
        <f>IF(Input!AD173&lt;&gt;"",Input!AD173,"")</f>
        <v/>
      </c>
      <c r="AK173" t="str">
        <f t="shared" si="39"/>
        <v/>
      </c>
      <c r="AL173" t="str">
        <f>IF(Input!AD173&lt;&gt;"",IF(ISNUMBER(Input!AE173),(Input!AE173),0),"")</f>
        <v/>
      </c>
      <c r="AM173" t="str">
        <f>IF(Input!AG173&lt;&gt;"",Input!AG173,"")</f>
        <v/>
      </c>
      <c r="AN173" t="str">
        <f t="shared" si="29"/>
        <v/>
      </c>
      <c r="AO173" t="str">
        <f>IF(Input!AG173&lt;&gt;"",IF(ISNUMBER(Input!AH173),(Input!AH173),0),"")</f>
        <v/>
      </c>
    </row>
    <row r="174" spans="1:41" ht="16.5" thickTop="1" thickBot="1" x14ac:dyDescent="0.4">
      <c r="A174" s="35">
        <f>IF(ISBLANK(Input!A174),1000,IF(Input!E174&gt;0,Input!E174+F174,1000))</f>
        <v>1000</v>
      </c>
      <c r="B174" s="32">
        <f t="shared" si="30"/>
        <v>1000</v>
      </c>
      <c r="C174" s="4">
        <v>173</v>
      </c>
      <c r="D174" s="97">
        <f>IF(ISBLANK(Input!A174),1000,IF(Input!G174&gt;0,Input!G174+F174,1000))</f>
        <v>1000</v>
      </c>
      <c r="E174" s="97">
        <f t="shared" si="31"/>
        <v>1000</v>
      </c>
      <c r="F174" s="4">
        <v>0.17299999999999999</v>
      </c>
      <c r="I174" t="str">
        <f>IF(Input!A174&gt;0,Input!A174,"")</f>
        <v/>
      </c>
      <c r="J174" t="str">
        <f>IF(Input!B174&gt;0,Input!B174,"")</f>
        <v/>
      </c>
      <c r="K174" t="str">
        <f>IF(Input!C174&gt;0,Input!C174,"")</f>
        <v/>
      </c>
      <c r="L174" t="str">
        <f>IF(Input!D174&gt;0,Input!D174,"")</f>
        <v/>
      </c>
      <c r="M174" t="str">
        <f>IF(Input!G174&gt;0,Input!G174,"")</f>
        <v xml:space="preserve"> </v>
      </c>
      <c r="N174" t="str">
        <f>IF(Input!H174&gt;0,Input!H174,"")</f>
        <v xml:space="preserve"> </v>
      </c>
      <c r="O174" t="str">
        <f>IF(Input!I174&lt;&gt;"",Input!I174,"")</f>
        <v/>
      </c>
      <c r="P174" t="str">
        <f t="shared" si="32"/>
        <v/>
      </c>
      <c r="Q174" t="str">
        <f>IF(Input!I174&lt;&gt;"",IF(ISNUMBER(Input!J174),ROUNDDOWN(Input!J174,0),0),"")</f>
        <v/>
      </c>
      <c r="R174" t="str">
        <f>IF(Input!L174&lt;&gt;"",Input!L174,"")</f>
        <v/>
      </c>
      <c r="S174" t="str">
        <f t="shared" si="33"/>
        <v/>
      </c>
      <c r="T174" t="str">
        <f>IF(Input!L174&lt;&gt;"",IF(ISNUMBER(Input!M174),Input!M174,0),"")</f>
        <v/>
      </c>
      <c r="U174" t="str">
        <f>IF(Input!O174&lt;&gt;"",Input!O174,"")</f>
        <v/>
      </c>
      <c r="V174" t="str">
        <f t="shared" si="34"/>
        <v/>
      </c>
      <c r="W174" t="str">
        <f>IF(Input!O174&lt;&gt;"",IF(ISNUMBER(Input!P174),(Input!P174),0),"")</f>
        <v/>
      </c>
      <c r="X174" t="str">
        <f>IF(Input!R174&lt;&gt;"",Input!R174,"")</f>
        <v/>
      </c>
      <c r="Y174" t="str">
        <f t="shared" si="35"/>
        <v/>
      </c>
      <c r="Z174" t="str">
        <f>IF(Input!R174&lt;&gt;"",IF(ISNUMBER(Input!S174),ROUNDDOWN(Input!S174,0),0),"")</f>
        <v/>
      </c>
      <c r="AA174" t="str">
        <f>IF(Input!U174&lt;&gt;"",Input!U174,"")</f>
        <v/>
      </c>
      <c r="AB174" t="str">
        <f t="shared" si="36"/>
        <v/>
      </c>
      <c r="AC174" t="str">
        <f>IF(Input!U174&lt;&gt;"",IF(ISNUMBER(Input!V174),ROUNDDOWN(Input!V174,0),0),"")</f>
        <v/>
      </c>
      <c r="AD174" t="str">
        <f>IF(Input!X174&lt;&gt;"",Input!X174,"")</f>
        <v/>
      </c>
      <c r="AE174" t="str">
        <f t="shared" si="37"/>
        <v/>
      </c>
      <c r="AF174" t="str">
        <f>IF(Input!X174&lt;&gt;"",IF(ISNUMBER(Input!Y174),(Input!Y174),0),"")</f>
        <v/>
      </c>
      <c r="AG174" t="str">
        <f>IF(Input!AA174&lt;&gt;"",Input!AA174,"")</f>
        <v/>
      </c>
      <c r="AH174" t="str">
        <f t="shared" si="38"/>
        <v/>
      </c>
      <c r="AI174" t="str">
        <f>IF(Input!AA174&lt;&gt;"",IF(ISNUMBER(Input!AB174),ROUNDDOWN(Input!AB174,0),0),"")</f>
        <v/>
      </c>
      <c r="AJ174" t="str">
        <f>IF(Input!AD174&lt;&gt;"",Input!AD174,"")</f>
        <v/>
      </c>
      <c r="AK174" t="str">
        <f t="shared" si="39"/>
        <v/>
      </c>
      <c r="AL174" t="str">
        <f>IF(Input!AD174&lt;&gt;"",IF(ISNUMBER(Input!AE174),(Input!AE174),0),"")</f>
        <v/>
      </c>
      <c r="AM174" t="str">
        <f>IF(Input!AG174&lt;&gt;"",Input!AG174,"")</f>
        <v/>
      </c>
      <c r="AN174" t="str">
        <f t="shared" si="29"/>
        <v/>
      </c>
      <c r="AO174" t="str">
        <f>IF(Input!AG174&lt;&gt;"",IF(ISNUMBER(Input!AH174),(Input!AH174),0),"")</f>
        <v/>
      </c>
    </row>
    <row r="175" spans="1:41" ht="16.5" thickTop="1" thickBot="1" x14ac:dyDescent="0.4">
      <c r="A175" s="35">
        <f>IF(ISBLANK(Input!A175),1000,IF(Input!E175&gt;0,Input!E175+F175,1000))</f>
        <v>1000</v>
      </c>
      <c r="B175" s="32">
        <f t="shared" si="30"/>
        <v>1000</v>
      </c>
      <c r="C175" s="4">
        <v>174</v>
      </c>
      <c r="D175" s="97">
        <f>IF(ISBLANK(Input!A175),1000,IF(Input!G175&gt;0,Input!G175+F175,1000))</f>
        <v>1000</v>
      </c>
      <c r="E175" s="97">
        <f t="shared" si="31"/>
        <v>1000</v>
      </c>
      <c r="F175" s="4">
        <v>0.17399999999999999</v>
      </c>
      <c r="I175" t="str">
        <f>IF(Input!A175&gt;0,Input!A175,"")</f>
        <v/>
      </c>
      <c r="J175" t="str">
        <f>IF(Input!B175&gt;0,Input!B175,"")</f>
        <v/>
      </c>
      <c r="K175" t="str">
        <f>IF(Input!C175&gt;0,Input!C175,"")</f>
        <v/>
      </c>
      <c r="L175" t="str">
        <f>IF(Input!D175&gt;0,Input!D175,"")</f>
        <v/>
      </c>
      <c r="M175" t="str">
        <f>IF(Input!G175&gt;0,Input!G175,"")</f>
        <v xml:space="preserve"> </v>
      </c>
      <c r="N175" t="str">
        <f>IF(Input!H175&gt;0,Input!H175,"")</f>
        <v xml:space="preserve"> </v>
      </c>
      <c r="O175" t="str">
        <f>IF(Input!I175&lt;&gt;"",Input!I175,"")</f>
        <v/>
      </c>
      <c r="P175" t="str">
        <f t="shared" si="32"/>
        <v/>
      </c>
      <c r="Q175" t="str">
        <f>IF(Input!I175&lt;&gt;"",IF(ISNUMBER(Input!J175),ROUNDDOWN(Input!J175,0),0),"")</f>
        <v/>
      </c>
      <c r="R175" t="str">
        <f>IF(Input!L175&lt;&gt;"",Input!L175,"")</f>
        <v/>
      </c>
      <c r="S175" t="str">
        <f t="shared" si="33"/>
        <v/>
      </c>
      <c r="T175" t="str">
        <f>IF(Input!L175&lt;&gt;"",IF(ISNUMBER(Input!M175),Input!M175,0),"")</f>
        <v/>
      </c>
      <c r="U175" t="str">
        <f>IF(Input!O175&lt;&gt;"",Input!O175,"")</f>
        <v/>
      </c>
      <c r="V175" t="str">
        <f t="shared" si="34"/>
        <v/>
      </c>
      <c r="W175" t="str">
        <f>IF(Input!O175&lt;&gt;"",IF(ISNUMBER(Input!P175),(Input!P175),0),"")</f>
        <v/>
      </c>
      <c r="X175" t="str">
        <f>IF(Input!R175&lt;&gt;"",Input!R175,"")</f>
        <v/>
      </c>
      <c r="Y175" t="str">
        <f t="shared" si="35"/>
        <v/>
      </c>
      <c r="Z175" t="str">
        <f>IF(Input!R175&lt;&gt;"",IF(ISNUMBER(Input!S175),ROUNDDOWN(Input!S175,0),0),"")</f>
        <v/>
      </c>
      <c r="AA175" t="str">
        <f>IF(Input!U175&lt;&gt;"",Input!U175,"")</f>
        <v/>
      </c>
      <c r="AB175" t="str">
        <f t="shared" si="36"/>
        <v/>
      </c>
      <c r="AC175" t="str">
        <f>IF(Input!U175&lt;&gt;"",IF(ISNUMBER(Input!V175),ROUNDDOWN(Input!V175,0),0),"")</f>
        <v/>
      </c>
      <c r="AD175" t="str">
        <f>IF(Input!X175&lt;&gt;"",Input!X175,"")</f>
        <v/>
      </c>
      <c r="AE175" t="str">
        <f t="shared" si="37"/>
        <v/>
      </c>
      <c r="AF175" t="str">
        <f>IF(Input!X175&lt;&gt;"",IF(ISNUMBER(Input!Y175),(Input!Y175),0),"")</f>
        <v/>
      </c>
      <c r="AG175" t="str">
        <f>IF(Input!AA175&lt;&gt;"",Input!AA175,"")</f>
        <v/>
      </c>
      <c r="AH175" t="str">
        <f t="shared" si="38"/>
        <v/>
      </c>
      <c r="AI175" t="str">
        <f>IF(Input!AA175&lt;&gt;"",IF(ISNUMBER(Input!AB175),ROUNDDOWN(Input!AB175,0),0),"")</f>
        <v/>
      </c>
      <c r="AJ175" t="str">
        <f>IF(Input!AD175&lt;&gt;"",Input!AD175,"")</f>
        <v/>
      </c>
      <c r="AK175" t="str">
        <f t="shared" si="39"/>
        <v/>
      </c>
      <c r="AL175" t="str">
        <f>IF(Input!AD175&lt;&gt;"",IF(ISNUMBER(Input!AE175),(Input!AE175),0),"")</f>
        <v/>
      </c>
      <c r="AM175" t="str">
        <f>IF(Input!AG175&lt;&gt;"",Input!AG175,"")</f>
        <v/>
      </c>
      <c r="AN175" t="str">
        <f t="shared" si="29"/>
        <v/>
      </c>
      <c r="AO175" t="str">
        <f>IF(Input!AG175&lt;&gt;"",IF(ISNUMBER(Input!AH175),(Input!AH175),0),"")</f>
        <v/>
      </c>
    </row>
    <row r="176" spans="1:41" ht="16.5" thickTop="1" thickBot="1" x14ac:dyDescent="0.4">
      <c r="A176" s="35">
        <f>IF(ISBLANK(Input!A176),1000,IF(Input!E176&gt;0,Input!E176+F176,1000))</f>
        <v>1000</v>
      </c>
      <c r="B176" s="32">
        <f t="shared" si="30"/>
        <v>1000</v>
      </c>
      <c r="C176" s="4">
        <v>175</v>
      </c>
      <c r="D176" s="97">
        <f>IF(ISBLANK(Input!A176),1000,IF(Input!G176&gt;0,Input!G176+F176,1000))</f>
        <v>1000</v>
      </c>
      <c r="E176" s="97">
        <f t="shared" si="31"/>
        <v>1000</v>
      </c>
      <c r="F176" s="4">
        <v>0.17499999999999999</v>
      </c>
      <c r="I176" t="str">
        <f>IF(Input!A176&gt;0,Input!A176,"")</f>
        <v/>
      </c>
      <c r="J176" t="str">
        <f>IF(Input!B176&gt;0,Input!B176,"")</f>
        <v/>
      </c>
      <c r="K176" t="str">
        <f>IF(Input!C176&gt;0,Input!C176,"")</f>
        <v/>
      </c>
      <c r="L176" t="str">
        <f>IF(Input!D176&gt;0,Input!D176,"")</f>
        <v/>
      </c>
      <c r="M176" t="str">
        <f>IF(Input!G176&gt;0,Input!G176,"")</f>
        <v xml:space="preserve"> </v>
      </c>
      <c r="N176" t="str">
        <f>IF(Input!H176&gt;0,Input!H176,"")</f>
        <v xml:space="preserve"> </v>
      </c>
      <c r="O176" t="str">
        <f>IF(Input!I176&lt;&gt;"",Input!I176,"")</f>
        <v/>
      </c>
      <c r="P176" t="str">
        <f t="shared" si="32"/>
        <v/>
      </c>
      <c r="Q176" t="str">
        <f>IF(Input!I176&lt;&gt;"",IF(ISNUMBER(Input!J176),ROUNDDOWN(Input!J176,0),0),"")</f>
        <v/>
      </c>
      <c r="R176" t="str">
        <f>IF(Input!L176&lt;&gt;"",Input!L176,"")</f>
        <v/>
      </c>
      <c r="S176" t="str">
        <f t="shared" si="33"/>
        <v/>
      </c>
      <c r="T176" t="str">
        <f>IF(Input!L176&lt;&gt;"",IF(ISNUMBER(Input!M176),Input!M176,0),"")</f>
        <v/>
      </c>
      <c r="U176" t="str">
        <f>IF(Input!O176&lt;&gt;"",Input!O176,"")</f>
        <v/>
      </c>
      <c r="V176" t="str">
        <f t="shared" si="34"/>
        <v/>
      </c>
      <c r="W176" t="str">
        <f>IF(Input!O176&lt;&gt;"",IF(ISNUMBER(Input!P176),(Input!P176),0),"")</f>
        <v/>
      </c>
      <c r="X176" t="str">
        <f>IF(Input!R176&lt;&gt;"",Input!R176,"")</f>
        <v/>
      </c>
      <c r="Y176" t="str">
        <f t="shared" si="35"/>
        <v/>
      </c>
      <c r="Z176" t="str">
        <f>IF(Input!R176&lt;&gt;"",IF(ISNUMBER(Input!S176),ROUNDDOWN(Input!S176,0),0),"")</f>
        <v/>
      </c>
      <c r="AA176" t="str">
        <f>IF(Input!U176&lt;&gt;"",Input!U176,"")</f>
        <v/>
      </c>
      <c r="AB176" t="str">
        <f t="shared" si="36"/>
        <v/>
      </c>
      <c r="AC176" t="str">
        <f>IF(Input!U176&lt;&gt;"",IF(ISNUMBER(Input!V176),ROUNDDOWN(Input!V176,0),0),"")</f>
        <v/>
      </c>
      <c r="AD176" t="str">
        <f>IF(Input!X176&lt;&gt;"",Input!X176,"")</f>
        <v/>
      </c>
      <c r="AE176" t="str">
        <f t="shared" si="37"/>
        <v/>
      </c>
      <c r="AF176" t="str">
        <f>IF(Input!X176&lt;&gt;"",IF(ISNUMBER(Input!Y176),(Input!Y176),0),"")</f>
        <v/>
      </c>
      <c r="AG176" t="str">
        <f>IF(Input!AA176&lt;&gt;"",Input!AA176,"")</f>
        <v/>
      </c>
      <c r="AH176" t="str">
        <f t="shared" si="38"/>
        <v/>
      </c>
      <c r="AI176" t="str">
        <f>IF(Input!AA176&lt;&gt;"",IF(ISNUMBER(Input!AB176),ROUNDDOWN(Input!AB176,0),0),"")</f>
        <v/>
      </c>
      <c r="AJ176" t="str">
        <f>IF(Input!AD176&lt;&gt;"",Input!AD176,"")</f>
        <v/>
      </c>
      <c r="AK176" t="str">
        <f t="shared" si="39"/>
        <v/>
      </c>
      <c r="AL176" t="str">
        <f>IF(Input!AD176&lt;&gt;"",IF(ISNUMBER(Input!AE176),(Input!AE176),0),"")</f>
        <v/>
      </c>
      <c r="AM176" t="str">
        <f>IF(Input!AG176&lt;&gt;"",Input!AG176,"")</f>
        <v/>
      </c>
      <c r="AN176" t="str">
        <f t="shared" si="29"/>
        <v/>
      </c>
      <c r="AO176" t="str">
        <f>IF(Input!AG176&lt;&gt;"",IF(ISNUMBER(Input!AH176),(Input!AH176),0),"")</f>
        <v/>
      </c>
    </row>
    <row r="177" spans="1:41" ht="16.5" thickTop="1" thickBot="1" x14ac:dyDescent="0.4">
      <c r="A177" s="35">
        <f>IF(ISBLANK(Input!A177),1000,IF(Input!E177&gt;0,Input!E177+F177,1000))</f>
        <v>1000</v>
      </c>
      <c r="B177" s="32">
        <f t="shared" si="30"/>
        <v>1000</v>
      </c>
      <c r="C177" s="4">
        <v>176</v>
      </c>
      <c r="D177" s="97">
        <f>IF(ISBLANK(Input!A177),1000,IF(Input!G177&gt;0,Input!G177+F177,1000))</f>
        <v>1000</v>
      </c>
      <c r="E177" s="97">
        <f t="shared" si="31"/>
        <v>1000</v>
      </c>
      <c r="F177" s="4">
        <v>0.17599999999999999</v>
      </c>
      <c r="I177" t="str">
        <f>IF(Input!A177&gt;0,Input!A177,"")</f>
        <v/>
      </c>
      <c r="J177" t="str">
        <f>IF(Input!B177&gt;0,Input!B177,"")</f>
        <v/>
      </c>
      <c r="K177" t="str">
        <f>IF(Input!C177&gt;0,Input!C177,"")</f>
        <v/>
      </c>
      <c r="L177" t="str">
        <f>IF(Input!D177&gt;0,Input!D177,"")</f>
        <v/>
      </c>
      <c r="M177" t="str">
        <f>IF(Input!G177&gt;0,Input!G177,"")</f>
        <v xml:space="preserve"> </v>
      </c>
      <c r="N177" t="str">
        <f>IF(Input!H177&gt;0,Input!H177,"")</f>
        <v xml:space="preserve"> </v>
      </c>
      <c r="O177" t="str">
        <f>IF(Input!I177&lt;&gt;"",Input!I177,"")</f>
        <v/>
      </c>
      <c r="P177" t="str">
        <f t="shared" si="32"/>
        <v/>
      </c>
      <c r="Q177" t="str">
        <f>IF(Input!I177&lt;&gt;"",IF(ISNUMBER(Input!J177),ROUNDDOWN(Input!J177,0),0),"")</f>
        <v/>
      </c>
      <c r="R177" t="str">
        <f>IF(Input!L177&lt;&gt;"",Input!L177,"")</f>
        <v/>
      </c>
      <c r="S177" t="str">
        <f t="shared" si="33"/>
        <v/>
      </c>
      <c r="T177" t="str">
        <f>IF(Input!L177&lt;&gt;"",IF(ISNUMBER(Input!M177),Input!M177,0),"")</f>
        <v/>
      </c>
      <c r="U177" t="str">
        <f>IF(Input!O177&lt;&gt;"",Input!O177,"")</f>
        <v/>
      </c>
      <c r="V177" t="str">
        <f t="shared" si="34"/>
        <v/>
      </c>
      <c r="W177" t="str">
        <f>IF(Input!O177&lt;&gt;"",IF(ISNUMBER(Input!P177),(Input!P177),0),"")</f>
        <v/>
      </c>
      <c r="X177" t="str">
        <f>IF(Input!R177&lt;&gt;"",Input!R177,"")</f>
        <v/>
      </c>
      <c r="Y177" t="str">
        <f t="shared" si="35"/>
        <v/>
      </c>
      <c r="Z177" t="str">
        <f>IF(Input!R177&lt;&gt;"",IF(ISNUMBER(Input!S177),ROUNDDOWN(Input!S177,0),0),"")</f>
        <v/>
      </c>
      <c r="AA177" t="str">
        <f>IF(Input!U177&lt;&gt;"",Input!U177,"")</f>
        <v/>
      </c>
      <c r="AB177" t="str">
        <f t="shared" si="36"/>
        <v/>
      </c>
      <c r="AC177" t="str">
        <f>IF(Input!U177&lt;&gt;"",IF(ISNUMBER(Input!V177),ROUNDDOWN(Input!V177,0),0),"")</f>
        <v/>
      </c>
      <c r="AD177" t="str">
        <f>IF(Input!X177&lt;&gt;"",Input!X177,"")</f>
        <v/>
      </c>
      <c r="AE177" t="str">
        <f t="shared" si="37"/>
        <v/>
      </c>
      <c r="AF177" t="str">
        <f>IF(Input!X177&lt;&gt;"",IF(ISNUMBER(Input!Y177),(Input!Y177),0),"")</f>
        <v/>
      </c>
      <c r="AG177" t="str">
        <f>IF(Input!AA177&lt;&gt;"",Input!AA177,"")</f>
        <v/>
      </c>
      <c r="AH177" t="str">
        <f t="shared" si="38"/>
        <v/>
      </c>
      <c r="AI177" t="str">
        <f>IF(Input!AA177&lt;&gt;"",IF(ISNUMBER(Input!AB177),ROUNDDOWN(Input!AB177,0),0),"")</f>
        <v/>
      </c>
      <c r="AJ177" t="str">
        <f>IF(Input!AD177&lt;&gt;"",Input!AD177,"")</f>
        <v/>
      </c>
      <c r="AK177" t="str">
        <f t="shared" si="39"/>
        <v/>
      </c>
      <c r="AL177" t="str">
        <f>IF(Input!AD177&lt;&gt;"",IF(ISNUMBER(Input!AE177),(Input!AE177),0),"")</f>
        <v/>
      </c>
      <c r="AM177" t="str">
        <f>IF(Input!AG177&lt;&gt;"",Input!AG177,"")</f>
        <v/>
      </c>
      <c r="AN177" t="str">
        <f t="shared" si="29"/>
        <v/>
      </c>
      <c r="AO177" t="str">
        <f>IF(Input!AG177&lt;&gt;"",IF(ISNUMBER(Input!AH177),(Input!AH177),0),"")</f>
        <v/>
      </c>
    </row>
    <row r="178" spans="1:41" ht="16.5" thickTop="1" thickBot="1" x14ac:dyDescent="0.4">
      <c r="A178" s="35">
        <f>IF(ISBLANK(Input!A178),1000,IF(Input!E178&gt;0,Input!E178+F178,1000))</f>
        <v>1000</v>
      </c>
      <c r="B178" s="32">
        <f t="shared" si="30"/>
        <v>1000</v>
      </c>
      <c r="C178" s="4">
        <v>177</v>
      </c>
      <c r="D178" s="97">
        <f>IF(ISBLANK(Input!A178),1000,IF(Input!G178&gt;0,Input!G178+F178,1000))</f>
        <v>1000</v>
      </c>
      <c r="E178" s="97">
        <f t="shared" si="31"/>
        <v>1000</v>
      </c>
      <c r="F178" s="4">
        <v>0.17699999999999999</v>
      </c>
      <c r="I178" t="str">
        <f>IF(Input!A178&gt;0,Input!A178,"")</f>
        <v/>
      </c>
      <c r="J178" t="str">
        <f>IF(Input!B178&gt;0,Input!B178,"")</f>
        <v/>
      </c>
      <c r="K178" t="str">
        <f>IF(Input!C178&gt;0,Input!C178,"")</f>
        <v/>
      </c>
      <c r="L178" t="str">
        <f>IF(Input!D178&gt;0,Input!D178,"")</f>
        <v/>
      </c>
      <c r="M178" t="str">
        <f>IF(Input!G178&gt;0,Input!G178,"")</f>
        <v xml:space="preserve"> </v>
      </c>
      <c r="N178" t="str">
        <f>IF(Input!H178&gt;0,Input!H178,"")</f>
        <v xml:space="preserve"> </v>
      </c>
      <c r="O178" t="str">
        <f>IF(Input!I178&lt;&gt;"",Input!I178,"")</f>
        <v/>
      </c>
      <c r="P178" t="str">
        <f t="shared" si="32"/>
        <v/>
      </c>
      <c r="Q178" t="str">
        <f>IF(Input!I178&lt;&gt;"",IF(ISNUMBER(Input!J178),ROUNDDOWN(Input!J178,0),0),"")</f>
        <v/>
      </c>
      <c r="R178" t="str">
        <f>IF(Input!L178&lt;&gt;"",Input!L178,"")</f>
        <v/>
      </c>
      <c r="S178" t="str">
        <f t="shared" si="33"/>
        <v/>
      </c>
      <c r="T178" t="str">
        <f>IF(Input!L178&lt;&gt;"",IF(ISNUMBER(Input!M178),Input!M178,0),"")</f>
        <v/>
      </c>
      <c r="U178" t="str">
        <f>IF(Input!O178&lt;&gt;"",Input!O178,"")</f>
        <v/>
      </c>
      <c r="V178" t="str">
        <f t="shared" si="34"/>
        <v/>
      </c>
      <c r="W178" t="str">
        <f>IF(Input!O178&lt;&gt;"",IF(ISNUMBER(Input!P178),(Input!P178),0),"")</f>
        <v/>
      </c>
      <c r="X178" t="str">
        <f>IF(Input!R178&lt;&gt;"",Input!R178,"")</f>
        <v/>
      </c>
      <c r="Y178" t="str">
        <f t="shared" si="35"/>
        <v/>
      </c>
      <c r="Z178" t="str">
        <f>IF(Input!R178&lt;&gt;"",IF(ISNUMBER(Input!S178),ROUNDDOWN(Input!S178,0),0),"")</f>
        <v/>
      </c>
      <c r="AA178" t="str">
        <f>IF(Input!U178&lt;&gt;"",Input!U178,"")</f>
        <v/>
      </c>
      <c r="AB178" t="str">
        <f t="shared" si="36"/>
        <v/>
      </c>
      <c r="AC178" t="str">
        <f>IF(Input!U178&lt;&gt;"",IF(ISNUMBER(Input!V178),ROUNDDOWN(Input!V178,0),0),"")</f>
        <v/>
      </c>
      <c r="AD178" t="str">
        <f>IF(Input!X178&lt;&gt;"",Input!X178,"")</f>
        <v/>
      </c>
      <c r="AE178" t="str">
        <f t="shared" si="37"/>
        <v/>
      </c>
      <c r="AF178" t="str">
        <f>IF(Input!X178&lt;&gt;"",IF(ISNUMBER(Input!Y178),(Input!Y178),0),"")</f>
        <v/>
      </c>
      <c r="AG178" t="str">
        <f>IF(Input!AA178&lt;&gt;"",Input!AA178,"")</f>
        <v/>
      </c>
      <c r="AH178" t="str">
        <f t="shared" si="38"/>
        <v/>
      </c>
      <c r="AI178" t="str">
        <f>IF(Input!AA178&lt;&gt;"",IF(ISNUMBER(Input!AB178),ROUNDDOWN(Input!AB178,0),0),"")</f>
        <v/>
      </c>
      <c r="AJ178" t="str">
        <f>IF(Input!AD178&lt;&gt;"",Input!AD178,"")</f>
        <v/>
      </c>
      <c r="AK178" t="str">
        <f t="shared" si="39"/>
        <v/>
      </c>
      <c r="AL178" t="str">
        <f>IF(Input!AD178&lt;&gt;"",IF(ISNUMBER(Input!AE178),(Input!AE178),0),"")</f>
        <v/>
      </c>
      <c r="AM178" t="str">
        <f>IF(Input!AG178&lt;&gt;"",Input!AG178,"")</f>
        <v/>
      </c>
      <c r="AN178" t="str">
        <f t="shared" si="29"/>
        <v/>
      </c>
      <c r="AO178" t="str">
        <f>IF(Input!AG178&lt;&gt;"",IF(ISNUMBER(Input!AH178),(Input!AH178),0),"")</f>
        <v/>
      </c>
    </row>
    <row r="179" spans="1:41" ht="16.5" thickTop="1" thickBot="1" x14ac:dyDescent="0.4">
      <c r="A179" s="35">
        <f>IF(ISBLANK(Input!A179),1000,IF(Input!E179&gt;0,Input!E179+F179,1000))</f>
        <v>1000</v>
      </c>
      <c r="B179" s="32">
        <f t="shared" si="30"/>
        <v>1000</v>
      </c>
      <c r="C179" s="4">
        <v>178</v>
      </c>
      <c r="D179" s="97">
        <f>IF(ISBLANK(Input!A179),1000,IF(Input!G179&gt;0,Input!G179+F179,1000))</f>
        <v>1000</v>
      </c>
      <c r="E179" s="97">
        <f t="shared" si="31"/>
        <v>1000</v>
      </c>
      <c r="F179" s="4">
        <v>0.17799999999999999</v>
      </c>
      <c r="I179" t="str">
        <f>IF(Input!A179&gt;0,Input!A179,"")</f>
        <v/>
      </c>
      <c r="J179" t="str">
        <f>IF(Input!B179&gt;0,Input!B179,"")</f>
        <v/>
      </c>
      <c r="K179" t="str">
        <f>IF(Input!C179&gt;0,Input!C179,"")</f>
        <v/>
      </c>
      <c r="L179" t="str">
        <f>IF(Input!D179&gt;0,Input!D179,"")</f>
        <v/>
      </c>
      <c r="M179" t="str">
        <f>IF(Input!G179&gt;0,Input!G179,"")</f>
        <v xml:space="preserve"> </v>
      </c>
      <c r="N179" t="str">
        <f>IF(Input!H179&gt;0,Input!H179,"")</f>
        <v xml:space="preserve"> </v>
      </c>
      <c r="O179" t="str">
        <f>IF(Input!I179&lt;&gt;"",Input!I179,"")</f>
        <v/>
      </c>
      <c r="P179" t="str">
        <f t="shared" si="32"/>
        <v/>
      </c>
      <c r="Q179" t="str">
        <f>IF(Input!I179&lt;&gt;"",IF(ISNUMBER(Input!J179),ROUNDDOWN(Input!J179,0),0),"")</f>
        <v/>
      </c>
      <c r="R179" t="str">
        <f>IF(Input!L179&lt;&gt;"",Input!L179,"")</f>
        <v/>
      </c>
      <c r="S179" t="str">
        <f t="shared" si="33"/>
        <v/>
      </c>
      <c r="T179" t="str">
        <f>IF(Input!L179&lt;&gt;"",IF(ISNUMBER(Input!M179),Input!M179,0),"")</f>
        <v/>
      </c>
      <c r="U179" t="str">
        <f>IF(Input!O179&lt;&gt;"",Input!O179,"")</f>
        <v/>
      </c>
      <c r="V179" t="str">
        <f t="shared" si="34"/>
        <v/>
      </c>
      <c r="W179" t="str">
        <f>IF(Input!O179&lt;&gt;"",IF(ISNUMBER(Input!P179),(Input!P179),0),"")</f>
        <v/>
      </c>
      <c r="X179" t="str">
        <f>IF(Input!R179&lt;&gt;"",Input!R179,"")</f>
        <v/>
      </c>
      <c r="Y179" t="str">
        <f t="shared" si="35"/>
        <v/>
      </c>
      <c r="Z179" t="str">
        <f>IF(Input!R179&lt;&gt;"",IF(ISNUMBER(Input!S179),ROUNDDOWN(Input!S179,0),0),"")</f>
        <v/>
      </c>
      <c r="AA179" t="str">
        <f>IF(Input!U179&lt;&gt;"",Input!U179,"")</f>
        <v/>
      </c>
      <c r="AB179" t="str">
        <f t="shared" si="36"/>
        <v/>
      </c>
      <c r="AC179" t="str">
        <f>IF(Input!U179&lt;&gt;"",IF(ISNUMBER(Input!V179),ROUNDDOWN(Input!V179,0),0),"")</f>
        <v/>
      </c>
      <c r="AD179" t="str">
        <f>IF(Input!X179&lt;&gt;"",Input!X179,"")</f>
        <v/>
      </c>
      <c r="AE179" t="str">
        <f t="shared" si="37"/>
        <v/>
      </c>
      <c r="AF179" t="str">
        <f>IF(Input!X179&lt;&gt;"",IF(ISNUMBER(Input!Y179),(Input!Y179),0),"")</f>
        <v/>
      </c>
      <c r="AG179" t="str">
        <f>IF(Input!AA179&lt;&gt;"",Input!AA179,"")</f>
        <v/>
      </c>
      <c r="AH179" t="str">
        <f t="shared" si="38"/>
        <v/>
      </c>
      <c r="AI179" t="str">
        <f>IF(Input!AA179&lt;&gt;"",IF(ISNUMBER(Input!AB179),ROUNDDOWN(Input!AB179,0),0),"")</f>
        <v/>
      </c>
      <c r="AJ179" t="str">
        <f>IF(Input!AD179&lt;&gt;"",Input!AD179,"")</f>
        <v/>
      </c>
      <c r="AK179" t="str">
        <f t="shared" si="39"/>
        <v/>
      </c>
      <c r="AL179" t="str">
        <f>IF(Input!AD179&lt;&gt;"",IF(ISNUMBER(Input!AE179),(Input!AE179),0),"")</f>
        <v/>
      </c>
      <c r="AM179" t="str">
        <f>IF(Input!AG179&lt;&gt;"",Input!AG179,"")</f>
        <v/>
      </c>
      <c r="AN179" t="str">
        <f t="shared" si="29"/>
        <v/>
      </c>
      <c r="AO179" t="str">
        <f>IF(Input!AG179&lt;&gt;"",IF(ISNUMBER(Input!AH179),(Input!AH179),0),"")</f>
        <v/>
      </c>
    </row>
    <row r="180" spans="1:41" ht="16.5" thickTop="1" thickBot="1" x14ac:dyDescent="0.4">
      <c r="A180" s="35">
        <f>IF(ISBLANK(Input!A180),1000,IF(Input!E180&gt;0,Input!E180+F180,1000))</f>
        <v>1000</v>
      </c>
      <c r="B180" s="32">
        <f t="shared" si="30"/>
        <v>1000</v>
      </c>
      <c r="C180" s="4">
        <v>179</v>
      </c>
      <c r="D180" s="97">
        <f>IF(ISBLANK(Input!A180),1000,IF(Input!G180&gt;0,Input!G180+F180,1000))</f>
        <v>1000</v>
      </c>
      <c r="E180" s="97">
        <f t="shared" si="31"/>
        <v>1000</v>
      </c>
      <c r="F180" s="4">
        <v>0.17899999999999999</v>
      </c>
      <c r="I180" t="str">
        <f>IF(Input!A180&gt;0,Input!A180,"")</f>
        <v/>
      </c>
      <c r="J180" t="str">
        <f>IF(Input!B180&gt;0,Input!B180,"")</f>
        <v/>
      </c>
      <c r="K180" t="str">
        <f>IF(Input!C180&gt;0,Input!C180,"")</f>
        <v/>
      </c>
      <c r="L180" t="str">
        <f>IF(Input!D180&gt;0,Input!D180,"")</f>
        <v/>
      </c>
      <c r="M180" t="str">
        <f>IF(Input!G180&gt;0,Input!G180,"")</f>
        <v xml:space="preserve"> </v>
      </c>
      <c r="N180" t="str">
        <f>IF(Input!H180&gt;0,Input!H180,"")</f>
        <v xml:space="preserve"> </v>
      </c>
      <c r="O180" t="str">
        <f>IF(Input!I180&lt;&gt;"",Input!I180,"")</f>
        <v/>
      </c>
      <c r="P180" t="str">
        <f t="shared" si="32"/>
        <v/>
      </c>
      <c r="Q180" t="str">
        <f>IF(Input!I180&lt;&gt;"",IF(ISNUMBER(Input!J180),ROUNDDOWN(Input!J180,0),0),"")</f>
        <v/>
      </c>
      <c r="R180" t="str">
        <f>IF(Input!L180&lt;&gt;"",Input!L180,"")</f>
        <v/>
      </c>
      <c r="S180" t="str">
        <f t="shared" si="33"/>
        <v/>
      </c>
      <c r="T180" t="str">
        <f>IF(Input!L180&lt;&gt;"",IF(ISNUMBER(Input!M180),Input!M180,0),"")</f>
        <v/>
      </c>
      <c r="U180" t="str">
        <f>IF(Input!O180&lt;&gt;"",Input!O180,"")</f>
        <v/>
      </c>
      <c r="V180" t="str">
        <f t="shared" si="34"/>
        <v/>
      </c>
      <c r="W180" t="str">
        <f>IF(Input!O180&lt;&gt;"",IF(ISNUMBER(Input!P180),(Input!P180),0),"")</f>
        <v/>
      </c>
      <c r="X180" t="str">
        <f>IF(Input!R180&lt;&gt;"",Input!R180,"")</f>
        <v/>
      </c>
      <c r="Y180" t="str">
        <f t="shared" si="35"/>
        <v/>
      </c>
      <c r="Z180" t="str">
        <f>IF(Input!R180&lt;&gt;"",IF(ISNUMBER(Input!S180),ROUNDDOWN(Input!S180,0),0),"")</f>
        <v/>
      </c>
      <c r="AA180" t="str">
        <f>IF(Input!U180&lt;&gt;"",Input!U180,"")</f>
        <v/>
      </c>
      <c r="AB180" t="str">
        <f t="shared" si="36"/>
        <v/>
      </c>
      <c r="AC180" t="str">
        <f>IF(Input!U180&lt;&gt;"",IF(ISNUMBER(Input!V180),ROUNDDOWN(Input!V180,0),0),"")</f>
        <v/>
      </c>
      <c r="AD180" t="str">
        <f>IF(Input!X180&lt;&gt;"",Input!X180,"")</f>
        <v/>
      </c>
      <c r="AE180" t="str">
        <f t="shared" si="37"/>
        <v/>
      </c>
      <c r="AF180" t="str">
        <f>IF(Input!X180&lt;&gt;"",IF(ISNUMBER(Input!Y180),(Input!Y180),0),"")</f>
        <v/>
      </c>
      <c r="AG180" t="str">
        <f>IF(Input!AA180&lt;&gt;"",Input!AA180,"")</f>
        <v/>
      </c>
      <c r="AH180" t="str">
        <f t="shared" si="38"/>
        <v/>
      </c>
      <c r="AI180" t="str">
        <f>IF(Input!AA180&lt;&gt;"",IF(ISNUMBER(Input!AB180),ROUNDDOWN(Input!AB180,0),0),"")</f>
        <v/>
      </c>
      <c r="AJ180" t="str">
        <f>IF(Input!AD180&lt;&gt;"",Input!AD180,"")</f>
        <v/>
      </c>
      <c r="AK180" t="str">
        <f t="shared" si="39"/>
        <v/>
      </c>
      <c r="AL180" t="str">
        <f>IF(Input!AD180&lt;&gt;"",IF(ISNUMBER(Input!AE180),(Input!AE180),0),"")</f>
        <v/>
      </c>
      <c r="AM180" t="str">
        <f>IF(Input!AG180&lt;&gt;"",Input!AG180,"")</f>
        <v/>
      </c>
      <c r="AN180" t="str">
        <f t="shared" si="29"/>
        <v/>
      </c>
      <c r="AO180" t="str">
        <f>IF(Input!AG180&lt;&gt;"",IF(ISNUMBER(Input!AH180),(Input!AH180),0),"")</f>
        <v/>
      </c>
    </row>
    <row r="181" spans="1:41" ht="16.5" thickTop="1" thickBot="1" x14ac:dyDescent="0.4">
      <c r="A181" s="35">
        <f>IF(ISBLANK(Input!A181),1000,IF(Input!E181&gt;0,Input!E181+F181,1000))</f>
        <v>1000</v>
      </c>
      <c r="B181" s="32">
        <f t="shared" si="30"/>
        <v>1000</v>
      </c>
      <c r="C181" s="4">
        <v>180</v>
      </c>
      <c r="D181" s="97">
        <f>IF(ISBLANK(Input!A181),1000,IF(Input!G181&gt;0,Input!G181+F181,1000))</f>
        <v>1000</v>
      </c>
      <c r="E181" s="97">
        <f t="shared" si="31"/>
        <v>1000</v>
      </c>
      <c r="F181" s="4">
        <v>0.18</v>
      </c>
      <c r="I181" t="str">
        <f>IF(Input!A181&gt;0,Input!A181,"")</f>
        <v/>
      </c>
      <c r="J181" t="str">
        <f>IF(Input!B181&gt;0,Input!B181,"")</f>
        <v/>
      </c>
      <c r="K181" t="str">
        <f>IF(Input!C181&gt;0,Input!C181,"")</f>
        <v/>
      </c>
      <c r="L181" t="str">
        <f>IF(Input!D181&gt;0,Input!D181,"")</f>
        <v/>
      </c>
      <c r="M181" t="str">
        <f>IF(Input!G181&gt;0,Input!G181,"")</f>
        <v xml:space="preserve"> </v>
      </c>
      <c r="N181" t="str">
        <f>IF(Input!H181&gt;0,Input!H181,"")</f>
        <v xml:space="preserve"> </v>
      </c>
      <c r="O181" t="str">
        <f>IF(Input!I181&lt;&gt;"",Input!I181,"")</f>
        <v/>
      </c>
      <c r="P181" t="str">
        <f t="shared" si="32"/>
        <v/>
      </c>
      <c r="Q181" t="str">
        <f>IF(Input!I181&lt;&gt;"",IF(ISNUMBER(Input!J181),ROUNDDOWN(Input!J181,0),0),"")</f>
        <v/>
      </c>
      <c r="R181" t="str">
        <f>IF(Input!L181&lt;&gt;"",Input!L181,"")</f>
        <v/>
      </c>
      <c r="S181" t="str">
        <f t="shared" si="33"/>
        <v/>
      </c>
      <c r="T181" t="str">
        <f>IF(Input!L181&lt;&gt;"",IF(ISNUMBER(Input!M181),Input!M181,0),"")</f>
        <v/>
      </c>
      <c r="U181" t="str">
        <f>IF(Input!O181&lt;&gt;"",Input!O181,"")</f>
        <v/>
      </c>
      <c r="V181" t="str">
        <f t="shared" si="34"/>
        <v/>
      </c>
      <c r="W181" t="str">
        <f>IF(Input!O181&lt;&gt;"",IF(ISNUMBER(Input!P181),(Input!P181),0),"")</f>
        <v/>
      </c>
      <c r="X181" t="str">
        <f>IF(Input!R181&lt;&gt;"",Input!R181,"")</f>
        <v/>
      </c>
      <c r="Y181" t="str">
        <f t="shared" si="35"/>
        <v/>
      </c>
      <c r="Z181" t="str">
        <f>IF(Input!R181&lt;&gt;"",IF(ISNUMBER(Input!S181),ROUNDDOWN(Input!S181,0),0),"")</f>
        <v/>
      </c>
      <c r="AA181" t="str">
        <f>IF(Input!U181&lt;&gt;"",Input!U181,"")</f>
        <v/>
      </c>
      <c r="AB181" t="str">
        <f t="shared" si="36"/>
        <v/>
      </c>
      <c r="AC181" t="str">
        <f>IF(Input!U181&lt;&gt;"",IF(ISNUMBER(Input!V181),ROUNDDOWN(Input!V181,0),0),"")</f>
        <v/>
      </c>
      <c r="AD181" t="str">
        <f>IF(Input!X181&lt;&gt;"",Input!X181,"")</f>
        <v/>
      </c>
      <c r="AE181" t="str">
        <f t="shared" si="37"/>
        <v/>
      </c>
      <c r="AF181" t="str">
        <f>IF(Input!X181&lt;&gt;"",IF(ISNUMBER(Input!Y181),(Input!Y181),0),"")</f>
        <v/>
      </c>
      <c r="AG181" t="str">
        <f>IF(Input!AA181&lt;&gt;"",Input!AA181,"")</f>
        <v/>
      </c>
      <c r="AH181" t="str">
        <f t="shared" si="38"/>
        <v/>
      </c>
      <c r="AI181" t="str">
        <f>IF(Input!AA181&lt;&gt;"",IF(ISNUMBER(Input!AB181),ROUNDDOWN(Input!AB181,0),0),"")</f>
        <v/>
      </c>
      <c r="AJ181" t="str">
        <f>IF(Input!AD181&lt;&gt;"",Input!AD181,"")</f>
        <v/>
      </c>
      <c r="AK181" t="str">
        <f t="shared" si="39"/>
        <v/>
      </c>
      <c r="AL181" t="str">
        <f>IF(Input!AD181&lt;&gt;"",IF(ISNUMBER(Input!AE181),(Input!AE181),0),"")</f>
        <v/>
      </c>
      <c r="AM181" t="str">
        <f>IF(Input!AG181&lt;&gt;"",Input!AG181,"")</f>
        <v/>
      </c>
      <c r="AN181" t="str">
        <f t="shared" si="29"/>
        <v/>
      </c>
      <c r="AO181" t="str">
        <f>IF(Input!AG181&lt;&gt;"",IF(ISNUMBER(Input!AH181),(Input!AH181),0),"")</f>
        <v/>
      </c>
    </row>
    <row r="182" spans="1:41" ht="16.5" thickTop="1" thickBot="1" x14ac:dyDescent="0.4">
      <c r="A182" s="35">
        <f>IF(ISBLANK(Input!A182),1000,IF(Input!E182&gt;0,Input!E182+F182,1000))</f>
        <v>1000</v>
      </c>
      <c r="B182" s="32">
        <f t="shared" si="30"/>
        <v>1000</v>
      </c>
      <c r="C182" s="4">
        <v>181</v>
      </c>
      <c r="D182" s="97">
        <f>IF(ISBLANK(Input!A182),1000,IF(Input!G182&gt;0,Input!G182+F182,1000))</f>
        <v>1000</v>
      </c>
      <c r="E182" s="97">
        <f t="shared" si="31"/>
        <v>1000</v>
      </c>
      <c r="F182" s="4">
        <v>0.18099999999999999</v>
      </c>
      <c r="I182" t="str">
        <f>IF(Input!A182&gt;0,Input!A182,"")</f>
        <v/>
      </c>
      <c r="J182" t="str">
        <f>IF(Input!B182&gt;0,Input!B182,"")</f>
        <v/>
      </c>
      <c r="K182" t="str">
        <f>IF(Input!C182&gt;0,Input!C182,"")</f>
        <v/>
      </c>
      <c r="L182" t="str">
        <f>IF(Input!D182&gt;0,Input!D182,"")</f>
        <v/>
      </c>
      <c r="M182" t="str">
        <f>IF(Input!G182&gt;0,Input!G182,"")</f>
        <v xml:space="preserve"> </v>
      </c>
      <c r="N182" t="str">
        <f>IF(Input!H182&gt;0,Input!H182,"")</f>
        <v xml:space="preserve"> </v>
      </c>
      <c r="O182" t="str">
        <f>IF(Input!I182&lt;&gt;"",Input!I182,"")</f>
        <v/>
      </c>
      <c r="P182" t="str">
        <f t="shared" si="32"/>
        <v/>
      </c>
      <c r="Q182" t="str">
        <f>IF(Input!I182&lt;&gt;"",IF(ISNUMBER(Input!J182),ROUNDDOWN(Input!J182,0),0),"")</f>
        <v/>
      </c>
      <c r="R182" t="str">
        <f>IF(Input!L182&lt;&gt;"",Input!L182,"")</f>
        <v/>
      </c>
      <c r="S182" t="str">
        <f t="shared" si="33"/>
        <v/>
      </c>
      <c r="T182" t="str">
        <f>IF(Input!L182&lt;&gt;"",IF(ISNUMBER(Input!M182),Input!M182,0),"")</f>
        <v/>
      </c>
      <c r="U182" t="str">
        <f>IF(Input!O182&lt;&gt;"",Input!O182,"")</f>
        <v/>
      </c>
      <c r="V182" t="str">
        <f t="shared" si="34"/>
        <v/>
      </c>
      <c r="W182" t="str">
        <f>IF(Input!O182&lt;&gt;"",IF(ISNUMBER(Input!P182),(Input!P182),0),"")</f>
        <v/>
      </c>
      <c r="X182" t="str">
        <f>IF(Input!R182&lt;&gt;"",Input!R182,"")</f>
        <v/>
      </c>
      <c r="Y182" t="str">
        <f t="shared" si="35"/>
        <v/>
      </c>
      <c r="Z182" t="str">
        <f>IF(Input!R182&lt;&gt;"",IF(ISNUMBER(Input!S182),ROUNDDOWN(Input!S182,0),0),"")</f>
        <v/>
      </c>
      <c r="AA182" t="str">
        <f>IF(Input!U182&lt;&gt;"",Input!U182,"")</f>
        <v/>
      </c>
      <c r="AB182" t="str">
        <f t="shared" si="36"/>
        <v/>
      </c>
      <c r="AC182" t="str">
        <f>IF(Input!U182&lt;&gt;"",IF(ISNUMBER(Input!V182),ROUNDDOWN(Input!V182,0),0),"")</f>
        <v/>
      </c>
      <c r="AD182" t="str">
        <f>IF(Input!X182&lt;&gt;"",Input!X182,"")</f>
        <v/>
      </c>
      <c r="AE182" t="str">
        <f t="shared" si="37"/>
        <v/>
      </c>
      <c r="AF182" t="str">
        <f>IF(Input!X182&lt;&gt;"",IF(ISNUMBER(Input!Y182),(Input!Y182),0),"")</f>
        <v/>
      </c>
      <c r="AG182" t="str">
        <f>IF(Input!AA182&lt;&gt;"",Input!AA182,"")</f>
        <v/>
      </c>
      <c r="AH182" t="str">
        <f t="shared" si="38"/>
        <v/>
      </c>
      <c r="AI182" t="str">
        <f>IF(Input!AA182&lt;&gt;"",IF(ISNUMBER(Input!AB182),ROUNDDOWN(Input!AB182,0),0),"")</f>
        <v/>
      </c>
      <c r="AJ182" t="str">
        <f>IF(Input!AD182&lt;&gt;"",Input!AD182,"")</f>
        <v/>
      </c>
      <c r="AK182" t="str">
        <f t="shared" si="39"/>
        <v/>
      </c>
      <c r="AL182" t="str">
        <f>IF(Input!AD182&lt;&gt;"",IF(ISNUMBER(Input!AE182),(Input!AE182),0),"")</f>
        <v/>
      </c>
      <c r="AM182" t="str">
        <f>IF(Input!AG182&lt;&gt;"",Input!AG182,"")</f>
        <v/>
      </c>
      <c r="AN182" t="str">
        <f t="shared" si="29"/>
        <v/>
      </c>
      <c r="AO182" t="str">
        <f>IF(Input!AG182&lt;&gt;"",IF(ISNUMBER(Input!AH182),(Input!AH182),0),"")</f>
        <v/>
      </c>
    </row>
    <row r="183" spans="1:41" ht="16.5" thickTop="1" thickBot="1" x14ac:dyDescent="0.4">
      <c r="A183" s="35">
        <f>IF(ISBLANK(Input!A183),1000,IF(Input!E183&gt;0,Input!E183+F183,1000))</f>
        <v>1000</v>
      </c>
      <c r="B183" s="32">
        <f t="shared" si="30"/>
        <v>1000</v>
      </c>
      <c r="C183" s="4">
        <v>182</v>
      </c>
      <c r="D183" s="97">
        <f>IF(ISBLANK(Input!A183),1000,IF(Input!G183&gt;0,Input!G183+F183,1000))</f>
        <v>1000</v>
      </c>
      <c r="E183" s="97">
        <f t="shared" si="31"/>
        <v>1000</v>
      </c>
      <c r="F183" s="4">
        <v>0.182</v>
      </c>
      <c r="I183" t="str">
        <f>IF(Input!A183&gt;0,Input!A183,"")</f>
        <v/>
      </c>
      <c r="J183" t="str">
        <f>IF(Input!B183&gt;0,Input!B183,"")</f>
        <v/>
      </c>
      <c r="K183" t="str">
        <f>IF(Input!C183&gt;0,Input!C183,"")</f>
        <v/>
      </c>
      <c r="L183" t="str">
        <f>IF(Input!D183&gt;0,Input!D183,"")</f>
        <v/>
      </c>
      <c r="M183" t="str">
        <f>IF(Input!G183&gt;0,Input!G183,"")</f>
        <v xml:space="preserve"> </v>
      </c>
      <c r="N183" t="str">
        <f>IF(Input!H183&gt;0,Input!H183,"")</f>
        <v xml:space="preserve"> </v>
      </c>
      <c r="O183" t="str">
        <f>IF(Input!I183&lt;&gt;"",Input!I183,"")</f>
        <v/>
      </c>
      <c r="P183" t="str">
        <f t="shared" si="32"/>
        <v/>
      </c>
      <c r="Q183" t="str">
        <f>IF(Input!I183&lt;&gt;"",IF(ISNUMBER(Input!J183),ROUNDDOWN(Input!J183,0),0),"")</f>
        <v/>
      </c>
      <c r="R183" t="str">
        <f>IF(Input!L183&lt;&gt;"",Input!L183,"")</f>
        <v/>
      </c>
      <c r="S183" t="str">
        <f t="shared" si="33"/>
        <v/>
      </c>
      <c r="T183" t="str">
        <f>IF(Input!L183&lt;&gt;"",IF(ISNUMBER(Input!M183),Input!M183,0),"")</f>
        <v/>
      </c>
      <c r="U183" t="str">
        <f>IF(Input!O183&lt;&gt;"",Input!O183,"")</f>
        <v/>
      </c>
      <c r="V183" t="str">
        <f t="shared" si="34"/>
        <v/>
      </c>
      <c r="W183" t="str">
        <f>IF(Input!O183&lt;&gt;"",IF(ISNUMBER(Input!P183),(Input!P183),0),"")</f>
        <v/>
      </c>
      <c r="X183" t="str">
        <f>IF(Input!R183&lt;&gt;"",Input!R183,"")</f>
        <v/>
      </c>
      <c r="Y183" t="str">
        <f t="shared" si="35"/>
        <v/>
      </c>
      <c r="Z183" t="str">
        <f>IF(Input!R183&lt;&gt;"",IF(ISNUMBER(Input!S183),ROUNDDOWN(Input!S183,0),0),"")</f>
        <v/>
      </c>
      <c r="AA183" t="str">
        <f>IF(Input!U183&lt;&gt;"",Input!U183,"")</f>
        <v/>
      </c>
      <c r="AB183" t="str">
        <f t="shared" si="36"/>
        <v/>
      </c>
      <c r="AC183" t="str">
        <f>IF(Input!U183&lt;&gt;"",IF(ISNUMBER(Input!V183),ROUNDDOWN(Input!V183,0),0),"")</f>
        <v/>
      </c>
      <c r="AD183" t="str">
        <f>IF(Input!X183&lt;&gt;"",Input!X183,"")</f>
        <v/>
      </c>
      <c r="AE183" t="str">
        <f t="shared" si="37"/>
        <v/>
      </c>
      <c r="AF183" t="str">
        <f>IF(Input!X183&lt;&gt;"",IF(ISNUMBER(Input!Y183),(Input!Y183),0),"")</f>
        <v/>
      </c>
      <c r="AG183" t="str">
        <f>IF(Input!AA183&lt;&gt;"",Input!AA183,"")</f>
        <v/>
      </c>
      <c r="AH183" t="str">
        <f t="shared" si="38"/>
        <v/>
      </c>
      <c r="AI183" t="str">
        <f>IF(Input!AA183&lt;&gt;"",IF(ISNUMBER(Input!AB183),ROUNDDOWN(Input!AB183,0),0),"")</f>
        <v/>
      </c>
      <c r="AJ183" t="str">
        <f>IF(Input!AD183&lt;&gt;"",Input!AD183,"")</f>
        <v/>
      </c>
      <c r="AK183" t="str">
        <f t="shared" si="39"/>
        <v/>
      </c>
      <c r="AL183" t="str">
        <f>IF(Input!AD183&lt;&gt;"",IF(ISNUMBER(Input!AE183),(Input!AE183),0),"")</f>
        <v/>
      </c>
      <c r="AM183" t="str">
        <f>IF(Input!AG183&lt;&gt;"",Input!AG183,"")</f>
        <v/>
      </c>
      <c r="AN183" t="str">
        <f t="shared" si="29"/>
        <v/>
      </c>
      <c r="AO183" t="str">
        <f>IF(Input!AG183&lt;&gt;"",IF(ISNUMBER(Input!AH183),(Input!AH183),0),"")</f>
        <v/>
      </c>
    </row>
    <row r="184" spans="1:41" ht="16.5" thickTop="1" thickBot="1" x14ac:dyDescent="0.4">
      <c r="A184" s="35">
        <f>IF(ISBLANK(Input!A184),1000,IF(Input!E184&gt;0,Input!E184+F184,1000))</f>
        <v>1000</v>
      </c>
      <c r="B184" s="32">
        <f t="shared" si="30"/>
        <v>1000</v>
      </c>
      <c r="C184" s="4">
        <v>183</v>
      </c>
      <c r="D184" s="97">
        <f>IF(ISBLANK(Input!A184),1000,IF(Input!G184&gt;0,Input!G184+F184,1000))</f>
        <v>1000</v>
      </c>
      <c r="E184" s="97">
        <f t="shared" si="31"/>
        <v>1000</v>
      </c>
      <c r="F184" s="4">
        <v>0.183</v>
      </c>
      <c r="I184" t="str">
        <f>IF(Input!A184&gt;0,Input!A184,"")</f>
        <v/>
      </c>
      <c r="J184" t="str">
        <f>IF(Input!B184&gt;0,Input!B184,"")</f>
        <v/>
      </c>
      <c r="K184" t="str">
        <f>IF(Input!C184&gt;0,Input!C184,"")</f>
        <v/>
      </c>
      <c r="L184" t="str">
        <f>IF(Input!D184&gt;0,Input!D184,"")</f>
        <v/>
      </c>
      <c r="M184" t="str">
        <f>IF(Input!G184&gt;0,Input!G184,"")</f>
        <v xml:space="preserve"> </v>
      </c>
      <c r="N184" t="str">
        <f>IF(Input!H184&gt;0,Input!H184,"")</f>
        <v xml:space="preserve"> </v>
      </c>
      <c r="O184" t="str">
        <f>IF(Input!I184&lt;&gt;"",Input!I184,"")</f>
        <v/>
      </c>
      <c r="P184" t="str">
        <f t="shared" si="32"/>
        <v/>
      </c>
      <c r="Q184" t="str">
        <f>IF(Input!I184&lt;&gt;"",IF(ISNUMBER(Input!J184),ROUNDDOWN(Input!J184,0),0),"")</f>
        <v/>
      </c>
      <c r="R184" t="str">
        <f>IF(Input!L184&lt;&gt;"",Input!L184,"")</f>
        <v/>
      </c>
      <c r="S184" t="str">
        <f t="shared" si="33"/>
        <v/>
      </c>
      <c r="T184" t="str">
        <f>IF(Input!L184&lt;&gt;"",IF(ISNUMBER(Input!M184),Input!M184,0),"")</f>
        <v/>
      </c>
      <c r="U184" t="str">
        <f>IF(Input!O184&lt;&gt;"",Input!O184,"")</f>
        <v/>
      </c>
      <c r="V184" t="str">
        <f t="shared" si="34"/>
        <v/>
      </c>
      <c r="W184" t="str">
        <f>IF(Input!O184&lt;&gt;"",IF(ISNUMBER(Input!P184),(Input!P184),0),"")</f>
        <v/>
      </c>
      <c r="X184" t="str">
        <f>IF(Input!R184&lt;&gt;"",Input!R184,"")</f>
        <v/>
      </c>
      <c r="Y184" t="str">
        <f t="shared" si="35"/>
        <v/>
      </c>
      <c r="Z184" t="str">
        <f>IF(Input!R184&lt;&gt;"",IF(ISNUMBER(Input!S184),ROUNDDOWN(Input!S184,0),0),"")</f>
        <v/>
      </c>
      <c r="AA184" t="str">
        <f>IF(Input!U184&lt;&gt;"",Input!U184,"")</f>
        <v/>
      </c>
      <c r="AB184" t="str">
        <f t="shared" si="36"/>
        <v/>
      </c>
      <c r="AC184" t="str">
        <f>IF(Input!U184&lt;&gt;"",IF(ISNUMBER(Input!V184),ROUNDDOWN(Input!V184,0),0),"")</f>
        <v/>
      </c>
      <c r="AD184" t="str">
        <f>IF(Input!X184&lt;&gt;"",Input!X184,"")</f>
        <v/>
      </c>
      <c r="AE184" t="str">
        <f t="shared" si="37"/>
        <v/>
      </c>
      <c r="AF184" t="str">
        <f>IF(Input!X184&lt;&gt;"",IF(ISNUMBER(Input!Y184),(Input!Y184),0),"")</f>
        <v/>
      </c>
      <c r="AG184" t="str">
        <f>IF(Input!AA184&lt;&gt;"",Input!AA184,"")</f>
        <v/>
      </c>
      <c r="AH184" t="str">
        <f t="shared" si="38"/>
        <v/>
      </c>
      <c r="AI184" t="str">
        <f>IF(Input!AA184&lt;&gt;"",IF(ISNUMBER(Input!AB184),ROUNDDOWN(Input!AB184,0),0),"")</f>
        <v/>
      </c>
      <c r="AJ184" t="str">
        <f>IF(Input!AD184&lt;&gt;"",Input!AD184,"")</f>
        <v/>
      </c>
      <c r="AK184" t="str">
        <f t="shared" si="39"/>
        <v/>
      </c>
      <c r="AL184" t="str">
        <f>IF(Input!AD184&lt;&gt;"",IF(ISNUMBER(Input!AE184),(Input!AE184),0),"")</f>
        <v/>
      </c>
      <c r="AM184" t="str">
        <f>IF(Input!AG184&lt;&gt;"",Input!AG184,"")</f>
        <v/>
      </c>
      <c r="AN184" t="str">
        <f t="shared" si="29"/>
        <v/>
      </c>
      <c r="AO184" t="str">
        <f>IF(Input!AG184&lt;&gt;"",IF(ISNUMBER(Input!AH184),(Input!AH184),0),"")</f>
        <v/>
      </c>
    </row>
    <row r="185" spans="1:41" ht="16.5" thickTop="1" thickBot="1" x14ac:dyDescent="0.4">
      <c r="A185" s="35">
        <f>IF(ISBLANK(Input!A185),1000,IF(Input!E185&gt;0,Input!E185+F185,1000))</f>
        <v>1000</v>
      </c>
      <c r="B185" s="32">
        <f t="shared" si="30"/>
        <v>1000</v>
      </c>
      <c r="C185" s="4">
        <v>184</v>
      </c>
      <c r="D185" s="97">
        <f>IF(ISBLANK(Input!A185),1000,IF(Input!G185&gt;0,Input!G185+F185,1000))</f>
        <v>1000</v>
      </c>
      <c r="E185" s="97">
        <f t="shared" si="31"/>
        <v>1000</v>
      </c>
      <c r="F185" s="4">
        <v>0.184</v>
      </c>
      <c r="I185" t="str">
        <f>IF(Input!A185&gt;0,Input!A185,"")</f>
        <v/>
      </c>
      <c r="J185" t="str">
        <f>IF(Input!B185&gt;0,Input!B185,"")</f>
        <v/>
      </c>
      <c r="K185" t="str">
        <f>IF(Input!C185&gt;0,Input!C185,"")</f>
        <v/>
      </c>
      <c r="L185" t="str">
        <f>IF(Input!D185&gt;0,Input!D185,"")</f>
        <v/>
      </c>
      <c r="M185" t="str">
        <f>IF(Input!G185&gt;0,Input!G185,"")</f>
        <v xml:space="preserve"> </v>
      </c>
      <c r="N185" t="str">
        <f>IF(Input!H185&gt;0,Input!H185,"")</f>
        <v xml:space="preserve"> </v>
      </c>
      <c r="O185" t="str">
        <f>IF(Input!I185&lt;&gt;"",Input!I185,"")</f>
        <v/>
      </c>
      <c r="P185" t="str">
        <f t="shared" si="32"/>
        <v/>
      </c>
      <c r="Q185" t="str">
        <f>IF(Input!I185&lt;&gt;"",IF(ISNUMBER(Input!J185),ROUNDDOWN(Input!J185,0),0),"")</f>
        <v/>
      </c>
      <c r="R185" t="str">
        <f>IF(Input!L185&lt;&gt;"",Input!L185,"")</f>
        <v/>
      </c>
      <c r="S185" t="str">
        <f t="shared" si="33"/>
        <v/>
      </c>
      <c r="T185" t="str">
        <f>IF(Input!L185&lt;&gt;"",IF(ISNUMBER(Input!M185),Input!M185,0),"")</f>
        <v/>
      </c>
      <c r="U185" t="str">
        <f>IF(Input!O185&lt;&gt;"",Input!O185,"")</f>
        <v/>
      </c>
      <c r="V185" t="str">
        <f t="shared" si="34"/>
        <v/>
      </c>
      <c r="W185" t="str">
        <f>IF(Input!O185&lt;&gt;"",IF(ISNUMBER(Input!P185),(Input!P185),0),"")</f>
        <v/>
      </c>
      <c r="X185" t="str">
        <f>IF(Input!R185&lt;&gt;"",Input!R185,"")</f>
        <v/>
      </c>
      <c r="Y185" t="str">
        <f t="shared" si="35"/>
        <v/>
      </c>
      <c r="Z185" t="str">
        <f>IF(Input!R185&lt;&gt;"",IF(ISNUMBER(Input!S185),ROUNDDOWN(Input!S185,0),0),"")</f>
        <v/>
      </c>
      <c r="AA185" t="str">
        <f>IF(Input!U185&lt;&gt;"",Input!U185,"")</f>
        <v/>
      </c>
      <c r="AB185" t="str">
        <f t="shared" si="36"/>
        <v/>
      </c>
      <c r="AC185" t="str">
        <f>IF(Input!U185&lt;&gt;"",IF(ISNUMBER(Input!V185),ROUNDDOWN(Input!V185,0),0),"")</f>
        <v/>
      </c>
      <c r="AD185" t="str">
        <f>IF(Input!X185&lt;&gt;"",Input!X185,"")</f>
        <v/>
      </c>
      <c r="AE185" t="str">
        <f t="shared" si="37"/>
        <v/>
      </c>
      <c r="AF185" t="str">
        <f>IF(Input!X185&lt;&gt;"",IF(ISNUMBER(Input!Y185),(Input!Y185),0),"")</f>
        <v/>
      </c>
      <c r="AG185" t="str">
        <f>IF(Input!AA185&lt;&gt;"",Input!AA185,"")</f>
        <v/>
      </c>
      <c r="AH185" t="str">
        <f t="shared" si="38"/>
        <v/>
      </c>
      <c r="AI185" t="str">
        <f>IF(Input!AA185&lt;&gt;"",IF(ISNUMBER(Input!AB185),ROUNDDOWN(Input!AB185,0),0),"")</f>
        <v/>
      </c>
      <c r="AJ185" t="str">
        <f>IF(Input!AD185&lt;&gt;"",Input!AD185,"")</f>
        <v/>
      </c>
      <c r="AK185" t="str">
        <f t="shared" si="39"/>
        <v/>
      </c>
      <c r="AL185" t="str">
        <f>IF(Input!AD185&lt;&gt;"",IF(ISNUMBER(Input!AE185),(Input!AE185),0),"")</f>
        <v/>
      </c>
      <c r="AM185" t="str">
        <f>IF(Input!AG185&lt;&gt;"",Input!AG185,"")</f>
        <v/>
      </c>
      <c r="AN185" t="str">
        <f t="shared" si="29"/>
        <v/>
      </c>
      <c r="AO185" t="str">
        <f>IF(Input!AG185&lt;&gt;"",IF(ISNUMBER(Input!AH185),(Input!AH185),0),"")</f>
        <v/>
      </c>
    </row>
    <row r="186" spans="1:41" ht="16.5" thickTop="1" thickBot="1" x14ac:dyDescent="0.4">
      <c r="A186" s="35">
        <f>IF(ISBLANK(Input!A186),1000,IF(Input!E186&gt;0,Input!E186+F186,1000))</f>
        <v>1000</v>
      </c>
      <c r="B186" s="32">
        <f t="shared" si="30"/>
        <v>1000</v>
      </c>
      <c r="C186" s="4">
        <v>185</v>
      </c>
      <c r="D186" s="97">
        <f>IF(ISBLANK(Input!A186),1000,IF(Input!G186&gt;0,Input!G186+F186,1000))</f>
        <v>1000</v>
      </c>
      <c r="E186" s="97">
        <f t="shared" si="31"/>
        <v>1000</v>
      </c>
      <c r="F186" s="4">
        <v>0.185</v>
      </c>
      <c r="I186" t="str">
        <f>IF(Input!A186&gt;0,Input!A186,"")</f>
        <v/>
      </c>
      <c r="J186" t="str">
        <f>IF(Input!B186&gt;0,Input!B186,"")</f>
        <v/>
      </c>
      <c r="K186" t="str">
        <f>IF(Input!C186&gt;0,Input!C186,"")</f>
        <v/>
      </c>
      <c r="L186" t="str">
        <f>IF(Input!D186&gt;0,Input!D186,"")</f>
        <v/>
      </c>
      <c r="M186" t="str">
        <f>IF(Input!G186&gt;0,Input!G186,"")</f>
        <v xml:space="preserve"> </v>
      </c>
      <c r="N186" t="str">
        <f>IF(Input!H186&gt;0,Input!H186,"")</f>
        <v xml:space="preserve"> </v>
      </c>
      <c r="O186" t="str">
        <f>IF(Input!I186&lt;&gt;"",Input!I186,"")</f>
        <v/>
      </c>
      <c r="P186" t="str">
        <f t="shared" si="32"/>
        <v/>
      </c>
      <c r="Q186" t="str">
        <f>IF(Input!I186&lt;&gt;"",IF(ISNUMBER(Input!J186),ROUNDDOWN(Input!J186,0),0),"")</f>
        <v/>
      </c>
      <c r="R186" t="str">
        <f>IF(Input!L186&lt;&gt;"",Input!L186,"")</f>
        <v/>
      </c>
      <c r="S186" t="str">
        <f t="shared" si="33"/>
        <v/>
      </c>
      <c r="T186" t="str">
        <f>IF(Input!L186&lt;&gt;"",IF(ISNUMBER(Input!M186),Input!M186,0),"")</f>
        <v/>
      </c>
      <c r="U186" t="str">
        <f>IF(Input!O186&lt;&gt;"",Input!O186,"")</f>
        <v/>
      </c>
      <c r="V186" t="str">
        <f t="shared" si="34"/>
        <v/>
      </c>
      <c r="W186" t="str">
        <f>IF(Input!O186&lt;&gt;"",IF(ISNUMBER(Input!P186),(Input!P186),0),"")</f>
        <v/>
      </c>
      <c r="X186" t="str">
        <f>IF(Input!R186&lt;&gt;"",Input!R186,"")</f>
        <v/>
      </c>
      <c r="Y186" t="str">
        <f t="shared" si="35"/>
        <v/>
      </c>
      <c r="Z186" t="str">
        <f>IF(Input!R186&lt;&gt;"",IF(ISNUMBER(Input!S186),ROUNDDOWN(Input!S186,0),0),"")</f>
        <v/>
      </c>
      <c r="AA186" t="str">
        <f>IF(Input!U186&lt;&gt;"",Input!U186,"")</f>
        <v/>
      </c>
      <c r="AB186" t="str">
        <f t="shared" si="36"/>
        <v/>
      </c>
      <c r="AC186" t="str">
        <f>IF(Input!U186&lt;&gt;"",IF(ISNUMBER(Input!V186),ROUNDDOWN(Input!V186,0),0),"")</f>
        <v/>
      </c>
      <c r="AD186" t="str">
        <f>IF(Input!X186&lt;&gt;"",Input!X186,"")</f>
        <v/>
      </c>
      <c r="AE186" t="str">
        <f t="shared" si="37"/>
        <v/>
      </c>
      <c r="AF186" t="str">
        <f>IF(Input!X186&lt;&gt;"",IF(ISNUMBER(Input!Y186),(Input!Y186),0),"")</f>
        <v/>
      </c>
      <c r="AG186" t="str">
        <f>IF(Input!AA186&lt;&gt;"",Input!AA186,"")</f>
        <v/>
      </c>
      <c r="AH186" t="str">
        <f t="shared" si="38"/>
        <v/>
      </c>
      <c r="AI186" t="str">
        <f>IF(Input!AA186&lt;&gt;"",IF(ISNUMBER(Input!AB186),ROUNDDOWN(Input!AB186,0),0),"")</f>
        <v/>
      </c>
      <c r="AJ186" t="str">
        <f>IF(Input!AD186&lt;&gt;"",Input!AD186,"")</f>
        <v/>
      </c>
      <c r="AK186" t="str">
        <f t="shared" si="39"/>
        <v/>
      </c>
      <c r="AL186" t="str">
        <f>IF(Input!AD186&lt;&gt;"",IF(ISNUMBER(Input!AE186),(Input!AE186),0),"")</f>
        <v/>
      </c>
      <c r="AM186" t="str">
        <f>IF(Input!AG186&lt;&gt;"",Input!AG186,"")</f>
        <v/>
      </c>
      <c r="AN186" t="str">
        <f t="shared" si="29"/>
        <v/>
      </c>
      <c r="AO186" t="str">
        <f>IF(Input!AG186&lt;&gt;"",IF(ISNUMBER(Input!AH186),(Input!AH186),0),"")</f>
        <v/>
      </c>
    </row>
    <row r="187" spans="1:41" ht="16.5" thickTop="1" thickBot="1" x14ac:dyDescent="0.4">
      <c r="A187" s="35">
        <f>IF(ISBLANK(Input!A187),1000,IF(Input!E187&gt;0,Input!E187+F187,1000))</f>
        <v>1000</v>
      </c>
      <c r="B187" s="32">
        <f t="shared" si="30"/>
        <v>1000</v>
      </c>
      <c r="C187" s="4">
        <v>186</v>
      </c>
      <c r="D187" s="97">
        <f>IF(ISBLANK(Input!A187),1000,IF(Input!G187&gt;0,Input!G187+F187,1000))</f>
        <v>1000</v>
      </c>
      <c r="E187" s="97">
        <f t="shared" si="31"/>
        <v>1000</v>
      </c>
      <c r="F187" s="4">
        <v>0.186</v>
      </c>
      <c r="I187" t="str">
        <f>IF(Input!A187&gt;0,Input!A187,"")</f>
        <v/>
      </c>
      <c r="J187" t="str">
        <f>IF(Input!B187&gt;0,Input!B187,"")</f>
        <v/>
      </c>
      <c r="K187" t="str">
        <f>IF(Input!C187&gt;0,Input!C187,"")</f>
        <v/>
      </c>
      <c r="L187" t="str">
        <f>IF(Input!D187&gt;0,Input!D187,"")</f>
        <v/>
      </c>
      <c r="M187" t="str">
        <f>IF(Input!G187&gt;0,Input!G187,"")</f>
        <v xml:space="preserve"> </v>
      </c>
      <c r="N187" t="str">
        <f>IF(Input!H187&gt;0,Input!H187,"")</f>
        <v xml:space="preserve"> </v>
      </c>
      <c r="O187" t="str">
        <f>IF(Input!I187&lt;&gt;"",Input!I187,"")</f>
        <v/>
      </c>
      <c r="P187" t="str">
        <f t="shared" si="32"/>
        <v/>
      </c>
      <c r="Q187" t="str">
        <f>IF(Input!I187&lt;&gt;"",IF(ISNUMBER(Input!J187),ROUNDDOWN(Input!J187,0),0),"")</f>
        <v/>
      </c>
      <c r="R187" t="str">
        <f>IF(Input!L187&lt;&gt;"",Input!L187,"")</f>
        <v/>
      </c>
      <c r="S187" t="str">
        <f t="shared" si="33"/>
        <v/>
      </c>
      <c r="T187" t="str">
        <f>IF(Input!L187&lt;&gt;"",IF(ISNUMBER(Input!M187),Input!M187,0),"")</f>
        <v/>
      </c>
      <c r="U187" t="str">
        <f>IF(Input!O187&lt;&gt;"",Input!O187,"")</f>
        <v/>
      </c>
      <c r="V187" t="str">
        <f t="shared" si="34"/>
        <v/>
      </c>
      <c r="W187" t="str">
        <f>IF(Input!O187&lt;&gt;"",IF(ISNUMBER(Input!P187),(Input!P187),0),"")</f>
        <v/>
      </c>
      <c r="X187" t="str">
        <f>IF(Input!R187&lt;&gt;"",Input!R187,"")</f>
        <v/>
      </c>
      <c r="Y187" t="str">
        <f t="shared" si="35"/>
        <v/>
      </c>
      <c r="Z187" t="str">
        <f>IF(Input!R187&lt;&gt;"",IF(ISNUMBER(Input!S187),ROUNDDOWN(Input!S187,0),0),"")</f>
        <v/>
      </c>
      <c r="AA187" t="str">
        <f>IF(Input!U187&lt;&gt;"",Input!U187,"")</f>
        <v/>
      </c>
      <c r="AB187" t="str">
        <f t="shared" si="36"/>
        <v/>
      </c>
      <c r="AC187" t="str">
        <f>IF(Input!U187&lt;&gt;"",IF(ISNUMBER(Input!V187),ROUNDDOWN(Input!V187,0),0),"")</f>
        <v/>
      </c>
      <c r="AD187" t="str">
        <f>IF(Input!X187&lt;&gt;"",Input!X187,"")</f>
        <v/>
      </c>
      <c r="AE187" t="str">
        <f t="shared" si="37"/>
        <v/>
      </c>
      <c r="AF187" t="str">
        <f>IF(Input!X187&lt;&gt;"",IF(ISNUMBER(Input!Y187),(Input!Y187),0),"")</f>
        <v/>
      </c>
      <c r="AG187" t="str">
        <f>IF(Input!AA187&lt;&gt;"",Input!AA187,"")</f>
        <v/>
      </c>
      <c r="AH187" t="str">
        <f t="shared" si="38"/>
        <v/>
      </c>
      <c r="AI187" t="str">
        <f>IF(Input!AA187&lt;&gt;"",IF(ISNUMBER(Input!AB187),ROUNDDOWN(Input!AB187,0),0),"")</f>
        <v/>
      </c>
      <c r="AJ187" t="str">
        <f>IF(Input!AD187&lt;&gt;"",Input!AD187,"")</f>
        <v/>
      </c>
      <c r="AK187" t="str">
        <f t="shared" si="39"/>
        <v/>
      </c>
      <c r="AL187" t="str">
        <f>IF(Input!AD187&lt;&gt;"",IF(ISNUMBER(Input!AE187),(Input!AE187),0),"")</f>
        <v/>
      </c>
      <c r="AM187" t="str">
        <f>IF(Input!AG187&lt;&gt;"",Input!AG187,"")</f>
        <v/>
      </c>
      <c r="AN187" t="str">
        <f t="shared" si="29"/>
        <v/>
      </c>
      <c r="AO187" t="str">
        <f>IF(Input!AG187&lt;&gt;"",IF(ISNUMBER(Input!AH187),(Input!AH187),0),"")</f>
        <v/>
      </c>
    </row>
    <row r="188" spans="1:41" ht="16.5" thickTop="1" thickBot="1" x14ac:dyDescent="0.4">
      <c r="A188" s="35">
        <f>IF(ISBLANK(Input!A188),1000,IF(Input!E188&gt;0,Input!E188+F188,1000))</f>
        <v>1000</v>
      </c>
      <c r="B188" s="32">
        <f t="shared" si="30"/>
        <v>1000</v>
      </c>
      <c r="C188" s="4">
        <v>187</v>
      </c>
      <c r="D188" s="97">
        <f>IF(ISBLANK(Input!A188),1000,IF(Input!G188&gt;0,Input!G188+F188,1000))</f>
        <v>1000</v>
      </c>
      <c r="E188" s="97">
        <f t="shared" si="31"/>
        <v>1000</v>
      </c>
      <c r="F188" s="4">
        <v>0.187</v>
      </c>
      <c r="I188" t="str">
        <f>IF(Input!A188&gt;0,Input!A188,"")</f>
        <v/>
      </c>
      <c r="J188" t="str">
        <f>IF(Input!B188&gt;0,Input!B188,"")</f>
        <v/>
      </c>
      <c r="K188" t="str">
        <f>IF(Input!C188&gt;0,Input!C188,"")</f>
        <v/>
      </c>
      <c r="L188" t="str">
        <f>IF(Input!D188&gt;0,Input!D188,"")</f>
        <v/>
      </c>
      <c r="M188" t="str">
        <f>IF(Input!G188&gt;0,Input!G188,"")</f>
        <v xml:space="preserve"> </v>
      </c>
      <c r="N188" t="str">
        <f>IF(Input!H188&gt;0,Input!H188,"")</f>
        <v xml:space="preserve"> </v>
      </c>
      <c r="O188" t="str">
        <f>IF(Input!I188&lt;&gt;"",Input!I188,"")</f>
        <v/>
      </c>
      <c r="P188" t="str">
        <f t="shared" si="32"/>
        <v/>
      </c>
      <c r="Q188" t="str">
        <f>IF(Input!I188&lt;&gt;"",IF(ISNUMBER(Input!J188),ROUNDDOWN(Input!J188,0),0),"")</f>
        <v/>
      </c>
      <c r="R188" t="str">
        <f>IF(Input!L188&lt;&gt;"",Input!L188,"")</f>
        <v/>
      </c>
      <c r="S188" t="str">
        <f t="shared" si="33"/>
        <v/>
      </c>
      <c r="T188" t="str">
        <f>IF(Input!L188&lt;&gt;"",IF(ISNUMBER(Input!M188),Input!M188,0),"")</f>
        <v/>
      </c>
      <c r="U188" t="str">
        <f>IF(Input!O188&lt;&gt;"",Input!O188,"")</f>
        <v/>
      </c>
      <c r="V188" t="str">
        <f t="shared" si="34"/>
        <v/>
      </c>
      <c r="W188" t="str">
        <f>IF(Input!O188&lt;&gt;"",IF(ISNUMBER(Input!P188),(Input!P188),0),"")</f>
        <v/>
      </c>
      <c r="X188" t="str">
        <f>IF(Input!R188&lt;&gt;"",Input!R188,"")</f>
        <v/>
      </c>
      <c r="Y188" t="str">
        <f t="shared" si="35"/>
        <v/>
      </c>
      <c r="Z188" t="str">
        <f>IF(Input!R188&lt;&gt;"",IF(ISNUMBER(Input!S188),ROUNDDOWN(Input!S188,0),0),"")</f>
        <v/>
      </c>
      <c r="AA188" t="str">
        <f>IF(Input!U188&lt;&gt;"",Input!U188,"")</f>
        <v/>
      </c>
      <c r="AB188" t="str">
        <f t="shared" si="36"/>
        <v/>
      </c>
      <c r="AC188" t="str">
        <f>IF(Input!U188&lt;&gt;"",IF(ISNUMBER(Input!V188),ROUNDDOWN(Input!V188,0),0),"")</f>
        <v/>
      </c>
      <c r="AD188" t="str">
        <f>IF(Input!X188&lt;&gt;"",Input!X188,"")</f>
        <v/>
      </c>
      <c r="AE188" t="str">
        <f t="shared" si="37"/>
        <v/>
      </c>
      <c r="AF188" t="str">
        <f>IF(Input!X188&lt;&gt;"",IF(ISNUMBER(Input!Y188),(Input!Y188),0),"")</f>
        <v/>
      </c>
      <c r="AG188" t="str">
        <f>IF(Input!AA188&lt;&gt;"",Input!AA188,"")</f>
        <v/>
      </c>
      <c r="AH188" t="str">
        <f t="shared" si="38"/>
        <v/>
      </c>
      <c r="AI188" t="str">
        <f>IF(Input!AA188&lt;&gt;"",IF(ISNUMBER(Input!AB188),ROUNDDOWN(Input!AB188,0),0),"")</f>
        <v/>
      </c>
      <c r="AJ188" t="str">
        <f>IF(Input!AD188&lt;&gt;"",Input!AD188,"")</f>
        <v/>
      </c>
      <c r="AK188" t="str">
        <f t="shared" si="39"/>
        <v/>
      </c>
      <c r="AL188" t="str">
        <f>IF(Input!AD188&lt;&gt;"",IF(ISNUMBER(Input!AE188),(Input!AE188),0),"")</f>
        <v/>
      </c>
      <c r="AM188" t="str">
        <f>IF(Input!AG188&lt;&gt;"",Input!AG188,"")</f>
        <v/>
      </c>
      <c r="AN188" t="str">
        <f t="shared" si="29"/>
        <v/>
      </c>
      <c r="AO188" t="str">
        <f>IF(Input!AG188&lt;&gt;"",IF(ISNUMBER(Input!AH188),(Input!AH188),0),"")</f>
        <v/>
      </c>
    </row>
    <row r="189" spans="1:41" ht="16.5" thickTop="1" thickBot="1" x14ac:dyDescent="0.4">
      <c r="A189" s="35">
        <f>IF(ISBLANK(Input!A189),1000,IF(Input!E189&gt;0,Input!E189+F189,1000))</f>
        <v>1000</v>
      </c>
      <c r="B189" s="32">
        <f t="shared" si="30"/>
        <v>1000</v>
      </c>
      <c r="C189" s="4">
        <v>188</v>
      </c>
      <c r="D189" s="97">
        <f>IF(ISBLANK(Input!A189),1000,IF(Input!G189&gt;0,Input!G189+F189,1000))</f>
        <v>1000</v>
      </c>
      <c r="E189" s="97">
        <f t="shared" si="31"/>
        <v>1000</v>
      </c>
      <c r="F189" s="4">
        <v>0.188</v>
      </c>
      <c r="I189" t="str">
        <f>IF(Input!A189&gt;0,Input!A189,"")</f>
        <v/>
      </c>
      <c r="J189" t="str">
        <f>IF(Input!B189&gt;0,Input!B189,"")</f>
        <v/>
      </c>
      <c r="K189" t="str">
        <f>IF(Input!C189&gt;0,Input!C189,"")</f>
        <v/>
      </c>
      <c r="L189" t="str">
        <f>IF(Input!D189&gt;0,Input!D189,"")</f>
        <v/>
      </c>
      <c r="M189" t="str">
        <f>IF(Input!G189&gt;0,Input!G189,"")</f>
        <v xml:space="preserve"> </v>
      </c>
      <c r="N189" t="str">
        <f>IF(Input!H189&gt;0,Input!H189,"")</f>
        <v xml:space="preserve"> </v>
      </c>
      <c r="O189" t="str">
        <f>IF(Input!I189&lt;&gt;"",Input!I189,"")</f>
        <v/>
      </c>
      <c r="P189" t="str">
        <f t="shared" si="32"/>
        <v/>
      </c>
      <c r="Q189" t="str">
        <f>IF(Input!I189&lt;&gt;"",IF(ISNUMBER(Input!J189),ROUNDDOWN(Input!J189,0),0),"")</f>
        <v/>
      </c>
      <c r="R189" t="str">
        <f>IF(Input!L189&lt;&gt;"",Input!L189,"")</f>
        <v/>
      </c>
      <c r="S189" t="str">
        <f t="shared" si="33"/>
        <v/>
      </c>
      <c r="T189" t="str">
        <f>IF(Input!L189&lt;&gt;"",IF(ISNUMBER(Input!M189),Input!M189,0),"")</f>
        <v/>
      </c>
      <c r="U189" t="str">
        <f>IF(Input!O189&lt;&gt;"",Input!O189,"")</f>
        <v/>
      </c>
      <c r="V189" t="str">
        <f t="shared" si="34"/>
        <v/>
      </c>
      <c r="W189" t="str">
        <f>IF(Input!O189&lt;&gt;"",IF(ISNUMBER(Input!P189),(Input!P189),0),"")</f>
        <v/>
      </c>
      <c r="X189" t="str">
        <f>IF(Input!R189&lt;&gt;"",Input!R189,"")</f>
        <v/>
      </c>
      <c r="Y189" t="str">
        <f t="shared" si="35"/>
        <v/>
      </c>
      <c r="Z189" t="str">
        <f>IF(Input!R189&lt;&gt;"",IF(ISNUMBER(Input!S189),ROUNDDOWN(Input!S189,0),0),"")</f>
        <v/>
      </c>
      <c r="AA189" t="str">
        <f>IF(Input!U189&lt;&gt;"",Input!U189,"")</f>
        <v/>
      </c>
      <c r="AB189" t="str">
        <f t="shared" si="36"/>
        <v/>
      </c>
      <c r="AC189" t="str">
        <f>IF(Input!U189&lt;&gt;"",IF(ISNUMBER(Input!V189),ROUNDDOWN(Input!V189,0),0),"")</f>
        <v/>
      </c>
      <c r="AD189" t="str">
        <f>IF(Input!X189&lt;&gt;"",Input!X189,"")</f>
        <v/>
      </c>
      <c r="AE189" t="str">
        <f t="shared" si="37"/>
        <v/>
      </c>
      <c r="AF189" t="str">
        <f>IF(Input!X189&lt;&gt;"",IF(ISNUMBER(Input!Y189),(Input!Y189),0),"")</f>
        <v/>
      </c>
      <c r="AG189" t="str">
        <f>IF(Input!AA189&lt;&gt;"",Input!AA189,"")</f>
        <v/>
      </c>
      <c r="AH189" t="str">
        <f t="shared" si="38"/>
        <v/>
      </c>
      <c r="AI189" t="str">
        <f>IF(Input!AA189&lt;&gt;"",IF(ISNUMBER(Input!AB189),ROUNDDOWN(Input!AB189,0),0),"")</f>
        <v/>
      </c>
      <c r="AJ189" t="str">
        <f>IF(Input!AD189&lt;&gt;"",Input!AD189,"")</f>
        <v/>
      </c>
      <c r="AK189" t="str">
        <f t="shared" si="39"/>
        <v/>
      </c>
      <c r="AL189" t="str">
        <f>IF(Input!AD189&lt;&gt;"",IF(ISNUMBER(Input!AE189),(Input!AE189),0),"")</f>
        <v/>
      </c>
      <c r="AM189" t="str">
        <f>IF(Input!AG189&lt;&gt;"",Input!AG189,"")</f>
        <v/>
      </c>
      <c r="AN189" t="str">
        <f t="shared" si="29"/>
        <v/>
      </c>
      <c r="AO189" t="str">
        <f>IF(Input!AG189&lt;&gt;"",IF(ISNUMBER(Input!AH189),(Input!AH189),0),"")</f>
        <v/>
      </c>
    </row>
    <row r="190" spans="1:41" ht="16.5" thickTop="1" thickBot="1" x14ac:dyDescent="0.4">
      <c r="A190" s="35">
        <f>IF(ISBLANK(Input!A190),1000,IF(Input!E190&gt;0,Input!E190+F190,1000))</f>
        <v>1000</v>
      </c>
      <c r="B190" s="32">
        <f t="shared" si="30"/>
        <v>1000</v>
      </c>
      <c r="C190" s="4">
        <v>189</v>
      </c>
      <c r="D190" s="97">
        <f>IF(ISBLANK(Input!A190),1000,IF(Input!G190&gt;0,Input!G190+F190,1000))</f>
        <v>1000</v>
      </c>
      <c r="E190" s="97">
        <f t="shared" si="31"/>
        <v>1000</v>
      </c>
      <c r="F190" s="4">
        <v>0.189</v>
      </c>
      <c r="I190" t="str">
        <f>IF(Input!A190&gt;0,Input!A190,"")</f>
        <v/>
      </c>
      <c r="J190" t="str">
        <f>IF(Input!B190&gt;0,Input!B190,"")</f>
        <v/>
      </c>
      <c r="K190" t="str">
        <f>IF(Input!C190&gt;0,Input!C190,"")</f>
        <v/>
      </c>
      <c r="L190" t="str">
        <f>IF(Input!D190&gt;0,Input!D190,"")</f>
        <v/>
      </c>
      <c r="M190" t="str">
        <f>IF(Input!G190&gt;0,Input!G190,"")</f>
        <v xml:space="preserve"> </v>
      </c>
      <c r="N190" t="str">
        <f>IF(Input!H190&gt;0,Input!H190,"")</f>
        <v xml:space="preserve"> </v>
      </c>
      <c r="O190" t="str">
        <f>IF(Input!I190&lt;&gt;"",Input!I190,"")</f>
        <v/>
      </c>
      <c r="P190" t="str">
        <f t="shared" si="32"/>
        <v/>
      </c>
      <c r="Q190" t="str">
        <f>IF(Input!I190&lt;&gt;"",IF(ISNUMBER(Input!J190),ROUNDDOWN(Input!J190,0),0),"")</f>
        <v/>
      </c>
      <c r="R190" t="str">
        <f>IF(Input!L190&lt;&gt;"",Input!L190,"")</f>
        <v/>
      </c>
      <c r="S190" t="str">
        <f t="shared" si="33"/>
        <v/>
      </c>
      <c r="T190" t="str">
        <f>IF(Input!L190&lt;&gt;"",IF(ISNUMBER(Input!M190),Input!M190,0),"")</f>
        <v/>
      </c>
      <c r="U190" t="str">
        <f>IF(Input!O190&lt;&gt;"",Input!O190,"")</f>
        <v/>
      </c>
      <c r="V190" t="str">
        <f t="shared" si="34"/>
        <v/>
      </c>
      <c r="W190" t="str">
        <f>IF(Input!O190&lt;&gt;"",IF(ISNUMBER(Input!P190),(Input!P190),0),"")</f>
        <v/>
      </c>
      <c r="X190" t="str">
        <f>IF(Input!R190&lt;&gt;"",Input!R190,"")</f>
        <v/>
      </c>
      <c r="Y190" t="str">
        <f t="shared" si="35"/>
        <v/>
      </c>
      <c r="Z190" t="str">
        <f>IF(Input!R190&lt;&gt;"",IF(ISNUMBER(Input!S190),ROUNDDOWN(Input!S190,0),0),"")</f>
        <v/>
      </c>
      <c r="AA190" t="str">
        <f>IF(Input!U190&lt;&gt;"",Input!U190,"")</f>
        <v/>
      </c>
      <c r="AB190" t="str">
        <f t="shared" si="36"/>
        <v/>
      </c>
      <c r="AC190" t="str">
        <f>IF(Input!U190&lt;&gt;"",IF(ISNUMBER(Input!V190),ROUNDDOWN(Input!V190,0),0),"")</f>
        <v/>
      </c>
      <c r="AD190" t="str">
        <f>IF(Input!X190&lt;&gt;"",Input!X190,"")</f>
        <v/>
      </c>
      <c r="AE190" t="str">
        <f t="shared" si="37"/>
        <v/>
      </c>
      <c r="AF190" t="str">
        <f>IF(Input!X190&lt;&gt;"",IF(ISNUMBER(Input!Y190),(Input!Y190),0),"")</f>
        <v/>
      </c>
      <c r="AG190" t="str">
        <f>IF(Input!AA190&lt;&gt;"",Input!AA190,"")</f>
        <v/>
      </c>
      <c r="AH190" t="str">
        <f t="shared" si="38"/>
        <v/>
      </c>
      <c r="AI190" t="str">
        <f>IF(Input!AA190&lt;&gt;"",IF(ISNUMBER(Input!AB190),ROUNDDOWN(Input!AB190,0),0),"")</f>
        <v/>
      </c>
      <c r="AJ190" t="str">
        <f>IF(Input!AD190&lt;&gt;"",Input!AD190,"")</f>
        <v/>
      </c>
      <c r="AK190" t="str">
        <f t="shared" si="39"/>
        <v/>
      </c>
      <c r="AL190" t="str">
        <f>IF(Input!AD190&lt;&gt;"",IF(ISNUMBER(Input!AE190),(Input!AE190),0),"")</f>
        <v/>
      </c>
      <c r="AM190" t="str">
        <f>IF(Input!AG190&lt;&gt;"",Input!AG190,"")</f>
        <v/>
      </c>
      <c r="AN190" t="str">
        <f t="shared" si="29"/>
        <v/>
      </c>
      <c r="AO190" t="str">
        <f>IF(Input!AG190&lt;&gt;"",IF(ISNUMBER(Input!AH190),(Input!AH190),0),"")</f>
        <v/>
      </c>
    </row>
    <row r="191" spans="1:41" ht="16.5" thickTop="1" thickBot="1" x14ac:dyDescent="0.4">
      <c r="A191" s="35">
        <f>IF(ISBLANK(Input!A191),1000,IF(Input!E191&gt;0,Input!E191+F191,1000))</f>
        <v>1000</v>
      </c>
      <c r="B191" s="32">
        <f t="shared" si="30"/>
        <v>1000</v>
      </c>
      <c r="C191" s="4">
        <v>190</v>
      </c>
      <c r="D191" s="97">
        <f>IF(ISBLANK(Input!A191),1000,IF(Input!G191&gt;0,Input!G191+F191,1000))</f>
        <v>1000</v>
      </c>
      <c r="E191" s="97">
        <f t="shared" si="31"/>
        <v>1000</v>
      </c>
      <c r="F191" s="4">
        <v>0.19</v>
      </c>
      <c r="I191" t="str">
        <f>IF(Input!A191&gt;0,Input!A191,"")</f>
        <v/>
      </c>
      <c r="J191" t="str">
        <f>IF(Input!B191&gt;0,Input!B191,"")</f>
        <v/>
      </c>
      <c r="K191" t="str">
        <f>IF(Input!C191&gt;0,Input!C191,"")</f>
        <v/>
      </c>
      <c r="L191" t="str">
        <f>IF(Input!D191&gt;0,Input!D191,"")</f>
        <v/>
      </c>
      <c r="M191" t="str">
        <f>IF(Input!G191&gt;0,Input!G191,"")</f>
        <v xml:space="preserve"> </v>
      </c>
      <c r="N191" t="str">
        <f>IF(Input!H191&gt;0,Input!H191,"")</f>
        <v xml:space="preserve"> </v>
      </c>
      <c r="O191" t="str">
        <f>IF(Input!I191&lt;&gt;"",Input!I191,"")</f>
        <v/>
      </c>
      <c r="P191" t="str">
        <f t="shared" si="32"/>
        <v/>
      </c>
      <c r="Q191" t="str">
        <f>IF(Input!I191&lt;&gt;"",IF(ISNUMBER(Input!J191),ROUNDDOWN(Input!J191,0),0),"")</f>
        <v/>
      </c>
      <c r="R191" t="str">
        <f>IF(Input!L191&lt;&gt;"",Input!L191,"")</f>
        <v/>
      </c>
      <c r="S191" t="str">
        <f t="shared" si="33"/>
        <v/>
      </c>
      <c r="T191" t="str">
        <f>IF(Input!L191&lt;&gt;"",IF(ISNUMBER(Input!M191),Input!M191,0),"")</f>
        <v/>
      </c>
      <c r="U191" t="str">
        <f>IF(Input!O191&lt;&gt;"",Input!O191,"")</f>
        <v/>
      </c>
      <c r="V191" t="str">
        <f t="shared" si="34"/>
        <v/>
      </c>
      <c r="W191" t="str">
        <f>IF(Input!O191&lt;&gt;"",IF(ISNUMBER(Input!P191),(Input!P191),0),"")</f>
        <v/>
      </c>
      <c r="X191" t="str">
        <f>IF(Input!R191&lt;&gt;"",Input!R191,"")</f>
        <v/>
      </c>
      <c r="Y191" t="str">
        <f t="shared" si="35"/>
        <v/>
      </c>
      <c r="Z191" t="str">
        <f>IF(Input!R191&lt;&gt;"",IF(ISNUMBER(Input!S191),ROUNDDOWN(Input!S191,0),0),"")</f>
        <v/>
      </c>
      <c r="AA191" t="str">
        <f>IF(Input!U191&lt;&gt;"",Input!U191,"")</f>
        <v/>
      </c>
      <c r="AB191" t="str">
        <f t="shared" si="36"/>
        <v/>
      </c>
      <c r="AC191" t="str">
        <f>IF(Input!U191&lt;&gt;"",IF(ISNUMBER(Input!V191),ROUNDDOWN(Input!V191,0),0),"")</f>
        <v/>
      </c>
      <c r="AD191" t="str">
        <f>IF(Input!X191&lt;&gt;"",Input!X191,"")</f>
        <v/>
      </c>
      <c r="AE191" t="str">
        <f t="shared" si="37"/>
        <v/>
      </c>
      <c r="AF191" t="str">
        <f>IF(Input!X191&lt;&gt;"",IF(ISNUMBER(Input!Y191),(Input!Y191),0),"")</f>
        <v/>
      </c>
      <c r="AG191" t="str">
        <f>IF(Input!AA191&lt;&gt;"",Input!AA191,"")</f>
        <v/>
      </c>
      <c r="AH191" t="str">
        <f t="shared" si="38"/>
        <v/>
      </c>
      <c r="AI191" t="str">
        <f>IF(Input!AA191&lt;&gt;"",IF(ISNUMBER(Input!AB191),ROUNDDOWN(Input!AB191,0),0),"")</f>
        <v/>
      </c>
      <c r="AJ191" t="str">
        <f>IF(Input!AD191&lt;&gt;"",Input!AD191,"")</f>
        <v/>
      </c>
      <c r="AK191" t="str">
        <f t="shared" si="39"/>
        <v/>
      </c>
      <c r="AL191" t="str">
        <f>IF(Input!AD191&lt;&gt;"",IF(ISNUMBER(Input!AE191),(Input!AE191),0),"")</f>
        <v/>
      </c>
      <c r="AM191" t="str">
        <f>IF(Input!AG191&lt;&gt;"",Input!AG191,"")</f>
        <v/>
      </c>
      <c r="AN191" t="str">
        <f t="shared" si="29"/>
        <v/>
      </c>
      <c r="AO191" t="str">
        <f>IF(Input!AG191&lt;&gt;"",IF(ISNUMBER(Input!AH191),(Input!AH191),0),"")</f>
        <v/>
      </c>
    </row>
    <row r="192" spans="1:41" ht="16.5" thickTop="1" thickBot="1" x14ac:dyDescent="0.4">
      <c r="A192" s="35">
        <f>IF(ISBLANK(Input!A192),1000,IF(Input!E192&gt;0,Input!E192+F192,1000))</f>
        <v>1000</v>
      </c>
      <c r="B192" s="32">
        <f t="shared" si="30"/>
        <v>1000</v>
      </c>
      <c r="C192" s="4">
        <v>191</v>
      </c>
      <c r="D192" s="97">
        <f>IF(ISBLANK(Input!A192),1000,IF(Input!G192&gt;0,Input!G192+F192,1000))</f>
        <v>1000</v>
      </c>
      <c r="E192" s="97">
        <f t="shared" si="31"/>
        <v>1000</v>
      </c>
      <c r="F192" s="4">
        <v>0.191</v>
      </c>
      <c r="I192" t="str">
        <f>IF(Input!A192&gt;0,Input!A192,"")</f>
        <v/>
      </c>
      <c r="J192" t="str">
        <f>IF(Input!B192&gt;0,Input!B192,"")</f>
        <v/>
      </c>
      <c r="K192" t="str">
        <f>IF(Input!C192&gt;0,Input!C192,"")</f>
        <v/>
      </c>
      <c r="L192" t="str">
        <f>IF(Input!D192&gt;0,Input!D192,"")</f>
        <v/>
      </c>
      <c r="M192" t="str">
        <f>IF(Input!G192&gt;0,Input!G192,"")</f>
        <v xml:space="preserve"> </v>
      </c>
      <c r="N192" t="str">
        <f>IF(Input!H192&gt;0,Input!H192,"")</f>
        <v xml:space="preserve"> </v>
      </c>
      <c r="O192" t="str">
        <f>IF(Input!I192&lt;&gt;"",Input!I192,"")</f>
        <v/>
      </c>
      <c r="P192" t="str">
        <f t="shared" si="32"/>
        <v/>
      </c>
      <c r="Q192" t="str">
        <f>IF(Input!I192&lt;&gt;"",IF(ISNUMBER(Input!J192),ROUNDDOWN(Input!J192,0),0),"")</f>
        <v/>
      </c>
      <c r="R192" t="str">
        <f>IF(Input!L192&lt;&gt;"",Input!L192,"")</f>
        <v/>
      </c>
      <c r="S192" t="str">
        <f t="shared" si="33"/>
        <v/>
      </c>
      <c r="T192" t="str">
        <f>IF(Input!L192&lt;&gt;"",IF(ISNUMBER(Input!M192),Input!M192,0),"")</f>
        <v/>
      </c>
      <c r="U192" t="str">
        <f>IF(Input!O192&lt;&gt;"",Input!O192,"")</f>
        <v/>
      </c>
      <c r="V192" t="str">
        <f t="shared" si="34"/>
        <v/>
      </c>
      <c r="W192" t="str">
        <f>IF(Input!O192&lt;&gt;"",IF(ISNUMBER(Input!P192),(Input!P192),0),"")</f>
        <v/>
      </c>
      <c r="X192" t="str">
        <f>IF(Input!R192&lt;&gt;"",Input!R192,"")</f>
        <v/>
      </c>
      <c r="Y192" t="str">
        <f t="shared" si="35"/>
        <v/>
      </c>
      <c r="Z192" t="str">
        <f>IF(Input!R192&lt;&gt;"",IF(ISNUMBER(Input!S192),ROUNDDOWN(Input!S192,0),0),"")</f>
        <v/>
      </c>
      <c r="AA192" t="str">
        <f>IF(Input!U192&lt;&gt;"",Input!U192,"")</f>
        <v/>
      </c>
      <c r="AB192" t="str">
        <f t="shared" si="36"/>
        <v/>
      </c>
      <c r="AC192" t="str">
        <f>IF(Input!U192&lt;&gt;"",IF(ISNUMBER(Input!V192),ROUNDDOWN(Input!V192,0),0),"")</f>
        <v/>
      </c>
      <c r="AD192" t="str">
        <f>IF(Input!X192&lt;&gt;"",Input!X192,"")</f>
        <v/>
      </c>
      <c r="AE192" t="str">
        <f t="shared" si="37"/>
        <v/>
      </c>
      <c r="AF192" t="str">
        <f>IF(Input!X192&lt;&gt;"",IF(ISNUMBER(Input!Y192),(Input!Y192),0),"")</f>
        <v/>
      </c>
      <c r="AG192" t="str">
        <f>IF(Input!AA192&lt;&gt;"",Input!AA192,"")</f>
        <v/>
      </c>
      <c r="AH192" t="str">
        <f t="shared" si="38"/>
        <v/>
      </c>
      <c r="AI192" t="str">
        <f>IF(Input!AA192&lt;&gt;"",IF(ISNUMBER(Input!AB192),ROUNDDOWN(Input!AB192,0),0),"")</f>
        <v/>
      </c>
      <c r="AJ192" t="str">
        <f>IF(Input!AD192&lt;&gt;"",Input!AD192,"")</f>
        <v/>
      </c>
      <c r="AK192" t="str">
        <f t="shared" si="39"/>
        <v/>
      </c>
      <c r="AL192" t="str">
        <f>IF(Input!AD192&lt;&gt;"",IF(ISNUMBER(Input!AE192),(Input!AE192),0),"")</f>
        <v/>
      </c>
      <c r="AM192" t="str">
        <f>IF(Input!AG192&lt;&gt;"",Input!AG192,"")</f>
        <v/>
      </c>
      <c r="AN192" t="str">
        <f t="shared" si="29"/>
        <v/>
      </c>
      <c r="AO192" t="str">
        <f>IF(Input!AG192&lt;&gt;"",IF(ISNUMBER(Input!AH192),(Input!AH192),0),"")</f>
        <v/>
      </c>
    </row>
    <row r="193" spans="1:41" ht="16.5" thickTop="1" thickBot="1" x14ac:dyDescent="0.4">
      <c r="A193" s="35">
        <f>IF(ISBLANK(Input!A193),1000,IF(Input!E193&gt;0,Input!E193+F193,1000))</f>
        <v>1000</v>
      </c>
      <c r="B193" s="32">
        <f t="shared" si="30"/>
        <v>1000</v>
      </c>
      <c r="C193" s="4">
        <v>192</v>
      </c>
      <c r="D193" s="97">
        <f>IF(ISBLANK(Input!A193),1000,IF(Input!G193&gt;0,Input!G193+F193,1000))</f>
        <v>1000</v>
      </c>
      <c r="E193" s="97">
        <f t="shared" si="31"/>
        <v>1000</v>
      </c>
      <c r="F193" s="4">
        <v>0.192</v>
      </c>
      <c r="I193" t="str">
        <f>IF(Input!A193&gt;0,Input!A193,"")</f>
        <v/>
      </c>
      <c r="J193" t="str">
        <f>IF(Input!B193&gt;0,Input!B193,"")</f>
        <v/>
      </c>
      <c r="K193" t="str">
        <f>IF(Input!C193&gt;0,Input!C193,"")</f>
        <v/>
      </c>
      <c r="L193" t="str">
        <f>IF(Input!D193&gt;0,Input!D193,"")</f>
        <v/>
      </c>
      <c r="M193" t="str">
        <f>IF(Input!G193&gt;0,Input!G193,"")</f>
        <v xml:space="preserve"> </v>
      </c>
      <c r="N193" t="str">
        <f>IF(Input!H193&gt;0,Input!H193,"")</f>
        <v xml:space="preserve"> </v>
      </c>
      <c r="O193" t="str">
        <f>IF(Input!I193&lt;&gt;"",Input!I193,"")</f>
        <v/>
      </c>
      <c r="P193" t="str">
        <f t="shared" si="32"/>
        <v/>
      </c>
      <c r="Q193" t="str">
        <f>IF(Input!I193&lt;&gt;"",IF(ISNUMBER(Input!J193),ROUNDDOWN(Input!J193,0),0),"")</f>
        <v/>
      </c>
      <c r="R193" t="str">
        <f>IF(Input!L193&lt;&gt;"",Input!L193,"")</f>
        <v/>
      </c>
      <c r="S193" t="str">
        <f t="shared" si="33"/>
        <v/>
      </c>
      <c r="T193" t="str">
        <f>IF(Input!L193&lt;&gt;"",IF(ISNUMBER(Input!M193),Input!M193,0),"")</f>
        <v/>
      </c>
      <c r="U193" t="str">
        <f>IF(Input!O193&lt;&gt;"",Input!O193,"")</f>
        <v/>
      </c>
      <c r="V193" t="str">
        <f t="shared" si="34"/>
        <v/>
      </c>
      <c r="W193" t="str">
        <f>IF(Input!O193&lt;&gt;"",IF(ISNUMBER(Input!P193),(Input!P193),0),"")</f>
        <v/>
      </c>
      <c r="X193" t="str">
        <f>IF(Input!R193&lt;&gt;"",Input!R193,"")</f>
        <v/>
      </c>
      <c r="Y193" t="str">
        <f t="shared" si="35"/>
        <v/>
      </c>
      <c r="Z193" t="str">
        <f>IF(Input!R193&lt;&gt;"",IF(ISNUMBER(Input!S193),ROUNDDOWN(Input!S193,0),0),"")</f>
        <v/>
      </c>
      <c r="AA193" t="str">
        <f>IF(Input!U193&lt;&gt;"",Input!U193,"")</f>
        <v/>
      </c>
      <c r="AB193" t="str">
        <f t="shared" si="36"/>
        <v/>
      </c>
      <c r="AC193" t="str">
        <f>IF(Input!U193&lt;&gt;"",IF(ISNUMBER(Input!V193),ROUNDDOWN(Input!V193,0),0),"")</f>
        <v/>
      </c>
      <c r="AD193" t="str">
        <f>IF(Input!X193&lt;&gt;"",Input!X193,"")</f>
        <v/>
      </c>
      <c r="AE193" t="str">
        <f t="shared" si="37"/>
        <v/>
      </c>
      <c r="AF193" t="str">
        <f>IF(Input!X193&lt;&gt;"",IF(ISNUMBER(Input!Y193),(Input!Y193),0),"")</f>
        <v/>
      </c>
      <c r="AG193" t="str">
        <f>IF(Input!AA193&lt;&gt;"",Input!AA193,"")</f>
        <v/>
      </c>
      <c r="AH193" t="str">
        <f t="shared" si="38"/>
        <v/>
      </c>
      <c r="AI193" t="str">
        <f>IF(Input!AA193&lt;&gt;"",IF(ISNUMBER(Input!AB193),ROUNDDOWN(Input!AB193,0),0),"")</f>
        <v/>
      </c>
      <c r="AJ193" t="str">
        <f>IF(Input!AD193&lt;&gt;"",Input!AD193,"")</f>
        <v/>
      </c>
      <c r="AK193" t="str">
        <f t="shared" si="39"/>
        <v/>
      </c>
      <c r="AL193" t="str">
        <f>IF(Input!AD193&lt;&gt;"",IF(ISNUMBER(Input!AE193),(Input!AE193),0),"")</f>
        <v/>
      </c>
      <c r="AM193" t="str">
        <f>IF(Input!AG193&lt;&gt;"",Input!AG193,"")</f>
        <v/>
      </c>
      <c r="AN193" t="str">
        <f t="shared" si="29"/>
        <v/>
      </c>
      <c r="AO193" t="str">
        <f>IF(Input!AG193&lt;&gt;"",IF(ISNUMBER(Input!AH193),(Input!AH193),0),"")</f>
        <v/>
      </c>
    </row>
    <row r="194" spans="1:41" ht="16.5" thickTop="1" thickBot="1" x14ac:dyDescent="0.4">
      <c r="A194" s="35">
        <f>IF(ISBLANK(Input!A194),1000,IF(Input!E194&gt;0,Input!E194+F194,1000))</f>
        <v>1000</v>
      </c>
      <c r="B194" s="32">
        <f t="shared" si="30"/>
        <v>1000</v>
      </c>
      <c r="C194" s="4">
        <v>193</v>
      </c>
      <c r="D194" s="97">
        <f>IF(ISBLANK(Input!A194),1000,IF(Input!G194&gt;0,Input!G194+F194,1000))</f>
        <v>1000</v>
      </c>
      <c r="E194" s="97">
        <f t="shared" si="31"/>
        <v>1000</v>
      </c>
      <c r="F194" s="4">
        <v>0.193</v>
      </c>
      <c r="I194" t="str">
        <f>IF(Input!A194&gt;0,Input!A194,"")</f>
        <v/>
      </c>
      <c r="J194" t="str">
        <f>IF(Input!B194&gt;0,Input!B194,"")</f>
        <v/>
      </c>
      <c r="K194" t="str">
        <f>IF(Input!C194&gt;0,Input!C194,"")</f>
        <v/>
      </c>
      <c r="L194" t="str">
        <f>IF(Input!D194&gt;0,Input!D194,"")</f>
        <v/>
      </c>
      <c r="M194" t="str">
        <f>IF(Input!G194&gt;0,Input!G194,"")</f>
        <v xml:space="preserve"> </v>
      </c>
      <c r="N194" t="str">
        <f>IF(Input!H194&gt;0,Input!H194,"")</f>
        <v xml:space="preserve"> </v>
      </c>
      <c r="O194" t="str">
        <f>IF(Input!I194&lt;&gt;"",Input!I194,"")</f>
        <v/>
      </c>
      <c r="P194" t="str">
        <f t="shared" si="32"/>
        <v/>
      </c>
      <c r="Q194" t="str">
        <f>IF(Input!I194&lt;&gt;"",IF(ISNUMBER(Input!J194),ROUNDDOWN(Input!J194,0),0),"")</f>
        <v/>
      </c>
      <c r="R194" t="str">
        <f>IF(Input!L194&lt;&gt;"",Input!L194,"")</f>
        <v/>
      </c>
      <c r="S194" t="str">
        <f t="shared" si="33"/>
        <v/>
      </c>
      <c r="T194" t="str">
        <f>IF(Input!L194&lt;&gt;"",IF(ISNUMBER(Input!M194),Input!M194,0),"")</f>
        <v/>
      </c>
      <c r="U194" t="str">
        <f>IF(Input!O194&lt;&gt;"",Input!O194,"")</f>
        <v/>
      </c>
      <c r="V194" t="str">
        <f t="shared" si="34"/>
        <v/>
      </c>
      <c r="W194" t="str">
        <f>IF(Input!O194&lt;&gt;"",IF(ISNUMBER(Input!P194),(Input!P194),0),"")</f>
        <v/>
      </c>
      <c r="X194" t="str">
        <f>IF(Input!R194&lt;&gt;"",Input!R194,"")</f>
        <v/>
      </c>
      <c r="Y194" t="str">
        <f t="shared" si="35"/>
        <v/>
      </c>
      <c r="Z194" t="str">
        <f>IF(Input!R194&lt;&gt;"",IF(ISNUMBER(Input!S194),ROUNDDOWN(Input!S194,0),0),"")</f>
        <v/>
      </c>
      <c r="AA194" t="str">
        <f>IF(Input!U194&lt;&gt;"",Input!U194,"")</f>
        <v/>
      </c>
      <c r="AB194" t="str">
        <f t="shared" si="36"/>
        <v/>
      </c>
      <c r="AC194" t="str">
        <f>IF(Input!U194&lt;&gt;"",IF(ISNUMBER(Input!V194),ROUNDDOWN(Input!V194,0),0),"")</f>
        <v/>
      </c>
      <c r="AD194" t="str">
        <f>IF(Input!X194&lt;&gt;"",Input!X194,"")</f>
        <v/>
      </c>
      <c r="AE194" t="str">
        <f t="shared" si="37"/>
        <v/>
      </c>
      <c r="AF194" t="str">
        <f>IF(Input!X194&lt;&gt;"",IF(ISNUMBER(Input!Y194),(Input!Y194),0),"")</f>
        <v/>
      </c>
      <c r="AG194" t="str">
        <f>IF(Input!AA194&lt;&gt;"",Input!AA194,"")</f>
        <v/>
      </c>
      <c r="AH194" t="str">
        <f t="shared" si="38"/>
        <v/>
      </c>
      <c r="AI194" t="str">
        <f>IF(Input!AA194&lt;&gt;"",IF(ISNUMBER(Input!AB194),ROUNDDOWN(Input!AB194,0),0),"")</f>
        <v/>
      </c>
      <c r="AJ194" t="str">
        <f>IF(Input!AD194&lt;&gt;"",Input!AD194,"")</f>
        <v/>
      </c>
      <c r="AK194" t="str">
        <f t="shared" si="39"/>
        <v/>
      </c>
      <c r="AL194" t="str">
        <f>IF(Input!AD194&lt;&gt;"",IF(ISNUMBER(Input!AE194),(Input!AE194),0),"")</f>
        <v/>
      </c>
      <c r="AM194" t="str">
        <f>IF(Input!AG194&lt;&gt;"",Input!AG194,"")</f>
        <v/>
      </c>
      <c r="AN194" t="str">
        <f t="shared" ref="AN194:AN204" si="40">IF(AO194&lt;&gt;"",  RANK(AO194,AO$2:AO$202,0)+((COUNTIF(AO$2:AO$202,AO194)-1)*0.5),"" )</f>
        <v/>
      </c>
      <c r="AO194" t="str">
        <f>IF(Input!AG194&lt;&gt;"",IF(ISNUMBER(Input!AH194),(Input!AH194),0),"")</f>
        <v/>
      </c>
    </row>
    <row r="195" spans="1:41" ht="16.5" thickTop="1" thickBot="1" x14ac:dyDescent="0.4">
      <c r="A195" s="35">
        <f>IF(ISBLANK(Input!A195),1000,IF(Input!E195&gt;0,Input!E195+F195,1000))</f>
        <v>1000</v>
      </c>
      <c r="B195" s="32">
        <f t="shared" ref="B195:B202" si="41">SMALL($A$2:$A$202,C195)</f>
        <v>1000</v>
      </c>
      <c r="C195" s="4">
        <v>194</v>
      </c>
      <c r="D195" s="97">
        <f>IF(ISBLANK(Input!A195),1000,IF(Input!G195&gt;0,Input!G195+F195,1000))</f>
        <v>1000</v>
      </c>
      <c r="E195" s="97">
        <f t="shared" ref="E195:E202" si="42">SMALL($D$2:$D$202,C195)</f>
        <v>1000</v>
      </c>
      <c r="F195" s="4">
        <v>0.19400000000000001</v>
      </c>
      <c r="I195" t="str">
        <f>IF(Input!A195&gt;0,Input!A195,"")</f>
        <v/>
      </c>
      <c r="J195" t="str">
        <f>IF(Input!B195&gt;0,Input!B195,"")</f>
        <v/>
      </c>
      <c r="K195" t="str">
        <f>IF(Input!C195&gt;0,Input!C195,"")</f>
        <v/>
      </c>
      <c r="L195" t="str">
        <f>IF(Input!D195&gt;0,Input!D195,"")</f>
        <v/>
      </c>
      <c r="M195" t="str">
        <f>IF(Input!G195&gt;0,Input!G195,"")</f>
        <v xml:space="preserve"> </v>
      </c>
      <c r="N195" t="str">
        <f>IF(Input!H195&gt;0,Input!H195,"")</f>
        <v xml:space="preserve"> </v>
      </c>
      <c r="O195" t="str">
        <f>IF(Input!I195&lt;&gt;"",Input!I195,"")</f>
        <v/>
      </c>
      <c r="P195" t="str">
        <f t="shared" ref="P195:P203" si="43">IF(Q195&lt;&gt;"",  RANK(Q195,Q$2:Q$202,0)+((COUNTIF(Q$2:Q$202,Q195)-1)*0.5),"" )</f>
        <v/>
      </c>
      <c r="Q195" t="str">
        <f>IF(Input!I195&lt;&gt;"",IF(ISNUMBER(Input!J195),ROUNDDOWN(Input!J195,0),0),"")</f>
        <v/>
      </c>
      <c r="R195" t="str">
        <f>IF(Input!L195&lt;&gt;"",Input!L195,"")</f>
        <v/>
      </c>
      <c r="S195" t="str">
        <f t="shared" ref="S195:S203" si="44">IF(T195&lt;&gt;"",  RANK(T195,T$2:T$202,0)+((COUNTIF(T$2:T$202,T195)-1)*0.5),"" )</f>
        <v/>
      </c>
      <c r="T195" t="str">
        <f>IF(Input!L195&lt;&gt;"",IF(ISNUMBER(Input!M195),Input!M195,0),"")</f>
        <v/>
      </c>
      <c r="U195" t="str">
        <f>IF(Input!O195&lt;&gt;"",Input!O195,"")</f>
        <v/>
      </c>
      <c r="V195" t="str">
        <f t="shared" ref="V195:V203" si="45">IF(W195&lt;&gt;"",  RANK(W195,W$2:W$202,0)+((COUNTIF(W$2:W$202,W195)-1)*0.5),"" )</f>
        <v/>
      </c>
      <c r="W195" t="str">
        <f>IF(Input!O195&lt;&gt;"",IF(ISNUMBER(Input!P195),(Input!P195),0),"")</f>
        <v/>
      </c>
      <c r="X195" t="str">
        <f>IF(Input!R195&lt;&gt;"",Input!R195,"")</f>
        <v/>
      </c>
      <c r="Y195" t="str">
        <f t="shared" ref="Y195:Y203" si="46">IF(Z195&lt;&gt;"",  RANK(Z195,Z$2:Z$202,0)+((COUNTIF(Z$2:Z$202,Z195)-1)*0.5),"" )</f>
        <v/>
      </c>
      <c r="Z195" t="str">
        <f>IF(Input!R195&lt;&gt;"",IF(ISNUMBER(Input!S195),ROUNDDOWN(Input!S195,0),0),"")</f>
        <v/>
      </c>
      <c r="AA195" t="str">
        <f>IF(Input!U195&lt;&gt;"",Input!U195,"")</f>
        <v/>
      </c>
      <c r="AB195" t="str">
        <f t="shared" ref="AB195:AB203" si="47">IF(AC195&lt;&gt;"",  RANK(AC195,AC$2:AC$202,0)+((COUNTIF(AC$2:AC$202,AC195)-1)*0.5),"" )</f>
        <v/>
      </c>
      <c r="AC195" t="str">
        <f>IF(Input!U195&lt;&gt;"",IF(ISNUMBER(Input!V195),ROUNDDOWN(Input!V195,0),0),"")</f>
        <v/>
      </c>
      <c r="AD195" t="str">
        <f>IF(Input!X195&lt;&gt;"",Input!X195,"")</f>
        <v/>
      </c>
      <c r="AE195" t="str">
        <f t="shared" ref="AE195:AE203" si="48">IF(AF195&lt;&gt;"",  RANK(AF195,AF$2:AF$202,0)+((COUNTIF(AF$2:AF$202,AF195)-1)*0.5),"" )</f>
        <v/>
      </c>
      <c r="AF195" t="str">
        <f>IF(Input!X195&lt;&gt;"",IF(ISNUMBER(Input!Y195),(Input!Y195),0),"")</f>
        <v/>
      </c>
      <c r="AG195" t="str">
        <f>IF(Input!AA195&lt;&gt;"",Input!AA195,"")</f>
        <v/>
      </c>
      <c r="AH195" t="str">
        <f t="shared" ref="AH195:AH203" si="49">IF(AI195&lt;&gt;"",  RANK(AI195,AI$2:AI$202,0)+((COUNTIF(AI$2:AI$202,AI195)-1)*0.5),"" )</f>
        <v/>
      </c>
      <c r="AI195" t="str">
        <f>IF(Input!AA195&lt;&gt;"",IF(ISNUMBER(Input!AB195),ROUNDDOWN(Input!AB195,0),0),"")</f>
        <v/>
      </c>
      <c r="AJ195" t="str">
        <f>IF(Input!AD195&lt;&gt;"",Input!AD195,"")</f>
        <v/>
      </c>
      <c r="AK195" t="str">
        <f t="shared" ref="AK195:AK203" si="50">IF(AL195&lt;&gt;"",  RANK(AL195,AL$2:AL$202,0)+((COUNTIF(AL$2:AL$202,AL195)-1)*0.5),"" )</f>
        <v/>
      </c>
      <c r="AL195" t="str">
        <f>IF(Input!AD195&lt;&gt;"",IF(ISNUMBER(Input!AE195),(Input!AE195),0),"")</f>
        <v/>
      </c>
      <c r="AM195" t="str">
        <f>IF(Input!AG195&lt;&gt;"",Input!AG195,"")</f>
        <v/>
      </c>
      <c r="AN195" t="str">
        <f t="shared" si="40"/>
        <v/>
      </c>
      <c r="AO195" t="str">
        <f>IF(Input!AG195&lt;&gt;"",IF(ISNUMBER(Input!AH195),(Input!AH195),0),"")</f>
        <v/>
      </c>
    </row>
    <row r="196" spans="1:41" ht="16.5" thickTop="1" thickBot="1" x14ac:dyDescent="0.4">
      <c r="A196" s="35">
        <f>IF(ISBLANK(Input!A196),1000,IF(Input!E196&gt;0,Input!E196+F196,1000))</f>
        <v>1000</v>
      </c>
      <c r="B196" s="32">
        <f t="shared" si="41"/>
        <v>1000</v>
      </c>
      <c r="C196" s="4">
        <v>195</v>
      </c>
      <c r="D196" s="97">
        <f>IF(ISBLANK(Input!A196),1000,IF(Input!G196&gt;0,Input!G196+F196,1000))</f>
        <v>1000</v>
      </c>
      <c r="E196" s="97">
        <f t="shared" si="42"/>
        <v>1000</v>
      </c>
      <c r="F196" s="4">
        <v>0.19500000000000001</v>
      </c>
      <c r="I196" t="str">
        <f>IF(Input!A196&gt;0,Input!A196,"")</f>
        <v/>
      </c>
      <c r="J196" t="str">
        <f>IF(Input!B196&gt;0,Input!B196,"")</f>
        <v/>
      </c>
      <c r="K196" t="str">
        <f>IF(Input!C196&gt;0,Input!C196,"")</f>
        <v/>
      </c>
      <c r="L196" t="str">
        <f>IF(Input!D196&gt;0,Input!D196,"")</f>
        <v/>
      </c>
      <c r="M196" t="str">
        <f>IF(Input!G196&gt;0,Input!G196,"")</f>
        <v xml:space="preserve"> </v>
      </c>
      <c r="N196" t="str">
        <f>IF(Input!H196&gt;0,Input!H196,"")</f>
        <v xml:space="preserve"> </v>
      </c>
      <c r="O196" t="str">
        <f>IF(Input!I196&lt;&gt;"",Input!I196,"")</f>
        <v/>
      </c>
      <c r="P196" t="str">
        <f t="shared" si="43"/>
        <v/>
      </c>
      <c r="Q196" t="str">
        <f>IF(Input!I196&lt;&gt;"",IF(ISNUMBER(Input!J196),ROUNDDOWN(Input!J196,0),0),"")</f>
        <v/>
      </c>
      <c r="R196" t="str">
        <f>IF(Input!L196&lt;&gt;"",Input!L196,"")</f>
        <v/>
      </c>
      <c r="S196" t="str">
        <f t="shared" si="44"/>
        <v/>
      </c>
      <c r="T196" t="str">
        <f>IF(Input!L196&lt;&gt;"",IF(ISNUMBER(Input!M196),Input!M196,0),"")</f>
        <v/>
      </c>
      <c r="U196" t="str">
        <f>IF(Input!O196&lt;&gt;"",Input!O196,"")</f>
        <v/>
      </c>
      <c r="V196" t="str">
        <f t="shared" si="45"/>
        <v/>
      </c>
      <c r="W196" t="str">
        <f>IF(Input!O196&lt;&gt;"",IF(ISNUMBER(Input!P196),(Input!P196),0),"")</f>
        <v/>
      </c>
      <c r="X196" t="str">
        <f>IF(Input!R196&lt;&gt;"",Input!R196,"")</f>
        <v/>
      </c>
      <c r="Y196" t="str">
        <f t="shared" si="46"/>
        <v/>
      </c>
      <c r="Z196" t="str">
        <f>IF(Input!R196&lt;&gt;"",IF(ISNUMBER(Input!S196),ROUNDDOWN(Input!S196,0),0),"")</f>
        <v/>
      </c>
      <c r="AA196" t="str">
        <f>IF(Input!U196&lt;&gt;"",Input!U196,"")</f>
        <v/>
      </c>
      <c r="AB196" t="str">
        <f t="shared" si="47"/>
        <v/>
      </c>
      <c r="AC196" t="str">
        <f>IF(Input!U196&lt;&gt;"",IF(ISNUMBER(Input!V196),ROUNDDOWN(Input!V196,0),0),"")</f>
        <v/>
      </c>
      <c r="AD196" t="str">
        <f>IF(Input!X196&lt;&gt;"",Input!X196,"")</f>
        <v/>
      </c>
      <c r="AE196" t="str">
        <f t="shared" si="48"/>
        <v/>
      </c>
      <c r="AF196" t="str">
        <f>IF(Input!X196&lt;&gt;"",IF(ISNUMBER(Input!Y196),(Input!Y196),0),"")</f>
        <v/>
      </c>
      <c r="AG196" t="str">
        <f>IF(Input!AA196&lt;&gt;"",Input!AA196,"")</f>
        <v/>
      </c>
      <c r="AH196" t="str">
        <f t="shared" si="49"/>
        <v/>
      </c>
      <c r="AI196" t="str">
        <f>IF(Input!AA196&lt;&gt;"",IF(ISNUMBER(Input!AB196),ROUNDDOWN(Input!AB196,0),0),"")</f>
        <v/>
      </c>
      <c r="AJ196" t="str">
        <f>IF(Input!AD196&lt;&gt;"",Input!AD196,"")</f>
        <v/>
      </c>
      <c r="AK196" t="str">
        <f t="shared" si="50"/>
        <v/>
      </c>
      <c r="AL196" t="str">
        <f>IF(Input!AD196&lt;&gt;"",IF(ISNUMBER(Input!AE196),(Input!AE196),0),"")</f>
        <v/>
      </c>
      <c r="AM196" t="str">
        <f>IF(Input!AG196&lt;&gt;"",Input!AG196,"")</f>
        <v/>
      </c>
      <c r="AN196" t="str">
        <f t="shared" si="40"/>
        <v/>
      </c>
      <c r="AO196" t="str">
        <f>IF(Input!AG196&lt;&gt;"",IF(ISNUMBER(Input!AH196),(Input!AH196),0),"")</f>
        <v/>
      </c>
    </row>
    <row r="197" spans="1:41" ht="16.5" thickTop="1" thickBot="1" x14ac:dyDescent="0.4">
      <c r="A197" s="35">
        <f>IF(ISBLANK(Input!A197),1000,IF(Input!E197&gt;0,Input!E197+F197,1000))</f>
        <v>1000</v>
      </c>
      <c r="B197" s="32">
        <f t="shared" si="41"/>
        <v>1000</v>
      </c>
      <c r="C197" s="4">
        <v>196</v>
      </c>
      <c r="D197" s="97">
        <f>IF(ISBLANK(Input!A197),1000,IF(Input!G197&gt;0,Input!G197+F197,1000))</f>
        <v>1000</v>
      </c>
      <c r="E197" s="97">
        <f t="shared" si="42"/>
        <v>1000</v>
      </c>
      <c r="F197" s="4">
        <v>0.19600000000000001</v>
      </c>
      <c r="I197" t="str">
        <f>IF(Input!A197&gt;0,Input!A197,"")</f>
        <v/>
      </c>
      <c r="J197" t="str">
        <f>IF(Input!B197&gt;0,Input!B197,"")</f>
        <v/>
      </c>
      <c r="K197" t="str">
        <f>IF(Input!C197&gt;0,Input!C197,"")</f>
        <v/>
      </c>
      <c r="L197" t="str">
        <f>IF(Input!D197&gt;0,Input!D197,"")</f>
        <v/>
      </c>
      <c r="M197" t="str">
        <f>IF(Input!G197&gt;0,Input!G197,"")</f>
        <v xml:space="preserve"> </v>
      </c>
      <c r="N197" t="str">
        <f>IF(Input!H197&gt;0,Input!H197,"")</f>
        <v xml:space="preserve"> </v>
      </c>
      <c r="O197" t="str">
        <f>IF(Input!I197&lt;&gt;"",Input!I197,"")</f>
        <v/>
      </c>
      <c r="P197" t="str">
        <f t="shared" si="43"/>
        <v/>
      </c>
      <c r="Q197" t="str">
        <f>IF(Input!I197&lt;&gt;"",IF(ISNUMBER(Input!J197),ROUNDDOWN(Input!J197,0),0),"")</f>
        <v/>
      </c>
      <c r="R197" t="str">
        <f>IF(Input!L197&lt;&gt;"",Input!L197,"")</f>
        <v/>
      </c>
      <c r="S197" t="str">
        <f t="shared" si="44"/>
        <v/>
      </c>
      <c r="T197" t="str">
        <f>IF(Input!L197&lt;&gt;"",IF(ISNUMBER(Input!M197),Input!M197,0),"")</f>
        <v/>
      </c>
      <c r="U197" t="str">
        <f>IF(Input!O197&lt;&gt;"",Input!O197,"")</f>
        <v/>
      </c>
      <c r="V197" t="str">
        <f t="shared" si="45"/>
        <v/>
      </c>
      <c r="W197" t="str">
        <f>IF(Input!O197&lt;&gt;"",IF(ISNUMBER(Input!P197),(Input!P197),0),"")</f>
        <v/>
      </c>
      <c r="X197" t="str">
        <f>IF(Input!R197&lt;&gt;"",Input!R197,"")</f>
        <v/>
      </c>
      <c r="Y197" t="str">
        <f t="shared" si="46"/>
        <v/>
      </c>
      <c r="Z197" t="str">
        <f>IF(Input!R197&lt;&gt;"",IF(ISNUMBER(Input!S197),ROUNDDOWN(Input!S197,0),0),"")</f>
        <v/>
      </c>
      <c r="AA197" t="str">
        <f>IF(Input!U197&lt;&gt;"",Input!U197,"")</f>
        <v/>
      </c>
      <c r="AB197" t="str">
        <f t="shared" si="47"/>
        <v/>
      </c>
      <c r="AC197" t="str">
        <f>IF(Input!U197&lt;&gt;"",IF(ISNUMBER(Input!V197),ROUNDDOWN(Input!V197,0),0),"")</f>
        <v/>
      </c>
      <c r="AD197" t="str">
        <f>IF(Input!X197&lt;&gt;"",Input!X197,"")</f>
        <v/>
      </c>
      <c r="AE197" t="str">
        <f t="shared" si="48"/>
        <v/>
      </c>
      <c r="AF197" t="str">
        <f>IF(Input!X197&lt;&gt;"",IF(ISNUMBER(Input!Y197),(Input!Y197),0),"")</f>
        <v/>
      </c>
      <c r="AG197" t="str">
        <f>IF(Input!AA197&lt;&gt;"",Input!AA197,"")</f>
        <v/>
      </c>
      <c r="AH197" t="str">
        <f t="shared" si="49"/>
        <v/>
      </c>
      <c r="AI197" t="str">
        <f>IF(Input!AA197&lt;&gt;"",IF(ISNUMBER(Input!AB197),ROUNDDOWN(Input!AB197,0),0),"")</f>
        <v/>
      </c>
      <c r="AJ197" t="str">
        <f>IF(Input!AD197&lt;&gt;"",Input!AD197,"")</f>
        <v/>
      </c>
      <c r="AK197" t="str">
        <f t="shared" si="50"/>
        <v/>
      </c>
      <c r="AL197" t="str">
        <f>IF(Input!AD197&lt;&gt;"",IF(ISNUMBER(Input!AE197),(Input!AE197),0),"")</f>
        <v/>
      </c>
      <c r="AM197" t="str">
        <f>IF(Input!AG197&lt;&gt;"",Input!AG197,"")</f>
        <v/>
      </c>
      <c r="AN197" t="str">
        <f t="shared" si="40"/>
        <v/>
      </c>
      <c r="AO197" t="str">
        <f>IF(Input!AG197&lt;&gt;"",IF(ISNUMBER(Input!AH197),(Input!AH197),0),"")</f>
        <v/>
      </c>
    </row>
    <row r="198" spans="1:41" ht="16.5" thickTop="1" thickBot="1" x14ac:dyDescent="0.4">
      <c r="A198" s="35">
        <f>IF(ISBLANK(Input!A198),1000,IF(Input!E198&gt;0,Input!E198+F198,1000))</f>
        <v>1000</v>
      </c>
      <c r="B198" s="32">
        <f t="shared" si="41"/>
        <v>1000</v>
      </c>
      <c r="C198" s="4">
        <v>197</v>
      </c>
      <c r="D198" s="97">
        <f>IF(ISBLANK(Input!A198),1000,IF(Input!G198&gt;0,Input!G198+F198,1000))</f>
        <v>1000</v>
      </c>
      <c r="E198" s="97">
        <f t="shared" si="42"/>
        <v>1000</v>
      </c>
      <c r="F198" s="4">
        <v>0.19700000000000001</v>
      </c>
      <c r="I198" t="str">
        <f>IF(Input!A198&gt;0,Input!A198,"")</f>
        <v/>
      </c>
      <c r="J198" t="str">
        <f>IF(Input!B198&gt;0,Input!B198,"")</f>
        <v/>
      </c>
      <c r="K198" t="str">
        <f>IF(Input!C198&gt;0,Input!C198,"")</f>
        <v/>
      </c>
      <c r="L198" t="str">
        <f>IF(Input!D198&gt;0,Input!D198,"")</f>
        <v/>
      </c>
      <c r="M198" t="str">
        <f>IF(Input!G198&gt;0,Input!G198,"")</f>
        <v xml:space="preserve"> </v>
      </c>
      <c r="N198" t="str">
        <f>IF(Input!H198&gt;0,Input!H198,"")</f>
        <v xml:space="preserve"> </v>
      </c>
      <c r="O198" t="str">
        <f>IF(Input!I198&lt;&gt;"",Input!I198,"")</f>
        <v/>
      </c>
      <c r="P198" t="str">
        <f t="shared" si="43"/>
        <v/>
      </c>
      <c r="Q198" t="str">
        <f>IF(Input!I198&lt;&gt;"",IF(ISNUMBER(Input!J198),ROUNDDOWN(Input!J198,0),0),"")</f>
        <v/>
      </c>
      <c r="R198" t="str">
        <f>IF(Input!L198&lt;&gt;"",Input!L198,"")</f>
        <v/>
      </c>
      <c r="S198" t="str">
        <f t="shared" si="44"/>
        <v/>
      </c>
      <c r="T198" t="str">
        <f>IF(Input!L198&lt;&gt;"",IF(ISNUMBER(Input!M198),Input!M198,0),"")</f>
        <v/>
      </c>
      <c r="U198" t="str">
        <f>IF(Input!O198&lt;&gt;"",Input!O198,"")</f>
        <v/>
      </c>
      <c r="V198" t="str">
        <f t="shared" si="45"/>
        <v/>
      </c>
      <c r="W198" t="str">
        <f>IF(Input!O198&lt;&gt;"",IF(ISNUMBER(Input!P198),(Input!P198),0),"")</f>
        <v/>
      </c>
      <c r="X198" t="str">
        <f>IF(Input!R198&lt;&gt;"",Input!R198,"")</f>
        <v/>
      </c>
      <c r="Y198" t="str">
        <f t="shared" si="46"/>
        <v/>
      </c>
      <c r="Z198" t="str">
        <f>IF(Input!R198&lt;&gt;"",IF(ISNUMBER(Input!S198),ROUNDDOWN(Input!S198,0),0),"")</f>
        <v/>
      </c>
      <c r="AA198" t="str">
        <f>IF(Input!U198&lt;&gt;"",Input!U198,"")</f>
        <v/>
      </c>
      <c r="AB198" t="str">
        <f t="shared" si="47"/>
        <v/>
      </c>
      <c r="AC198" t="str">
        <f>IF(Input!U198&lt;&gt;"",IF(ISNUMBER(Input!V198),ROUNDDOWN(Input!V198,0),0),"")</f>
        <v/>
      </c>
      <c r="AD198" t="str">
        <f>IF(Input!X198&lt;&gt;"",Input!X198,"")</f>
        <v/>
      </c>
      <c r="AE198" t="str">
        <f t="shared" si="48"/>
        <v/>
      </c>
      <c r="AF198" t="str">
        <f>IF(Input!X198&lt;&gt;"",IF(ISNUMBER(Input!Y198),(Input!Y198),0),"")</f>
        <v/>
      </c>
      <c r="AG198" t="str">
        <f>IF(Input!AA198&lt;&gt;"",Input!AA198,"")</f>
        <v/>
      </c>
      <c r="AH198" t="str">
        <f t="shared" si="49"/>
        <v/>
      </c>
      <c r="AI198" t="str">
        <f>IF(Input!AA198&lt;&gt;"",IF(ISNUMBER(Input!AB198),ROUNDDOWN(Input!AB198,0),0),"")</f>
        <v/>
      </c>
      <c r="AJ198" t="str">
        <f>IF(Input!AD198&lt;&gt;"",Input!AD198,"")</f>
        <v/>
      </c>
      <c r="AK198" t="str">
        <f t="shared" si="50"/>
        <v/>
      </c>
      <c r="AL198" t="str">
        <f>IF(Input!AD198&lt;&gt;"",IF(ISNUMBER(Input!AE198),(Input!AE198),0),"")</f>
        <v/>
      </c>
      <c r="AM198" t="str">
        <f>IF(Input!AG198&lt;&gt;"",Input!AG198,"")</f>
        <v/>
      </c>
      <c r="AN198" t="str">
        <f t="shared" si="40"/>
        <v/>
      </c>
      <c r="AO198" t="str">
        <f>IF(Input!AG198&lt;&gt;"",IF(ISNUMBER(Input!AH198),(Input!AH198),0),"")</f>
        <v/>
      </c>
    </row>
    <row r="199" spans="1:41" ht="16.5" thickTop="1" thickBot="1" x14ac:dyDescent="0.4">
      <c r="A199" s="35">
        <f>IF(ISBLANK(Input!A199),1000,IF(Input!E199&gt;0,Input!E199+F199,1000))</f>
        <v>1000</v>
      </c>
      <c r="B199" s="32">
        <f t="shared" si="41"/>
        <v>1000</v>
      </c>
      <c r="C199" s="4">
        <v>198</v>
      </c>
      <c r="D199" s="97">
        <f>IF(ISBLANK(Input!A199),1000,IF(Input!G199&gt;0,Input!G199+F199,1000))</f>
        <v>1000</v>
      </c>
      <c r="E199" s="97">
        <f t="shared" si="42"/>
        <v>1000</v>
      </c>
      <c r="F199" s="4">
        <v>0.19800000000000001</v>
      </c>
      <c r="I199" t="str">
        <f>IF(Input!A199&gt;0,Input!A199,"")</f>
        <v/>
      </c>
      <c r="J199" t="str">
        <f>IF(Input!B199&gt;0,Input!B199,"")</f>
        <v/>
      </c>
      <c r="K199" t="str">
        <f>IF(Input!C199&gt;0,Input!C199,"")</f>
        <v/>
      </c>
      <c r="L199" t="str">
        <f>IF(Input!D199&gt;0,Input!D199,"")</f>
        <v/>
      </c>
      <c r="M199" t="str">
        <f>IF(Input!G199&gt;0,Input!G199,"")</f>
        <v xml:space="preserve"> </v>
      </c>
      <c r="N199" t="str">
        <f>IF(Input!H199&gt;0,Input!H199,"")</f>
        <v xml:space="preserve"> </v>
      </c>
      <c r="O199" t="str">
        <f>IF(Input!I199&lt;&gt;"",Input!I199,"")</f>
        <v/>
      </c>
      <c r="P199" t="str">
        <f t="shared" si="43"/>
        <v/>
      </c>
      <c r="Q199" t="str">
        <f>IF(Input!I199&lt;&gt;"",IF(ISNUMBER(Input!J199),ROUNDDOWN(Input!J199,0),0),"")</f>
        <v/>
      </c>
      <c r="R199" t="str">
        <f>IF(Input!L199&lt;&gt;"",Input!L199,"")</f>
        <v/>
      </c>
      <c r="S199" t="str">
        <f t="shared" si="44"/>
        <v/>
      </c>
      <c r="T199" t="str">
        <f>IF(Input!L199&lt;&gt;"",IF(ISNUMBER(Input!M199),Input!M199,0),"")</f>
        <v/>
      </c>
      <c r="U199" t="str">
        <f>IF(Input!O199&lt;&gt;"",Input!O199,"")</f>
        <v/>
      </c>
      <c r="V199" t="str">
        <f t="shared" si="45"/>
        <v/>
      </c>
      <c r="W199" t="str">
        <f>IF(Input!O199&lt;&gt;"",IF(ISNUMBER(Input!P199),(Input!P199),0),"")</f>
        <v/>
      </c>
      <c r="X199" t="str">
        <f>IF(Input!R199&lt;&gt;"",Input!R199,"")</f>
        <v/>
      </c>
      <c r="Y199" t="str">
        <f t="shared" si="46"/>
        <v/>
      </c>
      <c r="Z199" t="str">
        <f>IF(Input!R199&lt;&gt;"",IF(ISNUMBER(Input!S199),ROUNDDOWN(Input!S199,0),0),"")</f>
        <v/>
      </c>
      <c r="AA199" t="str">
        <f>IF(Input!U199&lt;&gt;"",Input!U199,"")</f>
        <v/>
      </c>
      <c r="AB199" t="str">
        <f t="shared" si="47"/>
        <v/>
      </c>
      <c r="AC199" t="str">
        <f>IF(Input!U199&lt;&gt;"",IF(ISNUMBER(Input!V199),ROUNDDOWN(Input!V199,0),0),"")</f>
        <v/>
      </c>
      <c r="AD199" t="str">
        <f>IF(Input!X199&lt;&gt;"",Input!X199,"")</f>
        <v/>
      </c>
      <c r="AE199" t="str">
        <f t="shared" si="48"/>
        <v/>
      </c>
      <c r="AF199" t="str">
        <f>IF(Input!X199&lt;&gt;"",IF(ISNUMBER(Input!Y199),(Input!Y199),0),"")</f>
        <v/>
      </c>
      <c r="AG199" t="str">
        <f>IF(Input!AA199&lt;&gt;"",Input!AA199,"")</f>
        <v/>
      </c>
      <c r="AH199" t="str">
        <f t="shared" si="49"/>
        <v/>
      </c>
      <c r="AI199" t="str">
        <f>IF(Input!AA199&lt;&gt;"",IF(ISNUMBER(Input!AB199),ROUNDDOWN(Input!AB199,0),0),"")</f>
        <v/>
      </c>
      <c r="AJ199" t="str">
        <f>IF(Input!AD199&lt;&gt;"",Input!AD199,"")</f>
        <v/>
      </c>
      <c r="AK199" t="str">
        <f t="shared" si="50"/>
        <v/>
      </c>
      <c r="AL199" t="str">
        <f>IF(Input!AD199&lt;&gt;"",IF(ISNUMBER(Input!AE199),(Input!AE199),0),"")</f>
        <v/>
      </c>
      <c r="AM199" t="str">
        <f>IF(Input!AG199&lt;&gt;"",Input!AG199,"")</f>
        <v/>
      </c>
      <c r="AN199" t="str">
        <f t="shared" si="40"/>
        <v/>
      </c>
      <c r="AO199" t="str">
        <f>IF(Input!AG199&lt;&gt;"",IF(ISNUMBER(Input!AH199),(Input!AH199),0),"")</f>
        <v/>
      </c>
    </row>
    <row r="200" spans="1:41" ht="16.5" thickTop="1" thickBot="1" x14ac:dyDescent="0.4">
      <c r="A200" s="35">
        <f>IF(ISBLANK(Input!A200),1000,IF(Input!E200&gt;0,Input!E200+F200,1000))</f>
        <v>1000</v>
      </c>
      <c r="B200" s="32">
        <f t="shared" si="41"/>
        <v>1000</v>
      </c>
      <c r="C200" s="4">
        <v>199</v>
      </c>
      <c r="D200" s="97">
        <f>IF(ISBLANK(Input!A200),1000,IF(Input!G200&gt;0,Input!G200+F200,1000))</f>
        <v>1000</v>
      </c>
      <c r="E200" s="97">
        <f t="shared" si="42"/>
        <v>1000</v>
      </c>
      <c r="F200" s="4">
        <v>0.19900000000000001</v>
      </c>
      <c r="I200" t="str">
        <f>IF(Input!A200&gt;0,Input!A200,"")</f>
        <v/>
      </c>
      <c r="J200" t="str">
        <f>IF(Input!B200&gt;0,Input!B200,"")</f>
        <v/>
      </c>
      <c r="K200" t="str">
        <f>IF(Input!C200&gt;0,Input!C200,"")</f>
        <v/>
      </c>
      <c r="L200" t="str">
        <f>IF(Input!D200&gt;0,Input!D200,"")</f>
        <v/>
      </c>
      <c r="M200" t="str">
        <f>IF(Input!G200&gt;0,Input!G200,"")</f>
        <v xml:space="preserve"> </v>
      </c>
      <c r="N200" t="str">
        <f>IF(Input!H200&gt;0,Input!H200,"")</f>
        <v xml:space="preserve"> </v>
      </c>
      <c r="O200" t="str">
        <f>IF(Input!I200&lt;&gt;"",Input!I200,"")</f>
        <v/>
      </c>
      <c r="P200" t="str">
        <f t="shared" si="43"/>
        <v/>
      </c>
      <c r="Q200" t="str">
        <f>IF(Input!I200&lt;&gt;"",IF(ISNUMBER(Input!J200),ROUNDDOWN(Input!J200,0),0),"")</f>
        <v/>
      </c>
      <c r="R200" t="str">
        <f>IF(Input!L200&lt;&gt;"",Input!L200,"")</f>
        <v/>
      </c>
      <c r="S200" t="str">
        <f t="shared" si="44"/>
        <v/>
      </c>
      <c r="T200" t="str">
        <f>IF(Input!L200&lt;&gt;"",IF(ISNUMBER(Input!M200),Input!M200,0),"")</f>
        <v/>
      </c>
      <c r="U200" t="str">
        <f>IF(Input!O200&lt;&gt;"",Input!O200,"")</f>
        <v/>
      </c>
      <c r="V200" t="str">
        <f t="shared" si="45"/>
        <v/>
      </c>
      <c r="W200" t="str">
        <f>IF(Input!O200&lt;&gt;"",IF(ISNUMBER(Input!P200),(Input!P200),0),"")</f>
        <v/>
      </c>
      <c r="X200" t="str">
        <f>IF(Input!R200&lt;&gt;"",Input!R200,"")</f>
        <v/>
      </c>
      <c r="Y200" t="str">
        <f t="shared" si="46"/>
        <v/>
      </c>
      <c r="Z200" t="str">
        <f>IF(Input!R200&lt;&gt;"",IF(ISNUMBER(Input!S200),ROUNDDOWN(Input!S200,0),0),"")</f>
        <v/>
      </c>
      <c r="AA200" t="str">
        <f>IF(Input!U200&lt;&gt;"",Input!U200,"")</f>
        <v/>
      </c>
      <c r="AB200" t="str">
        <f t="shared" si="47"/>
        <v/>
      </c>
      <c r="AC200" t="str">
        <f>IF(Input!U200&lt;&gt;"",IF(ISNUMBER(Input!V200),ROUNDDOWN(Input!V200,0),0),"")</f>
        <v/>
      </c>
      <c r="AD200" t="str">
        <f>IF(Input!X200&lt;&gt;"",Input!X200,"")</f>
        <v/>
      </c>
      <c r="AE200" t="str">
        <f t="shared" si="48"/>
        <v/>
      </c>
      <c r="AF200" t="str">
        <f>IF(Input!X200&lt;&gt;"",IF(ISNUMBER(Input!Y200),(Input!Y200),0),"")</f>
        <v/>
      </c>
      <c r="AG200" t="str">
        <f>IF(Input!AA200&lt;&gt;"",Input!AA200,"")</f>
        <v/>
      </c>
      <c r="AH200" t="str">
        <f t="shared" si="49"/>
        <v/>
      </c>
      <c r="AI200" t="str">
        <f>IF(Input!AA200&lt;&gt;"",IF(ISNUMBER(Input!AB200),ROUNDDOWN(Input!AB200,0),0),"")</f>
        <v/>
      </c>
      <c r="AJ200" t="str">
        <f>IF(Input!AD200&lt;&gt;"",Input!AD200,"")</f>
        <v/>
      </c>
      <c r="AK200" t="str">
        <f t="shared" si="50"/>
        <v/>
      </c>
      <c r="AL200" t="str">
        <f>IF(Input!AD200&lt;&gt;"",IF(ISNUMBER(Input!AE200),(Input!AE200),0),"")</f>
        <v/>
      </c>
      <c r="AM200" t="str">
        <f>IF(Input!AG200&lt;&gt;"",Input!AG200,"")</f>
        <v/>
      </c>
      <c r="AN200" t="str">
        <f t="shared" si="40"/>
        <v/>
      </c>
      <c r="AO200" t="str">
        <f>IF(Input!AG200&lt;&gt;"",IF(ISNUMBER(Input!AH200),(Input!AH200),0),"")</f>
        <v/>
      </c>
    </row>
    <row r="201" spans="1:41" ht="16.5" thickTop="1" thickBot="1" x14ac:dyDescent="0.4">
      <c r="A201" s="35">
        <f>IF(ISBLANK(Input!A201),1000,IF(Input!E201&gt;0,Input!E201+F201,1000))</f>
        <v>1000</v>
      </c>
      <c r="B201" s="32">
        <f t="shared" si="41"/>
        <v>1000</v>
      </c>
      <c r="C201" s="98">
        <v>200</v>
      </c>
      <c r="D201" s="97">
        <f>IF(ISBLANK(Input!A201),1000,IF(Input!G201&gt;0,Input!G201+F201,1000))</f>
        <v>1000</v>
      </c>
      <c r="E201" s="97">
        <f t="shared" si="42"/>
        <v>1000</v>
      </c>
      <c r="F201" s="98">
        <v>0.2</v>
      </c>
      <c r="G201" s="54"/>
      <c r="I201" t="str">
        <f>IF(Input!A201&gt;0,Input!A201,"")</f>
        <v/>
      </c>
      <c r="J201" t="str">
        <f>IF(Input!B201&gt;0,Input!B201,"")</f>
        <v/>
      </c>
      <c r="K201" t="str">
        <f>IF(Input!C201&gt;0,Input!C201,"")</f>
        <v/>
      </c>
      <c r="L201" t="str">
        <f>IF(Input!D201&gt;0,Input!D201,"")</f>
        <v/>
      </c>
      <c r="M201" t="str">
        <f>IF(Input!G201&gt;0,Input!G201,"")</f>
        <v xml:space="preserve"> </v>
      </c>
      <c r="N201" t="str">
        <f>IF(Input!H201&gt;0,Input!H201,"")</f>
        <v xml:space="preserve"> </v>
      </c>
      <c r="O201" t="str">
        <f>IF(Input!I201&lt;&gt;"",Input!I201,"")</f>
        <v/>
      </c>
      <c r="P201" t="str">
        <f t="shared" si="43"/>
        <v/>
      </c>
      <c r="Q201" t="str">
        <f>IF(Input!I201&lt;&gt;"",IF(ISNUMBER(Input!J201),ROUNDDOWN(Input!J201,0),0),"")</f>
        <v/>
      </c>
      <c r="R201" t="str">
        <f>IF(Input!L201&lt;&gt;"",Input!L201,"")</f>
        <v/>
      </c>
      <c r="S201" t="str">
        <f t="shared" si="44"/>
        <v/>
      </c>
      <c r="T201" t="str">
        <f>IF(Input!L201&lt;&gt;"",IF(ISNUMBER(Input!M201),Input!M201,0),"")</f>
        <v/>
      </c>
      <c r="U201" t="str">
        <f>IF(Input!O201&lt;&gt;"",Input!O201,"")</f>
        <v/>
      </c>
      <c r="V201" t="str">
        <f t="shared" si="45"/>
        <v/>
      </c>
      <c r="W201" t="str">
        <f>IF(Input!O201&lt;&gt;"",IF(ISNUMBER(Input!P201),(Input!P201),0),"")</f>
        <v/>
      </c>
      <c r="X201" t="str">
        <f>IF(Input!R201&lt;&gt;"",Input!R201,"")</f>
        <v/>
      </c>
      <c r="Y201" t="str">
        <f t="shared" si="46"/>
        <v/>
      </c>
      <c r="Z201" t="str">
        <f>IF(Input!R201&lt;&gt;"",IF(ISNUMBER(Input!S201),ROUNDDOWN(Input!S201,0),0),"")</f>
        <v/>
      </c>
      <c r="AA201" t="str">
        <f>IF(Input!U201&lt;&gt;"",Input!U201,"")</f>
        <v/>
      </c>
      <c r="AB201" t="str">
        <f t="shared" si="47"/>
        <v/>
      </c>
      <c r="AC201" t="str">
        <f>IF(Input!U201&lt;&gt;"",IF(ISNUMBER(Input!V201),ROUNDDOWN(Input!V201,0),0),"")</f>
        <v/>
      </c>
      <c r="AD201" t="str">
        <f>IF(Input!X201&lt;&gt;"",Input!X201,"")</f>
        <v/>
      </c>
      <c r="AE201" t="str">
        <f t="shared" si="48"/>
        <v/>
      </c>
      <c r="AF201" t="str">
        <f>IF(Input!X201&lt;&gt;"",IF(ISNUMBER(Input!Y201),(Input!Y201),0),"")</f>
        <v/>
      </c>
      <c r="AG201" t="str">
        <f>IF(Input!AA201&lt;&gt;"",Input!AA201,"")</f>
        <v/>
      </c>
      <c r="AH201" t="str">
        <f t="shared" si="49"/>
        <v/>
      </c>
      <c r="AI201" t="str">
        <f>IF(Input!AA201&lt;&gt;"",IF(ISNUMBER(Input!AB201),ROUNDDOWN(Input!AB201,0),0),"")</f>
        <v/>
      </c>
      <c r="AJ201" t="str">
        <f>IF(Input!AD201&lt;&gt;"",Input!AD201,"")</f>
        <v/>
      </c>
      <c r="AK201" t="str">
        <f t="shared" si="50"/>
        <v/>
      </c>
      <c r="AL201" t="str">
        <f>IF(Input!AD201&lt;&gt;"",IF(ISNUMBER(Input!AE201),(Input!AE201),0),"")</f>
        <v/>
      </c>
      <c r="AM201" t="str">
        <f>IF(Input!AG201&lt;&gt;"",Input!AG201,"")</f>
        <v/>
      </c>
      <c r="AN201" t="str">
        <f t="shared" si="40"/>
        <v/>
      </c>
      <c r="AO201" t="str">
        <f>IF(Input!AG201&lt;&gt;"",IF(ISNUMBER(Input!AH201),(Input!AH201),0),"")</f>
        <v/>
      </c>
    </row>
    <row r="202" spans="1:41" ht="16" thickTop="1" x14ac:dyDescent="0.35">
      <c r="A202" s="35">
        <f>IF(ISBLANK(Input!A202),1000,IF(Input!E202&gt;0,Input!E202+F202,1000))</f>
        <v>1000</v>
      </c>
      <c r="B202" s="32">
        <f t="shared" si="41"/>
        <v>1000</v>
      </c>
      <c r="C202" s="96">
        <v>201</v>
      </c>
      <c r="D202" s="97">
        <f>IF(ISBLANK(Input!A202),1000,IF(Input!G202&gt;0,Input!G202+F202,1000))</f>
        <v>1000</v>
      </c>
      <c r="E202" s="97">
        <f t="shared" si="42"/>
        <v>1000</v>
      </c>
      <c r="F202" s="96">
        <v>0.20100000000000001</v>
      </c>
      <c r="G202" s="21"/>
      <c r="I202" t="str">
        <f>IF(Input!A202&gt;0,Input!A202,"")</f>
        <v/>
      </c>
      <c r="J202" t="str">
        <f>IF(Input!B202&gt;0,Input!B202,"")</f>
        <v/>
      </c>
      <c r="K202" t="str">
        <f>IF(Input!C202&gt;0,Input!C202,"")</f>
        <v/>
      </c>
      <c r="L202" t="str">
        <f>IF(Input!D202&gt;0,Input!D202,"")</f>
        <v/>
      </c>
      <c r="M202" t="str">
        <f>IF(Input!G202&gt;0,Input!G202,"")</f>
        <v/>
      </c>
      <c r="N202" t="str">
        <f>IF(Input!H202&gt;0,Input!H202,"")</f>
        <v/>
      </c>
      <c r="O202" t="str">
        <f>IF(Input!I202&lt;&gt;"",Input!I202,"")</f>
        <v/>
      </c>
      <c r="P202" t="str">
        <f t="shared" si="43"/>
        <v/>
      </c>
      <c r="Q202" t="str">
        <f>IF(Input!I202&lt;&gt;"",IF(ISNUMBER(Input!J202),ROUNDDOWN(Input!J202,0),0),"")</f>
        <v/>
      </c>
      <c r="R202" t="str">
        <f>IF(Input!L202&lt;&gt;"",Input!L202,"")</f>
        <v/>
      </c>
      <c r="S202" t="str">
        <f t="shared" si="44"/>
        <v/>
      </c>
      <c r="T202" t="str">
        <f>IF(Input!L202&lt;&gt;"",IF(ISNUMBER(Input!M202),Input!M202,0),"")</f>
        <v/>
      </c>
      <c r="U202" t="str">
        <f>IF(Input!O202&lt;&gt;"",Input!O202,"")</f>
        <v/>
      </c>
      <c r="V202" t="str">
        <f t="shared" si="45"/>
        <v/>
      </c>
      <c r="W202" t="str">
        <f>IF(Input!O202&lt;&gt;"",IF(ISNUMBER(Input!P202),(Input!P202),0),"")</f>
        <v/>
      </c>
      <c r="X202" t="str">
        <f>IF(Input!R202&lt;&gt;"",Input!R202,"")</f>
        <v/>
      </c>
      <c r="Y202" t="str">
        <f t="shared" si="46"/>
        <v/>
      </c>
      <c r="Z202" t="str">
        <f>IF(Input!R202&lt;&gt;"",IF(ISNUMBER(Input!S202),ROUNDDOWN(Input!S202,0),0),"")</f>
        <v/>
      </c>
      <c r="AA202" t="str">
        <f>IF(Input!U202&lt;&gt;"",Input!U202,"")</f>
        <v/>
      </c>
      <c r="AB202" t="str">
        <f t="shared" si="47"/>
        <v/>
      </c>
      <c r="AC202" t="str">
        <f>IF(Input!U202&lt;&gt;"",IF(ISNUMBER(Input!V202),ROUNDDOWN(Input!V202,0),0),"")</f>
        <v/>
      </c>
      <c r="AD202" t="str">
        <f>IF(Input!X202&lt;&gt;"",Input!X202,"")</f>
        <v/>
      </c>
      <c r="AE202" t="str">
        <f t="shared" si="48"/>
        <v/>
      </c>
      <c r="AF202" t="str">
        <f>IF(Input!X202&lt;&gt;"",IF(ISNUMBER(Input!Y202),(Input!Y202),0),"")</f>
        <v/>
      </c>
      <c r="AG202" t="str">
        <f>IF(Input!AA202&lt;&gt;"",Input!AA202,"")</f>
        <v/>
      </c>
      <c r="AH202" t="str">
        <f t="shared" si="49"/>
        <v/>
      </c>
      <c r="AI202" t="str">
        <f>IF(Input!AA202&lt;&gt;"",IF(ISNUMBER(Input!AB202),ROUNDDOWN(Input!AB202,0),0),"")</f>
        <v/>
      </c>
      <c r="AJ202" t="str">
        <f>IF(Input!AD202&lt;&gt;"",Input!AD202,"")</f>
        <v/>
      </c>
      <c r="AK202" t="str">
        <f t="shared" si="50"/>
        <v/>
      </c>
      <c r="AL202" t="str">
        <f>IF(Input!AD202&lt;&gt;"",IF(ISNUMBER(Input!AE202),(Input!AE202),0),"")</f>
        <v/>
      </c>
      <c r="AM202" t="str">
        <f>IF(Input!AG202&lt;&gt;"",Input!AG202,"")</f>
        <v/>
      </c>
      <c r="AN202" t="str">
        <f t="shared" si="40"/>
        <v/>
      </c>
      <c r="AO202" t="str">
        <f>IF(Input!AG202&lt;&gt;"",IF(ISNUMBER(Input!AH202),(Input!AH202),0),"")</f>
        <v/>
      </c>
    </row>
    <row r="203" spans="1:41" x14ac:dyDescent="0.35">
      <c r="I203" t="str">
        <f>IF(Input!A203&gt;0,Input!A203,"")</f>
        <v/>
      </c>
      <c r="J203" t="str">
        <f>IF(Input!B203&gt;0,Input!B203,"")</f>
        <v/>
      </c>
      <c r="K203" t="str">
        <f>IF(Input!C203&gt;0,Input!C203,"")</f>
        <v/>
      </c>
      <c r="L203" t="str">
        <f>IF(Input!D203&gt;0,Input!D203,"")</f>
        <v/>
      </c>
      <c r="M203" t="str">
        <f>IF(Input!G203&gt;0,Input!G203,"")</f>
        <v/>
      </c>
      <c r="N203" t="str">
        <f>IF(Input!H203&gt;0,Input!H203,"")</f>
        <v/>
      </c>
      <c r="O203" t="str">
        <f>IF(Input!I203&lt;&gt;"",Input!I203,"")</f>
        <v/>
      </c>
      <c r="P203" t="str">
        <f t="shared" si="43"/>
        <v/>
      </c>
      <c r="Q203" t="str">
        <f>IF(Input!I203&lt;&gt;"",IF(ISNUMBER(Input!J203),ROUNDDOWN(Input!J203,0),0),"")</f>
        <v/>
      </c>
      <c r="R203" t="str">
        <f>IF(Input!L203&lt;&gt;"",Input!L203,"")</f>
        <v/>
      </c>
      <c r="S203" t="str">
        <f t="shared" si="44"/>
        <v/>
      </c>
      <c r="T203" t="str">
        <f>IF(Input!L203&lt;&gt;"",IF(ISNUMBER(Input!M203),ROUNDDOWN(Input!M203,0),0),"")</f>
        <v/>
      </c>
      <c r="U203" t="str">
        <f>IF(Input!O203&lt;&gt;"",Input!O203,"")</f>
        <v/>
      </c>
      <c r="V203" t="str">
        <f t="shared" si="45"/>
        <v/>
      </c>
      <c r="W203" t="str">
        <f>IF(Input!O203&lt;&gt;"",IF(ISNUMBER(Input!P203),(Input!P203),0),"")</f>
        <v/>
      </c>
      <c r="X203" t="str">
        <f>IF(Input!R203&lt;&gt;"",Input!R203,"")</f>
        <v/>
      </c>
      <c r="Y203" t="str">
        <f t="shared" si="46"/>
        <v/>
      </c>
      <c r="Z203" t="str">
        <f>IF(Input!R203&lt;&gt;"",IF(ISNUMBER(Input!S203),ROUNDDOWN(Input!S203,0),0),"")</f>
        <v/>
      </c>
      <c r="AA203" t="str">
        <f>IF(Input!U203&lt;&gt;"",Input!U203,"")</f>
        <v/>
      </c>
      <c r="AB203" t="str">
        <f t="shared" si="47"/>
        <v/>
      </c>
      <c r="AC203" t="str">
        <f>IF(Input!U203&lt;&gt;"",IF(ISNUMBER(Input!V203),ROUNDDOWN(Input!V203,0),0),"")</f>
        <v/>
      </c>
      <c r="AD203" t="str">
        <f>IF(Input!X203&lt;&gt;"",Input!X203,"")</f>
        <v/>
      </c>
      <c r="AE203" t="str">
        <f t="shared" si="48"/>
        <v/>
      </c>
      <c r="AF203" t="str">
        <f>IF(Input!X203&lt;&gt;"",IF(ISNUMBER(Input!Y203),(Input!Y203),0),"")</f>
        <v/>
      </c>
      <c r="AG203" t="str">
        <f>IF(Input!AA203&lt;&gt;"",Input!AA203,"")</f>
        <v/>
      </c>
      <c r="AH203" t="str">
        <f t="shared" si="49"/>
        <v/>
      </c>
      <c r="AI203" t="str">
        <f>IF(Input!AA203&lt;&gt;"",IF(ISNUMBER(Input!AB203),ROUNDDOWN(Input!AB203,0),0),"")</f>
        <v/>
      </c>
      <c r="AJ203" t="str">
        <f>IF(Input!AD203&lt;&gt;"",Input!AD203,"")</f>
        <v/>
      </c>
      <c r="AK203" t="str">
        <f t="shared" si="50"/>
        <v/>
      </c>
      <c r="AL203" t="str">
        <f>IF(Input!AD203&lt;&gt;"",IF(ISNUMBER(Input!AE203),(Input!AE203),0),"")</f>
        <v/>
      </c>
      <c r="AM203" t="str">
        <f>IF(Input!AG203&lt;&gt;"",Input!AG203,"")</f>
        <v/>
      </c>
      <c r="AN203" t="str">
        <f t="shared" si="40"/>
        <v/>
      </c>
      <c r="AO203" t="str">
        <f>IF(Input!AG203&lt;&gt;"",IF(ISNUMBER(Input!AH203),(Input!AH203),0),"")</f>
        <v/>
      </c>
    </row>
    <row r="204" spans="1:41" x14ac:dyDescent="0.35">
      <c r="I204" t="str">
        <f>IF(Input!A204&gt;0,Input!A204,"")</f>
        <v/>
      </c>
      <c r="J204" t="str">
        <f>IF(Input!B204&gt;0,Input!B204,"")</f>
        <v/>
      </c>
      <c r="K204" t="str">
        <f>IF(Input!C204&gt;0,Input!C204,"")</f>
        <v/>
      </c>
      <c r="L204" t="str">
        <f>IF(Input!D204&gt;0,Input!D204,"")</f>
        <v/>
      </c>
      <c r="M204" t="str">
        <f>IF(Input!G204&gt;0,Input!G204,"")</f>
        <v/>
      </c>
      <c r="N204" t="str">
        <f>IF(Input!H204&gt;0,Input!H204,"")</f>
        <v/>
      </c>
      <c r="O204" t="str">
        <f>IF($I204&lt;&gt;"",Input!I204&amp;IF(Input!AG204&lt;&gt;"","+","")&amp;Input!AG204&amp;IF(Input!#REF!&lt;&gt;"","+","")&amp;Input!#REF!&amp;IF(Input!#REF!&lt;&gt;"","+","")&amp;Input!#REF!&amp;IF(Input!#REF!&lt;&gt;"","+","")&amp;Input!#REF!,"")</f>
        <v/>
      </c>
      <c r="P204" t="str">
        <f t="shared" ref="P204" si="51">IF(Q204&lt;&gt;"",  RANK(Q204,Q$2:Q$202,0)+((COUNTIF(Q$2:Q$202,Q204)-1)*0.5),"" )</f>
        <v/>
      </c>
      <c r="Q204" t="str">
        <f>IF($I204&lt;&gt;"",IF(ISNUMBER(Input!J204),ROUNDDOWN(Input!J204,0),0)+IF(ISNUMBER(Input!AH204),ROUNDDOWN(Input!AH204,0),0)+IF(ISNUMBER(Input!#REF!),ROUNDDOWN(Input!#REF!,0),0)+IF(ISNUMBER(Input!#REF!),ROUNDDOWN(Input!#REF!,0),0)+IF(ISNUMBER(Input!#REF!),ROUNDDOWN(Input!#REF!,0),0),"")</f>
        <v/>
      </c>
      <c r="R204" t="str">
        <f>IF($I204&lt;&gt;"",Input!L204&amp;IF(Input!#REF!&lt;&gt;"","+","")&amp;Input!#REF!&amp;IF(Input!#REF!&lt;&gt;"","+","")&amp;Input!#REF!&amp;IF(Input!#REF!&lt;&gt;"","+","")&amp;Input!#REF!&amp;IF(Input!#REF!&lt;&gt;"","+","")&amp;Input!#REF!,"")</f>
        <v/>
      </c>
      <c r="S204" t="str">
        <f t="shared" ref="S204" si="52">IF(T204&lt;&gt;"",  RANK(T204,T$2:T$202,0)+((COUNTIF(T$2:T$202,T204)-1)*0.5),"" )</f>
        <v/>
      </c>
      <c r="T204" t="str">
        <f>IF($I204&lt;&gt;"",IF(ISNUMBER(Input!M204),ROUNDDOWN(Input!M204,0),0)+IF(ISNUMBER(Input!#REF!),ROUNDDOWN(Input!#REF!,0),0)+IF(ISNUMBER(Input!#REF!),ROUNDDOWN(Input!#REF!,0),0)+IF(ISNUMBER(Input!#REF!),ROUNDDOWN(Input!#REF!,0),0)+IF(ISNUMBER(Input!#REF!),ROUNDDOWN(Input!#REF!,0),0),"")</f>
        <v/>
      </c>
      <c r="U204" t="str">
        <f>IF($I204&lt;&gt;"",Input!O204&amp;IF(Input!#REF!&lt;&gt;"","+","")&amp;Input!#REF!&amp;IF(Input!#REF!&lt;&gt;"","+","")&amp;Input!#REF!&amp;IF(Input!#REF!&lt;&gt;"","+","")&amp;Input!#REF!&amp;IF(Input!#REF!&lt;&gt;"","+","")&amp;Input!#REF!,"")</f>
        <v/>
      </c>
      <c r="V204" t="str">
        <f t="shared" ref="V204" si="53">IF(W204&lt;&gt;"",  RANK(W204,W$2:W$202,0)+((COUNTIF(W$2:W$202,W204)-1)*0.5),"" )</f>
        <v/>
      </c>
      <c r="W204" t="str">
        <f>IF(Input!O204&lt;&gt;"",IF(ISNUMBER(Input!P204),(Input!P204),0),"")</f>
        <v/>
      </c>
      <c r="X204" t="str">
        <f>IF($I204&lt;&gt;"",Input!R204&amp;IF(Input!#REF!&lt;&gt;"","+","")&amp;Input!#REF!&amp;IF(Input!#REF!&lt;&gt;"","+","")&amp;Input!#REF!&amp;IF(Input!#REF!&lt;&gt;"","+","")&amp;Input!#REF!&amp;IF(Input!#REF!&lt;&gt;"","+","")&amp;Input!#REF!,"")</f>
        <v/>
      </c>
      <c r="Y204" t="str">
        <f t="shared" ref="Y204" si="54">IF(Z204&lt;&gt;"",  RANK(Z204,Z$2:Z$202,0)+((COUNTIF(Z$2:Z$202,Z204)-1)*0.5),"" )</f>
        <v/>
      </c>
      <c r="Z204" t="str">
        <f>IF($I204&lt;&gt;"",IF(ISNUMBER(Input!S204),ROUNDDOWN(Input!S204,0),0)+IF(ISNUMBER(Input!#REF!),ROUNDDOWN(Input!#REF!,0),0)+IF(ISNUMBER(Input!#REF!),ROUNDDOWN(Input!#REF!,0),0)+IF(ISNUMBER(Input!#REF!),ROUNDDOWN(Input!#REF!,0),0)+IF(ISNUMBER(Input!#REF!),ROUNDDOWN(Input!#REF!,0),0),"")</f>
        <v/>
      </c>
      <c r="AA204" t="str">
        <f>IF($I204&lt;&gt;"",Input!U204&amp;IF(Input!#REF!&lt;&gt;"","+","")&amp;Input!#REF!&amp;IF(Input!#REF!&lt;&gt;"","+","")&amp;Input!#REF!&amp;IF(Input!#REF!&lt;&gt;"","+","")&amp;Input!#REF!&amp;IF(Input!#REF!&lt;&gt;"","+","")&amp;Input!#REF!,"")</f>
        <v/>
      </c>
      <c r="AB204" t="str">
        <f t="shared" ref="AB204" si="55">IF(AC204&lt;&gt;"",  RANK(AC204,AC$2:AC$202,0)+((COUNTIF(AC$2:AC$202,AC204)-1)*0.5),"" )</f>
        <v/>
      </c>
      <c r="AC204" t="str">
        <f>IF($I204&lt;&gt;"",IF(ISNUMBER(Input!V204),ROUNDDOWN(Input!V204,0),0)+IF(ISNUMBER(Input!#REF!),ROUNDDOWN(Input!#REF!,0),0)+IF(ISNUMBER(Input!#REF!),ROUNDDOWN(Input!#REF!,0),0)+IF(ISNUMBER(Input!#REF!),ROUNDDOWN(Input!#REF!,0),0)+IF(ISNUMBER(Input!#REF!),ROUNDDOWN(Input!#REF!,0),0),"")</f>
        <v/>
      </c>
      <c r="AD204" t="str">
        <f>IF($I204&lt;&gt;"",Input!X204&amp;IF(Input!#REF!&lt;&gt;"","+","")&amp;Input!#REF!&amp;IF(Input!#REF!&lt;&gt;"","+","")&amp;Input!#REF!&amp;IF(Input!#REF!&lt;&gt;"","+","")&amp;Input!#REF!&amp;IF(Input!#REF!&lt;&gt;"","+","")&amp;Input!#REF!,"")</f>
        <v/>
      </c>
      <c r="AE204" t="str">
        <f t="shared" ref="AE204" si="56">IF(AF204&lt;&gt;"",  RANK(AF204,AF$2:AF$202,0)+((COUNTIF(AF$2:AF$202,AF204)-1)*0.5),"" )</f>
        <v/>
      </c>
      <c r="AF204" t="str">
        <f>IF(Input!X204&lt;&gt;"",IF(ISNUMBER(Input!Y204),(Input!Y204),0),"")</f>
        <v/>
      </c>
      <c r="AG204" t="str">
        <f>IF($I204&lt;&gt;"",Input!AA204&amp;IF(Input!#REF!&lt;&gt;"","+","")&amp;Input!#REF!&amp;IF(Input!#REF!&lt;&gt;"","+","")&amp;Input!#REF!&amp;IF(Input!#REF!&lt;&gt;"","+","")&amp;Input!#REF!&amp;IF(Input!#REF!&lt;&gt;"","+","")&amp;Input!#REF!,"")</f>
        <v/>
      </c>
      <c r="AH204" t="str">
        <f t="shared" ref="AH204" si="57">IF(AI204&lt;&gt;"",  RANK(AI204,AI$2:AI$202,0)+((COUNTIF(AI$2:AI$202,AI204)-1)*0.5),"" )</f>
        <v/>
      </c>
      <c r="AI204" t="str">
        <f>IF($I204&lt;&gt;"",IF(ISNUMBER(Input!AB204),ROUNDDOWN(Input!AB204,0),0)+IF(ISNUMBER(Input!#REF!),ROUNDDOWN(Input!#REF!,0),0)+IF(ISNUMBER(Input!#REF!),ROUNDDOWN(Input!#REF!,0),0)+IF(ISNUMBER(Input!#REF!),ROUNDDOWN(Input!#REF!,0),0)+IF(ISNUMBER(Input!#REF!),ROUNDDOWN(Input!#REF!,0),0),"")</f>
        <v/>
      </c>
      <c r="AJ204" t="str">
        <f>IF($I204&lt;&gt;"",Input!AD204&amp;IF(Input!#REF!&lt;&gt;"","+","")&amp;Input!#REF!&amp;IF(Input!#REF!&lt;&gt;"","+","")&amp;Input!#REF!&amp;IF(Input!#REF!&lt;&gt;"","+","")&amp;Input!#REF!&amp;IF(Input!#REF!&lt;&gt;"","+","")&amp;Input!#REF!,"")</f>
        <v/>
      </c>
      <c r="AK204" t="str">
        <f t="shared" ref="AK204" si="58">IF(AL204&lt;&gt;"",  RANK(AL204,AL$2:AL$202,0)+((COUNTIF(AL$2:AL$202,AL204)-1)*0.5),"" )</f>
        <v/>
      </c>
      <c r="AL204" t="str">
        <f>IF(Input!AD204&lt;&gt;"",IF(ISNUMBER(Input!AE204),(Input!AE204),0),"")</f>
        <v/>
      </c>
      <c r="AM204" t="str">
        <f>IF($I204&lt;&gt;"",Input!AG204&amp;IF(Input!#REF!&lt;&gt;"","+","")&amp;Input!#REF!&amp;IF(Input!#REF!&lt;&gt;"","+","")&amp;Input!#REF!&amp;IF(Input!#REF!&lt;&gt;"","+","")&amp;Input!#REF!&amp;IF(Input!#REF!&lt;&gt;"","+","")&amp;Input!#REF!,"")</f>
        <v/>
      </c>
      <c r="AN204" t="str">
        <f t="shared" si="40"/>
        <v/>
      </c>
      <c r="AO204" t="str">
        <f>IF(Input!AG204&lt;&gt;"",IF(ISNUMBER(Input!AH204),(Input!AH204),0),"")</f>
        <v/>
      </c>
    </row>
    <row r="205" spans="1:41" x14ac:dyDescent="0.35">
      <c r="W205" t="str">
        <f>IF(Input!O205&lt;&gt;"",IF(ISNUMBER(Input!P205),(Input!P205),0),"")</f>
        <v/>
      </c>
      <c r="AF205" t="str">
        <f>IF(Input!X205&lt;&gt;"",IF(ISNUMBER(Input!Y205),(Input!Y205),0),"")</f>
        <v/>
      </c>
      <c r="AL205" t="str">
        <f>IF(Input!AD205&lt;&gt;"",IF(ISNUMBER(Input!AE205),(Input!AE205),0),"")</f>
        <v/>
      </c>
      <c r="AO205" t="str">
        <f>IF(Input!AG205&lt;&gt;"",IF(ISNUMBER(Input!AH205),(Input!AH205),0),"")</f>
        <v/>
      </c>
    </row>
    <row r="206" spans="1:41" x14ac:dyDescent="0.35">
      <c r="W206" t="str">
        <f>IF(Input!O206&lt;&gt;"",IF(ISNUMBER(Input!P206),(Input!P206),0),"")</f>
        <v/>
      </c>
      <c r="AF206" t="str">
        <f>IF(Input!X206&lt;&gt;"",IF(ISNUMBER(Input!Y206),(Input!Y206),0),"")</f>
        <v/>
      </c>
      <c r="AL206" t="str">
        <f>IF(Input!AD206&lt;&gt;"",IF(ISNUMBER(Input!AE206),(Input!AE206),0),"")</f>
        <v/>
      </c>
      <c r="AO206" t="str">
        <f>IF(Input!AG206&lt;&gt;"",IF(ISNUMBER(Input!AH206),(Input!AH206),0),"")</f>
        <v/>
      </c>
    </row>
    <row r="207" spans="1:41" x14ac:dyDescent="0.35">
      <c r="W207" t="str">
        <f>IF(Input!O207&lt;&gt;"",IF(ISNUMBER(Input!P207),(Input!P207),0),"")</f>
        <v/>
      </c>
      <c r="AF207" t="str">
        <f>IF(Input!X207&lt;&gt;"",IF(ISNUMBER(Input!Y207),(Input!Y207),0),"")</f>
        <v/>
      </c>
      <c r="AL207" t="str">
        <f>IF(Input!AD207&lt;&gt;"",IF(ISNUMBER(Input!AE207),(Input!AE207),0),"")</f>
        <v/>
      </c>
      <c r="AO207" t="str">
        <f>IF(Input!AG207&lt;&gt;"",IF(ISNUMBER(Input!AH207),(Input!AH207),0),"")</f>
        <v/>
      </c>
    </row>
    <row r="208" spans="1:41" x14ac:dyDescent="0.35">
      <c r="W208" t="str">
        <f>IF(Input!O208&lt;&gt;"",IF(ISNUMBER(Input!P208),(Input!P208),0),"")</f>
        <v/>
      </c>
      <c r="AF208" t="str">
        <f>IF(Input!X208&lt;&gt;"",IF(ISNUMBER(Input!Y208),(Input!Y208),0),"")</f>
        <v/>
      </c>
      <c r="AL208" t="str">
        <f>IF(Input!AD208&lt;&gt;"",IF(ISNUMBER(Input!AE208),(Input!AE208),0),"")</f>
        <v/>
      </c>
      <c r="AO208" t="str">
        <f>IF(Input!AG208&lt;&gt;"",IF(ISNUMBER(Input!AH208),(Input!AH208),0),"")</f>
        <v/>
      </c>
    </row>
    <row r="209" spans="3:41" x14ac:dyDescent="0.35">
      <c r="C209" s="3"/>
      <c r="D209" s="3"/>
      <c r="E209" s="3"/>
      <c r="F209" s="3"/>
      <c r="W209" t="str">
        <f>IF(Input!O209&lt;&gt;"",IF(ISNUMBER(Input!P209),(Input!P209),0),"")</f>
        <v/>
      </c>
      <c r="AF209" t="str">
        <f>IF(Input!X209&lt;&gt;"",IF(ISNUMBER(Input!Y209),(Input!Y209),0),"")</f>
        <v/>
      </c>
      <c r="AL209" t="str">
        <f>IF(Input!AD209&lt;&gt;"",IF(ISNUMBER(Input!AE209),(Input!AE209),0),"")</f>
        <v/>
      </c>
      <c r="AO209" t="str">
        <f>IF(Input!AG209&lt;&gt;"",IF(ISNUMBER(Input!AH209),(Input!AH209),0),"")</f>
        <v/>
      </c>
    </row>
    <row r="210" spans="3:41" x14ac:dyDescent="0.35">
      <c r="C210" s="3"/>
      <c r="D210" s="3"/>
      <c r="E210" s="3"/>
      <c r="F210" s="3"/>
      <c r="W210" t="str">
        <f>IF(Input!O210&lt;&gt;"",IF(ISNUMBER(Input!P210),(Input!P210),0),"")</f>
        <v/>
      </c>
      <c r="AF210" t="str">
        <f>IF(Input!X210&lt;&gt;"",IF(ISNUMBER(Input!Y210),(Input!Y210),0),"")</f>
        <v/>
      </c>
      <c r="AL210" t="str">
        <f>IF(Input!AD210&lt;&gt;"",IF(ISNUMBER(Input!AE210),(Input!AE210),0),"")</f>
        <v/>
      </c>
      <c r="AO210" t="str">
        <f>IF(Input!AG210&lt;&gt;"",IF(ISNUMBER(Input!AH210),(Input!AH210),0),"")</f>
        <v/>
      </c>
    </row>
    <row r="211" spans="3:41" x14ac:dyDescent="0.35">
      <c r="C211" s="3"/>
      <c r="D211" s="3"/>
      <c r="E211" s="3"/>
      <c r="F211" s="3"/>
      <c r="W211" t="str">
        <f>IF(Input!O211&lt;&gt;"",IF(ISNUMBER(Input!P211),(Input!P211),0),"")</f>
        <v/>
      </c>
      <c r="AL211" t="str">
        <f>IF(Input!AD211&lt;&gt;"",IF(ISNUMBER(Input!AE211),(Input!AE211),0),"")</f>
        <v/>
      </c>
      <c r="AO211" t="str">
        <f>IF(Input!AG211&lt;&gt;"",IF(ISNUMBER(Input!AH211),(Input!AH211),0),"")</f>
        <v/>
      </c>
    </row>
    <row r="212" spans="3:41" x14ac:dyDescent="0.35">
      <c r="C212" s="3"/>
      <c r="D212" s="3"/>
      <c r="E212" s="3"/>
      <c r="F212" s="3"/>
      <c r="W212" t="str">
        <f>IF(Input!O212&lt;&gt;"",IF(ISNUMBER(Input!P212),(Input!P212),0),"")</f>
        <v/>
      </c>
      <c r="AL212" t="str">
        <f>IF(Input!AD212&lt;&gt;"",IF(ISNUMBER(Input!AE212),(Input!AE212),0),"")</f>
        <v/>
      </c>
      <c r="AO212" t="str">
        <f>IF(Input!AG212&lt;&gt;"",IF(ISNUMBER(Input!AH212),(Input!AH212),0),"")</f>
        <v/>
      </c>
    </row>
    <row r="213" spans="3:41" x14ac:dyDescent="0.35">
      <c r="C213" s="3"/>
      <c r="D213" s="3"/>
      <c r="E213" s="3"/>
      <c r="F213" s="3"/>
      <c r="W213" t="str">
        <f>IF(Input!O213&lt;&gt;"",IF(ISNUMBER(Input!P213),(Input!P213),0),"")</f>
        <v/>
      </c>
      <c r="AL213" t="str">
        <f>IF(Input!AD213&lt;&gt;"",IF(ISNUMBER(Input!AE213),(Input!AE213),0),"")</f>
        <v/>
      </c>
      <c r="AO213" t="str">
        <f>IF(Input!AG213&lt;&gt;"",IF(ISNUMBER(Input!AH213),(Input!AH213),0),"")</f>
        <v/>
      </c>
    </row>
    <row r="214" spans="3:41" x14ac:dyDescent="0.35">
      <c r="C214" s="3"/>
      <c r="D214" s="3"/>
      <c r="E214" s="3"/>
      <c r="F214" s="3"/>
      <c r="W214" t="str">
        <f>IF(Input!O214&lt;&gt;"",IF(ISNUMBER(Input!P214),(Input!P214),0),"")</f>
        <v/>
      </c>
      <c r="AL214" t="str">
        <f>IF(Input!AD214&lt;&gt;"",IF(ISNUMBER(Input!AE214),(Input!AE214),0),"")</f>
        <v/>
      </c>
      <c r="AO214" t="str">
        <f>IF(Input!AG214&lt;&gt;"",IF(ISNUMBER(Input!AH214),(Input!AH214),0),"")</f>
        <v/>
      </c>
    </row>
    <row r="215" spans="3:41" x14ac:dyDescent="0.35">
      <c r="C215" s="3"/>
      <c r="D215" s="3"/>
      <c r="E215" s="3"/>
      <c r="F215" s="3"/>
      <c r="W215" t="str">
        <f>IF(Input!O215&lt;&gt;"",IF(ISNUMBER(Input!P215),(Input!P215),0),"")</f>
        <v/>
      </c>
      <c r="AL215" t="str">
        <f>IF(Input!AD215&lt;&gt;"",IF(ISNUMBER(Input!AE215),(Input!AE215),0),"")</f>
        <v/>
      </c>
      <c r="AO215" t="str">
        <f>IF(Input!AG215&lt;&gt;"",IF(ISNUMBER(Input!AH215),(Input!AH215),0),"")</f>
        <v/>
      </c>
    </row>
    <row r="216" spans="3:41" x14ac:dyDescent="0.35">
      <c r="C216" s="3"/>
      <c r="D216" s="3"/>
      <c r="E216" s="3"/>
      <c r="F216" s="3"/>
      <c r="W216" t="str">
        <f>IF(Input!O216&lt;&gt;"",IF(ISNUMBER(Input!P216),(Input!P216),0),"")</f>
        <v/>
      </c>
      <c r="AL216" t="str">
        <f>IF(Input!AD216&lt;&gt;"",IF(ISNUMBER(Input!AE216),(Input!AE216),0),"")</f>
        <v/>
      </c>
      <c r="AO216" t="str">
        <f>IF(Input!AG216&lt;&gt;"",IF(ISNUMBER(Input!AH216),(Input!AH216),0),"")</f>
        <v/>
      </c>
    </row>
    <row r="217" spans="3:41" x14ac:dyDescent="0.35">
      <c r="C217" s="3"/>
      <c r="D217" s="3"/>
      <c r="E217" s="3"/>
      <c r="F217" s="3"/>
      <c r="W217" t="str">
        <f>IF(Input!O217&lt;&gt;"",IF(ISNUMBER(Input!P217),(Input!P217),0),"")</f>
        <v/>
      </c>
      <c r="AL217" t="str">
        <f>IF(Input!AD217&lt;&gt;"",IF(ISNUMBER(Input!AE217),(Input!AE217),0),"")</f>
        <v/>
      </c>
      <c r="AO217" t="str">
        <f>IF(Input!AG217&lt;&gt;"",IF(ISNUMBER(Input!AH217),(Input!AH217),0),"")</f>
        <v/>
      </c>
    </row>
    <row r="218" spans="3:41" x14ac:dyDescent="0.35">
      <c r="C218" s="3"/>
      <c r="D218" s="3"/>
      <c r="E218" s="3"/>
      <c r="F218" s="3"/>
      <c r="W218" t="str">
        <f>IF(Input!O218&lt;&gt;"",IF(ISNUMBER(Input!P218),(Input!P218),0),"")</f>
        <v/>
      </c>
      <c r="AL218" t="str">
        <f>IF(Input!AD218&lt;&gt;"",IF(ISNUMBER(Input!AE218),(Input!AE218),0),"")</f>
        <v/>
      </c>
      <c r="AO218" t="str">
        <f>IF(Input!AG218&lt;&gt;"",IF(ISNUMBER(Input!AH218),(Input!AH218),0),"")</f>
        <v/>
      </c>
    </row>
    <row r="219" spans="3:41" x14ac:dyDescent="0.35">
      <c r="C219" s="3"/>
      <c r="D219" s="3"/>
      <c r="E219" s="3"/>
      <c r="F219" s="3"/>
      <c r="W219" t="str">
        <f>IF(Input!O219&lt;&gt;"",IF(ISNUMBER(Input!P219),(Input!P219),0),"")</f>
        <v/>
      </c>
      <c r="AL219" t="str">
        <f>IF(Input!AD219&lt;&gt;"",IF(ISNUMBER(Input!AE219),(Input!AE219),0),"")</f>
        <v/>
      </c>
      <c r="AO219" t="str">
        <f>IF(Input!AG219&lt;&gt;"",IF(ISNUMBER(Input!AH219),(Input!AH219),0),"")</f>
        <v/>
      </c>
    </row>
    <row r="220" spans="3:41" x14ac:dyDescent="0.35">
      <c r="C220" s="3"/>
      <c r="D220" s="3"/>
      <c r="E220" s="3"/>
      <c r="F220" s="3"/>
      <c r="W220" t="str">
        <f>IF(Input!O220&lt;&gt;"",IF(ISNUMBER(Input!P220),(Input!P220),0),"")</f>
        <v/>
      </c>
      <c r="AL220" t="str">
        <f>IF(Input!AD220&lt;&gt;"",IF(ISNUMBER(Input!AE220),(Input!AE220),0),"")</f>
        <v/>
      </c>
      <c r="AO220" t="str">
        <f>IF(Input!AG220&lt;&gt;"",IF(ISNUMBER(Input!AH220),(Input!AH220),0),"")</f>
        <v/>
      </c>
    </row>
    <row r="221" spans="3:41" x14ac:dyDescent="0.35">
      <c r="C221" s="3"/>
      <c r="D221" s="3"/>
      <c r="E221" s="3"/>
      <c r="F221" s="3"/>
      <c r="AL221" t="str">
        <f>IF(Input!AD221&lt;&gt;"",IF(ISNUMBER(Input!AE221),(Input!AE221),0),"")</f>
        <v/>
      </c>
      <c r="AO221" t="str">
        <f>IF(Input!AG221&lt;&gt;"",IF(ISNUMBER(Input!AH221),(Input!AH221),0),"")</f>
        <v/>
      </c>
    </row>
    <row r="222" spans="3:41" x14ac:dyDescent="0.35">
      <c r="C222" s="3"/>
      <c r="D222" s="3"/>
      <c r="E222" s="3"/>
      <c r="F222" s="3"/>
      <c r="AL222" t="str">
        <f>IF(Input!AD222&lt;&gt;"",IF(ISNUMBER(Input!AE222),(Input!AE222),0),"")</f>
        <v/>
      </c>
      <c r="AO222" t="str">
        <f>IF(Input!AG222&lt;&gt;"",IF(ISNUMBER(Input!AH222),(Input!AH222),0),"")</f>
        <v/>
      </c>
    </row>
    <row r="223" spans="3:41" x14ac:dyDescent="0.35">
      <c r="C223" s="3"/>
      <c r="D223" s="3"/>
      <c r="E223" s="3"/>
      <c r="F223" s="3"/>
      <c r="AL223" t="str">
        <f>IF(Input!AD223&lt;&gt;"",IF(ISNUMBER(Input!AE223),(Input!AE223),0),"")</f>
        <v/>
      </c>
      <c r="AO223" t="str">
        <f>IF(Input!AG223&lt;&gt;"",IF(ISNUMBER(Input!AH223),(Input!AH223),0),"")</f>
        <v/>
      </c>
    </row>
    <row r="224" spans="3:41" x14ac:dyDescent="0.35">
      <c r="C224" s="3"/>
      <c r="D224" s="3"/>
      <c r="E224" s="3"/>
      <c r="F224" s="3"/>
      <c r="AL224" t="str">
        <f>IF(Input!AD224&lt;&gt;"",IF(ISNUMBER(Input!AE224),(Input!AE224),0),"")</f>
        <v/>
      </c>
      <c r="AO224" t="str">
        <f>IF(Input!AG224&lt;&gt;"",IF(ISNUMBER(Input!AH224),(Input!AH224),0),"")</f>
        <v/>
      </c>
    </row>
    <row r="225" spans="3:41" x14ac:dyDescent="0.35">
      <c r="C225" s="3"/>
      <c r="D225" s="3"/>
      <c r="E225" s="3"/>
      <c r="F225" s="3"/>
      <c r="AL225" t="str">
        <f>IF(Input!AD225&lt;&gt;"",IF(ISNUMBER(Input!AE225),(Input!AE225),0),"")</f>
        <v/>
      </c>
      <c r="AO225" t="str">
        <f>IF(Input!AG225&lt;&gt;"",IF(ISNUMBER(Input!AH225),(Input!AH225),0),"")</f>
        <v/>
      </c>
    </row>
    <row r="226" spans="3:41" x14ac:dyDescent="0.35">
      <c r="C226" s="3"/>
      <c r="D226" s="3"/>
      <c r="E226" s="3"/>
      <c r="F226" s="3"/>
      <c r="AL226" t="str">
        <f>IF(Input!AD226&lt;&gt;"",IF(ISNUMBER(Input!AE226),(Input!AE226),0),"")</f>
        <v/>
      </c>
      <c r="AO226" t="str">
        <f>IF(Input!AG226&lt;&gt;"",IF(ISNUMBER(Input!AH226),(Input!AH226),0),"")</f>
        <v/>
      </c>
    </row>
    <row r="227" spans="3:41" x14ac:dyDescent="0.35">
      <c r="C227" s="3"/>
      <c r="D227" s="3"/>
      <c r="E227" s="3"/>
      <c r="F227" s="3"/>
      <c r="AL227" t="str">
        <f>IF(Input!AD227&lt;&gt;"",IF(ISNUMBER(Input!AE227),(Input!AE227),0),"")</f>
        <v/>
      </c>
      <c r="AO227" t="str">
        <f>IF(Input!AG227&lt;&gt;"",IF(ISNUMBER(Input!AH227),(Input!AH227),0),"")</f>
        <v/>
      </c>
    </row>
    <row r="228" spans="3:41" x14ac:dyDescent="0.35">
      <c r="C228" s="3"/>
      <c r="D228" s="3"/>
      <c r="E228" s="3"/>
      <c r="F228" s="3"/>
      <c r="AL228" t="str">
        <f>IF(Input!AD228&lt;&gt;"",IF(ISNUMBER(Input!AE228),(Input!AE228),0),"")</f>
        <v/>
      </c>
      <c r="AO228" t="str">
        <f>IF(Input!AG228&lt;&gt;"",IF(ISNUMBER(Input!AH228),(Input!AH228),0),"")</f>
        <v/>
      </c>
    </row>
    <row r="229" spans="3:41" x14ac:dyDescent="0.35">
      <c r="C229" s="3"/>
      <c r="D229" s="3"/>
      <c r="E229" s="3"/>
      <c r="F229" s="3"/>
      <c r="AL229" t="str">
        <f>IF(Input!AD229&lt;&gt;"",IF(ISNUMBER(Input!AE229),(Input!AE229),0),"")</f>
        <v/>
      </c>
      <c r="AO229" t="str">
        <f>IF(Input!AG229&lt;&gt;"",IF(ISNUMBER(Input!AH229),(Input!AH229),0),"")</f>
        <v/>
      </c>
    </row>
    <row r="230" spans="3:41" x14ac:dyDescent="0.35">
      <c r="C230" s="3"/>
      <c r="D230" s="3"/>
      <c r="E230" s="3"/>
      <c r="F230" s="3"/>
      <c r="AL230" t="str">
        <f>IF(Input!AD230&lt;&gt;"",IF(ISNUMBER(Input!AE230),(Input!AE230),0),"")</f>
        <v/>
      </c>
      <c r="AO230" t="str">
        <f>IF(Input!AG230&lt;&gt;"",IF(ISNUMBER(Input!AH230),(Input!AH230),0),"")</f>
        <v/>
      </c>
    </row>
    <row r="231" spans="3:41" x14ac:dyDescent="0.35">
      <c r="C231" s="3"/>
      <c r="D231" s="3"/>
      <c r="E231" s="3"/>
      <c r="F231" s="3"/>
    </row>
    <row r="232" spans="3:41" x14ac:dyDescent="0.35">
      <c r="C232" s="3"/>
      <c r="D232" s="3"/>
      <c r="E232" s="3"/>
      <c r="F232" s="3"/>
    </row>
    <row r="233" spans="3:41" x14ac:dyDescent="0.35">
      <c r="C233" s="3"/>
      <c r="D233" s="3"/>
      <c r="E233" s="3"/>
      <c r="F233" s="3"/>
    </row>
    <row r="234" spans="3:41" x14ac:dyDescent="0.35">
      <c r="C234" s="3"/>
      <c r="D234" s="3"/>
      <c r="E234" s="3"/>
      <c r="F234" s="3"/>
    </row>
    <row r="235" spans="3:41" x14ac:dyDescent="0.35">
      <c r="C235" s="3"/>
      <c r="D235" s="3"/>
      <c r="E235" s="3"/>
      <c r="F235" s="3"/>
    </row>
    <row r="236" spans="3:41" x14ac:dyDescent="0.35">
      <c r="C236" s="3"/>
      <c r="D236" s="3"/>
      <c r="E236" s="3"/>
      <c r="F236" s="3"/>
    </row>
    <row r="237" spans="3:41" x14ac:dyDescent="0.35">
      <c r="C237" s="3"/>
      <c r="D237" s="3"/>
      <c r="E237" s="3"/>
      <c r="F237" s="3"/>
    </row>
    <row r="238" spans="3:41" x14ac:dyDescent="0.35">
      <c r="C238" s="3"/>
      <c r="D238" s="3"/>
      <c r="E238" s="3"/>
      <c r="F238" s="3"/>
    </row>
    <row r="239" spans="3:41" x14ac:dyDescent="0.35">
      <c r="C239" s="3"/>
      <c r="D239" s="3"/>
      <c r="E239" s="3"/>
      <c r="F239" s="3"/>
    </row>
    <row r="240" spans="3:41" x14ac:dyDescent="0.35">
      <c r="C240" s="3"/>
      <c r="D240" s="3"/>
      <c r="E240" s="3"/>
      <c r="F240" s="3"/>
    </row>
    <row r="241" spans="3:6" x14ac:dyDescent="0.35">
      <c r="C241" s="3"/>
      <c r="D241" s="3"/>
      <c r="E241" s="3"/>
      <c r="F241" s="3"/>
    </row>
    <row r="242" spans="3:6" x14ac:dyDescent="0.35">
      <c r="C242" s="3"/>
      <c r="D242" s="3"/>
      <c r="E242" s="3"/>
      <c r="F242" s="3"/>
    </row>
    <row r="243" spans="3:6" x14ac:dyDescent="0.35">
      <c r="C243" s="3"/>
      <c r="D243" s="3"/>
      <c r="E243" s="3"/>
      <c r="F243" s="3"/>
    </row>
    <row r="244" spans="3:6" x14ac:dyDescent="0.35">
      <c r="C244" s="3"/>
      <c r="D244" s="3"/>
      <c r="E244" s="3"/>
      <c r="F244" s="3"/>
    </row>
    <row r="245" spans="3:6" x14ac:dyDescent="0.35">
      <c r="C245" s="3"/>
      <c r="D245" s="3"/>
      <c r="E245" s="3"/>
      <c r="F245" s="3"/>
    </row>
    <row r="246" spans="3:6" x14ac:dyDescent="0.35">
      <c r="C246" s="3"/>
      <c r="D246" s="3"/>
      <c r="E246" s="3"/>
      <c r="F246" s="3"/>
    </row>
    <row r="247" spans="3:6" x14ac:dyDescent="0.35">
      <c r="C247" s="3"/>
      <c r="D247" s="3"/>
      <c r="E247" s="3"/>
      <c r="F247" s="3"/>
    </row>
    <row r="248" spans="3:6" x14ac:dyDescent="0.35">
      <c r="C248" s="3"/>
      <c r="D248" s="3"/>
      <c r="E248" s="3"/>
      <c r="F248" s="3"/>
    </row>
    <row r="249" spans="3:6" x14ac:dyDescent="0.35">
      <c r="C249" s="3"/>
      <c r="D249" s="3"/>
      <c r="E249" s="3"/>
      <c r="F249" s="3"/>
    </row>
    <row r="250" spans="3:6" x14ac:dyDescent="0.35">
      <c r="C250" s="3"/>
      <c r="D250" s="3"/>
      <c r="E250" s="3"/>
      <c r="F250" s="3"/>
    </row>
    <row r="251" spans="3:6" x14ac:dyDescent="0.35">
      <c r="C251" s="3"/>
      <c r="D251" s="3"/>
      <c r="E251" s="3"/>
      <c r="F251" s="3"/>
    </row>
    <row r="252" spans="3:6" x14ac:dyDescent="0.35">
      <c r="C252" s="3"/>
      <c r="D252" s="3"/>
      <c r="E252" s="3"/>
      <c r="F252" s="3"/>
    </row>
    <row r="253" spans="3:6" x14ac:dyDescent="0.35">
      <c r="C253" s="3"/>
      <c r="D253" s="3"/>
      <c r="E253" s="3"/>
      <c r="F253" s="3"/>
    </row>
    <row r="254" spans="3:6" x14ac:dyDescent="0.35">
      <c r="C254" s="3"/>
      <c r="D254" s="3"/>
      <c r="E254" s="3"/>
      <c r="F254" s="3"/>
    </row>
    <row r="255" spans="3:6" x14ac:dyDescent="0.35">
      <c r="C255" s="3"/>
      <c r="D255" s="3"/>
      <c r="E255" s="3"/>
      <c r="F255" s="3"/>
    </row>
    <row r="256" spans="3:6" x14ac:dyDescent="0.35">
      <c r="C256" s="3"/>
      <c r="D256" s="3"/>
      <c r="E256" s="3"/>
      <c r="F256" s="3"/>
    </row>
    <row r="257" spans="3:6" x14ac:dyDescent="0.35">
      <c r="C257" s="3"/>
      <c r="D257" s="3"/>
      <c r="E257" s="3"/>
      <c r="F257" s="3"/>
    </row>
    <row r="258" spans="3:6" x14ac:dyDescent="0.35">
      <c r="C258" s="3"/>
      <c r="D258" s="3"/>
      <c r="E258" s="3"/>
      <c r="F258" s="3"/>
    </row>
    <row r="259" spans="3:6" x14ac:dyDescent="0.35">
      <c r="C259" s="3"/>
      <c r="D259" s="3"/>
      <c r="E259" s="3"/>
      <c r="F259" s="3"/>
    </row>
    <row r="260" spans="3:6" x14ac:dyDescent="0.35">
      <c r="C260" s="3"/>
      <c r="D260" s="3"/>
      <c r="E260" s="3"/>
      <c r="F260" s="3"/>
    </row>
    <row r="261" spans="3:6" x14ac:dyDescent="0.35">
      <c r="C261" s="3"/>
      <c r="D261" s="3"/>
      <c r="E261" s="3"/>
      <c r="F261" s="3"/>
    </row>
    <row r="262" spans="3:6" x14ac:dyDescent="0.35">
      <c r="C262" s="3"/>
      <c r="D262" s="3"/>
      <c r="E262" s="3"/>
      <c r="F262" s="3"/>
    </row>
    <row r="263" spans="3:6" x14ac:dyDescent="0.35">
      <c r="C263" s="3"/>
      <c r="D263" s="3"/>
      <c r="E263" s="3"/>
      <c r="F263" s="3"/>
    </row>
    <row r="264" spans="3:6" x14ac:dyDescent="0.35">
      <c r="C264" s="3"/>
      <c r="D264" s="3"/>
      <c r="E264" s="3"/>
      <c r="F264" s="3"/>
    </row>
    <row r="265" spans="3:6" x14ac:dyDescent="0.35">
      <c r="C265" s="3"/>
      <c r="D265" s="3"/>
      <c r="E265" s="3"/>
      <c r="F265" s="3"/>
    </row>
    <row r="266" spans="3:6" x14ac:dyDescent="0.35">
      <c r="C266" s="3"/>
      <c r="D266" s="3"/>
      <c r="E266" s="3"/>
      <c r="F266" s="3"/>
    </row>
    <row r="267" spans="3:6" x14ac:dyDescent="0.35">
      <c r="C267" s="3"/>
      <c r="D267" s="3"/>
      <c r="E267" s="3"/>
      <c r="F267" s="3"/>
    </row>
    <row r="268" spans="3:6" x14ac:dyDescent="0.35">
      <c r="C268" s="3"/>
      <c r="D268" s="3"/>
      <c r="E268" s="3"/>
      <c r="F268" s="3"/>
    </row>
    <row r="269" spans="3:6" x14ac:dyDescent="0.35">
      <c r="C269" s="3"/>
      <c r="D269" s="3"/>
      <c r="E269" s="3"/>
      <c r="F269" s="3"/>
    </row>
    <row r="270" spans="3:6" x14ac:dyDescent="0.35">
      <c r="C270" s="3"/>
      <c r="D270" s="3"/>
      <c r="E270" s="3"/>
      <c r="F270" s="3"/>
    </row>
    <row r="271" spans="3:6" x14ac:dyDescent="0.35">
      <c r="C271" s="3"/>
      <c r="D271" s="3"/>
      <c r="E271" s="3"/>
      <c r="F271" s="3"/>
    </row>
    <row r="272" spans="3:6" x14ac:dyDescent="0.35">
      <c r="C272" s="3"/>
      <c r="D272" s="3"/>
      <c r="E272" s="3"/>
      <c r="F272" s="3"/>
    </row>
    <row r="273" spans="3:6" x14ac:dyDescent="0.35">
      <c r="C273" s="3"/>
      <c r="D273" s="3"/>
      <c r="E273" s="3"/>
      <c r="F273" s="3"/>
    </row>
    <row r="274" spans="3:6" x14ac:dyDescent="0.35">
      <c r="C274" s="3"/>
      <c r="D274" s="3"/>
      <c r="E274" s="3"/>
      <c r="F274" s="3"/>
    </row>
    <row r="275" spans="3:6" x14ac:dyDescent="0.35">
      <c r="C275" s="3"/>
      <c r="D275" s="3"/>
      <c r="E275" s="3"/>
      <c r="F275" s="3"/>
    </row>
    <row r="276" spans="3:6" x14ac:dyDescent="0.35">
      <c r="C276" s="3"/>
      <c r="D276" s="3"/>
      <c r="E276" s="3"/>
      <c r="F276" s="3"/>
    </row>
    <row r="277" spans="3:6" x14ac:dyDescent="0.35">
      <c r="C277" s="3"/>
      <c r="D277" s="3"/>
      <c r="E277" s="3"/>
      <c r="F277" s="3"/>
    </row>
    <row r="278" spans="3:6" x14ac:dyDescent="0.35">
      <c r="C278" s="3"/>
      <c r="D278" s="3"/>
      <c r="E278" s="3"/>
      <c r="F278" s="3"/>
    </row>
    <row r="279" spans="3:6" x14ac:dyDescent="0.35">
      <c r="C279" s="3"/>
      <c r="D279" s="3"/>
      <c r="E279" s="3"/>
      <c r="F279" s="3"/>
    </row>
    <row r="280" spans="3:6" x14ac:dyDescent="0.35">
      <c r="C280" s="3"/>
      <c r="D280" s="3"/>
      <c r="E280" s="3"/>
      <c r="F280" s="3"/>
    </row>
    <row r="281" spans="3:6" x14ac:dyDescent="0.35">
      <c r="C281" s="3"/>
      <c r="D281" s="3"/>
      <c r="E281" s="3"/>
      <c r="F281" s="3"/>
    </row>
    <row r="282" spans="3:6" x14ac:dyDescent="0.35">
      <c r="C282" s="3"/>
      <c r="D282" s="3"/>
      <c r="E282" s="3"/>
      <c r="F282" s="3"/>
    </row>
    <row r="283" spans="3:6" x14ac:dyDescent="0.35">
      <c r="C283" s="3"/>
      <c r="D283" s="3"/>
      <c r="E283" s="3"/>
      <c r="F283" s="3"/>
    </row>
    <row r="284" spans="3:6" x14ac:dyDescent="0.35">
      <c r="C284" s="3"/>
      <c r="D284" s="3"/>
      <c r="E284" s="3"/>
      <c r="F284" s="3"/>
    </row>
    <row r="285" spans="3:6" x14ac:dyDescent="0.35">
      <c r="C285" s="3"/>
      <c r="D285" s="3"/>
      <c r="E285" s="3"/>
      <c r="F285" s="3"/>
    </row>
    <row r="286" spans="3:6" x14ac:dyDescent="0.35">
      <c r="C286" s="3"/>
      <c r="D286" s="3"/>
      <c r="E286" s="3"/>
      <c r="F286" s="3"/>
    </row>
    <row r="287" spans="3:6" x14ac:dyDescent="0.35">
      <c r="C287" s="3"/>
      <c r="D287" s="3"/>
      <c r="E287" s="3"/>
      <c r="F287" s="3"/>
    </row>
    <row r="288" spans="3:6" x14ac:dyDescent="0.35">
      <c r="C288" s="3"/>
      <c r="D288" s="3"/>
      <c r="E288" s="3"/>
      <c r="F288" s="3"/>
    </row>
    <row r="289" spans="3:6" x14ac:dyDescent="0.35">
      <c r="C289" s="3"/>
      <c r="D289" s="3"/>
      <c r="E289" s="3"/>
      <c r="F289" s="3"/>
    </row>
    <row r="290" spans="3:6" x14ac:dyDescent="0.35">
      <c r="C290" s="3"/>
      <c r="D290" s="3"/>
      <c r="E290" s="3"/>
      <c r="F290" s="3"/>
    </row>
    <row r="291" spans="3:6" x14ac:dyDescent="0.35">
      <c r="C291" s="3"/>
      <c r="D291" s="3"/>
      <c r="E291" s="3"/>
      <c r="F291" s="3"/>
    </row>
    <row r="292" spans="3:6" x14ac:dyDescent="0.35">
      <c r="C292" s="3"/>
      <c r="D292" s="3"/>
      <c r="E292" s="3"/>
      <c r="F292" s="3"/>
    </row>
    <row r="293" spans="3:6" x14ac:dyDescent="0.35">
      <c r="C293" s="3"/>
      <c r="D293" s="3"/>
      <c r="E293" s="3"/>
      <c r="F293" s="3"/>
    </row>
    <row r="294" spans="3:6" x14ac:dyDescent="0.35">
      <c r="C294" s="3"/>
      <c r="D294" s="3"/>
      <c r="E294" s="3"/>
      <c r="F294" s="3"/>
    </row>
    <row r="295" spans="3:6" x14ac:dyDescent="0.35">
      <c r="C295" s="3"/>
      <c r="D295" s="3"/>
      <c r="E295" s="3"/>
      <c r="F295" s="3"/>
    </row>
    <row r="296" spans="3:6" x14ac:dyDescent="0.35">
      <c r="C296" s="3"/>
      <c r="D296" s="3"/>
      <c r="E296" s="3"/>
      <c r="F296" s="3"/>
    </row>
    <row r="297" spans="3:6" x14ac:dyDescent="0.35">
      <c r="C297" s="3"/>
      <c r="D297" s="3"/>
      <c r="E297" s="3"/>
      <c r="F297" s="3"/>
    </row>
    <row r="298" spans="3:6" x14ac:dyDescent="0.35">
      <c r="C298" s="3"/>
      <c r="D298" s="3"/>
      <c r="E298" s="3"/>
      <c r="F298" s="3"/>
    </row>
    <row r="299" spans="3:6" x14ac:dyDescent="0.35">
      <c r="C299" s="3"/>
      <c r="D299" s="3"/>
      <c r="E299" s="3"/>
      <c r="F299" s="3"/>
    </row>
    <row r="300" spans="3:6" x14ac:dyDescent="0.35">
      <c r="C300" s="3"/>
      <c r="D300" s="3"/>
      <c r="E300" s="3"/>
      <c r="F300" s="3"/>
    </row>
    <row r="301" spans="3:6" x14ac:dyDescent="0.35">
      <c r="C301" s="3"/>
      <c r="D301" s="3"/>
      <c r="E301" s="3"/>
      <c r="F301" s="3"/>
    </row>
    <row r="302" spans="3:6" x14ac:dyDescent="0.35">
      <c r="C302" s="3"/>
      <c r="D302" s="3"/>
      <c r="E302" s="3"/>
      <c r="F302" s="3"/>
    </row>
    <row r="303" spans="3:6" x14ac:dyDescent="0.35">
      <c r="C303" s="3"/>
      <c r="D303" s="3"/>
      <c r="E303" s="3"/>
      <c r="F303" s="3"/>
    </row>
    <row r="304" spans="3:6" x14ac:dyDescent="0.35">
      <c r="C304" s="3"/>
      <c r="D304" s="3"/>
      <c r="E304" s="3"/>
      <c r="F304" s="3"/>
    </row>
    <row r="305" spans="3:6" x14ac:dyDescent="0.35">
      <c r="C305" s="3"/>
      <c r="D305" s="3"/>
      <c r="E305" s="3"/>
      <c r="F305" s="3"/>
    </row>
    <row r="306" spans="3:6" x14ac:dyDescent="0.35">
      <c r="C306" s="3"/>
      <c r="D306" s="3"/>
      <c r="E306" s="3"/>
      <c r="F306" s="3"/>
    </row>
    <row r="307" spans="3:6" x14ac:dyDescent="0.35">
      <c r="C307" s="3"/>
      <c r="D307" s="3"/>
      <c r="E307" s="3"/>
      <c r="F307" s="3"/>
    </row>
    <row r="308" spans="3:6" x14ac:dyDescent="0.35">
      <c r="C308" s="3"/>
      <c r="D308" s="3"/>
      <c r="E308" s="3"/>
      <c r="F308" s="3"/>
    </row>
    <row r="309" spans="3:6" x14ac:dyDescent="0.35">
      <c r="C309" s="3"/>
      <c r="D309" s="3"/>
      <c r="E309" s="3"/>
      <c r="F309" s="3"/>
    </row>
    <row r="310" spans="3:6" x14ac:dyDescent="0.35">
      <c r="C310" s="3"/>
      <c r="D310" s="3"/>
      <c r="E310" s="3"/>
      <c r="F310" s="3"/>
    </row>
    <row r="311" spans="3:6" x14ac:dyDescent="0.35">
      <c r="C311" s="3"/>
      <c r="D311" s="3"/>
      <c r="E311" s="3"/>
      <c r="F311" s="3"/>
    </row>
    <row r="312" spans="3:6" x14ac:dyDescent="0.35">
      <c r="C312" s="3"/>
      <c r="D312" s="3"/>
      <c r="E312" s="3"/>
      <c r="F312" s="3"/>
    </row>
    <row r="313" spans="3:6" x14ac:dyDescent="0.35">
      <c r="C313" s="3"/>
      <c r="D313" s="3"/>
      <c r="E313" s="3"/>
      <c r="F313" s="3"/>
    </row>
    <row r="314" spans="3:6" x14ac:dyDescent="0.35">
      <c r="C314" s="3"/>
      <c r="D314" s="3"/>
      <c r="E314" s="3"/>
      <c r="F314" s="3"/>
    </row>
    <row r="315" spans="3:6" x14ac:dyDescent="0.35">
      <c r="C315" s="3"/>
      <c r="D315" s="3"/>
      <c r="E315" s="3"/>
      <c r="F315" s="3"/>
    </row>
    <row r="316" spans="3:6" x14ac:dyDescent="0.35">
      <c r="C316" s="3"/>
      <c r="D316" s="3"/>
      <c r="E316" s="3"/>
      <c r="F316" s="3"/>
    </row>
    <row r="317" spans="3:6" x14ac:dyDescent="0.35">
      <c r="C317" s="3"/>
      <c r="D317" s="3"/>
      <c r="E317" s="3"/>
      <c r="F317" s="3"/>
    </row>
    <row r="318" spans="3:6" x14ac:dyDescent="0.35">
      <c r="C318" s="3"/>
      <c r="D318" s="3"/>
      <c r="E318" s="3"/>
      <c r="F318" s="3"/>
    </row>
    <row r="319" spans="3:6" x14ac:dyDescent="0.35">
      <c r="C319" s="3"/>
      <c r="D319" s="3"/>
      <c r="E319" s="3"/>
      <c r="F319" s="3"/>
    </row>
    <row r="320" spans="3:6" x14ac:dyDescent="0.35">
      <c r="C320" s="3"/>
      <c r="D320" s="3"/>
      <c r="E320" s="3"/>
      <c r="F320" s="3"/>
    </row>
    <row r="321" spans="3:6" x14ac:dyDescent="0.35">
      <c r="C321" s="3"/>
      <c r="D321" s="3"/>
      <c r="E321" s="3"/>
      <c r="F321" s="3"/>
    </row>
    <row r="322" spans="3:6" x14ac:dyDescent="0.35">
      <c r="C322" s="3"/>
      <c r="D322" s="3"/>
      <c r="E322" s="3"/>
      <c r="F322" s="3"/>
    </row>
    <row r="323" spans="3:6" x14ac:dyDescent="0.35">
      <c r="C323" s="3"/>
      <c r="D323" s="3"/>
      <c r="E323" s="3"/>
      <c r="F323" s="3"/>
    </row>
    <row r="324" spans="3:6" x14ac:dyDescent="0.35">
      <c r="C324" s="3"/>
      <c r="D324" s="3"/>
      <c r="E324" s="3"/>
      <c r="F324" s="3"/>
    </row>
    <row r="325" spans="3:6" x14ac:dyDescent="0.35">
      <c r="C325" s="3"/>
      <c r="D325" s="3"/>
      <c r="E325" s="3"/>
      <c r="F325" s="3"/>
    </row>
    <row r="326" spans="3:6" x14ac:dyDescent="0.35">
      <c r="C326" s="3"/>
      <c r="D326" s="3"/>
      <c r="E326" s="3"/>
      <c r="F326" s="3"/>
    </row>
    <row r="327" spans="3:6" x14ac:dyDescent="0.35">
      <c r="C327" s="3"/>
      <c r="D327" s="3"/>
      <c r="E327" s="3"/>
      <c r="F327" s="3"/>
    </row>
    <row r="328" spans="3:6" x14ac:dyDescent="0.35">
      <c r="C328" s="3"/>
      <c r="D328" s="3"/>
      <c r="E328" s="3"/>
      <c r="F328" s="3"/>
    </row>
    <row r="329" spans="3:6" x14ac:dyDescent="0.35">
      <c r="C329" s="3"/>
      <c r="D329" s="3"/>
      <c r="E329" s="3"/>
      <c r="F329" s="3"/>
    </row>
    <row r="330" spans="3:6" x14ac:dyDescent="0.35">
      <c r="C330" s="3"/>
      <c r="D330" s="3"/>
      <c r="E330" s="3"/>
      <c r="F330" s="3"/>
    </row>
    <row r="331" spans="3:6" x14ac:dyDescent="0.35">
      <c r="C331" s="3"/>
      <c r="D331" s="3"/>
      <c r="E331" s="3"/>
      <c r="F331" s="3"/>
    </row>
    <row r="332" spans="3:6" x14ac:dyDescent="0.35">
      <c r="C332" s="3"/>
      <c r="D332" s="3"/>
      <c r="E332" s="3"/>
      <c r="F332" s="3"/>
    </row>
    <row r="333" spans="3:6" x14ac:dyDescent="0.35">
      <c r="C333" s="3"/>
      <c r="D333" s="3"/>
      <c r="E333" s="3"/>
      <c r="F333" s="3"/>
    </row>
    <row r="334" spans="3:6" x14ac:dyDescent="0.35">
      <c r="C334" s="3"/>
      <c r="D334" s="3"/>
      <c r="E334" s="3"/>
      <c r="F334" s="3"/>
    </row>
    <row r="335" spans="3:6" x14ac:dyDescent="0.35">
      <c r="C335" s="3"/>
      <c r="D335" s="3"/>
      <c r="E335" s="3"/>
      <c r="F335" s="3"/>
    </row>
    <row r="336" spans="3:6" x14ac:dyDescent="0.35">
      <c r="C336" s="3"/>
      <c r="D336" s="3"/>
      <c r="E336" s="3"/>
      <c r="F336" s="3"/>
    </row>
    <row r="337" spans="3:6" x14ac:dyDescent="0.35">
      <c r="C337" s="3"/>
      <c r="D337" s="3"/>
      <c r="E337" s="3"/>
      <c r="F337" s="3"/>
    </row>
    <row r="338" spans="3:6" x14ac:dyDescent="0.35">
      <c r="C338" s="3"/>
      <c r="D338" s="3"/>
      <c r="E338" s="3"/>
      <c r="F338" s="3"/>
    </row>
    <row r="339" spans="3:6" x14ac:dyDescent="0.35">
      <c r="C339" s="3"/>
      <c r="D339" s="3"/>
      <c r="E339" s="3"/>
      <c r="F339" s="3"/>
    </row>
    <row r="340" spans="3:6" x14ac:dyDescent="0.35">
      <c r="C340" s="3"/>
      <c r="D340" s="3"/>
      <c r="E340" s="3"/>
      <c r="F340" s="3"/>
    </row>
    <row r="341" spans="3:6" x14ac:dyDescent="0.35">
      <c r="C341" s="3"/>
      <c r="D341" s="3"/>
      <c r="E341" s="3"/>
      <c r="F341" s="3"/>
    </row>
    <row r="342" spans="3:6" x14ac:dyDescent="0.35">
      <c r="C342" s="3"/>
      <c r="D342" s="3"/>
      <c r="E342" s="3"/>
      <c r="F342" s="3"/>
    </row>
    <row r="343" spans="3:6" x14ac:dyDescent="0.35">
      <c r="C343" s="3"/>
      <c r="D343" s="3"/>
      <c r="E343" s="3"/>
      <c r="F343" s="3"/>
    </row>
    <row r="344" spans="3:6" x14ac:dyDescent="0.35">
      <c r="C344" s="3"/>
      <c r="D344" s="3"/>
      <c r="E344" s="3"/>
      <c r="F344" s="3"/>
    </row>
    <row r="345" spans="3:6" x14ac:dyDescent="0.35">
      <c r="C345" s="3"/>
      <c r="D345" s="3"/>
      <c r="E345" s="3"/>
      <c r="F345" s="3"/>
    </row>
    <row r="346" spans="3:6" x14ac:dyDescent="0.35">
      <c r="C346" s="3"/>
      <c r="D346" s="3"/>
      <c r="E346" s="3"/>
      <c r="F346" s="3"/>
    </row>
    <row r="347" spans="3:6" x14ac:dyDescent="0.35">
      <c r="C347" s="3"/>
      <c r="D347" s="3"/>
      <c r="E347" s="3"/>
      <c r="F347" s="3"/>
    </row>
    <row r="348" spans="3:6" x14ac:dyDescent="0.35">
      <c r="C348" s="3"/>
      <c r="D348" s="3"/>
      <c r="E348" s="3"/>
      <c r="F348" s="3"/>
    </row>
    <row r="349" spans="3:6" x14ac:dyDescent="0.35">
      <c r="C349" s="3"/>
      <c r="D349" s="3"/>
      <c r="E349" s="3"/>
      <c r="F349" s="3"/>
    </row>
    <row r="350" spans="3:6" x14ac:dyDescent="0.35">
      <c r="C350" s="3"/>
      <c r="D350" s="3"/>
      <c r="E350" s="3"/>
      <c r="F350" s="3"/>
    </row>
    <row r="351" spans="3:6" x14ac:dyDescent="0.35">
      <c r="C351" s="3"/>
      <c r="D351" s="3"/>
      <c r="E351" s="3"/>
      <c r="F351" s="3"/>
    </row>
    <row r="352" spans="3:6" x14ac:dyDescent="0.35">
      <c r="C352" s="3"/>
      <c r="D352" s="3"/>
      <c r="E352" s="3"/>
      <c r="F352" s="3"/>
    </row>
    <row r="353" spans="3:6" x14ac:dyDescent="0.35">
      <c r="C353" s="3"/>
      <c r="D353" s="3"/>
      <c r="E353" s="3"/>
      <c r="F353" s="3"/>
    </row>
    <row r="354" spans="3:6" x14ac:dyDescent="0.35">
      <c r="C354" s="3"/>
      <c r="D354" s="3"/>
      <c r="E354" s="3"/>
      <c r="F354" s="3"/>
    </row>
    <row r="355" spans="3:6" x14ac:dyDescent="0.35">
      <c r="C355" s="3"/>
      <c r="D355" s="3"/>
      <c r="E355" s="3"/>
      <c r="F355" s="3"/>
    </row>
    <row r="356" spans="3:6" x14ac:dyDescent="0.35">
      <c r="C356" s="3"/>
      <c r="D356" s="3"/>
      <c r="E356" s="3"/>
      <c r="F356" s="3"/>
    </row>
    <row r="357" spans="3:6" x14ac:dyDescent="0.35">
      <c r="C357" s="3"/>
      <c r="D357" s="3"/>
      <c r="E357" s="3"/>
      <c r="F357" s="3"/>
    </row>
    <row r="358" spans="3:6" x14ac:dyDescent="0.35">
      <c r="C358" s="3"/>
      <c r="D358" s="3"/>
      <c r="E358" s="3"/>
      <c r="F358" s="3"/>
    </row>
    <row r="359" spans="3:6" x14ac:dyDescent="0.35">
      <c r="C359" s="3"/>
      <c r="D359" s="3"/>
      <c r="E359" s="3"/>
      <c r="F359" s="3"/>
    </row>
    <row r="360" spans="3:6" x14ac:dyDescent="0.35">
      <c r="C360" s="3"/>
      <c r="D360" s="3"/>
      <c r="E360" s="3"/>
      <c r="F360" s="3"/>
    </row>
    <row r="361" spans="3:6" x14ac:dyDescent="0.35">
      <c r="C361" s="3"/>
      <c r="D361" s="3"/>
      <c r="E361" s="3"/>
      <c r="F361" s="3"/>
    </row>
    <row r="362" spans="3:6" x14ac:dyDescent="0.35">
      <c r="C362" s="3"/>
      <c r="D362" s="3"/>
      <c r="E362" s="3"/>
      <c r="F362" s="3"/>
    </row>
    <row r="363" spans="3:6" x14ac:dyDescent="0.35">
      <c r="C363" s="3"/>
      <c r="D363" s="3"/>
      <c r="E363" s="3"/>
      <c r="F363" s="3"/>
    </row>
    <row r="364" spans="3:6" x14ac:dyDescent="0.35">
      <c r="C364" s="3"/>
      <c r="D364" s="3"/>
      <c r="E364" s="3"/>
      <c r="F364" s="3"/>
    </row>
    <row r="365" spans="3:6" x14ac:dyDescent="0.35">
      <c r="C365" s="3"/>
      <c r="D365" s="3"/>
      <c r="E365" s="3"/>
      <c r="F365" s="3"/>
    </row>
    <row r="366" spans="3:6" x14ac:dyDescent="0.35">
      <c r="C366" s="3"/>
      <c r="D366" s="3"/>
      <c r="E366" s="3"/>
      <c r="F366" s="3"/>
    </row>
    <row r="367" spans="3:6" x14ac:dyDescent="0.35">
      <c r="C367" s="3"/>
      <c r="D367" s="3"/>
      <c r="E367" s="3"/>
      <c r="F367" s="3"/>
    </row>
    <row r="368" spans="3:6" x14ac:dyDescent="0.35">
      <c r="C368" s="3"/>
      <c r="D368" s="3"/>
      <c r="E368" s="3"/>
      <c r="F368" s="3"/>
    </row>
    <row r="369" spans="3:6" x14ac:dyDescent="0.35">
      <c r="C369" s="3"/>
      <c r="D369" s="3"/>
      <c r="E369" s="3"/>
      <c r="F369" s="3"/>
    </row>
    <row r="370" spans="3:6" x14ac:dyDescent="0.35">
      <c r="C370" s="3"/>
      <c r="D370" s="3"/>
      <c r="E370" s="3"/>
      <c r="F370" s="3"/>
    </row>
    <row r="371" spans="3:6" x14ac:dyDescent="0.35">
      <c r="C371" s="3"/>
      <c r="D371" s="3"/>
      <c r="E371" s="3"/>
      <c r="F371" s="3"/>
    </row>
    <row r="372" spans="3:6" x14ac:dyDescent="0.35">
      <c r="C372" s="3"/>
      <c r="D372" s="3"/>
      <c r="E372" s="3"/>
      <c r="F372" s="3"/>
    </row>
    <row r="373" spans="3:6" x14ac:dyDescent="0.35">
      <c r="C373" s="3"/>
      <c r="D373" s="3"/>
      <c r="E373" s="3"/>
      <c r="F373" s="3"/>
    </row>
    <row r="374" spans="3:6" x14ac:dyDescent="0.35">
      <c r="C374" s="3"/>
      <c r="D374" s="3"/>
      <c r="E374" s="3"/>
      <c r="F374" s="3"/>
    </row>
    <row r="375" spans="3:6" x14ac:dyDescent="0.35">
      <c r="C375" s="3"/>
      <c r="D375" s="3"/>
      <c r="E375" s="3"/>
      <c r="F375" s="3"/>
    </row>
    <row r="376" spans="3:6" x14ac:dyDescent="0.35">
      <c r="C376" s="3"/>
      <c r="D376" s="3"/>
      <c r="E376" s="3"/>
      <c r="F376" s="3"/>
    </row>
    <row r="377" spans="3:6" x14ac:dyDescent="0.35">
      <c r="C377" s="3"/>
      <c r="D377" s="3"/>
      <c r="E377" s="3"/>
      <c r="F377" s="3"/>
    </row>
    <row r="378" spans="3:6" x14ac:dyDescent="0.35">
      <c r="C378" s="3"/>
      <c r="D378" s="3"/>
      <c r="E378" s="3"/>
      <c r="F378" s="3"/>
    </row>
    <row r="379" spans="3:6" x14ac:dyDescent="0.35">
      <c r="C379" s="3"/>
      <c r="D379" s="3"/>
      <c r="E379" s="3"/>
      <c r="F379" s="3"/>
    </row>
    <row r="380" spans="3:6" x14ac:dyDescent="0.35">
      <c r="C380" s="3"/>
      <c r="D380" s="3"/>
      <c r="E380" s="3"/>
      <c r="F380" s="3"/>
    </row>
    <row r="381" spans="3:6" x14ac:dyDescent="0.35">
      <c r="C381" s="3"/>
      <c r="D381" s="3"/>
      <c r="E381" s="3"/>
      <c r="F381" s="3"/>
    </row>
    <row r="382" spans="3:6" x14ac:dyDescent="0.35">
      <c r="C382" s="3"/>
      <c r="D382" s="3"/>
      <c r="E382" s="3"/>
      <c r="F382" s="3"/>
    </row>
    <row r="383" spans="3:6" x14ac:dyDescent="0.35">
      <c r="C383" s="3"/>
      <c r="D383" s="3"/>
      <c r="E383" s="3"/>
      <c r="F383" s="3"/>
    </row>
    <row r="384" spans="3:6" x14ac:dyDescent="0.35">
      <c r="C384" s="3"/>
      <c r="D384" s="3"/>
      <c r="E384" s="3"/>
      <c r="F384" s="3"/>
    </row>
    <row r="385" spans="3:6" x14ac:dyDescent="0.35">
      <c r="C385" s="3"/>
      <c r="D385" s="3"/>
      <c r="E385" s="3"/>
      <c r="F385" s="3"/>
    </row>
    <row r="386" spans="3:6" x14ac:dyDescent="0.35">
      <c r="C386" s="3"/>
      <c r="D386" s="3"/>
      <c r="E386" s="3"/>
      <c r="F386" s="3"/>
    </row>
    <row r="387" spans="3:6" x14ac:dyDescent="0.35">
      <c r="C387" s="3"/>
      <c r="D387" s="3"/>
      <c r="E387" s="3"/>
      <c r="F387" s="3"/>
    </row>
    <row r="388" spans="3:6" x14ac:dyDescent="0.35">
      <c r="C388" s="3"/>
      <c r="D388" s="3"/>
      <c r="E388" s="3"/>
      <c r="F388" s="3"/>
    </row>
    <row r="389" spans="3:6" x14ac:dyDescent="0.35">
      <c r="C389" s="3"/>
      <c r="D389" s="3"/>
      <c r="E389" s="3"/>
      <c r="F389" s="3"/>
    </row>
    <row r="390" spans="3:6" x14ac:dyDescent="0.35">
      <c r="C390" s="3"/>
      <c r="D390" s="3"/>
      <c r="E390" s="3"/>
      <c r="F390" s="3"/>
    </row>
    <row r="391" spans="3:6" x14ac:dyDescent="0.35">
      <c r="C391" s="3"/>
      <c r="D391" s="3"/>
      <c r="E391" s="3"/>
      <c r="F391" s="3"/>
    </row>
    <row r="392" spans="3:6" x14ac:dyDescent="0.35">
      <c r="C392" s="3"/>
      <c r="D392" s="3"/>
      <c r="E392" s="3"/>
      <c r="F392" s="3"/>
    </row>
    <row r="393" spans="3:6" x14ac:dyDescent="0.35">
      <c r="C393" s="3"/>
      <c r="D393" s="3"/>
      <c r="E393" s="3"/>
      <c r="F393" s="3"/>
    </row>
    <row r="394" spans="3:6" x14ac:dyDescent="0.35">
      <c r="C394" s="3"/>
      <c r="D394" s="3"/>
      <c r="E394" s="3"/>
      <c r="F394" s="3"/>
    </row>
    <row r="395" spans="3:6" x14ac:dyDescent="0.35">
      <c r="C395" s="3"/>
      <c r="D395" s="3"/>
      <c r="E395" s="3"/>
      <c r="F395" s="3"/>
    </row>
    <row r="396" spans="3:6" x14ac:dyDescent="0.35">
      <c r="C396" s="3"/>
      <c r="D396" s="3"/>
      <c r="E396" s="3"/>
      <c r="F396" s="3"/>
    </row>
    <row r="397" spans="3:6" x14ac:dyDescent="0.35">
      <c r="C397" s="3"/>
      <c r="D397" s="3"/>
      <c r="E397" s="3"/>
      <c r="F397" s="3"/>
    </row>
    <row r="398" spans="3:6" x14ac:dyDescent="0.35">
      <c r="C398" s="3"/>
      <c r="D398" s="3"/>
      <c r="E398" s="3"/>
      <c r="F398" s="3"/>
    </row>
    <row r="399" spans="3:6" x14ac:dyDescent="0.35">
      <c r="C399" s="3"/>
      <c r="D399" s="3"/>
      <c r="E399" s="3"/>
      <c r="F399" s="3"/>
    </row>
    <row r="400" spans="3:6" x14ac:dyDescent="0.35">
      <c r="C400" s="3"/>
      <c r="D400" s="3"/>
      <c r="E400" s="3"/>
      <c r="F400" s="3"/>
    </row>
    <row r="401" spans="3:6" x14ac:dyDescent="0.35">
      <c r="C401" s="3"/>
      <c r="D401" s="3"/>
      <c r="E401" s="3"/>
      <c r="F401" s="3"/>
    </row>
    <row r="402" spans="3:6" x14ac:dyDescent="0.35">
      <c r="C402" s="3"/>
      <c r="D402" s="3"/>
      <c r="E402" s="3"/>
      <c r="F402" s="3"/>
    </row>
    <row r="403" spans="3:6" x14ac:dyDescent="0.35">
      <c r="C403" s="3"/>
      <c r="D403" s="3"/>
      <c r="E403" s="3"/>
      <c r="F403" s="3"/>
    </row>
    <row r="404" spans="3:6" x14ac:dyDescent="0.35">
      <c r="C404" s="3"/>
      <c r="D404" s="3"/>
      <c r="E404" s="3"/>
      <c r="F404" s="3"/>
    </row>
    <row r="405" spans="3:6" x14ac:dyDescent="0.35">
      <c r="C405" s="3"/>
      <c r="D405" s="3"/>
      <c r="E405" s="3"/>
      <c r="F405" s="3"/>
    </row>
    <row r="406" spans="3:6" x14ac:dyDescent="0.35">
      <c r="C406" s="3"/>
      <c r="D406" s="3"/>
      <c r="E406" s="3"/>
      <c r="F406" s="3"/>
    </row>
    <row r="407" spans="3:6" x14ac:dyDescent="0.35">
      <c r="C407" s="3"/>
      <c r="D407" s="3"/>
      <c r="E407" s="3"/>
      <c r="F407" s="3"/>
    </row>
    <row r="408" spans="3:6" x14ac:dyDescent="0.35">
      <c r="C408" s="3"/>
      <c r="D408" s="3"/>
      <c r="E408" s="3"/>
      <c r="F408" s="3"/>
    </row>
    <row r="409" spans="3:6" x14ac:dyDescent="0.35">
      <c r="C409" s="3"/>
      <c r="D409" s="3"/>
      <c r="E409" s="3"/>
      <c r="F409" s="3"/>
    </row>
    <row r="410" spans="3:6" x14ac:dyDescent="0.35">
      <c r="C410" s="3"/>
      <c r="D410" s="3"/>
      <c r="E410" s="3"/>
      <c r="F410" s="3"/>
    </row>
    <row r="411" spans="3:6" x14ac:dyDescent="0.35">
      <c r="C411" s="3"/>
      <c r="D411" s="3"/>
      <c r="E411" s="3"/>
      <c r="F411" s="3"/>
    </row>
    <row r="412" spans="3:6" x14ac:dyDescent="0.35">
      <c r="C412" s="3"/>
      <c r="D412" s="3"/>
      <c r="E412" s="3"/>
      <c r="F412" s="3"/>
    </row>
    <row r="413" spans="3:6" x14ac:dyDescent="0.35">
      <c r="C413" s="3"/>
      <c r="D413" s="3"/>
      <c r="E413" s="3"/>
      <c r="F413" s="3"/>
    </row>
    <row r="414" spans="3:6" x14ac:dyDescent="0.35">
      <c r="C414" s="3"/>
      <c r="D414" s="3"/>
      <c r="E414" s="3"/>
      <c r="F414" s="3"/>
    </row>
    <row r="415" spans="3:6" x14ac:dyDescent="0.35">
      <c r="C415" s="3"/>
      <c r="D415" s="3"/>
      <c r="E415" s="3"/>
      <c r="F415" s="3"/>
    </row>
    <row r="416" spans="3:6" x14ac:dyDescent="0.35">
      <c r="C416" s="3"/>
      <c r="D416" s="3"/>
      <c r="E416" s="3"/>
      <c r="F416" s="3"/>
    </row>
    <row r="417" spans="3:6" x14ac:dyDescent="0.35">
      <c r="C417" s="3"/>
      <c r="D417" s="3"/>
      <c r="E417" s="3"/>
      <c r="F417" s="3"/>
    </row>
    <row r="418" spans="3:6" x14ac:dyDescent="0.35">
      <c r="C418" s="3"/>
      <c r="D418" s="3"/>
      <c r="E418" s="3"/>
      <c r="F418" s="3"/>
    </row>
    <row r="419" spans="3:6" x14ac:dyDescent="0.35">
      <c r="C419" s="3"/>
      <c r="D419" s="3"/>
      <c r="E419" s="3"/>
      <c r="F419" s="3"/>
    </row>
    <row r="420" spans="3:6" x14ac:dyDescent="0.35">
      <c r="C420" s="3"/>
      <c r="D420" s="3"/>
      <c r="E420" s="3"/>
      <c r="F420" s="3"/>
    </row>
    <row r="421" spans="3:6" x14ac:dyDescent="0.35">
      <c r="C421" s="3"/>
      <c r="D421" s="3"/>
      <c r="E421" s="3"/>
      <c r="F421" s="3"/>
    </row>
    <row r="422" spans="3:6" x14ac:dyDescent="0.35">
      <c r="C422" s="3"/>
      <c r="D422" s="3"/>
      <c r="E422" s="3"/>
      <c r="F422" s="3"/>
    </row>
    <row r="423" spans="3:6" x14ac:dyDescent="0.35">
      <c r="C423" s="3"/>
      <c r="D423" s="3"/>
      <c r="E423" s="3"/>
      <c r="F423" s="3"/>
    </row>
    <row r="424" spans="3:6" x14ac:dyDescent="0.35">
      <c r="C424" s="3"/>
      <c r="D424" s="3"/>
      <c r="E424" s="3"/>
      <c r="F424" s="3"/>
    </row>
    <row r="425" spans="3:6" x14ac:dyDescent="0.35">
      <c r="C425" s="3"/>
      <c r="D425" s="3"/>
      <c r="E425" s="3"/>
      <c r="F425" s="3"/>
    </row>
    <row r="426" spans="3:6" x14ac:dyDescent="0.35">
      <c r="C426" s="3"/>
      <c r="D426" s="3"/>
      <c r="E426" s="3"/>
      <c r="F426" s="3"/>
    </row>
    <row r="427" spans="3:6" x14ac:dyDescent="0.35">
      <c r="C427" s="3"/>
      <c r="D427" s="3"/>
      <c r="E427" s="3"/>
      <c r="F427" s="3"/>
    </row>
    <row r="428" spans="3:6" x14ac:dyDescent="0.35">
      <c r="C428" s="3"/>
      <c r="D428" s="3"/>
      <c r="E428" s="3"/>
      <c r="F428" s="3"/>
    </row>
    <row r="429" spans="3:6" x14ac:dyDescent="0.35">
      <c r="C429" s="3"/>
      <c r="D429" s="3"/>
      <c r="E429" s="3"/>
      <c r="F429" s="3"/>
    </row>
    <row r="430" spans="3:6" x14ac:dyDescent="0.35">
      <c r="C430" s="3"/>
      <c r="D430" s="3"/>
      <c r="E430" s="3"/>
      <c r="F430" s="3"/>
    </row>
    <row r="431" spans="3:6" x14ac:dyDescent="0.35">
      <c r="C431" s="3"/>
      <c r="D431" s="3"/>
      <c r="E431" s="3"/>
      <c r="F431" s="3"/>
    </row>
    <row r="432" spans="3:6" x14ac:dyDescent="0.35">
      <c r="C432" s="3"/>
      <c r="D432" s="3"/>
      <c r="E432" s="3"/>
      <c r="F432" s="3"/>
    </row>
    <row r="433" spans="3:6" x14ac:dyDescent="0.35">
      <c r="C433" s="3"/>
      <c r="D433" s="3"/>
      <c r="E433" s="3"/>
      <c r="F433" s="3"/>
    </row>
    <row r="434" spans="3:6" x14ac:dyDescent="0.35">
      <c r="C434" s="3"/>
      <c r="D434" s="3"/>
      <c r="E434" s="3"/>
      <c r="F434" s="3"/>
    </row>
    <row r="435" spans="3:6" x14ac:dyDescent="0.35">
      <c r="C435" s="3"/>
      <c r="D435" s="3"/>
      <c r="E435" s="3"/>
      <c r="F435" s="3"/>
    </row>
    <row r="436" spans="3:6" x14ac:dyDescent="0.35">
      <c r="C436" s="3"/>
      <c r="D436" s="3"/>
      <c r="E436" s="3"/>
      <c r="F436" s="3"/>
    </row>
    <row r="437" spans="3:6" x14ac:dyDescent="0.35">
      <c r="C437" s="3"/>
      <c r="D437" s="3"/>
      <c r="E437" s="3"/>
      <c r="F437" s="3"/>
    </row>
    <row r="438" spans="3:6" x14ac:dyDescent="0.35">
      <c r="C438" s="3"/>
      <c r="D438" s="3"/>
      <c r="E438" s="3"/>
      <c r="F438" s="3"/>
    </row>
    <row r="439" spans="3:6" x14ac:dyDescent="0.35">
      <c r="C439" s="3"/>
      <c r="D439" s="3"/>
      <c r="E439" s="3"/>
      <c r="F439" s="3"/>
    </row>
    <row r="440" spans="3:6" x14ac:dyDescent="0.35">
      <c r="C440" s="3"/>
      <c r="D440" s="3"/>
      <c r="E440" s="3"/>
      <c r="F440" s="3"/>
    </row>
    <row r="441" spans="3:6" x14ac:dyDescent="0.35">
      <c r="C441" s="3"/>
      <c r="D441" s="3"/>
      <c r="E441" s="3"/>
      <c r="F441" s="3"/>
    </row>
    <row r="442" spans="3:6" x14ac:dyDescent="0.35">
      <c r="C442" s="3"/>
      <c r="D442" s="3"/>
      <c r="E442" s="3"/>
      <c r="F442" s="3"/>
    </row>
    <row r="443" spans="3:6" x14ac:dyDescent="0.35">
      <c r="C443" s="3"/>
      <c r="D443" s="3"/>
      <c r="E443" s="3"/>
      <c r="F443" s="3"/>
    </row>
    <row r="444" spans="3:6" x14ac:dyDescent="0.35">
      <c r="C444" s="3"/>
      <c r="D444" s="3"/>
      <c r="E444" s="3"/>
      <c r="F444" s="3"/>
    </row>
    <row r="445" spans="3:6" x14ac:dyDescent="0.35">
      <c r="C445" s="3"/>
      <c r="D445" s="3"/>
      <c r="E445" s="3"/>
      <c r="F445" s="3"/>
    </row>
    <row r="446" spans="3:6" x14ac:dyDescent="0.35">
      <c r="C446" s="3"/>
      <c r="D446" s="3"/>
      <c r="E446" s="3"/>
      <c r="F446" s="3"/>
    </row>
    <row r="447" spans="3:6" x14ac:dyDescent="0.35">
      <c r="C447" s="3"/>
      <c r="D447" s="3"/>
      <c r="E447" s="3"/>
      <c r="F447" s="3"/>
    </row>
    <row r="448" spans="3:6" x14ac:dyDescent="0.35">
      <c r="C448" s="3"/>
      <c r="D448" s="3"/>
      <c r="E448" s="3"/>
      <c r="F448" s="3"/>
    </row>
    <row r="449" spans="3:6" x14ac:dyDescent="0.35">
      <c r="C449" s="3"/>
      <c r="D449" s="3"/>
      <c r="E449" s="3"/>
      <c r="F449" s="3"/>
    </row>
    <row r="450" spans="3:6" x14ac:dyDescent="0.35">
      <c r="C450" s="3"/>
      <c r="D450" s="3"/>
      <c r="E450" s="3"/>
      <c r="F450" s="3"/>
    </row>
    <row r="451" spans="3:6" x14ac:dyDescent="0.35">
      <c r="C451" s="3"/>
      <c r="D451" s="3"/>
      <c r="E451" s="3"/>
      <c r="F451" s="3"/>
    </row>
    <row r="452" spans="3:6" x14ac:dyDescent="0.35">
      <c r="C452" s="3"/>
      <c r="D452" s="3"/>
      <c r="E452" s="3"/>
      <c r="F452" s="3"/>
    </row>
    <row r="453" spans="3:6" x14ac:dyDescent="0.35">
      <c r="C453" s="3"/>
      <c r="D453" s="3"/>
      <c r="E453" s="3"/>
      <c r="F453" s="3"/>
    </row>
    <row r="454" spans="3:6" x14ac:dyDescent="0.35">
      <c r="C454" s="3"/>
      <c r="D454" s="3"/>
      <c r="E454" s="3"/>
      <c r="F454" s="3"/>
    </row>
    <row r="455" spans="3:6" x14ac:dyDescent="0.35">
      <c r="C455" s="3"/>
      <c r="D455" s="3"/>
      <c r="E455" s="3"/>
      <c r="F455" s="3"/>
    </row>
    <row r="456" spans="3:6" x14ac:dyDescent="0.35">
      <c r="C456" s="3"/>
      <c r="D456" s="3"/>
      <c r="E456" s="3"/>
      <c r="F456" s="3"/>
    </row>
    <row r="457" spans="3:6" x14ac:dyDescent="0.35">
      <c r="C457" s="3"/>
      <c r="D457" s="3"/>
      <c r="E457" s="3"/>
      <c r="F457" s="3"/>
    </row>
    <row r="458" spans="3:6" x14ac:dyDescent="0.35">
      <c r="C458" s="3"/>
      <c r="D458" s="3"/>
      <c r="E458" s="3"/>
      <c r="F458" s="3"/>
    </row>
    <row r="459" spans="3:6" x14ac:dyDescent="0.35">
      <c r="C459" s="3"/>
      <c r="D459" s="3"/>
      <c r="E459" s="3"/>
      <c r="F459" s="3"/>
    </row>
    <row r="460" spans="3:6" x14ac:dyDescent="0.35">
      <c r="C460" s="3"/>
      <c r="D460" s="3"/>
      <c r="E460" s="3"/>
      <c r="F460" s="3"/>
    </row>
    <row r="461" spans="3:6" x14ac:dyDescent="0.35">
      <c r="C461" s="3"/>
      <c r="D461" s="3"/>
      <c r="E461" s="3"/>
      <c r="F461" s="3"/>
    </row>
    <row r="462" spans="3:6" x14ac:dyDescent="0.35">
      <c r="C462" s="3"/>
      <c r="D462" s="3"/>
      <c r="E462" s="3"/>
      <c r="F462" s="3"/>
    </row>
    <row r="463" spans="3:6" x14ac:dyDescent="0.35">
      <c r="C463" s="3"/>
      <c r="D463" s="3"/>
      <c r="E463" s="3"/>
      <c r="F463" s="3"/>
    </row>
    <row r="464" spans="3:6" x14ac:dyDescent="0.35">
      <c r="C464" s="3"/>
      <c r="D464" s="3"/>
      <c r="E464" s="3"/>
      <c r="F464" s="3"/>
    </row>
    <row r="465" spans="3:6" x14ac:dyDescent="0.35">
      <c r="C465" s="3"/>
      <c r="D465" s="3"/>
      <c r="E465" s="3"/>
      <c r="F465" s="3"/>
    </row>
    <row r="466" spans="3:6" x14ac:dyDescent="0.35">
      <c r="C466" s="3"/>
      <c r="D466" s="3"/>
      <c r="E466" s="3"/>
      <c r="F466" s="3"/>
    </row>
    <row r="467" spans="3:6" x14ac:dyDescent="0.35">
      <c r="C467" s="3"/>
      <c r="D467" s="3"/>
      <c r="E467" s="3"/>
      <c r="F467" s="3"/>
    </row>
    <row r="468" spans="3:6" x14ac:dyDescent="0.35">
      <c r="C468" s="3"/>
      <c r="D468" s="3"/>
      <c r="E468" s="3"/>
      <c r="F468" s="3"/>
    </row>
    <row r="469" spans="3:6" x14ac:dyDescent="0.35">
      <c r="C469" s="3"/>
      <c r="D469" s="3"/>
      <c r="E469" s="3"/>
      <c r="F469" s="3"/>
    </row>
    <row r="470" spans="3:6" x14ac:dyDescent="0.35">
      <c r="C470" s="3"/>
      <c r="D470" s="3"/>
      <c r="E470" s="3"/>
      <c r="F470" s="3"/>
    </row>
    <row r="471" spans="3:6" x14ac:dyDescent="0.35">
      <c r="C471" s="3"/>
      <c r="D471" s="3"/>
      <c r="E471" s="3"/>
      <c r="F471" s="3"/>
    </row>
    <row r="472" spans="3:6" x14ac:dyDescent="0.35">
      <c r="C472" s="3"/>
      <c r="D472" s="3"/>
      <c r="E472" s="3"/>
      <c r="F472" s="3"/>
    </row>
    <row r="473" spans="3:6" x14ac:dyDescent="0.35">
      <c r="C473" s="3"/>
      <c r="D473" s="3"/>
      <c r="E473" s="3"/>
      <c r="F473" s="3"/>
    </row>
    <row r="474" spans="3:6" x14ac:dyDescent="0.35">
      <c r="C474" s="3"/>
      <c r="D474" s="3"/>
      <c r="E474" s="3"/>
      <c r="F474" s="3"/>
    </row>
    <row r="475" spans="3:6" x14ac:dyDescent="0.35">
      <c r="C475" s="3"/>
      <c r="D475" s="3"/>
      <c r="E475" s="3"/>
      <c r="F475" s="3"/>
    </row>
    <row r="476" spans="3:6" x14ac:dyDescent="0.35">
      <c r="C476" s="3"/>
      <c r="D476" s="3"/>
      <c r="E476" s="3"/>
      <c r="F476" s="3"/>
    </row>
    <row r="477" spans="3:6" x14ac:dyDescent="0.35">
      <c r="C477" s="3"/>
      <c r="D477" s="3"/>
      <c r="E477" s="3"/>
      <c r="F477" s="3"/>
    </row>
    <row r="478" spans="3:6" x14ac:dyDescent="0.35">
      <c r="C478" s="3"/>
      <c r="D478" s="3"/>
      <c r="E478" s="3"/>
      <c r="F478" s="3"/>
    </row>
    <row r="479" spans="3:6" x14ac:dyDescent="0.35">
      <c r="C479" s="3"/>
      <c r="D479" s="3"/>
      <c r="E479" s="3"/>
      <c r="F479" s="3"/>
    </row>
    <row r="480" spans="3:6" x14ac:dyDescent="0.35">
      <c r="C480" s="3"/>
      <c r="D480" s="3"/>
      <c r="E480" s="3"/>
      <c r="F480" s="3"/>
    </row>
    <row r="481" spans="3:6" x14ac:dyDescent="0.35">
      <c r="C481" s="3"/>
      <c r="D481" s="3"/>
      <c r="E481" s="3"/>
      <c r="F481" s="3"/>
    </row>
    <row r="482" spans="3:6" x14ac:dyDescent="0.35">
      <c r="C482" s="3"/>
      <c r="D482" s="3"/>
      <c r="E482" s="3"/>
      <c r="F482" s="3"/>
    </row>
    <row r="483" spans="3:6" x14ac:dyDescent="0.35">
      <c r="C483" s="3"/>
      <c r="D483" s="3"/>
      <c r="E483" s="3"/>
      <c r="F483" s="3"/>
    </row>
    <row r="484" spans="3:6" x14ac:dyDescent="0.35">
      <c r="C484" s="3"/>
      <c r="D484" s="3"/>
      <c r="E484" s="3"/>
      <c r="F484" s="3"/>
    </row>
    <row r="485" spans="3:6" x14ac:dyDescent="0.35">
      <c r="C485" s="3"/>
      <c r="D485" s="3"/>
      <c r="E485" s="3"/>
      <c r="F485" s="3"/>
    </row>
    <row r="486" spans="3:6" x14ac:dyDescent="0.35">
      <c r="C486" s="3"/>
      <c r="D486" s="3"/>
      <c r="E486" s="3"/>
      <c r="F486" s="3"/>
    </row>
    <row r="487" spans="3:6" x14ac:dyDescent="0.35">
      <c r="C487" s="3"/>
      <c r="D487" s="3"/>
      <c r="E487" s="3"/>
      <c r="F487" s="3"/>
    </row>
    <row r="488" spans="3:6" x14ac:dyDescent="0.35">
      <c r="C488" s="3"/>
      <c r="D488" s="3"/>
      <c r="E488" s="3"/>
      <c r="F488" s="3"/>
    </row>
    <row r="489" spans="3:6" x14ac:dyDescent="0.35">
      <c r="C489" s="3"/>
      <c r="D489" s="3"/>
      <c r="E489" s="3"/>
      <c r="F489" s="3"/>
    </row>
    <row r="490" spans="3:6" x14ac:dyDescent="0.35">
      <c r="C490" s="3"/>
      <c r="D490" s="3"/>
      <c r="E490" s="3"/>
      <c r="F490" s="3"/>
    </row>
    <row r="491" spans="3:6" x14ac:dyDescent="0.35">
      <c r="C491" s="3"/>
      <c r="D491" s="3"/>
      <c r="E491" s="3"/>
      <c r="F491" s="3"/>
    </row>
    <row r="492" spans="3:6" x14ac:dyDescent="0.35">
      <c r="C492" s="3"/>
      <c r="D492" s="3"/>
      <c r="E492" s="3"/>
      <c r="F492" s="3"/>
    </row>
    <row r="493" spans="3:6" x14ac:dyDescent="0.35">
      <c r="C493" s="3"/>
      <c r="D493" s="3"/>
      <c r="E493" s="3"/>
      <c r="F493" s="3"/>
    </row>
    <row r="494" spans="3:6" x14ac:dyDescent="0.35">
      <c r="C494" s="3"/>
      <c r="D494" s="3"/>
      <c r="E494" s="3"/>
      <c r="F494" s="3"/>
    </row>
    <row r="495" spans="3:6" x14ac:dyDescent="0.35">
      <c r="C495" s="3"/>
      <c r="D495" s="3"/>
      <c r="E495" s="3"/>
      <c r="F495" s="3"/>
    </row>
    <row r="496" spans="3:6" x14ac:dyDescent="0.35">
      <c r="C496" s="3"/>
      <c r="D496" s="3"/>
      <c r="E496" s="3"/>
      <c r="F496" s="3"/>
    </row>
    <row r="497" spans="3:6" x14ac:dyDescent="0.35">
      <c r="C497" s="3"/>
      <c r="D497" s="3"/>
      <c r="E497" s="3"/>
      <c r="F497" s="3"/>
    </row>
    <row r="498" spans="3:6" x14ac:dyDescent="0.35">
      <c r="C498" s="3"/>
      <c r="D498" s="3"/>
      <c r="E498" s="3"/>
      <c r="F498" s="3"/>
    </row>
    <row r="499" spans="3:6" x14ac:dyDescent="0.35">
      <c r="C499" s="3"/>
      <c r="D499" s="3"/>
      <c r="E499" s="3"/>
      <c r="F499" s="3"/>
    </row>
    <row r="500" spans="3:6" x14ac:dyDescent="0.35">
      <c r="C500" s="3"/>
      <c r="D500" s="3"/>
      <c r="E500" s="3"/>
      <c r="F500" s="3"/>
    </row>
    <row r="501" spans="3:6" x14ac:dyDescent="0.35">
      <c r="C501" s="3"/>
      <c r="D501" s="3"/>
      <c r="E501" s="3"/>
      <c r="F501" s="3"/>
    </row>
    <row r="502" spans="3:6" x14ac:dyDescent="0.35">
      <c r="C502" s="3"/>
      <c r="D502" s="3"/>
      <c r="E502" s="3"/>
      <c r="F502" s="3"/>
    </row>
    <row r="503" spans="3:6" x14ac:dyDescent="0.35">
      <c r="C503" s="3"/>
      <c r="D503" s="3"/>
      <c r="E503" s="3"/>
      <c r="F503" s="3"/>
    </row>
    <row r="504" spans="3:6" x14ac:dyDescent="0.35">
      <c r="C504" s="3"/>
      <c r="D504" s="3"/>
      <c r="E504" s="3"/>
      <c r="F504" s="3"/>
    </row>
    <row r="505" spans="3:6" x14ac:dyDescent="0.35">
      <c r="C505" s="3"/>
      <c r="D505" s="3"/>
      <c r="E505" s="3"/>
      <c r="F505" s="3"/>
    </row>
    <row r="506" spans="3:6" x14ac:dyDescent="0.35">
      <c r="C506" s="3"/>
      <c r="D506" s="3"/>
      <c r="E506" s="3"/>
      <c r="F506" s="3"/>
    </row>
    <row r="507" spans="3:6" x14ac:dyDescent="0.35">
      <c r="C507" s="3"/>
      <c r="D507" s="3"/>
      <c r="E507" s="3"/>
      <c r="F507" s="3"/>
    </row>
    <row r="508" spans="3:6" x14ac:dyDescent="0.35">
      <c r="C508" s="3"/>
      <c r="D508" s="3"/>
      <c r="E508" s="3"/>
      <c r="F508" s="3"/>
    </row>
    <row r="509" spans="3:6" x14ac:dyDescent="0.35">
      <c r="C509" s="3"/>
      <c r="D509" s="3"/>
      <c r="E509" s="3"/>
      <c r="F509" s="3"/>
    </row>
    <row r="510" spans="3:6" x14ac:dyDescent="0.35">
      <c r="C510" s="3"/>
      <c r="D510" s="3"/>
      <c r="E510" s="3"/>
      <c r="F510" s="3"/>
    </row>
    <row r="511" spans="3:6" x14ac:dyDescent="0.35">
      <c r="C511" s="3"/>
      <c r="D511" s="3"/>
      <c r="E511" s="3"/>
      <c r="F511" s="3"/>
    </row>
    <row r="512" spans="3:6" x14ac:dyDescent="0.35">
      <c r="C512" s="3"/>
      <c r="D512" s="3"/>
      <c r="E512" s="3"/>
      <c r="F512" s="3"/>
    </row>
    <row r="513" spans="3:6" x14ac:dyDescent="0.35">
      <c r="C513" s="3"/>
      <c r="D513" s="3"/>
      <c r="E513" s="3"/>
      <c r="F513" s="3"/>
    </row>
    <row r="514" spans="3:6" x14ac:dyDescent="0.35">
      <c r="C514" s="3"/>
      <c r="D514" s="3"/>
      <c r="E514" s="3"/>
      <c r="F514" s="3"/>
    </row>
    <row r="515" spans="3:6" x14ac:dyDescent="0.35">
      <c r="C515" s="3"/>
      <c r="D515" s="3"/>
      <c r="E515" s="3"/>
      <c r="F515" s="3"/>
    </row>
    <row r="516" spans="3:6" x14ac:dyDescent="0.35">
      <c r="C516" s="3"/>
      <c r="D516" s="3"/>
      <c r="E516" s="3"/>
      <c r="F516" s="3"/>
    </row>
    <row r="517" spans="3:6" x14ac:dyDescent="0.35">
      <c r="C517" s="3"/>
      <c r="D517" s="3"/>
      <c r="E517" s="3"/>
      <c r="F517" s="3"/>
    </row>
    <row r="518" spans="3:6" x14ac:dyDescent="0.35">
      <c r="C518" s="3"/>
      <c r="D518" s="3"/>
      <c r="E518" s="3"/>
      <c r="F518" s="3"/>
    </row>
    <row r="519" spans="3:6" x14ac:dyDescent="0.35">
      <c r="C519" s="3"/>
      <c r="D519" s="3"/>
      <c r="E519" s="3"/>
      <c r="F519" s="3"/>
    </row>
    <row r="520" spans="3:6" x14ac:dyDescent="0.35">
      <c r="C520" s="3"/>
      <c r="D520" s="3"/>
      <c r="E520" s="3"/>
      <c r="F520" s="3"/>
    </row>
    <row r="521" spans="3:6" x14ac:dyDescent="0.35">
      <c r="C521" s="3"/>
      <c r="D521" s="3"/>
      <c r="E521" s="3"/>
      <c r="F521" s="3"/>
    </row>
    <row r="522" spans="3:6" x14ac:dyDescent="0.35">
      <c r="C522" s="3"/>
      <c r="D522" s="3"/>
      <c r="E522" s="3"/>
      <c r="F522" s="3"/>
    </row>
    <row r="523" spans="3:6" x14ac:dyDescent="0.35">
      <c r="C523" s="3"/>
      <c r="D523" s="3"/>
      <c r="E523" s="3"/>
      <c r="F523" s="3"/>
    </row>
    <row r="524" spans="3:6" x14ac:dyDescent="0.35">
      <c r="C524" s="3"/>
      <c r="D524" s="3"/>
      <c r="E524" s="3"/>
      <c r="F524" s="3"/>
    </row>
    <row r="525" spans="3:6" x14ac:dyDescent="0.35">
      <c r="C525" s="3"/>
      <c r="D525" s="3"/>
      <c r="E525" s="3"/>
      <c r="F525" s="3"/>
    </row>
    <row r="526" spans="3:6" x14ac:dyDescent="0.35">
      <c r="C526" s="3"/>
      <c r="D526" s="3"/>
      <c r="E526" s="3"/>
      <c r="F526" s="3"/>
    </row>
    <row r="527" spans="3:6" x14ac:dyDescent="0.35">
      <c r="C527" s="3"/>
      <c r="D527" s="3"/>
      <c r="E527" s="3"/>
      <c r="F527" s="3"/>
    </row>
    <row r="528" spans="3:6" x14ac:dyDescent="0.35">
      <c r="C528" s="3"/>
      <c r="D528" s="3"/>
      <c r="E528" s="3"/>
      <c r="F528" s="3"/>
    </row>
    <row r="529" spans="3:6" x14ac:dyDescent="0.35">
      <c r="C529" s="3"/>
      <c r="D529" s="3"/>
      <c r="E529" s="3"/>
      <c r="F529" s="3"/>
    </row>
    <row r="530" spans="3:6" x14ac:dyDescent="0.35">
      <c r="C530" s="3"/>
      <c r="D530" s="3"/>
      <c r="E530" s="3"/>
      <c r="F530" s="3"/>
    </row>
    <row r="531" spans="3:6" x14ac:dyDescent="0.35">
      <c r="C531" s="3"/>
      <c r="D531" s="3"/>
      <c r="E531" s="3"/>
      <c r="F531" s="3"/>
    </row>
    <row r="532" spans="3:6" x14ac:dyDescent="0.35">
      <c r="C532" s="3"/>
      <c r="D532" s="3"/>
      <c r="E532" s="3"/>
      <c r="F532" s="3"/>
    </row>
    <row r="533" spans="3:6" x14ac:dyDescent="0.35">
      <c r="C533" s="3"/>
      <c r="D533" s="3"/>
      <c r="E533" s="3"/>
      <c r="F533" s="3"/>
    </row>
    <row r="534" spans="3:6" x14ac:dyDescent="0.35">
      <c r="C534" s="3"/>
      <c r="D534" s="3"/>
      <c r="E534" s="3"/>
      <c r="F534" s="3"/>
    </row>
    <row r="535" spans="3:6" x14ac:dyDescent="0.35">
      <c r="C535" s="3"/>
      <c r="D535" s="3"/>
      <c r="E535" s="3"/>
      <c r="F535" s="3"/>
    </row>
    <row r="536" spans="3:6" x14ac:dyDescent="0.35">
      <c r="C536" s="3"/>
      <c r="D536" s="3"/>
      <c r="E536" s="3"/>
      <c r="F536" s="3"/>
    </row>
    <row r="537" spans="3:6" x14ac:dyDescent="0.35">
      <c r="C537" s="3"/>
      <c r="D537" s="3"/>
      <c r="E537" s="3"/>
      <c r="F537" s="3"/>
    </row>
    <row r="538" spans="3:6" x14ac:dyDescent="0.35">
      <c r="C538" s="3"/>
      <c r="D538" s="3"/>
      <c r="E538" s="3"/>
      <c r="F538" s="3"/>
    </row>
    <row r="539" spans="3:6" x14ac:dyDescent="0.35">
      <c r="C539" s="3"/>
      <c r="D539" s="3"/>
      <c r="E539" s="3"/>
      <c r="F539" s="3"/>
    </row>
    <row r="540" spans="3:6" x14ac:dyDescent="0.35">
      <c r="C540" s="3"/>
      <c r="D540" s="3"/>
      <c r="E540" s="3"/>
      <c r="F540" s="3"/>
    </row>
    <row r="541" spans="3:6" x14ac:dyDescent="0.35">
      <c r="C541" s="3"/>
      <c r="D541" s="3"/>
      <c r="E541" s="3"/>
      <c r="F541" s="3"/>
    </row>
    <row r="542" spans="3:6" x14ac:dyDescent="0.35">
      <c r="C542" s="3"/>
      <c r="D542" s="3"/>
      <c r="E542" s="3"/>
      <c r="F542" s="3"/>
    </row>
    <row r="543" spans="3:6" x14ac:dyDescent="0.35">
      <c r="C543" s="3"/>
      <c r="D543" s="3"/>
      <c r="E543" s="3"/>
      <c r="F543" s="3"/>
    </row>
    <row r="544" spans="3:6" x14ac:dyDescent="0.35">
      <c r="C544" s="3"/>
      <c r="D544" s="3"/>
      <c r="E544" s="3"/>
      <c r="F544" s="3"/>
    </row>
    <row r="545" spans="3:6" x14ac:dyDescent="0.35">
      <c r="C545" s="3"/>
      <c r="D545" s="3"/>
      <c r="E545" s="3"/>
      <c r="F545" s="3"/>
    </row>
    <row r="546" spans="3:6" x14ac:dyDescent="0.35">
      <c r="C546" s="3"/>
      <c r="D546" s="3"/>
      <c r="E546" s="3"/>
      <c r="F546" s="3"/>
    </row>
    <row r="547" spans="3:6" x14ac:dyDescent="0.35">
      <c r="C547" s="3"/>
      <c r="D547" s="3"/>
      <c r="E547" s="3"/>
      <c r="F547" s="3"/>
    </row>
    <row r="548" spans="3:6" x14ac:dyDescent="0.35">
      <c r="C548" s="3"/>
      <c r="D548" s="3"/>
      <c r="E548" s="3"/>
      <c r="F548" s="3"/>
    </row>
    <row r="549" spans="3:6" x14ac:dyDescent="0.35">
      <c r="C549" s="3"/>
      <c r="D549" s="3"/>
      <c r="E549" s="3"/>
      <c r="F549" s="3"/>
    </row>
    <row r="550" spans="3:6" x14ac:dyDescent="0.35">
      <c r="C550" s="3"/>
      <c r="D550" s="3"/>
      <c r="E550" s="3"/>
      <c r="F550" s="3"/>
    </row>
    <row r="551" spans="3:6" x14ac:dyDescent="0.35">
      <c r="C551" s="3"/>
      <c r="D551" s="3"/>
      <c r="E551" s="3"/>
      <c r="F551" s="3"/>
    </row>
    <row r="552" spans="3:6" x14ac:dyDescent="0.35">
      <c r="C552" s="3"/>
      <c r="D552" s="3"/>
      <c r="E552" s="3"/>
      <c r="F552" s="3"/>
    </row>
    <row r="553" spans="3:6" x14ac:dyDescent="0.35">
      <c r="C553" s="3"/>
      <c r="D553" s="3"/>
      <c r="E553" s="3"/>
      <c r="F553" s="3"/>
    </row>
    <row r="554" spans="3:6" x14ac:dyDescent="0.35">
      <c r="C554" s="3"/>
      <c r="D554" s="3"/>
      <c r="E554" s="3"/>
      <c r="F554" s="3"/>
    </row>
    <row r="555" spans="3:6" x14ac:dyDescent="0.35">
      <c r="C555" s="3"/>
      <c r="D555" s="3"/>
      <c r="E555" s="3"/>
      <c r="F555" s="3"/>
    </row>
    <row r="556" spans="3:6" x14ac:dyDescent="0.35">
      <c r="C556" s="3"/>
      <c r="D556" s="3"/>
      <c r="E556" s="3"/>
      <c r="F556" s="3"/>
    </row>
    <row r="557" spans="3:6" x14ac:dyDescent="0.35">
      <c r="C557" s="3"/>
      <c r="D557" s="3"/>
      <c r="E557" s="3"/>
      <c r="F557" s="3"/>
    </row>
    <row r="558" spans="3:6" x14ac:dyDescent="0.35">
      <c r="C558" s="3"/>
      <c r="D558" s="3"/>
      <c r="E558" s="3"/>
      <c r="F558" s="3"/>
    </row>
    <row r="559" spans="3:6" x14ac:dyDescent="0.35">
      <c r="C559" s="3"/>
      <c r="D559" s="3"/>
      <c r="E559" s="3"/>
      <c r="F559" s="3"/>
    </row>
    <row r="560" spans="3:6" x14ac:dyDescent="0.35">
      <c r="C560" s="3"/>
      <c r="D560" s="3"/>
      <c r="E560" s="3"/>
      <c r="F560" s="3"/>
    </row>
    <row r="561" spans="3:6" x14ac:dyDescent="0.35">
      <c r="C561" s="3"/>
      <c r="D561" s="3"/>
      <c r="E561" s="3"/>
      <c r="F561" s="3"/>
    </row>
    <row r="562" spans="3:6" x14ac:dyDescent="0.35">
      <c r="C562" s="3"/>
      <c r="D562" s="3"/>
      <c r="E562" s="3"/>
      <c r="F562" s="3"/>
    </row>
    <row r="563" spans="3:6" x14ac:dyDescent="0.35">
      <c r="C563" s="3"/>
      <c r="D563" s="3"/>
      <c r="E563" s="3"/>
      <c r="F563" s="3"/>
    </row>
    <row r="564" spans="3:6" x14ac:dyDescent="0.35">
      <c r="C564" s="3"/>
      <c r="D564" s="3"/>
      <c r="E564" s="3"/>
      <c r="F564" s="3"/>
    </row>
    <row r="565" spans="3:6" x14ac:dyDescent="0.35">
      <c r="C565" s="3"/>
      <c r="D565" s="3"/>
      <c r="E565" s="3"/>
      <c r="F565" s="3"/>
    </row>
    <row r="566" spans="3:6" x14ac:dyDescent="0.35">
      <c r="C566" s="3"/>
      <c r="D566" s="3"/>
      <c r="E566" s="3"/>
      <c r="F566" s="3"/>
    </row>
    <row r="567" spans="3:6" x14ac:dyDescent="0.35">
      <c r="C567" s="3"/>
      <c r="D567" s="3"/>
      <c r="E567" s="3"/>
      <c r="F567" s="3"/>
    </row>
    <row r="568" spans="3:6" x14ac:dyDescent="0.35">
      <c r="C568" s="3"/>
      <c r="D568" s="3"/>
      <c r="E568" s="3"/>
      <c r="F568" s="3"/>
    </row>
    <row r="569" spans="3:6" x14ac:dyDescent="0.35">
      <c r="C569" s="3"/>
      <c r="D569" s="3"/>
      <c r="E569" s="3"/>
      <c r="F569" s="3"/>
    </row>
    <row r="570" spans="3:6" x14ac:dyDescent="0.35">
      <c r="C570" s="3"/>
      <c r="D570" s="3"/>
      <c r="E570" s="3"/>
      <c r="F570" s="3"/>
    </row>
    <row r="571" spans="3:6" x14ac:dyDescent="0.35">
      <c r="C571" s="3"/>
      <c r="D571" s="3"/>
      <c r="E571" s="3"/>
      <c r="F571" s="3"/>
    </row>
    <row r="572" spans="3:6" x14ac:dyDescent="0.35">
      <c r="C572" s="3"/>
      <c r="D572" s="3"/>
      <c r="E572" s="3"/>
      <c r="F572" s="3"/>
    </row>
    <row r="573" spans="3:6" x14ac:dyDescent="0.35">
      <c r="C573" s="3"/>
      <c r="D573" s="3"/>
      <c r="E573" s="3"/>
      <c r="F573" s="3"/>
    </row>
    <row r="574" spans="3:6" x14ac:dyDescent="0.35">
      <c r="C574" s="3"/>
      <c r="D574" s="3"/>
      <c r="E574" s="3"/>
      <c r="F574" s="3"/>
    </row>
    <row r="575" spans="3:6" x14ac:dyDescent="0.35">
      <c r="C575" s="3"/>
      <c r="D575" s="3"/>
      <c r="E575" s="3"/>
      <c r="F575" s="3"/>
    </row>
    <row r="576" spans="3:6" x14ac:dyDescent="0.35">
      <c r="C576" s="3"/>
      <c r="D576" s="3"/>
      <c r="E576" s="3"/>
      <c r="F576" s="3"/>
    </row>
    <row r="577" spans="3:6" x14ac:dyDescent="0.35">
      <c r="C577" s="3"/>
      <c r="D577" s="3"/>
      <c r="E577" s="3"/>
      <c r="F577" s="3"/>
    </row>
    <row r="578" spans="3:6" x14ac:dyDescent="0.35">
      <c r="C578" s="3"/>
      <c r="D578" s="3"/>
      <c r="E578" s="3"/>
      <c r="F578" s="3"/>
    </row>
    <row r="579" spans="3:6" x14ac:dyDescent="0.35">
      <c r="C579" s="3"/>
      <c r="D579" s="3"/>
      <c r="E579" s="3"/>
      <c r="F579" s="3"/>
    </row>
    <row r="580" spans="3:6" x14ac:dyDescent="0.35">
      <c r="C580" s="3"/>
      <c r="D580" s="3"/>
      <c r="E580" s="3"/>
      <c r="F580" s="3"/>
    </row>
    <row r="581" spans="3:6" x14ac:dyDescent="0.35">
      <c r="C581" s="3"/>
      <c r="D581" s="3"/>
      <c r="E581" s="3"/>
      <c r="F581" s="3"/>
    </row>
    <row r="582" spans="3:6" x14ac:dyDescent="0.35">
      <c r="C582" s="3"/>
      <c r="D582" s="3"/>
      <c r="E582" s="3"/>
      <c r="F582" s="3"/>
    </row>
    <row r="583" spans="3:6" x14ac:dyDescent="0.35">
      <c r="C583" s="3"/>
      <c r="D583" s="3"/>
      <c r="E583" s="3"/>
      <c r="F583" s="3"/>
    </row>
    <row r="584" spans="3:6" x14ac:dyDescent="0.35">
      <c r="C584" s="3"/>
      <c r="D584" s="3"/>
      <c r="E584" s="3"/>
      <c r="F584" s="3"/>
    </row>
    <row r="585" spans="3:6" x14ac:dyDescent="0.35">
      <c r="C585" s="3"/>
      <c r="D585" s="3"/>
      <c r="E585" s="3"/>
      <c r="F585" s="3"/>
    </row>
    <row r="586" spans="3:6" x14ac:dyDescent="0.35">
      <c r="C586" s="3"/>
      <c r="D586" s="3"/>
      <c r="E586" s="3"/>
      <c r="F586" s="3"/>
    </row>
    <row r="587" spans="3:6" x14ac:dyDescent="0.35">
      <c r="C587" s="3"/>
      <c r="D587" s="3"/>
      <c r="E587" s="3"/>
      <c r="F587" s="3"/>
    </row>
    <row r="588" spans="3:6" x14ac:dyDescent="0.35">
      <c r="C588" s="3"/>
      <c r="D588" s="3"/>
      <c r="E588" s="3"/>
      <c r="F588" s="3"/>
    </row>
    <row r="589" spans="3:6" x14ac:dyDescent="0.35">
      <c r="C589" s="3"/>
      <c r="D589" s="3"/>
      <c r="E589" s="3"/>
      <c r="F589" s="3"/>
    </row>
    <row r="590" spans="3:6" x14ac:dyDescent="0.35">
      <c r="C590" s="3"/>
      <c r="D590" s="3"/>
      <c r="E590" s="3"/>
      <c r="F590" s="3"/>
    </row>
    <row r="591" spans="3:6" x14ac:dyDescent="0.35">
      <c r="C591" s="3"/>
      <c r="D591" s="3"/>
      <c r="E591" s="3"/>
      <c r="F591" s="3"/>
    </row>
    <row r="592" spans="3:6" x14ac:dyDescent="0.35">
      <c r="C592" s="3"/>
      <c r="D592" s="3"/>
      <c r="E592" s="3"/>
      <c r="F592" s="3"/>
    </row>
    <row r="593" spans="3:6" x14ac:dyDescent="0.35">
      <c r="C593" s="3"/>
      <c r="D593" s="3"/>
      <c r="E593" s="3"/>
      <c r="F593" s="3"/>
    </row>
    <row r="594" spans="3:6" x14ac:dyDescent="0.35">
      <c r="C594" s="3"/>
      <c r="D594" s="3"/>
      <c r="E594" s="3"/>
      <c r="F594" s="3"/>
    </row>
    <row r="595" spans="3:6" x14ac:dyDescent="0.35">
      <c r="C595" s="3"/>
      <c r="D595" s="3"/>
      <c r="E595" s="3"/>
      <c r="F595" s="3"/>
    </row>
    <row r="596" spans="3:6" x14ac:dyDescent="0.35">
      <c r="C596" s="3"/>
      <c r="D596" s="3"/>
      <c r="E596" s="3"/>
      <c r="F596" s="3"/>
    </row>
    <row r="597" spans="3:6" x14ac:dyDescent="0.35">
      <c r="C597" s="3"/>
      <c r="D597" s="3"/>
      <c r="E597" s="3"/>
      <c r="F597" s="3"/>
    </row>
    <row r="598" spans="3:6" x14ac:dyDescent="0.35">
      <c r="C598" s="3"/>
      <c r="D598" s="3"/>
      <c r="E598" s="3"/>
      <c r="F598" s="3"/>
    </row>
    <row r="599" spans="3:6" x14ac:dyDescent="0.35">
      <c r="C599" s="3"/>
      <c r="D599" s="3"/>
      <c r="E599" s="3"/>
      <c r="F599" s="3"/>
    </row>
    <row r="600" spans="3:6" x14ac:dyDescent="0.35">
      <c r="C600" s="3"/>
      <c r="D600" s="3"/>
      <c r="E600" s="3"/>
      <c r="F600" s="3"/>
    </row>
    <row r="601" spans="3:6" x14ac:dyDescent="0.35">
      <c r="C601" s="3"/>
      <c r="D601" s="3"/>
      <c r="E601" s="3"/>
      <c r="F601" s="3"/>
    </row>
    <row r="602" spans="3:6" x14ac:dyDescent="0.35">
      <c r="C602" s="3"/>
      <c r="D602" s="3"/>
      <c r="E602" s="3"/>
      <c r="F602" s="3"/>
    </row>
    <row r="603" spans="3:6" x14ac:dyDescent="0.35">
      <c r="C603" s="3"/>
      <c r="D603" s="3"/>
      <c r="E603" s="3"/>
      <c r="F603" s="3"/>
    </row>
    <row r="604" spans="3:6" x14ac:dyDescent="0.35">
      <c r="C604" s="3"/>
      <c r="D604" s="3"/>
      <c r="E604" s="3"/>
      <c r="F604" s="3"/>
    </row>
    <row r="605" spans="3:6" x14ac:dyDescent="0.35">
      <c r="C605" s="3"/>
      <c r="D605" s="3"/>
      <c r="E605" s="3"/>
      <c r="F605" s="3"/>
    </row>
    <row r="606" spans="3:6" x14ac:dyDescent="0.35">
      <c r="C606" s="3"/>
      <c r="D606" s="3"/>
      <c r="E606" s="3"/>
      <c r="F606" s="3"/>
    </row>
    <row r="607" spans="3:6" x14ac:dyDescent="0.35">
      <c r="C607" s="3"/>
      <c r="D607" s="3"/>
      <c r="E607" s="3"/>
      <c r="F607" s="3"/>
    </row>
    <row r="608" spans="3:6" x14ac:dyDescent="0.35">
      <c r="C608" s="3"/>
      <c r="D608" s="3"/>
      <c r="E608" s="3"/>
      <c r="F608" s="3"/>
    </row>
    <row r="609" spans="3:6" x14ac:dyDescent="0.35">
      <c r="C609" s="3"/>
      <c r="D609" s="3"/>
      <c r="E609" s="3"/>
      <c r="F609" s="3"/>
    </row>
    <row r="610" spans="3:6" x14ac:dyDescent="0.35">
      <c r="C610" s="3"/>
      <c r="D610" s="3"/>
      <c r="E610" s="3"/>
      <c r="F610" s="3"/>
    </row>
    <row r="611" spans="3:6" x14ac:dyDescent="0.35">
      <c r="C611" s="3"/>
      <c r="D611" s="3"/>
      <c r="E611" s="3"/>
      <c r="F611" s="3"/>
    </row>
    <row r="612" spans="3:6" x14ac:dyDescent="0.35">
      <c r="C612" s="3"/>
      <c r="D612" s="3"/>
      <c r="E612" s="3"/>
      <c r="F612" s="3"/>
    </row>
    <row r="613" spans="3:6" x14ac:dyDescent="0.35">
      <c r="C613" s="3"/>
      <c r="D613" s="3"/>
      <c r="E613" s="3"/>
      <c r="F613" s="3"/>
    </row>
    <row r="614" spans="3:6" x14ac:dyDescent="0.35">
      <c r="C614" s="3"/>
      <c r="D614" s="3"/>
      <c r="E614" s="3"/>
      <c r="F614" s="3"/>
    </row>
    <row r="615" spans="3:6" x14ac:dyDescent="0.35">
      <c r="C615" s="3"/>
      <c r="D615" s="3"/>
      <c r="E615" s="3"/>
      <c r="F615" s="3"/>
    </row>
    <row r="616" spans="3:6" x14ac:dyDescent="0.35">
      <c r="C616" s="3"/>
      <c r="D616" s="3"/>
      <c r="E616" s="3"/>
      <c r="F616" s="3"/>
    </row>
    <row r="617" spans="3:6" x14ac:dyDescent="0.35">
      <c r="C617" s="3"/>
      <c r="D617" s="3"/>
      <c r="E617" s="3"/>
      <c r="F617" s="3"/>
    </row>
    <row r="618" spans="3:6" x14ac:dyDescent="0.35">
      <c r="C618" s="3"/>
      <c r="D618" s="3"/>
      <c r="E618" s="3"/>
      <c r="F618" s="3"/>
    </row>
    <row r="619" spans="3:6" x14ac:dyDescent="0.35">
      <c r="C619" s="3"/>
      <c r="D619" s="3"/>
      <c r="E619" s="3"/>
      <c r="F619" s="3"/>
    </row>
    <row r="620" spans="3:6" x14ac:dyDescent="0.35">
      <c r="C620" s="3"/>
      <c r="D620" s="3"/>
      <c r="E620" s="3"/>
      <c r="F620" s="3"/>
    </row>
    <row r="621" spans="3:6" x14ac:dyDescent="0.35">
      <c r="C621" s="3"/>
      <c r="D621" s="3"/>
      <c r="E621" s="3"/>
      <c r="F621" s="3"/>
    </row>
    <row r="622" spans="3:6" x14ac:dyDescent="0.35">
      <c r="C622" s="3"/>
      <c r="D622" s="3"/>
      <c r="E622" s="3"/>
      <c r="F622" s="3"/>
    </row>
    <row r="623" spans="3:6" x14ac:dyDescent="0.35">
      <c r="C623" s="3"/>
      <c r="D623" s="3"/>
      <c r="E623" s="3"/>
      <c r="F623" s="3"/>
    </row>
    <row r="624" spans="3:6" x14ac:dyDescent="0.35">
      <c r="C624" s="3"/>
      <c r="D624" s="3"/>
      <c r="E624" s="3"/>
      <c r="F624" s="3"/>
    </row>
    <row r="625" spans="3:6" x14ac:dyDescent="0.35">
      <c r="C625" s="3"/>
      <c r="D625" s="3"/>
      <c r="E625" s="3"/>
      <c r="F625" s="3"/>
    </row>
    <row r="626" spans="3:6" x14ac:dyDescent="0.35">
      <c r="C626" s="3"/>
      <c r="D626" s="3"/>
      <c r="E626" s="3"/>
      <c r="F626" s="3"/>
    </row>
    <row r="627" spans="3:6" x14ac:dyDescent="0.35">
      <c r="C627" s="3"/>
      <c r="D627" s="3"/>
      <c r="E627" s="3"/>
      <c r="F627" s="3"/>
    </row>
    <row r="628" spans="3:6" x14ac:dyDescent="0.35">
      <c r="C628" s="3"/>
      <c r="D628" s="3"/>
      <c r="E628" s="3"/>
      <c r="F628" s="3"/>
    </row>
    <row r="629" spans="3:6" x14ac:dyDescent="0.35">
      <c r="C629" s="3"/>
      <c r="D629" s="3"/>
      <c r="E629" s="3"/>
      <c r="F629" s="3"/>
    </row>
    <row r="630" spans="3:6" x14ac:dyDescent="0.35">
      <c r="C630" s="3"/>
      <c r="D630" s="3"/>
      <c r="E630" s="3"/>
      <c r="F630" s="3"/>
    </row>
    <row r="631" spans="3:6" x14ac:dyDescent="0.35">
      <c r="C631" s="3"/>
      <c r="D631" s="3"/>
      <c r="E631" s="3"/>
      <c r="F631" s="3"/>
    </row>
    <row r="632" spans="3:6" x14ac:dyDescent="0.35">
      <c r="C632" s="3"/>
      <c r="D632" s="3"/>
      <c r="E632" s="3"/>
      <c r="F632" s="3"/>
    </row>
    <row r="633" spans="3:6" x14ac:dyDescent="0.35">
      <c r="C633" s="3"/>
      <c r="D633" s="3"/>
      <c r="E633" s="3"/>
      <c r="F633" s="3"/>
    </row>
    <row r="634" spans="3:6" x14ac:dyDescent="0.35">
      <c r="C634" s="3"/>
      <c r="D634" s="3"/>
      <c r="E634" s="3"/>
      <c r="F634" s="3"/>
    </row>
    <row r="635" spans="3:6" x14ac:dyDescent="0.35">
      <c r="C635" s="3"/>
      <c r="D635" s="3"/>
      <c r="E635" s="3"/>
      <c r="F635" s="3"/>
    </row>
    <row r="636" spans="3:6" x14ac:dyDescent="0.35">
      <c r="C636" s="3"/>
      <c r="D636" s="3"/>
      <c r="E636" s="3"/>
      <c r="F636" s="3"/>
    </row>
    <row r="637" spans="3:6" x14ac:dyDescent="0.35">
      <c r="C637" s="3"/>
      <c r="D637" s="3"/>
      <c r="E637" s="3"/>
      <c r="F637" s="3"/>
    </row>
    <row r="638" spans="3:6" x14ac:dyDescent="0.35">
      <c r="C638" s="3"/>
      <c r="D638" s="3"/>
      <c r="E638" s="3"/>
      <c r="F638" s="3"/>
    </row>
    <row r="639" spans="3:6" x14ac:dyDescent="0.35">
      <c r="C639" s="3"/>
      <c r="D639" s="3"/>
      <c r="E639" s="3"/>
      <c r="F639" s="3"/>
    </row>
    <row r="640" spans="3:6" x14ac:dyDescent="0.35">
      <c r="C640" s="3"/>
      <c r="D640" s="3"/>
      <c r="E640" s="3"/>
      <c r="F640" s="3"/>
    </row>
    <row r="641" spans="3:6" x14ac:dyDescent="0.35">
      <c r="C641" s="3"/>
      <c r="D641" s="3"/>
      <c r="E641" s="3"/>
      <c r="F641" s="3"/>
    </row>
    <row r="642" spans="3:6" x14ac:dyDescent="0.35">
      <c r="C642" s="3"/>
      <c r="D642" s="3"/>
      <c r="E642" s="3"/>
      <c r="F642" s="3"/>
    </row>
    <row r="643" spans="3:6" x14ac:dyDescent="0.35">
      <c r="C643" s="3"/>
      <c r="D643" s="3"/>
      <c r="E643" s="3"/>
      <c r="F643" s="3"/>
    </row>
    <row r="644" spans="3:6" x14ac:dyDescent="0.35">
      <c r="C644" s="3"/>
      <c r="D644" s="3"/>
      <c r="E644" s="3"/>
      <c r="F644" s="3"/>
    </row>
    <row r="645" spans="3:6" x14ac:dyDescent="0.35">
      <c r="C645" s="3"/>
      <c r="D645" s="3"/>
      <c r="E645" s="3"/>
      <c r="F645" s="3"/>
    </row>
    <row r="646" spans="3:6" x14ac:dyDescent="0.35">
      <c r="C646" s="3"/>
      <c r="D646" s="3"/>
      <c r="E646" s="3"/>
      <c r="F646" s="3"/>
    </row>
    <row r="647" spans="3:6" x14ac:dyDescent="0.35">
      <c r="C647" s="3"/>
      <c r="D647" s="3"/>
      <c r="E647" s="3"/>
      <c r="F647" s="3"/>
    </row>
    <row r="648" spans="3:6" x14ac:dyDescent="0.35">
      <c r="C648" s="3"/>
      <c r="D648" s="3"/>
      <c r="E648" s="3"/>
      <c r="F648" s="3"/>
    </row>
    <row r="649" spans="3:6" x14ac:dyDescent="0.35">
      <c r="C649" s="3"/>
      <c r="D649" s="3"/>
      <c r="E649" s="3"/>
      <c r="F649" s="3"/>
    </row>
    <row r="650" spans="3:6" x14ac:dyDescent="0.35">
      <c r="C650" s="3"/>
      <c r="D650" s="3"/>
      <c r="E650" s="3"/>
      <c r="F650" s="3"/>
    </row>
    <row r="651" spans="3:6" x14ac:dyDescent="0.35">
      <c r="C651" s="3"/>
      <c r="D651" s="3"/>
      <c r="E651" s="3"/>
      <c r="F651" s="3"/>
    </row>
    <row r="652" spans="3:6" x14ac:dyDescent="0.35">
      <c r="C652" s="3"/>
      <c r="D652" s="3"/>
      <c r="E652" s="3"/>
      <c r="F652" s="3"/>
    </row>
    <row r="653" spans="3:6" x14ac:dyDescent="0.35">
      <c r="C653" s="3"/>
      <c r="D653" s="3"/>
      <c r="E653" s="3"/>
      <c r="F653" s="3"/>
    </row>
    <row r="654" spans="3:6" x14ac:dyDescent="0.35">
      <c r="C654" s="3"/>
      <c r="D654" s="3"/>
      <c r="E654" s="3"/>
      <c r="F654" s="3"/>
    </row>
    <row r="655" spans="3:6" x14ac:dyDescent="0.35">
      <c r="C655" s="3"/>
      <c r="D655" s="3"/>
      <c r="E655" s="3"/>
      <c r="F655" s="3"/>
    </row>
    <row r="656" spans="3:6" x14ac:dyDescent="0.35">
      <c r="C656" s="3"/>
      <c r="D656" s="3"/>
      <c r="E656" s="3"/>
      <c r="F656" s="3"/>
    </row>
    <row r="657" spans="3:6" x14ac:dyDescent="0.35">
      <c r="C657" s="3"/>
      <c r="D657" s="3"/>
      <c r="E657" s="3"/>
      <c r="F657" s="3"/>
    </row>
    <row r="658" spans="3:6" x14ac:dyDescent="0.35">
      <c r="C658" s="3"/>
      <c r="D658" s="3"/>
      <c r="E658" s="3"/>
      <c r="F658" s="3"/>
    </row>
    <row r="659" spans="3:6" x14ac:dyDescent="0.35">
      <c r="C659" s="3"/>
      <c r="D659" s="3"/>
      <c r="E659" s="3"/>
      <c r="F659" s="3"/>
    </row>
    <row r="660" spans="3:6" x14ac:dyDescent="0.35">
      <c r="C660" s="3"/>
      <c r="D660" s="3"/>
      <c r="E660" s="3"/>
      <c r="F660" s="3"/>
    </row>
    <row r="661" spans="3:6" x14ac:dyDescent="0.35">
      <c r="C661" s="3"/>
      <c r="D661" s="3"/>
      <c r="E661" s="3"/>
      <c r="F661" s="3"/>
    </row>
    <row r="662" spans="3:6" x14ac:dyDescent="0.35">
      <c r="C662" s="3"/>
      <c r="D662" s="3"/>
      <c r="E662" s="3"/>
      <c r="F662" s="3"/>
    </row>
    <row r="663" spans="3:6" x14ac:dyDescent="0.35">
      <c r="C663" s="3"/>
      <c r="D663" s="3"/>
      <c r="E663" s="3"/>
      <c r="F663" s="3"/>
    </row>
    <row r="664" spans="3:6" x14ac:dyDescent="0.35">
      <c r="C664" s="3"/>
      <c r="D664" s="3"/>
      <c r="E664" s="3"/>
      <c r="F664" s="3"/>
    </row>
    <row r="665" spans="3:6" x14ac:dyDescent="0.35">
      <c r="C665" s="3"/>
      <c r="D665" s="3"/>
      <c r="E665" s="3"/>
      <c r="F665" s="3"/>
    </row>
    <row r="666" spans="3:6" x14ac:dyDescent="0.35">
      <c r="C666" s="3"/>
      <c r="D666" s="3"/>
      <c r="E666" s="3"/>
      <c r="F666" s="3"/>
    </row>
    <row r="667" spans="3:6" x14ac:dyDescent="0.35">
      <c r="C667" s="3"/>
      <c r="D667" s="3"/>
      <c r="E667" s="3"/>
      <c r="F667" s="3"/>
    </row>
    <row r="668" spans="3:6" x14ac:dyDescent="0.35">
      <c r="C668" s="3"/>
      <c r="D668" s="3"/>
      <c r="E668" s="3"/>
      <c r="F668" s="3"/>
    </row>
    <row r="669" spans="3:6" x14ac:dyDescent="0.35">
      <c r="C669" s="3"/>
      <c r="D669" s="3"/>
      <c r="E669" s="3"/>
      <c r="F669" s="3"/>
    </row>
    <row r="670" spans="3:6" x14ac:dyDescent="0.35">
      <c r="C670" s="3"/>
      <c r="D670" s="3"/>
      <c r="E670" s="3"/>
      <c r="F670" s="3"/>
    </row>
    <row r="671" spans="3:6" x14ac:dyDescent="0.35">
      <c r="C671" s="3"/>
      <c r="D671" s="3"/>
      <c r="E671" s="3"/>
      <c r="F671" s="3"/>
    </row>
    <row r="672" spans="3:6" x14ac:dyDescent="0.35">
      <c r="C672" s="3"/>
      <c r="D672" s="3"/>
      <c r="E672" s="3"/>
      <c r="F672" s="3"/>
    </row>
    <row r="673" spans="3:6" x14ac:dyDescent="0.35">
      <c r="C673" s="3"/>
      <c r="D673" s="3"/>
      <c r="E673" s="3"/>
      <c r="F673" s="3"/>
    </row>
    <row r="674" spans="3:6" x14ac:dyDescent="0.35">
      <c r="C674" s="3"/>
      <c r="D674" s="3"/>
      <c r="E674" s="3"/>
      <c r="F674" s="3"/>
    </row>
    <row r="675" spans="3:6" x14ac:dyDescent="0.35">
      <c r="C675" s="3"/>
      <c r="D675" s="3"/>
      <c r="E675" s="3"/>
      <c r="F675" s="3"/>
    </row>
    <row r="676" spans="3:6" x14ac:dyDescent="0.35">
      <c r="C676" s="3"/>
      <c r="D676" s="3"/>
      <c r="E676" s="3"/>
      <c r="F676" s="3"/>
    </row>
    <row r="677" spans="3:6" x14ac:dyDescent="0.35">
      <c r="C677" s="3"/>
      <c r="D677" s="3"/>
      <c r="E677" s="3"/>
      <c r="F677" s="3"/>
    </row>
    <row r="678" spans="3:6" x14ac:dyDescent="0.35">
      <c r="C678" s="3"/>
      <c r="D678" s="3"/>
      <c r="E678" s="3"/>
      <c r="F678" s="3"/>
    </row>
    <row r="679" spans="3:6" x14ac:dyDescent="0.35">
      <c r="C679" s="3"/>
      <c r="D679" s="3"/>
      <c r="E679" s="3"/>
      <c r="F679" s="3"/>
    </row>
    <row r="680" spans="3:6" x14ac:dyDescent="0.35">
      <c r="C680" s="3"/>
      <c r="D680" s="3"/>
      <c r="E680" s="3"/>
      <c r="F680" s="3"/>
    </row>
    <row r="681" spans="3:6" x14ac:dyDescent="0.35">
      <c r="C681" s="3"/>
      <c r="D681" s="3"/>
      <c r="E681" s="3"/>
      <c r="F681" s="3"/>
    </row>
    <row r="682" spans="3:6" x14ac:dyDescent="0.35">
      <c r="C682" s="3"/>
      <c r="D682" s="3"/>
      <c r="E682" s="3"/>
      <c r="F682" s="3"/>
    </row>
    <row r="683" spans="3:6" x14ac:dyDescent="0.35">
      <c r="C683" s="3"/>
      <c r="D683" s="3"/>
      <c r="E683" s="3"/>
      <c r="F683" s="3"/>
    </row>
    <row r="684" spans="3:6" x14ac:dyDescent="0.35">
      <c r="C684" s="3"/>
      <c r="D684" s="3"/>
      <c r="E684" s="3"/>
      <c r="F684" s="3"/>
    </row>
    <row r="685" spans="3:6" x14ac:dyDescent="0.35">
      <c r="C685" s="3"/>
      <c r="D685" s="3"/>
      <c r="E685" s="3"/>
      <c r="F685" s="3"/>
    </row>
    <row r="686" spans="3:6" x14ac:dyDescent="0.35">
      <c r="C686" s="3"/>
      <c r="D686" s="3"/>
      <c r="E686" s="3"/>
      <c r="F686" s="3"/>
    </row>
    <row r="687" spans="3:6" x14ac:dyDescent="0.35">
      <c r="C687" s="3"/>
      <c r="D687" s="3"/>
      <c r="E687" s="3"/>
      <c r="F687" s="3"/>
    </row>
    <row r="688" spans="3:6" x14ac:dyDescent="0.35">
      <c r="C688" s="3"/>
      <c r="D688" s="3"/>
      <c r="E688" s="3"/>
      <c r="F688" s="3"/>
    </row>
    <row r="689" spans="3:6" x14ac:dyDescent="0.35">
      <c r="C689" s="3"/>
      <c r="D689" s="3"/>
      <c r="E689" s="3"/>
      <c r="F689" s="3"/>
    </row>
    <row r="690" spans="3:6" x14ac:dyDescent="0.35">
      <c r="C690" s="3"/>
      <c r="D690" s="3"/>
      <c r="E690" s="3"/>
      <c r="F690" s="3"/>
    </row>
    <row r="691" spans="3:6" x14ac:dyDescent="0.35">
      <c r="C691" s="3"/>
      <c r="D691" s="3"/>
      <c r="E691" s="3"/>
      <c r="F691" s="3"/>
    </row>
    <row r="692" spans="3:6" x14ac:dyDescent="0.35">
      <c r="C692" s="3"/>
      <c r="D692" s="3"/>
      <c r="E692" s="3"/>
      <c r="F692" s="3"/>
    </row>
    <row r="693" spans="3:6" x14ac:dyDescent="0.35">
      <c r="C693" s="3"/>
      <c r="D693" s="3"/>
      <c r="E693" s="3"/>
      <c r="F693" s="3"/>
    </row>
    <row r="694" spans="3:6" x14ac:dyDescent="0.35">
      <c r="C694" s="3"/>
      <c r="D694" s="3"/>
      <c r="E694" s="3"/>
      <c r="F694" s="3"/>
    </row>
    <row r="695" spans="3:6" x14ac:dyDescent="0.35">
      <c r="C695" s="3"/>
      <c r="D695" s="3"/>
      <c r="E695" s="3"/>
      <c r="F695" s="3"/>
    </row>
    <row r="696" spans="3:6" x14ac:dyDescent="0.35">
      <c r="C696" s="3"/>
      <c r="D696" s="3"/>
      <c r="E696" s="3"/>
      <c r="F696" s="3"/>
    </row>
    <row r="697" spans="3:6" x14ac:dyDescent="0.35">
      <c r="C697" s="3"/>
      <c r="D697" s="3"/>
      <c r="E697" s="3"/>
      <c r="F697" s="3"/>
    </row>
    <row r="698" spans="3:6" x14ac:dyDescent="0.35">
      <c r="C698" s="3"/>
      <c r="D698" s="3"/>
      <c r="E698" s="3"/>
      <c r="F698" s="3"/>
    </row>
    <row r="699" spans="3:6" x14ac:dyDescent="0.35">
      <c r="C699" s="3"/>
      <c r="D699" s="3"/>
      <c r="E699" s="3"/>
      <c r="F699" s="3"/>
    </row>
    <row r="700" spans="3:6" x14ac:dyDescent="0.35">
      <c r="C700" s="3"/>
      <c r="D700" s="3"/>
      <c r="E700" s="3"/>
      <c r="F700" s="3"/>
    </row>
    <row r="701" spans="3:6" x14ac:dyDescent="0.35">
      <c r="C701" s="3"/>
      <c r="D701" s="3"/>
      <c r="E701" s="3"/>
      <c r="F701" s="3"/>
    </row>
    <row r="702" spans="3:6" x14ac:dyDescent="0.35">
      <c r="C702" s="3"/>
      <c r="D702" s="3"/>
      <c r="E702" s="3"/>
      <c r="F702" s="3"/>
    </row>
    <row r="703" spans="3:6" x14ac:dyDescent="0.35">
      <c r="C703" s="3"/>
      <c r="D703" s="3"/>
      <c r="E703" s="3"/>
      <c r="F703" s="3"/>
    </row>
    <row r="704" spans="3:6" x14ac:dyDescent="0.35">
      <c r="C704" s="3"/>
      <c r="D704" s="3"/>
      <c r="E704" s="3"/>
      <c r="F704" s="3"/>
    </row>
    <row r="705" spans="3:6" x14ac:dyDescent="0.35">
      <c r="C705" s="3"/>
      <c r="D705" s="3"/>
      <c r="E705" s="3"/>
      <c r="F705" s="3"/>
    </row>
    <row r="706" spans="3:6" x14ac:dyDescent="0.35">
      <c r="C706" s="3"/>
      <c r="D706" s="3"/>
      <c r="E706" s="3"/>
      <c r="F706" s="3"/>
    </row>
    <row r="707" spans="3:6" x14ac:dyDescent="0.35">
      <c r="C707" s="3"/>
      <c r="D707" s="3"/>
      <c r="E707" s="3"/>
      <c r="F707" s="3"/>
    </row>
    <row r="708" spans="3:6" x14ac:dyDescent="0.35">
      <c r="C708" s="3"/>
      <c r="D708" s="3"/>
      <c r="E708" s="3"/>
      <c r="F708" s="3"/>
    </row>
    <row r="709" spans="3:6" x14ac:dyDescent="0.35">
      <c r="C709" s="3"/>
      <c r="D709" s="3"/>
      <c r="E709" s="3"/>
      <c r="F709" s="3"/>
    </row>
    <row r="710" spans="3:6" x14ac:dyDescent="0.35">
      <c r="C710" s="3"/>
      <c r="D710" s="3"/>
      <c r="E710" s="3"/>
      <c r="F710" s="3"/>
    </row>
    <row r="711" spans="3:6" x14ac:dyDescent="0.35">
      <c r="C711" s="3"/>
      <c r="D711" s="3"/>
      <c r="E711" s="3"/>
      <c r="F711" s="3"/>
    </row>
    <row r="712" spans="3:6" x14ac:dyDescent="0.35">
      <c r="C712" s="3"/>
      <c r="D712" s="3"/>
      <c r="E712" s="3"/>
      <c r="F712" s="3"/>
    </row>
    <row r="713" spans="3:6" x14ac:dyDescent="0.35">
      <c r="C713" s="3"/>
      <c r="D713" s="3"/>
      <c r="E713" s="3"/>
      <c r="F713" s="3"/>
    </row>
    <row r="714" spans="3:6" x14ac:dyDescent="0.35">
      <c r="C714" s="3"/>
      <c r="D714" s="3"/>
      <c r="E714" s="3"/>
      <c r="F714" s="3"/>
    </row>
    <row r="715" spans="3:6" x14ac:dyDescent="0.35">
      <c r="C715" s="3"/>
      <c r="D715" s="3"/>
      <c r="E715" s="3"/>
      <c r="F715" s="3"/>
    </row>
    <row r="716" spans="3:6" x14ac:dyDescent="0.35">
      <c r="C716" s="3"/>
      <c r="D716" s="3"/>
      <c r="E716" s="3"/>
      <c r="F716" s="3"/>
    </row>
    <row r="717" spans="3:6" x14ac:dyDescent="0.35">
      <c r="C717" s="3"/>
      <c r="D717" s="3"/>
      <c r="E717" s="3"/>
      <c r="F717" s="3"/>
    </row>
    <row r="718" spans="3:6" x14ac:dyDescent="0.35">
      <c r="C718" s="3"/>
      <c r="D718" s="3"/>
      <c r="E718" s="3"/>
      <c r="F718" s="3"/>
    </row>
    <row r="719" spans="3:6" x14ac:dyDescent="0.35">
      <c r="C719" s="3"/>
      <c r="D719" s="3"/>
      <c r="E719" s="3"/>
      <c r="F719" s="3"/>
    </row>
    <row r="720" spans="3:6" x14ac:dyDescent="0.35">
      <c r="C720" s="3"/>
      <c r="D720" s="3"/>
      <c r="E720" s="3"/>
      <c r="F720" s="3"/>
    </row>
    <row r="721" spans="3:6" x14ac:dyDescent="0.35">
      <c r="C721" s="3"/>
      <c r="D721" s="3"/>
      <c r="E721" s="3"/>
      <c r="F721" s="3"/>
    </row>
    <row r="722" spans="3:6" x14ac:dyDescent="0.35">
      <c r="C722" s="3"/>
      <c r="D722" s="3"/>
      <c r="E722" s="3"/>
      <c r="F722" s="3"/>
    </row>
    <row r="723" spans="3:6" x14ac:dyDescent="0.35">
      <c r="C723" s="3"/>
      <c r="D723" s="3"/>
      <c r="E723" s="3"/>
      <c r="F723" s="3"/>
    </row>
    <row r="724" spans="3:6" x14ac:dyDescent="0.35">
      <c r="C724" s="3"/>
      <c r="D724" s="3"/>
      <c r="E724" s="3"/>
      <c r="F724" s="3"/>
    </row>
    <row r="725" spans="3:6" x14ac:dyDescent="0.35">
      <c r="C725" s="3"/>
      <c r="D725" s="3"/>
      <c r="E725" s="3"/>
      <c r="F725" s="3"/>
    </row>
    <row r="726" spans="3:6" x14ac:dyDescent="0.35">
      <c r="C726" s="3"/>
      <c r="D726" s="3"/>
      <c r="E726" s="3"/>
      <c r="F726" s="3"/>
    </row>
    <row r="727" spans="3:6" x14ac:dyDescent="0.35">
      <c r="C727" s="3"/>
      <c r="D727" s="3"/>
      <c r="E727" s="3"/>
      <c r="F727" s="3"/>
    </row>
    <row r="728" spans="3:6" x14ac:dyDescent="0.35">
      <c r="C728" s="3"/>
      <c r="D728" s="3"/>
      <c r="E728" s="3"/>
      <c r="F728" s="3"/>
    </row>
    <row r="729" spans="3:6" x14ac:dyDescent="0.35">
      <c r="C729" s="3"/>
      <c r="D729" s="3"/>
      <c r="E729" s="3"/>
      <c r="F729" s="3"/>
    </row>
    <row r="730" spans="3:6" x14ac:dyDescent="0.35">
      <c r="C730" s="3"/>
      <c r="D730" s="3"/>
      <c r="E730" s="3"/>
      <c r="F730" s="3"/>
    </row>
    <row r="731" spans="3:6" x14ac:dyDescent="0.35">
      <c r="C731" s="3"/>
      <c r="D731" s="3"/>
      <c r="E731" s="3"/>
      <c r="F731" s="3"/>
    </row>
    <row r="732" spans="3:6" x14ac:dyDescent="0.35">
      <c r="C732" s="3"/>
      <c r="D732" s="3"/>
      <c r="E732" s="3"/>
      <c r="F732" s="3"/>
    </row>
    <row r="733" spans="3:6" x14ac:dyDescent="0.35">
      <c r="C733" s="3"/>
      <c r="D733" s="3"/>
      <c r="E733" s="3"/>
      <c r="F733" s="3"/>
    </row>
    <row r="734" spans="3:6" x14ac:dyDescent="0.35">
      <c r="C734" s="3"/>
      <c r="D734" s="3"/>
      <c r="E734" s="3"/>
      <c r="F734" s="3"/>
    </row>
    <row r="735" spans="3:6" x14ac:dyDescent="0.35">
      <c r="C735" s="3"/>
      <c r="D735" s="3"/>
      <c r="E735" s="3"/>
      <c r="F735" s="3"/>
    </row>
    <row r="736" spans="3:6" x14ac:dyDescent="0.35">
      <c r="C736" s="3"/>
      <c r="D736" s="3"/>
      <c r="E736" s="3"/>
      <c r="F736" s="3"/>
    </row>
    <row r="737" spans="3:6" x14ac:dyDescent="0.35">
      <c r="C737" s="3"/>
      <c r="D737" s="3"/>
      <c r="E737" s="3"/>
      <c r="F737" s="3"/>
    </row>
    <row r="738" spans="3:6" x14ac:dyDescent="0.35">
      <c r="C738" s="3"/>
      <c r="D738" s="3"/>
      <c r="E738" s="3"/>
      <c r="F738" s="3"/>
    </row>
    <row r="739" spans="3:6" x14ac:dyDescent="0.35">
      <c r="C739" s="3"/>
      <c r="D739" s="3"/>
      <c r="E739" s="3"/>
      <c r="F739" s="3"/>
    </row>
    <row r="740" spans="3:6" x14ac:dyDescent="0.35">
      <c r="C740" s="3"/>
      <c r="D740" s="3"/>
      <c r="E740" s="3"/>
      <c r="F740" s="3"/>
    </row>
    <row r="741" spans="3:6" x14ac:dyDescent="0.35">
      <c r="C741" s="3"/>
      <c r="D741" s="3"/>
      <c r="E741" s="3"/>
      <c r="F741" s="3"/>
    </row>
    <row r="742" spans="3:6" x14ac:dyDescent="0.35">
      <c r="C742" s="3"/>
      <c r="D742" s="3"/>
      <c r="E742" s="3"/>
      <c r="F742" s="3"/>
    </row>
    <row r="743" spans="3:6" x14ac:dyDescent="0.35">
      <c r="C743" s="3"/>
      <c r="D743" s="3"/>
      <c r="E743" s="3"/>
      <c r="F743" s="3"/>
    </row>
    <row r="744" spans="3:6" x14ac:dyDescent="0.35">
      <c r="C744" s="3"/>
      <c r="D744" s="3"/>
      <c r="E744" s="3"/>
      <c r="F744" s="3"/>
    </row>
    <row r="745" spans="3:6" x14ac:dyDescent="0.35">
      <c r="C745" s="3"/>
      <c r="D745" s="3"/>
      <c r="E745" s="3"/>
      <c r="F745" s="3"/>
    </row>
    <row r="746" spans="3:6" x14ac:dyDescent="0.35">
      <c r="C746" s="3"/>
      <c r="D746" s="3"/>
      <c r="E746" s="3"/>
      <c r="F746" s="3"/>
    </row>
    <row r="747" spans="3:6" x14ac:dyDescent="0.35">
      <c r="C747" s="3"/>
      <c r="D747" s="3"/>
      <c r="E747" s="3"/>
      <c r="F747" s="3"/>
    </row>
    <row r="748" spans="3:6" x14ac:dyDescent="0.35">
      <c r="C748" s="3"/>
      <c r="D748" s="3"/>
      <c r="E748" s="3"/>
      <c r="F748" s="3"/>
    </row>
    <row r="749" spans="3:6" x14ac:dyDescent="0.35">
      <c r="C749" s="3"/>
      <c r="D749" s="3"/>
      <c r="E749" s="3"/>
      <c r="F749" s="3"/>
    </row>
    <row r="750" spans="3:6" x14ac:dyDescent="0.35">
      <c r="C750" s="3"/>
      <c r="D750" s="3"/>
      <c r="E750" s="3"/>
      <c r="F750" s="3"/>
    </row>
    <row r="751" spans="3:6" x14ac:dyDescent="0.35">
      <c r="C751" s="3"/>
      <c r="D751" s="3"/>
      <c r="E751" s="3"/>
      <c r="F751" s="3"/>
    </row>
    <row r="752" spans="3:6" x14ac:dyDescent="0.35">
      <c r="C752" s="3"/>
      <c r="D752" s="3"/>
      <c r="E752" s="3"/>
      <c r="F752" s="3"/>
    </row>
    <row r="753" spans="3:6" x14ac:dyDescent="0.35">
      <c r="C753" s="3"/>
      <c r="D753" s="3"/>
      <c r="E753" s="3"/>
      <c r="F753" s="3"/>
    </row>
    <row r="754" spans="3:6" x14ac:dyDescent="0.35">
      <c r="C754" s="3"/>
      <c r="D754" s="3"/>
      <c r="E754" s="3"/>
      <c r="F754" s="3"/>
    </row>
    <row r="755" spans="3:6" x14ac:dyDescent="0.35">
      <c r="C755" s="3"/>
      <c r="D755" s="3"/>
      <c r="E755" s="3"/>
      <c r="F755" s="3"/>
    </row>
    <row r="756" spans="3:6" x14ac:dyDescent="0.35">
      <c r="C756" s="3"/>
      <c r="D756" s="3"/>
      <c r="E756" s="3"/>
      <c r="F756" s="3"/>
    </row>
    <row r="757" spans="3:6" x14ac:dyDescent="0.35">
      <c r="C757" s="3"/>
      <c r="D757" s="3"/>
      <c r="E757" s="3"/>
      <c r="F757" s="3"/>
    </row>
    <row r="758" spans="3:6" x14ac:dyDescent="0.35">
      <c r="C758" s="3"/>
      <c r="D758" s="3"/>
      <c r="E758" s="3"/>
      <c r="F758" s="3"/>
    </row>
    <row r="759" spans="3:6" x14ac:dyDescent="0.35">
      <c r="C759" s="3"/>
      <c r="D759" s="3"/>
      <c r="E759" s="3"/>
      <c r="F759" s="3"/>
    </row>
    <row r="760" spans="3:6" x14ac:dyDescent="0.35">
      <c r="C760" s="3"/>
      <c r="D760" s="3"/>
      <c r="E760" s="3"/>
      <c r="F760" s="3"/>
    </row>
    <row r="761" spans="3:6" x14ac:dyDescent="0.35">
      <c r="C761" s="3"/>
      <c r="D761" s="3"/>
      <c r="E761" s="3"/>
      <c r="F761" s="3"/>
    </row>
    <row r="762" spans="3:6" x14ac:dyDescent="0.35">
      <c r="C762" s="3"/>
      <c r="D762" s="3"/>
      <c r="E762" s="3"/>
      <c r="F762" s="3"/>
    </row>
    <row r="763" spans="3:6" x14ac:dyDescent="0.35">
      <c r="C763" s="3"/>
      <c r="D763" s="3"/>
      <c r="E763" s="3"/>
      <c r="F763" s="3"/>
    </row>
    <row r="764" spans="3:6" x14ac:dyDescent="0.35">
      <c r="C764" s="3"/>
      <c r="D764" s="3"/>
      <c r="E764" s="3"/>
      <c r="F764" s="3"/>
    </row>
    <row r="765" spans="3:6" x14ac:dyDescent="0.35">
      <c r="C765" s="3"/>
      <c r="D765" s="3"/>
      <c r="E765" s="3"/>
      <c r="F765" s="3"/>
    </row>
    <row r="766" spans="3:6" x14ac:dyDescent="0.35">
      <c r="C766" s="3"/>
      <c r="D766" s="3"/>
      <c r="E766" s="3"/>
      <c r="F766" s="3"/>
    </row>
    <row r="767" spans="3:6" x14ac:dyDescent="0.35">
      <c r="C767" s="3"/>
      <c r="D767" s="3"/>
      <c r="E767" s="3"/>
      <c r="F767" s="3"/>
    </row>
    <row r="768" spans="3:6" x14ac:dyDescent="0.35">
      <c r="C768" s="3"/>
      <c r="D768" s="3"/>
      <c r="E768" s="3"/>
      <c r="F768" s="3"/>
    </row>
    <row r="769" spans="3:6" x14ac:dyDescent="0.35">
      <c r="C769" s="3"/>
      <c r="D769" s="3"/>
      <c r="E769" s="3"/>
      <c r="F769" s="3"/>
    </row>
    <row r="770" spans="3:6" x14ac:dyDescent="0.35">
      <c r="C770" s="3"/>
      <c r="D770" s="3"/>
      <c r="E770" s="3"/>
      <c r="F770" s="3"/>
    </row>
    <row r="771" spans="3:6" x14ac:dyDescent="0.35">
      <c r="C771" s="3"/>
      <c r="D771" s="3"/>
      <c r="E771" s="3"/>
      <c r="F771" s="3"/>
    </row>
    <row r="772" spans="3:6" x14ac:dyDescent="0.35">
      <c r="C772" s="3"/>
      <c r="D772" s="3"/>
      <c r="E772" s="3"/>
      <c r="F772" s="3"/>
    </row>
    <row r="773" spans="3:6" x14ac:dyDescent="0.35">
      <c r="C773" s="3"/>
      <c r="D773" s="3"/>
      <c r="E773" s="3"/>
      <c r="F773" s="3"/>
    </row>
    <row r="774" spans="3:6" x14ac:dyDescent="0.35">
      <c r="C774" s="3"/>
      <c r="D774" s="3"/>
      <c r="E774" s="3"/>
      <c r="F774" s="3"/>
    </row>
    <row r="775" spans="3:6" x14ac:dyDescent="0.35">
      <c r="C775" s="3"/>
      <c r="D775" s="3"/>
      <c r="E775" s="3"/>
      <c r="F775" s="3"/>
    </row>
    <row r="776" spans="3:6" x14ac:dyDescent="0.35">
      <c r="C776" s="3"/>
      <c r="D776" s="3"/>
      <c r="E776" s="3"/>
      <c r="F776" s="3"/>
    </row>
    <row r="777" spans="3:6" x14ac:dyDescent="0.35">
      <c r="C777" s="3"/>
      <c r="D777" s="3"/>
      <c r="E777" s="3"/>
      <c r="F777" s="3"/>
    </row>
    <row r="778" spans="3:6" x14ac:dyDescent="0.35">
      <c r="C778" s="3"/>
      <c r="D778" s="3"/>
      <c r="E778" s="3"/>
      <c r="F778" s="3"/>
    </row>
    <row r="779" spans="3:6" x14ac:dyDescent="0.35">
      <c r="C779" s="3"/>
      <c r="D779" s="3"/>
      <c r="E779" s="3"/>
      <c r="F779" s="3"/>
    </row>
    <row r="780" spans="3:6" x14ac:dyDescent="0.35">
      <c r="C780" s="3"/>
      <c r="D780" s="3"/>
      <c r="E780" s="3"/>
      <c r="F780" s="3"/>
    </row>
    <row r="781" spans="3:6" x14ac:dyDescent="0.35">
      <c r="C781" s="3"/>
      <c r="D781" s="3"/>
      <c r="E781" s="3"/>
      <c r="F781" s="3"/>
    </row>
    <row r="782" spans="3:6" x14ac:dyDescent="0.35">
      <c r="C782" s="3"/>
      <c r="D782" s="3"/>
      <c r="E782" s="3"/>
      <c r="F782" s="3"/>
    </row>
    <row r="783" spans="3:6" x14ac:dyDescent="0.35">
      <c r="C783" s="3"/>
      <c r="D783" s="3"/>
      <c r="E783" s="3"/>
      <c r="F783" s="3"/>
    </row>
    <row r="784" spans="3:6" x14ac:dyDescent="0.35">
      <c r="C784" s="3"/>
      <c r="D784" s="3"/>
      <c r="E784" s="3"/>
      <c r="F784" s="3"/>
    </row>
    <row r="785" spans="3:6" x14ac:dyDescent="0.35">
      <c r="C785" s="3"/>
      <c r="D785" s="3"/>
      <c r="E785" s="3"/>
      <c r="F785" s="3"/>
    </row>
    <row r="786" spans="3:6" x14ac:dyDescent="0.35">
      <c r="C786" s="3"/>
      <c r="D786" s="3"/>
      <c r="E786" s="3"/>
      <c r="F786" s="3"/>
    </row>
    <row r="787" spans="3:6" x14ac:dyDescent="0.35">
      <c r="C787" s="3"/>
      <c r="D787" s="3"/>
      <c r="E787" s="3"/>
      <c r="F787" s="3"/>
    </row>
    <row r="788" spans="3:6" x14ac:dyDescent="0.35">
      <c r="C788" s="3"/>
      <c r="D788" s="3"/>
      <c r="E788" s="3"/>
      <c r="F788" s="3"/>
    </row>
    <row r="789" spans="3:6" x14ac:dyDescent="0.35">
      <c r="C789" s="3"/>
      <c r="D789" s="3"/>
      <c r="E789" s="3"/>
      <c r="F789" s="3"/>
    </row>
    <row r="790" spans="3:6" x14ac:dyDescent="0.35">
      <c r="C790" s="3"/>
      <c r="D790" s="3"/>
      <c r="E790" s="3"/>
      <c r="F790" s="3"/>
    </row>
    <row r="791" spans="3:6" x14ac:dyDescent="0.35">
      <c r="C791" s="3"/>
      <c r="D791" s="3"/>
      <c r="E791" s="3"/>
      <c r="F791" s="3"/>
    </row>
    <row r="792" spans="3:6" x14ac:dyDescent="0.35">
      <c r="C792" s="3"/>
      <c r="D792" s="3"/>
      <c r="E792" s="3"/>
      <c r="F792" s="3"/>
    </row>
    <row r="793" spans="3:6" x14ac:dyDescent="0.35">
      <c r="C793" s="3"/>
      <c r="D793" s="3"/>
      <c r="E793" s="3"/>
      <c r="F793" s="3"/>
    </row>
    <row r="794" spans="3:6" x14ac:dyDescent="0.35">
      <c r="C794" s="3"/>
      <c r="D794" s="3"/>
      <c r="E794" s="3"/>
      <c r="F794" s="3"/>
    </row>
    <row r="795" spans="3:6" x14ac:dyDescent="0.35">
      <c r="C795" s="3"/>
      <c r="D795" s="3"/>
      <c r="E795" s="3"/>
      <c r="F795" s="3"/>
    </row>
    <row r="796" spans="3:6" x14ac:dyDescent="0.35">
      <c r="C796" s="3"/>
      <c r="D796" s="3"/>
      <c r="E796" s="3"/>
      <c r="F796" s="3"/>
    </row>
    <row r="797" spans="3:6" x14ac:dyDescent="0.35">
      <c r="C797" s="3"/>
      <c r="D797" s="3"/>
      <c r="E797" s="3"/>
      <c r="F797" s="3"/>
    </row>
    <row r="798" spans="3:6" x14ac:dyDescent="0.35">
      <c r="C798" s="3"/>
      <c r="D798" s="3"/>
      <c r="E798" s="3"/>
      <c r="F798" s="3"/>
    </row>
    <row r="799" spans="3:6" x14ac:dyDescent="0.35">
      <c r="C799" s="3"/>
      <c r="D799" s="3"/>
      <c r="E799" s="3"/>
      <c r="F799" s="3"/>
    </row>
    <row r="800" spans="3:6" x14ac:dyDescent="0.35">
      <c r="C800" s="3"/>
      <c r="D800" s="3"/>
      <c r="E800" s="3"/>
      <c r="F800" s="3"/>
    </row>
    <row r="801" spans="3:6" x14ac:dyDescent="0.35">
      <c r="C801" s="3"/>
      <c r="D801" s="3"/>
      <c r="E801" s="3"/>
      <c r="F801" s="3"/>
    </row>
    <row r="802" spans="3:6" x14ac:dyDescent="0.35">
      <c r="C802" s="3"/>
      <c r="D802" s="3"/>
      <c r="E802" s="3"/>
      <c r="F802" s="3"/>
    </row>
    <row r="803" spans="3:6" x14ac:dyDescent="0.35">
      <c r="C803" s="3"/>
      <c r="D803" s="3"/>
      <c r="E803" s="3"/>
      <c r="F803" s="3"/>
    </row>
    <row r="804" spans="3:6" x14ac:dyDescent="0.35">
      <c r="C804" s="3"/>
      <c r="D804" s="3"/>
      <c r="E804" s="3"/>
      <c r="F804" s="3"/>
    </row>
    <row r="805" spans="3:6" x14ac:dyDescent="0.35">
      <c r="C805" s="3"/>
      <c r="D805" s="3"/>
      <c r="E805" s="3"/>
      <c r="F805" s="3"/>
    </row>
    <row r="806" spans="3:6" x14ac:dyDescent="0.35">
      <c r="C806" s="3"/>
      <c r="D806" s="3"/>
      <c r="E806" s="3"/>
      <c r="F806" s="3"/>
    </row>
    <row r="807" spans="3:6" x14ac:dyDescent="0.35">
      <c r="C807" s="3"/>
      <c r="D807" s="3"/>
      <c r="E807" s="3"/>
      <c r="F807" s="3"/>
    </row>
    <row r="808" spans="3:6" x14ac:dyDescent="0.35">
      <c r="C808" s="3"/>
      <c r="D808" s="3"/>
      <c r="E808" s="3"/>
      <c r="F808" s="3"/>
    </row>
    <row r="809" spans="3:6" x14ac:dyDescent="0.35">
      <c r="C809" s="3"/>
      <c r="D809" s="3"/>
      <c r="E809" s="3"/>
      <c r="F809" s="3"/>
    </row>
    <row r="810" spans="3:6" x14ac:dyDescent="0.35">
      <c r="C810" s="3"/>
      <c r="D810" s="3"/>
      <c r="E810" s="3"/>
      <c r="F810" s="3"/>
    </row>
    <row r="811" spans="3:6" x14ac:dyDescent="0.35">
      <c r="C811" s="3"/>
      <c r="D811" s="3"/>
      <c r="E811" s="3"/>
      <c r="F811" s="3"/>
    </row>
    <row r="812" spans="3:6" x14ac:dyDescent="0.35">
      <c r="C812" s="3"/>
      <c r="D812" s="3"/>
      <c r="E812" s="3"/>
      <c r="F812" s="3"/>
    </row>
    <row r="813" spans="3:6" x14ac:dyDescent="0.35">
      <c r="C813" s="3"/>
      <c r="D813" s="3"/>
      <c r="E813" s="3"/>
      <c r="F813" s="3"/>
    </row>
    <row r="814" spans="3:6" x14ac:dyDescent="0.35">
      <c r="C814" s="3"/>
      <c r="D814" s="3"/>
      <c r="E814" s="3"/>
      <c r="F814" s="3"/>
    </row>
    <row r="815" spans="3:6" x14ac:dyDescent="0.35">
      <c r="C815" s="3"/>
      <c r="D815" s="3"/>
      <c r="E815" s="3"/>
      <c r="F815" s="3"/>
    </row>
    <row r="816" spans="3:6" x14ac:dyDescent="0.35">
      <c r="C816" s="3"/>
      <c r="D816" s="3"/>
      <c r="E816" s="3"/>
      <c r="F816" s="3"/>
    </row>
    <row r="817" spans="3:6" x14ac:dyDescent="0.35">
      <c r="C817" s="3"/>
      <c r="D817" s="3"/>
      <c r="E817" s="3"/>
      <c r="F817" s="3"/>
    </row>
    <row r="818" spans="3:6" x14ac:dyDescent="0.35">
      <c r="C818" s="3"/>
      <c r="D818" s="3"/>
      <c r="E818" s="3"/>
      <c r="F818" s="3"/>
    </row>
    <row r="819" spans="3:6" x14ac:dyDescent="0.35">
      <c r="C819" s="3"/>
      <c r="D819" s="3"/>
      <c r="E819" s="3"/>
      <c r="F819" s="3"/>
    </row>
    <row r="820" spans="3:6" x14ac:dyDescent="0.35">
      <c r="C820" s="3"/>
      <c r="D820" s="3"/>
      <c r="E820" s="3"/>
      <c r="F820" s="3"/>
    </row>
    <row r="821" spans="3:6" x14ac:dyDescent="0.35">
      <c r="C821" s="3"/>
      <c r="D821" s="3"/>
      <c r="E821" s="3"/>
      <c r="F821" s="3"/>
    </row>
    <row r="822" spans="3:6" x14ac:dyDescent="0.35">
      <c r="C822" s="3"/>
      <c r="D822" s="3"/>
      <c r="E822" s="3"/>
      <c r="F822" s="3"/>
    </row>
    <row r="823" spans="3:6" x14ac:dyDescent="0.35">
      <c r="C823" s="3"/>
      <c r="D823" s="3"/>
      <c r="E823" s="3"/>
      <c r="F823" s="3"/>
    </row>
    <row r="824" spans="3:6" x14ac:dyDescent="0.35">
      <c r="C824" s="3"/>
      <c r="D824" s="3"/>
      <c r="E824" s="3"/>
      <c r="F824" s="3"/>
    </row>
    <row r="825" spans="3:6" x14ac:dyDescent="0.35">
      <c r="C825" s="3"/>
      <c r="D825" s="3"/>
      <c r="E825" s="3"/>
      <c r="F825" s="3"/>
    </row>
    <row r="826" spans="3:6" x14ac:dyDescent="0.35">
      <c r="C826" s="3"/>
      <c r="D826" s="3"/>
      <c r="E826" s="3"/>
      <c r="F826" s="3"/>
    </row>
    <row r="827" spans="3:6" x14ac:dyDescent="0.35">
      <c r="C827" s="3"/>
      <c r="D827" s="3"/>
      <c r="E827" s="3"/>
      <c r="F827" s="3"/>
    </row>
    <row r="828" spans="3:6" x14ac:dyDescent="0.35">
      <c r="C828" s="3"/>
      <c r="D828" s="3"/>
      <c r="E828" s="3"/>
      <c r="F828" s="3"/>
    </row>
    <row r="829" spans="3:6" x14ac:dyDescent="0.35">
      <c r="C829" s="3"/>
      <c r="D829" s="3"/>
      <c r="E829" s="3"/>
      <c r="F829" s="3"/>
    </row>
    <row r="830" spans="3:6" x14ac:dyDescent="0.35">
      <c r="C830" s="3"/>
      <c r="D830" s="3"/>
      <c r="E830" s="3"/>
      <c r="F830" s="3"/>
    </row>
    <row r="831" spans="3:6" x14ac:dyDescent="0.35">
      <c r="C831" s="3"/>
      <c r="D831" s="3"/>
      <c r="E831" s="3"/>
      <c r="F831" s="3"/>
    </row>
    <row r="832" spans="3:6" x14ac:dyDescent="0.35">
      <c r="C832" s="3"/>
      <c r="D832" s="3"/>
      <c r="E832" s="3"/>
      <c r="F832" s="3"/>
    </row>
    <row r="833" spans="3:6" x14ac:dyDescent="0.35">
      <c r="C833" s="3"/>
      <c r="D833" s="3"/>
      <c r="E833" s="3"/>
      <c r="F833" s="3"/>
    </row>
    <row r="834" spans="3:6" x14ac:dyDescent="0.35">
      <c r="C834" s="3"/>
      <c r="D834" s="3"/>
      <c r="E834" s="3"/>
      <c r="F834" s="3"/>
    </row>
    <row r="835" spans="3:6" x14ac:dyDescent="0.35">
      <c r="C835" s="3"/>
      <c r="D835" s="3"/>
      <c r="E835" s="3"/>
      <c r="F835" s="3"/>
    </row>
    <row r="836" spans="3:6" x14ac:dyDescent="0.35">
      <c r="C836" s="3"/>
      <c r="D836" s="3"/>
      <c r="E836" s="3"/>
      <c r="F836" s="3"/>
    </row>
    <row r="837" spans="3:6" x14ac:dyDescent="0.35">
      <c r="C837" s="3"/>
      <c r="D837" s="3"/>
      <c r="E837" s="3"/>
      <c r="F837" s="3"/>
    </row>
    <row r="838" spans="3:6" x14ac:dyDescent="0.35">
      <c r="C838" s="3"/>
      <c r="D838" s="3"/>
      <c r="E838" s="3"/>
      <c r="F838" s="3"/>
    </row>
    <row r="839" spans="3:6" x14ac:dyDescent="0.35">
      <c r="C839" s="3"/>
      <c r="D839" s="3"/>
      <c r="E839" s="3"/>
      <c r="F839" s="3"/>
    </row>
    <row r="840" spans="3:6" x14ac:dyDescent="0.35">
      <c r="C840" s="3"/>
      <c r="D840" s="3"/>
      <c r="E840" s="3"/>
      <c r="F840" s="3"/>
    </row>
    <row r="841" spans="3:6" x14ac:dyDescent="0.35">
      <c r="C841" s="3"/>
      <c r="D841" s="3"/>
      <c r="E841" s="3"/>
      <c r="F841" s="3"/>
    </row>
    <row r="842" spans="3:6" x14ac:dyDescent="0.35">
      <c r="C842" s="3"/>
      <c r="D842" s="3"/>
      <c r="E842" s="3"/>
      <c r="F842" s="3"/>
    </row>
    <row r="843" spans="3:6" x14ac:dyDescent="0.35">
      <c r="C843" s="3"/>
      <c r="D843" s="3"/>
      <c r="E843" s="3"/>
      <c r="F843" s="3"/>
    </row>
    <row r="844" spans="3:6" x14ac:dyDescent="0.35">
      <c r="C844" s="3"/>
      <c r="D844" s="3"/>
      <c r="E844" s="3"/>
      <c r="F844" s="3"/>
    </row>
    <row r="845" spans="3:6" x14ac:dyDescent="0.35">
      <c r="C845" s="3"/>
      <c r="D845" s="3"/>
      <c r="E845" s="3"/>
      <c r="F845" s="3"/>
    </row>
    <row r="846" spans="3:6" x14ac:dyDescent="0.35">
      <c r="C846" s="3"/>
      <c r="D846" s="3"/>
      <c r="E846" s="3"/>
      <c r="F846" s="3"/>
    </row>
    <row r="847" spans="3:6" x14ac:dyDescent="0.35">
      <c r="C847" s="3"/>
      <c r="D847" s="3"/>
      <c r="E847" s="3"/>
      <c r="F847" s="3"/>
    </row>
    <row r="848" spans="3:6" x14ac:dyDescent="0.35">
      <c r="C848" s="3"/>
      <c r="D848" s="3"/>
      <c r="E848" s="3"/>
      <c r="F848" s="3"/>
    </row>
    <row r="849" spans="3:6" x14ac:dyDescent="0.35">
      <c r="C849" s="3"/>
      <c r="D849" s="3"/>
      <c r="E849" s="3"/>
      <c r="F849" s="3"/>
    </row>
    <row r="850" spans="3:6" x14ac:dyDescent="0.35">
      <c r="C850" s="3"/>
      <c r="D850" s="3"/>
      <c r="E850" s="3"/>
      <c r="F850" s="3"/>
    </row>
    <row r="851" spans="3:6" x14ac:dyDescent="0.35">
      <c r="C851" s="3"/>
      <c r="D851" s="3"/>
      <c r="E851" s="3"/>
      <c r="F851" s="3"/>
    </row>
    <row r="852" spans="3:6" x14ac:dyDescent="0.35">
      <c r="C852" s="3"/>
      <c r="D852" s="3"/>
      <c r="E852" s="3"/>
      <c r="F852" s="3"/>
    </row>
    <row r="853" spans="3:6" x14ac:dyDescent="0.35">
      <c r="C853" s="3"/>
      <c r="D853" s="3"/>
      <c r="E853" s="3"/>
      <c r="F853" s="3"/>
    </row>
    <row r="854" spans="3:6" x14ac:dyDescent="0.35">
      <c r="C854" s="3"/>
      <c r="D854" s="3"/>
      <c r="E854" s="3"/>
      <c r="F854" s="3"/>
    </row>
    <row r="855" spans="3:6" x14ac:dyDescent="0.35">
      <c r="C855" s="3"/>
      <c r="D855" s="3"/>
      <c r="E855" s="3"/>
      <c r="F855" s="3"/>
    </row>
    <row r="856" spans="3:6" x14ac:dyDescent="0.35">
      <c r="C856" s="3"/>
      <c r="D856" s="3"/>
      <c r="E856" s="3"/>
      <c r="F856" s="3"/>
    </row>
    <row r="857" spans="3:6" x14ac:dyDescent="0.35">
      <c r="C857" s="3"/>
      <c r="D857" s="3"/>
      <c r="E857" s="3"/>
      <c r="F857" s="3"/>
    </row>
    <row r="858" spans="3:6" x14ac:dyDescent="0.35">
      <c r="C858" s="3"/>
      <c r="D858" s="3"/>
      <c r="E858" s="3"/>
      <c r="F858" s="3"/>
    </row>
    <row r="859" spans="3:6" x14ac:dyDescent="0.35">
      <c r="C859" s="3"/>
      <c r="D859" s="3"/>
      <c r="E859" s="3"/>
      <c r="F859" s="3"/>
    </row>
    <row r="860" spans="3:6" x14ac:dyDescent="0.35">
      <c r="C860" s="3"/>
      <c r="D860" s="3"/>
      <c r="E860" s="3"/>
      <c r="F860" s="3"/>
    </row>
    <row r="861" spans="3:6" x14ac:dyDescent="0.35">
      <c r="C861" s="3"/>
      <c r="D861" s="3"/>
      <c r="E861" s="3"/>
      <c r="F861" s="3"/>
    </row>
    <row r="862" spans="3:6" x14ac:dyDescent="0.35">
      <c r="C862" s="3"/>
      <c r="D862" s="3"/>
      <c r="E862" s="3"/>
      <c r="F862" s="3"/>
    </row>
    <row r="863" spans="3:6" x14ac:dyDescent="0.35">
      <c r="C863" s="3"/>
      <c r="D863" s="3"/>
      <c r="E863" s="3"/>
      <c r="F863" s="3"/>
    </row>
    <row r="864" spans="3:6" x14ac:dyDescent="0.35">
      <c r="C864" s="3"/>
      <c r="D864" s="3"/>
      <c r="E864" s="3"/>
      <c r="F864" s="3"/>
    </row>
    <row r="865" spans="3:6" x14ac:dyDescent="0.35">
      <c r="C865" s="3"/>
      <c r="D865" s="3"/>
      <c r="E865" s="3"/>
      <c r="F865" s="3"/>
    </row>
    <row r="866" spans="3:6" x14ac:dyDescent="0.35">
      <c r="C866" s="3"/>
      <c r="D866" s="3"/>
      <c r="E866" s="3"/>
      <c r="F866" s="3"/>
    </row>
    <row r="867" spans="3:6" x14ac:dyDescent="0.35">
      <c r="C867" s="3"/>
      <c r="D867" s="3"/>
      <c r="E867" s="3"/>
      <c r="F867" s="3"/>
    </row>
    <row r="868" spans="3:6" x14ac:dyDescent="0.35">
      <c r="C868" s="3"/>
      <c r="D868" s="3"/>
      <c r="E868" s="3"/>
      <c r="F868" s="3"/>
    </row>
    <row r="869" spans="3:6" x14ac:dyDescent="0.35">
      <c r="C869" s="3"/>
      <c r="D869" s="3"/>
      <c r="E869" s="3"/>
      <c r="F869" s="3"/>
    </row>
    <row r="870" spans="3:6" x14ac:dyDescent="0.35">
      <c r="C870" s="3"/>
      <c r="D870" s="3"/>
      <c r="E870" s="3"/>
      <c r="F870" s="3"/>
    </row>
    <row r="871" spans="3:6" x14ac:dyDescent="0.35">
      <c r="C871" s="3"/>
      <c r="D871" s="3"/>
      <c r="E871" s="3"/>
      <c r="F871" s="3"/>
    </row>
    <row r="872" spans="3:6" x14ac:dyDescent="0.35">
      <c r="C872" s="3"/>
      <c r="D872" s="3"/>
      <c r="E872" s="3"/>
      <c r="F872" s="3"/>
    </row>
    <row r="873" spans="3:6" x14ac:dyDescent="0.35">
      <c r="C873" s="3"/>
      <c r="D873" s="3"/>
      <c r="E873" s="3"/>
      <c r="F873" s="3"/>
    </row>
    <row r="874" spans="3:6" x14ac:dyDescent="0.35">
      <c r="C874" s="3"/>
      <c r="D874" s="3"/>
      <c r="E874" s="3"/>
      <c r="F874" s="3"/>
    </row>
    <row r="875" spans="3:6" x14ac:dyDescent="0.35">
      <c r="C875" s="3"/>
      <c r="D875" s="3"/>
      <c r="E875" s="3"/>
      <c r="F875" s="3"/>
    </row>
    <row r="876" spans="3:6" x14ac:dyDescent="0.35">
      <c r="C876" s="3"/>
      <c r="D876" s="3"/>
      <c r="E876" s="3"/>
      <c r="F876" s="3"/>
    </row>
    <row r="877" spans="3:6" x14ac:dyDescent="0.35">
      <c r="C877" s="3"/>
      <c r="D877" s="3"/>
      <c r="E877" s="3"/>
      <c r="F877" s="3"/>
    </row>
    <row r="878" spans="3:6" x14ac:dyDescent="0.35">
      <c r="C878" s="3"/>
      <c r="D878" s="3"/>
      <c r="E878" s="3"/>
      <c r="F878" s="3"/>
    </row>
    <row r="879" spans="3:6" x14ac:dyDescent="0.35">
      <c r="C879" s="3"/>
      <c r="D879" s="3"/>
      <c r="E879" s="3"/>
      <c r="F879" s="3"/>
    </row>
    <row r="880" spans="3:6" x14ac:dyDescent="0.35">
      <c r="C880" s="3"/>
      <c r="D880" s="3"/>
      <c r="E880" s="3"/>
      <c r="F880" s="3"/>
    </row>
    <row r="881" spans="3:6" x14ac:dyDescent="0.35">
      <c r="C881" s="3"/>
      <c r="D881" s="3"/>
      <c r="E881" s="3"/>
      <c r="F881" s="3"/>
    </row>
    <row r="882" spans="3:6" x14ac:dyDescent="0.35">
      <c r="C882" s="3"/>
      <c r="D882" s="3"/>
      <c r="E882" s="3"/>
      <c r="F882" s="3"/>
    </row>
    <row r="883" spans="3:6" x14ac:dyDescent="0.35">
      <c r="C883" s="3"/>
      <c r="D883" s="3"/>
      <c r="E883" s="3"/>
      <c r="F883" s="3"/>
    </row>
    <row r="884" spans="3:6" x14ac:dyDescent="0.35">
      <c r="C884" s="3"/>
      <c r="D884" s="3"/>
      <c r="E884" s="3"/>
      <c r="F884" s="3"/>
    </row>
    <row r="885" spans="3:6" x14ac:dyDescent="0.35">
      <c r="C885" s="3"/>
      <c r="D885" s="3"/>
      <c r="E885" s="3"/>
      <c r="F885" s="3"/>
    </row>
    <row r="886" spans="3:6" x14ac:dyDescent="0.35">
      <c r="C886" s="3"/>
      <c r="D886" s="3"/>
      <c r="E886" s="3"/>
      <c r="F886" s="3"/>
    </row>
    <row r="887" spans="3:6" x14ac:dyDescent="0.35">
      <c r="C887" s="3"/>
      <c r="D887" s="3"/>
      <c r="E887" s="3"/>
      <c r="F887" s="3"/>
    </row>
    <row r="888" spans="3:6" x14ac:dyDescent="0.35">
      <c r="C888" s="3"/>
      <c r="D888" s="3"/>
      <c r="E888" s="3"/>
      <c r="F888" s="3"/>
    </row>
    <row r="889" spans="3:6" x14ac:dyDescent="0.35">
      <c r="C889" s="3"/>
      <c r="D889" s="3"/>
      <c r="E889" s="3"/>
      <c r="F889" s="3"/>
    </row>
    <row r="890" spans="3:6" x14ac:dyDescent="0.35">
      <c r="C890" s="3"/>
      <c r="D890" s="3"/>
      <c r="E890" s="3"/>
      <c r="F890" s="3"/>
    </row>
    <row r="891" spans="3:6" x14ac:dyDescent="0.35">
      <c r="C891" s="3"/>
      <c r="D891" s="3"/>
      <c r="E891" s="3"/>
      <c r="F891" s="3"/>
    </row>
    <row r="892" spans="3:6" x14ac:dyDescent="0.35">
      <c r="C892" s="3"/>
      <c r="D892" s="3"/>
      <c r="E892" s="3"/>
      <c r="F892" s="3"/>
    </row>
    <row r="893" spans="3:6" x14ac:dyDescent="0.35">
      <c r="C893" s="3"/>
      <c r="D893" s="3"/>
      <c r="E893" s="3"/>
      <c r="F893" s="3"/>
    </row>
    <row r="894" spans="3:6" x14ac:dyDescent="0.35">
      <c r="C894" s="3"/>
      <c r="D894" s="3"/>
      <c r="E894" s="3"/>
      <c r="F894" s="3"/>
    </row>
    <row r="895" spans="3:6" x14ac:dyDescent="0.35">
      <c r="C895" s="3"/>
      <c r="D895" s="3"/>
      <c r="E895" s="3"/>
      <c r="F895" s="3"/>
    </row>
    <row r="896" spans="3:6" x14ac:dyDescent="0.35">
      <c r="C896" s="3"/>
      <c r="D896" s="3"/>
      <c r="E896" s="3"/>
      <c r="F896" s="3"/>
    </row>
    <row r="897" spans="3:6" x14ac:dyDescent="0.35">
      <c r="C897" s="3"/>
      <c r="D897" s="3"/>
      <c r="E897" s="3"/>
      <c r="F897" s="3"/>
    </row>
    <row r="898" spans="3:6" x14ac:dyDescent="0.35">
      <c r="C898" s="3"/>
      <c r="D898" s="3"/>
      <c r="E898" s="3"/>
      <c r="F898" s="3"/>
    </row>
    <row r="899" spans="3:6" x14ac:dyDescent="0.35">
      <c r="C899" s="3"/>
      <c r="D899" s="3"/>
      <c r="E899" s="3"/>
      <c r="F899" s="3"/>
    </row>
    <row r="900" spans="3:6" x14ac:dyDescent="0.35">
      <c r="C900" s="3"/>
      <c r="D900" s="3"/>
      <c r="E900" s="3"/>
      <c r="F900" s="3"/>
    </row>
    <row r="901" spans="3:6" x14ac:dyDescent="0.35">
      <c r="C901" s="3"/>
      <c r="D901" s="3"/>
      <c r="E901" s="3"/>
      <c r="F901" s="3"/>
    </row>
    <row r="902" spans="3:6" x14ac:dyDescent="0.35">
      <c r="C902" s="3"/>
      <c r="D902" s="3"/>
      <c r="E902" s="3"/>
      <c r="F902" s="3"/>
    </row>
    <row r="903" spans="3:6" x14ac:dyDescent="0.35">
      <c r="C903" s="3"/>
      <c r="D903" s="3"/>
      <c r="E903" s="3"/>
      <c r="F903" s="3"/>
    </row>
    <row r="904" spans="3:6" x14ac:dyDescent="0.35">
      <c r="C904" s="3"/>
      <c r="D904" s="3"/>
      <c r="E904" s="3"/>
      <c r="F904" s="3"/>
    </row>
    <row r="905" spans="3:6" x14ac:dyDescent="0.35">
      <c r="C905" s="3"/>
      <c r="D905" s="3"/>
      <c r="E905" s="3"/>
      <c r="F905" s="3"/>
    </row>
    <row r="906" spans="3:6" x14ac:dyDescent="0.35">
      <c r="C906" s="3"/>
      <c r="D906" s="3"/>
      <c r="E906" s="3"/>
      <c r="F906" s="3"/>
    </row>
    <row r="907" spans="3:6" x14ac:dyDescent="0.35">
      <c r="C907" s="3"/>
      <c r="D907" s="3"/>
      <c r="E907" s="3"/>
      <c r="F907" s="3"/>
    </row>
    <row r="908" spans="3:6" x14ac:dyDescent="0.35">
      <c r="C908" s="3"/>
      <c r="D908" s="3"/>
      <c r="E908" s="3"/>
      <c r="F908" s="3"/>
    </row>
    <row r="909" spans="3:6" x14ac:dyDescent="0.35">
      <c r="C909" s="3"/>
      <c r="D909" s="3"/>
      <c r="E909" s="3"/>
      <c r="F909" s="3"/>
    </row>
    <row r="910" spans="3:6" x14ac:dyDescent="0.35">
      <c r="C910" s="3"/>
      <c r="D910" s="3"/>
      <c r="E910" s="3"/>
      <c r="F910" s="3"/>
    </row>
    <row r="911" spans="3:6" x14ac:dyDescent="0.35">
      <c r="C911" s="3"/>
      <c r="D911" s="3"/>
      <c r="E911" s="3"/>
      <c r="F911" s="3"/>
    </row>
    <row r="912" spans="3:6" x14ac:dyDescent="0.35">
      <c r="C912" s="3"/>
      <c r="D912" s="3"/>
      <c r="E912" s="3"/>
      <c r="F912" s="3"/>
    </row>
    <row r="913" spans="3:6" x14ac:dyDescent="0.35">
      <c r="C913" s="3"/>
      <c r="D913" s="3"/>
      <c r="E913" s="3"/>
      <c r="F913" s="3"/>
    </row>
    <row r="914" spans="3:6" x14ac:dyDescent="0.35">
      <c r="C914" s="3"/>
      <c r="D914" s="3"/>
      <c r="E914" s="3"/>
      <c r="F914" s="3"/>
    </row>
    <row r="915" spans="3:6" x14ac:dyDescent="0.35">
      <c r="C915" s="3"/>
      <c r="D915" s="3"/>
      <c r="E915" s="3"/>
      <c r="F915" s="3"/>
    </row>
    <row r="916" spans="3:6" x14ac:dyDescent="0.35">
      <c r="C916" s="3"/>
      <c r="D916" s="3"/>
      <c r="E916" s="3"/>
      <c r="F916" s="3"/>
    </row>
    <row r="917" spans="3:6" x14ac:dyDescent="0.35">
      <c r="C917" s="3"/>
      <c r="D917" s="3"/>
      <c r="E917" s="3"/>
      <c r="F917" s="3"/>
    </row>
    <row r="918" spans="3:6" x14ac:dyDescent="0.35">
      <c r="C918" s="3"/>
      <c r="D918" s="3"/>
      <c r="E918" s="3"/>
      <c r="F918" s="3"/>
    </row>
    <row r="919" spans="3:6" x14ac:dyDescent="0.35">
      <c r="C919" s="3"/>
      <c r="D919" s="3"/>
      <c r="E919" s="3"/>
      <c r="F919" s="3"/>
    </row>
    <row r="920" spans="3:6" x14ac:dyDescent="0.35">
      <c r="C920" s="3"/>
      <c r="D920" s="3"/>
      <c r="E920" s="3"/>
      <c r="F920" s="3"/>
    </row>
    <row r="921" spans="3:6" x14ac:dyDescent="0.35">
      <c r="C921" s="3"/>
      <c r="D921" s="3"/>
      <c r="E921" s="3"/>
      <c r="F921" s="3"/>
    </row>
    <row r="922" spans="3:6" x14ac:dyDescent="0.35">
      <c r="C922" s="3"/>
      <c r="D922" s="3"/>
      <c r="E922" s="3"/>
      <c r="F922" s="3"/>
    </row>
    <row r="923" spans="3:6" x14ac:dyDescent="0.35">
      <c r="C923" s="3"/>
      <c r="D923" s="3"/>
      <c r="E923" s="3"/>
      <c r="F923" s="3"/>
    </row>
    <row r="924" spans="3:6" x14ac:dyDescent="0.35">
      <c r="C924" s="3"/>
      <c r="D924" s="3"/>
      <c r="E924" s="3"/>
      <c r="F924" s="3"/>
    </row>
    <row r="925" spans="3:6" x14ac:dyDescent="0.35">
      <c r="C925" s="3"/>
      <c r="D925" s="3"/>
      <c r="E925" s="3"/>
      <c r="F925" s="3"/>
    </row>
    <row r="926" spans="3:6" x14ac:dyDescent="0.35">
      <c r="C926" s="3"/>
      <c r="D926" s="3"/>
      <c r="E926" s="3"/>
      <c r="F926" s="3"/>
    </row>
    <row r="927" spans="3:6" x14ac:dyDescent="0.35">
      <c r="C927" s="3"/>
      <c r="D927" s="3"/>
      <c r="E927" s="3"/>
      <c r="F927" s="3"/>
    </row>
    <row r="928" spans="3:6" x14ac:dyDescent="0.35">
      <c r="C928" s="3"/>
      <c r="D928" s="3"/>
      <c r="E928" s="3"/>
      <c r="F928" s="3"/>
    </row>
    <row r="929" spans="3:6" x14ac:dyDescent="0.35">
      <c r="C929" s="3"/>
      <c r="D929" s="3"/>
      <c r="E929" s="3"/>
      <c r="F929" s="3"/>
    </row>
    <row r="930" spans="3:6" x14ac:dyDescent="0.35">
      <c r="C930" s="3"/>
      <c r="D930" s="3"/>
      <c r="E930" s="3"/>
      <c r="F930" s="3"/>
    </row>
    <row r="931" spans="3:6" x14ac:dyDescent="0.35">
      <c r="C931" s="3"/>
      <c r="D931" s="3"/>
      <c r="E931" s="3"/>
      <c r="F931" s="3"/>
    </row>
    <row r="932" spans="3:6" x14ac:dyDescent="0.35">
      <c r="C932" s="3"/>
      <c r="D932" s="3"/>
      <c r="E932" s="3"/>
      <c r="F932" s="3"/>
    </row>
    <row r="933" spans="3:6" x14ac:dyDescent="0.35">
      <c r="C933" s="3"/>
      <c r="D933" s="3"/>
      <c r="E933" s="3"/>
      <c r="F933" s="3"/>
    </row>
    <row r="934" spans="3:6" x14ac:dyDescent="0.35">
      <c r="C934" s="3"/>
      <c r="D934" s="3"/>
      <c r="E934" s="3"/>
      <c r="F934" s="3"/>
    </row>
    <row r="935" spans="3:6" x14ac:dyDescent="0.35">
      <c r="C935" s="3"/>
      <c r="D935" s="3"/>
      <c r="E935" s="3"/>
      <c r="F935" s="3"/>
    </row>
    <row r="936" spans="3:6" x14ac:dyDescent="0.35">
      <c r="C936" s="3"/>
      <c r="D936" s="3"/>
      <c r="E936" s="3"/>
      <c r="F936" s="3"/>
    </row>
    <row r="937" spans="3:6" x14ac:dyDescent="0.35">
      <c r="C937" s="3"/>
      <c r="D937" s="3"/>
      <c r="E937" s="3"/>
      <c r="F937" s="3"/>
    </row>
    <row r="938" spans="3:6" x14ac:dyDescent="0.35">
      <c r="C938" s="3"/>
      <c r="D938" s="3"/>
      <c r="E938" s="3"/>
      <c r="F938" s="3"/>
    </row>
    <row r="939" spans="3:6" x14ac:dyDescent="0.35">
      <c r="C939" s="3"/>
      <c r="D939" s="3"/>
      <c r="E939" s="3"/>
      <c r="F939" s="3"/>
    </row>
    <row r="940" spans="3:6" x14ac:dyDescent="0.35">
      <c r="C940" s="3"/>
      <c r="D940" s="3"/>
      <c r="E940" s="3"/>
      <c r="F940" s="3"/>
    </row>
    <row r="941" spans="3:6" x14ac:dyDescent="0.35">
      <c r="C941" s="3"/>
      <c r="D941" s="3"/>
      <c r="E941" s="3"/>
      <c r="F941" s="3"/>
    </row>
    <row r="942" spans="3:6" x14ac:dyDescent="0.35">
      <c r="C942" s="3"/>
      <c r="D942" s="3"/>
      <c r="E942" s="3"/>
      <c r="F942" s="3"/>
    </row>
    <row r="943" spans="3:6" x14ac:dyDescent="0.35">
      <c r="C943" s="3"/>
      <c r="D943" s="3"/>
      <c r="E943" s="3"/>
      <c r="F943" s="3"/>
    </row>
    <row r="944" spans="3:6" x14ac:dyDescent="0.35">
      <c r="C944" s="3"/>
      <c r="D944" s="3"/>
      <c r="E944" s="3"/>
      <c r="F944" s="3"/>
    </row>
    <row r="945" spans="3:6" x14ac:dyDescent="0.35">
      <c r="C945" s="3"/>
      <c r="D945" s="3"/>
      <c r="E945" s="3"/>
      <c r="F945" s="3"/>
    </row>
    <row r="946" spans="3:6" x14ac:dyDescent="0.35">
      <c r="C946" s="3"/>
      <c r="D946" s="3"/>
      <c r="E946" s="3"/>
      <c r="F946" s="3"/>
    </row>
    <row r="947" spans="3:6" x14ac:dyDescent="0.35">
      <c r="C947" s="3"/>
      <c r="D947" s="3"/>
      <c r="E947" s="3"/>
      <c r="F947" s="3"/>
    </row>
    <row r="948" spans="3:6" x14ac:dyDescent="0.35">
      <c r="C948" s="3"/>
      <c r="D948" s="3"/>
      <c r="E948" s="3"/>
      <c r="F948" s="3"/>
    </row>
    <row r="949" spans="3:6" x14ac:dyDescent="0.35">
      <c r="C949" s="3"/>
      <c r="D949" s="3"/>
      <c r="E949" s="3"/>
      <c r="F949" s="3"/>
    </row>
    <row r="950" spans="3:6" x14ac:dyDescent="0.35">
      <c r="C950" s="3"/>
      <c r="D950" s="3"/>
      <c r="E950" s="3"/>
      <c r="F950" s="3"/>
    </row>
    <row r="951" spans="3:6" x14ac:dyDescent="0.35">
      <c r="C951" s="3"/>
      <c r="D951" s="3"/>
      <c r="E951" s="3"/>
      <c r="F951" s="3"/>
    </row>
    <row r="952" spans="3:6" x14ac:dyDescent="0.35">
      <c r="C952" s="3"/>
      <c r="D952" s="3"/>
      <c r="E952" s="3"/>
      <c r="F952" s="3"/>
    </row>
    <row r="953" spans="3:6" x14ac:dyDescent="0.35">
      <c r="C953" s="3"/>
      <c r="D953" s="3"/>
      <c r="E953" s="3"/>
      <c r="F953" s="3"/>
    </row>
    <row r="954" spans="3:6" x14ac:dyDescent="0.35">
      <c r="C954" s="3"/>
      <c r="D954" s="3"/>
      <c r="E954" s="3"/>
      <c r="F954" s="3"/>
    </row>
    <row r="955" spans="3:6" x14ac:dyDescent="0.35">
      <c r="C955" s="3"/>
      <c r="D955" s="3"/>
      <c r="E955" s="3"/>
      <c r="F955" s="3"/>
    </row>
    <row r="956" spans="3:6" x14ac:dyDescent="0.35">
      <c r="C956" s="3"/>
      <c r="D956" s="3"/>
      <c r="E956" s="3"/>
      <c r="F956" s="3"/>
    </row>
    <row r="957" spans="3:6" x14ac:dyDescent="0.35">
      <c r="C957" s="3"/>
      <c r="D957" s="3"/>
      <c r="E957" s="3"/>
      <c r="F957" s="3"/>
    </row>
    <row r="958" spans="3:6" x14ac:dyDescent="0.35">
      <c r="C958" s="3"/>
      <c r="D958" s="3"/>
      <c r="E958" s="3"/>
      <c r="F958" s="3"/>
    </row>
    <row r="959" spans="3:6" x14ac:dyDescent="0.35">
      <c r="C959" s="3"/>
      <c r="D959" s="3"/>
      <c r="E959" s="3"/>
      <c r="F959" s="3"/>
    </row>
    <row r="960" spans="3:6" x14ac:dyDescent="0.35">
      <c r="C960" s="3"/>
      <c r="D960" s="3"/>
      <c r="E960" s="3"/>
      <c r="F960" s="3"/>
    </row>
    <row r="961" spans="3:6" x14ac:dyDescent="0.35">
      <c r="C961" s="3"/>
      <c r="D961" s="3"/>
      <c r="E961" s="3"/>
      <c r="F961" s="3"/>
    </row>
    <row r="962" spans="3:6" x14ac:dyDescent="0.35">
      <c r="C962" s="3"/>
      <c r="D962" s="3"/>
      <c r="E962" s="3"/>
      <c r="F962" s="3"/>
    </row>
    <row r="963" spans="3:6" x14ac:dyDescent="0.35">
      <c r="C963" s="3"/>
      <c r="D963" s="3"/>
      <c r="E963" s="3"/>
      <c r="F963" s="3"/>
    </row>
    <row r="964" spans="3:6" x14ac:dyDescent="0.35">
      <c r="C964" s="3"/>
      <c r="D964" s="3"/>
      <c r="E964" s="3"/>
      <c r="F964" s="3"/>
    </row>
    <row r="965" spans="3:6" x14ac:dyDescent="0.35">
      <c r="C965" s="3"/>
      <c r="D965" s="3"/>
      <c r="E965" s="3"/>
      <c r="F965" s="3"/>
    </row>
    <row r="966" spans="3:6" x14ac:dyDescent="0.35">
      <c r="C966" s="3"/>
      <c r="D966" s="3"/>
      <c r="E966" s="3"/>
      <c r="F966" s="3"/>
    </row>
    <row r="967" spans="3:6" x14ac:dyDescent="0.35">
      <c r="C967" s="3"/>
      <c r="D967" s="3"/>
      <c r="E967" s="3"/>
      <c r="F967" s="3"/>
    </row>
    <row r="968" spans="3:6" x14ac:dyDescent="0.35">
      <c r="C968" s="3"/>
      <c r="D968" s="3"/>
      <c r="E968" s="3"/>
      <c r="F968" s="3"/>
    </row>
    <row r="969" spans="3:6" x14ac:dyDescent="0.35">
      <c r="C969" s="3"/>
      <c r="D969" s="3"/>
      <c r="E969" s="3"/>
      <c r="F969" s="3"/>
    </row>
    <row r="970" spans="3:6" x14ac:dyDescent="0.35">
      <c r="C970" s="3"/>
      <c r="D970" s="3"/>
      <c r="E970" s="3"/>
      <c r="F970" s="3"/>
    </row>
    <row r="971" spans="3:6" x14ac:dyDescent="0.35">
      <c r="C971" s="3"/>
      <c r="D971" s="3"/>
      <c r="E971" s="3"/>
      <c r="F971" s="3"/>
    </row>
    <row r="972" spans="3:6" x14ac:dyDescent="0.35">
      <c r="C972" s="3"/>
      <c r="D972" s="3"/>
      <c r="E972" s="3"/>
      <c r="F972" s="3"/>
    </row>
    <row r="973" spans="3:6" x14ac:dyDescent="0.35">
      <c r="C973" s="3"/>
      <c r="D973" s="3"/>
      <c r="E973" s="3"/>
      <c r="F973" s="3"/>
    </row>
    <row r="974" spans="3:6" x14ac:dyDescent="0.35">
      <c r="C974" s="3"/>
      <c r="D974" s="3"/>
      <c r="E974" s="3"/>
      <c r="F974" s="3"/>
    </row>
    <row r="975" spans="3:6" x14ac:dyDescent="0.35">
      <c r="C975" s="3"/>
      <c r="D975" s="3"/>
      <c r="E975" s="3"/>
      <c r="F975" s="3"/>
    </row>
    <row r="976" spans="3:6" x14ac:dyDescent="0.35">
      <c r="C976" s="3"/>
      <c r="D976" s="3"/>
      <c r="E976" s="3"/>
      <c r="F976" s="3"/>
    </row>
    <row r="977" spans="3:6" x14ac:dyDescent="0.35">
      <c r="C977" s="3"/>
      <c r="D977" s="3"/>
      <c r="E977" s="3"/>
      <c r="F977" s="3"/>
    </row>
    <row r="978" spans="3:6" x14ac:dyDescent="0.35">
      <c r="C978" s="3"/>
      <c r="D978" s="3"/>
      <c r="E978" s="3"/>
      <c r="F978" s="3"/>
    </row>
    <row r="979" spans="3:6" x14ac:dyDescent="0.35">
      <c r="C979" s="3"/>
      <c r="D979" s="3"/>
      <c r="E979" s="3"/>
      <c r="F979" s="3"/>
    </row>
    <row r="980" spans="3:6" x14ac:dyDescent="0.35">
      <c r="C980" s="3"/>
      <c r="D980" s="3"/>
      <c r="E980" s="3"/>
      <c r="F980" s="3"/>
    </row>
    <row r="981" spans="3:6" x14ac:dyDescent="0.35">
      <c r="C981" s="3"/>
      <c r="D981" s="3"/>
      <c r="E981" s="3"/>
      <c r="F981" s="3"/>
    </row>
    <row r="982" spans="3:6" x14ac:dyDescent="0.35">
      <c r="C982" s="3"/>
      <c r="D982" s="3"/>
      <c r="E982" s="3"/>
      <c r="F982" s="3"/>
    </row>
    <row r="983" spans="3:6" x14ac:dyDescent="0.35">
      <c r="C983" s="3"/>
      <c r="D983" s="3"/>
      <c r="E983" s="3"/>
      <c r="F983" s="3"/>
    </row>
    <row r="984" spans="3:6" x14ac:dyDescent="0.35">
      <c r="C984" s="3"/>
      <c r="D984" s="3"/>
      <c r="E984" s="3"/>
      <c r="F984" s="3"/>
    </row>
    <row r="985" spans="3:6" x14ac:dyDescent="0.35">
      <c r="C985" s="3"/>
      <c r="D985" s="3"/>
      <c r="E985" s="3"/>
      <c r="F985" s="3"/>
    </row>
    <row r="986" spans="3:6" x14ac:dyDescent="0.35">
      <c r="C986" s="3"/>
      <c r="D986" s="3"/>
      <c r="E986" s="3"/>
      <c r="F986" s="3"/>
    </row>
    <row r="987" spans="3:6" x14ac:dyDescent="0.35">
      <c r="C987" s="3"/>
      <c r="D987" s="3"/>
      <c r="E987" s="3"/>
      <c r="F987" s="3"/>
    </row>
    <row r="988" spans="3:6" x14ac:dyDescent="0.35">
      <c r="C988" s="3"/>
      <c r="D988" s="3"/>
      <c r="E988" s="3"/>
      <c r="F988" s="3"/>
    </row>
    <row r="989" spans="3:6" x14ac:dyDescent="0.35">
      <c r="C989" s="3"/>
      <c r="D989" s="3"/>
      <c r="E989" s="3"/>
      <c r="F989" s="3"/>
    </row>
    <row r="990" spans="3:6" x14ac:dyDescent="0.35">
      <c r="C990" s="3"/>
      <c r="D990" s="3"/>
      <c r="E990" s="3"/>
      <c r="F990" s="3"/>
    </row>
    <row r="991" spans="3:6" x14ac:dyDescent="0.35">
      <c r="C991" s="3"/>
      <c r="D991" s="3"/>
      <c r="E991" s="3"/>
      <c r="F991" s="3"/>
    </row>
    <row r="992" spans="3:6" x14ac:dyDescent="0.35">
      <c r="C992" s="3"/>
      <c r="D992" s="3"/>
      <c r="E992" s="3"/>
      <c r="F992" s="3"/>
    </row>
    <row r="993" spans="3:6" x14ac:dyDescent="0.35">
      <c r="C993" s="3"/>
      <c r="D993" s="3"/>
      <c r="E993" s="3"/>
      <c r="F993" s="3"/>
    </row>
    <row r="994" spans="3:6" x14ac:dyDescent="0.35">
      <c r="C994" s="3"/>
      <c r="D994" s="3"/>
      <c r="E994" s="3"/>
      <c r="F994" s="3"/>
    </row>
    <row r="995" spans="3:6" x14ac:dyDescent="0.35">
      <c r="C995" s="3"/>
      <c r="D995" s="3"/>
      <c r="E995" s="3"/>
      <c r="F995" s="3"/>
    </row>
    <row r="996" spans="3:6" x14ac:dyDescent="0.35">
      <c r="C996" s="3"/>
      <c r="D996" s="3"/>
      <c r="E996" s="3"/>
      <c r="F996" s="3"/>
    </row>
    <row r="997" spans="3:6" x14ac:dyDescent="0.35">
      <c r="C997" s="3"/>
      <c r="D997" s="3"/>
      <c r="E997" s="3"/>
      <c r="F997" s="3"/>
    </row>
    <row r="998" spans="3:6" x14ac:dyDescent="0.35">
      <c r="C998" s="3"/>
      <c r="D998" s="3"/>
      <c r="E998" s="3"/>
      <c r="F998" s="3"/>
    </row>
    <row r="999" spans="3:6" x14ac:dyDescent="0.35">
      <c r="C999" s="3"/>
      <c r="D999" s="3"/>
      <c r="E999" s="3"/>
      <c r="F999" s="3"/>
    </row>
    <row r="1000" spans="3:6" x14ac:dyDescent="0.35">
      <c r="C1000" s="3"/>
      <c r="D1000" s="3"/>
      <c r="E1000" s="3"/>
      <c r="F1000" s="3"/>
    </row>
    <row r="1001" spans="3:6" x14ac:dyDescent="0.35">
      <c r="C1001" s="3"/>
      <c r="D1001" s="3"/>
      <c r="E1001" s="3"/>
      <c r="F1001" s="3"/>
    </row>
    <row r="1002" spans="3:6" x14ac:dyDescent="0.35">
      <c r="C1002" s="3"/>
      <c r="D1002" s="3"/>
      <c r="E1002" s="3"/>
      <c r="F1002" s="3"/>
    </row>
    <row r="1003" spans="3:6" x14ac:dyDescent="0.35">
      <c r="C1003" s="3"/>
      <c r="D1003" s="3"/>
      <c r="E1003" s="3"/>
      <c r="F1003" s="3"/>
    </row>
    <row r="1004" spans="3:6" x14ac:dyDescent="0.35">
      <c r="C1004" s="3"/>
      <c r="D1004" s="3"/>
      <c r="E1004" s="3"/>
      <c r="F1004" s="3"/>
    </row>
    <row r="1005" spans="3:6" x14ac:dyDescent="0.35">
      <c r="C1005" s="3"/>
      <c r="D1005" s="3"/>
      <c r="E1005" s="3"/>
      <c r="F1005" s="3"/>
    </row>
    <row r="1006" spans="3:6" x14ac:dyDescent="0.35">
      <c r="C1006" s="3"/>
      <c r="D1006" s="3"/>
      <c r="E1006" s="3"/>
      <c r="F1006" s="3"/>
    </row>
    <row r="1007" spans="3:6" x14ac:dyDescent="0.35">
      <c r="C1007" s="3"/>
      <c r="D1007" s="3"/>
      <c r="E1007" s="3"/>
      <c r="F1007" s="3"/>
    </row>
    <row r="1008" spans="3:6" x14ac:dyDescent="0.35">
      <c r="C1008" s="3"/>
      <c r="D1008" s="3"/>
      <c r="E1008" s="3"/>
      <c r="F1008" s="3"/>
    </row>
    <row r="1009" spans="3:6" x14ac:dyDescent="0.35">
      <c r="C1009" s="3"/>
      <c r="D1009" s="3"/>
      <c r="E1009" s="3"/>
      <c r="F1009" s="3"/>
    </row>
    <row r="1010" spans="3:6" x14ac:dyDescent="0.35">
      <c r="C1010" s="3"/>
      <c r="D1010" s="3"/>
      <c r="E1010" s="3"/>
      <c r="F1010" s="3"/>
    </row>
    <row r="1011" spans="3:6" x14ac:dyDescent="0.35">
      <c r="C1011" s="3"/>
      <c r="D1011" s="3"/>
      <c r="E1011" s="3"/>
      <c r="F1011" s="3"/>
    </row>
    <row r="1012" spans="3:6" x14ac:dyDescent="0.35">
      <c r="C1012" s="3"/>
      <c r="D1012" s="3"/>
      <c r="E1012" s="3"/>
      <c r="F1012" s="3"/>
    </row>
    <row r="1013" spans="3:6" x14ac:dyDescent="0.35">
      <c r="C1013" s="3"/>
      <c r="D1013" s="3"/>
      <c r="E1013" s="3"/>
      <c r="F1013" s="3"/>
    </row>
    <row r="1014" spans="3:6" x14ac:dyDescent="0.35">
      <c r="C1014" s="3"/>
      <c r="D1014" s="3"/>
      <c r="E1014" s="3"/>
      <c r="F1014" s="3"/>
    </row>
    <row r="1015" spans="3:6" x14ac:dyDescent="0.35">
      <c r="C1015" s="3"/>
      <c r="D1015" s="3"/>
      <c r="E1015" s="3"/>
      <c r="F1015" s="3"/>
    </row>
    <row r="1016" spans="3:6" x14ac:dyDescent="0.35">
      <c r="C1016" s="3"/>
      <c r="D1016" s="3"/>
      <c r="E1016" s="3"/>
      <c r="F1016" s="3"/>
    </row>
    <row r="1017" spans="3:6" x14ac:dyDescent="0.35">
      <c r="C1017" s="3"/>
      <c r="D1017" s="3"/>
      <c r="E1017" s="3"/>
      <c r="F1017" s="3"/>
    </row>
    <row r="1018" spans="3:6" x14ac:dyDescent="0.35">
      <c r="C1018" s="3"/>
      <c r="D1018" s="3"/>
      <c r="E1018" s="3"/>
      <c r="F1018" s="3"/>
    </row>
    <row r="1019" spans="3:6" x14ac:dyDescent="0.35">
      <c r="C1019" s="3"/>
      <c r="D1019" s="3"/>
      <c r="E1019" s="3"/>
      <c r="F1019" s="3"/>
    </row>
    <row r="1020" spans="3:6" x14ac:dyDescent="0.35">
      <c r="C1020" s="3"/>
      <c r="D1020" s="3"/>
      <c r="E1020" s="3"/>
      <c r="F1020" s="3"/>
    </row>
    <row r="1021" spans="3:6" x14ac:dyDescent="0.35">
      <c r="C1021" s="3"/>
      <c r="D1021" s="3"/>
      <c r="E1021" s="3"/>
      <c r="F1021" s="3"/>
    </row>
    <row r="1022" spans="3:6" x14ac:dyDescent="0.35">
      <c r="C1022" s="3"/>
      <c r="D1022" s="3"/>
      <c r="E1022" s="3"/>
      <c r="F1022" s="3"/>
    </row>
    <row r="1023" spans="3:6" x14ac:dyDescent="0.35">
      <c r="C1023" s="3"/>
      <c r="D1023" s="3"/>
      <c r="E1023" s="3"/>
      <c r="F1023" s="3"/>
    </row>
    <row r="1024" spans="3:6" x14ac:dyDescent="0.35">
      <c r="C1024" s="3"/>
      <c r="D1024" s="3"/>
      <c r="E1024" s="3"/>
      <c r="F1024" s="3"/>
    </row>
    <row r="1025" spans="3:6" x14ac:dyDescent="0.35">
      <c r="C1025" s="3"/>
      <c r="D1025" s="3"/>
      <c r="E1025" s="3"/>
      <c r="F1025" s="3"/>
    </row>
    <row r="1026" spans="3:6" x14ac:dyDescent="0.35">
      <c r="C1026" s="3"/>
      <c r="D1026" s="3"/>
      <c r="E1026" s="3"/>
      <c r="F1026" s="3"/>
    </row>
    <row r="1027" spans="3:6" x14ac:dyDescent="0.35">
      <c r="C1027" s="3"/>
      <c r="D1027" s="3"/>
      <c r="E1027" s="3"/>
      <c r="F1027" s="3"/>
    </row>
    <row r="1028" spans="3:6" x14ac:dyDescent="0.35">
      <c r="C1028" s="3"/>
      <c r="D1028" s="3"/>
      <c r="E1028" s="3"/>
      <c r="F1028" s="3"/>
    </row>
    <row r="1029" spans="3:6" x14ac:dyDescent="0.35">
      <c r="C1029" s="3"/>
      <c r="D1029" s="3"/>
      <c r="E1029" s="3"/>
      <c r="F1029" s="3"/>
    </row>
    <row r="1030" spans="3:6" x14ac:dyDescent="0.35">
      <c r="C1030" s="3"/>
      <c r="D1030" s="3"/>
      <c r="E1030" s="3"/>
      <c r="F1030" s="3"/>
    </row>
    <row r="1031" spans="3:6" x14ac:dyDescent="0.35">
      <c r="C1031" s="3"/>
      <c r="D1031" s="3"/>
      <c r="E1031" s="3"/>
      <c r="F1031" s="3"/>
    </row>
    <row r="1032" spans="3:6" x14ac:dyDescent="0.35">
      <c r="C1032" s="3"/>
      <c r="D1032" s="3"/>
      <c r="E1032" s="3"/>
      <c r="F1032" s="3"/>
    </row>
    <row r="1033" spans="3:6" x14ac:dyDescent="0.35">
      <c r="C1033" s="3"/>
      <c r="D1033" s="3"/>
      <c r="E1033" s="3"/>
      <c r="F1033" s="3"/>
    </row>
    <row r="1034" spans="3:6" x14ac:dyDescent="0.35">
      <c r="C1034" s="3"/>
      <c r="D1034" s="3"/>
      <c r="E1034" s="3"/>
      <c r="F1034" s="3"/>
    </row>
    <row r="1035" spans="3:6" x14ac:dyDescent="0.35">
      <c r="C1035" s="3"/>
      <c r="D1035" s="3"/>
      <c r="E1035" s="3"/>
      <c r="F1035" s="3"/>
    </row>
    <row r="1036" spans="3:6" x14ac:dyDescent="0.35">
      <c r="C1036" s="3"/>
      <c r="D1036" s="3"/>
      <c r="E1036" s="3"/>
      <c r="F1036" s="3"/>
    </row>
    <row r="1037" spans="3:6" x14ac:dyDescent="0.35">
      <c r="C1037" s="3"/>
      <c r="D1037" s="3"/>
      <c r="E1037" s="3"/>
      <c r="F1037" s="3"/>
    </row>
    <row r="1038" spans="3:6" x14ac:dyDescent="0.35">
      <c r="C1038" s="3"/>
      <c r="D1038" s="3"/>
      <c r="E1038" s="3"/>
      <c r="F1038" s="3"/>
    </row>
    <row r="1039" spans="3:6" x14ac:dyDescent="0.35">
      <c r="C1039" s="3"/>
      <c r="D1039" s="3"/>
      <c r="E1039" s="3"/>
      <c r="F1039" s="3"/>
    </row>
    <row r="1040" spans="3:6" x14ac:dyDescent="0.35">
      <c r="C1040" s="3"/>
      <c r="D1040" s="3"/>
      <c r="E1040" s="3"/>
      <c r="F1040" s="3"/>
    </row>
    <row r="1041" spans="3:6" x14ac:dyDescent="0.35">
      <c r="C1041" s="3"/>
      <c r="D1041" s="3"/>
      <c r="E1041" s="3"/>
      <c r="F1041" s="3"/>
    </row>
    <row r="1042" spans="3:6" x14ac:dyDescent="0.35">
      <c r="C1042" s="3"/>
      <c r="D1042" s="3"/>
      <c r="E1042" s="3"/>
      <c r="F1042" s="3"/>
    </row>
    <row r="1043" spans="3:6" x14ac:dyDescent="0.35">
      <c r="C1043" s="3"/>
      <c r="D1043" s="3"/>
      <c r="E1043" s="3"/>
      <c r="F1043" s="3"/>
    </row>
    <row r="1044" spans="3:6" x14ac:dyDescent="0.35">
      <c r="C1044" s="3"/>
      <c r="D1044" s="3"/>
      <c r="E1044" s="3"/>
      <c r="F1044" s="3"/>
    </row>
    <row r="1045" spans="3:6" x14ac:dyDescent="0.35">
      <c r="C1045" s="3"/>
      <c r="D1045" s="3"/>
      <c r="E1045" s="3"/>
      <c r="F1045" s="3"/>
    </row>
    <row r="1046" spans="3:6" x14ac:dyDescent="0.35">
      <c r="C1046" s="3"/>
      <c r="D1046" s="3"/>
      <c r="E1046" s="3"/>
      <c r="F1046" s="3"/>
    </row>
    <row r="1047" spans="3:6" x14ac:dyDescent="0.35">
      <c r="C1047" s="3"/>
      <c r="D1047" s="3"/>
      <c r="E1047" s="3"/>
      <c r="F1047" s="3"/>
    </row>
    <row r="1048" spans="3:6" x14ac:dyDescent="0.35">
      <c r="C1048" s="3"/>
      <c r="D1048" s="3"/>
      <c r="E1048" s="3"/>
      <c r="F1048" s="3"/>
    </row>
    <row r="1049" spans="3:6" x14ac:dyDescent="0.35">
      <c r="C1049" s="3"/>
      <c r="D1049" s="3"/>
      <c r="E1049" s="3"/>
      <c r="F1049" s="3"/>
    </row>
    <row r="1050" spans="3:6" x14ac:dyDescent="0.35">
      <c r="C1050" s="3"/>
      <c r="D1050" s="3"/>
      <c r="E1050" s="3"/>
      <c r="F1050" s="3"/>
    </row>
    <row r="1051" spans="3:6" x14ac:dyDescent="0.35">
      <c r="C1051" s="3"/>
      <c r="D1051" s="3"/>
      <c r="E1051" s="3"/>
      <c r="F1051" s="3"/>
    </row>
    <row r="1052" spans="3:6" x14ac:dyDescent="0.35">
      <c r="C1052" s="3"/>
      <c r="D1052" s="3"/>
      <c r="E1052" s="3"/>
      <c r="F1052" s="3"/>
    </row>
    <row r="1053" spans="3:6" x14ac:dyDescent="0.35">
      <c r="C1053" s="3"/>
      <c r="D1053" s="3"/>
      <c r="E1053" s="3"/>
      <c r="F1053" s="3"/>
    </row>
    <row r="1054" spans="3:6" x14ac:dyDescent="0.35">
      <c r="C1054" s="3"/>
      <c r="D1054" s="3"/>
      <c r="E1054" s="3"/>
      <c r="F1054" s="3"/>
    </row>
    <row r="1055" spans="3:6" x14ac:dyDescent="0.35">
      <c r="C1055" s="3"/>
      <c r="D1055" s="3"/>
      <c r="E1055" s="3"/>
      <c r="F1055" s="3"/>
    </row>
    <row r="1056" spans="3:6" x14ac:dyDescent="0.35">
      <c r="C1056" s="3"/>
      <c r="D1056" s="3"/>
      <c r="E1056" s="3"/>
      <c r="F1056" s="3"/>
    </row>
    <row r="1057" spans="3:6" x14ac:dyDescent="0.35">
      <c r="C1057" s="3"/>
      <c r="D1057" s="3"/>
      <c r="E1057" s="3"/>
      <c r="F1057" s="3"/>
    </row>
    <row r="1058" spans="3:6" x14ac:dyDescent="0.35">
      <c r="C1058" s="3"/>
      <c r="D1058" s="3"/>
      <c r="E1058" s="3"/>
      <c r="F1058" s="3"/>
    </row>
    <row r="1059" spans="3:6" x14ac:dyDescent="0.35">
      <c r="C1059" s="3"/>
      <c r="D1059" s="3"/>
      <c r="E1059" s="3"/>
      <c r="F1059" s="3"/>
    </row>
    <row r="1060" spans="3:6" x14ac:dyDescent="0.35">
      <c r="C1060" s="3"/>
      <c r="D1060" s="3"/>
      <c r="E1060" s="3"/>
      <c r="F1060" s="3"/>
    </row>
    <row r="1061" spans="3:6" x14ac:dyDescent="0.35">
      <c r="C1061" s="3"/>
      <c r="D1061" s="3"/>
      <c r="E1061" s="3"/>
      <c r="F1061" s="3"/>
    </row>
    <row r="1062" spans="3:6" x14ac:dyDescent="0.35">
      <c r="C1062" s="3"/>
      <c r="D1062" s="3"/>
      <c r="E1062" s="3"/>
      <c r="F1062" s="3"/>
    </row>
    <row r="1063" spans="3:6" x14ac:dyDescent="0.35">
      <c r="C1063" s="3"/>
      <c r="D1063" s="3"/>
      <c r="E1063" s="3"/>
      <c r="F1063" s="3"/>
    </row>
    <row r="1064" spans="3:6" x14ac:dyDescent="0.35">
      <c r="C1064" s="3"/>
      <c r="D1064" s="3"/>
      <c r="E1064" s="3"/>
      <c r="F1064" s="3"/>
    </row>
    <row r="1065" spans="3:6" x14ac:dyDescent="0.35">
      <c r="C1065" s="3"/>
      <c r="D1065" s="3"/>
      <c r="E1065" s="3"/>
      <c r="F1065" s="3"/>
    </row>
    <row r="1066" spans="3:6" x14ac:dyDescent="0.35">
      <c r="C1066" s="3"/>
      <c r="D1066" s="3"/>
      <c r="E1066" s="3"/>
      <c r="F1066" s="3"/>
    </row>
    <row r="1067" spans="3:6" x14ac:dyDescent="0.35">
      <c r="C1067" s="3"/>
      <c r="D1067" s="3"/>
      <c r="E1067" s="3"/>
      <c r="F1067" s="3"/>
    </row>
    <row r="1068" spans="3:6" x14ac:dyDescent="0.35">
      <c r="C1068" s="3"/>
      <c r="D1068" s="3"/>
      <c r="E1068" s="3"/>
      <c r="F1068" s="3"/>
    </row>
    <row r="1069" spans="3:6" x14ac:dyDescent="0.35">
      <c r="C1069" s="3"/>
      <c r="D1069" s="3"/>
      <c r="E1069" s="3"/>
      <c r="F1069" s="3"/>
    </row>
    <row r="1070" spans="3:6" x14ac:dyDescent="0.35">
      <c r="C1070" s="3"/>
      <c r="D1070" s="3"/>
      <c r="E1070" s="3"/>
      <c r="F1070" s="3"/>
    </row>
    <row r="1071" spans="3:6" x14ac:dyDescent="0.35">
      <c r="C1071" s="3"/>
      <c r="D1071" s="3"/>
      <c r="E1071" s="3"/>
      <c r="F1071" s="3"/>
    </row>
    <row r="1072" spans="3:6" x14ac:dyDescent="0.35">
      <c r="C1072" s="3"/>
      <c r="D1072" s="3"/>
      <c r="E1072" s="3"/>
      <c r="F1072" s="3"/>
    </row>
    <row r="1073" spans="3:6" x14ac:dyDescent="0.35">
      <c r="C1073" s="3"/>
      <c r="D1073" s="3"/>
      <c r="E1073" s="3"/>
      <c r="F1073" s="3"/>
    </row>
    <row r="1074" spans="3:6" x14ac:dyDescent="0.35">
      <c r="C1074" s="3"/>
      <c r="D1074" s="3"/>
      <c r="E1074" s="3"/>
      <c r="F1074" s="3"/>
    </row>
    <row r="1075" spans="3:6" x14ac:dyDescent="0.35">
      <c r="C1075" s="3"/>
      <c r="D1075" s="3"/>
      <c r="E1075" s="3"/>
      <c r="F1075" s="3"/>
    </row>
    <row r="1076" spans="3:6" x14ac:dyDescent="0.35">
      <c r="C1076" s="3"/>
      <c r="D1076" s="3"/>
      <c r="E1076" s="3"/>
      <c r="F1076" s="3"/>
    </row>
    <row r="1077" spans="3:6" x14ac:dyDescent="0.35">
      <c r="C1077" s="3"/>
      <c r="D1077" s="3"/>
      <c r="E1077" s="3"/>
      <c r="F1077" s="3"/>
    </row>
    <row r="1078" spans="3:6" x14ac:dyDescent="0.35">
      <c r="C1078" s="3"/>
      <c r="D1078" s="3"/>
      <c r="E1078" s="3"/>
      <c r="F1078" s="3"/>
    </row>
    <row r="1079" spans="3:6" x14ac:dyDescent="0.35">
      <c r="C1079" s="3"/>
      <c r="D1079" s="3"/>
      <c r="E1079" s="3"/>
      <c r="F1079" s="3"/>
    </row>
    <row r="1080" spans="3:6" x14ac:dyDescent="0.35">
      <c r="C1080" s="3"/>
      <c r="D1080" s="3"/>
      <c r="E1080" s="3"/>
      <c r="F1080" s="3"/>
    </row>
    <row r="1081" spans="3:6" x14ac:dyDescent="0.35">
      <c r="C1081" s="3"/>
      <c r="D1081" s="3"/>
      <c r="E1081" s="3"/>
      <c r="F1081" s="3"/>
    </row>
    <row r="1082" spans="3:6" x14ac:dyDescent="0.35">
      <c r="C1082" s="3"/>
      <c r="D1082" s="3"/>
      <c r="E1082" s="3"/>
      <c r="F1082" s="3"/>
    </row>
    <row r="1083" spans="3:6" x14ac:dyDescent="0.35">
      <c r="C1083" s="3"/>
      <c r="D1083" s="3"/>
      <c r="E1083" s="3"/>
      <c r="F1083" s="3"/>
    </row>
    <row r="1084" spans="3:6" x14ac:dyDescent="0.35">
      <c r="C1084" s="3"/>
      <c r="D1084" s="3"/>
      <c r="E1084" s="3"/>
      <c r="F1084" s="3"/>
    </row>
    <row r="1085" spans="3:6" x14ac:dyDescent="0.35">
      <c r="C1085" s="3"/>
      <c r="D1085" s="3"/>
      <c r="E1085" s="3"/>
      <c r="F1085" s="3"/>
    </row>
    <row r="1086" spans="3:6" x14ac:dyDescent="0.35">
      <c r="C1086" s="3"/>
      <c r="D1086" s="3"/>
      <c r="E1086" s="3"/>
      <c r="F1086" s="3"/>
    </row>
    <row r="1087" spans="3:6" x14ac:dyDescent="0.35">
      <c r="C1087" s="3"/>
      <c r="D1087" s="3"/>
      <c r="E1087" s="3"/>
      <c r="F1087" s="3"/>
    </row>
    <row r="1088" spans="3:6" x14ac:dyDescent="0.35">
      <c r="C1088" s="3"/>
      <c r="D1088" s="3"/>
      <c r="E1088" s="3"/>
      <c r="F1088" s="3"/>
    </row>
    <row r="1089" spans="3:6" x14ac:dyDescent="0.35">
      <c r="C1089" s="3"/>
      <c r="D1089" s="3"/>
      <c r="E1089" s="3"/>
      <c r="F1089" s="3"/>
    </row>
    <row r="1090" spans="3:6" x14ac:dyDescent="0.35">
      <c r="C1090" s="3"/>
      <c r="D1090" s="3"/>
      <c r="E1090" s="3"/>
      <c r="F1090" s="3"/>
    </row>
    <row r="1091" spans="3:6" x14ac:dyDescent="0.35">
      <c r="C1091" s="3"/>
      <c r="D1091" s="3"/>
      <c r="E1091" s="3"/>
      <c r="F1091" s="3"/>
    </row>
    <row r="1092" spans="3:6" x14ac:dyDescent="0.35">
      <c r="C1092" s="3"/>
      <c r="D1092" s="3"/>
      <c r="E1092" s="3"/>
      <c r="F1092" s="3"/>
    </row>
    <row r="1093" spans="3:6" x14ac:dyDescent="0.35">
      <c r="C1093" s="3"/>
      <c r="D1093" s="3"/>
      <c r="E1093" s="3"/>
      <c r="F1093" s="3"/>
    </row>
    <row r="1094" spans="3:6" x14ac:dyDescent="0.35">
      <c r="C1094" s="3"/>
      <c r="D1094" s="3"/>
      <c r="E1094" s="3"/>
      <c r="F1094" s="3"/>
    </row>
    <row r="1095" spans="3:6" x14ac:dyDescent="0.35">
      <c r="C1095" s="3"/>
      <c r="D1095" s="3"/>
      <c r="E1095" s="3"/>
      <c r="F1095" s="3"/>
    </row>
    <row r="1096" spans="3:6" x14ac:dyDescent="0.35">
      <c r="C1096" s="3"/>
      <c r="D1096" s="3"/>
      <c r="E1096" s="3"/>
      <c r="F1096" s="3"/>
    </row>
    <row r="1097" spans="3:6" x14ac:dyDescent="0.35">
      <c r="C1097" s="3"/>
      <c r="D1097" s="3"/>
      <c r="E1097" s="3"/>
      <c r="F1097" s="3"/>
    </row>
    <row r="1098" spans="3:6" x14ac:dyDescent="0.35">
      <c r="C1098" s="3"/>
      <c r="D1098" s="3"/>
      <c r="E1098" s="3"/>
      <c r="F1098" s="3"/>
    </row>
    <row r="1099" spans="3:6" x14ac:dyDescent="0.35">
      <c r="C1099" s="3"/>
      <c r="D1099" s="3"/>
      <c r="E1099" s="3"/>
      <c r="F1099" s="3"/>
    </row>
    <row r="1100" spans="3:6" x14ac:dyDescent="0.35">
      <c r="C1100" s="3"/>
      <c r="D1100" s="3"/>
      <c r="E1100" s="3"/>
      <c r="F1100" s="3"/>
    </row>
    <row r="1101" spans="3:6" x14ac:dyDescent="0.35">
      <c r="C1101" s="3"/>
      <c r="D1101" s="3"/>
      <c r="E1101" s="3"/>
      <c r="F1101" s="3"/>
    </row>
    <row r="1102" spans="3:6" x14ac:dyDescent="0.35">
      <c r="C1102" s="3"/>
      <c r="D1102" s="3"/>
      <c r="E1102" s="3"/>
      <c r="F1102" s="3"/>
    </row>
    <row r="1103" spans="3:6" x14ac:dyDescent="0.35">
      <c r="C1103" s="3"/>
      <c r="D1103" s="3"/>
      <c r="E1103" s="3"/>
      <c r="F1103" s="3"/>
    </row>
    <row r="1104" spans="3:6" x14ac:dyDescent="0.35">
      <c r="C1104" s="3"/>
      <c r="D1104" s="3"/>
      <c r="E1104" s="3"/>
      <c r="F1104" s="3"/>
    </row>
    <row r="1105" spans="3:6" x14ac:dyDescent="0.35">
      <c r="C1105" s="3"/>
      <c r="D1105" s="3"/>
      <c r="E1105" s="3"/>
      <c r="F1105" s="3"/>
    </row>
    <row r="1106" spans="3:6" x14ac:dyDescent="0.35">
      <c r="C1106" s="3"/>
      <c r="D1106" s="3"/>
      <c r="E1106" s="3"/>
      <c r="F1106" s="3"/>
    </row>
    <row r="1107" spans="3:6" x14ac:dyDescent="0.35">
      <c r="C1107" s="3"/>
      <c r="D1107" s="3"/>
      <c r="E1107" s="3"/>
      <c r="F1107" s="3"/>
    </row>
    <row r="1108" spans="3:6" x14ac:dyDescent="0.35">
      <c r="C1108" s="3"/>
      <c r="D1108" s="3"/>
      <c r="E1108" s="3"/>
      <c r="F1108" s="3"/>
    </row>
    <row r="1109" spans="3:6" x14ac:dyDescent="0.35">
      <c r="C1109" s="3"/>
      <c r="D1109" s="3"/>
      <c r="E1109" s="3"/>
      <c r="F1109" s="3"/>
    </row>
    <row r="1110" spans="3:6" x14ac:dyDescent="0.35">
      <c r="C1110" s="3"/>
      <c r="D1110" s="3"/>
      <c r="E1110" s="3"/>
      <c r="F1110" s="3"/>
    </row>
    <row r="1111" spans="3:6" x14ac:dyDescent="0.35">
      <c r="C1111" s="3"/>
      <c r="D1111" s="3"/>
      <c r="E1111" s="3"/>
      <c r="F1111" s="3"/>
    </row>
    <row r="1112" spans="3:6" x14ac:dyDescent="0.35">
      <c r="C1112" s="3"/>
      <c r="D1112" s="3"/>
      <c r="E1112" s="3"/>
      <c r="F1112" s="3"/>
    </row>
    <row r="1113" spans="3:6" x14ac:dyDescent="0.35">
      <c r="C1113" s="3"/>
      <c r="D1113" s="3"/>
      <c r="E1113" s="3"/>
      <c r="F1113" s="3"/>
    </row>
    <row r="1114" spans="3:6" x14ac:dyDescent="0.35">
      <c r="C1114" s="3"/>
      <c r="D1114" s="3"/>
      <c r="E1114" s="3"/>
      <c r="F1114" s="3"/>
    </row>
    <row r="1115" spans="3:6" x14ac:dyDescent="0.35">
      <c r="C1115" s="3"/>
      <c r="D1115" s="3"/>
      <c r="E1115" s="3"/>
      <c r="F1115" s="3"/>
    </row>
    <row r="1116" spans="3:6" x14ac:dyDescent="0.35">
      <c r="C1116" s="3"/>
      <c r="D1116" s="3"/>
      <c r="E1116" s="3"/>
      <c r="F1116" s="3"/>
    </row>
    <row r="1117" spans="3:6" x14ac:dyDescent="0.35">
      <c r="C1117" s="3"/>
      <c r="D1117" s="3"/>
      <c r="E1117" s="3"/>
      <c r="F1117" s="3"/>
    </row>
    <row r="1118" spans="3:6" x14ac:dyDescent="0.35">
      <c r="C1118" s="3"/>
      <c r="D1118" s="3"/>
      <c r="E1118" s="3"/>
      <c r="F1118" s="3"/>
    </row>
    <row r="1119" spans="3:6" x14ac:dyDescent="0.35">
      <c r="C1119" s="3"/>
      <c r="D1119" s="3"/>
      <c r="E1119" s="3"/>
      <c r="F1119" s="3"/>
    </row>
    <row r="1120" spans="3:6" x14ac:dyDescent="0.35">
      <c r="C1120" s="3"/>
      <c r="D1120" s="3"/>
      <c r="E1120" s="3"/>
      <c r="F1120" s="3"/>
    </row>
    <row r="1121" spans="3:6" x14ac:dyDescent="0.35">
      <c r="C1121" s="3"/>
      <c r="D1121" s="3"/>
      <c r="E1121" s="3"/>
      <c r="F1121" s="3"/>
    </row>
    <row r="1122" spans="3:6" x14ac:dyDescent="0.35">
      <c r="C1122" s="3"/>
      <c r="D1122" s="3"/>
      <c r="E1122" s="3"/>
      <c r="F1122" s="3"/>
    </row>
    <row r="1123" spans="3:6" x14ac:dyDescent="0.35">
      <c r="C1123" s="3"/>
      <c r="D1123" s="3"/>
      <c r="E1123" s="3"/>
      <c r="F1123" s="3"/>
    </row>
    <row r="1124" spans="3:6" x14ac:dyDescent="0.35">
      <c r="C1124" s="3"/>
      <c r="D1124" s="3"/>
      <c r="E1124" s="3"/>
      <c r="F1124" s="3"/>
    </row>
    <row r="1125" spans="3:6" x14ac:dyDescent="0.35">
      <c r="C1125" s="3"/>
      <c r="D1125" s="3"/>
      <c r="E1125" s="3"/>
      <c r="F1125" s="3"/>
    </row>
    <row r="1126" spans="3:6" x14ac:dyDescent="0.35">
      <c r="C1126" s="3"/>
      <c r="D1126" s="3"/>
      <c r="E1126" s="3"/>
      <c r="F1126" s="3"/>
    </row>
    <row r="1127" spans="3:6" x14ac:dyDescent="0.35">
      <c r="C1127" s="3"/>
      <c r="D1127" s="3"/>
      <c r="E1127" s="3"/>
      <c r="F1127" s="3"/>
    </row>
    <row r="1128" spans="3:6" x14ac:dyDescent="0.35">
      <c r="C1128" s="3"/>
      <c r="D1128" s="3"/>
      <c r="E1128" s="3"/>
      <c r="F1128" s="3"/>
    </row>
    <row r="1129" spans="3:6" x14ac:dyDescent="0.35">
      <c r="C1129" s="3"/>
      <c r="D1129" s="3"/>
      <c r="E1129" s="3"/>
      <c r="F1129" s="3"/>
    </row>
    <row r="1130" spans="3:6" x14ac:dyDescent="0.35">
      <c r="C1130" s="3"/>
      <c r="D1130" s="3"/>
      <c r="E1130" s="3"/>
      <c r="F1130" s="3"/>
    </row>
    <row r="1131" spans="3:6" x14ac:dyDescent="0.35">
      <c r="C1131" s="3"/>
      <c r="D1131" s="3"/>
      <c r="E1131" s="3"/>
      <c r="F1131" s="3"/>
    </row>
    <row r="1132" spans="3:6" x14ac:dyDescent="0.35">
      <c r="C1132" s="3"/>
      <c r="D1132" s="3"/>
      <c r="E1132" s="3"/>
      <c r="F1132" s="3"/>
    </row>
    <row r="1133" spans="3:6" x14ac:dyDescent="0.35">
      <c r="C1133" s="3"/>
      <c r="D1133" s="3"/>
      <c r="E1133" s="3"/>
      <c r="F1133" s="3"/>
    </row>
    <row r="1134" spans="3:6" x14ac:dyDescent="0.35">
      <c r="C1134" s="3"/>
      <c r="D1134" s="3"/>
      <c r="E1134" s="3"/>
      <c r="F1134" s="3"/>
    </row>
    <row r="1135" spans="3:6" x14ac:dyDescent="0.35">
      <c r="C1135" s="3"/>
      <c r="D1135" s="3"/>
      <c r="E1135" s="3"/>
      <c r="F1135" s="3"/>
    </row>
    <row r="1136" spans="3:6" x14ac:dyDescent="0.35">
      <c r="C1136" s="3"/>
      <c r="D1136" s="3"/>
      <c r="E1136" s="3"/>
      <c r="F1136" s="3"/>
    </row>
    <row r="1137" spans="3:6" x14ac:dyDescent="0.35">
      <c r="C1137" s="3"/>
      <c r="D1137" s="3"/>
      <c r="E1137" s="3"/>
      <c r="F1137" s="3"/>
    </row>
    <row r="1138" spans="3:6" x14ac:dyDescent="0.35">
      <c r="C1138" s="3"/>
      <c r="D1138" s="3"/>
      <c r="E1138" s="3"/>
      <c r="F1138" s="3"/>
    </row>
    <row r="1139" spans="3:6" x14ac:dyDescent="0.35">
      <c r="C1139" s="3"/>
      <c r="D1139" s="3"/>
      <c r="E1139" s="3"/>
      <c r="F1139" s="3"/>
    </row>
    <row r="1140" spans="3:6" x14ac:dyDescent="0.35">
      <c r="C1140" s="3"/>
      <c r="D1140" s="3"/>
      <c r="E1140" s="3"/>
      <c r="F1140" s="3"/>
    </row>
    <row r="1141" spans="3:6" x14ac:dyDescent="0.35">
      <c r="C1141" s="3"/>
      <c r="D1141" s="3"/>
      <c r="E1141" s="3"/>
      <c r="F1141" s="3"/>
    </row>
    <row r="1142" spans="3:6" x14ac:dyDescent="0.35">
      <c r="C1142" s="3"/>
      <c r="D1142" s="3"/>
      <c r="E1142" s="3"/>
      <c r="F1142" s="3"/>
    </row>
    <row r="1143" spans="3:6" x14ac:dyDescent="0.35">
      <c r="C1143" s="3"/>
      <c r="D1143" s="3"/>
      <c r="E1143" s="3"/>
      <c r="F1143" s="3"/>
    </row>
    <row r="1144" spans="3:6" x14ac:dyDescent="0.35">
      <c r="C1144" s="3"/>
      <c r="D1144" s="3"/>
      <c r="E1144" s="3"/>
      <c r="F1144" s="3"/>
    </row>
    <row r="1145" spans="3:6" x14ac:dyDescent="0.35">
      <c r="C1145" s="3"/>
      <c r="D1145" s="3"/>
      <c r="E1145" s="3"/>
      <c r="F1145" s="3"/>
    </row>
    <row r="1146" spans="3:6" x14ac:dyDescent="0.35">
      <c r="C1146" s="3"/>
      <c r="D1146" s="3"/>
      <c r="E1146" s="3"/>
      <c r="F1146" s="3"/>
    </row>
    <row r="1147" spans="3:6" x14ac:dyDescent="0.35">
      <c r="C1147" s="3"/>
      <c r="D1147" s="3"/>
      <c r="E1147" s="3"/>
      <c r="F1147" s="3"/>
    </row>
    <row r="1148" spans="3:6" x14ac:dyDescent="0.35">
      <c r="C1148" s="3"/>
      <c r="D1148" s="3"/>
      <c r="E1148" s="3"/>
      <c r="F1148" s="3"/>
    </row>
    <row r="1149" spans="3:6" x14ac:dyDescent="0.35">
      <c r="C1149" s="3"/>
      <c r="D1149" s="3"/>
      <c r="E1149" s="3"/>
      <c r="F1149" s="3"/>
    </row>
    <row r="1150" spans="3:6" x14ac:dyDescent="0.35">
      <c r="C1150" s="3"/>
      <c r="D1150" s="3"/>
      <c r="E1150" s="3"/>
      <c r="F1150" s="3"/>
    </row>
    <row r="1151" spans="3:6" x14ac:dyDescent="0.35">
      <c r="C1151" s="3"/>
      <c r="D1151" s="3"/>
      <c r="E1151" s="3"/>
      <c r="F1151" s="3"/>
    </row>
    <row r="1152" spans="3:6" x14ac:dyDescent="0.35">
      <c r="C1152" s="3"/>
      <c r="D1152" s="3"/>
      <c r="E1152" s="3"/>
      <c r="F1152" s="3"/>
    </row>
    <row r="1153" spans="3:6" x14ac:dyDescent="0.35">
      <c r="C1153" s="3"/>
      <c r="D1153" s="3"/>
      <c r="E1153" s="3"/>
      <c r="F1153" s="3"/>
    </row>
    <row r="1154" spans="3:6" x14ac:dyDescent="0.35">
      <c r="C1154" s="3"/>
      <c r="D1154" s="3"/>
      <c r="E1154" s="3"/>
      <c r="F1154" s="3"/>
    </row>
    <row r="1155" spans="3:6" x14ac:dyDescent="0.35">
      <c r="C1155" s="3"/>
      <c r="D1155" s="3"/>
      <c r="E1155" s="3"/>
      <c r="F1155" s="3"/>
    </row>
    <row r="1156" spans="3:6" x14ac:dyDescent="0.35">
      <c r="C1156" s="3"/>
      <c r="D1156" s="3"/>
      <c r="E1156" s="3"/>
      <c r="F1156" s="3"/>
    </row>
    <row r="1157" spans="3:6" x14ac:dyDescent="0.35">
      <c r="C1157" s="3"/>
      <c r="D1157" s="3"/>
      <c r="E1157" s="3"/>
      <c r="F1157" s="3"/>
    </row>
    <row r="1158" spans="3:6" x14ac:dyDescent="0.35">
      <c r="C1158" s="3"/>
      <c r="D1158" s="3"/>
      <c r="E1158" s="3"/>
      <c r="F1158" s="3"/>
    </row>
    <row r="1159" spans="3:6" x14ac:dyDescent="0.35">
      <c r="C1159" s="3"/>
      <c r="D1159" s="3"/>
      <c r="E1159" s="3"/>
      <c r="F1159" s="3"/>
    </row>
    <row r="1160" spans="3:6" x14ac:dyDescent="0.35">
      <c r="C1160" s="3"/>
      <c r="D1160" s="3"/>
      <c r="E1160" s="3"/>
      <c r="F1160" s="3"/>
    </row>
    <row r="1161" spans="3:6" x14ac:dyDescent="0.35">
      <c r="C1161" s="3"/>
      <c r="D1161" s="3"/>
      <c r="E1161" s="3"/>
      <c r="F1161" s="3"/>
    </row>
    <row r="1162" spans="3:6" x14ac:dyDescent="0.35">
      <c r="C1162" s="3"/>
      <c r="D1162" s="3"/>
      <c r="E1162" s="3"/>
      <c r="F1162" s="3"/>
    </row>
    <row r="1163" spans="3:6" x14ac:dyDescent="0.35">
      <c r="C1163" s="3"/>
      <c r="D1163" s="3"/>
      <c r="E1163" s="3"/>
      <c r="F1163" s="3"/>
    </row>
    <row r="1164" spans="3:6" x14ac:dyDescent="0.35">
      <c r="C1164" s="3"/>
      <c r="D1164" s="3"/>
      <c r="E1164" s="3"/>
      <c r="F1164" s="3"/>
    </row>
    <row r="1165" spans="3:6" x14ac:dyDescent="0.35">
      <c r="C1165" s="3"/>
      <c r="D1165" s="3"/>
      <c r="E1165" s="3"/>
      <c r="F1165" s="3"/>
    </row>
    <row r="1166" spans="3:6" x14ac:dyDescent="0.35">
      <c r="C1166" s="3"/>
      <c r="D1166" s="3"/>
      <c r="E1166" s="3"/>
      <c r="F1166" s="3"/>
    </row>
    <row r="1167" spans="3:6" x14ac:dyDescent="0.35">
      <c r="C1167" s="3"/>
      <c r="D1167" s="3"/>
      <c r="E1167" s="3"/>
      <c r="F1167" s="3"/>
    </row>
    <row r="1168" spans="3:6" x14ac:dyDescent="0.35">
      <c r="C1168" s="3"/>
      <c r="D1168" s="3"/>
      <c r="E1168" s="3"/>
      <c r="F1168" s="3"/>
    </row>
    <row r="1169" spans="3:6" x14ac:dyDescent="0.35">
      <c r="C1169" s="3"/>
      <c r="D1169" s="3"/>
      <c r="E1169" s="3"/>
      <c r="F1169" s="3"/>
    </row>
    <row r="1170" spans="3:6" x14ac:dyDescent="0.35">
      <c r="C1170" s="3"/>
      <c r="D1170" s="3"/>
      <c r="E1170" s="3"/>
      <c r="F1170" s="3"/>
    </row>
    <row r="1171" spans="3:6" x14ac:dyDescent="0.35">
      <c r="C1171" s="3"/>
      <c r="D1171" s="3"/>
      <c r="E1171" s="3"/>
      <c r="F1171" s="3"/>
    </row>
    <row r="1172" spans="3:6" x14ac:dyDescent="0.35">
      <c r="C1172" s="3"/>
      <c r="D1172" s="3"/>
      <c r="E1172" s="3"/>
      <c r="F1172" s="3"/>
    </row>
    <row r="1173" spans="3:6" x14ac:dyDescent="0.35">
      <c r="C1173" s="3"/>
      <c r="D1173" s="3"/>
      <c r="E1173" s="3"/>
      <c r="F1173" s="3"/>
    </row>
    <row r="1174" spans="3:6" x14ac:dyDescent="0.35">
      <c r="C1174" s="3"/>
      <c r="D1174" s="3"/>
      <c r="E1174" s="3"/>
      <c r="F1174" s="3"/>
    </row>
    <row r="1175" spans="3:6" x14ac:dyDescent="0.35">
      <c r="C1175" s="3"/>
      <c r="D1175" s="3"/>
      <c r="E1175" s="3"/>
      <c r="F1175" s="3"/>
    </row>
    <row r="1176" spans="3:6" x14ac:dyDescent="0.35">
      <c r="C1176" s="3"/>
      <c r="D1176" s="3"/>
      <c r="E1176" s="3"/>
      <c r="F1176" s="3"/>
    </row>
    <row r="1177" spans="3:6" x14ac:dyDescent="0.35">
      <c r="C1177" s="3"/>
      <c r="D1177" s="3"/>
      <c r="E1177" s="3"/>
      <c r="F1177" s="3"/>
    </row>
    <row r="1178" spans="3:6" x14ac:dyDescent="0.35">
      <c r="C1178" s="3"/>
      <c r="D1178" s="3"/>
      <c r="E1178" s="3"/>
      <c r="F1178" s="3"/>
    </row>
    <row r="1179" spans="3:6" x14ac:dyDescent="0.35">
      <c r="C1179" s="3"/>
      <c r="D1179" s="3"/>
      <c r="E1179" s="3"/>
      <c r="F1179" s="3"/>
    </row>
    <row r="1180" spans="3:6" x14ac:dyDescent="0.35">
      <c r="C1180" s="3"/>
      <c r="D1180" s="3"/>
      <c r="E1180" s="3"/>
      <c r="F1180" s="3"/>
    </row>
    <row r="1181" spans="3:6" x14ac:dyDescent="0.35">
      <c r="C1181" s="3"/>
      <c r="D1181" s="3"/>
      <c r="E1181" s="3"/>
      <c r="F1181" s="3"/>
    </row>
    <row r="1182" spans="3:6" x14ac:dyDescent="0.35">
      <c r="C1182" s="3"/>
      <c r="D1182" s="3"/>
      <c r="E1182" s="3"/>
      <c r="F1182" s="3"/>
    </row>
    <row r="1183" spans="3:6" x14ac:dyDescent="0.35">
      <c r="C1183" s="3"/>
      <c r="D1183" s="3"/>
      <c r="E1183" s="3"/>
      <c r="F1183" s="3"/>
    </row>
    <row r="1184" spans="3:6" x14ac:dyDescent="0.35">
      <c r="C1184" s="3"/>
      <c r="D1184" s="3"/>
      <c r="E1184" s="3"/>
      <c r="F1184" s="3"/>
    </row>
    <row r="1185" spans="3:6" x14ac:dyDescent="0.35">
      <c r="C1185" s="3"/>
      <c r="D1185" s="3"/>
      <c r="E1185" s="3"/>
      <c r="F1185" s="3"/>
    </row>
    <row r="1186" spans="3:6" x14ac:dyDescent="0.35">
      <c r="C1186" s="3"/>
      <c r="D1186" s="3"/>
      <c r="E1186" s="3"/>
      <c r="F1186" s="3"/>
    </row>
    <row r="1187" spans="3:6" x14ac:dyDescent="0.35">
      <c r="C1187" s="3"/>
      <c r="D1187" s="3"/>
      <c r="E1187" s="3"/>
      <c r="F1187" s="3"/>
    </row>
    <row r="1188" spans="3:6" x14ac:dyDescent="0.35">
      <c r="C1188" s="3"/>
      <c r="D1188" s="3"/>
      <c r="E1188" s="3"/>
      <c r="F1188" s="3"/>
    </row>
    <row r="1189" spans="3:6" x14ac:dyDescent="0.35">
      <c r="C1189" s="3"/>
      <c r="D1189" s="3"/>
      <c r="E1189" s="3"/>
      <c r="F1189" s="3"/>
    </row>
    <row r="1190" spans="3:6" x14ac:dyDescent="0.35">
      <c r="C1190" s="3"/>
      <c r="D1190" s="3"/>
      <c r="E1190" s="3"/>
      <c r="F1190" s="3"/>
    </row>
    <row r="1191" spans="3:6" x14ac:dyDescent="0.35">
      <c r="C1191" s="3"/>
      <c r="D1191" s="3"/>
      <c r="E1191" s="3"/>
      <c r="F1191" s="3"/>
    </row>
    <row r="1192" spans="3:6" x14ac:dyDescent="0.35">
      <c r="C1192" s="3"/>
      <c r="D1192" s="3"/>
      <c r="E1192" s="3"/>
      <c r="F1192" s="3"/>
    </row>
    <row r="1193" spans="3:6" x14ac:dyDescent="0.35">
      <c r="C1193" s="3"/>
      <c r="D1193" s="3"/>
      <c r="E1193" s="3"/>
      <c r="F1193" s="3"/>
    </row>
    <row r="1194" spans="3:6" x14ac:dyDescent="0.35">
      <c r="C1194" s="3"/>
      <c r="D1194" s="3"/>
      <c r="E1194" s="3"/>
      <c r="F1194" s="3"/>
    </row>
    <row r="1195" spans="3:6" x14ac:dyDescent="0.35">
      <c r="C1195" s="3"/>
      <c r="D1195" s="3"/>
      <c r="E1195" s="3"/>
      <c r="F1195" s="3"/>
    </row>
    <row r="1196" spans="3:6" x14ac:dyDescent="0.35">
      <c r="C1196" s="3"/>
      <c r="D1196" s="3"/>
      <c r="E1196" s="3"/>
      <c r="F1196" s="3"/>
    </row>
    <row r="1197" spans="3:6" x14ac:dyDescent="0.35">
      <c r="C1197" s="3"/>
      <c r="D1197" s="3"/>
      <c r="E1197" s="3"/>
      <c r="F1197" s="3"/>
    </row>
    <row r="1198" spans="3:6" x14ac:dyDescent="0.35">
      <c r="C1198" s="3"/>
      <c r="D1198" s="3"/>
      <c r="E1198" s="3"/>
      <c r="F1198" s="3"/>
    </row>
    <row r="1199" spans="3:6" x14ac:dyDescent="0.35">
      <c r="C1199" s="3"/>
      <c r="D1199" s="3"/>
      <c r="E1199" s="3"/>
      <c r="F1199" s="3"/>
    </row>
    <row r="1200" spans="3:6" x14ac:dyDescent="0.35">
      <c r="C1200" s="3"/>
      <c r="D1200" s="3"/>
      <c r="E1200" s="3"/>
      <c r="F1200" s="3"/>
    </row>
    <row r="1201" spans="3:6" x14ac:dyDescent="0.35">
      <c r="C1201" s="3"/>
      <c r="D1201" s="3"/>
      <c r="E1201" s="3"/>
      <c r="F1201" s="3"/>
    </row>
    <row r="1202" spans="3:6" x14ac:dyDescent="0.35">
      <c r="C1202" s="3"/>
      <c r="D1202" s="3"/>
      <c r="E1202" s="3"/>
      <c r="F1202" s="3"/>
    </row>
    <row r="1203" spans="3:6" x14ac:dyDescent="0.35">
      <c r="C1203" s="3"/>
      <c r="D1203" s="3"/>
      <c r="E1203" s="3"/>
      <c r="F1203" s="3"/>
    </row>
    <row r="1204" spans="3:6" x14ac:dyDescent="0.35">
      <c r="C1204" s="3"/>
      <c r="D1204" s="3"/>
      <c r="E1204" s="3"/>
      <c r="F1204" s="3"/>
    </row>
    <row r="1205" spans="3:6" x14ac:dyDescent="0.35">
      <c r="C1205" s="3"/>
      <c r="D1205" s="3"/>
      <c r="E1205" s="3"/>
      <c r="F1205" s="3"/>
    </row>
    <row r="1206" spans="3:6" x14ac:dyDescent="0.35">
      <c r="C1206" s="3"/>
      <c r="D1206" s="3"/>
      <c r="E1206" s="3"/>
      <c r="F1206" s="3"/>
    </row>
    <row r="1207" spans="3:6" x14ac:dyDescent="0.35">
      <c r="C1207" s="3"/>
      <c r="D1207" s="3"/>
      <c r="E1207" s="3"/>
      <c r="F1207" s="3"/>
    </row>
    <row r="1208" spans="3:6" x14ac:dyDescent="0.35">
      <c r="C1208" s="3"/>
      <c r="D1208" s="3"/>
      <c r="E1208" s="3"/>
      <c r="F1208" s="3"/>
    </row>
    <row r="1209" spans="3:6" x14ac:dyDescent="0.35">
      <c r="C1209" s="3"/>
      <c r="D1209" s="3"/>
      <c r="E1209" s="3"/>
      <c r="F1209" s="3"/>
    </row>
    <row r="1210" spans="3:6" x14ac:dyDescent="0.35">
      <c r="C1210" s="3"/>
      <c r="D1210" s="3"/>
      <c r="E1210" s="3"/>
      <c r="F1210" s="3"/>
    </row>
    <row r="1211" spans="3:6" x14ac:dyDescent="0.35">
      <c r="C1211" s="3"/>
      <c r="D1211" s="3"/>
      <c r="E1211" s="3"/>
      <c r="F1211" s="3"/>
    </row>
    <row r="1212" spans="3:6" x14ac:dyDescent="0.35">
      <c r="C1212" s="3"/>
      <c r="D1212" s="3"/>
      <c r="E1212" s="3"/>
      <c r="F1212" s="3"/>
    </row>
    <row r="1213" spans="3:6" x14ac:dyDescent="0.35">
      <c r="C1213" s="3"/>
      <c r="D1213" s="3"/>
      <c r="E1213" s="3"/>
      <c r="F1213" s="3"/>
    </row>
    <row r="1214" spans="3:6" x14ac:dyDescent="0.35">
      <c r="C1214" s="3"/>
      <c r="D1214" s="3"/>
      <c r="E1214" s="3"/>
      <c r="F1214" s="3"/>
    </row>
    <row r="1215" spans="3:6" x14ac:dyDescent="0.35">
      <c r="C1215" s="3"/>
      <c r="D1215" s="3"/>
      <c r="E1215" s="3"/>
      <c r="F1215" s="3"/>
    </row>
    <row r="1216" spans="3:6" x14ac:dyDescent="0.35">
      <c r="C1216" s="3"/>
      <c r="D1216" s="3"/>
      <c r="E1216" s="3"/>
      <c r="F1216" s="3"/>
    </row>
    <row r="1217" spans="3:6" x14ac:dyDescent="0.35">
      <c r="C1217" s="3"/>
      <c r="D1217" s="3"/>
      <c r="E1217" s="3"/>
      <c r="F1217" s="3"/>
    </row>
    <row r="1218" spans="3:6" x14ac:dyDescent="0.35">
      <c r="C1218" s="3"/>
      <c r="D1218" s="3"/>
      <c r="E1218" s="3"/>
      <c r="F1218" s="3"/>
    </row>
    <row r="1219" spans="3:6" x14ac:dyDescent="0.35">
      <c r="C1219" s="3"/>
      <c r="D1219" s="3"/>
      <c r="E1219" s="3"/>
      <c r="F1219" s="3"/>
    </row>
    <row r="1220" spans="3:6" x14ac:dyDescent="0.35">
      <c r="C1220" s="3"/>
      <c r="D1220" s="3"/>
      <c r="E1220" s="3"/>
      <c r="F1220" s="3"/>
    </row>
    <row r="1221" spans="3:6" x14ac:dyDescent="0.35">
      <c r="C1221" s="3"/>
      <c r="D1221" s="3"/>
      <c r="E1221" s="3"/>
      <c r="F1221" s="3"/>
    </row>
    <row r="1222" spans="3:6" x14ac:dyDescent="0.35">
      <c r="C1222" s="3"/>
      <c r="D1222" s="3"/>
      <c r="E1222" s="3"/>
      <c r="F1222" s="3"/>
    </row>
    <row r="1223" spans="3:6" x14ac:dyDescent="0.35">
      <c r="C1223" s="3"/>
      <c r="D1223" s="3"/>
      <c r="E1223" s="3"/>
      <c r="F1223" s="3"/>
    </row>
    <row r="1224" spans="3:6" x14ac:dyDescent="0.35">
      <c r="C1224" s="3"/>
      <c r="D1224" s="3"/>
      <c r="E1224" s="3"/>
      <c r="F1224" s="3"/>
    </row>
    <row r="1225" spans="3:6" x14ac:dyDescent="0.35">
      <c r="C1225" s="3"/>
      <c r="D1225" s="3"/>
      <c r="E1225" s="3"/>
      <c r="F1225" s="3"/>
    </row>
    <row r="1226" spans="3:6" x14ac:dyDescent="0.35">
      <c r="C1226" s="3"/>
      <c r="D1226" s="3"/>
      <c r="E1226" s="3"/>
      <c r="F1226" s="3"/>
    </row>
    <row r="1227" spans="3:6" x14ac:dyDescent="0.35">
      <c r="C1227" s="3"/>
      <c r="D1227" s="3"/>
      <c r="E1227" s="3"/>
      <c r="F1227" s="3"/>
    </row>
    <row r="1228" spans="3:6" x14ac:dyDescent="0.35">
      <c r="C1228" s="3"/>
      <c r="D1228" s="3"/>
      <c r="E1228" s="3"/>
      <c r="F1228" s="3"/>
    </row>
    <row r="1229" spans="3:6" x14ac:dyDescent="0.35">
      <c r="C1229" s="3"/>
      <c r="D1229" s="3"/>
      <c r="E1229" s="3"/>
      <c r="F1229" s="3"/>
    </row>
    <row r="1230" spans="3:6" x14ac:dyDescent="0.35">
      <c r="C1230" s="3"/>
      <c r="D1230" s="3"/>
      <c r="E1230" s="3"/>
      <c r="F1230" s="3"/>
    </row>
    <row r="1231" spans="3:6" x14ac:dyDescent="0.35">
      <c r="C1231" s="3"/>
      <c r="D1231" s="3"/>
      <c r="E1231" s="3"/>
      <c r="F1231" s="3"/>
    </row>
    <row r="1232" spans="3:6" x14ac:dyDescent="0.35">
      <c r="C1232" s="3"/>
      <c r="D1232" s="3"/>
      <c r="E1232" s="3"/>
      <c r="F1232" s="3"/>
    </row>
    <row r="1233" spans="3:6" x14ac:dyDescent="0.35">
      <c r="C1233" s="3"/>
      <c r="D1233" s="3"/>
      <c r="E1233" s="3"/>
      <c r="F1233" s="3"/>
    </row>
    <row r="1234" spans="3:6" x14ac:dyDescent="0.35">
      <c r="C1234" s="3"/>
      <c r="D1234" s="3"/>
      <c r="E1234" s="3"/>
      <c r="F1234" s="3"/>
    </row>
    <row r="1235" spans="3:6" x14ac:dyDescent="0.35">
      <c r="C1235" s="3"/>
      <c r="D1235" s="3"/>
      <c r="E1235" s="3"/>
      <c r="F1235" s="3"/>
    </row>
    <row r="1236" spans="3:6" x14ac:dyDescent="0.35">
      <c r="C1236" s="3"/>
      <c r="D1236" s="3"/>
      <c r="E1236" s="3"/>
      <c r="F1236" s="3"/>
    </row>
    <row r="1237" spans="3:6" x14ac:dyDescent="0.35">
      <c r="C1237" s="3"/>
      <c r="D1237" s="3"/>
      <c r="E1237" s="3"/>
      <c r="F1237" s="3"/>
    </row>
    <row r="1238" spans="3:6" x14ac:dyDescent="0.35">
      <c r="C1238" s="3"/>
      <c r="D1238" s="3"/>
      <c r="E1238" s="3"/>
      <c r="F1238" s="3"/>
    </row>
    <row r="1239" spans="3:6" x14ac:dyDescent="0.35">
      <c r="C1239" s="3"/>
      <c r="D1239" s="3"/>
      <c r="E1239" s="3"/>
      <c r="F1239" s="3"/>
    </row>
    <row r="1240" spans="3:6" x14ac:dyDescent="0.35">
      <c r="C1240" s="3"/>
      <c r="D1240" s="3"/>
      <c r="E1240" s="3"/>
      <c r="F1240" s="3"/>
    </row>
    <row r="1241" spans="3:6" x14ac:dyDescent="0.35">
      <c r="C1241" s="3"/>
      <c r="D1241" s="3"/>
      <c r="E1241" s="3"/>
      <c r="F1241" s="3"/>
    </row>
    <row r="1242" spans="3:6" x14ac:dyDescent="0.35">
      <c r="C1242" s="3"/>
      <c r="D1242" s="3"/>
      <c r="E1242" s="3"/>
      <c r="F1242" s="3"/>
    </row>
    <row r="1243" spans="3:6" x14ac:dyDescent="0.35">
      <c r="C1243" s="3"/>
      <c r="D1243" s="3"/>
      <c r="E1243" s="3"/>
      <c r="F1243" s="3"/>
    </row>
    <row r="1244" spans="3:6" x14ac:dyDescent="0.35">
      <c r="C1244" s="3"/>
      <c r="D1244" s="3"/>
      <c r="E1244" s="3"/>
      <c r="F1244" s="3"/>
    </row>
    <row r="1245" spans="3:6" x14ac:dyDescent="0.35">
      <c r="C1245" s="3"/>
      <c r="D1245" s="3"/>
      <c r="E1245" s="3"/>
      <c r="F1245" s="3"/>
    </row>
    <row r="1246" spans="3:6" x14ac:dyDescent="0.35">
      <c r="C1246" s="3"/>
      <c r="D1246" s="3"/>
      <c r="E1246" s="3"/>
      <c r="F1246" s="3"/>
    </row>
    <row r="1247" spans="3:6" x14ac:dyDescent="0.35">
      <c r="C1247" s="3"/>
      <c r="D1247" s="3"/>
      <c r="E1247" s="3"/>
      <c r="F1247" s="3"/>
    </row>
    <row r="1248" spans="3:6" x14ac:dyDescent="0.35">
      <c r="C1248" s="3"/>
      <c r="D1248" s="3"/>
      <c r="E1248" s="3"/>
      <c r="F1248" s="3"/>
    </row>
    <row r="1249" spans="3:6" x14ac:dyDescent="0.35">
      <c r="C1249" s="3"/>
      <c r="D1249" s="3"/>
      <c r="E1249" s="3"/>
      <c r="F1249" s="3"/>
    </row>
    <row r="1250" spans="3:6" x14ac:dyDescent="0.35">
      <c r="C1250" s="3"/>
      <c r="D1250" s="3"/>
      <c r="E1250" s="3"/>
      <c r="F1250" s="3"/>
    </row>
    <row r="1251" spans="3:6" x14ac:dyDescent="0.35">
      <c r="C1251" s="3"/>
      <c r="D1251" s="3"/>
      <c r="E1251" s="3"/>
      <c r="F1251" s="3"/>
    </row>
    <row r="1252" spans="3:6" x14ac:dyDescent="0.35">
      <c r="C1252" s="3"/>
      <c r="D1252" s="3"/>
      <c r="E1252" s="3"/>
      <c r="F1252" s="3"/>
    </row>
    <row r="1253" spans="3:6" x14ac:dyDescent="0.35">
      <c r="C1253" s="3"/>
      <c r="D1253" s="3"/>
      <c r="E1253" s="3"/>
      <c r="F1253" s="3"/>
    </row>
    <row r="1254" spans="3:6" x14ac:dyDescent="0.35">
      <c r="C1254" s="3"/>
      <c r="D1254" s="3"/>
      <c r="E1254" s="3"/>
      <c r="F1254" s="3"/>
    </row>
    <row r="1255" spans="3:6" x14ac:dyDescent="0.35">
      <c r="C1255" s="3"/>
      <c r="D1255" s="3"/>
      <c r="E1255" s="3"/>
      <c r="F1255" s="3"/>
    </row>
    <row r="1256" spans="3:6" x14ac:dyDescent="0.35">
      <c r="C1256" s="3"/>
      <c r="D1256" s="3"/>
      <c r="E1256" s="3"/>
      <c r="F1256" s="3"/>
    </row>
    <row r="1257" spans="3:6" x14ac:dyDescent="0.35">
      <c r="C1257" s="3"/>
      <c r="D1257" s="3"/>
      <c r="E1257" s="3"/>
      <c r="F1257" s="3"/>
    </row>
    <row r="1258" spans="3:6" x14ac:dyDescent="0.35">
      <c r="C1258" s="3"/>
      <c r="D1258" s="3"/>
      <c r="E1258" s="3"/>
      <c r="F1258" s="3"/>
    </row>
    <row r="1259" spans="3:6" x14ac:dyDescent="0.35">
      <c r="C1259" s="3"/>
      <c r="D1259" s="3"/>
      <c r="E1259" s="3"/>
      <c r="F1259" s="3"/>
    </row>
    <row r="1260" spans="3:6" x14ac:dyDescent="0.35">
      <c r="C1260" s="3"/>
      <c r="D1260" s="3"/>
      <c r="E1260" s="3"/>
      <c r="F1260" s="3"/>
    </row>
    <row r="1261" spans="3:6" x14ac:dyDescent="0.35">
      <c r="C1261" s="3"/>
      <c r="D1261" s="3"/>
      <c r="E1261" s="3"/>
      <c r="F1261" s="3"/>
    </row>
    <row r="1262" spans="3:6" x14ac:dyDescent="0.35">
      <c r="C1262" s="3"/>
      <c r="D1262" s="3"/>
      <c r="E1262" s="3"/>
      <c r="F1262" s="3"/>
    </row>
    <row r="1263" spans="3:6" x14ac:dyDescent="0.35">
      <c r="C1263" s="3"/>
      <c r="D1263" s="3"/>
      <c r="E1263" s="3"/>
      <c r="F1263" s="3"/>
    </row>
    <row r="1264" spans="3:6" x14ac:dyDescent="0.35">
      <c r="C1264" s="3"/>
      <c r="D1264" s="3"/>
      <c r="E1264" s="3"/>
      <c r="F1264" s="3"/>
    </row>
    <row r="1265" spans="3:6" x14ac:dyDescent="0.35">
      <c r="C1265" s="3"/>
      <c r="D1265" s="3"/>
      <c r="E1265" s="3"/>
      <c r="F1265" s="3"/>
    </row>
    <row r="1266" spans="3:6" x14ac:dyDescent="0.35">
      <c r="C1266" s="3"/>
      <c r="D1266" s="3"/>
      <c r="E1266" s="3"/>
      <c r="F1266" s="3"/>
    </row>
    <row r="1267" spans="3:6" x14ac:dyDescent="0.35">
      <c r="C1267" s="3"/>
      <c r="D1267" s="3"/>
      <c r="E1267" s="3"/>
      <c r="F1267" s="3"/>
    </row>
    <row r="1268" spans="3:6" x14ac:dyDescent="0.35">
      <c r="C1268" s="3"/>
      <c r="D1268" s="3"/>
      <c r="E1268" s="3"/>
      <c r="F1268" s="3"/>
    </row>
    <row r="1269" spans="3:6" x14ac:dyDescent="0.35">
      <c r="C1269" s="3"/>
      <c r="D1269" s="3"/>
      <c r="E1269" s="3"/>
      <c r="F1269" s="3"/>
    </row>
    <row r="1270" spans="3:6" x14ac:dyDescent="0.35">
      <c r="C1270" s="3"/>
      <c r="D1270" s="3"/>
      <c r="E1270" s="3"/>
      <c r="F1270" s="3"/>
    </row>
    <row r="1271" spans="3:6" x14ac:dyDescent="0.35">
      <c r="C1271" s="3"/>
      <c r="D1271" s="3"/>
      <c r="E1271" s="3"/>
      <c r="F1271" s="3"/>
    </row>
    <row r="1272" spans="3:6" x14ac:dyDescent="0.35">
      <c r="C1272" s="3"/>
      <c r="D1272" s="3"/>
      <c r="E1272" s="3"/>
      <c r="F1272" s="3"/>
    </row>
    <row r="1273" spans="3:6" x14ac:dyDescent="0.35">
      <c r="C1273" s="3"/>
      <c r="D1273" s="3"/>
      <c r="E1273" s="3"/>
      <c r="F1273" s="3"/>
    </row>
    <row r="1274" spans="3:6" x14ac:dyDescent="0.35">
      <c r="C1274" s="3"/>
      <c r="D1274" s="3"/>
      <c r="E1274" s="3"/>
      <c r="F1274" s="3"/>
    </row>
    <row r="1275" spans="3:6" x14ac:dyDescent="0.35">
      <c r="C1275" s="3"/>
      <c r="D1275" s="3"/>
      <c r="E1275" s="3"/>
      <c r="F1275" s="3"/>
    </row>
    <row r="1276" spans="3:6" x14ac:dyDescent="0.35">
      <c r="C1276" s="3"/>
      <c r="D1276" s="3"/>
      <c r="E1276" s="3"/>
      <c r="F1276" s="3"/>
    </row>
    <row r="1277" spans="3:6" x14ac:dyDescent="0.35">
      <c r="C1277" s="3"/>
      <c r="D1277" s="3"/>
      <c r="E1277" s="3"/>
      <c r="F1277" s="3"/>
    </row>
    <row r="1278" spans="3:6" x14ac:dyDescent="0.35">
      <c r="C1278" s="3"/>
      <c r="D1278" s="3"/>
      <c r="E1278" s="3"/>
      <c r="F1278" s="3"/>
    </row>
    <row r="1279" spans="3:6" x14ac:dyDescent="0.35">
      <c r="C1279" s="3"/>
      <c r="D1279" s="3"/>
      <c r="E1279" s="3"/>
      <c r="F1279" s="3"/>
    </row>
    <row r="1280" spans="3:6" x14ac:dyDescent="0.35">
      <c r="C1280" s="3"/>
      <c r="D1280" s="3"/>
      <c r="E1280" s="3"/>
      <c r="F1280" s="3"/>
    </row>
    <row r="1281" spans="3:6" x14ac:dyDescent="0.35">
      <c r="C1281" s="3"/>
      <c r="D1281" s="3"/>
      <c r="E1281" s="3"/>
      <c r="F1281" s="3"/>
    </row>
    <row r="1282" spans="3:6" x14ac:dyDescent="0.35">
      <c r="C1282" s="3"/>
      <c r="D1282" s="3"/>
      <c r="E1282" s="3"/>
      <c r="F1282" s="3"/>
    </row>
    <row r="1283" spans="3:6" x14ac:dyDescent="0.35">
      <c r="C1283" s="3"/>
      <c r="D1283" s="3"/>
      <c r="E1283" s="3"/>
      <c r="F1283" s="3"/>
    </row>
    <row r="1284" spans="3:6" x14ac:dyDescent="0.35">
      <c r="C1284" s="3"/>
      <c r="D1284" s="3"/>
      <c r="E1284" s="3"/>
      <c r="F1284" s="3"/>
    </row>
    <row r="1285" spans="3:6" x14ac:dyDescent="0.35">
      <c r="C1285" s="3"/>
      <c r="D1285" s="3"/>
      <c r="E1285" s="3"/>
      <c r="F1285" s="3"/>
    </row>
    <row r="1286" spans="3:6" x14ac:dyDescent="0.35">
      <c r="C1286" s="3"/>
      <c r="D1286" s="3"/>
      <c r="E1286" s="3"/>
      <c r="F1286" s="3"/>
    </row>
    <row r="1287" spans="3:6" x14ac:dyDescent="0.35">
      <c r="C1287" s="3"/>
      <c r="D1287" s="3"/>
      <c r="E1287" s="3"/>
      <c r="F1287" s="3"/>
    </row>
    <row r="1288" spans="3:6" x14ac:dyDescent="0.35">
      <c r="C1288" s="3"/>
      <c r="D1288" s="3"/>
      <c r="E1288" s="3"/>
      <c r="F1288" s="3"/>
    </row>
    <row r="1289" spans="3:6" x14ac:dyDescent="0.35">
      <c r="C1289" s="3"/>
      <c r="D1289" s="3"/>
      <c r="E1289" s="3"/>
      <c r="F1289" s="3"/>
    </row>
    <row r="1290" spans="3:6" x14ac:dyDescent="0.35">
      <c r="C1290" s="3"/>
      <c r="D1290" s="3"/>
      <c r="E1290" s="3"/>
      <c r="F1290" s="3"/>
    </row>
    <row r="1291" spans="3:6" x14ac:dyDescent="0.35">
      <c r="C1291" s="3"/>
      <c r="D1291" s="3"/>
      <c r="E1291" s="3"/>
      <c r="F1291" s="3"/>
    </row>
    <row r="1292" spans="3:6" x14ac:dyDescent="0.35">
      <c r="C1292" s="3"/>
      <c r="D1292" s="3"/>
      <c r="E1292" s="3"/>
      <c r="F1292" s="3"/>
    </row>
    <row r="1293" spans="3:6" x14ac:dyDescent="0.35">
      <c r="C1293" s="3"/>
      <c r="D1293" s="3"/>
      <c r="E1293" s="3"/>
      <c r="F1293" s="3"/>
    </row>
    <row r="1294" spans="3:6" x14ac:dyDescent="0.35">
      <c r="C1294" s="3"/>
      <c r="D1294" s="3"/>
      <c r="E1294" s="3"/>
      <c r="F1294" s="3"/>
    </row>
    <row r="1295" spans="3:6" x14ac:dyDescent="0.35">
      <c r="C1295" s="3"/>
      <c r="D1295" s="3"/>
      <c r="E1295" s="3"/>
      <c r="F1295" s="3"/>
    </row>
    <row r="1296" spans="3:6" x14ac:dyDescent="0.35">
      <c r="C1296" s="3"/>
      <c r="D1296" s="3"/>
      <c r="E1296" s="3"/>
      <c r="F1296" s="3"/>
    </row>
    <row r="1297" spans="3:6" x14ac:dyDescent="0.35">
      <c r="C1297" s="3"/>
      <c r="D1297" s="3"/>
      <c r="E1297" s="3"/>
      <c r="F1297" s="3"/>
    </row>
    <row r="1298" spans="3:6" x14ac:dyDescent="0.35">
      <c r="C1298" s="3"/>
      <c r="D1298" s="3"/>
      <c r="E1298" s="3"/>
      <c r="F1298" s="3"/>
    </row>
    <row r="1299" spans="3:6" x14ac:dyDescent="0.35">
      <c r="C1299" s="3"/>
      <c r="D1299" s="3"/>
      <c r="E1299" s="3"/>
      <c r="F1299" s="3"/>
    </row>
    <row r="1300" spans="3:6" x14ac:dyDescent="0.35">
      <c r="C1300" s="3"/>
      <c r="D1300" s="3"/>
      <c r="E1300" s="3"/>
      <c r="F1300" s="3"/>
    </row>
    <row r="1301" spans="3:6" x14ac:dyDescent="0.35">
      <c r="C1301" s="3"/>
      <c r="D1301" s="3"/>
      <c r="E1301" s="3"/>
      <c r="F1301" s="3"/>
    </row>
    <row r="1302" spans="3:6" x14ac:dyDescent="0.35">
      <c r="C1302" s="3"/>
      <c r="D1302" s="3"/>
      <c r="E1302" s="3"/>
      <c r="F1302" s="3"/>
    </row>
    <row r="1303" spans="3:6" x14ac:dyDescent="0.35">
      <c r="C1303" s="3"/>
      <c r="D1303" s="3"/>
      <c r="E1303" s="3"/>
      <c r="F1303" s="3"/>
    </row>
    <row r="1304" spans="3:6" x14ac:dyDescent="0.35">
      <c r="C1304" s="3"/>
      <c r="D1304" s="3"/>
      <c r="E1304" s="3"/>
      <c r="F1304" s="3"/>
    </row>
    <row r="1305" spans="3:6" x14ac:dyDescent="0.35">
      <c r="C1305" s="3"/>
      <c r="D1305" s="3"/>
      <c r="E1305" s="3"/>
      <c r="F1305" s="3"/>
    </row>
    <row r="1306" spans="3:6" x14ac:dyDescent="0.35">
      <c r="C1306" s="3"/>
      <c r="D1306" s="3"/>
      <c r="E1306" s="3"/>
      <c r="F1306" s="3"/>
    </row>
    <row r="1307" spans="3:6" x14ac:dyDescent="0.35">
      <c r="C1307" s="3"/>
      <c r="D1307" s="3"/>
      <c r="E1307" s="3"/>
      <c r="F1307" s="3"/>
    </row>
    <row r="1308" spans="3:6" x14ac:dyDescent="0.35">
      <c r="C1308" s="3"/>
      <c r="D1308" s="3"/>
      <c r="E1308" s="3"/>
      <c r="F1308" s="3"/>
    </row>
    <row r="1309" spans="3:6" x14ac:dyDescent="0.35">
      <c r="C1309" s="3"/>
      <c r="D1309" s="3"/>
      <c r="E1309" s="3"/>
      <c r="F1309" s="3"/>
    </row>
    <row r="1310" spans="3:6" x14ac:dyDescent="0.35">
      <c r="C1310" s="3"/>
      <c r="D1310" s="3"/>
      <c r="E1310" s="3"/>
      <c r="F1310" s="3"/>
    </row>
    <row r="1311" spans="3:6" x14ac:dyDescent="0.35">
      <c r="C1311" s="3"/>
      <c r="D1311" s="3"/>
      <c r="E1311" s="3"/>
      <c r="F1311" s="3"/>
    </row>
    <row r="1312" spans="3:6" x14ac:dyDescent="0.35">
      <c r="C1312" s="3"/>
      <c r="D1312" s="3"/>
      <c r="E1312" s="3"/>
      <c r="F1312" s="3"/>
    </row>
    <row r="1313" spans="3:6" x14ac:dyDescent="0.35">
      <c r="C1313" s="3"/>
      <c r="D1313" s="3"/>
      <c r="E1313" s="3"/>
      <c r="F1313" s="3"/>
    </row>
    <row r="1314" spans="3:6" x14ac:dyDescent="0.35">
      <c r="C1314" s="3"/>
      <c r="D1314" s="3"/>
      <c r="E1314" s="3"/>
      <c r="F1314" s="3"/>
    </row>
    <row r="1315" spans="3:6" x14ac:dyDescent="0.35">
      <c r="C1315" s="3"/>
      <c r="D1315" s="3"/>
      <c r="E1315" s="3"/>
      <c r="F1315" s="3"/>
    </row>
    <row r="1316" spans="3:6" x14ac:dyDescent="0.35">
      <c r="C1316" s="3"/>
      <c r="D1316" s="3"/>
      <c r="E1316" s="3"/>
      <c r="F1316" s="3"/>
    </row>
    <row r="1317" spans="3:6" x14ac:dyDescent="0.35">
      <c r="C1317" s="3"/>
      <c r="D1317" s="3"/>
      <c r="E1317" s="3"/>
      <c r="F1317" s="3"/>
    </row>
    <row r="1318" spans="3:6" x14ac:dyDescent="0.35">
      <c r="C1318" s="3"/>
      <c r="D1318" s="3"/>
      <c r="E1318" s="3"/>
      <c r="F1318" s="3"/>
    </row>
    <row r="1319" spans="3:6" x14ac:dyDescent="0.35">
      <c r="C1319" s="3"/>
      <c r="D1319" s="3"/>
      <c r="E1319" s="3"/>
      <c r="F1319" s="3"/>
    </row>
    <row r="1320" spans="3:6" x14ac:dyDescent="0.35">
      <c r="C1320" s="3"/>
      <c r="D1320" s="3"/>
      <c r="E1320" s="3"/>
      <c r="F1320" s="3"/>
    </row>
    <row r="1321" spans="3:6" x14ac:dyDescent="0.35">
      <c r="C1321" s="3"/>
      <c r="D1321" s="3"/>
      <c r="E1321" s="3"/>
      <c r="F1321" s="3"/>
    </row>
    <row r="1322" spans="3:6" x14ac:dyDescent="0.35">
      <c r="C1322" s="3"/>
      <c r="D1322" s="3"/>
      <c r="E1322" s="3"/>
      <c r="F1322" s="3"/>
    </row>
    <row r="1323" spans="3:6" x14ac:dyDescent="0.35">
      <c r="C1323" s="3"/>
      <c r="D1323" s="3"/>
      <c r="E1323" s="3"/>
      <c r="F1323" s="3"/>
    </row>
    <row r="1324" spans="3:6" x14ac:dyDescent="0.35">
      <c r="C1324" s="3"/>
      <c r="D1324" s="3"/>
      <c r="E1324" s="3"/>
      <c r="F1324" s="3"/>
    </row>
    <row r="1325" spans="3:6" x14ac:dyDescent="0.35">
      <c r="C1325" s="3"/>
      <c r="D1325" s="3"/>
      <c r="E1325" s="3"/>
      <c r="F1325" s="3"/>
    </row>
    <row r="1326" spans="3:6" x14ac:dyDescent="0.35">
      <c r="C1326" s="3"/>
      <c r="D1326" s="3"/>
      <c r="E1326" s="3"/>
      <c r="F1326" s="3"/>
    </row>
    <row r="1327" spans="3:6" x14ac:dyDescent="0.35">
      <c r="C1327" s="3"/>
      <c r="D1327" s="3"/>
      <c r="E1327" s="3"/>
      <c r="F1327" s="3"/>
    </row>
    <row r="1328" spans="3:6" x14ac:dyDescent="0.35">
      <c r="C1328" s="3"/>
      <c r="D1328" s="3"/>
      <c r="E1328" s="3"/>
      <c r="F1328" s="3"/>
    </row>
    <row r="1329" spans="3:6" x14ac:dyDescent="0.35">
      <c r="C1329" s="3"/>
      <c r="D1329" s="3"/>
      <c r="E1329" s="3"/>
      <c r="F1329" s="3"/>
    </row>
    <row r="1330" spans="3:6" x14ac:dyDescent="0.35">
      <c r="C1330" s="3"/>
      <c r="D1330" s="3"/>
      <c r="E1330" s="3"/>
      <c r="F1330" s="3"/>
    </row>
    <row r="1331" spans="3:6" x14ac:dyDescent="0.35">
      <c r="C1331" s="3"/>
      <c r="D1331" s="3"/>
      <c r="E1331" s="3"/>
      <c r="F1331" s="3"/>
    </row>
    <row r="1332" spans="3:6" x14ac:dyDescent="0.35">
      <c r="C1332" s="3"/>
      <c r="D1332" s="3"/>
      <c r="E1332" s="3"/>
      <c r="F1332" s="3"/>
    </row>
    <row r="1333" spans="3:6" x14ac:dyDescent="0.35">
      <c r="C1333" s="3"/>
      <c r="D1333" s="3"/>
      <c r="E1333" s="3"/>
      <c r="F1333" s="3"/>
    </row>
    <row r="1334" spans="3:6" x14ac:dyDescent="0.35">
      <c r="C1334" s="3"/>
      <c r="D1334" s="3"/>
      <c r="E1334" s="3"/>
      <c r="F1334" s="3"/>
    </row>
    <row r="1335" spans="3:6" x14ac:dyDescent="0.35">
      <c r="C1335" s="3"/>
      <c r="D1335" s="3"/>
      <c r="E1335" s="3"/>
      <c r="F1335" s="3"/>
    </row>
    <row r="1336" spans="3:6" x14ac:dyDescent="0.35">
      <c r="C1336" s="3"/>
      <c r="D1336" s="3"/>
      <c r="E1336" s="3"/>
      <c r="F1336" s="3"/>
    </row>
    <row r="1337" spans="3:6" x14ac:dyDescent="0.35">
      <c r="C1337" s="3"/>
      <c r="D1337" s="3"/>
      <c r="E1337" s="3"/>
      <c r="F1337" s="3"/>
    </row>
    <row r="1338" spans="3:6" x14ac:dyDescent="0.35">
      <c r="C1338" s="3"/>
      <c r="D1338" s="3"/>
      <c r="E1338" s="3"/>
      <c r="F1338" s="3"/>
    </row>
    <row r="1339" spans="3:6" x14ac:dyDescent="0.35">
      <c r="C1339" s="3"/>
      <c r="D1339" s="3"/>
      <c r="E1339" s="3"/>
      <c r="F1339" s="3"/>
    </row>
    <row r="1340" spans="3:6" x14ac:dyDescent="0.35">
      <c r="C1340" s="3"/>
      <c r="D1340" s="3"/>
      <c r="E1340" s="3"/>
      <c r="F1340" s="3"/>
    </row>
    <row r="1341" spans="3:6" x14ac:dyDescent="0.35">
      <c r="C1341" s="3"/>
      <c r="D1341" s="3"/>
      <c r="E1341" s="3"/>
      <c r="F1341" s="3"/>
    </row>
    <row r="1342" spans="3:6" x14ac:dyDescent="0.35">
      <c r="C1342" s="3"/>
      <c r="D1342" s="3"/>
      <c r="E1342" s="3"/>
      <c r="F1342" s="3"/>
    </row>
    <row r="1343" spans="3:6" x14ac:dyDescent="0.35">
      <c r="C1343" s="3"/>
      <c r="D1343" s="3"/>
      <c r="E1343" s="3"/>
      <c r="F1343" s="3"/>
    </row>
    <row r="1344" spans="3:6" x14ac:dyDescent="0.35">
      <c r="C1344" s="3"/>
      <c r="D1344" s="3"/>
      <c r="E1344" s="3"/>
      <c r="F1344" s="3"/>
    </row>
    <row r="1345" spans="3:6" x14ac:dyDescent="0.35">
      <c r="C1345" s="3"/>
      <c r="D1345" s="3"/>
      <c r="E1345" s="3"/>
      <c r="F1345" s="3"/>
    </row>
    <row r="1346" spans="3:6" x14ac:dyDescent="0.35">
      <c r="C1346" s="3"/>
      <c r="D1346" s="3"/>
      <c r="E1346" s="3"/>
      <c r="F1346" s="3"/>
    </row>
    <row r="1347" spans="3:6" x14ac:dyDescent="0.35">
      <c r="C1347" s="3"/>
      <c r="D1347" s="3"/>
      <c r="E1347" s="3"/>
      <c r="F1347" s="3"/>
    </row>
    <row r="1348" spans="3:6" x14ac:dyDescent="0.35">
      <c r="C1348" s="3"/>
      <c r="D1348" s="3"/>
      <c r="E1348" s="3"/>
      <c r="F1348" s="3"/>
    </row>
    <row r="1349" spans="3:6" x14ac:dyDescent="0.35">
      <c r="C1349" s="3"/>
      <c r="D1349" s="3"/>
      <c r="E1349" s="3"/>
      <c r="F1349" s="3"/>
    </row>
    <row r="1350" spans="3:6" x14ac:dyDescent="0.35">
      <c r="C1350" s="3"/>
      <c r="D1350" s="3"/>
      <c r="E1350" s="3"/>
      <c r="F1350" s="3"/>
    </row>
    <row r="1351" spans="3:6" x14ac:dyDescent="0.35">
      <c r="C1351" s="3"/>
      <c r="D1351" s="3"/>
      <c r="E1351" s="3"/>
      <c r="F1351" s="3"/>
    </row>
    <row r="1352" spans="3:6" x14ac:dyDescent="0.35">
      <c r="C1352" s="3"/>
      <c r="D1352" s="3"/>
      <c r="E1352" s="3"/>
      <c r="F1352" s="3"/>
    </row>
    <row r="1353" spans="3:6" x14ac:dyDescent="0.35">
      <c r="C1353" s="3"/>
      <c r="D1353" s="3"/>
      <c r="E1353" s="3"/>
      <c r="F1353" s="3"/>
    </row>
    <row r="1354" spans="3:6" x14ac:dyDescent="0.35">
      <c r="C1354" s="3"/>
      <c r="D1354" s="3"/>
      <c r="E1354" s="3"/>
      <c r="F1354" s="3"/>
    </row>
    <row r="1355" spans="3:6" x14ac:dyDescent="0.35">
      <c r="C1355" s="3"/>
      <c r="D1355" s="3"/>
      <c r="E1355" s="3"/>
      <c r="F1355" s="3"/>
    </row>
    <row r="1356" spans="3:6" x14ac:dyDescent="0.35">
      <c r="C1356" s="3"/>
      <c r="D1356" s="3"/>
      <c r="E1356" s="3"/>
      <c r="F1356" s="3"/>
    </row>
    <row r="1357" spans="3:6" x14ac:dyDescent="0.35">
      <c r="C1357" s="3"/>
      <c r="D1357" s="3"/>
      <c r="E1357" s="3"/>
      <c r="F1357" s="3"/>
    </row>
    <row r="1358" spans="3:6" x14ac:dyDescent="0.35">
      <c r="C1358" s="3"/>
      <c r="D1358" s="3"/>
      <c r="E1358" s="3"/>
      <c r="F1358" s="3"/>
    </row>
    <row r="1359" spans="3:6" x14ac:dyDescent="0.35">
      <c r="C1359" s="3"/>
      <c r="D1359" s="3"/>
      <c r="E1359" s="3"/>
      <c r="F1359" s="3"/>
    </row>
    <row r="1360" spans="3:6" x14ac:dyDescent="0.35">
      <c r="C1360" s="3"/>
      <c r="D1360" s="3"/>
      <c r="E1360" s="3"/>
      <c r="F1360" s="3"/>
    </row>
    <row r="1361" spans="3:6" x14ac:dyDescent="0.35">
      <c r="C1361" s="3"/>
      <c r="D1361" s="3"/>
      <c r="E1361" s="3"/>
      <c r="F1361" s="3"/>
    </row>
    <row r="1362" spans="3:6" x14ac:dyDescent="0.35">
      <c r="C1362" s="3"/>
      <c r="D1362" s="3"/>
      <c r="E1362" s="3"/>
      <c r="F1362" s="3"/>
    </row>
    <row r="1363" spans="3:6" x14ac:dyDescent="0.35">
      <c r="C1363" s="3"/>
      <c r="D1363" s="3"/>
      <c r="E1363" s="3"/>
      <c r="F1363" s="3"/>
    </row>
    <row r="1364" spans="3:6" x14ac:dyDescent="0.35">
      <c r="C1364" s="3"/>
      <c r="D1364" s="3"/>
      <c r="E1364" s="3"/>
      <c r="F1364" s="3"/>
    </row>
    <row r="1365" spans="3:6" x14ac:dyDescent="0.35">
      <c r="C1365" s="3"/>
      <c r="D1365" s="3"/>
      <c r="E1365" s="3"/>
      <c r="F1365" s="3"/>
    </row>
    <row r="1366" spans="3:6" x14ac:dyDescent="0.35">
      <c r="C1366" s="3"/>
      <c r="D1366" s="3"/>
      <c r="E1366" s="3"/>
      <c r="F1366" s="3"/>
    </row>
    <row r="1367" spans="3:6" x14ac:dyDescent="0.35">
      <c r="C1367" s="3"/>
      <c r="D1367" s="3"/>
      <c r="E1367" s="3"/>
      <c r="F1367" s="3"/>
    </row>
    <row r="1368" spans="3:6" x14ac:dyDescent="0.35">
      <c r="C1368" s="3"/>
      <c r="D1368" s="3"/>
      <c r="E1368" s="3"/>
      <c r="F1368" s="3"/>
    </row>
    <row r="1369" spans="3:6" x14ac:dyDescent="0.35">
      <c r="C1369" s="3"/>
      <c r="D1369" s="3"/>
      <c r="E1369" s="3"/>
      <c r="F1369" s="3"/>
    </row>
    <row r="1370" spans="3:6" x14ac:dyDescent="0.35">
      <c r="C1370" s="3"/>
      <c r="D1370" s="3"/>
      <c r="E1370" s="3"/>
      <c r="F1370" s="3"/>
    </row>
    <row r="1371" spans="3:6" x14ac:dyDescent="0.35">
      <c r="C1371" s="3"/>
      <c r="D1371" s="3"/>
      <c r="E1371" s="3"/>
      <c r="F1371" s="3"/>
    </row>
    <row r="1372" spans="3:6" x14ac:dyDescent="0.35">
      <c r="C1372" s="3"/>
      <c r="D1372" s="3"/>
      <c r="E1372" s="3"/>
      <c r="F1372" s="3"/>
    </row>
    <row r="1373" spans="3:6" x14ac:dyDescent="0.35">
      <c r="C1373" s="3"/>
      <c r="D1373" s="3"/>
      <c r="E1373" s="3"/>
      <c r="F1373" s="3"/>
    </row>
    <row r="1374" spans="3:6" x14ac:dyDescent="0.35">
      <c r="C1374" s="3"/>
      <c r="D1374" s="3"/>
      <c r="E1374" s="3"/>
      <c r="F1374" s="3"/>
    </row>
    <row r="1375" spans="3:6" x14ac:dyDescent="0.35">
      <c r="C1375" s="3"/>
      <c r="D1375" s="3"/>
      <c r="E1375" s="3"/>
      <c r="F1375" s="3"/>
    </row>
    <row r="1376" spans="3:6" x14ac:dyDescent="0.35">
      <c r="C1376" s="3"/>
      <c r="D1376" s="3"/>
      <c r="E1376" s="3"/>
      <c r="F1376" s="3"/>
    </row>
    <row r="1377" spans="3:6" x14ac:dyDescent="0.35">
      <c r="C1377" s="3"/>
      <c r="D1377" s="3"/>
      <c r="E1377" s="3"/>
      <c r="F1377" s="3"/>
    </row>
    <row r="1378" spans="3:6" x14ac:dyDescent="0.35">
      <c r="C1378" s="3"/>
      <c r="D1378" s="3"/>
      <c r="E1378" s="3"/>
      <c r="F1378" s="3"/>
    </row>
    <row r="1379" spans="3:6" x14ac:dyDescent="0.35">
      <c r="C1379" s="3"/>
      <c r="D1379" s="3"/>
      <c r="E1379" s="3"/>
      <c r="F1379" s="3"/>
    </row>
    <row r="1380" spans="3:6" x14ac:dyDescent="0.35">
      <c r="C1380" s="3"/>
      <c r="D1380" s="3"/>
      <c r="E1380" s="3"/>
      <c r="F1380" s="3"/>
    </row>
    <row r="1381" spans="3:6" x14ac:dyDescent="0.35">
      <c r="C1381" s="3"/>
      <c r="D1381" s="3"/>
      <c r="E1381" s="3"/>
      <c r="F1381" s="3"/>
    </row>
    <row r="1382" spans="3:6" x14ac:dyDescent="0.35">
      <c r="C1382" s="3"/>
      <c r="D1382" s="3"/>
      <c r="E1382" s="3"/>
      <c r="F1382" s="3"/>
    </row>
    <row r="1383" spans="3:6" x14ac:dyDescent="0.35">
      <c r="C1383" s="3"/>
      <c r="D1383" s="3"/>
      <c r="E1383" s="3"/>
      <c r="F1383" s="3"/>
    </row>
    <row r="1384" spans="3:6" x14ac:dyDescent="0.35">
      <c r="C1384" s="3"/>
      <c r="D1384" s="3"/>
      <c r="E1384" s="3"/>
      <c r="F1384" s="3"/>
    </row>
    <row r="1385" spans="3:6" x14ac:dyDescent="0.35">
      <c r="C1385" s="3"/>
      <c r="D1385" s="3"/>
      <c r="E1385" s="3"/>
      <c r="F1385" s="3"/>
    </row>
    <row r="1386" spans="3:6" x14ac:dyDescent="0.35">
      <c r="C1386" s="3"/>
      <c r="D1386" s="3"/>
      <c r="E1386" s="3"/>
      <c r="F1386" s="3"/>
    </row>
    <row r="1387" spans="3:6" x14ac:dyDescent="0.35">
      <c r="C1387" s="3"/>
      <c r="D1387" s="3"/>
      <c r="E1387" s="3"/>
      <c r="F1387" s="3"/>
    </row>
    <row r="1388" spans="3:6" x14ac:dyDescent="0.35">
      <c r="C1388" s="3"/>
      <c r="D1388" s="3"/>
      <c r="E1388" s="3"/>
      <c r="F1388" s="3"/>
    </row>
    <row r="1389" spans="3:6" x14ac:dyDescent="0.35">
      <c r="C1389" s="3"/>
      <c r="D1389" s="3"/>
      <c r="E1389" s="3"/>
      <c r="F1389" s="3"/>
    </row>
    <row r="1390" spans="3:6" x14ac:dyDescent="0.35">
      <c r="C1390" s="3"/>
      <c r="D1390" s="3"/>
      <c r="E1390" s="3"/>
      <c r="F1390" s="3"/>
    </row>
    <row r="1391" spans="3:6" x14ac:dyDescent="0.35">
      <c r="C1391" s="3"/>
      <c r="D1391" s="3"/>
      <c r="E1391" s="3"/>
      <c r="F1391" s="3"/>
    </row>
    <row r="1392" spans="3:6" x14ac:dyDescent="0.35">
      <c r="C1392" s="3"/>
      <c r="D1392" s="3"/>
      <c r="E1392" s="3"/>
      <c r="F1392" s="3"/>
    </row>
    <row r="1393" spans="3:6" x14ac:dyDescent="0.35">
      <c r="C1393" s="3"/>
      <c r="D1393" s="3"/>
      <c r="E1393" s="3"/>
      <c r="F1393" s="3"/>
    </row>
    <row r="1394" spans="3:6" x14ac:dyDescent="0.35">
      <c r="C1394" s="3"/>
      <c r="D1394" s="3"/>
      <c r="E1394" s="3"/>
      <c r="F1394" s="3"/>
    </row>
    <row r="1395" spans="3:6" x14ac:dyDescent="0.35">
      <c r="C1395" s="3"/>
      <c r="D1395" s="3"/>
      <c r="E1395" s="3"/>
      <c r="F1395" s="3"/>
    </row>
    <row r="1396" spans="3:6" x14ac:dyDescent="0.35">
      <c r="C1396" s="3"/>
      <c r="D1396" s="3"/>
      <c r="E1396" s="3"/>
      <c r="F1396" s="3"/>
    </row>
    <row r="1397" spans="3:6" x14ac:dyDescent="0.35">
      <c r="C1397" s="3"/>
      <c r="D1397" s="3"/>
      <c r="E1397" s="3"/>
      <c r="F1397" s="3"/>
    </row>
    <row r="1398" spans="3:6" x14ac:dyDescent="0.35">
      <c r="C1398" s="3"/>
      <c r="D1398" s="3"/>
      <c r="E1398" s="3"/>
      <c r="F1398" s="3"/>
    </row>
    <row r="1399" spans="3:6" x14ac:dyDescent="0.35">
      <c r="C1399" s="3"/>
      <c r="D1399" s="3"/>
      <c r="E1399" s="3"/>
      <c r="F1399" s="3"/>
    </row>
    <row r="1400" spans="3:6" x14ac:dyDescent="0.35">
      <c r="C1400" s="3"/>
      <c r="D1400" s="3"/>
      <c r="E1400" s="3"/>
      <c r="F1400" s="3"/>
    </row>
    <row r="1401" spans="3:6" x14ac:dyDescent="0.35">
      <c r="C1401" s="3"/>
      <c r="D1401" s="3"/>
      <c r="E1401" s="3"/>
      <c r="F1401" s="3"/>
    </row>
    <row r="1402" spans="3:6" x14ac:dyDescent="0.35">
      <c r="C1402" s="3"/>
      <c r="D1402" s="3"/>
      <c r="E1402" s="3"/>
      <c r="F1402" s="3"/>
    </row>
    <row r="1403" spans="3:6" x14ac:dyDescent="0.35">
      <c r="C1403" s="3"/>
      <c r="D1403" s="3"/>
      <c r="E1403" s="3"/>
      <c r="F1403" s="3"/>
    </row>
    <row r="1404" spans="3:6" x14ac:dyDescent="0.35">
      <c r="C1404" s="3"/>
      <c r="D1404" s="3"/>
      <c r="E1404" s="3"/>
      <c r="F1404" s="3"/>
    </row>
    <row r="1405" spans="3:6" x14ac:dyDescent="0.35">
      <c r="C1405" s="3"/>
      <c r="D1405" s="3"/>
      <c r="E1405" s="3"/>
      <c r="F1405" s="3"/>
    </row>
    <row r="1406" spans="3:6" x14ac:dyDescent="0.35">
      <c r="C1406" s="3"/>
      <c r="D1406" s="3"/>
      <c r="E1406" s="3"/>
      <c r="F1406" s="3"/>
    </row>
    <row r="1407" spans="3:6" x14ac:dyDescent="0.35">
      <c r="C1407" s="3"/>
      <c r="D1407" s="3"/>
      <c r="E1407" s="3"/>
      <c r="F1407" s="3"/>
    </row>
    <row r="1408" spans="3:6" x14ac:dyDescent="0.35">
      <c r="C1408" s="3"/>
      <c r="D1408" s="3"/>
      <c r="E1408" s="3"/>
      <c r="F1408" s="3"/>
    </row>
    <row r="1409" spans="3:6" x14ac:dyDescent="0.35">
      <c r="C1409" s="3"/>
      <c r="D1409" s="3"/>
      <c r="E1409" s="3"/>
      <c r="F1409" s="3"/>
    </row>
    <row r="1410" spans="3:6" x14ac:dyDescent="0.35">
      <c r="C1410" s="3"/>
      <c r="D1410" s="3"/>
      <c r="E1410" s="3"/>
      <c r="F1410" s="3"/>
    </row>
    <row r="1411" spans="3:6" x14ac:dyDescent="0.35">
      <c r="C1411" s="3"/>
      <c r="D1411" s="3"/>
      <c r="E1411" s="3"/>
      <c r="F1411" s="3"/>
    </row>
    <row r="1412" spans="3:6" x14ac:dyDescent="0.35">
      <c r="C1412" s="3"/>
      <c r="D1412" s="3"/>
      <c r="E1412" s="3"/>
      <c r="F1412" s="3"/>
    </row>
    <row r="1413" spans="3:6" x14ac:dyDescent="0.35">
      <c r="C1413" s="3"/>
      <c r="D1413" s="3"/>
      <c r="E1413" s="3"/>
      <c r="F1413" s="3"/>
    </row>
    <row r="1414" spans="3:6" x14ac:dyDescent="0.35">
      <c r="C1414" s="3"/>
      <c r="D1414" s="3"/>
      <c r="E1414" s="3"/>
      <c r="F1414" s="3"/>
    </row>
    <row r="1415" spans="3:6" x14ac:dyDescent="0.35">
      <c r="C1415" s="3"/>
      <c r="D1415" s="3"/>
      <c r="E1415" s="3"/>
      <c r="F1415" s="3"/>
    </row>
    <row r="1416" spans="3:6" x14ac:dyDescent="0.35">
      <c r="C1416" s="3"/>
      <c r="D1416" s="3"/>
      <c r="E1416" s="3"/>
      <c r="F1416" s="3"/>
    </row>
    <row r="1417" spans="3:6" x14ac:dyDescent="0.35">
      <c r="C1417" s="3"/>
      <c r="D1417" s="3"/>
      <c r="E1417" s="3"/>
      <c r="F1417" s="3"/>
    </row>
    <row r="1418" spans="3:6" x14ac:dyDescent="0.35">
      <c r="C1418" s="3"/>
      <c r="D1418" s="3"/>
      <c r="E1418" s="3"/>
      <c r="F1418" s="3"/>
    </row>
    <row r="1419" spans="3:6" x14ac:dyDescent="0.35">
      <c r="C1419" s="3"/>
      <c r="D1419" s="3"/>
      <c r="E1419" s="3"/>
      <c r="F1419" s="3"/>
    </row>
    <row r="1420" spans="3:6" x14ac:dyDescent="0.35">
      <c r="C1420" s="3"/>
      <c r="D1420" s="3"/>
      <c r="E1420" s="3"/>
      <c r="F1420" s="3"/>
    </row>
    <row r="1421" spans="3:6" x14ac:dyDescent="0.35">
      <c r="C1421" s="3"/>
      <c r="D1421" s="3"/>
      <c r="E1421" s="3"/>
      <c r="F1421" s="3"/>
    </row>
    <row r="1422" spans="3:6" x14ac:dyDescent="0.35">
      <c r="C1422" s="3"/>
      <c r="D1422" s="3"/>
      <c r="E1422" s="3"/>
      <c r="F1422" s="3"/>
    </row>
    <row r="1423" spans="3:6" x14ac:dyDescent="0.35">
      <c r="C1423" s="3"/>
      <c r="D1423" s="3"/>
      <c r="E1423" s="3"/>
      <c r="F1423" s="3"/>
    </row>
    <row r="1424" spans="3:6" x14ac:dyDescent="0.35">
      <c r="C1424" s="3"/>
      <c r="D1424" s="3"/>
      <c r="E1424" s="3"/>
      <c r="F1424" s="3"/>
    </row>
    <row r="1425" spans="3:6" x14ac:dyDescent="0.35">
      <c r="C1425" s="3"/>
      <c r="D1425" s="3"/>
      <c r="E1425" s="3"/>
      <c r="F1425" s="3"/>
    </row>
    <row r="1426" spans="3:6" x14ac:dyDescent="0.35">
      <c r="C1426" s="3"/>
      <c r="D1426" s="3"/>
      <c r="E1426" s="3"/>
      <c r="F1426" s="3"/>
    </row>
    <row r="1427" spans="3:6" x14ac:dyDescent="0.35">
      <c r="C1427" s="3"/>
      <c r="D1427" s="3"/>
      <c r="E1427" s="3"/>
      <c r="F1427" s="3"/>
    </row>
    <row r="1428" spans="3:6" x14ac:dyDescent="0.35">
      <c r="C1428" s="3"/>
      <c r="D1428" s="3"/>
      <c r="E1428" s="3"/>
      <c r="F1428" s="3"/>
    </row>
    <row r="1429" spans="3:6" x14ac:dyDescent="0.35">
      <c r="C1429" s="3"/>
      <c r="D1429" s="3"/>
      <c r="E1429" s="3"/>
      <c r="F1429" s="3"/>
    </row>
    <row r="1430" spans="3:6" x14ac:dyDescent="0.35">
      <c r="C1430" s="3"/>
      <c r="D1430" s="3"/>
      <c r="E1430" s="3"/>
      <c r="F1430" s="3"/>
    </row>
    <row r="1431" spans="3:6" x14ac:dyDescent="0.35">
      <c r="C1431" s="3"/>
      <c r="D1431" s="3"/>
      <c r="E1431" s="3"/>
      <c r="F1431" s="3"/>
    </row>
    <row r="1432" spans="3:6" x14ac:dyDescent="0.35">
      <c r="C1432" s="3"/>
      <c r="D1432" s="3"/>
      <c r="E1432" s="3"/>
      <c r="F1432" s="3"/>
    </row>
    <row r="1433" spans="3:6" x14ac:dyDescent="0.35">
      <c r="C1433" s="3"/>
      <c r="D1433" s="3"/>
      <c r="E1433" s="3"/>
      <c r="F1433" s="3"/>
    </row>
    <row r="1434" spans="3:6" x14ac:dyDescent="0.35">
      <c r="C1434" s="3"/>
      <c r="D1434" s="3"/>
      <c r="E1434" s="3"/>
      <c r="F1434" s="3"/>
    </row>
    <row r="1435" spans="3:6" x14ac:dyDescent="0.35">
      <c r="C1435" s="3"/>
      <c r="D1435" s="3"/>
      <c r="E1435" s="3"/>
      <c r="F1435" s="3"/>
    </row>
    <row r="1436" spans="3:6" x14ac:dyDescent="0.35">
      <c r="C1436" s="3"/>
      <c r="D1436" s="3"/>
      <c r="E1436" s="3"/>
      <c r="F1436" s="3"/>
    </row>
    <row r="1437" spans="3:6" x14ac:dyDescent="0.35">
      <c r="C1437" s="3"/>
      <c r="D1437" s="3"/>
      <c r="E1437" s="3"/>
      <c r="F1437" s="3"/>
    </row>
    <row r="1438" spans="3:6" x14ac:dyDescent="0.35">
      <c r="C1438" s="3"/>
      <c r="D1438" s="3"/>
      <c r="E1438" s="3"/>
      <c r="F1438" s="3"/>
    </row>
    <row r="1439" spans="3:6" x14ac:dyDescent="0.35">
      <c r="C1439" s="3"/>
      <c r="D1439" s="3"/>
      <c r="E1439" s="3"/>
      <c r="F1439" s="3"/>
    </row>
    <row r="1440" spans="3:6" x14ac:dyDescent="0.35">
      <c r="C1440" s="3"/>
      <c r="D1440" s="3"/>
      <c r="E1440" s="3"/>
      <c r="F1440" s="3"/>
    </row>
    <row r="1441" spans="3:6" x14ac:dyDescent="0.35">
      <c r="C1441" s="3"/>
      <c r="D1441" s="3"/>
      <c r="E1441" s="3"/>
      <c r="F1441" s="3"/>
    </row>
    <row r="1442" spans="3:6" x14ac:dyDescent="0.35">
      <c r="C1442" s="3"/>
      <c r="D1442" s="3"/>
      <c r="E1442" s="3"/>
      <c r="F1442" s="3"/>
    </row>
    <row r="1443" spans="3:6" x14ac:dyDescent="0.35">
      <c r="C1443" s="3"/>
      <c r="D1443" s="3"/>
      <c r="E1443" s="3"/>
      <c r="F1443" s="3"/>
    </row>
    <row r="1444" spans="3:6" x14ac:dyDescent="0.35">
      <c r="C1444" s="3"/>
      <c r="D1444" s="3"/>
      <c r="E1444" s="3"/>
      <c r="F1444" s="3"/>
    </row>
    <row r="1445" spans="3:6" x14ac:dyDescent="0.35">
      <c r="C1445" s="3"/>
      <c r="D1445" s="3"/>
      <c r="E1445" s="3"/>
      <c r="F1445" s="3"/>
    </row>
    <row r="1446" spans="3:6" x14ac:dyDescent="0.35">
      <c r="C1446" s="3"/>
      <c r="D1446" s="3"/>
      <c r="E1446" s="3"/>
      <c r="F1446" s="3"/>
    </row>
    <row r="1447" spans="3:6" x14ac:dyDescent="0.35">
      <c r="C1447" s="3"/>
      <c r="D1447" s="3"/>
      <c r="E1447" s="3"/>
      <c r="F1447" s="3"/>
    </row>
    <row r="1448" spans="3:6" x14ac:dyDescent="0.35">
      <c r="C1448" s="3"/>
      <c r="D1448" s="3"/>
      <c r="E1448" s="3"/>
      <c r="F1448" s="3"/>
    </row>
    <row r="1449" spans="3:6" x14ac:dyDescent="0.35">
      <c r="C1449" s="3"/>
      <c r="D1449" s="3"/>
      <c r="E1449" s="3"/>
      <c r="F1449" s="3"/>
    </row>
    <row r="1450" spans="3:6" x14ac:dyDescent="0.35">
      <c r="C1450" s="3"/>
      <c r="D1450" s="3"/>
      <c r="E1450" s="3"/>
      <c r="F1450" s="3"/>
    </row>
    <row r="1451" spans="3:6" x14ac:dyDescent="0.35">
      <c r="C1451" s="3"/>
      <c r="D1451" s="3"/>
      <c r="E1451" s="3"/>
      <c r="F1451" s="3"/>
    </row>
    <row r="1452" spans="3:6" x14ac:dyDescent="0.35">
      <c r="C1452" s="3"/>
      <c r="D1452" s="3"/>
      <c r="E1452" s="3"/>
      <c r="F1452" s="3"/>
    </row>
    <row r="1453" spans="3:6" x14ac:dyDescent="0.35">
      <c r="C1453" s="3"/>
      <c r="D1453" s="3"/>
      <c r="E1453" s="3"/>
      <c r="F1453" s="3"/>
    </row>
    <row r="1454" spans="3:6" x14ac:dyDescent="0.35">
      <c r="C1454" s="3"/>
      <c r="D1454" s="3"/>
      <c r="E1454" s="3"/>
      <c r="F1454" s="3"/>
    </row>
    <row r="1455" spans="3:6" x14ac:dyDescent="0.35">
      <c r="C1455" s="3"/>
      <c r="D1455" s="3"/>
      <c r="E1455" s="3"/>
      <c r="F1455" s="3"/>
    </row>
    <row r="1456" spans="3:6" x14ac:dyDescent="0.35">
      <c r="C1456" s="3"/>
      <c r="D1456" s="3"/>
      <c r="E1456" s="3"/>
      <c r="F1456" s="3"/>
    </row>
    <row r="1457" spans="3:6" x14ac:dyDescent="0.35">
      <c r="C1457" s="3"/>
      <c r="D1457" s="3"/>
      <c r="E1457" s="3"/>
      <c r="F1457" s="3"/>
    </row>
    <row r="1458" spans="3:6" x14ac:dyDescent="0.35">
      <c r="C1458" s="3"/>
      <c r="D1458" s="3"/>
      <c r="E1458" s="3"/>
      <c r="F1458" s="3"/>
    </row>
    <row r="1459" spans="3:6" x14ac:dyDescent="0.35">
      <c r="C1459" s="3"/>
      <c r="D1459" s="3"/>
      <c r="E1459" s="3"/>
      <c r="F1459" s="3"/>
    </row>
    <row r="1460" spans="3:6" x14ac:dyDescent="0.35">
      <c r="C1460" s="3"/>
      <c r="D1460" s="3"/>
      <c r="E1460" s="3"/>
      <c r="F1460" s="3"/>
    </row>
    <row r="1461" spans="3:6" x14ac:dyDescent="0.35">
      <c r="C1461" s="3"/>
      <c r="D1461" s="3"/>
      <c r="E1461" s="3"/>
      <c r="F1461" s="3"/>
    </row>
    <row r="1462" spans="3:6" x14ac:dyDescent="0.35">
      <c r="C1462" s="3"/>
      <c r="D1462" s="3"/>
      <c r="E1462" s="3"/>
      <c r="F1462" s="3"/>
    </row>
    <row r="1463" spans="3:6" x14ac:dyDescent="0.35">
      <c r="C1463" s="3"/>
      <c r="D1463" s="3"/>
      <c r="E1463" s="3"/>
      <c r="F1463" s="3"/>
    </row>
    <row r="1464" spans="3:6" x14ac:dyDescent="0.35">
      <c r="C1464" s="3"/>
      <c r="D1464" s="3"/>
      <c r="E1464" s="3"/>
      <c r="F1464" s="3"/>
    </row>
    <row r="1465" spans="3:6" x14ac:dyDescent="0.35">
      <c r="C1465" s="3"/>
      <c r="D1465" s="3"/>
      <c r="E1465" s="3"/>
      <c r="F1465" s="3"/>
    </row>
    <row r="1466" spans="3:6" x14ac:dyDescent="0.35">
      <c r="C1466" s="3"/>
      <c r="D1466" s="3"/>
      <c r="E1466" s="3"/>
      <c r="F1466" s="3"/>
    </row>
    <row r="1467" spans="3:6" x14ac:dyDescent="0.35">
      <c r="C1467" s="3"/>
      <c r="D1467" s="3"/>
      <c r="E1467" s="3"/>
      <c r="F1467" s="3"/>
    </row>
    <row r="1468" spans="3:6" x14ac:dyDescent="0.35">
      <c r="C1468" s="3"/>
      <c r="D1468" s="3"/>
      <c r="E1468" s="3"/>
      <c r="F1468" s="3"/>
    </row>
    <row r="1469" spans="3:6" x14ac:dyDescent="0.35">
      <c r="C1469" s="3"/>
      <c r="D1469" s="3"/>
      <c r="E1469" s="3"/>
      <c r="F1469" s="3"/>
    </row>
    <row r="1470" spans="3:6" x14ac:dyDescent="0.35">
      <c r="C1470" s="3"/>
      <c r="D1470" s="3"/>
      <c r="E1470" s="3"/>
      <c r="F1470" s="3"/>
    </row>
    <row r="1471" spans="3:6" x14ac:dyDescent="0.35">
      <c r="C1471" s="3"/>
      <c r="D1471" s="3"/>
      <c r="E1471" s="3"/>
      <c r="F1471" s="3"/>
    </row>
    <row r="1472" spans="3:6" x14ac:dyDescent="0.35">
      <c r="C1472" s="3"/>
      <c r="D1472" s="3"/>
      <c r="E1472" s="3"/>
      <c r="F1472" s="3"/>
    </row>
    <row r="1473" spans="3:6" x14ac:dyDescent="0.35">
      <c r="C1473" s="3"/>
      <c r="D1473" s="3"/>
      <c r="E1473" s="3"/>
      <c r="F1473" s="3"/>
    </row>
    <row r="1474" spans="3:6" x14ac:dyDescent="0.35">
      <c r="C1474" s="3"/>
      <c r="D1474" s="3"/>
      <c r="E1474" s="3"/>
      <c r="F1474" s="3"/>
    </row>
    <row r="1475" spans="3:6" x14ac:dyDescent="0.35">
      <c r="C1475" s="3"/>
      <c r="D1475" s="3"/>
      <c r="E1475" s="3"/>
      <c r="F1475" s="3"/>
    </row>
    <row r="1476" spans="3:6" x14ac:dyDescent="0.35">
      <c r="C1476" s="3"/>
      <c r="D1476" s="3"/>
      <c r="E1476" s="3"/>
      <c r="F1476" s="3"/>
    </row>
    <row r="1477" spans="3:6" x14ac:dyDescent="0.35">
      <c r="C1477" s="3"/>
      <c r="D1477" s="3"/>
      <c r="E1477" s="3"/>
      <c r="F1477" s="3"/>
    </row>
    <row r="1478" spans="3:6" x14ac:dyDescent="0.35">
      <c r="C1478" s="3"/>
      <c r="D1478" s="3"/>
      <c r="E1478" s="3"/>
      <c r="F1478" s="3"/>
    </row>
    <row r="1479" spans="3:6" x14ac:dyDescent="0.35">
      <c r="C1479" s="3"/>
      <c r="D1479" s="3"/>
      <c r="E1479" s="3"/>
      <c r="F1479" s="3"/>
    </row>
    <row r="1480" spans="3:6" x14ac:dyDescent="0.35">
      <c r="C1480" s="3"/>
      <c r="D1480" s="3"/>
      <c r="E1480" s="3"/>
      <c r="F1480" s="3"/>
    </row>
    <row r="1481" spans="3:6" x14ac:dyDescent="0.35">
      <c r="C1481" s="3"/>
      <c r="D1481" s="3"/>
      <c r="E1481" s="3"/>
      <c r="F1481" s="3"/>
    </row>
    <row r="1482" spans="3:6" x14ac:dyDescent="0.35">
      <c r="C1482" s="3"/>
      <c r="D1482" s="3"/>
      <c r="E1482" s="3"/>
      <c r="F1482" s="3"/>
    </row>
    <row r="1483" spans="3:6" x14ac:dyDescent="0.35">
      <c r="C1483" s="3"/>
      <c r="D1483" s="3"/>
      <c r="E1483" s="3"/>
      <c r="F1483" s="3"/>
    </row>
    <row r="1484" spans="3:6" x14ac:dyDescent="0.35">
      <c r="C1484" s="3"/>
      <c r="D1484" s="3"/>
      <c r="E1484" s="3"/>
      <c r="F1484" s="3"/>
    </row>
    <row r="1485" spans="3:6" x14ac:dyDescent="0.35">
      <c r="C1485" s="3"/>
      <c r="D1485" s="3"/>
      <c r="E1485" s="3"/>
      <c r="F1485" s="3"/>
    </row>
    <row r="1486" spans="3:6" x14ac:dyDescent="0.35">
      <c r="C1486" s="3"/>
      <c r="D1486" s="3"/>
      <c r="E1486" s="3"/>
      <c r="F1486" s="3"/>
    </row>
    <row r="1487" spans="3:6" x14ac:dyDescent="0.35">
      <c r="C1487" s="3"/>
      <c r="D1487" s="3"/>
      <c r="E1487" s="3"/>
      <c r="F1487" s="3"/>
    </row>
    <row r="1488" spans="3:6" x14ac:dyDescent="0.35">
      <c r="C1488" s="3"/>
      <c r="D1488" s="3"/>
      <c r="E1488" s="3"/>
      <c r="F1488" s="3"/>
    </row>
    <row r="1489" spans="3:6" x14ac:dyDescent="0.35">
      <c r="C1489" s="3"/>
      <c r="D1489" s="3"/>
      <c r="E1489" s="3"/>
      <c r="F1489" s="3"/>
    </row>
    <row r="1490" spans="3:6" x14ac:dyDescent="0.35">
      <c r="C1490" s="3"/>
      <c r="D1490" s="3"/>
      <c r="E1490" s="3"/>
      <c r="F1490" s="3"/>
    </row>
    <row r="1491" spans="3:6" x14ac:dyDescent="0.35">
      <c r="C1491" s="3"/>
      <c r="D1491" s="3"/>
      <c r="E1491" s="3"/>
      <c r="F1491" s="3"/>
    </row>
    <row r="1492" spans="3:6" x14ac:dyDescent="0.35">
      <c r="C1492" s="3"/>
      <c r="D1492" s="3"/>
      <c r="E1492" s="3"/>
      <c r="F1492" s="3"/>
    </row>
    <row r="1493" spans="3:6" x14ac:dyDescent="0.35">
      <c r="C1493" s="3"/>
      <c r="D1493" s="3"/>
      <c r="E1493" s="3"/>
      <c r="F1493" s="3"/>
    </row>
    <row r="1494" spans="3:6" x14ac:dyDescent="0.35">
      <c r="C1494" s="3"/>
      <c r="D1494" s="3"/>
      <c r="E1494" s="3"/>
      <c r="F1494" s="3"/>
    </row>
    <row r="1495" spans="3:6" x14ac:dyDescent="0.35">
      <c r="C1495" s="3"/>
      <c r="D1495" s="3"/>
      <c r="E1495" s="3"/>
      <c r="F1495" s="3"/>
    </row>
    <row r="1496" spans="3:6" x14ac:dyDescent="0.35">
      <c r="C1496" s="3"/>
      <c r="D1496" s="3"/>
      <c r="E1496" s="3"/>
      <c r="F1496" s="3"/>
    </row>
    <row r="1497" spans="3:6" x14ac:dyDescent="0.35">
      <c r="C1497" s="3"/>
      <c r="D1497" s="3"/>
      <c r="E1497" s="3"/>
      <c r="F1497" s="3"/>
    </row>
    <row r="1498" spans="3:6" x14ac:dyDescent="0.35">
      <c r="C1498" s="3"/>
      <c r="D1498" s="3"/>
      <c r="E1498" s="3"/>
      <c r="F1498" s="3"/>
    </row>
    <row r="1499" spans="3:6" x14ac:dyDescent="0.35">
      <c r="C1499" s="3"/>
      <c r="D1499" s="3"/>
      <c r="E1499" s="3"/>
      <c r="F1499" s="3"/>
    </row>
    <row r="1500" spans="3:6" x14ac:dyDescent="0.35">
      <c r="C1500" s="3"/>
      <c r="D1500" s="3"/>
      <c r="E1500" s="3"/>
      <c r="F1500" s="3"/>
    </row>
    <row r="1501" spans="3:6" x14ac:dyDescent="0.35">
      <c r="C1501" s="3"/>
      <c r="D1501" s="3"/>
      <c r="E1501" s="3"/>
      <c r="F1501" s="3"/>
    </row>
    <row r="1502" spans="3:6" x14ac:dyDescent="0.35">
      <c r="C1502" s="3"/>
      <c r="D1502" s="3"/>
      <c r="E1502" s="3"/>
      <c r="F1502" s="3"/>
    </row>
    <row r="1503" spans="3:6" x14ac:dyDescent="0.35">
      <c r="C1503" s="3"/>
      <c r="D1503" s="3"/>
      <c r="E1503" s="3"/>
      <c r="F1503" s="3"/>
    </row>
    <row r="1504" spans="3:6" x14ac:dyDescent="0.35">
      <c r="C1504" s="3"/>
      <c r="D1504" s="3"/>
      <c r="E1504" s="3"/>
      <c r="F1504" s="3"/>
    </row>
    <row r="1505" spans="3:6" x14ac:dyDescent="0.35">
      <c r="C1505" s="3"/>
      <c r="D1505" s="3"/>
      <c r="E1505" s="3"/>
      <c r="F1505" s="3"/>
    </row>
    <row r="1506" spans="3:6" x14ac:dyDescent="0.35">
      <c r="C1506" s="3"/>
      <c r="D1506" s="3"/>
      <c r="E1506" s="3"/>
      <c r="F1506" s="3"/>
    </row>
    <row r="1507" spans="3:6" x14ac:dyDescent="0.35">
      <c r="C1507" s="3"/>
      <c r="D1507" s="3"/>
      <c r="E1507" s="3"/>
      <c r="F1507" s="3"/>
    </row>
    <row r="1508" spans="3:6" x14ac:dyDescent="0.35">
      <c r="C1508" s="3"/>
      <c r="D1508" s="3"/>
      <c r="E1508" s="3"/>
      <c r="F1508" s="3"/>
    </row>
    <row r="1509" spans="3:6" x14ac:dyDescent="0.35">
      <c r="C1509" s="3"/>
      <c r="D1509" s="3"/>
      <c r="E1509" s="3"/>
      <c r="F1509" s="3"/>
    </row>
    <row r="1510" spans="3:6" x14ac:dyDescent="0.35">
      <c r="C1510" s="3"/>
      <c r="D1510" s="3"/>
      <c r="E1510" s="3"/>
      <c r="F1510" s="3"/>
    </row>
    <row r="1511" spans="3:6" x14ac:dyDescent="0.35">
      <c r="C1511" s="3"/>
      <c r="D1511" s="3"/>
      <c r="E1511" s="3"/>
      <c r="F1511" s="3"/>
    </row>
    <row r="1512" spans="3:6" x14ac:dyDescent="0.35">
      <c r="C1512" s="3"/>
      <c r="D1512" s="3"/>
      <c r="E1512" s="3"/>
      <c r="F1512" s="3"/>
    </row>
    <row r="1513" spans="3:6" x14ac:dyDescent="0.35">
      <c r="C1513" s="3"/>
      <c r="D1513" s="3"/>
      <c r="E1513" s="3"/>
      <c r="F1513" s="3"/>
    </row>
    <row r="1514" spans="3:6" x14ac:dyDescent="0.35">
      <c r="C1514" s="3"/>
      <c r="D1514" s="3"/>
      <c r="E1514" s="3"/>
      <c r="F1514" s="3"/>
    </row>
    <row r="1515" spans="3:6" x14ac:dyDescent="0.35">
      <c r="C1515" s="3"/>
      <c r="D1515" s="3"/>
      <c r="E1515" s="3"/>
      <c r="F1515" s="3"/>
    </row>
    <row r="1516" spans="3:6" x14ac:dyDescent="0.35">
      <c r="C1516" s="3"/>
      <c r="D1516" s="3"/>
      <c r="E1516" s="3"/>
      <c r="F1516" s="3"/>
    </row>
    <row r="1517" spans="3:6" x14ac:dyDescent="0.35">
      <c r="C1517" s="3"/>
      <c r="D1517" s="3"/>
      <c r="E1517" s="3"/>
      <c r="F1517" s="3"/>
    </row>
    <row r="1518" spans="3:6" x14ac:dyDescent="0.35">
      <c r="C1518" s="3"/>
      <c r="D1518" s="3"/>
      <c r="E1518" s="3"/>
      <c r="F1518" s="3"/>
    </row>
    <row r="1519" spans="3:6" x14ac:dyDescent="0.35">
      <c r="C1519" s="3"/>
      <c r="D1519" s="3"/>
      <c r="E1519" s="3"/>
      <c r="F1519" s="3"/>
    </row>
    <row r="1520" spans="3:6" x14ac:dyDescent="0.35">
      <c r="C1520" s="3"/>
      <c r="D1520" s="3"/>
      <c r="E1520" s="3"/>
      <c r="F1520" s="3"/>
    </row>
    <row r="1521" spans="3:6" x14ac:dyDescent="0.35">
      <c r="C1521" s="3"/>
      <c r="D1521" s="3"/>
      <c r="E1521" s="3"/>
      <c r="F1521" s="3"/>
    </row>
    <row r="1522" spans="3:6" x14ac:dyDescent="0.35">
      <c r="C1522" s="3"/>
      <c r="D1522" s="3"/>
      <c r="E1522" s="3"/>
      <c r="F1522" s="3"/>
    </row>
    <row r="1523" spans="3:6" x14ac:dyDescent="0.35">
      <c r="C1523" s="3"/>
      <c r="D1523" s="3"/>
      <c r="E1523" s="3"/>
      <c r="F1523" s="3"/>
    </row>
    <row r="1524" spans="3:6" x14ac:dyDescent="0.35">
      <c r="C1524" s="3"/>
      <c r="D1524" s="3"/>
      <c r="E1524" s="3"/>
      <c r="F1524" s="3"/>
    </row>
    <row r="1525" spans="3:6" x14ac:dyDescent="0.35">
      <c r="C1525" s="3"/>
      <c r="D1525" s="3"/>
      <c r="E1525" s="3"/>
      <c r="F1525" s="3"/>
    </row>
    <row r="1526" spans="3:6" x14ac:dyDescent="0.35">
      <c r="C1526" s="3"/>
      <c r="D1526" s="3"/>
      <c r="E1526" s="3"/>
      <c r="F1526" s="3"/>
    </row>
    <row r="1527" spans="3:6" x14ac:dyDescent="0.35">
      <c r="C1527" s="3"/>
      <c r="D1527" s="3"/>
      <c r="E1527" s="3"/>
      <c r="F1527" s="3"/>
    </row>
    <row r="1528" spans="3:6" x14ac:dyDescent="0.35">
      <c r="C1528" s="3"/>
      <c r="D1528" s="3"/>
      <c r="E1528" s="3"/>
      <c r="F1528" s="3"/>
    </row>
    <row r="1529" spans="3:6" x14ac:dyDescent="0.35">
      <c r="C1529" s="3"/>
      <c r="D1529" s="3"/>
      <c r="E1529" s="3"/>
      <c r="F1529" s="3"/>
    </row>
    <row r="1530" spans="3:6" x14ac:dyDescent="0.35">
      <c r="C1530" s="3"/>
      <c r="D1530" s="3"/>
      <c r="E1530" s="3"/>
      <c r="F1530" s="3"/>
    </row>
    <row r="1531" spans="3:6" x14ac:dyDescent="0.35">
      <c r="C1531" s="3"/>
      <c r="D1531" s="3"/>
      <c r="E1531" s="3"/>
      <c r="F1531" s="3"/>
    </row>
    <row r="1532" spans="3:6" x14ac:dyDescent="0.35">
      <c r="C1532" s="3"/>
      <c r="D1532" s="3"/>
      <c r="E1532" s="3"/>
      <c r="F1532" s="3"/>
    </row>
    <row r="1533" spans="3:6" x14ac:dyDescent="0.35">
      <c r="C1533" s="3"/>
      <c r="D1533" s="3"/>
      <c r="E1533" s="3"/>
      <c r="F1533" s="3"/>
    </row>
    <row r="1534" spans="3:6" x14ac:dyDescent="0.35">
      <c r="C1534" s="3"/>
      <c r="D1534" s="3"/>
      <c r="E1534" s="3"/>
      <c r="F1534" s="3"/>
    </row>
    <row r="1535" spans="3:6" x14ac:dyDescent="0.35">
      <c r="C1535" s="3"/>
      <c r="D1535" s="3"/>
      <c r="E1535" s="3"/>
      <c r="F1535" s="3"/>
    </row>
    <row r="1536" spans="3:6" x14ac:dyDescent="0.35">
      <c r="C1536" s="3"/>
      <c r="D1536" s="3"/>
      <c r="E1536" s="3"/>
      <c r="F1536" s="3"/>
    </row>
    <row r="1537" spans="3:6" x14ac:dyDescent="0.35">
      <c r="C1537" s="3"/>
      <c r="D1537" s="3"/>
      <c r="E1537" s="3"/>
      <c r="F1537" s="3"/>
    </row>
    <row r="1538" spans="3:6" x14ac:dyDescent="0.35">
      <c r="C1538" s="3"/>
      <c r="D1538" s="3"/>
      <c r="E1538" s="3"/>
      <c r="F1538" s="3"/>
    </row>
    <row r="1539" spans="3:6" x14ac:dyDescent="0.35">
      <c r="C1539" s="3"/>
      <c r="D1539" s="3"/>
      <c r="E1539" s="3"/>
      <c r="F1539" s="3"/>
    </row>
    <row r="1540" spans="3:6" x14ac:dyDescent="0.35">
      <c r="C1540" s="3"/>
      <c r="D1540" s="3"/>
      <c r="E1540" s="3"/>
      <c r="F1540" s="3"/>
    </row>
    <row r="1541" spans="3:6" x14ac:dyDescent="0.35">
      <c r="C1541" s="3"/>
      <c r="D1541" s="3"/>
      <c r="E1541" s="3"/>
      <c r="F1541" s="3"/>
    </row>
    <row r="1542" spans="3:6" x14ac:dyDescent="0.35">
      <c r="C1542" s="3"/>
      <c r="D1542" s="3"/>
      <c r="E1542" s="3"/>
      <c r="F1542" s="3"/>
    </row>
    <row r="1543" spans="3:6" x14ac:dyDescent="0.35">
      <c r="C1543" s="3"/>
      <c r="D1543" s="3"/>
      <c r="E1543" s="3"/>
      <c r="F1543" s="3"/>
    </row>
    <row r="1544" spans="3:6" x14ac:dyDescent="0.35">
      <c r="C1544" s="3"/>
      <c r="D1544" s="3"/>
      <c r="E1544" s="3"/>
      <c r="F1544" s="3"/>
    </row>
    <row r="1545" spans="3:6" x14ac:dyDescent="0.35">
      <c r="C1545" s="3"/>
      <c r="D1545" s="3"/>
      <c r="E1545" s="3"/>
      <c r="F1545" s="3"/>
    </row>
    <row r="1546" spans="3:6" x14ac:dyDescent="0.35">
      <c r="C1546" s="3"/>
      <c r="D1546" s="3"/>
      <c r="E1546" s="3"/>
      <c r="F1546" s="3"/>
    </row>
    <row r="1547" spans="3:6" x14ac:dyDescent="0.35">
      <c r="C1547" s="3"/>
      <c r="D1547" s="3"/>
      <c r="E1547" s="3"/>
      <c r="F1547" s="3"/>
    </row>
    <row r="1548" spans="3:6" x14ac:dyDescent="0.35">
      <c r="C1548" s="3"/>
      <c r="D1548" s="3"/>
      <c r="E1548" s="3"/>
      <c r="F1548" s="3"/>
    </row>
    <row r="1549" spans="3:6" x14ac:dyDescent="0.35">
      <c r="C1549" s="3"/>
      <c r="D1549" s="3"/>
      <c r="E1549" s="3"/>
      <c r="F1549" s="3"/>
    </row>
    <row r="1550" spans="3:6" x14ac:dyDescent="0.35">
      <c r="C1550" s="3"/>
      <c r="D1550" s="3"/>
      <c r="E1550" s="3"/>
      <c r="F1550" s="3"/>
    </row>
    <row r="1551" spans="3:6" x14ac:dyDescent="0.35">
      <c r="C1551" s="3"/>
      <c r="D1551" s="3"/>
      <c r="E1551" s="3"/>
      <c r="F1551" s="3"/>
    </row>
    <row r="1552" spans="3:6" x14ac:dyDescent="0.35">
      <c r="C1552" s="3"/>
      <c r="D1552" s="3"/>
      <c r="E1552" s="3"/>
      <c r="F1552" s="3"/>
    </row>
    <row r="1553" spans="3:6" x14ac:dyDescent="0.35">
      <c r="C1553" s="3"/>
      <c r="D1553" s="3"/>
      <c r="E1553" s="3"/>
      <c r="F1553" s="3"/>
    </row>
    <row r="1554" spans="3:6" x14ac:dyDescent="0.35">
      <c r="C1554" s="3"/>
      <c r="D1554" s="3"/>
      <c r="E1554" s="3"/>
      <c r="F1554" s="3"/>
    </row>
    <row r="1555" spans="3:6" x14ac:dyDescent="0.35">
      <c r="C1555" s="3"/>
      <c r="D1555" s="3"/>
      <c r="E1555" s="3"/>
      <c r="F1555" s="3"/>
    </row>
    <row r="1556" spans="3:6" x14ac:dyDescent="0.35">
      <c r="C1556" s="3"/>
      <c r="D1556" s="3"/>
      <c r="E1556" s="3"/>
      <c r="F1556" s="3"/>
    </row>
    <row r="1557" spans="3:6" x14ac:dyDescent="0.35">
      <c r="C1557" s="3"/>
      <c r="D1557" s="3"/>
      <c r="E1557" s="3"/>
      <c r="F1557" s="3"/>
    </row>
    <row r="1558" spans="3:6" x14ac:dyDescent="0.35">
      <c r="C1558" s="3"/>
      <c r="D1558" s="3"/>
      <c r="E1558" s="3"/>
      <c r="F1558" s="3"/>
    </row>
    <row r="1559" spans="3:6" x14ac:dyDescent="0.35">
      <c r="C1559" s="3"/>
      <c r="D1559" s="3"/>
      <c r="E1559" s="3"/>
      <c r="F1559" s="3"/>
    </row>
    <row r="1560" spans="3:6" x14ac:dyDescent="0.35">
      <c r="C1560" s="3"/>
      <c r="D1560" s="3"/>
      <c r="E1560" s="3"/>
      <c r="F1560" s="3"/>
    </row>
    <row r="1561" spans="3:6" x14ac:dyDescent="0.35">
      <c r="C1561" s="3"/>
      <c r="D1561" s="3"/>
      <c r="E1561" s="3"/>
      <c r="F1561" s="3"/>
    </row>
    <row r="1562" spans="3:6" x14ac:dyDescent="0.35">
      <c r="C1562" s="3"/>
      <c r="D1562" s="3"/>
      <c r="E1562" s="3"/>
      <c r="F1562" s="3"/>
    </row>
    <row r="1563" spans="3:6" x14ac:dyDescent="0.35">
      <c r="C1563" s="3"/>
      <c r="D1563" s="3"/>
      <c r="E1563" s="3"/>
      <c r="F1563" s="3"/>
    </row>
    <row r="1564" spans="3:6" x14ac:dyDescent="0.35">
      <c r="C1564" s="3"/>
      <c r="D1564" s="3"/>
      <c r="E1564" s="3"/>
      <c r="F1564" s="3"/>
    </row>
    <row r="1565" spans="3:6" x14ac:dyDescent="0.35">
      <c r="C1565" s="3"/>
      <c r="D1565" s="3"/>
      <c r="E1565" s="3"/>
      <c r="F1565" s="3"/>
    </row>
    <row r="1566" spans="3:6" x14ac:dyDescent="0.35">
      <c r="C1566" s="3"/>
      <c r="D1566" s="3"/>
      <c r="E1566" s="3"/>
      <c r="F1566" s="3"/>
    </row>
    <row r="1567" spans="3:6" x14ac:dyDescent="0.35">
      <c r="C1567" s="3"/>
      <c r="D1567" s="3"/>
      <c r="E1567" s="3"/>
      <c r="F1567" s="3"/>
    </row>
    <row r="1568" spans="3:6" x14ac:dyDescent="0.35">
      <c r="C1568" s="3"/>
      <c r="D1568" s="3"/>
      <c r="E1568" s="3"/>
      <c r="F1568" s="3"/>
    </row>
    <row r="1569" spans="3:6" x14ac:dyDescent="0.35">
      <c r="C1569" s="3"/>
      <c r="D1569" s="3"/>
      <c r="E1569" s="3"/>
      <c r="F1569" s="3"/>
    </row>
    <row r="1570" spans="3:6" x14ac:dyDescent="0.35">
      <c r="C1570" s="3"/>
      <c r="D1570" s="3"/>
      <c r="E1570" s="3"/>
      <c r="F1570" s="3"/>
    </row>
    <row r="1571" spans="3:6" x14ac:dyDescent="0.35">
      <c r="C1571" s="3"/>
      <c r="D1571" s="3"/>
      <c r="E1571" s="3"/>
      <c r="F1571" s="3"/>
    </row>
    <row r="1572" spans="3:6" x14ac:dyDescent="0.35">
      <c r="C1572" s="3"/>
      <c r="D1572" s="3"/>
      <c r="E1572" s="3"/>
      <c r="F1572" s="3"/>
    </row>
    <row r="1573" spans="3:6" x14ac:dyDescent="0.35">
      <c r="C1573" s="3"/>
      <c r="D1573" s="3"/>
      <c r="E1573" s="3"/>
      <c r="F1573" s="3"/>
    </row>
    <row r="1574" spans="3:6" x14ac:dyDescent="0.35">
      <c r="C1574" s="3"/>
      <c r="D1574" s="3"/>
      <c r="E1574" s="3"/>
      <c r="F1574" s="3"/>
    </row>
    <row r="1575" spans="3:6" x14ac:dyDescent="0.35">
      <c r="C1575" s="3"/>
      <c r="D1575" s="3"/>
      <c r="E1575" s="3"/>
      <c r="F1575" s="3"/>
    </row>
    <row r="1576" spans="3:6" x14ac:dyDescent="0.35">
      <c r="C1576" s="3"/>
      <c r="D1576" s="3"/>
      <c r="E1576" s="3"/>
      <c r="F1576" s="3"/>
    </row>
    <row r="1577" spans="3:6" x14ac:dyDescent="0.35">
      <c r="C1577" s="3"/>
      <c r="D1577" s="3"/>
      <c r="E1577" s="3"/>
      <c r="F1577" s="3"/>
    </row>
    <row r="1578" spans="3:6" x14ac:dyDescent="0.35">
      <c r="C1578" s="3"/>
      <c r="D1578" s="3"/>
      <c r="E1578" s="3"/>
      <c r="F1578" s="3"/>
    </row>
    <row r="1579" spans="3:6" x14ac:dyDescent="0.35">
      <c r="C1579" s="3"/>
      <c r="D1579" s="3"/>
      <c r="E1579" s="3"/>
      <c r="F1579" s="3"/>
    </row>
    <row r="1580" spans="3:6" x14ac:dyDescent="0.35">
      <c r="C1580" s="3"/>
      <c r="D1580" s="3"/>
      <c r="E1580" s="3"/>
      <c r="F1580" s="3"/>
    </row>
    <row r="1581" spans="3:6" x14ac:dyDescent="0.35">
      <c r="C1581" s="3"/>
      <c r="D1581" s="3"/>
      <c r="E1581" s="3"/>
      <c r="F1581" s="3"/>
    </row>
    <row r="1582" spans="3:6" x14ac:dyDescent="0.35">
      <c r="C1582" s="3"/>
      <c r="D1582" s="3"/>
      <c r="E1582" s="3"/>
      <c r="F1582" s="3"/>
    </row>
    <row r="1583" spans="3:6" x14ac:dyDescent="0.35">
      <c r="C1583" s="3"/>
      <c r="D1583" s="3"/>
      <c r="E1583" s="3"/>
      <c r="F1583" s="3"/>
    </row>
    <row r="1584" spans="3:6" x14ac:dyDescent="0.35">
      <c r="C1584" s="3"/>
      <c r="D1584" s="3"/>
      <c r="E1584" s="3"/>
      <c r="F1584" s="3"/>
    </row>
    <row r="1585" spans="3:6" x14ac:dyDescent="0.35">
      <c r="C1585" s="3"/>
      <c r="D1585" s="3"/>
      <c r="E1585" s="3"/>
      <c r="F1585" s="3"/>
    </row>
    <row r="1586" spans="3:6" x14ac:dyDescent="0.35">
      <c r="C1586" s="3"/>
      <c r="D1586" s="3"/>
      <c r="E1586" s="3"/>
      <c r="F1586" s="3"/>
    </row>
    <row r="1587" spans="3:6" x14ac:dyDescent="0.35">
      <c r="C1587" s="3"/>
      <c r="D1587" s="3"/>
      <c r="E1587" s="3"/>
      <c r="F1587" s="3"/>
    </row>
    <row r="1588" spans="3:6" x14ac:dyDescent="0.35">
      <c r="C1588" s="3"/>
      <c r="D1588" s="3"/>
      <c r="E1588" s="3"/>
      <c r="F1588" s="3"/>
    </row>
    <row r="1589" spans="3:6" x14ac:dyDescent="0.35">
      <c r="C1589" s="3"/>
      <c r="D1589" s="3"/>
      <c r="E1589" s="3"/>
      <c r="F1589" s="3"/>
    </row>
    <row r="1590" spans="3:6" x14ac:dyDescent="0.35">
      <c r="C1590" s="3"/>
      <c r="D1590" s="3"/>
      <c r="E1590" s="3"/>
      <c r="F1590" s="3"/>
    </row>
    <row r="1591" spans="3:6" x14ac:dyDescent="0.35">
      <c r="C1591" s="3"/>
      <c r="D1591" s="3"/>
      <c r="E1591" s="3"/>
      <c r="F1591" s="3"/>
    </row>
    <row r="1592" spans="3:6" x14ac:dyDescent="0.35">
      <c r="C1592" s="3"/>
      <c r="D1592" s="3"/>
      <c r="E1592" s="3"/>
      <c r="F1592" s="3"/>
    </row>
    <row r="1593" spans="3:6" x14ac:dyDescent="0.35">
      <c r="C1593" s="3"/>
      <c r="D1593" s="3"/>
      <c r="E1593" s="3"/>
      <c r="F1593" s="3"/>
    </row>
    <row r="1594" spans="3:6" x14ac:dyDescent="0.35">
      <c r="C1594" s="3"/>
      <c r="D1594" s="3"/>
      <c r="E1594" s="3"/>
      <c r="F1594" s="3"/>
    </row>
    <row r="1595" spans="3:6" x14ac:dyDescent="0.35">
      <c r="C1595" s="3"/>
      <c r="D1595" s="3"/>
      <c r="E1595" s="3"/>
      <c r="F1595" s="3"/>
    </row>
    <row r="1596" spans="3:6" x14ac:dyDescent="0.35">
      <c r="C1596" s="3"/>
      <c r="D1596" s="3"/>
      <c r="E1596" s="3"/>
      <c r="F1596" s="3"/>
    </row>
    <row r="1597" spans="3:6" x14ac:dyDescent="0.35">
      <c r="C1597" s="3"/>
      <c r="D1597" s="3"/>
      <c r="E1597" s="3"/>
      <c r="F1597" s="3"/>
    </row>
    <row r="1598" spans="3:6" x14ac:dyDescent="0.35">
      <c r="C1598" s="3"/>
      <c r="D1598" s="3"/>
      <c r="E1598" s="3"/>
      <c r="F1598" s="3"/>
    </row>
    <row r="1599" spans="3:6" x14ac:dyDescent="0.35">
      <c r="C1599" s="3"/>
      <c r="D1599" s="3"/>
      <c r="E1599" s="3"/>
      <c r="F1599" s="3"/>
    </row>
    <row r="1600" spans="3:6" x14ac:dyDescent="0.35">
      <c r="C1600" s="3"/>
      <c r="D1600" s="3"/>
      <c r="E1600" s="3"/>
      <c r="F1600" s="3"/>
    </row>
    <row r="1601" spans="3:6" x14ac:dyDescent="0.35">
      <c r="C1601" s="3"/>
      <c r="D1601" s="3"/>
      <c r="E1601" s="3"/>
      <c r="F1601" s="3"/>
    </row>
    <row r="1602" spans="3:6" x14ac:dyDescent="0.35">
      <c r="C1602" s="3"/>
      <c r="D1602" s="3"/>
      <c r="E1602" s="3"/>
      <c r="F1602" s="3"/>
    </row>
    <row r="1603" spans="3:6" x14ac:dyDescent="0.35">
      <c r="C1603" s="3"/>
      <c r="D1603" s="3"/>
      <c r="E1603" s="3"/>
      <c r="F1603" s="3"/>
    </row>
    <row r="1604" spans="3:6" x14ac:dyDescent="0.35">
      <c r="C1604" s="3"/>
      <c r="D1604" s="3"/>
      <c r="E1604" s="3"/>
      <c r="F1604" s="3"/>
    </row>
    <row r="1605" spans="3:6" x14ac:dyDescent="0.35">
      <c r="C1605" s="3"/>
      <c r="D1605" s="3"/>
      <c r="E1605" s="3"/>
      <c r="F1605" s="3"/>
    </row>
    <row r="1606" spans="3:6" x14ac:dyDescent="0.35">
      <c r="C1606" s="3"/>
      <c r="D1606" s="3"/>
      <c r="E1606" s="3"/>
      <c r="F1606" s="3"/>
    </row>
    <row r="1607" spans="3:6" x14ac:dyDescent="0.35">
      <c r="C1607" s="3"/>
      <c r="D1607" s="3"/>
      <c r="E1607" s="3"/>
      <c r="F1607" s="3"/>
    </row>
    <row r="1608" spans="3:6" x14ac:dyDescent="0.35">
      <c r="C1608" s="3"/>
      <c r="D1608" s="3"/>
      <c r="E1608" s="3"/>
      <c r="F1608" s="3"/>
    </row>
    <row r="1609" spans="3:6" x14ac:dyDescent="0.35">
      <c r="C1609" s="3"/>
      <c r="D1609" s="3"/>
      <c r="E1609" s="3"/>
      <c r="F1609" s="3"/>
    </row>
    <row r="1610" spans="3:6" x14ac:dyDescent="0.35">
      <c r="C1610" s="3"/>
      <c r="D1610" s="3"/>
      <c r="E1610" s="3"/>
      <c r="F1610" s="3"/>
    </row>
    <row r="1611" spans="3:6" x14ac:dyDescent="0.35">
      <c r="C1611" s="3"/>
      <c r="D1611" s="3"/>
      <c r="E1611" s="3"/>
      <c r="F1611" s="3"/>
    </row>
    <row r="1612" spans="3:6" x14ac:dyDescent="0.35">
      <c r="C1612" s="3"/>
      <c r="D1612" s="3"/>
      <c r="E1612" s="3"/>
      <c r="F1612" s="3"/>
    </row>
    <row r="1613" spans="3:6" x14ac:dyDescent="0.35">
      <c r="C1613" s="3"/>
      <c r="D1613" s="3"/>
      <c r="E1613" s="3"/>
      <c r="F1613" s="3"/>
    </row>
    <row r="1614" spans="3:6" x14ac:dyDescent="0.35">
      <c r="C1614" s="3"/>
      <c r="D1614" s="3"/>
      <c r="E1614" s="3"/>
      <c r="F1614" s="3"/>
    </row>
    <row r="1615" spans="3:6" x14ac:dyDescent="0.35">
      <c r="C1615" s="3"/>
      <c r="D1615" s="3"/>
      <c r="E1615" s="3"/>
      <c r="F1615" s="3"/>
    </row>
    <row r="1616" spans="3:6" x14ac:dyDescent="0.35">
      <c r="C1616" s="3"/>
      <c r="D1616" s="3"/>
      <c r="E1616" s="3"/>
      <c r="F1616" s="3"/>
    </row>
    <row r="1617" spans="3:6" x14ac:dyDescent="0.35">
      <c r="C1617" s="3"/>
      <c r="D1617" s="3"/>
      <c r="E1617" s="3"/>
      <c r="F1617" s="3"/>
    </row>
    <row r="1618" spans="3:6" x14ac:dyDescent="0.35">
      <c r="C1618" s="3"/>
      <c r="D1618" s="3"/>
      <c r="E1618" s="3"/>
      <c r="F1618" s="3"/>
    </row>
    <row r="1619" spans="3:6" x14ac:dyDescent="0.35">
      <c r="C1619" s="3"/>
      <c r="D1619" s="3"/>
      <c r="E1619" s="3"/>
      <c r="F1619" s="3"/>
    </row>
    <row r="1620" spans="3:6" x14ac:dyDescent="0.35">
      <c r="C1620" s="3"/>
      <c r="D1620" s="3"/>
      <c r="E1620" s="3"/>
      <c r="F1620" s="3"/>
    </row>
    <row r="1621" spans="3:6" x14ac:dyDescent="0.35">
      <c r="C1621" s="3"/>
      <c r="D1621" s="3"/>
      <c r="E1621" s="3"/>
      <c r="F1621" s="3"/>
    </row>
    <row r="1622" spans="3:6" x14ac:dyDescent="0.35">
      <c r="C1622" s="3"/>
      <c r="D1622" s="3"/>
      <c r="E1622" s="3"/>
      <c r="F1622" s="3"/>
    </row>
    <row r="1623" spans="3:6" x14ac:dyDescent="0.35">
      <c r="C1623" s="3"/>
      <c r="D1623" s="3"/>
      <c r="E1623" s="3"/>
      <c r="F1623" s="3"/>
    </row>
    <row r="1624" spans="3:6" x14ac:dyDescent="0.35">
      <c r="C1624" s="3"/>
      <c r="D1624" s="3"/>
      <c r="E1624" s="3"/>
      <c r="F1624" s="3"/>
    </row>
    <row r="1625" spans="3:6" x14ac:dyDescent="0.35">
      <c r="C1625" s="3"/>
      <c r="D1625" s="3"/>
      <c r="E1625" s="3"/>
      <c r="F1625" s="3"/>
    </row>
    <row r="1626" spans="3:6" x14ac:dyDescent="0.35">
      <c r="C1626" s="3"/>
      <c r="D1626" s="3"/>
      <c r="E1626" s="3"/>
      <c r="F1626" s="3"/>
    </row>
    <row r="1627" spans="3:6" x14ac:dyDescent="0.35">
      <c r="C1627" s="3"/>
      <c r="D1627" s="3"/>
      <c r="E1627" s="3"/>
      <c r="F1627" s="3"/>
    </row>
    <row r="1628" spans="3:6" x14ac:dyDescent="0.35">
      <c r="C1628" s="3"/>
      <c r="D1628" s="3"/>
      <c r="E1628" s="3"/>
      <c r="F1628" s="3"/>
    </row>
    <row r="1629" spans="3:6" x14ac:dyDescent="0.35">
      <c r="C1629" s="3"/>
      <c r="D1629" s="3"/>
      <c r="E1629" s="3"/>
      <c r="F1629" s="3"/>
    </row>
    <row r="1630" spans="3:6" x14ac:dyDescent="0.35">
      <c r="C1630" s="3"/>
      <c r="D1630" s="3"/>
      <c r="E1630" s="3"/>
      <c r="F1630" s="3"/>
    </row>
    <row r="1631" spans="3:6" x14ac:dyDescent="0.35">
      <c r="C1631" s="3"/>
      <c r="D1631" s="3"/>
      <c r="E1631" s="3"/>
      <c r="F1631" s="3"/>
    </row>
    <row r="1632" spans="3:6" x14ac:dyDescent="0.35">
      <c r="C1632" s="3"/>
      <c r="D1632" s="3"/>
      <c r="E1632" s="3"/>
      <c r="F1632" s="3"/>
    </row>
    <row r="1633" spans="3:6" x14ac:dyDescent="0.35">
      <c r="C1633" s="3"/>
      <c r="D1633" s="3"/>
      <c r="E1633" s="3"/>
      <c r="F1633" s="3"/>
    </row>
    <row r="1634" spans="3:6" x14ac:dyDescent="0.35">
      <c r="C1634" s="3"/>
      <c r="D1634" s="3"/>
      <c r="E1634" s="3"/>
      <c r="F1634" s="3"/>
    </row>
    <row r="1635" spans="3:6" x14ac:dyDescent="0.35">
      <c r="C1635" s="3"/>
      <c r="D1635" s="3"/>
      <c r="E1635" s="3"/>
      <c r="F1635" s="3"/>
    </row>
    <row r="1636" spans="3:6" x14ac:dyDescent="0.35">
      <c r="C1636" s="3"/>
      <c r="D1636" s="3"/>
      <c r="E1636" s="3"/>
      <c r="F1636" s="3"/>
    </row>
    <row r="1637" spans="3:6" x14ac:dyDescent="0.35">
      <c r="C1637" s="3"/>
      <c r="D1637" s="3"/>
      <c r="E1637" s="3"/>
      <c r="F1637" s="3"/>
    </row>
    <row r="1638" spans="3:6" x14ac:dyDescent="0.35">
      <c r="C1638" s="3"/>
      <c r="D1638" s="3"/>
      <c r="E1638" s="3"/>
      <c r="F1638" s="3"/>
    </row>
    <row r="1639" spans="3:6" x14ac:dyDescent="0.35">
      <c r="C1639" s="3"/>
      <c r="D1639" s="3"/>
      <c r="E1639" s="3"/>
      <c r="F1639" s="3"/>
    </row>
    <row r="1640" spans="3:6" x14ac:dyDescent="0.35">
      <c r="C1640" s="3"/>
      <c r="D1640" s="3"/>
      <c r="E1640" s="3"/>
      <c r="F1640" s="3"/>
    </row>
    <row r="1641" spans="3:6" x14ac:dyDescent="0.35">
      <c r="C1641" s="3"/>
      <c r="D1641" s="3"/>
      <c r="E1641" s="3"/>
      <c r="F1641" s="3"/>
    </row>
    <row r="1642" spans="3:6" x14ac:dyDescent="0.35">
      <c r="C1642" s="3"/>
      <c r="D1642" s="3"/>
      <c r="E1642" s="3"/>
      <c r="F1642" s="3"/>
    </row>
    <row r="1643" spans="3:6" x14ac:dyDescent="0.35">
      <c r="C1643" s="3"/>
      <c r="D1643" s="3"/>
      <c r="E1643" s="3"/>
      <c r="F1643" s="3"/>
    </row>
    <row r="1644" spans="3:6" x14ac:dyDescent="0.35">
      <c r="C1644" s="3"/>
      <c r="D1644" s="3"/>
      <c r="E1644" s="3"/>
      <c r="F1644" s="3"/>
    </row>
    <row r="1645" spans="3:6" x14ac:dyDescent="0.35">
      <c r="C1645" s="3"/>
      <c r="D1645" s="3"/>
      <c r="E1645" s="3"/>
      <c r="F1645" s="3"/>
    </row>
    <row r="1646" spans="3:6" x14ac:dyDescent="0.35">
      <c r="C1646" s="3"/>
      <c r="D1646" s="3"/>
      <c r="E1646" s="3"/>
      <c r="F1646" s="3"/>
    </row>
    <row r="1647" spans="3:6" x14ac:dyDescent="0.35">
      <c r="C1647" s="3"/>
      <c r="D1647" s="3"/>
      <c r="E1647" s="3"/>
      <c r="F1647" s="3"/>
    </row>
    <row r="1648" spans="3:6" x14ac:dyDescent="0.35">
      <c r="C1648" s="3"/>
      <c r="D1648" s="3"/>
      <c r="E1648" s="3"/>
      <c r="F1648" s="3"/>
    </row>
    <row r="1649" spans="3:6" x14ac:dyDescent="0.35">
      <c r="C1649" s="3"/>
      <c r="D1649" s="3"/>
      <c r="E1649" s="3"/>
      <c r="F1649" s="3"/>
    </row>
    <row r="1650" spans="3:6" x14ac:dyDescent="0.35">
      <c r="C1650" s="3"/>
      <c r="D1650" s="3"/>
      <c r="E1650" s="3"/>
      <c r="F1650" s="3"/>
    </row>
    <row r="1651" spans="3:6" x14ac:dyDescent="0.35">
      <c r="C1651" s="3"/>
      <c r="D1651" s="3"/>
      <c r="E1651" s="3"/>
      <c r="F1651" s="3"/>
    </row>
    <row r="1652" spans="3:6" x14ac:dyDescent="0.35">
      <c r="C1652" s="3"/>
      <c r="D1652" s="3"/>
      <c r="E1652" s="3"/>
      <c r="F1652" s="3"/>
    </row>
    <row r="1653" spans="3:6" x14ac:dyDescent="0.35">
      <c r="C1653" s="3"/>
      <c r="D1653" s="3"/>
      <c r="E1653" s="3"/>
      <c r="F1653" s="3"/>
    </row>
    <row r="1654" spans="3:6" x14ac:dyDescent="0.35">
      <c r="C1654" s="3"/>
      <c r="D1654" s="3"/>
      <c r="E1654" s="3"/>
      <c r="F1654" s="3"/>
    </row>
    <row r="1655" spans="3:6" x14ac:dyDescent="0.35">
      <c r="C1655" s="3"/>
      <c r="D1655" s="3"/>
      <c r="E1655" s="3"/>
      <c r="F1655" s="3"/>
    </row>
    <row r="1656" spans="3:6" x14ac:dyDescent="0.35">
      <c r="C1656" s="3"/>
      <c r="D1656" s="3"/>
      <c r="E1656" s="3"/>
      <c r="F1656" s="3"/>
    </row>
    <row r="1657" spans="3:6" x14ac:dyDescent="0.35">
      <c r="C1657" s="3"/>
      <c r="D1657" s="3"/>
      <c r="E1657" s="3"/>
      <c r="F1657" s="3"/>
    </row>
    <row r="1658" spans="3:6" x14ac:dyDescent="0.35">
      <c r="C1658" s="3"/>
      <c r="D1658" s="3"/>
      <c r="E1658" s="3"/>
      <c r="F1658" s="3"/>
    </row>
    <row r="1659" spans="3:6" x14ac:dyDescent="0.35">
      <c r="C1659" s="3"/>
      <c r="D1659" s="3"/>
      <c r="E1659" s="3"/>
      <c r="F1659" s="3"/>
    </row>
    <row r="1660" spans="3:6" x14ac:dyDescent="0.35">
      <c r="C1660" s="3"/>
      <c r="D1660" s="3"/>
      <c r="E1660" s="3"/>
      <c r="F1660" s="3"/>
    </row>
    <row r="1661" spans="3:6" x14ac:dyDescent="0.35">
      <c r="C1661" s="3"/>
      <c r="D1661" s="3"/>
      <c r="E1661" s="3"/>
      <c r="F1661" s="3"/>
    </row>
    <row r="1662" spans="3:6" x14ac:dyDescent="0.35">
      <c r="C1662" s="3"/>
      <c r="D1662" s="3"/>
      <c r="E1662" s="3"/>
      <c r="F1662" s="3"/>
    </row>
    <row r="1663" spans="3:6" x14ac:dyDescent="0.35">
      <c r="C1663" s="3"/>
      <c r="D1663" s="3"/>
      <c r="E1663" s="3"/>
      <c r="F1663" s="3"/>
    </row>
    <row r="1664" spans="3:6" x14ac:dyDescent="0.35">
      <c r="C1664" s="3"/>
      <c r="D1664" s="3"/>
      <c r="E1664" s="3"/>
      <c r="F1664" s="3"/>
    </row>
    <row r="1665" spans="3:6" x14ac:dyDescent="0.35">
      <c r="C1665" s="3"/>
      <c r="D1665" s="3"/>
      <c r="E1665" s="3"/>
      <c r="F1665" s="3"/>
    </row>
    <row r="1666" spans="3:6" x14ac:dyDescent="0.35">
      <c r="C1666" s="3"/>
      <c r="D1666" s="3"/>
      <c r="E1666" s="3"/>
      <c r="F1666" s="3"/>
    </row>
    <row r="1667" spans="3:6" x14ac:dyDescent="0.35">
      <c r="C1667" s="3"/>
      <c r="D1667" s="3"/>
      <c r="E1667" s="3"/>
      <c r="F1667" s="3"/>
    </row>
    <row r="1668" spans="3:6" x14ac:dyDescent="0.35">
      <c r="C1668" s="3"/>
      <c r="D1668" s="3"/>
      <c r="E1668" s="3"/>
      <c r="F1668" s="3"/>
    </row>
    <row r="1669" spans="3:6" x14ac:dyDescent="0.35">
      <c r="C1669" s="3"/>
      <c r="D1669" s="3"/>
      <c r="E1669" s="3"/>
      <c r="F1669" s="3"/>
    </row>
    <row r="1670" spans="3:6" x14ac:dyDescent="0.35">
      <c r="C1670" s="3"/>
      <c r="D1670" s="3"/>
      <c r="E1670" s="3"/>
      <c r="F1670" s="3"/>
    </row>
    <row r="1671" spans="3:6" x14ac:dyDescent="0.35">
      <c r="C1671" s="3"/>
      <c r="D1671" s="3"/>
      <c r="E1671" s="3"/>
      <c r="F1671" s="3"/>
    </row>
    <row r="1672" spans="3:6" x14ac:dyDescent="0.35">
      <c r="C1672" s="3"/>
      <c r="D1672" s="3"/>
      <c r="E1672" s="3"/>
      <c r="F1672" s="3"/>
    </row>
    <row r="1673" spans="3:6" x14ac:dyDescent="0.35">
      <c r="C1673" s="3"/>
      <c r="D1673" s="3"/>
      <c r="E1673" s="3"/>
      <c r="F1673" s="3"/>
    </row>
    <row r="1674" spans="3:6" x14ac:dyDescent="0.35">
      <c r="C1674" s="3"/>
      <c r="D1674" s="3"/>
      <c r="E1674" s="3"/>
      <c r="F1674" s="3"/>
    </row>
    <row r="1675" spans="3:6" x14ac:dyDescent="0.35">
      <c r="C1675" s="3"/>
      <c r="D1675" s="3"/>
      <c r="E1675" s="3"/>
      <c r="F1675" s="3"/>
    </row>
    <row r="1676" spans="3:6" x14ac:dyDescent="0.35">
      <c r="C1676" s="3"/>
      <c r="D1676" s="3"/>
      <c r="E1676" s="3"/>
      <c r="F1676" s="3"/>
    </row>
    <row r="1677" spans="3:6" x14ac:dyDescent="0.35">
      <c r="C1677" s="3"/>
      <c r="D1677" s="3"/>
      <c r="E1677" s="3"/>
      <c r="F1677" s="3"/>
    </row>
    <row r="1678" spans="3:6" x14ac:dyDescent="0.35">
      <c r="C1678" s="3"/>
      <c r="D1678" s="3"/>
      <c r="E1678" s="3"/>
      <c r="F1678" s="3"/>
    </row>
    <row r="1679" spans="3:6" x14ac:dyDescent="0.35">
      <c r="C1679" s="3"/>
      <c r="D1679" s="3"/>
      <c r="E1679" s="3"/>
      <c r="F1679" s="3"/>
    </row>
    <row r="1680" spans="3:6" x14ac:dyDescent="0.35">
      <c r="C1680" s="3"/>
      <c r="D1680" s="3"/>
      <c r="E1680" s="3"/>
      <c r="F1680" s="3"/>
    </row>
    <row r="1681" spans="3:6" x14ac:dyDescent="0.35">
      <c r="C1681" s="3"/>
      <c r="D1681" s="3"/>
      <c r="E1681" s="3"/>
      <c r="F1681" s="3"/>
    </row>
    <row r="1682" spans="3:6" x14ac:dyDescent="0.35">
      <c r="C1682" s="3"/>
      <c r="D1682" s="3"/>
      <c r="E1682" s="3"/>
      <c r="F1682" s="3"/>
    </row>
    <row r="1683" spans="3:6" x14ac:dyDescent="0.35">
      <c r="C1683" s="3"/>
      <c r="D1683" s="3"/>
      <c r="E1683" s="3"/>
      <c r="F1683" s="3"/>
    </row>
    <row r="1684" spans="3:6" x14ac:dyDescent="0.35">
      <c r="C1684" s="3"/>
      <c r="D1684" s="3"/>
      <c r="E1684" s="3"/>
      <c r="F1684" s="3"/>
    </row>
    <row r="1685" spans="3:6" x14ac:dyDescent="0.35">
      <c r="C1685" s="3"/>
      <c r="D1685" s="3"/>
      <c r="E1685" s="3"/>
      <c r="F1685" s="3"/>
    </row>
    <row r="1686" spans="3:6" x14ac:dyDescent="0.35">
      <c r="C1686" s="3"/>
      <c r="D1686" s="3"/>
      <c r="E1686" s="3"/>
      <c r="F1686" s="3"/>
    </row>
    <row r="1687" spans="3:6" x14ac:dyDescent="0.35">
      <c r="C1687" s="3"/>
      <c r="D1687" s="3"/>
      <c r="E1687" s="3"/>
      <c r="F1687" s="3"/>
    </row>
    <row r="1688" spans="3:6" x14ac:dyDescent="0.35">
      <c r="C1688" s="3"/>
      <c r="D1688" s="3"/>
      <c r="E1688" s="3"/>
      <c r="F1688" s="3"/>
    </row>
    <row r="1689" spans="3:6" x14ac:dyDescent="0.35">
      <c r="C1689" s="3"/>
      <c r="D1689" s="3"/>
      <c r="E1689" s="3"/>
      <c r="F1689" s="3"/>
    </row>
    <row r="1690" spans="3:6" x14ac:dyDescent="0.35">
      <c r="C1690" s="3"/>
      <c r="D1690" s="3"/>
      <c r="E1690" s="3"/>
      <c r="F1690" s="3"/>
    </row>
    <row r="1691" spans="3:6" x14ac:dyDescent="0.35">
      <c r="C1691" s="3"/>
      <c r="D1691" s="3"/>
      <c r="E1691" s="3"/>
      <c r="F1691" s="3"/>
    </row>
    <row r="1692" spans="3:6" x14ac:dyDescent="0.35">
      <c r="C1692" s="3"/>
      <c r="D1692" s="3"/>
      <c r="E1692" s="3"/>
      <c r="F1692" s="3"/>
    </row>
    <row r="1693" spans="3:6" x14ac:dyDescent="0.35">
      <c r="C1693" s="3"/>
      <c r="D1693" s="3"/>
      <c r="E1693" s="3"/>
      <c r="F1693" s="3"/>
    </row>
    <row r="1694" spans="3:6" x14ac:dyDescent="0.35">
      <c r="C1694" s="3"/>
      <c r="D1694" s="3"/>
      <c r="E1694" s="3"/>
      <c r="F1694" s="3"/>
    </row>
    <row r="1695" spans="3:6" x14ac:dyDescent="0.35">
      <c r="C1695" s="3"/>
      <c r="D1695" s="3"/>
      <c r="E1695" s="3"/>
      <c r="F1695" s="3"/>
    </row>
    <row r="1696" spans="3:6" x14ac:dyDescent="0.35">
      <c r="C1696" s="3"/>
      <c r="D1696" s="3"/>
      <c r="E1696" s="3"/>
      <c r="F1696" s="3"/>
    </row>
    <row r="1697" spans="3:6" x14ac:dyDescent="0.35">
      <c r="C1697" s="3"/>
      <c r="D1697" s="3"/>
      <c r="E1697" s="3"/>
      <c r="F1697" s="3"/>
    </row>
    <row r="1698" spans="3:6" x14ac:dyDescent="0.35">
      <c r="C1698" s="3"/>
      <c r="D1698" s="3"/>
      <c r="E1698" s="3"/>
      <c r="F1698" s="3"/>
    </row>
    <row r="1699" spans="3:6" x14ac:dyDescent="0.35">
      <c r="C1699" s="3"/>
      <c r="D1699" s="3"/>
      <c r="E1699" s="3"/>
      <c r="F1699" s="3"/>
    </row>
    <row r="1700" spans="3:6" x14ac:dyDescent="0.35">
      <c r="C1700" s="3"/>
      <c r="D1700" s="3"/>
      <c r="E1700" s="3"/>
      <c r="F1700" s="3"/>
    </row>
    <row r="1701" spans="3:6" x14ac:dyDescent="0.35">
      <c r="C1701" s="3"/>
      <c r="D1701" s="3"/>
      <c r="E1701" s="3"/>
      <c r="F1701" s="3"/>
    </row>
    <row r="1702" spans="3:6" x14ac:dyDescent="0.35">
      <c r="C1702" s="3"/>
      <c r="D1702" s="3"/>
      <c r="E1702" s="3"/>
      <c r="F1702" s="3"/>
    </row>
    <row r="1703" spans="3:6" x14ac:dyDescent="0.35">
      <c r="C1703" s="3"/>
      <c r="D1703" s="3"/>
      <c r="E1703" s="3"/>
      <c r="F1703" s="3"/>
    </row>
    <row r="1704" spans="3:6" x14ac:dyDescent="0.35">
      <c r="C1704" s="3"/>
      <c r="D1704" s="3"/>
      <c r="E1704" s="3"/>
      <c r="F1704" s="3"/>
    </row>
    <row r="1705" spans="3:6" x14ac:dyDescent="0.35">
      <c r="C1705" s="3"/>
      <c r="D1705" s="3"/>
      <c r="E1705" s="3"/>
      <c r="F1705" s="3"/>
    </row>
    <row r="1706" spans="3:6" x14ac:dyDescent="0.35">
      <c r="C1706" s="3"/>
      <c r="D1706" s="3"/>
      <c r="E1706" s="3"/>
      <c r="F1706" s="3"/>
    </row>
    <row r="1707" spans="3:6" x14ac:dyDescent="0.35">
      <c r="C1707" s="3"/>
      <c r="D1707" s="3"/>
      <c r="E1707" s="3"/>
      <c r="F1707" s="3"/>
    </row>
    <row r="1708" spans="3:6" x14ac:dyDescent="0.35">
      <c r="C1708" s="3"/>
      <c r="D1708" s="3"/>
      <c r="E1708" s="3"/>
      <c r="F1708" s="3"/>
    </row>
    <row r="1709" spans="3:6" x14ac:dyDescent="0.35">
      <c r="C1709" s="3"/>
      <c r="D1709" s="3"/>
      <c r="E1709" s="3"/>
      <c r="F1709" s="3"/>
    </row>
    <row r="1710" spans="3:6" x14ac:dyDescent="0.35">
      <c r="C1710" s="3"/>
      <c r="D1710" s="3"/>
      <c r="E1710" s="3"/>
      <c r="F1710" s="3"/>
    </row>
    <row r="1711" spans="3:6" x14ac:dyDescent="0.35">
      <c r="C1711" s="3"/>
      <c r="D1711" s="3"/>
      <c r="E1711" s="3"/>
      <c r="F1711" s="3"/>
    </row>
    <row r="1712" spans="3:6" x14ac:dyDescent="0.35">
      <c r="C1712" s="3"/>
      <c r="D1712" s="3"/>
      <c r="E1712" s="3"/>
      <c r="F1712" s="3"/>
    </row>
    <row r="1713" spans="3:6" x14ac:dyDescent="0.35">
      <c r="C1713" s="3"/>
      <c r="D1713" s="3"/>
      <c r="E1713" s="3"/>
      <c r="F1713" s="3"/>
    </row>
    <row r="1714" spans="3:6" x14ac:dyDescent="0.35">
      <c r="C1714" s="3"/>
      <c r="D1714" s="3"/>
      <c r="E1714" s="3"/>
      <c r="F1714" s="3"/>
    </row>
    <row r="1715" spans="3:6" x14ac:dyDescent="0.35">
      <c r="C1715" s="3"/>
      <c r="D1715" s="3"/>
      <c r="E1715" s="3"/>
      <c r="F1715" s="3"/>
    </row>
    <row r="1716" spans="3:6" x14ac:dyDescent="0.35">
      <c r="C1716" s="3"/>
      <c r="D1716" s="3"/>
      <c r="E1716" s="3"/>
      <c r="F1716" s="3"/>
    </row>
    <row r="1717" spans="3:6" x14ac:dyDescent="0.35">
      <c r="C1717" s="3"/>
      <c r="D1717" s="3"/>
      <c r="E1717" s="3"/>
      <c r="F1717" s="3"/>
    </row>
    <row r="1718" spans="3:6" x14ac:dyDescent="0.35">
      <c r="C1718" s="3"/>
      <c r="D1718" s="3"/>
      <c r="E1718" s="3"/>
      <c r="F1718" s="3"/>
    </row>
    <row r="1719" spans="3:6" x14ac:dyDescent="0.35">
      <c r="C1719" s="3"/>
      <c r="D1719" s="3"/>
      <c r="E1719" s="3"/>
      <c r="F1719" s="3"/>
    </row>
    <row r="1720" spans="3:6" x14ac:dyDescent="0.35">
      <c r="C1720" s="3"/>
      <c r="D1720" s="3"/>
      <c r="E1720" s="3"/>
      <c r="F1720" s="3"/>
    </row>
  </sheetData>
  <customSheetViews>
    <customSheetView guid="{A9C4060D-48A6-4A71-A108-B3947866F802}">
      <selection activeCell="P2" sqref="P2:P13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5</vt:i4>
      </vt:variant>
    </vt:vector>
  </HeadingPairs>
  <TitlesOfParts>
    <vt:vector size="19" baseType="lpstr">
      <vt:lpstr>Input</vt:lpstr>
      <vt:lpstr>Assign_circle</vt:lpstr>
      <vt:lpstr>CircleLogbook</vt:lpstr>
      <vt:lpstr>Notes</vt:lpstr>
      <vt:lpstr>Results_old</vt:lpstr>
      <vt:lpstr>Results_relative</vt:lpstr>
      <vt:lpstr>SpecialScores</vt:lpstr>
      <vt:lpstr>MTA</vt:lpstr>
      <vt:lpstr>ACC100</vt:lpstr>
      <vt:lpstr>AR_sched</vt:lpstr>
      <vt:lpstr>Assign_List_old</vt:lpstr>
      <vt:lpstr>Assign_List_RRS</vt:lpstr>
      <vt:lpstr>aux_sheet</vt:lpstr>
      <vt:lpstr>aux_sheet_RRS</vt:lpstr>
      <vt:lpstr>'ACC100'!Druckbereich</vt:lpstr>
      <vt:lpstr>Assign_circle!Druckbereich</vt:lpstr>
      <vt:lpstr>MTA!Druckbereich</vt:lpstr>
      <vt:lpstr>Results_old!Druckbereich</vt:lpstr>
      <vt:lpstr>Results_relative!Druckbereich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Schütz</dc:creator>
  <cp:lastModifiedBy>Schütz Manuel</cp:lastModifiedBy>
  <cp:lastPrinted>2020-02-09T09:02:13Z</cp:lastPrinted>
  <dcterms:created xsi:type="dcterms:W3CDTF">2016-04-02T14:38:12Z</dcterms:created>
  <dcterms:modified xsi:type="dcterms:W3CDTF">2025-06-10T11:46:26Z</dcterms:modified>
</cp:coreProperties>
</file>